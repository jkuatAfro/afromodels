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8_{37173CD7-5CA1-4BBC-BD8A-38F84B04295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Results" sheetId="5" r:id="rId1"/>
    <sheet name="UHCxDensity" sheetId="7" r:id="rId2"/>
    <sheet name="Indice" sheetId="10" r:id="rId3"/>
    <sheet name="Migration" sheetId="12" r:id="rId4"/>
    <sheet name="Raw HWF" sheetId="1" r:id="rId5"/>
    <sheet name="Processed HWF" sheetId="2" r:id="rId6"/>
    <sheet name="UHC" sheetId="4" r:id="rId7"/>
    <sheet name="Reference table" sheetId="3" r:id="rId8"/>
    <sheet name="Covid-19 impact - vaccination" sheetId="8" r:id="rId9"/>
    <sheet name="Pop2020" sheetId="9" r:id="rId10"/>
  </sheets>
  <definedNames>
    <definedName name="_xlnm._FilterDatabase" localSheetId="6" hidden="1">UHC!$A$1:$O$1357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12" l="1"/>
  <c r="M3" i="12"/>
  <c r="R198" i="12"/>
  <c r="AD10" i="12"/>
  <c r="AD166" i="12"/>
  <c r="AD142" i="12"/>
  <c r="AD169" i="12"/>
  <c r="AD137" i="12"/>
  <c r="AD133" i="12"/>
  <c r="AD168" i="12"/>
  <c r="AD147" i="12"/>
  <c r="AD148" i="12"/>
  <c r="AD42" i="12"/>
  <c r="AD91" i="12"/>
  <c r="AD6" i="12"/>
  <c r="AD153" i="12"/>
  <c r="AD159" i="12"/>
  <c r="AD103" i="12"/>
  <c r="AD50" i="12"/>
  <c r="AD25" i="12"/>
  <c r="AD139" i="12"/>
  <c r="AD74" i="12"/>
  <c r="AD161" i="12"/>
  <c r="AD136" i="12"/>
  <c r="AD149" i="12"/>
  <c r="AD135" i="12"/>
  <c r="AD117" i="12"/>
  <c r="AD150" i="12"/>
  <c r="AD64" i="12"/>
  <c r="AD158" i="12"/>
  <c r="AD96" i="12"/>
  <c r="AD93" i="12"/>
  <c r="AD13" i="12"/>
  <c r="AD92" i="12"/>
  <c r="AD40" i="12"/>
  <c r="AD140" i="12"/>
  <c r="AD130" i="12"/>
  <c r="AD60" i="12"/>
  <c r="AD134" i="12"/>
  <c r="AD73" i="12"/>
  <c r="AD162" i="12"/>
  <c r="AD61" i="12"/>
  <c r="AD76" i="12"/>
  <c r="AD170" i="12"/>
  <c r="AD88" i="12"/>
  <c r="AD53" i="12"/>
  <c r="AD77" i="12"/>
  <c r="AD106" i="12"/>
  <c r="AD126" i="12"/>
  <c r="AD99" i="12"/>
  <c r="AD98" i="12"/>
  <c r="AD163" i="12"/>
  <c r="AD80" i="12"/>
  <c r="AD59" i="12"/>
  <c r="AD124" i="12"/>
  <c r="AD141" i="12"/>
  <c r="AD121" i="12"/>
  <c r="AD122" i="12"/>
  <c r="AD114" i="12"/>
  <c r="AD28" i="12"/>
  <c r="AD132" i="12"/>
  <c r="AD131" i="12"/>
  <c r="AD155" i="12"/>
  <c r="AD47" i="12"/>
  <c r="AD78" i="12"/>
  <c r="AD143" i="12"/>
  <c r="AD154" i="12"/>
  <c r="AD27" i="12"/>
  <c r="AD160" i="12"/>
  <c r="AD18" i="12"/>
  <c r="AD85" i="12"/>
  <c r="AD164" i="12"/>
  <c r="AD165" i="12"/>
  <c r="AD87" i="12"/>
  <c r="AD102" i="12"/>
  <c r="AD86" i="12"/>
  <c r="AD4" i="12"/>
  <c r="AD34" i="12"/>
  <c r="AD5" i="12"/>
  <c r="AD19" i="12"/>
  <c r="AD3" i="12"/>
  <c r="AD156" i="12"/>
  <c r="AD7" i="12"/>
  <c r="AD30" i="12"/>
  <c r="AD90" i="12"/>
  <c r="AD97" i="12"/>
  <c r="AD33" i="12"/>
  <c r="AD67" i="12"/>
  <c r="AD89" i="12"/>
  <c r="AD81" i="12"/>
  <c r="AD48" i="12"/>
  <c r="AD44" i="12"/>
  <c r="AD127" i="12"/>
  <c r="AD104" i="12"/>
  <c r="AD125" i="12"/>
  <c r="AD20" i="12"/>
  <c r="AD55" i="12"/>
  <c r="AD65" i="12"/>
  <c r="AD66" i="12"/>
  <c r="AD95" i="12"/>
  <c r="AD49" i="12"/>
  <c r="AD11" i="12"/>
  <c r="AD32" i="12"/>
  <c r="AD83" i="12"/>
  <c r="AD26" i="12"/>
  <c r="AD116" i="12"/>
  <c r="AD38" i="12"/>
  <c r="AD56" i="12"/>
  <c r="AD39" i="12"/>
  <c r="AD101" i="12"/>
  <c r="AD123" i="12"/>
  <c r="AD113" i="12"/>
  <c r="AD62" i="12"/>
  <c r="AD16" i="12"/>
  <c r="AD157" i="12"/>
  <c r="AD111" i="12"/>
  <c r="AD107" i="12"/>
  <c r="AD108" i="12"/>
  <c r="AD37" i="12"/>
  <c r="AD75" i="12"/>
  <c r="AD128" i="12"/>
  <c r="AD115" i="12"/>
  <c r="AD31" i="12"/>
  <c r="AD138" i="12"/>
  <c r="AD84" i="12"/>
  <c r="AD144" i="12"/>
  <c r="AD45" i="12"/>
  <c r="AD79" i="12"/>
  <c r="AD105" i="12"/>
  <c r="AD146" i="12"/>
  <c r="AD24" i="12"/>
  <c r="AD41" i="12"/>
  <c r="AD71" i="12"/>
  <c r="AD72" i="12"/>
  <c r="AD36" i="12"/>
  <c r="AD69" i="12"/>
  <c r="AD12" i="12"/>
  <c r="AD145" i="12"/>
  <c r="AD129" i="12"/>
  <c r="AD68" i="12"/>
  <c r="AD119" i="12"/>
  <c r="AD112" i="12"/>
  <c r="AD17" i="12"/>
  <c r="AD120" i="12"/>
  <c r="AD70" i="12"/>
  <c r="AD46" i="12"/>
  <c r="AD118" i="12"/>
  <c r="AD58" i="12"/>
  <c r="AD151" i="12"/>
  <c r="AD152" i="12"/>
  <c r="AD29" i="12"/>
  <c r="AD43" i="12"/>
  <c r="AD63" i="12"/>
  <c r="AD54" i="12"/>
  <c r="AD21" i="12"/>
  <c r="AD109" i="12"/>
  <c r="AD100" i="12"/>
  <c r="AD57" i="12"/>
  <c r="AD23" i="12"/>
  <c r="AD51" i="12"/>
  <c r="AD110" i="12"/>
  <c r="AD94" i="12"/>
  <c r="AD82" i="12"/>
  <c r="AD167" i="12"/>
  <c r="AD52" i="12"/>
  <c r="AD9" i="12"/>
  <c r="AD8" i="12"/>
  <c r="AD15" i="12"/>
  <c r="AD35" i="12"/>
  <c r="AD22" i="12"/>
  <c r="AD14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Y113" i="12"/>
  <c r="Y114" i="12"/>
  <c r="Y115" i="12"/>
  <c r="Y116" i="12"/>
  <c r="Y117" i="12"/>
  <c r="Y118" i="12"/>
  <c r="Y119" i="12"/>
  <c r="Y120" i="12"/>
  <c r="Y121" i="12"/>
  <c r="Y122" i="12"/>
  <c r="Y123" i="12"/>
  <c r="Y124" i="12"/>
  <c r="Y125" i="12"/>
  <c r="Y126" i="12"/>
  <c r="Y127" i="12"/>
  <c r="Y128" i="12"/>
  <c r="Y129" i="12"/>
  <c r="Y130" i="12"/>
  <c r="Y131" i="12"/>
  <c r="Y132" i="12"/>
  <c r="Y133" i="12"/>
  <c r="Y134" i="12"/>
  <c r="Y135" i="12"/>
  <c r="Y136" i="12"/>
  <c r="Y137" i="12"/>
  <c r="Y138" i="12"/>
  <c r="Y139" i="12"/>
  <c r="Y140" i="12"/>
  <c r="Y141" i="12"/>
  <c r="Y142" i="12"/>
  <c r="Y143" i="12"/>
  <c r="Y144" i="12"/>
  <c r="Y145" i="12"/>
  <c r="Y146" i="12"/>
  <c r="Y147" i="12"/>
  <c r="Y148" i="12"/>
  <c r="Y149" i="12"/>
  <c r="Y150" i="12"/>
  <c r="Y151" i="12"/>
  <c r="Y152" i="12"/>
  <c r="Y153" i="12"/>
  <c r="Y154" i="12"/>
  <c r="Y155" i="12"/>
  <c r="Y156" i="12"/>
  <c r="Y157" i="12"/>
  <c r="Y158" i="12"/>
  <c r="Y159" i="12"/>
  <c r="Y160" i="12"/>
  <c r="Y161" i="12"/>
  <c r="Y162" i="12"/>
  <c r="Y163" i="12"/>
  <c r="Y164" i="12"/>
  <c r="Y165" i="12"/>
  <c r="Y166" i="12"/>
  <c r="Y167" i="12"/>
  <c r="Y168" i="12"/>
  <c r="Y169" i="12"/>
  <c r="Y170" i="12"/>
  <c r="Y171" i="12"/>
  <c r="Y172" i="12"/>
  <c r="Y173" i="12"/>
  <c r="Y174" i="12"/>
  <c r="Y175" i="12"/>
  <c r="Y176" i="12"/>
  <c r="Y177" i="12"/>
  <c r="Y178" i="12"/>
  <c r="Y179" i="12"/>
  <c r="Y180" i="12"/>
  <c r="Y181" i="12"/>
  <c r="Y182" i="12"/>
  <c r="Y183" i="12"/>
  <c r="Y184" i="12"/>
  <c r="Y3" i="12"/>
  <c r="Y4" i="12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I3" i="10"/>
  <c r="I4" i="10"/>
  <c r="I5" i="10"/>
  <c r="I6" i="10"/>
  <c r="I7" i="10"/>
  <c r="I8" i="10"/>
  <c r="I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2" i="10"/>
  <c r="J4" i="12"/>
  <c r="M4" i="12" s="1"/>
  <c r="K4" i="12"/>
  <c r="L4" i="12"/>
  <c r="J5" i="12"/>
  <c r="M5" i="12" s="1"/>
  <c r="K5" i="12"/>
  <c r="L5" i="12"/>
  <c r="J6" i="12"/>
  <c r="M6" i="12" s="1"/>
  <c r="O6" i="12" s="1"/>
  <c r="Q6" i="12" s="1"/>
  <c r="K6" i="12"/>
  <c r="L6" i="12"/>
  <c r="J7" i="12"/>
  <c r="M7" i="12" s="1"/>
  <c r="K7" i="12"/>
  <c r="L7" i="12"/>
  <c r="J8" i="12"/>
  <c r="M8" i="12" s="1"/>
  <c r="K8" i="12"/>
  <c r="L8" i="12"/>
  <c r="J9" i="12"/>
  <c r="M9" i="12" s="1"/>
  <c r="K9" i="12"/>
  <c r="L9" i="12"/>
  <c r="J10" i="12"/>
  <c r="M10" i="12" s="1"/>
  <c r="O10" i="12" s="1"/>
  <c r="Q10" i="12" s="1"/>
  <c r="K10" i="12"/>
  <c r="L10" i="12"/>
  <c r="J11" i="12"/>
  <c r="M11" i="12" s="1"/>
  <c r="K11" i="12"/>
  <c r="L11" i="12"/>
  <c r="J12" i="12"/>
  <c r="M12" i="12" s="1"/>
  <c r="K12" i="12"/>
  <c r="L12" i="12"/>
  <c r="J13" i="12"/>
  <c r="M13" i="12" s="1"/>
  <c r="K13" i="12"/>
  <c r="L13" i="12"/>
  <c r="J14" i="12"/>
  <c r="M14" i="12" s="1"/>
  <c r="O14" i="12" s="1"/>
  <c r="Q14" i="12" s="1"/>
  <c r="K14" i="12"/>
  <c r="L14" i="12"/>
  <c r="J15" i="12"/>
  <c r="M15" i="12" s="1"/>
  <c r="K15" i="12"/>
  <c r="L15" i="12"/>
  <c r="J16" i="12"/>
  <c r="M16" i="12" s="1"/>
  <c r="K16" i="12"/>
  <c r="L16" i="12"/>
  <c r="J17" i="12"/>
  <c r="M17" i="12" s="1"/>
  <c r="O17" i="12" s="1"/>
  <c r="Q17" i="12" s="1"/>
  <c r="K17" i="12"/>
  <c r="L17" i="12"/>
  <c r="J18" i="12"/>
  <c r="M18" i="12" s="1"/>
  <c r="O18" i="12" s="1"/>
  <c r="Q18" i="12" s="1"/>
  <c r="K18" i="12"/>
  <c r="L18" i="12"/>
  <c r="J19" i="12"/>
  <c r="M19" i="12" s="1"/>
  <c r="K19" i="12"/>
  <c r="L19" i="12"/>
  <c r="J20" i="12"/>
  <c r="M20" i="12" s="1"/>
  <c r="K20" i="12"/>
  <c r="L20" i="12"/>
  <c r="J21" i="12"/>
  <c r="M21" i="12" s="1"/>
  <c r="O21" i="12" s="1"/>
  <c r="Q21" i="12" s="1"/>
  <c r="K21" i="12"/>
  <c r="L21" i="12"/>
  <c r="J22" i="12"/>
  <c r="M22" i="12" s="1"/>
  <c r="O22" i="12" s="1"/>
  <c r="Q22" i="12" s="1"/>
  <c r="K22" i="12"/>
  <c r="L22" i="12"/>
  <c r="J23" i="12"/>
  <c r="M23" i="12" s="1"/>
  <c r="K23" i="12"/>
  <c r="L23" i="12"/>
  <c r="J24" i="12"/>
  <c r="M24" i="12" s="1"/>
  <c r="K24" i="12"/>
  <c r="L24" i="12"/>
  <c r="J25" i="12"/>
  <c r="M25" i="12" s="1"/>
  <c r="O25" i="12" s="1"/>
  <c r="Q25" i="12" s="1"/>
  <c r="K25" i="12"/>
  <c r="L25" i="12"/>
  <c r="J26" i="12"/>
  <c r="M26" i="12" s="1"/>
  <c r="O26" i="12" s="1"/>
  <c r="Q26" i="12" s="1"/>
  <c r="K26" i="12"/>
  <c r="L26" i="12"/>
  <c r="J27" i="12"/>
  <c r="M27" i="12" s="1"/>
  <c r="K27" i="12"/>
  <c r="L27" i="12"/>
  <c r="J28" i="12"/>
  <c r="M28" i="12" s="1"/>
  <c r="O28" i="12" s="1"/>
  <c r="Q28" i="12" s="1"/>
  <c r="K28" i="12"/>
  <c r="L28" i="12"/>
  <c r="J29" i="12"/>
  <c r="M29" i="12" s="1"/>
  <c r="O29" i="12" s="1"/>
  <c r="Q29" i="12" s="1"/>
  <c r="K29" i="12"/>
  <c r="L29" i="12"/>
  <c r="J30" i="12"/>
  <c r="M30" i="12" s="1"/>
  <c r="O30" i="12" s="1"/>
  <c r="Q30" i="12" s="1"/>
  <c r="K30" i="12"/>
  <c r="L30" i="12"/>
  <c r="J31" i="12"/>
  <c r="M31" i="12" s="1"/>
  <c r="K31" i="12"/>
  <c r="L31" i="12"/>
  <c r="J32" i="12"/>
  <c r="M32" i="12" s="1"/>
  <c r="O32" i="12" s="1"/>
  <c r="Q32" i="12" s="1"/>
  <c r="K32" i="12"/>
  <c r="L32" i="12"/>
  <c r="J33" i="12"/>
  <c r="M33" i="12" s="1"/>
  <c r="O33" i="12" s="1"/>
  <c r="Q33" i="12" s="1"/>
  <c r="K33" i="12"/>
  <c r="L33" i="12"/>
  <c r="J34" i="12"/>
  <c r="M34" i="12" s="1"/>
  <c r="O34" i="12" s="1"/>
  <c r="Q34" i="12" s="1"/>
  <c r="K34" i="12"/>
  <c r="L34" i="12"/>
  <c r="J35" i="12"/>
  <c r="M35" i="12" s="1"/>
  <c r="K35" i="12"/>
  <c r="L35" i="12"/>
  <c r="J36" i="12"/>
  <c r="M36" i="12" s="1"/>
  <c r="O36" i="12" s="1"/>
  <c r="Q36" i="12" s="1"/>
  <c r="K36" i="12"/>
  <c r="L36" i="12"/>
  <c r="J37" i="12"/>
  <c r="M37" i="12" s="1"/>
  <c r="O37" i="12" s="1"/>
  <c r="Q37" i="12" s="1"/>
  <c r="K37" i="12"/>
  <c r="L37" i="12"/>
  <c r="J38" i="12"/>
  <c r="M38" i="12" s="1"/>
  <c r="O38" i="12" s="1"/>
  <c r="Q38" i="12" s="1"/>
  <c r="K38" i="12"/>
  <c r="L38" i="12"/>
  <c r="J39" i="12"/>
  <c r="M39" i="12" s="1"/>
  <c r="K39" i="12"/>
  <c r="L39" i="12"/>
  <c r="J40" i="12"/>
  <c r="M40" i="12" s="1"/>
  <c r="O40" i="12" s="1"/>
  <c r="Q40" i="12" s="1"/>
  <c r="K40" i="12"/>
  <c r="L40" i="12"/>
  <c r="J41" i="12"/>
  <c r="M41" i="12" s="1"/>
  <c r="O41" i="12" s="1"/>
  <c r="Q41" i="12" s="1"/>
  <c r="K41" i="12"/>
  <c r="L41" i="12"/>
  <c r="J42" i="12"/>
  <c r="M42" i="12" s="1"/>
  <c r="O42" i="12" s="1"/>
  <c r="Q42" i="12" s="1"/>
  <c r="K42" i="12"/>
  <c r="L42" i="12"/>
  <c r="J43" i="12"/>
  <c r="M43" i="12" s="1"/>
  <c r="K43" i="12"/>
  <c r="L43" i="12"/>
  <c r="J44" i="12"/>
  <c r="M44" i="12" s="1"/>
  <c r="O44" i="12" s="1"/>
  <c r="Q44" i="12" s="1"/>
  <c r="K44" i="12"/>
  <c r="L44" i="12"/>
  <c r="J45" i="12"/>
  <c r="M45" i="12" s="1"/>
  <c r="O45" i="12" s="1"/>
  <c r="Q45" i="12" s="1"/>
  <c r="K45" i="12"/>
  <c r="L45" i="12"/>
  <c r="J46" i="12"/>
  <c r="M46" i="12" s="1"/>
  <c r="O46" i="12" s="1"/>
  <c r="Q46" i="12" s="1"/>
  <c r="K46" i="12"/>
  <c r="L46" i="12"/>
  <c r="J47" i="12"/>
  <c r="M47" i="12" s="1"/>
  <c r="K47" i="12"/>
  <c r="L47" i="12"/>
  <c r="J48" i="12"/>
  <c r="M48" i="12" s="1"/>
  <c r="O48" i="12" s="1"/>
  <c r="Q48" i="12" s="1"/>
  <c r="K48" i="12"/>
  <c r="L48" i="12"/>
  <c r="J49" i="12"/>
  <c r="M49" i="12" s="1"/>
  <c r="O49" i="12" s="1"/>
  <c r="Q49" i="12" s="1"/>
  <c r="K49" i="12"/>
  <c r="L49" i="12"/>
  <c r="J50" i="12"/>
  <c r="M50" i="12" s="1"/>
  <c r="O50" i="12" s="1"/>
  <c r="Q50" i="12" s="1"/>
  <c r="K50" i="12"/>
  <c r="L50" i="12"/>
  <c r="J51" i="12"/>
  <c r="M51" i="12" s="1"/>
  <c r="K51" i="12"/>
  <c r="L51" i="12"/>
  <c r="J52" i="12"/>
  <c r="M52" i="12" s="1"/>
  <c r="O52" i="12" s="1"/>
  <c r="Q52" i="12" s="1"/>
  <c r="K52" i="12"/>
  <c r="L52" i="12"/>
  <c r="J53" i="12"/>
  <c r="M53" i="12" s="1"/>
  <c r="O53" i="12" s="1"/>
  <c r="Q53" i="12" s="1"/>
  <c r="K53" i="12"/>
  <c r="L53" i="12"/>
  <c r="J54" i="12"/>
  <c r="M54" i="12" s="1"/>
  <c r="O54" i="12" s="1"/>
  <c r="Q54" i="12" s="1"/>
  <c r="K54" i="12"/>
  <c r="L54" i="12"/>
  <c r="J55" i="12"/>
  <c r="M55" i="12" s="1"/>
  <c r="K55" i="12"/>
  <c r="L55" i="12"/>
  <c r="J56" i="12"/>
  <c r="M56" i="12" s="1"/>
  <c r="O56" i="12" s="1"/>
  <c r="Q56" i="12" s="1"/>
  <c r="K56" i="12"/>
  <c r="L56" i="12"/>
  <c r="J57" i="12"/>
  <c r="M57" i="12" s="1"/>
  <c r="O57" i="12" s="1"/>
  <c r="Q57" i="12" s="1"/>
  <c r="K57" i="12"/>
  <c r="L57" i="12"/>
  <c r="J58" i="12"/>
  <c r="M58" i="12" s="1"/>
  <c r="O58" i="12" s="1"/>
  <c r="Q58" i="12" s="1"/>
  <c r="K58" i="12"/>
  <c r="L58" i="12"/>
  <c r="J59" i="12"/>
  <c r="M59" i="12" s="1"/>
  <c r="K59" i="12"/>
  <c r="L59" i="12"/>
  <c r="J60" i="12"/>
  <c r="M60" i="12" s="1"/>
  <c r="O60" i="12" s="1"/>
  <c r="Q60" i="12" s="1"/>
  <c r="K60" i="12"/>
  <c r="L60" i="12"/>
  <c r="J61" i="12"/>
  <c r="M61" i="12" s="1"/>
  <c r="O61" i="12" s="1"/>
  <c r="Q61" i="12" s="1"/>
  <c r="K61" i="12"/>
  <c r="L61" i="12"/>
  <c r="J62" i="12"/>
  <c r="M62" i="12" s="1"/>
  <c r="O62" i="12" s="1"/>
  <c r="Q62" i="12" s="1"/>
  <c r="K62" i="12"/>
  <c r="L62" i="12"/>
  <c r="J63" i="12"/>
  <c r="M63" i="12" s="1"/>
  <c r="K63" i="12"/>
  <c r="L63" i="12"/>
  <c r="J64" i="12"/>
  <c r="M64" i="12" s="1"/>
  <c r="O64" i="12" s="1"/>
  <c r="Q64" i="12" s="1"/>
  <c r="K64" i="12"/>
  <c r="L64" i="12"/>
  <c r="J65" i="12"/>
  <c r="M65" i="12" s="1"/>
  <c r="O65" i="12" s="1"/>
  <c r="Q65" i="12" s="1"/>
  <c r="K65" i="12"/>
  <c r="L65" i="12"/>
  <c r="J66" i="12"/>
  <c r="M66" i="12" s="1"/>
  <c r="O66" i="12" s="1"/>
  <c r="Q66" i="12" s="1"/>
  <c r="K66" i="12"/>
  <c r="L66" i="12"/>
  <c r="J67" i="12"/>
  <c r="M67" i="12" s="1"/>
  <c r="K67" i="12"/>
  <c r="L67" i="12"/>
  <c r="J68" i="12"/>
  <c r="M68" i="12" s="1"/>
  <c r="O68" i="12" s="1"/>
  <c r="Q68" i="12" s="1"/>
  <c r="K68" i="12"/>
  <c r="L68" i="12"/>
  <c r="J69" i="12"/>
  <c r="M69" i="12" s="1"/>
  <c r="O69" i="12" s="1"/>
  <c r="Q69" i="12" s="1"/>
  <c r="K69" i="12"/>
  <c r="L69" i="12"/>
  <c r="J70" i="12"/>
  <c r="M70" i="12" s="1"/>
  <c r="O70" i="12" s="1"/>
  <c r="Q70" i="12" s="1"/>
  <c r="K70" i="12"/>
  <c r="L70" i="12"/>
  <c r="J71" i="12"/>
  <c r="M71" i="12" s="1"/>
  <c r="K71" i="12"/>
  <c r="L71" i="12"/>
  <c r="J72" i="12"/>
  <c r="M72" i="12" s="1"/>
  <c r="O72" i="12" s="1"/>
  <c r="Q72" i="12" s="1"/>
  <c r="K72" i="12"/>
  <c r="L72" i="12"/>
  <c r="J73" i="12"/>
  <c r="M73" i="12" s="1"/>
  <c r="O73" i="12" s="1"/>
  <c r="Q73" i="12" s="1"/>
  <c r="K73" i="12"/>
  <c r="L73" i="12"/>
  <c r="J74" i="12"/>
  <c r="M74" i="12" s="1"/>
  <c r="O74" i="12" s="1"/>
  <c r="Q74" i="12" s="1"/>
  <c r="K74" i="12"/>
  <c r="L74" i="12"/>
  <c r="J75" i="12"/>
  <c r="M75" i="12" s="1"/>
  <c r="K75" i="12"/>
  <c r="L75" i="12"/>
  <c r="J76" i="12"/>
  <c r="M76" i="12" s="1"/>
  <c r="O76" i="12" s="1"/>
  <c r="Q76" i="12" s="1"/>
  <c r="K76" i="12"/>
  <c r="L76" i="12"/>
  <c r="J77" i="12"/>
  <c r="M77" i="12" s="1"/>
  <c r="O77" i="12" s="1"/>
  <c r="Q77" i="12" s="1"/>
  <c r="K77" i="12"/>
  <c r="L77" i="12"/>
  <c r="J78" i="12"/>
  <c r="M78" i="12" s="1"/>
  <c r="O78" i="12" s="1"/>
  <c r="Q78" i="12" s="1"/>
  <c r="K78" i="12"/>
  <c r="L78" i="12"/>
  <c r="J79" i="12"/>
  <c r="M79" i="12" s="1"/>
  <c r="K79" i="12"/>
  <c r="L79" i="12"/>
  <c r="J80" i="12"/>
  <c r="M80" i="12" s="1"/>
  <c r="O80" i="12" s="1"/>
  <c r="Q80" i="12" s="1"/>
  <c r="K80" i="12"/>
  <c r="L80" i="12"/>
  <c r="J81" i="12"/>
  <c r="M81" i="12" s="1"/>
  <c r="O81" i="12" s="1"/>
  <c r="Q81" i="12" s="1"/>
  <c r="K81" i="12"/>
  <c r="L81" i="12"/>
  <c r="J82" i="12"/>
  <c r="M82" i="12" s="1"/>
  <c r="O82" i="12" s="1"/>
  <c r="Q82" i="12" s="1"/>
  <c r="K82" i="12"/>
  <c r="L82" i="12"/>
  <c r="J83" i="12"/>
  <c r="M83" i="12" s="1"/>
  <c r="K83" i="12"/>
  <c r="L83" i="12"/>
  <c r="J84" i="12"/>
  <c r="M84" i="12" s="1"/>
  <c r="O84" i="12" s="1"/>
  <c r="Q84" i="12" s="1"/>
  <c r="K84" i="12"/>
  <c r="L84" i="12"/>
  <c r="J85" i="12"/>
  <c r="M85" i="12" s="1"/>
  <c r="O85" i="12" s="1"/>
  <c r="Q85" i="12" s="1"/>
  <c r="K85" i="12"/>
  <c r="L85" i="12"/>
  <c r="J86" i="12"/>
  <c r="M86" i="12" s="1"/>
  <c r="O86" i="12" s="1"/>
  <c r="Q86" i="12" s="1"/>
  <c r="K86" i="12"/>
  <c r="L86" i="12"/>
  <c r="J87" i="12"/>
  <c r="M87" i="12" s="1"/>
  <c r="K87" i="12"/>
  <c r="L87" i="12"/>
  <c r="J88" i="12"/>
  <c r="M88" i="12" s="1"/>
  <c r="O88" i="12" s="1"/>
  <c r="Q88" i="12" s="1"/>
  <c r="K88" i="12"/>
  <c r="L88" i="12"/>
  <c r="J89" i="12"/>
  <c r="M89" i="12" s="1"/>
  <c r="O89" i="12" s="1"/>
  <c r="Q89" i="12" s="1"/>
  <c r="K89" i="12"/>
  <c r="L89" i="12"/>
  <c r="J90" i="12"/>
  <c r="M90" i="12" s="1"/>
  <c r="O90" i="12" s="1"/>
  <c r="Q90" i="12" s="1"/>
  <c r="K90" i="12"/>
  <c r="L90" i="12"/>
  <c r="J91" i="12"/>
  <c r="M91" i="12" s="1"/>
  <c r="K91" i="12"/>
  <c r="L91" i="12"/>
  <c r="J92" i="12"/>
  <c r="M92" i="12" s="1"/>
  <c r="O92" i="12" s="1"/>
  <c r="Q92" i="12" s="1"/>
  <c r="K92" i="12"/>
  <c r="L92" i="12"/>
  <c r="J93" i="12"/>
  <c r="M93" i="12" s="1"/>
  <c r="O93" i="12" s="1"/>
  <c r="Q93" i="12" s="1"/>
  <c r="K93" i="12"/>
  <c r="L93" i="12"/>
  <c r="J94" i="12"/>
  <c r="M94" i="12" s="1"/>
  <c r="O94" i="12" s="1"/>
  <c r="Q94" i="12" s="1"/>
  <c r="K94" i="12"/>
  <c r="L94" i="12"/>
  <c r="J95" i="12"/>
  <c r="M95" i="12" s="1"/>
  <c r="O95" i="12" s="1"/>
  <c r="Q95" i="12" s="1"/>
  <c r="K95" i="12"/>
  <c r="L95" i="12"/>
  <c r="J96" i="12"/>
  <c r="M96" i="12" s="1"/>
  <c r="O96" i="12" s="1"/>
  <c r="Q96" i="12" s="1"/>
  <c r="K96" i="12"/>
  <c r="L96" i="12"/>
  <c r="J97" i="12"/>
  <c r="M97" i="12" s="1"/>
  <c r="O97" i="12" s="1"/>
  <c r="Q97" i="12" s="1"/>
  <c r="K97" i="12"/>
  <c r="L97" i="12"/>
  <c r="J98" i="12"/>
  <c r="M98" i="12" s="1"/>
  <c r="O98" i="12" s="1"/>
  <c r="Q98" i="12" s="1"/>
  <c r="K98" i="12"/>
  <c r="L98" i="12"/>
  <c r="J99" i="12"/>
  <c r="M99" i="12" s="1"/>
  <c r="K99" i="12"/>
  <c r="L99" i="12"/>
  <c r="J100" i="12"/>
  <c r="M100" i="12" s="1"/>
  <c r="O100" i="12" s="1"/>
  <c r="Q100" i="12" s="1"/>
  <c r="K100" i="12"/>
  <c r="L100" i="12"/>
  <c r="J101" i="12"/>
  <c r="M101" i="12" s="1"/>
  <c r="O101" i="12" s="1"/>
  <c r="Q101" i="12" s="1"/>
  <c r="K101" i="12"/>
  <c r="L101" i="12"/>
  <c r="J102" i="12"/>
  <c r="M102" i="12" s="1"/>
  <c r="O102" i="12" s="1"/>
  <c r="Q102" i="12" s="1"/>
  <c r="K102" i="12"/>
  <c r="L102" i="12"/>
  <c r="J103" i="12"/>
  <c r="M103" i="12" s="1"/>
  <c r="K103" i="12"/>
  <c r="L103" i="12"/>
  <c r="J104" i="12"/>
  <c r="M104" i="12" s="1"/>
  <c r="O104" i="12" s="1"/>
  <c r="Q104" i="12" s="1"/>
  <c r="K104" i="12"/>
  <c r="L104" i="12"/>
  <c r="J105" i="12"/>
  <c r="M105" i="12" s="1"/>
  <c r="O105" i="12" s="1"/>
  <c r="Q105" i="12" s="1"/>
  <c r="K105" i="12"/>
  <c r="L105" i="12"/>
  <c r="J106" i="12"/>
  <c r="M106" i="12" s="1"/>
  <c r="O106" i="12" s="1"/>
  <c r="Q106" i="12" s="1"/>
  <c r="K106" i="12"/>
  <c r="L106" i="12"/>
  <c r="J107" i="12"/>
  <c r="M107" i="12" s="1"/>
  <c r="K107" i="12"/>
  <c r="L107" i="12"/>
  <c r="J108" i="12"/>
  <c r="M108" i="12" s="1"/>
  <c r="O108" i="12" s="1"/>
  <c r="Q108" i="12" s="1"/>
  <c r="K108" i="12"/>
  <c r="L108" i="12"/>
  <c r="J109" i="12"/>
  <c r="M109" i="12" s="1"/>
  <c r="O109" i="12" s="1"/>
  <c r="Q109" i="12" s="1"/>
  <c r="K109" i="12"/>
  <c r="L109" i="12"/>
  <c r="J110" i="12"/>
  <c r="M110" i="12" s="1"/>
  <c r="O110" i="12" s="1"/>
  <c r="Q110" i="12" s="1"/>
  <c r="K110" i="12"/>
  <c r="L110" i="12"/>
  <c r="J111" i="12"/>
  <c r="M111" i="12" s="1"/>
  <c r="K111" i="12"/>
  <c r="L111" i="12"/>
  <c r="J112" i="12"/>
  <c r="M112" i="12" s="1"/>
  <c r="O112" i="12" s="1"/>
  <c r="Q112" i="12" s="1"/>
  <c r="K112" i="12"/>
  <c r="L112" i="12"/>
  <c r="J113" i="12"/>
  <c r="M113" i="12" s="1"/>
  <c r="O113" i="12" s="1"/>
  <c r="Q113" i="12" s="1"/>
  <c r="K113" i="12"/>
  <c r="L113" i="12"/>
  <c r="J114" i="12"/>
  <c r="M114" i="12" s="1"/>
  <c r="O114" i="12" s="1"/>
  <c r="Q114" i="12" s="1"/>
  <c r="K114" i="12"/>
  <c r="L114" i="12"/>
  <c r="J115" i="12"/>
  <c r="M115" i="12" s="1"/>
  <c r="K115" i="12"/>
  <c r="L115" i="12"/>
  <c r="J116" i="12"/>
  <c r="M116" i="12" s="1"/>
  <c r="O116" i="12" s="1"/>
  <c r="Q116" i="12" s="1"/>
  <c r="K116" i="12"/>
  <c r="L116" i="12"/>
  <c r="J117" i="12"/>
  <c r="M117" i="12" s="1"/>
  <c r="O117" i="12" s="1"/>
  <c r="Q117" i="12" s="1"/>
  <c r="K117" i="12"/>
  <c r="L117" i="12"/>
  <c r="J118" i="12"/>
  <c r="M118" i="12" s="1"/>
  <c r="O118" i="12" s="1"/>
  <c r="Q118" i="12" s="1"/>
  <c r="K118" i="12"/>
  <c r="L118" i="12"/>
  <c r="J119" i="12"/>
  <c r="M119" i="12" s="1"/>
  <c r="K119" i="12"/>
  <c r="L119" i="12"/>
  <c r="J120" i="12"/>
  <c r="M120" i="12" s="1"/>
  <c r="O120" i="12" s="1"/>
  <c r="Q120" i="12" s="1"/>
  <c r="K120" i="12"/>
  <c r="L120" i="12"/>
  <c r="J121" i="12"/>
  <c r="M121" i="12" s="1"/>
  <c r="O121" i="12" s="1"/>
  <c r="Q121" i="12" s="1"/>
  <c r="K121" i="12"/>
  <c r="L121" i="12"/>
  <c r="J122" i="12"/>
  <c r="M122" i="12" s="1"/>
  <c r="O122" i="12" s="1"/>
  <c r="Q122" i="12" s="1"/>
  <c r="K122" i="12"/>
  <c r="L122" i="12"/>
  <c r="J123" i="12"/>
  <c r="M123" i="12" s="1"/>
  <c r="K123" i="12"/>
  <c r="L123" i="12"/>
  <c r="J124" i="12"/>
  <c r="M124" i="12" s="1"/>
  <c r="O124" i="12" s="1"/>
  <c r="Q124" i="12" s="1"/>
  <c r="K124" i="12"/>
  <c r="L124" i="12"/>
  <c r="J125" i="12"/>
  <c r="M125" i="12" s="1"/>
  <c r="O125" i="12" s="1"/>
  <c r="Q125" i="12" s="1"/>
  <c r="K125" i="12"/>
  <c r="L125" i="12"/>
  <c r="J126" i="12"/>
  <c r="M126" i="12" s="1"/>
  <c r="O126" i="12" s="1"/>
  <c r="Q126" i="12" s="1"/>
  <c r="K126" i="12"/>
  <c r="L126" i="12"/>
  <c r="J127" i="12"/>
  <c r="M127" i="12" s="1"/>
  <c r="K127" i="12"/>
  <c r="L127" i="12"/>
  <c r="J128" i="12"/>
  <c r="M128" i="12" s="1"/>
  <c r="O128" i="12" s="1"/>
  <c r="Q128" i="12" s="1"/>
  <c r="K128" i="12"/>
  <c r="L128" i="12"/>
  <c r="J129" i="12"/>
  <c r="M129" i="12" s="1"/>
  <c r="O129" i="12" s="1"/>
  <c r="Q129" i="12" s="1"/>
  <c r="K129" i="12"/>
  <c r="L129" i="12"/>
  <c r="J130" i="12"/>
  <c r="M130" i="12" s="1"/>
  <c r="O130" i="12" s="1"/>
  <c r="Q130" i="12" s="1"/>
  <c r="K130" i="12"/>
  <c r="L130" i="12"/>
  <c r="J131" i="12"/>
  <c r="M131" i="12" s="1"/>
  <c r="K131" i="12"/>
  <c r="L131" i="12"/>
  <c r="J132" i="12"/>
  <c r="M132" i="12" s="1"/>
  <c r="O132" i="12" s="1"/>
  <c r="Q132" i="12" s="1"/>
  <c r="K132" i="12"/>
  <c r="L132" i="12"/>
  <c r="J133" i="12"/>
  <c r="M133" i="12" s="1"/>
  <c r="O133" i="12" s="1"/>
  <c r="Q133" i="12" s="1"/>
  <c r="K133" i="12"/>
  <c r="L133" i="12"/>
  <c r="J134" i="12"/>
  <c r="M134" i="12" s="1"/>
  <c r="O134" i="12" s="1"/>
  <c r="Q134" i="12" s="1"/>
  <c r="K134" i="12"/>
  <c r="L134" i="12"/>
  <c r="J135" i="12"/>
  <c r="M135" i="12" s="1"/>
  <c r="K135" i="12"/>
  <c r="L135" i="12"/>
  <c r="J136" i="12"/>
  <c r="M136" i="12" s="1"/>
  <c r="O136" i="12" s="1"/>
  <c r="Q136" i="12" s="1"/>
  <c r="K136" i="12"/>
  <c r="L136" i="12"/>
  <c r="J137" i="12"/>
  <c r="M137" i="12" s="1"/>
  <c r="O137" i="12" s="1"/>
  <c r="Q137" i="12" s="1"/>
  <c r="K137" i="12"/>
  <c r="L137" i="12"/>
  <c r="J138" i="12"/>
  <c r="M138" i="12" s="1"/>
  <c r="O138" i="12" s="1"/>
  <c r="Q138" i="12" s="1"/>
  <c r="K138" i="12"/>
  <c r="L138" i="12"/>
  <c r="J139" i="12"/>
  <c r="M139" i="12" s="1"/>
  <c r="K139" i="12"/>
  <c r="L139" i="12"/>
  <c r="J140" i="12"/>
  <c r="M140" i="12" s="1"/>
  <c r="O140" i="12" s="1"/>
  <c r="Q140" i="12" s="1"/>
  <c r="K140" i="12"/>
  <c r="L140" i="12"/>
  <c r="J141" i="12"/>
  <c r="M141" i="12" s="1"/>
  <c r="O141" i="12" s="1"/>
  <c r="Q141" i="12" s="1"/>
  <c r="K141" i="12"/>
  <c r="L141" i="12"/>
  <c r="J142" i="12"/>
  <c r="M142" i="12" s="1"/>
  <c r="O142" i="12" s="1"/>
  <c r="Q142" i="12" s="1"/>
  <c r="K142" i="12"/>
  <c r="L142" i="12"/>
  <c r="J143" i="12"/>
  <c r="M143" i="12" s="1"/>
  <c r="K143" i="12"/>
  <c r="L143" i="12"/>
  <c r="J144" i="12"/>
  <c r="M144" i="12" s="1"/>
  <c r="O144" i="12" s="1"/>
  <c r="Q144" i="12" s="1"/>
  <c r="K144" i="12"/>
  <c r="L144" i="12"/>
  <c r="J145" i="12"/>
  <c r="M145" i="12" s="1"/>
  <c r="O145" i="12" s="1"/>
  <c r="Q145" i="12" s="1"/>
  <c r="K145" i="12"/>
  <c r="L145" i="12"/>
  <c r="J146" i="12"/>
  <c r="M146" i="12" s="1"/>
  <c r="O146" i="12" s="1"/>
  <c r="Q146" i="12" s="1"/>
  <c r="K146" i="12"/>
  <c r="L146" i="12"/>
  <c r="J147" i="12"/>
  <c r="M147" i="12" s="1"/>
  <c r="K147" i="12"/>
  <c r="L147" i="12"/>
  <c r="J148" i="12"/>
  <c r="M148" i="12" s="1"/>
  <c r="O148" i="12" s="1"/>
  <c r="Q148" i="12" s="1"/>
  <c r="K148" i="12"/>
  <c r="L148" i="12"/>
  <c r="J149" i="12"/>
  <c r="M149" i="12" s="1"/>
  <c r="O149" i="12" s="1"/>
  <c r="Q149" i="12" s="1"/>
  <c r="K149" i="12"/>
  <c r="L149" i="12"/>
  <c r="J150" i="12"/>
  <c r="M150" i="12" s="1"/>
  <c r="O150" i="12" s="1"/>
  <c r="Q150" i="12" s="1"/>
  <c r="K150" i="12"/>
  <c r="L150" i="12"/>
  <c r="J151" i="12"/>
  <c r="M151" i="12" s="1"/>
  <c r="K151" i="12"/>
  <c r="L151" i="12"/>
  <c r="J152" i="12"/>
  <c r="M152" i="12" s="1"/>
  <c r="O152" i="12" s="1"/>
  <c r="Q152" i="12" s="1"/>
  <c r="K152" i="12"/>
  <c r="L152" i="12"/>
  <c r="J153" i="12"/>
  <c r="M153" i="12" s="1"/>
  <c r="O153" i="12" s="1"/>
  <c r="Q153" i="12" s="1"/>
  <c r="K153" i="12"/>
  <c r="L153" i="12"/>
  <c r="J154" i="12"/>
  <c r="M154" i="12" s="1"/>
  <c r="O154" i="12" s="1"/>
  <c r="Q154" i="12" s="1"/>
  <c r="K154" i="12"/>
  <c r="L154" i="12"/>
  <c r="J155" i="12"/>
  <c r="M155" i="12" s="1"/>
  <c r="K155" i="12"/>
  <c r="L155" i="12"/>
  <c r="J156" i="12"/>
  <c r="M156" i="12" s="1"/>
  <c r="O156" i="12" s="1"/>
  <c r="Q156" i="12" s="1"/>
  <c r="K156" i="12"/>
  <c r="L156" i="12"/>
  <c r="J157" i="12"/>
  <c r="M157" i="12" s="1"/>
  <c r="O157" i="12" s="1"/>
  <c r="Q157" i="12" s="1"/>
  <c r="K157" i="12"/>
  <c r="L157" i="12"/>
  <c r="J158" i="12"/>
  <c r="M158" i="12" s="1"/>
  <c r="O158" i="12" s="1"/>
  <c r="Q158" i="12" s="1"/>
  <c r="K158" i="12"/>
  <c r="L158" i="12"/>
  <c r="J159" i="12"/>
  <c r="M159" i="12" s="1"/>
  <c r="O159" i="12" s="1"/>
  <c r="Q159" i="12" s="1"/>
  <c r="K159" i="12"/>
  <c r="L159" i="12"/>
  <c r="J160" i="12"/>
  <c r="M160" i="12" s="1"/>
  <c r="O160" i="12" s="1"/>
  <c r="Q160" i="12" s="1"/>
  <c r="K160" i="12"/>
  <c r="L160" i="12"/>
  <c r="J161" i="12"/>
  <c r="M161" i="12" s="1"/>
  <c r="O161" i="12" s="1"/>
  <c r="Q161" i="12" s="1"/>
  <c r="K161" i="12"/>
  <c r="L161" i="12"/>
  <c r="J162" i="12"/>
  <c r="M162" i="12" s="1"/>
  <c r="O162" i="12" s="1"/>
  <c r="Q162" i="12" s="1"/>
  <c r="K162" i="12"/>
  <c r="L162" i="12"/>
  <c r="J163" i="12"/>
  <c r="M163" i="12" s="1"/>
  <c r="K163" i="12"/>
  <c r="L163" i="12"/>
  <c r="J164" i="12"/>
  <c r="M164" i="12" s="1"/>
  <c r="O164" i="12" s="1"/>
  <c r="Q164" i="12" s="1"/>
  <c r="K164" i="12"/>
  <c r="L164" i="12"/>
  <c r="J165" i="12"/>
  <c r="M165" i="12" s="1"/>
  <c r="O165" i="12" s="1"/>
  <c r="Q165" i="12" s="1"/>
  <c r="K165" i="12"/>
  <c r="L165" i="12"/>
  <c r="J166" i="12"/>
  <c r="M166" i="12" s="1"/>
  <c r="O166" i="12" s="1"/>
  <c r="Q166" i="12" s="1"/>
  <c r="K166" i="12"/>
  <c r="L166" i="12"/>
  <c r="J167" i="12"/>
  <c r="M167" i="12" s="1"/>
  <c r="K167" i="12"/>
  <c r="L167" i="12"/>
  <c r="J168" i="12"/>
  <c r="M168" i="12" s="1"/>
  <c r="O168" i="12" s="1"/>
  <c r="Q168" i="12" s="1"/>
  <c r="K168" i="12"/>
  <c r="L168" i="12"/>
  <c r="J169" i="12"/>
  <c r="M169" i="12" s="1"/>
  <c r="O169" i="12" s="1"/>
  <c r="Q169" i="12" s="1"/>
  <c r="K169" i="12"/>
  <c r="L169" i="12"/>
  <c r="J170" i="12"/>
  <c r="M170" i="12" s="1"/>
  <c r="O170" i="12" s="1"/>
  <c r="Q170" i="12" s="1"/>
  <c r="K170" i="12"/>
  <c r="L170" i="12"/>
  <c r="J171" i="12"/>
  <c r="M171" i="12" s="1"/>
  <c r="K171" i="12"/>
  <c r="L171" i="12"/>
  <c r="J172" i="12"/>
  <c r="M172" i="12" s="1"/>
  <c r="O172" i="12" s="1"/>
  <c r="Q172" i="12" s="1"/>
  <c r="K172" i="12"/>
  <c r="L172" i="12"/>
  <c r="J173" i="12"/>
  <c r="M173" i="12" s="1"/>
  <c r="O173" i="12" s="1"/>
  <c r="Q173" i="12" s="1"/>
  <c r="K173" i="12"/>
  <c r="L173" i="12"/>
  <c r="J174" i="12"/>
  <c r="M174" i="12" s="1"/>
  <c r="O174" i="12" s="1"/>
  <c r="Q174" i="12" s="1"/>
  <c r="K174" i="12"/>
  <c r="L174" i="12"/>
  <c r="J175" i="12"/>
  <c r="M175" i="12" s="1"/>
  <c r="K175" i="12"/>
  <c r="L175" i="12"/>
  <c r="J176" i="12"/>
  <c r="M176" i="12" s="1"/>
  <c r="O176" i="12" s="1"/>
  <c r="Q176" i="12" s="1"/>
  <c r="K176" i="12"/>
  <c r="L176" i="12"/>
  <c r="J177" i="12"/>
  <c r="M177" i="12" s="1"/>
  <c r="O177" i="12" s="1"/>
  <c r="Q177" i="12" s="1"/>
  <c r="K177" i="12"/>
  <c r="L177" i="12"/>
  <c r="J178" i="12"/>
  <c r="M178" i="12" s="1"/>
  <c r="O178" i="12" s="1"/>
  <c r="Q178" i="12" s="1"/>
  <c r="K178" i="12"/>
  <c r="L178" i="12"/>
  <c r="J179" i="12"/>
  <c r="M179" i="12" s="1"/>
  <c r="K179" i="12"/>
  <c r="L179" i="12"/>
  <c r="J180" i="12"/>
  <c r="M180" i="12" s="1"/>
  <c r="O180" i="12" s="1"/>
  <c r="Q180" i="12" s="1"/>
  <c r="K180" i="12"/>
  <c r="L180" i="12"/>
  <c r="J181" i="12"/>
  <c r="M181" i="12" s="1"/>
  <c r="O181" i="12" s="1"/>
  <c r="Q181" i="12" s="1"/>
  <c r="K181" i="12"/>
  <c r="L181" i="12"/>
  <c r="J182" i="12"/>
  <c r="M182" i="12" s="1"/>
  <c r="O182" i="12" s="1"/>
  <c r="Q182" i="12" s="1"/>
  <c r="K182" i="12"/>
  <c r="L182" i="12"/>
  <c r="J183" i="12"/>
  <c r="M183" i="12" s="1"/>
  <c r="K183" i="12"/>
  <c r="L183" i="12"/>
  <c r="J184" i="12"/>
  <c r="M184" i="12" s="1"/>
  <c r="O184" i="12" s="1"/>
  <c r="Q184" i="12" s="1"/>
  <c r="K184" i="12"/>
  <c r="L184" i="12"/>
  <c r="J185" i="12"/>
  <c r="M185" i="12" s="1"/>
  <c r="O185" i="12" s="1"/>
  <c r="Q185" i="12" s="1"/>
  <c r="K185" i="12"/>
  <c r="L185" i="12"/>
  <c r="J186" i="12"/>
  <c r="M186" i="12" s="1"/>
  <c r="O186" i="12" s="1"/>
  <c r="Q186" i="12" s="1"/>
  <c r="K186" i="12"/>
  <c r="L186" i="12"/>
  <c r="J187" i="12"/>
  <c r="M187" i="12" s="1"/>
  <c r="K187" i="12"/>
  <c r="L187" i="12"/>
  <c r="J188" i="12"/>
  <c r="M188" i="12" s="1"/>
  <c r="O188" i="12" s="1"/>
  <c r="Q188" i="12" s="1"/>
  <c r="K188" i="12"/>
  <c r="L188" i="12"/>
  <c r="J189" i="12"/>
  <c r="M189" i="12" s="1"/>
  <c r="O189" i="12" s="1"/>
  <c r="Q189" i="12" s="1"/>
  <c r="K189" i="12"/>
  <c r="L189" i="12"/>
  <c r="J190" i="12"/>
  <c r="M190" i="12" s="1"/>
  <c r="O190" i="12" s="1"/>
  <c r="Q190" i="12" s="1"/>
  <c r="K190" i="12"/>
  <c r="L190" i="12"/>
  <c r="J191" i="12"/>
  <c r="M191" i="12" s="1"/>
  <c r="O191" i="12" s="1"/>
  <c r="Q191" i="12" s="1"/>
  <c r="K191" i="12"/>
  <c r="L191" i="12"/>
  <c r="J192" i="12"/>
  <c r="M192" i="12" s="1"/>
  <c r="O192" i="12" s="1"/>
  <c r="Q192" i="12" s="1"/>
  <c r="K192" i="12"/>
  <c r="L192" i="12"/>
  <c r="J193" i="12"/>
  <c r="M193" i="12" s="1"/>
  <c r="O193" i="12" s="1"/>
  <c r="Q193" i="12" s="1"/>
  <c r="K193" i="12"/>
  <c r="L193" i="12"/>
  <c r="J194" i="12"/>
  <c r="M194" i="12" s="1"/>
  <c r="O194" i="12" s="1"/>
  <c r="Q194" i="12" s="1"/>
  <c r="K194" i="12"/>
  <c r="L194" i="12"/>
  <c r="J195" i="12"/>
  <c r="M195" i="12" s="1"/>
  <c r="K195" i="12"/>
  <c r="L195" i="12"/>
  <c r="J196" i="12"/>
  <c r="M196" i="12" s="1"/>
  <c r="O196" i="12" s="1"/>
  <c r="Q196" i="12" s="1"/>
  <c r="K196" i="12"/>
  <c r="L196" i="12"/>
  <c r="L3" i="12"/>
  <c r="K3" i="12"/>
  <c r="J3" i="12"/>
  <c r="J2" i="12"/>
  <c r="L7" i="10"/>
  <c r="M7" i="10" s="1"/>
  <c r="L8" i="10"/>
  <c r="M8" i="10" s="1"/>
  <c r="L9" i="10"/>
  <c r="M9" i="10" s="1"/>
  <c r="L10" i="10"/>
  <c r="M10" i="10" s="1"/>
  <c r="L11" i="10"/>
  <c r="M11" i="10" s="1"/>
  <c r="L12" i="10"/>
  <c r="M12" i="10" s="1"/>
  <c r="L13" i="10"/>
  <c r="M13" i="10" s="1"/>
  <c r="L14" i="10"/>
  <c r="M14" i="10" s="1"/>
  <c r="L15" i="10"/>
  <c r="M15" i="10" s="1"/>
  <c r="L16" i="10"/>
  <c r="M16" i="10" s="1"/>
  <c r="L17" i="10"/>
  <c r="M17" i="10" s="1"/>
  <c r="L18" i="10"/>
  <c r="M18" i="10" s="1"/>
  <c r="L19" i="10"/>
  <c r="M19" i="10" s="1"/>
  <c r="L20" i="10"/>
  <c r="M20" i="10" s="1"/>
  <c r="L21" i="10"/>
  <c r="M21" i="10" s="1"/>
  <c r="L22" i="10"/>
  <c r="M22" i="10" s="1"/>
  <c r="L23" i="10"/>
  <c r="M23" i="10" s="1"/>
  <c r="L24" i="10"/>
  <c r="M24" i="10" s="1"/>
  <c r="L25" i="10"/>
  <c r="M25" i="10" s="1"/>
  <c r="L26" i="10"/>
  <c r="M26" i="10" s="1"/>
  <c r="L27" i="10"/>
  <c r="M27" i="10" s="1"/>
  <c r="L28" i="10"/>
  <c r="M28" i="10" s="1"/>
  <c r="L29" i="10"/>
  <c r="M29" i="10" s="1"/>
  <c r="L30" i="10"/>
  <c r="M30" i="10" s="1"/>
  <c r="L31" i="10"/>
  <c r="M31" i="10" s="1"/>
  <c r="L32" i="10"/>
  <c r="M32" i="10" s="1"/>
  <c r="L33" i="10"/>
  <c r="M33" i="10" s="1"/>
  <c r="L34" i="10"/>
  <c r="M34" i="10" s="1"/>
  <c r="L35" i="10"/>
  <c r="M35" i="10" s="1"/>
  <c r="L36" i="10"/>
  <c r="M36" i="10" s="1"/>
  <c r="L37" i="10"/>
  <c r="M37" i="10" s="1"/>
  <c r="L38" i="10"/>
  <c r="M38" i="10" s="1"/>
  <c r="L39" i="10"/>
  <c r="M39" i="10" s="1"/>
  <c r="L40" i="10"/>
  <c r="M40" i="10" s="1"/>
  <c r="L41" i="10"/>
  <c r="M41" i="10" s="1"/>
  <c r="L42" i="10"/>
  <c r="M42" i="10" s="1"/>
  <c r="L43" i="10"/>
  <c r="M43" i="10" s="1"/>
  <c r="L44" i="10"/>
  <c r="M44" i="10" s="1"/>
  <c r="L45" i="10"/>
  <c r="M45" i="10" s="1"/>
  <c r="L46" i="10"/>
  <c r="M46" i="10" s="1"/>
  <c r="L47" i="10"/>
  <c r="M47" i="10" s="1"/>
  <c r="L48" i="10"/>
  <c r="M48" i="10" s="1"/>
  <c r="L49" i="10"/>
  <c r="M49" i="10" s="1"/>
  <c r="L50" i="10"/>
  <c r="M50" i="10" s="1"/>
  <c r="L51" i="10"/>
  <c r="M51" i="10" s="1"/>
  <c r="L52" i="10"/>
  <c r="M52" i="10" s="1"/>
  <c r="L53" i="10"/>
  <c r="M53" i="10" s="1"/>
  <c r="L54" i="10"/>
  <c r="M54" i="10" s="1"/>
  <c r="L55" i="10"/>
  <c r="M55" i="10" s="1"/>
  <c r="L56" i="10"/>
  <c r="M56" i="10" s="1"/>
  <c r="L57" i="10"/>
  <c r="M57" i="10" s="1"/>
  <c r="L58" i="10"/>
  <c r="M58" i="10" s="1"/>
  <c r="L59" i="10"/>
  <c r="M59" i="10" s="1"/>
  <c r="L60" i="10"/>
  <c r="M60" i="10" s="1"/>
  <c r="L61" i="10"/>
  <c r="M61" i="10" s="1"/>
  <c r="L62" i="10"/>
  <c r="M62" i="10" s="1"/>
  <c r="L63" i="10"/>
  <c r="M63" i="10" s="1"/>
  <c r="L64" i="10"/>
  <c r="M64" i="10" s="1"/>
  <c r="L65" i="10"/>
  <c r="M65" i="10" s="1"/>
  <c r="L66" i="10"/>
  <c r="M66" i="10" s="1"/>
  <c r="L67" i="10"/>
  <c r="M67" i="10" s="1"/>
  <c r="L68" i="10"/>
  <c r="M68" i="10" s="1"/>
  <c r="L69" i="10"/>
  <c r="M69" i="10" s="1"/>
  <c r="L70" i="10"/>
  <c r="M70" i="10" s="1"/>
  <c r="L71" i="10"/>
  <c r="M71" i="10" s="1"/>
  <c r="L72" i="10"/>
  <c r="M72" i="10" s="1"/>
  <c r="L73" i="10"/>
  <c r="M73" i="10" s="1"/>
  <c r="L74" i="10"/>
  <c r="M74" i="10" s="1"/>
  <c r="L75" i="10"/>
  <c r="M75" i="10" s="1"/>
  <c r="L76" i="10"/>
  <c r="M76" i="10" s="1"/>
  <c r="L77" i="10"/>
  <c r="M77" i="10" s="1"/>
  <c r="L78" i="10"/>
  <c r="M78" i="10" s="1"/>
  <c r="L79" i="10"/>
  <c r="M79" i="10" s="1"/>
  <c r="L80" i="10"/>
  <c r="M80" i="10" s="1"/>
  <c r="L81" i="10"/>
  <c r="M81" i="10" s="1"/>
  <c r="L82" i="10"/>
  <c r="M82" i="10" s="1"/>
  <c r="L83" i="10"/>
  <c r="M83" i="10" s="1"/>
  <c r="L84" i="10"/>
  <c r="M84" i="10" s="1"/>
  <c r="L85" i="10"/>
  <c r="M85" i="10" s="1"/>
  <c r="L86" i="10"/>
  <c r="M86" i="10" s="1"/>
  <c r="L87" i="10"/>
  <c r="M87" i="10" s="1"/>
  <c r="L88" i="10"/>
  <c r="M88" i="10" s="1"/>
  <c r="L89" i="10"/>
  <c r="M89" i="10" s="1"/>
  <c r="L90" i="10"/>
  <c r="M90" i="10" s="1"/>
  <c r="L91" i="10"/>
  <c r="M91" i="10" s="1"/>
  <c r="L92" i="10"/>
  <c r="M92" i="10" s="1"/>
  <c r="L93" i="10"/>
  <c r="M93" i="10" s="1"/>
  <c r="L94" i="10"/>
  <c r="M94" i="10" s="1"/>
  <c r="L95" i="10"/>
  <c r="M95" i="10" s="1"/>
  <c r="L96" i="10"/>
  <c r="M96" i="10" s="1"/>
  <c r="L97" i="10"/>
  <c r="M97" i="10" s="1"/>
  <c r="L98" i="10"/>
  <c r="M98" i="10" s="1"/>
  <c r="L99" i="10"/>
  <c r="M99" i="10" s="1"/>
  <c r="L100" i="10"/>
  <c r="M100" i="10" s="1"/>
  <c r="L101" i="10"/>
  <c r="M101" i="10" s="1"/>
  <c r="L102" i="10"/>
  <c r="M102" i="10" s="1"/>
  <c r="L103" i="10"/>
  <c r="M103" i="10" s="1"/>
  <c r="N2" i="2"/>
  <c r="L3" i="10"/>
  <c r="M3" i="10" s="1"/>
  <c r="L4" i="10"/>
  <c r="M4" i="10" s="1"/>
  <c r="L5" i="10"/>
  <c r="M5" i="10" s="1"/>
  <c r="L6" i="10"/>
  <c r="M6" i="10" s="1"/>
  <c r="L2" i="10"/>
  <c r="M2" i="10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O13" i="12" l="1"/>
  <c r="Q13" i="12" s="1"/>
  <c r="O9" i="12"/>
  <c r="Q9" i="12" s="1"/>
  <c r="O5" i="12"/>
  <c r="Q5" i="12" s="1"/>
  <c r="O24" i="12"/>
  <c r="Q24" i="12" s="1"/>
  <c r="O20" i="12"/>
  <c r="Q20" i="12" s="1"/>
  <c r="O16" i="12"/>
  <c r="Q16" i="12" s="1"/>
  <c r="O12" i="12"/>
  <c r="Q12" i="12" s="1"/>
  <c r="O8" i="12"/>
  <c r="Q8" i="12" s="1"/>
  <c r="O4" i="12"/>
  <c r="Q4" i="12" s="1"/>
  <c r="N186" i="12"/>
  <c r="P186" i="12" s="1"/>
  <c r="R186" i="12" s="1"/>
  <c r="AE188" i="10" s="1"/>
  <c r="N114" i="12"/>
  <c r="P114" i="12" s="1"/>
  <c r="R114" i="12" s="1"/>
  <c r="AE116" i="10" s="1"/>
  <c r="N42" i="12"/>
  <c r="P42" i="12" s="1"/>
  <c r="R42" i="12" s="1"/>
  <c r="AE42" i="10" s="1"/>
  <c r="N126" i="12"/>
  <c r="P126" i="12" s="1"/>
  <c r="R126" i="12" s="1"/>
  <c r="N54" i="12"/>
  <c r="P54" i="12" s="1"/>
  <c r="R54" i="12" s="1"/>
  <c r="N192" i="12"/>
  <c r="P192" i="12" s="1"/>
  <c r="R192" i="12" s="1"/>
  <c r="N120" i="12"/>
  <c r="P120" i="12" s="1"/>
  <c r="R120" i="12" s="1"/>
  <c r="N48" i="12"/>
  <c r="P48" i="12" s="1"/>
  <c r="R48" i="12" s="1"/>
  <c r="AE49" i="10" s="1"/>
  <c r="O187" i="12"/>
  <c r="Q187" i="12" s="1"/>
  <c r="AD189" i="10" s="1"/>
  <c r="O175" i="12"/>
  <c r="Q175" i="12" s="1"/>
  <c r="O167" i="12"/>
  <c r="Q167" i="12" s="1"/>
  <c r="O155" i="12"/>
  <c r="Q155" i="12" s="1"/>
  <c r="AD158" i="10" s="1"/>
  <c r="O143" i="12"/>
  <c r="Q143" i="12" s="1"/>
  <c r="AD144" i="10" s="1"/>
  <c r="O131" i="12"/>
  <c r="Q131" i="12" s="1"/>
  <c r="AD132" i="10" s="1"/>
  <c r="O115" i="12"/>
  <c r="Q115" i="12" s="1"/>
  <c r="O111" i="12"/>
  <c r="Q111" i="12" s="1"/>
  <c r="O75" i="12"/>
  <c r="Q75" i="12" s="1"/>
  <c r="O67" i="12"/>
  <c r="Q67" i="12" s="1"/>
  <c r="O51" i="12"/>
  <c r="Q51" i="12" s="1"/>
  <c r="O39" i="12"/>
  <c r="Q39" i="12" s="1"/>
  <c r="AD39" i="10" s="1"/>
  <c r="O31" i="12"/>
  <c r="Q31" i="12" s="1"/>
  <c r="O23" i="12"/>
  <c r="Q23" i="12" s="1"/>
  <c r="AD22" i="10" s="1"/>
  <c r="O19" i="12"/>
  <c r="Q19" i="12" s="1"/>
  <c r="O15" i="12"/>
  <c r="Q15" i="12" s="1"/>
  <c r="AD14" i="10" s="1"/>
  <c r="O11" i="12"/>
  <c r="Q11" i="12" s="1"/>
  <c r="AD10" i="10" s="1"/>
  <c r="O7" i="12"/>
  <c r="Q7" i="12" s="1"/>
  <c r="AD6" i="10" s="1"/>
  <c r="N180" i="12"/>
  <c r="P180" i="12" s="1"/>
  <c r="R180" i="12" s="1"/>
  <c r="AE182" i="10" s="1"/>
  <c r="N108" i="12"/>
  <c r="P108" i="12" s="1"/>
  <c r="R108" i="12" s="1"/>
  <c r="N36" i="12"/>
  <c r="P36" i="12" s="1"/>
  <c r="R36" i="12" s="1"/>
  <c r="O195" i="12"/>
  <c r="Q195" i="12" s="1"/>
  <c r="O183" i="12"/>
  <c r="Q183" i="12" s="1"/>
  <c r="O179" i="12"/>
  <c r="Q179" i="12" s="1"/>
  <c r="AD181" i="10" s="1"/>
  <c r="O163" i="12"/>
  <c r="Q163" i="12" s="1"/>
  <c r="O151" i="12"/>
  <c r="Q151" i="12" s="1"/>
  <c r="AD153" i="10" s="1"/>
  <c r="O135" i="12"/>
  <c r="Q135" i="12" s="1"/>
  <c r="O123" i="12"/>
  <c r="Q123" i="12" s="1"/>
  <c r="AD124" i="10" s="1"/>
  <c r="O99" i="12"/>
  <c r="Q99" i="12" s="1"/>
  <c r="AD101" i="10" s="1"/>
  <c r="O71" i="12"/>
  <c r="Q71" i="12" s="1"/>
  <c r="O59" i="12"/>
  <c r="Q59" i="12" s="1"/>
  <c r="AD60" i="10" s="1"/>
  <c r="O55" i="12"/>
  <c r="Q55" i="12" s="1"/>
  <c r="O47" i="12"/>
  <c r="Q47" i="12" s="1"/>
  <c r="O27" i="12"/>
  <c r="Q27" i="12" s="1"/>
  <c r="N174" i="12"/>
  <c r="P174" i="12" s="1"/>
  <c r="R174" i="12" s="1"/>
  <c r="N102" i="12"/>
  <c r="P102" i="12" s="1"/>
  <c r="R102" i="12" s="1"/>
  <c r="AE104" i="10" s="1"/>
  <c r="N30" i="12"/>
  <c r="P30" i="12" s="1"/>
  <c r="R30" i="12" s="1"/>
  <c r="O171" i="12"/>
  <c r="Q171" i="12" s="1"/>
  <c r="O147" i="12"/>
  <c r="Q147" i="12" s="1"/>
  <c r="O139" i="12"/>
  <c r="Q139" i="12" s="1"/>
  <c r="AD140" i="10" s="1"/>
  <c r="O127" i="12"/>
  <c r="Q127" i="12" s="1"/>
  <c r="O119" i="12"/>
  <c r="Q119" i="12" s="1"/>
  <c r="AD120" i="10" s="1"/>
  <c r="O107" i="12"/>
  <c r="Q107" i="12" s="1"/>
  <c r="AD109" i="10" s="1"/>
  <c r="O103" i="12"/>
  <c r="Q103" i="12" s="1"/>
  <c r="O91" i="12"/>
  <c r="Q91" i="12" s="1"/>
  <c r="O87" i="12"/>
  <c r="Q87" i="12" s="1"/>
  <c r="O83" i="12"/>
  <c r="Q83" i="12" s="1"/>
  <c r="O79" i="12"/>
  <c r="Q79" i="12" s="1"/>
  <c r="AD81" i="10" s="1"/>
  <c r="O63" i="12"/>
  <c r="Q63" i="12" s="1"/>
  <c r="O43" i="12"/>
  <c r="Q43" i="12" s="1"/>
  <c r="AD43" i="10" s="1"/>
  <c r="O35" i="12"/>
  <c r="Q35" i="12" s="1"/>
  <c r="N168" i="12"/>
  <c r="P168" i="12" s="1"/>
  <c r="R168" i="12" s="1"/>
  <c r="AE170" i="10" s="1"/>
  <c r="N96" i="12"/>
  <c r="P96" i="12" s="1"/>
  <c r="R96" i="12" s="1"/>
  <c r="AE98" i="10" s="1"/>
  <c r="N24" i="12"/>
  <c r="P24" i="12" s="1"/>
  <c r="R24" i="12" s="1"/>
  <c r="AE23" i="10" s="1"/>
  <c r="N162" i="12"/>
  <c r="P162" i="12" s="1"/>
  <c r="R162" i="12" s="1"/>
  <c r="AE164" i="10" s="1"/>
  <c r="N90" i="12"/>
  <c r="P90" i="12" s="1"/>
  <c r="R90" i="12" s="1"/>
  <c r="N18" i="12"/>
  <c r="P18" i="12" s="1"/>
  <c r="R18" i="12" s="1"/>
  <c r="AD147" i="10"/>
  <c r="N156" i="12"/>
  <c r="P156" i="12" s="1"/>
  <c r="R156" i="12" s="1"/>
  <c r="N84" i="12"/>
  <c r="P84" i="12" s="1"/>
  <c r="R84" i="12" s="1"/>
  <c r="AE86" i="10" s="1"/>
  <c r="N12" i="12"/>
  <c r="P12" i="12" s="1"/>
  <c r="R12" i="12" s="1"/>
  <c r="N150" i="12"/>
  <c r="P150" i="12" s="1"/>
  <c r="R150" i="12" s="1"/>
  <c r="AE152" i="10" s="1"/>
  <c r="N78" i="12"/>
  <c r="P78" i="12" s="1"/>
  <c r="R78" i="12" s="1"/>
  <c r="N6" i="12"/>
  <c r="P6" i="12" s="1"/>
  <c r="R6" i="12" s="1"/>
  <c r="AE5" i="10" s="1"/>
  <c r="N144" i="12"/>
  <c r="P144" i="12" s="1"/>
  <c r="R144" i="12" s="1"/>
  <c r="AE145" i="10" s="1"/>
  <c r="N72" i="12"/>
  <c r="P72" i="12" s="1"/>
  <c r="R72" i="12" s="1"/>
  <c r="AE73" i="10" s="1"/>
  <c r="AD171" i="10"/>
  <c r="N138" i="12"/>
  <c r="P138" i="12" s="1"/>
  <c r="R138" i="12" s="1"/>
  <c r="N66" i="12"/>
  <c r="P66" i="12" s="1"/>
  <c r="R66" i="12" s="1"/>
  <c r="AD111" i="10"/>
  <c r="N132" i="12"/>
  <c r="P132" i="12" s="1"/>
  <c r="R132" i="12" s="1"/>
  <c r="N60" i="12"/>
  <c r="P60" i="12" s="1"/>
  <c r="R60" i="12" s="1"/>
  <c r="AE61" i="10" s="1"/>
  <c r="N193" i="12"/>
  <c r="P193" i="12" s="1"/>
  <c r="R193" i="12" s="1"/>
  <c r="N187" i="12"/>
  <c r="P187" i="12" s="1"/>
  <c r="R187" i="12" s="1"/>
  <c r="AE189" i="10" s="1"/>
  <c r="AA189" i="10" s="1"/>
  <c r="N181" i="12"/>
  <c r="P181" i="12" s="1"/>
  <c r="R181" i="12" s="1"/>
  <c r="N175" i="12"/>
  <c r="P175" i="12" s="1"/>
  <c r="R175" i="12" s="1"/>
  <c r="AE177" i="10" s="1"/>
  <c r="N169" i="12"/>
  <c r="P169" i="12" s="1"/>
  <c r="R169" i="12" s="1"/>
  <c r="AE171" i="10" s="1"/>
  <c r="N163" i="12"/>
  <c r="P163" i="12" s="1"/>
  <c r="R163" i="12" s="1"/>
  <c r="AE165" i="10" s="1"/>
  <c r="N157" i="12"/>
  <c r="P157" i="12" s="1"/>
  <c r="R157" i="12" s="1"/>
  <c r="AE160" i="10" s="1"/>
  <c r="N151" i="12"/>
  <c r="P151" i="12" s="1"/>
  <c r="R151" i="12" s="1"/>
  <c r="N145" i="12"/>
  <c r="P145" i="12" s="1"/>
  <c r="R145" i="12" s="1"/>
  <c r="AE146" i="10" s="1"/>
  <c r="N139" i="12"/>
  <c r="P139" i="12" s="1"/>
  <c r="R139" i="12" s="1"/>
  <c r="N133" i="12"/>
  <c r="P133" i="12" s="1"/>
  <c r="R133" i="12" s="1"/>
  <c r="N127" i="12"/>
  <c r="P127" i="12" s="1"/>
  <c r="R127" i="12" s="1"/>
  <c r="AE128" i="10" s="1"/>
  <c r="N121" i="12"/>
  <c r="P121" i="12" s="1"/>
  <c r="R121" i="12" s="1"/>
  <c r="N115" i="12"/>
  <c r="P115" i="12" s="1"/>
  <c r="R115" i="12" s="1"/>
  <c r="N109" i="12"/>
  <c r="P109" i="12" s="1"/>
  <c r="R109" i="12" s="1"/>
  <c r="N103" i="12"/>
  <c r="P103" i="12" s="1"/>
  <c r="R103" i="12" s="1"/>
  <c r="AE105" i="10" s="1"/>
  <c r="N97" i="12"/>
  <c r="P97" i="12" s="1"/>
  <c r="R97" i="12" s="1"/>
  <c r="AE99" i="10" s="1"/>
  <c r="N91" i="12"/>
  <c r="P91" i="12" s="1"/>
  <c r="R91" i="12" s="1"/>
  <c r="AE93" i="10" s="1"/>
  <c r="N85" i="12"/>
  <c r="P85" i="12" s="1"/>
  <c r="R85" i="12" s="1"/>
  <c r="AE87" i="10" s="1"/>
  <c r="N79" i="12"/>
  <c r="P79" i="12" s="1"/>
  <c r="R79" i="12" s="1"/>
  <c r="N73" i="12"/>
  <c r="P73" i="12" s="1"/>
  <c r="R73" i="12" s="1"/>
  <c r="N67" i="12"/>
  <c r="P67" i="12" s="1"/>
  <c r="R67" i="12" s="1"/>
  <c r="N61" i="12"/>
  <c r="P61" i="12" s="1"/>
  <c r="R61" i="12" s="1"/>
  <c r="N55" i="12"/>
  <c r="P55" i="12" s="1"/>
  <c r="R55" i="12" s="1"/>
  <c r="AE56" i="10" s="1"/>
  <c r="N49" i="12"/>
  <c r="P49" i="12" s="1"/>
  <c r="R49" i="12" s="1"/>
  <c r="N43" i="12"/>
  <c r="P43" i="12" s="1"/>
  <c r="R43" i="12" s="1"/>
  <c r="AE43" i="10" s="1"/>
  <c r="N37" i="12"/>
  <c r="P37" i="12" s="1"/>
  <c r="R37" i="12" s="1"/>
  <c r="N31" i="12"/>
  <c r="P31" i="12" s="1"/>
  <c r="R31" i="12" s="1"/>
  <c r="AE31" i="10" s="1"/>
  <c r="N25" i="12"/>
  <c r="P25" i="12" s="1"/>
  <c r="R25" i="12" s="1"/>
  <c r="AE25" i="10" s="1"/>
  <c r="N19" i="12"/>
  <c r="P19" i="12" s="1"/>
  <c r="R19" i="12" s="1"/>
  <c r="N13" i="12"/>
  <c r="P13" i="12" s="1"/>
  <c r="R13" i="12" s="1"/>
  <c r="AE12" i="10" s="1"/>
  <c r="N7" i="12"/>
  <c r="P7" i="12" s="1"/>
  <c r="R7" i="12" s="1"/>
  <c r="AD191" i="10"/>
  <c r="AD173" i="10"/>
  <c r="AD117" i="10"/>
  <c r="AD149" i="10"/>
  <c r="AE110" i="10"/>
  <c r="Q3" i="12"/>
  <c r="N191" i="12"/>
  <c r="P191" i="12" s="1"/>
  <c r="R191" i="12" s="1"/>
  <c r="N185" i="12"/>
  <c r="P185" i="12" s="1"/>
  <c r="R185" i="12" s="1"/>
  <c r="AE187" i="10" s="1"/>
  <c r="N179" i="12"/>
  <c r="P179" i="12" s="1"/>
  <c r="R179" i="12" s="1"/>
  <c r="N173" i="12"/>
  <c r="P173" i="12" s="1"/>
  <c r="R173" i="12" s="1"/>
  <c r="AE176" i="10" s="1"/>
  <c r="N167" i="12"/>
  <c r="P167" i="12" s="1"/>
  <c r="R167" i="12" s="1"/>
  <c r="N161" i="12"/>
  <c r="P161" i="12" s="1"/>
  <c r="R161" i="12" s="1"/>
  <c r="N155" i="12"/>
  <c r="P155" i="12" s="1"/>
  <c r="R155" i="12" s="1"/>
  <c r="AE158" i="10" s="1"/>
  <c r="N149" i="12"/>
  <c r="P149" i="12" s="1"/>
  <c r="R149" i="12" s="1"/>
  <c r="AE151" i="10" s="1"/>
  <c r="N143" i="12"/>
  <c r="P143" i="12" s="1"/>
  <c r="R143" i="12" s="1"/>
  <c r="AE144" i="10" s="1"/>
  <c r="N137" i="12"/>
  <c r="P137" i="12" s="1"/>
  <c r="R137" i="12" s="1"/>
  <c r="N131" i="12"/>
  <c r="P131" i="12" s="1"/>
  <c r="R131" i="12" s="1"/>
  <c r="AE132" i="10" s="1"/>
  <c r="N125" i="12"/>
  <c r="P125" i="12" s="1"/>
  <c r="R125" i="12" s="1"/>
  <c r="N119" i="12"/>
  <c r="P119" i="12" s="1"/>
  <c r="R119" i="12" s="1"/>
  <c r="N113" i="12"/>
  <c r="P113" i="12" s="1"/>
  <c r="R113" i="12" s="1"/>
  <c r="AE115" i="10" s="1"/>
  <c r="N107" i="12"/>
  <c r="P107" i="12" s="1"/>
  <c r="R107" i="12" s="1"/>
  <c r="N101" i="12"/>
  <c r="P101" i="12" s="1"/>
  <c r="R101" i="12" s="1"/>
  <c r="AE103" i="10" s="1"/>
  <c r="N95" i="12"/>
  <c r="P95" i="12" s="1"/>
  <c r="R95" i="12" s="1"/>
  <c r="N89" i="12"/>
  <c r="P89" i="12" s="1"/>
  <c r="R89" i="12" s="1"/>
  <c r="N83" i="12"/>
  <c r="P83" i="12" s="1"/>
  <c r="R83" i="12" s="1"/>
  <c r="AE85" i="10" s="1"/>
  <c r="N77" i="12"/>
  <c r="P77" i="12" s="1"/>
  <c r="R77" i="12" s="1"/>
  <c r="AE79" i="10" s="1"/>
  <c r="N71" i="12"/>
  <c r="P71" i="12" s="1"/>
  <c r="R71" i="12" s="1"/>
  <c r="AE72" i="10" s="1"/>
  <c r="N65" i="12"/>
  <c r="P65" i="12" s="1"/>
  <c r="R65" i="12" s="1"/>
  <c r="N59" i="12"/>
  <c r="P59" i="12" s="1"/>
  <c r="R59" i="12" s="1"/>
  <c r="AE60" i="10" s="1"/>
  <c r="N53" i="12"/>
  <c r="P53" i="12" s="1"/>
  <c r="R53" i="12" s="1"/>
  <c r="N47" i="12"/>
  <c r="P47" i="12" s="1"/>
  <c r="R47" i="12" s="1"/>
  <c r="N41" i="12"/>
  <c r="P41" i="12" s="1"/>
  <c r="R41" i="12" s="1"/>
  <c r="AE41" i="10" s="1"/>
  <c r="N35" i="12"/>
  <c r="P35" i="12" s="1"/>
  <c r="R35" i="12" s="1"/>
  <c r="N29" i="12"/>
  <c r="P29" i="12" s="1"/>
  <c r="R29" i="12" s="1"/>
  <c r="AE29" i="10" s="1"/>
  <c r="N23" i="12"/>
  <c r="P23" i="12" s="1"/>
  <c r="R23" i="12" s="1"/>
  <c r="N17" i="12"/>
  <c r="P17" i="12" s="1"/>
  <c r="R17" i="12" s="1"/>
  <c r="N11" i="12"/>
  <c r="P11" i="12" s="1"/>
  <c r="R11" i="12" s="1"/>
  <c r="AE10" i="10" s="1"/>
  <c r="N5" i="12"/>
  <c r="P5" i="12" s="1"/>
  <c r="R5" i="12" s="1"/>
  <c r="AE4" i="10" s="1"/>
  <c r="AD185" i="10"/>
  <c r="AD167" i="10"/>
  <c r="AD141" i="10"/>
  <c r="AD105" i="10"/>
  <c r="N3" i="12"/>
  <c r="P3" i="12" s="1"/>
  <c r="R3" i="12" s="1"/>
  <c r="AE2" i="10" s="1"/>
  <c r="AE183" i="10"/>
  <c r="AD165" i="10"/>
  <c r="AE140" i="10"/>
  <c r="N196" i="12"/>
  <c r="P196" i="12" s="1"/>
  <c r="R196" i="12" s="1"/>
  <c r="AE200" i="10" s="1"/>
  <c r="N190" i="12"/>
  <c r="P190" i="12" s="1"/>
  <c r="R190" i="12" s="1"/>
  <c r="AE193" i="10" s="1"/>
  <c r="N184" i="12"/>
  <c r="P184" i="12" s="1"/>
  <c r="R184" i="12" s="1"/>
  <c r="AE186" i="10" s="1"/>
  <c r="N178" i="12"/>
  <c r="P178" i="12" s="1"/>
  <c r="R178" i="12" s="1"/>
  <c r="AE180" i="10" s="1"/>
  <c r="N172" i="12"/>
  <c r="P172" i="12" s="1"/>
  <c r="R172" i="12" s="1"/>
  <c r="AE175" i="10" s="1"/>
  <c r="N166" i="12"/>
  <c r="P166" i="12" s="1"/>
  <c r="R166" i="12" s="1"/>
  <c r="N160" i="12"/>
  <c r="P160" i="12" s="1"/>
  <c r="R160" i="12" s="1"/>
  <c r="N154" i="12"/>
  <c r="P154" i="12" s="1"/>
  <c r="R154" i="12" s="1"/>
  <c r="N148" i="12"/>
  <c r="P148" i="12" s="1"/>
  <c r="R148" i="12" s="1"/>
  <c r="AE150" i="10" s="1"/>
  <c r="N142" i="12"/>
  <c r="P142" i="12" s="1"/>
  <c r="R142" i="12" s="1"/>
  <c r="AE143" i="10" s="1"/>
  <c r="N136" i="12"/>
  <c r="P136" i="12" s="1"/>
  <c r="R136" i="12" s="1"/>
  <c r="N130" i="12"/>
  <c r="P130" i="12" s="1"/>
  <c r="R130" i="12" s="1"/>
  <c r="AE131" i="10" s="1"/>
  <c r="N124" i="12"/>
  <c r="P124" i="12" s="1"/>
  <c r="R124" i="12" s="1"/>
  <c r="AE125" i="10" s="1"/>
  <c r="N118" i="12"/>
  <c r="P118" i="12" s="1"/>
  <c r="R118" i="12" s="1"/>
  <c r="AE119" i="10" s="1"/>
  <c r="N112" i="12"/>
  <c r="P112" i="12" s="1"/>
  <c r="R112" i="12" s="1"/>
  <c r="AE114" i="10" s="1"/>
  <c r="N106" i="12"/>
  <c r="P106" i="12" s="1"/>
  <c r="R106" i="12" s="1"/>
  <c r="AE108" i="10" s="1"/>
  <c r="N100" i="12"/>
  <c r="P100" i="12" s="1"/>
  <c r="R100" i="12" s="1"/>
  <c r="AE102" i="10" s="1"/>
  <c r="N94" i="12"/>
  <c r="P94" i="12" s="1"/>
  <c r="R94" i="12" s="1"/>
  <c r="AE96" i="10" s="1"/>
  <c r="N88" i="12"/>
  <c r="P88" i="12" s="1"/>
  <c r="R88" i="12" s="1"/>
  <c r="N82" i="12"/>
  <c r="P82" i="12" s="1"/>
  <c r="R82" i="12" s="1"/>
  <c r="AE84" i="10" s="1"/>
  <c r="N76" i="12"/>
  <c r="P76" i="12" s="1"/>
  <c r="R76" i="12" s="1"/>
  <c r="AE78" i="10" s="1"/>
  <c r="N70" i="12"/>
  <c r="P70" i="12" s="1"/>
  <c r="R70" i="12" s="1"/>
  <c r="AE71" i="10" s="1"/>
  <c r="N64" i="12"/>
  <c r="P64" i="12" s="1"/>
  <c r="R64" i="12" s="1"/>
  <c r="N58" i="12"/>
  <c r="P58" i="12" s="1"/>
  <c r="R58" i="12" s="1"/>
  <c r="AE59" i="10" s="1"/>
  <c r="N52" i="12"/>
  <c r="P52" i="12" s="1"/>
  <c r="R52" i="12" s="1"/>
  <c r="N46" i="12"/>
  <c r="P46" i="12" s="1"/>
  <c r="R46" i="12" s="1"/>
  <c r="AE47" i="10" s="1"/>
  <c r="N40" i="12"/>
  <c r="P40" i="12" s="1"/>
  <c r="R40" i="12" s="1"/>
  <c r="AE40" i="10" s="1"/>
  <c r="N34" i="12"/>
  <c r="P34" i="12" s="1"/>
  <c r="R34" i="12" s="1"/>
  <c r="AE34" i="10" s="1"/>
  <c r="N28" i="12"/>
  <c r="P28" i="12" s="1"/>
  <c r="R28" i="12" s="1"/>
  <c r="AE28" i="10" s="1"/>
  <c r="N22" i="12"/>
  <c r="P22" i="12" s="1"/>
  <c r="R22" i="12" s="1"/>
  <c r="N16" i="12"/>
  <c r="P16" i="12" s="1"/>
  <c r="R16" i="12" s="1"/>
  <c r="N10" i="12"/>
  <c r="P10" i="12" s="1"/>
  <c r="R10" i="12" s="1"/>
  <c r="N4" i="12"/>
  <c r="P4" i="12" s="1"/>
  <c r="R4" i="12" s="1"/>
  <c r="AD183" i="10"/>
  <c r="AD135" i="10"/>
  <c r="AD99" i="10"/>
  <c r="AD161" i="10"/>
  <c r="AE134" i="10"/>
  <c r="AD93" i="10"/>
  <c r="N195" i="12"/>
  <c r="P195" i="12" s="1"/>
  <c r="R195" i="12" s="1"/>
  <c r="N189" i="12"/>
  <c r="P189" i="12" s="1"/>
  <c r="R189" i="12" s="1"/>
  <c r="N183" i="12"/>
  <c r="P183" i="12" s="1"/>
  <c r="R183" i="12" s="1"/>
  <c r="N177" i="12"/>
  <c r="P177" i="12" s="1"/>
  <c r="R177" i="12" s="1"/>
  <c r="AE179" i="10" s="1"/>
  <c r="N171" i="12"/>
  <c r="P171" i="12" s="1"/>
  <c r="R171" i="12" s="1"/>
  <c r="AE174" i="10" s="1"/>
  <c r="N165" i="12"/>
  <c r="P165" i="12" s="1"/>
  <c r="R165" i="12" s="1"/>
  <c r="AE167" i="10" s="1"/>
  <c r="N159" i="12"/>
  <c r="P159" i="12" s="1"/>
  <c r="R159" i="12" s="1"/>
  <c r="AE162" i="10" s="1"/>
  <c r="N153" i="12"/>
  <c r="P153" i="12" s="1"/>
  <c r="R153" i="12" s="1"/>
  <c r="AE156" i="10" s="1"/>
  <c r="N147" i="12"/>
  <c r="P147" i="12" s="1"/>
  <c r="R147" i="12" s="1"/>
  <c r="AE148" i="10" s="1"/>
  <c r="N141" i="12"/>
  <c r="P141" i="12" s="1"/>
  <c r="R141" i="12" s="1"/>
  <c r="N135" i="12"/>
  <c r="P135" i="12" s="1"/>
  <c r="R135" i="12" s="1"/>
  <c r="AE136" i="10" s="1"/>
  <c r="N129" i="12"/>
  <c r="P129" i="12" s="1"/>
  <c r="R129" i="12" s="1"/>
  <c r="N123" i="12"/>
  <c r="P123" i="12" s="1"/>
  <c r="R123" i="12" s="1"/>
  <c r="N117" i="12"/>
  <c r="P117" i="12" s="1"/>
  <c r="R117" i="12" s="1"/>
  <c r="N111" i="12"/>
  <c r="P111" i="12" s="1"/>
  <c r="R111" i="12" s="1"/>
  <c r="N105" i="12"/>
  <c r="P105" i="12" s="1"/>
  <c r="R105" i="12" s="1"/>
  <c r="N99" i="12"/>
  <c r="P99" i="12" s="1"/>
  <c r="R99" i="12" s="1"/>
  <c r="AE101" i="10" s="1"/>
  <c r="N93" i="12"/>
  <c r="P93" i="12" s="1"/>
  <c r="R93" i="12" s="1"/>
  <c r="AE95" i="10" s="1"/>
  <c r="N87" i="12"/>
  <c r="P87" i="12" s="1"/>
  <c r="R87" i="12" s="1"/>
  <c r="AE89" i="10" s="1"/>
  <c r="N81" i="12"/>
  <c r="P81" i="12" s="1"/>
  <c r="R81" i="12" s="1"/>
  <c r="AE83" i="10" s="1"/>
  <c r="N75" i="12"/>
  <c r="P75" i="12" s="1"/>
  <c r="R75" i="12" s="1"/>
  <c r="AE76" i="10" s="1"/>
  <c r="N69" i="12"/>
  <c r="P69" i="12" s="1"/>
  <c r="R69" i="12" s="1"/>
  <c r="N63" i="12"/>
  <c r="P63" i="12" s="1"/>
  <c r="R63" i="12" s="1"/>
  <c r="AE64" i="10" s="1"/>
  <c r="N57" i="12"/>
  <c r="P57" i="12" s="1"/>
  <c r="R57" i="12" s="1"/>
  <c r="AE58" i="10" s="1"/>
  <c r="N51" i="12"/>
  <c r="P51" i="12" s="1"/>
  <c r="R51" i="12" s="1"/>
  <c r="N45" i="12"/>
  <c r="P45" i="12" s="1"/>
  <c r="R45" i="12" s="1"/>
  <c r="N39" i="12"/>
  <c r="P39" i="12" s="1"/>
  <c r="R39" i="12" s="1"/>
  <c r="AE39" i="10" s="1"/>
  <c r="N33" i="12"/>
  <c r="P33" i="12" s="1"/>
  <c r="R33" i="12" s="1"/>
  <c r="AE33" i="10" s="1"/>
  <c r="N27" i="12"/>
  <c r="P27" i="12" s="1"/>
  <c r="R27" i="12" s="1"/>
  <c r="AE27" i="10" s="1"/>
  <c r="N21" i="12"/>
  <c r="P21" i="12" s="1"/>
  <c r="R21" i="12" s="1"/>
  <c r="AE20" i="10" s="1"/>
  <c r="N15" i="12"/>
  <c r="P15" i="12" s="1"/>
  <c r="R15" i="12" s="1"/>
  <c r="AE14" i="10" s="1"/>
  <c r="N9" i="12"/>
  <c r="P9" i="12" s="1"/>
  <c r="R9" i="12" s="1"/>
  <c r="AE8" i="10" s="1"/>
  <c r="AD197" i="10"/>
  <c r="AD179" i="10"/>
  <c r="AD159" i="10"/>
  <c r="AD129" i="10"/>
  <c r="AD87" i="10"/>
  <c r="AE195" i="10"/>
  <c r="AE6" i="10"/>
  <c r="AE18" i="10"/>
  <c r="AE24" i="10"/>
  <c r="AE30" i="10"/>
  <c r="AE36" i="10"/>
  <c r="AE48" i="10"/>
  <c r="AE54" i="10"/>
  <c r="AE66" i="10"/>
  <c r="AE90" i="10"/>
  <c r="AE120" i="10"/>
  <c r="AE126" i="10"/>
  <c r="AE138" i="10"/>
  <c r="AE168" i="10"/>
  <c r="AE192" i="10"/>
  <c r="AD7" i="10"/>
  <c r="AD13" i="10"/>
  <c r="AD19" i="10"/>
  <c r="AD25" i="10"/>
  <c r="AD31" i="10"/>
  <c r="AD37" i="10"/>
  <c r="AD49" i="10"/>
  <c r="AD55" i="10"/>
  <c r="AD61" i="10"/>
  <c r="AD67" i="10"/>
  <c r="AD73" i="10"/>
  <c r="AD79" i="10"/>
  <c r="AD85" i="10"/>
  <c r="AD91" i="10"/>
  <c r="AD97" i="10"/>
  <c r="AD103" i="10"/>
  <c r="AD115" i="10"/>
  <c r="AD121" i="10"/>
  <c r="AD127" i="10"/>
  <c r="AD133" i="10"/>
  <c r="AD139" i="10"/>
  <c r="AD145" i="10"/>
  <c r="AD151" i="10"/>
  <c r="AD157" i="10"/>
  <c r="AD163" i="10"/>
  <c r="AD169" i="10"/>
  <c r="AD175" i="10"/>
  <c r="AD187" i="10"/>
  <c r="AD193" i="10"/>
  <c r="AD199" i="10"/>
  <c r="AA199" i="10" s="1"/>
  <c r="AE37" i="10"/>
  <c r="AE55" i="10"/>
  <c r="AE67" i="10"/>
  <c r="AA67" i="10" s="1"/>
  <c r="AE91" i="10"/>
  <c r="AE97" i="10"/>
  <c r="AE109" i="10"/>
  <c r="AE121" i="10"/>
  <c r="AE127" i="10"/>
  <c r="AE133" i="10"/>
  <c r="AE139" i="10"/>
  <c r="AE157" i="10"/>
  <c r="AE163" i="10"/>
  <c r="AA163" i="10" s="1"/>
  <c r="AE169" i="10"/>
  <c r="AE181" i="10"/>
  <c r="AE199" i="10"/>
  <c r="AD8" i="10"/>
  <c r="AD20" i="10"/>
  <c r="AD26" i="10"/>
  <c r="AD32" i="10"/>
  <c r="AD38" i="10"/>
  <c r="AD44" i="10"/>
  <c r="AD50" i="10"/>
  <c r="AD56" i="10"/>
  <c r="AD62" i="10"/>
  <c r="AD68" i="10"/>
  <c r="AD74" i="10"/>
  <c r="AD80" i="10"/>
  <c r="AD86" i="10"/>
  <c r="AD92" i="10"/>
  <c r="AD98" i="10"/>
  <c r="AD104" i="10"/>
  <c r="AD110" i="10"/>
  <c r="AD116" i="10"/>
  <c r="AD122" i="10"/>
  <c r="AD128" i="10"/>
  <c r="AD134" i="10"/>
  <c r="AD146" i="10"/>
  <c r="AD152" i="10"/>
  <c r="AD164" i="10"/>
  <c r="AD170" i="10"/>
  <c r="AD176" i="10"/>
  <c r="AD182" i="10"/>
  <c r="AD188" i="10"/>
  <c r="AD194" i="10"/>
  <c r="AD200" i="10"/>
  <c r="AE50" i="10"/>
  <c r="AE62" i="10"/>
  <c r="AE68" i="10"/>
  <c r="AE74" i="10"/>
  <c r="AE80" i="10"/>
  <c r="AE92" i="10"/>
  <c r="AD3" i="10"/>
  <c r="AD9" i="10"/>
  <c r="AD15" i="10"/>
  <c r="AD21" i="10"/>
  <c r="AD27" i="10"/>
  <c r="AD33" i="10"/>
  <c r="AD45" i="10"/>
  <c r="AD51" i="10"/>
  <c r="AD57" i="10"/>
  <c r="AD63" i="10"/>
  <c r="AD69" i="10"/>
  <c r="AD75" i="10"/>
  <c r="AE3" i="10"/>
  <c r="AE9" i="10"/>
  <c r="AE15" i="10"/>
  <c r="AE21" i="10"/>
  <c r="AE45" i="10"/>
  <c r="AE81" i="10"/>
  <c r="AE111" i="10"/>
  <c r="AA111" i="10" s="1"/>
  <c r="AE153" i="10"/>
  <c r="AE159" i="10"/>
  <c r="AD4" i="10"/>
  <c r="AD16" i="10"/>
  <c r="AD28" i="10"/>
  <c r="AD34" i="10"/>
  <c r="AD40" i="10"/>
  <c r="AD46" i="10"/>
  <c r="AD52" i="10"/>
  <c r="AD58" i="10"/>
  <c r="AD64" i="10"/>
  <c r="AD70" i="10"/>
  <c r="AD76" i="10"/>
  <c r="AD82" i="10"/>
  <c r="AD88" i="10"/>
  <c r="AD94" i="10"/>
  <c r="AD100" i="10"/>
  <c r="AD106" i="10"/>
  <c r="AD112" i="10"/>
  <c r="AD118" i="10"/>
  <c r="AD130" i="10"/>
  <c r="AD136" i="10"/>
  <c r="AD142" i="10"/>
  <c r="AD148" i="10"/>
  <c r="AD154" i="10"/>
  <c r="AD160" i="10"/>
  <c r="AD166" i="10"/>
  <c r="AD172" i="10"/>
  <c r="AD178" i="10"/>
  <c r="AD184" i="10"/>
  <c r="AD190" i="10"/>
  <c r="AD196" i="10"/>
  <c r="AE16" i="10"/>
  <c r="AE22" i="10"/>
  <c r="AE46" i="10"/>
  <c r="AE52" i="10"/>
  <c r="AE70" i="10"/>
  <c r="AE118" i="10"/>
  <c r="AE124" i="10"/>
  <c r="AE130" i="10"/>
  <c r="AE142" i="10"/>
  <c r="AE196" i="10"/>
  <c r="AD5" i="10"/>
  <c r="AD11" i="10"/>
  <c r="AD17" i="10"/>
  <c r="AD23" i="10"/>
  <c r="AD29" i="10"/>
  <c r="AD35" i="10"/>
  <c r="AD41" i="10"/>
  <c r="AD47" i="10"/>
  <c r="AD53" i="10"/>
  <c r="AD59" i="10"/>
  <c r="AD65" i="10"/>
  <c r="AD71" i="10"/>
  <c r="AD77" i="10"/>
  <c r="AD83" i="10"/>
  <c r="AD89" i="10"/>
  <c r="AD95" i="10"/>
  <c r="AD107" i="10"/>
  <c r="AD113" i="10"/>
  <c r="AD119" i="10"/>
  <c r="AD125" i="10"/>
  <c r="AD131" i="10"/>
  <c r="AD137" i="10"/>
  <c r="AD143" i="10"/>
  <c r="AE11" i="10"/>
  <c r="AE17" i="10"/>
  <c r="AE35" i="10"/>
  <c r="AE53" i="10"/>
  <c r="AE65" i="10"/>
  <c r="AE77" i="10"/>
  <c r="AE107" i="10"/>
  <c r="AE113" i="10"/>
  <c r="AE137" i="10"/>
  <c r="AE149" i="10"/>
  <c r="AE155" i="10"/>
  <c r="AE173" i="10"/>
  <c r="AA173" i="10" s="1"/>
  <c r="AE185" i="10"/>
  <c r="AE191" i="10"/>
  <c r="AE197" i="10"/>
  <c r="AD12" i="10"/>
  <c r="AD18" i="10"/>
  <c r="AD24" i="10"/>
  <c r="AD30" i="10"/>
  <c r="AD36" i="10"/>
  <c r="AA36" i="10" s="1"/>
  <c r="AD42" i="10"/>
  <c r="AD48" i="10"/>
  <c r="AA48" i="10" s="1"/>
  <c r="AD54" i="10"/>
  <c r="AD66" i="10"/>
  <c r="AA66" i="10" s="1"/>
  <c r="AD72" i="10"/>
  <c r="AD78" i="10"/>
  <c r="AD84" i="10"/>
  <c r="AD90" i="10"/>
  <c r="AD96" i="10"/>
  <c r="AD102" i="10"/>
  <c r="AD108" i="10"/>
  <c r="AD114" i="10"/>
  <c r="AD126" i="10"/>
  <c r="AD138" i="10"/>
  <c r="AD150" i="10"/>
  <c r="AD156" i="10"/>
  <c r="AD162" i="10"/>
  <c r="AD168" i="10"/>
  <c r="AD174" i="10"/>
  <c r="AD180" i="10"/>
  <c r="AD186" i="10"/>
  <c r="AD192" i="10"/>
  <c r="AA192" i="10" s="1"/>
  <c r="AD198" i="10"/>
  <c r="N194" i="12"/>
  <c r="P194" i="12" s="1"/>
  <c r="R194" i="12" s="1"/>
  <c r="AE198" i="10" s="1"/>
  <c r="N188" i="12"/>
  <c r="P188" i="12" s="1"/>
  <c r="R188" i="12" s="1"/>
  <c r="AE190" i="10" s="1"/>
  <c r="N182" i="12"/>
  <c r="P182" i="12" s="1"/>
  <c r="R182" i="12" s="1"/>
  <c r="AE184" i="10" s="1"/>
  <c r="N176" i="12"/>
  <c r="P176" i="12" s="1"/>
  <c r="R176" i="12" s="1"/>
  <c r="AE178" i="10" s="1"/>
  <c r="N170" i="12"/>
  <c r="P170" i="12" s="1"/>
  <c r="R170" i="12" s="1"/>
  <c r="AE172" i="10" s="1"/>
  <c r="N164" i="12"/>
  <c r="P164" i="12" s="1"/>
  <c r="R164" i="12" s="1"/>
  <c r="AE166" i="10" s="1"/>
  <c r="N158" i="12"/>
  <c r="P158" i="12" s="1"/>
  <c r="R158" i="12" s="1"/>
  <c r="AE161" i="10" s="1"/>
  <c r="AA161" i="10" s="1"/>
  <c r="N152" i="12"/>
  <c r="P152" i="12" s="1"/>
  <c r="R152" i="12" s="1"/>
  <c r="AE154" i="10" s="1"/>
  <c r="N146" i="12"/>
  <c r="P146" i="12" s="1"/>
  <c r="R146" i="12" s="1"/>
  <c r="AE147" i="10" s="1"/>
  <c r="AA147" i="10" s="1"/>
  <c r="N140" i="12"/>
  <c r="P140" i="12" s="1"/>
  <c r="R140" i="12" s="1"/>
  <c r="AE141" i="10" s="1"/>
  <c r="N134" i="12"/>
  <c r="P134" i="12" s="1"/>
  <c r="R134" i="12" s="1"/>
  <c r="AE135" i="10" s="1"/>
  <c r="N128" i="12"/>
  <c r="P128" i="12" s="1"/>
  <c r="R128" i="12" s="1"/>
  <c r="AE129" i="10" s="1"/>
  <c r="N122" i="12"/>
  <c r="P122" i="12" s="1"/>
  <c r="R122" i="12" s="1"/>
  <c r="AE123" i="10" s="1"/>
  <c r="N116" i="12"/>
  <c r="P116" i="12" s="1"/>
  <c r="R116" i="12" s="1"/>
  <c r="AE117" i="10" s="1"/>
  <c r="N110" i="12"/>
  <c r="P110" i="12" s="1"/>
  <c r="R110" i="12" s="1"/>
  <c r="AE112" i="10" s="1"/>
  <c r="N104" i="12"/>
  <c r="P104" i="12" s="1"/>
  <c r="R104" i="12" s="1"/>
  <c r="AE106" i="10" s="1"/>
  <c r="N98" i="12"/>
  <c r="P98" i="12" s="1"/>
  <c r="R98" i="12" s="1"/>
  <c r="AE100" i="10" s="1"/>
  <c r="N92" i="12"/>
  <c r="P92" i="12" s="1"/>
  <c r="R92" i="12" s="1"/>
  <c r="AE94" i="10" s="1"/>
  <c r="N86" i="12"/>
  <c r="P86" i="12" s="1"/>
  <c r="R86" i="12" s="1"/>
  <c r="AE88" i="10" s="1"/>
  <c r="N80" i="12"/>
  <c r="P80" i="12" s="1"/>
  <c r="R80" i="12" s="1"/>
  <c r="AE82" i="10" s="1"/>
  <c r="N74" i="12"/>
  <c r="P74" i="12" s="1"/>
  <c r="R74" i="12" s="1"/>
  <c r="AE75" i="10" s="1"/>
  <c r="N68" i="12"/>
  <c r="P68" i="12" s="1"/>
  <c r="R68" i="12" s="1"/>
  <c r="AE69" i="10" s="1"/>
  <c r="N62" i="12"/>
  <c r="P62" i="12" s="1"/>
  <c r="R62" i="12" s="1"/>
  <c r="AE63" i="10" s="1"/>
  <c r="N56" i="12"/>
  <c r="P56" i="12" s="1"/>
  <c r="R56" i="12" s="1"/>
  <c r="AE57" i="10" s="1"/>
  <c r="N50" i="12"/>
  <c r="P50" i="12" s="1"/>
  <c r="R50" i="12" s="1"/>
  <c r="AE51" i="10" s="1"/>
  <c r="N44" i="12"/>
  <c r="P44" i="12" s="1"/>
  <c r="R44" i="12" s="1"/>
  <c r="AE44" i="10" s="1"/>
  <c r="N38" i="12"/>
  <c r="P38" i="12" s="1"/>
  <c r="R38" i="12" s="1"/>
  <c r="AE38" i="10" s="1"/>
  <c r="N32" i="12"/>
  <c r="P32" i="12" s="1"/>
  <c r="R32" i="12" s="1"/>
  <c r="AE32" i="10" s="1"/>
  <c r="N26" i="12"/>
  <c r="P26" i="12" s="1"/>
  <c r="R26" i="12" s="1"/>
  <c r="AE26" i="10" s="1"/>
  <c r="N20" i="12"/>
  <c r="P20" i="12" s="1"/>
  <c r="R20" i="12" s="1"/>
  <c r="AE19" i="10" s="1"/>
  <c r="N14" i="12"/>
  <c r="P14" i="12" s="1"/>
  <c r="R14" i="12" s="1"/>
  <c r="AE13" i="10" s="1"/>
  <c r="N8" i="12"/>
  <c r="P8" i="12" s="1"/>
  <c r="R8" i="12" s="1"/>
  <c r="AE7" i="10" s="1"/>
  <c r="AD195" i="10"/>
  <c r="AA195" i="10" s="1"/>
  <c r="AD177" i="10"/>
  <c r="AD155" i="10"/>
  <c r="AD123" i="10"/>
  <c r="AE194" i="10"/>
  <c r="AE122" i="10"/>
  <c r="AA91" i="10"/>
  <c r="AA138" i="10"/>
  <c r="AA191" i="10"/>
  <c r="AG5" i="5"/>
  <c r="AA5" i="5"/>
  <c r="AA39" i="5"/>
  <c r="AA49" i="5"/>
  <c r="AA95" i="5"/>
  <c r="AA109" i="5"/>
  <c r="AA114" i="5"/>
  <c r="AA130" i="5"/>
  <c r="AA134" i="5"/>
  <c r="AA141" i="5"/>
  <c r="AA158" i="5"/>
  <c r="AA180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2" i="5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2" i="2"/>
  <c r="J3" i="2"/>
  <c r="J4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40" i="2"/>
  <c r="J41" i="2"/>
  <c r="J42" i="2"/>
  <c r="J43" i="2"/>
  <c r="J44" i="2"/>
  <c r="J45" i="2"/>
  <c r="J46" i="2"/>
  <c r="J47" i="2"/>
  <c r="J48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10" i="2"/>
  <c r="J111" i="2"/>
  <c r="J112" i="2"/>
  <c r="J113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1" i="2"/>
  <c r="J132" i="2"/>
  <c r="J133" i="2"/>
  <c r="J135" i="2"/>
  <c r="J136" i="2"/>
  <c r="J137" i="2"/>
  <c r="J138" i="2"/>
  <c r="J139" i="2"/>
  <c r="J140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2" i="2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" i="9"/>
  <c r="Z3" i="5"/>
  <c r="Z18" i="5"/>
  <c r="Y19" i="5"/>
  <c r="Y37" i="5"/>
  <c r="Y39" i="5"/>
  <c r="Y61" i="5"/>
  <c r="Y63" i="5"/>
  <c r="Z102" i="5"/>
  <c r="Z1" i="5"/>
  <c r="Y1" i="5"/>
  <c r="O3" i="2"/>
  <c r="Y3" i="5" s="1"/>
  <c r="P3" i="2"/>
  <c r="O4" i="2"/>
  <c r="Y4" i="5" s="1"/>
  <c r="P4" i="2"/>
  <c r="Z4" i="5" s="1"/>
  <c r="O5" i="2"/>
  <c r="Y5" i="5" s="1"/>
  <c r="P5" i="2"/>
  <c r="Z5" i="5" s="1"/>
  <c r="O6" i="2"/>
  <c r="Y6" i="5" s="1"/>
  <c r="P6" i="2"/>
  <c r="Z6" i="5" s="1"/>
  <c r="O7" i="2"/>
  <c r="Y7" i="5" s="1"/>
  <c r="P7" i="2"/>
  <c r="Z7" i="5" s="1"/>
  <c r="O8" i="2"/>
  <c r="Y8" i="5" s="1"/>
  <c r="P8" i="2"/>
  <c r="Z8" i="5" s="1"/>
  <c r="O9" i="2"/>
  <c r="Y9" i="5" s="1"/>
  <c r="P9" i="2"/>
  <c r="Z9" i="5" s="1"/>
  <c r="O10" i="2"/>
  <c r="Y10" i="5" s="1"/>
  <c r="P10" i="2"/>
  <c r="Z10" i="5" s="1"/>
  <c r="O11" i="2"/>
  <c r="Y11" i="5" s="1"/>
  <c r="P11" i="2"/>
  <c r="Z11" i="5" s="1"/>
  <c r="O12" i="2"/>
  <c r="Y12" i="5" s="1"/>
  <c r="P12" i="2"/>
  <c r="Z12" i="5" s="1"/>
  <c r="O13" i="2"/>
  <c r="Y13" i="5" s="1"/>
  <c r="P13" i="2"/>
  <c r="Z13" i="5" s="1"/>
  <c r="O14" i="2"/>
  <c r="Y14" i="5" s="1"/>
  <c r="P14" i="2"/>
  <c r="Z14" i="5" s="1"/>
  <c r="O15" i="2"/>
  <c r="Y15" i="5" s="1"/>
  <c r="P15" i="2"/>
  <c r="Z15" i="5" s="1"/>
  <c r="O16" i="2"/>
  <c r="Y16" i="5" s="1"/>
  <c r="P16" i="2"/>
  <c r="Z16" i="5" s="1"/>
  <c r="O17" i="2"/>
  <c r="Y17" i="5" s="1"/>
  <c r="P17" i="2"/>
  <c r="Z17" i="5" s="1"/>
  <c r="O18" i="2"/>
  <c r="Y18" i="5" s="1"/>
  <c r="P18" i="2"/>
  <c r="O19" i="2"/>
  <c r="P19" i="2"/>
  <c r="Z19" i="5" s="1"/>
  <c r="O20" i="2"/>
  <c r="Y20" i="5" s="1"/>
  <c r="P20" i="2"/>
  <c r="Z20" i="5" s="1"/>
  <c r="O21" i="2"/>
  <c r="Y21" i="5" s="1"/>
  <c r="P21" i="2"/>
  <c r="Z21" i="5" s="1"/>
  <c r="O22" i="2"/>
  <c r="Y22" i="5" s="1"/>
  <c r="P22" i="2"/>
  <c r="Z22" i="5" s="1"/>
  <c r="O23" i="2"/>
  <c r="Y23" i="5" s="1"/>
  <c r="P23" i="2"/>
  <c r="Z23" i="5" s="1"/>
  <c r="O24" i="2"/>
  <c r="Y24" i="5" s="1"/>
  <c r="P24" i="2"/>
  <c r="Z24" i="5" s="1"/>
  <c r="O25" i="2"/>
  <c r="Y25" i="5" s="1"/>
  <c r="P25" i="2"/>
  <c r="Z25" i="5" s="1"/>
  <c r="O26" i="2"/>
  <c r="Y26" i="5" s="1"/>
  <c r="P26" i="2"/>
  <c r="Z26" i="5" s="1"/>
  <c r="O27" i="2"/>
  <c r="Y27" i="5" s="1"/>
  <c r="P27" i="2"/>
  <c r="Z27" i="5" s="1"/>
  <c r="O28" i="2"/>
  <c r="Y28" i="5" s="1"/>
  <c r="P28" i="2"/>
  <c r="Z28" i="5" s="1"/>
  <c r="O29" i="2"/>
  <c r="Y29" i="5" s="1"/>
  <c r="P29" i="2"/>
  <c r="Z29" i="5" s="1"/>
  <c r="O30" i="2"/>
  <c r="Y30" i="5" s="1"/>
  <c r="P30" i="2"/>
  <c r="Z30" i="5" s="1"/>
  <c r="O31" i="2"/>
  <c r="Y31" i="5" s="1"/>
  <c r="P31" i="2"/>
  <c r="Z31" i="5" s="1"/>
  <c r="O32" i="2"/>
  <c r="Y32" i="5" s="1"/>
  <c r="P32" i="2"/>
  <c r="Z32" i="5" s="1"/>
  <c r="O33" i="2"/>
  <c r="Y33" i="5" s="1"/>
  <c r="P33" i="2"/>
  <c r="Z33" i="5" s="1"/>
  <c r="O34" i="2"/>
  <c r="Y34" i="5" s="1"/>
  <c r="P34" i="2"/>
  <c r="Z34" i="5" s="1"/>
  <c r="O35" i="2"/>
  <c r="Y35" i="5" s="1"/>
  <c r="P35" i="2"/>
  <c r="Z35" i="5" s="1"/>
  <c r="O36" i="2"/>
  <c r="Y36" i="5" s="1"/>
  <c r="P36" i="2"/>
  <c r="Z36" i="5" s="1"/>
  <c r="O37" i="2"/>
  <c r="P37" i="2"/>
  <c r="Z37" i="5" s="1"/>
  <c r="O38" i="2"/>
  <c r="Y38" i="5" s="1"/>
  <c r="P38" i="2"/>
  <c r="Z38" i="5" s="1"/>
  <c r="O39" i="2"/>
  <c r="P39" i="2"/>
  <c r="Z39" i="5" s="1"/>
  <c r="O40" i="2"/>
  <c r="Y40" i="5" s="1"/>
  <c r="P40" i="2"/>
  <c r="Z40" i="5" s="1"/>
  <c r="O41" i="2"/>
  <c r="Y41" i="5" s="1"/>
  <c r="P41" i="2"/>
  <c r="Z41" i="5" s="1"/>
  <c r="O42" i="2"/>
  <c r="Y42" i="5" s="1"/>
  <c r="P42" i="2"/>
  <c r="Z42" i="5" s="1"/>
  <c r="O43" i="2"/>
  <c r="Y43" i="5" s="1"/>
  <c r="P43" i="2"/>
  <c r="Z43" i="5" s="1"/>
  <c r="O44" i="2"/>
  <c r="Y44" i="5" s="1"/>
  <c r="P44" i="2"/>
  <c r="Z44" i="5" s="1"/>
  <c r="O45" i="2"/>
  <c r="Y45" i="5" s="1"/>
  <c r="P45" i="2"/>
  <c r="Z45" i="5" s="1"/>
  <c r="O46" i="2"/>
  <c r="Y46" i="5" s="1"/>
  <c r="P46" i="2"/>
  <c r="Z46" i="5" s="1"/>
  <c r="O47" i="2"/>
  <c r="Y47" i="5" s="1"/>
  <c r="P47" i="2"/>
  <c r="Z47" i="5" s="1"/>
  <c r="O48" i="2"/>
  <c r="Y48" i="5" s="1"/>
  <c r="P48" i="2"/>
  <c r="Z48" i="5" s="1"/>
  <c r="O49" i="2"/>
  <c r="Y49" i="5" s="1"/>
  <c r="P49" i="2"/>
  <c r="Z49" i="5" s="1"/>
  <c r="O50" i="2"/>
  <c r="Y50" i="5" s="1"/>
  <c r="P50" i="2"/>
  <c r="Z50" i="5" s="1"/>
  <c r="O51" i="2"/>
  <c r="Y51" i="5" s="1"/>
  <c r="P51" i="2"/>
  <c r="Z51" i="5" s="1"/>
  <c r="O52" i="2"/>
  <c r="Y52" i="5" s="1"/>
  <c r="P52" i="2"/>
  <c r="Z52" i="5" s="1"/>
  <c r="O53" i="2"/>
  <c r="Y53" i="5" s="1"/>
  <c r="P53" i="2"/>
  <c r="Z53" i="5" s="1"/>
  <c r="O54" i="2"/>
  <c r="Y54" i="5" s="1"/>
  <c r="P54" i="2"/>
  <c r="Z54" i="5" s="1"/>
  <c r="O55" i="2"/>
  <c r="Y55" i="5" s="1"/>
  <c r="P55" i="2"/>
  <c r="Z55" i="5" s="1"/>
  <c r="O56" i="2"/>
  <c r="Y56" i="5" s="1"/>
  <c r="P56" i="2"/>
  <c r="Z56" i="5" s="1"/>
  <c r="O57" i="2"/>
  <c r="Y57" i="5" s="1"/>
  <c r="P57" i="2"/>
  <c r="Z57" i="5" s="1"/>
  <c r="O58" i="2"/>
  <c r="Y58" i="5" s="1"/>
  <c r="P58" i="2"/>
  <c r="Z58" i="5" s="1"/>
  <c r="O59" i="2"/>
  <c r="Y59" i="5" s="1"/>
  <c r="P59" i="2"/>
  <c r="Z59" i="5" s="1"/>
  <c r="O60" i="2"/>
  <c r="Y60" i="5" s="1"/>
  <c r="P60" i="2"/>
  <c r="Z60" i="5" s="1"/>
  <c r="O61" i="2"/>
  <c r="P61" i="2"/>
  <c r="Z61" i="5" s="1"/>
  <c r="O62" i="2"/>
  <c r="Y62" i="5" s="1"/>
  <c r="P62" i="2"/>
  <c r="Z62" i="5" s="1"/>
  <c r="O63" i="2"/>
  <c r="P63" i="2"/>
  <c r="Z63" i="5" s="1"/>
  <c r="O64" i="2"/>
  <c r="Y64" i="5" s="1"/>
  <c r="P64" i="2"/>
  <c r="Z64" i="5" s="1"/>
  <c r="O65" i="2"/>
  <c r="Y65" i="5" s="1"/>
  <c r="P65" i="2"/>
  <c r="Z65" i="5" s="1"/>
  <c r="O66" i="2"/>
  <c r="Y66" i="5" s="1"/>
  <c r="P66" i="2"/>
  <c r="Z66" i="5" s="1"/>
  <c r="O67" i="2"/>
  <c r="Y67" i="5" s="1"/>
  <c r="P67" i="2"/>
  <c r="Z67" i="5" s="1"/>
  <c r="O68" i="2"/>
  <c r="Y68" i="5" s="1"/>
  <c r="P68" i="2"/>
  <c r="Z68" i="5" s="1"/>
  <c r="O69" i="2"/>
  <c r="Y69" i="5" s="1"/>
  <c r="P69" i="2"/>
  <c r="Z69" i="5" s="1"/>
  <c r="O70" i="2"/>
  <c r="Y70" i="5" s="1"/>
  <c r="P70" i="2"/>
  <c r="Z70" i="5" s="1"/>
  <c r="O71" i="2"/>
  <c r="Y71" i="5" s="1"/>
  <c r="P71" i="2"/>
  <c r="Z71" i="5" s="1"/>
  <c r="O72" i="2"/>
  <c r="Y72" i="5" s="1"/>
  <c r="P72" i="2"/>
  <c r="Z72" i="5" s="1"/>
  <c r="O73" i="2"/>
  <c r="Y73" i="5" s="1"/>
  <c r="P73" i="2"/>
  <c r="Z73" i="5" s="1"/>
  <c r="O74" i="2"/>
  <c r="Y74" i="5" s="1"/>
  <c r="P74" i="2"/>
  <c r="Z74" i="5" s="1"/>
  <c r="O75" i="2"/>
  <c r="Y75" i="5" s="1"/>
  <c r="P75" i="2"/>
  <c r="Z75" i="5" s="1"/>
  <c r="O76" i="2"/>
  <c r="Y76" i="5" s="1"/>
  <c r="P76" i="2"/>
  <c r="Z76" i="5" s="1"/>
  <c r="O77" i="2"/>
  <c r="Y77" i="5" s="1"/>
  <c r="P77" i="2"/>
  <c r="Z77" i="5" s="1"/>
  <c r="O78" i="2"/>
  <c r="Y78" i="5" s="1"/>
  <c r="P78" i="2"/>
  <c r="Z78" i="5" s="1"/>
  <c r="O79" i="2"/>
  <c r="Y79" i="5" s="1"/>
  <c r="P79" i="2"/>
  <c r="Z79" i="5" s="1"/>
  <c r="O80" i="2"/>
  <c r="Y80" i="5" s="1"/>
  <c r="P80" i="2"/>
  <c r="Z80" i="5" s="1"/>
  <c r="O81" i="2"/>
  <c r="Y81" i="5" s="1"/>
  <c r="P81" i="2"/>
  <c r="Z81" i="5" s="1"/>
  <c r="O82" i="2"/>
  <c r="Y82" i="5" s="1"/>
  <c r="P82" i="2"/>
  <c r="Z82" i="5" s="1"/>
  <c r="O83" i="2"/>
  <c r="Y83" i="5" s="1"/>
  <c r="P83" i="2"/>
  <c r="Z83" i="5" s="1"/>
  <c r="O84" i="2"/>
  <c r="Y84" i="5" s="1"/>
  <c r="P84" i="2"/>
  <c r="Z84" i="5" s="1"/>
  <c r="O85" i="2"/>
  <c r="Y85" i="5" s="1"/>
  <c r="P85" i="2"/>
  <c r="Z85" i="5" s="1"/>
  <c r="O86" i="2"/>
  <c r="Y86" i="5" s="1"/>
  <c r="P86" i="2"/>
  <c r="Z86" i="5" s="1"/>
  <c r="O87" i="2"/>
  <c r="Y87" i="5" s="1"/>
  <c r="P87" i="2"/>
  <c r="Z87" i="5" s="1"/>
  <c r="O88" i="2"/>
  <c r="Y88" i="5" s="1"/>
  <c r="P88" i="2"/>
  <c r="Z88" i="5" s="1"/>
  <c r="O89" i="2"/>
  <c r="Y89" i="5" s="1"/>
  <c r="P89" i="2"/>
  <c r="Z89" i="5" s="1"/>
  <c r="O90" i="2"/>
  <c r="Y90" i="5" s="1"/>
  <c r="P90" i="2"/>
  <c r="Z90" i="5" s="1"/>
  <c r="O91" i="2"/>
  <c r="Y91" i="5" s="1"/>
  <c r="P91" i="2"/>
  <c r="Z91" i="5" s="1"/>
  <c r="O92" i="2"/>
  <c r="Y92" i="5" s="1"/>
  <c r="P92" i="2"/>
  <c r="Z92" i="5" s="1"/>
  <c r="O93" i="2"/>
  <c r="Y93" i="5" s="1"/>
  <c r="P93" i="2"/>
  <c r="Z93" i="5" s="1"/>
  <c r="O94" i="2"/>
  <c r="Y94" i="5" s="1"/>
  <c r="P94" i="2"/>
  <c r="Z94" i="5" s="1"/>
  <c r="O95" i="2"/>
  <c r="Y95" i="5" s="1"/>
  <c r="P95" i="2"/>
  <c r="Z95" i="5" s="1"/>
  <c r="O96" i="2"/>
  <c r="Y96" i="5" s="1"/>
  <c r="P96" i="2"/>
  <c r="Z96" i="5" s="1"/>
  <c r="O97" i="2"/>
  <c r="Y97" i="5" s="1"/>
  <c r="P97" i="2"/>
  <c r="Z97" i="5" s="1"/>
  <c r="O98" i="2"/>
  <c r="Y98" i="5" s="1"/>
  <c r="P98" i="2"/>
  <c r="Z98" i="5" s="1"/>
  <c r="O99" i="2"/>
  <c r="Y99" i="5" s="1"/>
  <c r="P99" i="2"/>
  <c r="Z99" i="5" s="1"/>
  <c r="O100" i="2"/>
  <c r="Y100" i="5" s="1"/>
  <c r="P100" i="2"/>
  <c r="Z100" i="5" s="1"/>
  <c r="O101" i="2"/>
  <c r="Y101" i="5" s="1"/>
  <c r="P101" i="2"/>
  <c r="Z101" i="5" s="1"/>
  <c r="O102" i="2"/>
  <c r="Y102" i="5" s="1"/>
  <c r="P102" i="2"/>
  <c r="O103" i="2"/>
  <c r="Y103" i="5" s="1"/>
  <c r="P103" i="2"/>
  <c r="Z103" i="5" s="1"/>
  <c r="O104" i="2"/>
  <c r="Y104" i="5" s="1"/>
  <c r="P104" i="2"/>
  <c r="Z104" i="5" s="1"/>
  <c r="O105" i="2"/>
  <c r="Y105" i="5" s="1"/>
  <c r="P105" i="2"/>
  <c r="Z105" i="5" s="1"/>
  <c r="O106" i="2"/>
  <c r="Y106" i="5" s="1"/>
  <c r="P106" i="2"/>
  <c r="Z106" i="5" s="1"/>
  <c r="O107" i="2"/>
  <c r="Y107" i="5" s="1"/>
  <c r="P107" i="2"/>
  <c r="Z107" i="5" s="1"/>
  <c r="O108" i="2"/>
  <c r="Y108" i="5" s="1"/>
  <c r="P108" i="2"/>
  <c r="Z108" i="5" s="1"/>
  <c r="O109" i="2"/>
  <c r="Y109" i="5" s="1"/>
  <c r="P109" i="2"/>
  <c r="Z109" i="5" s="1"/>
  <c r="O110" i="2"/>
  <c r="Y110" i="5" s="1"/>
  <c r="P110" i="2"/>
  <c r="Z110" i="5" s="1"/>
  <c r="O111" i="2"/>
  <c r="Y111" i="5" s="1"/>
  <c r="P111" i="2"/>
  <c r="Z111" i="5" s="1"/>
  <c r="O112" i="2"/>
  <c r="Y112" i="5" s="1"/>
  <c r="P112" i="2"/>
  <c r="Z112" i="5" s="1"/>
  <c r="O113" i="2"/>
  <c r="Y113" i="5" s="1"/>
  <c r="P113" i="2"/>
  <c r="Z113" i="5" s="1"/>
  <c r="O114" i="2"/>
  <c r="Y114" i="5" s="1"/>
  <c r="P114" i="2"/>
  <c r="Z114" i="5" s="1"/>
  <c r="O115" i="2"/>
  <c r="Y115" i="5" s="1"/>
  <c r="P115" i="2"/>
  <c r="Z115" i="5" s="1"/>
  <c r="O116" i="2"/>
  <c r="Y116" i="5" s="1"/>
  <c r="P116" i="2"/>
  <c r="Z116" i="5" s="1"/>
  <c r="O117" i="2"/>
  <c r="Y117" i="5" s="1"/>
  <c r="P117" i="2"/>
  <c r="Z117" i="5" s="1"/>
  <c r="O118" i="2"/>
  <c r="Y118" i="5" s="1"/>
  <c r="P118" i="2"/>
  <c r="Z118" i="5" s="1"/>
  <c r="O119" i="2"/>
  <c r="Y119" i="5" s="1"/>
  <c r="P119" i="2"/>
  <c r="Z119" i="5" s="1"/>
  <c r="O120" i="2"/>
  <c r="Y120" i="5" s="1"/>
  <c r="P120" i="2"/>
  <c r="Z120" i="5" s="1"/>
  <c r="O121" i="2"/>
  <c r="Y121" i="5" s="1"/>
  <c r="P121" i="2"/>
  <c r="Z121" i="5" s="1"/>
  <c r="O122" i="2"/>
  <c r="Y122" i="5" s="1"/>
  <c r="P122" i="2"/>
  <c r="Z122" i="5" s="1"/>
  <c r="O123" i="2"/>
  <c r="Y123" i="5" s="1"/>
  <c r="P123" i="2"/>
  <c r="Z123" i="5" s="1"/>
  <c r="O124" i="2"/>
  <c r="Y124" i="5" s="1"/>
  <c r="P124" i="2"/>
  <c r="Z124" i="5" s="1"/>
  <c r="O125" i="2"/>
  <c r="Y125" i="5" s="1"/>
  <c r="P125" i="2"/>
  <c r="Z125" i="5" s="1"/>
  <c r="O126" i="2"/>
  <c r="Y126" i="5" s="1"/>
  <c r="P126" i="2"/>
  <c r="Z126" i="5" s="1"/>
  <c r="O127" i="2"/>
  <c r="Y127" i="5" s="1"/>
  <c r="P127" i="2"/>
  <c r="Z127" i="5" s="1"/>
  <c r="O128" i="2"/>
  <c r="Y128" i="5" s="1"/>
  <c r="P128" i="2"/>
  <c r="Z128" i="5" s="1"/>
  <c r="O129" i="2"/>
  <c r="Y129" i="5" s="1"/>
  <c r="P129" i="2"/>
  <c r="Z129" i="5" s="1"/>
  <c r="O130" i="2"/>
  <c r="Y130" i="5" s="1"/>
  <c r="P130" i="2"/>
  <c r="Z130" i="5" s="1"/>
  <c r="O131" i="2"/>
  <c r="Y131" i="5" s="1"/>
  <c r="P131" i="2"/>
  <c r="Z131" i="5" s="1"/>
  <c r="O132" i="2"/>
  <c r="Y132" i="5" s="1"/>
  <c r="P132" i="2"/>
  <c r="Z132" i="5" s="1"/>
  <c r="O133" i="2"/>
  <c r="Y133" i="5" s="1"/>
  <c r="P133" i="2"/>
  <c r="Z133" i="5" s="1"/>
  <c r="O134" i="2"/>
  <c r="Y134" i="5" s="1"/>
  <c r="P134" i="2"/>
  <c r="Z134" i="5" s="1"/>
  <c r="O135" i="2"/>
  <c r="Y135" i="5" s="1"/>
  <c r="P135" i="2"/>
  <c r="Z135" i="5" s="1"/>
  <c r="O136" i="2"/>
  <c r="Y136" i="5" s="1"/>
  <c r="P136" i="2"/>
  <c r="Z136" i="5" s="1"/>
  <c r="O137" i="2"/>
  <c r="Y137" i="5" s="1"/>
  <c r="P137" i="2"/>
  <c r="Z137" i="5" s="1"/>
  <c r="O138" i="2"/>
  <c r="Y138" i="5" s="1"/>
  <c r="P138" i="2"/>
  <c r="Z138" i="5" s="1"/>
  <c r="O139" i="2"/>
  <c r="Y139" i="5" s="1"/>
  <c r="P139" i="2"/>
  <c r="Z139" i="5" s="1"/>
  <c r="O140" i="2"/>
  <c r="Y140" i="5" s="1"/>
  <c r="P140" i="2"/>
  <c r="Z140" i="5" s="1"/>
  <c r="O141" i="2"/>
  <c r="Y141" i="5" s="1"/>
  <c r="P141" i="2"/>
  <c r="Z141" i="5" s="1"/>
  <c r="O142" i="2"/>
  <c r="Y142" i="5" s="1"/>
  <c r="P142" i="2"/>
  <c r="Z142" i="5" s="1"/>
  <c r="O143" i="2"/>
  <c r="Y143" i="5" s="1"/>
  <c r="P143" i="2"/>
  <c r="Z143" i="5" s="1"/>
  <c r="O144" i="2"/>
  <c r="Y144" i="5" s="1"/>
  <c r="P144" i="2"/>
  <c r="Z144" i="5" s="1"/>
  <c r="O145" i="2"/>
  <c r="Y145" i="5" s="1"/>
  <c r="P145" i="2"/>
  <c r="Z145" i="5" s="1"/>
  <c r="O146" i="2"/>
  <c r="Y146" i="5" s="1"/>
  <c r="P146" i="2"/>
  <c r="Z146" i="5" s="1"/>
  <c r="O147" i="2"/>
  <c r="Y147" i="5" s="1"/>
  <c r="P147" i="2"/>
  <c r="Z147" i="5" s="1"/>
  <c r="O148" i="2"/>
  <c r="Y148" i="5" s="1"/>
  <c r="P148" i="2"/>
  <c r="Z148" i="5" s="1"/>
  <c r="O149" i="2"/>
  <c r="Y149" i="5" s="1"/>
  <c r="P149" i="2"/>
  <c r="Z149" i="5" s="1"/>
  <c r="O150" i="2"/>
  <c r="Y150" i="5" s="1"/>
  <c r="P150" i="2"/>
  <c r="Z150" i="5" s="1"/>
  <c r="O151" i="2"/>
  <c r="Y151" i="5" s="1"/>
  <c r="P151" i="2"/>
  <c r="Z151" i="5" s="1"/>
  <c r="O152" i="2"/>
  <c r="Y152" i="5" s="1"/>
  <c r="P152" i="2"/>
  <c r="Z152" i="5" s="1"/>
  <c r="O153" i="2"/>
  <c r="Y153" i="5" s="1"/>
  <c r="P153" i="2"/>
  <c r="Z153" i="5" s="1"/>
  <c r="O154" i="2"/>
  <c r="Y154" i="5" s="1"/>
  <c r="P154" i="2"/>
  <c r="Z154" i="5" s="1"/>
  <c r="O155" i="2"/>
  <c r="Y155" i="5" s="1"/>
  <c r="P155" i="2"/>
  <c r="Z155" i="5" s="1"/>
  <c r="O156" i="2"/>
  <c r="Y156" i="5" s="1"/>
  <c r="P156" i="2"/>
  <c r="Z156" i="5" s="1"/>
  <c r="O157" i="2"/>
  <c r="Y157" i="5" s="1"/>
  <c r="P157" i="2"/>
  <c r="Z157" i="5" s="1"/>
  <c r="O158" i="2"/>
  <c r="Y158" i="5" s="1"/>
  <c r="P158" i="2"/>
  <c r="Z158" i="5" s="1"/>
  <c r="O159" i="2"/>
  <c r="Y159" i="5" s="1"/>
  <c r="P159" i="2"/>
  <c r="Z159" i="5" s="1"/>
  <c r="O160" i="2"/>
  <c r="Y160" i="5" s="1"/>
  <c r="P160" i="2"/>
  <c r="Z160" i="5" s="1"/>
  <c r="O161" i="2"/>
  <c r="Y161" i="5" s="1"/>
  <c r="P161" i="2"/>
  <c r="Z161" i="5" s="1"/>
  <c r="O162" i="2"/>
  <c r="Y162" i="5" s="1"/>
  <c r="P162" i="2"/>
  <c r="Z162" i="5" s="1"/>
  <c r="O163" i="2"/>
  <c r="Y163" i="5" s="1"/>
  <c r="P163" i="2"/>
  <c r="Z163" i="5" s="1"/>
  <c r="O164" i="2"/>
  <c r="Y164" i="5" s="1"/>
  <c r="P164" i="2"/>
  <c r="Z164" i="5" s="1"/>
  <c r="O165" i="2"/>
  <c r="Y165" i="5" s="1"/>
  <c r="P165" i="2"/>
  <c r="Z165" i="5" s="1"/>
  <c r="O166" i="2"/>
  <c r="Y166" i="5" s="1"/>
  <c r="P166" i="2"/>
  <c r="Z166" i="5" s="1"/>
  <c r="O167" i="2"/>
  <c r="Y167" i="5" s="1"/>
  <c r="P167" i="2"/>
  <c r="Z167" i="5" s="1"/>
  <c r="O168" i="2"/>
  <c r="Y168" i="5" s="1"/>
  <c r="P168" i="2"/>
  <c r="Z168" i="5" s="1"/>
  <c r="O169" i="2"/>
  <c r="Y169" i="5" s="1"/>
  <c r="P169" i="2"/>
  <c r="Z169" i="5" s="1"/>
  <c r="O170" i="2"/>
  <c r="Y170" i="5" s="1"/>
  <c r="P170" i="2"/>
  <c r="Z170" i="5" s="1"/>
  <c r="O171" i="2"/>
  <c r="Y171" i="5" s="1"/>
  <c r="P171" i="2"/>
  <c r="Z171" i="5" s="1"/>
  <c r="O172" i="2"/>
  <c r="Y172" i="5" s="1"/>
  <c r="P172" i="2"/>
  <c r="Z172" i="5" s="1"/>
  <c r="O173" i="2"/>
  <c r="Y173" i="5" s="1"/>
  <c r="P173" i="2"/>
  <c r="Z173" i="5" s="1"/>
  <c r="O174" i="2"/>
  <c r="Y174" i="5" s="1"/>
  <c r="P174" i="2"/>
  <c r="Z174" i="5" s="1"/>
  <c r="O175" i="2"/>
  <c r="Y175" i="5" s="1"/>
  <c r="P175" i="2"/>
  <c r="Z175" i="5" s="1"/>
  <c r="O176" i="2"/>
  <c r="Y176" i="5" s="1"/>
  <c r="P176" i="2"/>
  <c r="Z176" i="5" s="1"/>
  <c r="O177" i="2"/>
  <c r="Y177" i="5" s="1"/>
  <c r="P177" i="2"/>
  <c r="Z177" i="5" s="1"/>
  <c r="O178" i="2"/>
  <c r="Y178" i="5" s="1"/>
  <c r="P178" i="2"/>
  <c r="Z178" i="5" s="1"/>
  <c r="O179" i="2"/>
  <c r="Y179" i="5" s="1"/>
  <c r="P179" i="2"/>
  <c r="Z179" i="5" s="1"/>
  <c r="O180" i="2"/>
  <c r="Y180" i="5" s="1"/>
  <c r="P180" i="2"/>
  <c r="Z180" i="5" s="1"/>
  <c r="O181" i="2"/>
  <c r="Y181" i="5" s="1"/>
  <c r="P181" i="2"/>
  <c r="Z181" i="5" s="1"/>
  <c r="O182" i="2"/>
  <c r="Y182" i="5" s="1"/>
  <c r="P182" i="2"/>
  <c r="Z182" i="5" s="1"/>
  <c r="O183" i="2"/>
  <c r="Y183" i="5" s="1"/>
  <c r="P183" i="2"/>
  <c r="Z183" i="5" s="1"/>
  <c r="O184" i="2"/>
  <c r="Y184" i="5" s="1"/>
  <c r="P184" i="2"/>
  <c r="Z184" i="5" s="1"/>
  <c r="O185" i="2"/>
  <c r="Y185" i="5" s="1"/>
  <c r="P185" i="2"/>
  <c r="Z185" i="5" s="1"/>
  <c r="O186" i="2"/>
  <c r="Y186" i="5" s="1"/>
  <c r="P186" i="2"/>
  <c r="Z186" i="5" s="1"/>
  <c r="O187" i="2"/>
  <c r="Y187" i="5" s="1"/>
  <c r="P187" i="2"/>
  <c r="Z187" i="5" s="1"/>
  <c r="O188" i="2"/>
  <c r="Y188" i="5" s="1"/>
  <c r="P188" i="2"/>
  <c r="Z188" i="5" s="1"/>
  <c r="O189" i="2"/>
  <c r="Y189" i="5" s="1"/>
  <c r="P189" i="2"/>
  <c r="Z189" i="5" s="1"/>
  <c r="O190" i="2"/>
  <c r="Y190" i="5" s="1"/>
  <c r="P190" i="2"/>
  <c r="Z190" i="5" s="1"/>
  <c r="O191" i="2"/>
  <c r="Y191" i="5" s="1"/>
  <c r="P191" i="2"/>
  <c r="Z191" i="5" s="1"/>
  <c r="O192" i="2"/>
  <c r="Y192" i="5" s="1"/>
  <c r="P192" i="2"/>
  <c r="Z192" i="5" s="1"/>
  <c r="O193" i="2"/>
  <c r="Y193" i="5" s="1"/>
  <c r="P193" i="2"/>
  <c r="Z193" i="5" s="1"/>
  <c r="O194" i="2"/>
  <c r="Y194" i="5" s="1"/>
  <c r="P194" i="2"/>
  <c r="Z194" i="5" s="1"/>
  <c r="O195" i="2"/>
  <c r="Y195" i="5" s="1"/>
  <c r="P195" i="2"/>
  <c r="Z195" i="5" s="1"/>
  <c r="P2" i="2"/>
  <c r="Z2" i="5" s="1"/>
  <c r="O2" i="2"/>
  <c r="Y2" i="5" s="1"/>
  <c r="AD2" i="10" l="1"/>
  <c r="AA2" i="10" s="1"/>
  <c r="Q198" i="12"/>
  <c r="AA19" i="10"/>
  <c r="AA197" i="10"/>
  <c r="AA103" i="10"/>
  <c r="AA167" i="10"/>
  <c r="AA139" i="10"/>
  <c r="AA169" i="10"/>
  <c r="AA6" i="10"/>
  <c r="AA187" i="10"/>
  <c r="AA171" i="10"/>
  <c r="AA78" i="10"/>
  <c r="AA30" i="10"/>
  <c r="AA164" i="10"/>
  <c r="AA183" i="10"/>
  <c r="AA126" i="10"/>
  <c r="AA73" i="10"/>
  <c r="AA174" i="10"/>
  <c r="AA133" i="10"/>
  <c r="AA116" i="10"/>
  <c r="AA115" i="10"/>
  <c r="AA107" i="10"/>
  <c r="AA180" i="10"/>
  <c r="AA131" i="10"/>
  <c r="AA157" i="10"/>
  <c r="AA127" i="10"/>
  <c r="AA55" i="10"/>
  <c r="AA150" i="10"/>
  <c r="AA104" i="10"/>
  <c r="AA179" i="10"/>
  <c r="AA113" i="10"/>
  <c r="AA42" i="10"/>
  <c r="AA153" i="10"/>
  <c r="AA146" i="10"/>
  <c r="AA149" i="10"/>
  <c r="AA134" i="10"/>
  <c r="AA95" i="10"/>
  <c r="AA12" i="10"/>
  <c r="AA76" i="10"/>
  <c r="AA61" i="10"/>
  <c r="AA148" i="10"/>
  <c r="AA110" i="10"/>
  <c r="AA132" i="10"/>
  <c r="AA60" i="10"/>
  <c r="AA54" i="10"/>
  <c r="AA182" i="10"/>
  <c r="AA43" i="10"/>
  <c r="AA85" i="10"/>
  <c r="AA125" i="10"/>
  <c r="AA31" i="10"/>
  <c r="AA140" i="10"/>
  <c r="AA158" i="10"/>
  <c r="AA200" i="10"/>
  <c r="AA162" i="10"/>
  <c r="AA13" i="10"/>
  <c r="AA28" i="10"/>
  <c r="AA152" i="10"/>
  <c r="AA121" i="10"/>
  <c r="AA143" i="10"/>
  <c r="AA65" i="10"/>
  <c r="AA97" i="10"/>
  <c r="AA120" i="10"/>
  <c r="AA77" i="10"/>
  <c r="AA175" i="10"/>
  <c r="AA155" i="10"/>
  <c r="AA71" i="10"/>
  <c r="AA137" i="10"/>
  <c r="AA177" i="10"/>
  <c r="AA108" i="10"/>
  <c r="AA102" i="10"/>
  <c r="AA74" i="10"/>
  <c r="AA7" i="10"/>
  <c r="AA49" i="10"/>
  <c r="AA56" i="10"/>
  <c r="AA50" i="10"/>
  <c r="AA3" i="10"/>
  <c r="AA83" i="10"/>
  <c r="AA114" i="10"/>
  <c r="AA186" i="10"/>
  <c r="AA185" i="10"/>
  <c r="AA25" i="10"/>
  <c r="AA145" i="10"/>
  <c r="AA101" i="10"/>
  <c r="AA10" i="10"/>
  <c r="AA144" i="10"/>
  <c r="AA34" i="10"/>
  <c r="AA81" i="10"/>
  <c r="AA9" i="10"/>
  <c r="AA90" i="10"/>
  <c r="AA89" i="10"/>
  <c r="AA119" i="10"/>
  <c r="AA193" i="10"/>
  <c r="AA79" i="10"/>
  <c r="AA151" i="10"/>
  <c r="AA168" i="10"/>
  <c r="AA96" i="10"/>
  <c r="AA24" i="10"/>
  <c r="AA181" i="10"/>
  <c r="AA109" i="10"/>
  <c r="AA37" i="10"/>
  <c r="AA156" i="10"/>
  <c r="AA84" i="10"/>
  <c r="AA45" i="10"/>
  <c r="AA170" i="10"/>
  <c r="AA72" i="10"/>
  <c r="AA39" i="10"/>
  <c r="AA198" i="10"/>
  <c r="AA80" i="10"/>
  <c r="AA8" i="10"/>
  <c r="AA5" i="10"/>
  <c r="AA184" i="10"/>
  <c r="AA112" i="10"/>
  <c r="AA40" i="10"/>
  <c r="AA75" i="10"/>
  <c r="AA86" i="10"/>
  <c r="AA14" i="10"/>
  <c r="AA18" i="10"/>
  <c r="AA178" i="10"/>
  <c r="AA106" i="10"/>
  <c r="AA69" i="10"/>
  <c r="AA100" i="10"/>
  <c r="AA59" i="10"/>
  <c r="AA166" i="10"/>
  <c r="AA94" i="10"/>
  <c r="AA22" i="10"/>
  <c r="AA57" i="10"/>
  <c r="AA68" i="10"/>
  <c r="AA135" i="10"/>
  <c r="AA53" i="10"/>
  <c r="AA160" i="10"/>
  <c r="AA88" i="10"/>
  <c r="AA16" i="10"/>
  <c r="AA51" i="10"/>
  <c r="AA62" i="10"/>
  <c r="AA63" i="10"/>
  <c r="AA47" i="10"/>
  <c r="AA154" i="10"/>
  <c r="AA82" i="10"/>
  <c r="AA128" i="10"/>
  <c r="AA99" i="10"/>
  <c r="AA41" i="10"/>
  <c r="AA4" i="10"/>
  <c r="AA194" i="10"/>
  <c r="AA122" i="10"/>
  <c r="AA165" i="10"/>
  <c r="AA123" i="10"/>
  <c r="AA35" i="10"/>
  <c r="AA142" i="10"/>
  <c r="AA70" i="10"/>
  <c r="AA33" i="10"/>
  <c r="AA188" i="10"/>
  <c r="AA44" i="10"/>
  <c r="AA117" i="10"/>
  <c r="AA29" i="10"/>
  <c r="AA136" i="10"/>
  <c r="AA64" i="10"/>
  <c r="AA27" i="10"/>
  <c r="AA38" i="10"/>
  <c r="AA87" i="10"/>
  <c r="AA172" i="10"/>
  <c r="AA23" i="10"/>
  <c r="AA130" i="10"/>
  <c r="AA58" i="10"/>
  <c r="AA21" i="10"/>
  <c r="AA176" i="10"/>
  <c r="AA32" i="10"/>
  <c r="AA129" i="10"/>
  <c r="AA93" i="10"/>
  <c r="AA17" i="10"/>
  <c r="AA196" i="10"/>
  <c r="AA124" i="10"/>
  <c r="AA52" i="10"/>
  <c r="AA15" i="10"/>
  <c r="AA98" i="10"/>
  <c r="AA26" i="10"/>
  <c r="AA159" i="10"/>
  <c r="AA105" i="10"/>
  <c r="AA11" i="10"/>
  <c r="AA190" i="10"/>
  <c r="AA118" i="10"/>
  <c r="AA46" i="10"/>
  <c r="AA92" i="10"/>
  <c r="AA20" i="10"/>
  <c r="AA141" i="10"/>
  <c r="AA3" i="5"/>
  <c r="AA4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40" i="5"/>
  <c r="AA41" i="5"/>
  <c r="AA42" i="5"/>
  <c r="AA43" i="5"/>
  <c r="AA44" i="5"/>
  <c r="AA45" i="5"/>
  <c r="AA46" i="5"/>
  <c r="AA47" i="5"/>
  <c r="AA48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10" i="5"/>
  <c r="AA111" i="5"/>
  <c r="AA112" i="5"/>
  <c r="AA113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1" i="5"/>
  <c r="AA132" i="5"/>
  <c r="AA133" i="5"/>
  <c r="AA135" i="5"/>
  <c r="AA136" i="5"/>
  <c r="AA137" i="5"/>
  <c r="AA138" i="5"/>
  <c r="AA139" i="5"/>
  <c r="AA140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2" i="5"/>
  <c r="D3" i="2" l="1"/>
  <c r="E3" i="2"/>
  <c r="F3" i="2"/>
  <c r="G3" i="2"/>
  <c r="H3" i="2"/>
  <c r="I3" i="2"/>
  <c r="W3" i="5" s="1"/>
  <c r="D4" i="2"/>
  <c r="E4" i="2"/>
  <c r="F4" i="2"/>
  <c r="G4" i="2"/>
  <c r="H4" i="2"/>
  <c r="I4" i="2"/>
  <c r="W4" i="5" s="1"/>
  <c r="D5" i="2"/>
  <c r="M5" i="2" s="1"/>
  <c r="E5" i="2"/>
  <c r="F5" i="2"/>
  <c r="G5" i="2"/>
  <c r="H5" i="2"/>
  <c r="I5" i="2"/>
  <c r="W5" i="5" s="1"/>
  <c r="D6" i="2"/>
  <c r="E6" i="2"/>
  <c r="F6" i="2"/>
  <c r="G6" i="2"/>
  <c r="H6" i="2"/>
  <c r="I6" i="2"/>
  <c r="W6" i="5" s="1"/>
  <c r="D7" i="2"/>
  <c r="E7" i="2"/>
  <c r="F7" i="2"/>
  <c r="G7" i="2"/>
  <c r="H7" i="2"/>
  <c r="I7" i="2"/>
  <c r="W7" i="5" s="1"/>
  <c r="D8" i="2"/>
  <c r="E8" i="2"/>
  <c r="F8" i="2"/>
  <c r="L8" i="2" s="1"/>
  <c r="G8" i="2"/>
  <c r="H8" i="2"/>
  <c r="I8" i="2"/>
  <c r="W8" i="5" s="1"/>
  <c r="D9" i="2"/>
  <c r="E9" i="2"/>
  <c r="F9" i="2"/>
  <c r="G9" i="2"/>
  <c r="H9" i="2"/>
  <c r="I9" i="2"/>
  <c r="W9" i="5" s="1"/>
  <c r="D10" i="2"/>
  <c r="E10" i="2"/>
  <c r="F10" i="2"/>
  <c r="G10" i="2"/>
  <c r="H10" i="2"/>
  <c r="I10" i="2"/>
  <c r="W10" i="5" s="1"/>
  <c r="D11" i="2"/>
  <c r="E11" i="2"/>
  <c r="F11" i="2"/>
  <c r="G11" i="2"/>
  <c r="H11" i="2"/>
  <c r="I11" i="2"/>
  <c r="W11" i="5" s="1"/>
  <c r="D12" i="2"/>
  <c r="E12" i="2"/>
  <c r="F12" i="2"/>
  <c r="G12" i="2"/>
  <c r="H12" i="2"/>
  <c r="I12" i="2"/>
  <c r="W12" i="5" s="1"/>
  <c r="D13" i="2"/>
  <c r="E13" i="2"/>
  <c r="F13" i="2"/>
  <c r="G13" i="2"/>
  <c r="H13" i="2"/>
  <c r="I13" i="2"/>
  <c r="W13" i="5" s="1"/>
  <c r="D14" i="2"/>
  <c r="E14" i="2"/>
  <c r="F14" i="2"/>
  <c r="G14" i="2"/>
  <c r="H14" i="2"/>
  <c r="I14" i="2"/>
  <c r="W14" i="5" s="1"/>
  <c r="D15" i="2"/>
  <c r="E15" i="2"/>
  <c r="F15" i="2"/>
  <c r="G15" i="2"/>
  <c r="H15" i="2"/>
  <c r="I15" i="2"/>
  <c r="W15" i="5" s="1"/>
  <c r="D16" i="2"/>
  <c r="E16" i="2"/>
  <c r="F16" i="2"/>
  <c r="G16" i="2"/>
  <c r="H16" i="2"/>
  <c r="I16" i="2"/>
  <c r="W16" i="5" s="1"/>
  <c r="D17" i="2"/>
  <c r="M17" i="2" s="1"/>
  <c r="E17" i="2"/>
  <c r="F17" i="2"/>
  <c r="G17" i="2"/>
  <c r="H17" i="2"/>
  <c r="I17" i="2"/>
  <c r="W17" i="5" s="1"/>
  <c r="D18" i="2"/>
  <c r="E18" i="2"/>
  <c r="F18" i="2"/>
  <c r="G18" i="2"/>
  <c r="H18" i="2"/>
  <c r="I18" i="2"/>
  <c r="W18" i="5" s="1"/>
  <c r="D19" i="2"/>
  <c r="E19" i="2"/>
  <c r="F19" i="2"/>
  <c r="G19" i="2"/>
  <c r="H19" i="2"/>
  <c r="I19" i="2"/>
  <c r="W19" i="5" s="1"/>
  <c r="D20" i="2"/>
  <c r="E20" i="2"/>
  <c r="F20" i="2"/>
  <c r="G20" i="2"/>
  <c r="H20" i="2"/>
  <c r="I20" i="2"/>
  <c r="W20" i="5" s="1"/>
  <c r="D21" i="2"/>
  <c r="E21" i="2"/>
  <c r="F21" i="2"/>
  <c r="G21" i="2"/>
  <c r="H21" i="2"/>
  <c r="I21" i="2"/>
  <c r="W21" i="5" s="1"/>
  <c r="D22" i="2"/>
  <c r="E22" i="2"/>
  <c r="F22" i="2"/>
  <c r="G22" i="2"/>
  <c r="H22" i="2"/>
  <c r="I22" i="2"/>
  <c r="W22" i="5" s="1"/>
  <c r="D23" i="2"/>
  <c r="M23" i="2" s="1"/>
  <c r="E23" i="2"/>
  <c r="F23" i="2"/>
  <c r="G23" i="2"/>
  <c r="H23" i="2"/>
  <c r="I23" i="2"/>
  <c r="W23" i="5" s="1"/>
  <c r="D24" i="2"/>
  <c r="E24" i="2"/>
  <c r="F24" i="2"/>
  <c r="G24" i="2"/>
  <c r="H24" i="2"/>
  <c r="I24" i="2"/>
  <c r="W24" i="5" s="1"/>
  <c r="D25" i="2"/>
  <c r="E25" i="2"/>
  <c r="F25" i="2"/>
  <c r="G25" i="2"/>
  <c r="H25" i="2"/>
  <c r="I25" i="2"/>
  <c r="W25" i="5" s="1"/>
  <c r="D26" i="2"/>
  <c r="E26" i="2"/>
  <c r="F26" i="2"/>
  <c r="G26" i="2"/>
  <c r="H26" i="2"/>
  <c r="I26" i="2"/>
  <c r="W26" i="5" s="1"/>
  <c r="D27" i="2"/>
  <c r="E27" i="2"/>
  <c r="F27" i="2"/>
  <c r="G27" i="2"/>
  <c r="H27" i="2"/>
  <c r="I27" i="2"/>
  <c r="W27" i="5" s="1"/>
  <c r="D28" i="2"/>
  <c r="E28" i="2"/>
  <c r="F28" i="2"/>
  <c r="G28" i="2"/>
  <c r="H28" i="2"/>
  <c r="I28" i="2"/>
  <c r="W28" i="5" s="1"/>
  <c r="D29" i="2"/>
  <c r="E29" i="2"/>
  <c r="F29" i="2"/>
  <c r="G29" i="2"/>
  <c r="H29" i="2"/>
  <c r="I29" i="2"/>
  <c r="W29" i="5" s="1"/>
  <c r="D30" i="2"/>
  <c r="E30" i="2"/>
  <c r="F30" i="2"/>
  <c r="G30" i="2"/>
  <c r="H30" i="2"/>
  <c r="I30" i="2"/>
  <c r="W30" i="5" s="1"/>
  <c r="D31" i="2"/>
  <c r="E31" i="2"/>
  <c r="F31" i="2"/>
  <c r="G31" i="2"/>
  <c r="H31" i="2"/>
  <c r="I31" i="2"/>
  <c r="W31" i="5" s="1"/>
  <c r="D32" i="2"/>
  <c r="E32" i="2"/>
  <c r="L32" i="2" s="1"/>
  <c r="F32" i="2"/>
  <c r="G32" i="2"/>
  <c r="H32" i="2"/>
  <c r="I32" i="2"/>
  <c r="W32" i="5" s="1"/>
  <c r="D33" i="2"/>
  <c r="E33" i="2"/>
  <c r="F33" i="2"/>
  <c r="G33" i="2"/>
  <c r="H33" i="2"/>
  <c r="I33" i="2"/>
  <c r="W33" i="5" s="1"/>
  <c r="D34" i="2"/>
  <c r="E34" i="2"/>
  <c r="F34" i="2"/>
  <c r="G34" i="2"/>
  <c r="H34" i="2"/>
  <c r="I34" i="2"/>
  <c r="W34" i="5" s="1"/>
  <c r="D35" i="2"/>
  <c r="E35" i="2"/>
  <c r="F35" i="2"/>
  <c r="G35" i="2"/>
  <c r="H35" i="2"/>
  <c r="I35" i="2"/>
  <c r="W35" i="5" s="1"/>
  <c r="D36" i="2"/>
  <c r="E36" i="2"/>
  <c r="F36" i="2"/>
  <c r="G36" i="2"/>
  <c r="H36" i="2"/>
  <c r="I36" i="2"/>
  <c r="W36" i="5" s="1"/>
  <c r="D37" i="2"/>
  <c r="E37" i="2"/>
  <c r="F37" i="2"/>
  <c r="G37" i="2"/>
  <c r="H37" i="2"/>
  <c r="I37" i="2"/>
  <c r="W37" i="5" s="1"/>
  <c r="D38" i="2"/>
  <c r="L38" i="2" s="1"/>
  <c r="E38" i="2"/>
  <c r="F38" i="2"/>
  <c r="G38" i="2"/>
  <c r="H38" i="2"/>
  <c r="I38" i="2"/>
  <c r="W38" i="5" s="1"/>
  <c r="D39" i="2"/>
  <c r="E39" i="2"/>
  <c r="F39" i="2"/>
  <c r="G39" i="2"/>
  <c r="H39" i="2"/>
  <c r="I39" i="2"/>
  <c r="W39" i="5" s="1"/>
  <c r="D40" i="2"/>
  <c r="E40" i="2"/>
  <c r="F40" i="2"/>
  <c r="G40" i="2"/>
  <c r="H40" i="2"/>
  <c r="I40" i="2"/>
  <c r="W40" i="5" s="1"/>
  <c r="D41" i="2"/>
  <c r="E41" i="2"/>
  <c r="F41" i="2"/>
  <c r="G41" i="2"/>
  <c r="H41" i="2"/>
  <c r="I41" i="2"/>
  <c r="W41" i="5" s="1"/>
  <c r="D42" i="2"/>
  <c r="E42" i="2"/>
  <c r="F42" i="2"/>
  <c r="G42" i="2"/>
  <c r="H42" i="2"/>
  <c r="I42" i="2"/>
  <c r="W42" i="5" s="1"/>
  <c r="D43" i="2"/>
  <c r="E43" i="2"/>
  <c r="F43" i="2"/>
  <c r="G43" i="2"/>
  <c r="H43" i="2"/>
  <c r="I43" i="2"/>
  <c r="W43" i="5" s="1"/>
  <c r="D44" i="2"/>
  <c r="E44" i="2"/>
  <c r="F44" i="2"/>
  <c r="G44" i="2"/>
  <c r="H44" i="2"/>
  <c r="I44" i="2"/>
  <c r="W44" i="5" s="1"/>
  <c r="D45" i="2"/>
  <c r="E45" i="2"/>
  <c r="F45" i="2"/>
  <c r="G45" i="2"/>
  <c r="H45" i="2"/>
  <c r="I45" i="2"/>
  <c r="W45" i="5" s="1"/>
  <c r="D46" i="2"/>
  <c r="E46" i="2"/>
  <c r="F46" i="2"/>
  <c r="G46" i="2"/>
  <c r="H46" i="2"/>
  <c r="I46" i="2"/>
  <c r="W46" i="5" s="1"/>
  <c r="D47" i="2"/>
  <c r="E47" i="2"/>
  <c r="F47" i="2"/>
  <c r="G47" i="2"/>
  <c r="H47" i="2"/>
  <c r="I47" i="2"/>
  <c r="W47" i="5" s="1"/>
  <c r="D48" i="2"/>
  <c r="E48" i="2"/>
  <c r="F48" i="2"/>
  <c r="G48" i="2"/>
  <c r="H48" i="2"/>
  <c r="I48" i="2"/>
  <c r="W48" i="5" s="1"/>
  <c r="D49" i="2"/>
  <c r="E49" i="2"/>
  <c r="F49" i="2"/>
  <c r="G49" i="2"/>
  <c r="H49" i="2"/>
  <c r="I49" i="2"/>
  <c r="W49" i="5" s="1"/>
  <c r="D50" i="2"/>
  <c r="E50" i="2"/>
  <c r="F50" i="2"/>
  <c r="G50" i="2"/>
  <c r="H50" i="2"/>
  <c r="I50" i="2"/>
  <c r="W50" i="5" s="1"/>
  <c r="D51" i="2"/>
  <c r="E51" i="2"/>
  <c r="F51" i="2"/>
  <c r="G51" i="2"/>
  <c r="H51" i="2"/>
  <c r="I51" i="2"/>
  <c r="W51" i="5" s="1"/>
  <c r="D52" i="2"/>
  <c r="E52" i="2"/>
  <c r="F52" i="2"/>
  <c r="G52" i="2"/>
  <c r="H52" i="2"/>
  <c r="I52" i="2"/>
  <c r="W52" i="5" s="1"/>
  <c r="D53" i="2"/>
  <c r="E53" i="2"/>
  <c r="F53" i="2"/>
  <c r="G53" i="2"/>
  <c r="H53" i="2"/>
  <c r="I53" i="2"/>
  <c r="W53" i="5" s="1"/>
  <c r="L53" i="2"/>
  <c r="D54" i="2"/>
  <c r="E54" i="2"/>
  <c r="F54" i="2"/>
  <c r="G54" i="2"/>
  <c r="H54" i="2"/>
  <c r="I54" i="2"/>
  <c r="W54" i="5" s="1"/>
  <c r="D55" i="2"/>
  <c r="E55" i="2"/>
  <c r="F55" i="2"/>
  <c r="G55" i="2"/>
  <c r="H55" i="2"/>
  <c r="I55" i="2"/>
  <c r="W55" i="5" s="1"/>
  <c r="D56" i="2"/>
  <c r="E56" i="2"/>
  <c r="F56" i="2"/>
  <c r="G56" i="2"/>
  <c r="H56" i="2"/>
  <c r="I56" i="2"/>
  <c r="W56" i="5" s="1"/>
  <c r="D57" i="2"/>
  <c r="E57" i="2"/>
  <c r="F57" i="2"/>
  <c r="G57" i="2"/>
  <c r="H57" i="2"/>
  <c r="I57" i="2"/>
  <c r="W57" i="5" s="1"/>
  <c r="D58" i="2"/>
  <c r="E58" i="2"/>
  <c r="F58" i="2"/>
  <c r="G58" i="2"/>
  <c r="H58" i="2"/>
  <c r="I58" i="2"/>
  <c r="W58" i="5" s="1"/>
  <c r="D59" i="2"/>
  <c r="E59" i="2"/>
  <c r="F59" i="2"/>
  <c r="G59" i="2"/>
  <c r="H59" i="2"/>
  <c r="I59" i="2"/>
  <c r="W59" i="5" s="1"/>
  <c r="D60" i="2"/>
  <c r="E60" i="2"/>
  <c r="F60" i="2"/>
  <c r="G60" i="2"/>
  <c r="H60" i="2"/>
  <c r="I60" i="2"/>
  <c r="W60" i="5" s="1"/>
  <c r="D61" i="2"/>
  <c r="E61" i="2"/>
  <c r="F61" i="2"/>
  <c r="G61" i="2"/>
  <c r="H61" i="2"/>
  <c r="I61" i="2"/>
  <c r="W61" i="5" s="1"/>
  <c r="D62" i="2"/>
  <c r="E62" i="2"/>
  <c r="F62" i="2"/>
  <c r="G62" i="2"/>
  <c r="H62" i="2"/>
  <c r="I62" i="2"/>
  <c r="W62" i="5" s="1"/>
  <c r="D63" i="2"/>
  <c r="E63" i="2"/>
  <c r="F63" i="2"/>
  <c r="G63" i="2"/>
  <c r="H63" i="2"/>
  <c r="I63" i="2"/>
  <c r="W63" i="5" s="1"/>
  <c r="D64" i="2"/>
  <c r="E64" i="2"/>
  <c r="F64" i="2"/>
  <c r="G64" i="2"/>
  <c r="H64" i="2"/>
  <c r="I64" i="2"/>
  <c r="W64" i="5" s="1"/>
  <c r="D65" i="2"/>
  <c r="E65" i="2"/>
  <c r="F65" i="2"/>
  <c r="G65" i="2"/>
  <c r="H65" i="2"/>
  <c r="I65" i="2"/>
  <c r="W65" i="5" s="1"/>
  <c r="D66" i="2"/>
  <c r="E66" i="2"/>
  <c r="F66" i="2"/>
  <c r="G66" i="2"/>
  <c r="H66" i="2"/>
  <c r="I66" i="2"/>
  <c r="W66" i="5" s="1"/>
  <c r="D67" i="2"/>
  <c r="E67" i="2"/>
  <c r="F67" i="2"/>
  <c r="G67" i="2"/>
  <c r="H67" i="2"/>
  <c r="I67" i="2"/>
  <c r="W67" i="5" s="1"/>
  <c r="D68" i="2"/>
  <c r="E68" i="2"/>
  <c r="L68" i="2" s="1"/>
  <c r="F68" i="2"/>
  <c r="G68" i="2"/>
  <c r="H68" i="2"/>
  <c r="I68" i="2"/>
  <c r="W68" i="5" s="1"/>
  <c r="D69" i="2"/>
  <c r="E69" i="2"/>
  <c r="F69" i="2"/>
  <c r="G69" i="2"/>
  <c r="H69" i="2"/>
  <c r="I69" i="2"/>
  <c r="W69" i="5" s="1"/>
  <c r="D70" i="2"/>
  <c r="E70" i="2"/>
  <c r="F70" i="2"/>
  <c r="G70" i="2"/>
  <c r="H70" i="2"/>
  <c r="I70" i="2"/>
  <c r="W70" i="5" s="1"/>
  <c r="D71" i="2"/>
  <c r="E71" i="2"/>
  <c r="F71" i="2"/>
  <c r="G71" i="2"/>
  <c r="H71" i="2"/>
  <c r="I71" i="2"/>
  <c r="W71" i="5" s="1"/>
  <c r="D72" i="2"/>
  <c r="E72" i="2"/>
  <c r="F72" i="2"/>
  <c r="G72" i="2"/>
  <c r="H72" i="2"/>
  <c r="I72" i="2"/>
  <c r="W72" i="5" s="1"/>
  <c r="D73" i="2"/>
  <c r="E73" i="2"/>
  <c r="F73" i="2"/>
  <c r="G73" i="2"/>
  <c r="H73" i="2"/>
  <c r="I73" i="2"/>
  <c r="W73" i="5" s="1"/>
  <c r="D74" i="2"/>
  <c r="L74" i="2" s="1"/>
  <c r="E74" i="2"/>
  <c r="F74" i="2"/>
  <c r="G74" i="2"/>
  <c r="H74" i="2"/>
  <c r="I74" i="2"/>
  <c r="W74" i="5" s="1"/>
  <c r="D75" i="2"/>
  <c r="E75" i="2"/>
  <c r="F75" i="2"/>
  <c r="G75" i="2"/>
  <c r="H75" i="2"/>
  <c r="I75" i="2"/>
  <c r="W75" i="5" s="1"/>
  <c r="D76" i="2"/>
  <c r="E76" i="2"/>
  <c r="F76" i="2"/>
  <c r="G76" i="2"/>
  <c r="H76" i="2"/>
  <c r="I76" i="2"/>
  <c r="W76" i="5" s="1"/>
  <c r="D77" i="2"/>
  <c r="E77" i="2"/>
  <c r="F77" i="2"/>
  <c r="G77" i="2"/>
  <c r="H77" i="2"/>
  <c r="I77" i="2"/>
  <c r="W77" i="5" s="1"/>
  <c r="D78" i="2"/>
  <c r="E78" i="2"/>
  <c r="F78" i="2"/>
  <c r="G78" i="2"/>
  <c r="H78" i="2"/>
  <c r="I78" i="2"/>
  <c r="W78" i="5" s="1"/>
  <c r="D79" i="2"/>
  <c r="E79" i="2"/>
  <c r="F79" i="2"/>
  <c r="G79" i="2"/>
  <c r="H79" i="2"/>
  <c r="I79" i="2"/>
  <c r="W79" i="5" s="1"/>
  <c r="D80" i="2"/>
  <c r="E80" i="2"/>
  <c r="L80" i="2" s="1"/>
  <c r="F80" i="2"/>
  <c r="G80" i="2"/>
  <c r="H80" i="2"/>
  <c r="I80" i="2"/>
  <c r="W80" i="5" s="1"/>
  <c r="D81" i="2"/>
  <c r="E81" i="2"/>
  <c r="F81" i="2"/>
  <c r="G81" i="2"/>
  <c r="H81" i="2"/>
  <c r="I81" i="2"/>
  <c r="W81" i="5" s="1"/>
  <c r="D82" i="2"/>
  <c r="E82" i="2"/>
  <c r="F82" i="2"/>
  <c r="G82" i="2"/>
  <c r="H82" i="2"/>
  <c r="I82" i="2"/>
  <c r="W82" i="5" s="1"/>
  <c r="D83" i="2"/>
  <c r="M83" i="2" s="1"/>
  <c r="E83" i="2"/>
  <c r="F83" i="2"/>
  <c r="G83" i="2"/>
  <c r="H83" i="2"/>
  <c r="L83" i="2" s="1"/>
  <c r="I83" i="2"/>
  <c r="W83" i="5" s="1"/>
  <c r="D84" i="2"/>
  <c r="E84" i="2"/>
  <c r="F84" i="2"/>
  <c r="G84" i="2"/>
  <c r="H84" i="2"/>
  <c r="I84" i="2"/>
  <c r="W84" i="5" s="1"/>
  <c r="D85" i="2"/>
  <c r="E85" i="2"/>
  <c r="F85" i="2"/>
  <c r="G85" i="2"/>
  <c r="H85" i="2"/>
  <c r="I85" i="2"/>
  <c r="W85" i="5" s="1"/>
  <c r="D86" i="2"/>
  <c r="E86" i="2"/>
  <c r="F86" i="2"/>
  <c r="G86" i="2"/>
  <c r="H86" i="2"/>
  <c r="I86" i="2"/>
  <c r="W86" i="5" s="1"/>
  <c r="D87" i="2"/>
  <c r="E87" i="2"/>
  <c r="F87" i="2"/>
  <c r="G87" i="2"/>
  <c r="H87" i="2"/>
  <c r="I87" i="2"/>
  <c r="W87" i="5" s="1"/>
  <c r="D88" i="2"/>
  <c r="E88" i="2"/>
  <c r="F88" i="2"/>
  <c r="G88" i="2"/>
  <c r="H88" i="2"/>
  <c r="I88" i="2"/>
  <c r="W88" i="5" s="1"/>
  <c r="D89" i="2"/>
  <c r="E89" i="2"/>
  <c r="F89" i="2"/>
  <c r="G89" i="2"/>
  <c r="H89" i="2"/>
  <c r="I89" i="2"/>
  <c r="W89" i="5" s="1"/>
  <c r="L89" i="2"/>
  <c r="D90" i="2"/>
  <c r="L90" i="2" s="1"/>
  <c r="E90" i="2"/>
  <c r="F90" i="2"/>
  <c r="G90" i="2"/>
  <c r="H90" i="2"/>
  <c r="I90" i="2"/>
  <c r="W90" i="5" s="1"/>
  <c r="D91" i="2"/>
  <c r="E91" i="2"/>
  <c r="F91" i="2"/>
  <c r="G91" i="2"/>
  <c r="H91" i="2"/>
  <c r="I91" i="2"/>
  <c r="W91" i="5" s="1"/>
  <c r="D92" i="2"/>
  <c r="M92" i="2" s="1"/>
  <c r="E92" i="2"/>
  <c r="F92" i="2"/>
  <c r="G92" i="2"/>
  <c r="H92" i="2"/>
  <c r="I92" i="2"/>
  <c r="W92" i="5" s="1"/>
  <c r="D93" i="2"/>
  <c r="E93" i="2"/>
  <c r="F93" i="2"/>
  <c r="G93" i="2"/>
  <c r="H93" i="2"/>
  <c r="I93" i="2"/>
  <c r="W93" i="5" s="1"/>
  <c r="D94" i="2"/>
  <c r="E94" i="2"/>
  <c r="F94" i="2"/>
  <c r="G94" i="2"/>
  <c r="H94" i="2"/>
  <c r="I94" i="2"/>
  <c r="W94" i="5" s="1"/>
  <c r="D95" i="2"/>
  <c r="E95" i="2"/>
  <c r="F95" i="2"/>
  <c r="G95" i="2"/>
  <c r="H95" i="2"/>
  <c r="I95" i="2"/>
  <c r="W95" i="5" s="1"/>
  <c r="D96" i="2"/>
  <c r="E96" i="2"/>
  <c r="F96" i="2"/>
  <c r="G96" i="2"/>
  <c r="H96" i="2"/>
  <c r="I96" i="2"/>
  <c r="W96" i="5" s="1"/>
  <c r="D97" i="2"/>
  <c r="E97" i="2"/>
  <c r="F97" i="2"/>
  <c r="G97" i="2"/>
  <c r="H97" i="2"/>
  <c r="I97" i="2"/>
  <c r="W97" i="5" s="1"/>
  <c r="D98" i="2"/>
  <c r="L98" i="2" s="1"/>
  <c r="E98" i="2"/>
  <c r="F98" i="2"/>
  <c r="G98" i="2"/>
  <c r="H98" i="2"/>
  <c r="I98" i="2"/>
  <c r="W98" i="5" s="1"/>
  <c r="D99" i="2"/>
  <c r="E99" i="2"/>
  <c r="F99" i="2"/>
  <c r="G99" i="2"/>
  <c r="H99" i="2"/>
  <c r="I99" i="2"/>
  <c r="W99" i="5" s="1"/>
  <c r="D100" i="2"/>
  <c r="L100" i="2" s="1"/>
  <c r="E100" i="2"/>
  <c r="F100" i="2"/>
  <c r="G100" i="2"/>
  <c r="H100" i="2"/>
  <c r="I100" i="2"/>
  <c r="W100" i="5" s="1"/>
  <c r="D101" i="2"/>
  <c r="E101" i="2"/>
  <c r="F101" i="2"/>
  <c r="G101" i="2"/>
  <c r="H101" i="2"/>
  <c r="I101" i="2"/>
  <c r="W101" i="5" s="1"/>
  <c r="D102" i="2"/>
  <c r="E102" i="2"/>
  <c r="F102" i="2"/>
  <c r="G102" i="2"/>
  <c r="H102" i="2"/>
  <c r="I102" i="2"/>
  <c r="W102" i="5" s="1"/>
  <c r="D103" i="2"/>
  <c r="E103" i="2"/>
  <c r="F103" i="2"/>
  <c r="G103" i="2"/>
  <c r="H103" i="2"/>
  <c r="I103" i="2"/>
  <c r="W103" i="5" s="1"/>
  <c r="D104" i="2"/>
  <c r="E104" i="2"/>
  <c r="F104" i="2"/>
  <c r="G104" i="2"/>
  <c r="H104" i="2"/>
  <c r="I104" i="2"/>
  <c r="W104" i="5" s="1"/>
  <c r="D105" i="2"/>
  <c r="E105" i="2"/>
  <c r="F105" i="2"/>
  <c r="G105" i="2"/>
  <c r="H105" i="2"/>
  <c r="I105" i="2"/>
  <c r="W105" i="5" s="1"/>
  <c r="D106" i="2"/>
  <c r="E106" i="2"/>
  <c r="F106" i="2"/>
  <c r="G106" i="2"/>
  <c r="H106" i="2"/>
  <c r="I106" i="2"/>
  <c r="W106" i="5" s="1"/>
  <c r="D107" i="2"/>
  <c r="E107" i="2"/>
  <c r="F107" i="2"/>
  <c r="G107" i="2"/>
  <c r="H107" i="2"/>
  <c r="I107" i="2"/>
  <c r="W107" i="5" s="1"/>
  <c r="D108" i="2"/>
  <c r="E108" i="2"/>
  <c r="F108" i="2"/>
  <c r="G108" i="2"/>
  <c r="H108" i="2"/>
  <c r="I108" i="2"/>
  <c r="W108" i="5" s="1"/>
  <c r="D109" i="2"/>
  <c r="E109" i="2"/>
  <c r="F109" i="2"/>
  <c r="G109" i="2"/>
  <c r="H109" i="2"/>
  <c r="I109" i="2"/>
  <c r="W109" i="5" s="1"/>
  <c r="D110" i="2"/>
  <c r="L110" i="2" s="1"/>
  <c r="E110" i="2"/>
  <c r="F110" i="2"/>
  <c r="G110" i="2"/>
  <c r="H110" i="2"/>
  <c r="I110" i="2"/>
  <c r="W110" i="5" s="1"/>
  <c r="D111" i="2"/>
  <c r="E111" i="2"/>
  <c r="F111" i="2"/>
  <c r="G111" i="2"/>
  <c r="H111" i="2"/>
  <c r="I111" i="2"/>
  <c r="W111" i="5" s="1"/>
  <c r="D112" i="2"/>
  <c r="E112" i="2"/>
  <c r="F112" i="2"/>
  <c r="G112" i="2"/>
  <c r="H112" i="2"/>
  <c r="I112" i="2"/>
  <c r="W112" i="5" s="1"/>
  <c r="D113" i="2"/>
  <c r="E113" i="2"/>
  <c r="F113" i="2"/>
  <c r="G113" i="2"/>
  <c r="H113" i="2"/>
  <c r="I113" i="2"/>
  <c r="W113" i="5" s="1"/>
  <c r="D114" i="2"/>
  <c r="E114" i="2"/>
  <c r="F114" i="2"/>
  <c r="G114" i="2"/>
  <c r="H114" i="2"/>
  <c r="I114" i="2"/>
  <c r="W114" i="5" s="1"/>
  <c r="D115" i="2"/>
  <c r="E115" i="2"/>
  <c r="F115" i="2"/>
  <c r="G115" i="2"/>
  <c r="H115" i="2"/>
  <c r="I115" i="2"/>
  <c r="W115" i="5" s="1"/>
  <c r="D116" i="2"/>
  <c r="E116" i="2"/>
  <c r="F116" i="2"/>
  <c r="G116" i="2"/>
  <c r="H116" i="2"/>
  <c r="I116" i="2"/>
  <c r="W116" i="5" s="1"/>
  <c r="D117" i="2"/>
  <c r="E117" i="2"/>
  <c r="F117" i="2"/>
  <c r="G117" i="2"/>
  <c r="H117" i="2"/>
  <c r="I117" i="2"/>
  <c r="W117" i="5" s="1"/>
  <c r="D118" i="2"/>
  <c r="E118" i="2"/>
  <c r="F118" i="2"/>
  <c r="G118" i="2"/>
  <c r="H118" i="2"/>
  <c r="I118" i="2"/>
  <c r="W118" i="5" s="1"/>
  <c r="D119" i="2"/>
  <c r="E119" i="2"/>
  <c r="F119" i="2"/>
  <c r="G119" i="2"/>
  <c r="H119" i="2"/>
  <c r="I119" i="2"/>
  <c r="W119" i="5" s="1"/>
  <c r="D120" i="2"/>
  <c r="E120" i="2"/>
  <c r="F120" i="2"/>
  <c r="G120" i="2"/>
  <c r="H120" i="2"/>
  <c r="I120" i="2"/>
  <c r="W120" i="5" s="1"/>
  <c r="D121" i="2"/>
  <c r="E121" i="2"/>
  <c r="F121" i="2"/>
  <c r="G121" i="2"/>
  <c r="H121" i="2"/>
  <c r="I121" i="2"/>
  <c r="W121" i="5" s="1"/>
  <c r="D122" i="2"/>
  <c r="E122" i="2"/>
  <c r="F122" i="2"/>
  <c r="G122" i="2"/>
  <c r="H122" i="2"/>
  <c r="I122" i="2"/>
  <c r="W122" i="5" s="1"/>
  <c r="D123" i="2"/>
  <c r="E123" i="2"/>
  <c r="F123" i="2"/>
  <c r="G123" i="2"/>
  <c r="H123" i="2"/>
  <c r="I123" i="2"/>
  <c r="W123" i="5" s="1"/>
  <c r="D124" i="2"/>
  <c r="E124" i="2"/>
  <c r="F124" i="2"/>
  <c r="G124" i="2"/>
  <c r="H124" i="2"/>
  <c r="I124" i="2"/>
  <c r="W124" i="5" s="1"/>
  <c r="D125" i="2"/>
  <c r="E125" i="2"/>
  <c r="F125" i="2"/>
  <c r="G125" i="2"/>
  <c r="H125" i="2"/>
  <c r="I125" i="2"/>
  <c r="W125" i="5" s="1"/>
  <c r="D126" i="2"/>
  <c r="E126" i="2"/>
  <c r="F126" i="2"/>
  <c r="G126" i="2"/>
  <c r="H126" i="2"/>
  <c r="I126" i="2"/>
  <c r="W126" i="5" s="1"/>
  <c r="D127" i="2"/>
  <c r="E127" i="2"/>
  <c r="F127" i="2"/>
  <c r="G127" i="2"/>
  <c r="H127" i="2"/>
  <c r="I127" i="2"/>
  <c r="W127" i="5" s="1"/>
  <c r="D128" i="2"/>
  <c r="E128" i="2"/>
  <c r="F128" i="2"/>
  <c r="G128" i="2"/>
  <c r="H128" i="2"/>
  <c r="I128" i="2"/>
  <c r="W128" i="5" s="1"/>
  <c r="D129" i="2"/>
  <c r="E129" i="2"/>
  <c r="F129" i="2"/>
  <c r="G129" i="2"/>
  <c r="H129" i="2"/>
  <c r="I129" i="2"/>
  <c r="W129" i="5" s="1"/>
  <c r="D130" i="2"/>
  <c r="E130" i="2"/>
  <c r="F130" i="2"/>
  <c r="G130" i="2"/>
  <c r="H130" i="2"/>
  <c r="I130" i="2"/>
  <c r="W130" i="5" s="1"/>
  <c r="D131" i="2"/>
  <c r="E131" i="2"/>
  <c r="F131" i="2"/>
  <c r="G131" i="2"/>
  <c r="H131" i="2"/>
  <c r="I131" i="2"/>
  <c r="W131" i="5" s="1"/>
  <c r="D132" i="2"/>
  <c r="E132" i="2"/>
  <c r="F132" i="2"/>
  <c r="G132" i="2"/>
  <c r="H132" i="2"/>
  <c r="I132" i="2"/>
  <c r="W132" i="5" s="1"/>
  <c r="D133" i="2"/>
  <c r="E133" i="2"/>
  <c r="F133" i="2"/>
  <c r="G133" i="2"/>
  <c r="H133" i="2"/>
  <c r="I133" i="2"/>
  <c r="W133" i="5" s="1"/>
  <c r="D134" i="2"/>
  <c r="E134" i="2"/>
  <c r="F134" i="2"/>
  <c r="G134" i="2"/>
  <c r="H134" i="2"/>
  <c r="I134" i="2"/>
  <c r="W134" i="5" s="1"/>
  <c r="D135" i="2"/>
  <c r="E135" i="2"/>
  <c r="F135" i="2"/>
  <c r="G135" i="2"/>
  <c r="H135" i="2"/>
  <c r="I135" i="2"/>
  <c r="W135" i="5" s="1"/>
  <c r="D136" i="2"/>
  <c r="E136" i="2"/>
  <c r="F136" i="2"/>
  <c r="G136" i="2"/>
  <c r="H136" i="2"/>
  <c r="I136" i="2"/>
  <c r="W136" i="5" s="1"/>
  <c r="D137" i="2"/>
  <c r="E137" i="2"/>
  <c r="F137" i="2"/>
  <c r="G137" i="2"/>
  <c r="H137" i="2"/>
  <c r="I137" i="2"/>
  <c r="W137" i="5" s="1"/>
  <c r="D138" i="2"/>
  <c r="E138" i="2"/>
  <c r="F138" i="2"/>
  <c r="G138" i="2"/>
  <c r="H138" i="2"/>
  <c r="I138" i="2"/>
  <c r="W138" i="5" s="1"/>
  <c r="D139" i="2"/>
  <c r="E139" i="2"/>
  <c r="F139" i="2"/>
  <c r="G139" i="2"/>
  <c r="H139" i="2"/>
  <c r="I139" i="2"/>
  <c r="W139" i="5" s="1"/>
  <c r="D140" i="2"/>
  <c r="E140" i="2"/>
  <c r="F140" i="2"/>
  <c r="G140" i="2"/>
  <c r="H140" i="2"/>
  <c r="I140" i="2"/>
  <c r="W140" i="5" s="1"/>
  <c r="D141" i="2"/>
  <c r="E141" i="2"/>
  <c r="F141" i="2"/>
  <c r="G141" i="2"/>
  <c r="H141" i="2"/>
  <c r="I141" i="2"/>
  <c r="W141" i="5" s="1"/>
  <c r="D142" i="2"/>
  <c r="E142" i="2"/>
  <c r="F142" i="2"/>
  <c r="G142" i="2"/>
  <c r="H142" i="2"/>
  <c r="I142" i="2"/>
  <c r="W142" i="5" s="1"/>
  <c r="D143" i="2"/>
  <c r="E143" i="2"/>
  <c r="F143" i="2"/>
  <c r="G143" i="2"/>
  <c r="H143" i="2"/>
  <c r="I143" i="2"/>
  <c r="W143" i="5" s="1"/>
  <c r="D144" i="2"/>
  <c r="E144" i="2"/>
  <c r="F144" i="2"/>
  <c r="G144" i="2"/>
  <c r="H144" i="2"/>
  <c r="I144" i="2"/>
  <c r="W144" i="5" s="1"/>
  <c r="D145" i="2"/>
  <c r="E145" i="2"/>
  <c r="F145" i="2"/>
  <c r="G145" i="2"/>
  <c r="H145" i="2"/>
  <c r="I145" i="2"/>
  <c r="W145" i="5" s="1"/>
  <c r="D146" i="2"/>
  <c r="E146" i="2"/>
  <c r="F146" i="2"/>
  <c r="G146" i="2"/>
  <c r="L146" i="2" s="1"/>
  <c r="H146" i="2"/>
  <c r="I146" i="2"/>
  <c r="W146" i="5" s="1"/>
  <c r="D147" i="2"/>
  <c r="E147" i="2"/>
  <c r="F147" i="2"/>
  <c r="G147" i="2"/>
  <c r="H147" i="2"/>
  <c r="I147" i="2"/>
  <c r="W147" i="5" s="1"/>
  <c r="D148" i="2"/>
  <c r="E148" i="2"/>
  <c r="F148" i="2"/>
  <c r="G148" i="2"/>
  <c r="H148" i="2"/>
  <c r="I148" i="2"/>
  <c r="W148" i="5" s="1"/>
  <c r="D149" i="2"/>
  <c r="E149" i="2"/>
  <c r="F149" i="2"/>
  <c r="G149" i="2"/>
  <c r="H149" i="2"/>
  <c r="I149" i="2"/>
  <c r="W149" i="5" s="1"/>
  <c r="D150" i="2"/>
  <c r="E150" i="2"/>
  <c r="F150" i="2"/>
  <c r="G150" i="2"/>
  <c r="H150" i="2"/>
  <c r="I150" i="2"/>
  <c r="W150" i="5" s="1"/>
  <c r="D151" i="2"/>
  <c r="E151" i="2"/>
  <c r="F151" i="2"/>
  <c r="G151" i="2"/>
  <c r="H151" i="2"/>
  <c r="I151" i="2"/>
  <c r="W151" i="5" s="1"/>
  <c r="D152" i="2"/>
  <c r="E152" i="2"/>
  <c r="F152" i="2"/>
  <c r="G152" i="2"/>
  <c r="H152" i="2"/>
  <c r="I152" i="2"/>
  <c r="W152" i="5" s="1"/>
  <c r="D153" i="2"/>
  <c r="E153" i="2"/>
  <c r="F153" i="2"/>
  <c r="G153" i="2"/>
  <c r="H153" i="2"/>
  <c r="I153" i="2"/>
  <c r="W153" i="5" s="1"/>
  <c r="D154" i="2"/>
  <c r="E154" i="2"/>
  <c r="F154" i="2"/>
  <c r="G154" i="2"/>
  <c r="H154" i="2"/>
  <c r="I154" i="2"/>
  <c r="W154" i="5" s="1"/>
  <c r="D155" i="2"/>
  <c r="L155" i="2" s="1"/>
  <c r="E155" i="2"/>
  <c r="F155" i="2"/>
  <c r="G155" i="2"/>
  <c r="H155" i="2"/>
  <c r="I155" i="2"/>
  <c r="W155" i="5" s="1"/>
  <c r="D156" i="2"/>
  <c r="E156" i="2"/>
  <c r="F156" i="2"/>
  <c r="G156" i="2"/>
  <c r="H156" i="2"/>
  <c r="I156" i="2"/>
  <c r="W156" i="5" s="1"/>
  <c r="D157" i="2"/>
  <c r="E157" i="2"/>
  <c r="F157" i="2"/>
  <c r="G157" i="2"/>
  <c r="H157" i="2"/>
  <c r="I157" i="2"/>
  <c r="W157" i="5" s="1"/>
  <c r="D158" i="2"/>
  <c r="E158" i="2"/>
  <c r="F158" i="2"/>
  <c r="G158" i="2"/>
  <c r="H158" i="2"/>
  <c r="I158" i="2"/>
  <c r="W158" i="5" s="1"/>
  <c r="D159" i="2"/>
  <c r="E159" i="2"/>
  <c r="F159" i="2"/>
  <c r="G159" i="2"/>
  <c r="H159" i="2"/>
  <c r="I159" i="2"/>
  <c r="W159" i="5" s="1"/>
  <c r="D160" i="2"/>
  <c r="E160" i="2"/>
  <c r="F160" i="2"/>
  <c r="G160" i="2"/>
  <c r="H160" i="2"/>
  <c r="I160" i="2"/>
  <c r="W160" i="5" s="1"/>
  <c r="D161" i="2"/>
  <c r="L161" i="2" s="1"/>
  <c r="E161" i="2"/>
  <c r="F161" i="2"/>
  <c r="G161" i="2"/>
  <c r="H161" i="2"/>
  <c r="I161" i="2"/>
  <c r="W161" i="5" s="1"/>
  <c r="D162" i="2"/>
  <c r="E162" i="2"/>
  <c r="F162" i="2"/>
  <c r="G162" i="2"/>
  <c r="H162" i="2"/>
  <c r="I162" i="2"/>
  <c r="W162" i="5" s="1"/>
  <c r="D163" i="2"/>
  <c r="E163" i="2"/>
  <c r="F163" i="2"/>
  <c r="G163" i="2"/>
  <c r="H163" i="2"/>
  <c r="I163" i="2"/>
  <c r="W163" i="5" s="1"/>
  <c r="D164" i="2"/>
  <c r="E164" i="2"/>
  <c r="F164" i="2"/>
  <c r="G164" i="2"/>
  <c r="H164" i="2"/>
  <c r="I164" i="2"/>
  <c r="W164" i="5" s="1"/>
  <c r="D165" i="2"/>
  <c r="E165" i="2"/>
  <c r="F165" i="2"/>
  <c r="G165" i="2"/>
  <c r="H165" i="2"/>
  <c r="I165" i="2"/>
  <c r="W165" i="5" s="1"/>
  <c r="D166" i="2"/>
  <c r="E166" i="2"/>
  <c r="F166" i="2"/>
  <c r="G166" i="2"/>
  <c r="H166" i="2"/>
  <c r="I166" i="2"/>
  <c r="W166" i="5" s="1"/>
  <c r="D167" i="2"/>
  <c r="E167" i="2"/>
  <c r="F167" i="2"/>
  <c r="G167" i="2"/>
  <c r="H167" i="2"/>
  <c r="I167" i="2"/>
  <c r="W167" i="5" s="1"/>
  <c r="D168" i="2"/>
  <c r="E168" i="2"/>
  <c r="F168" i="2"/>
  <c r="G168" i="2"/>
  <c r="H168" i="2"/>
  <c r="I168" i="2"/>
  <c r="W168" i="5" s="1"/>
  <c r="D169" i="2"/>
  <c r="E169" i="2"/>
  <c r="F169" i="2"/>
  <c r="G169" i="2"/>
  <c r="H169" i="2"/>
  <c r="I169" i="2"/>
  <c r="W169" i="5" s="1"/>
  <c r="D170" i="2"/>
  <c r="E170" i="2"/>
  <c r="F170" i="2"/>
  <c r="G170" i="2"/>
  <c r="H170" i="2"/>
  <c r="I170" i="2"/>
  <c r="W170" i="5" s="1"/>
  <c r="D171" i="2"/>
  <c r="E171" i="2"/>
  <c r="F171" i="2"/>
  <c r="G171" i="2"/>
  <c r="H171" i="2"/>
  <c r="I171" i="2"/>
  <c r="W171" i="5" s="1"/>
  <c r="D172" i="2"/>
  <c r="E172" i="2"/>
  <c r="F172" i="2"/>
  <c r="G172" i="2"/>
  <c r="H172" i="2"/>
  <c r="I172" i="2"/>
  <c r="W172" i="5" s="1"/>
  <c r="D173" i="2"/>
  <c r="E173" i="2"/>
  <c r="F173" i="2"/>
  <c r="G173" i="2"/>
  <c r="H173" i="2"/>
  <c r="I173" i="2"/>
  <c r="W173" i="5" s="1"/>
  <c r="D174" i="2"/>
  <c r="E174" i="2"/>
  <c r="F174" i="2"/>
  <c r="G174" i="2"/>
  <c r="H174" i="2"/>
  <c r="I174" i="2"/>
  <c r="W174" i="5" s="1"/>
  <c r="D175" i="2"/>
  <c r="E175" i="2"/>
  <c r="F175" i="2"/>
  <c r="G175" i="2"/>
  <c r="H175" i="2"/>
  <c r="I175" i="2"/>
  <c r="W175" i="5" s="1"/>
  <c r="D176" i="2"/>
  <c r="E176" i="2"/>
  <c r="F176" i="2"/>
  <c r="G176" i="2"/>
  <c r="H176" i="2"/>
  <c r="I176" i="2"/>
  <c r="W176" i="5" s="1"/>
  <c r="D177" i="2"/>
  <c r="E177" i="2"/>
  <c r="F177" i="2"/>
  <c r="G177" i="2"/>
  <c r="H177" i="2"/>
  <c r="I177" i="2"/>
  <c r="W177" i="5" s="1"/>
  <c r="D178" i="2"/>
  <c r="E178" i="2"/>
  <c r="F178" i="2"/>
  <c r="G178" i="2"/>
  <c r="H178" i="2"/>
  <c r="I178" i="2"/>
  <c r="W178" i="5" s="1"/>
  <c r="D179" i="2"/>
  <c r="E179" i="2"/>
  <c r="F179" i="2"/>
  <c r="G179" i="2"/>
  <c r="H179" i="2"/>
  <c r="I179" i="2"/>
  <c r="W179" i="5" s="1"/>
  <c r="D180" i="2"/>
  <c r="E180" i="2"/>
  <c r="F180" i="2"/>
  <c r="G180" i="2"/>
  <c r="H180" i="2"/>
  <c r="I180" i="2"/>
  <c r="W180" i="5" s="1"/>
  <c r="D181" i="2"/>
  <c r="L181" i="2" s="1"/>
  <c r="E181" i="2"/>
  <c r="F181" i="2"/>
  <c r="G181" i="2"/>
  <c r="H181" i="2"/>
  <c r="I181" i="2"/>
  <c r="W181" i="5" s="1"/>
  <c r="D182" i="2"/>
  <c r="E182" i="2"/>
  <c r="F182" i="2"/>
  <c r="G182" i="2"/>
  <c r="H182" i="2"/>
  <c r="I182" i="2"/>
  <c r="W182" i="5" s="1"/>
  <c r="L182" i="2"/>
  <c r="D183" i="2"/>
  <c r="E183" i="2"/>
  <c r="F183" i="2"/>
  <c r="G183" i="2"/>
  <c r="H183" i="2"/>
  <c r="I183" i="2"/>
  <c r="W183" i="5" s="1"/>
  <c r="D184" i="2"/>
  <c r="E184" i="2"/>
  <c r="F184" i="2"/>
  <c r="G184" i="2"/>
  <c r="H184" i="2"/>
  <c r="I184" i="2"/>
  <c r="W184" i="5" s="1"/>
  <c r="D185" i="2"/>
  <c r="E185" i="2"/>
  <c r="F185" i="2"/>
  <c r="L185" i="2" s="1"/>
  <c r="G185" i="2"/>
  <c r="H185" i="2"/>
  <c r="I185" i="2"/>
  <c r="W185" i="5" s="1"/>
  <c r="D186" i="2"/>
  <c r="E186" i="2"/>
  <c r="F186" i="2"/>
  <c r="G186" i="2"/>
  <c r="H186" i="2"/>
  <c r="I186" i="2"/>
  <c r="W186" i="5" s="1"/>
  <c r="D187" i="2"/>
  <c r="E187" i="2"/>
  <c r="F187" i="2"/>
  <c r="G187" i="2"/>
  <c r="H187" i="2"/>
  <c r="I187" i="2"/>
  <c r="W187" i="5" s="1"/>
  <c r="D188" i="2"/>
  <c r="E188" i="2"/>
  <c r="F188" i="2"/>
  <c r="G188" i="2"/>
  <c r="H188" i="2"/>
  <c r="I188" i="2"/>
  <c r="W188" i="5" s="1"/>
  <c r="D189" i="2"/>
  <c r="E189" i="2"/>
  <c r="F189" i="2"/>
  <c r="G189" i="2"/>
  <c r="H189" i="2"/>
  <c r="I189" i="2"/>
  <c r="W189" i="5" s="1"/>
  <c r="D190" i="2"/>
  <c r="E190" i="2"/>
  <c r="F190" i="2"/>
  <c r="G190" i="2"/>
  <c r="H190" i="2"/>
  <c r="I190" i="2"/>
  <c r="W190" i="5" s="1"/>
  <c r="D191" i="2"/>
  <c r="E191" i="2"/>
  <c r="F191" i="2"/>
  <c r="G191" i="2"/>
  <c r="H191" i="2"/>
  <c r="I191" i="2"/>
  <c r="W191" i="5" s="1"/>
  <c r="D192" i="2"/>
  <c r="E192" i="2"/>
  <c r="F192" i="2"/>
  <c r="G192" i="2"/>
  <c r="H192" i="2"/>
  <c r="I192" i="2"/>
  <c r="W192" i="5" s="1"/>
  <c r="D193" i="2"/>
  <c r="E193" i="2"/>
  <c r="F193" i="2"/>
  <c r="G193" i="2"/>
  <c r="H193" i="2"/>
  <c r="I193" i="2"/>
  <c r="W193" i="5" s="1"/>
  <c r="D194" i="2"/>
  <c r="E194" i="2"/>
  <c r="F194" i="2"/>
  <c r="G194" i="2"/>
  <c r="H194" i="2"/>
  <c r="I194" i="2"/>
  <c r="W194" i="5" s="1"/>
  <c r="D195" i="2"/>
  <c r="E195" i="2"/>
  <c r="F195" i="2"/>
  <c r="G195" i="2"/>
  <c r="H195" i="2"/>
  <c r="I195" i="2"/>
  <c r="W195" i="5" s="1"/>
  <c r="I2" i="2"/>
  <c r="W2" i="5" s="1"/>
  <c r="I1" i="2"/>
  <c r="W1" i="5" s="1"/>
  <c r="H2" i="2"/>
  <c r="G2" i="2"/>
  <c r="F2" i="2"/>
  <c r="E2" i="2"/>
  <c r="D2" i="2"/>
  <c r="H1" i="2"/>
  <c r="G1" i="2"/>
  <c r="F1" i="2"/>
  <c r="E1" i="2"/>
  <c r="D1" i="2"/>
  <c r="A2" i="2"/>
  <c r="V2" i="5" s="1"/>
  <c r="L131" i="2" l="1"/>
  <c r="L44" i="2"/>
  <c r="L145" i="2"/>
  <c r="L143" i="2"/>
  <c r="L64" i="2"/>
  <c r="L62" i="2"/>
  <c r="M56" i="2"/>
  <c r="L54" i="2"/>
  <c r="L176" i="2"/>
  <c r="M119" i="2"/>
  <c r="L117" i="2"/>
  <c r="L113" i="2"/>
  <c r="L34" i="2"/>
  <c r="L28" i="2"/>
  <c r="L26" i="2"/>
  <c r="M20" i="2"/>
  <c r="L18" i="2"/>
  <c r="L188" i="2"/>
  <c r="L172" i="2"/>
  <c r="L170" i="2"/>
  <c r="M164" i="2"/>
  <c r="L162" i="2"/>
  <c r="L109" i="2"/>
  <c r="L107" i="2"/>
  <c r="L59" i="2"/>
  <c r="L17" i="2"/>
  <c r="M4" i="2"/>
  <c r="L152" i="2"/>
  <c r="M89" i="2"/>
  <c r="L77" i="2"/>
  <c r="L153" i="2"/>
  <c r="L140" i="2"/>
  <c r="L81" i="2"/>
  <c r="M161" i="2"/>
  <c r="M155" i="2"/>
  <c r="L136" i="2"/>
  <c r="L134" i="2"/>
  <c r="M128" i="2"/>
  <c r="L126" i="2"/>
  <c r="L73" i="2"/>
  <c r="M65" i="2"/>
  <c r="M59" i="2"/>
  <c r="L41" i="2"/>
  <c r="L29" i="2"/>
  <c r="L149" i="2"/>
  <c r="M125" i="2"/>
  <c r="L125" i="2"/>
  <c r="L116" i="2"/>
  <c r="M53" i="2"/>
  <c r="L51" i="2"/>
  <c r="M47" i="2"/>
  <c r="L45" i="2"/>
  <c r="M191" i="2"/>
  <c r="L189" i="2"/>
  <c r="L119" i="2"/>
  <c r="L104" i="2"/>
  <c r="L37" i="2"/>
  <c r="L11" i="2"/>
  <c r="L7" i="2"/>
  <c r="L3" i="2"/>
  <c r="L124" i="2"/>
  <c r="L69" i="2"/>
  <c r="M35" i="2"/>
  <c r="L33" i="2"/>
  <c r="L16" i="2"/>
  <c r="L160" i="2"/>
  <c r="L105" i="2"/>
  <c r="M71" i="2"/>
  <c r="L52" i="2"/>
  <c r="M194" i="2"/>
  <c r="L192" i="2"/>
  <c r="L175" i="2"/>
  <c r="M158" i="2"/>
  <c r="L156" i="2"/>
  <c r="L139" i="2"/>
  <c r="M122" i="2"/>
  <c r="L120" i="2"/>
  <c r="L103" i="2"/>
  <c r="M86" i="2"/>
  <c r="L84" i="2"/>
  <c r="L67" i="2"/>
  <c r="M50" i="2"/>
  <c r="L48" i="2"/>
  <c r="L31" i="2"/>
  <c r="M14" i="2"/>
  <c r="L12" i="2"/>
  <c r="L63" i="2"/>
  <c r="L47" i="2"/>
  <c r="L46" i="2"/>
  <c r="M29" i="2"/>
  <c r="L27" i="2"/>
  <c r="L10" i="2"/>
  <c r="M8" i="2"/>
  <c r="L4" i="2"/>
  <c r="M173" i="2"/>
  <c r="L154" i="2"/>
  <c r="L135" i="2"/>
  <c r="M101" i="2"/>
  <c r="M188" i="2"/>
  <c r="L186" i="2"/>
  <c r="L169" i="2"/>
  <c r="M152" i="2"/>
  <c r="L150" i="2"/>
  <c r="L133" i="2"/>
  <c r="M116" i="2"/>
  <c r="L114" i="2"/>
  <c r="L97" i="2"/>
  <c r="M80" i="2"/>
  <c r="L78" i="2"/>
  <c r="L61" i="2"/>
  <c r="M44" i="2"/>
  <c r="L42" i="2"/>
  <c r="L25" i="2"/>
  <c r="L6" i="2"/>
  <c r="L190" i="2"/>
  <c r="M137" i="2"/>
  <c r="L99" i="2"/>
  <c r="L184" i="2"/>
  <c r="M167" i="2"/>
  <c r="L165" i="2"/>
  <c r="L148" i="2"/>
  <c r="M131" i="2"/>
  <c r="L129" i="2"/>
  <c r="L112" i="2"/>
  <c r="M95" i="2"/>
  <c r="L93" i="2"/>
  <c r="L76" i="2"/>
  <c r="L57" i="2"/>
  <c r="L40" i="2"/>
  <c r="L21" i="2"/>
  <c r="L5" i="2"/>
  <c r="M179" i="2"/>
  <c r="L118" i="2"/>
  <c r="L82" i="2"/>
  <c r="M182" i="2"/>
  <c r="L180" i="2"/>
  <c r="L164" i="2"/>
  <c r="L163" i="2"/>
  <c r="M146" i="2"/>
  <c r="L144" i="2"/>
  <c r="L128" i="2"/>
  <c r="L127" i="2"/>
  <c r="M110" i="2"/>
  <c r="L108" i="2"/>
  <c r="L92" i="2"/>
  <c r="L91" i="2"/>
  <c r="M74" i="2"/>
  <c r="L72" i="2"/>
  <c r="L56" i="2"/>
  <c r="L55" i="2"/>
  <c r="M38" i="2"/>
  <c r="L36" i="2"/>
  <c r="L20" i="2"/>
  <c r="L19" i="2"/>
  <c r="L88" i="2"/>
  <c r="L171" i="2"/>
  <c r="L179" i="2"/>
  <c r="L159" i="2"/>
  <c r="L142" i="2"/>
  <c r="L123" i="2"/>
  <c r="L106" i="2"/>
  <c r="L87" i="2"/>
  <c r="L71" i="2"/>
  <c r="L70" i="2"/>
  <c r="L35" i="2"/>
  <c r="L15" i="2"/>
  <c r="L191" i="2"/>
  <c r="L2" i="2"/>
  <c r="L195" i="2"/>
  <c r="L178" i="2"/>
  <c r="L194" i="2"/>
  <c r="L193" i="2"/>
  <c r="M176" i="2"/>
  <c r="L174" i="2"/>
  <c r="L158" i="2"/>
  <c r="L157" i="2"/>
  <c r="M140" i="2"/>
  <c r="L138" i="2"/>
  <c r="L122" i="2"/>
  <c r="L121" i="2"/>
  <c r="M104" i="2"/>
  <c r="L102" i="2"/>
  <c r="L86" i="2"/>
  <c r="L85" i="2"/>
  <c r="M68" i="2"/>
  <c r="L66" i="2"/>
  <c r="L50" i="2"/>
  <c r="L49" i="2"/>
  <c r="M32" i="2"/>
  <c r="L30" i="2"/>
  <c r="L14" i="2"/>
  <c r="L13" i="2"/>
  <c r="M143" i="2"/>
  <c r="M107" i="2"/>
  <c r="L173" i="2"/>
  <c r="M11" i="2"/>
  <c r="L9" i="2"/>
  <c r="L177" i="2"/>
  <c r="L141" i="2"/>
  <c r="L101" i="2"/>
  <c r="L187" i="2"/>
  <c r="M170" i="2"/>
  <c r="L168" i="2"/>
  <c r="L151" i="2"/>
  <c r="M134" i="2"/>
  <c r="L132" i="2"/>
  <c r="L115" i="2"/>
  <c r="M98" i="2"/>
  <c r="L96" i="2"/>
  <c r="L79" i="2"/>
  <c r="M62" i="2"/>
  <c r="L60" i="2"/>
  <c r="L43" i="2"/>
  <c r="M26" i="2"/>
  <c r="L24" i="2"/>
  <c r="L137" i="2"/>
  <c r="L65" i="2"/>
  <c r="M185" i="2"/>
  <c r="L183" i="2"/>
  <c r="L167" i="2"/>
  <c r="L166" i="2"/>
  <c r="M149" i="2"/>
  <c r="L147" i="2"/>
  <c r="L130" i="2"/>
  <c r="M113" i="2"/>
  <c r="L111" i="2"/>
  <c r="L95" i="2"/>
  <c r="L94" i="2"/>
  <c r="M77" i="2"/>
  <c r="L75" i="2"/>
  <c r="L58" i="2"/>
  <c r="M41" i="2"/>
  <c r="L39" i="2"/>
  <c r="L23" i="2"/>
  <c r="L22" i="2"/>
  <c r="M195" i="2"/>
  <c r="M192" i="2"/>
  <c r="M189" i="2"/>
  <c r="M186" i="2"/>
  <c r="M183" i="2"/>
  <c r="M180" i="2"/>
  <c r="M177" i="2"/>
  <c r="M174" i="2"/>
  <c r="M171" i="2"/>
  <c r="M168" i="2"/>
  <c r="M165" i="2"/>
  <c r="M162" i="2"/>
  <c r="M159" i="2"/>
  <c r="M156" i="2"/>
  <c r="M153" i="2"/>
  <c r="M150" i="2"/>
  <c r="M147" i="2"/>
  <c r="M144" i="2"/>
  <c r="M141" i="2"/>
  <c r="M138" i="2"/>
  <c r="M135" i="2"/>
  <c r="M132" i="2"/>
  <c r="M129" i="2"/>
  <c r="M126" i="2"/>
  <c r="M123" i="2"/>
  <c r="M120" i="2"/>
  <c r="M117" i="2"/>
  <c r="M114" i="2"/>
  <c r="M111" i="2"/>
  <c r="M108" i="2"/>
  <c r="M105" i="2"/>
  <c r="M102" i="2"/>
  <c r="M99" i="2"/>
  <c r="M96" i="2"/>
  <c r="M93" i="2"/>
  <c r="M90" i="2"/>
  <c r="M87" i="2"/>
  <c r="M84" i="2"/>
  <c r="M81" i="2"/>
  <c r="M78" i="2"/>
  <c r="M75" i="2"/>
  <c r="M72" i="2"/>
  <c r="M69" i="2"/>
  <c r="M66" i="2"/>
  <c r="M63" i="2"/>
  <c r="M60" i="2"/>
  <c r="M57" i="2"/>
  <c r="M54" i="2"/>
  <c r="M51" i="2"/>
  <c r="M48" i="2"/>
  <c r="M45" i="2"/>
  <c r="M42" i="2"/>
  <c r="M39" i="2"/>
  <c r="M36" i="2"/>
  <c r="M33" i="2"/>
  <c r="M30" i="2"/>
  <c r="M27" i="2"/>
  <c r="M24" i="2"/>
  <c r="M21" i="2"/>
  <c r="M18" i="2"/>
  <c r="M15" i="2"/>
  <c r="M12" i="2"/>
  <c r="M9" i="2"/>
  <c r="M6" i="2"/>
  <c r="M3" i="2"/>
  <c r="M193" i="2"/>
  <c r="M190" i="2"/>
  <c r="M187" i="2"/>
  <c r="M184" i="2"/>
  <c r="M181" i="2"/>
  <c r="M178" i="2"/>
  <c r="M175" i="2"/>
  <c r="M172" i="2"/>
  <c r="M169" i="2"/>
  <c r="M166" i="2"/>
  <c r="M163" i="2"/>
  <c r="M160" i="2"/>
  <c r="M157" i="2"/>
  <c r="M154" i="2"/>
  <c r="M151" i="2"/>
  <c r="M148" i="2"/>
  <c r="M145" i="2"/>
  <c r="M142" i="2"/>
  <c r="M139" i="2"/>
  <c r="M136" i="2"/>
  <c r="M133" i="2"/>
  <c r="M130" i="2"/>
  <c r="M127" i="2"/>
  <c r="M124" i="2"/>
  <c r="M121" i="2"/>
  <c r="M118" i="2"/>
  <c r="M115" i="2"/>
  <c r="M112" i="2"/>
  <c r="M109" i="2"/>
  <c r="M106" i="2"/>
  <c r="M103" i="2"/>
  <c r="M100" i="2"/>
  <c r="M97" i="2"/>
  <c r="M94" i="2"/>
  <c r="M91" i="2"/>
  <c r="M88" i="2"/>
  <c r="M85" i="2"/>
  <c r="M82" i="2"/>
  <c r="M79" i="2"/>
  <c r="M76" i="2"/>
  <c r="M73" i="2"/>
  <c r="M70" i="2"/>
  <c r="M67" i="2"/>
  <c r="M64" i="2"/>
  <c r="M61" i="2"/>
  <c r="M58" i="2"/>
  <c r="M55" i="2"/>
  <c r="M52" i="2"/>
  <c r="M49" i="2"/>
  <c r="M46" i="2"/>
  <c r="M43" i="2"/>
  <c r="M40" i="2"/>
  <c r="M37" i="2"/>
  <c r="M34" i="2"/>
  <c r="M31" i="2"/>
  <c r="M28" i="2"/>
  <c r="M25" i="2"/>
  <c r="M22" i="2"/>
  <c r="M19" i="2"/>
  <c r="M16" i="2"/>
  <c r="M13" i="2"/>
  <c r="M10" i="2"/>
  <c r="M7" i="2"/>
  <c r="M2" i="2"/>
  <c r="D1" i="5"/>
  <c r="C1" i="5"/>
  <c r="B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B2" i="5"/>
  <c r="A2" i="5" s="1"/>
  <c r="C161" i="2"/>
  <c r="C62" i="2"/>
  <c r="C5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6" i="2"/>
  <c r="C57" i="2"/>
  <c r="C58" i="2"/>
  <c r="C59" i="2"/>
  <c r="C60" i="2"/>
  <c r="C61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0" i="5" s="1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2" i="2"/>
  <c r="B117" i="5" l="1"/>
  <c r="A117" i="5" s="1"/>
  <c r="V117" i="5"/>
  <c r="B9" i="5"/>
  <c r="A9" i="5" s="1"/>
  <c r="V9" i="5"/>
  <c r="B188" i="5"/>
  <c r="A188" i="5" s="1"/>
  <c r="V188" i="5"/>
  <c r="B104" i="5"/>
  <c r="A104" i="5" s="1"/>
  <c r="V104" i="5"/>
  <c r="B56" i="5"/>
  <c r="A56" i="5" s="1"/>
  <c r="V56" i="5"/>
  <c r="B8" i="5"/>
  <c r="A8" i="5" s="1"/>
  <c r="V8" i="5"/>
  <c r="B187" i="5"/>
  <c r="A187" i="5" s="1"/>
  <c r="V187" i="5"/>
  <c r="B175" i="5"/>
  <c r="A175" i="5" s="1"/>
  <c r="V175" i="5"/>
  <c r="B163" i="5"/>
  <c r="A163" i="5" s="1"/>
  <c r="V163" i="5"/>
  <c r="B151" i="5"/>
  <c r="A151" i="5" s="1"/>
  <c r="V151" i="5"/>
  <c r="B139" i="5"/>
  <c r="A139" i="5" s="1"/>
  <c r="V139" i="5"/>
  <c r="B127" i="5"/>
  <c r="A127" i="5" s="1"/>
  <c r="V127" i="5"/>
  <c r="B115" i="5"/>
  <c r="A115" i="5" s="1"/>
  <c r="V115" i="5"/>
  <c r="B103" i="5"/>
  <c r="A103" i="5" s="1"/>
  <c r="V103" i="5"/>
  <c r="B91" i="5"/>
  <c r="A91" i="5" s="1"/>
  <c r="V91" i="5"/>
  <c r="B79" i="5"/>
  <c r="A79" i="5" s="1"/>
  <c r="V79" i="5"/>
  <c r="B67" i="5"/>
  <c r="A67" i="5" s="1"/>
  <c r="V67" i="5"/>
  <c r="B55" i="5"/>
  <c r="A55" i="5" s="1"/>
  <c r="V55" i="5"/>
  <c r="B43" i="5"/>
  <c r="A43" i="5" s="1"/>
  <c r="V43" i="5"/>
  <c r="B31" i="5"/>
  <c r="A31" i="5" s="1"/>
  <c r="V31" i="5"/>
  <c r="B19" i="5"/>
  <c r="A19" i="5" s="1"/>
  <c r="V19" i="5"/>
  <c r="B7" i="5"/>
  <c r="A7" i="5" s="1"/>
  <c r="V7" i="5"/>
  <c r="B189" i="5"/>
  <c r="A189" i="5" s="1"/>
  <c r="V189" i="5"/>
  <c r="B69" i="5"/>
  <c r="A69" i="5" s="1"/>
  <c r="V69" i="5"/>
  <c r="B140" i="5"/>
  <c r="A140" i="5" s="1"/>
  <c r="V140" i="5"/>
  <c r="B80" i="5"/>
  <c r="A80" i="5" s="1"/>
  <c r="V80" i="5"/>
  <c r="B32" i="5"/>
  <c r="A32" i="5" s="1"/>
  <c r="V32" i="5"/>
  <c r="N205" i="2"/>
  <c r="N204" i="2"/>
  <c r="N203" i="2"/>
  <c r="N202" i="2"/>
  <c r="B186" i="5"/>
  <c r="A186" i="5" s="1"/>
  <c r="V186" i="5"/>
  <c r="B174" i="5"/>
  <c r="A174" i="5" s="1"/>
  <c r="V174" i="5"/>
  <c r="B162" i="5"/>
  <c r="A162" i="5" s="1"/>
  <c r="V162" i="5"/>
  <c r="B150" i="5"/>
  <c r="A150" i="5" s="1"/>
  <c r="V150" i="5"/>
  <c r="B138" i="5"/>
  <c r="A138" i="5" s="1"/>
  <c r="V138" i="5"/>
  <c r="B126" i="5"/>
  <c r="A126" i="5" s="1"/>
  <c r="V126" i="5"/>
  <c r="B114" i="5"/>
  <c r="A114" i="5" s="1"/>
  <c r="V114" i="5"/>
  <c r="B102" i="5"/>
  <c r="A102" i="5" s="1"/>
  <c r="V102" i="5"/>
  <c r="B90" i="5"/>
  <c r="A90" i="5" s="1"/>
  <c r="V90" i="5"/>
  <c r="B78" i="5"/>
  <c r="A78" i="5" s="1"/>
  <c r="V78" i="5"/>
  <c r="B66" i="5"/>
  <c r="A66" i="5" s="1"/>
  <c r="V66" i="5"/>
  <c r="B54" i="5"/>
  <c r="A54" i="5" s="1"/>
  <c r="V54" i="5"/>
  <c r="B42" i="5"/>
  <c r="A42" i="5" s="1"/>
  <c r="V42" i="5"/>
  <c r="B30" i="5"/>
  <c r="A30" i="5" s="1"/>
  <c r="V30" i="5"/>
  <c r="B18" i="5"/>
  <c r="A18" i="5" s="1"/>
  <c r="V18" i="5"/>
  <c r="B6" i="5"/>
  <c r="A6" i="5" s="1"/>
  <c r="V6" i="5"/>
  <c r="B105" i="5"/>
  <c r="A105" i="5" s="1"/>
  <c r="V105" i="5"/>
  <c r="B164" i="5"/>
  <c r="A164" i="5" s="1"/>
  <c r="V164" i="5"/>
  <c r="B92" i="5"/>
  <c r="A92" i="5" s="1"/>
  <c r="V92" i="5"/>
  <c r="B44" i="5"/>
  <c r="A44" i="5" s="1"/>
  <c r="V44" i="5"/>
  <c r="B185" i="5"/>
  <c r="A185" i="5" s="1"/>
  <c r="V185" i="5"/>
  <c r="B173" i="5"/>
  <c r="A173" i="5" s="1"/>
  <c r="V173" i="5"/>
  <c r="B161" i="5"/>
  <c r="A161" i="5" s="1"/>
  <c r="V161" i="5"/>
  <c r="B149" i="5"/>
  <c r="A149" i="5" s="1"/>
  <c r="V149" i="5"/>
  <c r="B137" i="5"/>
  <c r="A137" i="5" s="1"/>
  <c r="V137" i="5"/>
  <c r="B125" i="5"/>
  <c r="A125" i="5" s="1"/>
  <c r="V125" i="5"/>
  <c r="B113" i="5"/>
  <c r="A113" i="5" s="1"/>
  <c r="V113" i="5"/>
  <c r="B101" i="5"/>
  <c r="A101" i="5" s="1"/>
  <c r="V101" i="5"/>
  <c r="B89" i="5"/>
  <c r="A89" i="5" s="1"/>
  <c r="V89" i="5"/>
  <c r="B77" i="5"/>
  <c r="A77" i="5" s="1"/>
  <c r="V77" i="5"/>
  <c r="B65" i="5"/>
  <c r="A65" i="5" s="1"/>
  <c r="V65" i="5"/>
  <c r="B53" i="5"/>
  <c r="A53" i="5" s="1"/>
  <c r="V53" i="5"/>
  <c r="B41" i="5"/>
  <c r="A41" i="5" s="1"/>
  <c r="V41" i="5"/>
  <c r="B29" i="5"/>
  <c r="A29" i="5" s="1"/>
  <c r="V29" i="5"/>
  <c r="B17" i="5"/>
  <c r="A17" i="5" s="1"/>
  <c r="V17" i="5"/>
  <c r="B5" i="5"/>
  <c r="A5" i="5" s="1"/>
  <c r="V5" i="5"/>
  <c r="B153" i="5"/>
  <c r="A153" i="5" s="1"/>
  <c r="V153" i="5"/>
  <c r="B33" i="5"/>
  <c r="A33" i="5" s="1"/>
  <c r="V33" i="5"/>
  <c r="B116" i="5"/>
  <c r="A116" i="5" s="1"/>
  <c r="V116" i="5"/>
  <c r="B68" i="5"/>
  <c r="A68" i="5" s="1"/>
  <c r="V68" i="5"/>
  <c r="B20" i="5"/>
  <c r="A20" i="5" s="1"/>
  <c r="V20" i="5"/>
  <c r="B184" i="5"/>
  <c r="A184" i="5" s="1"/>
  <c r="V184" i="5"/>
  <c r="B172" i="5"/>
  <c r="A172" i="5" s="1"/>
  <c r="V172" i="5"/>
  <c r="B160" i="5"/>
  <c r="A160" i="5" s="1"/>
  <c r="V160" i="5"/>
  <c r="B148" i="5"/>
  <c r="A148" i="5" s="1"/>
  <c r="V148" i="5"/>
  <c r="B136" i="5"/>
  <c r="A136" i="5" s="1"/>
  <c r="V136" i="5"/>
  <c r="B124" i="5"/>
  <c r="A124" i="5" s="1"/>
  <c r="V124" i="5"/>
  <c r="B112" i="5"/>
  <c r="A112" i="5" s="1"/>
  <c r="V112" i="5"/>
  <c r="B100" i="5"/>
  <c r="A100" i="5" s="1"/>
  <c r="V100" i="5"/>
  <c r="B88" i="5"/>
  <c r="A88" i="5" s="1"/>
  <c r="V88" i="5"/>
  <c r="B76" i="5"/>
  <c r="A76" i="5" s="1"/>
  <c r="V76" i="5"/>
  <c r="B64" i="5"/>
  <c r="A64" i="5" s="1"/>
  <c r="V64" i="5"/>
  <c r="B52" i="5"/>
  <c r="A52" i="5" s="1"/>
  <c r="V52" i="5"/>
  <c r="B40" i="5"/>
  <c r="A40" i="5" s="1"/>
  <c r="V40" i="5"/>
  <c r="B28" i="5"/>
  <c r="A28" i="5" s="1"/>
  <c r="V28" i="5"/>
  <c r="B16" i="5"/>
  <c r="A16" i="5" s="1"/>
  <c r="V16" i="5"/>
  <c r="B4" i="5"/>
  <c r="A4" i="5" s="1"/>
  <c r="V4" i="5"/>
  <c r="B141" i="5"/>
  <c r="A141" i="5" s="1"/>
  <c r="V141" i="5"/>
  <c r="B195" i="5"/>
  <c r="A195" i="5" s="1"/>
  <c r="V195" i="5"/>
  <c r="B171" i="5"/>
  <c r="A171" i="5" s="1"/>
  <c r="V171" i="5"/>
  <c r="B159" i="5"/>
  <c r="A159" i="5" s="1"/>
  <c r="V159" i="5"/>
  <c r="B147" i="5"/>
  <c r="A147" i="5" s="1"/>
  <c r="V147" i="5"/>
  <c r="B135" i="5"/>
  <c r="A135" i="5" s="1"/>
  <c r="V135" i="5"/>
  <c r="B123" i="5"/>
  <c r="A123" i="5" s="1"/>
  <c r="V123" i="5"/>
  <c r="B111" i="5"/>
  <c r="A111" i="5" s="1"/>
  <c r="V111" i="5"/>
  <c r="B99" i="5"/>
  <c r="A99" i="5" s="1"/>
  <c r="V99" i="5"/>
  <c r="B87" i="5"/>
  <c r="A87" i="5" s="1"/>
  <c r="V87" i="5"/>
  <c r="B75" i="5"/>
  <c r="A75" i="5" s="1"/>
  <c r="V75" i="5"/>
  <c r="B63" i="5"/>
  <c r="A63" i="5" s="1"/>
  <c r="V63" i="5"/>
  <c r="B51" i="5"/>
  <c r="A51" i="5" s="1"/>
  <c r="V51" i="5"/>
  <c r="B39" i="5"/>
  <c r="A39" i="5" s="1"/>
  <c r="V39" i="5"/>
  <c r="B27" i="5"/>
  <c r="A27" i="5" s="1"/>
  <c r="V27" i="5"/>
  <c r="B15" i="5"/>
  <c r="A15" i="5" s="1"/>
  <c r="V15" i="5"/>
  <c r="B3" i="5"/>
  <c r="A3" i="5" s="1"/>
  <c r="V3" i="5"/>
  <c r="B93" i="5"/>
  <c r="A93" i="5" s="1"/>
  <c r="V93" i="5"/>
  <c r="B183" i="5"/>
  <c r="A183" i="5" s="1"/>
  <c r="V183" i="5"/>
  <c r="B194" i="5"/>
  <c r="A194" i="5" s="1"/>
  <c r="V194" i="5"/>
  <c r="B182" i="5"/>
  <c r="A182" i="5" s="1"/>
  <c r="V182" i="5"/>
  <c r="B170" i="5"/>
  <c r="A170" i="5" s="1"/>
  <c r="V170" i="5"/>
  <c r="B158" i="5"/>
  <c r="A158" i="5" s="1"/>
  <c r="V158" i="5"/>
  <c r="B146" i="5"/>
  <c r="A146" i="5" s="1"/>
  <c r="V146" i="5"/>
  <c r="B134" i="5"/>
  <c r="A134" i="5" s="1"/>
  <c r="V134" i="5"/>
  <c r="B122" i="5"/>
  <c r="A122" i="5" s="1"/>
  <c r="V122" i="5"/>
  <c r="B110" i="5"/>
  <c r="A110" i="5" s="1"/>
  <c r="V110" i="5"/>
  <c r="B98" i="5"/>
  <c r="A98" i="5" s="1"/>
  <c r="V98" i="5"/>
  <c r="B86" i="5"/>
  <c r="A86" i="5" s="1"/>
  <c r="V86" i="5"/>
  <c r="B74" i="5"/>
  <c r="A74" i="5" s="1"/>
  <c r="V74" i="5"/>
  <c r="B62" i="5"/>
  <c r="A62" i="5" s="1"/>
  <c r="V62" i="5"/>
  <c r="B50" i="5"/>
  <c r="A50" i="5" s="1"/>
  <c r="V50" i="5"/>
  <c r="B38" i="5"/>
  <c r="A38" i="5" s="1"/>
  <c r="V38" i="5"/>
  <c r="B26" i="5"/>
  <c r="A26" i="5" s="1"/>
  <c r="V26" i="5"/>
  <c r="B14" i="5"/>
  <c r="A14" i="5" s="1"/>
  <c r="V14" i="5"/>
  <c r="B129" i="5"/>
  <c r="A129" i="5" s="1"/>
  <c r="V129" i="5"/>
  <c r="B21" i="5"/>
  <c r="A21" i="5" s="1"/>
  <c r="V21" i="5"/>
  <c r="B152" i="5"/>
  <c r="A152" i="5" s="1"/>
  <c r="V152" i="5"/>
  <c r="E130" i="5"/>
  <c r="AB130" i="5" s="1"/>
  <c r="B193" i="5"/>
  <c r="A193" i="5" s="1"/>
  <c r="V193" i="5"/>
  <c r="B181" i="5"/>
  <c r="A181" i="5" s="1"/>
  <c r="V181" i="5"/>
  <c r="B169" i="5"/>
  <c r="A169" i="5" s="1"/>
  <c r="V169" i="5"/>
  <c r="B157" i="5"/>
  <c r="A157" i="5" s="1"/>
  <c r="V157" i="5"/>
  <c r="B145" i="5"/>
  <c r="A145" i="5" s="1"/>
  <c r="V145" i="5"/>
  <c r="B133" i="5"/>
  <c r="A133" i="5" s="1"/>
  <c r="V133" i="5"/>
  <c r="B121" i="5"/>
  <c r="A121" i="5" s="1"/>
  <c r="V121" i="5"/>
  <c r="B109" i="5"/>
  <c r="A109" i="5" s="1"/>
  <c r="V109" i="5"/>
  <c r="B97" i="5"/>
  <c r="A97" i="5" s="1"/>
  <c r="V97" i="5"/>
  <c r="B85" i="5"/>
  <c r="A85" i="5" s="1"/>
  <c r="V85" i="5"/>
  <c r="B73" i="5"/>
  <c r="A73" i="5" s="1"/>
  <c r="V73" i="5"/>
  <c r="B61" i="5"/>
  <c r="A61" i="5" s="1"/>
  <c r="V61" i="5"/>
  <c r="B49" i="5"/>
  <c r="A49" i="5" s="1"/>
  <c r="V49" i="5"/>
  <c r="B37" i="5"/>
  <c r="A37" i="5" s="1"/>
  <c r="V37" i="5"/>
  <c r="B25" i="5"/>
  <c r="A25" i="5" s="1"/>
  <c r="V25" i="5"/>
  <c r="B13" i="5"/>
  <c r="A13" i="5" s="1"/>
  <c r="V13" i="5"/>
  <c r="B81" i="5"/>
  <c r="A81" i="5" s="1"/>
  <c r="V81" i="5"/>
  <c r="B192" i="5"/>
  <c r="A192" i="5" s="1"/>
  <c r="V192" i="5"/>
  <c r="B180" i="5"/>
  <c r="A180" i="5" s="1"/>
  <c r="V180" i="5"/>
  <c r="B168" i="5"/>
  <c r="A168" i="5" s="1"/>
  <c r="V168" i="5"/>
  <c r="B156" i="5"/>
  <c r="A156" i="5" s="1"/>
  <c r="V156" i="5"/>
  <c r="B144" i="5"/>
  <c r="A144" i="5" s="1"/>
  <c r="V144" i="5"/>
  <c r="B132" i="5"/>
  <c r="A132" i="5" s="1"/>
  <c r="V132" i="5"/>
  <c r="B120" i="5"/>
  <c r="A120" i="5" s="1"/>
  <c r="V120" i="5"/>
  <c r="B108" i="5"/>
  <c r="A108" i="5" s="1"/>
  <c r="V108" i="5"/>
  <c r="B96" i="5"/>
  <c r="A96" i="5" s="1"/>
  <c r="V96" i="5"/>
  <c r="B84" i="5"/>
  <c r="A84" i="5" s="1"/>
  <c r="V84" i="5"/>
  <c r="B72" i="5"/>
  <c r="A72" i="5" s="1"/>
  <c r="V72" i="5"/>
  <c r="B60" i="5"/>
  <c r="A60" i="5" s="1"/>
  <c r="V60" i="5"/>
  <c r="B48" i="5"/>
  <c r="A48" i="5" s="1"/>
  <c r="V48" i="5"/>
  <c r="B36" i="5"/>
  <c r="A36" i="5" s="1"/>
  <c r="V36" i="5"/>
  <c r="B24" i="5"/>
  <c r="A24" i="5" s="1"/>
  <c r="V24" i="5"/>
  <c r="B12" i="5"/>
  <c r="A12" i="5" s="1"/>
  <c r="V12" i="5"/>
  <c r="B165" i="5"/>
  <c r="A165" i="5" s="1"/>
  <c r="V165" i="5"/>
  <c r="B57" i="5"/>
  <c r="A57" i="5" s="1"/>
  <c r="V57" i="5"/>
  <c r="B128" i="5"/>
  <c r="A128" i="5" s="1"/>
  <c r="V128" i="5"/>
  <c r="B191" i="5"/>
  <c r="A191" i="5" s="1"/>
  <c r="V191" i="5"/>
  <c r="B179" i="5"/>
  <c r="A179" i="5" s="1"/>
  <c r="V179" i="5"/>
  <c r="B167" i="5"/>
  <c r="A167" i="5" s="1"/>
  <c r="V167" i="5"/>
  <c r="B155" i="5"/>
  <c r="A155" i="5" s="1"/>
  <c r="V155" i="5"/>
  <c r="B143" i="5"/>
  <c r="A143" i="5" s="1"/>
  <c r="V143" i="5"/>
  <c r="B131" i="5"/>
  <c r="A131" i="5" s="1"/>
  <c r="V131" i="5"/>
  <c r="B119" i="5"/>
  <c r="A119" i="5" s="1"/>
  <c r="V119" i="5"/>
  <c r="B107" i="5"/>
  <c r="A107" i="5" s="1"/>
  <c r="V107" i="5"/>
  <c r="B95" i="5"/>
  <c r="A95" i="5" s="1"/>
  <c r="V95" i="5"/>
  <c r="B83" i="5"/>
  <c r="A83" i="5" s="1"/>
  <c r="V83" i="5"/>
  <c r="B71" i="5"/>
  <c r="A71" i="5" s="1"/>
  <c r="V71" i="5"/>
  <c r="B59" i="5"/>
  <c r="A59" i="5" s="1"/>
  <c r="V59" i="5"/>
  <c r="B47" i="5"/>
  <c r="A47" i="5" s="1"/>
  <c r="V47" i="5"/>
  <c r="B35" i="5"/>
  <c r="A35" i="5" s="1"/>
  <c r="V35" i="5"/>
  <c r="B23" i="5"/>
  <c r="A23" i="5" s="1"/>
  <c r="V23" i="5"/>
  <c r="B11" i="5"/>
  <c r="A11" i="5" s="1"/>
  <c r="V11" i="5"/>
  <c r="B177" i="5"/>
  <c r="A177" i="5" s="1"/>
  <c r="V177" i="5"/>
  <c r="B45" i="5"/>
  <c r="A45" i="5" s="1"/>
  <c r="V45" i="5"/>
  <c r="B176" i="5"/>
  <c r="A176" i="5" s="1"/>
  <c r="V176" i="5"/>
  <c r="B190" i="5"/>
  <c r="A190" i="5" s="1"/>
  <c r="V190" i="5"/>
  <c r="B178" i="5"/>
  <c r="A178" i="5" s="1"/>
  <c r="V178" i="5"/>
  <c r="B166" i="5"/>
  <c r="A166" i="5" s="1"/>
  <c r="V166" i="5"/>
  <c r="B154" i="5"/>
  <c r="A154" i="5" s="1"/>
  <c r="V154" i="5"/>
  <c r="B142" i="5"/>
  <c r="A142" i="5" s="1"/>
  <c r="V142" i="5"/>
  <c r="B130" i="5"/>
  <c r="A130" i="5" s="1"/>
  <c r="V130" i="5"/>
  <c r="B118" i="5"/>
  <c r="A118" i="5" s="1"/>
  <c r="V118" i="5"/>
  <c r="B106" i="5"/>
  <c r="A106" i="5" s="1"/>
  <c r="V106" i="5"/>
  <c r="B94" i="5"/>
  <c r="A94" i="5" s="1"/>
  <c r="V94" i="5"/>
  <c r="B82" i="5"/>
  <c r="A82" i="5" s="1"/>
  <c r="V82" i="5"/>
  <c r="B70" i="5"/>
  <c r="A70" i="5" s="1"/>
  <c r="V70" i="5"/>
  <c r="B58" i="5"/>
  <c r="A58" i="5" s="1"/>
  <c r="V58" i="5"/>
  <c r="B46" i="5"/>
  <c r="A46" i="5" s="1"/>
  <c r="V46" i="5"/>
  <c r="B34" i="5"/>
  <c r="A34" i="5" s="1"/>
  <c r="V34" i="5"/>
  <c r="B22" i="5"/>
  <c r="A22" i="5" s="1"/>
  <c r="V22" i="5"/>
  <c r="B10" i="5"/>
  <c r="A10" i="5" s="1"/>
  <c r="V10" i="5"/>
  <c r="M199" i="2"/>
  <c r="N200" i="2"/>
  <c r="D2" i="5"/>
  <c r="C62" i="5"/>
  <c r="E62" i="5" s="1"/>
  <c r="AB62" i="5" s="1"/>
  <c r="C55" i="5"/>
  <c r="E55" i="5" s="1"/>
  <c r="AB55" i="5" s="1"/>
  <c r="AN4" i="5" l="1"/>
  <c r="AM6" i="5"/>
  <c r="AN7" i="5"/>
  <c r="AL8" i="5"/>
  <c r="AO5" i="5"/>
  <c r="AO7" i="5"/>
  <c r="AN6" i="5"/>
  <c r="AO4" i="5"/>
  <c r="AL3" i="5"/>
  <c r="AN8" i="5"/>
  <c r="AL6" i="5"/>
  <c r="AO8" i="5"/>
  <c r="AL5" i="5"/>
  <c r="AM3" i="5"/>
  <c r="AM8" i="5"/>
  <c r="AM4" i="5"/>
  <c r="AM5" i="5"/>
  <c r="AN3" i="5"/>
  <c r="AL7" i="5"/>
  <c r="AM2" i="5"/>
  <c r="AO6" i="5"/>
  <c r="AM7" i="5"/>
  <c r="AO3" i="5"/>
  <c r="AN5" i="5"/>
  <c r="AL2" i="5"/>
  <c r="AL4" i="5"/>
  <c r="AO2" i="5"/>
  <c r="AN2" i="5"/>
  <c r="AJ2" i="5"/>
  <c r="AJ4" i="5"/>
  <c r="AJ7" i="5"/>
  <c r="AJ8" i="5"/>
  <c r="AJ6" i="5"/>
  <c r="AJ3" i="5"/>
  <c r="AJ5" i="5"/>
  <c r="C161" i="5"/>
  <c r="E161" i="5" s="1"/>
  <c r="AB161" i="5" s="1"/>
  <c r="C4" i="5"/>
  <c r="E4" i="5" s="1"/>
  <c r="AB4" i="5" s="1"/>
  <c r="C6" i="5"/>
  <c r="E6" i="5" s="1"/>
  <c r="AB6" i="5" s="1"/>
  <c r="C8" i="5"/>
  <c r="E8" i="5" s="1"/>
  <c r="AB8" i="5" s="1"/>
  <c r="C9" i="5"/>
  <c r="E9" i="5" s="1"/>
  <c r="AB9" i="5" s="1"/>
  <c r="C10" i="5"/>
  <c r="E10" i="5" s="1"/>
  <c r="AB10" i="5" s="1"/>
  <c r="C11" i="5"/>
  <c r="E11" i="5" s="1"/>
  <c r="AB11" i="5" s="1"/>
  <c r="C12" i="5"/>
  <c r="E12" i="5" s="1"/>
  <c r="AB12" i="5" s="1"/>
  <c r="C13" i="5"/>
  <c r="E13" i="5" s="1"/>
  <c r="AB13" i="5" s="1"/>
  <c r="C14" i="5"/>
  <c r="E14" i="5" s="1"/>
  <c r="AB14" i="5" s="1"/>
  <c r="C15" i="5"/>
  <c r="E15" i="5" s="1"/>
  <c r="AB15" i="5" s="1"/>
  <c r="C16" i="5"/>
  <c r="E16" i="5" s="1"/>
  <c r="AB16" i="5" s="1"/>
  <c r="C17" i="5"/>
  <c r="E17" i="5" s="1"/>
  <c r="AB17" i="5" s="1"/>
  <c r="C18" i="5"/>
  <c r="E18" i="5" s="1"/>
  <c r="AB18" i="5" s="1"/>
  <c r="C19" i="5"/>
  <c r="E19" i="5" s="1"/>
  <c r="AB19" i="5" s="1"/>
  <c r="C20" i="5"/>
  <c r="E20" i="5" s="1"/>
  <c r="AB20" i="5" s="1"/>
  <c r="C21" i="5"/>
  <c r="E21" i="5" s="1"/>
  <c r="AB21" i="5" s="1"/>
  <c r="C22" i="5"/>
  <c r="E22" i="5" s="1"/>
  <c r="AB22" i="5" s="1"/>
  <c r="C23" i="5"/>
  <c r="E23" i="5" s="1"/>
  <c r="AB23" i="5" s="1"/>
  <c r="C24" i="5"/>
  <c r="E24" i="5" s="1"/>
  <c r="AB24" i="5" s="1"/>
  <c r="C25" i="5"/>
  <c r="E25" i="5" s="1"/>
  <c r="AB25" i="5" s="1"/>
  <c r="C26" i="5"/>
  <c r="E26" i="5" s="1"/>
  <c r="AB26" i="5" s="1"/>
  <c r="C27" i="5"/>
  <c r="E27" i="5" s="1"/>
  <c r="AB27" i="5" s="1"/>
  <c r="C28" i="5"/>
  <c r="E28" i="5" s="1"/>
  <c r="AB28" i="5" s="1"/>
  <c r="C29" i="5"/>
  <c r="E29" i="5" s="1"/>
  <c r="AB29" i="5" s="1"/>
  <c r="C30" i="5"/>
  <c r="E30" i="5" s="1"/>
  <c r="AB30" i="5" s="1"/>
  <c r="C31" i="5"/>
  <c r="E31" i="5" s="1"/>
  <c r="AB31" i="5" s="1"/>
  <c r="C32" i="5"/>
  <c r="E32" i="5" s="1"/>
  <c r="AB32" i="5" s="1"/>
  <c r="C33" i="5"/>
  <c r="E33" i="5" s="1"/>
  <c r="AB33" i="5" s="1"/>
  <c r="C34" i="5"/>
  <c r="E34" i="5" s="1"/>
  <c r="AB34" i="5" s="1"/>
  <c r="C35" i="5"/>
  <c r="E35" i="5" s="1"/>
  <c r="AB35" i="5" s="1"/>
  <c r="C36" i="5"/>
  <c r="E36" i="5" s="1"/>
  <c r="AB36" i="5" s="1"/>
  <c r="C37" i="5"/>
  <c r="E37" i="5" s="1"/>
  <c r="AB37" i="5" s="1"/>
  <c r="C38" i="5"/>
  <c r="E38" i="5" s="1"/>
  <c r="AB38" i="5" s="1"/>
  <c r="C39" i="5"/>
  <c r="E39" i="5" s="1"/>
  <c r="AB39" i="5" s="1"/>
  <c r="C40" i="5"/>
  <c r="E40" i="5" s="1"/>
  <c r="AB40" i="5" s="1"/>
  <c r="C41" i="5"/>
  <c r="E41" i="5" s="1"/>
  <c r="AB41" i="5" s="1"/>
  <c r="C42" i="5"/>
  <c r="E42" i="5" s="1"/>
  <c r="AB42" i="5" s="1"/>
  <c r="C43" i="5"/>
  <c r="E43" i="5" s="1"/>
  <c r="AB43" i="5" s="1"/>
  <c r="C44" i="5"/>
  <c r="E44" i="5" s="1"/>
  <c r="AB44" i="5" s="1"/>
  <c r="C45" i="5"/>
  <c r="E45" i="5" s="1"/>
  <c r="AB45" i="5" s="1"/>
  <c r="C46" i="5"/>
  <c r="E46" i="5" s="1"/>
  <c r="AB46" i="5" s="1"/>
  <c r="C47" i="5"/>
  <c r="E47" i="5" s="1"/>
  <c r="AB47" i="5" s="1"/>
  <c r="C48" i="5"/>
  <c r="E48" i="5" s="1"/>
  <c r="AB48" i="5" s="1"/>
  <c r="C49" i="5"/>
  <c r="E49" i="5" s="1"/>
  <c r="AB49" i="5" s="1"/>
  <c r="C50" i="5"/>
  <c r="E50" i="5" s="1"/>
  <c r="AB50" i="5" s="1"/>
  <c r="C51" i="5"/>
  <c r="E51" i="5" s="1"/>
  <c r="AB51" i="5" s="1"/>
  <c r="C52" i="5"/>
  <c r="E52" i="5" s="1"/>
  <c r="AB52" i="5" s="1"/>
  <c r="C53" i="5"/>
  <c r="E53" i="5" s="1"/>
  <c r="AB53" i="5" s="1"/>
  <c r="C54" i="5"/>
  <c r="E54" i="5" s="1"/>
  <c r="AB54" i="5" s="1"/>
  <c r="C56" i="5"/>
  <c r="E56" i="5" s="1"/>
  <c r="AB56" i="5" s="1"/>
  <c r="C57" i="5"/>
  <c r="E57" i="5" s="1"/>
  <c r="AB57" i="5" s="1"/>
  <c r="C58" i="5"/>
  <c r="E58" i="5" s="1"/>
  <c r="AB58" i="5" s="1"/>
  <c r="C59" i="5"/>
  <c r="E59" i="5" s="1"/>
  <c r="AB59" i="5" s="1"/>
  <c r="C60" i="5"/>
  <c r="E60" i="5" s="1"/>
  <c r="AB60" i="5" s="1"/>
  <c r="C61" i="5"/>
  <c r="E61" i="5" s="1"/>
  <c r="AB61" i="5" s="1"/>
  <c r="C63" i="5"/>
  <c r="E63" i="5" s="1"/>
  <c r="AB63" i="5" s="1"/>
  <c r="C64" i="5"/>
  <c r="E64" i="5" s="1"/>
  <c r="AB64" i="5" s="1"/>
  <c r="C65" i="5"/>
  <c r="E65" i="5" s="1"/>
  <c r="AB65" i="5" s="1"/>
  <c r="C66" i="5"/>
  <c r="E66" i="5" s="1"/>
  <c r="AB66" i="5" s="1"/>
  <c r="C67" i="5"/>
  <c r="E67" i="5" s="1"/>
  <c r="AB67" i="5" s="1"/>
  <c r="C68" i="5"/>
  <c r="E68" i="5" s="1"/>
  <c r="AB68" i="5" s="1"/>
  <c r="C69" i="5"/>
  <c r="E69" i="5" s="1"/>
  <c r="AB69" i="5" s="1"/>
  <c r="C70" i="5"/>
  <c r="E70" i="5" s="1"/>
  <c r="AB70" i="5" s="1"/>
  <c r="C71" i="5"/>
  <c r="E71" i="5" s="1"/>
  <c r="AB71" i="5" s="1"/>
  <c r="C72" i="5"/>
  <c r="E72" i="5" s="1"/>
  <c r="AB72" i="5" s="1"/>
  <c r="C73" i="5"/>
  <c r="E73" i="5" s="1"/>
  <c r="AB73" i="5" s="1"/>
  <c r="C74" i="5"/>
  <c r="E74" i="5" s="1"/>
  <c r="AB74" i="5" s="1"/>
  <c r="C75" i="5"/>
  <c r="E75" i="5" s="1"/>
  <c r="AB75" i="5" s="1"/>
  <c r="C76" i="5"/>
  <c r="E76" i="5" s="1"/>
  <c r="AB76" i="5" s="1"/>
  <c r="C77" i="5"/>
  <c r="E77" i="5" s="1"/>
  <c r="AB77" i="5" s="1"/>
  <c r="C78" i="5"/>
  <c r="E78" i="5" s="1"/>
  <c r="AB78" i="5" s="1"/>
  <c r="C79" i="5"/>
  <c r="E79" i="5" s="1"/>
  <c r="AB79" i="5" s="1"/>
  <c r="C80" i="5"/>
  <c r="E80" i="5" s="1"/>
  <c r="AB80" i="5" s="1"/>
  <c r="C81" i="5"/>
  <c r="E81" i="5" s="1"/>
  <c r="AB81" i="5" s="1"/>
  <c r="C82" i="5"/>
  <c r="E82" i="5" s="1"/>
  <c r="AB82" i="5" s="1"/>
  <c r="C83" i="5"/>
  <c r="E83" i="5" s="1"/>
  <c r="AB83" i="5" s="1"/>
  <c r="C84" i="5"/>
  <c r="E84" i="5" s="1"/>
  <c r="AB84" i="5" s="1"/>
  <c r="C85" i="5"/>
  <c r="E85" i="5" s="1"/>
  <c r="AB85" i="5" s="1"/>
  <c r="C86" i="5"/>
  <c r="E86" i="5" s="1"/>
  <c r="AB86" i="5" s="1"/>
  <c r="C87" i="5"/>
  <c r="E87" i="5" s="1"/>
  <c r="AB87" i="5" s="1"/>
  <c r="C88" i="5"/>
  <c r="E88" i="5" s="1"/>
  <c r="AB88" i="5" s="1"/>
  <c r="C89" i="5"/>
  <c r="E89" i="5" s="1"/>
  <c r="AB89" i="5" s="1"/>
  <c r="C90" i="5"/>
  <c r="E90" i="5" s="1"/>
  <c r="AB90" i="5" s="1"/>
  <c r="C91" i="5"/>
  <c r="E91" i="5" s="1"/>
  <c r="AB91" i="5" s="1"/>
  <c r="C92" i="5"/>
  <c r="E92" i="5" s="1"/>
  <c r="AB92" i="5" s="1"/>
  <c r="C93" i="5"/>
  <c r="E93" i="5" s="1"/>
  <c r="AB93" i="5" s="1"/>
  <c r="C94" i="5"/>
  <c r="E94" i="5" s="1"/>
  <c r="AB94" i="5" s="1"/>
  <c r="C95" i="5"/>
  <c r="E95" i="5" s="1"/>
  <c r="AB95" i="5" s="1"/>
  <c r="C96" i="5"/>
  <c r="E96" i="5" s="1"/>
  <c r="AB96" i="5" s="1"/>
  <c r="C97" i="5"/>
  <c r="E97" i="5" s="1"/>
  <c r="AB97" i="5" s="1"/>
  <c r="C98" i="5"/>
  <c r="E98" i="5" s="1"/>
  <c r="AB98" i="5" s="1"/>
  <c r="C99" i="5"/>
  <c r="E99" i="5" s="1"/>
  <c r="AB99" i="5" s="1"/>
  <c r="C100" i="5"/>
  <c r="E100" i="5" s="1"/>
  <c r="AB100" i="5" s="1"/>
  <c r="C101" i="5"/>
  <c r="E101" i="5" s="1"/>
  <c r="AB101" i="5" s="1"/>
  <c r="C102" i="5"/>
  <c r="E102" i="5" s="1"/>
  <c r="AB102" i="5" s="1"/>
  <c r="C103" i="5"/>
  <c r="E103" i="5" s="1"/>
  <c r="AB103" i="5" s="1"/>
  <c r="C104" i="5"/>
  <c r="E104" i="5" s="1"/>
  <c r="AB104" i="5" s="1"/>
  <c r="C105" i="5"/>
  <c r="E105" i="5" s="1"/>
  <c r="AB105" i="5" s="1"/>
  <c r="C106" i="5"/>
  <c r="E106" i="5" s="1"/>
  <c r="AB106" i="5" s="1"/>
  <c r="C107" i="5"/>
  <c r="E107" i="5" s="1"/>
  <c r="AB107" i="5" s="1"/>
  <c r="C108" i="5"/>
  <c r="E108" i="5" s="1"/>
  <c r="AB108" i="5" s="1"/>
  <c r="C109" i="5"/>
  <c r="E109" i="5" s="1"/>
  <c r="AB109" i="5" s="1"/>
  <c r="C110" i="5"/>
  <c r="E110" i="5" s="1"/>
  <c r="AB110" i="5" s="1"/>
  <c r="C111" i="5"/>
  <c r="E111" i="5" s="1"/>
  <c r="AB111" i="5" s="1"/>
  <c r="C112" i="5"/>
  <c r="E112" i="5" s="1"/>
  <c r="AB112" i="5" s="1"/>
  <c r="C113" i="5"/>
  <c r="E113" i="5" s="1"/>
  <c r="AB113" i="5" s="1"/>
  <c r="C114" i="5"/>
  <c r="E114" i="5" s="1"/>
  <c r="AB114" i="5" s="1"/>
  <c r="C115" i="5"/>
  <c r="E115" i="5" s="1"/>
  <c r="AB115" i="5" s="1"/>
  <c r="C116" i="5"/>
  <c r="E116" i="5" s="1"/>
  <c r="AB116" i="5" s="1"/>
  <c r="C117" i="5"/>
  <c r="E117" i="5" s="1"/>
  <c r="AB117" i="5" s="1"/>
  <c r="C118" i="5"/>
  <c r="E118" i="5" s="1"/>
  <c r="AB118" i="5" s="1"/>
  <c r="C119" i="5"/>
  <c r="E119" i="5" s="1"/>
  <c r="AB119" i="5" s="1"/>
  <c r="C120" i="5"/>
  <c r="E120" i="5" s="1"/>
  <c r="AB120" i="5" s="1"/>
  <c r="C121" i="5"/>
  <c r="E121" i="5" s="1"/>
  <c r="AB121" i="5" s="1"/>
  <c r="C122" i="5"/>
  <c r="E122" i="5" s="1"/>
  <c r="AB122" i="5" s="1"/>
  <c r="C123" i="5"/>
  <c r="E123" i="5" s="1"/>
  <c r="AB123" i="5" s="1"/>
  <c r="C124" i="5"/>
  <c r="E124" i="5" s="1"/>
  <c r="AB124" i="5" s="1"/>
  <c r="C125" i="5"/>
  <c r="E125" i="5" s="1"/>
  <c r="AB125" i="5" s="1"/>
  <c r="C126" i="5"/>
  <c r="E126" i="5" s="1"/>
  <c r="AB126" i="5" s="1"/>
  <c r="C127" i="5"/>
  <c r="E127" i="5" s="1"/>
  <c r="AB127" i="5" s="1"/>
  <c r="C128" i="5"/>
  <c r="E128" i="5" s="1"/>
  <c r="AB128" i="5" s="1"/>
  <c r="C129" i="5"/>
  <c r="E129" i="5" s="1"/>
  <c r="AB129" i="5" s="1"/>
  <c r="C131" i="5"/>
  <c r="E131" i="5" s="1"/>
  <c r="AB131" i="5" s="1"/>
  <c r="C132" i="5"/>
  <c r="E132" i="5" s="1"/>
  <c r="AB132" i="5" s="1"/>
  <c r="C133" i="5"/>
  <c r="E133" i="5" s="1"/>
  <c r="AB133" i="5" s="1"/>
  <c r="C134" i="5"/>
  <c r="E134" i="5" s="1"/>
  <c r="AB134" i="5" s="1"/>
  <c r="C135" i="5"/>
  <c r="E135" i="5" s="1"/>
  <c r="AB135" i="5" s="1"/>
  <c r="C136" i="5"/>
  <c r="E136" i="5" s="1"/>
  <c r="AB136" i="5" s="1"/>
  <c r="C137" i="5"/>
  <c r="E137" i="5" s="1"/>
  <c r="AB137" i="5" s="1"/>
  <c r="C138" i="5"/>
  <c r="E138" i="5" s="1"/>
  <c r="AB138" i="5" s="1"/>
  <c r="C139" i="5"/>
  <c r="E139" i="5" s="1"/>
  <c r="AB139" i="5" s="1"/>
  <c r="C140" i="5"/>
  <c r="E140" i="5" s="1"/>
  <c r="AB140" i="5" s="1"/>
  <c r="C141" i="5"/>
  <c r="E141" i="5" s="1"/>
  <c r="AB141" i="5" s="1"/>
  <c r="C142" i="5"/>
  <c r="E142" i="5" s="1"/>
  <c r="AB142" i="5" s="1"/>
  <c r="C143" i="5"/>
  <c r="E143" i="5" s="1"/>
  <c r="AB143" i="5" s="1"/>
  <c r="C144" i="5"/>
  <c r="E144" i="5" s="1"/>
  <c r="AB144" i="5" s="1"/>
  <c r="C145" i="5"/>
  <c r="E145" i="5" s="1"/>
  <c r="AB145" i="5" s="1"/>
  <c r="C146" i="5"/>
  <c r="E146" i="5" s="1"/>
  <c r="AB146" i="5" s="1"/>
  <c r="C147" i="5"/>
  <c r="E147" i="5" s="1"/>
  <c r="AB147" i="5" s="1"/>
  <c r="C148" i="5"/>
  <c r="E148" i="5" s="1"/>
  <c r="AB148" i="5" s="1"/>
  <c r="C149" i="5"/>
  <c r="E149" i="5" s="1"/>
  <c r="AB149" i="5" s="1"/>
  <c r="C150" i="5"/>
  <c r="E150" i="5" s="1"/>
  <c r="AB150" i="5" s="1"/>
  <c r="C151" i="5"/>
  <c r="E151" i="5" s="1"/>
  <c r="AB151" i="5" s="1"/>
  <c r="C152" i="5"/>
  <c r="E152" i="5" s="1"/>
  <c r="AB152" i="5" s="1"/>
  <c r="C153" i="5"/>
  <c r="E153" i="5" s="1"/>
  <c r="AB153" i="5" s="1"/>
  <c r="C154" i="5"/>
  <c r="E154" i="5" s="1"/>
  <c r="AB154" i="5" s="1"/>
  <c r="C155" i="5"/>
  <c r="E155" i="5" s="1"/>
  <c r="AB155" i="5" s="1"/>
  <c r="C156" i="5"/>
  <c r="E156" i="5" s="1"/>
  <c r="AB156" i="5" s="1"/>
  <c r="C157" i="5"/>
  <c r="E157" i="5" s="1"/>
  <c r="AB157" i="5" s="1"/>
  <c r="C158" i="5"/>
  <c r="E158" i="5" s="1"/>
  <c r="AB158" i="5" s="1"/>
  <c r="C159" i="5"/>
  <c r="E159" i="5" s="1"/>
  <c r="AB159" i="5" s="1"/>
  <c r="C160" i="5"/>
  <c r="E160" i="5" s="1"/>
  <c r="AB160" i="5" s="1"/>
  <c r="C162" i="5"/>
  <c r="E162" i="5" s="1"/>
  <c r="AB162" i="5" s="1"/>
  <c r="C163" i="5"/>
  <c r="E163" i="5" s="1"/>
  <c r="AB163" i="5" s="1"/>
  <c r="C164" i="5"/>
  <c r="E164" i="5" s="1"/>
  <c r="AB164" i="5" s="1"/>
  <c r="C165" i="5"/>
  <c r="E165" i="5" s="1"/>
  <c r="AB165" i="5" s="1"/>
  <c r="C166" i="5"/>
  <c r="E166" i="5" s="1"/>
  <c r="AB166" i="5" s="1"/>
  <c r="C167" i="5"/>
  <c r="E167" i="5" s="1"/>
  <c r="AB167" i="5" s="1"/>
  <c r="C168" i="5"/>
  <c r="E168" i="5" s="1"/>
  <c r="AB168" i="5" s="1"/>
  <c r="C169" i="5"/>
  <c r="E169" i="5" s="1"/>
  <c r="AB169" i="5" s="1"/>
  <c r="C170" i="5"/>
  <c r="E170" i="5" s="1"/>
  <c r="AB170" i="5" s="1"/>
  <c r="C171" i="5"/>
  <c r="E171" i="5" s="1"/>
  <c r="AB171" i="5" s="1"/>
  <c r="C172" i="5"/>
  <c r="E172" i="5" s="1"/>
  <c r="AB172" i="5" s="1"/>
  <c r="C173" i="5"/>
  <c r="E173" i="5" s="1"/>
  <c r="AB173" i="5" s="1"/>
  <c r="C174" i="5"/>
  <c r="E174" i="5" s="1"/>
  <c r="AB174" i="5" s="1"/>
  <c r="C175" i="5"/>
  <c r="E175" i="5" s="1"/>
  <c r="AB175" i="5" s="1"/>
  <c r="C176" i="5"/>
  <c r="E176" i="5" s="1"/>
  <c r="AB176" i="5" s="1"/>
  <c r="C177" i="5"/>
  <c r="E177" i="5" s="1"/>
  <c r="AB177" i="5" s="1"/>
  <c r="C178" i="5"/>
  <c r="E178" i="5" s="1"/>
  <c r="AB178" i="5" s="1"/>
  <c r="C179" i="5"/>
  <c r="E179" i="5" s="1"/>
  <c r="AB179" i="5" s="1"/>
  <c r="C180" i="5"/>
  <c r="E180" i="5" s="1"/>
  <c r="AB180" i="5" s="1"/>
  <c r="C181" i="5"/>
  <c r="E181" i="5" s="1"/>
  <c r="AB181" i="5" s="1"/>
  <c r="C182" i="5"/>
  <c r="E182" i="5" s="1"/>
  <c r="AB182" i="5" s="1"/>
  <c r="C183" i="5"/>
  <c r="E183" i="5" s="1"/>
  <c r="AB183" i="5" s="1"/>
  <c r="C184" i="5"/>
  <c r="E184" i="5" s="1"/>
  <c r="AB184" i="5" s="1"/>
  <c r="C185" i="5"/>
  <c r="E185" i="5" s="1"/>
  <c r="AB185" i="5" s="1"/>
  <c r="C186" i="5"/>
  <c r="E186" i="5" s="1"/>
  <c r="AB186" i="5" s="1"/>
  <c r="C187" i="5"/>
  <c r="E187" i="5" s="1"/>
  <c r="AB187" i="5" s="1"/>
  <c r="C188" i="5"/>
  <c r="E188" i="5" s="1"/>
  <c r="AB188" i="5" s="1"/>
  <c r="C189" i="5"/>
  <c r="E189" i="5" s="1"/>
  <c r="AB189" i="5" s="1"/>
  <c r="C190" i="5"/>
  <c r="E190" i="5" s="1"/>
  <c r="AB190" i="5" s="1"/>
  <c r="C191" i="5"/>
  <c r="E191" i="5" s="1"/>
  <c r="AB191" i="5" s="1"/>
  <c r="C192" i="5"/>
  <c r="E192" i="5" s="1"/>
  <c r="AB192" i="5" s="1"/>
  <c r="C193" i="5"/>
  <c r="E193" i="5" s="1"/>
  <c r="AB193" i="5" s="1"/>
  <c r="C194" i="5"/>
  <c r="E194" i="5" s="1"/>
  <c r="AB194" i="5" s="1"/>
  <c r="C195" i="5"/>
  <c r="E195" i="5" s="1"/>
  <c r="AB195" i="5" s="1"/>
  <c r="AK2" i="5" l="1"/>
  <c r="AK7" i="5"/>
  <c r="AK3" i="5"/>
  <c r="AK5" i="5"/>
  <c r="AK4" i="5"/>
  <c r="AK8" i="5"/>
  <c r="AK6" i="5"/>
  <c r="C2" i="5"/>
  <c r="C7" i="5"/>
  <c r="E7" i="5" s="1"/>
  <c r="AB7" i="5" s="1"/>
  <c r="C5" i="5"/>
  <c r="E5" i="5" s="1"/>
  <c r="AB5" i="5" s="1"/>
  <c r="E2" i="5" l="1"/>
  <c r="C3" i="5"/>
  <c r="E3" i="5" s="1"/>
  <c r="AB2" i="5" l="1"/>
  <c r="F2" i="5"/>
  <c r="G3" i="5" s="1"/>
  <c r="G2" i="5"/>
  <c r="AB3" i="5"/>
  <c r="AD2" i="5" s="1"/>
  <c r="H2" i="5"/>
</calcChain>
</file>

<file path=xl/sharedStrings.xml><?xml version="1.0" encoding="utf-8"?>
<sst xmlns="http://schemas.openxmlformats.org/spreadsheetml/2006/main" count="17593" uniqueCount="919">
  <si>
    <t>WPR</t>
  </si>
  <si>
    <t>AMR</t>
  </si>
  <si>
    <t>Antigua and Barbuda</t>
  </si>
  <si>
    <t>ATG</t>
  </si>
  <si>
    <t>EMR</t>
  </si>
  <si>
    <t>Arab Republic of Egypt</t>
  </si>
  <si>
    <t>Egypt</t>
  </si>
  <si>
    <t>EGY</t>
  </si>
  <si>
    <t>Argentine Republic</t>
  </si>
  <si>
    <t>Argentina</t>
  </si>
  <si>
    <t>ARG</t>
  </si>
  <si>
    <t>Australia</t>
  </si>
  <si>
    <t>AUS</t>
  </si>
  <si>
    <t>Barbados</t>
  </si>
  <si>
    <t>BRB</t>
  </si>
  <si>
    <t>Belize</t>
  </si>
  <si>
    <t>BLZ</t>
  </si>
  <si>
    <t>Bolivarian Republic of Venezuela</t>
  </si>
  <si>
    <t>Venezuela (Bolivarian Republic of)</t>
  </si>
  <si>
    <t>VEN</t>
  </si>
  <si>
    <t>EUR</t>
  </si>
  <si>
    <t>Bosnia and Herzegovina</t>
  </si>
  <si>
    <t>BIH</t>
  </si>
  <si>
    <t>Brunei Darussalam</t>
  </si>
  <si>
    <t>BRN</t>
  </si>
  <si>
    <t>AFR</t>
  </si>
  <si>
    <t>Burkina Faso</t>
  </si>
  <si>
    <t>BFA</t>
  </si>
  <si>
    <t>Canada</t>
  </si>
  <si>
    <t>CAN</t>
  </si>
  <si>
    <t>Central African Republic</t>
  </si>
  <si>
    <t>CAF</t>
  </si>
  <si>
    <t>Commonwealth of Dominica</t>
  </si>
  <si>
    <t>Dominica</t>
  </si>
  <si>
    <t>DMA</t>
  </si>
  <si>
    <t>Commonwealth of the Bahamas</t>
  </si>
  <si>
    <t>Bahamas</t>
  </si>
  <si>
    <t>BHS</t>
  </si>
  <si>
    <t>Cook Islands</t>
  </si>
  <si>
    <t>COK</t>
  </si>
  <si>
    <t>Czech Republic</t>
  </si>
  <si>
    <t>Czechia</t>
  </si>
  <si>
    <t>CZE</t>
  </si>
  <si>
    <t>SEAR</t>
  </si>
  <si>
    <t>Democratic People's Republic of Korea</t>
  </si>
  <si>
    <t>PRK</t>
  </si>
  <si>
    <t>Democratic Republic of Sao Tome and Principe</t>
  </si>
  <si>
    <t>Sao Tome and Principe</t>
  </si>
  <si>
    <t>STP</t>
  </si>
  <si>
    <t>Democratic Republic of the Congo</t>
  </si>
  <si>
    <t>COD</t>
  </si>
  <si>
    <t>Democratic Republic of Timor-Leste</t>
  </si>
  <si>
    <t>Timor-Leste</t>
  </si>
  <si>
    <t>TLS</t>
  </si>
  <si>
    <t>Democratic Socialist Republic of Sri Lanka</t>
  </si>
  <si>
    <t>Sri Lanka</t>
  </si>
  <si>
    <t>LKA</t>
  </si>
  <si>
    <t>Dominican Republic</t>
  </si>
  <si>
    <t>DOM</t>
  </si>
  <si>
    <t>Eastern Republic of Uruguay</t>
  </si>
  <si>
    <t>Uruguay</t>
  </si>
  <si>
    <t>URY</t>
  </si>
  <si>
    <t>NA</t>
  </si>
  <si>
    <t>Federal Democratic Republic of Ethiopia</t>
  </si>
  <si>
    <t>Ethiopia</t>
  </si>
  <si>
    <t>ETH</t>
  </si>
  <si>
    <t>Federal Democratic Republic of Nepal</t>
  </si>
  <si>
    <t>Nepal</t>
  </si>
  <si>
    <t>NPL</t>
  </si>
  <si>
    <t>Federal Republic of Germany</t>
  </si>
  <si>
    <t>Germany</t>
  </si>
  <si>
    <t>DEU</t>
  </si>
  <si>
    <t>Federal Republic of Nigeria</t>
  </si>
  <si>
    <t>Nigeria</t>
  </si>
  <si>
    <t>NGA</t>
  </si>
  <si>
    <t>Federal Republic of Somalia</t>
  </si>
  <si>
    <t>Somalia</t>
  </si>
  <si>
    <t>SOM</t>
  </si>
  <si>
    <t>Federated States of Micronesia</t>
  </si>
  <si>
    <t>Micronesia (Federated States of)</t>
  </si>
  <si>
    <t>FSM</t>
  </si>
  <si>
    <t>Federative Republic of Brazil</t>
  </si>
  <si>
    <t>Brazil</t>
  </si>
  <si>
    <t>BRA</t>
  </si>
  <si>
    <t>French Republic</t>
  </si>
  <si>
    <t>France</t>
  </si>
  <si>
    <t>FRA</t>
  </si>
  <si>
    <t>Gabonese Republic</t>
  </si>
  <si>
    <t>Gabon</t>
  </si>
  <si>
    <t>GAB</t>
  </si>
  <si>
    <t>Georgia</t>
  </si>
  <si>
    <t>GEO</t>
  </si>
  <si>
    <t>Grand Duchy of Luxembourg</t>
  </si>
  <si>
    <t>Luxembourg</t>
  </si>
  <si>
    <t>LUX</t>
  </si>
  <si>
    <t>Grenada</t>
  </si>
  <si>
    <t>GRD</t>
  </si>
  <si>
    <t>Hashemite Kingdom of Jordan</t>
  </si>
  <si>
    <t>Jordan</t>
  </si>
  <si>
    <t>JOR</t>
  </si>
  <si>
    <t>Hellenic Republic</t>
  </si>
  <si>
    <t>Greece</t>
  </si>
  <si>
    <t>GRC</t>
  </si>
  <si>
    <t>Hungary</t>
  </si>
  <si>
    <t>HUN</t>
  </si>
  <si>
    <t>Independent State of Papua New Guinea</t>
  </si>
  <si>
    <t>Papua New Guinea</t>
  </si>
  <si>
    <t>PNG</t>
  </si>
  <si>
    <t>Independent State of Samoa</t>
  </si>
  <si>
    <t>Samoa</t>
  </si>
  <si>
    <t>WSM</t>
  </si>
  <si>
    <t>Ireland</t>
  </si>
  <si>
    <t>IRL</t>
  </si>
  <si>
    <t>Afghanistan</t>
  </si>
  <si>
    <t>AFG</t>
  </si>
  <si>
    <t>Islamic Republic of Iran</t>
  </si>
  <si>
    <t>Iran (Islamic Republic of)</t>
  </si>
  <si>
    <t>IRN</t>
  </si>
  <si>
    <t>Islamic Republic of Mauritania</t>
  </si>
  <si>
    <t>Mauritania</t>
  </si>
  <si>
    <t>MRT</t>
  </si>
  <si>
    <t>Islamic Republic of Pakistan</t>
  </si>
  <si>
    <t>Pakistan</t>
  </si>
  <si>
    <t>PAK</t>
  </si>
  <si>
    <t>Jamaica</t>
  </si>
  <si>
    <t>JAM</t>
  </si>
  <si>
    <t>Japan</t>
  </si>
  <si>
    <t>JPN</t>
  </si>
  <si>
    <t>Netherlands</t>
  </si>
  <si>
    <t>NLD</t>
  </si>
  <si>
    <t>Kingdom of Bahrain</t>
  </si>
  <si>
    <t>Bahrain</t>
  </si>
  <si>
    <t>BHR</t>
  </si>
  <si>
    <t>Kingdom of Belgium</t>
  </si>
  <si>
    <t>Belgium</t>
  </si>
  <si>
    <t>BEL</t>
  </si>
  <si>
    <t>Kingdom of Bhutan</t>
  </si>
  <si>
    <t>Bhutan</t>
  </si>
  <si>
    <t>BTN</t>
  </si>
  <si>
    <t>Kingdom of Cambodia</t>
  </si>
  <si>
    <t>Cambodia</t>
  </si>
  <si>
    <t>KHM</t>
  </si>
  <si>
    <t>Kingdom of Denmark</t>
  </si>
  <si>
    <t>Denmark</t>
  </si>
  <si>
    <t>DNK</t>
  </si>
  <si>
    <t>Kingdom of Eswatini</t>
  </si>
  <si>
    <t>Eswatini</t>
  </si>
  <si>
    <t>SWZ</t>
  </si>
  <si>
    <t>Kingdom of Lesotho</t>
  </si>
  <si>
    <t>Lesotho</t>
  </si>
  <si>
    <t>LSO</t>
  </si>
  <si>
    <t>Kingdom of Morocco</t>
  </si>
  <si>
    <t>Morocco</t>
  </si>
  <si>
    <t>MAR</t>
  </si>
  <si>
    <t>Kingdom of Norway</t>
  </si>
  <si>
    <t>Norway</t>
  </si>
  <si>
    <t>NOR</t>
  </si>
  <si>
    <t>Kingdom of Saudi Arabia</t>
  </si>
  <si>
    <t>Saudi Arabia</t>
  </si>
  <si>
    <t>SAU</t>
  </si>
  <si>
    <t>Kingdom of Spain</t>
  </si>
  <si>
    <t>Spain</t>
  </si>
  <si>
    <t>ESP</t>
  </si>
  <si>
    <t>Kingdom of Sweden</t>
  </si>
  <si>
    <t>Sweden</t>
  </si>
  <si>
    <t>SWE</t>
  </si>
  <si>
    <t>Kingdom of Thailand</t>
  </si>
  <si>
    <t>Thailand</t>
  </si>
  <si>
    <t>THA</t>
  </si>
  <si>
    <t>Kingdom of Tonga</t>
  </si>
  <si>
    <t>Tonga</t>
  </si>
  <si>
    <t>TON</t>
  </si>
  <si>
    <t>Kyrgyz Republic</t>
  </si>
  <si>
    <t>Kyrgyzstan</t>
  </si>
  <si>
    <t>KGZ</t>
  </si>
  <si>
    <t>Lao People's Democratic Republic</t>
  </si>
  <si>
    <t>LAO</t>
  </si>
  <si>
    <t>Lebanese Republic</t>
  </si>
  <si>
    <t>Lebanon</t>
  </si>
  <si>
    <t>LBN</t>
  </si>
  <si>
    <t>Malaysia</t>
  </si>
  <si>
    <t>MYS</t>
  </si>
  <si>
    <t>Mongolia</t>
  </si>
  <si>
    <t>MNG</t>
  </si>
  <si>
    <t>Montenegro</t>
  </si>
  <si>
    <t>MNE</t>
  </si>
  <si>
    <t>New Zealand</t>
  </si>
  <si>
    <t>NZL</t>
  </si>
  <si>
    <t>People's Democratic Republic of Algeria</t>
  </si>
  <si>
    <t>Algeria</t>
  </si>
  <si>
    <t>DZA</t>
  </si>
  <si>
    <t>People's Republic of Bangladesh</t>
  </si>
  <si>
    <t>Bangladesh</t>
  </si>
  <si>
    <t>BGD</t>
  </si>
  <si>
    <t>People's Republic of China</t>
  </si>
  <si>
    <t>China</t>
  </si>
  <si>
    <t>CHN</t>
  </si>
  <si>
    <t>Plurinational State of Bolivia</t>
  </si>
  <si>
    <t>Bolivia (Plurinational State of)</t>
  </si>
  <si>
    <t>BOL</t>
  </si>
  <si>
    <t>Portuguese Republic</t>
  </si>
  <si>
    <t>Portugal</t>
  </si>
  <si>
    <t>PRT</t>
  </si>
  <si>
    <t>Principality of Andorra</t>
  </si>
  <si>
    <t>Andorra</t>
  </si>
  <si>
    <t>AND</t>
  </si>
  <si>
    <t>Principality of Monaco</t>
  </si>
  <si>
    <t>Monaco</t>
  </si>
  <si>
    <t>MCO</t>
  </si>
  <si>
    <t>Marshall Islands</t>
  </si>
  <si>
    <t>MHL</t>
  </si>
  <si>
    <t>Republic of Albania</t>
  </si>
  <si>
    <t>Albania</t>
  </si>
  <si>
    <t>ALB</t>
  </si>
  <si>
    <t>Republic of Angola</t>
  </si>
  <si>
    <t>Angola</t>
  </si>
  <si>
    <t>AGO</t>
  </si>
  <si>
    <t>Republic of Armenia</t>
  </si>
  <si>
    <t>Armenia</t>
  </si>
  <si>
    <t>ARM</t>
  </si>
  <si>
    <t>Republic of Austria</t>
  </si>
  <si>
    <t>Austria</t>
  </si>
  <si>
    <t>AUT</t>
  </si>
  <si>
    <t>Republic of Azerbaijan</t>
  </si>
  <si>
    <t>Azerbaijan</t>
  </si>
  <si>
    <t>AZE</t>
  </si>
  <si>
    <t>Republic of Belarus</t>
  </si>
  <si>
    <t>Belarus</t>
  </si>
  <si>
    <t>BLR</t>
  </si>
  <si>
    <t>Republic of Benin</t>
  </si>
  <si>
    <t>Benin</t>
  </si>
  <si>
    <t>BEN</t>
  </si>
  <si>
    <t>Republic of Botswana</t>
  </si>
  <si>
    <t>Botswana</t>
  </si>
  <si>
    <t>BWA</t>
  </si>
  <si>
    <t>Republic of Bulgaria</t>
  </si>
  <si>
    <t>Bulgaria</t>
  </si>
  <si>
    <t>BGR</t>
  </si>
  <si>
    <t>Republic of Burundi</t>
  </si>
  <si>
    <t>Burundi</t>
  </si>
  <si>
    <t>BDI</t>
  </si>
  <si>
    <t>Republic of Cabo Verde</t>
  </si>
  <si>
    <t>Cabo Verde</t>
  </si>
  <si>
    <t>CPV</t>
  </si>
  <si>
    <t>Republic of Cameroon</t>
  </si>
  <si>
    <t>Cameroon</t>
  </si>
  <si>
    <t>CMR</t>
  </si>
  <si>
    <t>Republic of Chad</t>
  </si>
  <si>
    <t>Chad</t>
  </si>
  <si>
    <t>TCD</t>
  </si>
  <si>
    <t>Republic of Chile</t>
  </si>
  <si>
    <t>Chile</t>
  </si>
  <si>
    <t>CHL</t>
  </si>
  <si>
    <t>Republic of Colombia</t>
  </si>
  <si>
    <t>Colombia</t>
  </si>
  <si>
    <t>COL</t>
  </si>
  <si>
    <t>Republic of Costa Rica</t>
  </si>
  <si>
    <t>Costa Rica</t>
  </si>
  <si>
    <t>CRI</t>
  </si>
  <si>
    <t>Republic of Croatia</t>
  </si>
  <si>
    <t>Croatia</t>
  </si>
  <si>
    <t>HRV</t>
  </si>
  <si>
    <t>Republic of Cuba</t>
  </si>
  <si>
    <t>Cuba</t>
  </si>
  <si>
    <t>CUB</t>
  </si>
  <si>
    <t>Republic of Cyprus</t>
  </si>
  <si>
    <t>Cyprus</t>
  </si>
  <si>
    <t>CYP</t>
  </si>
  <si>
    <t>CIV</t>
  </si>
  <si>
    <t>Republic of Djibouti</t>
  </si>
  <si>
    <t>Djibouti</t>
  </si>
  <si>
    <t>DJI</t>
  </si>
  <si>
    <t>Republic of Ecuador</t>
  </si>
  <si>
    <t>Ecuador</t>
  </si>
  <si>
    <t>ECU</t>
  </si>
  <si>
    <t>Republic of El Salvador</t>
  </si>
  <si>
    <t>El Salvador</t>
  </si>
  <si>
    <t>SLV</t>
  </si>
  <si>
    <t>Republic of Equatorial Guinea</t>
  </si>
  <si>
    <t>Equatorial Guinea</t>
  </si>
  <si>
    <t>GNQ</t>
  </si>
  <si>
    <t>Republic of Estonia</t>
  </si>
  <si>
    <t>Estonia</t>
  </si>
  <si>
    <t>EST</t>
  </si>
  <si>
    <t>Republic of Fiji</t>
  </si>
  <si>
    <t>Fiji</t>
  </si>
  <si>
    <t>FJI</t>
  </si>
  <si>
    <t>Republic of Finland</t>
  </si>
  <si>
    <t>Finland</t>
  </si>
  <si>
    <t>FIN</t>
  </si>
  <si>
    <t>Republic of Gambia</t>
  </si>
  <si>
    <t>Gambia</t>
  </si>
  <si>
    <t>GMB</t>
  </si>
  <si>
    <t>Republic of Ghana</t>
  </si>
  <si>
    <t>Ghana</t>
  </si>
  <si>
    <t>GHA</t>
  </si>
  <si>
    <t>Republic of Guatemala</t>
  </si>
  <si>
    <t>Guatemala</t>
  </si>
  <si>
    <t>GTM</t>
  </si>
  <si>
    <t>Republic of Guinea</t>
  </si>
  <si>
    <t>Guinea</t>
  </si>
  <si>
    <t>GIN</t>
  </si>
  <si>
    <t>Republic of Guinea-Bissau</t>
  </si>
  <si>
    <t>Guinea-Bissau</t>
  </si>
  <si>
    <t>GNB</t>
  </si>
  <si>
    <t>Republic of Guyana</t>
  </si>
  <si>
    <t>Guyana</t>
  </si>
  <si>
    <t>GUY</t>
  </si>
  <si>
    <t>Republic of Haiti</t>
  </si>
  <si>
    <t>Haiti</t>
  </si>
  <si>
    <t>HTI</t>
  </si>
  <si>
    <t>Republic of Honduras</t>
  </si>
  <si>
    <t>Honduras</t>
  </si>
  <si>
    <t>HND</t>
  </si>
  <si>
    <t>Republic of Iceland</t>
  </si>
  <si>
    <t>Iceland</t>
  </si>
  <si>
    <t>ISL</t>
  </si>
  <si>
    <t>Republic of India</t>
  </si>
  <si>
    <t>India</t>
  </si>
  <si>
    <t>IND</t>
  </si>
  <si>
    <t>Republic of Indonesia</t>
  </si>
  <si>
    <t>Indonesia</t>
  </si>
  <si>
    <t>IDN</t>
  </si>
  <si>
    <t>Republic of Iraq</t>
  </si>
  <si>
    <t>Iraq</t>
  </si>
  <si>
    <t>IRQ</t>
  </si>
  <si>
    <t>Republic of Italy</t>
  </si>
  <si>
    <t>Italy</t>
  </si>
  <si>
    <t>ITA</t>
  </si>
  <si>
    <t>Republic of Kazakhstan</t>
  </si>
  <si>
    <t>Kazakhstan</t>
  </si>
  <si>
    <t>KAZ</t>
  </si>
  <si>
    <t>Republic of Kenya</t>
  </si>
  <si>
    <t>Kenya</t>
  </si>
  <si>
    <t>KEN</t>
  </si>
  <si>
    <t>Republic of Kiribati</t>
  </si>
  <si>
    <t>Kiribati</t>
  </si>
  <si>
    <t>KIR</t>
  </si>
  <si>
    <t>Republic of Korea</t>
  </si>
  <si>
    <t>KOR</t>
  </si>
  <si>
    <t>Republic of Latvia</t>
  </si>
  <si>
    <t>Latvia</t>
  </si>
  <si>
    <t>LVA</t>
  </si>
  <si>
    <t>Republic of Liberia</t>
  </si>
  <si>
    <t>Liberia</t>
  </si>
  <si>
    <t>LBR</t>
  </si>
  <si>
    <t>Republic of Lithuania</t>
  </si>
  <si>
    <t>Lithuania</t>
  </si>
  <si>
    <t>LTU</t>
  </si>
  <si>
    <t>Republic of Madagascar</t>
  </si>
  <si>
    <t>Madagascar</t>
  </si>
  <si>
    <t>MDG</t>
  </si>
  <si>
    <t>Republic of Malawi</t>
  </si>
  <si>
    <t>Malawi</t>
  </si>
  <si>
    <t>MWI</t>
  </si>
  <si>
    <t>Republic of Maldives</t>
  </si>
  <si>
    <t>Maldives</t>
  </si>
  <si>
    <t>MDV</t>
  </si>
  <si>
    <t>Republic of Mali</t>
  </si>
  <si>
    <t>Mali</t>
  </si>
  <si>
    <t>MLI</t>
  </si>
  <si>
    <t>Republic of Malta</t>
  </si>
  <si>
    <t>Malta</t>
  </si>
  <si>
    <t>MLT</t>
  </si>
  <si>
    <t>Republic of Mauritius</t>
  </si>
  <si>
    <t>Mauritius</t>
  </si>
  <si>
    <t>MUS</t>
  </si>
  <si>
    <t>Republic of Moldova</t>
  </si>
  <si>
    <t>MDA</t>
  </si>
  <si>
    <t>Republic of Mozambique</t>
  </si>
  <si>
    <t>Mozambique</t>
  </si>
  <si>
    <t>MOZ</t>
  </si>
  <si>
    <t>Republic of Namibia</t>
  </si>
  <si>
    <t>Namibia</t>
  </si>
  <si>
    <t>NAM</t>
  </si>
  <si>
    <t>Republic of Nauru</t>
  </si>
  <si>
    <t>Nauru</t>
  </si>
  <si>
    <t>NRU</t>
  </si>
  <si>
    <t>Republic of Nicaragua</t>
  </si>
  <si>
    <t>Nicaragua</t>
  </si>
  <si>
    <t>NIC</t>
  </si>
  <si>
    <t>Republic of Niue</t>
  </si>
  <si>
    <t>Niue</t>
  </si>
  <si>
    <t>NIU</t>
  </si>
  <si>
    <t>Republic of North Macedonia</t>
  </si>
  <si>
    <t>North Macedonia</t>
  </si>
  <si>
    <t>MKD</t>
  </si>
  <si>
    <t>Republic of Palau</t>
  </si>
  <si>
    <t>Palau</t>
  </si>
  <si>
    <t>PLW</t>
  </si>
  <si>
    <t>Republic of Panama</t>
  </si>
  <si>
    <t>Panama</t>
  </si>
  <si>
    <t>PAN</t>
  </si>
  <si>
    <t>Republic of Paraguay</t>
  </si>
  <si>
    <t>Paraguay</t>
  </si>
  <si>
    <t>PRY</t>
  </si>
  <si>
    <t>Republic of Peru</t>
  </si>
  <si>
    <t>Peru</t>
  </si>
  <si>
    <t>PER</t>
  </si>
  <si>
    <t>Republic of Philippines</t>
  </si>
  <si>
    <t>Philippines</t>
  </si>
  <si>
    <t>PHL</t>
  </si>
  <si>
    <t>Republic of Poland</t>
  </si>
  <si>
    <t>Poland</t>
  </si>
  <si>
    <t>POL</t>
  </si>
  <si>
    <t>Republic of Rwanda</t>
  </si>
  <si>
    <t>Rwanda</t>
  </si>
  <si>
    <t>RWA</t>
  </si>
  <si>
    <t>Republic of San Marino</t>
  </si>
  <si>
    <t>San Marino</t>
  </si>
  <si>
    <t>SMR</t>
  </si>
  <si>
    <t>Republic of Senegal</t>
  </si>
  <si>
    <t>Senegal</t>
  </si>
  <si>
    <t>SEN</t>
  </si>
  <si>
    <t>Republic of Serbia</t>
  </si>
  <si>
    <t>Serbia</t>
  </si>
  <si>
    <t>SRB</t>
  </si>
  <si>
    <t>Republic of Seychelles</t>
  </si>
  <si>
    <t>Seychelles</t>
  </si>
  <si>
    <t>SYC</t>
  </si>
  <si>
    <t>Republic of Sierra Leone</t>
  </si>
  <si>
    <t>Sierra Leone</t>
  </si>
  <si>
    <t>SLE</t>
  </si>
  <si>
    <t>Republic of Singapore</t>
  </si>
  <si>
    <t>Singapore</t>
  </si>
  <si>
    <t>SGP</t>
  </si>
  <si>
    <t>Republic of Slovenia</t>
  </si>
  <si>
    <t>Slovenia</t>
  </si>
  <si>
    <t>SVN</t>
  </si>
  <si>
    <t>Republic of South Africa</t>
  </si>
  <si>
    <t>South Africa</t>
  </si>
  <si>
    <t>ZAF</t>
  </si>
  <si>
    <t>Republic of South Sudan</t>
  </si>
  <si>
    <t>South Sudan</t>
  </si>
  <si>
    <t>SSD</t>
  </si>
  <si>
    <t>Republic of Suriname</t>
  </si>
  <si>
    <t>Suriname</t>
  </si>
  <si>
    <t>SUR</t>
  </si>
  <si>
    <t>Republic of Tajikistan</t>
  </si>
  <si>
    <t>Tajikistan</t>
  </si>
  <si>
    <t>TJK</t>
  </si>
  <si>
    <t>Republic of the Congo</t>
  </si>
  <si>
    <t>Congo</t>
  </si>
  <si>
    <t>COG</t>
  </si>
  <si>
    <t>Republic of the Niger</t>
  </si>
  <si>
    <t>Niger</t>
  </si>
  <si>
    <t>NER</t>
  </si>
  <si>
    <t>Republic of the Sudan</t>
  </si>
  <si>
    <t>Sudan</t>
  </si>
  <si>
    <t>SDN</t>
  </si>
  <si>
    <t>Republic of the Union of Myanmar</t>
  </si>
  <si>
    <t>Myanmar</t>
  </si>
  <si>
    <t>MMR</t>
  </si>
  <si>
    <t>Republic of Trinidad and Tobago</t>
  </si>
  <si>
    <t>Trinidad and Tobago</t>
  </si>
  <si>
    <t>TTO</t>
  </si>
  <si>
    <t>Republic of Tunisia</t>
  </si>
  <si>
    <t>Tunisia</t>
  </si>
  <si>
    <t>TUN</t>
  </si>
  <si>
    <t>Republic of Turkey</t>
  </si>
  <si>
    <t>Turkey</t>
  </si>
  <si>
    <t>TUR</t>
  </si>
  <si>
    <t>Republic of Uganda</t>
  </si>
  <si>
    <t>Uganda</t>
  </si>
  <si>
    <t>UGA</t>
  </si>
  <si>
    <t>Republic of Uzbekistan</t>
  </si>
  <si>
    <t>Uzbekistan</t>
  </si>
  <si>
    <t>UZB</t>
  </si>
  <si>
    <t>Republic of Vanuatu</t>
  </si>
  <si>
    <t>Vanuatu</t>
  </si>
  <si>
    <t>VUT</t>
  </si>
  <si>
    <t>Republic of Yemen</t>
  </si>
  <si>
    <t>Yemen</t>
  </si>
  <si>
    <t>YEM</t>
  </si>
  <si>
    <t>Republic of Zambia</t>
  </si>
  <si>
    <t>Zambia</t>
  </si>
  <si>
    <t>ZMB</t>
  </si>
  <si>
    <t>Republic of Zimbabwe</t>
  </si>
  <si>
    <t>Zimbabwe</t>
  </si>
  <si>
    <t>ZWE</t>
  </si>
  <si>
    <t>Romania</t>
  </si>
  <si>
    <t>ROU</t>
  </si>
  <si>
    <t>Russian Federation</t>
  </si>
  <si>
    <t>RUS</t>
  </si>
  <si>
    <t>Saint Kitts and Nevis</t>
  </si>
  <si>
    <t>KNA</t>
  </si>
  <si>
    <t>Saint Lucia</t>
  </si>
  <si>
    <t>LCA</t>
  </si>
  <si>
    <t>Saint Vincent and the Grenadines</t>
  </si>
  <si>
    <t>VCT</t>
  </si>
  <si>
    <t>Slovak Republic</t>
  </si>
  <si>
    <t>Slovakia</t>
  </si>
  <si>
    <t>SVK</t>
  </si>
  <si>
    <t>Socialist Republic of Viet Nam</t>
  </si>
  <si>
    <t>Viet Nam</t>
  </si>
  <si>
    <t>VNM</t>
  </si>
  <si>
    <t>Solomon Islands</t>
  </si>
  <si>
    <t>SLB</t>
  </si>
  <si>
    <t>State of Eritrea</t>
  </si>
  <si>
    <t>Eritrea</t>
  </si>
  <si>
    <t>ERI</t>
  </si>
  <si>
    <t>State of Israel</t>
  </si>
  <si>
    <t>Israel</t>
  </si>
  <si>
    <t>ISR</t>
  </si>
  <si>
    <t>State of Kuwait</t>
  </si>
  <si>
    <t>Kuwait</t>
  </si>
  <si>
    <t>KWT</t>
  </si>
  <si>
    <t>State of Libya</t>
  </si>
  <si>
    <t>Libya</t>
  </si>
  <si>
    <t>LBY</t>
  </si>
  <si>
    <t>State of Qatar</t>
  </si>
  <si>
    <t>Qatar</t>
  </si>
  <si>
    <t>QAT</t>
  </si>
  <si>
    <t>Sultanate of Oman</t>
  </si>
  <si>
    <t>Oman</t>
  </si>
  <si>
    <t>OMN</t>
  </si>
  <si>
    <t>Swiss Confederation</t>
  </si>
  <si>
    <t>Switzerland</t>
  </si>
  <si>
    <t>CHE</t>
  </si>
  <si>
    <t>Syrian Arab Republic</t>
  </si>
  <si>
    <t>SYR</t>
  </si>
  <si>
    <t>Togolese Republic</t>
  </si>
  <si>
    <t>Togo</t>
  </si>
  <si>
    <t>TGO</t>
  </si>
  <si>
    <t>Turkmenistan</t>
  </si>
  <si>
    <t>TKM</t>
  </si>
  <si>
    <t>Tuvalu</t>
  </si>
  <si>
    <t>TUV</t>
  </si>
  <si>
    <t>Ukraine</t>
  </si>
  <si>
    <t>UKR</t>
  </si>
  <si>
    <t>Union of the Comoros</t>
  </si>
  <si>
    <t>Comoros</t>
  </si>
  <si>
    <t>COM</t>
  </si>
  <si>
    <t>United Arab Emirates</t>
  </si>
  <si>
    <t>ARE</t>
  </si>
  <si>
    <t>United Kingdom of Great Britain and Northern Ireland</t>
  </si>
  <si>
    <t>GBR</t>
  </si>
  <si>
    <t>United Mexican States</t>
  </si>
  <si>
    <t>Mexico</t>
  </si>
  <si>
    <t>MEX</t>
  </si>
  <si>
    <t>United Republic of Tanzania</t>
  </si>
  <si>
    <t>TZA</t>
  </si>
  <si>
    <t>United States of America</t>
  </si>
  <si>
    <t>USA</t>
  </si>
  <si>
    <t>ISO3</t>
  </si>
  <si>
    <t>Country</t>
  </si>
  <si>
    <t>ISO2</t>
  </si>
  <si>
    <t>Reg</t>
  </si>
  <si>
    <t>WBI</t>
  </si>
  <si>
    <t>Notes</t>
  </si>
  <si>
    <t>unsd</t>
  </si>
  <si>
    <t>AD</t>
  </si>
  <si>
    <t>HIN</t>
  </si>
  <si>
    <t>NULL</t>
  </si>
  <si>
    <t>AE</t>
  </si>
  <si>
    <t>AF</t>
  </si>
  <si>
    <t>LIN</t>
  </si>
  <si>
    <t>AG</t>
  </si>
  <si>
    <t>UMI</t>
  </si>
  <si>
    <t>AL</t>
  </si>
  <si>
    <t>LMI</t>
  </si>
  <si>
    <t>AM</t>
  </si>
  <si>
    <t>AO</t>
  </si>
  <si>
    <t>AR</t>
  </si>
  <si>
    <t>AT</t>
  </si>
  <si>
    <t>AU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</si>
  <si>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</si>
  <si>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</si>
  <si>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</si>
  <si>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</si>
  <si>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</si>
  <si>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</si>
  <si>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</si>
  <si>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</si>
  <si>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</si>
  <si>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</si>
  <si>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BN</t>
  </si>
  <si>
    <t>Bolivia</t>
  </si>
  <si>
    <t>BO</t>
  </si>
  <si>
    <t>BR</t>
  </si>
  <si>
    <t>BS</t>
  </si>
  <si>
    <t>BT</t>
  </si>
  <si>
    <t>BW</t>
  </si>
  <si>
    <t>BY</t>
  </si>
  <si>
    <t>BZ</t>
  </si>
  <si>
    <t>CA</t>
  </si>
  <si>
    <t>CD</t>
  </si>
  <si>
    <t>CF</t>
  </si>
  <si>
    <t>CG</t>
  </si>
  <si>
    <t>CH</t>
  </si>
  <si>
    <t>Cote d'Ivoire</t>
  </si>
  <si>
    <t>CI</t>
  </si>
  <si>
    <t>CK</t>
  </si>
  <si>
    <t>CL</t>
  </si>
  <si>
    <t>CM</t>
  </si>
  <si>
    <t>CN</t>
  </si>
  <si>
    <t>CO</t>
  </si>
  <si>
    <t>CR</t>
  </si>
  <si>
    <t>CU</t>
  </si>
  <si>
    <t>Cape Verde</t>
  </si>
  <si>
    <t>CV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</si>
  <si>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</si>
  <si>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</si>
  <si>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</si>
  <si>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</si>
  <si>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</si>
  <si>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</si>
  <si>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</si>
  <si>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</si>
  <si>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</si>
  <si>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</si>
  <si>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</si>
  <si>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ER</t>
  </si>
  <si>
    <t>ES</t>
  </si>
  <si>
    <t>ET</t>
  </si>
  <si>
    <t>FI</t>
  </si>
  <si>
    <t>FJ</t>
  </si>
  <si>
    <t>Micronesia, Federated States of</t>
  </si>
  <si>
    <t>FM</t>
  </si>
  <si>
    <t>FR</t>
  </si>
  <si>
    <t>GA</t>
  </si>
  <si>
    <t>United Kingdom</t>
  </si>
  <si>
    <t>GB</t>
  </si>
  <si>
    <t>GD</t>
  </si>
  <si>
    <t>GE</t>
  </si>
  <si>
    <t>GH</t>
  </si>
  <si>
    <t>GM</t>
  </si>
  <si>
    <t>GN</t>
  </si>
  <si>
    <t>GQ</t>
  </si>
  <si>
    <t>GR</t>
  </si>
  <si>
    <t>GT</t>
  </si>
  <si>
    <t>GW</t>
  </si>
  <si>
    <t>GY</t>
  </si>
  <si>
    <t>HN</t>
  </si>
  <si>
    <t>HR</t>
  </si>
  <si>
    <t>HT</t>
  </si>
  <si>
    <t>HU</t>
  </si>
  <si>
    <t>ID</t>
  </si>
  <si>
    <t>IE</t>
  </si>
  <si>
    <t>IL</t>
  </si>
  <si>
    <t>IN</t>
  </si>
  <si>
    <t>IQ</t>
  </si>
  <si>
    <t>Iran, Islamic Republic of</t>
  </si>
  <si>
    <t>IR</t>
  </si>
  <si>
    <t>IS</t>
  </si>
  <si>
    <t>IT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</si>
  <si>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</si>
  <si>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</si>
  <si>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</si>
  <si>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</si>
  <si>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</si>
  <si>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</si>
  <si>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</si>
  <si>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</si>
  <si>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</si>
  <si>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</si>
  <si>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</si>
  <si>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</si>
  <si>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KZ</t>
  </si>
  <si>
    <t>LA</t>
  </si>
  <si>
    <t>LB</t>
  </si>
  <si>
    <t>LC</t>
  </si>
  <si>
    <t>LK</t>
  </si>
  <si>
    <t>LR</t>
  </si>
  <si>
    <t>LS</t>
  </si>
  <si>
    <t>LT</t>
  </si>
  <si>
    <t>LU</t>
  </si>
  <si>
    <t>LV</t>
  </si>
  <si>
    <t>Libyan Arab Jamahiriya</t>
  </si>
  <si>
    <t>LY</t>
  </si>
  <si>
    <t>MA</t>
  </si>
  <si>
    <t>MC</t>
  </si>
  <si>
    <t>MD</t>
  </si>
  <si>
    <t>ME</t>
  </si>
  <si>
    <t>MG</t>
  </si>
  <si>
    <t>MH</t>
  </si>
  <si>
    <t>The former Yugoslav Republic of Macedonia</t>
  </si>
  <si>
    <t>MK</t>
  </si>
  <si>
    <t>ML</t>
  </si>
  <si>
    <t>MM</t>
  </si>
  <si>
    <t>MN</t>
  </si>
  <si>
    <t>MR</t>
  </si>
  <si>
    <t>MT</t>
  </si>
  <si>
    <t>MU</t>
  </si>
  <si>
    <t>MV</t>
  </si>
  <si>
    <t>MW</t>
  </si>
  <si>
    <t>MX</t>
  </si>
  <si>
    <t>MY</t>
  </si>
  <si>
    <t>MZ</t>
  </si>
  <si>
    <t>NE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</si>
  <si>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</si>
  <si>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</si>
  <si>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</si>
  <si>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</si>
  <si>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</si>
  <si>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</si>
  <si>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</si>
  <si>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</si>
  <si>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</si>
  <si>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PA</t>
  </si>
  <si>
    <t>PE</t>
  </si>
  <si>
    <t>PG</t>
  </si>
  <si>
    <t>PH</t>
  </si>
  <si>
    <t>PK</t>
  </si>
  <si>
    <t>PL</t>
  </si>
  <si>
    <t>PT</t>
  </si>
  <si>
    <t>PW</t>
  </si>
  <si>
    <t>PY</t>
  </si>
  <si>
    <t>QA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</si>
  <si>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</si>
  <si>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</si>
  <si>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</si>
  <si>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</si>
  <si>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</si>
  <si>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</si>
  <si>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</si>
  <si>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</si>
  <si>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</si>
  <si>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</si>
  <si>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</si>
  <si>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</si>
  <si>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</si>
  <si>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</si>
  <si>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</si>
  <si>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</si>
  <si>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SR</t>
  </si>
  <si>
    <t>ISO2, WBI not entered</t>
  </si>
  <si>
    <t>ST</t>
  </si>
  <si>
    <t>SV</t>
  </si>
  <si>
    <t>SY</t>
  </si>
  <si>
    <t>SZ</t>
  </si>
  <si>
    <t>TD</t>
  </si>
  <si>
    <t>TG</t>
  </si>
  <si>
    <t>TH</t>
  </si>
  <si>
    <t>TJ</t>
  </si>
  <si>
    <t>TL</t>
  </si>
  <si>
    <t>TM</t>
  </si>
  <si>
    <t>TN</t>
  </si>
  <si>
    <t>TO</t>
  </si>
  <si>
    <t>TR</t>
  </si>
  <si>
    <t>TT</t>
  </si>
  <si>
    <t>TV</t>
  </si>
  <si>
    <t>TZ</t>
  </si>
  <si>
    <t>UA</t>
  </si>
  <si>
    <t>UG</t>
  </si>
  <si>
    <t>US</t>
  </si>
  <si>
    <t>UY</t>
  </si>
  <si>
    <t>UZ</t>
  </si>
  <si>
    <t>VC</t>
  </si>
  <si>
    <t>Venezuela, Bolivarian Republic of</t>
  </si>
  <si>
    <t>VE</t>
  </si>
  <si>
    <t>VN</t>
  </si>
  <si>
    <t>VU</t>
  </si>
  <si>
    <t>WS</t>
  </si>
  <si>
    <t>YE</t>
  </si>
  <si>
    <t>ZA</t>
  </si>
  <si>
    <t>ZM</t>
  </si>
  <si>
    <t>ZW</t>
  </si>
  <si>
    <t xml:space="preserve"> </t>
  </si>
  <si>
    <t>Median density per 10,000</t>
  </si>
  <si>
    <t>iso3</t>
  </si>
  <si>
    <t>Vulnerable</t>
  </si>
  <si>
    <t>Median density</t>
  </si>
  <si>
    <t>List of vulnerable countries</t>
  </si>
  <si>
    <t>region</t>
  </si>
  <si>
    <t>country</t>
  </si>
  <si>
    <t>MaxMeddensity</t>
  </si>
  <si>
    <t>MaxNurdensity</t>
  </si>
  <si>
    <t>MaxMiddensity</t>
  </si>
  <si>
    <t>flagnurmiddoublecount</t>
  </si>
  <si>
    <t>MaxDendensity</t>
  </si>
  <si>
    <t>MaxPhadensity</t>
  </si>
  <si>
    <t>emeddensity2020</t>
  </si>
  <si>
    <t>enurdensity2020</t>
  </si>
  <si>
    <t>emiddensity2020</t>
  </si>
  <si>
    <t>edendensity2020</t>
  </si>
  <si>
    <t>ephadensity2020</t>
  </si>
  <si>
    <t>Shortage2020</t>
  </si>
  <si>
    <t>OtherShortage2020</t>
  </si>
  <si>
    <t>Kingdom of the Netherlands</t>
  </si>
  <si>
    <t>Islamic Republic of Afghanistan</t>
  </si>
  <si>
    <t>Republic of the Marshall Islands</t>
  </si>
  <si>
    <t>UHC service coverage index 2019</t>
  </si>
  <si>
    <t>Health workforce density per 10,000 population (includes medical doctors, nursing personnel, and midwifery personnel) in 2020</t>
  </si>
  <si>
    <t>Health workforce density per 10,000 population (includes medical doctors, nursing personnel, midwifery personnel, dentists, pharmacists) in 2020</t>
  </si>
  <si>
    <t>Median density reference</t>
  </si>
  <si>
    <t>Indicator</t>
  </si>
  <si>
    <t>Value</t>
  </si>
  <si>
    <t>Côte d'Ivoire</t>
  </si>
  <si>
    <t>Europe</t>
  </si>
  <si>
    <t>UHC SCI 2019</t>
  </si>
  <si>
    <t>Income</t>
  </si>
  <si>
    <t>Average UHC</t>
  </si>
  <si>
    <t>Change since SSL 2020 list based on UHC 2017 and 2018 HWF</t>
  </si>
  <si>
    <t>Out:</t>
  </si>
  <si>
    <t>Bangladesh UHC was 48 now 51; HWF 10-&gt; 12</t>
  </si>
  <si>
    <t>Nepal UHC was 48 now 53; HWF 41 -&gt; 42</t>
  </si>
  <si>
    <t>Solomon islands UHC was 47 now 50; HWF 24 -&gt; 24</t>
  </si>
  <si>
    <t>Vanuatu UHC was 48 now 52; HWF 16 -&gt; 16</t>
  </si>
  <si>
    <t>In:</t>
  </si>
  <si>
    <t>Comoros UHC was 52 now 44; HWF 23 -&gt; 17</t>
  </si>
  <si>
    <t>Country name</t>
  </si>
  <si>
    <t>% population fully covered</t>
  </si>
  <si>
    <t>% redeployed from domestic source</t>
  </si>
  <si>
    <t>Countries not in SSL but with major challenges</t>
  </si>
  <si>
    <t>% population vaccinated</t>
  </si>
  <si>
    <t>% redeployment required</t>
  </si>
  <si>
    <t>Criteria</t>
  </si>
  <si>
    <t>Shortage minimum</t>
  </si>
  <si>
    <t>% redployment max</t>
  </si>
  <si>
    <t>Potentially vulnerable</t>
  </si>
  <si>
    <t>% population vaccinated min</t>
  </si>
  <si>
    <t>UHC</t>
  </si>
  <si>
    <t>HWF</t>
  </si>
  <si>
    <t>Shortage in 2020</t>
  </si>
  <si>
    <t>% population vaccinated (1st Jan 2022)</t>
  </si>
  <si>
    <t>% of domestic resources required to achieve 70% Covid-19 vaccination by mid 2022</t>
  </si>
  <si>
    <t>Uganda UHC was 45 now 50; HWF 14 -&gt;18</t>
  </si>
  <si>
    <t>Kiribati UHC was 41 now 51; HWF 40 -&gt; 40</t>
  </si>
  <si>
    <t>Countrycode</t>
  </si>
  <si>
    <t>Year</t>
  </si>
  <si>
    <t>Aruba</t>
  </si>
  <si>
    <t>Channel Islands</t>
  </si>
  <si>
    <t>China, Hong Kong SAR</t>
  </si>
  <si>
    <t>China, Macao SAR</t>
  </si>
  <si>
    <t>China, Taiwan Province of China</t>
  </si>
  <si>
    <t>Curaçao</t>
  </si>
  <si>
    <t>Dem. People's Republic of Korea</t>
  </si>
  <si>
    <t>French Guiana</t>
  </si>
  <si>
    <t>French Polynesia</t>
  </si>
  <si>
    <t>Guadeloupe</t>
  </si>
  <si>
    <t>Guam</t>
  </si>
  <si>
    <t>Martinique</t>
  </si>
  <si>
    <t>Mayotte</t>
  </si>
  <si>
    <t>Micronesia (Fed. States of)</t>
  </si>
  <si>
    <t>New Caledonia</t>
  </si>
  <si>
    <t>Puerto Rico</t>
  </si>
  <si>
    <t>Réunion</t>
  </si>
  <si>
    <t>State of Palestine</t>
  </si>
  <si>
    <t>United States Virgin Islands</t>
  </si>
  <si>
    <t>Western Sahara</t>
  </si>
  <si>
    <t>total</t>
  </si>
  <si>
    <t>Shortage percentage</t>
  </si>
  <si>
    <t>Pop2020</t>
  </si>
  <si>
    <t>Shortage as % of HWF (sdg3.c)</t>
  </si>
  <si>
    <t>% shortage</t>
  </si>
  <si>
    <t>Shortage as % of SDG 3.c</t>
  </si>
  <si>
    <t>UHC SCI max (90% median)</t>
  </si>
  <si>
    <t>IndicatorCode</t>
  </si>
  <si>
    <t>ValueType</t>
  </si>
  <si>
    <t>ParentLocationCode</t>
  </si>
  <si>
    <t>ParentLocation</t>
  </si>
  <si>
    <t>Location type</t>
  </si>
  <si>
    <t>SpatialDimValueCode</t>
  </si>
  <si>
    <t>Location</t>
  </si>
  <si>
    <t>Period type</t>
  </si>
  <si>
    <t>Period</t>
  </si>
  <si>
    <t>IsLatestYear</t>
  </si>
  <si>
    <t>Dim1 type</t>
  </si>
  <si>
    <t>Dim1</t>
  </si>
  <si>
    <t>Dim1ValueCode</t>
  </si>
  <si>
    <t>Dim2 type</t>
  </si>
  <si>
    <t>Dim2</t>
  </si>
  <si>
    <t>Dim2ValueCode</t>
  </si>
  <si>
    <t>Dim3 type</t>
  </si>
  <si>
    <t>Dim3</t>
  </si>
  <si>
    <t>Dim3ValueCode</t>
  </si>
  <si>
    <t>DataSourceDimValueCode</t>
  </si>
  <si>
    <t>DataSource</t>
  </si>
  <si>
    <t>FactValueNumericPrefix</t>
  </si>
  <si>
    <t>FactValueNumeric</t>
  </si>
  <si>
    <t>FactValueUoM</t>
  </si>
  <si>
    <t>FactValueNumericLowPrefix</t>
  </si>
  <si>
    <t>FactValueNumericLow</t>
  </si>
  <si>
    <t>FactValueNumericHighPrefix</t>
  </si>
  <si>
    <t>FactValueNumericHigh</t>
  </si>
  <si>
    <t>FactValueTranslationID</t>
  </si>
  <si>
    <t>FactComments</t>
  </si>
  <si>
    <t>Language</t>
  </si>
  <si>
    <t>DateModified</t>
  </si>
  <si>
    <t>UHC_INDEX_REPORTED</t>
  </si>
  <si>
    <t>UHC Service Coverage Index (SDG 3.8.1)</t>
  </si>
  <si>
    <t>text</t>
  </si>
  <si>
    <t>Eastern Mediterranean</t>
  </si>
  <si>
    <t>EN</t>
  </si>
  <si>
    <t>2021-11-18T23:00:00.000Z</t>
  </si>
  <si>
    <t>Africa</t>
  </si>
  <si>
    <t>Western Pacific</t>
  </si>
  <si>
    <t>CÃ´te dâ€™Ivoire</t>
  </si>
  <si>
    <t>Americas</t>
  </si>
  <si>
    <t>South-East Asia</t>
  </si>
  <si>
    <t>Region</t>
  </si>
  <si>
    <t>ART</t>
  </si>
  <si>
    <t>=&gt; TOPLAY</t>
  </si>
  <si>
    <t>iso_code</t>
  </si>
  <si>
    <t>BMU</t>
  </si>
  <si>
    <t>VGB</t>
  </si>
  <si>
    <t>CYM</t>
  </si>
  <si>
    <t>HKG</t>
  </si>
  <si>
    <t>PYF</t>
  </si>
  <si>
    <t>SCT</t>
  </si>
  <si>
    <t>TCA</t>
  </si>
  <si>
    <t>WLS</t>
  </si>
  <si>
    <t>UHC SCI</t>
  </si>
  <si>
    <t>Medical doctors</t>
  </si>
  <si>
    <t>Foreign trained</t>
  </si>
  <si>
    <t>Nursing personnel</t>
  </si>
  <si>
    <t>Stock</t>
  </si>
  <si>
    <t>Medical doctors foreign</t>
  </si>
  <si>
    <t>Nursing personnel foreign</t>
  </si>
  <si>
    <t>Share foreign med</t>
  </si>
  <si>
    <t>Share foreign nurse</t>
  </si>
  <si>
    <t>Threshold</t>
  </si>
  <si>
    <t>0-5%</t>
  </si>
  <si>
    <t>5%+</t>
  </si>
  <si>
    <t>No data</t>
  </si>
  <si>
    <t>Share foreign med cat</t>
  </si>
  <si>
    <t>Share foreign nur  cat</t>
  </si>
  <si>
    <t>Either doc or nurse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</si>
</sst>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1" applyNumberFormat="1" applyFont="1"/>
    <xf numFmtId="9" fontId="0" fillId="0" borderId="0" xfId="2" applyFont="1"/>
    <xf numFmtId="9" fontId="0" fillId="0" borderId="0" xfId="0" applyNumberFormat="1"/>
    <xf numFmtId="0" fontId="0" fillId="0" borderId="0" xfId="0" quotePrefix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chartsheet" Target="chartsheets/sheet1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064824584208944E-2"/>
          <c:y val="5.375465288471707E-2"/>
          <c:w val="0.88856463145317688"/>
          <c:h val="0.79899665052639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Indice!$C$1</c:f>
              <c:strCache>
                <c:ptCount val="1"/>
                <c:pt idx="0">
                  <c:v>Health workforce density per 10,000 population (includes medical doctors, nursing personnel, and midwifery personnel) in 2020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noFill/>
              <a:ln w="476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Indice!$C$2:$C$195</c:f>
              <c:numCache>
                <c:formatCode>General</c:formatCode>
                <c:ptCount val="194"/>
                <c:pt idx="92">
                  <c:v>6.2165584564208984</c:v>
                </c:pt>
                <c:pt idx="93">
                  <c:v>73.468134880065918</c:v>
                </c:pt>
                <c:pt idx="94">
                  <c:v>88.65294885635376</c:v>
                </c:pt>
                <c:pt idx="95">
                  <c:v>66.609811782836914</c:v>
                </c:pt>
                <c:pt idx="96">
                  <c:v>172.69653034210205</c:v>
                </c:pt>
                <c:pt idx="97">
                  <c:v>158.57124423980713</c:v>
                </c:pt>
                <c:pt idx="98">
                  <c:v>96.166758060455322</c:v>
                </c:pt>
                <c:pt idx="99">
                  <c:v>7.1974789500236511</c:v>
                </c:pt>
                <c:pt idx="100">
                  <c:v>261.3905086517334</c:v>
                </c:pt>
                <c:pt idx="101">
                  <c:v>3.6762710809707642</c:v>
                </c:pt>
                <c:pt idx="102">
                  <c:v>11.54121208190918</c:v>
                </c:pt>
                <c:pt idx="103">
                  <c:v>39.383409976959229</c:v>
                </c:pt>
                <c:pt idx="104">
                  <c:v>155.40891981124878</c:v>
                </c:pt>
                <c:pt idx="105">
                  <c:v>97.13739013671875</c:v>
                </c:pt>
                <c:pt idx="106">
                  <c:v>75.070095062255859</c:v>
                </c:pt>
                <c:pt idx="107">
                  <c:v>25.76424503326416</c:v>
                </c:pt>
                <c:pt idx="108">
                  <c:v>58.35230016708374</c:v>
                </c:pt>
                <c:pt idx="109">
                  <c:v>3.278776228427887</c:v>
                </c:pt>
                <c:pt idx="110">
                  <c:v>226.40988612174988</c:v>
                </c:pt>
                <c:pt idx="111">
                  <c:v>71.889527320861816</c:v>
                </c:pt>
                <c:pt idx="112">
                  <c:v>57.462380886077881</c:v>
                </c:pt>
                <c:pt idx="113">
                  <c:v>8.1840465068817139</c:v>
                </c:pt>
                <c:pt idx="114">
                  <c:v>14.8480384349823</c:v>
                </c:pt>
                <c:pt idx="115">
                  <c:v>93.921990394592285</c:v>
                </c:pt>
                <c:pt idx="116">
                  <c:v>17.469200372695923</c:v>
                </c:pt>
                <c:pt idx="117">
                  <c:v>130.81962871551514</c:v>
                </c:pt>
                <c:pt idx="118">
                  <c:v>186.25530338287354</c:v>
                </c:pt>
                <c:pt idx="119">
                  <c:v>9.5247949361801147</c:v>
                </c:pt>
                <c:pt idx="120">
                  <c:v>147.60095191001892</c:v>
                </c:pt>
                <c:pt idx="121">
                  <c:v>105.93875956535339</c:v>
                </c:pt>
                <c:pt idx="122">
                  <c:v>100.79591298103333</c:v>
                </c:pt>
                <c:pt idx="123">
                  <c:v>269.4843168258667</c:v>
                </c:pt>
                <c:pt idx="124">
                  <c:v>150.63701939582825</c:v>
                </c:pt>
                <c:pt idx="125">
                  <c:v>30.597177982330322</c:v>
                </c:pt>
                <c:pt idx="126">
                  <c:v>118.54255962371826</c:v>
                </c:pt>
                <c:pt idx="127">
                  <c:v>8.0499997138977051</c:v>
                </c:pt>
                <c:pt idx="128">
                  <c:v>9.8628150820732117</c:v>
                </c:pt>
                <c:pt idx="129">
                  <c:v>7.1190922260284424</c:v>
                </c:pt>
                <c:pt idx="130">
                  <c:v>45.686314105987549</c:v>
                </c:pt>
                <c:pt idx="131">
                  <c:v>24.83448600769043</c:v>
                </c:pt>
                <c:pt idx="132">
                  <c:v>36.610269069671631</c:v>
                </c:pt>
                <c:pt idx="133">
                  <c:v>33.546517848968506</c:v>
                </c:pt>
                <c:pt idx="134">
                  <c:v>209.23558044433594</c:v>
                </c:pt>
                <c:pt idx="135">
                  <c:v>156.17740964889526</c:v>
                </c:pt>
                <c:pt idx="136">
                  <c:v>102.12694239616394</c:v>
                </c:pt>
                <c:pt idx="137">
                  <c:v>144.50519561767578</c:v>
                </c:pt>
                <c:pt idx="138">
                  <c:v>113.48162221908569</c:v>
                </c:pt>
                <c:pt idx="139">
                  <c:v>78.156991004943848</c:v>
                </c:pt>
                <c:pt idx="140">
                  <c:v>40.280911684036255</c:v>
                </c:pt>
                <c:pt idx="141">
                  <c:v>106.67948877811432</c:v>
                </c:pt>
                <c:pt idx="142">
                  <c:v>75.429846286773682</c:v>
                </c:pt>
                <c:pt idx="143">
                  <c:v>37.266354560852051</c:v>
                </c:pt>
                <c:pt idx="144">
                  <c:v>40.020579099655151</c:v>
                </c:pt>
                <c:pt idx="145">
                  <c:v>151.58923101425171</c:v>
                </c:pt>
                <c:pt idx="146">
                  <c:v>276.52733087539673</c:v>
                </c:pt>
                <c:pt idx="147">
                  <c:v>5.6874344348907471</c:v>
                </c:pt>
                <c:pt idx="148">
                  <c:v>18.205740451812744</c:v>
                </c:pt>
                <c:pt idx="149">
                  <c:v>80.714088439941406</c:v>
                </c:pt>
                <c:pt idx="150">
                  <c:v>11.116631984710693</c:v>
                </c:pt>
                <c:pt idx="151">
                  <c:v>7.6031413078308105</c:v>
                </c:pt>
                <c:pt idx="152">
                  <c:v>57.728977203369141</c:v>
                </c:pt>
                <c:pt idx="153">
                  <c:v>29.740900039672852</c:v>
                </c:pt>
                <c:pt idx="154">
                  <c:v>157.54385757446289</c:v>
                </c:pt>
                <c:pt idx="155">
                  <c:v>234.68607902526855</c:v>
                </c:pt>
                <c:pt idx="156">
                  <c:v>41.987628936767578</c:v>
                </c:pt>
                <c:pt idx="157">
                  <c:v>153.94527769088745</c:v>
                </c:pt>
                <c:pt idx="158">
                  <c:v>57.11995267868042</c:v>
                </c:pt>
                <c:pt idx="159">
                  <c:v>82.356843829154968</c:v>
                </c:pt>
                <c:pt idx="160">
                  <c:v>5.1902213096618652</c:v>
                </c:pt>
                <c:pt idx="161">
                  <c:v>81.418107748031616</c:v>
                </c:pt>
                <c:pt idx="162">
                  <c:v>96.822715044021606</c:v>
                </c:pt>
                <c:pt idx="163">
                  <c:v>100.45527315139771</c:v>
                </c:pt>
                <c:pt idx="164">
                  <c:v>10.68412709236145</c:v>
                </c:pt>
                <c:pt idx="165">
                  <c:v>85.515812516212463</c:v>
                </c:pt>
                <c:pt idx="166">
                  <c:v>87.031761169433594</c:v>
                </c:pt>
                <c:pt idx="167">
                  <c:v>23.580603837966919</c:v>
                </c:pt>
                <c:pt idx="168">
                  <c:v>142.98291206359863</c:v>
                </c:pt>
                <c:pt idx="169">
                  <c:v>6.4817723035812378</c:v>
                </c:pt>
                <c:pt idx="170">
                  <c:v>26.366206645965576</c:v>
                </c:pt>
                <c:pt idx="171">
                  <c:v>47.464413404464722</c:v>
                </c:pt>
                <c:pt idx="172">
                  <c:v>137.34368050098419</c:v>
                </c:pt>
                <c:pt idx="173">
                  <c:v>195.04421138763428</c:v>
                </c:pt>
                <c:pt idx="174">
                  <c:v>26.565210461616516</c:v>
                </c:pt>
                <c:pt idx="175">
                  <c:v>251.97681999206543</c:v>
                </c:pt>
                <c:pt idx="176">
                  <c:v>2.6439024806022644</c:v>
                </c:pt>
                <c:pt idx="177">
                  <c:v>41.032188415527344</c:v>
                </c:pt>
                <c:pt idx="178">
                  <c:v>66.520021915435791</c:v>
                </c:pt>
                <c:pt idx="179">
                  <c:v>25.044711589813232</c:v>
                </c:pt>
                <c:pt idx="180">
                  <c:v>49.746402263641357</c:v>
                </c:pt>
                <c:pt idx="181">
                  <c:v>46.641792297363281</c:v>
                </c:pt>
                <c:pt idx="182">
                  <c:v>6.1856130361557007</c:v>
                </c:pt>
                <c:pt idx="183">
                  <c:v>17.922100305557251</c:v>
                </c:pt>
                <c:pt idx="184">
                  <c:v>121.56899964809418</c:v>
                </c:pt>
                <c:pt idx="185">
                  <c:v>183.00391578674316</c:v>
                </c:pt>
                <c:pt idx="186">
                  <c:v>136.664475440979</c:v>
                </c:pt>
                <c:pt idx="187">
                  <c:v>43.21414852142334</c:v>
                </c:pt>
                <c:pt idx="188">
                  <c:v>15.858325600624084</c:v>
                </c:pt>
                <c:pt idx="189">
                  <c:v>13.10739278793335</c:v>
                </c:pt>
                <c:pt idx="190">
                  <c:v>57.650113582611084</c:v>
                </c:pt>
              </c:numCache>
            </c:numRef>
          </c:xVal>
          <c:yVal>
            <c:numRef>
              <c:f>Indice!$D$2:$D$195</c:f>
              <c:numCache>
                <c:formatCode>General</c:formatCode>
                <c:ptCount val="194"/>
                <c:pt idx="92">
                  <c:v>38.69</c:v>
                </c:pt>
                <c:pt idx="93">
                  <c:v>77.16</c:v>
                </c:pt>
                <c:pt idx="94">
                  <c:v>77.83</c:v>
                </c:pt>
                <c:pt idx="95">
                  <c:v>73.41</c:v>
                </c:pt>
                <c:pt idx="96">
                  <c:v>87.15</c:v>
                </c:pt>
                <c:pt idx="97">
                  <c:v>82.26</c:v>
                </c:pt>
                <c:pt idx="98">
                  <c:v>65.28</c:v>
                </c:pt>
                <c:pt idx="99">
                  <c:v>44.37</c:v>
                </c:pt>
                <c:pt idx="100">
                  <c:v>85.5</c:v>
                </c:pt>
                <c:pt idx="101">
                  <c:v>38.200000000000003</c:v>
                </c:pt>
                <c:pt idx="102">
                  <c:v>50.74</c:v>
                </c:pt>
                <c:pt idx="103">
                  <c:v>71.44</c:v>
                </c:pt>
                <c:pt idx="104">
                  <c:v>73.540000000000006</c:v>
                </c:pt>
                <c:pt idx="105">
                  <c:v>75.03</c:v>
                </c:pt>
                <c:pt idx="106">
                  <c:v>76.81</c:v>
                </c:pt>
                <c:pt idx="107">
                  <c:v>62.39</c:v>
                </c:pt>
                <c:pt idx="108">
                  <c:v>53.66</c:v>
                </c:pt>
                <c:pt idx="109">
                  <c:v>32.46</c:v>
                </c:pt>
                <c:pt idx="110">
                  <c:v>87.14</c:v>
                </c:pt>
                <c:pt idx="111">
                  <c:v>79.84</c:v>
                </c:pt>
                <c:pt idx="112">
                  <c:v>82.17</c:v>
                </c:pt>
                <c:pt idx="113">
                  <c:v>45.44</c:v>
                </c:pt>
                <c:pt idx="114">
                  <c:v>38.549999999999997</c:v>
                </c:pt>
                <c:pt idx="115">
                  <c:v>53.77</c:v>
                </c:pt>
                <c:pt idx="116">
                  <c:v>43.63</c:v>
                </c:pt>
                <c:pt idx="117">
                  <c:v>78.37</c:v>
                </c:pt>
                <c:pt idx="118">
                  <c:v>85.84</c:v>
                </c:pt>
                <c:pt idx="119">
                  <c:v>48.14</c:v>
                </c:pt>
                <c:pt idx="120">
                  <c:v>84.89</c:v>
                </c:pt>
                <c:pt idx="121">
                  <c:v>85.56</c:v>
                </c:pt>
                <c:pt idx="122">
                  <c:v>77.569999999999993</c:v>
                </c:pt>
                <c:pt idx="123">
                  <c:v>83.24</c:v>
                </c:pt>
                <c:pt idx="124">
                  <c:v>83.91</c:v>
                </c:pt>
                <c:pt idx="125">
                  <c:v>48.68</c:v>
                </c:pt>
                <c:pt idx="126">
                  <c:v>87.72</c:v>
                </c:pt>
                <c:pt idx="127">
                  <c:v>37.19</c:v>
                </c:pt>
                <c:pt idx="128">
                  <c:v>37.1</c:v>
                </c:pt>
                <c:pt idx="129">
                  <c:v>43.24</c:v>
                </c:pt>
                <c:pt idx="130">
                  <c:v>58.7</c:v>
                </c:pt>
                <c:pt idx="131">
                  <c:v>61.19</c:v>
                </c:pt>
                <c:pt idx="132">
                  <c:v>76.58</c:v>
                </c:pt>
                <c:pt idx="133">
                  <c:v>55.13</c:v>
                </c:pt>
                <c:pt idx="134">
                  <c:v>86.81</c:v>
                </c:pt>
                <c:pt idx="135">
                  <c:v>84.28</c:v>
                </c:pt>
                <c:pt idx="136">
                  <c:v>83.38</c:v>
                </c:pt>
                <c:pt idx="137">
                  <c:v>84.94</c:v>
                </c:pt>
                <c:pt idx="138">
                  <c:v>75.900000000000006</c:v>
                </c:pt>
                <c:pt idx="139">
                  <c:v>70.319999999999993</c:v>
                </c:pt>
                <c:pt idx="140">
                  <c:v>51.22</c:v>
                </c:pt>
                <c:pt idx="141">
                  <c:v>87.09</c:v>
                </c:pt>
                <c:pt idx="142">
                  <c:v>69.56</c:v>
                </c:pt>
                <c:pt idx="143">
                  <c:v>66.8</c:v>
                </c:pt>
                <c:pt idx="144">
                  <c:v>48.09</c:v>
                </c:pt>
                <c:pt idx="145">
                  <c:v>69.52</c:v>
                </c:pt>
                <c:pt idx="146">
                  <c:v>84.82</c:v>
                </c:pt>
                <c:pt idx="147">
                  <c:v>41.55</c:v>
                </c:pt>
                <c:pt idx="148">
                  <c:v>60.5</c:v>
                </c:pt>
                <c:pt idx="149">
                  <c:v>63.28</c:v>
                </c:pt>
                <c:pt idx="150">
                  <c:v>39.57</c:v>
                </c:pt>
                <c:pt idx="151">
                  <c:v>48.26</c:v>
                </c:pt>
                <c:pt idx="152">
                  <c:v>75.81</c:v>
                </c:pt>
                <c:pt idx="153">
                  <c:v>61.57</c:v>
                </c:pt>
                <c:pt idx="154">
                  <c:v>86.29</c:v>
                </c:pt>
                <c:pt idx="155">
                  <c:v>85.6</c:v>
                </c:pt>
                <c:pt idx="156">
                  <c:v>53.06</c:v>
                </c:pt>
                <c:pt idx="157">
                  <c:v>85.53</c:v>
                </c:pt>
                <c:pt idx="158">
                  <c:v>68.66</c:v>
                </c:pt>
                <c:pt idx="159">
                  <c:v>58.77</c:v>
                </c:pt>
                <c:pt idx="160">
                  <c:v>33.42</c:v>
                </c:pt>
                <c:pt idx="161">
                  <c:v>67.75</c:v>
                </c:pt>
                <c:pt idx="162">
                  <c:v>74.400000000000006</c:v>
                </c:pt>
                <c:pt idx="163">
                  <c:v>75.37</c:v>
                </c:pt>
                <c:pt idx="164">
                  <c:v>53.74</c:v>
                </c:pt>
                <c:pt idx="165">
                  <c:v>72.87</c:v>
                </c:pt>
                <c:pt idx="166">
                  <c:v>85.87</c:v>
                </c:pt>
                <c:pt idx="167">
                  <c:v>50.29</c:v>
                </c:pt>
                <c:pt idx="168">
                  <c:v>81.59</c:v>
                </c:pt>
                <c:pt idx="169">
                  <c:v>31.83</c:v>
                </c:pt>
                <c:pt idx="170">
                  <c:v>60.25</c:v>
                </c:pt>
                <c:pt idx="171">
                  <c:v>66.930000000000007</c:v>
                </c:pt>
                <c:pt idx="172">
                  <c:v>79.7</c:v>
                </c:pt>
                <c:pt idx="173">
                  <c:v>87.17</c:v>
                </c:pt>
                <c:pt idx="174">
                  <c:v>58.1</c:v>
                </c:pt>
                <c:pt idx="175">
                  <c:v>69.7</c:v>
                </c:pt>
                <c:pt idx="176">
                  <c:v>28.18</c:v>
                </c:pt>
                <c:pt idx="177">
                  <c:v>82.97</c:v>
                </c:pt>
                <c:pt idx="178">
                  <c:v>72.53</c:v>
                </c:pt>
                <c:pt idx="179">
                  <c:v>52.51</c:v>
                </c:pt>
                <c:pt idx="180">
                  <c:v>78.7</c:v>
                </c:pt>
                <c:pt idx="181">
                  <c:v>51.55</c:v>
                </c:pt>
                <c:pt idx="182">
                  <c:v>46.41</c:v>
                </c:pt>
                <c:pt idx="183">
                  <c:v>50.45</c:v>
                </c:pt>
                <c:pt idx="184">
                  <c:v>79.34</c:v>
                </c:pt>
                <c:pt idx="185">
                  <c:v>82.61</c:v>
                </c:pt>
                <c:pt idx="186">
                  <c:v>70.849999999999994</c:v>
                </c:pt>
                <c:pt idx="187">
                  <c:v>69.63</c:v>
                </c:pt>
                <c:pt idx="188">
                  <c:v>52.24</c:v>
                </c:pt>
                <c:pt idx="189">
                  <c:v>44.33</c:v>
                </c:pt>
                <c:pt idx="190">
                  <c:v>67.47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A9-41D9-8C75-94C37F9ADDAF}"/>
            </c:ext>
          </c:extLst>
        </c:ser>
        <c:ser>
          <c:idx val="1"/>
          <c:order val="1"/>
          <c:tx>
            <c:v>INDICE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Indice!$E$2:$E$195</c:f>
              <c:numCache>
                <c:formatCode>General</c:formatCode>
                <c:ptCount val="194"/>
                <c:pt idx="0">
                  <c:v>6.9971038103103638</c:v>
                </c:pt>
                <c:pt idx="1">
                  <c:v>79.213287830352783</c:v>
                </c:pt>
                <c:pt idx="2">
                  <c:v>93.389282703399658</c:v>
                </c:pt>
                <c:pt idx="3">
                  <c:v>118.48586845397949</c:v>
                </c:pt>
                <c:pt idx="4">
                  <c:v>9.8023334145545959</c:v>
                </c:pt>
                <c:pt idx="5">
                  <c:v>89.924144744873047</c:v>
                </c:pt>
                <c:pt idx="6">
                  <c:v>70.230904102325439</c:v>
                </c:pt>
                <c:pt idx="7">
                  <c:v>78.949018478393555</c:v>
                </c:pt>
                <c:pt idx="8">
                  <c:v>34.19731616973877</c:v>
                </c:pt>
                <c:pt idx="9">
                  <c:v>25.872321128845215</c:v>
                </c:pt>
                <c:pt idx="10">
                  <c:v>60.557791709899902</c:v>
                </c:pt>
                <c:pt idx="11">
                  <c:v>135.28619575500488</c:v>
                </c:pt>
                <c:pt idx="12">
                  <c:v>5.7732075750827789</c:v>
                </c:pt>
                <c:pt idx="13">
                  <c:v>10.725801825523376</c:v>
                </c:pt>
                <c:pt idx="14">
                  <c:v>42.115653514862061</c:v>
                </c:pt>
                <c:pt idx="15">
                  <c:v>25.594760417938232</c:v>
                </c:pt>
                <c:pt idx="16">
                  <c:v>71.021183013916016</c:v>
                </c:pt>
                <c:pt idx="17">
                  <c:v>164.65096807479858</c:v>
                </c:pt>
                <c:pt idx="18">
                  <c:v>86.745233058929443</c:v>
                </c:pt>
                <c:pt idx="19">
                  <c:v>76.341424465179443</c:v>
                </c:pt>
                <c:pt idx="20">
                  <c:v>33.517447948455811</c:v>
                </c:pt>
                <c:pt idx="21">
                  <c:v>32.69265341758728</c:v>
                </c:pt>
                <c:pt idx="22">
                  <c:v>47.216030120849609</c:v>
                </c:pt>
                <c:pt idx="23">
                  <c:v>26.758459091186523</c:v>
                </c:pt>
                <c:pt idx="24">
                  <c:v>15.217567384243011</c:v>
                </c:pt>
                <c:pt idx="25">
                  <c:v>8.9002605676651001</c:v>
                </c:pt>
                <c:pt idx="26">
                  <c:v>48.197238445281982</c:v>
                </c:pt>
                <c:pt idx="27">
                  <c:v>30.916506290435791</c:v>
                </c:pt>
                <c:pt idx="28">
                  <c:v>106.55085372924805</c:v>
                </c:pt>
                <c:pt idx="29">
                  <c:v>37.869453310966492</c:v>
                </c:pt>
                <c:pt idx="30">
                  <c:v>10.282769978046417</c:v>
                </c:pt>
                <c:pt idx="31">
                  <c:v>100.15523672103882</c:v>
                </c:pt>
                <c:pt idx="32">
                  <c:v>82.424149513244629</c:v>
                </c:pt>
                <c:pt idx="33">
                  <c:v>39.099315166473389</c:v>
                </c:pt>
                <c:pt idx="34">
                  <c:v>49.544915676116943</c:v>
                </c:pt>
                <c:pt idx="35">
                  <c:v>15.491610050201416</c:v>
                </c:pt>
                <c:pt idx="36">
                  <c:v>115.87519073486328</c:v>
                </c:pt>
                <c:pt idx="37">
                  <c:v>6.3333333730697632</c:v>
                </c:pt>
                <c:pt idx="38">
                  <c:v>129.83653688430786</c:v>
                </c:pt>
                <c:pt idx="39">
                  <c:v>214.67706489562988</c:v>
                </c:pt>
                <c:pt idx="40">
                  <c:v>14.692388296127319</c:v>
                </c:pt>
                <c:pt idx="41">
                  <c:v>60.094059228897095</c:v>
                </c:pt>
                <c:pt idx="42">
                  <c:v>13.21848201751709</c:v>
                </c:pt>
                <c:pt idx="43">
                  <c:v>11.991455674171448</c:v>
                </c:pt>
                <c:pt idx="44">
                  <c:v>74.134664058685303</c:v>
                </c:pt>
                <c:pt idx="45">
                  <c:v>15.442119121551514</c:v>
                </c:pt>
                <c:pt idx="46">
                  <c:v>38.805336236953735</c:v>
                </c:pt>
                <c:pt idx="47">
                  <c:v>20.047827780246735</c:v>
                </c:pt>
                <c:pt idx="48">
                  <c:v>86.209370732307434</c:v>
                </c:pt>
                <c:pt idx="49">
                  <c:v>37.965240001678467</c:v>
                </c:pt>
                <c:pt idx="50">
                  <c:v>151.81259274482727</c:v>
                </c:pt>
                <c:pt idx="51">
                  <c:v>78.390331506729126</c:v>
                </c:pt>
                <c:pt idx="52">
                  <c:v>21.183988571166992</c:v>
                </c:pt>
                <c:pt idx="53">
                  <c:v>77.811820507049561</c:v>
                </c:pt>
                <c:pt idx="54">
                  <c:v>4.9646388292312622</c:v>
                </c:pt>
                <c:pt idx="55">
                  <c:v>58.644843101501465</c:v>
                </c:pt>
                <c:pt idx="56">
                  <c:v>52.3169530488085</c:v>
                </c:pt>
                <c:pt idx="57">
                  <c:v>70.949876308441162</c:v>
                </c:pt>
                <c:pt idx="58">
                  <c:v>123.44289684295654</c:v>
                </c:pt>
                <c:pt idx="59">
                  <c:v>81.122562408447266</c:v>
                </c:pt>
                <c:pt idx="60">
                  <c:v>5.6910541653633118</c:v>
                </c:pt>
                <c:pt idx="61">
                  <c:v>66.474699020385742</c:v>
                </c:pt>
                <c:pt idx="62">
                  <c:v>2.5829877555370331</c:v>
                </c:pt>
                <c:pt idx="63">
                  <c:v>18.8071448802948</c:v>
                </c:pt>
                <c:pt idx="64">
                  <c:v>34.890394926071167</c:v>
                </c:pt>
                <c:pt idx="65">
                  <c:v>142.59469795227051</c:v>
                </c:pt>
                <c:pt idx="66">
                  <c:v>92.161696434020996</c:v>
                </c:pt>
                <c:pt idx="67">
                  <c:v>15.978756189346313</c:v>
                </c:pt>
                <c:pt idx="68">
                  <c:v>53.63815975189209</c:v>
                </c:pt>
                <c:pt idx="69">
                  <c:v>43.624292373657227</c:v>
                </c:pt>
                <c:pt idx="70">
                  <c:v>62.195405960083008</c:v>
                </c:pt>
                <c:pt idx="71">
                  <c:v>106.49603033065796</c:v>
                </c:pt>
                <c:pt idx="72">
                  <c:v>129.26470828056335</c:v>
                </c:pt>
                <c:pt idx="73">
                  <c:v>31.367098331451416</c:v>
                </c:pt>
                <c:pt idx="74">
                  <c:v>103.45634686946869</c:v>
                </c:pt>
                <c:pt idx="75">
                  <c:v>14.073406219482422</c:v>
                </c:pt>
                <c:pt idx="76">
                  <c:v>6.283435583114624</c:v>
                </c:pt>
                <c:pt idx="77">
                  <c:v>9.2148723602294922</c:v>
                </c:pt>
                <c:pt idx="78">
                  <c:v>51.341620922088623</c:v>
                </c:pt>
                <c:pt idx="79">
                  <c:v>1.3514925241470337</c:v>
                </c:pt>
                <c:pt idx="80">
                  <c:v>96.195500612258911</c:v>
                </c:pt>
                <c:pt idx="81">
                  <c:v>28.22457218170166</c:v>
                </c:pt>
                <c:pt idx="82">
                  <c:v>5.8982426524162292</c:v>
                </c:pt>
                <c:pt idx="83">
                  <c:v>54.873835563659668</c:v>
                </c:pt>
                <c:pt idx="84">
                  <c:v>85.457098454236984</c:v>
                </c:pt>
                <c:pt idx="85">
                  <c:v>38.272808074951172</c:v>
                </c:pt>
                <c:pt idx="86">
                  <c:v>96.557650089263916</c:v>
                </c:pt>
                <c:pt idx="87">
                  <c:v>84.804190635681152</c:v>
                </c:pt>
                <c:pt idx="88">
                  <c:v>22.753312110900879</c:v>
                </c:pt>
                <c:pt idx="89">
                  <c:v>38.657326698303223</c:v>
                </c:pt>
                <c:pt idx="90">
                  <c:v>11.362643718719482</c:v>
                </c:pt>
                <c:pt idx="91">
                  <c:v>23.321476817131042</c:v>
                </c:pt>
              </c:numCache>
            </c:numRef>
          </c:xVal>
          <c:yVal>
            <c:numRef>
              <c:f>Indice!$F$2:$F$195</c:f>
              <c:numCache>
                <c:formatCode>General</c:formatCode>
                <c:ptCount val="194"/>
                <c:pt idx="0">
                  <c:v>37.33</c:v>
                </c:pt>
                <c:pt idx="1">
                  <c:v>62.16</c:v>
                </c:pt>
                <c:pt idx="2">
                  <c:v>69.260000000000005</c:v>
                </c:pt>
                <c:pt idx="3">
                  <c:v>72.33</c:v>
                </c:pt>
                <c:pt idx="4">
                  <c:v>43.19</c:v>
                </c:pt>
                <c:pt idx="5">
                  <c:v>69.87</c:v>
                </c:pt>
                <c:pt idx="6">
                  <c:v>69.81</c:v>
                </c:pt>
                <c:pt idx="7">
                  <c:v>64.61</c:v>
                </c:pt>
                <c:pt idx="8">
                  <c:v>67.17</c:v>
                </c:pt>
                <c:pt idx="9">
                  <c:v>66.75</c:v>
                </c:pt>
                <c:pt idx="10">
                  <c:v>74.459999999999994</c:v>
                </c:pt>
                <c:pt idx="11">
                  <c:v>89.36</c:v>
                </c:pt>
                <c:pt idx="12">
                  <c:v>44.31</c:v>
                </c:pt>
                <c:pt idx="13">
                  <c:v>40.49</c:v>
                </c:pt>
                <c:pt idx="14">
                  <c:v>78.27</c:v>
                </c:pt>
                <c:pt idx="15">
                  <c:v>69.41</c:v>
                </c:pt>
                <c:pt idx="16">
                  <c:v>78.209999999999994</c:v>
                </c:pt>
                <c:pt idx="17">
                  <c:v>79.67</c:v>
                </c:pt>
                <c:pt idx="18">
                  <c:v>78.739999999999995</c:v>
                </c:pt>
                <c:pt idx="19">
                  <c:v>66.680000000000007</c:v>
                </c:pt>
                <c:pt idx="20">
                  <c:v>65.72</c:v>
                </c:pt>
                <c:pt idx="21">
                  <c:v>74.989999999999995</c:v>
                </c:pt>
                <c:pt idx="22">
                  <c:v>80.34</c:v>
                </c:pt>
                <c:pt idx="23">
                  <c:v>69.8</c:v>
                </c:pt>
                <c:pt idx="24">
                  <c:v>49.8</c:v>
                </c:pt>
                <c:pt idx="25">
                  <c:v>38.130000000000003</c:v>
                </c:pt>
                <c:pt idx="26">
                  <c:v>60.96</c:v>
                </c:pt>
                <c:pt idx="27">
                  <c:v>47.9</c:v>
                </c:pt>
                <c:pt idx="28">
                  <c:v>65.16</c:v>
                </c:pt>
                <c:pt idx="29">
                  <c:v>45.09</c:v>
                </c:pt>
                <c:pt idx="30">
                  <c:v>47.78</c:v>
                </c:pt>
                <c:pt idx="31">
                  <c:v>77.63</c:v>
                </c:pt>
                <c:pt idx="32">
                  <c:v>69.72</c:v>
                </c:pt>
                <c:pt idx="33">
                  <c:v>57.11</c:v>
                </c:pt>
                <c:pt idx="34">
                  <c:v>74.28</c:v>
                </c:pt>
                <c:pt idx="35">
                  <c:v>62.96</c:v>
                </c:pt>
                <c:pt idx="36">
                  <c:v>72.900000000000006</c:v>
                </c:pt>
                <c:pt idx="37">
                  <c:v>46.8</c:v>
                </c:pt>
                <c:pt idx="38">
                  <c:v>72.63</c:v>
                </c:pt>
                <c:pt idx="39">
                  <c:v>82.81</c:v>
                </c:pt>
                <c:pt idx="40">
                  <c:v>70.11</c:v>
                </c:pt>
                <c:pt idx="41">
                  <c:v>59.53</c:v>
                </c:pt>
                <c:pt idx="42">
                  <c:v>55.95</c:v>
                </c:pt>
                <c:pt idx="43">
                  <c:v>61.18</c:v>
                </c:pt>
                <c:pt idx="44">
                  <c:v>71.75</c:v>
                </c:pt>
                <c:pt idx="45">
                  <c:v>50.21</c:v>
                </c:pt>
                <c:pt idx="46">
                  <c:v>71.98</c:v>
                </c:pt>
                <c:pt idx="47">
                  <c:v>41.87</c:v>
                </c:pt>
                <c:pt idx="48">
                  <c:v>59.66</c:v>
                </c:pt>
                <c:pt idx="49">
                  <c:v>71.599999999999994</c:v>
                </c:pt>
                <c:pt idx="50">
                  <c:v>86.48</c:v>
                </c:pt>
                <c:pt idx="51">
                  <c:v>71.77</c:v>
                </c:pt>
                <c:pt idx="52">
                  <c:v>72.739999999999995</c:v>
                </c:pt>
                <c:pt idx="53">
                  <c:v>67.42</c:v>
                </c:pt>
                <c:pt idx="54">
                  <c:v>34.65</c:v>
                </c:pt>
                <c:pt idx="55">
                  <c:v>69.17</c:v>
                </c:pt>
                <c:pt idx="56">
                  <c:v>73.88</c:v>
                </c:pt>
                <c:pt idx="57">
                  <c:v>68.41</c:v>
                </c:pt>
                <c:pt idx="58">
                  <c:v>81.25</c:v>
                </c:pt>
                <c:pt idx="59">
                  <c:v>67.16</c:v>
                </c:pt>
                <c:pt idx="60">
                  <c:v>46.8</c:v>
                </c:pt>
                <c:pt idx="61">
                  <c:v>64.56</c:v>
                </c:pt>
                <c:pt idx="62">
                  <c:v>37.369999999999997</c:v>
                </c:pt>
                <c:pt idx="63">
                  <c:v>44.49</c:v>
                </c:pt>
                <c:pt idx="64">
                  <c:v>70.05</c:v>
                </c:pt>
                <c:pt idx="65">
                  <c:v>55.01</c:v>
                </c:pt>
                <c:pt idx="66">
                  <c:v>53.85</c:v>
                </c:pt>
                <c:pt idx="67">
                  <c:v>44.97</c:v>
                </c:pt>
                <c:pt idx="68">
                  <c:v>77.28</c:v>
                </c:pt>
                <c:pt idx="69">
                  <c:v>78.34</c:v>
                </c:pt>
                <c:pt idx="70">
                  <c:v>55.37</c:v>
                </c:pt>
                <c:pt idx="71">
                  <c:v>73.98</c:v>
                </c:pt>
                <c:pt idx="72">
                  <c:v>84.38</c:v>
                </c:pt>
                <c:pt idx="73">
                  <c:v>61.41</c:v>
                </c:pt>
                <c:pt idx="74">
                  <c:v>71.459999999999994</c:v>
                </c:pt>
                <c:pt idx="75">
                  <c:v>43.78</c:v>
                </c:pt>
                <c:pt idx="76">
                  <c:v>48.99</c:v>
                </c:pt>
                <c:pt idx="77">
                  <c:v>39.11</c:v>
                </c:pt>
                <c:pt idx="78">
                  <c:v>75.510000000000005</c:v>
                </c:pt>
                <c:pt idx="79">
                  <c:v>27.33</c:v>
                </c:pt>
                <c:pt idx="80">
                  <c:v>76.55</c:v>
                </c:pt>
                <c:pt idx="81">
                  <c:v>55.61</c:v>
                </c:pt>
                <c:pt idx="82">
                  <c:v>44.23</c:v>
                </c:pt>
                <c:pt idx="83">
                  <c:v>55.81</c:v>
                </c:pt>
                <c:pt idx="84">
                  <c:v>73.33</c:v>
                </c:pt>
                <c:pt idx="85">
                  <c:v>69.86</c:v>
                </c:pt>
                <c:pt idx="86">
                  <c:v>72.95</c:v>
                </c:pt>
                <c:pt idx="87">
                  <c:v>73.040000000000006</c:v>
                </c:pt>
                <c:pt idx="88">
                  <c:v>69.540000000000006</c:v>
                </c:pt>
                <c:pt idx="89">
                  <c:v>53.45</c:v>
                </c:pt>
                <c:pt idx="90">
                  <c:v>54.59</c:v>
                </c:pt>
                <c:pt idx="91">
                  <c:v>54.77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37DB-4445-9EE3-7D330DCE5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98592"/>
        <c:axId val="908590392"/>
      </c:scatterChart>
      <c:valAx>
        <c:axId val="90859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Health workforce density per 10,000 population (includes medical doctors, nursing personnel, and midwifery personnel)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08590392"/>
        <c:crosses val="autoZero"/>
        <c:crossBetween val="midCat"/>
        <c:majorUnit val="50"/>
        <c:minorUnit val="10"/>
      </c:valAx>
      <c:valAx>
        <c:axId val="90859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UHC service coverage index (0-100)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0859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 foreign nurse / stock in country of origin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Migration!$AF$2</c:f>
              <c:strCache>
                <c:ptCount val="1"/>
                <c:pt idx="0">
                  <c:v>Share foreign nurse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Migration!$AD$3:$AD$22</c:f>
              <c:strCache>
                <c:ptCount val="20"/>
                <c:pt idx="0">
                  <c:v>Jamaica</c:v>
                </c:pt>
                <c:pt idx="1">
                  <c:v>Haiti</c:v>
                </c:pt>
                <c:pt idx="2">
                  <c:v>Guyana</c:v>
                </c:pt>
                <c:pt idx="3">
                  <c:v>Barbados</c:v>
                </c:pt>
                <c:pt idx="4">
                  <c:v>Somalia</c:v>
                </c:pt>
                <c:pt idx="5">
                  <c:v>Grenada</c:v>
                </c:pt>
                <c:pt idx="6">
                  <c:v>Saint Vincent and the Grenadines</c:v>
                </c:pt>
                <c:pt idx="7">
                  <c:v>Trinidad and Tobago</c:v>
                </c:pt>
                <c:pt idx="8">
                  <c:v>Antigua and Barbuda</c:v>
                </c:pt>
                <c:pt idx="9">
                  <c:v>Saint Lucia</c:v>
                </c:pt>
                <c:pt idx="10">
                  <c:v>Belize</c:v>
                </c:pt>
                <c:pt idx="11">
                  <c:v>Tonga</c:v>
                </c:pt>
                <c:pt idx="12">
                  <c:v>Dominica</c:v>
                </c:pt>
                <c:pt idx="13">
                  <c:v>Sierra Leone</c:v>
                </c:pt>
                <c:pt idx="14">
                  <c:v>Cameroon</c:v>
                </c:pt>
                <c:pt idx="15">
                  <c:v>Dominican Republic</c:v>
                </c:pt>
                <c:pt idx="16">
                  <c:v>El Salvador</c:v>
                </c:pt>
                <c:pt idx="17">
                  <c:v>Liberia</c:v>
                </c:pt>
                <c:pt idx="18">
                  <c:v>Marshall Islands</c:v>
                </c:pt>
                <c:pt idx="19">
                  <c:v>Samoa</c:v>
                </c:pt>
              </c:strCache>
            </c:strRef>
          </c:cat>
          <c:val>
            <c:numRef>
              <c:f>Migration!$AF$3:$AF$22</c:f>
              <c:numCache>
                <c:formatCode>General</c:formatCode>
                <c:ptCount val="20"/>
                <c:pt idx="0">
                  <c:v>15.738384261197155</c:v>
                </c:pt>
                <c:pt idx="1">
                  <c:v>7.8843850760018421</c:v>
                </c:pt>
                <c:pt idx="2">
                  <c:v>4.7513336068937218</c:v>
                </c:pt>
                <c:pt idx="3">
                  <c:v>2.551763367463026</c:v>
                </c:pt>
                <c:pt idx="4">
                  <c:v>2.5301327885597549</c:v>
                </c:pt>
                <c:pt idx="5">
                  <c:v>2.0537482319660536</c:v>
                </c:pt>
                <c:pt idx="6">
                  <c:v>1.7866323907455013</c:v>
                </c:pt>
                <c:pt idx="7">
                  <c:v>1.6009904492394764</c:v>
                </c:pt>
                <c:pt idx="8">
                  <c:v>1.473170731707317</c:v>
                </c:pt>
                <c:pt idx="9">
                  <c:v>1.2795031055900621</c:v>
                </c:pt>
                <c:pt idx="10">
                  <c:v>1.1707841031149302</c:v>
                </c:pt>
                <c:pt idx="11">
                  <c:v>1.0845986984815619</c:v>
                </c:pt>
                <c:pt idx="12">
                  <c:v>1.0660592255125285</c:v>
                </c:pt>
                <c:pt idx="13">
                  <c:v>0.9885057471264368</c:v>
                </c:pt>
                <c:pt idx="14">
                  <c:v>0.69638197947469127</c:v>
                </c:pt>
                <c:pt idx="15">
                  <c:v>0.65210824417872881</c:v>
                </c:pt>
                <c:pt idx="16">
                  <c:v>0.59707513867876949</c:v>
                </c:pt>
                <c:pt idx="17">
                  <c:v>0.57595385082481532</c:v>
                </c:pt>
                <c:pt idx="18">
                  <c:v>0.56060606060606055</c:v>
                </c:pt>
                <c:pt idx="19">
                  <c:v>0.53508771929824561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6-4757-BCF2-572693886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6429952"/>
        <c:axId val="1496425688"/>
      </c:barChart>
      <c:catAx>
        <c:axId val="1496429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6425688"/>
        <c:crosses val="autoZero"/>
        <c:auto val="1"/>
        <c:lblAlgn val="ctr"/>
        <c:lblOffset val="100"/>
        <c:noMultiLvlLbl val="0"/>
      </c:catAx>
      <c:valAx>
        <c:axId val="1496425688"/>
        <c:scaling>
          <c:orientation val="minMax"/>
          <c:max val="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642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Ratio foreign doctors/ stock in country of origin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Migration!$Z$2</c:f>
              <c:strCache>
                <c:ptCount val="1"/>
                <c:pt idx="0">
                  <c:v>Share foreign 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Migration!$Y$3:$Y$22</c:f>
              <c:strCache>
                <c:ptCount val="20"/>
                <c:pt idx="0">
                  <c:v>Niue</c:v>
                </c:pt>
                <c:pt idx="1">
                  <c:v>Micronesia, Federated States of</c:v>
                </c:pt>
                <c:pt idx="2">
                  <c:v>Dominica</c:v>
                </c:pt>
                <c:pt idx="3">
                  <c:v>Grenada</c:v>
                </c:pt>
                <c:pt idx="4">
                  <c:v>Saint Vincent and the Grenadines</c:v>
                </c:pt>
                <c:pt idx="5">
                  <c:v>Cyprus</c:v>
                </c:pt>
                <c:pt idx="6">
                  <c:v>Luxembourg</c:v>
                </c:pt>
                <c:pt idx="7">
                  <c:v>Tunisia</c:v>
                </c:pt>
                <c:pt idx="8">
                  <c:v>Syrian Arab Republic</c:v>
                </c:pt>
                <c:pt idx="9">
                  <c:v>Malta</c:v>
                </c:pt>
                <c:pt idx="10">
                  <c:v>Albania</c:v>
                </c:pt>
                <c:pt idx="11">
                  <c:v>Bahamas</c:v>
                </c:pt>
                <c:pt idx="12">
                  <c:v>Morocco</c:v>
                </c:pt>
                <c:pt idx="13">
                  <c:v>Republic of Moldova</c:v>
                </c:pt>
                <c:pt idx="14">
                  <c:v>Slovakia</c:v>
                </c:pt>
                <c:pt idx="15">
                  <c:v>Marshall Islands</c:v>
                </c:pt>
                <c:pt idx="16">
                  <c:v>Romania</c:v>
                </c:pt>
                <c:pt idx="17">
                  <c:v>Ireland</c:v>
                </c:pt>
                <c:pt idx="18">
                  <c:v>Algeria</c:v>
                </c:pt>
                <c:pt idx="19">
                  <c:v>Lao People's Democratic Republic</c:v>
                </c:pt>
              </c:strCache>
            </c:strRef>
          </c:cat>
          <c:val>
            <c:numRef>
              <c:f>Migration!$Z$3:$Z$22</c:f>
              <c:numCache>
                <c:formatCode>General</c:formatCode>
                <c:ptCount val="20"/>
                <c:pt idx="0">
                  <c:v>44.333333333333336</c:v>
                </c:pt>
                <c:pt idx="1">
                  <c:v>2.8703703703703702</c:v>
                </c:pt>
                <c:pt idx="2">
                  <c:v>0.55696202531645567</c:v>
                </c:pt>
                <c:pt idx="3">
                  <c:v>0.48765432098765432</c:v>
                </c:pt>
                <c:pt idx="4">
                  <c:v>0.40384615384615385</c:v>
                </c:pt>
                <c:pt idx="5">
                  <c:v>0.27660695468914648</c:v>
                </c:pt>
                <c:pt idx="6">
                  <c:v>0.25345377258235918</c:v>
                </c:pt>
                <c:pt idx="7">
                  <c:v>0.24153118725306044</c:v>
                </c:pt>
                <c:pt idx="8">
                  <c:v>0.24014942630970382</c:v>
                </c:pt>
                <c:pt idx="9">
                  <c:v>0.23357086302454474</c:v>
                </c:pt>
                <c:pt idx="10">
                  <c:v>0.22419862886788958</c:v>
                </c:pt>
                <c:pt idx="11">
                  <c:v>0.2178477690288714</c:v>
                </c:pt>
                <c:pt idx="12">
                  <c:v>0.21038575667655787</c:v>
                </c:pt>
                <c:pt idx="13">
                  <c:v>0.20645573665707895</c:v>
                </c:pt>
                <c:pt idx="14">
                  <c:v>0.20341160150028259</c:v>
                </c:pt>
                <c:pt idx="15">
                  <c:v>0.2</c:v>
                </c:pt>
                <c:pt idx="16">
                  <c:v>0.16539644804922388</c:v>
                </c:pt>
                <c:pt idx="17">
                  <c:v>0.15640415530149149</c:v>
                </c:pt>
                <c:pt idx="18">
                  <c:v>0.14580157730797269</c:v>
                </c:pt>
                <c:pt idx="19">
                  <c:v>0.12271844660194174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2-4453-AE49-9E436DDF2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14627680"/>
        <c:axId val="1714630960"/>
      </c:barChart>
      <c:catAx>
        <c:axId val="1714627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14630960"/>
        <c:crosses val="autoZero"/>
        <c:auto val="1"/>
        <c:lblAlgn val="ctr"/>
        <c:lblOffset val="100"/>
        <c:noMultiLvlLbl val="0"/>
      </c:catAx>
      <c:valAx>
        <c:axId val="1714630960"/>
        <c:scaling>
          <c:orientation val="minMax"/>
          <c:max val="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1462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D94A7E-A2AF-4675-AD31-F27E7FBB2E79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AC4EC6-6E46-402C-9DBD-F2970E0D59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0.08645</cdr:x>
      <cdr:y>0.40925</cdr:y>
    </cdr:from>
    <cdr:to>
      <cdr:x>0.23611</cdr:x>
      <cdr:y>0.84967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FD5B490-3D7B-4798-8A79-FEE25F0B83CF}"/>
            </a:ext>
          </a:extLst>
        </cdr:cNvPr>
        <cdr:cNvSpPr/>
      </cdr:nvSpPr>
      <cdr:spPr>
        <a:xfrm xmlns:a="http://schemas.openxmlformats.org/drawingml/2006/main">
          <a:off x="749811" y="2577353"/>
          <a:ext cx="1298054" cy="2773619"/>
        </a:xfrm>
        <a:prstGeom xmlns:a="http://schemas.openxmlformats.org/drawingml/2006/main" prst="rect">
          <a:avLst/>
        </a:prstGeom>
        <a:solidFill xmlns:a="http://schemas.openxmlformats.org/drawingml/2006/main">
          <a:srgbClr val="5B9BD5">
            <a:alpha val="18824"/>
          </a:srgb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66675</xdr:colOff>
      <xdr:row>1</xdr:row>
      <xdr:rowOff>185736</xdr:rowOff>
    </xdr:from>
    <xdr:to>
      <xdr:col>48</xdr:col>
      <xdr:colOff>371475</xdr:colOff>
      <xdr:row>21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E64CB-1FB6-4363-A589-AEF4F1B90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238125</xdr:colOff>
      <xdr:row>1</xdr:row>
      <xdr:rowOff>176212</xdr:rowOff>
    </xdr:from>
    <xdr:to>
      <xdr:col>40</xdr:col>
      <xdr:colOff>542925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313AD6-E7E8-4416-AAF3-90811A8D2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718C-BEF0-4F11-AFCF-E821A9323A65}">
  <dimension ref="A1:AO195"/>
  <sheetViews>
    <sheetView topLeftCell="W1" zoomScaleNormal="100" workbookViewId="0">
      <selection activeCell="I2" sqref="I2:I195"/>
    </sheetView>
  </sheetViews>
  <sheetFormatPr defaultRowHeight="14.5" x14ac:dyDescent="0.35"/>
  <cols>
    <col min="2" max="2" width="22.54296875" customWidth="1"/>
    <col min="3" max="3" width="23.1796875" customWidth="1"/>
    <col min="22" max="22" width="29.7265625" customWidth="1"/>
    <col min="32" max="32" width="17.81640625" customWidth="1"/>
    <col min="38" max="38" width="11.54296875" bestFit="1" customWidth="1"/>
    <col min="39" max="39" width="11.54296875" customWidth="1"/>
  </cols>
  <sheetData>
    <row r="1" spans="1:41" x14ac:dyDescent="0.35">
      <c r="A1" t="s">
        <v>891</v>
      </c>
      <c r="B1" t="str">
        <f>'Processed HWF'!A1</f>
        <v>Country</v>
      </c>
      <c r="C1" t="str">
        <f>'Processed HWF'!M1</f>
        <v>Health workforce density per 10,000 population (includes medical doctors, nursing personnel, and midwifery personnel) in 2020</v>
      </c>
      <c r="D1" t="str">
        <f>'Processed HWF'!N1</f>
        <v>UHC service coverage index 2019</v>
      </c>
      <c r="E1" t="s">
        <v>761</v>
      </c>
      <c r="H1" t="s">
        <v>762</v>
      </c>
      <c r="K1" t="s">
        <v>763</v>
      </c>
      <c r="O1" t="s">
        <v>793</v>
      </c>
      <c r="V1" t="s">
        <v>804</v>
      </c>
      <c r="W1" t="str">
        <f>'Processed HWF'!I1</f>
        <v>Shortage2020</v>
      </c>
      <c r="X1" t="s">
        <v>844</v>
      </c>
      <c r="Y1" t="str">
        <f>'Processed HWF'!O1</f>
        <v>% population vaccinated</v>
      </c>
      <c r="Z1" t="str">
        <f>'Processed HWF'!P1</f>
        <v>% redeployment required</v>
      </c>
      <c r="AA1" t="s">
        <v>790</v>
      </c>
      <c r="AB1" t="s">
        <v>810</v>
      </c>
      <c r="AE1" t="s">
        <v>807</v>
      </c>
      <c r="AF1" t="s">
        <v>808</v>
      </c>
      <c r="AG1">
        <v>0</v>
      </c>
      <c r="AI1" t="s">
        <v>804</v>
      </c>
      <c r="AJ1" t="s">
        <v>812</v>
      </c>
      <c r="AK1" t="s">
        <v>813</v>
      </c>
      <c r="AL1" t="s">
        <v>814</v>
      </c>
      <c r="AM1" t="s">
        <v>846</v>
      </c>
      <c r="AN1" t="s">
        <v>815</v>
      </c>
      <c r="AO1" t="s">
        <v>816</v>
      </c>
    </row>
    <row r="2" spans="1:41" x14ac:dyDescent="0.35">
      <c r="A2" t="str">
        <f>VLOOKUP(B2,'Reference table'!A$2:D$195,4,FALSE)</f>
        <v>EMR</v>
      </c>
      <c r="B2" t="str">
        <f>'Processed HWF'!A2</f>
        <v>Afghanistan</v>
      </c>
      <c r="C2" s="4">
        <f>'Processed HWF'!M2</f>
        <v>6.9971038103103638</v>
      </c>
      <c r="D2">
        <f>'Processed HWF'!N2</f>
        <v>37.33</v>
      </c>
      <c r="E2">
        <f>IF(AND(C2&lt;H$4,Results!D2&lt;50),1,0)</f>
        <v>1</v>
      </c>
      <c r="F2">
        <f>IF(AND(A2="AFR",E2=1),1,0)</f>
        <v>0</v>
      </c>
      <c r="G2">
        <f>SUM(E2:E195)</f>
        <v>42</v>
      </c>
      <c r="H2" s="3">
        <f>'Processed HWF'!M$199</f>
        <v>52.977556400350295</v>
      </c>
      <c r="K2" t="s">
        <v>113</v>
      </c>
      <c r="O2" t="s">
        <v>794</v>
      </c>
      <c r="V2" t="str">
        <f>'Processed HWF'!A2</f>
        <v>Afghanistan</v>
      </c>
      <c r="W2">
        <f>'Processed HWF'!I2</f>
        <v>240155.875</v>
      </c>
      <c r="X2" s="7">
        <f>'Processed HWF'!K2</f>
        <v>7.7160228532776038</v>
      </c>
      <c r="Y2">
        <f>'Processed HWF'!O2</f>
        <v>9.8226264224018145E-2</v>
      </c>
      <c r="Z2">
        <f>'Processed HWF'!P2</f>
        <v>0.2947177746389591</v>
      </c>
      <c r="AA2">
        <f>'Processed HWF'!N2</f>
        <v>37.33</v>
      </c>
      <c r="AB2">
        <f>IF(AND(E2=0,W2&gt;$AG$1,Y2&lt;&gt;0,Y2&lt;$AG$2,Z2&gt;$AG$3,AA2&lt;$AG$5,X2&gt;$AG$4),1,0)</f>
        <v>0</v>
      </c>
      <c r="AD2">
        <f>SUM(AB2:AB195)</f>
        <v>7</v>
      </c>
      <c r="AF2" t="s">
        <v>811</v>
      </c>
      <c r="AG2">
        <v>0.25</v>
      </c>
      <c r="AI2" t="s">
        <v>333</v>
      </c>
      <c r="AJ2" s="4">
        <f>VLOOKUP(AI2,$B$2:$D$195,3,FALSE)</f>
        <v>55.95</v>
      </c>
      <c r="AK2" s="4">
        <f>VLOOKUP(AI2,$B$2:$D$195,2,FALSE)</f>
        <v>13.21848201751709</v>
      </c>
      <c r="AL2" s="5">
        <f>VLOOKUP(AI2,$V$2:$Z$195,2,FALSE)</f>
        <v>262302.5625</v>
      </c>
      <c r="AM2" s="6">
        <f>VLOOKUP(AI2,$V$2:$Z$195,3,FALSE)</f>
        <v>3.5728784938472007</v>
      </c>
      <c r="AN2" s="6">
        <f>VLOOKUP(AI2,$V$2:$Z$195,4,FALSE)</f>
        <v>8.5246950343171937E-2</v>
      </c>
      <c r="AO2" s="6">
        <f>VLOOKUP(AI2,$V$2:$Z$195,5,FALSE)</f>
        <v>0.15836785691039898</v>
      </c>
    </row>
    <row r="3" spans="1:41" x14ac:dyDescent="0.35">
      <c r="A3" t="str">
        <f>VLOOKUP(B3,'Reference table'!A$2:D$195,4,FALSE)</f>
        <v>AFR</v>
      </c>
      <c r="B3" t="str">
        <f>'Processed HWF'!A3</f>
        <v>Angola</v>
      </c>
      <c r="C3" s="4">
        <f>'Processed HWF'!M3</f>
        <v>6.2165584564208984</v>
      </c>
      <c r="D3">
        <f>'Processed HWF'!N3</f>
        <v>38.69</v>
      </c>
      <c r="E3">
        <f>IF(AND(C3&lt;H$4,Results!D3&lt;50),1,0)</f>
        <v>1</v>
      </c>
      <c r="F3">
        <f t="shared" ref="F3:F66" si="0">IF(AND(A3="AFR",E3=1),1,0)</f>
        <v>1</v>
      </c>
      <c r="G3">
        <f>SUM(F2:F195)</f>
        <v>33</v>
      </c>
      <c r="H3" t="s">
        <v>785</v>
      </c>
      <c r="K3" t="s">
        <v>215</v>
      </c>
      <c r="O3" t="s">
        <v>795</v>
      </c>
      <c r="V3" t="str">
        <f>'Processed HWF'!A3</f>
        <v>Angola</v>
      </c>
      <c r="W3">
        <f>'Processed HWF'!I3</f>
        <v>189665.453125</v>
      </c>
      <c r="X3" s="7">
        <f>'Processed HWF'!K3</f>
        <v>7.6940981348374251</v>
      </c>
      <c r="Y3">
        <f>'Processed HWF'!O3</f>
        <v>0.13110339986232694</v>
      </c>
      <c r="Z3">
        <f>'Processed HWF'!P3</f>
        <v>0.35992832995539742</v>
      </c>
      <c r="AA3">
        <f>'Processed HWF'!N3</f>
        <v>38.69</v>
      </c>
      <c r="AB3">
        <f>IF(AND(E3=0,W3&gt;$AG$1,Y3&lt;&gt;0,Y3&lt;$AG$2,Z3&gt;$AG$3,AA3&lt;$AG$5,X3&gt;$AG$4),1,0)</f>
        <v>0</v>
      </c>
      <c r="AF3" t="s">
        <v>809</v>
      </c>
      <c r="AG3">
        <v>0.05</v>
      </c>
      <c r="AI3" t="s">
        <v>373</v>
      </c>
      <c r="AJ3" s="4">
        <f t="shared" ref="AJ3:AJ8" si="1">VLOOKUP(AI3,$B$2:$D$195,3,FALSE)</f>
        <v>61.57</v>
      </c>
      <c r="AK3" s="4">
        <f t="shared" ref="AK3:AK8" si="2">VLOOKUP(AI3,$B$2:$D$195,2,FALSE)</f>
        <v>29.740900039672852</v>
      </c>
      <c r="AL3" s="5">
        <f t="shared" ref="AL3:AL8" si="3">VLOOKUP(AI3,$V$2:$Z$195,2,FALSE)</f>
        <v>7075.5986328125</v>
      </c>
      <c r="AM3" s="6">
        <f t="shared" ref="AM3:AM5" si="4">VLOOKUP(AI3,$V$2:$Z$195,3,FALSE)</f>
        <v>0.8461375928577699</v>
      </c>
      <c r="AN3" s="6">
        <f t="shared" ref="AN3:AN8" si="5">VLOOKUP(AI3,$V$2:$Z$195,4,FALSE)</f>
        <v>0.1353871947199915</v>
      </c>
      <c r="AO3" s="6">
        <f t="shared" ref="AO3:AO8" si="6">VLOOKUP(AI3,$V$2:$Z$195,5,FALSE)</f>
        <v>5.9537573130763591E-2</v>
      </c>
    </row>
    <row r="4" spans="1:41" x14ac:dyDescent="0.35">
      <c r="A4" t="str">
        <f>VLOOKUP(B4,'Reference table'!A$2:D$195,4,FALSE)</f>
        <v>EUR</v>
      </c>
      <c r="B4" t="str">
        <f>'Processed HWF'!A4</f>
        <v>Albania</v>
      </c>
      <c r="C4" s="4">
        <f>'Processed HWF'!M4</f>
        <v>79.213287830352783</v>
      </c>
      <c r="D4">
        <f>'Processed HWF'!N4</f>
        <v>62.16</v>
      </c>
      <c r="E4">
        <f>IF(AND(C4&lt;H$4,Results!D4&lt;50),1,0)</f>
        <v>0</v>
      </c>
      <c r="F4">
        <f t="shared" si="0"/>
        <v>0</v>
      </c>
      <c r="H4" s="3">
        <v>48.567162246694807</v>
      </c>
      <c r="K4" t="s">
        <v>230</v>
      </c>
      <c r="O4" t="s">
        <v>818</v>
      </c>
      <c r="V4" t="str">
        <f>'Processed HWF'!A4</f>
        <v>Albania</v>
      </c>
      <c r="W4">
        <f>'Processed HWF'!I4</f>
        <v>0</v>
      </c>
      <c r="X4" s="7">
        <f>'Processed HWF'!K4</f>
        <v>0</v>
      </c>
      <c r="Y4">
        <f>'Processed HWF'!O4</f>
        <v>0.36799569115296404</v>
      </c>
      <c r="Z4">
        <f>'Processed HWF'!P4</f>
        <v>1.2851644174109948E-2</v>
      </c>
      <c r="AA4">
        <f>'Processed HWF'!N4</f>
        <v>62.16</v>
      </c>
      <c r="AB4">
        <f t="shared" ref="AB4:AB66" si="7">IF(AND(E4=0,W4&gt;$AG$1,Y4&lt;&gt;0,Y4&lt;$AG$2,Z4&gt;$AG$3,AA4&lt;$AG$5,X4&gt;$AG$4),1,0)</f>
        <v>0</v>
      </c>
      <c r="AF4" t="s">
        <v>845</v>
      </c>
      <c r="AG4">
        <v>0.4</v>
      </c>
      <c r="AI4" t="s">
        <v>519</v>
      </c>
      <c r="AJ4" s="4">
        <f t="shared" si="1"/>
        <v>55.61</v>
      </c>
      <c r="AK4" s="4">
        <f t="shared" si="2"/>
        <v>28.22457218170166</v>
      </c>
      <c r="AL4" s="5">
        <f t="shared" si="3"/>
        <v>38845.8515625</v>
      </c>
      <c r="AM4" s="6">
        <f t="shared" si="4"/>
        <v>0.48230534299432015</v>
      </c>
      <c r="AN4" s="6">
        <f t="shared" si="5"/>
        <v>5.0482558998638793E-2</v>
      </c>
      <c r="AO4" s="6">
        <f t="shared" si="6"/>
        <v>5.3786556630908984E-2</v>
      </c>
    </row>
    <row r="5" spans="1:41" x14ac:dyDescent="0.35">
      <c r="A5" t="str">
        <f>VLOOKUP(B5,'Reference table'!A$2:D$195,4,FALSE)</f>
        <v>EUR</v>
      </c>
      <c r="B5" t="str">
        <f>'Processed HWF'!A5</f>
        <v>Andorra</v>
      </c>
      <c r="C5" s="4">
        <f>'Processed HWF'!M5</f>
        <v>73.468134880065918</v>
      </c>
      <c r="D5">
        <f>'Processed HWF'!N5</f>
        <v>77.16</v>
      </c>
      <c r="E5">
        <f>IF(AND(C5&lt;H$4,Results!D5&lt;50),1,0)</f>
        <v>0</v>
      </c>
      <c r="F5">
        <f t="shared" si="0"/>
        <v>0</v>
      </c>
      <c r="K5" t="s">
        <v>26</v>
      </c>
      <c r="O5" t="s">
        <v>796</v>
      </c>
      <c r="V5" t="str">
        <f>'Processed HWF'!A5</f>
        <v>Andorra</v>
      </c>
      <c r="W5">
        <f>'Processed HWF'!I5</f>
        <v>15.10159969329834</v>
      </c>
      <c r="X5" s="7">
        <f>'Processed HWF'!K5</f>
        <v>2.1290346638313553E-2</v>
      </c>
      <c r="Y5">
        <f>'Processed HWF'!O5</f>
        <v>0.6651394551219828</v>
      </c>
      <c r="Z5">
        <f>'Processed HWF'!P5</f>
        <v>0</v>
      </c>
      <c r="AA5">
        <f>'Processed HWF'!N5</f>
        <v>77.16</v>
      </c>
      <c r="AB5">
        <f t="shared" si="7"/>
        <v>0</v>
      </c>
      <c r="AF5" t="s">
        <v>847</v>
      </c>
      <c r="AG5">
        <f>0.9*69</f>
        <v>62.1</v>
      </c>
      <c r="AI5" t="s">
        <v>463</v>
      </c>
      <c r="AJ5" s="4">
        <f t="shared" si="1"/>
        <v>50.45</v>
      </c>
      <c r="AK5" s="4">
        <f t="shared" si="2"/>
        <v>17.922100305557251</v>
      </c>
      <c r="AL5" s="5">
        <f t="shared" si="3"/>
        <v>225795.9375</v>
      </c>
      <c r="AM5" s="6">
        <f t="shared" si="4"/>
        <v>2.6896074523187421</v>
      </c>
      <c r="AN5" s="6">
        <f t="shared" si="5"/>
        <v>3.9562465251366238E-2</v>
      </c>
      <c r="AO5" s="6">
        <f t="shared" si="6"/>
        <v>9.091854135650046E-2</v>
      </c>
    </row>
    <row r="6" spans="1:41" x14ac:dyDescent="0.35">
      <c r="A6" t="str">
        <f>VLOOKUP(B6,'Reference table'!A$2:D$195,4,FALSE)</f>
        <v>EMR</v>
      </c>
      <c r="B6" t="str">
        <f>'Processed HWF'!A6</f>
        <v>United Arab Emirates</v>
      </c>
      <c r="C6" s="4">
        <f>'Processed HWF'!M6</f>
        <v>88.65294885635376</v>
      </c>
      <c r="D6">
        <f>'Processed HWF'!N6</f>
        <v>77.83</v>
      </c>
      <c r="E6">
        <f>IF(AND(C6&lt;H$4,Results!D6&lt;50),1,0)</f>
        <v>0</v>
      </c>
      <c r="F6">
        <f t="shared" si="0"/>
        <v>0</v>
      </c>
      <c r="K6" t="s">
        <v>239</v>
      </c>
      <c r="O6" t="s">
        <v>797</v>
      </c>
      <c r="V6" t="str">
        <f>'Processed HWF'!A6</f>
        <v>United Arab Emirates</v>
      </c>
      <c r="W6">
        <f>'Processed HWF'!I6</f>
        <v>0</v>
      </c>
      <c r="X6" s="7">
        <f>'Processed HWF'!K6</f>
        <v>0</v>
      </c>
      <c r="Y6">
        <f>'Processed HWF'!O6</f>
        <v>0</v>
      </c>
      <c r="Z6">
        <f>'Processed HWF'!P6</f>
        <v>0</v>
      </c>
      <c r="AA6">
        <f>'Processed HWF'!N6</f>
        <v>77.83</v>
      </c>
      <c r="AB6">
        <f t="shared" si="7"/>
        <v>0</v>
      </c>
      <c r="AI6" t="s">
        <v>469</v>
      </c>
      <c r="AJ6" s="4">
        <f t="shared" si="1"/>
        <v>52.24</v>
      </c>
      <c r="AK6" s="4">
        <f t="shared" si="2"/>
        <v>15.858325600624084</v>
      </c>
      <c r="AL6" s="5">
        <f t="shared" si="3"/>
        <v>1323.2557373046875</v>
      </c>
      <c r="AM6" s="6">
        <f>VLOOKUP(AI6,$V$2:$Z$195,3,FALSE)</f>
        <v>2.4873320666097265</v>
      </c>
      <c r="AN6" s="6">
        <f t="shared" si="5"/>
        <v>0.16410164580247114</v>
      </c>
      <c r="AO6" s="6">
        <f t="shared" si="6"/>
        <v>8.7772988857406475E-2</v>
      </c>
    </row>
    <row r="7" spans="1:41" x14ac:dyDescent="0.35">
      <c r="A7" t="str">
        <f>VLOOKUP(B7,'Reference table'!A$2:D$195,4,FALSE)</f>
        <v>AMR</v>
      </c>
      <c r="B7" t="str">
        <f>'Processed HWF'!A7</f>
        <v>Argentina</v>
      </c>
      <c r="C7" s="4">
        <f>'Processed HWF'!M7</f>
        <v>66.609811782836914</v>
      </c>
      <c r="D7">
        <f>'Processed HWF'!N7</f>
        <v>73.41</v>
      </c>
      <c r="E7">
        <f>IF(AND(C7&lt;H$4,Results!D7&lt;50),1,0)</f>
        <v>0</v>
      </c>
      <c r="F7">
        <f t="shared" si="0"/>
        <v>0</v>
      </c>
      <c r="K7" t="s">
        <v>245</v>
      </c>
      <c r="O7" t="s">
        <v>817</v>
      </c>
      <c r="V7" t="str">
        <f>'Processed HWF'!A7</f>
        <v>Argentina</v>
      </c>
      <c r="W7">
        <f>'Processed HWF'!I7</f>
        <v>28093.490234375</v>
      </c>
      <c r="X7" s="7">
        <f>'Processed HWF'!K7</f>
        <v>7.1439177107502944E-2</v>
      </c>
      <c r="Y7">
        <f>'Processed HWF'!O7</f>
        <v>0.73420592376623528</v>
      </c>
      <c r="Z7">
        <f>'Processed HWF'!P7</f>
        <v>0</v>
      </c>
      <c r="AA7">
        <f>'Processed HWF'!N7</f>
        <v>73.41</v>
      </c>
      <c r="AB7">
        <f t="shared" si="7"/>
        <v>0</v>
      </c>
      <c r="AI7" t="s">
        <v>475</v>
      </c>
      <c r="AJ7" s="4">
        <f t="shared" si="1"/>
        <v>54.59</v>
      </c>
      <c r="AK7" s="4">
        <f t="shared" si="2"/>
        <v>11.362643718719482</v>
      </c>
      <c r="AL7" s="5">
        <f t="shared" si="3"/>
        <v>102644.6640625</v>
      </c>
      <c r="AM7" s="6">
        <f>VLOOKUP(AI7,$V$2:$Z$195,3,FALSE)</f>
        <v>4.4292361752673299</v>
      </c>
      <c r="AN7" s="6">
        <f t="shared" si="5"/>
        <v>3.5463805258444114E-2</v>
      </c>
      <c r="AO7" s="6">
        <f t="shared" si="6"/>
        <v>7.5162517062857245E-2</v>
      </c>
    </row>
    <row r="8" spans="1:41" x14ac:dyDescent="0.35">
      <c r="A8" t="str">
        <f>VLOOKUP(B8,'Reference table'!A$2:D$195,4,FALSE)</f>
        <v>EUR</v>
      </c>
      <c r="B8" t="str">
        <f>'Processed HWF'!A8</f>
        <v>Armenia</v>
      </c>
      <c r="C8" s="4">
        <f>'Processed HWF'!M8</f>
        <v>93.389282703399658</v>
      </c>
      <c r="D8">
        <f>'Processed HWF'!N8</f>
        <v>69.260000000000005</v>
      </c>
      <c r="E8">
        <f>IF(AND(C8&lt;H$4,Results!D8&lt;50),1,0)</f>
        <v>0</v>
      </c>
      <c r="F8">
        <f t="shared" si="0"/>
        <v>0</v>
      </c>
      <c r="K8" t="s">
        <v>30</v>
      </c>
      <c r="O8" t="s">
        <v>798</v>
      </c>
      <c r="V8" t="str">
        <f>'Processed HWF'!A8</f>
        <v>Armenia</v>
      </c>
      <c r="W8">
        <f>'Processed HWF'!I8</f>
        <v>516.68658447265625</v>
      </c>
      <c r="X8" s="7">
        <f>'Processed HWF'!K8</f>
        <v>1.7534640017015119E-2</v>
      </c>
      <c r="Y8">
        <f>'Processed HWF'!O8</f>
        <v>0.23971377218268958</v>
      </c>
      <c r="Z8">
        <f>'Processed HWF'!P8</f>
        <v>1.9861468093974918E-2</v>
      </c>
      <c r="AA8">
        <f>'Processed HWF'!N8</f>
        <v>69.260000000000005</v>
      </c>
      <c r="AB8">
        <f t="shared" si="7"/>
        <v>0</v>
      </c>
      <c r="AI8" t="s">
        <v>478</v>
      </c>
      <c r="AJ8" s="4">
        <f t="shared" si="1"/>
        <v>54.77</v>
      </c>
      <c r="AK8" s="4">
        <f t="shared" si="2"/>
        <v>23.321476817131042</v>
      </c>
      <c r="AL8" s="5">
        <f t="shared" si="3"/>
        <v>62603.5859375</v>
      </c>
      <c r="AM8" s="6">
        <f>VLOOKUP(AI8,$V$2:$Z$195,3,FALSE)</f>
        <v>1.7155441520287151</v>
      </c>
      <c r="AN8" s="6">
        <f t="shared" si="5"/>
        <v>0.21057922384585967</v>
      </c>
      <c r="AO8" s="6">
        <f t="shared" si="6"/>
        <v>8.3665705192728326E-2</v>
      </c>
    </row>
    <row r="9" spans="1:41" x14ac:dyDescent="0.35">
      <c r="A9" t="str">
        <f>VLOOKUP(B9,'Reference table'!A$2:D$195,4,FALSE)</f>
        <v>AMR</v>
      </c>
      <c r="B9" t="str">
        <f>'Processed HWF'!A9</f>
        <v>Antigua and Barbuda</v>
      </c>
      <c r="C9" s="4">
        <f>'Processed HWF'!M9</f>
        <v>118.48586845397949</v>
      </c>
      <c r="D9">
        <f>'Processed HWF'!N9</f>
        <v>72.33</v>
      </c>
      <c r="E9">
        <f>IF(AND(C9&lt;H$4,Results!D9&lt;50),1,0)</f>
        <v>0</v>
      </c>
      <c r="F9">
        <f t="shared" si="0"/>
        <v>0</v>
      </c>
      <c r="K9" t="s">
        <v>248</v>
      </c>
      <c r="V9" t="str">
        <f>'Processed HWF'!A9</f>
        <v>Antigua and Barbuda</v>
      </c>
      <c r="W9">
        <f>'Processed HWF'!I9</f>
        <v>17.632698059082031</v>
      </c>
      <c r="X9" s="7">
        <f>'Processed HWF'!K9</f>
        <v>1.4917257747180441E-2</v>
      </c>
      <c r="Y9">
        <f>'Processed HWF'!O9</f>
        <v>0.60302872489252413</v>
      </c>
      <c r="Z9">
        <f>'Processed HWF'!P9</f>
        <v>6.5069573052676201E-3</v>
      </c>
      <c r="AA9">
        <f>'Processed HWF'!N9</f>
        <v>72.33</v>
      </c>
      <c r="AB9">
        <f t="shared" si="7"/>
        <v>0</v>
      </c>
    </row>
    <row r="10" spans="1:41" x14ac:dyDescent="0.35">
      <c r="A10" t="str">
        <f>VLOOKUP(B10,'Reference table'!A$2:D$195,4,FALSE)</f>
        <v>WPR</v>
      </c>
      <c r="B10" t="str">
        <f>'Processed HWF'!A10</f>
        <v>Australia</v>
      </c>
      <c r="C10" s="4">
        <f>'Processed HWF'!M10</f>
        <v>172.69653034210205</v>
      </c>
      <c r="D10">
        <f>'Processed HWF'!N10</f>
        <v>87.15</v>
      </c>
      <c r="E10">
        <f>IF(AND(C10&lt;H$4,Results!D10&lt;50),1,0)</f>
        <v>0</v>
      </c>
      <c r="F10">
        <f t="shared" si="0"/>
        <v>0</v>
      </c>
      <c r="K10" t="s">
        <v>531</v>
      </c>
      <c r="O10" t="s">
        <v>799</v>
      </c>
      <c r="V10" t="str">
        <f>'Processed HWF'!A10</f>
        <v>Australia</v>
      </c>
      <c r="W10">
        <f>'Processed HWF'!I10</f>
        <v>0</v>
      </c>
      <c r="X10" s="7">
        <f>'Processed HWF'!K10</f>
        <v>0</v>
      </c>
      <c r="Y10">
        <f>'Processed HWF'!O10</f>
        <v>0.78025276507140184</v>
      </c>
      <c r="Z10">
        <f>'Processed HWF'!P10</f>
        <v>0</v>
      </c>
      <c r="AA10">
        <f>'Processed HWF'!N10</f>
        <v>87.15</v>
      </c>
      <c r="AB10">
        <f t="shared" si="7"/>
        <v>0</v>
      </c>
    </row>
    <row r="11" spans="1:41" x14ac:dyDescent="0.35">
      <c r="A11" t="str">
        <f>VLOOKUP(B11,'Reference table'!A$2:D$195,4,FALSE)</f>
        <v>EUR</v>
      </c>
      <c r="B11" t="str">
        <f>'Processed HWF'!A11</f>
        <v>Austria</v>
      </c>
      <c r="C11" s="4">
        <f>'Processed HWF'!M11</f>
        <v>158.57124423980713</v>
      </c>
      <c r="D11">
        <f>'Processed HWF'!N11</f>
        <v>82.26</v>
      </c>
      <c r="E11">
        <f>IF(AND(C11&lt;H$4,Results!D11&lt;50),1,0)</f>
        <v>0</v>
      </c>
      <c r="F11">
        <f t="shared" si="0"/>
        <v>0</v>
      </c>
      <c r="K11" t="s">
        <v>442</v>
      </c>
      <c r="O11" t="s">
        <v>800</v>
      </c>
      <c r="V11" t="str">
        <f>'Processed HWF'!A11</f>
        <v>Austria</v>
      </c>
      <c r="W11">
        <f>'Processed HWF'!I11</f>
        <v>1120.19775390625</v>
      </c>
      <c r="X11" s="7">
        <f>'Processed HWF'!K11</f>
        <v>7.2500217621966597E-3</v>
      </c>
      <c r="Y11">
        <f>'Processed HWF'!O11</f>
        <v>0.67008000391863265</v>
      </c>
      <c r="Z11">
        <f>'Processed HWF'!P11</f>
        <v>0</v>
      </c>
      <c r="AA11">
        <f>'Processed HWF'!N11</f>
        <v>82.26</v>
      </c>
      <c r="AB11">
        <f t="shared" si="7"/>
        <v>0</v>
      </c>
    </row>
    <row r="12" spans="1:41" x14ac:dyDescent="0.35">
      <c r="A12" t="str">
        <f>VLOOKUP(B12,'Reference table'!A$2:D$195,4,FALSE)</f>
        <v>EUR</v>
      </c>
      <c r="B12" t="str">
        <f>'Processed HWF'!A12</f>
        <v>Azerbaijan</v>
      </c>
      <c r="C12" s="4">
        <f>'Processed HWF'!M12</f>
        <v>96.166758060455322</v>
      </c>
      <c r="D12">
        <f>'Processed HWF'!N12</f>
        <v>65.28</v>
      </c>
      <c r="E12">
        <f>IF(AND(C12&lt;H$4,Results!D12&lt;50),1,0)</f>
        <v>0</v>
      </c>
      <c r="F12">
        <f t="shared" si="0"/>
        <v>0</v>
      </c>
      <c r="K12" t="s">
        <v>590</v>
      </c>
      <c r="V12" t="str">
        <f>'Processed HWF'!A12</f>
        <v>Azerbaijan</v>
      </c>
      <c r="W12">
        <f>'Processed HWF'!I12</f>
        <v>0</v>
      </c>
      <c r="X12" s="7">
        <f>'Processed HWF'!K12</f>
        <v>0</v>
      </c>
      <c r="Y12">
        <f>'Processed HWF'!O12</f>
        <v>0.4463986468327058</v>
      </c>
      <c r="Z12">
        <f>'Processed HWF'!P12</f>
        <v>8.3271478073171593E-3</v>
      </c>
      <c r="AA12">
        <f>'Processed HWF'!N12</f>
        <v>65.28</v>
      </c>
      <c r="AB12">
        <f t="shared" si="7"/>
        <v>0</v>
      </c>
      <c r="AI12" t="s">
        <v>804</v>
      </c>
      <c r="AJ12" t="s">
        <v>810</v>
      </c>
    </row>
    <row r="13" spans="1:41" x14ac:dyDescent="0.35">
      <c r="A13" t="str">
        <f>VLOOKUP(B13,'Reference table'!A$2:D$195,4,FALSE)</f>
        <v>AFR</v>
      </c>
      <c r="B13" t="str">
        <f>'Processed HWF'!A13</f>
        <v>Burundi</v>
      </c>
      <c r="C13" s="4">
        <f>'Processed HWF'!M13</f>
        <v>7.1974789500236511</v>
      </c>
      <c r="D13">
        <f>'Processed HWF'!N13</f>
        <v>44.37</v>
      </c>
      <c r="E13">
        <f>IF(AND(C13&lt;H$4,Results!D13&lt;50),1,0)</f>
        <v>1</v>
      </c>
      <c r="F13">
        <f t="shared" si="0"/>
        <v>1</v>
      </c>
      <c r="K13" t="s">
        <v>49</v>
      </c>
      <c r="V13" t="str">
        <f>'Processed HWF'!A13</f>
        <v>Burundi</v>
      </c>
      <c r="W13">
        <f>'Processed HWF'!I13</f>
        <v>68919.078125</v>
      </c>
      <c r="X13" s="7">
        <f>'Processed HWF'!K13</f>
        <v>7.9221248371193864</v>
      </c>
      <c r="Y13">
        <f>'Processed HWF'!O13</f>
        <v>5.0593804411887386E-4</v>
      </c>
      <c r="Z13">
        <f>'Processed HWF'!P13</f>
        <v>0.31022861969043514</v>
      </c>
      <c r="AA13">
        <f>'Processed HWF'!N13</f>
        <v>44.37</v>
      </c>
      <c r="AB13">
        <f t="shared" si="7"/>
        <v>0</v>
      </c>
      <c r="AI13" t="s">
        <v>333</v>
      </c>
      <c r="AJ13">
        <v>1</v>
      </c>
    </row>
    <row r="14" spans="1:41" x14ac:dyDescent="0.35">
      <c r="A14" t="str">
        <f>VLOOKUP(B14,'Reference table'!A$2:D$195,4,FALSE)</f>
        <v>EUR</v>
      </c>
      <c r="B14" t="str">
        <f>'Processed HWF'!A14</f>
        <v>Belgium</v>
      </c>
      <c r="C14" s="4">
        <f>'Processed HWF'!M14</f>
        <v>261.3905086517334</v>
      </c>
      <c r="D14">
        <f>'Processed HWF'!N14</f>
        <v>85.5</v>
      </c>
      <c r="E14">
        <f>IF(AND(C14&lt;H$4,Results!D14&lt;50),1,0)</f>
        <v>0</v>
      </c>
      <c r="F14">
        <f t="shared" si="0"/>
        <v>0</v>
      </c>
      <c r="K14" t="s">
        <v>270</v>
      </c>
      <c r="V14" t="str">
        <f>'Processed HWF'!A14</f>
        <v>Belgium</v>
      </c>
      <c r="W14">
        <f>'Processed HWF'!I14</f>
        <v>0</v>
      </c>
      <c r="X14" s="7">
        <f>'Processed HWF'!K14</f>
        <v>0</v>
      </c>
      <c r="Y14">
        <f>'Processed HWF'!O14</f>
        <v>0.7281663432397999</v>
      </c>
      <c r="Z14">
        <f>'Processed HWF'!P14</f>
        <v>0</v>
      </c>
      <c r="AA14">
        <f>'Processed HWF'!N14</f>
        <v>85.5</v>
      </c>
      <c r="AB14">
        <f t="shared" si="7"/>
        <v>0</v>
      </c>
      <c r="AI14" t="s">
        <v>373</v>
      </c>
      <c r="AJ14">
        <v>1</v>
      </c>
    </row>
    <row r="15" spans="1:41" x14ac:dyDescent="0.35">
      <c r="A15" t="str">
        <f>VLOOKUP(B15,'Reference table'!A$2:D$195,4,FALSE)</f>
        <v>AFR</v>
      </c>
      <c r="B15" t="str">
        <f>'Processed HWF'!A15</f>
        <v>Benin</v>
      </c>
      <c r="C15" s="4">
        <f>'Processed HWF'!M15</f>
        <v>3.6762710809707642</v>
      </c>
      <c r="D15">
        <f>'Processed HWF'!N15</f>
        <v>38.200000000000003</v>
      </c>
      <c r="E15">
        <f>IF(AND(C15&lt;H$4,Results!D15&lt;50),1,0)</f>
        <v>1</v>
      </c>
      <c r="F15">
        <f t="shared" si="0"/>
        <v>1</v>
      </c>
      <c r="K15" t="s">
        <v>279</v>
      </c>
      <c r="V15" t="str">
        <f>'Processed HWF'!A15</f>
        <v>Benin</v>
      </c>
      <c r="W15">
        <f>'Processed HWF'!I15</f>
        <v>82634.515625</v>
      </c>
      <c r="X15" s="7">
        <f>'Processed HWF'!K15</f>
        <v>17.244085310895969</v>
      </c>
      <c r="Y15">
        <f>'Processed HWF'!O15</f>
        <v>0.11724973604328891</v>
      </c>
      <c r="Z15">
        <f>'Processed HWF'!P15</f>
        <v>0.58968531624673692</v>
      </c>
      <c r="AA15">
        <f>'Processed HWF'!N15</f>
        <v>38.200000000000003</v>
      </c>
      <c r="AB15">
        <f t="shared" si="7"/>
        <v>0</v>
      </c>
      <c r="AI15" t="s">
        <v>463</v>
      </c>
      <c r="AJ15">
        <v>1</v>
      </c>
    </row>
    <row r="16" spans="1:41" x14ac:dyDescent="0.35">
      <c r="A16" t="str">
        <f>VLOOKUP(B16,'Reference table'!A$2:D$195,4,FALSE)</f>
        <v>AFR</v>
      </c>
      <c r="B16" t="str">
        <f>'Processed HWF'!A16</f>
        <v>Burkina Faso</v>
      </c>
      <c r="C16" s="4">
        <f>'Processed HWF'!M16</f>
        <v>9.8023334145545959</v>
      </c>
      <c r="D16">
        <f>'Processed HWF'!N16</f>
        <v>43.19</v>
      </c>
      <c r="E16">
        <f>IF(AND(C16&lt;H$4,Results!D16&lt;50),1,0)</f>
        <v>1</v>
      </c>
      <c r="F16">
        <f t="shared" si="0"/>
        <v>1</v>
      </c>
      <c r="K16" t="s">
        <v>499</v>
      </c>
      <c r="V16" t="str">
        <f>'Processed HWF'!A16</f>
        <v>Burkina Faso</v>
      </c>
      <c r="W16">
        <f>'Processed HWF'!I16</f>
        <v>124517.125</v>
      </c>
      <c r="X16" s="7">
        <f>'Processed HWF'!K16</f>
        <v>5.9674844175785786</v>
      </c>
      <c r="Y16">
        <f>'Processed HWF'!O16</f>
        <v>3.6926992246620903E-2</v>
      </c>
      <c r="Z16">
        <f>'Processed HWF'!P16</f>
        <v>0.2468457185667472</v>
      </c>
      <c r="AA16">
        <f>'Processed HWF'!N16</f>
        <v>43.19</v>
      </c>
      <c r="AB16">
        <f t="shared" si="7"/>
        <v>0</v>
      </c>
      <c r="AI16" t="s">
        <v>469</v>
      </c>
      <c r="AJ16">
        <v>1</v>
      </c>
    </row>
    <row r="17" spans="1:36" x14ac:dyDescent="0.35">
      <c r="A17" t="str">
        <f>VLOOKUP(B17,'Reference table'!A$2:D$195,4,FALSE)</f>
        <v>SEAR</v>
      </c>
      <c r="B17" t="str">
        <f>'Processed HWF'!A17</f>
        <v>Bangladesh</v>
      </c>
      <c r="C17" s="4">
        <f>'Processed HWF'!M17</f>
        <v>11.54121208190918</v>
      </c>
      <c r="D17">
        <f>'Processed HWF'!N17</f>
        <v>50.74</v>
      </c>
      <c r="E17">
        <f>IF(AND(C17&lt;H$4,Results!D17&lt;50),1,0)</f>
        <v>0</v>
      </c>
      <c r="F17">
        <f t="shared" si="0"/>
        <v>0</v>
      </c>
      <c r="K17" t="s">
        <v>64</v>
      </c>
      <c r="V17" t="str">
        <f>'Processed HWF'!A17</f>
        <v>Bangladesh</v>
      </c>
      <c r="W17">
        <f>'Processed HWF'!I17</f>
        <v>912042.125</v>
      </c>
      <c r="X17" s="7">
        <f>'Processed HWF'!K17</f>
        <v>3.9456264508665022</v>
      </c>
      <c r="Y17">
        <f>'Processed HWF'!O17</f>
        <v>0.32535576382601422</v>
      </c>
      <c r="Z17">
        <f>'Processed HWF'!P17</f>
        <v>8.3567522570831318E-2</v>
      </c>
      <c r="AA17">
        <f>'Processed HWF'!N17</f>
        <v>50.74</v>
      </c>
      <c r="AB17">
        <f t="shared" si="7"/>
        <v>0</v>
      </c>
      <c r="AI17" t="s">
        <v>475</v>
      </c>
      <c r="AJ17">
        <v>1</v>
      </c>
    </row>
    <row r="18" spans="1:36" x14ac:dyDescent="0.35">
      <c r="A18" t="str">
        <f>VLOOKUP(B18,'Reference table'!A$2:D$195,4,FALSE)</f>
        <v>EUR</v>
      </c>
      <c r="B18" t="str">
        <f>'Processed HWF'!A18</f>
        <v>Bulgaria</v>
      </c>
      <c r="C18" s="4">
        <f>'Processed HWF'!M18</f>
        <v>89.924144744873047</v>
      </c>
      <c r="D18">
        <f>'Processed HWF'!N18</f>
        <v>69.87</v>
      </c>
      <c r="E18">
        <f>IF(AND(C18&lt;H$4,Results!D18&lt;50),1,0)</f>
        <v>0</v>
      </c>
      <c r="F18">
        <f t="shared" si="0"/>
        <v>0</v>
      </c>
      <c r="K18" t="s">
        <v>88</v>
      </c>
      <c r="V18" t="str">
        <f>'Processed HWF'!A18</f>
        <v>Bulgaria</v>
      </c>
      <c r="W18">
        <f>'Processed HWF'!I18</f>
        <v>0</v>
      </c>
      <c r="X18" s="7">
        <f>'Processed HWF'!K18</f>
        <v>0</v>
      </c>
      <c r="Y18">
        <f>'Processed HWF'!O18</f>
        <v>0.21231443884915477</v>
      </c>
      <c r="Z18">
        <f>'Processed HWF'!P18</f>
        <v>1.9478347171175834E-2</v>
      </c>
      <c r="AA18">
        <f>'Processed HWF'!N18</f>
        <v>69.87</v>
      </c>
      <c r="AB18">
        <f t="shared" si="7"/>
        <v>0</v>
      </c>
      <c r="AI18" t="s">
        <v>478</v>
      </c>
      <c r="AJ18">
        <v>1</v>
      </c>
    </row>
    <row r="19" spans="1:36" x14ac:dyDescent="0.35">
      <c r="A19" t="str">
        <f>VLOOKUP(B19,'Reference table'!A$2:D$195,4,FALSE)</f>
        <v>EMR</v>
      </c>
      <c r="B19" t="str">
        <f>'Processed HWF'!A19</f>
        <v>Bahrain</v>
      </c>
      <c r="C19" s="4">
        <f>'Processed HWF'!M19</f>
        <v>39.383409976959229</v>
      </c>
      <c r="D19">
        <f>'Processed HWF'!N19</f>
        <v>71.44</v>
      </c>
      <c r="E19">
        <f>IF(AND(C19&lt;H$4,Results!D19&lt;50),1,0)</f>
        <v>0</v>
      </c>
      <c r="F19">
        <f t="shared" si="0"/>
        <v>0</v>
      </c>
      <c r="K19" t="s">
        <v>291</v>
      </c>
      <c r="V19" t="str">
        <f>'Processed HWF'!A19</f>
        <v>Bahrain</v>
      </c>
      <c r="W19">
        <f>'Processed HWF'!I19</f>
        <v>2573.84130859375</v>
      </c>
      <c r="X19" s="7">
        <f>'Processed HWF'!K19</f>
        <v>0.36033327884075095</v>
      </c>
      <c r="Y19">
        <f>'Processed HWF'!O19</f>
        <v>0.69681618500506881</v>
      </c>
      <c r="Z19">
        <f>'Processed HWF'!P19</f>
        <v>0</v>
      </c>
      <c r="AA19">
        <f>'Processed HWF'!N19</f>
        <v>71.44</v>
      </c>
      <c r="AB19">
        <f t="shared" si="7"/>
        <v>0</v>
      </c>
    </row>
    <row r="20" spans="1:36" x14ac:dyDescent="0.35">
      <c r="A20" t="str">
        <f>VLOOKUP(B20,'Reference table'!A$2:D$195,4,FALSE)</f>
        <v>AMR</v>
      </c>
      <c r="B20" t="str">
        <f>'Processed HWF'!A20</f>
        <v>Bahamas</v>
      </c>
      <c r="C20" s="4">
        <f>'Processed HWF'!M20</f>
        <v>70.230904102325439</v>
      </c>
      <c r="D20">
        <f>'Processed HWF'!N20</f>
        <v>69.81</v>
      </c>
      <c r="E20">
        <f>IF(AND(C20&lt;H$4,Results!D20&lt;50),1,0)</f>
        <v>0</v>
      </c>
      <c r="F20">
        <f t="shared" si="0"/>
        <v>0</v>
      </c>
      <c r="K20" t="s">
        <v>294</v>
      </c>
      <c r="V20" t="str">
        <f>'Processed HWF'!A20</f>
        <v>Bahamas</v>
      </c>
      <c r="W20">
        <f>'Processed HWF'!I20</f>
        <v>0</v>
      </c>
      <c r="X20" s="7">
        <f>'Processed HWF'!K20</f>
        <v>0</v>
      </c>
      <c r="Y20">
        <f>'Processed HWF'!O20</f>
        <v>0.37989899400880878</v>
      </c>
      <c r="Z20">
        <f>'Processed HWF'!P20</f>
        <v>1.7187225197471942E-2</v>
      </c>
      <c r="AA20">
        <f>'Processed HWF'!N20</f>
        <v>69.81</v>
      </c>
      <c r="AB20">
        <f t="shared" si="7"/>
        <v>0</v>
      </c>
    </row>
    <row r="21" spans="1:36" x14ac:dyDescent="0.35">
      <c r="A21" t="str">
        <f>VLOOKUP(B21,'Reference table'!A$2:D$195,4,FALSE)</f>
        <v>EUR</v>
      </c>
      <c r="B21" t="str">
        <f>'Processed HWF'!A21</f>
        <v>Bosnia and Herzegovina</v>
      </c>
      <c r="C21" s="4">
        <f>'Processed HWF'!M21</f>
        <v>78.949018478393555</v>
      </c>
      <c r="D21">
        <f>'Processed HWF'!N21</f>
        <v>64.61</v>
      </c>
      <c r="E21">
        <f>IF(AND(C21&lt;H$4,Results!D21&lt;50),1,0)</f>
        <v>0</v>
      </c>
      <c r="F21">
        <f t="shared" si="0"/>
        <v>0</v>
      </c>
      <c r="K21" t="s">
        <v>300</v>
      </c>
      <c r="V21" t="str">
        <f>'Processed HWF'!A21</f>
        <v>Bosnia and Herzegovina</v>
      </c>
      <c r="W21">
        <f>'Processed HWF'!I21</f>
        <v>257.3753662109375</v>
      </c>
      <c r="X21" s="7">
        <f>'Processed HWF'!K21</f>
        <v>9.4927248171936523E-3</v>
      </c>
      <c r="Y21">
        <f>'Processed HWF'!O21</f>
        <v>0.21964999550416589</v>
      </c>
      <c r="Z21">
        <f>'Processed HWF'!P21</f>
        <v>1.5805506574958272E-2</v>
      </c>
      <c r="AA21">
        <f>'Processed HWF'!N21</f>
        <v>64.61</v>
      </c>
      <c r="AB21">
        <f t="shared" si="7"/>
        <v>0</v>
      </c>
    </row>
    <row r="22" spans="1:36" x14ac:dyDescent="0.35">
      <c r="A22" t="str">
        <f>VLOOKUP(B22,'Reference table'!A$2:D$195,4,FALSE)</f>
        <v>EUR</v>
      </c>
      <c r="B22" t="str">
        <f>'Processed HWF'!A22</f>
        <v>Belarus</v>
      </c>
      <c r="C22" s="4">
        <f>'Processed HWF'!M22</f>
        <v>155.40891981124878</v>
      </c>
      <c r="D22">
        <f>'Processed HWF'!N22</f>
        <v>73.540000000000006</v>
      </c>
      <c r="E22">
        <f>IF(AND(C22&lt;H$4,Results!D22&lt;50),1,0)</f>
        <v>0</v>
      </c>
      <c r="F22">
        <f t="shared" si="0"/>
        <v>0</v>
      </c>
      <c r="K22" t="s">
        <v>303</v>
      </c>
      <c r="V22" t="str">
        <f>'Processed HWF'!A22</f>
        <v>Belarus</v>
      </c>
      <c r="W22">
        <f>'Processed HWF'!I22</f>
        <v>0</v>
      </c>
      <c r="X22" s="7">
        <f>'Processed HWF'!K22</f>
        <v>0</v>
      </c>
      <c r="Y22">
        <f>'Processed HWF'!O22</f>
        <v>0.37786005999796174</v>
      </c>
      <c r="Z22">
        <f>'Processed HWF'!P22</f>
        <v>7.7025404995930092E-3</v>
      </c>
      <c r="AA22">
        <f>'Processed HWF'!N22</f>
        <v>73.540000000000006</v>
      </c>
      <c r="AB22">
        <f t="shared" si="7"/>
        <v>0</v>
      </c>
    </row>
    <row r="23" spans="1:36" x14ac:dyDescent="0.35">
      <c r="A23" t="str">
        <f>VLOOKUP(B23,'Reference table'!A$2:D$195,4,FALSE)</f>
        <v>AMR</v>
      </c>
      <c r="B23" t="str">
        <f>'Processed HWF'!A23</f>
        <v>Belize</v>
      </c>
      <c r="C23" s="4">
        <f>'Processed HWF'!M23</f>
        <v>34.19731616973877</v>
      </c>
      <c r="D23">
        <f>'Processed HWF'!N23</f>
        <v>67.17</v>
      </c>
      <c r="E23">
        <f>IF(AND(C23&lt;H$4,Results!D23&lt;50),1,0)</f>
        <v>0</v>
      </c>
      <c r="F23">
        <f t="shared" si="0"/>
        <v>0</v>
      </c>
      <c r="K23" t="s">
        <v>309</v>
      </c>
      <c r="V23" t="str">
        <f>'Processed HWF'!A23</f>
        <v>Belize</v>
      </c>
      <c r="W23">
        <f>'Processed HWF'!I23</f>
        <v>497.78338623046875</v>
      </c>
      <c r="X23" s="7">
        <f>'Processed HWF'!K23</f>
        <v>0.29567327057212889</v>
      </c>
      <c r="Y23">
        <f>'Processed HWF'!O23</f>
        <v>0.50362147534881851</v>
      </c>
      <c r="Z23">
        <f>'Processed HWF'!P23</f>
        <v>7.4955077362221668E-3</v>
      </c>
      <c r="AA23">
        <f>'Processed HWF'!N23</f>
        <v>67.17</v>
      </c>
      <c r="AB23">
        <f t="shared" si="7"/>
        <v>0</v>
      </c>
    </row>
    <row r="24" spans="1:36" x14ac:dyDescent="0.35">
      <c r="A24" t="str">
        <f>VLOOKUP(B24,'Reference table'!A$2:D$195,4,FALSE)</f>
        <v>AMR</v>
      </c>
      <c r="B24" t="str">
        <f>'Processed HWF'!A24</f>
        <v>Bolivia</v>
      </c>
      <c r="C24" s="4">
        <f>'Processed HWF'!M24</f>
        <v>25.872321128845215</v>
      </c>
      <c r="D24">
        <f>'Processed HWF'!N24</f>
        <v>66.75</v>
      </c>
      <c r="E24">
        <f>IF(AND(C24&lt;H$4,Results!D24&lt;50),1,0)</f>
        <v>0</v>
      </c>
      <c r="F24">
        <f t="shared" si="0"/>
        <v>0</v>
      </c>
      <c r="K24" t="s">
        <v>149</v>
      </c>
      <c r="V24" t="str">
        <f>'Processed HWF'!A24</f>
        <v>Bolivia</v>
      </c>
      <c r="W24">
        <f>'Processed HWF'!I24</f>
        <v>26573.619140625</v>
      </c>
      <c r="X24" s="7">
        <f>'Processed HWF'!K24</f>
        <v>0.76080207480273143</v>
      </c>
      <c r="Y24">
        <f>'Processed HWF'!O24</f>
        <v>0.40640267844973466</v>
      </c>
      <c r="Z24">
        <f>'Processed HWF'!P24</f>
        <v>6.1753037030181177E-3</v>
      </c>
      <c r="AA24">
        <f>'Processed HWF'!N24</f>
        <v>66.75</v>
      </c>
      <c r="AB24">
        <f t="shared" si="7"/>
        <v>0</v>
      </c>
    </row>
    <row r="25" spans="1:36" x14ac:dyDescent="0.35">
      <c r="A25" t="str">
        <f>VLOOKUP(B25,'Reference table'!A$2:D$195,4,FALSE)</f>
        <v>AMR</v>
      </c>
      <c r="B25" t="str">
        <f>'Processed HWF'!A25</f>
        <v>Brazil</v>
      </c>
      <c r="C25" s="4">
        <f>'Processed HWF'!M25</f>
        <v>97.13739013671875</v>
      </c>
      <c r="D25">
        <f>'Processed HWF'!N25</f>
        <v>75.03</v>
      </c>
      <c r="E25">
        <f>IF(AND(C25&lt;H$4,Results!D25&lt;50),1,0)</f>
        <v>0</v>
      </c>
      <c r="F25">
        <f t="shared" si="0"/>
        <v>0</v>
      </c>
      <c r="K25" t="s">
        <v>344</v>
      </c>
      <c r="V25" t="str">
        <f>'Processed HWF'!A25</f>
        <v>Brazil</v>
      </c>
      <c r="W25">
        <f>'Processed HWF'!I25</f>
        <v>0</v>
      </c>
      <c r="X25" s="7">
        <f>'Processed HWF'!K25</f>
        <v>0</v>
      </c>
      <c r="Y25">
        <f>'Processed HWF'!O25</f>
        <v>0.67275306838087534</v>
      </c>
      <c r="Z25">
        <f>'Processed HWF'!P25</f>
        <v>0</v>
      </c>
      <c r="AA25">
        <f>'Processed HWF'!N25</f>
        <v>75.03</v>
      </c>
      <c r="AB25">
        <f t="shared" si="7"/>
        <v>0</v>
      </c>
    </row>
    <row r="26" spans="1:36" x14ac:dyDescent="0.35">
      <c r="A26" t="str">
        <f>VLOOKUP(B26,'Reference table'!A$2:D$195,4,FALSE)</f>
        <v>AMR</v>
      </c>
      <c r="B26" t="str">
        <f>'Processed HWF'!A26</f>
        <v>Barbados</v>
      </c>
      <c r="C26" s="4">
        <f>'Processed HWF'!M26</f>
        <v>60.557791709899902</v>
      </c>
      <c r="D26">
        <f>'Processed HWF'!N26</f>
        <v>74.459999999999994</v>
      </c>
      <c r="E26">
        <f>IF(AND(C26&lt;H$4,Results!D26&lt;50),1,0)</f>
        <v>0</v>
      </c>
      <c r="F26">
        <f t="shared" si="0"/>
        <v>0</v>
      </c>
      <c r="K26" t="s">
        <v>350</v>
      </c>
      <c r="V26" t="str">
        <f>'Processed HWF'!A26</f>
        <v>Barbados</v>
      </c>
      <c r="W26">
        <f>'Processed HWF'!I26</f>
        <v>11.458291053771973</v>
      </c>
      <c r="X26" s="7">
        <f>'Processed HWF'!K26</f>
        <v>5.4832914953368197E-3</v>
      </c>
      <c r="Y26">
        <f>'Processed HWF'!O26</f>
        <v>0.50062461939973901</v>
      </c>
      <c r="Z26">
        <f>'Processed HWF'!P26</f>
        <v>1.4246771512406801E-2</v>
      </c>
      <c r="AA26">
        <f>'Processed HWF'!N26</f>
        <v>74.459999999999994</v>
      </c>
      <c r="AB26">
        <f t="shared" si="7"/>
        <v>0</v>
      </c>
    </row>
    <row r="27" spans="1:36" x14ac:dyDescent="0.35">
      <c r="A27" t="str">
        <f>VLOOKUP(B27,'Reference table'!A$2:D$195,4,FALSE)</f>
        <v>WPR</v>
      </c>
      <c r="B27" t="str">
        <f>'Processed HWF'!A27</f>
        <v>Brunei Darussalam</v>
      </c>
      <c r="C27" s="4">
        <f>'Processed HWF'!M27</f>
        <v>75.070095062255859</v>
      </c>
      <c r="D27">
        <f>'Processed HWF'!N27</f>
        <v>76.81</v>
      </c>
      <c r="E27">
        <f>IF(AND(C27&lt;H$4,Results!D27&lt;50),1,0)</f>
        <v>0</v>
      </c>
      <c r="F27">
        <f t="shared" si="0"/>
        <v>0</v>
      </c>
      <c r="K27" t="s">
        <v>353</v>
      </c>
      <c r="V27" t="str">
        <f>'Processed HWF'!A27</f>
        <v>Brunei Darussalam</v>
      </c>
      <c r="W27">
        <f>'Processed HWF'!I27</f>
        <v>13.204122543334961</v>
      </c>
      <c r="X27" s="7">
        <f>'Processed HWF'!K27</f>
        <v>3.8051324279976292E-3</v>
      </c>
      <c r="Y27">
        <f>'Processed HWF'!O27</f>
        <v>0.91834579488386869</v>
      </c>
      <c r="Z27">
        <f>'Processed HWF'!P27</f>
        <v>0</v>
      </c>
      <c r="AA27">
        <f>'Processed HWF'!N27</f>
        <v>76.81</v>
      </c>
      <c r="AB27">
        <f t="shared" si="7"/>
        <v>0</v>
      </c>
    </row>
    <row r="28" spans="1:36" x14ac:dyDescent="0.35">
      <c r="A28" t="str">
        <f>VLOOKUP(B28,'Reference table'!A$2:D$195,4,FALSE)</f>
        <v>SEAR</v>
      </c>
      <c r="B28" t="str">
        <f>'Processed HWF'!A28</f>
        <v>Bhutan</v>
      </c>
      <c r="C28" s="4">
        <f>'Processed HWF'!M28</f>
        <v>25.76424503326416</v>
      </c>
      <c r="D28">
        <f>'Processed HWF'!N28</f>
        <v>62.39</v>
      </c>
      <c r="E28">
        <f>IF(AND(C28&lt;H$4,Results!D28&lt;50),1,0)</f>
        <v>0</v>
      </c>
      <c r="F28">
        <f t="shared" si="0"/>
        <v>0</v>
      </c>
      <c r="K28" t="s">
        <v>359</v>
      </c>
      <c r="V28" t="str">
        <f>'Processed HWF'!A28</f>
        <v>Bhutan</v>
      </c>
      <c r="W28">
        <f>'Processed HWF'!I28</f>
        <v>2299.60693359375</v>
      </c>
      <c r="X28" s="7">
        <f>'Processed HWF'!K28</f>
        <v>1.0898667227790242</v>
      </c>
      <c r="Y28">
        <f>'Processed HWF'!O28</f>
        <v>0.73609527117396401</v>
      </c>
      <c r="Z28">
        <f>'Processed HWF'!P28</f>
        <v>0</v>
      </c>
      <c r="AA28">
        <f>'Processed HWF'!N28</f>
        <v>62.39</v>
      </c>
      <c r="AB28">
        <f t="shared" si="7"/>
        <v>0</v>
      </c>
    </row>
    <row r="29" spans="1:36" x14ac:dyDescent="0.35">
      <c r="A29" t="str">
        <f>VLOOKUP(B29,'Reference table'!A$2:D$195,4,FALSE)</f>
        <v>AFR</v>
      </c>
      <c r="B29" t="str">
        <f>'Processed HWF'!A29</f>
        <v>Botswana</v>
      </c>
      <c r="C29" s="4">
        <f>'Processed HWF'!M29</f>
        <v>58.35230016708374</v>
      </c>
      <c r="D29">
        <f>'Processed HWF'!N29</f>
        <v>53.66</v>
      </c>
      <c r="E29">
        <f>IF(AND(C29&lt;H$4,Results!D29&lt;50),1,0)</f>
        <v>0</v>
      </c>
      <c r="F29">
        <f t="shared" si="0"/>
        <v>0</v>
      </c>
      <c r="K29" t="s">
        <v>119</v>
      </c>
      <c r="V29" t="str">
        <f>'Processed HWF'!A29</f>
        <v>Botswana</v>
      </c>
      <c r="W29">
        <f>'Processed HWF'!I29</f>
        <v>3396.88427734375</v>
      </c>
      <c r="X29" s="7">
        <f>'Processed HWF'!K29</f>
        <v>0.23579746205063035</v>
      </c>
      <c r="Y29">
        <f>'Processed HWF'!O29</f>
        <v>0.43968324908669615</v>
      </c>
      <c r="Z29">
        <f>'Processed HWF'!P29</f>
        <v>1.9312147901459142E-2</v>
      </c>
      <c r="AA29">
        <f>'Processed HWF'!N29</f>
        <v>53.66</v>
      </c>
      <c r="AB29">
        <f t="shared" si="7"/>
        <v>0</v>
      </c>
    </row>
    <row r="30" spans="1:36" x14ac:dyDescent="0.35">
      <c r="A30" t="str">
        <f>VLOOKUP(B30,'Reference table'!A$2:D$195,4,FALSE)</f>
        <v>AFR</v>
      </c>
      <c r="B30" t="str">
        <f>'Processed HWF'!A30</f>
        <v>Central African Republic</v>
      </c>
      <c r="C30" s="4">
        <f>'Processed HWF'!M30</f>
        <v>3.278776228427887</v>
      </c>
      <c r="D30">
        <f>'Processed HWF'!N30</f>
        <v>32.46</v>
      </c>
      <c r="E30">
        <f>IF(AND(C30&lt;H$4,Results!D30&lt;50),1,0)</f>
        <v>1</v>
      </c>
      <c r="F30">
        <f t="shared" si="0"/>
        <v>1</v>
      </c>
      <c r="K30" t="s">
        <v>617</v>
      </c>
      <c r="V30" t="str">
        <f>'Processed HWF'!A30</f>
        <v>Central African Republic</v>
      </c>
      <c r="W30">
        <f>'Processed HWF'!I30</f>
        <v>30721.564453125</v>
      </c>
      <c r="X30" s="7">
        <f>'Processed HWF'!K30</f>
        <v>18.833914196283452</v>
      </c>
      <c r="Y30">
        <f>'Processed HWF'!O30</f>
        <v>9.5804828680141299E-2</v>
      </c>
      <c r="Z30">
        <f>'Processed HWF'!P30</f>
        <v>1.1143201744639815</v>
      </c>
      <c r="AA30">
        <f>'Processed HWF'!N30</f>
        <v>32.46</v>
      </c>
      <c r="AB30">
        <f t="shared" si="7"/>
        <v>0</v>
      </c>
    </row>
    <row r="31" spans="1:36" x14ac:dyDescent="0.35">
      <c r="A31" t="str">
        <f>VLOOKUP(B31,'Reference table'!A$2:D$195,4,FALSE)</f>
        <v>AMR</v>
      </c>
      <c r="B31" t="str">
        <f>'Processed HWF'!A31</f>
        <v>Canada</v>
      </c>
      <c r="C31" s="4">
        <f>'Processed HWF'!M31</f>
        <v>135.28619575500488</v>
      </c>
      <c r="D31">
        <f>'Processed HWF'!N31</f>
        <v>89.36</v>
      </c>
      <c r="E31">
        <f>IF(AND(C31&lt;H$4,Results!D31&lt;50),1,0)</f>
        <v>0</v>
      </c>
      <c r="F31">
        <f t="shared" si="0"/>
        <v>0</v>
      </c>
      <c r="K31" t="s">
        <v>370</v>
      </c>
      <c r="V31" t="str">
        <f>'Processed HWF'!A31</f>
        <v>Canada</v>
      </c>
      <c r="W31">
        <f>'Processed HWF'!I31</f>
        <v>0</v>
      </c>
      <c r="X31" s="7">
        <f>'Processed HWF'!K31</f>
        <v>0</v>
      </c>
      <c r="Y31">
        <f>'Processed HWF'!O31</f>
        <v>0.77779029252013543</v>
      </c>
      <c r="Z31">
        <f>'Processed HWF'!P31</f>
        <v>0</v>
      </c>
      <c r="AA31">
        <f>'Processed HWF'!N31</f>
        <v>89.36</v>
      </c>
      <c r="AB31">
        <f t="shared" si="7"/>
        <v>0</v>
      </c>
    </row>
    <row r="32" spans="1:36" x14ac:dyDescent="0.35">
      <c r="A32" t="str">
        <f>VLOOKUP(B32,'Reference table'!A$2:D$195,4,FALSE)</f>
        <v>EUR</v>
      </c>
      <c r="B32" t="str">
        <f>'Processed HWF'!A32</f>
        <v>Switzerland</v>
      </c>
      <c r="C32" s="4">
        <f>'Processed HWF'!M32</f>
        <v>226.40988612174988</v>
      </c>
      <c r="D32">
        <f>'Processed HWF'!N32</f>
        <v>87.14</v>
      </c>
      <c r="E32">
        <f>IF(AND(C32&lt;H$4,Results!D32&lt;50),1,0)</f>
        <v>0</v>
      </c>
      <c r="F32">
        <f t="shared" si="0"/>
        <v>0</v>
      </c>
      <c r="K32" t="s">
        <v>445</v>
      </c>
      <c r="V32" t="str">
        <f>'Processed HWF'!A32</f>
        <v>Switzerland</v>
      </c>
      <c r="W32">
        <f>'Processed HWF'!I32</f>
        <v>480.61956787109375</v>
      </c>
      <c r="X32" s="7">
        <f>'Processed HWF'!K32</f>
        <v>2.3414325972593479E-3</v>
      </c>
      <c r="Y32">
        <f>'Processed HWF'!O32</f>
        <v>0.63957357794416803</v>
      </c>
      <c r="Z32">
        <f>'Processed HWF'!P32</f>
        <v>8.1170620801151712E-4</v>
      </c>
      <c r="AA32">
        <f>'Processed HWF'!N32</f>
        <v>87.14</v>
      </c>
      <c r="AB32">
        <f t="shared" si="7"/>
        <v>0</v>
      </c>
    </row>
    <row r="33" spans="1:28" x14ac:dyDescent="0.35">
      <c r="A33" t="str">
        <f>VLOOKUP(B33,'Reference table'!A$2:D$195,4,FALSE)</f>
        <v>AMR</v>
      </c>
      <c r="B33" t="str">
        <f>'Processed HWF'!A33</f>
        <v>Chile</v>
      </c>
      <c r="C33" s="4">
        <f>'Processed HWF'!M33</f>
        <v>71.889527320861816</v>
      </c>
      <c r="D33">
        <f>'Processed HWF'!N33</f>
        <v>79.84</v>
      </c>
      <c r="E33">
        <f>IF(AND(C33&lt;H$4,Results!D33&lt;50),1,0)</f>
        <v>0</v>
      </c>
      <c r="F33">
        <f t="shared" si="0"/>
        <v>0</v>
      </c>
      <c r="K33" t="s">
        <v>73</v>
      </c>
      <c r="V33" t="str">
        <f>'Processed HWF'!A33</f>
        <v>Chile</v>
      </c>
      <c r="W33">
        <f>'Processed HWF'!I33</f>
        <v>0</v>
      </c>
      <c r="X33" s="7">
        <f>'Processed HWF'!K33</f>
        <v>0</v>
      </c>
      <c r="Y33">
        <f>'Processed HWF'!O33</f>
        <v>0.8671112529105548</v>
      </c>
      <c r="Z33">
        <f>'Processed HWF'!P33</f>
        <v>0</v>
      </c>
      <c r="AA33">
        <f>'Processed HWF'!N33</f>
        <v>79.84</v>
      </c>
      <c r="AB33">
        <f t="shared" si="7"/>
        <v>0</v>
      </c>
    </row>
    <row r="34" spans="1:28" x14ac:dyDescent="0.35">
      <c r="A34" t="str">
        <f>VLOOKUP(B34,'Reference table'!A$2:D$195,4,FALSE)</f>
        <v>WPR</v>
      </c>
      <c r="B34" t="str">
        <f>'Processed HWF'!A34</f>
        <v>China</v>
      </c>
      <c r="C34" s="4">
        <f>'Processed HWF'!M34</f>
        <v>57.462380886077881</v>
      </c>
      <c r="D34">
        <f>'Processed HWF'!N34</f>
        <v>82.17</v>
      </c>
      <c r="E34">
        <f>IF(AND(C34&lt;H$4,Results!D34&lt;50),1,0)</f>
        <v>0</v>
      </c>
      <c r="F34">
        <f t="shared" si="0"/>
        <v>0</v>
      </c>
      <c r="K34" t="s">
        <v>122</v>
      </c>
      <c r="V34" t="str">
        <f>'Processed HWF'!A34</f>
        <v>China</v>
      </c>
      <c r="W34">
        <f>'Processed HWF'!I34</f>
        <v>7615.29833984375</v>
      </c>
      <c r="X34" s="7">
        <f>'Processed HWF'!K34</f>
        <v>8.1292246377877666E-4</v>
      </c>
      <c r="Y34">
        <f>'Processed HWF'!O34</f>
        <v>0.82590592381677863</v>
      </c>
      <c r="Z34">
        <f>'Processed HWF'!P34</f>
        <v>0</v>
      </c>
      <c r="AA34">
        <f>'Processed HWF'!N34</f>
        <v>82.17</v>
      </c>
      <c r="AB34">
        <f t="shared" si="7"/>
        <v>0</v>
      </c>
    </row>
    <row r="35" spans="1:28" x14ac:dyDescent="0.35">
      <c r="A35" t="str">
        <f>VLOOKUP(B35,'Reference table'!A$2:D$195,4,FALSE)</f>
        <v>AFR</v>
      </c>
      <c r="B35" t="str">
        <f>'Processed HWF'!A35</f>
        <v>Cote d'Ivoire</v>
      </c>
      <c r="C35" s="4">
        <f>'Processed HWF'!M35</f>
        <v>8.1840465068817139</v>
      </c>
      <c r="D35">
        <f>'Processed HWF'!N35</f>
        <v>45.44</v>
      </c>
      <c r="E35">
        <f>IF(AND(C35&lt;H$4,Results!D35&lt;50),1,0)</f>
        <v>1</v>
      </c>
      <c r="F35">
        <f t="shared" si="0"/>
        <v>1</v>
      </c>
      <c r="K35" t="s">
        <v>106</v>
      </c>
      <c r="V35" t="str">
        <f>'Processed HWF'!A35</f>
        <v>Cote d'Ivoire</v>
      </c>
      <c r="W35">
        <f>'Processed HWF'!I35</f>
        <v>162190.9375</v>
      </c>
      <c r="X35" s="7">
        <f>'Processed HWF'!K35</f>
        <v>7.0702669880950646</v>
      </c>
      <c r="Y35">
        <f>'Processed HWF'!O35</f>
        <v>8.1978752665924998E-2</v>
      </c>
      <c r="Z35">
        <f>'Processed HWF'!P35</f>
        <v>0.3004258490747832</v>
      </c>
      <c r="AA35">
        <f>'Processed HWF'!N35</f>
        <v>45.44</v>
      </c>
      <c r="AB35">
        <f t="shared" si="7"/>
        <v>0</v>
      </c>
    </row>
    <row r="36" spans="1:28" x14ac:dyDescent="0.35">
      <c r="A36" t="str">
        <f>VLOOKUP(B36,'Reference table'!A$2:D$195,4,FALSE)</f>
        <v>AFR</v>
      </c>
      <c r="B36" t="str">
        <f>'Processed HWF'!A36</f>
        <v>Cameroon</v>
      </c>
      <c r="C36" s="4">
        <f>'Processed HWF'!M36</f>
        <v>5.7732075750827789</v>
      </c>
      <c r="D36">
        <f>'Processed HWF'!N36</f>
        <v>44.31</v>
      </c>
      <c r="E36">
        <f>IF(AND(C36&lt;H$4,Results!D36&lt;50),1,0)</f>
        <v>1</v>
      </c>
      <c r="F36">
        <f t="shared" si="0"/>
        <v>1</v>
      </c>
      <c r="K36" t="s">
        <v>412</v>
      </c>
      <c r="V36" t="str">
        <f>'Processed HWF'!A36</f>
        <v>Cameroon</v>
      </c>
      <c r="W36">
        <f>'Processed HWF'!I36</f>
        <v>173239.953125</v>
      </c>
      <c r="X36" s="7">
        <f>'Processed HWF'!K36</f>
        <v>10.926937976479152</v>
      </c>
      <c r="Y36">
        <f>'Processed HWF'!O36</f>
        <v>2.4987584694458793E-2</v>
      </c>
      <c r="Z36">
        <f>'Processed HWF'!P36</f>
        <v>0.29735680829183797</v>
      </c>
      <c r="AA36">
        <f>'Processed HWF'!N36</f>
        <v>44.31</v>
      </c>
      <c r="AB36">
        <f t="shared" si="7"/>
        <v>0</v>
      </c>
    </row>
    <row r="37" spans="1:28" x14ac:dyDescent="0.35">
      <c r="A37" t="str">
        <f>VLOOKUP(B37,'Reference table'!A$2:D$195,4,FALSE)</f>
        <v>AFR</v>
      </c>
      <c r="B37" t="str">
        <f>'Processed HWF'!A37</f>
        <v>Democratic Republic of the Congo</v>
      </c>
      <c r="C37" s="4">
        <f>'Processed HWF'!M37</f>
        <v>14.8480384349823</v>
      </c>
      <c r="D37">
        <f>'Processed HWF'!N37</f>
        <v>38.549999999999997</v>
      </c>
      <c r="E37">
        <f>IF(AND(C37&lt;H$4,Results!D37&lt;50),1,0)</f>
        <v>1</v>
      </c>
      <c r="F37">
        <f t="shared" si="0"/>
        <v>1</v>
      </c>
      <c r="K37" t="s">
        <v>421</v>
      </c>
      <c r="V37" t="str">
        <f>'Processed HWF'!A37</f>
        <v>Democratic Republic of the Congo</v>
      </c>
      <c r="W37">
        <f>'Processed HWF'!I37</f>
        <v>418150.25</v>
      </c>
      <c r="X37" s="7">
        <f>'Processed HWF'!K37</f>
        <v>3.092646499495689</v>
      </c>
      <c r="Y37">
        <f>'Processed HWF'!O37</f>
        <v>1.7901349758891116E-3</v>
      </c>
      <c r="Z37">
        <f>'Processed HWF'!P37</f>
        <v>0.2357905310021492</v>
      </c>
      <c r="AA37">
        <f>'Processed HWF'!N37</f>
        <v>38.549999999999997</v>
      </c>
      <c r="AB37">
        <f t="shared" si="7"/>
        <v>0</v>
      </c>
    </row>
    <row r="38" spans="1:28" x14ac:dyDescent="0.35">
      <c r="A38" t="str">
        <f>VLOOKUP(B38,'Reference table'!A$2:D$195,4,FALSE)</f>
        <v>AFR</v>
      </c>
      <c r="B38" t="str">
        <f>'Processed HWF'!A38</f>
        <v>Congo</v>
      </c>
      <c r="C38" s="4">
        <f>'Processed HWF'!M38</f>
        <v>10.725801825523376</v>
      </c>
      <c r="D38">
        <f>'Processed HWF'!N38</f>
        <v>40.49</v>
      </c>
      <c r="E38">
        <f>IF(AND(C38&lt;H$4,Results!D38&lt;50),1,0)</f>
        <v>1</v>
      </c>
      <c r="F38">
        <f t="shared" si="0"/>
        <v>1</v>
      </c>
      <c r="K38" t="s">
        <v>76</v>
      </c>
      <c r="V38" t="str">
        <f>'Processed HWF'!A38</f>
        <v>Congo</v>
      </c>
      <c r="W38">
        <f>'Processed HWF'!I38</f>
        <v>28958.66796875</v>
      </c>
      <c r="X38" s="7">
        <f>'Processed HWF'!K38</f>
        <v>4.7378512227057978</v>
      </c>
      <c r="Y38">
        <f>'Processed HWF'!O38</f>
        <v>0.10576292109928677</v>
      </c>
      <c r="Z38">
        <f>'Processed HWF'!P38</f>
        <v>0.23998787626348012</v>
      </c>
      <c r="AA38">
        <f>'Processed HWF'!N38</f>
        <v>40.49</v>
      </c>
      <c r="AB38">
        <f t="shared" si="7"/>
        <v>0</v>
      </c>
    </row>
    <row r="39" spans="1:28" x14ac:dyDescent="0.35">
      <c r="A39" t="str">
        <f>VLOOKUP(B39,'Reference table'!A$2:D$195,4,FALSE)</f>
        <v>WPR</v>
      </c>
      <c r="B39" t="str">
        <f>'Processed HWF'!A39</f>
        <v>Cook Islands</v>
      </c>
      <c r="C39" s="4">
        <f>'Processed HWF'!M39</f>
        <v>93.921990394592285</v>
      </c>
      <c r="D39">
        <f>'Processed HWF'!N39</f>
        <v>53.77</v>
      </c>
      <c r="E39">
        <f>IF(AND(C39&lt;H$4,Results!D39&lt;50),1,0)</f>
        <v>0</v>
      </c>
      <c r="F39">
        <f t="shared" si="0"/>
        <v>0</v>
      </c>
      <c r="K39" t="s">
        <v>433</v>
      </c>
      <c r="V39" t="str">
        <f>'Processed HWF'!A39</f>
        <v>Cook Islands</v>
      </c>
      <c r="W39">
        <f>'Processed HWF'!I39</f>
        <v>3.0892734527587891</v>
      </c>
      <c r="X39" s="7">
        <f>'Processed HWF'!K39</f>
        <v>1.7964698723004335E-2</v>
      </c>
      <c r="Y39">
        <f>'Processed HWF'!O39</f>
        <v>0.71908449100432703</v>
      </c>
      <c r="Z39">
        <f>'Processed HWF'!P39</f>
        <v>0</v>
      </c>
      <c r="AA39">
        <f>'Processed HWF'!N39</f>
        <v>53.77</v>
      </c>
      <c r="AB39">
        <f t="shared" si="7"/>
        <v>0</v>
      </c>
    </row>
    <row r="40" spans="1:28" x14ac:dyDescent="0.35">
      <c r="A40" t="str">
        <f>VLOOKUP(B40,'Reference table'!A$2:D$195,4,FALSE)</f>
        <v>AMR</v>
      </c>
      <c r="B40" t="str">
        <f>'Processed HWF'!A40</f>
        <v>Colombia</v>
      </c>
      <c r="C40" s="4">
        <f>'Processed HWF'!M40</f>
        <v>42.115653514862061</v>
      </c>
      <c r="D40">
        <f>'Processed HWF'!N40</f>
        <v>78.27</v>
      </c>
      <c r="E40">
        <f>IF(AND(C40&lt;H$4,Results!D40&lt;50),1,0)</f>
        <v>0</v>
      </c>
      <c r="F40">
        <f t="shared" si="0"/>
        <v>0</v>
      </c>
      <c r="K40" t="s">
        <v>448</v>
      </c>
      <c r="V40" t="str">
        <f>'Processed HWF'!A40</f>
        <v>Colombia</v>
      </c>
      <c r="W40">
        <f>'Processed HWF'!I40</f>
        <v>106934.09375</v>
      </c>
      <c r="X40" s="7">
        <f>'Processed HWF'!K40</f>
        <v>0.38626734377861233</v>
      </c>
      <c r="Y40">
        <f>'Processed HWF'!O40</f>
        <v>0.56485171017503699</v>
      </c>
      <c r="Z40">
        <f>'Processed HWF'!P40</f>
        <v>2.5772718951128631E-3</v>
      </c>
      <c r="AA40">
        <f>'Processed HWF'!N40</f>
        <v>78.27</v>
      </c>
      <c r="AB40">
        <f t="shared" si="7"/>
        <v>0</v>
      </c>
    </row>
    <row r="41" spans="1:28" x14ac:dyDescent="0.35">
      <c r="A41" t="str">
        <f>VLOOKUP(B41,'Reference table'!A$2:D$195,4,FALSE)</f>
        <v>AFR</v>
      </c>
      <c r="B41" t="str">
        <f>'Processed HWF'!A41</f>
        <v>Comoros</v>
      </c>
      <c r="C41" s="4">
        <f>'Processed HWF'!M41</f>
        <v>17.469200372695923</v>
      </c>
      <c r="D41">
        <f>'Processed HWF'!N41</f>
        <v>43.63</v>
      </c>
      <c r="E41">
        <f>IF(AND(C41&lt;H$4,Results!D41&lt;50),1,0)</f>
        <v>1</v>
      </c>
      <c r="F41">
        <f t="shared" si="0"/>
        <v>1</v>
      </c>
      <c r="K41" t="s">
        <v>522</v>
      </c>
      <c r="V41" t="str">
        <f>'Processed HWF'!A41</f>
        <v>Comoros</v>
      </c>
      <c r="W41">
        <f>'Processed HWF'!I41</f>
        <v>3628.657470703125</v>
      </c>
      <c r="X41" s="7">
        <f>'Processed HWF'!K41</f>
        <v>2.2537964237032018</v>
      </c>
      <c r="Y41">
        <f>'Processed HWF'!O41</f>
        <v>0.2830482025664644</v>
      </c>
      <c r="Z41">
        <f>'Processed HWF'!P41</f>
        <v>9.5956497775495225E-2</v>
      </c>
      <c r="AA41">
        <f>'Processed HWF'!N41</f>
        <v>43.63</v>
      </c>
      <c r="AB41">
        <f t="shared" si="7"/>
        <v>0</v>
      </c>
    </row>
    <row r="42" spans="1:28" x14ac:dyDescent="0.35">
      <c r="A42" t="str">
        <f>VLOOKUP(B42,'Reference table'!A$2:D$195,4,FALSE)</f>
        <v>AFR</v>
      </c>
      <c r="B42" t="str">
        <f>'Processed HWF'!A42</f>
        <v>Cape Verde</v>
      </c>
      <c r="C42" s="4">
        <f>'Processed HWF'!M42</f>
        <v>25.594760417938232</v>
      </c>
      <c r="D42">
        <f>'Processed HWF'!N42</f>
        <v>69.41</v>
      </c>
      <c r="E42">
        <f>IF(AND(C42&lt;H$4,Results!D42&lt;50),1,0)</f>
        <v>0</v>
      </c>
      <c r="F42">
        <f t="shared" si="0"/>
        <v>0</v>
      </c>
      <c r="K42" t="s">
        <v>540</v>
      </c>
      <c r="V42" t="str">
        <f>'Processed HWF'!A42</f>
        <v>Cape Verde</v>
      </c>
      <c r="W42">
        <f>'Processed HWF'!I42</f>
        <v>1804.40185546875</v>
      </c>
      <c r="X42" s="7">
        <f>'Processed HWF'!K42</f>
        <v>1.0489354088558049</v>
      </c>
      <c r="Y42">
        <f>'Processed HWF'!O42</f>
        <v>0.48210839462073751</v>
      </c>
      <c r="Z42">
        <f>'Processed HWF'!P42</f>
        <v>5.560963945582224E-3</v>
      </c>
      <c r="AA42">
        <f>'Processed HWF'!N42</f>
        <v>69.41</v>
      </c>
      <c r="AB42">
        <f t="shared" si="7"/>
        <v>0</v>
      </c>
    </row>
    <row r="43" spans="1:28" x14ac:dyDescent="0.35">
      <c r="A43" t="str">
        <f>VLOOKUP(B43,'Reference table'!A$2:D$195,4,FALSE)</f>
        <v>AMR</v>
      </c>
      <c r="B43" t="str">
        <f>'Processed HWF'!A43</f>
        <v>Costa Rica</v>
      </c>
      <c r="C43" s="4">
        <f>'Processed HWF'!M43</f>
        <v>71.021183013916016</v>
      </c>
      <c r="D43">
        <f>'Processed HWF'!N43</f>
        <v>78.209999999999994</v>
      </c>
      <c r="E43">
        <f>IF(AND(C43&lt;H$4,Results!D43&lt;50),1,0)</f>
        <v>0</v>
      </c>
      <c r="F43">
        <f t="shared" si="0"/>
        <v>0</v>
      </c>
      <c r="K43" t="s">
        <v>472</v>
      </c>
      <c r="V43" t="str">
        <f>'Processed HWF'!A43</f>
        <v>Costa Rica</v>
      </c>
      <c r="W43">
        <f>'Processed HWF'!I43</f>
        <v>0</v>
      </c>
      <c r="X43" s="7">
        <f>'Processed HWF'!K43</f>
        <v>0</v>
      </c>
      <c r="Y43">
        <f>'Processed HWF'!O43</f>
        <v>0.69617154529989289</v>
      </c>
      <c r="Z43">
        <f>'Processed HWF'!P43</f>
        <v>0</v>
      </c>
      <c r="AA43">
        <f>'Processed HWF'!N43</f>
        <v>78.209999999999994</v>
      </c>
      <c r="AB43">
        <f t="shared" si="7"/>
        <v>0</v>
      </c>
    </row>
    <row r="44" spans="1:28" x14ac:dyDescent="0.35">
      <c r="A44" t="str">
        <f>VLOOKUP(B44,'Reference table'!A$2:D$195,4,FALSE)</f>
        <v>AMR</v>
      </c>
      <c r="B44" t="str">
        <f>'Processed HWF'!A44</f>
        <v>Cuba</v>
      </c>
      <c r="C44" s="4">
        <f>'Processed HWF'!M44</f>
        <v>164.65096807479858</v>
      </c>
      <c r="D44">
        <f>'Processed HWF'!N44</f>
        <v>79.67</v>
      </c>
      <c r="E44">
        <f>IF(AND(C44&lt;H$4,Results!D44&lt;50),1,0)</f>
        <v>0</v>
      </c>
      <c r="F44">
        <f t="shared" si="0"/>
        <v>0</v>
      </c>
      <c r="V44" t="str">
        <f>'Processed HWF'!A44</f>
        <v>Cuba</v>
      </c>
      <c r="W44">
        <f>'Processed HWF'!I44</f>
        <v>0</v>
      </c>
      <c r="X44" s="7">
        <f>'Processed HWF'!K44</f>
        <v>0</v>
      </c>
      <c r="Y44">
        <f>'Processed HWF'!O44</f>
        <v>0.85605594821966247</v>
      </c>
      <c r="Z44">
        <f>'Processed HWF'!P44</f>
        <v>0</v>
      </c>
      <c r="AA44">
        <f>'Processed HWF'!N44</f>
        <v>79.67</v>
      </c>
      <c r="AB44">
        <f t="shared" si="7"/>
        <v>0</v>
      </c>
    </row>
    <row r="45" spans="1:28" x14ac:dyDescent="0.35">
      <c r="A45" t="str">
        <f>VLOOKUP(B45,'Reference table'!A$2:D$195,4,FALSE)</f>
        <v>EUR</v>
      </c>
      <c r="B45" t="str">
        <f>'Processed HWF'!A45</f>
        <v>Cyprus</v>
      </c>
      <c r="C45" s="4">
        <f>'Processed HWF'!M45</f>
        <v>86.745233058929443</v>
      </c>
      <c r="D45">
        <f>'Processed HWF'!N45</f>
        <v>78.739999999999995</v>
      </c>
      <c r="E45">
        <f>IF(AND(C45&lt;H$4,Results!D45&lt;50),1,0)</f>
        <v>0</v>
      </c>
      <c r="F45">
        <f t="shared" si="0"/>
        <v>0</v>
      </c>
      <c r="V45" t="str">
        <f>'Processed HWF'!A45</f>
        <v>Cyprus</v>
      </c>
      <c r="W45">
        <f>'Processed HWF'!I45</f>
        <v>147.24223327636719</v>
      </c>
      <c r="X45" s="7">
        <f>'Processed HWF'!K45</f>
        <v>1.2045568707770347E-2</v>
      </c>
      <c r="Y45">
        <f>'Processed HWF'!O45</f>
        <v>0.69261546950749153</v>
      </c>
      <c r="Z45">
        <f>'Processed HWF'!P45</f>
        <v>0</v>
      </c>
      <c r="AA45">
        <f>'Processed HWF'!N45</f>
        <v>78.739999999999995</v>
      </c>
      <c r="AB45">
        <f t="shared" si="7"/>
        <v>0</v>
      </c>
    </row>
    <row r="46" spans="1:28" x14ac:dyDescent="0.35">
      <c r="A46" t="str">
        <f>VLOOKUP(B46,'Reference table'!A$2:D$195,4,FALSE)</f>
        <v>EUR</v>
      </c>
      <c r="B46" t="str">
        <f>'Processed HWF'!A46</f>
        <v>Czech Republic</v>
      </c>
      <c r="C46" s="4">
        <f>'Processed HWF'!M46</f>
        <v>130.81962871551514</v>
      </c>
      <c r="D46">
        <f>'Processed HWF'!N46</f>
        <v>78.37</v>
      </c>
      <c r="E46">
        <f>IF(AND(C46&lt;H$4,Results!D46&lt;50),1,0)</f>
        <v>0</v>
      </c>
      <c r="F46">
        <f t="shared" si="0"/>
        <v>0</v>
      </c>
      <c r="V46" t="str">
        <f>'Processed HWF'!A46</f>
        <v>Czech Republic</v>
      </c>
      <c r="W46">
        <f>'Processed HWF'!I46</f>
        <v>0</v>
      </c>
      <c r="X46" s="7">
        <f>'Processed HWF'!K46</f>
        <v>0</v>
      </c>
      <c r="Y46">
        <f>'Processed HWF'!O46</f>
        <v>0.58860556432947675</v>
      </c>
      <c r="Z46">
        <f>'Processed HWF'!P46</f>
        <v>0</v>
      </c>
      <c r="AA46">
        <f>'Processed HWF'!N46</f>
        <v>78.37</v>
      </c>
      <c r="AB46">
        <f t="shared" si="7"/>
        <v>0</v>
      </c>
    </row>
    <row r="47" spans="1:28" x14ac:dyDescent="0.35">
      <c r="A47" t="str">
        <f>VLOOKUP(B47,'Reference table'!A$2:D$195,4,FALSE)</f>
        <v>EUR</v>
      </c>
      <c r="B47" t="str">
        <f>'Processed HWF'!A47</f>
        <v>Germany</v>
      </c>
      <c r="C47" s="4">
        <f>'Processed HWF'!M47</f>
        <v>186.25530338287354</v>
      </c>
      <c r="D47">
        <f>'Processed HWF'!N47</f>
        <v>85.84</v>
      </c>
      <c r="E47">
        <f>IF(AND(C47&lt;H$4,Results!D47&lt;50),1,0)</f>
        <v>0</v>
      </c>
      <c r="F47">
        <f t="shared" si="0"/>
        <v>0</v>
      </c>
      <c r="V47" t="str">
        <f>'Processed HWF'!A47</f>
        <v>Germany</v>
      </c>
      <c r="W47">
        <f>'Processed HWF'!I47</f>
        <v>8227.5166015625</v>
      </c>
      <c r="X47" s="7">
        <f>'Processed HWF'!K47</f>
        <v>4.8758388201306773E-3</v>
      </c>
      <c r="Y47">
        <f>'Processed HWF'!O47</f>
        <v>0.6761269902810032</v>
      </c>
      <c r="Z47">
        <f>'Processed HWF'!P47</f>
        <v>0</v>
      </c>
      <c r="AA47">
        <f>'Processed HWF'!N47</f>
        <v>85.84</v>
      </c>
      <c r="AB47">
        <f t="shared" si="7"/>
        <v>0</v>
      </c>
    </row>
    <row r="48" spans="1:28" x14ac:dyDescent="0.35">
      <c r="A48" t="str">
        <f>VLOOKUP(B48,'Reference table'!A$2:D$195,4,FALSE)</f>
        <v>EMR</v>
      </c>
      <c r="B48" t="str">
        <f>'Processed HWF'!A48</f>
        <v>Djibouti</v>
      </c>
      <c r="C48" s="4">
        <f>'Processed HWF'!M48</f>
        <v>9.5247949361801147</v>
      </c>
      <c r="D48">
        <f>'Processed HWF'!N48</f>
        <v>48.14</v>
      </c>
      <c r="E48">
        <f>IF(AND(C48&lt;H$4,Results!D48&lt;50),1,0)</f>
        <v>1</v>
      </c>
      <c r="F48">
        <f t="shared" si="0"/>
        <v>0</v>
      </c>
      <c r="V48" t="str">
        <f>'Processed HWF'!A48</f>
        <v>Djibouti</v>
      </c>
      <c r="W48">
        <f>'Processed HWF'!I48</f>
        <v>5578.7021484375</v>
      </c>
      <c r="X48" s="7">
        <f>'Processed HWF'!K48</f>
        <v>4.6769703783968293</v>
      </c>
      <c r="Y48">
        <f>'Processed HWF'!O48</f>
        <v>8.1762145748987852E-2</v>
      </c>
      <c r="Z48">
        <f>'Processed HWF'!P48</f>
        <v>0.22109116769950643</v>
      </c>
      <c r="AA48">
        <f>'Processed HWF'!N48</f>
        <v>48.14</v>
      </c>
      <c r="AB48">
        <f t="shared" si="7"/>
        <v>0</v>
      </c>
    </row>
    <row r="49" spans="1:28" x14ac:dyDescent="0.35">
      <c r="A49" t="str">
        <f>VLOOKUP(B49,'Reference table'!A$2:D$195,4,FALSE)</f>
        <v>AMR</v>
      </c>
      <c r="B49" t="str">
        <f>'Processed HWF'!A49</f>
        <v>Dominica</v>
      </c>
      <c r="C49" s="4">
        <f>'Processed HWF'!M49</f>
        <v>76.341424465179443</v>
      </c>
      <c r="D49">
        <f>'Processed HWF'!N49</f>
        <v>66.680000000000007</v>
      </c>
      <c r="E49">
        <f>IF(AND(C49&lt;H$4,Results!D49&lt;50),1,0)</f>
        <v>0</v>
      </c>
      <c r="F49">
        <f t="shared" si="0"/>
        <v>0</v>
      </c>
      <c r="V49" t="str">
        <f>'Processed HWF'!A49</f>
        <v>Dominica</v>
      </c>
      <c r="W49">
        <f>'Processed HWF'!I49</f>
        <v>21.746841430664063</v>
      </c>
      <c r="X49" s="7">
        <f>'Processed HWF'!K49</f>
        <v>3.7739882608902764E-2</v>
      </c>
      <c r="Y49">
        <f>'Processed HWF'!O49</f>
        <v>0.39624397494131208</v>
      </c>
      <c r="Z49">
        <f>'Processed HWF'!P49</f>
        <v>3.5309389593662456E-2</v>
      </c>
      <c r="AA49">
        <f>'Processed HWF'!N49</f>
        <v>66.680000000000007</v>
      </c>
      <c r="AB49">
        <f t="shared" si="7"/>
        <v>0</v>
      </c>
    </row>
    <row r="50" spans="1:28" x14ac:dyDescent="0.35">
      <c r="A50" t="str">
        <f>VLOOKUP(B50,'Reference table'!A$2:D$195,4,FALSE)</f>
        <v>EUR</v>
      </c>
      <c r="B50" t="str">
        <f>'Processed HWF'!A50</f>
        <v>Denmark</v>
      </c>
      <c r="C50" s="4">
        <f>'Processed HWF'!M50</f>
        <v>147.60095191001892</v>
      </c>
      <c r="D50">
        <f>'Processed HWF'!N50</f>
        <v>84.89</v>
      </c>
      <c r="E50">
        <f>IF(AND(C50&lt;H$4,Results!D50&lt;50),1,0)</f>
        <v>0</v>
      </c>
      <c r="F50">
        <f t="shared" si="0"/>
        <v>0</v>
      </c>
      <c r="K50" t="s">
        <v>113</v>
      </c>
      <c r="O50" t="s">
        <v>758</v>
      </c>
      <c r="V50" t="str">
        <f>'Processed HWF'!A50</f>
        <v>Denmark</v>
      </c>
      <c r="W50">
        <f>'Processed HWF'!I50</f>
        <v>123.87113952636719</v>
      </c>
      <c r="X50" s="7">
        <f>'Processed HWF'!K50</f>
        <v>1.3342970876694649E-3</v>
      </c>
      <c r="Y50">
        <f>'Processed HWF'!O50</f>
        <v>0.86542986551230061</v>
      </c>
      <c r="Z50">
        <f>'Processed HWF'!P50</f>
        <v>0</v>
      </c>
      <c r="AA50">
        <f>'Processed HWF'!N50</f>
        <v>84.89</v>
      </c>
      <c r="AB50">
        <f t="shared" si="7"/>
        <v>0</v>
      </c>
    </row>
    <row r="51" spans="1:28" x14ac:dyDescent="0.35">
      <c r="A51" t="str">
        <f>VLOOKUP(B51,'Reference table'!A$2:D$195,4,FALSE)</f>
        <v>AMR</v>
      </c>
      <c r="B51" t="str">
        <f>'Processed HWF'!A51</f>
        <v>Dominican Republic</v>
      </c>
      <c r="C51" s="4">
        <f>'Processed HWF'!M51</f>
        <v>33.517447948455811</v>
      </c>
      <c r="D51">
        <f>'Processed HWF'!N51</f>
        <v>65.72</v>
      </c>
      <c r="E51">
        <f>IF(AND(C51&lt;H$4,Results!D51&lt;50),1,0)</f>
        <v>0</v>
      </c>
      <c r="F51">
        <f t="shared" si="0"/>
        <v>0</v>
      </c>
      <c r="K51" t="s">
        <v>215</v>
      </c>
      <c r="V51" t="str">
        <f>'Processed HWF'!A51</f>
        <v>Dominican Republic</v>
      </c>
      <c r="W51">
        <f>'Processed HWF'!I51</f>
        <v>23369.626953125</v>
      </c>
      <c r="X51" s="7">
        <f>'Processed HWF'!K51</f>
        <v>0.58198286545894784</v>
      </c>
      <c r="Y51">
        <f>'Processed HWF'!O51</f>
        <v>0.52706014338245799</v>
      </c>
      <c r="Z51">
        <f>'Processed HWF'!P51</f>
        <v>5.7669407425843047E-3</v>
      </c>
      <c r="AA51">
        <f>'Processed HWF'!N51</f>
        <v>65.72</v>
      </c>
      <c r="AB51">
        <f t="shared" si="7"/>
        <v>0</v>
      </c>
    </row>
    <row r="52" spans="1:28" x14ac:dyDescent="0.35">
      <c r="A52" t="str">
        <f>VLOOKUP(B52,'Reference table'!A$2:D$195,4,FALSE)</f>
        <v>AFR</v>
      </c>
      <c r="B52" t="str">
        <f>'Processed HWF'!A52</f>
        <v>Algeria</v>
      </c>
      <c r="C52" s="4">
        <f>'Processed HWF'!M52</f>
        <v>32.69265341758728</v>
      </c>
      <c r="D52">
        <f>'Processed HWF'!N52</f>
        <v>74.989999999999995</v>
      </c>
      <c r="E52">
        <f>IF(AND(C52&lt;H$4,Results!D52&lt;50),1,0)</f>
        <v>0</v>
      </c>
      <c r="F52">
        <f t="shared" si="0"/>
        <v>0</v>
      </c>
      <c r="K52" t="s">
        <v>239</v>
      </c>
      <c r="V52" t="str">
        <f>'Processed HWF'!A52</f>
        <v>Algeria</v>
      </c>
      <c r="W52">
        <f>'Processed HWF'!I52</f>
        <v>122077.640625</v>
      </c>
      <c r="X52" s="7">
        <f>'Processed HWF'!K52</f>
        <v>0.68220963042596749</v>
      </c>
      <c r="Y52">
        <f>'Processed HWF'!O52</f>
        <v>0.13142460188633137</v>
      </c>
      <c r="Z52">
        <f>'Processed HWF'!P52</f>
        <v>3.5642571148685187E-2</v>
      </c>
      <c r="AA52">
        <f>'Processed HWF'!N52</f>
        <v>74.989999999999995</v>
      </c>
      <c r="AB52">
        <f t="shared" si="7"/>
        <v>0</v>
      </c>
    </row>
    <row r="53" spans="1:28" x14ac:dyDescent="0.35">
      <c r="A53" t="str">
        <f>VLOOKUP(B53,'Reference table'!A$2:D$195,4,FALSE)</f>
        <v>AMR</v>
      </c>
      <c r="B53" t="str">
        <f>'Processed HWF'!A53</f>
        <v>Ecuador</v>
      </c>
      <c r="C53" s="4">
        <f>'Processed HWF'!M53</f>
        <v>47.216030120849609</v>
      </c>
      <c r="D53">
        <f>'Processed HWF'!N53</f>
        <v>80.34</v>
      </c>
      <c r="E53">
        <f>IF(AND(C53&lt;H$4,Results!D53&lt;50),1,0)</f>
        <v>0</v>
      </c>
      <c r="F53">
        <f t="shared" si="0"/>
        <v>0</v>
      </c>
      <c r="K53" t="s">
        <v>230</v>
      </c>
      <c r="V53" t="str">
        <f>'Processed HWF'!A53</f>
        <v>Ecuador</v>
      </c>
      <c r="W53">
        <f>'Processed HWF'!I53</f>
        <v>16565.572265625</v>
      </c>
      <c r="X53" s="7">
        <f>'Processed HWF'!K53</f>
        <v>0.18545691643067524</v>
      </c>
      <c r="Y53">
        <f>'Processed HWF'!O53</f>
        <v>0.72450994028584847</v>
      </c>
      <c r="Z53">
        <f>'Processed HWF'!P53</f>
        <v>0</v>
      </c>
      <c r="AA53">
        <f>'Processed HWF'!N53</f>
        <v>80.34</v>
      </c>
      <c r="AB53">
        <f t="shared" si="7"/>
        <v>0</v>
      </c>
    </row>
    <row r="54" spans="1:28" x14ac:dyDescent="0.35">
      <c r="A54" t="str">
        <f>VLOOKUP(B54,'Reference table'!A$2:D$195,4,FALSE)</f>
        <v>EMR</v>
      </c>
      <c r="B54" t="str">
        <f>'Processed HWF'!A54</f>
        <v>Egypt</v>
      </c>
      <c r="C54" s="4">
        <f>'Processed HWF'!M54</f>
        <v>26.758459091186523</v>
      </c>
      <c r="D54">
        <f>'Processed HWF'!N54</f>
        <v>69.8</v>
      </c>
      <c r="E54">
        <f>IF(AND(C54&lt;H$4,Results!D54&lt;50),1,0)</f>
        <v>0</v>
      </c>
      <c r="F54">
        <f t="shared" si="0"/>
        <v>0</v>
      </c>
      <c r="K54" t="s">
        <v>26</v>
      </c>
      <c r="V54" t="str">
        <f>'Processed HWF'!A54</f>
        <v>Egypt</v>
      </c>
      <c r="W54">
        <f>'Processed HWF'!I54</f>
        <v>247632.21875</v>
      </c>
      <c r="X54" s="7">
        <f>'Processed HWF'!K54</f>
        <v>0.72581011165545417</v>
      </c>
      <c r="Y54">
        <f>'Processed HWF'!O54</f>
        <v>0.23020329507171411</v>
      </c>
      <c r="Z54">
        <f>'Processed HWF'!P54</f>
        <v>3.5751066361615298E-2</v>
      </c>
      <c r="AA54">
        <f>'Processed HWF'!N54</f>
        <v>69.8</v>
      </c>
      <c r="AB54">
        <f t="shared" si="7"/>
        <v>0</v>
      </c>
    </row>
    <row r="55" spans="1:28" x14ac:dyDescent="0.35">
      <c r="A55" t="str">
        <f>VLOOKUP(B55,'Reference table'!A$2:D$195,4,FALSE)</f>
        <v>AFR</v>
      </c>
      <c r="B55" t="str">
        <f>'Processed HWF'!A55</f>
        <v>Eritrea</v>
      </c>
      <c r="C55" s="4">
        <f>'Processed HWF'!M55</f>
        <v>15.217567384243011</v>
      </c>
      <c r="D55">
        <f>'Processed HWF'!N55</f>
        <v>49.8</v>
      </c>
      <c r="E55">
        <f>IF(AND(C55&lt;H$4,Results!D55&lt;50),1,0)</f>
        <v>1</v>
      </c>
      <c r="F55">
        <f t="shared" si="0"/>
        <v>1</v>
      </c>
      <c r="K55" t="s">
        <v>30</v>
      </c>
      <c r="V55" t="str">
        <f>'Processed HWF'!A55</f>
        <v>Eritrea</v>
      </c>
      <c r="W55">
        <f>'Processed HWF'!I55</f>
        <v>15542.935546875</v>
      </c>
      <c r="X55" s="7">
        <f>'Processed HWF'!K55</f>
        <v>2.5686291246973818</v>
      </c>
      <c r="Y55">
        <f>'Processed HWF'!O55</f>
        <v>0</v>
      </c>
      <c r="Z55">
        <f>'Processed HWF'!P55</f>
        <v>0.16781226127386709</v>
      </c>
      <c r="AA55">
        <f>'Processed HWF'!N55</f>
        <v>49.8</v>
      </c>
      <c r="AB55">
        <f t="shared" si="7"/>
        <v>0</v>
      </c>
    </row>
    <row r="56" spans="1:28" x14ac:dyDescent="0.35">
      <c r="A56" t="str">
        <f>VLOOKUP(B56,'Reference table'!A$2:D$195,4,FALSE)</f>
        <v>EUR</v>
      </c>
      <c r="B56" t="str">
        <f>'Processed HWF'!A56</f>
        <v>Spain</v>
      </c>
      <c r="C56" s="4">
        <f>'Processed HWF'!M56</f>
        <v>105.93875956535339</v>
      </c>
      <c r="D56">
        <f>'Processed HWF'!N56</f>
        <v>85.56</v>
      </c>
      <c r="E56">
        <f>IF(AND(C56&lt;H$4,Results!D56&lt;50),1,0)</f>
        <v>0</v>
      </c>
      <c r="F56">
        <f t="shared" si="0"/>
        <v>0</v>
      </c>
      <c r="K56" t="s">
        <v>590</v>
      </c>
      <c r="V56" t="str">
        <f>'Processed HWF'!A56</f>
        <v>Spain</v>
      </c>
      <c r="W56">
        <f>'Processed HWF'!I56</f>
        <v>9917.00390625</v>
      </c>
      <c r="X56" s="7">
        <f>'Processed HWF'!K56</f>
        <v>1.6741231706397516E-2</v>
      </c>
      <c r="Y56">
        <f>'Processed HWF'!O56</f>
        <v>0.71192619955449743</v>
      </c>
      <c r="Z56">
        <f>'Processed HWF'!P56</f>
        <v>0</v>
      </c>
      <c r="AA56">
        <f>'Processed HWF'!N56</f>
        <v>85.56</v>
      </c>
      <c r="AB56">
        <f t="shared" si="7"/>
        <v>0</v>
      </c>
    </row>
    <row r="57" spans="1:28" x14ac:dyDescent="0.35">
      <c r="A57" t="str">
        <f>VLOOKUP(B57,'Reference table'!A$2:D$195,4,FALSE)</f>
        <v>EUR</v>
      </c>
      <c r="B57" t="str">
        <f>'Processed HWF'!A57</f>
        <v>Estonia</v>
      </c>
      <c r="C57" s="4">
        <f>'Processed HWF'!M57</f>
        <v>100.79591298103333</v>
      </c>
      <c r="D57">
        <f>'Processed HWF'!N57</f>
        <v>77.569999999999993</v>
      </c>
      <c r="E57">
        <f>IF(AND(C57&lt;H$4,Results!D57&lt;50),1,0)</f>
        <v>0</v>
      </c>
      <c r="F57">
        <f t="shared" si="0"/>
        <v>0</v>
      </c>
      <c r="K57" t="s">
        <v>245</v>
      </c>
      <c r="V57" t="str">
        <f>'Processed HWF'!A57</f>
        <v>Estonia</v>
      </c>
      <c r="W57">
        <f>'Processed HWF'!I57</f>
        <v>30.911581039428711</v>
      </c>
      <c r="X57" s="7">
        <f>'Processed HWF'!K57</f>
        <v>1.9781592352815123E-3</v>
      </c>
      <c r="Y57">
        <f>'Processed HWF'!O57</f>
        <v>0.54592859464730736</v>
      </c>
      <c r="Z57">
        <f>'Processed HWF'!P57</f>
        <v>0</v>
      </c>
      <c r="AA57">
        <f>'Processed HWF'!N57</f>
        <v>77.569999999999993</v>
      </c>
      <c r="AB57">
        <f t="shared" si="7"/>
        <v>0</v>
      </c>
    </row>
    <row r="58" spans="1:28" x14ac:dyDescent="0.35">
      <c r="A58" t="str">
        <f>VLOOKUP(B58,'Reference table'!A$2:D$195,4,FALSE)</f>
        <v>AFR</v>
      </c>
      <c r="B58" t="str">
        <f>'Processed HWF'!A58</f>
        <v>Ethiopia</v>
      </c>
      <c r="C58" s="4">
        <f>'Processed HWF'!M58</f>
        <v>8.9002605676651001</v>
      </c>
      <c r="D58">
        <f>'Processed HWF'!N58</f>
        <v>38.130000000000003</v>
      </c>
      <c r="E58">
        <f>IF(AND(C58&lt;H$4,Results!D58&lt;50),1,0)</f>
        <v>1</v>
      </c>
      <c r="F58">
        <f t="shared" si="0"/>
        <v>1</v>
      </c>
      <c r="K58" t="s">
        <v>49</v>
      </c>
      <c r="V58" t="str">
        <f>'Processed HWF'!A58</f>
        <v>Ethiopia</v>
      </c>
      <c r="W58">
        <f>'Processed HWF'!I58</f>
        <v>694999.75</v>
      </c>
      <c r="X58" s="7">
        <f>'Processed HWF'!K58</f>
        <v>6.4387117226327115</v>
      </c>
      <c r="Y58">
        <f>'Processed HWF'!O58</f>
        <v>3.5029517345961748E-2</v>
      </c>
      <c r="Z58">
        <f>'Processed HWF'!P58</f>
        <v>0.34166192377691718</v>
      </c>
      <c r="AA58">
        <f>'Processed HWF'!N58</f>
        <v>38.130000000000003</v>
      </c>
      <c r="AB58">
        <f t="shared" si="7"/>
        <v>0</v>
      </c>
    </row>
    <row r="59" spans="1:28" x14ac:dyDescent="0.35">
      <c r="A59" t="str">
        <f>VLOOKUP(B59,'Reference table'!A$2:D$195,4,FALSE)</f>
        <v>EUR</v>
      </c>
      <c r="B59" t="str">
        <f>'Processed HWF'!A59</f>
        <v>Finland</v>
      </c>
      <c r="C59" s="4">
        <f>'Processed HWF'!M59</f>
        <v>269.4843168258667</v>
      </c>
      <c r="D59">
        <f>'Processed HWF'!N59</f>
        <v>83.24</v>
      </c>
      <c r="E59">
        <f>IF(AND(C59&lt;H$4,Results!D59&lt;50),1,0)</f>
        <v>0</v>
      </c>
      <c r="F59">
        <f t="shared" si="0"/>
        <v>0</v>
      </c>
      <c r="K59" t="s">
        <v>442</v>
      </c>
      <c r="V59" t="str">
        <f>'Processed HWF'!A59</f>
        <v>Finland</v>
      </c>
      <c r="W59">
        <f>'Processed HWF'!I59</f>
        <v>0</v>
      </c>
      <c r="X59" s="7">
        <f>'Processed HWF'!K59</f>
        <v>0</v>
      </c>
      <c r="Y59">
        <f>'Processed HWF'!O59</f>
        <v>0.75246810485310101</v>
      </c>
      <c r="Z59">
        <f>'Processed HWF'!P59</f>
        <v>0</v>
      </c>
      <c r="AA59">
        <f>'Processed HWF'!N59</f>
        <v>83.24</v>
      </c>
      <c r="AB59">
        <f t="shared" si="7"/>
        <v>0</v>
      </c>
    </row>
    <row r="60" spans="1:28" x14ac:dyDescent="0.35">
      <c r="A60" t="str">
        <f>VLOOKUP(B60,'Reference table'!A$2:D$195,4,FALSE)</f>
        <v>WPR</v>
      </c>
      <c r="B60" t="str">
        <f>'Processed HWF'!A60</f>
        <v>Fiji</v>
      </c>
      <c r="C60" s="4">
        <f>'Processed HWF'!M60</f>
        <v>48.197238445281982</v>
      </c>
      <c r="D60">
        <f>'Processed HWF'!N60</f>
        <v>60.96</v>
      </c>
      <c r="E60">
        <f>IF(AND(C60&lt;H$4,Results!D60&lt;50),1,0)</f>
        <v>0</v>
      </c>
      <c r="F60">
        <f t="shared" si="0"/>
        <v>0</v>
      </c>
      <c r="K60" t="s">
        <v>531</v>
      </c>
      <c r="V60" t="str">
        <f>'Processed HWF'!A60</f>
        <v>Fiji</v>
      </c>
      <c r="W60">
        <f>'Processed HWF'!I60</f>
        <v>727.46728515625</v>
      </c>
      <c r="X60" s="7">
        <f>'Processed HWF'!K60</f>
        <v>0.16071512504013791</v>
      </c>
      <c r="Y60">
        <f>'Processed HWF'!O60</f>
        <v>0.68222144136003882</v>
      </c>
      <c r="Z60">
        <f>'Processed HWF'!P60</f>
        <v>0</v>
      </c>
      <c r="AA60">
        <f>'Processed HWF'!N60</f>
        <v>60.96</v>
      </c>
      <c r="AB60">
        <f t="shared" si="7"/>
        <v>0</v>
      </c>
    </row>
    <row r="61" spans="1:28" x14ac:dyDescent="0.35">
      <c r="A61" t="str">
        <f>VLOOKUP(B61,'Reference table'!A$2:D$195,4,FALSE)</f>
        <v>EUR</v>
      </c>
      <c r="B61" t="str">
        <f>'Processed HWF'!A61</f>
        <v>France</v>
      </c>
      <c r="C61" s="4">
        <f>'Processed HWF'!M61</f>
        <v>150.63701939582825</v>
      </c>
      <c r="D61">
        <f>'Processed HWF'!N61</f>
        <v>83.91</v>
      </c>
      <c r="E61">
        <f>IF(AND(C61&lt;H$4,Results!D61&lt;50),1,0)</f>
        <v>0</v>
      </c>
      <c r="F61">
        <f t="shared" si="0"/>
        <v>0</v>
      </c>
      <c r="K61" t="s">
        <v>270</v>
      </c>
      <c r="V61" t="str">
        <f>'Processed HWF'!A61</f>
        <v>France</v>
      </c>
      <c r="W61">
        <f>'Processed HWF'!I61</f>
        <v>2040.277587890625</v>
      </c>
      <c r="X61" s="7">
        <f>'Processed HWF'!K61</f>
        <v>1.8629350021900806E-3</v>
      </c>
      <c r="Y61">
        <f>'Processed HWF'!O61</f>
        <v>0.75706703997497882</v>
      </c>
      <c r="Z61">
        <f>'Processed HWF'!P61</f>
        <v>0</v>
      </c>
      <c r="AA61">
        <f>'Processed HWF'!N61</f>
        <v>83.91</v>
      </c>
      <c r="AB61">
        <f t="shared" si="7"/>
        <v>0</v>
      </c>
    </row>
    <row r="62" spans="1:28" x14ac:dyDescent="0.35">
      <c r="A62" t="str">
        <f>VLOOKUP(B62,'Reference table'!A$2:D$195,4,FALSE)</f>
        <v>WPR</v>
      </c>
      <c r="B62" t="str">
        <f>'Processed HWF'!A62</f>
        <v>Micronesia, Federated States of</v>
      </c>
      <c r="C62" s="4">
        <f>'Processed HWF'!M62</f>
        <v>30.916506290435791</v>
      </c>
      <c r="D62">
        <f>'Processed HWF'!N62</f>
        <v>47.9</v>
      </c>
      <c r="E62">
        <f>IF(AND(C62&lt;H$4,Results!D62&lt;50),1,0)</f>
        <v>1</v>
      </c>
      <c r="F62">
        <f t="shared" si="0"/>
        <v>0</v>
      </c>
      <c r="K62" t="s">
        <v>499</v>
      </c>
      <c r="V62" t="str">
        <f>'Processed HWF'!A62</f>
        <v>Micronesia, Federated States of</v>
      </c>
      <c r="W62">
        <f>'Processed HWF'!I62</f>
        <v>248.38441467285156</v>
      </c>
      <c r="X62" s="7">
        <f>'Processed HWF'!K62</f>
        <v>0.61179983456155895</v>
      </c>
      <c r="Y62">
        <f>'Processed HWF'!O62</f>
        <v>0.37587265155664518</v>
      </c>
      <c r="Z62">
        <f>'Processed HWF'!P62</f>
        <v>2.6394692686773146E-2</v>
      </c>
      <c r="AA62">
        <f>'Processed HWF'!N62</f>
        <v>47.9</v>
      </c>
      <c r="AB62">
        <f t="shared" si="7"/>
        <v>0</v>
      </c>
    </row>
    <row r="63" spans="1:28" x14ac:dyDescent="0.35">
      <c r="A63" t="str">
        <f>VLOOKUP(B63,'Reference table'!A$2:D$195,4,FALSE)</f>
        <v>AFR</v>
      </c>
      <c r="B63" t="str">
        <f>'Processed HWF'!A63</f>
        <v>Gabon</v>
      </c>
      <c r="C63" s="4">
        <f>'Processed HWF'!M63</f>
        <v>30.597177982330322</v>
      </c>
      <c r="D63">
        <f>'Processed HWF'!N63</f>
        <v>48.68</v>
      </c>
      <c r="E63">
        <f>IF(AND(C63&lt;H$4,Results!D63&lt;50),1,0)</f>
        <v>1</v>
      </c>
      <c r="F63">
        <f t="shared" si="0"/>
        <v>1</v>
      </c>
      <c r="K63" t="s">
        <v>64</v>
      </c>
      <c r="V63" t="str">
        <f>'Processed HWF'!A63</f>
        <v>Gabon</v>
      </c>
      <c r="W63">
        <f>'Processed HWF'!I63</f>
        <v>6370.22021484375</v>
      </c>
      <c r="X63" s="7">
        <f>'Processed HWF'!K63</f>
        <v>0.91154525614299797</v>
      </c>
      <c r="Y63">
        <f>'Processed HWF'!O63</f>
        <v>9.6110316866256248E-2</v>
      </c>
      <c r="Z63">
        <f>'Processed HWF'!P63</f>
        <v>5.0126477865096809E-2</v>
      </c>
      <c r="AA63">
        <f>'Processed HWF'!N63</f>
        <v>48.68</v>
      </c>
      <c r="AB63">
        <f t="shared" si="7"/>
        <v>0</v>
      </c>
    </row>
    <row r="64" spans="1:28" x14ac:dyDescent="0.35">
      <c r="A64" t="str">
        <f>VLOOKUP(B64,'Reference table'!A$2:D$195,4,FALSE)</f>
        <v>EUR</v>
      </c>
      <c r="B64" t="str">
        <f>'Processed HWF'!A64</f>
        <v>United Kingdom</v>
      </c>
      <c r="C64" s="4">
        <f>'Processed HWF'!M64</f>
        <v>118.54255962371826</v>
      </c>
      <c r="D64">
        <f>'Processed HWF'!N64</f>
        <v>87.72</v>
      </c>
      <c r="E64">
        <f>IF(AND(C64&lt;H$4,Results!D64&lt;50),1,0)</f>
        <v>0</v>
      </c>
      <c r="F64">
        <f t="shared" si="0"/>
        <v>0</v>
      </c>
      <c r="K64" t="s">
        <v>617</v>
      </c>
      <c r="V64" t="str">
        <f>'Processed HWF'!A64</f>
        <v>United Kingdom</v>
      </c>
      <c r="W64">
        <f>'Processed HWF'!I64</f>
        <v>0</v>
      </c>
      <c r="X64" s="7">
        <f>'Processed HWF'!K64</f>
        <v>0</v>
      </c>
      <c r="Y64">
        <f>'Processed HWF'!O64</f>
        <v>0.70112998549745242</v>
      </c>
      <c r="Z64">
        <f>'Processed HWF'!P64</f>
        <v>0</v>
      </c>
      <c r="AA64">
        <f>'Processed HWF'!N64</f>
        <v>87.72</v>
      </c>
      <c r="AB64">
        <f t="shared" si="7"/>
        <v>0</v>
      </c>
    </row>
    <row r="65" spans="1:28" x14ac:dyDescent="0.35">
      <c r="A65" t="str">
        <f>VLOOKUP(B65,'Reference table'!A$2:D$195,4,FALSE)</f>
        <v>EUR</v>
      </c>
      <c r="B65" t="str">
        <f>'Processed HWF'!A65</f>
        <v>Georgia</v>
      </c>
      <c r="C65" s="4">
        <f>'Processed HWF'!M65</f>
        <v>106.55085372924805</v>
      </c>
      <c r="D65">
        <f>'Processed HWF'!N65</f>
        <v>65.16</v>
      </c>
      <c r="E65">
        <f>IF(AND(C65&lt;H$4,Results!D65&lt;50),1,0)</f>
        <v>0</v>
      </c>
      <c r="F65">
        <f t="shared" si="0"/>
        <v>0</v>
      </c>
      <c r="K65" t="s">
        <v>88</v>
      </c>
      <c r="V65" t="str">
        <f>'Processed HWF'!A65</f>
        <v>Georgia</v>
      </c>
      <c r="W65">
        <f>'Processed HWF'!I65</f>
        <v>480.2105712890625</v>
      </c>
      <c r="X65" s="7">
        <f>'Processed HWF'!K65</f>
        <v>1.059034271989067E-2</v>
      </c>
      <c r="Y65">
        <f>'Processed HWF'!O65</f>
        <v>0.25725469551975033</v>
      </c>
      <c r="Z65">
        <f>'Processed HWF'!P65</f>
        <v>1.8232413692907172E-2</v>
      </c>
      <c r="AA65">
        <f>'Processed HWF'!N65</f>
        <v>65.16</v>
      </c>
      <c r="AB65">
        <f t="shared" si="7"/>
        <v>0</v>
      </c>
    </row>
    <row r="66" spans="1:28" x14ac:dyDescent="0.35">
      <c r="A66" t="str">
        <f>VLOOKUP(B66,'Reference table'!A$2:D$195,4,FALSE)</f>
        <v>AFR</v>
      </c>
      <c r="B66" t="str">
        <f>'Processed HWF'!A66</f>
        <v>Ghana</v>
      </c>
      <c r="C66" s="4">
        <f>'Processed HWF'!M66</f>
        <v>37.869453310966492</v>
      </c>
      <c r="D66">
        <f>'Processed HWF'!N66</f>
        <v>45.09</v>
      </c>
      <c r="E66">
        <f>IF(AND(C66&lt;H$4,Results!D66&lt;50),1,0)</f>
        <v>1</v>
      </c>
      <c r="F66">
        <f t="shared" si="0"/>
        <v>1</v>
      </c>
      <c r="K66" t="s">
        <v>294</v>
      </c>
      <c r="V66" t="str">
        <f>'Processed HWF'!A66</f>
        <v>Ghana</v>
      </c>
      <c r="W66">
        <f>'Processed HWF'!I66</f>
        <v>63821.953125</v>
      </c>
      <c r="X66" s="7">
        <f>'Processed HWF'!K66</f>
        <v>0.53272961656983031</v>
      </c>
      <c r="Y66">
        <f>'Processed HWF'!O66</f>
        <v>9.392725632012934E-2</v>
      </c>
      <c r="Z66">
        <f>'Processed HWF'!P66</f>
        <v>0</v>
      </c>
      <c r="AA66">
        <f>'Processed HWF'!N66</f>
        <v>45.09</v>
      </c>
      <c r="AB66">
        <f t="shared" si="7"/>
        <v>0</v>
      </c>
    </row>
    <row r="67" spans="1:28" x14ac:dyDescent="0.35">
      <c r="A67" t="str">
        <f>VLOOKUP(B67,'Reference table'!A$2:D$195,4,FALSE)</f>
        <v>AFR</v>
      </c>
      <c r="B67" t="str">
        <f>'Processed HWF'!A67</f>
        <v>Guinea</v>
      </c>
      <c r="C67" s="4">
        <f>'Processed HWF'!M67</f>
        <v>8.0499997138977051</v>
      </c>
      <c r="D67">
        <f>'Processed HWF'!N67</f>
        <v>37.19</v>
      </c>
      <c r="E67">
        <f>IF(AND(C67&lt;H$4,Results!D67&lt;50),1,0)</f>
        <v>1</v>
      </c>
      <c r="F67">
        <f t="shared" ref="F67:F130" si="8">IF(AND(A67="AFR",E67=1),1,0)</f>
        <v>1</v>
      </c>
      <c r="K67" t="s">
        <v>300</v>
      </c>
      <c r="V67" t="str">
        <f>'Processed HWF'!A67</f>
        <v>Guinea</v>
      </c>
      <c r="W67">
        <f>'Processed HWF'!I67</f>
        <v>73978.53125</v>
      </c>
      <c r="X67" s="7">
        <f>'Processed HWF'!K67</f>
        <v>6.7750354907117929</v>
      </c>
      <c r="Y67">
        <f>'Processed HWF'!O67</f>
        <v>9.8448350103690796E-2</v>
      </c>
      <c r="Z67">
        <f>'Processed HWF'!P67</f>
        <v>1.3103982756381358</v>
      </c>
      <c r="AA67">
        <f>'Processed HWF'!N67</f>
        <v>37.19</v>
      </c>
      <c r="AB67">
        <f t="shared" ref="AB67:AB130" si="9">IF(AND(E67=0,W67&gt;$AG$1,Y67&lt;&gt;0,Y67&lt;$AG$2,Z67&gt;$AG$3,AA67&lt;$AG$5,X67&gt;$AG$4),1,0)</f>
        <v>0</v>
      </c>
    </row>
    <row r="68" spans="1:28" x14ac:dyDescent="0.35">
      <c r="A68" t="str">
        <f>VLOOKUP(B68,'Reference table'!A$2:D$195,4,FALSE)</f>
        <v>AFR</v>
      </c>
      <c r="B68" t="str">
        <f>'Processed HWF'!A68</f>
        <v>Gambia</v>
      </c>
      <c r="C68" s="4">
        <f>'Processed HWF'!M68</f>
        <v>10.282769978046417</v>
      </c>
      <c r="D68">
        <f>'Processed HWF'!N68</f>
        <v>47.78</v>
      </c>
      <c r="E68">
        <f>IF(AND(C68&lt;H$4,Results!D68&lt;50),1,0)</f>
        <v>1</v>
      </c>
      <c r="F68">
        <f t="shared" si="8"/>
        <v>1</v>
      </c>
      <c r="K68" t="s">
        <v>291</v>
      </c>
      <c r="V68" t="str">
        <f>'Processed HWF'!A68</f>
        <v>Gambia</v>
      </c>
      <c r="W68">
        <f>'Processed HWF'!I68</f>
        <v>14274.0859375</v>
      </c>
      <c r="X68" s="7">
        <f>'Processed HWF'!K68</f>
        <v>5.7141962759883587</v>
      </c>
      <c r="Y68">
        <f>'Processed HWF'!O68</f>
        <v>9.750325654992742E-2</v>
      </c>
      <c r="Z68">
        <f>'Processed HWF'!P68</f>
        <v>0.33909066306118779</v>
      </c>
      <c r="AA68">
        <f>'Processed HWF'!N68</f>
        <v>47.78</v>
      </c>
      <c r="AB68">
        <f t="shared" si="9"/>
        <v>0</v>
      </c>
    </row>
    <row r="69" spans="1:28" x14ac:dyDescent="0.35">
      <c r="A69" t="str">
        <f>VLOOKUP(B69,'Reference table'!A$2:D$195,4,FALSE)</f>
        <v>AFR</v>
      </c>
      <c r="B69" t="str">
        <f>'Processed HWF'!A69</f>
        <v>Guinea-Bissau</v>
      </c>
      <c r="C69" s="4">
        <f>'Processed HWF'!M69</f>
        <v>9.8628150820732117</v>
      </c>
      <c r="D69">
        <f>'Processed HWF'!N69</f>
        <v>37.1</v>
      </c>
      <c r="E69">
        <f>IF(AND(C69&lt;H$4,Results!D69&lt;50),1,0)</f>
        <v>1</v>
      </c>
      <c r="F69">
        <f t="shared" si="8"/>
        <v>1</v>
      </c>
      <c r="K69" t="s">
        <v>303</v>
      </c>
      <c r="V69" t="str">
        <f>'Processed HWF'!A69</f>
        <v>Guinea-Bissau</v>
      </c>
      <c r="W69">
        <f>'Processed HWF'!I69</f>
        <v>11732.7783203125</v>
      </c>
      <c r="X69" s="7">
        <f>'Processed HWF'!K69</f>
        <v>5.9891578487201436</v>
      </c>
      <c r="Y69">
        <f>'Processed HWF'!O69</f>
        <v>1.1958327256947532E-2</v>
      </c>
      <c r="Z69">
        <f>'Processed HWF'!P69</f>
        <v>0.31022087610656246</v>
      </c>
      <c r="AA69">
        <f>'Processed HWF'!N69</f>
        <v>37.1</v>
      </c>
      <c r="AB69">
        <f t="shared" si="9"/>
        <v>0</v>
      </c>
    </row>
    <row r="70" spans="1:28" x14ac:dyDescent="0.35">
      <c r="A70" t="str">
        <f>VLOOKUP(B70,'Reference table'!A$2:D$195,4,FALSE)</f>
        <v>AFR</v>
      </c>
      <c r="B70" t="str">
        <f>'Processed HWF'!A70</f>
        <v>Equatorial Guinea</v>
      </c>
      <c r="C70" s="4">
        <f>'Processed HWF'!M70</f>
        <v>7.1190922260284424</v>
      </c>
      <c r="D70">
        <f>'Processed HWF'!N70</f>
        <v>43.24</v>
      </c>
      <c r="E70">
        <f>IF(AND(C70&lt;H$4,Results!D70&lt;50),1,0)</f>
        <v>1</v>
      </c>
      <c r="F70">
        <f t="shared" si="8"/>
        <v>1</v>
      </c>
      <c r="K70" t="s">
        <v>279</v>
      </c>
      <c r="V70" t="str">
        <f>'Processed HWF'!A70</f>
        <v>Equatorial Guinea</v>
      </c>
      <c r="W70">
        <f>'Processed HWF'!I70</f>
        <v>8135.7568359375</v>
      </c>
      <c r="X70" s="7">
        <f>'Processed HWF'!K70</f>
        <v>7.9817048070251868</v>
      </c>
      <c r="Y70">
        <f>'Processed HWF'!O70</f>
        <v>0.14494595451840184</v>
      </c>
      <c r="Z70">
        <f>'Processed HWF'!P70</f>
        <v>0.27741183836761191</v>
      </c>
      <c r="AA70">
        <f>'Processed HWF'!N70</f>
        <v>43.24</v>
      </c>
      <c r="AB70">
        <f t="shared" si="9"/>
        <v>0</v>
      </c>
    </row>
    <row r="71" spans="1:28" x14ac:dyDescent="0.35">
      <c r="A71" t="str">
        <f>VLOOKUP(B71,'Reference table'!A$2:D$195,4,FALSE)</f>
        <v>EUR</v>
      </c>
      <c r="B71" t="str">
        <f>'Processed HWF'!A71</f>
        <v>Greece</v>
      </c>
      <c r="C71" s="4">
        <f>'Processed HWF'!M71</f>
        <v>100.15523672103882</v>
      </c>
      <c r="D71">
        <f>'Processed HWF'!N71</f>
        <v>77.63</v>
      </c>
      <c r="E71">
        <f>IF(AND(C71&lt;H$4,Results!D71&lt;50),1,0)</f>
        <v>0</v>
      </c>
      <c r="F71">
        <f t="shared" si="8"/>
        <v>0</v>
      </c>
      <c r="K71" t="s">
        <v>309</v>
      </c>
      <c r="V71" t="str">
        <f>'Processed HWF'!A71</f>
        <v>Greece</v>
      </c>
      <c r="W71">
        <f>'Processed HWF'!I71</f>
        <v>1363.8416748046875</v>
      </c>
      <c r="X71" s="7">
        <f>'Processed HWF'!K71</f>
        <v>1.0568944687732089E-2</v>
      </c>
      <c r="Y71">
        <f>'Processed HWF'!O71</f>
        <v>0.61297104603088193</v>
      </c>
      <c r="Z71">
        <f>'Processed HWF'!P71</f>
        <v>0</v>
      </c>
      <c r="AA71">
        <f>'Processed HWF'!N71</f>
        <v>77.63</v>
      </c>
      <c r="AB71">
        <f t="shared" si="9"/>
        <v>0</v>
      </c>
    </row>
    <row r="72" spans="1:28" x14ac:dyDescent="0.35">
      <c r="A72" t="str">
        <f>VLOOKUP(B72,'Reference table'!A$2:D$195,4,FALSE)</f>
        <v>AMR</v>
      </c>
      <c r="B72" t="str">
        <f>'Processed HWF'!A72</f>
        <v>Grenada</v>
      </c>
      <c r="C72" s="4">
        <f>'Processed HWF'!M72</f>
        <v>82.424149513244629</v>
      </c>
      <c r="D72">
        <f>'Processed HWF'!N72</f>
        <v>69.72</v>
      </c>
      <c r="E72">
        <f>IF(AND(C72&lt;H$4,Results!D72&lt;50),1,0)</f>
        <v>0</v>
      </c>
      <c r="F72">
        <f t="shared" si="8"/>
        <v>0</v>
      </c>
      <c r="K72" t="s">
        <v>344</v>
      </c>
      <c r="V72" t="str">
        <f>'Processed HWF'!A72</f>
        <v>Grenada</v>
      </c>
      <c r="W72">
        <f>'Processed HWF'!I72</f>
        <v>0</v>
      </c>
      <c r="X72" s="7">
        <f>'Processed HWF'!K72</f>
        <v>0</v>
      </c>
      <c r="Y72">
        <f>'Processed HWF'!O72</f>
        <v>0.32043226718093187</v>
      </c>
      <c r="Z72">
        <f>'Processed HWF'!P72</f>
        <v>1.9606928395004036E-2</v>
      </c>
      <c r="AA72">
        <f>'Processed HWF'!N72</f>
        <v>69.72</v>
      </c>
      <c r="AB72">
        <f t="shared" si="9"/>
        <v>0</v>
      </c>
    </row>
    <row r="73" spans="1:28" x14ac:dyDescent="0.35">
      <c r="A73" t="str">
        <f>VLOOKUP(B73,'Reference table'!A$2:D$195,4,FALSE)</f>
        <v>AMR</v>
      </c>
      <c r="B73" t="str">
        <f>'Processed HWF'!A73</f>
        <v>Guatemala</v>
      </c>
      <c r="C73" s="4">
        <f>'Processed HWF'!M73</f>
        <v>39.099315166473389</v>
      </c>
      <c r="D73">
        <f>'Processed HWF'!N73</f>
        <v>57.11</v>
      </c>
      <c r="E73">
        <f>IF(AND(C73&lt;H$4,Results!D73&lt;50),1,0)</f>
        <v>0</v>
      </c>
      <c r="F73">
        <f t="shared" si="8"/>
        <v>0</v>
      </c>
      <c r="K73" t="s">
        <v>149</v>
      </c>
      <c r="V73" t="str">
        <f>'Processed HWF'!A73</f>
        <v>Guatemala</v>
      </c>
      <c r="W73">
        <f>'Processed HWF'!I73</f>
        <v>22098.67578125</v>
      </c>
      <c r="X73" s="7">
        <f>'Processed HWF'!K73</f>
        <v>0.28827472772778434</v>
      </c>
      <c r="Y73">
        <f>'Processed HWF'!O73</f>
        <v>0.26561340394008159</v>
      </c>
      <c r="Z73">
        <f>'Processed HWF'!P73</f>
        <v>8.391213842112473E-2</v>
      </c>
      <c r="AA73">
        <f>'Processed HWF'!N73</f>
        <v>57.11</v>
      </c>
      <c r="AB73">
        <f t="shared" si="9"/>
        <v>0</v>
      </c>
    </row>
    <row r="74" spans="1:28" x14ac:dyDescent="0.35">
      <c r="A74" t="str">
        <f>VLOOKUP(B74,'Reference table'!A$2:D$195,4,FALSE)</f>
        <v>AMR</v>
      </c>
      <c r="B74" t="str">
        <f>'Processed HWF'!A74</f>
        <v>Guyana</v>
      </c>
      <c r="C74" s="4">
        <f>'Processed HWF'!M74</f>
        <v>49.544915676116943</v>
      </c>
      <c r="D74">
        <f>'Processed HWF'!N74</f>
        <v>74.28</v>
      </c>
      <c r="E74">
        <f>IF(AND(C74&lt;H$4,Results!D74&lt;50),1,0)</f>
        <v>0</v>
      </c>
      <c r="F74">
        <f t="shared" si="8"/>
        <v>0</v>
      </c>
      <c r="K74" t="s">
        <v>350</v>
      </c>
      <c r="V74" t="str">
        <f>'Processed HWF'!A74</f>
        <v>Guyana</v>
      </c>
      <c r="W74">
        <f>'Processed HWF'!I74</f>
        <v>233.61631774902344</v>
      </c>
      <c r="X74" s="7">
        <f>'Processed HWF'!K74</f>
        <v>5.8419204961690542E-2</v>
      </c>
      <c r="Y74">
        <f>'Processed HWF'!O74</f>
        <v>0.37796102482734772</v>
      </c>
      <c r="Z74">
        <f>'Processed HWF'!P74</f>
        <v>7.037379438857014E-3</v>
      </c>
      <c r="AA74">
        <f>'Processed HWF'!N74</f>
        <v>74.28</v>
      </c>
      <c r="AB74">
        <f t="shared" si="9"/>
        <v>0</v>
      </c>
    </row>
    <row r="75" spans="1:28" x14ac:dyDescent="0.35">
      <c r="A75" t="str">
        <f>VLOOKUP(B75,'Reference table'!A$2:D$195,4,FALSE)</f>
        <v>AMR</v>
      </c>
      <c r="B75" t="str">
        <f>'Processed HWF'!A75</f>
        <v>Honduras</v>
      </c>
      <c r="C75" s="4">
        <f>'Processed HWF'!M75</f>
        <v>15.491610050201416</v>
      </c>
      <c r="D75">
        <f>'Processed HWF'!N75</f>
        <v>62.96</v>
      </c>
      <c r="E75">
        <f>IF(AND(C75&lt;H$4,Results!D75&lt;50),1,0)</f>
        <v>0</v>
      </c>
      <c r="F75">
        <f t="shared" si="8"/>
        <v>0</v>
      </c>
      <c r="K75" t="s">
        <v>359</v>
      </c>
      <c r="V75" t="str">
        <f>'Processed HWF'!A75</f>
        <v>Honduras</v>
      </c>
      <c r="W75">
        <f>'Processed HWF'!I75</f>
        <v>43852.83203125</v>
      </c>
      <c r="X75" s="7">
        <f>'Processed HWF'!K75</f>
        <v>2.7076078370996459</v>
      </c>
      <c r="Y75">
        <f>'Processed HWF'!O75</f>
        <v>0.43916371442097601</v>
      </c>
      <c r="Z75">
        <f>'Processed HWF'!P75</f>
        <v>5.1139386942621406E-2</v>
      </c>
      <c r="AA75">
        <f>'Processed HWF'!N75</f>
        <v>62.96</v>
      </c>
      <c r="AB75">
        <f t="shared" si="9"/>
        <v>0</v>
      </c>
    </row>
    <row r="76" spans="1:28" x14ac:dyDescent="0.35">
      <c r="A76" t="str">
        <f>VLOOKUP(B76,'Reference table'!A$2:D$195,4,FALSE)</f>
        <v>EUR</v>
      </c>
      <c r="B76" t="str">
        <f>'Processed HWF'!A76</f>
        <v>Croatia</v>
      </c>
      <c r="C76" s="4">
        <f>'Processed HWF'!M76</f>
        <v>115.87519073486328</v>
      </c>
      <c r="D76">
        <f>'Processed HWF'!N76</f>
        <v>72.900000000000006</v>
      </c>
      <c r="E76">
        <f>IF(AND(C76&lt;H$4,Results!D76&lt;50),1,0)</f>
        <v>0</v>
      </c>
      <c r="F76">
        <f t="shared" si="8"/>
        <v>0</v>
      </c>
      <c r="K76" t="s">
        <v>370</v>
      </c>
      <c r="V76" t="str">
        <f>'Processed HWF'!A76</f>
        <v>Croatia</v>
      </c>
      <c r="W76">
        <f>'Processed HWF'!I76</f>
        <v>0</v>
      </c>
      <c r="X76" s="7">
        <f>'Processed HWF'!K76</f>
        <v>0</v>
      </c>
      <c r="Y76">
        <f>'Processed HWF'!O76</f>
        <v>0.4863434581886148</v>
      </c>
      <c r="Z76">
        <f>'Processed HWF'!P76</f>
        <v>4.5876366876188585E-3</v>
      </c>
      <c r="AA76">
        <f>'Processed HWF'!N76</f>
        <v>72.900000000000006</v>
      </c>
      <c r="AB76">
        <f t="shared" si="9"/>
        <v>0</v>
      </c>
    </row>
    <row r="77" spans="1:28" x14ac:dyDescent="0.35">
      <c r="A77" t="str">
        <f>VLOOKUP(B77,'Reference table'!A$2:D$195,4,FALSE)</f>
        <v>AMR</v>
      </c>
      <c r="B77" t="str">
        <f>'Processed HWF'!A77</f>
        <v>Haiti</v>
      </c>
      <c r="C77" s="4">
        <f>'Processed HWF'!M77</f>
        <v>6.3333333730697632</v>
      </c>
      <c r="D77">
        <f>'Processed HWF'!N77</f>
        <v>46.8</v>
      </c>
      <c r="E77">
        <f>IF(AND(C77&lt;H$4,Results!D77&lt;50),1,0)</f>
        <v>1</v>
      </c>
      <c r="F77">
        <f t="shared" si="8"/>
        <v>0</v>
      </c>
      <c r="K77" t="s">
        <v>119</v>
      </c>
      <c r="V77" t="str">
        <f>'Processed HWF'!A77</f>
        <v>Haiti</v>
      </c>
      <c r="W77">
        <f>'Processed HWF'!I77</f>
        <v>64238.0625</v>
      </c>
      <c r="X77" s="7">
        <f>'Processed HWF'!K77</f>
        <v>8.2248743649921945</v>
      </c>
      <c r="Y77">
        <f>'Processed HWF'!O77</f>
        <v>6.4529549938399629E-3</v>
      </c>
      <c r="Z77">
        <f>'Processed HWF'!P77</f>
        <v>0.47659772604269346</v>
      </c>
      <c r="AA77">
        <f>'Processed HWF'!N77</f>
        <v>46.8</v>
      </c>
      <c r="AB77">
        <f t="shared" si="9"/>
        <v>0</v>
      </c>
    </row>
    <row r="78" spans="1:28" x14ac:dyDescent="0.35">
      <c r="A78" t="str">
        <f>VLOOKUP(B78,'Reference table'!A$2:D$195,4,FALSE)</f>
        <v>EUR</v>
      </c>
      <c r="B78" t="str">
        <f>'Processed HWF'!A78</f>
        <v>Hungary</v>
      </c>
      <c r="C78" s="4">
        <f>'Processed HWF'!M78</f>
        <v>129.83653688430786</v>
      </c>
      <c r="D78">
        <f>'Processed HWF'!N78</f>
        <v>72.63</v>
      </c>
      <c r="E78">
        <f>IF(AND(C78&lt;H$4,Results!D78&lt;50),1,0)</f>
        <v>0</v>
      </c>
      <c r="F78">
        <f t="shared" si="8"/>
        <v>0</v>
      </c>
      <c r="K78" t="s">
        <v>353</v>
      </c>
      <c r="V78" t="str">
        <f>'Processed HWF'!A78</f>
        <v>Hungary</v>
      </c>
      <c r="W78">
        <f>'Processed HWF'!I78</f>
        <v>1667.6513671875</v>
      </c>
      <c r="X78" s="7">
        <f>'Processed HWF'!K78</f>
        <v>1.185621545767369E-2</v>
      </c>
      <c r="Y78">
        <f>'Processed HWF'!O78</f>
        <v>0.58979227856090455</v>
      </c>
      <c r="Z78">
        <f>'Processed HWF'!P78</f>
        <v>0</v>
      </c>
      <c r="AA78">
        <f>'Processed HWF'!N78</f>
        <v>72.63</v>
      </c>
      <c r="AB78">
        <f t="shared" si="9"/>
        <v>0</v>
      </c>
    </row>
    <row r="79" spans="1:28" x14ac:dyDescent="0.35">
      <c r="A79" t="str">
        <f>VLOOKUP(B79,'Reference table'!A$2:D$195,4,FALSE)</f>
        <v>SEAR</v>
      </c>
      <c r="B79" t="str">
        <f>'Processed HWF'!A79</f>
        <v>Indonesia</v>
      </c>
      <c r="C79" s="4">
        <f>'Processed HWF'!M79</f>
        <v>45.686314105987549</v>
      </c>
      <c r="D79">
        <f>'Processed HWF'!N79</f>
        <v>58.7</v>
      </c>
      <c r="E79">
        <f>IF(AND(C79&lt;H$4,Results!D79&lt;50),1,0)</f>
        <v>0</v>
      </c>
      <c r="F79">
        <f t="shared" si="8"/>
        <v>0</v>
      </c>
      <c r="K79" t="s">
        <v>445</v>
      </c>
      <c r="V79" t="str">
        <f>'Processed HWF'!A79</f>
        <v>Indonesia</v>
      </c>
      <c r="W79">
        <f>'Processed HWF'!I79</f>
        <v>675367.25</v>
      </c>
      <c r="X79" s="7">
        <f>'Processed HWF'!K79</f>
        <v>0.5165053545606163</v>
      </c>
      <c r="Y79">
        <f>'Processed HWF'!O79</f>
        <v>0.41931625903671976</v>
      </c>
      <c r="Z79">
        <f>'Processed HWF'!P79</f>
        <v>7.6185265478203252E-3</v>
      </c>
      <c r="AA79">
        <f>'Processed HWF'!N79</f>
        <v>58.7</v>
      </c>
      <c r="AB79">
        <f t="shared" si="9"/>
        <v>0</v>
      </c>
    </row>
    <row r="80" spans="1:28" x14ac:dyDescent="0.35">
      <c r="A80" t="str">
        <f>VLOOKUP(B80,'Reference table'!A$2:D$195,4,FALSE)</f>
        <v>SEAR</v>
      </c>
      <c r="B80" t="str">
        <f>'Processed HWF'!A80</f>
        <v>India</v>
      </c>
      <c r="C80" s="4">
        <f>'Processed HWF'!M80</f>
        <v>24.83448600769043</v>
      </c>
      <c r="D80">
        <f>'Processed HWF'!N80</f>
        <v>61.19</v>
      </c>
      <c r="E80">
        <f>IF(AND(C80&lt;H$4,Results!D80&lt;50),1,0)</f>
        <v>0</v>
      </c>
      <c r="F80">
        <f t="shared" si="8"/>
        <v>0</v>
      </c>
      <c r="K80" t="s">
        <v>73</v>
      </c>
      <c r="V80" t="str">
        <f>'Processed HWF'!A80</f>
        <v>India</v>
      </c>
      <c r="W80">
        <f>'Processed HWF'!I80</f>
        <v>3896771</v>
      </c>
      <c r="X80" s="7">
        <f>'Processed HWF'!K80</f>
        <v>0.80332469515905414</v>
      </c>
      <c r="Y80">
        <f>'Processed HWF'!O80</f>
        <v>0.44726423677269694</v>
      </c>
      <c r="Z80">
        <f>'Processed HWF'!P80</f>
        <v>4.3637963404949635E-3</v>
      </c>
      <c r="AA80">
        <f>'Processed HWF'!N80</f>
        <v>61.19</v>
      </c>
      <c r="AB80">
        <f t="shared" si="9"/>
        <v>0</v>
      </c>
    </row>
    <row r="81" spans="1:28" x14ac:dyDescent="0.35">
      <c r="A81" t="str">
        <f>VLOOKUP(B81,'Reference table'!A$2:D$195,4,FALSE)</f>
        <v>EUR</v>
      </c>
      <c r="B81" t="str">
        <f>'Processed HWF'!A81</f>
        <v>Ireland</v>
      </c>
      <c r="C81" s="4">
        <f>'Processed HWF'!M81</f>
        <v>214.67706489562988</v>
      </c>
      <c r="D81">
        <f>'Processed HWF'!N81</f>
        <v>82.81</v>
      </c>
      <c r="E81">
        <f>IF(AND(C81&lt;H$4,Results!D81&lt;50),1,0)</f>
        <v>0</v>
      </c>
      <c r="F81">
        <f t="shared" si="8"/>
        <v>0</v>
      </c>
      <c r="K81" t="s">
        <v>122</v>
      </c>
      <c r="V81" t="str">
        <f>'Processed HWF'!A81</f>
        <v>Ireland</v>
      </c>
      <c r="W81">
        <f>'Processed HWF'!I81</f>
        <v>0</v>
      </c>
      <c r="X81" s="7">
        <f>'Processed HWF'!K81</f>
        <v>0</v>
      </c>
      <c r="Y81">
        <f>'Processed HWF'!O81</f>
        <v>0.72701553448123046</v>
      </c>
      <c r="Z81">
        <f>'Processed HWF'!P81</f>
        <v>0</v>
      </c>
      <c r="AA81">
        <f>'Processed HWF'!N81</f>
        <v>82.81</v>
      </c>
      <c r="AB81">
        <f t="shared" si="9"/>
        <v>0</v>
      </c>
    </row>
    <row r="82" spans="1:28" x14ac:dyDescent="0.35">
      <c r="A82" t="str">
        <f>VLOOKUP(B82,'Reference table'!A$2:D$195,4,FALSE)</f>
        <v>EMR</v>
      </c>
      <c r="B82" t="str">
        <f>'Processed HWF'!A82</f>
        <v>Iran, Islamic Republic of</v>
      </c>
      <c r="C82" s="4">
        <f>'Processed HWF'!M82</f>
        <v>36.610269069671631</v>
      </c>
      <c r="D82">
        <f>'Processed HWF'!N82</f>
        <v>76.58</v>
      </c>
      <c r="E82">
        <f>IF(AND(C82&lt;H$4,Results!D82&lt;50),1,0)</f>
        <v>0</v>
      </c>
      <c r="F82">
        <f t="shared" si="8"/>
        <v>0</v>
      </c>
      <c r="K82" t="s">
        <v>106</v>
      </c>
      <c r="V82" t="str">
        <f>'Processed HWF'!A82</f>
        <v>Iran, Islamic Republic of</v>
      </c>
      <c r="W82">
        <f>'Processed HWF'!I82</f>
        <v>174894.765625</v>
      </c>
      <c r="X82" s="7">
        <f>'Processed HWF'!K82</f>
        <v>0.47304007542535537</v>
      </c>
      <c r="Y82">
        <f>'Processed HWF'!O82</f>
        <v>0.62542128387467377</v>
      </c>
      <c r="Z82">
        <f>'Processed HWF'!P82</f>
        <v>0</v>
      </c>
      <c r="AA82">
        <f>'Processed HWF'!N82</f>
        <v>76.58</v>
      </c>
      <c r="AB82">
        <f t="shared" si="9"/>
        <v>0</v>
      </c>
    </row>
    <row r="83" spans="1:28" x14ac:dyDescent="0.35">
      <c r="A83" t="str">
        <f>VLOOKUP(B83,'Reference table'!A$2:D$195,4,FALSE)</f>
        <v>EMR</v>
      </c>
      <c r="B83" t="str">
        <f>'Processed HWF'!A83</f>
        <v>Iraq</v>
      </c>
      <c r="C83" s="4">
        <f>'Processed HWF'!M83</f>
        <v>33.546517848968506</v>
      </c>
      <c r="D83">
        <f>'Processed HWF'!N83</f>
        <v>55.13</v>
      </c>
      <c r="E83">
        <f>IF(AND(C83&lt;H$4,Results!D83&lt;50),1,0)</f>
        <v>0</v>
      </c>
      <c r="F83">
        <f t="shared" si="8"/>
        <v>0</v>
      </c>
      <c r="K83" t="s">
        <v>448</v>
      </c>
      <c r="V83" t="str">
        <f>'Processed HWF'!A83</f>
        <v>Iraq</v>
      </c>
      <c r="W83">
        <f>'Processed HWF'!I83</f>
        <v>80522.7109375</v>
      </c>
      <c r="X83" s="7">
        <f>'Processed HWF'!K83</f>
        <v>0.48664635007255963</v>
      </c>
      <c r="Y83">
        <f>'Processed HWF'!O83</f>
        <v>0.14935036473248936</v>
      </c>
      <c r="Z83">
        <f>'Processed HWF'!P83</f>
        <v>5.515688467744544E-3</v>
      </c>
      <c r="AA83">
        <f>'Processed HWF'!N83</f>
        <v>55.13</v>
      </c>
      <c r="AB83">
        <f t="shared" si="9"/>
        <v>0</v>
      </c>
    </row>
    <row r="84" spans="1:28" x14ac:dyDescent="0.35">
      <c r="A84" t="str">
        <f>VLOOKUP(B84,'Reference table'!A$2:D$195,4,FALSE)</f>
        <v>EUR</v>
      </c>
      <c r="B84" t="str">
        <f>'Processed HWF'!A84</f>
        <v>Iceland</v>
      </c>
      <c r="C84" s="4">
        <f>'Processed HWF'!M84</f>
        <v>209.23558044433594</v>
      </c>
      <c r="D84">
        <f>'Processed HWF'!N84</f>
        <v>86.81</v>
      </c>
      <c r="E84">
        <f>IF(AND(C84&lt;H$4,Results!D84&lt;50),1,0)</f>
        <v>0</v>
      </c>
      <c r="F84">
        <f t="shared" si="8"/>
        <v>0</v>
      </c>
      <c r="K84" t="s">
        <v>412</v>
      </c>
      <c r="V84" t="str">
        <f>'Processed HWF'!A84</f>
        <v>Iceland</v>
      </c>
      <c r="W84">
        <f>'Processed HWF'!I84</f>
        <v>0</v>
      </c>
      <c r="X84" s="7">
        <f>'Processed HWF'!K84</f>
        <v>0</v>
      </c>
      <c r="Y84">
        <f>'Processed HWF'!O84</f>
        <v>0.62512975992354458</v>
      </c>
      <c r="Z84">
        <f>'Processed HWF'!P84</f>
        <v>0</v>
      </c>
      <c r="AA84">
        <f>'Processed HWF'!N84</f>
        <v>86.81</v>
      </c>
      <c r="AB84">
        <f t="shared" si="9"/>
        <v>0</v>
      </c>
    </row>
    <row r="85" spans="1:28" x14ac:dyDescent="0.35">
      <c r="A85" t="str">
        <f>VLOOKUP(B85,'Reference table'!A$2:D$195,4,FALSE)</f>
        <v>EUR</v>
      </c>
      <c r="B85" t="str">
        <f>'Processed HWF'!A85</f>
        <v>Israel</v>
      </c>
      <c r="C85" s="4">
        <f>'Processed HWF'!M85</f>
        <v>156.17740964889526</v>
      </c>
      <c r="D85">
        <f>'Processed HWF'!N85</f>
        <v>84.28</v>
      </c>
      <c r="E85">
        <f>IF(AND(C85&lt;H$4,Results!D85&lt;50),1,0)</f>
        <v>0</v>
      </c>
      <c r="F85">
        <f t="shared" si="8"/>
        <v>0</v>
      </c>
      <c r="K85" t="s">
        <v>421</v>
      </c>
      <c r="V85" t="str">
        <f>'Processed HWF'!A85</f>
        <v>Israel</v>
      </c>
      <c r="W85">
        <f>'Processed HWF'!I85</f>
        <v>1178.8643798828125</v>
      </c>
      <c r="X85" s="7">
        <f>'Processed HWF'!K85</f>
        <v>7.6616355744618383E-3</v>
      </c>
      <c r="Y85">
        <f>'Processed HWF'!O85</f>
        <v>0.69239831455942502</v>
      </c>
      <c r="Z85">
        <f>'Processed HWF'!P85</f>
        <v>0</v>
      </c>
      <c r="AA85">
        <f>'Processed HWF'!N85</f>
        <v>84.28</v>
      </c>
      <c r="AB85">
        <f t="shared" si="9"/>
        <v>0</v>
      </c>
    </row>
    <row r="86" spans="1:28" x14ac:dyDescent="0.35">
      <c r="A86" t="str">
        <f>VLOOKUP(B86,'Reference table'!A$2:D$195,4,FALSE)</f>
        <v>EUR</v>
      </c>
      <c r="B86" t="str">
        <f>'Processed HWF'!A86</f>
        <v>Italy</v>
      </c>
      <c r="C86" s="4">
        <f>'Processed HWF'!M86</f>
        <v>102.12694239616394</v>
      </c>
      <c r="D86">
        <f>'Processed HWF'!N86</f>
        <v>83.38</v>
      </c>
      <c r="E86">
        <f>IF(AND(C86&lt;H$4,Results!D86&lt;50),1,0)</f>
        <v>0</v>
      </c>
      <c r="F86">
        <f t="shared" si="8"/>
        <v>0</v>
      </c>
      <c r="K86" t="s">
        <v>76</v>
      </c>
      <c r="V86" t="str">
        <f>'Processed HWF'!A86</f>
        <v>Italy</v>
      </c>
      <c r="W86">
        <f>'Processed HWF'!I86</f>
        <v>7128.1689453125</v>
      </c>
      <c r="X86" s="7">
        <f>'Processed HWF'!K86</f>
        <v>9.6079192906260366E-3</v>
      </c>
      <c r="Y86">
        <f>'Processed HWF'!O86</f>
        <v>0.71819968676837842</v>
      </c>
      <c r="Z86">
        <f>'Processed HWF'!P86</f>
        <v>0</v>
      </c>
      <c r="AA86">
        <f>'Processed HWF'!N86</f>
        <v>83.38</v>
      </c>
      <c r="AB86">
        <f t="shared" si="9"/>
        <v>0</v>
      </c>
    </row>
    <row r="87" spans="1:28" x14ac:dyDescent="0.35">
      <c r="A87" t="str">
        <f>VLOOKUP(B87,'Reference table'!A$2:D$195,4,FALSE)</f>
        <v>AMR</v>
      </c>
      <c r="B87" t="str">
        <f>'Processed HWF'!A87</f>
        <v>Jamaica</v>
      </c>
      <c r="C87" s="4">
        <f>'Processed HWF'!M87</f>
        <v>14.692388296127319</v>
      </c>
      <c r="D87">
        <f>'Processed HWF'!N87</f>
        <v>70.11</v>
      </c>
      <c r="E87">
        <f>IF(AND(C87&lt;H$4,Results!D87&lt;50),1,0)</f>
        <v>0</v>
      </c>
      <c r="F87">
        <f t="shared" si="8"/>
        <v>0</v>
      </c>
      <c r="K87" t="s">
        <v>433</v>
      </c>
      <c r="V87" t="str">
        <f>'Processed HWF'!A87</f>
        <v>Jamaica</v>
      </c>
      <c r="W87">
        <f>'Processed HWF'!I87</f>
        <v>13339.88671875</v>
      </c>
      <c r="X87" s="7">
        <f>'Processed HWF'!K87</f>
        <v>2.8616039872666907</v>
      </c>
      <c r="Y87">
        <f>'Processed HWF'!O87</f>
        <v>0.19326400706208058</v>
      </c>
      <c r="Z87">
        <f>'Processed HWF'!P87</f>
        <v>2.4426290362794457E-2</v>
      </c>
      <c r="AA87">
        <f>'Processed HWF'!N87</f>
        <v>70.11</v>
      </c>
      <c r="AB87">
        <f t="shared" si="9"/>
        <v>0</v>
      </c>
    </row>
    <row r="88" spans="1:28" x14ac:dyDescent="0.35">
      <c r="A88" t="str">
        <f>VLOOKUP(B88,'Reference table'!A$2:D$195,4,FALSE)</f>
        <v>EMR</v>
      </c>
      <c r="B88" t="str">
        <f>'Processed HWF'!A88</f>
        <v>Jordan</v>
      </c>
      <c r="C88" s="4">
        <f>'Processed HWF'!M88</f>
        <v>60.094059228897095</v>
      </c>
      <c r="D88">
        <f>'Processed HWF'!N88</f>
        <v>59.53</v>
      </c>
      <c r="E88">
        <f>IF(AND(C88&lt;H$4,Results!D88&lt;50),1,0)</f>
        <v>0</v>
      </c>
      <c r="F88">
        <f t="shared" si="8"/>
        <v>0</v>
      </c>
      <c r="K88" t="s">
        <v>248</v>
      </c>
      <c r="V88" t="str">
        <f>'Processed HWF'!A88</f>
        <v>Jordan</v>
      </c>
      <c r="W88">
        <f>'Processed HWF'!I88</f>
        <v>1822.5323486328125</v>
      </c>
      <c r="X88" s="7">
        <f>'Processed HWF'!K88</f>
        <v>2.2794421432081616E-2</v>
      </c>
      <c r="Y88">
        <f>'Processed HWF'!O88</f>
        <v>0.40092308892542233</v>
      </c>
      <c r="Z88">
        <f>'Processed HWF'!P88</f>
        <v>1.2832695323987396E-2</v>
      </c>
      <c r="AA88">
        <f>'Processed HWF'!N88</f>
        <v>59.53</v>
      </c>
      <c r="AB88">
        <f t="shared" si="9"/>
        <v>0</v>
      </c>
    </row>
    <row r="89" spans="1:28" x14ac:dyDescent="0.35">
      <c r="A89" t="str">
        <f>VLOOKUP(B89,'Reference table'!A$2:D$195,4,FALSE)</f>
        <v>WPR</v>
      </c>
      <c r="B89" t="str">
        <f>'Processed HWF'!A89</f>
        <v>Japan</v>
      </c>
      <c r="C89" s="4">
        <f>'Processed HWF'!M89</f>
        <v>144.50519561767578</v>
      </c>
      <c r="D89">
        <f>'Processed HWF'!N89</f>
        <v>84.94</v>
      </c>
      <c r="E89">
        <f>IF(AND(C89&lt;H$4,Results!D89&lt;50),1,0)</f>
        <v>0</v>
      </c>
      <c r="F89">
        <f t="shared" si="8"/>
        <v>0</v>
      </c>
      <c r="K89" t="s">
        <v>522</v>
      </c>
      <c r="V89" t="str">
        <f>'Processed HWF'!A89</f>
        <v>Japan</v>
      </c>
      <c r="W89">
        <f>'Processed HWF'!I89</f>
        <v>20308.8046875</v>
      </c>
      <c r="X89" s="7">
        <f>'Processed HWF'!K89</f>
        <v>9.3657068649626359E-3</v>
      </c>
      <c r="Y89">
        <f>'Processed HWF'!O89</f>
        <v>0.78546706805782618</v>
      </c>
      <c r="Z89">
        <f>'Processed HWF'!P89</f>
        <v>0</v>
      </c>
      <c r="AA89">
        <f>'Processed HWF'!N89</f>
        <v>84.94</v>
      </c>
      <c r="AB89">
        <f t="shared" si="9"/>
        <v>0</v>
      </c>
    </row>
    <row r="90" spans="1:28" x14ac:dyDescent="0.35">
      <c r="A90" t="str">
        <f>VLOOKUP(B90,'Reference table'!A$2:D$195,4,FALSE)</f>
        <v>EUR</v>
      </c>
      <c r="B90" t="str">
        <f>'Processed HWF'!A90</f>
        <v>Kazakhstan</v>
      </c>
      <c r="C90" s="4">
        <f>'Processed HWF'!M90</f>
        <v>113.48162221908569</v>
      </c>
      <c r="D90">
        <f>'Processed HWF'!N90</f>
        <v>75.900000000000006</v>
      </c>
      <c r="E90">
        <f>IF(AND(C90&lt;H$4,Results!D90&lt;50),1,0)</f>
        <v>0</v>
      </c>
      <c r="F90">
        <f t="shared" si="8"/>
        <v>0</v>
      </c>
      <c r="K90" t="s">
        <v>540</v>
      </c>
      <c r="V90" t="str">
        <f>'Processed HWF'!A90</f>
        <v>Kazakhstan</v>
      </c>
      <c r="W90">
        <f>'Processed HWF'!I90</f>
        <v>0</v>
      </c>
      <c r="X90" s="7">
        <f>'Processed HWF'!K90</f>
        <v>0</v>
      </c>
      <c r="Y90">
        <f>'Processed HWF'!O90</f>
        <v>0.46652493432421349</v>
      </c>
      <c r="Z90">
        <f>'Processed HWF'!P90</f>
        <v>9.6501548231140051E-3</v>
      </c>
      <c r="AA90">
        <f>'Processed HWF'!N90</f>
        <v>75.900000000000006</v>
      </c>
      <c r="AB90">
        <f t="shared" si="9"/>
        <v>0</v>
      </c>
    </row>
    <row r="91" spans="1:28" x14ac:dyDescent="0.35">
      <c r="A91" t="str">
        <f>VLOOKUP(B91,'Reference table'!A$2:D$195,4,FALSE)</f>
        <v>AFR</v>
      </c>
      <c r="B91" t="str">
        <f>'Processed HWF'!A91</f>
        <v>Kenya</v>
      </c>
      <c r="C91" s="4">
        <f>'Processed HWF'!M91</f>
        <v>13.21848201751709</v>
      </c>
      <c r="D91">
        <f>'Processed HWF'!N91</f>
        <v>55.95</v>
      </c>
      <c r="E91">
        <f>IF(AND(C91&lt;H$4,Results!D91&lt;50),1,0)</f>
        <v>0</v>
      </c>
      <c r="F91">
        <f t="shared" si="8"/>
        <v>0</v>
      </c>
      <c r="K91" t="s">
        <v>472</v>
      </c>
      <c r="V91" t="str">
        <f>'Processed HWF'!A91</f>
        <v>Kenya</v>
      </c>
      <c r="W91">
        <f>'Processed HWF'!I91</f>
        <v>262302.5625</v>
      </c>
      <c r="X91" s="7">
        <f>'Processed HWF'!K91</f>
        <v>3.5728784938472007</v>
      </c>
      <c r="Y91">
        <f>'Processed HWF'!O91</f>
        <v>8.5246950343171937E-2</v>
      </c>
      <c r="Z91">
        <f>'Processed HWF'!P91</f>
        <v>0.15836785691039898</v>
      </c>
      <c r="AA91">
        <f>'Processed HWF'!N91</f>
        <v>55.95</v>
      </c>
      <c r="AB91">
        <f t="shared" si="9"/>
        <v>1</v>
      </c>
    </row>
    <row r="92" spans="1:28" x14ac:dyDescent="0.35">
      <c r="A92" t="str">
        <f>VLOOKUP(B92,'Reference table'!A$2:D$195,4,FALSE)</f>
        <v>EUR</v>
      </c>
      <c r="B92" t="str">
        <f>'Processed HWF'!A92</f>
        <v>Kyrgyzstan</v>
      </c>
      <c r="C92" s="4">
        <f>'Processed HWF'!M92</f>
        <v>78.156991004943848</v>
      </c>
      <c r="D92">
        <f>'Processed HWF'!N92</f>
        <v>70.319999999999993</v>
      </c>
      <c r="E92">
        <f>IF(AND(C92&lt;H$4,Results!D92&lt;50),1,0)</f>
        <v>0</v>
      </c>
      <c r="F92">
        <f t="shared" si="8"/>
        <v>0</v>
      </c>
      <c r="V92" t="str">
        <f>'Processed HWF'!A92</f>
        <v>Kyrgyzstan</v>
      </c>
      <c r="W92">
        <f>'Processed HWF'!I92</f>
        <v>1220.4400634765625</v>
      </c>
      <c r="X92" s="7">
        <f>'Processed HWF'!K92</f>
        <v>2.3260650575892144E-2</v>
      </c>
      <c r="Y92">
        <f>'Processed HWF'!O92</f>
        <v>0.15245507067466296</v>
      </c>
      <c r="Z92">
        <f>'Processed HWF'!P92</f>
        <v>1.8740876588231568E-2</v>
      </c>
      <c r="AA92">
        <f>'Processed HWF'!N92</f>
        <v>70.319999999999993</v>
      </c>
      <c r="AB92">
        <f t="shared" si="9"/>
        <v>0</v>
      </c>
    </row>
    <row r="93" spans="1:28" x14ac:dyDescent="0.35">
      <c r="A93" t="str">
        <f>VLOOKUP(B93,'Reference table'!A$2:D$195,4,FALSE)</f>
        <v>WPR</v>
      </c>
      <c r="B93" t="str">
        <f>'Processed HWF'!A93</f>
        <v>Cambodia</v>
      </c>
      <c r="C93" s="4">
        <f>'Processed HWF'!M93</f>
        <v>11.991455674171448</v>
      </c>
      <c r="D93">
        <f>'Processed HWF'!N93</f>
        <v>61.18</v>
      </c>
      <c r="E93">
        <f>IF(AND(C93&lt;H$4,Results!D93&lt;50),1,0)</f>
        <v>0</v>
      </c>
      <c r="F93">
        <f t="shared" si="8"/>
        <v>0</v>
      </c>
      <c r="V93" t="str">
        <f>'Processed HWF'!A93</f>
        <v>Cambodia</v>
      </c>
      <c r="W93">
        <f>'Processed HWF'!I93</f>
        <v>81789.2109375</v>
      </c>
      <c r="X93" s="7">
        <f>'Processed HWF'!K93</f>
        <v>3.7088199419050429</v>
      </c>
      <c r="Y93">
        <f>'Processed HWF'!O93</f>
        <v>0.8183530499645163</v>
      </c>
      <c r="Z93">
        <f>'Processed HWF'!P93</f>
        <v>0</v>
      </c>
      <c r="AA93">
        <f>'Processed HWF'!N93</f>
        <v>61.18</v>
      </c>
      <c r="AB93">
        <f t="shared" si="9"/>
        <v>0</v>
      </c>
    </row>
    <row r="94" spans="1:28" x14ac:dyDescent="0.35">
      <c r="A94" t="str">
        <f>VLOOKUP(B94,'Reference table'!A$2:D$195,4,FALSE)</f>
        <v>WPR</v>
      </c>
      <c r="B94" t="str">
        <f>'Processed HWF'!A94</f>
        <v>Kiribati</v>
      </c>
      <c r="C94" s="4">
        <f>'Processed HWF'!M94</f>
        <v>40.280911684036255</v>
      </c>
      <c r="D94">
        <f>'Processed HWF'!N94</f>
        <v>51.22</v>
      </c>
      <c r="E94">
        <f>IF(AND(C94&lt;H$4,Results!D94&lt;50),1,0)</f>
        <v>0</v>
      </c>
      <c r="F94">
        <f t="shared" si="8"/>
        <v>0</v>
      </c>
      <c r="V94" t="str">
        <f>'Processed HWF'!A94</f>
        <v>Kiribati</v>
      </c>
      <c r="W94">
        <f>'Processed HWF'!I94</f>
        <v>204.39143371582031</v>
      </c>
      <c r="X94" s="7">
        <f>'Processed HWF'!K94</f>
        <v>0.41473185590018896</v>
      </c>
      <c r="Y94">
        <f>'Processed HWF'!O94</f>
        <v>0.33934147627857913</v>
      </c>
      <c r="Z94">
        <f>'Processed HWF'!P94</f>
        <v>0</v>
      </c>
      <c r="AA94">
        <f>'Processed HWF'!N94</f>
        <v>51.22</v>
      </c>
      <c r="AB94">
        <f t="shared" si="9"/>
        <v>0</v>
      </c>
    </row>
    <row r="95" spans="1:28" x14ac:dyDescent="0.35">
      <c r="A95" t="str">
        <f>VLOOKUP(B95,'Reference table'!A$2:D$195,4,FALSE)</f>
        <v>AMR</v>
      </c>
      <c r="B95" t="str">
        <f>'Processed HWF'!A95</f>
        <v>Saint Kitts and Nevis</v>
      </c>
      <c r="C95" s="4">
        <f>'Processed HWF'!M95</f>
        <v>74.134664058685303</v>
      </c>
      <c r="D95">
        <f>'Processed HWF'!N95</f>
        <v>71.75</v>
      </c>
      <c r="E95">
        <f>IF(AND(C95&lt;H$4,Results!D95&lt;50),1,0)</f>
        <v>0</v>
      </c>
      <c r="F95">
        <f t="shared" si="8"/>
        <v>0</v>
      </c>
      <c r="V95" t="str">
        <f>'Processed HWF'!A95</f>
        <v>Saint Kitts and Nevis</v>
      </c>
      <c r="W95">
        <f>'Processed HWF'!I95</f>
        <v>0</v>
      </c>
      <c r="X95" s="7">
        <f>'Processed HWF'!K95</f>
        <v>0</v>
      </c>
      <c r="Y95">
        <f>'Processed HWF'!O95</f>
        <v>0.48482854564596178</v>
      </c>
      <c r="Z95">
        <f>'Processed HWF'!P95</f>
        <v>9.0686219392020727E-3</v>
      </c>
      <c r="AA95">
        <f>'Processed HWF'!N95</f>
        <v>71.75</v>
      </c>
      <c r="AB95">
        <f t="shared" si="9"/>
        <v>0</v>
      </c>
    </row>
    <row r="96" spans="1:28" x14ac:dyDescent="0.35">
      <c r="A96" t="str">
        <f>VLOOKUP(B96,'Reference table'!A$2:D$195,4,FALSE)</f>
        <v>WPR</v>
      </c>
      <c r="B96" t="str">
        <f>'Processed HWF'!A96</f>
        <v>Republic of Korea</v>
      </c>
      <c r="C96" s="4">
        <f>'Processed HWF'!M96</f>
        <v>106.67948877811432</v>
      </c>
      <c r="D96">
        <f>'Processed HWF'!N96</f>
        <v>87.09</v>
      </c>
      <c r="E96">
        <f>IF(AND(C96&lt;H$4,Results!D96&lt;50),1,0)</f>
        <v>0</v>
      </c>
      <c r="F96">
        <f t="shared" si="8"/>
        <v>0</v>
      </c>
      <c r="V96" t="str">
        <f>'Processed HWF'!A96</f>
        <v>Republic of Korea</v>
      </c>
      <c r="W96">
        <f>'Processed HWF'!I96</f>
        <v>14386.375</v>
      </c>
      <c r="X96" s="7">
        <f>'Processed HWF'!K96</f>
        <v>2.3489782525618886E-2</v>
      </c>
      <c r="Y96">
        <f>'Processed HWF'!O96</f>
        <v>0.83930435016667415</v>
      </c>
      <c r="Z96">
        <f>'Processed HWF'!P96</f>
        <v>0</v>
      </c>
      <c r="AA96">
        <f>'Processed HWF'!N96</f>
        <v>87.09</v>
      </c>
      <c r="AB96">
        <f t="shared" si="9"/>
        <v>0</v>
      </c>
    </row>
    <row r="97" spans="1:28" x14ac:dyDescent="0.35">
      <c r="A97" t="str">
        <f>VLOOKUP(B97,'Reference table'!A$2:D$195,4,FALSE)</f>
        <v>EMR</v>
      </c>
      <c r="B97" t="str">
        <f>'Processed HWF'!A97</f>
        <v>Kuwait</v>
      </c>
      <c r="C97" s="4">
        <f>'Processed HWF'!M97</f>
        <v>75.429846286773682</v>
      </c>
      <c r="D97">
        <f>'Processed HWF'!N97</f>
        <v>69.56</v>
      </c>
      <c r="E97">
        <f>IF(AND(C97&lt;H$4,Results!D97&lt;50),1,0)</f>
        <v>0</v>
      </c>
      <c r="F97">
        <f t="shared" si="8"/>
        <v>0</v>
      </c>
      <c r="V97" t="str">
        <f>'Processed HWF'!A97</f>
        <v>Kuwait</v>
      </c>
      <c r="W97">
        <f>'Processed HWF'!I97</f>
        <v>0</v>
      </c>
      <c r="X97" s="7">
        <f>'Processed HWF'!K97</f>
        <v>0</v>
      </c>
      <c r="Y97">
        <f>'Processed HWF'!O97</f>
        <v>0.75738443407216505</v>
      </c>
      <c r="Z97">
        <f>'Processed HWF'!P97</f>
        <v>0</v>
      </c>
      <c r="AA97">
        <f>'Processed HWF'!N97</f>
        <v>69.56</v>
      </c>
      <c r="AB97">
        <f t="shared" si="9"/>
        <v>0</v>
      </c>
    </row>
    <row r="98" spans="1:28" x14ac:dyDescent="0.35">
      <c r="A98" t="str">
        <f>VLOOKUP(B98,'Reference table'!A$2:D$195,4,FALSE)</f>
        <v>WPR</v>
      </c>
      <c r="B98" t="str">
        <f>'Processed HWF'!A98</f>
        <v>Lao People's Democratic Republic</v>
      </c>
      <c r="C98" s="4">
        <f>'Processed HWF'!M98</f>
        <v>15.442119121551514</v>
      </c>
      <c r="D98">
        <f>'Processed HWF'!N98</f>
        <v>50.21</v>
      </c>
      <c r="E98">
        <f>IF(AND(C98&lt;H$4,Results!D98&lt;50),1,0)</f>
        <v>0</v>
      </c>
      <c r="F98">
        <f t="shared" si="8"/>
        <v>0</v>
      </c>
      <c r="V98" t="str">
        <f>'Processed HWF'!A98</f>
        <v>Lao People's Democratic Republic</v>
      </c>
      <c r="W98">
        <f>'Processed HWF'!I98</f>
        <v>30568.798828125</v>
      </c>
      <c r="X98" s="7">
        <f>'Processed HWF'!K98</f>
        <v>2.2714208373490368</v>
      </c>
      <c r="Y98">
        <f>'Processed HWF'!O98</f>
        <v>0.42594700614110803</v>
      </c>
      <c r="Z98">
        <f>'Processed HWF'!P98</f>
        <v>3.4647437347070459E-2</v>
      </c>
      <c r="AA98">
        <f>'Processed HWF'!N98</f>
        <v>50.21</v>
      </c>
      <c r="AB98">
        <f t="shared" si="9"/>
        <v>0</v>
      </c>
    </row>
    <row r="99" spans="1:28" x14ac:dyDescent="0.35">
      <c r="A99" t="str">
        <f>VLOOKUP(B99,'Reference table'!A$2:D$195,4,FALSE)</f>
        <v>EMR</v>
      </c>
      <c r="B99" t="str">
        <f>'Processed HWF'!A99</f>
        <v>Lebanon</v>
      </c>
      <c r="C99" s="4">
        <f>'Processed HWF'!M99</f>
        <v>38.805336236953735</v>
      </c>
      <c r="D99">
        <f>'Processed HWF'!N99</f>
        <v>71.98</v>
      </c>
      <c r="E99">
        <f>IF(AND(C99&lt;H$4,Results!D99&lt;50),1,0)</f>
        <v>0</v>
      </c>
      <c r="F99">
        <f t="shared" si="8"/>
        <v>0</v>
      </c>
      <c r="V99" t="str">
        <f>'Processed HWF'!A99</f>
        <v>Lebanon</v>
      </c>
      <c r="W99">
        <f>'Processed HWF'!I99</f>
        <v>17547.57421875</v>
      </c>
      <c r="X99" s="7">
        <f>'Processed HWF'!K99</f>
        <v>0.41506395222349096</v>
      </c>
      <c r="Y99">
        <f>'Processed HWF'!O99</f>
        <v>0.29145616146639525</v>
      </c>
      <c r="Z99">
        <f>'Processed HWF'!P99</f>
        <v>9.0497274801726191E-3</v>
      </c>
      <c r="AA99">
        <f>'Processed HWF'!N99</f>
        <v>71.98</v>
      </c>
      <c r="AB99">
        <f t="shared" si="9"/>
        <v>0</v>
      </c>
    </row>
    <row r="100" spans="1:28" x14ac:dyDescent="0.35">
      <c r="A100" t="str">
        <f>VLOOKUP(B100,'Reference table'!A$2:D$195,4,FALSE)</f>
        <v>AFR</v>
      </c>
      <c r="B100" t="str">
        <f>'Processed HWF'!A100</f>
        <v>Liberia</v>
      </c>
      <c r="C100" s="4">
        <f>'Processed HWF'!M100</f>
        <v>20.047827780246735</v>
      </c>
      <c r="D100">
        <f>'Processed HWF'!N100</f>
        <v>41.87</v>
      </c>
      <c r="E100">
        <f>IF(AND(C100&lt;H$4,Results!D100&lt;50),1,0)</f>
        <v>1</v>
      </c>
      <c r="F100">
        <f t="shared" si="8"/>
        <v>1</v>
      </c>
      <c r="V100" t="str">
        <f>'Processed HWF'!A100</f>
        <v>Liberia</v>
      </c>
      <c r="W100">
        <f>'Processed HWF'!I100</f>
        <v>18548.80859375</v>
      </c>
      <c r="X100" s="7">
        <f>'Processed HWF'!K100</f>
        <v>1.6457440431744352</v>
      </c>
      <c r="Y100">
        <f>'Processed HWF'!O100</f>
        <v>0.19514378229864635</v>
      </c>
      <c r="Z100">
        <f>'Processed HWF'!P100</f>
        <v>0.45797280321014378</v>
      </c>
      <c r="AA100">
        <f>'Processed HWF'!N100</f>
        <v>41.87</v>
      </c>
      <c r="AB100">
        <f t="shared" si="9"/>
        <v>0</v>
      </c>
    </row>
    <row r="101" spans="1:28" x14ac:dyDescent="0.35">
      <c r="A101" t="str">
        <f>VLOOKUP(B101,'Reference table'!A$2:D$195,4,FALSE)</f>
        <v>EMR</v>
      </c>
      <c r="B101" t="str">
        <f>'Processed HWF'!A101</f>
        <v>Libyan Arab Jamahiriya</v>
      </c>
      <c r="C101" s="4">
        <f>'Processed HWF'!M101</f>
        <v>86.209370732307434</v>
      </c>
      <c r="D101">
        <f>'Processed HWF'!N101</f>
        <v>59.66</v>
      </c>
      <c r="E101">
        <f>IF(AND(C101&lt;H$4,Results!D101&lt;50),1,0)</f>
        <v>0</v>
      </c>
      <c r="F101">
        <f t="shared" si="8"/>
        <v>0</v>
      </c>
      <c r="V101" t="str">
        <f>'Processed HWF'!A101</f>
        <v>Libyan Arab Jamahiriya</v>
      </c>
      <c r="W101">
        <f>'Processed HWF'!I101</f>
        <v>2193.635009765625</v>
      </c>
      <c r="X101" s="7">
        <f>'Processed HWF'!K101</f>
        <v>3.1609171091606422E-2</v>
      </c>
      <c r="Y101">
        <f>'Processed HWF'!O101</f>
        <v>0.13480667100161076</v>
      </c>
      <c r="Z101">
        <f>'Processed HWF'!P101</f>
        <v>1.8107825605870029E-2</v>
      </c>
      <c r="AA101">
        <f>'Processed HWF'!N101</f>
        <v>59.66</v>
      </c>
      <c r="AB101">
        <f t="shared" si="9"/>
        <v>0</v>
      </c>
    </row>
    <row r="102" spans="1:28" x14ac:dyDescent="0.35">
      <c r="A102" t="str">
        <f>VLOOKUP(B102,'Reference table'!A$2:D$195,4,FALSE)</f>
        <v>AMR</v>
      </c>
      <c r="B102" t="str">
        <f>'Processed HWF'!A102</f>
        <v>Saint Lucia</v>
      </c>
      <c r="C102" s="4">
        <f>'Processed HWF'!M102</f>
        <v>37.965240001678467</v>
      </c>
      <c r="D102">
        <f>'Processed HWF'!N102</f>
        <v>71.599999999999994</v>
      </c>
      <c r="E102">
        <f>IF(AND(C102&lt;H$4,Results!D102&lt;50),1,0)</f>
        <v>0</v>
      </c>
      <c r="F102">
        <f t="shared" si="8"/>
        <v>0</v>
      </c>
      <c r="V102" t="str">
        <f>'Processed HWF'!A102</f>
        <v>Saint Lucia</v>
      </c>
      <c r="W102">
        <f>'Processed HWF'!I102</f>
        <v>257.40719604492188</v>
      </c>
      <c r="X102" s="7">
        <f>'Processed HWF'!K102</f>
        <v>0.31827051659895955</v>
      </c>
      <c r="Y102">
        <f>'Processed HWF'!O102</f>
        <v>0.26988405844456426</v>
      </c>
      <c r="Z102">
        <f>'Processed HWF'!P102</f>
        <v>1.7238920822208261E-2</v>
      </c>
      <c r="AA102">
        <f>'Processed HWF'!N102</f>
        <v>71.599999999999994</v>
      </c>
      <c r="AB102">
        <f t="shared" si="9"/>
        <v>0</v>
      </c>
    </row>
    <row r="103" spans="1:28" x14ac:dyDescent="0.35">
      <c r="A103" t="str">
        <f>VLOOKUP(B103,'Reference table'!A$2:D$195,4,FALSE)</f>
        <v>SEAR</v>
      </c>
      <c r="B103" t="str">
        <f>'Processed HWF'!A103</f>
        <v>Sri Lanka</v>
      </c>
      <c r="C103" s="4">
        <f>'Processed HWF'!M103</f>
        <v>37.266354560852051</v>
      </c>
      <c r="D103">
        <f>'Processed HWF'!N103</f>
        <v>66.8</v>
      </c>
      <c r="E103">
        <f>IF(AND(C103&lt;H$4,Results!D103&lt;50),1,0)</f>
        <v>0</v>
      </c>
      <c r="F103">
        <f t="shared" si="8"/>
        <v>0</v>
      </c>
      <c r="V103" t="str">
        <f>'Processed HWF'!A103</f>
        <v>Sri Lanka</v>
      </c>
      <c r="W103">
        <f>'Processed HWF'!I103</f>
        <v>38524.625</v>
      </c>
      <c r="X103" s="7">
        <f>'Processed HWF'!K103</f>
        <v>0.45710744989110919</v>
      </c>
      <c r="Y103">
        <f>'Processed HWF'!O103</f>
        <v>0.64683523738037141</v>
      </c>
      <c r="Z103">
        <f>'Processed HWF'!P103</f>
        <v>5.139215421766756E-4</v>
      </c>
      <c r="AA103">
        <f>'Processed HWF'!N103</f>
        <v>66.8</v>
      </c>
      <c r="AB103">
        <f t="shared" si="9"/>
        <v>0</v>
      </c>
    </row>
    <row r="104" spans="1:28" x14ac:dyDescent="0.35">
      <c r="A104" t="str">
        <f>VLOOKUP(B104,'Reference table'!A$2:D$195,4,FALSE)</f>
        <v>AFR</v>
      </c>
      <c r="B104" t="str">
        <f>'Processed HWF'!A104</f>
        <v>Lesotho</v>
      </c>
      <c r="C104" s="4">
        <f>'Processed HWF'!M104</f>
        <v>40.020579099655151</v>
      </c>
      <c r="D104">
        <f>'Processed HWF'!N104</f>
        <v>48.09</v>
      </c>
      <c r="E104">
        <f>IF(AND(C104&lt;H$4,Results!D104&lt;50),1,0)</f>
        <v>1</v>
      </c>
      <c r="F104">
        <f t="shared" si="8"/>
        <v>1</v>
      </c>
      <c r="V104" t="str">
        <f>'Processed HWF'!A104</f>
        <v>Lesotho</v>
      </c>
      <c r="W104">
        <f>'Processed HWF'!I104</f>
        <v>3335.69287109375</v>
      </c>
      <c r="X104" s="7">
        <f>'Processed HWF'!K104</f>
        <v>0.37001158656748701</v>
      </c>
      <c r="Y104">
        <f>'Processed HWF'!O104</f>
        <v>0.34338211851190037</v>
      </c>
      <c r="Z104">
        <f>'Processed HWF'!P104</f>
        <v>4.4565688547818449E-2</v>
      </c>
      <c r="AA104">
        <f>'Processed HWF'!N104</f>
        <v>48.09</v>
      </c>
      <c r="AB104">
        <f t="shared" si="9"/>
        <v>0</v>
      </c>
    </row>
    <row r="105" spans="1:28" x14ac:dyDescent="0.35">
      <c r="A105" t="str">
        <f>VLOOKUP(B105,'Reference table'!A$2:D$195,4,FALSE)</f>
        <v>EUR</v>
      </c>
      <c r="B105" t="str">
        <f>'Processed HWF'!A105</f>
        <v>Lithuania</v>
      </c>
      <c r="C105" s="4">
        <f>'Processed HWF'!M105</f>
        <v>151.58923101425171</v>
      </c>
      <c r="D105">
        <f>'Processed HWF'!N105</f>
        <v>69.52</v>
      </c>
      <c r="E105">
        <f>IF(AND(C105&lt;H$4,Results!D105&lt;50),1,0)</f>
        <v>0</v>
      </c>
      <c r="F105">
        <f t="shared" si="8"/>
        <v>0</v>
      </c>
      <c r="V105" t="str">
        <f>'Processed HWF'!A105</f>
        <v>Lithuania</v>
      </c>
      <c r="W105">
        <f>'Processed HWF'!I105</f>
        <v>0</v>
      </c>
      <c r="X105" s="7">
        <f>'Processed HWF'!K105</f>
        <v>0</v>
      </c>
      <c r="Y105">
        <f>'Processed HWF'!O105</f>
        <v>0.56503512771600051</v>
      </c>
      <c r="Z105">
        <f>'Processed HWF'!P105</f>
        <v>0</v>
      </c>
      <c r="AA105">
        <f>'Processed HWF'!N105</f>
        <v>69.52</v>
      </c>
      <c r="AB105">
        <f t="shared" si="9"/>
        <v>0</v>
      </c>
    </row>
    <row r="106" spans="1:28" x14ac:dyDescent="0.35">
      <c r="A106" t="str">
        <f>VLOOKUP(B106,'Reference table'!A$2:D$195,4,FALSE)</f>
        <v>EUR</v>
      </c>
      <c r="B106" t="str">
        <f>'Processed HWF'!A106</f>
        <v>Luxembourg</v>
      </c>
      <c r="C106" s="4">
        <f>'Processed HWF'!M106</f>
        <v>151.81259274482727</v>
      </c>
      <c r="D106">
        <f>'Processed HWF'!N106</f>
        <v>86.48</v>
      </c>
      <c r="E106">
        <f>IF(AND(C106&lt;H$4,Results!D106&lt;50),1,0)</f>
        <v>0</v>
      </c>
      <c r="F106">
        <f t="shared" si="8"/>
        <v>0</v>
      </c>
      <c r="V106" t="str">
        <f>'Processed HWF'!A106</f>
        <v>Luxembourg</v>
      </c>
      <c r="W106">
        <f>'Processed HWF'!I106</f>
        <v>14.996359825134277</v>
      </c>
      <c r="X106" s="7">
        <f>'Processed HWF'!K106</f>
        <v>1.4204446924115106E-3</v>
      </c>
      <c r="Y106">
        <f>'Processed HWF'!O106</f>
        <v>0.57499345160898763</v>
      </c>
      <c r="Z106">
        <f>'Processed HWF'!P106</f>
        <v>0</v>
      </c>
      <c r="AA106">
        <f>'Processed HWF'!N106</f>
        <v>86.48</v>
      </c>
      <c r="AB106">
        <f t="shared" si="9"/>
        <v>0</v>
      </c>
    </row>
    <row r="107" spans="1:28" x14ac:dyDescent="0.35">
      <c r="A107" t="str">
        <f>VLOOKUP(B107,'Reference table'!A$2:D$195,4,FALSE)</f>
        <v>EUR</v>
      </c>
      <c r="B107" t="str">
        <f>'Processed HWF'!A107</f>
        <v>Latvia</v>
      </c>
      <c r="C107" s="4">
        <f>'Processed HWF'!M107</f>
        <v>78.390331506729126</v>
      </c>
      <c r="D107">
        <f>'Processed HWF'!N107</f>
        <v>71.77</v>
      </c>
      <c r="E107">
        <f>IF(AND(C107&lt;H$4,Results!D107&lt;50),1,0)</f>
        <v>0</v>
      </c>
      <c r="F107">
        <f t="shared" si="8"/>
        <v>0</v>
      </c>
      <c r="V107" t="str">
        <f>'Processed HWF'!A107</f>
        <v>Latvia</v>
      </c>
      <c r="W107">
        <f>'Processed HWF'!I107</f>
        <v>386.73733520507813</v>
      </c>
      <c r="X107" s="7">
        <f>'Processed HWF'!K107</f>
        <v>2.1758645089692961E-2</v>
      </c>
      <c r="Y107">
        <f>'Processed HWF'!O107</f>
        <v>0.50168031766417231</v>
      </c>
      <c r="Z107">
        <f>'Processed HWF'!P107</f>
        <v>2.3118979097922735E-3</v>
      </c>
      <c r="AA107">
        <f>'Processed HWF'!N107</f>
        <v>71.77</v>
      </c>
      <c r="AB107">
        <f t="shared" si="9"/>
        <v>0</v>
      </c>
    </row>
    <row r="108" spans="1:28" x14ac:dyDescent="0.35">
      <c r="A108" t="str">
        <f>VLOOKUP(B108,'Reference table'!A$2:D$195,4,FALSE)</f>
        <v>EMR</v>
      </c>
      <c r="B108" t="str">
        <f>'Processed HWF'!A108</f>
        <v>Morocco</v>
      </c>
      <c r="C108" s="4">
        <f>'Processed HWF'!M108</f>
        <v>21.183988571166992</v>
      </c>
      <c r="D108">
        <f>'Processed HWF'!N108</f>
        <v>72.739999999999995</v>
      </c>
      <c r="E108">
        <f>IF(AND(C108&lt;H$4,Results!D108&lt;50),1,0)</f>
        <v>0</v>
      </c>
      <c r="F108">
        <f t="shared" si="8"/>
        <v>0</v>
      </c>
      <c r="V108" t="str">
        <f>'Processed HWF'!A108</f>
        <v>Morocco</v>
      </c>
      <c r="W108">
        <f>'Processed HWF'!I108</f>
        <v>140798.546875</v>
      </c>
      <c r="X108" s="7">
        <f>'Processed HWF'!K108</f>
        <v>1.5170733403086709</v>
      </c>
      <c r="Y108">
        <f>'Processed HWF'!O108</f>
        <v>0.62553857215929531</v>
      </c>
      <c r="Z108">
        <f>'Processed HWF'!P108</f>
        <v>1.0709127608698084E-3</v>
      </c>
      <c r="AA108">
        <f>'Processed HWF'!N108</f>
        <v>72.739999999999995</v>
      </c>
      <c r="AB108">
        <f t="shared" si="9"/>
        <v>0</v>
      </c>
    </row>
    <row r="109" spans="1:28" x14ac:dyDescent="0.35">
      <c r="A109" t="str">
        <f>VLOOKUP(B109,'Reference table'!A$2:D$195,4,FALSE)</f>
        <v>EUR</v>
      </c>
      <c r="B109" t="str">
        <f>'Processed HWF'!A109</f>
        <v>Monaco</v>
      </c>
      <c r="C109" s="4">
        <f>'Processed HWF'!M109</f>
        <v>276.52733087539673</v>
      </c>
      <c r="D109">
        <f>'Processed HWF'!N109</f>
        <v>84.82</v>
      </c>
      <c r="E109">
        <f>IF(AND(C109&lt;H$4,Results!D109&lt;50),1,0)</f>
        <v>0</v>
      </c>
      <c r="F109">
        <f t="shared" si="8"/>
        <v>0</v>
      </c>
      <c r="V109" t="str">
        <f>'Processed HWF'!A109</f>
        <v>Monaco</v>
      </c>
      <c r="W109">
        <f>'Processed HWF'!I109</f>
        <v>0</v>
      </c>
      <c r="X109" s="7">
        <f>'Processed HWF'!K109</f>
        <v>0</v>
      </c>
      <c r="Y109">
        <f>'Processed HWF'!O109</f>
        <v>0.59392518601569666</v>
      </c>
      <c r="Z109">
        <f>'Processed HWF'!P109</f>
        <v>2.5247081395075957E-3</v>
      </c>
      <c r="AA109">
        <f>'Processed HWF'!N109</f>
        <v>84.82</v>
      </c>
      <c r="AB109">
        <f t="shared" si="9"/>
        <v>0</v>
      </c>
    </row>
    <row r="110" spans="1:28" x14ac:dyDescent="0.35">
      <c r="A110" t="str">
        <f>VLOOKUP(B110,'Reference table'!A$2:D$195,4,FALSE)</f>
        <v>EUR</v>
      </c>
      <c r="B110" t="str">
        <f>'Processed HWF'!A110</f>
        <v>Republic of Moldova</v>
      </c>
      <c r="C110" s="4">
        <f>'Processed HWF'!M110</f>
        <v>77.811820507049561</v>
      </c>
      <c r="D110">
        <f>'Processed HWF'!N110</f>
        <v>67.42</v>
      </c>
      <c r="E110">
        <f>IF(AND(C110&lt;H$4,Results!D110&lt;50),1,0)</f>
        <v>0</v>
      </c>
      <c r="F110">
        <f t="shared" si="8"/>
        <v>0</v>
      </c>
      <c r="V110" t="str">
        <f>'Processed HWF'!A110</f>
        <v>Republic of Moldova</v>
      </c>
      <c r="W110">
        <f>'Processed HWF'!I110</f>
        <v>1171.0157470703125</v>
      </c>
      <c r="X110" s="7">
        <f>'Processed HWF'!K110</f>
        <v>3.4181258247108132E-2</v>
      </c>
      <c r="Y110">
        <f>'Processed HWF'!O110</f>
        <v>0.16885157350228547</v>
      </c>
      <c r="Z110">
        <f>'Processed HWF'!P110</f>
        <v>1.8411166150422886E-2</v>
      </c>
      <c r="AA110">
        <f>'Processed HWF'!N110</f>
        <v>67.42</v>
      </c>
      <c r="AB110">
        <f t="shared" si="9"/>
        <v>0</v>
      </c>
    </row>
    <row r="111" spans="1:28" x14ac:dyDescent="0.35">
      <c r="A111" t="str">
        <f>VLOOKUP(B111,'Reference table'!A$2:D$195,4,FALSE)</f>
        <v>AFR</v>
      </c>
      <c r="B111" t="str">
        <f>'Processed HWF'!A111</f>
        <v>Madagascar</v>
      </c>
      <c r="C111" s="4">
        <f>'Processed HWF'!M111</f>
        <v>4.9646388292312622</v>
      </c>
      <c r="D111">
        <f>'Processed HWF'!N111</f>
        <v>34.65</v>
      </c>
      <c r="E111">
        <f>IF(AND(C111&lt;H$4,Results!D111&lt;50),1,0)</f>
        <v>1</v>
      </c>
      <c r="F111">
        <f t="shared" si="8"/>
        <v>1</v>
      </c>
      <c r="V111" t="str">
        <f>'Processed HWF'!A111</f>
        <v>Madagascar</v>
      </c>
      <c r="W111">
        <f>'Processed HWF'!I111</f>
        <v>183772.734375</v>
      </c>
      <c r="X111" s="7">
        <f>'Processed HWF'!K111</f>
        <v>12.519091743540692</v>
      </c>
      <c r="Y111">
        <f>'Processed HWF'!O111</f>
        <v>2.7702592949092733E-2</v>
      </c>
      <c r="Z111">
        <f>'Processed HWF'!P111</f>
        <v>0.90312232647532464</v>
      </c>
      <c r="AA111">
        <f>'Processed HWF'!N111</f>
        <v>34.65</v>
      </c>
      <c r="AB111">
        <f t="shared" si="9"/>
        <v>0</v>
      </c>
    </row>
    <row r="112" spans="1:28" x14ac:dyDescent="0.35">
      <c r="A112" t="str">
        <f>VLOOKUP(B112,'Reference table'!A$2:D$195,4,FALSE)</f>
        <v>SEAR</v>
      </c>
      <c r="B112" t="str">
        <f>'Processed HWF'!A112</f>
        <v>Maldives</v>
      </c>
      <c r="C112" s="4">
        <f>'Processed HWF'!M112</f>
        <v>58.644843101501465</v>
      </c>
      <c r="D112">
        <f>'Processed HWF'!N112</f>
        <v>69.17</v>
      </c>
      <c r="E112">
        <f>IF(AND(C112&lt;H$4,Results!D112&lt;50),1,0)</f>
        <v>0</v>
      </c>
      <c r="F112">
        <f t="shared" si="8"/>
        <v>0</v>
      </c>
      <c r="V112" t="str">
        <f>'Processed HWF'!A112</f>
        <v>Maldives</v>
      </c>
      <c r="W112">
        <f>'Processed HWF'!I112</f>
        <v>123.56709289550781</v>
      </c>
      <c r="X112" s="7">
        <f>'Processed HWF'!K112</f>
        <v>3.4583440501133891E-2</v>
      </c>
      <c r="Y112">
        <f>'Processed HWF'!O112</f>
        <v>0.68018884679138059</v>
      </c>
      <c r="Z112">
        <f>'Processed HWF'!P112</f>
        <v>0</v>
      </c>
      <c r="AA112">
        <f>'Processed HWF'!N112</f>
        <v>69.17</v>
      </c>
      <c r="AB112">
        <f t="shared" si="9"/>
        <v>0</v>
      </c>
    </row>
    <row r="113" spans="1:28" x14ac:dyDescent="0.35">
      <c r="A113" t="str">
        <f>VLOOKUP(B113,'Reference table'!A$2:D$195,4,FALSE)</f>
        <v>AMR</v>
      </c>
      <c r="B113" t="str">
        <f>'Processed HWF'!A113</f>
        <v>Mexico</v>
      </c>
      <c r="C113" s="4">
        <f>'Processed HWF'!M113</f>
        <v>52.3169530488085</v>
      </c>
      <c r="D113">
        <f>'Processed HWF'!N113</f>
        <v>73.88</v>
      </c>
      <c r="E113">
        <f>IF(AND(C113&lt;H$4,Results!D113&lt;50),1,0)</f>
        <v>0</v>
      </c>
      <c r="F113">
        <f t="shared" si="8"/>
        <v>0</v>
      </c>
      <c r="V113" t="str">
        <f>'Processed HWF'!A113</f>
        <v>Mexico</v>
      </c>
      <c r="W113">
        <f>'Processed HWF'!I113</f>
        <v>137810.859375</v>
      </c>
      <c r="X113" s="7">
        <f>'Processed HWF'!K113</f>
        <v>0.19747926208678312</v>
      </c>
      <c r="Y113">
        <f>'Processed HWF'!O113</f>
        <v>0.56888202022646639</v>
      </c>
      <c r="Z113">
        <f>'Processed HWF'!P113</f>
        <v>7.6744578497526831E-3</v>
      </c>
      <c r="AA113">
        <f>'Processed HWF'!N113</f>
        <v>73.88</v>
      </c>
      <c r="AB113">
        <f t="shared" si="9"/>
        <v>0</v>
      </c>
    </row>
    <row r="114" spans="1:28" x14ac:dyDescent="0.35">
      <c r="A114" t="str">
        <f>VLOOKUP(B114,'Reference table'!A$2:D$195,4,FALSE)</f>
        <v>WPR</v>
      </c>
      <c r="B114" t="str">
        <f>'Processed HWF'!A114</f>
        <v>Marshall Islands</v>
      </c>
      <c r="C114" s="4">
        <f>'Processed HWF'!M114</f>
        <v>37.615461349487305</v>
      </c>
      <c r="D114">
        <f>'Processed HWF'!N114</f>
        <v>61.8</v>
      </c>
      <c r="E114">
        <f>IF(AND(C114&lt;H$4,Results!D114&lt;50),1,0)</f>
        <v>0</v>
      </c>
      <c r="F114">
        <f t="shared" si="8"/>
        <v>0</v>
      </c>
      <c r="V114" t="str">
        <f>'Processed HWF'!A114</f>
        <v>Marshall Islands</v>
      </c>
      <c r="W114">
        <f>'Processed HWF'!I114</f>
        <v>77.870407104492188</v>
      </c>
      <c r="X114" s="7">
        <f>'Processed HWF'!K114</f>
        <v>0.33294455920674987</v>
      </c>
      <c r="Y114">
        <f>'Processed HWF'!O114</f>
        <v>0.37887285873568266</v>
      </c>
      <c r="Z114">
        <f>'Processed HWF'!P114</f>
        <v>8.7019436100049235E-3</v>
      </c>
      <c r="AA114">
        <f>'Processed HWF'!N114</f>
        <v>61.8</v>
      </c>
      <c r="AB114">
        <f t="shared" si="9"/>
        <v>0</v>
      </c>
    </row>
    <row r="115" spans="1:28" x14ac:dyDescent="0.35">
      <c r="A115" t="str">
        <f>VLOOKUP(B115,'Reference table'!A$2:D$195,4,FALSE)</f>
        <v>EUR</v>
      </c>
      <c r="B115" t="str">
        <f>'Processed HWF'!A115</f>
        <v>The former Yugoslav Republic of Macedonia</v>
      </c>
      <c r="C115" s="4">
        <f>'Processed HWF'!M115</f>
        <v>70.949876308441162</v>
      </c>
      <c r="D115">
        <f>'Processed HWF'!N115</f>
        <v>68.41</v>
      </c>
      <c r="E115">
        <f>IF(AND(C115&lt;H$4,Results!D115&lt;50),1,0)</f>
        <v>0</v>
      </c>
      <c r="F115">
        <f t="shared" si="8"/>
        <v>0</v>
      </c>
      <c r="V115" t="str">
        <f>'Processed HWF'!A115</f>
        <v>The former Yugoslav Republic of Macedonia</v>
      </c>
      <c r="W115">
        <f>'Processed HWF'!I115</f>
        <v>0</v>
      </c>
      <c r="X115" s="7">
        <f>'Processed HWF'!K115</f>
        <v>0</v>
      </c>
      <c r="Y115">
        <f>'Processed HWF'!O115</f>
        <v>0.3920441782104081</v>
      </c>
      <c r="Z115">
        <f>'Processed HWF'!P115</f>
        <v>1.6638096726652361E-2</v>
      </c>
      <c r="AA115">
        <f>'Processed HWF'!N115</f>
        <v>68.41</v>
      </c>
      <c r="AB115">
        <f t="shared" si="9"/>
        <v>0</v>
      </c>
    </row>
    <row r="116" spans="1:28" x14ac:dyDescent="0.35">
      <c r="A116" t="str">
        <f>VLOOKUP(B116,'Reference table'!A$2:D$195,4,FALSE)</f>
        <v>AFR</v>
      </c>
      <c r="B116" t="str">
        <f>'Processed HWF'!A116</f>
        <v>Mali</v>
      </c>
      <c r="C116" s="4">
        <f>'Processed HWF'!M116</f>
        <v>5.6874344348907471</v>
      </c>
      <c r="D116">
        <f>'Processed HWF'!N116</f>
        <v>41.55</v>
      </c>
      <c r="E116">
        <f>IF(AND(C116&lt;H$4,Results!D116&lt;50),1,0)</f>
        <v>1</v>
      </c>
      <c r="F116">
        <f t="shared" si="8"/>
        <v>1</v>
      </c>
      <c r="V116" t="str">
        <f>'Processed HWF'!A116</f>
        <v>Mali</v>
      </c>
      <c r="W116">
        <f>'Processed HWF'!I116</f>
        <v>133219</v>
      </c>
      <c r="X116" s="7">
        <f>'Processed HWF'!K116</f>
        <v>11.345219914893434</v>
      </c>
      <c r="Y116">
        <f>'Processed HWF'!O116</f>
        <v>2.8333599906729762E-2</v>
      </c>
      <c r="Z116">
        <f>'Processed HWF'!P116</f>
        <v>0.53093402802419354</v>
      </c>
      <c r="AA116">
        <f>'Processed HWF'!N116</f>
        <v>41.55</v>
      </c>
      <c r="AB116">
        <f t="shared" si="9"/>
        <v>0</v>
      </c>
    </row>
    <row r="117" spans="1:28" x14ac:dyDescent="0.35">
      <c r="A117" t="str">
        <f>VLOOKUP(B117,'Reference table'!A$2:D$195,4,FALSE)</f>
        <v>EUR</v>
      </c>
      <c r="B117" t="str">
        <f>'Processed HWF'!A117</f>
        <v>Malta</v>
      </c>
      <c r="C117" s="4">
        <f>'Processed HWF'!M117</f>
        <v>123.44289684295654</v>
      </c>
      <c r="D117">
        <f>'Processed HWF'!N117</f>
        <v>81.25</v>
      </c>
      <c r="E117">
        <f>IF(AND(C117&lt;H$4,Results!D117&lt;50),1,0)</f>
        <v>0</v>
      </c>
      <c r="F117">
        <f t="shared" si="8"/>
        <v>0</v>
      </c>
      <c r="V117" t="str">
        <f>'Processed HWF'!A117</f>
        <v>Malta</v>
      </c>
      <c r="W117">
        <f>'Processed HWF'!I117</f>
        <v>0</v>
      </c>
      <c r="X117" s="7">
        <f>'Processed HWF'!K117</f>
        <v>0</v>
      </c>
      <c r="Y117">
        <f>'Processed HWF'!O117</f>
        <v>0.7623910728305906</v>
      </c>
      <c r="Z117">
        <f>'Processed HWF'!P117</f>
        <v>0</v>
      </c>
      <c r="AA117">
        <f>'Processed HWF'!N117</f>
        <v>81.25</v>
      </c>
      <c r="AB117">
        <f t="shared" si="9"/>
        <v>0</v>
      </c>
    </row>
    <row r="118" spans="1:28" x14ac:dyDescent="0.35">
      <c r="A118" t="str">
        <f>VLOOKUP(B118,'Reference table'!A$2:D$195,4,FALSE)</f>
        <v>SEAR</v>
      </c>
      <c r="B118" t="str">
        <f>'Processed HWF'!A118</f>
        <v>Myanmar</v>
      </c>
      <c r="C118" s="4">
        <f>'Processed HWF'!M118</f>
        <v>18.205740451812744</v>
      </c>
      <c r="D118">
        <f>'Processed HWF'!N118</f>
        <v>60.5</v>
      </c>
      <c r="E118">
        <f>IF(AND(C118&lt;H$4,Results!D118&lt;50),1,0)</f>
        <v>0</v>
      </c>
      <c r="F118">
        <f t="shared" si="8"/>
        <v>0</v>
      </c>
      <c r="V118" t="str">
        <f>'Processed HWF'!A118</f>
        <v>Myanmar</v>
      </c>
      <c r="W118">
        <f>'Processed HWF'!I118</f>
        <v>254963.8125</v>
      </c>
      <c r="X118" s="7">
        <f>'Processed HWF'!K118</f>
        <v>2.3801521684129039</v>
      </c>
      <c r="Y118">
        <f>'Processed HWF'!O118</f>
        <v>0.28619691673191228</v>
      </c>
      <c r="Z118">
        <f>'Processed HWF'!P118</f>
        <v>6.0651104095694706E-2</v>
      </c>
      <c r="AA118">
        <f>'Processed HWF'!N118</f>
        <v>60.5</v>
      </c>
      <c r="AB118">
        <f t="shared" si="9"/>
        <v>0</v>
      </c>
    </row>
    <row r="119" spans="1:28" x14ac:dyDescent="0.35">
      <c r="A119" t="str">
        <f>VLOOKUP(B119,'Reference table'!A$2:D$195,4,FALSE)</f>
        <v>EUR</v>
      </c>
      <c r="B119" t="str">
        <f>'Processed HWF'!A119</f>
        <v>Montenegro</v>
      </c>
      <c r="C119" s="4">
        <f>'Processed HWF'!M119</f>
        <v>81.122562408447266</v>
      </c>
      <c r="D119">
        <f>'Processed HWF'!N119</f>
        <v>67.16</v>
      </c>
      <c r="E119">
        <f>IF(AND(C119&lt;H$4,Results!D119&lt;50),1,0)</f>
        <v>0</v>
      </c>
      <c r="F119">
        <f t="shared" si="8"/>
        <v>0</v>
      </c>
      <c r="V119" t="str">
        <f>'Processed HWF'!A119</f>
        <v>Montenegro</v>
      </c>
      <c r="W119">
        <f>'Processed HWF'!I119</f>
        <v>89.443717956542969</v>
      </c>
      <c r="X119" s="7">
        <f>'Processed HWF'!K119</f>
        <v>1.6975355939095303E-2</v>
      </c>
      <c r="Y119">
        <f>'Processed HWF'!O119</f>
        <v>0.39406300651846476</v>
      </c>
      <c r="Z119">
        <f>'Processed HWF'!P119</f>
        <v>1.7820302904417485E-2</v>
      </c>
      <c r="AA119">
        <f>'Processed HWF'!N119</f>
        <v>67.16</v>
      </c>
      <c r="AB119">
        <f t="shared" si="9"/>
        <v>0</v>
      </c>
    </row>
    <row r="120" spans="1:28" x14ac:dyDescent="0.35">
      <c r="A120" t="str">
        <f>VLOOKUP(B120,'Reference table'!A$2:D$195,4,FALSE)</f>
        <v>WPR</v>
      </c>
      <c r="B120" t="str">
        <f>'Processed HWF'!A120</f>
        <v>Mongolia</v>
      </c>
      <c r="C120" s="4">
        <f>'Processed HWF'!M120</f>
        <v>80.714088439941406</v>
      </c>
      <c r="D120">
        <f>'Processed HWF'!N120</f>
        <v>63.28</v>
      </c>
      <c r="E120">
        <f>IF(AND(C120&lt;H$4,Results!D120&lt;50),1,0)</f>
        <v>0</v>
      </c>
      <c r="F120">
        <f t="shared" si="8"/>
        <v>0</v>
      </c>
      <c r="V120" t="str">
        <f>'Processed HWF'!A120</f>
        <v>Mongolia</v>
      </c>
      <c r="W120">
        <f>'Processed HWF'!I120</f>
        <v>232.29769897460938</v>
      </c>
      <c r="X120" s="7">
        <f>'Processed HWF'!K120</f>
        <v>7.7349623122383634E-3</v>
      </c>
      <c r="Y120">
        <f>'Processed HWF'!O120</f>
        <v>0.66073593245258966</v>
      </c>
      <c r="Z120">
        <f>'Processed HWF'!P120</f>
        <v>0</v>
      </c>
      <c r="AA120">
        <f>'Processed HWF'!N120</f>
        <v>63.28</v>
      </c>
      <c r="AB120">
        <f t="shared" si="9"/>
        <v>0</v>
      </c>
    </row>
    <row r="121" spans="1:28" x14ac:dyDescent="0.35">
      <c r="A121" t="str">
        <f>VLOOKUP(B121,'Reference table'!A$2:D$195,4,FALSE)</f>
        <v>AFR</v>
      </c>
      <c r="B121" t="str">
        <f>'Processed HWF'!A121</f>
        <v>Mozambique</v>
      </c>
      <c r="C121" s="4">
        <f>'Processed HWF'!M121</f>
        <v>5.6910541653633118</v>
      </c>
      <c r="D121">
        <f>'Processed HWF'!N121</f>
        <v>46.8</v>
      </c>
      <c r="E121">
        <f>IF(AND(C121&lt;H$4,Results!D121&lt;50),1,0)</f>
        <v>1</v>
      </c>
      <c r="F121">
        <f t="shared" si="8"/>
        <v>1</v>
      </c>
      <c r="V121" t="str">
        <f>'Processed HWF'!A121</f>
        <v>Mozambique</v>
      </c>
      <c r="W121">
        <f>'Processed HWF'!I121</f>
        <v>204873.359375</v>
      </c>
      <c r="X121" s="7">
        <f>'Processed HWF'!K121</f>
        <v>11.079246105944165</v>
      </c>
      <c r="Y121">
        <f>'Processed HWF'!O121</f>
        <v>0.23637719327854501</v>
      </c>
      <c r="Z121">
        <f>'Processed HWF'!P121</f>
        <v>0.2527933629163478</v>
      </c>
      <c r="AA121">
        <f>'Processed HWF'!N121</f>
        <v>46.8</v>
      </c>
      <c r="AB121">
        <f t="shared" si="9"/>
        <v>0</v>
      </c>
    </row>
    <row r="122" spans="1:28" x14ac:dyDescent="0.35">
      <c r="A122" t="str">
        <f>VLOOKUP(B122,'Reference table'!A$2:D$195,4,FALSE)</f>
        <v>AFR</v>
      </c>
      <c r="B122" t="str">
        <f>'Processed HWF'!A122</f>
        <v>Mauritania</v>
      </c>
      <c r="C122" s="4">
        <f>'Processed HWF'!M122</f>
        <v>11.116631984710693</v>
      </c>
      <c r="D122">
        <f>'Processed HWF'!N122</f>
        <v>39.57</v>
      </c>
      <c r="E122">
        <f>IF(AND(C122&lt;H$4,Results!D122&lt;50),1,0)</f>
        <v>1</v>
      </c>
      <c r="F122">
        <f t="shared" si="8"/>
        <v>1</v>
      </c>
      <c r="V122" t="str">
        <f>'Processed HWF'!A122</f>
        <v>Mauritania</v>
      </c>
      <c r="W122">
        <f>'Processed HWF'!I122</f>
        <v>26463.5625</v>
      </c>
      <c r="X122" s="7">
        <f>'Processed HWF'!K122</f>
        <v>4.8134899905861346</v>
      </c>
      <c r="Y122">
        <f>'Processed HWF'!O122</f>
        <v>0.19887763788218402</v>
      </c>
      <c r="Z122">
        <f>'Processed HWF'!P122</f>
        <v>0.12951282489809973</v>
      </c>
      <c r="AA122">
        <f>'Processed HWF'!N122</f>
        <v>39.57</v>
      </c>
      <c r="AB122">
        <f t="shared" si="9"/>
        <v>0</v>
      </c>
    </row>
    <row r="123" spans="1:28" x14ac:dyDescent="0.35">
      <c r="A123" t="str">
        <f>VLOOKUP(B123,'Reference table'!A$2:D$195,4,FALSE)</f>
        <v>AFR</v>
      </c>
      <c r="B123" t="str">
        <f>'Processed HWF'!A123</f>
        <v>Mauritius</v>
      </c>
      <c r="C123" s="4">
        <f>'Processed HWF'!M123</f>
        <v>66.474699020385742</v>
      </c>
      <c r="D123">
        <f>'Processed HWF'!N123</f>
        <v>64.56</v>
      </c>
      <c r="E123">
        <f>IF(AND(C123&lt;H$4,Results!D123&lt;50),1,0)</f>
        <v>0</v>
      </c>
      <c r="F123">
        <f t="shared" si="8"/>
        <v>0</v>
      </c>
      <c r="V123" t="str">
        <f>'Processed HWF'!A123</f>
        <v>Mauritius</v>
      </c>
      <c r="W123">
        <f>'Processed HWF'!I123</f>
        <v>0</v>
      </c>
      <c r="X123" s="7">
        <f>'Processed HWF'!K123</f>
        <v>0</v>
      </c>
      <c r="Y123">
        <f>'Processed HWF'!O123</f>
        <v>0.71546068150794795</v>
      </c>
      <c r="Z123">
        <f>'Processed HWF'!P123</f>
        <v>0</v>
      </c>
      <c r="AA123">
        <f>'Processed HWF'!N123</f>
        <v>64.56</v>
      </c>
      <c r="AB123">
        <f t="shared" si="9"/>
        <v>0</v>
      </c>
    </row>
    <row r="124" spans="1:28" x14ac:dyDescent="0.35">
      <c r="A124" t="str">
        <f>VLOOKUP(B124,'Reference table'!A$2:D$195,4,FALSE)</f>
        <v>AFR</v>
      </c>
      <c r="B124" t="str">
        <f>'Processed HWF'!A124</f>
        <v>Malawi</v>
      </c>
      <c r="C124" s="4">
        <f>'Processed HWF'!M124</f>
        <v>7.6031413078308105</v>
      </c>
      <c r="D124">
        <f>'Processed HWF'!N124</f>
        <v>48.26</v>
      </c>
      <c r="E124">
        <f>IF(AND(C124&lt;H$4,Results!D124&lt;50),1,0)</f>
        <v>1</v>
      </c>
      <c r="F124">
        <f t="shared" si="8"/>
        <v>1</v>
      </c>
      <c r="V124" t="str">
        <f>'Processed HWF'!A124</f>
        <v>Malawi</v>
      </c>
      <c r="W124">
        <f>'Processed HWF'!I124</f>
        <v>109392.21875</v>
      </c>
      <c r="X124" s="7">
        <f>'Processed HWF'!K124</f>
        <v>7.3688397532090884</v>
      </c>
      <c r="Y124">
        <f>'Processed HWF'!O124</f>
        <v>3.5927638501131627E-2</v>
      </c>
      <c r="Z124">
        <f>'Processed HWF'!P124</f>
        <v>0.56693548935310334</v>
      </c>
      <c r="AA124">
        <f>'Processed HWF'!N124</f>
        <v>48.26</v>
      </c>
      <c r="AB124">
        <f t="shared" si="9"/>
        <v>0</v>
      </c>
    </row>
    <row r="125" spans="1:28" x14ac:dyDescent="0.35">
      <c r="A125" t="str">
        <f>VLOOKUP(B125,'Reference table'!A$2:D$195,4,FALSE)</f>
        <v>WPR</v>
      </c>
      <c r="B125" t="str">
        <f>'Processed HWF'!A125</f>
        <v>Malaysia</v>
      </c>
      <c r="C125" s="4">
        <f>'Processed HWF'!M125</f>
        <v>57.728977203369141</v>
      </c>
      <c r="D125">
        <f>'Processed HWF'!N125</f>
        <v>75.81</v>
      </c>
      <c r="E125">
        <f>IF(AND(C125&lt;H$4,Results!D125&lt;50),1,0)</f>
        <v>0</v>
      </c>
      <c r="F125">
        <f t="shared" si="8"/>
        <v>0</v>
      </c>
      <c r="V125" t="str">
        <f>'Processed HWF'!A125</f>
        <v>Malaysia</v>
      </c>
      <c r="W125">
        <f>'Processed HWF'!I125</f>
        <v>0</v>
      </c>
      <c r="X125" s="7">
        <f>'Processed HWF'!K125</f>
        <v>0</v>
      </c>
      <c r="Y125">
        <f>'Processed HWF'!O125</f>
        <v>0.78307355814971136</v>
      </c>
      <c r="Z125">
        <f>'Processed HWF'!P125</f>
        <v>0</v>
      </c>
      <c r="AA125">
        <f>'Processed HWF'!N125</f>
        <v>75.81</v>
      </c>
      <c r="AB125">
        <f t="shared" si="9"/>
        <v>0</v>
      </c>
    </row>
    <row r="126" spans="1:28" x14ac:dyDescent="0.35">
      <c r="A126" t="str">
        <f>VLOOKUP(B126,'Reference table'!A$2:D$195,4,FALSE)</f>
        <v>AFR</v>
      </c>
      <c r="B126" t="str">
        <f>'Processed HWF'!A126</f>
        <v>Namibia</v>
      </c>
      <c r="C126" s="4">
        <f>'Processed HWF'!M126</f>
        <v>29.740900039672852</v>
      </c>
      <c r="D126">
        <f>'Processed HWF'!N126</f>
        <v>61.57</v>
      </c>
      <c r="E126">
        <f>IF(AND(C126&lt;H$4,Results!D126&lt;50),1,0)</f>
        <v>0</v>
      </c>
      <c r="F126">
        <f t="shared" si="8"/>
        <v>0</v>
      </c>
      <c r="V126" t="str">
        <f>'Processed HWF'!A126</f>
        <v>Namibia</v>
      </c>
      <c r="W126">
        <f>'Processed HWF'!I126</f>
        <v>7075.5986328125</v>
      </c>
      <c r="X126" s="7">
        <f>'Processed HWF'!K126</f>
        <v>0.8461375928577699</v>
      </c>
      <c r="Y126">
        <f>'Processed HWF'!O126</f>
        <v>0.1353871947199915</v>
      </c>
      <c r="Z126">
        <f>'Processed HWF'!P126</f>
        <v>5.9537573130763591E-2</v>
      </c>
      <c r="AA126">
        <f>'Processed HWF'!N126</f>
        <v>61.57</v>
      </c>
      <c r="AB126">
        <f t="shared" si="9"/>
        <v>1</v>
      </c>
    </row>
    <row r="127" spans="1:28" x14ac:dyDescent="0.35">
      <c r="A127" t="str">
        <f>VLOOKUP(B127,'Reference table'!A$2:D$195,4,FALSE)</f>
        <v>AFR</v>
      </c>
      <c r="B127" t="str">
        <f>'Processed HWF'!A127</f>
        <v>Niger</v>
      </c>
      <c r="C127" s="4">
        <f>'Processed HWF'!M127</f>
        <v>2.5829877555370331</v>
      </c>
      <c r="D127">
        <f>'Processed HWF'!N127</f>
        <v>37.369999999999997</v>
      </c>
      <c r="E127">
        <f>IF(AND(C127&lt;H$4,Results!D127&lt;50),1,0)</f>
        <v>1</v>
      </c>
      <c r="F127">
        <f t="shared" si="8"/>
        <v>1</v>
      </c>
      <c r="V127" t="str">
        <f>'Processed HWF'!A127</f>
        <v>Niger</v>
      </c>
      <c r="W127">
        <f>'Processed HWF'!I127</f>
        <v>169920.203125</v>
      </c>
      <c r="X127" s="7">
        <f>'Processed HWF'!K127</f>
        <v>26.759907417857647</v>
      </c>
      <c r="Y127">
        <f>'Processed HWF'!O127</f>
        <v>4.1730361300806505E-2</v>
      </c>
      <c r="Z127">
        <f>'Processed HWF'!P127</f>
        <v>1.0381661527698054</v>
      </c>
      <c r="AA127">
        <f>'Processed HWF'!N127</f>
        <v>37.369999999999997</v>
      </c>
      <c r="AB127">
        <f t="shared" si="9"/>
        <v>0</v>
      </c>
    </row>
    <row r="128" spans="1:28" x14ac:dyDescent="0.35">
      <c r="A128" t="str">
        <f>VLOOKUP(B128,'Reference table'!A$2:D$195,4,FALSE)</f>
        <v>AFR</v>
      </c>
      <c r="B128" t="str">
        <f>'Processed HWF'!A128</f>
        <v>Nigeria</v>
      </c>
      <c r="C128" s="4">
        <f>'Processed HWF'!M128</f>
        <v>18.8071448802948</v>
      </c>
      <c r="D128">
        <f>'Processed HWF'!N128</f>
        <v>44.49</v>
      </c>
      <c r="E128">
        <f>IF(AND(C128&lt;H$4,Results!D128&lt;50),1,0)</f>
        <v>1</v>
      </c>
      <c r="F128">
        <f t="shared" si="8"/>
        <v>1</v>
      </c>
      <c r="V128" t="str">
        <f>'Processed HWF'!A128</f>
        <v>Nigeria</v>
      </c>
      <c r="W128">
        <f>'Processed HWF'!I128</f>
        <v>986947.375</v>
      </c>
      <c r="X128" s="7">
        <f>'Processed HWF'!K128</f>
        <v>2.3641841562522083</v>
      </c>
      <c r="Y128">
        <f>'Processed HWF'!O128</f>
        <v>2.3937265150945849E-2</v>
      </c>
      <c r="Z128">
        <f>'Processed HWF'!P128</f>
        <v>0.1766830834958236</v>
      </c>
      <c r="AA128">
        <f>'Processed HWF'!N128</f>
        <v>44.49</v>
      </c>
      <c r="AB128">
        <f t="shared" si="9"/>
        <v>0</v>
      </c>
    </row>
    <row r="129" spans="1:28" x14ac:dyDescent="0.35">
      <c r="A129" t="str">
        <f>VLOOKUP(B129,'Reference table'!A$2:D$195,4,FALSE)</f>
        <v>AMR</v>
      </c>
      <c r="B129" t="str">
        <f>'Processed HWF'!A129</f>
        <v>Nicaragua</v>
      </c>
      <c r="C129" s="4">
        <f>'Processed HWF'!M129</f>
        <v>34.890394926071167</v>
      </c>
      <c r="D129">
        <f>'Processed HWF'!N129</f>
        <v>70.05</v>
      </c>
      <c r="E129">
        <f>IF(AND(C129&lt;H$4,Results!D129&lt;50),1,0)</f>
        <v>0</v>
      </c>
      <c r="F129">
        <f t="shared" si="8"/>
        <v>0</v>
      </c>
      <c r="V129" t="str">
        <f>'Processed HWF'!A129</f>
        <v>Nicaragua</v>
      </c>
      <c r="W129">
        <f>'Processed HWF'!I129</f>
        <v>15031.63671875</v>
      </c>
      <c r="X129" s="7">
        <f>'Processed HWF'!K129</f>
        <v>0.61083916545733363</v>
      </c>
      <c r="Y129">
        <f>'Processed HWF'!O129</f>
        <v>0.45870710692372652</v>
      </c>
      <c r="Z129">
        <f>'Processed HWF'!P129</f>
        <v>4.6015914156625091E-3</v>
      </c>
      <c r="AA129">
        <f>'Processed HWF'!N129</f>
        <v>70.05</v>
      </c>
      <c r="AB129">
        <f t="shared" si="9"/>
        <v>0</v>
      </c>
    </row>
    <row r="130" spans="1:28" x14ac:dyDescent="0.35">
      <c r="A130" t="str">
        <f>VLOOKUP(B130,'Reference table'!A$2:D$195,4,FALSE)</f>
        <v>WPR</v>
      </c>
      <c r="B130" t="str">
        <f>'Processed HWF'!A130</f>
        <v>Niue</v>
      </c>
      <c r="C130" s="4">
        <f>'Processed HWF'!M130</f>
        <v>142.59469795227051</v>
      </c>
      <c r="D130">
        <f>'Processed HWF'!N130</f>
        <v>55.01</v>
      </c>
      <c r="E130">
        <f>IF(AND(C130&lt;H$4,Results!D130&lt;50),1,0)</f>
        <v>0</v>
      </c>
      <c r="F130">
        <f t="shared" si="8"/>
        <v>0</v>
      </c>
      <c r="V130" t="str">
        <f>'Processed HWF'!A130</f>
        <v>Niue</v>
      </c>
      <c r="W130">
        <f>'Processed HWF'!I130</f>
        <v>0</v>
      </c>
      <c r="X130" s="7">
        <f>'Processed HWF'!K130</f>
        <v>0</v>
      </c>
      <c r="Y130">
        <f>'Processed HWF'!O130</f>
        <v>0.71075401730531518</v>
      </c>
      <c r="Z130">
        <f>'Processed HWF'!P130</f>
        <v>0</v>
      </c>
      <c r="AA130">
        <f>'Processed HWF'!N130</f>
        <v>55.01</v>
      </c>
      <c r="AB130">
        <f t="shared" si="9"/>
        <v>0</v>
      </c>
    </row>
    <row r="131" spans="1:28" x14ac:dyDescent="0.35">
      <c r="A131" t="str">
        <f>VLOOKUP(B131,'Reference table'!A$2:D$195,4,FALSE)</f>
        <v>EUR</v>
      </c>
      <c r="B131" t="str">
        <f>'Processed HWF'!A131</f>
        <v>Netherlands</v>
      </c>
      <c r="C131" s="4">
        <f>'Processed HWF'!M131</f>
        <v>157.54385757446289</v>
      </c>
      <c r="D131">
        <f>'Processed HWF'!N131</f>
        <v>86.29</v>
      </c>
      <c r="E131">
        <f>IF(AND(C131&lt;H$4,Results!D131&lt;50),1,0)</f>
        <v>0</v>
      </c>
      <c r="F131">
        <f t="shared" ref="F131:F194" si="10">IF(AND(A131="AFR",E131=1),1,0)</f>
        <v>0</v>
      </c>
      <c r="V131" t="str">
        <f>'Processed HWF'!A131</f>
        <v>Netherlands</v>
      </c>
      <c r="W131">
        <f>'Processed HWF'!I131</f>
        <v>0</v>
      </c>
      <c r="X131" s="7">
        <f>'Processed HWF'!K131</f>
        <v>0</v>
      </c>
      <c r="Y131">
        <f>'Processed HWF'!O131</f>
        <v>0.62973468174936387</v>
      </c>
      <c r="Z131">
        <f>'Processed HWF'!P131</f>
        <v>0</v>
      </c>
      <c r="AA131">
        <f>'Processed HWF'!N131</f>
        <v>86.29</v>
      </c>
      <c r="AB131">
        <f t="shared" ref="AB131:AB194" si="11">IF(AND(E131=0,W131&gt;$AG$1,Y131&lt;&gt;0,Y131&lt;$AG$2,Z131&gt;$AG$3,AA131&lt;$AG$5,X131&gt;$AG$4),1,0)</f>
        <v>0</v>
      </c>
    </row>
    <row r="132" spans="1:28" x14ac:dyDescent="0.35">
      <c r="A132" t="str">
        <f>VLOOKUP(B132,'Reference table'!A$2:D$195,4,FALSE)</f>
        <v>EUR</v>
      </c>
      <c r="B132" t="str">
        <f>'Processed HWF'!A132</f>
        <v>Norway</v>
      </c>
      <c r="C132" s="4">
        <f>'Processed HWF'!M132</f>
        <v>234.68607902526855</v>
      </c>
      <c r="D132">
        <f>'Processed HWF'!N132</f>
        <v>85.6</v>
      </c>
      <c r="E132">
        <f>IF(AND(C132&lt;H$4,Results!D132&lt;50),1,0)</f>
        <v>0</v>
      </c>
      <c r="F132">
        <f t="shared" si="10"/>
        <v>0</v>
      </c>
      <c r="V132" t="str">
        <f>'Processed HWF'!A132</f>
        <v>Norway</v>
      </c>
      <c r="W132">
        <f>'Processed HWF'!I132</f>
        <v>0</v>
      </c>
      <c r="X132" s="7">
        <f>'Processed HWF'!K132</f>
        <v>0</v>
      </c>
      <c r="Y132">
        <f>'Processed HWF'!O132</f>
        <v>0.7338072278382437</v>
      </c>
      <c r="Z132">
        <f>'Processed HWF'!P132</f>
        <v>0</v>
      </c>
      <c r="AA132">
        <f>'Processed HWF'!N132</f>
        <v>85.6</v>
      </c>
      <c r="AB132">
        <f t="shared" si="11"/>
        <v>0</v>
      </c>
    </row>
    <row r="133" spans="1:28" x14ac:dyDescent="0.35">
      <c r="A133" t="str">
        <f>VLOOKUP(B133,'Reference table'!A$2:D$195,4,FALSE)</f>
        <v>SEAR</v>
      </c>
      <c r="B133" t="str">
        <f>'Processed HWF'!A133</f>
        <v>Nepal</v>
      </c>
      <c r="C133" s="4">
        <f>'Processed HWF'!M133</f>
        <v>41.987628936767578</v>
      </c>
      <c r="D133">
        <f>'Processed HWF'!N133</f>
        <v>53.06</v>
      </c>
      <c r="E133">
        <f>IF(AND(C133&lt;H$4,Results!D133&lt;50),1,0)</f>
        <v>0</v>
      </c>
      <c r="F133">
        <f t="shared" si="10"/>
        <v>0</v>
      </c>
      <c r="V133" t="str">
        <f>'Processed HWF'!A133</f>
        <v>Nepal</v>
      </c>
      <c r="W133">
        <f>'Processed HWF'!I133</f>
        <v>63232.12890625</v>
      </c>
      <c r="X133" s="7">
        <f>'Processed HWF'!K133</f>
        <v>0.48331419245505269</v>
      </c>
      <c r="Y133">
        <f>'Processed HWF'!O133</f>
        <v>0.36760104263994875</v>
      </c>
      <c r="Z133">
        <f>'Processed HWF'!P133</f>
        <v>0</v>
      </c>
      <c r="AA133">
        <f>'Processed HWF'!N133</f>
        <v>53.06</v>
      </c>
      <c r="AB133">
        <f t="shared" si="11"/>
        <v>0</v>
      </c>
    </row>
    <row r="134" spans="1:28" x14ac:dyDescent="0.35">
      <c r="A134" t="str">
        <f>VLOOKUP(B134,'Reference table'!A$2:D$195,4,FALSE)</f>
        <v>WPR</v>
      </c>
      <c r="B134" t="str">
        <f>'Processed HWF'!A134</f>
        <v>Nauru</v>
      </c>
      <c r="C134" s="4">
        <f>'Processed HWF'!M134</f>
        <v>92.161696434020996</v>
      </c>
      <c r="D134">
        <f>'Processed HWF'!N134</f>
        <v>53.85</v>
      </c>
      <c r="E134">
        <f>IF(AND(C134&lt;H$4,Results!D134&lt;50),1,0)</f>
        <v>0</v>
      </c>
      <c r="F134">
        <f t="shared" si="10"/>
        <v>0</v>
      </c>
      <c r="V134" t="str">
        <f>'Processed HWF'!A134</f>
        <v>Nauru</v>
      </c>
      <c r="W134">
        <f>'Processed HWF'!I134</f>
        <v>2.8433352708816528E-2</v>
      </c>
      <c r="X134" s="7">
        <f>'Processed HWF'!K134</f>
        <v>2.6833365587911989E-4</v>
      </c>
      <c r="Y134">
        <f>'Processed HWF'!O134</f>
        <v>0.67971201772198631</v>
      </c>
      <c r="Z134">
        <f>'Processed HWF'!P134</f>
        <v>1.9620025899414004E-2</v>
      </c>
      <c r="AA134">
        <f>'Processed HWF'!N134</f>
        <v>53.85</v>
      </c>
      <c r="AB134">
        <f t="shared" si="11"/>
        <v>0</v>
      </c>
    </row>
    <row r="135" spans="1:28" x14ac:dyDescent="0.35">
      <c r="A135" t="str">
        <f>VLOOKUP(B135,'Reference table'!A$2:D$195,4,FALSE)</f>
        <v>WPR</v>
      </c>
      <c r="B135" t="str">
        <f>'Processed HWF'!A135</f>
        <v>New Zealand</v>
      </c>
      <c r="C135" s="4">
        <f>'Processed HWF'!M135</f>
        <v>153.94527769088745</v>
      </c>
      <c r="D135">
        <f>'Processed HWF'!N135</f>
        <v>85.53</v>
      </c>
      <c r="E135">
        <f>IF(AND(C135&lt;H$4,Results!D135&lt;50),1,0)</f>
        <v>0</v>
      </c>
      <c r="F135">
        <f t="shared" si="10"/>
        <v>0</v>
      </c>
      <c r="V135" t="str">
        <f>'Processed HWF'!A135</f>
        <v>New Zealand</v>
      </c>
      <c r="W135">
        <f>'Processed HWF'!I135</f>
        <v>0</v>
      </c>
      <c r="X135" s="7">
        <f>'Processed HWF'!K135</f>
        <v>0</v>
      </c>
      <c r="Y135">
        <f>'Processed HWF'!O135</f>
        <v>0.80276025650357419</v>
      </c>
      <c r="Z135">
        <f>'Processed HWF'!P135</f>
        <v>0</v>
      </c>
      <c r="AA135">
        <f>'Processed HWF'!N135</f>
        <v>85.53</v>
      </c>
      <c r="AB135">
        <f t="shared" si="11"/>
        <v>0</v>
      </c>
    </row>
    <row r="136" spans="1:28" x14ac:dyDescent="0.35">
      <c r="A136" t="str">
        <f>VLOOKUP(B136,'Reference table'!A$2:D$195,4,FALSE)</f>
        <v>EMR</v>
      </c>
      <c r="B136" t="str">
        <f>'Processed HWF'!A136</f>
        <v>Oman</v>
      </c>
      <c r="C136" s="4">
        <f>'Processed HWF'!M136</f>
        <v>57.11995267868042</v>
      </c>
      <c r="D136">
        <f>'Processed HWF'!N136</f>
        <v>68.66</v>
      </c>
      <c r="E136">
        <f>IF(AND(C136&lt;H$4,Results!D136&lt;50),1,0)</f>
        <v>0</v>
      </c>
      <c r="F136">
        <f t="shared" si="10"/>
        <v>0</v>
      </c>
      <c r="V136" t="str">
        <f>'Processed HWF'!A136</f>
        <v>Oman</v>
      </c>
      <c r="W136">
        <f>'Processed HWF'!I136</f>
        <v>1045.54345703125</v>
      </c>
      <c r="X136" s="7">
        <f>'Processed HWF'!K136</f>
        <v>3.1144220286047356E-2</v>
      </c>
      <c r="Y136">
        <f>'Processed HWF'!O136</f>
        <v>0.56833102717919814</v>
      </c>
      <c r="Z136">
        <f>'Processed HWF'!P136</f>
        <v>7.8827519057292489E-3</v>
      </c>
      <c r="AA136">
        <f>'Processed HWF'!N136</f>
        <v>68.66</v>
      </c>
      <c r="AB136">
        <f t="shared" si="11"/>
        <v>0</v>
      </c>
    </row>
    <row r="137" spans="1:28" x14ac:dyDescent="0.35">
      <c r="A137" t="str">
        <f>VLOOKUP(B137,'Reference table'!A$2:D$195,4,FALSE)</f>
        <v>EMR</v>
      </c>
      <c r="B137" t="str">
        <f>'Processed HWF'!A137</f>
        <v>Pakistan</v>
      </c>
      <c r="C137" s="4">
        <f>'Processed HWF'!M137</f>
        <v>15.978756189346313</v>
      </c>
      <c r="D137">
        <f>'Processed HWF'!N137</f>
        <v>44.97</v>
      </c>
      <c r="E137">
        <f>IF(AND(C137&lt;H$4,Results!D137&lt;50),1,0)</f>
        <v>1</v>
      </c>
      <c r="F137">
        <f t="shared" si="10"/>
        <v>0</v>
      </c>
      <c r="V137" t="str">
        <f>'Processed HWF'!A137</f>
        <v>Pakistan</v>
      </c>
      <c r="W137">
        <f>'Processed HWF'!I137</f>
        <v>1024730.625</v>
      </c>
      <c r="X137" s="7">
        <f>'Processed HWF'!K137</f>
        <v>2.474129583055102</v>
      </c>
      <c r="Y137">
        <f>'Processed HWF'!O137</f>
        <v>0.34558510720652424</v>
      </c>
      <c r="Z137">
        <f>'Processed HWF'!P137</f>
        <v>3.392241677577254E-2</v>
      </c>
      <c r="AA137">
        <f>'Processed HWF'!N137</f>
        <v>44.97</v>
      </c>
      <c r="AB137">
        <f t="shared" si="11"/>
        <v>0</v>
      </c>
    </row>
    <row r="138" spans="1:28" x14ac:dyDescent="0.35">
      <c r="A138" t="str">
        <f>VLOOKUP(B138,'Reference table'!A$2:D$195,4,FALSE)</f>
        <v>AMR</v>
      </c>
      <c r="B138" t="str">
        <f>'Processed HWF'!A138</f>
        <v>Panama</v>
      </c>
      <c r="C138" s="4">
        <f>'Processed HWF'!M138</f>
        <v>53.63815975189209</v>
      </c>
      <c r="D138">
        <f>'Processed HWF'!N138</f>
        <v>77.28</v>
      </c>
      <c r="E138">
        <f>IF(AND(C138&lt;H$4,Results!D138&lt;50),1,0)</f>
        <v>0</v>
      </c>
      <c r="F138">
        <f t="shared" si="10"/>
        <v>0</v>
      </c>
      <c r="V138" t="str">
        <f>'Processed HWF'!A138</f>
        <v>Panama</v>
      </c>
      <c r="W138">
        <f>'Processed HWF'!I138</f>
        <v>0</v>
      </c>
      <c r="X138" s="7">
        <f>'Processed HWF'!K138</f>
        <v>0</v>
      </c>
      <c r="Y138">
        <f>'Processed HWF'!O138</f>
        <v>0.65379567425077645</v>
      </c>
      <c r="Z138">
        <f>'Processed HWF'!P138</f>
        <v>0</v>
      </c>
      <c r="AA138">
        <f>'Processed HWF'!N138</f>
        <v>77.28</v>
      </c>
      <c r="AB138">
        <f t="shared" si="11"/>
        <v>0</v>
      </c>
    </row>
    <row r="139" spans="1:28" x14ac:dyDescent="0.35">
      <c r="A139" t="str">
        <f>VLOOKUP(B139,'Reference table'!A$2:D$195,4,FALSE)</f>
        <v>AMR</v>
      </c>
      <c r="B139" t="str">
        <f>'Processed HWF'!A139</f>
        <v>Peru</v>
      </c>
      <c r="C139" s="4">
        <f>'Processed HWF'!M139</f>
        <v>43.624292373657227</v>
      </c>
      <c r="D139">
        <f>'Processed HWF'!N139</f>
        <v>78.34</v>
      </c>
      <c r="E139">
        <f>IF(AND(C139&lt;H$4,Results!D139&lt;50),1,0)</f>
        <v>0</v>
      </c>
      <c r="F139">
        <f t="shared" si="10"/>
        <v>0</v>
      </c>
      <c r="V139" t="str">
        <f>'Processed HWF'!A139</f>
        <v>Peru</v>
      </c>
      <c r="W139">
        <f>'Processed HWF'!I139</f>
        <v>31188.28515625</v>
      </c>
      <c r="X139" s="7">
        <f>'Processed HWF'!K139</f>
        <v>0.20308669236124019</v>
      </c>
      <c r="Y139">
        <f>'Processed HWF'!O139</f>
        <v>0.66882332428137037</v>
      </c>
      <c r="Z139">
        <f>'Processed HWF'!P139</f>
        <v>0</v>
      </c>
      <c r="AA139">
        <f>'Processed HWF'!N139</f>
        <v>78.34</v>
      </c>
      <c r="AB139">
        <f t="shared" si="11"/>
        <v>0</v>
      </c>
    </row>
    <row r="140" spans="1:28" x14ac:dyDescent="0.35">
      <c r="A140" t="str">
        <f>VLOOKUP(B140,'Reference table'!A$2:D$195,4,FALSE)</f>
        <v>WPR</v>
      </c>
      <c r="B140" t="str">
        <f>'Processed HWF'!A140</f>
        <v>Philippines</v>
      </c>
      <c r="C140" s="4">
        <f>'Processed HWF'!M140</f>
        <v>62.195405960083008</v>
      </c>
      <c r="D140">
        <f>'Processed HWF'!N140</f>
        <v>55.37</v>
      </c>
      <c r="E140">
        <f>IF(AND(C140&lt;H$4,Results!D140&lt;50),1,0)</f>
        <v>0</v>
      </c>
      <c r="F140">
        <f t="shared" si="10"/>
        <v>0</v>
      </c>
      <c r="V140" t="str">
        <f>'Processed HWF'!A140</f>
        <v>Philippines</v>
      </c>
      <c r="W140">
        <f>'Processed HWF'!I140</f>
        <v>71902.6171875</v>
      </c>
      <c r="X140" s="7">
        <f>'Processed HWF'!K140</f>
        <v>9.6333328502840085E-2</v>
      </c>
      <c r="Y140">
        <f>'Processed HWF'!O140</f>
        <v>0.47139205000337742</v>
      </c>
      <c r="Z140">
        <f>'Processed HWF'!P140</f>
        <v>1.1051628075258063E-2</v>
      </c>
      <c r="AA140">
        <f>'Processed HWF'!N140</f>
        <v>55.37</v>
      </c>
      <c r="AB140">
        <f t="shared" si="11"/>
        <v>0</v>
      </c>
    </row>
    <row r="141" spans="1:28" x14ac:dyDescent="0.35">
      <c r="A141" t="str">
        <f>VLOOKUP(B141,'Reference table'!A$2:D$195,4,FALSE)</f>
        <v>WPR</v>
      </c>
      <c r="B141" t="str">
        <f>'Processed HWF'!A141</f>
        <v>Palau</v>
      </c>
      <c r="C141" s="4">
        <f>'Processed HWF'!M141</f>
        <v>82.356843829154968</v>
      </c>
      <c r="D141">
        <f>'Processed HWF'!N141</f>
        <v>58.77</v>
      </c>
      <c r="E141">
        <f>IF(AND(C141&lt;H$4,Results!D141&lt;50),1,0)</f>
        <v>0</v>
      </c>
      <c r="F141">
        <f t="shared" si="10"/>
        <v>0</v>
      </c>
      <c r="V141" t="str">
        <f>'Processed HWF'!A141</f>
        <v>Palau</v>
      </c>
      <c r="W141">
        <f>'Processed HWF'!I141</f>
        <v>6.2361812591552734</v>
      </c>
      <c r="X141" s="7">
        <f>'Processed HWF'!K141</f>
        <v>3.8976132490429978E-2</v>
      </c>
      <c r="Y141">
        <f>'Processed HWF'!O141</f>
        <v>0.87043997346893653</v>
      </c>
      <c r="Z141">
        <f>'Processed HWF'!P141</f>
        <v>0</v>
      </c>
      <c r="AA141">
        <f>'Processed HWF'!N141</f>
        <v>58.77</v>
      </c>
      <c r="AB141">
        <f t="shared" si="11"/>
        <v>0</v>
      </c>
    </row>
    <row r="142" spans="1:28" x14ac:dyDescent="0.35">
      <c r="A142" t="str">
        <f>VLOOKUP(B142,'Reference table'!A$2:D$195,4,FALSE)</f>
        <v>WPR</v>
      </c>
      <c r="B142" t="str">
        <f>'Processed HWF'!A142</f>
        <v>Papua New Guinea</v>
      </c>
      <c r="C142" s="4">
        <f>'Processed HWF'!M142</f>
        <v>5.1902213096618652</v>
      </c>
      <c r="D142">
        <f>'Processed HWF'!N142</f>
        <v>33.42</v>
      </c>
      <c r="E142">
        <f>IF(AND(C142&lt;H$4,Results!D142&lt;50),1,0)</f>
        <v>1</v>
      </c>
      <c r="F142">
        <f t="shared" si="10"/>
        <v>0</v>
      </c>
      <c r="V142" t="str">
        <f>'Processed HWF'!A142</f>
        <v>Papua New Guinea</v>
      </c>
      <c r="W142">
        <f>'Processed HWF'!I142</f>
        <v>47773.203125</v>
      </c>
      <c r="X142" s="7">
        <f>'Processed HWF'!K142</f>
        <v>9.8981799784511999</v>
      </c>
      <c r="Y142">
        <f>'Processed HWF'!O142</f>
        <v>2.5484116282687964E-2</v>
      </c>
      <c r="Z142">
        <f>'Processed HWF'!P142</f>
        <v>0.50200103102524329</v>
      </c>
      <c r="AA142">
        <f>'Processed HWF'!N142</f>
        <v>33.42</v>
      </c>
      <c r="AB142">
        <f t="shared" si="11"/>
        <v>0</v>
      </c>
    </row>
    <row r="143" spans="1:28" x14ac:dyDescent="0.35">
      <c r="A143" t="str">
        <f>VLOOKUP(B143,'Reference table'!A$2:D$195,4,FALSE)</f>
        <v>EUR</v>
      </c>
      <c r="B143" t="str">
        <f>'Processed HWF'!A143</f>
        <v>Poland</v>
      </c>
      <c r="C143" s="4">
        <f>'Processed HWF'!M143</f>
        <v>106.49603033065796</v>
      </c>
      <c r="D143">
        <f>'Processed HWF'!N143</f>
        <v>73.98</v>
      </c>
      <c r="E143">
        <f>IF(AND(C143&lt;H$4,Results!D143&lt;50),1,0)</f>
        <v>0</v>
      </c>
      <c r="F143">
        <f t="shared" si="10"/>
        <v>0</v>
      </c>
      <c r="V143" t="str">
        <f>'Processed HWF'!A143</f>
        <v>Poland</v>
      </c>
      <c r="W143">
        <f>'Processed HWF'!I143</f>
        <v>0</v>
      </c>
      <c r="X143" s="7">
        <f>'Processed HWF'!K143</f>
        <v>0</v>
      </c>
      <c r="Y143">
        <f>'Processed HWF'!O143</f>
        <v>0.4913605351242466</v>
      </c>
      <c r="Z143">
        <f>'Processed HWF'!P143</f>
        <v>3.3066506139425265E-3</v>
      </c>
      <c r="AA143">
        <f>'Processed HWF'!N143</f>
        <v>73.98</v>
      </c>
      <c r="AB143">
        <f t="shared" si="11"/>
        <v>0</v>
      </c>
    </row>
    <row r="144" spans="1:28" x14ac:dyDescent="0.35">
      <c r="A144" t="str">
        <f>VLOOKUP(B144,'Reference table'!A$2:D$195,4,FALSE)</f>
        <v>SEAR</v>
      </c>
      <c r="B144" t="str">
        <f>'Processed HWF'!A144</f>
        <v>Democratic People's Republic of Korea</v>
      </c>
      <c r="C144" s="4">
        <f>'Processed HWF'!M144</f>
        <v>81.418107748031616</v>
      </c>
      <c r="D144">
        <f>'Processed HWF'!N144</f>
        <v>67.75</v>
      </c>
      <c r="E144">
        <f>IF(AND(C144&lt;H$4,Results!D144&lt;50),1,0)</f>
        <v>0</v>
      </c>
      <c r="F144">
        <f t="shared" si="10"/>
        <v>0</v>
      </c>
      <c r="V144" t="str">
        <f>'Processed HWF'!A144</f>
        <v>Democratic People's Republic of Korea</v>
      </c>
      <c r="W144">
        <f>'Processed HWF'!I144</f>
        <v>2541.976806640625</v>
      </c>
      <c r="X144" s="7">
        <f>'Processed HWF'!K144</f>
        <v>1.125718745447927E-2</v>
      </c>
      <c r="Y144">
        <f>'Processed HWF'!O144</f>
        <v>0</v>
      </c>
      <c r="Z144">
        <f>'Processed HWF'!P144</f>
        <v>1.8971916421749765E-2</v>
      </c>
      <c r="AA144">
        <f>'Processed HWF'!N144</f>
        <v>67.75</v>
      </c>
      <c r="AB144">
        <f t="shared" si="11"/>
        <v>0</v>
      </c>
    </row>
    <row r="145" spans="1:28" x14ac:dyDescent="0.35">
      <c r="A145" t="str">
        <f>VLOOKUP(B145,'Reference table'!A$2:D$195,4,FALSE)</f>
        <v>EUR</v>
      </c>
      <c r="B145" t="str">
        <f>'Processed HWF'!A145</f>
        <v>Portugal</v>
      </c>
      <c r="C145" s="4">
        <f>'Processed HWF'!M145</f>
        <v>129.26470828056335</v>
      </c>
      <c r="D145">
        <f>'Processed HWF'!N145</f>
        <v>84.38</v>
      </c>
      <c r="E145">
        <f>IF(AND(C145&lt;H$4,Results!D145&lt;50),1,0)</f>
        <v>0</v>
      </c>
      <c r="F145">
        <f t="shared" si="10"/>
        <v>0</v>
      </c>
      <c r="V145" t="str">
        <f>'Processed HWF'!A145</f>
        <v>Portugal</v>
      </c>
      <c r="W145">
        <f>'Processed HWF'!I145</f>
        <v>1095.676513671875</v>
      </c>
      <c r="X145" s="7">
        <f>'Processed HWF'!K145</f>
        <v>7.2000091344088463E-3</v>
      </c>
      <c r="Y145">
        <f>'Processed HWF'!O145</f>
        <v>0.71748312849307427</v>
      </c>
      <c r="Z145">
        <f>'Processed HWF'!P145</f>
        <v>0</v>
      </c>
      <c r="AA145">
        <f>'Processed HWF'!N145</f>
        <v>84.38</v>
      </c>
      <c r="AB145">
        <f t="shared" si="11"/>
        <v>0</v>
      </c>
    </row>
    <row r="146" spans="1:28" x14ac:dyDescent="0.35">
      <c r="A146" t="str">
        <f>VLOOKUP(B146,'Reference table'!A$2:D$195,4,FALSE)</f>
        <v>AMR</v>
      </c>
      <c r="B146" t="str">
        <f>'Processed HWF'!A146</f>
        <v>Paraguay</v>
      </c>
      <c r="C146" s="4">
        <f>'Processed HWF'!M146</f>
        <v>31.367098331451416</v>
      </c>
      <c r="D146">
        <f>'Processed HWF'!N146</f>
        <v>61.41</v>
      </c>
      <c r="E146">
        <f>IF(AND(C146&lt;H$4,Results!D146&lt;50),1,0)</f>
        <v>0</v>
      </c>
      <c r="F146">
        <f t="shared" si="10"/>
        <v>0</v>
      </c>
      <c r="V146" t="str">
        <f>'Processed HWF'!A146</f>
        <v>Paraguay</v>
      </c>
      <c r="W146">
        <f>'Processed HWF'!I146</f>
        <v>18103.96875</v>
      </c>
      <c r="X146" s="7">
        <f>'Processed HWF'!K146</f>
        <v>0.76204935745783531</v>
      </c>
      <c r="Y146">
        <f>'Processed HWF'!O146</f>
        <v>0.42100623929378295</v>
      </c>
      <c r="Z146">
        <f>'Processed HWF'!P146</f>
        <v>6.8270989414828511E-3</v>
      </c>
      <c r="AA146">
        <f>'Processed HWF'!N146</f>
        <v>61.41</v>
      </c>
      <c r="AB146">
        <f t="shared" si="11"/>
        <v>0</v>
      </c>
    </row>
    <row r="147" spans="1:28" x14ac:dyDescent="0.35">
      <c r="A147" t="str">
        <f>VLOOKUP(B147,'Reference table'!A$2:D$195,4,FALSE)</f>
        <v>EMR</v>
      </c>
      <c r="B147" t="str">
        <f>'Processed HWF'!A147</f>
        <v>Qatar</v>
      </c>
      <c r="C147" s="4">
        <f>'Processed HWF'!M147</f>
        <v>96.822715044021606</v>
      </c>
      <c r="D147">
        <f>'Processed HWF'!N147</f>
        <v>74.400000000000006</v>
      </c>
      <c r="E147">
        <f>IF(AND(C147&lt;H$4,Results!D147&lt;50),1,0)</f>
        <v>0</v>
      </c>
      <c r="F147">
        <f t="shared" si="10"/>
        <v>0</v>
      </c>
      <c r="V147" t="str">
        <f>'Processed HWF'!A147</f>
        <v>Qatar</v>
      </c>
      <c r="W147">
        <f>'Processed HWF'!I147</f>
        <v>1115.183349609375</v>
      </c>
      <c r="X147" s="7">
        <f>'Processed HWF'!K147</f>
        <v>3.4602258996718177E-2</v>
      </c>
      <c r="Y147">
        <f>'Processed HWF'!O147</f>
        <v>0</v>
      </c>
      <c r="Z147">
        <f>'Processed HWF'!P147</f>
        <v>0</v>
      </c>
      <c r="AA147">
        <f>'Processed HWF'!N147</f>
        <v>74.400000000000006</v>
      </c>
      <c r="AB147">
        <f t="shared" si="11"/>
        <v>0</v>
      </c>
    </row>
    <row r="148" spans="1:28" x14ac:dyDescent="0.35">
      <c r="A148" t="str">
        <f>VLOOKUP(B148,'Reference table'!A$2:D$195,4,FALSE)</f>
        <v>EUR</v>
      </c>
      <c r="B148" t="str">
        <f>'Processed HWF'!A148</f>
        <v>Romania</v>
      </c>
      <c r="C148" s="4">
        <f>'Processed HWF'!M148</f>
        <v>103.45634686946869</v>
      </c>
      <c r="D148">
        <f>'Processed HWF'!N148</f>
        <v>71.459999999999994</v>
      </c>
      <c r="E148">
        <f>IF(AND(C148&lt;H$4,Results!D148&lt;50),1,0)</f>
        <v>0</v>
      </c>
      <c r="F148">
        <f t="shared" si="10"/>
        <v>0</v>
      </c>
      <c r="V148" t="str">
        <f>'Processed HWF'!A148</f>
        <v>Romania</v>
      </c>
      <c r="W148">
        <f>'Processed HWF'!I148</f>
        <v>4787.60791015625</v>
      </c>
      <c r="X148" s="7">
        <f>'Processed HWF'!K148</f>
        <v>2.0660615884561803E-2</v>
      </c>
      <c r="Y148">
        <f>'Processed HWF'!O148</f>
        <v>0.30733430535244799</v>
      </c>
      <c r="Z148">
        <f>'Processed HWF'!P148</f>
        <v>1.4378077006364162E-2</v>
      </c>
      <c r="AA148">
        <f>'Processed HWF'!N148</f>
        <v>71.459999999999994</v>
      </c>
      <c r="AB148">
        <f t="shared" si="11"/>
        <v>0</v>
      </c>
    </row>
    <row r="149" spans="1:28" x14ac:dyDescent="0.35">
      <c r="A149" t="str">
        <f>VLOOKUP(B149,'Reference table'!A$2:D$195,4,FALSE)</f>
        <v>EUR</v>
      </c>
      <c r="B149" t="str">
        <f>'Processed HWF'!A149</f>
        <v>Russian Federation</v>
      </c>
      <c r="C149" s="4">
        <f>'Processed HWF'!M149</f>
        <v>100.45527315139771</v>
      </c>
      <c r="D149">
        <f>'Processed HWF'!N149</f>
        <v>75.37</v>
      </c>
      <c r="E149">
        <f>IF(AND(C149&lt;H$4,Results!D149&lt;50),1,0)</f>
        <v>0</v>
      </c>
      <c r="F149">
        <f t="shared" si="10"/>
        <v>0</v>
      </c>
      <c r="V149" t="str">
        <f>'Processed HWF'!A149</f>
        <v>Russian Federation</v>
      </c>
      <c r="W149">
        <f>'Processed HWF'!I149</f>
        <v>35739.98046875</v>
      </c>
      <c r="X149" s="7">
        <f>'Processed HWF'!K149</f>
        <v>2.347679754982122E-2</v>
      </c>
      <c r="Y149">
        <f>'Processed HWF'!O149</f>
        <v>0.43575999801554754</v>
      </c>
      <c r="Z149">
        <f>'Processed HWF'!P149</f>
        <v>1.284936718608916E-2</v>
      </c>
      <c r="AA149">
        <f>'Processed HWF'!N149</f>
        <v>75.37</v>
      </c>
      <c r="AB149">
        <f t="shared" si="11"/>
        <v>0</v>
      </c>
    </row>
    <row r="150" spans="1:28" x14ac:dyDescent="0.35">
      <c r="A150" t="str">
        <f>VLOOKUP(B150,'Reference table'!A$2:D$195,4,FALSE)</f>
        <v>AFR</v>
      </c>
      <c r="B150" t="str">
        <f>'Processed HWF'!A150</f>
        <v>Rwanda</v>
      </c>
      <c r="C150" s="4">
        <f>'Processed HWF'!M150</f>
        <v>10.68412709236145</v>
      </c>
      <c r="D150">
        <f>'Processed HWF'!N150</f>
        <v>53.74</v>
      </c>
      <c r="E150">
        <f>IF(AND(C150&lt;H$4,Results!D150&lt;50),1,0)</f>
        <v>0</v>
      </c>
      <c r="F150">
        <f t="shared" si="10"/>
        <v>0</v>
      </c>
      <c r="V150" t="str">
        <f>'Processed HWF'!A150</f>
        <v>Rwanda</v>
      </c>
      <c r="W150">
        <f>'Processed HWF'!I150</f>
        <v>74429.765625</v>
      </c>
      <c r="X150" s="7">
        <f>'Processed HWF'!K150</f>
        <v>4.9582210309404324</v>
      </c>
      <c r="Y150">
        <f>'Processed HWF'!O150</f>
        <v>0.41963314700231263</v>
      </c>
      <c r="Z150">
        <f>'Processed HWF'!P150</f>
        <v>3.1275318133521697E-2</v>
      </c>
      <c r="AA150">
        <f>'Processed HWF'!N150</f>
        <v>53.74</v>
      </c>
      <c r="AB150">
        <f t="shared" si="11"/>
        <v>0</v>
      </c>
    </row>
    <row r="151" spans="1:28" x14ac:dyDescent="0.35">
      <c r="A151" t="str">
        <f>VLOOKUP(B151,'Reference table'!A$2:D$195,4,FALSE)</f>
        <v>EMR</v>
      </c>
      <c r="B151" t="str">
        <f>'Processed HWF'!A151</f>
        <v>Saudi Arabia</v>
      </c>
      <c r="C151" s="4">
        <f>'Processed HWF'!M151</f>
        <v>85.515812516212463</v>
      </c>
      <c r="D151">
        <f>'Processed HWF'!N151</f>
        <v>72.87</v>
      </c>
      <c r="E151">
        <f>IF(AND(C151&lt;H$4,Results!D151&lt;50),1,0)</f>
        <v>0</v>
      </c>
      <c r="F151">
        <f t="shared" si="10"/>
        <v>0</v>
      </c>
      <c r="V151" t="str">
        <f>'Processed HWF'!A151</f>
        <v>Saudi Arabia</v>
      </c>
      <c r="W151">
        <f>'Processed HWF'!I151</f>
        <v>12530.4609375</v>
      </c>
      <c r="X151" s="7">
        <f>'Processed HWF'!K151</f>
        <v>3.6066028868783719E-2</v>
      </c>
      <c r="Y151">
        <f>'Processed HWF'!O151</f>
        <v>0.67271364336358919</v>
      </c>
      <c r="Z151">
        <f>'Processed HWF'!P151</f>
        <v>0</v>
      </c>
      <c r="AA151">
        <f>'Processed HWF'!N151</f>
        <v>72.87</v>
      </c>
      <c r="AB151">
        <f t="shared" si="11"/>
        <v>0</v>
      </c>
    </row>
    <row r="152" spans="1:28" x14ac:dyDescent="0.35">
      <c r="A152" t="str">
        <f>VLOOKUP(B152,'Reference table'!A$2:D$195,4,FALSE)</f>
        <v>EMR</v>
      </c>
      <c r="B152" t="str">
        <f>'Processed HWF'!A152</f>
        <v>Sudan</v>
      </c>
      <c r="C152" s="4">
        <f>'Processed HWF'!M152</f>
        <v>14.073406219482422</v>
      </c>
      <c r="D152">
        <f>'Processed HWF'!N152</f>
        <v>43.78</v>
      </c>
      <c r="E152">
        <f>IF(AND(C152&lt;H$4,Results!D152&lt;50),1,0)</f>
        <v>1</v>
      </c>
      <c r="F152">
        <f t="shared" si="10"/>
        <v>0</v>
      </c>
      <c r="V152" t="str">
        <f>'Processed HWF'!A152</f>
        <v>Sudan</v>
      </c>
      <c r="W152">
        <f>'Processed HWF'!I152</f>
        <v>196352.59375</v>
      </c>
      <c r="X152" s="7">
        <f>'Processed HWF'!K152</f>
        <v>2.728513911181357</v>
      </c>
      <c r="Y152">
        <f>'Processed HWF'!O152</f>
        <v>3.03647541600474E-2</v>
      </c>
      <c r="Z152">
        <f>'Processed HWF'!P152</f>
        <v>0.17028206616442304</v>
      </c>
      <c r="AA152">
        <f>'Processed HWF'!N152</f>
        <v>43.78</v>
      </c>
      <c r="AB152">
        <f t="shared" si="11"/>
        <v>0</v>
      </c>
    </row>
    <row r="153" spans="1:28" x14ac:dyDescent="0.35">
      <c r="A153" t="str">
        <f>VLOOKUP(B153,'Reference table'!A$2:D$195,4,FALSE)</f>
        <v>AFR</v>
      </c>
      <c r="B153" t="str">
        <f>'Processed HWF'!A153</f>
        <v>Senegal</v>
      </c>
      <c r="C153" s="4">
        <f>'Processed HWF'!M153</f>
        <v>6.283435583114624</v>
      </c>
      <c r="D153">
        <f>'Processed HWF'!N153</f>
        <v>48.99</v>
      </c>
      <c r="E153">
        <f>IF(AND(C153&lt;H$4,Results!D153&lt;50),1,0)</f>
        <v>1</v>
      </c>
      <c r="F153">
        <f t="shared" si="10"/>
        <v>1</v>
      </c>
      <c r="V153" t="str">
        <f>'Processed HWF'!A153</f>
        <v>Senegal</v>
      </c>
      <c r="W153">
        <f>'Processed HWF'!I153</f>
        <v>107820.3984375</v>
      </c>
      <c r="X153" s="7">
        <f>'Processed HWF'!K153</f>
        <v>9.8564923184906306</v>
      </c>
      <c r="Y153">
        <f>'Processed HWF'!O153</f>
        <v>5.7542594398554171E-2</v>
      </c>
      <c r="Z153">
        <f>'Processed HWF'!P153</f>
        <v>0.78242880019359007</v>
      </c>
      <c r="AA153">
        <f>'Processed HWF'!N153</f>
        <v>48.99</v>
      </c>
      <c r="AB153">
        <f t="shared" si="11"/>
        <v>0</v>
      </c>
    </row>
    <row r="154" spans="1:28" x14ac:dyDescent="0.35">
      <c r="A154" t="str">
        <f>VLOOKUP(B154,'Reference table'!A$2:D$195,4,FALSE)</f>
        <v>WPR</v>
      </c>
      <c r="B154" t="str">
        <f>'Processed HWF'!A154</f>
        <v>Singapore</v>
      </c>
      <c r="C154" s="4">
        <f>'Processed HWF'!M154</f>
        <v>87.031761169433594</v>
      </c>
      <c r="D154">
        <f>'Processed HWF'!N154</f>
        <v>85.87</v>
      </c>
      <c r="E154">
        <f>IF(AND(C154&lt;H$4,Results!D154&lt;50),1,0)</f>
        <v>0</v>
      </c>
      <c r="F154">
        <f t="shared" si="10"/>
        <v>0</v>
      </c>
      <c r="V154" t="str">
        <f>'Processed HWF'!A154</f>
        <v>Singapore</v>
      </c>
      <c r="W154">
        <f>'Processed HWF'!I154</f>
        <v>0</v>
      </c>
      <c r="X154" s="7">
        <f>'Processed HWF'!K154</f>
        <v>0</v>
      </c>
      <c r="Y154">
        <f>'Processed HWF'!O154</f>
        <v>0.80719486142861396</v>
      </c>
      <c r="Z154">
        <f>'Processed HWF'!P154</f>
        <v>0</v>
      </c>
      <c r="AA154">
        <f>'Processed HWF'!N154</f>
        <v>85.87</v>
      </c>
      <c r="AB154">
        <f t="shared" si="11"/>
        <v>0</v>
      </c>
    </row>
    <row r="155" spans="1:28" x14ac:dyDescent="0.35">
      <c r="A155" t="str">
        <f>VLOOKUP(B155,'Reference table'!A$2:D$195,4,FALSE)</f>
        <v>WPR</v>
      </c>
      <c r="B155" t="str">
        <f>'Processed HWF'!A155</f>
        <v>Solomon Islands</v>
      </c>
      <c r="C155" s="4">
        <f>'Processed HWF'!M155</f>
        <v>23.580603837966919</v>
      </c>
      <c r="D155">
        <f>'Processed HWF'!N155</f>
        <v>50.29</v>
      </c>
      <c r="E155">
        <f>IF(AND(C155&lt;H$4,Results!D155&lt;50),1,0)</f>
        <v>0</v>
      </c>
      <c r="F155">
        <f t="shared" si="10"/>
        <v>0</v>
      </c>
      <c r="V155" t="str">
        <f>'Processed HWF'!A155</f>
        <v>Solomon Islands</v>
      </c>
      <c r="W155">
        <f>'Processed HWF'!I155</f>
        <v>1909.5098876953125</v>
      </c>
      <c r="X155" s="7">
        <f>'Processed HWF'!K155</f>
        <v>1.0892532359616858</v>
      </c>
      <c r="Y155">
        <f>'Processed HWF'!O155</f>
        <v>9.6036594242987175E-2</v>
      </c>
      <c r="Z155">
        <f>'Processed HWF'!P155</f>
        <v>3.895940753687082E-2</v>
      </c>
      <c r="AA155">
        <f>'Processed HWF'!N155</f>
        <v>50.29</v>
      </c>
      <c r="AB155">
        <f t="shared" si="11"/>
        <v>0</v>
      </c>
    </row>
    <row r="156" spans="1:28" x14ac:dyDescent="0.35">
      <c r="A156" t="str">
        <f>VLOOKUP(B156,'Reference table'!A$2:D$195,4,FALSE)</f>
        <v>AFR</v>
      </c>
      <c r="B156" t="str">
        <f>'Processed HWF'!A156</f>
        <v>Sierra Leone</v>
      </c>
      <c r="C156" s="4">
        <f>'Processed HWF'!M156</f>
        <v>9.2148723602294922</v>
      </c>
      <c r="D156">
        <f>'Processed HWF'!N156</f>
        <v>39.11</v>
      </c>
      <c r="E156">
        <f>IF(AND(C156&lt;H$4,Results!D156&lt;50),1,0)</f>
        <v>1</v>
      </c>
      <c r="F156">
        <f t="shared" si="10"/>
        <v>1</v>
      </c>
      <c r="V156" t="str">
        <f>'Processed HWF'!A156</f>
        <v>Sierra Leone</v>
      </c>
      <c r="W156">
        <f>'Processed HWF'!I156</f>
        <v>48151.91015625</v>
      </c>
      <c r="X156" s="7">
        <f>'Processed HWF'!K156</f>
        <v>6.3955307826441405</v>
      </c>
      <c r="Y156">
        <f>'Processed HWF'!O156</f>
        <v>4.8292944838919674E-2</v>
      </c>
      <c r="Z156">
        <f>'Processed HWF'!P156</f>
        <v>0.36030541469496452</v>
      </c>
      <c r="AA156">
        <f>'Processed HWF'!N156</f>
        <v>39.11</v>
      </c>
      <c r="AB156">
        <f t="shared" si="11"/>
        <v>0</v>
      </c>
    </row>
    <row r="157" spans="1:28" x14ac:dyDescent="0.35">
      <c r="A157" t="str">
        <f>VLOOKUP(B157,'Reference table'!A$2:D$195,4,FALSE)</f>
        <v>AMR</v>
      </c>
      <c r="B157" t="str">
        <f>'Processed HWF'!A157</f>
        <v>El Salvador</v>
      </c>
      <c r="C157" s="4">
        <f>'Processed HWF'!M157</f>
        <v>51.341620922088623</v>
      </c>
      <c r="D157">
        <f>'Processed HWF'!N157</f>
        <v>75.510000000000005</v>
      </c>
      <c r="E157">
        <f>IF(AND(C157&lt;H$4,Results!D157&lt;50),1,0)</f>
        <v>0</v>
      </c>
      <c r="F157">
        <f t="shared" si="10"/>
        <v>0</v>
      </c>
      <c r="V157" t="str">
        <f>'Processed HWF'!A157</f>
        <v>El Salvador</v>
      </c>
      <c r="W157">
        <f>'Processed HWF'!I157</f>
        <v>10356.1025390625</v>
      </c>
      <c r="X157" s="7">
        <f>'Processed HWF'!K157</f>
        <v>0.2397835657150181</v>
      </c>
      <c r="Y157">
        <f>'Processed HWF'!O157</f>
        <v>0.640535875754775</v>
      </c>
      <c r="Z157">
        <f>'Processed HWF'!P157</f>
        <v>0</v>
      </c>
      <c r="AA157">
        <f>'Processed HWF'!N157</f>
        <v>75.510000000000005</v>
      </c>
      <c r="AB157">
        <f t="shared" si="11"/>
        <v>0</v>
      </c>
    </row>
    <row r="158" spans="1:28" x14ac:dyDescent="0.35">
      <c r="A158" t="str">
        <f>VLOOKUP(B158,'Reference table'!A$2:D$195,4,FALSE)</f>
        <v>EUR</v>
      </c>
      <c r="B158" t="str">
        <f>'Processed HWF'!A158</f>
        <v>San Marino</v>
      </c>
      <c r="C158" s="4">
        <f>'Processed HWF'!M158</f>
        <v>142.98291206359863</v>
      </c>
      <c r="D158">
        <f>'Processed HWF'!N158</f>
        <v>81.59</v>
      </c>
      <c r="E158">
        <f>IF(AND(C158&lt;H$4,Results!D158&lt;50),1,0)</f>
        <v>0</v>
      </c>
      <c r="F158">
        <f t="shared" si="10"/>
        <v>0</v>
      </c>
      <c r="V158" t="str">
        <f>'Processed HWF'!A158</f>
        <v>San Marino</v>
      </c>
      <c r="W158">
        <f>'Processed HWF'!I158</f>
        <v>0</v>
      </c>
      <c r="X158" s="7">
        <f>'Processed HWF'!K158</f>
        <v>0</v>
      </c>
      <c r="Y158">
        <f>'Processed HWF'!O158</f>
        <v>0.63895927868466029</v>
      </c>
      <c r="Z158">
        <f>'Processed HWF'!P158</f>
        <v>0</v>
      </c>
      <c r="AA158">
        <f>'Processed HWF'!N158</f>
        <v>81.59</v>
      </c>
      <c r="AB158">
        <f t="shared" si="11"/>
        <v>0</v>
      </c>
    </row>
    <row r="159" spans="1:28" x14ac:dyDescent="0.35">
      <c r="A159" t="str">
        <f>VLOOKUP(B159,'Reference table'!A$2:D$195,4,FALSE)</f>
        <v>EMR</v>
      </c>
      <c r="B159" t="str">
        <f>'Processed HWF'!A159</f>
        <v>Somalia</v>
      </c>
      <c r="C159" s="4">
        <f>'Processed HWF'!M159</f>
        <v>1.3514925241470337</v>
      </c>
      <c r="D159">
        <f>'Processed HWF'!N159</f>
        <v>27.33</v>
      </c>
      <c r="E159">
        <f>IF(AND(C159&lt;H$4,Results!D159&lt;50),1,0)</f>
        <v>1</v>
      </c>
      <c r="F159">
        <f t="shared" si="10"/>
        <v>0</v>
      </c>
      <c r="V159" t="str">
        <f>'Processed HWF'!A159</f>
        <v>Somalia</v>
      </c>
      <c r="W159">
        <f>'Processed HWF'!I159</f>
        <v>109637.390625</v>
      </c>
      <c r="X159" s="7">
        <f>'Processed HWF'!K159</f>
        <v>23.428238433356039</v>
      </c>
      <c r="Y159">
        <f>'Processed HWF'!O159</f>
        <v>5.0965751312100217E-2</v>
      </c>
      <c r="Z159">
        <f>'Processed HWF'!P159</f>
        <v>1.4856536872557362</v>
      </c>
      <c r="AA159">
        <f>'Processed HWF'!N159</f>
        <v>27.33</v>
      </c>
      <c r="AB159">
        <f t="shared" si="11"/>
        <v>0</v>
      </c>
    </row>
    <row r="160" spans="1:28" x14ac:dyDescent="0.35">
      <c r="A160" t="str">
        <f>VLOOKUP(B160,'Reference table'!A$2:D$195,4,FALSE)</f>
        <v>EUR</v>
      </c>
      <c r="B160" t="str">
        <f>'Processed HWF'!A160</f>
        <v>Serbia</v>
      </c>
      <c r="C160" s="4">
        <f>'Processed HWF'!M160</f>
        <v>91.985929489135742</v>
      </c>
      <c r="D160">
        <f>'Processed HWF'!N160</f>
        <v>70.709999999999994</v>
      </c>
      <c r="E160">
        <f>IF(AND(C160&lt;H$4,Results!D160&lt;50),1,0)</f>
        <v>0</v>
      </c>
      <c r="F160">
        <f t="shared" si="10"/>
        <v>0</v>
      </c>
      <c r="V160" t="str">
        <f>'Processed HWF'!A160</f>
        <v>Serbia</v>
      </c>
      <c r="W160">
        <f>'Processed HWF'!I160</f>
        <v>0</v>
      </c>
      <c r="X160" s="7">
        <f>'Processed HWF'!K160</f>
        <v>0</v>
      </c>
      <c r="Y160">
        <f>'Processed HWF'!O160</f>
        <v>0.46476860209868903</v>
      </c>
      <c r="Z160">
        <f>'Processed HWF'!P160</f>
        <v>9.4677266223448086E-3</v>
      </c>
      <c r="AA160">
        <f>'Processed HWF'!N160</f>
        <v>70.709999999999994</v>
      </c>
      <c r="AB160">
        <f t="shared" si="11"/>
        <v>0</v>
      </c>
    </row>
    <row r="161" spans="1:28" x14ac:dyDescent="0.35">
      <c r="A161" t="str">
        <f>VLOOKUP(B161,'Reference table'!A$2:D$195,4,FALSE)</f>
        <v>AFR</v>
      </c>
      <c r="B161" t="str">
        <f>'Processed HWF'!A161</f>
        <v>South Sudan</v>
      </c>
      <c r="C161" s="4">
        <f>'Processed HWF'!M161</f>
        <v>6.4817723035812378</v>
      </c>
      <c r="D161">
        <f>'Processed HWF'!N161</f>
        <v>31.83</v>
      </c>
      <c r="E161">
        <f>IF(AND(C161&lt;H$4,Results!D161&lt;50),1,0)</f>
        <v>1</v>
      </c>
      <c r="F161">
        <f t="shared" si="10"/>
        <v>1</v>
      </c>
      <c r="V161" t="str">
        <f>'Processed HWF'!A161</f>
        <v>South Sudan</v>
      </c>
      <c r="W161">
        <f>'Processed HWF'!I161</f>
        <v>71816.890625</v>
      </c>
      <c r="X161" s="7">
        <f>'Processed HWF'!K161</f>
        <v>9.3824062911713195</v>
      </c>
      <c r="Y161">
        <f>'Processed HWF'!O161</f>
        <v>1.784392594958336E-2</v>
      </c>
      <c r="Z161">
        <f>'Processed HWF'!P161</f>
        <v>8.8764640224674382E-2</v>
      </c>
      <c r="AA161">
        <f>'Processed HWF'!N161</f>
        <v>31.83</v>
      </c>
      <c r="AB161">
        <f t="shared" si="11"/>
        <v>0</v>
      </c>
    </row>
    <row r="162" spans="1:28" x14ac:dyDescent="0.35">
      <c r="A162" t="str">
        <f>VLOOKUP(B162,'Reference table'!A$2:D$195,4,FALSE)</f>
        <v>AFR</v>
      </c>
      <c r="B162" t="str">
        <f>'Processed HWF'!A162</f>
        <v>Sao Tome and Principe</v>
      </c>
      <c r="C162" s="4">
        <f>'Processed HWF'!M162</f>
        <v>26.366206645965576</v>
      </c>
      <c r="D162">
        <f>'Processed HWF'!N162</f>
        <v>60.25</v>
      </c>
      <c r="E162">
        <f>IF(AND(C162&lt;H$4,Results!D162&lt;50),1,0)</f>
        <v>0</v>
      </c>
      <c r="F162">
        <f t="shared" si="10"/>
        <v>0</v>
      </c>
      <c r="V162" t="str">
        <f>'Processed HWF'!A162</f>
        <v>Sao Tome and Principe</v>
      </c>
      <c r="W162">
        <f>'Processed HWF'!I162</f>
        <v>723.31988525390625</v>
      </c>
      <c r="X162" s="7">
        <f>'Processed HWF'!K162</f>
        <v>1.1635275391742981</v>
      </c>
      <c r="Y162">
        <f>'Processed HWF'!O162</f>
        <v>0.23369334592692975</v>
      </c>
      <c r="Z162">
        <f>'Processed HWF'!P162</f>
        <v>1.8026566566336881E-2</v>
      </c>
      <c r="AA162">
        <f>'Processed HWF'!N162</f>
        <v>60.25</v>
      </c>
      <c r="AB162">
        <f t="shared" si="11"/>
        <v>0</v>
      </c>
    </row>
    <row r="163" spans="1:28" x14ac:dyDescent="0.35">
      <c r="A163" t="str">
        <f>VLOOKUP(B163,'Reference table'!A$2:D$195,4,FALSE)</f>
        <v>AMR</v>
      </c>
      <c r="B163" t="str">
        <f>'Processed HWF'!A163</f>
        <v>Suriname</v>
      </c>
      <c r="C163" s="4">
        <f>'Processed HWF'!M163</f>
        <v>47.464413404464722</v>
      </c>
      <c r="D163">
        <f>'Processed HWF'!N163</f>
        <v>66.930000000000007</v>
      </c>
      <c r="E163">
        <f>IF(AND(C163&lt;H$4,Results!D163&lt;50),1,0)</f>
        <v>0</v>
      </c>
      <c r="F163">
        <f t="shared" si="10"/>
        <v>0</v>
      </c>
      <c r="V163" t="str">
        <f>'Processed HWF'!A163</f>
        <v>Suriname</v>
      </c>
      <c r="W163">
        <f>'Processed HWF'!I163</f>
        <v>689.8883056640625</v>
      </c>
      <c r="X163" s="7">
        <f>'Processed HWF'!K163</f>
        <v>0.24301221771194706</v>
      </c>
      <c r="Y163">
        <f>'Processed HWF'!O163</f>
        <v>0.39130494074649863</v>
      </c>
      <c r="Z163">
        <f>'Processed HWF'!P163</f>
        <v>8.4956538359314913E-3</v>
      </c>
      <c r="AA163">
        <f>'Processed HWF'!N163</f>
        <v>66.930000000000007</v>
      </c>
      <c r="AB163">
        <f t="shared" si="11"/>
        <v>0</v>
      </c>
    </row>
    <row r="164" spans="1:28" x14ac:dyDescent="0.35">
      <c r="A164" t="str">
        <f>VLOOKUP(B164,'Reference table'!A$2:D$195,4,FALSE)</f>
        <v>EUR</v>
      </c>
      <c r="B164" t="str">
        <f>'Processed HWF'!A164</f>
        <v>Slovakia</v>
      </c>
      <c r="C164" s="4">
        <f>'Processed HWF'!M164</f>
        <v>96.195500612258911</v>
      </c>
      <c r="D164">
        <f>'Processed HWF'!N164</f>
        <v>76.55</v>
      </c>
      <c r="E164">
        <f>IF(AND(C164&lt;H$4,Results!D164&lt;50),1,0)</f>
        <v>0</v>
      </c>
      <c r="F164">
        <f t="shared" si="10"/>
        <v>0</v>
      </c>
      <c r="V164" t="str">
        <f>'Processed HWF'!A164</f>
        <v>Slovakia</v>
      </c>
      <c r="W164">
        <f>'Processed HWF'!I164</f>
        <v>418.71636962890625</v>
      </c>
      <c r="X164" s="7">
        <f>'Processed HWF'!K164</f>
        <v>6.9977538686155421E-3</v>
      </c>
      <c r="Y164">
        <f>'Processed HWF'!O164</f>
        <v>0.45302996240476828</v>
      </c>
      <c r="Z164">
        <f>'Processed HWF'!P164</f>
        <v>5.9748126382060006E-3</v>
      </c>
      <c r="AA164">
        <f>'Processed HWF'!N164</f>
        <v>76.55</v>
      </c>
      <c r="AB164">
        <f t="shared" si="11"/>
        <v>0</v>
      </c>
    </row>
    <row r="165" spans="1:28" x14ac:dyDescent="0.35">
      <c r="A165" t="str">
        <f>VLOOKUP(B165,'Reference table'!A$2:D$195,4,FALSE)</f>
        <v>EUR</v>
      </c>
      <c r="B165" t="str">
        <f>'Processed HWF'!A165</f>
        <v>Slovenia</v>
      </c>
      <c r="C165" s="4">
        <f>'Processed HWF'!M165</f>
        <v>137.34368050098419</v>
      </c>
      <c r="D165">
        <f>'Processed HWF'!N165</f>
        <v>79.7</v>
      </c>
      <c r="E165">
        <f>IF(AND(C165&lt;H$4,Results!D165&lt;50),1,0)</f>
        <v>0</v>
      </c>
      <c r="F165">
        <f t="shared" si="10"/>
        <v>0</v>
      </c>
      <c r="V165" t="str">
        <f>'Processed HWF'!A165</f>
        <v>Slovenia</v>
      </c>
      <c r="W165">
        <f>'Processed HWF'!I165</f>
        <v>621.466552734375</v>
      </c>
      <c r="X165" s="7">
        <f>'Processed HWF'!K165</f>
        <v>1.9677053560097166E-2</v>
      </c>
      <c r="Y165">
        <f>'Processed HWF'!O165</f>
        <v>0.50551300873483496</v>
      </c>
      <c r="Z165">
        <f>'Processed HWF'!P165</f>
        <v>1.1256060035681659E-3</v>
      </c>
      <c r="AA165">
        <f>'Processed HWF'!N165</f>
        <v>79.7</v>
      </c>
      <c r="AB165">
        <f t="shared" si="11"/>
        <v>0</v>
      </c>
    </row>
    <row r="166" spans="1:28" x14ac:dyDescent="0.35">
      <c r="A166" t="str">
        <f>VLOOKUP(B166,'Reference table'!A$2:D$195,4,FALSE)</f>
        <v>EUR</v>
      </c>
      <c r="B166" t="str">
        <f>'Processed HWF'!A166</f>
        <v>Sweden</v>
      </c>
      <c r="C166" s="4">
        <f>'Processed HWF'!M166</f>
        <v>195.04421138763428</v>
      </c>
      <c r="D166">
        <f>'Processed HWF'!N166</f>
        <v>87.17</v>
      </c>
      <c r="E166">
        <f>IF(AND(C166&lt;H$4,Results!D166&lt;50),1,0)</f>
        <v>0</v>
      </c>
      <c r="F166">
        <f t="shared" si="10"/>
        <v>0</v>
      </c>
      <c r="V166" t="str">
        <f>'Processed HWF'!A166</f>
        <v>Sweden</v>
      </c>
      <c r="W166">
        <f>'Processed HWF'!I166</f>
        <v>0</v>
      </c>
      <c r="X166" s="7">
        <f>'Processed HWF'!K166</f>
        <v>0</v>
      </c>
      <c r="Y166">
        <f>'Processed HWF'!O166</f>
        <v>0.69642111048377309</v>
      </c>
      <c r="Z166">
        <f>'Processed HWF'!P166</f>
        <v>0</v>
      </c>
      <c r="AA166">
        <f>'Processed HWF'!N166</f>
        <v>87.17</v>
      </c>
      <c r="AB166">
        <f t="shared" si="11"/>
        <v>0</v>
      </c>
    </row>
    <row r="167" spans="1:28" x14ac:dyDescent="0.35">
      <c r="A167" t="str">
        <f>VLOOKUP(B167,'Reference table'!A$2:D$195,4,FALSE)</f>
        <v>AFR</v>
      </c>
      <c r="B167" t="str">
        <f>'Processed HWF'!A167</f>
        <v>Eswatini</v>
      </c>
      <c r="C167" s="4">
        <f>'Processed HWF'!M167</f>
        <v>26.565210461616516</v>
      </c>
      <c r="D167">
        <f>'Processed HWF'!N167</f>
        <v>58.1</v>
      </c>
      <c r="E167">
        <f>IF(AND(C167&lt;H$4,Results!D167&lt;50),1,0)</f>
        <v>0</v>
      </c>
      <c r="F167">
        <f t="shared" si="10"/>
        <v>0</v>
      </c>
      <c r="V167" t="str">
        <f>'Processed HWF'!A167</f>
        <v>Eswatini</v>
      </c>
      <c r="W167">
        <f>'Processed HWF'!I167</f>
        <v>3389.83935546875</v>
      </c>
      <c r="X167" s="7">
        <f>'Processed HWF'!K167</f>
        <v>1.0754566198040776</v>
      </c>
      <c r="Y167">
        <f>'Processed HWF'!O167</f>
        <v>0.27217186535696675</v>
      </c>
      <c r="Z167">
        <f>'Processed HWF'!P167</f>
        <v>1.7226914406094987E-2</v>
      </c>
      <c r="AA167">
        <f>'Processed HWF'!N167</f>
        <v>58.1</v>
      </c>
      <c r="AB167">
        <f t="shared" si="11"/>
        <v>0</v>
      </c>
    </row>
    <row r="168" spans="1:28" x14ac:dyDescent="0.35">
      <c r="A168" t="str">
        <f>VLOOKUP(B168,'Reference table'!A$2:D$195,4,FALSE)</f>
        <v>AFR</v>
      </c>
      <c r="B168" t="str">
        <f>'Processed HWF'!A168</f>
        <v>Seychelles</v>
      </c>
      <c r="C168" s="4">
        <f>'Processed HWF'!M168</f>
        <v>251.97681999206543</v>
      </c>
      <c r="D168">
        <f>'Processed HWF'!N168</f>
        <v>69.7</v>
      </c>
      <c r="E168">
        <f>IF(AND(C168&lt;H$4,Results!D168&lt;50),1,0)</f>
        <v>0</v>
      </c>
      <c r="F168">
        <f t="shared" si="10"/>
        <v>0</v>
      </c>
      <c r="V168" t="str">
        <f>'Processed HWF'!A168</f>
        <v>Seychelles</v>
      </c>
      <c r="W168">
        <f>'Processed HWF'!I168</f>
        <v>0</v>
      </c>
      <c r="X168" s="7">
        <f>'Processed HWF'!K168</f>
        <v>0</v>
      </c>
      <c r="Y168">
        <f>'Processed HWF'!O168</f>
        <v>0.79578431472236066</v>
      </c>
      <c r="Z168">
        <f>'Processed HWF'!P168</f>
        <v>0</v>
      </c>
      <c r="AA168">
        <f>'Processed HWF'!N168</f>
        <v>69.7</v>
      </c>
      <c r="AB168">
        <f t="shared" si="11"/>
        <v>0</v>
      </c>
    </row>
    <row r="169" spans="1:28" x14ac:dyDescent="0.35">
      <c r="A169" t="str">
        <f>VLOOKUP(B169,'Reference table'!A$2:D$195,4,FALSE)</f>
        <v>EMR</v>
      </c>
      <c r="B169" t="str">
        <f>'Processed HWF'!A169</f>
        <v>Syrian Arab Republic</v>
      </c>
      <c r="C169" s="4">
        <f>'Processed HWF'!M169</f>
        <v>28.22457218170166</v>
      </c>
      <c r="D169">
        <f>'Processed HWF'!N169</f>
        <v>55.61</v>
      </c>
      <c r="E169">
        <f>IF(AND(C169&lt;H$4,Results!D169&lt;50),1,0)</f>
        <v>0</v>
      </c>
      <c r="F169">
        <f t="shared" si="10"/>
        <v>0</v>
      </c>
      <c r="V169" t="str">
        <f>'Processed HWF'!A169</f>
        <v>Syrian Arab Republic</v>
      </c>
      <c r="W169">
        <f>'Processed HWF'!I169</f>
        <v>38845.8515625</v>
      </c>
      <c r="X169" s="7">
        <f>'Processed HWF'!K169</f>
        <v>0.48230534299432015</v>
      </c>
      <c r="Y169">
        <f>'Processed HWF'!O169</f>
        <v>5.0482558998638793E-2</v>
      </c>
      <c r="Z169">
        <f>'Processed HWF'!P169</f>
        <v>5.3786556630908984E-2</v>
      </c>
      <c r="AA169">
        <f>'Processed HWF'!N169</f>
        <v>55.61</v>
      </c>
      <c r="AB169">
        <f t="shared" si="11"/>
        <v>1</v>
      </c>
    </row>
    <row r="170" spans="1:28" x14ac:dyDescent="0.35">
      <c r="A170" t="str">
        <f>VLOOKUP(B170,'Reference table'!A$2:D$195,4,FALSE)</f>
        <v>AFR</v>
      </c>
      <c r="B170" t="str">
        <f>'Processed HWF'!A170</f>
        <v>Chad</v>
      </c>
      <c r="C170" s="4">
        <f>'Processed HWF'!M170</f>
        <v>2.6439024806022644</v>
      </c>
      <c r="D170">
        <f>'Processed HWF'!N170</f>
        <v>28.18</v>
      </c>
      <c r="E170">
        <f>IF(AND(C170&lt;H$4,Results!D170&lt;50),1,0)</f>
        <v>1</v>
      </c>
      <c r="F170">
        <f t="shared" si="10"/>
        <v>1</v>
      </c>
      <c r="V170" t="str">
        <f>'Processed HWF'!A170</f>
        <v>Chad</v>
      </c>
      <c r="W170">
        <f>'Processed HWF'!I170</f>
        <v>115020.734375</v>
      </c>
      <c r="X170" s="7">
        <f>'Processed HWF'!K170</f>
        <v>26.140466348741199</v>
      </c>
      <c r="Y170">
        <f>'Processed HWF'!O170</f>
        <v>6.6964514012778868E-3</v>
      </c>
      <c r="Z170">
        <f>'Processed HWF'!P170</f>
        <v>1.2251856306298743</v>
      </c>
      <c r="AA170">
        <f>'Processed HWF'!N170</f>
        <v>28.18</v>
      </c>
      <c r="AB170">
        <f t="shared" si="11"/>
        <v>0</v>
      </c>
    </row>
    <row r="171" spans="1:28" x14ac:dyDescent="0.35">
      <c r="A171" t="str">
        <f>VLOOKUP(B171,'Reference table'!A$2:D$195,4,FALSE)</f>
        <v>AFR</v>
      </c>
      <c r="B171" t="str">
        <f>'Processed HWF'!A171</f>
        <v>Togo</v>
      </c>
      <c r="C171" s="4">
        <f>'Processed HWF'!M171</f>
        <v>5.8982426524162292</v>
      </c>
      <c r="D171">
        <f>'Processed HWF'!N171</f>
        <v>44.23</v>
      </c>
      <c r="E171">
        <f>IF(AND(C171&lt;H$4,Results!D171&lt;50),1,0)</f>
        <v>1</v>
      </c>
      <c r="F171">
        <f t="shared" si="10"/>
        <v>1</v>
      </c>
      <c r="V171" t="str">
        <f>'Processed HWF'!A171</f>
        <v>Togo</v>
      </c>
      <c r="W171">
        <f>'Processed HWF'!I171</f>
        <v>53842.65625</v>
      </c>
      <c r="X171" s="7">
        <f>'Processed HWF'!K171</f>
        <v>10.48128312350874</v>
      </c>
      <c r="Y171">
        <f>'Processed HWF'!O171</f>
        <v>0.12570463757458275</v>
      </c>
      <c r="Z171">
        <f>'Processed HWF'!P171</f>
        <v>0.48940076477214989</v>
      </c>
      <c r="AA171">
        <f>'Processed HWF'!N171</f>
        <v>44.23</v>
      </c>
      <c r="AB171">
        <f t="shared" si="11"/>
        <v>0</v>
      </c>
    </row>
    <row r="172" spans="1:28" x14ac:dyDescent="0.35">
      <c r="A172" t="str">
        <f>VLOOKUP(B172,'Reference table'!A$2:D$195,4,FALSE)</f>
        <v>SEAR</v>
      </c>
      <c r="B172" t="str">
        <f>'Processed HWF'!A172</f>
        <v>Thailand</v>
      </c>
      <c r="C172" s="4">
        <f>'Processed HWF'!M172</f>
        <v>41.032188415527344</v>
      </c>
      <c r="D172">
        <f>'Processed HWF'!N172</f>
        <v>82.97</v>
      </c>
      <c r="E172">
        <f>IF(AND(C172&lt;H$4,Results!D172&lt;50),1,0)</f>
        <v>0</v>
      </c>
      <c r="F172">
        <f t="shared" si="10"/>
        <v>0</v>
      </c>
      <c r="V172" t="str">
        <f>'Processed HWF'!A172</f>
        <v>Thailand</v>
      </c>
      <c r="W172">
        <f>'Processed HWF'!I172</f>
        <v>34669.1953125</v>
      </c>
      <c r="X172" s="7">
        <f>'Processed HWF'!K172</f>
        <v>9.9315859782401747E-2</v>
      </c>
      <c r="Y172">
        <f>'Processed HWF'!O172</f>
        <v>0.66149967840964075</v>
      </c>
      <c r="Z172">
        <f>'Processed HWF'!P172</f>
        <v>2.1912240400777643E-4</v>
      </c>
      <c r="AA172">
        <f>'Processed HWF'!N172</f>
        <v>82.97</v>
      </c>
      <c r="AB172">
        <f t="shared" si="11"/>
        <v>0</v>
      </c>
    </row>
    <row r="173" spans="1:28" x14ac:dyDescent="0.35">
      <c r="A173" t="str">
        <f>VLOOKUP(B173,'Reference table'!A$2:D$195,4,FALSE)</f>
        <v>EUR</v>
      </c>
      <c r="B173" t="str">
        <f>'Processed HWF'!A173</f>
        <v>Tajikistan</v>
      </c>
      <c r="C173" s="4">
        <f>'Processed HWF'!M173</f>
        <v>64.763256072998047</v>
      </c>
      <c r="D173">
        <f>'Processed HWF'!N173</f>
        <v>66.27</v>
      </c>
      <c r="E173">
        <f>IF(AND(C173&lt;H$4,Results!D173&lt;50),1,0)</f>
        <v>0</v>
      </c>
      <c r="F173">
        <f t="shared" si="10"/>
        <v>0</v>
      </c>
      <c r="V173" t="str">
        <f>'Processed HWF'!A173</f>
        <v>Tajikistan</v>
      </c>
      <c r="W173">
        <f>'Processed HWF'!I173</f>
        <v>1176.811767578125</v>
      </c>
      <c r="X173" s="7">
        <f>'Processed HWF'!K173</f>
        <v>1.8316132077659027E-2</v>
      </c>
      <c r="Y173">
        <f>'Processed HWF'!O173</f>
        <v>0.30359023750314806</v>
      </c>
      <c r="Z173">
        <f>'Processed HWF'!P173</f>
        <v>1.5300604847586186E-2</v>
      </c>
      <c r="AA173">
        <f>'Processed HWF'!N173</f>
        <v>66.27</v>
      </c>
      <c r="AB173">
        <f t="shared" si="11"/>
        <v>0</v>
      </c>
    </row>
    <row r="174" spans="1:28" x14ac:dyDescent="0.35">
      <c r="A174" t="str">
        <f>VLOOKUP(B174,'Reference table'!A$2:D$195,4,FALSE)</f>
        <v>EUR</v>
      </c>
      <c r="B174" t="str">
        <f>'Processed HWF'!A174</f>
        <v>Turkmenistan</v>
      </c>
      <c r="C174" s="4">
        <f>'Processed HWF'!M174</f>
        <v>66.520021915435791</v>
      </c>
      <c r="D174">
        <f>'Processed HWF'!N174</f>
        <v>72.53</v>
      </c>
      <c r="E174">
        <f>IF(AND(C174&lt;H$4,Results!D174&lt;50),1,0)</f>
        <v>0</v>
      </c>
      <c r="F174">
        <f t="shared" si="10"/>
        <v>0</v>
      </c>
      <c r="V174" t="str">
        <f>'Processed HWF'!A174</f>
        <v>Turkmenistan</v>
      </c>
      <c r="W174">
        <f>'Processed HWF'!I174</f>
        <v>1851.1358642578125</v>
      </c>
      <c r="X174" s="7">
        <f>'Processed HWF'!K174</f>
        <v>4.424590351400496E-2</v>
      </c>
      <c r="Y174">
        <f>'Processed HWF'!O174</f>
        <v>0.53161707637319155</v>
      </c>
      <c r="Z174">
        <f>'Processed HWF'!P174</f>
        <v>5.5418836264224842E-3</v>
      </c>
      <c r="AA174">
        <f>'Processed HWF'!N174</f>
        <v>72.53</v>
      </c>
      <c r="AB174">
        <f t="shared" si="11"/>
        <v>0</v>
      </c>
    </row>
    <row r="175" spans="1:28" x14ac:dyDescent="0.35">
      <c r="A175" t="str">
        <f>VLOOKUP(B175,'Reference table'!A$2:D$195,4,FALSE)</f>
        <v>SEAR</v>
      </c>
      <c r="B175" t="str">
        <f>'Processed HWF'!A175</f>
        <v>Timor-Leste</v>
      </c>
      <c r="C175" s="4">
        <f>'Processed HWF'!M175</f>
        <v>25.044711589813232</v>
      </c>
      <c r="D175">
        <f>'Processed HWF'!N175</f>
        <v>52.51</v>
      </c>
      <c r="E175">
        <f>IF(AND(C175&lt;H$4,Results!D175&lt;50),1,0)</f>
        <v>0</v>
      </c>
      <c r="F175">
        <f t="shared" si="10"/>
        <v>0</v>
      </c>
      <c r="V175" t="str">
        <f>'Processed HWF'!A175</f>
        <v>Timor-Leste</v>
      </c>
      <c r="W175">
        <f>'Processed HWF'!I175</f>
        <v>5002.34814453125</v>
      </c>
      <c r="X175" s="7">
        <f>'Processed HWF'!K175</f>
        <v>1.3969105840885778</v>
      </c>
      <c r="Y175">
        <f>'Processed HWF'!O175</f>
        <v>0.41297285817762591</v>
      </c>
      <c r="Z175">
        <f>'Processed HWF'!P175</f>
        <v>1.6464787911539346E-2</v>
      </c>
      <c r="AA175">
        <f>'Processed HWF'!N175</f>
        <v>52.51</v>
      </c>
      <c r="AB175">
        <f t="shared" si="11"/>
        <v>0</v>
      </c>
    </row>
    <row r="176" spans="1:28" x14ac:dyDescent="0.35">
      <c r="A176" t="str">
        <f>VLOOKUP(B176,'Reference table'!A$2:D$195,4,FALSE)</f>
        <v>WPR</v>
      </c>
      <c r="B176" t="str">
        <f>'Processed HWF'!A176</f>
        <v>Tonga</v>
      </c>
      <c r="C176" s="4">
        <f>'Processed HWF'!M176</f>
        <v>54.873835563659668</v>
      </c>
      <c r="D176">
        <f>'Processed HWF'!N176</f>
        <v>55.81</v>
      </c>
      <c r="E176">
        <f>IF(AND(C176&lt;H$4,Results!D176&lt;50),1,0)</f>
        <v>0</v>
      </c>
      <c r="F176">
        <f t="shared" si="10"/>
        <v>0</v>
      </c>
      <c r="V176" t="str">
        <f>'Processed HWF'!A176</f>
        <v>Tonga</v>
      </c>
      <c r="W176">
        <f>'Processed HWF'!I176</f>
        <v>92.124183654785156</v>
      </c>
      <c r="X176" s="7">
        <f>'Processed HWF'!K176</f>
        <v>0.15277932003510525</v>
      </c>
      <c r="Y176">
        <f>'Processed HWF'!O176</f>
        <v>0.60249775296844699</v>
      </c>
      <c r="Z176">
        <f>'Processed HWF'!P176</f>
        <v>7.9895719733678369E-3</v>
      </c>
      <c r="AA176">
        <f>'Processed HWF'!N176</f>
        <v>55.81</v>
      </c>
      <c r="AB176">
        <f t="shared" si="11"/>
        <v>0</v>
      </c>
    </row>
    <row r="177" spans="1:28" x14ac:dyDescent="0.35">
      <c r="A177" t="str">
        <f>VLOOKUP(B177,'Reference table'!A$2:D$195,4,FALSE)</f>
        <v>AMR</v>
      </c>
      <c r="B177" t="str">
        <f>'Processed HWF'!A177</f>
        <v>Trinidad and Tobago</v>
      </c>
      <c r="C177" s="4">
        <f>'Processed HWF'!M177</f>
        <v>85.457098454236984</v>
      </c>
      <c r="D177">
        <f>'Processed HWF'!N177</f>
        <v>73.33</v>
      </c>
      <c r="E177">
        <f>IF(AND(C177&lt;H$4,Results!D177&lt;50),1,0)</f>
        <v>0</v>
      </c>
      <c r="F177">
        <f t="shared" si="10"/>
        <v>0</v>
      </c>
      <c r="V177" t="str">
        <f>'Processed HWF'!A177</f>
        <v>Trinidad and Tobago</v>
      </c>
      <c r="W177">
        <f>'Processed HWF'!I177</f>
        <v>626.2860107421875</v>
      </c>
      <c r="X177" s="7">
        <f>'Processed HWF'!K177</f>
        <v>4.696747032593613E-2</v>
      </c>
      <c r="Y177">
        <f>'Processed HWF'!O177</f>
        <v>0.4804264130882151</v>
      </c>
      <c r="Z177">
        <f>'Processed HWF'!P177</f>
        <v>9.6241709019446332E-3</v>
      </c>
      <c r="AA177">
        <f>'Processed HWF'!N177</f>
        <v>73.33</v>
      </c>
      <c r="AB177">
        <f t="shared" si="11"/>
        <v>0</v>
      </c>
    </row>
    <row r="178" spans="1:28" x14ac:dyDescent="0.35">
      <c r="A178" t="str">
        <f>VLOOKUP(B178,'Reference table'!A$2:D$195,4,FALSE)</f>
        <v>EMR</v>
      </c>
      <c r="B178" t="str">
        <f>'Processed HWF'!A178</f>
        <v>Tunisia</v>
      </c>
      <c r="C178" s="4">
        <f>'Processed HWF'!M178</f>
        <v>38.272808074951172</v>
      </c>
      <c r="D178">
        <f>'Processed HWF'!N178</f>
        <v>69.86</v>
      </c>
      <c r="E178">
        <f>IF(AND(C178&lt;H$4,Results!D178&lt;50),1,0)</f>
        <v>0</v>
      </c>
      <c r="F178">
        <f t="shared" si="10"/>
        <v>0</v>
      </c>
      <c r="V178" t="str">
        <f>'Processed HWF'!A178</f>
        <v>Tunisia</v>
      </c>
      <c r="W178">
        <f>'Processed HWF'!I178</f>
        <v>9611.50390625</v>
      </c>
      <c r="X178" s="7">
        <f>'Processed HWF'!K178</f>
        <v>0.18641068771062094</v>
      </c>
      <c r="Y178">
        <f>'Processed HWF'!O178</f>
        <v>0.51073522211012978</v>
      </c>
      <c r="Z178">
        <f>'Processed HWF'!P178</f>
        <v>8.7926587676104579E-3</v>
      </c>
      <c r="AA178">
        <f>'Processed HWF'!N178</f>
        <v>69.86</v>
      </c>
      <c r="AB178">
        <f t="shared" si="11"/>
        <v>0</v>
      </c>
    </row>
    <row r="179" spans="1:28" x14ac:dyDescent="0.35">
      <c r="A179" t="str">
        <f>VLOOKUP(B179,'Reference table'!A$2:D$195,4,FALSE)</f>
        <v>EUR</v>
      </c>
      <c r="B179" t="str">
        <f>'Processed HWF'!A179</f>
        <v>Turkey</v>
      </c>
      <c r="C179" s="4">
        <f>'Processed HWF'!M179</f>
        <v>49.746402263641357</v>
      </c>
      <c r="D179">
        <f>'Processed HWF'!N179</f>
        <v>78.7</v>
      </c>
      <c r="E179">
        <f>IF(AND(C179&lt;H$4,Results!D179&lt;50),1,0)</f>
        <v>0</v>
      </c>
      <c r="F179">
        <f t="shared" si="10"/>
        <v>0</v>
      </c>
      <c r="V179" t="str">
        <f>'Processed HWF'!A179</f>
        <v>Turkey</v>
      </c>
      <c r="W179">
        <f>'Processed HWF'!I179</f>
        <v>72061.5625</v>
      </c>
      <c r="X179" s="7">
        <f>'Processed HWF'!K179</f>
        <v>0.14794778630861796</v>
      </c>
      <c r="Y179">
        <f>'Processed HWF'!O179</f>
        <v>0.61525999570282175</v>
      </c>
      <c r="Z179">
        <f>'Processed HWF'!P179</f>
        <v>0</v>
      </c>
      <c r="AA179">
        <f>'Processed HWF'!N179</f>
        <v>78.7</v>
      </c>
      <c r="AB179">
        <f t="shared" si="11"/>
        <v>0</v>
      </c>
    </row>
    <row r="180" spans="1:28" x14ac:dyDescent="0.35">
      <c r="A180" t="str">
        <f>VLOOKUP(B180,'Reference table'!A$2:D$195,4,FALSE)</f>
        <v>WPR</v>
      </c>
      <c r="B180" t="str">
        <f>'Processed HWF'!A180</f>
        <v>Tuvalu</v>
      </c>
      <c r="C180" s="4">
        <f>'Processed HWF'!M180</f>
        <v>46.641792297363281</v>
      </c>
      <c r="D180">
        <f>'Processed HWF'!N180</f>
        <v>51.55</v>
      </c>
      <c r="E180">
        <f>IF(AND(C180&lt;H$4,Results!D180&lt;50),1,0)</f>
        <v>0</v>
      </c>
      <c r="F180">
        <f t="shared" si="10"/>
        <v>0</v>
      </c>
      <c r="V180" t="str">
        <f>'Processed HWF'!A180</f>
        <v>Tuvalu</v>
      </c>
      <c r="W180">
        <f>'Processed HWF'!I180</f>
        <v>3.0829229354858398</v>
      </c>
      <c r="X180" s="7">
        <f>'Processed HWF'!K180</f>
        <v>5.3153842266721096E-2</v>
      </c>
      <c r="Y180">
        <f>'Processed HWF'!O180</f>
        <v>0.49898236092265941</v>
      </c>
      <c r="Z180">
        <f>'Processed HWF'!P180</f>
        <v>1.3004897501324272E-2</v>
      </c>
      <c r="AA180">
        <f>'Processed HWF'!N180</f>
        <v>51.55</v>
      </c>
      <c r="AB180">
        <f t="shared" si="11"/>
        <v>0</v>
      </c>
    </row>
    <row r="181" spans="1:28" x14ac:dyDescent="0.35">
      <c r="A181" t="str">
        <f>VLOOKUP(B181,'Reference table'!A$2:D$195,4,FALSE)</f>
        <v>AFR</v>
      </c>
      <c r="B181" t="str">
        <f>'Processed HWF'!A181</f>
        <v>United Republic of Tanzania</v>
      </c>
      <c r="C181" s="4">
        <f>'Processed HWF'!M181</f>
        <v>6.1856130361557007</v>
      </c>
      <c r="D181">
        <f>'Processed HWF'!N181</f>
        <v>46.41</v>
      </c>
      <c r="E181">
        <f>IF(AND(C181&lt;H$4,Results!D181&lt;50),1,0)</f>
        <v>1</v>
      </c>
      <c r="F181">
        <f t="shared" si="10"/>
        <v>1</v>
      </c>
      <c r="V181" t="str">
        <f>'Processed HWF'!A181</f>
        <v>United Republic of Tanzania</v>
      </c>
      <c r="W181">
        <f>'Processed HWF'!I181</f>
        <v>351637.09375</v>
      </c>
      <c r="X181" s="7">
        <f>'Processed HWF'!K181</f>
        <v>8.8729088024220868</v>
      </c>
      <c r="Y181">
        <f>'Processed HWF'!O181</f>
        <v>2.2754545811581563E-2</v>
      </c>
      <c r="Z181">
        <f>'Processed HWF'!P181</f>
        <v>0.51196290603339367</v>
      </c>
      <c r="AA181">
        <f>'Processed HWF'!N181</f>
        <v>46.41</v>
      </c>
      <c r="AB181">
        <f t="shared" si="11"/>
        <v>0</v>
      </c>
    </row>
    <row r="182" spans="1:28" x14ac:dyDescent="0.35">
      <c r="A182" t="str">
        <f>VLOOKUP(B182,'Reference table'!A$2:D$195,4,FALSE)</f>
        <v>AFR</v>
      </c>
      <c r="B182" t="str">
        <f>'Processed HWF'!A182</f>
        <v>Uganda</v>
      </c>
      <c r="C182" s="4">
        <f>'Processed HWF'!M182</f>
        <v>17.922100305557251</v>
      </c>
      <c r="D182">
        <f>'Processed HWF'!N182</f>
        <v>50.45</v>
      </c>
      <c r="E182">
        <f>IF(AND(C182&lt;H$4,Results!D182&lt;50),1,0)</f>
        <v>0</v>
      </c>
      <c r="F182">
        <f t="shared" si="10"/>
        <v>0</v>
      </c>
      <c r="V182" t="str">
        <f>'Processed HWF'!A182</f>
        <v>Uganda</v>
      </c>
      <c r="W182">
        <f>'Processed HWF'!I182</f>
        <v>225795.9375</v>
      </c>
      <c r="X182" s="7">
        <f>'Processed HWF'!K182</f>
        <v>2.6896074523187421</v>
      </c>
      <c r="Y182">
        <f>'Processed HWF'!O182</f>
        <v>3.9562465251366238E-2</v>
      </c>
      <c r="Z182">
        <f>'Processed HWF'!P182</f>
        <v>9.091854135650046E-2</v>
      </c>
      <c r="AA182">
        <f>'Processed HWF'!N182</f>
        <v>50.45</v>
      </c>
      <c r="AB182">
        <f t="shared" si="11"/>
        <v>1</v>
      </c>
    </row>
    <row r="183" spans="1:28" x14ac:dyDescent="0.35">
      <c r="A183" t="str">
        <f>VLOOKUP(B183,'Reference table'!A$2:D$195,4,FALSE)</f>
        <v>EUR</v>
      </c>
      <c r="B183" t="str">
        <f>'Processed HWF'!A183</f>
        <v>Ukraine</v>
      </c>
      <c r="C183" s="4">
        <f>'Processed HWF'!M183</f>
        <v>96.557650089263916</v>
      </c>
      <c r="D183">
        <f>'Processed HWF'!N183</f>
        <v>72.95</v>
      </c>
      <c r="E183">
        <f>IF(AND(C183&lt;H$4,Results!D183&lt;50),1,0)</f>
        <v>0</v>
      </c>
      <c r="F183">
        <f t="shared" si="10"/>
        <v>0</v>
      </c>
      <c r="V183" t="str">
        <f>'Processed HWF'!A183</f>
        <v>Ukraine</v>
      </c>
      <c r="W183">
        <f>'Processed HWF'!I183</f>
        <v>9484.8486328125</v>
      </c>
      <c r="X183" s="7">
        <f>'Processed HWF'!K183</f>
        <v>2.1082345590154525E-2</v>
      </c>
      <c r="Y183">
        <f>'Processed HWF'!O183</f>
        <v>0.31267755877101716</v>
      </c>
      <c r="Z183">
        <f>'Processed HWF'!P183</f>
        <v>2.0355964885518427E-2</v>
      </c>
      <c r="AA183">
        <f>'Processed HWF'!N183</f>
        <v>72.95</v>
      </c>
      <c r="AB183">
        <f t="shared" si="11"/>
        <v>0</v>
      </c>
    </row>
    <row r="184" spans="1:28" x14ac:dyDescent="0.35">
      <c r="A184" t="str">
        <f>VLOOKUP(B184,'Reference table'!A$2:D$195,4,FALSE)</f>
        <v>AMR</v>
      </c>
      <c r="B184" t="str">
        <f>'Processed HWF'!A184</f>
        <v>Uruguay</v>
      </c>
      <c r="C184" s="4">
        <f>'Processed HWF'!M184</f>
        <v>121.56899964809418</v>
      </c>
      <c r="D184">
        <f>'Processed HWF'!N184</f>
        <v>79.34</v>
      </c>
      <c r="E184">
        <f>IF(AND(C184&lt;H$4,Results!D184&lt;50),1,0)</f>
        <v>0</v>
      </c>
      <c r="F184">
        <f t="shared" si="10"/>
        <v>0</v>
      </c>
      <c r="V184" t="str">
        <f>'Processed HWF'!A184</f>
        <v>Uruguay</v>
      </c>
      <c r="W184">
        <f>'Processed HWF'!I184</f>
        <v>976.6253662109375</v>
      </c>
      <c r="X184" s="7">
        <f>'Processed HWF'!K184</f>
        <v>1.9795698295463893E-2</v>
      </c>
      <c r="Y184">
        <f>'Processed HWF'!O184</f>
        <v>0.77057687269879926</v>
      </c>
      <c r="Z184">
        <f>'Processed HWF'!P184</f>
        <v>0</v>
      </c>
      <c r="AA184">
        <f>'Processed HWF'!N184</f>
        <v>79.34</v>
      </c>
      <c r="AB184">
        <f t="shared" si="11"/>
        <v>0</v>
      </c>
    </row>
    <row r="185" spans="1:28" x14ac:dyDescent="0.35">
      <c r="A185" t="str">
        <f>VLOOKUP(B185,'Reference table'!A$2:D$195,4,FALSE)</f>
        <v>AMR</v>
      </c>
      <c r="B185" t="str">
        <f>'Processed HWF'!A185</f>
        <v>United States of America</v>
      </c>
      <c r="C185" s="4">
        <f>'Processed HWF'!M185</f>
        <v>183.00391578674316</v>
      </c>
      <c r="D185">
        <f>'Processed HWF'!N185</f>
        <v>82.61</v>
      </c>
      <c r="E185">
        <f>IF(AND(C185&lt;H$4,Results!D185&lt;50),1,0)</f>
        <v>0</v>
      </c>
      <c r="F185">
        <f t="shared" si="10"/>
        <v>0</v>
      </c>
      <c r="V185" t="str">
        <f>'Processed HWF'!A185</f>
        <v>United States of America</v>
      </c>
      <c r="W185">
        <f>'Processed HWF'!I185</f>
        <v>0</v>
      </c>
      <c r="X185" s="7">
        <f>'Processed HWF'!K185</f>
        <v>0</v>
      </c>
      <c r="Y185">
        <f>'Processed HWF'!O185</f>
        <v>0.61079225012007532</v>
      </c>
      <c r="Z185">
        <f>'Processed HWF'!P185</f>
        <v>0</v>
      </c>
      <c r="AA185">
        <f>'Processed HWF'!N185</f>
        <v>82.61</v>
      </c>
      <c r="AB185">
        <f t="shared" si="11"/>
        <v>0</v>
      </c>
    </row>
    <row r="186" spans="1:28" x14ac:dyDescent="0.35">
      <c r="A186" t="str">
        <f>VLOOKUP(B186,'Reference table'!A$2:D$195,4,FALSE)</f>
        <v>EUR</v>
      </c>
      <c r="B186" t="str">
        <f>'Processed HWF'!A186</f>
        <v>Uzbekistan</v>
      </c>
      <c r="C186" s="4">
        <f>'Processed HWF'!M186</f>
        <v>136.664475440979</v>
      </c>
      <c r="D186">
        <f>'Processed HWF'!N186</f>
        <v>70.849999999999994</v>
      </c>
      <c r="E186">
        <f>IF(AND(C186&lt;H$4,Results!D186&lt;50),1,0)</f>
        <v>0</v>
      </c>
      <c r="F186">
        <f t="shared" si="10"/>
        <v>0</v>
      </c>
      <c r="V186" t="str">
        <f>'Processed HWF'!A186</f>
        <v>Uzbekistan</v>
      </c>
      <c r="W186">
        <f>'Processed HWF'!I186</f>
        <v>6957.2392578125</v>
      </c>
      <c r="X186" s="7">
        <f>'Processed HWF'!K186</f>
        <v>1.5002135002169582E-2</v>
      </c>
      <c r="Y186">
        <f>'Processed HWF'!O186</f>
        <v>0.37172485066045352</v>
      </c>
      <c r="Z186">
        <f>'Processed HWF'!P186</f>
        <v>6.2754264020826031E-3</v>
      </c>
      <c r="AA186">
        <f>'Processed HWF'!N186</f>
        <v>70.849999999999994</v>
      </c>
      <c r="AB186">
        <f t="shared" si="11"/>
        <v>0</v>
      </c>
    </row>
    <row r="187" spans="1:28" x14ac:dyDescent="0.35">
      <c r="A187" t="str">
        <f>VLOOKUP(B187,'Reference table'!A$2:D$195,4,FALSE)</f>
        <v>AMR</v>
      </c>
      <c r="B187" t="str">
        <f>'Processed HWF'!A187</f>
        <v>Saint Vincent and the Grenadines</v>
      </c>
      <c r="C187" s="4">
        <f>'Processed HWF'!M187</f>
        <v>84.804190635681152</v>
      </c>
      <c r="D187">
        <f>'Processed HWF'!N187</f>
        <v>73.040000000000006</v>
      </c>
      <c r="E187">
        <f>IF(AND(C187&lt;H$4,Results!D187&lt;50),1,0)</f>
        <v>0</v>
      </c>
      <c r="F187">
        <f t="shared" si="10"/>
        <v>0</v>
      </c>
      <c r="V187" t="str">
        <f>'Processed HWF'!A187</f>
        <v>Saint Vincent and the Grenadines</v>
      </c>
      <c r="W187">
        <f>'Processed HWF'!I187</f>
        <v>48.737686157226563</v>
      </c>
      <c r="X187" s="7">
        <f>'Processed HWF'!K187</f>
        <v>4.8931635606573494E-2</v>
      </c>
      <c r="Y187">
        <f>'Processed HWF'!O187</f>
        <v>0.24240129799891832</v>
      </c>
      <c r="Z187">
        <f>'Processed HWF'!P187</f>
        <v>1.942922522231131E-2</v>
      </c>
      <c r="AA187">
        <f>'Processed HWF'!N187</f>
        <v>73.040000000000006</v>
      </c>
      <c r="AB187">
        <f t="shared" si="11"/>
        <v>0</v>
      </c>
    </row>
    <row r="188" spans="1:28" x14ac:dyDescent="0.35">
      <c r="A188" t="str">
        <f>VLOOKUP(B188,'Reference table'!A$2:D$195,4,FALSE)</f>
        <v>AMR</v>
      </c>
      <c r="B188" t="str">
        <f>'Processed HWF'!A188</f>
        <v>Venezuela, Bolivarian Republic of</v>
      </c>
      <c r="C188" s="4">
        <f>'Processed HWF'!M188</f>
        <v>43.21414852142334</v>
      </c>
      <c r="D188">
        <f>'Processed HWF'!N188</f>
        <v>69.63</v>
      </c>
      <c r="E188">
        <f>IF(AND(C188&lt;H$4,Results!D188&lt;50),1,0)</f>
        <v>0</v>
      </c>
      <c r="F188">
        <f t="shared" si="10"/>
        <v>0</v>
      </c>
      <c r="V188" t="str">
        <f>'Processed HWF'!A188</f>
        <v>Venezuela, Bolivarian Republic of</v>
      </c>
      <c r="W188">
        <f>'Processed HWF'!I188</f>
        <v>38039.10546875</v>
      </c>
      <c r="X188" s="7">
        <f>'Processed HWF'!K188</f>
        <v>0.26453030714830078</v>
      </c>
      <c r="Y188">
        <f>'Processed HWF'!O188</f>
        <v>0.40822652600898723</v>
      </c>
      <c r="Z188">
        <f>'Processed HWF'!P188</f>
        <v>1.0149444452042813E-2</v>
      </c>
      <c r="AA188">
        <f>'Processed HWF'!N188</f>
        <v>69.63</v>
      </c>
      <c r="AB188">
        <f t="shared" si="11"/>
        <v>0</v>
      </c>
    </row>
    <row r="189" spans="1:28" x14ac:dyDescent="0.35">
      <c r="A189" t="str">
        <f>VLOOKUP(B189,'Reference table'!A$2:D$195,4,FALSE)</f>
        <v>WPR</v>
      </c>
      <c r="B189" t="str">
        <f>'Processed HWF'!A189</f>
        <v>Viet Nam</v>
      </c>
      <c r="C189" s="4">
        <f>'Processed HWF'!M189</f>
        <v>22.753312110900879</v>
      </c>
      <c r="D189">
        <f>'Processed HWF'!N189</f>
        <v>69.540000000000006</v>
      </c>
      <c r="E189">
        <f>IF(AND(C189&lt;H$4,Results!D189&lt;50),1,0)</f>
        <v>0</v>
      </c>
      <c r="F189">
        <f t="shared" si="10"/>
        <v>0</v>
      </c>
      <c r="V189" t="str">
        <f>'Processed HWF'!A189</f>
        <v>Viet Nam</v>
      </c>
      <c r="W189">
        <f>'Processed HWF'!I189</f>
        <v>320958.78125</v>
      </c>
      <c r="X189" s="7">
        <f>'Processed HWF'!K189</f>
        <v>1.2349897488567909</v>
      </c>
      <c r="Y189">
        <f>'Processed HWF'!O189</f>
        <v>0.72457775452012707</v>
      </c>
      <c r="Z189">
        <f>'Processed HWF'!P189</f>
        <v>0</v>
      </c>
      <c r="AA189">
        <f>'Processed HWF'!N189</f>
        <v>69.540000000000006</v>
      </c>
      <c r="AB189">
        <f t="shared" si="11"/>
        <v>0</v>
      </c>
    </row>
    <row r="190" spans="1:28" x14ac:dyDescent="0.35">
      <c r="A190" t="str">
        <f>VLOOKUP(B190,'Reference table'!A$2:D$195,4,FALSE)</f>
        <v>WPR</v>
      </c>
      <c r="B190" t="str">
        <f>'Processed HWF'!A190</f>
        <v>Vanuatu</v>
      </c>
      <c r="C190" s="4">
        <f>'Processed HWF'!M190</f>
        <v>15.858325600624084</v>
      </c>
      <c r="D190">
        <f>'Processed HWF'!N190</f>
        <v>52.24</v>
      </c>
      <c r="E190">
        <f>IF(AND(C190&lt;H$4,Results!D190&lt;50),1,0)</f>
        <v>0</v>
      </c>
      <c r="F190">
        <f t="shared" si="10"/>
        <v>0</v>
      </c>
      <c r="V190" t="str">
        <f>'Processed HWF'!A190</f>
        <v>Vanuatu</v>
      </c>
      <c r="W190">
        <f>'Processed HWF'!I190</f>
        <v>1323.2557373046875</v>
      </c>
      <c r="X190" s="7">
        <f>'Processed HWF'!K190</f>
        <v>2.4873320666097265</v>
      </c>
      <c r="Y190">
        <f>'Processed HWF'!O190</f>
        <v>0.16410164580247114</v>
      </c>
      <c r="Z190">
        <f>'Processed HWF'!P190</f>
        <v>8.7772988857406475E-2</v>
      </c>
      <c r="AA190">
        <f>'Processed HWF'!N190</f>
        <v>52.24</v>
      </c>
      <c r="AB190">
        <f t="shared" si="11"/>
        <v>1</v>
      </c>
    </row>
    <row r="191" spans="1:28" x14ac:dyDescent="0.35">
      <c r="A191" t="str">
        <f>VLOOKUP(B191,'Reference table'!A$2:D$195,4,FALSE)</f>
        <v>WPR</v>
      </c>
      <c r="B191" t="str">
        <f>'Processed HWF'!A191</f>
        <v>Samoa</v>
      </c>
      <c r="C191" s="4">
        <f>'Processed HWF'!M191</f>
        <v>38.657326698303223</v>
      </c>
      <c r="D191">
        <f>'Processed HWF'!N191</f>
        <v>53.45</v>
      </c>
      <c r="E191">
        <f>IF(AND(C191&lt;H$4,Results!D191&lt;50),1,0)</f>
        <v>0</v>
      </c>
      <c r="F191">
        <f t="shared" si="10"/>
        <v>0</v>
      </c>
      <c r="V191" t="str">
        <f>'Processed HWF'!A191</f>
        <v>Samoa</v>
      </c>
      <c r="W191">
        <f>'Processed HWF'!I191</f>
        <v>288.81298828125</v>
      </c>
      <c r="X191" s="7">
        <f>'Processed HWF'!K191</f>
        <v>0.3651165090729464</v>
      </c>
      <c r="Y191">
        <f>'Processed HWF'!O191</f>
        <v>0.61847450280726157</v>
      </c>
      <c r="Z191">
        <f>'Processed HWF'!P191</f>
        <v>5.3918894974420845E-3</v>
      </c>
      <c r="AA191">
        <f>'Processed HWF'!N191</f>
        <v>53.45</v>
      </c>
      <c r="AB191">
        <f t="shared" si="11"/>
        <v>0</v>
      </c>
    </row>
    <row r="192" spans="1:28" x14ac:dyDescent="0.35">
      <c r="A192" t="str">
        <f>VLOOKUP(B192,'Reference table'!A$2:D$195,4,FALSE)</f>
        <v>EMR</v>
      </c>
      <c r="B192" t="str">
        <f>'Processed HWF'!A192</f>
        <v>Yemen</v>
      </c>
      <c r="C192" s="4">
        <f>'Processed HWF'!M192</f>
        <v>13.10739278793335</v>
      </c>
      <c r="D192">
        <f>'Processed HWF'!N192</f>
        <v>44.33</v>
      </c>
      <c r="E192">
        <f>IF(AND(C192&lt;H$4,Results!D192&lt;50),1,0)</f>
        <v>1</v>
      </c>
      <c r="F192">
        <f t="shared" si="10"/>
        <v>0</v>
      </c>
      <c r="V192" t="str">
        <f>'Processed HWF'!A192</f>
        <v>Yemen</v>
      </c>
      <c r="W192">
        <f>'Processed HWF'!I192</f>
        <v>140576.859375</v>
      </c>
      <c r="X192" s="7">
        <f>'Processed HWF'!K192</f>
        <v>3.2797845868444053</v>
      </c>
      <c r="Y192">
        <f>'Processed HWF'!O192</f>
        <v>1.2290868452734671E-2</v>
      </c>
      <c r="Z192">
        <f>'Processed HWF'!P192</f>
        <v>0.18776157384990672</v>
      </c>
      <c r="AA192">
        <f>'Processed HWF'!N192</f>
        <v>44.33</v>
      </c>
      <c r="AB192">
        <f t="shared" si="11"/>
        <v>0</v>
      </c>
    </row>
    <row r="193" spans="1:28" x14ac:dyDescent="0.35">
      <c r="A193" t="str">
        <f>VLOOKUP(B193,'Reference table'!A$2:D$195,4,FALSE)</f>
        <v>AFR</v>
      </c>
      <c r="B193" t="str">
        <f>'Processed HWF'!A193</f>
        <v>South Africa</v>
      </c>
      <c r="C193" s="4">
        <f>'Processed HWF'!M193</f>
        <v>57.650113582611084</v>
      </c>
      <c r="D193">
        <f>'Processed HWF'!N193</f>
        <v>67.47</v>
      </c>
      <c r="E193">
        <f>IF(AND(C193&lt;H$4,Results!D193&lt;50),1,0)</f>
        <v>0</v>
      </c>
      <c r="F193">
        <f t="shared" si="10"/>
        <v>0</v>
      </c>
      <c r="V193" t="str">
        <f>'Processed HWF'!A193</f>
        <v>South Africa</v>
      </c>
      <c r="W193">
        <f>'Processed HWF'!I193</f>
        <v>47323.21875</v>
      </c>
      <c r="X193" s="7">
        <f>'Processed HWF'!K193</f>
        <v>0.12984164025782413</v>
      </c>
      <c r="Y193">
        <f>'Processed HWF'!O193</f>
        <v>0.26762467692339859</v>
      </c>
      <c r="Z193">
        <f>'Processed HWF'!P193</f>
        <v>4.1232964944560843E-2</v>
      </c>
      <c r="AA193">
        <f>'Processed HWF'!N193</f>
        <v>67.47</v>
      </c>
      <c r="AB193">
        <f t="shared" si="11"/>
        <v>0</v>
      </c>
    </row>
    <row r="194" spans="1:28" x14ac:dyDescent="0.35">
      <c r="A194" t="str">
        <f>VLOOKUP(B194,'Reference table'!A$2:D$195,4,FALSE)</f>
        <v>AFR</v>
      </c>
      <c r="B194" t="str">
        <f>'Processed HWF'!A194</f>
        <v>Zambia</v>
      </c>
      <c r="C194" s="4">
        <f>'Processed HWF'!M194</f>
        <v>11.362643718719482</v>
      </c>
      <c r="D194">
        <f>'Processed HWF'!N194</f>
        <v>54.59</v>
      </c>
      <c r="E194">
        <f>IF(AND(C194&lt;H$4,Results!D194&lt;50),1,0)</f>
        <v>0</v>
      </c>
      <c r="F194">
        <f t="shared" si="10"/>
        <v>0</v>
      </c>
      <c r="V194" t="str">
        <f>'Processed HWF'!A194</f>
        <v>Zambia</v>
      </c>
      <c r="W194">
        <f>'Processed HWF'!I194</f>
        <v>102644.6640625</v>
      </c>
      <c r="X194" s="7">
        <f>'Processed HWF'!K194</f>
        <v>4.4292361752673299</v>
      </c>
      <c r="Y194">
        <f>'Processed HWF'!O194</f>
        <v>3.5463805258444114E-2</v>
      </c>
      <c r="Z194">
        <f>'Processed HWF'!P194</f>
        <v>7.5162517062857245E-2</v>
      </c>
      <c r="AA194">
        <f>'Processed HWF'!N194</f>
        <v>54.59</v>
      </c>
      <c r="AB194">
        <f t="shared" si="11"/>
        <v>1</v>
      </c>
    </row>
    <row r="195" spans="1:28" x14ac:dyDescent="0.35">
      <c r="A195" t="str">
        <f>VLOOKUP(B195,'Reference table'!A$2:D$195,4,FALSE)</f>
        <v>AFR</v>
      </c>
      <c r="B195" t="str">
        <f>'Processed HWF'!A195</f>
        <v>Zimbabwe</v>
      </c>
      <c r="C195" s="4">
        <f>'Processed HWF'!M195</f>
        <v>23.321476817131042</v>
      </c>
      <c r="D195">
        <f>'Processed HWF'!N195</f>
        <v>54.77</v>
      </c>
      <c r="E195">
        <f>IF(AND(C195&lt;H$4,Results!D195&lt;50),1,0)</f>
        <v>0</v>
      </c>
      <c r="F195">
        <f t="shared" ref="F195" si="12">IF(AND(A195="AFR",E195=1),1,0)</f>
        <v>0</v>
      </c>
      <c r="V195" t="str">
        <f>'Processed HWF'!A195</f>
        <v>Zimbabwe</v>
      </c>
      <c r="W195">
        <f>'Processed HWF'!I195</f>
        <v>62603.5859375</v>
      </c>
      <c r="X195" s="7">
        <f>'Processed HWF'!K195</f>
        <v>1.7155441520287151</v>
      </c>
      <c r="Y195">
        <f>'Processed HWF'!O195</f>
        <v>0.21057922384585967</v>
      </c>
      <c r="Z195">
        <f>'Processed HWF'!P195</f>
        <v>8.3665705192728326E-2</v>
      </c>
      <c r="AA195">
        <f>'Processed HWF'!N195</f>
        <v>54.77</v>
      </c>
      <c r="AB195">
        <f t="shared" ref="AB195" si="13">IF(AND(E195=0,W195&gt;$AG$1,Y195&lt;&gt;0,Y195&lt;$AG$2,Z195&gt;$AG$3,AA195&lt;$AG$5,X195&gt;$AG$4),1,0)</f>
        <v>1</v>
      </c>
    </row>
  </sheetData>
  <sortState xmlns:xlrd2="http://schemas.microsoft.com/office/spreadsheetml/2017/richdata2" ref="AI22:AO28">
    <sortCondition ref="AO22:AO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3DEC-6315-44D2-ACBA-92C2CEC5EED5}">
  <dimension ref="A1:AE200"/>
  <sheetViews>
    <sheetView topLeftCell="A65" workbookViewId="0">
      <selection activeCell="B71" sqref="B71"/>
    </sheetView>
  </sheetViews>
  <sheetFormatPr defaultRowHeight="14.5" x14ac:dyDescent="0.35"/>
  <cols>
    <col min="17" max="17" width="18.453125" customWidth="1"/>
  </cols>
  <sheetData>
    <row r="1" spans="1:31" x14ac:dyDescent="0.35">
      <c r="A1" t="s">
        <v>894</v>
      </c>
      <c r="B1" t="s">
        <v>918</v>
      </c>
      <c r="C1" t="s">
        <v>783</v>
      </c>
      <c r="D1" t="s">
        <v>903</v>
      </c>
      <c r="E1" t="s">
        <v>783</v>
      </c>
      <c r="F1" t="s">
        <v>903</v>
      </c>
      <c r="K1" t="s">
        <v>892</v>
      </c>
      <c r="Q1" s="8" t="s">
        <v>893</v>
      </c>
      <c r="R1" t="s">
        <v>894</v>
      </c>
      <c r="S1" t="s">
        <v>918</v>
      </c>
      <c r="T1" t="s">
        <v>783</v>
      </c>
      <c r="U1" t="s">
        <v>903</v>
      </c>
      <c r="V1" t="s">
        <v>783</v>
      </c>
      <c r="W1" t="s">
        <v>903</v>
      </c>
      <c r="Z1" t="s">
        <v>894</v>
      </c>
      <c r="AA1" t="s">
        <v>918</v>
      </c>
      <c r="AB1" t="s">
        <v>783</v>
      </c>
      <c r="AC1" t="s">
        <v>903</v>
      </c>
      <c r="AD1" t="s">
        <v>916</v>
      </c>
      <c r="AE1" t="s">
        <v>917</v>
      </c>
    </row>
    <row r="2" spans="1:31" x14ac:dyDescent="0.35">
      <c r="A2" t="s">
        <v>114</v>
      </c>
      <c r="B2">
        <v>1</v>
      </c>
      <c r="E2">
        <v>6.9971038103103638</v>
      </c>
      <c r="F2">
        <v>37.33</v>
      </c>
      <c r="G2">
        <f>IF(AND(E2&lt;49,F2&lt;60,F2&gt;=50),A2,0)</f>
        <v>0</v>
      </c>
      <c r="H2" t="s">
        <v>298</v>
      </c>
      <c r="I2" t="str">
        <f>VLOOKUP(H2,'Reference table'!$J$2:$K$195,2,FALSE)</f>
        <v>Guatemala</v>
      </c>
      <c r="K2" t="s">
        <v>77</v>
      </c>
      <c r="L2" t="str">
        <f>TRIM(K2)</f>
        <v>SOM</v>
      </c>
      <c r="M2" t="str">
        <f>VLOOKUP(Indice!L2,'Reference table'!J$2:K$195,2,FALSE)</f>
        <v>Somalia</v>
      </c>
      <c r="N2">
        <v>1</v>
      </c>
      <c r="R2" t="s">
        <v>114</v>
      </c>
      <c r="S2">
        <v>1</v>
      </c>
      <c r="V2">
        <v>6.9971038103103638</v>
      </c>
      <c r="W2">
        <v>37.33</v>
      </c>
      <c r="Z2" t="s">
        <v>114</v>
      </c>
      <c r="AA2">
        <f t="shared" ref="AA2:AA33" si="0">IF(OR(AD2="Above 0.05",AE2="Above 0.05"),1,0)</f>
        <v>0</v>
      </c>
      <c r="AB2">
        <v>6.9971038103103638</v>
      </c>
      <c r="AC2">
        <v>37.33</v>
      </c>
      <c r="AD2" t="str">
        <f>VLOOKUP(Z2,Migration!$J$3:$R$196,8,FALSE)</f>
        <v>Less than 0.1</v>
      </c>
      <c r="AE2" t="str">
        <f>VLOOKUP(Z2,Migration!$J$3:$R$196,9,FALSE)</f>
        <v>Less than 0.1</v>
      </c>
    </row>
    <row r="3" spans="1:31" x14ac:dyDescent="0.35">
      <c r="A3" t="s">
        <v>213</v>
      </c>
      <c r="B3">
        <v>1</v>
      </c>
      <c r="E3">
        <v>79.213287830352783</v>
      </c>
      <c r="F3">
        <v>62.16</v>
      </c>
      <c r="G3">
        <f t="shared" ref="G3:G66" si="1">IF(AND(E3&lt;49,F3&lt;60,F3&gt;=50),A3,0)</f>
        <v>0</v>
      </c>
      <c r="H3" t="s">
        <v>334</v>
      </c>
      <c r="I3" t="str">
        <f>VLOOKUP(H3,'Reference table'!$J$2:$K$195,2,FALSE)</f>
        <v>Kenya</v>
      </c>
      <c r="K3" t="s">
        <v>249</v>
      </c>
      <c r="L3" t="str">
        <f t="shared" ref="L3:L6" si="2">TRIM(K3)</f>
        <v>TCD</v>
      </c>
      <c r="M3" t="str">
        <f>VLOOKUP(Indice!L3,'Reference table'!J$2:K$195,2,FALSE)</f>
        <v>Chad</v>
      </c>
      <c r="N3">
        <v>1</v>
      </c>
      <c r="R3" t="s">
        <v>213</v>
      </c>
      <c r="S3">
        <v>1</v>
      </c>
      <c r="V3">
        <v>79.213287830352783</v>
      </c>
      <c r="W3">
        <v>62.16</v>
      </c>
      <c r="Z3" t="s">
        <v>216</v>
      </c>
      <c r="AA3">
        <f t="shared" si="0"/>
        <v>0</v>
      </c>
      <c r="AB3">
        <v>6.2165584564208984</v>
      </c>
      <c r="AC3">
        <v>38.69</v>
      </c>
      <c r="AD3" t="str">
        <f>VLOOKUP(Z3,Migration!$J$3:$R$196,8,FALSE)</f>
        <v>Less than 0.1</v>
      </c>
      <c r="AE3" t="str">
        <f>VLOOKUP(Z3,Migration!$J$3:$R$196,9,FALSE)</f>
        <v>Less than 0.1</v>
      </c>
    </row>
    <row r="4" spans="1:31" x14ac:dyDescent="0.35">
      <c r="A4" t="s">
        <v>219</v>
      </c>
      <c r="B4">
        <v>1</v>
      </c>
      <c r="E4">
        <v>93.389282703399658</v>
      </c>
      <c r="F4">
        <v>69.260000000000005</v>
      </c>
      <c r="G4">
        <f t="shared" si="1"/>
        <v>0</v>
      </c>
      <c r="H4" t="s">
        <v>176</v>
      </c>
      <c r="I4" t="str">
        <f>VLOOKUP(H4,'Reference table'!$J$2:$K$195,2,FALSE)</f>
        <v>Lao People's Democratic Republic</v>
      </c>
      <c r="K4" t="s">
        <v>31</v>
      </c>
      <c r="L4" t="str">
        <f t="shared" si="2"/>
        <v>CAF</v>
      </c>
      <c r="M4" t="str">
        <f>VLOOKUP(Indice!L4,'Reference table'!J$2:K$195,2,FALSE)</f>
        <v>Central African Republic</v>
      </c>
      <c r="N4">
        <v>1</v>
      </c>
      <c r="R4" t="s">
        <v>219</v>
      </c>
      <c r="S4">
        <v>1</v>
      </c>
      <c r="V4">
        <v>93.389282703399658</v>
      </c>
      <c r="W4">
        <v>69.260000000000005</v>
      </c>
      <c r="Z4" t="s">
        <v>213</v>
      </c>
      <c r="AA4">
        <f t="shared" si="0"/>
        <v>0</v>
      </c>
      <c r="AB4">
        <v>79.213287830352783</v>
      </c>
      <c r="AC4">
        <v>62.16</v>
      </c>
      <c r="AD4" t="str">
        <f>VLOOKUP(Z4,Migration!$J$3:$R$196,8,FALSE)</f>
        <v>Above 0.1</v>
      </c>
      <c r="AE4" t="str">
        <f>VLOOKUP(Z4,Migration!$J$3:$R$196,9,FALSE)</f>
        <v>Above 0.1</v>
      </c>
    </row>
    <row r="5" spans="1:31" x14ac:dyDescent="0.35">
      <c r="A5" t="s">
        <v>3</v>
      </c>
      <c r="B5">
        <v>1</v>
      </c>
      <c r="E5">
        <v>118.48586845397949</v>
      </c>
      <c r="F5">
        <v>72.33</v>
      </c>
      <c r="G5">
        <f t="shared" si="1"/>
        <v>0</v>
      </c>
      <c r="H5" t="s">
        <v>520</v>
      </c>
      <c r="I5" t="str">
        <f>VLOOKUP(H5,'Reference table'!$J$2:$K$195,2,FALSE)</f>
        <v>Syrian Arab Republic</v>
      </c>
      <c r="K5" t="s">
        <v>231</v>
      </c>
      <c r="L5" t="str">
        <f t="shared" si="2"/>
        <v>BEN</v>
      </c>
      <c r="M5" t="str">
        <f>VLOOKUP(Indice!L5,'Reference table'!J$2:K$195,2,FALSE)</f>
        <v>Benin</v>
      </c>
      <c r="N5">
        <v>1</v>
      </c>
      <c r="R5" t="s">
        <v>3</v>
      </c>
      <c r="S5">
        <v>1</v>
      </c>
      <c r="V5">
        <v>118.48586845397949</v>
      </c>
      <c r="W5">
        <v>72.33</v>
      </c>
      <c r="Z5" t="s">
        <v>205</v>
      </c>
      <c r="AA5">
        <f t="shared" si="0"/>
        <v>0</v>
      </c>
      <c r="AB5">
        <v>73.468134880065918</v>
      </c>
      <c r="AC5">
        <v>77.16</v>
      </c>
      <c r="AD5" t="str">
        <f>VLOOKUP(Z5,Migration!$J$3:$R$196,8,FALSE)</f>
        <v>Less than 0.1</v>
      </c>
      <c r="AE5" t="str">
        <f>VLOOKUP(Z5,Migration!$J$3:$R$196,9,FALSE)</f>
        <v>No data</v>
      </c>
    </row>
    <row r="6" spans="1:31" x14ac:dyDescent="0.35">
      <c r="A6" t="s">
        <v>27</v>
      </c>
      <c r="B6">
        <v>1</v>
      </c>
      <c r="E6">
        <v>9.8023334145545959</v>
      </c>
      <c r="F6">
        <v>43.19</v>
      </c>
      <c r="G6">
        <f t="shared" si="1"/>
        <v>0</v>
      </c>
      <c r="H6" t="s">
        <v>110</v>
      </c>
      <c r="I6" t="str">
        <f>VLOOKUP(H6,'Reference table'!$J$2:$K$195,2,FALSE)</f>
        <v>Samoa</v>
      </c>
      <c r="K6" t="s">
        <v>107</v>
      </c>
      <c r="L6" t="str">
        <f t="shared" si="2"/>
        <v>PNG</v>
      </c>
      <c r="M6" t="str">
        <f>VLOOKUP(Indice!L6,'Reference table'!J$2:K$195,2,FALSE)</f>
        <v>Papua New Guinea</v>
      </c>
      <c r="N6">
        <v>1</v>
      </c>
      <c r="R6" t="s">
        <v>27</v>
      </c>
      <c r="S6">
        <v>1</v>
      </c>
      <c r="V6">
        <v>9.8023334145545959</v>
      </c>
      <c r="W6">
        <v>43.19</v>
      </c>
      <c r="Z6" t="s">
        <v>534</v>
      </c>
      <c r="AA6">
        <f t="shared" si="0"/>
        <v>0</v>
      </c>
      <c r="AB6">
        <v>88.65294885635376</v>
      </c>
      <c r="AC6">
        <v>77.83</v>
      </c>
      <c r="AD6" t="str">
        <f>VLOOKUP(Z6,Migration!$J$3:$R$196,8,FALSE)</f>
        <v>Less than 0.1</v>
      </c>
      <c r="AE6" t="str">
        <f>VLOOKUP(Z6,Migration!$J$3:$R$196,9,FALSE)</f>
        <v>Less than 0.1</v>
      </c>
    </row>
    <row r="7" spans="1:31" x14ac:dyDescent="0.35">
      <c r="A7" t="s">
        <v>237</v>
      </c>
      <c r="B7">
        <v>1</v>
      </c>
      <c r="E7">
        <v>89.924144744873047</v>
      </c>
      <c r="F7">
        <v>69.87</v>
      </c>
      <c r="G7">
        <f t="shared" si="1"/>
        <v>0</v>
      </c>
      <c r="H7" t="s">
        <v>476</v>
      </c>
      <c r="I7" t="str">
        <f>VLOOKUP(H7,'Reference table'!$J$2:$K$195,2,FALSE)</f>
        <v>Zambia</v>
      </c>
      <c r="K7" t="s">
        <v>541</v>
      </c>
      <c r="L7" t="str">
        <f t="shared" ref="L7:L70" si="3">TRIM(K7)</f>
        <v>TZA</v>
      </c>
      <c r="M7" t="str">
        <f>VLOOKUP(Indice!L7,'Reference table'!J$2:K$195,2,FALSE)</f>
        <v>United Republic of Tanzania</v>
      </c>
      <c r="N7">
        <v>1</v>
      </c>
      <c r="R7" t="s">
        <v>237</v>
      </c>
      <c r="S7">
        <v>1</v>
      </c>
      <c r="V7">
        <v>89.924144744873047</v>
      </c>
      <c r="W7">
        <v>69.87</v>
      </c>
      <c r="Z7" t="s">
        <v>10</v>
      </c>
      <c r="AA7">
        <f t="shared" si="0"/>
        <v>0</v>
      </c>
      <c r="AB7">
        <v>66.609811782836914</v>
      </c>
      <c r="AC7">
        <v>73.41</v>
      </c>
      <c r="AD7" t="str">
        <f>VLOOKUP(Z7,Migration!$J$3:$R$196,8,FALSE)</f>
        <v>Less than 0.1</v>
      </c>
      <c r="AE7" t="str">
        <f>VLOOKUP(Z7,Migration!$J$3:$R$196,9,FALSE)</f>
        <v>Less than 0.1</v>
      </c>
    </row>
    <row r="8" spans="1:31" x14ac:dyDescent="0.35">
      <c r="A8" t="s">
        <v>37</v>
      </c>
      <c r="B8">
        <v>1</v>
      </c>
      <c r="E8">
        <v>70.230904102325439</v>
      </c>
      <c r="F8">
        <v>69.81</v>
      </c>
      <c r="G8">
        <f t="shared" si="1"/>
        <v>0</v>
      </c>
      <c r="H8" t="s">
        <v>479</v>
      </c>
      <c r="I8" t="str">
        <f>VLOOKUP(H8,'Reference table'!$J$2:$K$195,2,FALSE)</f>
        <v>Zimbabwe</v>
      </c>
      <c r="K8" t="s">
        <v>216</v>
      </c>
      <c r="L8" t="str">
        <f t="shared" si="3"/>
        <v>AGO</v>
      </c>
      <c r="M8" t="str">
        <f>VLOOKUP(Indice!L8,'Reference table'!J$2:K$195,2,FALSE)</f>
        <v>Angola</v>
      </c>
      <c r="N8">
        <v>1</v>
      </c>
      <c r="R8" t="s">
        <v>37</v>
      </c>
      <c r="S8">
        <v>1</v>
      </c>
      <c r="V8">
        <v>70.230904102325439</v>
      </c>
      <c r="W8">
        <v>69.81</v>
      </c>
      <c r="Z8" t="s">
        <v>219</v>
      </c>
      <c r="AA8">
        <f t="shared" si="0"/>
        <v>0</v>
      </c>
      <c r="AB8">
        <v>93.389282703399658</v>
      </c>
      <c r="AC8">
        <v>69.260000000000005</v>
      </c>
      <c r="AD8" t="str">
        <f>VLOOKUP(Z8,Migration!$J$3:$R$196,8,FALSE)</f>
        <v>Less than 0.1</v>
      </c>
      <c r="AE8" t="str">
        <f>VLOOKUP(Z8,Migration!$J$3:$R$196,9,FALSE)</f>
        <v>Above 0.1</v>
      </c>
    </row>
    <row r="9" spans="1:31" x14ac:dyDescent="0.35">
      <c r="A9" t="s">
        <v>22</v>
      </c>
      <c r="B9">
        <v>1</v>
      </c>
      <c r="E9">
        <v>78.949018478393555</v>
      </c>
      <c r="F9">
        <v>64.61</v>
      </c>
      <c r="G9">
        <f t="shared" si="1"/>
        <v>0</v>
      </c>
      <c r="K9" t="s">
        <v>280</v>
      </c>
      <c r="L9" t="str">
        <f t="shared" si="3"/>
        <v>GNQ</v>
      </c>
      <c r="M9" t="str">
        <f>VLOOKUP(Indice!L9,'Reference table'!J$2:K$195,2,FALSE)</f>
        <v>Equatorial Guinea</v>
      </c>
      <c r="N9">
        <v>1</v>
      </c>
      <c r="R9" t="s">
        <v>22</v>
      </c>
      <c r="S9">
        <v>1</v>
      </c>
      <c r="V9">
        <v>78.949018478393555</v>
      </c>
      <c r="W9">
        <v>64.61</v>
      </c>
      <c r="Z9" t="s">
        <v>3</v>
      </c>
      <c r="AA9">
        <f t="shared" si="0"/>
        <v>0</v>
      </c>
      <c r="AB9">
        <v>118.48586845397949</v>
      </c>
      <c r="AC9">
        <v>72.33</v>
      </c>
      <c r="AD9" t="str">
        <f>VLOOKUP(Z9,Migration!$J$3:$R$196,8,FALSE)</f>
        <v>Less than 0.1</v>
      </c>
      <c r="AE9" t="str">
        <f>VLOOKUP(Z9,Migration!$J$3:$R$196,9,FALSE)</f>
        <v>Above 0.1</v>
      </c>
    </row>
    <row r="10" spans="1:31" x14ac:dyDescent="0.35">
      <c r="A10" t="s">
        <v>16</v>
      </c>
      <c r="B10">
        <v>1</v>
      </c>
      <c r="E10">
        <v>34.19731616973877</v>
      </c>
      <c r="F10">
        <v>67.17</v>
      </c>
      <c r="G10">
        <f t="shared" si="1"/>
        <v>0</v>
      </c>
      <c r="K10" t="s">
        <v>354</v>
      </c>
      <c r="L10" t="str">
        <f t="shared" si="3"/>
        <v>MWI</v>
      </c>
      <c r="M10" t="str">
        <f>VLOOKUP(Indice!L10,'Reference table'!J$2:K$195,2,FALSE)</f>
        <v>Malawi</v>
      </c>
      <c r="N10">
        <v>1</v>
      </c>
      <c r="R10" t="s">
        <v>16</v>
      </c>
      <c r="S10">
        <v>1</v>
      </c>
      <c r="V10">
        <v>34.19731616973877</v>
      </c>
      <c r="W10">
        <v>67.17</v>
      </c>
      <c r="Z10" t="s">
        <v>12</v>
      </c>
      <c r="AA10">
        <f t="shared" si="0"/>
        <v>0</v>
      </c>
      <c r="AB10">
        <v>172.69653034210205</v>
      </c>
      <c r="AC10">
        <v>87.15</v>
      </c>
      <c r="AD10" t="str">
        <f>VLOOKUP(Z10,Migration!$J$3:$R$196,8,FALSE)</f>
        <v>Less than 0.1</v>
      </c>
      <c r="AE10" t="str">
        <f>VLOOKUP(Z10,Migration!$J$3:$R$196,9,FALSE)</f>
        <v>Less than 0.1</v>
      </c>
    </row>
    <row r="11" spans="1:31" x14ac:dyDescent="0.35">
      <c r="A11" t="s">
        <v>199</v>
      </c>
      <c r="B11">
        <v>1</v>
      </c>
      <c r="E11">
        <v>25.872321128845215</v>
      </c>
      <c r="F11">
        <v>66.75</v>
      </c>
      <c r="G11">
        <f t="shared" si="1"/>
        <v>0</v>
      </c>
      <c r="K11" t="s">
        <v>120</v>
      </c>
      <c r="L11" t="str">
        <f t="shared" si="3"/>
        <v>MRT</v>
      </c>
      <c r="M11" t="str">
        <f>VLOOKUP(Indice!L11,'Reference table'!J$2:K$195,2,FALSE)</f>
        <v>Mauritania</v>
      </c>
      <c r="N11">
        <v>1</v>
      </c>
      <c r="R11" t="s">
        <v>199</v>
      </c>
      <c r="S11">
        <v>1</v>
      </c>
      <c r="V11">
        <v>25.872321128845215</v>
      </c>
      <c r="W11">
        <v>66.75</v>
      </c>
      <c r="Z11" t="s">
        <v>222</v>
      </c>
      <c r="AA11">
        <f t="shared" si="0"/>
        <v>0</v>
      </c>
      <c r="AB11">
        <v>158.57124423980713</v>
      </c>
      <c r="AC11">
        <v>82.26</v>
      </c>
      <c r="AD11" t="str">
        <f>VLOOKUP(Z11,Migration!$J$3:$R$196,8,FALSE)</f>
        <v>Less than 0.1</v>
      </c>
      <c r="AE11" t="str">
        <f>VLOOKUP(Z11,Migration!$J$3:$R$196,9,FALSE)</f>
        <v>Less than 0.1</v>
      </c>
    </row>
    <row r="12" spans="1:31" x14ac:dyDescent="0.35">
      <c r="A12" t="s">
        <v>14</v>
      </c>
      <c r="B12">
        <v>1</v>
      </c>
      <c r="E12">
        <v>60.557791709899902</v>
      </c>
      <c r="F12">
        <v>74.459999999999994</v>
      </c>
      <c r="G12">
        <f t="shared" si="1"/>
        <v>0</v>
      </c>
      <c r="K12" t="s">
        <v>476</v>
      </c>
      <c r="L12" t="str">
        <f t="shared" si="3"/>
        <v>ZMB</v>
      </c>
      <c r="M12" t="str">
        <f>VLOOKUP(Indice!L12,'Reference table'!J$2:K$195,2,FALSE)</f>
        <v>Zambia</v>
      </c>
      <c r="N12">
        <v>1</v>
      </c>
      <c r="R12" t="s">
        <v>14</v>
      </c>
      <c r="S12">
        <v>1</v>
      </c>
      <c r="V12">
        <v>60.557791709899902</v>
      </c>
      <c r="W12">
        <v>74.459999999999994</v>
      </c>
      <c r="Z12" t="s">
        <v>225</v>
      </c>
      <c r="AA12">
        <f t="shared" si="0"/>
        <v>0</v>
      </c>
      <c r="AB12">
        <v>96.166758060455322</v>
      </c>
      <c r="AC12">
        <v>65.28</v>
      </c>
      <c r="AD12" t="str">
        <f>VLOOKUP(Z12,Migration!$J$3:$R$196,8,FALSE)</f>
        <v>Less than 0.1</v>
      </c>
      <c r="AE12" t="str">
        <f>VLOOKUP(Z12,Migration!$J$3:$R$196,9,FALSE)</f>
        <v>Less than 0.1</v>
      </c>
    </row>
    <row r="13" spans="1:31" x14ac:dyDescent="0.35">
      <c r="A13" t="s">
        <v>29</v>
      </c>
      <c r="B13">
        <v>1</v>
      </c>
      <c r="E13">
        <v>135.28619575500488</v>
      </c>
      <c r="F13">
        <v>89.36</v>
      </c>
      <c r="G13">
        <f t="shared" si="1"/>
        <v>0</v>
      </c>
      <c r="K13" t="s">
        <v>473</v>
      </c>
      <c r="L13" t="str">
        <f t="shared" si="3"/>
        <v>YEM</v>
      </c>
      <c r="M13" t="str">
        <f>VLOOKUP(Indice!L13,'Reference table'!J$2:K$195,2,FALSE)</f>
        <v>Yemen</v>
      </c>
      <c r="N13">
        <v>1</v>
      </c>
      <c r="R13" t="s">
        <v>29</v>
      </c>
      <c r="S13">
        <v>1</v>
      </c>
      <c r="V13">
        <v>135.28619575500488</v>
      </c>
      <c r="W13">
        <v>89.36</v>
      </c>
      <c r="Z13" t="s">
        <v>240</v>
      </c>
      <c r="AA13">
        <f t="shared" si="0"/>
        <v>0</v>
      </c>
      <c r="AB13">
        <v>7.1974789500236511</v>
      </c>
      <c r="AC13">
        <v>44.37</v>
      </c>
      <c r="AD13" t="str">
        <f>VLOOKUP(Z13,Migration!$J$3:$R$196,8,FALSE)</f>
        <v>Less than 0.1</v>
      </c>
      <c r="AE13" t="str">
        <f>VLOOKUP(Z13,Migration!$J$3:$R$196,9,FALSE)</f>
        <v>Less than 0.1</v>
      </c>
    </row>
    <row r="14" spans="1:31" x14ac:dyDescent="0.35">
      <c r="A14" t="s">
        <v>246</v>
      </c>
      <c r="B14">
        <v>1</v>
      </c>
      <c r="E14">
        <v>5.7732075750827789</v>
      </c>
      <c r="F14">
        <v>44.31</v>
      </c>
      <c r="G14">
        <f t="shared" si="1"/>
        <v>0</v>
      </c>
      <c r="K14" t="s">
        <v>449</v>
      </c>
      <c r="L14" t="str">
        <f t="shared" si="3"/>
        <v>SDN</v>
      </c>
      <c r="M14" t="str">
        <f>VLOOKUP(Indice!L14,'Reference table'!J$2:K$195,2,FALSE)</f>
        <v>Sudan</v>
      </c>
      <c r="N14">
        <v>1</v>
      </c>
      <c r="R14" t="s">
        <v>246</v>
      </c>
      <c r="S14">
        <v>1</v>
      </c>
      <c r="V14">
        <v>5.7732075750827789</v>
      </c>
      <c r="W14">
        <v>44.31</v>
      </c>
      <c r="Z14" t="s">
        <v>135</v>
      </c>
      <c r="AA14">
        <f t="shared" si="0"/>
        <v>0</v>
      </c>
      <c r="AB14">
        <v>261.3905086517334</v>
      </c>
      <c r="AC14">
        <v>85.5</v>
      </c>
      <c r="AD14" t="str">
        <f>VLOOKUP(Z14,Migration!$J$3:$R$196,8,FALSE)</f>
        <v>Less than 0.1</v>
      </c>
      <c r="AE14" t="str">
        <f>VLOOKUP(Z14,Migration!$J$3:$R$196,9,FALSE)</f>
        <v>Less than 0.1</v>
      </c>
    </row>
    <row r="15" spans="1:31" x14ac:dyDescent="0.35">
      <c r="A15" t="s">
        <v>443</v>
      </c>
      <c r="B15">
        <v>1</v>
      </c>
      <c r="E15">
        <v>10.725801825523376</v>
      </c>
      <c r="F15">
        <v>40.49</v>
      </c>
      <c r="G15">
        <f t="shared" si="1"/>
        <v>0</v>
      </c>
      <c r="K15" t="s">
        <v>125</v>
      </c>
      <c r="L15" t="str">
        <f t="shared" si="3"/>
        <v>JAM</v>
      </c>
      <c r="M15" t="str">
        <f>VLOOKUP(Indice!L15,'Reference table'!J$2:K$195,2,FALSE)</f>
        <v>Jamaica</v>
      </c>
      <c r="N15">
        <v>1</v>
      </c>
      <c r="R15" t="s">
        <v>443</v>
      </c>
      <c r="S15">
        <v>1</v>
      </c>
      <c r="V15">
        <v>10.725801825523376</v>
      </c>
      <c r="W15">
        <v>40.49</v>
      </c>
      <c r="Z15" t="s">
        <v>231</v>
      </c>
      <c r="AA15">
        <f t="shared" si="0"/>
        <v>0</v>
      </c>
      <c r="AB15">
        <v>3.6762710809707642</v>
      </c>
      <c r="AC15">
        <v>38.200000000000003</v>
      </c>
      <c r="AD15" t="str">
        <f>VLOOKUP(Z15,Migration!$J$3:$R$196,8,FALSE)</f>
        <v>Less than 0.1</v>
      </c>
      <c r="AE15" t="str">
        <f>VLOOKUP(Z15,Migration!$J$3:$R$196,9,FALSE)</f>
        <v>Less than 0.1</v>
      </c>
    </row>
    <row r="16" spans="1:31" x14ac:dyDescent="0.35">
      <c r="A16" t="s">
        <v>255</v>
      </c>
      <c r="B16">
        <v>1</v>
      </c>
      <c r="E16">
        <v>42.115653514862061</v>
      </c>
      <c r="F16">
        <v>78.27</v>
      </c>
      <c r="G16">
        <f t="shared" si="1"/>
        <v>0</v>
      </c>
      <c r="K16" t="s">
        <v>50</v>
      </c>
      <c r="L16" t="str">
        <f t="shared" si="3"/>
        <v>COD</v>
      </c>
      <c r="M16" t="str">
        <f>VLOOKUP(Indice!L16,'Reference table'!J$2:K$195,2,FALSE)</f>
        <v>Democratic Republic of the Congo</v>
      </c>
      <c r="N16">
        <v>1</v>
      </c>
      <c r="R16" t="s">
        <v>255</v>
      </c>
      <c r="S16">
        <v>1</v>
      </c>
      <c r="V16">
        <v>42.115653514862061</v>
      </c>
      <c r="W16">
        <v>78.27</v>
      </c>
      <c r="Z16" t="s">
        <v>27</v>
      </c>
      <c r="AA16">
        <f t="shared" si="0"/>
        <v>0</v>
      </c>
      <c r="AB16">
        <v>9.8023334145545959</v>
      </c>
      <c r="AC16">
        <v>43.19</v>
      </c>
      <c r="AD16" t="str">
        <f>VLOOKUP(Z16,Migration!$J$3:$R$196,8,FALSE)</f>
        <v>Less than 0.1</v>
      </c>
      <c r="AE16" t="str">
        <f>VLOOKUP(Z16,Migration!$J$3:$R$196,9,FALSE)</f>
        <v>Less than 0.1</v>
      </c>
    </row>
    <row r="17" spans="1:31" x14ac:dyDescent="0.35">
      <c r="A17" t="s">
        <v>243</v>
      </c>
      <c r="B17">
        <v>1</v>
      </c>
      <c r="E17">
        <v>25.594760417938232</v>
      </c>
      <c r="F17">
        <v>69.41</v>
      </c>
      <c r="G17">
        <f t="shared" si="1"/>
        <v>0</v>
      </c>
      <c r="K17" t="s">
        <v>500</v>
      </c>
      <c r="L17" t="str">
        <f t="shared" si="3"/>
        <v>ERI</v>
      </c>
      <c r="M17" t="str">
        <f>VLOOKUP(Indice!L17,'Reference table'!J$2:K$195,2,FALSE)</f>
        <v>Eritrea</v>
      </c>
      <c r="N17">
        <v>1</v>
      </c>
      <c r="R17" t="s">
        <v>243</v>
      </c>
      <c r="S17">
        <v>1</v>
      </c>
      <c r="V17">
        <v>25.594760417938232</v>
      </c>
      <c r="W17">
        <v>69.41</v>
      </c>
      <c r="Z17" t="s">
        <v>193</v>
      </c>
      <c r="AA17">
        <f t="shared" si="0"/>
        <v>0</v>
      </c>
      <c r="AB17">
        <v>11.54121208190918</v>
      </c>
      <c r="AC17">
        <v>50.74</v>
      </c>
      <c r="AD17" t="str">
        <f>VLOOKUP(Z17,Migration!$J$3:$R$196,8,FALSE)</f>
        <v>Less than 0.1</v>
      </c>
      <c r="AE17" t="str">
        <f>VLOOKUP(Z17,Migration!$J$3:$R$196,9,FALSE)</f>
        <v>Less than 0.1</v>
      </c>
    </row>
    <row r="18" spans="1:31" x14ac:dyDescent="0.35">
      <c r="A18" t="s">
        <v>258</v>
      </c>
      <c r="B18">
        <v>1</v>
      </c>
      <c r="E18">
        <v>71.021183013916016</v>
      </c>
      <c r="F18">
        <v>78.209999999999994</v>
      </c>
      <c r="G18">
        <f t="shared" si="1"/>
        <v>0</v>
      </c>
      <c r="K18" t="s">
        <v>176</v>
      </c>
      <c r="L18" t="str">
        <f t="shared" si="3"/>
        <v>LAO</v>
      </c>
      <c r="M18" t="str">
        <f>VLOOKUP(Indice!L18,'Reference table'!J$2:K$195,2,FALSE)</f>
        <v>Lao People's Democratic Republic</v>
      </c>
      <c r="N18">
        <v>1</v>
      </c>
      <c r="R18" t="s">
        <v>258</v>
      </c>
      <c r="S18">
        <v>1</v>
      </c>
      <c r="V18">
        <v>71.021183013916016</v>
      </c>
      <c r="W18">
        <v>78.209999999999994</v>
      </c>
      <c r="Z18" t="s">
        <v>237</v>
      </c>
      <c r="AA18">
        <f t="shared" si="0"/>
        <v>0</v>
      </c>
      <c r="AB18">
        <v>89.924144744873047</v>
      </c>
      <c r="AC18">
        <v>69.87</v>
      </c>
      <c r="AD18" t="str">
        <f>VLOOKUP(Z18,Migration!$J$3:$R$196,8,FALSE)</f>
        <v>Less than 0.1</v>
      </c>
      <c r="AE18" t="str">
        <f>VLOOKUP(Z18,Migration!$J$3:$R$196,9,FALSE)</f>
        <v>Less than 0.1</v>
      </c>
    </row>
    <row r="19" spans="1:31" x14ac:dyDescent="0.35">
      <c r="A19" t="s">
        <v>264</v>
      </c>
      <c r="B19">
        <v>1</v>
      </c>
      <c r="E19">
        <v>164.65096807479858</v>
      </c>
      <c r="F19">
        <v>79.67</v>
      </c>
      <c r="G19">
        <f t="shared" si="1"/>
        <v>0</v>
      </c>
      <c r="K19" t="s">
        <v>470</v>
      </c>
      <c r="L19" t="str">
        <f t="shared" si="3"/>
        <v>VUT</v>
      </c>
      <c r="M19" t="str">
        <f>VLOOKUP(Indice!L19,'Reference table'!J$2:K$195,2,FALSE)</f>
        <v>Vanuatu</v>
      </c>
      <c r="N19">
        <v>1</v>
      </c>
      <c r="R19" t="s">
        <v>264</v>
      </c>
      <c r="S19">
        <v>1</v>
      </c>
      <c r="V19">
        <v>164.65096807479858</v>
      </c>
      <c r="W19">
        <v>79.67</v>
      </c>
      <c r="Z19" t="s">
        <v>132</v>
      </c>
      <c r="AA19">
        <f t="shared" si="0"/>
        <v>0</v>
      </c>
      <c r="AB19">
        <v>39.383409976959229</v>
      </c>
      <c r="AC19">
        <v>71.44</v>
      </c>
      <c r="AD19" t="str">
        <f>VLOOKUP(Z19,Migration!$J$3:$R$196,8,FALSE)</f>
        <v>Less than 0.1</v>
      </c>
      <c r="AE19" t="str">
        <f>VLOOKUP(Z19,Migration!$J$3:$R$196,9,FALSE)</f>
        <v>Less than 0.1</v>
      </c>
    </row>
    <row r="20" spans="1:31" x14ac:dyDescent="0.35">
      <c r="A20" t="s">
        <v>267</v>
      </c>
      <c r="B20">
        <v>1</v>
      </c>
      <c r="E20">
        <v>86.745233058929443</v>
      </c>
      <c r="F20">
        <v>78.739999999999995</v>
      </c>
      <c r="G20">
        <f t="shared" si="1"/>
        <v>0</v>
      </c>
      <c r="K20" t="s">
        <v>452</v>
      </c>
      <c r="L20" t="str">
        <f t="shared" si="3"/>
        <v>MMR</v>
      </c>
      <c r="M20" t="str">
        <f>VLOOKUP(Indice!L20,'Reference table'!J$2:K$195,2,FALSE)</f>
        <v>Myanmar</v>
      </c>
      <c r="N20">
        <v>1</v>
      </c>
      <c r="R20" t="s">
        <v>267</v>
      </c>
      <c r="S20">
        <v>1</v>
      </c>
      <c r="V20">
        <v>86.745233058929443</v>
      </c>
      <c r="W20">
        <v>78.739999999999995</v>
      </c>
      <c r="Z20" t="s">
        <v>37</v>
      </c>
      <c r="AA20">
        <f t="shared" si="0"/>
        <v>0</v>
      </c>
      <c r="AB20">
        <v>70.230904102325439</v>
      </c>
      <c r="AC20">
        <v>69.81</v>
      </c>
      <c r="AD20" t="str">
        <f>VLOOKUP(Z20,Migration!$J$3:$R$196,8,FALSE)</f>
        <v>Above 0.1</v>
      </c>
      <c r="AE20" t="str">
        <f>VLOOKUP(Z20,Migration!$J$3:$R$196,9,FALSE)</f>
        <v>Above 0.1</v>
      </c>
    </row>
    <row r="21" spans="1:31" x14ac:dyDescent="0.35">
      <c r="A21" t="s">
        <v>34</v>
      </c>
      <c r="B21">
        <v>1</v>
      </c>
      <c r="E21">
        <v>76.341424465179443</v>
      </c>
      <c r="F21">
        <v>66.680000000000007</v>
      </c>
      <c r="G21">
        <f t="shared" si="1"/>
        <v>0</v>
      </c>
      <c r="K21" t="s">
        <v>74</v>
      </c>
      <c r="L21" t="str">
        <f t="shared" si="3"/>
        <v>NGA</v>
      </c>
      <c r="M21" t="str">
        <f>VLOOKUP(Indice!L21,'Reference table'!J$2:K$195,2,FALSE)</f>
        <v>Nigeria</v>
      </c>
      <c r="N21">
        <v>1</v>
      </c>
      <c r="R21" t="s">
        <v>34</v>
      </c>
      <c r="S21">
        <v>1</v>
      </c>
      <c r="V21">
        <v>76.341424465179443</v>
      </c>
      <c r="W21">
        <v>66.680000000000007</v>
      </c>
      <c r="Z21" t="s">
        <v>22</v>
      </c>
      <c r="AA21">
        <f t="shared" si="0"/>
        <v>0</v>
      </c>
      <c r="AB21">
        <v>78.949018478393555</v>
      </c>
      <c r="AC21">
        <v>64.61</v>
      </c>
      <c r="AD21" t="str">
        <f>VLOOKUP(Z21,Migration!$J$3:$R$196,8,FALSE)</f>
        <v>Above 0.1</v>
      </c>
      <c r="AE21" t="str">
        <f>VLOOKUP(Z21,Migration!$J$3:$R$196,9,FALSE)</f>
        <v>Above 0.1</v>
      </c>
    </row>
    <row r="22" spans="1:31" x14ac:dyDescent="0.35">
      <c r="A22" t="s">
        <v>58</v>
      </c>
      <c r="B22">
        <v>1</v>
      </c>
      <c r="E22">
        <v>33.517447948455811</v>
      </c>
      <c r="F22">
        <v>65.72</v>
      </c>
      <c r="G22">
        <f t="shared" si="1"/>
        <v>0</v>
      </c>
      <c r="K22" t="s">
        <v>495</v>
      </c>
      <c r="L22" t="str">
        <f t="shared" si="3"/>
        <v>VNM</v>
      </c>
      <c r="M22" t="str">
        <f>VLOOKUP(Indice!L22,'Reference table'!J$2:K$195,2,FALSE)</f>
        <v>Viet Nam</v>
      </c>
      <c r="N22">
        <v>1</v>
      </c>
      <c r="R22" t="s">
        <v>58</v>
      </c>
      <c r="S22">
        <v>1</v>
      </c>
      <c r="V22">
        <v>33.517447948455811</v>
      </c>
      <c r="W22">
        <v>65.72</v>
      </c>
      <c r="Z22" t="s">
        <v>228</v>
      </c>
      <c r="AA22">
        <f t="shared" si="0"/>
        <v>0</v>
      </c>
      <c r="AB22">
        <v>155.40891981124878</v>
      </c>
      <c r="AC22">
        <v>73.540000000000006</v>
      </c>
      <c r="AD22" t="str">
        <f>VLOOKUP(Z22,Migration!$J$3:$R$196,8,FALSE)</f>
        <v>Less than 0.1</v>
      </c>
      <c r="AE22" t="str">
        <f>VLOOKUP(Z22,Migration!$J$3:$R$196,9,FALSE)</f>
        <v>Less than 0.1</v>
      </c>
    </row>
    <row r="23" spans="1:31" x14ac:dyDescent="0.35">
      <c r="A23" t="s">
        <v>190</v>
      </c>
      <c r="B23">
        <v>1</v>
      </c>
      <c r="E23">
        <v>32.69265341758728</v>
      </c>
      <c r="F23">
        <v>74.989999999999995</v>
      </c>
      <c r="G23">
        <f t="shared" si="1"/>
        <v>0</v>
      </c>
      <c r="K23" t="s">
        <v>497</v>
      </c>
      <c r="L23" t="str">
        <f t="shared" si="3"/>
        <v>SLB</v>
      </c>
      <c r="M23" t="str">
        <f>VLOOKUP(Indice!L23,'Reference table'!J$2:K$195,2,FALSE)</f>
        <v>Solomon Islands</v>
      </c>
      <c r="N23">
        <v>1</v>
      </c>
      <c r="R23" t="s">
        <v>190</v>
      </c>
      <c r="S23">
        <v>1</v>
      </c>
      <c r="V23">
        <v>32.69265341758728</v>
      </c>
      <c r="W23">
        <v>74.989999999999995</v>
      </c>
      <c r="Z23" t="s">
        <v>16</v>
      </c>
      <c r="AA23">
        <f t="shared" si="0"/>
        <v>0</v>
      </c>
      <c r="AB23">
        <v>34.19731616973877</v>
      </c>
      <c r="AC23">
        <v>67.17</v>
      </c>
      <c r="AD23" t="str">
        <f>VLOOKUP(Z23,Migration!$J$3:$R$196,8,FALSE)</f>
        <v>Less than 0.1</v>
      </c>
      <c r="AE23" t="str">
        <f>VLOOKUP(Z23,Migration!$J$3:$R$196,9,FALSE)</f>
        <v>Above 0.1</v>
      </c>
    </row>
    <row r="24" spans="1:31" x14ac:dyDescent="0.35">
      <c r="A24" t="s">
        <v>274</v>
      </c>
      <c r="B24">
        <v>1</v>
      </c>
      <c r="E24">
        <v>47.216030120849609</v>
      </c>
      <c r="F24">
        <v>80.34</v>
      </c>
      <c r="G24">
        <f t="shared" si="1"/>
        <v>0</v>
      </c>
      <c r="K24" t="s">
        <v>319</v>
      </c>
      <c r="L24" t="str">
        <f t="shared" si="3"/>
        <v>IND</v>
      </c>
      <c r="M24" t="str">
        <f>VLOOKUP(Indice!L24,'Reference table'!J$2:K$195,2,FALSE)</f>
        <v>India</v>
      </c>
      <c r="N24">
        <v>1</v>
      </c>
      <c r="R24" t="s">
        <v>274</v>
      </c>
      <c r="S24">
        <v>1</v>
      </c>
      <c r="V24">
        <v>47.216030120849609</v>
      </c>
      <c r="W24">
        <v>80.34</v>
      </c>
      <c r="Z24" t="s">
        <v>895</v>
      </c>
      <c r="AA24" t="e">
        <f t="shared" si="0"/>
        <v>#N/A</v>
      </c>
      <c r="AB24" t="e">
        <v>#N/A</v>
      </c>
      <c r="AC24" t="e">
        <v>#N/A</v>
      </c>
      <c r="AD24" t="e">
        <f>VLOOKUP(Z24,Migration!$J$3:$R$196,8,FALSE)</f>
        <v>#N/A</v>
      </c>
      <c r="AE24" t="e">
        <f>VLOOKUP(Z24,Migration!$J$3:$R$196,9,FALSE)</f>
        <v>#N/A</v>
      </c>
    </row>
    <row r="25" spans="1:31" x14ac:dyDescent="0.35">
      <c r="A25" t="s">
        <v>7</v>
      </c>
      <c r="B25">
        <v>1</v>
      </c>
      <c r="E25">
        <v>26.758459091186523</v>
      </c>
      <c r="F25">
        <v>69.8</v>
      </c>
      <c r="G25">
        <f t="shared" si="1"/>
        <v>0</v>
      </c>
      <c r="K25" t="s">
        <v>53</v>
      </c>
      <c r="L25" t="str">
        <f t="shared" si="3"/>
        <v>TLS</v>
      </c>
      <c r="M25" t="str">
        <f>VLOOKUP(Indice!L25,'Reference table'!J$2:K$195,2,FALSE)</f>
        <v>Timor-Leste</v>
      </c>
      <c r="N25">
        <v>1</v>
      </c>
      <c r="R25" t="s">
        <v>7</v>
      </c>
      <c r="S25">
        <v>1</v>
      </c>
      <c r="V25">
        <v>26.758459091186523</v>
      </c>
      <c r="W25">
        <v>69.8</v>
      </c>
      <c r="Z25" t="s">
        <v>199</v>
      </c>
      <c r="AA25">
        <f t="shared" si="0"/>
        <v>0</v>
      </c>
      <c r="AB25">
        <v>25.872321128845215</v>
      </c>
      <c r="AC25">
        <v>66.75</v>
      </c>
      <c r="AD25" t="str">
        <f>VLOOKUP(Z25,Migration!$J$3:$R$196,8,FALSE)</f>
        <v>Above 0.1</v>
      </c>
      <c r="AE25" t="str">
        <f>VLOOKUP(Z25,Migration!$J$3:$R$196,9,FALSE)</f>
        <v>Less than 0.1</v>
      </c>
    </row>
    <row r="26" spans="1:31" x14ac:dyDescent="0.35">
      <c r="A26" t="s">
        <v>500</v>
      </c>
      <c r="B26">
        <v>1</v>
      </c>
      <c r="E26">
        <v>15.217567384243011</v>
      </c>
      <c r="F26">
        <v>49.8</v>
      </c>
      <c r="G26">
        <f t="shared" si="1"/>
        <v>0</v>
      </c>
      <c r="K26" t="s">
        <v>243</v>
      </c>
      <c r="L26" t="str">
        <f t="shared" si="3"/>
        <v>CPV</v>
      </c>
      <c r="M26" t="str">
        <f>VLOOKUP(Indice!L26,'Reference table'!J$2:K$195,2,FALSE)</f>
        <v>Cape Verde</v>
      </c>
      <c r="N26">
        <v>1</v>
      </c>
      <c r="R26" t="s">
        <v>500</v>
      </c>
      <c r="S26">
        <v>1</v>
      </c>
      <c r="V26">
        <v>15.217567384243011</v>
      </c>
      <c r="W26">
        <v>49.8</v>
      </c>
      <c r="Z26" t="s">
        <v>83</v>
      </c>
      <c r="AA26">
        <f t="shared" si="0"/>
        <v>0</v>
      </c>
      <c r="AB26">
        <v>97.13739013671875</v>
      </c>
      <c r="AC26">
        <v>75.03</v>
      </c>
      <c r="AD26" t="str">
        <f>VLOOKUP(Z26,Migration!$J$3:$R$196,8,FALSE)</f>
        <v>Less than 0.1</v>
      </c>
      <c r="AE26" t="str">
        <f>VLOOKUP(Z26,Migration!$J$3:$R$196,9,FALSE)</f>
        <v>Less than 0.1</v>
      </c>
    </row>
    <row r="27" spans="1:31" x14ac:dyDescent="0.35">
      <c r="A27" t="s">
        <v>65</v>
      </c>
      <c r="B27">
        <v>1</v>
      </c>
      <c r="E27">
        <v>8.9002605676651001</v>
      </c>
      <c r="F27">
        <v>38.130000000000003</v>
      </c>
      <c r="G27">
        <f t="shared" si="1"/>
        <v>0</v>
      </c>
      <c r="K27" t="s">
        <v>138</v>
      </c>
      <c r="L27" t="str">
        <f t="shared" si="3"/>
        <v>BTN</v>
      </c>
      <c r="M27" t="str">
        <f>VLOOKUP(Indice!L27,'Reference table'!J$2:K$195,2,FALSE)</f>
        <v>Bhutan</v>
      </c>
      <c r="N27">
        <v>1</v>
      </c>
      <c r="R27" t="s">
        <v>65</v>
      </c>
      <c r="S27">
        <v>1</v>
      </c>
      <c r="V27">
        <v>8.9002605676651001</v>
      </c>
      <c r="W27">
        <v>38.130000000000003</v>
      </c>
      <c r="Z27" t="s">
        <v>14</v>
      </c>
      <c r="AA27">
        <f t="shared" si="0"/>
        <v>0</v>
      </c>
      <c r="AB27">
        <v>60.557791709899902</v>
      </c>
      <c r="AC27">
        <v>74.459999999999994</v>
      </c>
      <c r="AD27" t="str">
        <f>VLOOKUP(Z27,Migration!$J$3:$R$196,8,FALSE)</f>
        <v>Less than 0.1</v>
      </c>
      <c r="AE27" t="str">
        <f>VLOOKUP(Z27,Migration!$J$3:$R$196,9,FALSE)</f>
        <v>Above 0.1</v>
      </c>
    </row>
    <row r="28" spans="1:31" x14ac:dyDescent="0.35">
      <c r="A28" t="s">
        <v>286</v>
      </c>
      <c r="B28">
        <v>1</v>
      </c>
      <c r="E28">
        <v>48.197238445281982</v>
      </c>
      <c r="F28">
        <v>60.96</v>
      </c>
      <c r="G28">
        <f t="shared" si="1"/>
        <v>0</v>
      </c>
      <c r="K28" t="s">
        <v>520</v>
      </c>
      <c r="L28" t="str">
        <f t="shared" si="3"/>
        <v>SYR</v>
      </c>
      <c r="M28" t="str">
        <f>VLOOKUP(Indice!L28,'Reference table'!J$2:K$195,2,FALSE)</f>
        <v>Syrian Arab Republic</v>
      </c>
      <c r="N28">
        <v>1</v>
      </c>
      <c r="R28" t="s">
        <v>286</v>
      </c>
      <c r="S28">
        <v>1</v>
      </c>
      <c r="V28">
        <v>48.197238445281982</v>
      </c>
      <c r="W28">
        <v>60.96</v>
      </c>
      <c r="Z28" t="s">
        <v>24</v>
      </c>
      <c r="AA28">
        <f t="shared" si="0"/>
        <v>0</v>
      </c>
      <c r="AB28">
        <v>75.070095062255859</v>
      </c>
      <c r="AC28">
        <v>76.81</v>
      </c>
      <c r="AD28" t="str">
        <f>VLOOKUP(Z28,Migration!$J$3:$R$196,8,FALSE)</f>
        <v>Less than 0.1</v>
      </c>
      <c r="AE28" t="str">
        <f>VLOOKUP(Z28,Migration!$J$3:$R$196,9,FALSE)</f>
        <v>Less than 0.1</v>
      </c>
    </row>
    <row r="29" spans="1:31" x14ac:dyDescent="0.35">
      <c r="A29" t="s">
        <v>80</v>
      </c>
      <c r="B29">
        <v>1</v>
      </c>
      <c r="E29">
        <v>30.916506290435791</v>
      </c>
      <c r="F29">
        <v>47.9</v>
      </c>
      <c r="G29">
        <f t="shared" si="1"/>
        <v>0</v>
      </c>
      <c r="K29" t="s">
        <v>89</v>
      </c>
      <c r="L29" t="str">
        <f t="shared" si="3"/>
        <v>GAB</v>
      </c>
      <c r="M29" t="str">
        <f>VLOOKUP(Indice!L29,'Reference table'!J$2:K$195,2,FALSE)</f>
        <v>Gabon</v>
      </c>
      <c r="N29">
        <v>1</v>
      </c>
      <c r="R29" t="s">
        <v>80</v>
      </c>
      <c r="S29">
        <v>1</v>
      </c>
      <c r="V29">
        <v>30.916506290435791</v>
      </c>
      <c r="W29">
        <v>47.9</v>
      </c>
      <c r="Z29" t="s">
        <v>138</v>
      </c>
      <c r="AA29">
        <f t="shared" si="0"/>
        <v>0</v>
      </c>
      <c r="AB29">
        <v>25.76424503326416</v>
      </c>
      <c r="AC29">
        <v>62.39</v>
      </c>
      <c r="AD29" t="str">
        <f>VLOOKUP(Z29,Migration!$J$3:$R$196,8,FALSE)</f>
        <v>Less than 0.1</v>
      </c>
      <c r="AE29" t="str">
        <f>VLOOKUP(Z29,Migration!$J$3:$R$196,9,FALSE)</f>
        <v>Less than 0.1</v>
      </c>
    </row>
    <row r="30" spans="1:31" x14ac:dyDescent="0.35">
      <c r="A30" t="s">
        <v>91</v>
      </c>
      <c r="B30">
        <v>1</v>
      </c>
      <c r="E30">
        <v>106.55085372924805</v>
      </c>
      <c r="F30">
        <v>65.16</v>
      </c>
      <c r="G30">
        <f t="shared" si="1"/>
        <v>0</v>
      </c>
      <c r="K30" t="s">
        <v>80</v>
      </c>
      <c r="L30" t="str">
        <f t="shared" si="3"/>
        <v>FSM</v>
      </c>
      <c r="M30" t="str">
        <f>VLOOKUP(Indice!L30,'Reference table'!J$2:K$195,2,FALSE)</f>
        <v>Micronesia, Federated States of</v>
      </c>
      <c r="N30">
        <v>1</v>
      </c>
      <c r="R30" t="s">
        <v>91</v>
      </c>
      <c r="S30">
        <v>1</v>
      </c>
      <c r="V30">
        <v>106.55085372924805</v>
      </c>
      <c r="W30">
        <v>65.16</v>
      </c>
      <c r="Z30" t="s">
        <v>234</v>
      </c>
      <c r="AA30">
        <f t="shared" si="0"/>
        <v>0</v>
      </c>
      <c r="AB30">
        <v>58.35230016708374</v>
      </c>
      <c r="AC30">
        <v>53.66</v>
      </c>
      <c r="AD30" t="str">
        <f>VLOOKUP(Z30,Migration!$J$3:$R$196,8,FALSE)</f>
        <v>Less than 0.1</v>
      </c>
      <c r="AE30" t="str">
        <f>VLOOKUP(Z30,Migration!$J$3:$R$196,9,FALSE)</f>
        <v>Less than 0.1</v>
      </c>
    </row>
    <row r="31" spans="1:31" x14ac:dyDescent="0.35">
      <c r="A31" t="s">
        <v>295</v>
      </c>
      <c r="B31">
        <v>1</v>
      </c>
      <c r="E31">
        <v>37.869453310966492</v>
      </c>
      <c r="F31">
        <v>45.09</v>
      </c>
      <c r="G31">
        <f t="shared" si="1"/>
        <v>0</v>
      </c>
      <c r="K31" t="s">
        <v>395</v>
      </c>
      <c r="L31" t="str">
        <f t="shared" si="3"/>
        <v>PRY</v>
      </c>
      <c r="M31" t="str">
        <f>VLOOKUP(Indice!L31,'Reference table'!J$2:K$195,2,FALSE)</f>
        <v>Paraguay</v>
      </c>
      <c r="N31">
        <v>1</v>
      </c>
      <c r="R31" t="s">
        <v>295</v>
      </c>
      <c r="S31">
        <v>1</v>
      </c>
      <c r="V31">
        <v>37.869453310966492</v>
      </c>
      <c r="W31">
        <v>45.09</v>
      </c>
      <c r="Z31" t="s">
        <v>31</v>
      </c>
      <c r="AA31">
        <f t="shared" si="0"/>
        <v>0</v>
      </c>
      <c r="AB31">
        <v>3.278776228427887</v>
      </c>
      <c r="AC31">
        <v>32.46</v>
      </c>
      <c r="AD31" t="str">
        <f>VLOOKUP(Z31,Migration!$J$3:$R$196,8,FALSE)</f>
        <v>Less than 0.1</v>
      </c>
      <c r="AE31" t="str">
        <f>VLOOKUP(Z31,Migration!$J$3:$R$196,9,FALSE)</f>
        <v>Less than 0.1</v>
      </c>
    </row>
    <row r="32" spans="1:31" x14ac:dyDescent="0.35">
      <c r="A32" t="s">
        <v>292</v>
      </c>
      <c r="B32">
        <v>1</v>
      </c>
      <c r="E32">
        <v>10.282769978046417</v>
      </c>
      <c r="F32">
        <v>47.78</v>
      </c>
      <c r="G32">
        <f t="shared" si="1"/>
        <v>0</v>
      </c>
      <c r="K32" t="s">
        <v>58</v>
      </c>
      <c r="L32" t="str">
        <f t="shared" si="3"/>
        <v>DOM</v>
      </c>
      <c r="M32" t="str">
        <f>VLOOKUP(Indice!L32,'Reference table'!J$2:K$195,2,FALSE)</f>
        <v>Dominican Republic</v>
      </c>
      <c r="N32">
        <v>1</v>
      </c>
      <c r="R32" t="s">
        <v>292</v>
      </c>
      <c r="S32">
        <v>1</v>
      </c>
      <c r="V32">
        <v>10.282769978046417</v>
      </c>
      <c r="W32">
        <v>47.78</v>
      </c>
      <c r="Z32" t="s">
        <v>29</v>
      </c>
      <c r="AA32">
        <f t="shared" si="0"/>
        <v>0</v>
      </c>
      <c r="AB32">
        <v>135.28619575500488</v>
      </c>
      <c r="AC32">
        <v>89.36</v>
      </c>
      <c r="AD32" t="str">
        <f>VLOOKUP(Z32,Migration!$J$3:$R$196,8,FALSE)</f>
        <v>Less than 0.1</v>
      </c>
      <c r="AE32" t="str">
        <f>VLOOKUP(Z32,Migration!$J$3:$R$196,9,FALSE)</f>
        <v>Less than 0.1</v>
      </c>
    </row>
    <row r="33" spans="1:31" x14ac:dyDescent="0.35">
      <c r="A33" t="s">
        <v>102</v>
      </c>
      <c r="B33">
        <v>1</v>
      </c>
      <c r="E33">
        <v>100.15523672103882</v>
      </c>
      <c r="F33">
        <v>77.63</v>
      </c>
      <c r="G33">
        <f t="shared" si="1"/>
        <v>0</v>
      </c>
      <c r="K33" t="s">
        <v>117</v>
      </c>
      <c r="L33" t="str">
        <f t="shared" si="3"/>
        <v>IRN</v>
      </c>
      <c r="M33" t="str">
        <f>VLOOKUP(Indice!L33,'Reference table'!J$2:K$195,2,FALSE)</f>
        <v>Iran, Islamic Republic of</v>
      </c>
      <c r="N33">
        <v>1</v>
      </c>
      <c r="R33" t="s">
        <v>102</v>
      </c>
      <c r="S33">
        <v>1</v>
      </c>
      <c r="V33">
        <v>100.15523672103882</v>
      </c>
      <c r="W33">
        <v>77.63</v>
      </c>
      <c r="Z33" t="s">
        <v>518</v>
      </c>
      <c r="AA33">
        <f t="shared" si="0"/>
        <v>0</v>
      </c>
      <c r="AB33">
        <v>226.40988612174988</v>
      </c>
      <c r="AC33">
        <v>87.14</v>
      </c>
      <c r="AD33" t="str">
        <f>VLOOKUP(Z33,Migration!$J$3:$R$196,8,FALSE)</f>
        <v>Less than 0.1</v>
      </c>
      <c r="AE33" t="str">
        <f>VLOOKUP(Z33,Migration!$J$3:$R$196,9,FALSE)</f>
        <v>Less than 0.1</v>
      </c>
    </row>
    <row r="34" spans="1:31" x14ac:dyDescent="0.35">
      <c r="A34" t="s">
        <v>96</v>
      </c>
      <c r="B34">
        <v>1</v>
      </c>
      <c r="E34">
        <v>82.424149513244629</v>
      </c>
      <c r="F34">
        <v>69.72</v>
      </c>
      <c r="G34">
        <f t="shared" si="1"/>
        <v>0</v>
      </c>
      <c r="K34" t="s">
        <v>56</v>
      </c>
      <c r="L34" t="str">
        <f t="shared" si="3"/>
        <v>LKA</v>
      </c>
      <c r="M34" t="str">
        <f>VLOOKUP(Indice!L34,'Reference table'!J$2:K$195,2,FALSE)</f>
        <v>Sri Lanka</v>
      </c>
      <c r="N34">
        <v>1</v>
      </c>
      <c r="R34" t="s">
        <v>96</v>
      </c>
      <c r="S34">
        <v>1</v>
      </c>
      <c r="V34">
        <v>82.424149513244629</v>
      </c>
      <c r="W34">
        <v>69.72</v>
      </c>
      <c r="Z34" t="s">
        <v>252</v>
      </c>
      <c r="AA34">
        <f t="shared" ref="AA34:AA65" si="4">IF(OR(AD34="Above 0.05",AE34="Above 0.05"),1,0)</f>
        <v>0</v>
      </c>
      <c r="AB34">
        <v>71.889527320861816</v>
      </c>
      <c r="AC34">
        <v>79.84</v>
      </c>
      <c r="AD34" t="str">
        <f>VLOOKUP(Z34,Migration!$J$3:$R$196,8,FALSE)</f>
        <v>Less than 0.1</v>
      </c>
      <c r="AE34" t="str">
        <f>VLOOKUP(Z34,Migration!$J$3:$R$196,9,FALSE)</f>
        <v>Less than 0.1</v>
      </c>
    </row>
    <row r="35" spans="1:31" x14ac:dyDescent="0.35">
      <c r="A35" t="s">
        <v>298</v>
      </c>
      <c r="B35">
        <v>1</v>
      </c>
      <c r="E35">
        <v>39.099315166473389</v>
      </c>
      <c r="F35">
        <v>57.11</v>
      </c>
      <c r="G35" t="str">
        <f t="shared" si="1"/>
        <v>GTM</v>
      </c>
      <c r="K35" t="s">
        <v>295</v>
      </c>
      <c r="L35" t="str">
        <f t="shared" si="3"/>
        <v>GHA</v>
      </c>
      <c r="M35" t="str">
        <f>VLOOKUP(Indice!L35,'Reference table'!J$2:K$195,2,FALSE)</f>
        <v>Ghana</v>
      </c>
      <c r="N35">
        <v>1</v>
      </c>
      <c r="R35" t="s">
        <v>298</v>
      </c>
      <c r="S35">
        <v>1</v>
      </c>
      <c r="V35">
        <v>39.099315166473389</v>
      </c>
      <c r="W35">
        <v>57.11</v>
      </c>
      <c r="Z35" t="s">
        <v>196</v>
      </c>
      <c r="AA35">
        <f t="shared" si="4"/>
        <v>0</v>
      </c>
      <c r="AB35">
        <v>57.462380886077881</v>
      </c>
      <c r="AC35">
        <v>82.17</v>
      </c>
      <c r="AD35" t="str">
        <f>VLOOKUP(Z35,Migration!$J$3:$R$196,8,FALSE)</f>
        <v>Less than 0.1</v>
      </c>
      <c r="AE35" t="str">
        <f>VLOOKUP(Z35,Migration!$J$3:$R$196,9,FALSE)</f>
        <v>Less than 0.1</v>
      </c>
    </row>
    <row r="36" spans="1:31" x14ac:dyDescent="0.35">
      <c r="A36" t="s">
        <v>307</v>
      </c>
      <c r="B36">
        <v>1</v>
      </c>
      <c r="E36">
        <v>49.544915676116943</v>
      </c>
      <c r="F36">
        <v>74.28</v>
      </c>
      <c r="G36">
        <f t="shared" si="1"/>
        <v>0</v>
      </c>
      <c r="K36" t="s">
        <v>487</v>
      </c>
      <c r="L36" t="str">
        <f t="shared" si="3"/>
        <v>LCA</v>
      </c>
      <c r="M36" t="str">
        <f>VLOOKUP(Indice!L36,'Reference table'!J$2:K$195,2,FALSE)</f>
        <v>Saint Lucia</v>
      </c>
      <c r="N36">
        <v>1</v>
      </c>
      <c r="R36" t="s">
        <v>307</v>
      </c>
      <c r="S36">
        <v>1</v>
      </c>
      <c r="V36">
        <v>49.544915676116943</v>
      </c>
      <c r="W36">
        <v>74.28</v>
      </c>
      <c r="Z36" t="s">
        <v>268</v>
      </c>
      <c r="AA36">
        <f t="shared" si="4"/>
        <v>0</v>
      </c>
      <c r="AB36">
        <v>8.1840465068817139</v>
      </c>
      <c r="AC36">
        <v>45.44</v>
      </c>
      <c r="AD36" t="str">
        <f>VLOOKUP(Z36,Migration!$J$3:$R$196,8,FALSE)</f>
        <v>Less than 0.1</v>
      </c>
      <c r="AE36" t="str">
        <f>VLOOKUP(Z36,Migration!$J$3:$R$196,9,FALSE)</f>
        <v>Less than 0.1</v>
      </c>
    </row>
    <row r="37" spans="1:31" x14ac:dyDescent="0.35">
      <c r="A37" t="s">
        <v>313</v>
      </c>
      <c r="B37">
        <v>1</v>
      </c>
      <c r="E37">
        <v>15.491610050201416</v>
      </c>
      <c r="F37">
        <v>62.96</v>
      </c>
      <c r="G37">
        <f t="shared" si="1"/>
        <v>0</v>
      </c>
      <c r="K37" t="s">
        <v>110</v>
      </c>
      <c r="L37" t="str">
        <f t="shared" si="3"/>
        <v>WSM</v>
      </c>
      <c r="M37" t="str">
        <f>VLOOKUP(Indice!L37,'Reference table'!J$2:K$195,2,FALSE)</f>
        <v>Samoa</v>
      </c>
      <c r="N37">
        <v>1</v>
      </c>
      <c r="R37" t="s">
        <v>313</v>
      </c>
      <c r="S37">
        <v>1</v>
      </c>
      <c r="V37">
        <v>15.491610050201416</v>
      </c>
      <c r="W37">
        <v>62.96</v>
      </c>
      <c r="Z37" t="s">
        <v>246</v>
      </c>
      <c r="AA37">
        <f t="shared" si="4"/>
        <v>0</v>
      </c>
      <c r="AB37">
        <v>5.7732075750827789</v>
      </c>
      <c r="AC37">
        <v>44.31</v>
      </c>
      <c r="AD37" t="str">
        <f>VLOOKUP(Z37,Migration!$J$3:$R$196,8,FALSE)</f>
        <v>Less than 0.1</v>
      </c>
      <c r="AE37" t="str">
        <f>VLOOKUP(Z37,Migration!$J$3:$R$196,9,FALSE)</f>
        <v>Above 0.1</v>
      </c>
    </row>
    <row r="38" spans="1:31" x14ac:dyDescent="0.35">
      <c r="A38" t="s">
        <v>261</v>
      </c>
      <c r="B38">
        <v>1</v>
      </c>
      <c r="E38">
        <v>115.87519073486328</v>
      </c>
      <c r="F38">
        <v>72.900000000000006</v>
      </c>
      <c r="G38">
        <f t="shared" si="1"/>
        <v>0</v>
      </c>
      <c r="K38" t="s">
        <v>179</v>
      </c>
      <c r="L38" t="str">
        <f t="shared" si="3"/>
        <v>LBN</v>
      </c>
      <c r="M38" t="str">
        <f>VLOOKUP(Indice!L38,'Reference table'!J$2:K$195,2,FALSE)</f>
        <v>Lebanon</v>
      </c>
      <c r="N38">
        <v>1</v>
      </c>
      <c r="R38" t="s">
        <v>261</v>
      </c>
      <c r="S38">
        <v>1</v>
      </c>
      <c r="V38">
        <v>115.87519073486328</v>
      </c>
      <c r="W38">
        <v>72.900000000000006</v>
      </c>
      <c r="Z38" t="s">
        <v>50</v>
      </c>
      <c r="AA38">
        <f t="shared" si="4"/>
        <v>0</v>
      </c>
      <c r="AB38">
        <v>14.8480384349823</v>
      </c>
      <c r="AC38">
        <v>38.549999999999997</v>
      </c>
      <c r="AD38" t="str">
        <f>VLOOKUP(Z38,Migration!$J$3:$R$196,8,FALSE)</f>
        <v>Less than 0.1</v>
      </c>
      <c r="AE38" t="str">
        <f>VLOOKUP(Z38,Migration!$J$3:$R$196,9,FALSE)</f>
        <v>Less than 0.1</v>
      </c>
    </row>
    <row r="39" spans="1:31" x14ac:dyDescent="0.35">
      <c r="A39" t="s">
        <v>310</v>
      </c>
      <c r="B39">
        <v>1</v>
      </c>
      <c r="E39">
        <v>6.3333333730697632</v>
      </c>
      <c r="F39">
        <v>46.8</v>
      </c>
      <c r="G39">
        <f t="shared" si="1"/>
        <v>0</v>
      </c>
      <c r="K39" t="s">
        <v>298</v>
      </c>
      <c r="L39" t="str">
        <f t="shared" si="3"/>
        <v>GTM</v>
      </c>
      <c r="M39" t="str">
        <f>VLOOKUP(Indice!L39,'Reference table'!J$2:K$195,2,FALSE)</f>
        <v>Guatemala</v>
      </c>
      <c r="N39">
        <v>1</v>
      </c>
      <c r="R39" t="s">
        <v>310</v>
      </c>
      <c r="S39">
        <v>1</v>
      </c>
      <c r="V39">
        <v>6.3333333730697632</v>
      </c>
      <c r="W39">
        <v>46.8</v>
      </c>
      <c r="Z39" t="s">
        <v>443</v>
      </c>
      <c r="AA39">
        <f t="shared" si="4"/>
        <v>0</v>
      </c>
      <c r="AB39">
        <v>10.725801825523376</v>
      </c>
      <c r="AC39">
        <v>40.49</v>
      </c>
      <c r="AD39" t="str">
        <f>VLOOKUP(Z39,Migration!$J$3:$R$196,8,FALSE)</f>
        <v>Less than 0.1</v>
      </c>
      <c r="AE39" t="str">
        <f>VLOOKUP(Z39,Migration!$J$3:$R$196,9,FALSE)</f>
        <v>Less than 0.1</v>
      </c>
    </row>
    <row r="40" spans="1:31" x14ac:dyDescent="0.35">
      <c r="A40" t="s">
        <v>104</v>
      </c>
      <c r="B40">
        <v>1</v>
      </c>
      <c r="E40">
        <v>129.83653688430786</v>
      </c>
      <c r="F40">
        <v>72.63</v>
      </c>
      <c r="G40">
        <f t="shared" si="1"/>
        <v>0</v>
      </c>
      <c r="K40" t="s">
        <v>132</v>
      </c>
      <c r="L40" t="str">
        <f t="shared" si="3"/>
        <v>BHR</v>
      </c>
      <c r="M40" t="str">
        <f>VLOOKUP(Indice!L40,'Reference table'!J$2:K$195,2,FALSE)</f>
        <v>Bahrain</v>
      </c>
      <c r="N40">
        <v>1</v>
      </c>
      <c r="R40" t="s">
        <v>104</v>
      </c>
      <c r="S40">
        <v>1</v>
      </c>
      <c r="V40">
        <v>129.83653688430786</v>
      </c>
      <c r="W40">
        <v>72.63</v>
      </c>
      <c r="Z40" t="s">
        <v>39</v>
      </c>
      <c r="AA40">
        <f t="shared" si="4"/>
        <v>0</v>
      </c>
      <c r="AB40">
        <v>93.921990394592285</v>
      </c>
      <c r="AC40">
        <v>53.77</v>
      </c>
      <c r="AD40" t="str">
        <f>VLOOKUP(Z40,Migration!$J$3:$R$196,8,FALSE)</f>
        <v>Less than 0.1</v>
      </c>
      <c r="AE40" t="str">
        <f>VLOOKUP(Z40,Migration!$J$3:$R$196,9,FALSE)</f>
        <v>No data</v>
      </c>
    </row>
    <row r="41" spans="1:31" x14ac:dyDescent="0.35">
      <c r="A41" t="s">
        <v>112</v>
      </c>
      <c r="B41">
        <v>1</v>
      </c>
      <c r="E41">
        <v>214.67706489562988</v>
      </c>
      <c r="F41">
        <v>82.81</v>
      </c>
      <c r="G41">
        <f t="shared" si="1"/>
        <v>0</v>
      </c>
      <c r="K41" t="s">
        <v>337</v>
      </c>
      <c r="L41" t="str">
        <f t="shared" si="3"/>
        <v>KIR</v>
      </c>
      <c r="M41" t="str">
        <f>VLOOKUP(Indice!L41,'Reference table'!J$2:K$195,2,FALSE)</f>
        <v>Kiribati</v>
      </c>
      <c r="N41">
        <v>1</v>
      </c>
      <c r="R41" t="s">
        <v>112</v>
      </c>
      <c r="S41">
        <v>1</v>
      </c>
      <c r="V41">
        <v>214.67706489562988</v>
      </c>
      <c r="W41">
        <v>82.81</v>
      </c>
      <c r="Z41" t="s">
        <v>255</v>
      </c>
      <c r="AA41">
        <f t="shared" si="4"/>
        <v>0</v>
      </c>
      <c r="AB41">
        <v>42.115653514862061</v>
      </c>
      <c r="AC41">
        <v>78.27</v>
      </c>
      <c r="AD41" t="str">
        <f>VLOOKUP(Z41,Migration!$J$3:$R$196,8,FALSE)</f>
        <v>Less than 0.1</v>
      </c>
      <c r="AE41" t="str">
        <f>VLOOKUP(Z41,Migration!$J$3:$R$196,9,FALSE)</f>
        <v>Above 0.1</v>
      </c>
    </row>
    <row r="42" spans="1:31" x14ac:dyDescent="0.35">
      <c r="A42" t="s">
        <v>125</v>
      </c>
      <c r="B42">
        <v>1</v>
      </c>
      <c r="E42">
        <v>14.692388296127319</v>
      </c>
      <c r="F42">
        <v>70.11</v>
      </c>
      <c r="G42">
        <f t="shared" si="1"/>
        <v>0</v>
      </c>
      <c r="K42" t="s">
        <v>255</v>
      </c>
      <c r="L42" t="str">
        <f t="shared" si="3"/>
        <v>COL</v>
      </c>
      <c r="M42" t="str">
        <f>VLOOKUP(Indice!L42,'Reference table'!J$2:K$195,2,FALSE)</f>
        <v>Colombia</v>
      </c>
      <c r="N42">
        <v>1</v>
      </c>
      <c r="R42" t="s">
        <v>125</v>
      </c>
      <c r="S42">
        <v>1</v>
      </c>
      <c r="V42">
        <v>14.692388296127319</v>
      </c>
      <c r="W42">
        <v>70.11</v>
      </c>
      <c r="Z42" t="s">
        <v>532</v>
      </c>
      <c r="AA42">
        <f t="shared" si="4"/>
        <v>0</v>
      </c>
      <c r="AB42">
        <v>17.469200372695923</v>
      </c>
      <c r="AC42">
        <v>43.63</v>
      </c>
      <c r="AD42" t="str">
        <f>VLOOKUP(Z42,Migration!$J$3:$R$196,8,FALSE)</f>
        <v>Less than 0.1</v>
      </c>
      <c r="AE42" t="str">
        <f>VLOOKUP(Z42,Migration!$J$3:$R$196,9,FALSE)</f>
        <v>No data</v>
      </c>
    </row>
    <row r="43" spans="1:31" x14ac:dyDescent="0.35">
      <c r="A43" t="s">
        <v>99</v>
      </c>
      <c r="B43">
        <v>1</v>
      </c>
      <c r="E43">
        <v>60.094059228897095</v>
      </c>
      <c r="F43">
        <v>59.53</v>
      </c>
      <c r="G43">
        <f t="shared" si="1"/>
        <v>0</v>
      </c>
      <c r="K43" t="s">
        <v>322</v>
      </c>
      <c r="L43" t="str">
        <f t="shared" si="3"/>
        <v>IDN</v>
      </c>
      <c r="M43" t="str">
        <f>VLOOKUP(Indice!L43,'Reference table'!J$2:K$195,2,FALSE)</f>
        <v>Indonesia</v>
      </c>
      <c r="N43">
        <v>1</v>
      </c>
      <c r="R43" t="s">
        <v>99</v>
      </c>
      <c r="S43">
        <v>1</v>
      </c>
      <c r="V43">
        <v>60.094059228897095</v>
      </c>
      <c r="W43">
        <v>59.53</v>
      </c>
      <c r="Z43" t="s">
        <v>243</v>
      </c>
      <c r="AA43">
        <f t="shared" si="4"/>
        <v>0</v>
      </c>
      <c r="AB43">
        <v>25.594760417938232</v>
      </c>
      <c r="AC43">
        <v>69.41</v>
      </c>
      <c r="AD43" t="str">
        <f>VLOOKUP(Z43,Migration!$J$3:$R$196,8,FALSE)</f>
        <v>Less than 0.1</v>
      </c>
      <c r="AE43" t="str">
        <f>VLOOKUP(Z43,Migration!$J$3:$R$196,9,FALSE)</f>
        <v>Above 0.1</v>
      </c>
    </row>
    <row r="44" spans="1:31" x14ac:dyDescent="0.35">
      <c r="A44" t="s">
        <v>334</v>
      </c>
      <c r="B44">
        <v>1</v>
      </c>
      <c r="E44">
        <v>13.21848201751709</v>
      </c>
      <c r="F44">
        <v>55.95</v>
      </c>
      <c r="G44" t="str">
        <f t="shared" si="1"/>
        <v>KEN</v>
      </c>
      <c r="K44" t="s">
        <v>527</v>
      </c>
      <c r="L44" t="str">
        <f t="shared" si="3"/>
        <v>TUV</v>
      </c>
      <c r="M44" t="str">
        <f>VLOOKUP(Indice!L44,'Reference table'!J$2:K$195,2,FALSE)</f>
        <v>Tuvalu</v>
      </c>
      <c r="N44">
        <v>1</v>
      </c>
      <c r="R44" t="s">
        <v>334</v>
      </c>
      <c r="S44">
        <v>1</v>
      </c>
      <c r="V44">
        <v>13.21848201751709</v>
      </c>
      <c r="W44">
        <v>55.95</v>
      </c>
      <c r="Z44" t="s">
        <v>258</v>
      </c>
      <c r="AA44">
        <f t="shared" si="4"/>
        <v>0</v>
      </c>
      <c r="AB44">
        <v>71.021183013916016</v>
      </c>
      <c r="AC44">
        <v>78.209999999999994</v>
      </c>
      <c r="AD44" t="str">
        <f>VLOOKUP(Z44,Migration!$J$3:$R$196,8,FALSE)</f>
        <v>Less than 0.1</v>
      </c>
      <c r="AE44" t="str">
        <f>VLOOKUP(Z44,Migration!$J$3:$R$196,9,FALSE)</f>
        <v>Less than 0.1</v>
      </c>
    </row>
    <row r="45" spans="1:31" x14ac:dyDescent="0.35">
      <c r="A45" t="s">
        <v>141</v>
      </c>
      <c r="B45">
        <v>1</v>
      </c>
      <c r="E45">
        <v>11.991455674171448</v>
      </c>
      <c r="F45">
        <v>61.18</v>
      </c>
      <c r="G45">
        <f t="shared" si="1"/>
        <v>0</v>
      </c>
      <c r="K45" t="s">
        <v>437</v>
      </c>
      <c r="L45" t="str">
        <f t="shared" si="3"/>
        <v>SUR</v>
      </c>
      <c r="M45" t="str">
        <f>VLOOKUP(Indice!L45,'Reference table'!J$2:K$195,2,FALSE)</f>
        <v>Suriname</v>
      </c>
      <c r="N45">
        <v>1</v>
      </c>
      <c r="R45" t="s">
        <v>141</v>
      </c>
      <c r="S45">
        <v>1</v>
      </c>
      <c r="V45">
        <v>11.991455674171448</v>
      </c>
      <c r="W45">
        <v>61.18</v>
      </c>
      <c r="Z45" t="s">
        <v>264</v>
      </c>
      <c r="AA45">
        <f t="shared" si="4"/>
        <v>0</v>
      </c>
      <c r="AB45">
        <v>164.65096807479858</v>
      </c>
      <c r="AC45">
        <v>79.67</v>
      </c>
      <c r="AD45" t="str">
        <f>VLOOKUP(Z45,Migration!$J$3:$R$196,8,FALSE)</f>
        <v>Less than 0.1</v>
      </c>
      <c r="AE45" t="str">
        <f>VLOOKUP(Z45,Migration!$J$3:$R$196,9,FALSE)</f>
        <v>Above 0.1</v>
      </c>
    </row>
    <row r="46" spans="1:31" x14ac:dyDescent="0.35">
      <c r="A46" t="s">
        <v>485</v>
      </c>
      <c r="B46">
        <v>1</v>
      </c>
      <c r="E46">
        <v>74.134664058685303</v>
      </c>
      <c r="F46">
        <v>71.75</v>
      </c>
      <c r="G46">
        <f t="shared" si="1"/>
        <v>0</v>
      </c>
      <c r="K46" t="s">
        <v>307</v>
      </c>
      <c r="L46" t="str">
        <f t="shared" si="3"/>
        <v>GUY</v>
      </c>
      <c r="M46" t="str">
        <f>VLOOKUP(Indice!L46,'Reference table'!J$2:K$195,2,FALSE)</f>
        <v>Guyana</v>
      </c>
      <c r="N46">
        <v>1</v>
      </c>
      <c r="R46" t="s">
        <v>485</v>
      </c>
      <c r="S46">
        <v>1</v>
      </c>
      <c r="V46">
        <v>74.134664058685303</v>
      </c>
      <c r="W46">
        <v>71.75</v>
      </c>
      <c r="Z46" t="s">
        <v>897</v>
      </c>
      <c r="AA46" t="e">
        <f t="shared" si="4"/>
        <v>#N/A</v>
      </c>
      <c r="AB46" t="e">
        <v>#N/A</v>
      </c>
      <c r="AC46" t="e">
        <v>#N/A</v>
      </c>
      <c r="AD46" t="e">
        <f>VLOOKUP(Z46,Migration!$J$3:$R$196,8,FALSE)</f>
        <v>#N/A</v>
      </c>
      <c r="AE46" t="e">
        <f>VLOOKUP(Z46,Migration!$J$3:$R$196,9,FALSE)</f>
        <v>#N/A</v>
      </c>
    </row>
    <row r="47" spans="1:31" x14ac:dyDescent="0.35">
      <c r="A47" t="s">
        <v>176</v>
      </c>
      <c r="B47">
        <v>1</v>
      </c>
      <c r="E47">
        <v>15.442119121551514</v>
      </c>
      <c r="F47">
        <v>50.21</v>
      </c>
      <c r="G47" t="str">
        <f t="shared" si="1"/>
        <v>LAO</v>
      </c>
      <c r="K47" t="s">
        <v>392</v>
      </c>
      <c r="L47" t="str">
        <f t="shared" si="3"/>
        <v>PAN</v>
      </c>
      <c r="M47" t="str">
        <f>VLOOKUP(Indice!L47,'Reference table'!J$2:K$195,2,FALSE)</f>
        <v>Panama</v>
      </c>
      <c r="N47">
        <v>1</v>
      </c>
      <c r="R47" t="s">
        <v>176</v>
      </c>
      <c r="S47">
        <v>1</v>
      </c>
      <c r="V47">
        <v>15.442119121551514</v>
      </c>
      <c r="W47">
        <v>50.21</v>
      </c>
      <c r="Z47" t="s">
        <v>267</v>
      </c>
      <c r="AA47">
        <f t="shared" si="4"/>
        <v>0</v>
      </c>
      <c r="AB47">
        <v>86.745233058929443</v>
      </c>
      <c r="AC47">
        <v>78.739999999999995</v>
      </c>
      <c r="AD47" t="str">
        <f>VLOOKUP(Z47,Migration!$J$3:$R$196,8,FALSE)</f>
        <v>Above 0.1</v>
      </c>
      <c r="AE47" t="str">
        <f>VLOOKUP(Z47,Migration!$J$3:$R$196,9,FALSE)</f>
        <v>Less than 0.1</v>
      </c>
    </row>
    <row r="48" spans="1:31" x14ac:dyDescent="0.35">
      <c r="A48" t="s">
        <v>179</v>
      </c>
      <c r="B48">
        <v>1</v>
      </c>
      <c r="E48">
        <v>38.805336236953735</v>
      </c>
      <c r="F48">
        <v>71.98</v>
      </c>
      <c r="G48">
        <f t="shared" si="1"/>
        <v>0</v>
      </c>
      <c r="K48" t="s">
        <v>171</v>
      </c>
      <c r="L48" t="str">
        <f t="shared" si="3"/>
        <v>TON</v>
      </c>
      <c r="M48" t="str">
        <f>VLOOKUP(Indice!L48,'Reference table'!J$2:K$195,2,FALSE)</f>
        <v>Tonga</v>
      </c>
      <c r="N48">
        <v>1</v>
      </c>
      <c r="R48" t="s">
        <v>179</v>
      </c>
      <c r="S48">
        <v>1</v>
      </c>
      <c r="V48">
        <v>38.805336236953735</v>
      </c>
      <c r="W48">
        <v>71.98</v>
      </c>
      <c r="Z48" t="s">
        <v>42</v>
      </c>
      <c r="AA48">
        <f t="shared" si="4"/>
        <v>0</v>
      </c>
      <c r="AB48">
        <v>130.81962871551514</v>
      </c>
      <c r="AC48">
        <v>78.37</v>
      </c>
      <c r="AD48" t="str">
        <f>VLOOKUP(Z48,Migration!$J$3:$R$196,8,FALSE)</f>
        <v>Less than 0.1</v>
      </c>
      <c r="AE48" t="str">
        <f>VLOOKUP(Z48,Migration!$J$3:$R$196,9,FALSE)</f>
        <v>Less than 0.1</v>
      </c>
    </row>
    <row r="49" spans="1:31" x14ac:dyDescent="0.35">
      <c r="A49" t="s">
        <v>345</v>
      </c>
      <c r="B49">
        <v>1</v>
      </c>
      <c r="E49">
        <v>20.047827780246735</v>
      </c>
      <c r="F49">
        <v>41.87</v>
      </c>
      <c r="G49">
        <f t="shared" si="1"/>
        <v>0</v>
      </c>
      <c r="K49" t="s">
        <v>431</v>
      </c>
      <c r="L49" t="str">
        <f t="shared" si="3"/>
        <v>ZAF</v>
      </c>
      <c r="M49" t="str">
        <f>VLOOKUP(Indice!L49,'Reference table'!J$2:K$195,2,FALSE)</f>
        <v>South Africa</v>
      </c>
      <c r="N49">
        <v>1</v>
      </c>
      <c r="R49" t="s">
        <v>345</v>
      </c>
      <c r="S49">
        <v>1</v>
      </c>
      <c r="V49">
        <v>20.047827780246735</v>
      </c>
      <c r="W49">
        <v>41.87</v>
      </c>
      <c r="Z49" t="s">
        <v>71</v>
      </c>
      <c r="AA49">
        <f t="shared" si="4"/>
        <v>0</v>
      </c>
      <c r="AB49">
        <v>186.25530338287354</v>
      </c>
      <c r="AC49">
        <v>85.84</v>
      </c>
      <c r="AD49" t="str">
        <f>VLOOKUP(Z49,Migration!$J$3:$R$196,8,FALSE)</f>
        <v>Less than 0.1</v>
      </c>
      <c r="AE49" t="str">
        <f>VLOOKUP(Z49,Migration!$J$3:$R$196,9,FALSE)</f>
        <v>Less than 0.1</v>
      </c>
    </row>
    <row r="50" spans="1:31" x14ac:dyDescent="0.35">
      <c r="A50" t="s">
        <v>509</v>
      </c>
      <c r="B50">
        <v>1</v>
      </c>
      <c r="E50">
        <v>86.209370732307434</v>
      </c>
      <c r="F50">
        <v>59.66</v>
      </c>
      <c r="G50">
        <f t="shared" si="1"/>
        <v>0</v>
      </c>
      <c r="K50" t="s">
        <v>181</v>
      </c>
      <c r="L50" t="str">
        <f t="shared" si="3"/>
        <v>MYS</v>
      </c>
      <c r="M50" t="str">
        <f>VLOOKUP(Indice!L50,'Reference table'!J$2:K$195,2,FALSE)</f>
        <v>Malaysia</v>
      </c>
      <c r="N50">
        <v>1</v>
      </c>
      <c r="R50" t="s">
        <v>509</v>
      </c>
      <c r="S50">
        <v>1</v>
      </c>
      <c r="V50">
        <v>86.209370732307434</v>
      </c>
      <c r="W50">
        <v>59.66</v>
      </c>
      <c r="Z50" t="s">
        <v>271</v>
      </c>
      <c r="AA50">
        <f t="shared" si="4"/>
        <v>0</v>
      </c>
      <c r="AB50">
        <v>9.5247949361801147</v>
      </c>
      <c r="AC50">
        <v>48.14</v>
      </c>
      <c r="AD50" t="str">
        <f>VLOOKUP(Z50,Migration!$J$3:$R$196,8,FALSE)</f>
        <v>Less than 0.1</v>
      </c>
      <c r="AE50" t="str">
        <f>VLOOKUP(Z50,Migration!$J$3:$R$196,9,FALSE)</f>
        <v>No data</v>
      </c>
    </row>
    <row r="51" spans="1:31" x14ac:dyDescent="0.35">
      <c r="A51" t="s">
        <v>487</v>
      </c>
      <c r="B51">
        <v>1</v>
      </c>
      <c r="E51">
        <v>37.965240001678467</v>
      </c>
      <c r="F51">
        <v>71.599999999999994</v>
      </c>
      <c r="G51">
        <f t="shared" si="1"/>
        <v>0</v>
      </c>
      <c r="K51" t="s">
        <v>234</v>
      </c>
      <c r="L51" t="str">
        <f t="shared" si="3"/>
        <v>BWA</v>
      </c>
      <c r="M51" t="str">
        <f>VLOOKUP(Indice!L51,'Reference table'!J$2:K$195,2,FALSE)</f>
        <v>Botswana</v>
      </c>
      <c r="N51">
        <v>1</v>
      </c>
      <c r="R51" t="s">
        <v>487</v>
      </c>
      <c r="S51">
        <v>1</v>
      </c>
      <c r="V51">
        <v>37.965240001678467</v>
      </c>
      <c r="W51">
        <v>71.599999999999994</v>
      </c>
      <c r="Z51" t="s">
        <v>34</v>
      </c>
      <c r="AA51">
        <f t="shared" si="4"/>
        <v>0</v>
      </c>
      <c r="AB51">
        <v>76.341424465179443</v>
      </c>
      <c r="AC51">
        <v>66.680000000000007</v>
      </c>
      <c r="AD51" t="str">
        <f>VLOOKUP(Z51,Migration!$J$3:$R$196,8,FALSE)</f>
        <v>Above 0.1</v>
      </c>
      <c r="AE51" t="str">
        <f>VLOOKUP(Z51,Migration!$J$3:$R$196,9,FALSE)</f>
        <v>Above 0.1</v>
      </c>
    </row>
    <row r="52" spans="1:31" x14ac:dyDescent="0.35">
      <c r="A52" t="s">
        <v>94</v>
      </c>
      <c r="B52">
        <v>1</v>
      </c>
      <c r="E52">
        <v>151.81259274482727</v>
      </c>
      <c r="F52">
        <v>86.48</v>
      </c>
      <c r="G52">
        <f t="shared" si="1"/>
        <v>0</v>
      </c>
      <c r="K52" t="s">
        <v>357</v>
      </c>
      <c r="L52" t="str">
        <f t="shared" si="3"/>
        <v>MDV</v>
      </c>
      <c r="M52" t="str">
        <f>VLOOKUP(Indice!L52,'Reference table'!J$2:K$195,2,FALSE)</f>
        <v>Maldives</v>
      </c>
      <c r="N52">
        <v>1</v>
      </c>
      <c r="R52" t="s">
        <v>94</v>
      </c>
      <c r="S52">
        <v>1</v>
      </c>
      <c r="V52">
        <v>151.81259274482727</v>
      </c>
      <c r="W52">
        <v>86.48</v>
      </c>
      <c r="Z52" t="s">
        <v>144</v>
      </c>
      <c r="AA52">
        <f t="shared" si="4"/>
        <v>0</v>
      </c>
      <c r="AB52">
        <v>147.60095191001892</v>
      </c>
      <c r="AC52">
        <v>84.89</v>
      </c>
      <c r="AD52" t="str">
        <f>VLOOKUP(Z52,Migration!$J$3:$R$196,8,FALSE)</f>
        <v>Less than 0.1</v>
      </c>
      <c r="AE52" t="str">
        <f>VLOOKUP(Z52,Migration!$J$3:$R$196,9,FALSE)</f>
        <v>Less than 0.1</v>
      </c>
    </row>
    <row r="53" spans="1:31" x14ac:dyDescent="0.35">
      <c r="A53" t="s">
        <v>342</v>
      </c>
      <c r="B53">
        <v>1</v>
      </c>
      <c r="E53">
        <v>78.390331506729126</v>
      </c>
      <c r="F53">
        <v>71.77</v>
      </c>
      <c r="G53">
        <f t="shared" si="1"/>
        <v>0</v>
      </c>
      <c r="K53" t="s">
        <v>14</v>
      </c>
      <c r="L53" t="str">
        <f t="shared" si="3"/>
        <v>BRB</v>
      </c>
      <c r="M53" t="str">
        <f>VLOOKUP(Indice!L53,'Reference table'!J$2:K$195,2,FALSE)</f>
        <v>Barbados</v>
      </c>
      <c r="N53">
        <v>1</v>
      </c>
      <c r="R53" t="s">
        <v>342</v>
      </c>
      <c r="S53">
        <v>1</v>
      </c>
      <c r="V53">
        <v>78.390331506729126</v>
      </c>
      <c r="W53">
        <v>71.77</v>
      </c>
      <c r="Z53" t="s">
        <v>58</v>
      </c>
      <c r="AA53">
        <f t="shared" si="4"/>
        <v>0</v>
      </c>
      <c r="AB53">
        <v>33.517447948455811</v>
      </c>
      <c r="AC53">
        <v>65.72</v>
      </c>
      <c r="AD53" t="str">
        <f>VLOOKUP(Z53,Migration!$J$3:$R$196,8,FALSE)</f>
        <v>Less than 0.1</v>
      </c>
      <c r="AE53" t="str">
        <f>VLOOKUP(Z53,Migration!$J$3:$R$196,9,FALSE)</f>
        <v>Above 0.1</v>
      </c>
    </row>
    <row r="54" spans="1:31" x14ac:dyDescent="0.35">
      <c r="A54" t="s">
        <v>153</v>
      </c>
      <c r="B54">
        <v>1</v>
      </c>
      <c r="E54">
        <v>21.183988571166992</v>
      </c>
      <c r="F54">
        <v>72.739999999999995</v>
      </c>
      <c r="G54">
        <f t="shared" si="1"/>
        <v>0</v>
      </c>
      <c r="K54" t="s">
        <v>525</v>
      </c>
      <c r="L54" t="str">
        <f t="shared" si="3"/>
        <v>TKM</v>
      </c>
      <c r="M54" t="str">
        <f>VLOOKUP(Indice!L54,'Reference table'!J$2:K$195,2,FALSE)</f>
        <v>Turkmenistan</v>
      </c>
      <c r="N54">
        <v>1</v>
      </c>
      <c r="R54" t="s">
        <v>153</v>
      </c>
      <c r="S54">
        <v>1</v>
      </c>
      <c r="V54">
        <v>21.183988571166992</v>
      </c>
      <c r="W54">
        <v>72.739999999999995</v>
      </c>
      <c r="Z54" t="s">
        <v>190</v>
      </c>
      <c r="AA54">
        <f t="shared" si="4"/>
        <v>0</v>
      </c>
      <c r="AB54">
        <v>32.69265341758728</v>
      </c>
      <c r="AC54">
        <v>74.989999999999995</v>
      </c>
      <c r="AD54" t="str">
        <f>VLOOKUP(Z54,Migration!$J$3:$R$196,8,FALSE)</f>
        <v>Above 0.1</v>
      </c>
      <c r="AE54" t="str">
        <f>VLOOKUP(Z54,Migration!$J$3:$R$196,9,FALSE)</f>
        <v>Above 0.1</v>
      </c>
    </row>
    <row r="55" spans="1:31" x14ac:dyDescent="0.35">
      <c r="A55" t="s">
        <v>368</v>
      </c>
      <c r="B55">
        <v>1</v>
      </c>
      <c r="E55">
        <v>77.811820507049561</v>
      </c>
      <c r="F55">
        <v>67.42</v>
      </c>
      <c r="G55">
        <f t="shared" si="1"/>
        <v>0</v>
      </c>
      <c r="K55" t="s">
        <v>37</v>
      </c>
      <c r="L55" t="str">
        <f t="shared" si="3"/>
        <v>BHS</v>
      </c>
      <c r="M55" t="str">
        <f>VLOOKUP(Indice!L55,'Reference table'!J$2:K$195,2,FALSE)</f>
        <v>Bahamas</v>
      </c>
      <c r="N55">
        <v>1</v>
      </c>
      <c r="R55" t="s">
        <v>368</v>
      </c>
      <c r="S55">
        <v>1</v>
      </c>
      <c r="V55">
        <v>77.811820507049561</v>
      </c>
      <c r="W55">
        <v>67.42</v>
      </c>
      <c r="Z55" t="s">
        <v>274</v>
      </c>
      <c r="AA55">
        <f t="shared" si="4"/>
        <v>0</v>
      </c>
      <c r="AB55">
        <v>47.216030120849609</v>
      </c>
      <c r="AC55">
        <v>80.34</v>
      </c>
      <c r="AD55" t="str">
        <f>VLOOKUP(Z55,Migration!$J$3:$R$196,8,FALSE)</f>
        <v>Less than 0.1</v>
      </c>
      <c r="AE55" t="str">
        <f>VLOOKUP(Z55,Migration!$J$3:$R$196,9,FALSE)</f>
        <v>Above 0.1</v>
      </c>
    </row>
    <row r="56" spans="1:31" x14ac:dyDescent="0.35">
      <c r="A56" t="s">
        <v>351</v>
      </c>
      <c r="B56">
        <v>1</v>
      </c>
      <c r="E56">
        <v>4.9646388292312622</v>
      </c>
      <c r="F56">
        <v>34.65</v>
      </c>
      <c r="G56">
        <f t="shared" si="1"/>
        <v>0</v>
      </c>
      <c r="K56" t="s">
        <v>258</v>
      </c>
      <c r="L56" t="str">
        <f t="shared" si="3"/>
        <v>CRI</v>
      </c>
      <c r="M56" t="str">
        <f>VLOOKUP(Indice!L56,'Reference table'!J$2:K$195,2,FALSE)</f>
        <v>Costa Rica</v>
      </c>
      <c r="N56">
        <v>1</v>
      </c>
      <c r="R56" t="s">
        <v>351</v>
      </c>
      <c r="S56">
        <v>1</v>
      </c>
      <c r="V56">
        <v>4.9646388292312622</v>
      </c>
      <c r="W56">
        <v>34.65</v>
      </c>
      <c r="Z56" t="s">
        <v>7</v>
      </c>
      <c r="AA56">
        <f t="shared" si="4"/>
        <v>0</v>
      </c>
      <c r="AB56">
        <v>26.758459091186523</v>
      </c>
      <c r="AC56">
        <v>69.8</v>
      </c>
      <c r="AD56" t="str">
        <f>VLOOKUP(Z56,Migration!$J$3:$R$196,8,FALSE)</f>
        <v>Less than 0.1</v>
      </c>
      <c r="AE56" t="str">
        <f>VLOOKUP(Z56,Migration!$J$3:$R$196,9,FALSE)</f>
        <v>Less than 0.1</v>
      </c>
    </row>
    <row r="57" spans="1:31" x14ac:dyDescent="0.35">
      <c r="A57" t="s">
        <v>357</v>
      </c>
      <c r="B57">
        <v>1</v>
      </c>
      <c r="E57">
        <v>58.644843101501465</v>
      </c>
      <c r="F57">
        <v>69.17</v>
      </c>
      <c r="G57">
        <f t="shared" si="1"/>
        <v>0</v>
      </c>
      <c r="K57" t="s">
        <v>252</v>
      </c>
      <c r="L57" t="str">
        <f t="shared" si="3"/>
        <v>CHL</v>
      </c>
      <c r="M57" t="str">
        <f>VLOOKUP(Indice!L57,'Reference table'!J$2:K$195,2,FALSE)</f>
        <v>Chile</v>
      </c>
      <c r="N57">
        <v>1</v>
      </c>
      <c r="R57" t="s">
        <v>357</v>
      </c>
      <c r="S57">
        <v>1</v>
      </c>
      <c r="V57">
        <v>58.644843101501465</v>
      </c>
      <c r="W57">
        <v>69.17</v>
      </c>
      <c r="Z57" t="s">
        <v>500</v>
      </c>
      <c r="AA57">
        <f t="shared" si="4"/>
        <v>0</v>
      </c>
      <c r="AB57">
        <v>15.217567384243011</v>
      </c>
      <c r="AC57">
        <v>49.8</v>
      </c>
      <c r="AD57" t="str">
        <f>VLOOKUP(Z57,Migration!$J$3:$R$196,8,FALSE)</f>
        <v>Less than 0.1</v>
      </c>
      <c r="AE57" t="str">
        <f>VLOOKUP(Z57,Migration!$J$3:$R$196,9,FALSE)</f>
        <v>Above 0.1</v>
      </c>
    </row>
    <row r="58" spans="1:31" x14ac:dyDescent="0.35">
      <c r="A58" t="s">
        <v>539</v>
      </c>
      <c r="B58">
        <v>1</v>
      </c>
      <c r="E58">
        <v>52.3169530488085</v>
      </c>
      <c r="F58">
        <v>73.88</v>
      </c>
      <c r="G58">
        <f t="shared" si="1"/>
        <v>0</v>
      </c>
      <c r="K58" t="s">
        <v>205</v>
      </c>
      <c r="L58" t="str">
        <f t="shared" si="3"/>
        <v>AND</v>
      </c>
      <c r="M58" t="str">
        <f>VLOOKUP(Indice!L58,'Reference table'!J$2:K$195,2,FALSE)</f>
        <v>Andorra</v>
      </c>
      <c r="N58">
        <v>1</v>
      </c>
      <c r="R58" t="s">
        <v>539</v>
      </c>
      <c r="S58">
        <v>1</v>
      </c>
      <c r="V58">
        <v>52.3169530488085</v>
      </c>
      <c r="W58">
        <v>73.88</v>
      </c>
      <c r="Z58" t="s">
        <v>162</v>
      </c>
      <c r="AA58">
        <f t="shared" si="4"/>
        <v>0</v>
      </c>
      <c r="AB58">
        <v>105.93875956535339</v>
      </c>
      <c r="AC58">
        <v>85.56</v>
      </c>
      <c r="AD58" t="str">
        <f>VLOOKUP(Z58,Migration!$J$3:$R$196,8,FALSE)</f>
        <v>Less than 0.1</v>
      </c>
      <c r="AE58" t="str">
        <f>VLOOKUP(Z58,Migration!$J$3:$R$196,9,FALSE)</f>
        <v>Less than 0.1</v>
      </c>
    </row>
    <row r="59" spans="1:31" x14ac:dyDescent="0.35">
      <c r="A59" t="s">
        <v>386</v>
      </c>
      <c r="B59">
        <v>1</v>
      </c>
      <c r="E59">
        <v>70.949876308441162</v>
      </c>
      <c r="F59">
        <v>68.41</v>
      </c>
      <c r="G59">
        <f t="shared" si="1"/>
        <v>0</v>
      </c>
      <c r="K59" t="s">
        <v>485</v>
      </c>
      <c r="L59" t="str">
        <f t="shared" si="3"/>
        <v>KNA</v>
      </c>
      <c r="M59" t="str">
        <f>VLOOKUP(Indice!L59,'Reference table'!J$2:K$195,2,FALSE)</f>
        <v>Saint Kitts and Nevis</v>
      </c>
      <c r="N59">
        <v>1</v>
      </c>
      <c r="R59" t="s">
        <v>386</v>
      </c>
      <c r="S59">
        <v>1</v>
      </c>
      <c r="V59">
        <v>70.949876308441162</v>
      </c>
      <c r="W59">
        <v>68.41</v>
      </c>
      <c r="Z59" t="s">
        <v>283</v>
      </c>
      <c r="AA59">
        <f t="shared" si="4"/>
        <v>0</v>
      </c>
      <c r="AB59">
        <v>100.79591298103333</v>
      </c>
      <c r="AC59">
        <v>77.569999999999993</v>
      </c>
      <c r="AD59" t="str">
        <f>VLOOKUP(Z59,Migration!$J$3:$R$196,8,FALSE)</f>
        <v>Less than 0.1</v>
      </c>
      <c r="AE59" t="str">
        <f>VLOOKUP(Z59,Migration!$J$3:$R$196,9,FALSE)</f>
        <v>Less than 0.1</v>
      </c>
    </row>
    <row r="60" spans="1:31" x14ac:dyDescent="0.35">
      <c r="A60" t="s">
        <v>363</v>
      </c>
      <c r="B60">
        <v>1</v>
      </c>
      <c r="E60">
        <v>123.44289684295654</v>
      </c>
      <c r="F60">
        <v>81.25</v>
      </c>
      <c r="G60">
        <f t="shared" si="1"/>
        <v>0</v>
      </c>
      <c r="K60" t="s">
        <v>24</v>
      </c>
      <c r="L60" t="str">
        <f t="shared" si="3"/>
        <v>BRN</v>
      </c>
      <c r="M60" t="str">
        <f>VLOOKUP(Indice!L60,'Reference table'!J$2:K$195,2,FALSE)</f>
        <v>Brunei Darussalam</v>
      </c>
      <c r="N60">
        <v>1</v>
      </c>
      <c r="R60" t="s">
        <v>363</v>
      </c>
      <c r="S60">
        <v>1</v>
      </c>
      <c r="V60">
        <v>123.44289684295654</v>
      </c>
      <c r="W60">
        <v>81.25</v>
      </c>
      <c r="Z60" t="s">
        <v>65</v>
      </c>
      <c r="AA60">
        <f t="shared" si="4"/>
        <v>0</v>
      </c>
      <c r="AB60">
        <v>8.9002605676651001</v>
      </c>
      <c r="AC60">
        <v>38.130000000000003</v>
      </c>
      <c r="AD60" t="str">
        <f>VLOOKUP(Z60,Migration!$J$3:$R$196,8,FALSE)</f>
        <v>Less than 0.1</v>
      </c>
      <c r="AE60" t="str">
        <f>VLOOKUP(Z60,Migration!$J$3:$R$196,9,FALSE)</f>
        <v>Less than 0.1</v>
      </c>
    </row>
    <row r="61" spans="1:31" x14ac:dyDescent="0.35">
      <c r="A61" t="s">
        <v>185</v>
      </c>
      <c r="B61">
        <v>1</v>
      </c>
      <c r="E61">
        <v>81.122562408447266</v>
      </c>
      <c r="F61">
        <v>67.16</v>
      </c>
      <c r="G61">
        <f t="shared" si="1"/>
        <v>0</v>
      </c>
      <c r="K61" t="s">
        <v>174</v>
      </c>
      <c r="L61" t="str">
        <f t="shared" si="3"/>
        <v>KGZ</v>
      </c>
      <c r="M61" t="str">
        <f>VLOOKUP(Indice!L61,'Reference table'!J$2:K$195,2,FALSE)</f>
        <v>Kyrgyzstan</v>
      </c>
      <c r="N61">
        <v>1</v>
      </c>
      <c r="R61" t="s">
        <v>185</v>
      </c>
      <c r="S61">
        <v>1</v>
      </c>
      <c r="V61">
        <v>81.122562408447266</v>
      </c>
      <c r="W61">
        <v>67.16</v>
      </c>
      <c r="Z61" t="s">
        <v>289</v>
      </c>
      <c r="AA61">
        <f t="shared" si="4"/>
        <v>0</v>
      </c>
      <c r="AB61">
        <v>269.4843168258667</v>
      </c>
      <c r="AC61">
        <v>83.24</v>
      </c>
      <c r="AD61" t="str">
        <f>VLOOKUP(Z61,Migration!$J$3:$R$196,8,FALSE)</f>
        <v>Less than 0.1</v>
      </c>
      <c r="AE61" t="str">
        <f>VLOOKUP(Z61,Migration!$J$3:$R$196,9,FALSE)</f>
        <v>Less than 0.1</v>
      </c>
    </row>
    <row r="62" spans="1:31" x14ac:dyDescent="0.35">
      <c r="A62" t="s">
        <v>371</v>
      </c>
      <c r="B62">
        <v>1</v>
      </c>
      <c r="E62">
        <v>5.6910541653633118</v>
      </c>
      <c r="F62">
        <v>46.8</v>
      </c>
      <c r="G62">
        <f t="shared" si="1"/>
        <v>0</v>
      </c>
      <c r="K62" t="s">
        <v>22</v>
      </c>
      <c r="L62" t="str">
        <f t="shared" si="3"/>
        <v>BIH</v>
      </c>
      <c r="M62" t="str">
        <f>VLOOKUP(Indice!L62,'Reference table'!J$2:K$195,2,FALSE)</f>
        <v>Bosnia and Herzegovina</v>
      </c>
      <c r="N62">
        <v>1</v>
      </c>
      <c r="R62" t="s">
        <v>371</v>
      </c>
      <c r="S62">
        <v>1</v>
      </c>
      <c r="V62">
        <v>5.6910541653633118</v>
      </c>
      <c r="W62">
        <v>46.8</v>
      </c>
      <c r="Z62" t="s">
        <v>286</v>
      </c>
      <c r="AA62">
        <f t="shared" si="4"/>
        <v>0</v>
      </c>
      <c r="AB62">
        <v>48.197238445281982</v>
      </c>
      <c r="AC62">
        <v>60.96</v>
      </c>
      <c r="AD62" t="str">
        <f>VLOOKUP(Z62,Migration!$J$3:$R$196,8,FALSE)</f>
        <v>Less than 0.1</v>
      </c>
      <c r="AE62" t="str">
        <f>VLOOKUP(Z62,Migration!$J$3:$R$196,9,FALSE)</f>
        <v>Above 0.1</v>
      </c>
    </row>
    <row r="63" spans="1:31" x14ac:dyDescent="0.35">
      <c r="A63" t="s">
        <v>366</v>
      </c>
      <c r="B63">
        <v>1</v>
      </c>
      <c r="E63">
        <v>66.474699020385742</v>
      </c>
      <c r="F63">
        <v>64.56</v>
      </c>
      <c r="G63">
        <f t="shared" si="1"/>
        <v>0</v>
      </c>
      <c r="K63" t="s">
        <v>213</v>
      </c>
      <c r="L63" t="str">
        <f t="shared" si="3"/>
        <v>ALB</v>
      </c>
      <c r="M63" t="str">
        <f>VLOOKUP(Indice!L63,'Reference table'!J$2:K$195,2,FALSE)</f>
        <v>Albania</v>
      </c>
      <c r="N63">
        <v>1</v>
      </c>
      <c r="R63" t="s">
        <v>366</v>
      </c>
      <c r="S63">
        <v>1</v>
      </c>
      <c r="V63">
        <v>66.474699020385742</v>
      </c>
      <c r="W63">
        <v>64.56</v>
      </c>
      <c r="Z63" t="s">
        <v>86</v>
      </c>
      <c r="AA63">
        <f t="shared" si="4"/>
        <v>0</v>
      </c>
      <c r="AB63">
        <v>150.63701939582825</v>
      </c>
      <c r="AC63">
        <v>83.91</v>
      </c>
      <c r="AD63" t="str">
        <f>VLOOKUP(Z63,Migration!$J$3:$R$196,8,FALSE)</f>
        <v>Less than 0.1</v>
      </c>
      <c r="AE63" t="str">
        <f>VLOOKUP(Z63,Migration!$J$3:$R$196,9,FALSE)</f>
        <v>Less than 0.1</v>
      </c>
    </row>
    <row r="64" spans="1:31" x14ac:dyDescent="0.35">
      <c r="A64" t="s">
        <v>446</v>
      </c>
      <c r="B64">
        <v>1</v>
      </c>
      <c r="E64">
        <v>2.5829877555370331</v>
      </c>
      <c r="F64">
        <v>37.369999999999997</v>
      </c>
      <c r="G64">
        <f t="shared" si="1"/>
        <v>0</v>
      </c>
      <c r="K64" t="s">
        <v>183</v>
      </c>
      <c r="L64" t="str">
        <f t="shared" si="3"/>
        <v>MNG</v>
      </c>
      <c r="M64" t="str">
        <f>VLOOKUP(Indice!L64,'Reference table'!J$2:K$195,2,FALSE)</f>
        <v>Mongolia</v>
      </c>
      <c r="N64">
        <v>1</v>
      </c>
      <c r="R64" t="s">
        <v>446</v>
      </c>
      <c r="S64">
        <v>1</v>
      </c>
      <c r="V64">
        <v>2.5829877555370331</v>
      </c>
      <c r="W64">
        <v>37.369999999999997</v>
      </c>
      <c r="Z64" t="s">
        <v>80</v>
      </c>
      <c r="AA64">
        <f t="shared" si="4"/>
        <v>0</v>
      </c>
      <c r="AB64">
        <v>30.916506290435791</v>
      </c>
      <c r="AC64">
        <v>47.9</v>
      </c>
      <c r="AD64" t="str">
        <f>VLOOKUP(Z64,Migration!$J$3:$R$196,8,FALSE)</f>
        <v>Above 0.1</v>
      </c>
      <c r="AE64" t="str">
        <f>VLOOKUP(Z64,Migration!$J$3:$R$196,9,FALSE)</f>
        <v>Above 0.1</v>
      </c>
    </row>
    <row r="65" spans="1:31" x14ac:dyDescent="0.35">
      <c r="A65" t="s">
        <v>74</v>
      </c>
      <c r="B65">
        <v>1</v>
      </c>
      <c r="E65">
        <v>18.8071448802948</v>
      </c>
      <c r="F65">
        <v>44.49</v>
      </c>
      <c r="G65">
        <f t="shared" si="1"/>
        <v>0</v>
      </c>
      <c r="K65" t="s">
        <v>389</v>
      </c>
      <c r="L65" t="str">
        <f t="shared" si="3"/>
        <v>PLW</v>
      </c>
      <c r="M65" t="str">
        <f>VLOOKUP(Indice!L65,'Reference table'!J$2:K$195,2,FALSE)</f>
        <v>Palau</v>
      </c>
      <c r="N65">
        <v>1</v>
      </c>
      <c r="R65" t="s">
        <v>74</v>
      </c>
      <c r="S65">
        <v>1</v>
      </c>
      <c r="V65">
        <v>18.8071448802948</v>
      </c>
      <c r="W65">
        <v>44.49</v>
      </c>
      <c r="Z65" t="s">
        <v>89</v>
      </c>
      <c r="AA65">
        <f t="shared" si="4"/>
        <v>0</v>
      </c>
      <c r="AB65">
        <v>30.597177982330322</v>
      </c>
      <c r="AC65">
        <v>48.68</v>
      </c>
      <c r="AD65" t="str">
        <f>VLOOKUP(Z65,Migration!$J$3:$R$196,8,FALSE)</f>
        <v>Less than 0.1</v>
      </c>
      <c r="AE65" t="str">
        <f>VLOOKUP(Z65,Migration!$J$3:$R$196,9,FALSE)</f>
        <v>No data</v>
      </c>
    </row>
    <row r="66" spans="1:31" x14ac:dyDescent="0.35">
      <c r="A66" t="s">
        <v>380</v>
      </c>
      <c r="B66">
        <v>1</v>
      </c>
      <c r="E66">
        <v>34.890394926071167</v>
      </c>
      <c r="F66">
        <v>70.05</v>
      </c>
      <c r="G66">
        <f t="shared" si="1"/>
        <v>0</v>
      </c>
      <c r="K66" t="s">
        <v>489</v>
      </c>
      <c r="L66" t="str">
        <f t="shared" si="3"/>
        <v>VCT</v>
      </c>
      <c r="M66" t="str">
        <f>VLOOKUP(Indice!L66,'Reference table'!J$2:K$195,2,FALSE)</f>
        <v>Saint Vincent and the Grenadines</v>
      </c>
      <c r="N66">
        <v>1</v>
      </c>
      <c r="R66" t="s">
        <v>380</v>
      </c>
      <c r="S66">
        <v>1</v>
      </c>
      <c r="V66">
        <v>34.890394926071167</v>
      </c>
      <c r="W66">
        <v>70.05</v>
      </c>
      <c r="Z66" t="s">
        <v>536</v>
      </c>
      <c r="AA66">
        <f t="shared" ref="AA66:AA97" si="5">IF(OR(AD66="Above 0.05",AE66="Above 0.05"),1,0)</f>
        <v>0</v>
      </c>
      <c r="AB66">
        <v>118.54255962371826</v>
      </c>
      <c r="AC66">
        <v>87.72</v>
      </c>
      <c r="AD66" t="str">
        <f>VLOOKUP(Z66,Migration!$J$3:$R$196,8,FALSE)</f>
        <v>Less than 0.1</v>
      </c>
      <c r="AE66" t="str">
        <f>VLOOKUP(Z66,Migration!$J$3:$R$196,9,FALSE)</f>
        <v>Less than 0.1</v>
      </c>
    </row>
    <row r="67" spans="1:31" x14ac:dyDescent="0.35">
      <c r="A67" t="s">
        <v>383</v>
      </c>
      <c r="B67">
        <v>1</v>
      </c>
      <c r="E67">
        <v>142.59469795227051</v>
      </c>
      <c r="F67">
        <v>55.01</v>
      </c>
      <c r="G67">
        <f t="shared" ref="G67:G93" si="6">IF(AND(E67&lt;49,F67&lt;60,F67&gt;=50),A67,0)</f>
        <v>0</v>
      </c>
      <c r="K67" t="s">
        <v>455</v>
      </c>
      <c r="L67" t="str">
        <f t="shared" si="3"/>
        <v>TTO</v>
      </c>
      <c r="M67" t="str">
        <f>VLOOKUP(Indice!L67,'Reference table'!J$2:K$195,2,FALSE)</f>
        <v>Trinidad and Tobago</v>
      </c>
      <c r="N67">
        <v>1</v>
      </c>
      <c r="R67" t="s">
        <v>383</v>
      </c>
      <c r="S67">
        <v>1</v>
      </c>
      <c r="V67">
        <v>142.59469795227051</v>
      </c>
      <c r="W67">
        <v>55.01</v>
      </c>
      <c r="Z67" t="s">
        <v>91</v>
      </c>
      <c r="AA67">
        <f t="shared" si="5"/>
        <v>0</v>
      </c>
      <c r="AB67">
        <v>106.55085372924805</v>
      </c>
      <c r="AC67">
        <v>65.16</v>
      </c>
      <c r="AD67" t="str">
        <f>VLOOKUP(Z67,Migration!$J$3:$R$196,8,FALSE)</f>
        <v>Less than 0.1</v>
      </c>
      <c r="AE67" t="str">
        <f>VLOOKUP(Z67,Migration!$J$3:$R$196,9,FALSE)</f>
        <v>Less than 0.1</v>
      </c>
    </row>
    <row r="68" spans="1:31" x14ac:dyDescent="0.35">
      <c r="A68" t="s">
        <v>377</v>
      </c>
      <c r="B68">
        <v>1</v>
      </c>
      <c r="E68">
        <v>92.161696434020996</v>
      </c>
      <c r="F68">
        <v>53.85</v>
      </c>
      <c r="G68">
        <f t="shared" si="6"/>
        <v>0</v>
      </c>
      <c r="K68" t="s">
        <v>425</v>
      </c>
      <c r="L68" t="str">
        <f t="shared" si="3"/>
        <v>SGP</v>
      </c>
      <c r="M68" t="str">
        <f>VLOOKUP(Indice!L68,'Reference table'!J$2:K$195,2,FALSE)</f>
        <v>Singapore</v>
      </c>
      <c r="N68">
        <v>1</v>
      </c>
      <c r="R68" t="s">
        <v>377</v>
      </c>
      <c r="S68">
        <v>1</v>
      </c>
      <c r="V68">
        <v>92.161696434020996</v>
      </c>
      <c r="W68">
        <v>53.85</v>
      </c>
      <c r="Z68" t="s">
        <v>295</v>
      </c>
      <c r="AA68">
        <f t="shared" si="5"/>
        <v>0</v>
      </c>
      <c r="AB68">
        <v>37.869453310966492</v>
      </c>
      <c r="AC68">
        <v>45.09</v>
      </c>
      <c r="AD68" t="str">
        <f>VLOOKUP(Z68,Migration!$J$3:$R$196,8,FALSE)</f>
        <v>Less than 0.1</v>
      </c>
      <c r="AE68" t="str">
        <f>VLOOKUP(Z68,Migration!$J$3:$R$196,9,FALSE)</f>
        <v>Above 0.1</v>
      </c>
    </row>
    <row r="69" spans="1:31" x14ac:dyDescent="0.35">
      <c r="A69" t="s">
        <v>123</v>
      </c>
      <c r="B69">
        <v>1</v>
      </c>
      <c r="E69">
        <v>15.978756189346313</v>
      </c>
      <c r="F69">
        <v>44.97</v>
      </c>
      <c r="G69">
        <f t="shared" si="6"/>
        <v>0</v>
      </c>
      <c r="K69" t="s">
        <v>377</v>
      </c>
      <c r="L69" t="str">
        <f t="shared" si="3"/>
        <v>NRU</v>
      </c>
      <c r="M69" t="str">
        <f>VLOOKUP(Indice!L69,'Reference table'!J$2:K$195,2,FALSE)</f>
        <v>Nauru</v>
      </c>
      <c r="N69">
        <v>1</v>
      </c>
      <c r="R69" t="s">
        <v>123</v>
      </c>
      <c r="S69">
        <v>1</v>
      </c>
      <c r="V69">
        <v>15.978756189346313</v>
      </c>
      <c r="W69">
        <v>44.97</v>
      </c>
      <c r="Z69" t="s">
        <v>301</v>
      </c>
      <c r="AA69">
        <f t="shared" si="5"/>
        <v>0</v>
      </c>
      <c r="AB69">
        <v>8.0499997138977051</v>
      </c>
      <c r="AC69">
        <v>37.19</v>
      </c>
      <c r="AD69" t="str">
        <f>VLOOKUP(Z69,Migration!$J$3:$R$196,8,FALSE)</f>
        <v>Less than 0.1</v>
      </c>
      <c r="AE69" t="str">
        <f>VLOOKUP(Z69,Migration!$J$3:$R$196,9,FALSE)</f>
        <v>Less than 0.1</v>
      </c>
    </row>
    <row r="70" spans="1:31" x14ac:dyDescent="0.35">
      <c r="A70" t="s">
        <v>392</v>
      </c>
      <c r="B70">
        <v>1</v>
      </c>
      <c r="E70">
        <v>53.63815975189209</v>
      </c>
      <c r="F70">
        <v>77.28</v>
      </c>
      <c r="G70">
        <f t="shared" si="6"/>
        <v>0</v>
      </c>
      <c r="K70" t="s">
        <v>219</v>
      </c>
      <c r="L70" t="str">
        <f t="shared" si="3"/>
        <v>ARM</v>
      </c>
      <c r="M70" t="str">
        <f>VLOOKUP(Indice!L70,'Reference table'!J$2:K$195,2,FALSE)</f>
        <v>Armenia</v>
      </c>
      <c r="N70">
        <v>1</v>
      </c>
      <c r="R70" t="s">
        <v>392</v>
      </c>
      <c r="S70">
        <v>1</v>
      </c>
      <c r="V70">
        <v>53.63815975189209</v>
      </c>
      <c r="W70">
        <v>77.28</v>
      </c>
      <c r="Z70" t="s">
        <v>292</v>
      </c>
      <c r="AA70">
        <f t="shared" si="5"/>
        <v>0</v>
      </c>
      <c r="AB70">
        <v>10.282769978046417</v>
      </c>
      <c r="AC70">
        <v>47.78</v>
      </c>
      <c r="AD70" t="str">
        <f>VLOOKUP(Z70,Migration!$J$3:$R$196,8,FALSE)</f>
        <v>Less than 0.1</v>
      </c>
      <c r="AE70" t="str">
        <f>VLOOKUP(Z70,Migration!$J$3:$R$196,9,FALSE)</f>
        <v>Above 0.1</v>
      </c>
    </row>
    <row r="71" spans="1:31" x14ac:dyDescent="0.35">
      <c r="A71" t="s">
        <v>398</v>
      </c>
      <c r="B71">
        <v>1</v>
      </c>
      <c r="E71">
        <v>43.624292373657227</v>
      </c>
      <c r="F71">
        <v>78.34</v>
      </c>
      <c r="G71">
        <f t="shared" si="6"/>
        <v>0</v>
      </c>
      <c r="K71" t="s">
        <v>39</v>
      </c>
      <c r="L71" t="str">
        <f t="shared" ref="L71:L103" si="7">TRIM(K71)</f>
        <v>COK</v>
      </c>
      <c r="M71" t="str">
        <f>VLOOKUP(Indice!L71,'Reference table'!J$2:K$195,2,FALSE)</f>
        <v>Cook Islands</v>
      </c>
      <c r="N71">
        <v>1</v>
      </c>
      <c r="R71" t="s">
        <v>398</v>
      </c>
      <c r="S71">
        <v>1</v>
      </c>
      <c r="V71">
        <v>43.624292373657227</v>
      </c>
      <c r="W71">
        <v>78.34</v>
      </c>
      <c r="Z71" t="s">
        <v>304</v>
      </c>
      <c r="AA71">
        <f t="shared" si="5"/>
        <v>0</v>
      </c>
      <c r="AB71">
        <v>9.8628150820732117</v>
      </c>
      <c r="AC71">
        <v>37.1</v>
      </c>
      <c r="AD71" t="str">
        <f>VLOOKUP(Z71,Migration!$J$3:$R$196,8,FALSE)</f>
        <v>Less than 0.1</v>
      </c>
      <c r="AE71" t="str">
        <f>VLOOKUP(Z71,Migration!$J$3:$R$196,9,FALSE)</f>
        <v>No data</v>
      </c>
    </row>
    <row r="72" spans="1:31" x14ac:dyDescent="0.35">
      <c r="A72" t="s">
        <v>401</v>
      </c>
      <c r="B72">
        <v>1</v>
      </c>
      <c r="E72">
        <v>62.195405960083008</v>
      </c>
      <c r="F72">
        <v>55.37</v>
      </c>
      <c r="G72">
        <f t="shared" si="6"/>
        <v>0</v>
      </c>
      <c r="K72" t="s">
        <v>225</v>
      </c>
      <c r="L72" t="str">
        <f t="shared" si="7"/>
        <v>AZE</v>
      </c>
      <c r="M72" t="str">
        <f>VLOOKUP(Indice!L72,'Reference table'!J$2:K$195,2,FALSE)</f>
        <v>Azerbaijan</v>
      </c>
      <c r="N72">
        <v>1</v>
      </c>
      <c r="R72" t="s">
        <v>401</v>
      </c>
      <c r="S72">
        <v>1</v>
      </c>
      <c r="V72">
        <v>62.195405960083008</v>
      </c>
      <c r="W72">
        <v>55.37</v>
      </c>
      <c r="Z72" t="s">
        <v>280</v>
      </c>
      <c r="AA72">
        <f t="shared" si="5"/>
        <v>0</v>
      </c>
      <c r="AB72">
        <v>7.1190922260284424</v>
      </c>
      <c r="AC72">
        <v>43.24</v>
      </c>
      <c r="AD72" t="str">
        <f>VLOOKUP(Z72,Migration!$J$3:$R$196,8,FALSE)</f>
        <v>Less than 0.1</v>
      </c>
      <c r="AE72" t="str">
        <f>VLOOKUP(Z72,Migration!$J$3:$R$196,9,FALSE)</f>
        <v>Less than 0.1</v>
      </c>
    </row>
    <row r="73" spans="1:31" x14ac:dyDescent="0.35">
      <c r="A73" t="s">
        <v>404</v>
      </c>
      <c r="B73">
        <v>1</v>
      </c>
      <c r="E73">
        <v>106.49603033065796</v>
      </c>
      <c r="F73">
        <v>73.98</v>
      </c>
      <c r="G73">
        <f t="shared" si="6"/>
        <v>0</v>
      </c>
      <c r="K73" t="s">
        <v>492</v>
      </c>
      <c r="L73" t="str">
        <f t="shared" si="7"/>
        <v>SVK</v>
      </c>
      <c r="M73" t="str">
        <f>VLOOKUP(Indice!L73,'Reference table'!J$2:K$195,2,FALSE)</f>
        <v>Slovakia</v>
      </c>
      <c r="N73">
        <v>1</v>
      </c>
      <c r="R73" t="s">
        <v>404</v>
      </c>
      <c r="S73">
        <v>1</v>
      </c>
      <c r="V73">
        <v>106.49603033065796</v>
      </c>
      <c r="W73">
        <v>73.98</v>
      </c>
      <c r="Z73" t="s">
        <v>102</v>
      </c>
      <c r="AA73">
        <f t="shared" si="5"/>
        <v>0</v>
      </c>
      <c r="AB73">
        <v>100.15523672103882</v>
      </c>
      <c r="AC73">
        <v>77.63</v>
      </c>
      <c r="AD73" t="str">
        <f>VLOOKUP(Z73,Migration!$J$3:$R$196,8,FALSE)</f>
        <v>Less than 0.1</v>
      </c>
      <c r="AE73" t="str">
        <f>VLOOKUP(Z73,Migration!$J$3:$R$196,9,FALSE)</f>
        <v>Less than 0.1</v>
      </c>
    </row>
    <row r="74" spans="1:31" x14ac:dyDescent="0.35">
      <c r="A74" t="s">
        <v>202</v>
      </c>
      <c r="B74">
        <v>1</v>
      </c>
      <c r="E74">
        <v>129.26470828056335</v>
      </c>
      <c r="F74">
        <v>84.38</v>
      </c>
      <c r="G74">
        <f t="shared" si="6"/>
        <v>0</v>
      </c>
      <c r="K74" t="s">
        <v>83</v>
      </c>
      <c r="L74" t="str">
        <f t="shared" si="7"/>
        <v>BRA</v>
      </c>
      <c r="M74" t="str">
        <f>VLOOKUP(Indice!L74,'Reference table'!J$2:K$195,2,FALSE)</f>
        <v>Brazil</v>
      </c>
      <c r="N74">
        <v>1</v>
      </c>
      <c r="R74" t="s">
        <v>202</v>
      </c>
      <c r="S74">
        <v>1</v>
      </c>
      <c r="V74">
        <v>129.26470828056335</v>
      </c>
      <c r="W74">
        <v>84.38</v>
      </c>
      <c r="Z74" t="s">
        <v>96</v>
      </c>
      <c r="AA74">
        <f t="shared" si="5"/>
        <v>0</v>
      </c>
      <c r="AB74">
        <v>82.424149513244629</v>
      </c>
      <c r="AC74">
        <v>69.72</v>
      </c>
      <c r="AD74" t="str">
        <f>VLOOKUP(Z74,Migration!$J$3:$R$196,8,FALSE)</f>
        <v>Above 0.1</v>
      </c>
      <c r="AE74" t="str">
        <f>VLOOKUP(Z74,Migration!$J$3:$R$196,9,FALSE)</f>
        <v>Above 0.1</v>
      </c>
    </row>
    <row r="75" spans="1:31" x14ac:dyDescent="0.35">
      <c r="A75" t="s">
        <v>395</v>
      </c>
      <c r="B75">
        <v>1</v>
      </c>
      <c r="E75">
        <v>31.367098331451416</v>
      </c>
      <c r="F75">
        <v>61.41</v>
      </c>
      <c r="G75">
        <f t="shared" si="6"/>
        <v>0</v>
      </c>
      <c r="K75" t="s">
        <v>102</v>
      </c>
      <c r="L75" t="str">
        <f t="shared" si="7"/>
        <v>GRC</v>
      </c>
      <c r="M75" t="str">
        <f>VLOOKUP(Indice!L75,'Reference table'!J$2:K$195,2,FALSE)</f>
        <v>Greece</v>
      </c>
      <c r="N75">
        <v>1</v>
      </c>
      <c r="R75" t="s">
        <v>395</v>
      </c>
      <c r="S75">
        <v>1</v>
      </c>
      <c r="V75">
        <v>31.367098331451416</v>
      </c>
      <c r="W75">
        <v>61.41</v>
      </c>
      <c r="Z75" t="s">
        <v>298</v>
      </c>
      <c r="AA75">
        <f t="shared" si="5"/>
        <v>0</v>
      </c>
      <c r="AB75">
        <v>39.099315166473389</v>
      </c>
      <c r="AC75">
        <v>57.11</v>
      </c>
      <c r="AD75" t="str">
        <f>VLOOKUP(Z75,Migration!$J$3:$R$196,8,FALSE)</f>
        <v>Less than 0.1</v>
      </c>
      <c r="AE75" t="str">
        <f>VLOOKUP(Z75,Migration!$J$3:$R$196,9,FALSE)</f>
        <v>Less than 0.1</v>
      </c>
    </row>
    <row r="76" spans="1:31" x14ac:dyDescent="0.35">
      <c r="A76" t="s">
        <v>481</v>
      </c>
      <c r="B76">
        <v>1</v>
      </c>
      <c r="E76">
        <v>103.45634686946869</v>
      </c>
      <c r="F76">
        <v>71.459999999999994</v>
      </c>
      <c r="G76">
        <f t="shared" si="6"/>
        <v>0</v>
      </c>
      <c r="K76" t="s">
        <v>483</v>
      </c>
      <c r="L76" t="str">
        <f t="shared" si="7"/>
        <v>RUS</v>
      </c>
      <c r="M76" t="str">
        <f>VLOOKUP(Indice!L76,'Reference table'!J$2:K$195,2,FALSE)</f>
        <v>Russian Federation</v>
      </c>
      <c r="N76">
        <v>1</v>
      </c>
      <c r="R76" t="s">
        <v>481</v>
      </c>
      <c r="S76">
        <v>1</v>
      </c>
      <c r="V76">
        <v>103.45634686946869</v>
      </c>
      <c r="W76">
        <v>71.459999999999994</v>
      </c>
      <c r="Z76" t="s">
        <v>307</v>
      </c>
      <c r="AA76">
        <f t="shared" si="5"/>
        <v>0</v>
      </c>
      <c r="AB76">
        <v>49.544915676116943</v>
      </c>
      <c r="AC76">
        <v>74.28</v>
      </c>
      <c r="AD76" t="str">
        <f>VLOOKUP(Z76,Migration!$J$3:$R$196,8,FALSE)</f>
        <v>Less than 0.1</v>
      </c>
      <c r="AE76" t="str">
        <f>VLOOKUP(Z76,Migration!$J$3:$R$196,9,FALSE)</f>
        <v>Above 0.1</v>
      </c>
    </row>
    <row r="77" spans="1:31" x14ac:dyDescent="0.35">
      <c r="A77" t="s">
        <v>449</v>
      </c>
      <c r="B77">
        <v>1</v>
      </c>
      <c r="E77">
        <v>14.073406219482422</v>
      </c>
      <c r="F77">
        <v>43.78</v>
      </c>
      <c r="G77">
        <f t="shared" si="6"/>
        <v>0</v>
      </c>
      <c r="K77" t="s">
        <v>328</v>
      </c>
      <c r="L77" t="str">
        <f t="shared" si="7"/>
        <v>ITA</v>
      </c>
      <c r="M77" t="str">
        <f>VLOOKUP(Indice!L77,'Reference table'!J$2:K$195,2,FALSE)</f>
        <v>Italy</v>
      </c>
      <c r="N77">
        <v>1</v>
      </c>
      <c r="R77" t="s">
        <v>449</v>
      </c>
      <c r="S77">
        <v>1</v>
      </c>
      <c r="V77">
        <v>14.073406219482422</v>
      </c>
      <c r="W77">
        <v>43.78</v>
      </c>
      <c r="Z77" t="s">
        <v>898</v>
      </c>
      <c r="AA77" t="e">
        <f t="shared" si="5"/>
        <v>#N/A</v>
      </c>
      <c r="AB77" t="e">
        <v>#N/A</v>
      </c>
      <c r="AC77" t="e">
        <v>#N/A</v>
      </c>
      <c r="AD77" t="e">
        <f>VLOOKUP(Z77,Migration!$J$3:$R$196,8,FALSE)</f>
        <v>#N/A</v>
      </c>
      <c r="AE77" t="e">
        <f>VLOOKUP(Z77,Migration!$J$3:$R$196,9,FALSE)</f>
        <v>#N/A</v>
      </c>
    </row>
    <row r="78" spans="1:31" x14ac:dyDescent="0.35">
      <c r="A78" t="s">
        <v>413</v>
      </c>
      <c r="B78">
        <v>1</v>
      </c>
      <c r="E78">
        <v>6.283435583114624</v>
      </c>
      <c r="F78">
        <v>48.99</v>
      </c>
      <c r="G78">
        <f t="shared" si="6"/>
        <v>0</v>
      </c>
      <c r="K78" t="s">
        <v>481</v>
      </c>
      <c r="L78" t="str">
        <f t="shared" si="7"/>
        <v>ROU</v>
      </c>
      <c r="M78" t="str">
        <f>VLOOKUP(Indice!L78,'Reference table'!J$2:K$195,2,FALSE)</f>
        <v>Romania</v>
      </c>
      <c r="N78">
        <v>1</v>
      </c>
      <c r="R78" t="s">
        <v>413</v>
      </c>
      <c r="S78">
        <v>1</v>
      </c>
      <c r="V78">
        <v>6.283435583114624</v>
      </c>
      <c r="W78">
        <v>48.99</v>
      </c>
      <c r="Z78" t="s">
        <v>313</v>
      </c>
      <c r="AA78">
        <f t="shared" si="5"/>
        <v>0</v>
      </c>
      <c r="AB78">
        <v>15.491610050201416</v>
      </c>
      <c r="AC78">
        <v>62.96</v>
      </c>
      <c r="AD78" t="str">
        <f>VLOOKUP(Z78,Migration!$J$3:$R$196,8,FALSE)</f>
        <v>Less than 0.1</v>
      </c>
      <c r="AE78" t="str">
        <f>VLOOKUP(Z78,Migration!$J$3:$R$196,9,FALSE)</f>
        <v>Above 0.1</v>
      </c>
    </row>
    <row r="79" spans="1:31" x14ac:dyDescent="0.35">
      <c r="A79" t="s">
        <v>422</v>
      </c>
      <c r="B79">
        <v>1</v>
      </c>
      <c r="E79">
        <v>9.2148723602294922</v>
      </c>
      <c r="F79">
        <v>39.11</v>
      </c>
      <c r="G79">
        <f t="shared" si="6"/>
        <v>0</v>
      </c>
      <c r="K79" t="s">
        <v>162</v>
      </c>
      <c r="L79" t="str">
        <f t="shared" si="7"/>
        <v>ESP</v>
      </c>
      <c r="M79" t="str">
        <f>VLOOKUP(Indice!L79,'Reference table'!J$2:K$195,2,FALSE)</f>
        <v>Spain</v>
      </c>
      <c r="N79">
        <v>1</v>
      </c>
      <c r="R79" t="s">
        <v>422</v>
      </c>
      <c r="S79">
        <v>1</v>
      </c>
      <c r="V79">
        <v>9.2148723602294922</v>
      </c>
      <c r="W79">
        <v>39.11</v>
      </c>
      <c r="Z79" t="s">
        <v>261</v>
      </c>
      <c r="AA79">
        <f t="shared" si="5"/>
        <v>0</v>
      </c>
      <c r="AB79">
        <v>115.87519073486328</v>
      </c>
      <c r="AC79">
        <v>72.900000000000006</v>
      </c>
      <c r="AD79" t="str">
        <f>VLOOKUP(Z79,Migration!$J$3:$R$196,8,FALSE)</f>
        <v>Less than 0.1</v>
      </c>
      <c r="AE79" t="str">
        <f>VLOOKUP(Z79,Migration!$J$3:$R$196,9,FALSE)</f>
        <v>Less than 0.1</v>
      </c>
    </row>
    <row r="80" spans="1:31" x14ac:dyDescent="0.35">
      <c r="A80" t="s">
        <v>277</v>
      </c>
      <c r="B80">
        <v>1</v>
      </c>
      <c r="E80">
        <v>51.341620922088623</v>
      </c>
      <c r="F80">
        <v>75.510000000000005</v>
      </c>
      <c r="G80">
        <f t="shared" si="6"/>
        <v>0</v>
      </c>
      <c r="K80" t="s">
        <v>404</v>
      </c>
      <c r="L80" t="str">
        <f t="shared" si="7"/>
        <v>POL</v>
      </c>
      <c r="M80" t="str">
        <f>VLOOKUP(Indice!L80,'Reference table'!J$2:K$195,2,FALSE)</f>
        <v>Poland</v>
      </c>
      <c r="N80">
        <v>1</v>
      </c>
      <c r="R80" t="s">
        <v>277</v>
      </c>
      <c r="S80">
        <v>1</v>
      </c>
      <c r="V80">
        <v>51.341620922088623</v>
      </c>
      <c r="W80">
        <v>75.510000000000005</v>
      </c>
      <c r="Z80" t="s">
        <v>310</v>
      </c>
      <c r="AA80">
        <f t="shared" si="5"/>
        <v>0</v>
      </c>
      <c r="AB80">
        <v>6.3333333730697632</v>
      </c>
      <c r="AC80">
        <v>46.8</v>
      </c>
      <c r="AD80" t="str">
        <f>VLOOKUP(Z80,Migration!$J$3:$R$196,8,FALSE)</f>
        <v>Less than 0.1</v>
      </c>
      <c r="AE80" t="str">
        <f>VLOOKUP(Z80,Migration!$J$3:$R$196,9,FALSE)</f>
        <v>Above 0.1</v>
      </c>
    </row>
    <row r="81" spans="1:31" x14ac:dyDescent="0.35">
      <c r="A81" t="s">
        <v>77</v>
      </c>
      <c r="B81">
        <v>1</v>
      </c>
      <c r="E81">
        <v>1.3514925241470337</v>
      </c>
      <c r="F81">
        <v>27.33</v>
      </c>
      <c r="G81">
        <f t="shared" si="6"/>
        <v>0</v>
      </c>
      <c r="K81" t="s">
        <v>339</v>
      </c>
      <c r="L81" t="str">
        <f t="shared" si="7"/>
        <v>KOR</v>
      </c>
      <c r="M81" t="str">
        <f>VLOOKUP(Indice!L81,'Reference table'!J$2:K$195,2,FALSE)</f>
        <v>Republic of Korea</v>
      </c>
      <c r="N81">
        <v>1</v>
      </c>
      <c r="R81" t="s">
        <v>77</v>
      </c>
      <c r="S81">
        <v>1</v>
      </c>
      <c r="V81">
        <v>1.3514925241470337</v>
      </c>
      <c r="W81">
        <v>27.33</v>
      </c>
      <c r="Z81" t="s">
        <v>104</v>
      </c>
      <c r="AA81">
        <f t="shared" si="5"/>
        <v>0</v>
      </c>
      <c r="AB81">
        <v>129.83653688430786</v>
      </c>
      <c r="AC81">
        <v>72.63</v>
      </c>
      <c r="AD81" t="str">
        <f>VLOOKUP(Z81,Migration!$J$3:$R$196,8,FALSE)</f>
        <v>Less than 0.1</v>
      </c>
      <c r="AE81" t="str">
        <f>VLOOKUP(Z81,Migration!$J$3:$R$196,9,FALSE)</f>
        <v>Less than 0.1</v>
      </c>
    </row>
    <row r="82" spans="1:31" x14ac:dyDescent="0.35">
      <c r="A82" t="s">
        <v>492</v>
      </c>
      <c r="B82">
        <v>1</v>
      </c>
      <c r="E82">
        <v>96.195500612258911</v>
      </c>
      <c r="F82">
        <v>76.55</v>
      </c>
      <c r="G82">
        <f t="shared" si="6"/>
        <v>0</v>
      </c>
      <c r="K82" t="s">
        <v>3</v>
      </c>
      <c r="L82" t="str">
        <f t="shared" si="7"/>
        <v>ATG</v>
      </c>
      <c r="M82" t="str">
        <f>VLOOKUP(Indice!L82,'Reference table'!J$2:K$195,2,FALSE)</f>
        <v>Antigua and Barbuda</v>
      </c>
      <c r="N82">
        <v>1</v>
      </c>
      <c r="R82" t="s">
        <v>492</v>
      </c>
      <c r="S82">
        <v>1</v>
      </c>
      <c r="V82">
        <v>96.195500612258911</v>
      </c>
      <c r="W82">
        <v>76.55</v>
      </c>
      <c r="Z82" t="s">
        <v>322</v>
      </c>
      <c r="AA82">
        <f t="shared" si="5"/>
        <v>0</v>
      </c>
      <c r="AB82">
        <v>45.686314105987549</v>
      </c>
      <c r="AC82">
        <v>58.7</v>
      </c>
      <c r="AD82" t="str">
        <f>VLOOKUP(Z82,Migration!$J$3:$R$196,8,FALSE)</f>
        <v>Less than 0.1</v>
      </c>
      <c r="AE82" t="str">
        <f>VLOOKUP(Z82,Migration!$J$3:$R$196,9,FALSE)</f>
        <v>Less than 0.1</v>
      </c>
    </row>
    <row r="83" spans="1:31" x14ac:dyDescent="0.35">
      <c r="A83" t="s">
        <v>520</v>
      </c>
      <c r="B83">
        <v>1</v>
      </c>
      <c r="E83">
        <v>28.22457218170166</v>
      </c>
      <c r="F83">
        <v>55.61</v>
      </c>
      <c r="G83" t="str">
        <f t="shared" si="6"/>
        <v>SYR</v>
      </c>
      <c r="K83" t="s">
        <v>536</v>
      </c>
      <c r="L83" t="str">
        <f t="shared" si="7"/>
        <v>GBR</v>
      </c>
      <c r="M83" t="str">
        <f>VLOOKUP(Indice!L83,'Reference table'!J$2:K$195,2,FALSE)</f>
        <v>United Kingdom</v>
      </c>
      <c r="N83">
        <v>1</v>
      </c>
      <c r="R83" t="s">
        <v>520</v>
      </c>
      <c r="S83">
        <v>1</v>
      </c>
      <c r="V83">
        <v>28.22457218170166</v>
      </c>
      <c r="W83">
        <v>55.61</v>
      </c>
      <c r="Z83" t="s">
        <v>319</v>
      </c>
      <c r="AA83">
        <f t="shared" si="5"/>
        <v>0</v>
      </c>
      <c r="AB83">
        <v>24.83448600769043</v>
      </c>
      <c r="AC83">
        <v>61.19</v>
      </c>
      <c r="AD83" t="str">
        <f>VLOOKUP(Z83,Migration!$J$3:$R$196,8,FALSE)</f>
        <v>Less than 0.1</v>
      </c>
      <c r="AE83" t="str">
        <f>VLOOKUP(Z83,Migration!$J$3:$R$196,9,FALSE)</f>
        <v>Less than 0.1</v>
      </c>
    </row>
    <row r="84" spans="1:31" x14ac:dyDescent="0.35">
      <c r="A84" t="s">
        <v>523</v>
      </c>
      <c r="B84">
        <v>1</v>
      </c>
      <c r="E84">
        <v>5.8982426524162292</v>
      </c>
      <c r="F84">
        <v>44.23</v>
      </c>
      <c r="G84">
        <f t="shared" si="6"/>
        <v>0</v>
      </c>
      <c r="K84" t="s">
        <v>61</v>
      </c>
      <c r="L84" t="str">
        <f t="shared" si="7"/>
        <v>URY</v>
      </c>
      <c r="M84" t="str">
        <f>VLOOKUP(Indice!L84,'Reference table'!J$2:K$195,2,FALSE)</f>
        <v>Uruguay</v>
      </c>
      <c r="N84">
        <v>1</v>
      </c>
      <c r="R84" t="s">
        <v>523</v>
      </c>
      <c r="S84">
        <v>1</v>
      </c>
      <c r="V84">
        <v>5.8982426524162292</v>
      </c>
      <c r="W84">
        <v>44.23</v>
      </c>
      <c r="Z84" t="s">
        <v>112</v>
      </c>
      <c r="AA84">
        <f t="shared" si="5"/>
        <v>0</v>
      </c>
      <c r="AB84">
        <v>214.67706489562988</v>
      </c>
      <c r="AC84">
        <v>82.81</v>
      </c>
      <c r="AD84" t="str">
        <f>VLOOKUP(Z84,Migration!$J$3:$R$196,8,FALSE)</f>
        <v>Above 0.1</v>
      </c>
      <c r="AE84" t="str">
        <f>VLOOKUP(Z84,Migration!$J$3:$R$196,9,FALSE)</f>
        <v>Less than 0.1</v>
      </c>
    </row>
    <row r="85" spans="1:31" x14ac:dyDescent="0.35">
      <c r="A85" t="s">
        <v>171</v>
      </c>
      <c r="B85">
        <v>1</v>
      </c>
      <c r="E85">
        <v>54.873835563659668</v>
      </c>
      <c r="F85">
        <v>55.81</v>
      </c>
      <c r="G85">
        <f t="shared" si="6"/>
        <v>0</v>
      </c>
      <c r="K85" t="s">
        <v>29</v>
      </c>
      <c r="L85" t="str">
        <f t="shared" si="7"/>
        <v>CAN</v>
      </c>
      <c r="M85" t="str">
        <f>VLOOKUP(Indice!L85,'Reference table'!J$2:K$195,2,FALSE)</f>
        <v>Canada</v>
      </c>
      <c r="N85">
        <v>1</v>
      </c>
      <c r="R85" t="s">
        <v>171</v>
      </c>
      <c r="S85">
        <v>1</v>
      </c>
      <c r="V85">
        <v>54.873835563659668</v>
      </c>
      <c r="W85">
        <v>55.81</v>
      </c>
      <c r="Z85" t="s">
        <v>117</v>
      </c>
      <c r="AA85">
        <f t="shared" si="5"/>
        <v>0</v>
      </c>
      <c r="AB85">
        <v>36.610269069671631</v>
      </c>
      <c r="AC85">
        <v>76.58</v>
      </c>
      <c r="AD85" t="str">
        <f>VLOOKUP(Z85,Migration!$J$3:$R$196,8,FALSE)</f>
        <v>Less than 0.1</v>
      </c>
      <c r="AE85" t="str">
        <f>VLOOKUP(Z85,Migration!$J$3:$R$196,9,FALSE)</f>
        <v>Less than 0.1</v>
      </c>
    </row>
    <row r="86" spans="1:31" x14ac:dyDescent="0.35">
      <c r="A86" t="s">
        <v>455</v>
      </c>
      <c r="B86">
        <v>1</v>
      </c>
      <c r="E86">
        <v>85.457098454236984</v>
      </c>
      <c r="F86">
        <v>73.33</v>
      </c>
      <c r="G86">
        <f t="shared" si="6"/>
        <v>0</v>
      </c>
      <c r="K86" t="s">
        <v>467</v>
      </c>
      <c r="L86" t="str">
        <f t="shared" si="7"/>
        <v>UZB</v>
      </c>
      <c r="M86" t="str">
        <f>VLOOKUP(Indice!L86,'Reference table'!J$2:K$195,2,FALSE)</f>
        <v>Uzbekistan</v>
      </c>
      <c r="N86">
        <v>1</v>
      </c>
      <c r="R86" t="s">
        <v>455</v>
      </c>
      <c r="S86">
        <v>1</v>
      </c>
      <c r="V86">
        <v>85.457098454236984</v>
      </c>
      <c r="W86">
        <v>73.33</v>
      </c>
      <c r="Z86" t="s">
        <v>325</v>
      </c>
      <c r="AA86">
        <f t="shared" si="5"/>
        <v>0</v>
      </c>
      <c r="AB86">
        <v>33.546517848968506</v>
      </c>
      <c r="AC86">
        <v>55.13</v>
      </c>
      <c r="AD86" t="str">
        <f>VLOOKUP(Z86,Migration!$J$3:$R$196,8,FALSE)</f>
        <v>Less than 0.1</v>
      </c>
      <c r="AE86" t="str">
        <f>VLOOKUP(Z86,Migration!$J$3:$R$196,9,FALSE)</f>
        <v>Less than 0.1</v>
      </c>
    </row>
    <row r="87" spans="1:31" x14ac:dyDescent="0.35">
      <c r="A87" t="s">
        <v>458</v>
      </c>
      <c r="B87">
        <v>1</v>
      </c>
      <c r="E87">
        <v>38.272808074951172</v>
      </c>
      <c r="F87">
        <v>69.86</v>
      </c>
      <c r="G87">
        <f t="shared" si="6"/>
        <v>0</v>
      </c>
      <c r="K87" t="s">
        <v>428</v>
      </c>
      <c r="L87" t="str">
        <f t="shared" si="7"/>
        <v>SVN</v>
      </c>
      <c r="M87" t="str">
        <f>VLOOKUP(Indice!L87,'Reference table'!J$2:K$195,2,FALSE)</f>
        <v>Slovenia</v>
      </c>
      <c r="N87">
        <v>1</v>
      </c>
      <c r="R87" t="s">
        <v>458</v>
      </c>
      <c r="S87">
        <v>1</v>
      </c>
      <c r="V87">
        <v>38.272808074951172</v>
      </c>
      <c r="W87">
        <v>69.86</v>
      </c>
      <c r="Z87" t="s">
        <v>316</v>
      </c>
      <c r="AA87">
        <f t="shared" si="5"/>
        <v>0</v>
      </c>
      <c r="AB87">
        <v>209.23558044433594</v>
      </c>
      <c r="AC87">
        <v>86.81</v>
      </c>
      <c r="AD87" t="str">
        <f>VLOOKUP(Z87,Migration!$J$3:$R$196,8,FALSE)</f>
        <v>Less than 0.1</v>
      </c>
      <c r="AE87" t="str">
        <f>VLOOKUP(Z87,Migration!$J$3:$R$196,9,FALSE)</f>
        <v>Less than 0.1</v>
      </c>
    </row>
    <row r="88" spans="1:31" x14ac:dyDescent="0.35">
      <c r="A88" t="s">
        <v>529</v>
      </c>
      <c r="B88">
        <v>1</v>
      </c>
      <c r="E88">
        <v>96.557650089263916</v>
      </c>
      <c r="F88">
        <v>72.95</v>
      </c>
      <c r="G88">
        <f t="shared" si="6"/>
        <v>0</v>
      </c>
      <c r="K88" t="s">
        <v>383</v>
      </c>
      <c r="L88" t="str">
        <f t="shared" si="7"/>
        <v>NIU</v>
      </c>
      <c r="M88" t="str">
        <f>VLOOKUP(Indice!L88,'Reference table'!J$2:K$195,2,FALSE)</f>
        <v>Niue</v>
      </c>
      <c r="N88">
        <v>1</v>
      </c>
      <c r="R88" t="s">
        <v>529</v>
      </c>
      <c r="S88">
        <v>1</v>
      </c>
      <c r="V88">
        <v>96.557650089263916</v>
      </c>
      <c r="W88">
        <v>72.95</v>
      </c>
      <c r="Z88" t="s">
        <v>503</v>
      </c>
      <c r="AA88">
        <f t="shared" si="5"/>
        <v>0</v>
      </c>
      <c r="AB88">
        <v>156.17740964889526</v>
      </c>
      <c r="AC88">
        <v>84.28</v>
      </c>
      <c r="AD88" t="str">
        <f>VLOOKUP(Z88,Migration!$J$3:$R$196,8,FALSE)</f>
        <v>Less than 0.1</v>
      </c>
      <c r="AE88" t="str">
        <f>VLOOKUP(Z88,Migration!$J$3:$R$196,9,FALSE)</f>
        <v>Less than 0.1</v>
      </c>
    </row>
    <row r="89" spans="1:31" x14ac:dyDescent="0.35">
      <c r="A89" t="s">
        <v>489</v>
      </c>
      <c r="B89">
        <v>1</v>
      </c>
      <c r="E89">
        <v>84.804190635681152</v>
      </c>
      <c r="F89">
        <v>73.040000000000006</v>
      </c>
      <c r="G89">
        <f t="shared" si="6"/>
        <v>0</v>
      </c>
      <c r="K89" t="s">
        <v>410</v>
      </c>
      <c r="L89" t="str">
        <f t="shared" si="7"/>
        <v>SMR</v>
      </c>
      <c r="M89" t="str">
        <f>VLOOKUP(Indice!L89,'Reference table'!J$2:K$195,2,FALSE)</f>
        <v>San Marino</v>
      </c>
      <c r="N89">
        <v>1</v>
      </c>
      <c r="R89" t="s">
        <v>489</v>
      </c>
      <c r="S89">
        <v>1</v>
      </c>
      <c r="V89">
        <v>84.804190635681152</v>
      </c>
      <c r="W89">
        <v>73.040000000000006</v>
      </c>
      <c r="Z89" t="s">
        <v>328</v>
      </c>
      <c r="AA89">
        <f t="shared" si="5"/>
        <v>0</v>
      </c>
      <c r="AB89">
        <v>102.12694239616394</v>
      </c>
      <c r="AC89">
        <v>83.38</v>
      </c>
      <c r="AD89" t="str">
        <f>VLOOKUP(Z89,Migration!$J$3:$R$196,8,FALSE)</f>
        <v>Less than 0.1</v>
      </c>
      <c r="AE89" t="str">
        <f>VLOOKUP(Z89,Migration!$J$3:$R$196,9,FALSE)</f>
        <v>Less than 0.1</v>
      </c>
    </row>
    <row r="90" spans="1:31" x14ac:dyDescent="0.35">
      <c r="A90" t="s">
        <v>495</v>
      </c>
      <c r="B90">
        <v>1</v>
      </c>
      <c r="E90">
        <v>22.753312110900879</v>
      </c>
      <c r="F90">
        <v>69.540000000000006</v>
      </c>
      <c r="G90">
        <f t="shared" si="6"/>
        <v>0</v>
      </c>
      <c r="K90" t="s">
        <v>127</v>
      </c>
      <c r="L90" t="str">
        <f t="shared" si="7"/>
        <v>JPN</v>
      </c>
      <c r="M90" t="str">
        <f>VLOOKUP(Indice!L90,'Reference table'!J$2:K$195,2,FALSE)</f>
        <v>Japan</v>
      </c>
      <c r="N90">
        <v>1</v>
      </c>
      <c r="R90" t="s">
        <v>495</v>
      </c>
      <c r="S90">
        <v>1</v>
      </c>
      <c r="V90">
        <v>22.753312110900879</v>
      </c>
      <c r="W90">
        <v>69.540000000000006</v>
      </c>
      <c r="Z90" t="s">
        <v>125</v>
      </c>
      <c r="AA90">
        <f t="shared" si="5"/>
        <v>0</v>
      </c>
      <c r="AB90">
        <v>14.692388296127319</v>
      </c>
      <c r="AC90">
        <v>70.11</v>
      </c>
      <c r="AD90" t="str">
        <f>VLOOKUP(Z90,Migration!$J$3:$R$196,8,FALSE)</f>
        <v>Less than 0.1</v>
      </c>
      <c r="AE90" t="str">
        <f>VLOOKUP(Z90,Migration!$J$3:$R$196,9,FALSE)</f>
        <v>Above 0.1</v>
      </c>
    </row>
    <row r="91" spans="1:31" x14ac:dyDescent="0.35">
      <c r="A91" t="s">
        <v>110</v>
      </c>
      <c r="B91">
        <v>1</v>
      </c>
      <c r="E91">
        <v>38.657326698303223</v>
      </c>
      <c r="F91">
        <v>53.45</v>
      </c>
      <c r="G91" t="str">
        <f t="shared" si="6"/>
        <v>WSM</v>
      </c>
      <c r="K91" t="s">
        <v>94</v>
      </c>
      <c r="L91" t="str">
        <f t="shared" si="7"/>
        <v>LUX</v>
      </c>
      <c r="M91" t="str">
        <f>VLOOKUP(Indice!L91,'Reference table'!J$2:K$195,2,FALSE)</f>
        <v>Luxembourg</v>
      </c>
      <c r="N91">
        <v>1</v>
      </c>
      <c r="R91" t="s">
        <v>110</v>
      </c>
      <c r="S91">
        <v>1</v>
      </c>
      <c r="V91">
        <v>38.657326698303223</v>
      </c>
      <c r="W91">
        <v>53.45</v>
      </c>
      <c r="Z91" t="s">
        <v>99</v>
      </c>
      <c r="AA91">
        <f t="shared" si="5"/>
        <v>0</v>
      </c>
      <c r="AB91">
        <v>60.094059228897095</v>
      </c>
      <c r="AC91">
        <v>59.53</v>
      </c>
      <c r="AD91" t="str">
        <f>VLOOKUP(Z91,Migration!$J$3:$R$196,8,FALSE)</f>
        <v>Less than 0.1</v>
      </c>
      <c r="AE91" t="str">
        <f>VLOOKUP(Z91,Migration!$J$3:$R$196,9,FALSE)</f>
        <v>Less than 0.1</v>
      </c>
    </row>
    <row r="92" spans="1:31" x14ac:dyDescent="0.35">
      <c r="A92" t="s">
        <v>476</v>
      </c>
      <c r="B92">
        <v>1</v>
      </c>
      <c r="E92">
        <v>11.362643718719482</v>
      </c>
      <c r="F92">
        <v>54.59</v>
      </c>
      <c r="G92" t="str">
        <f t="shared" si="6"/>
        <v>ZMB</v>
      </c>
      <c r="K92" t="s">
        <v>187</v>
      </c>
      <c r="L92" t="str">
        <f t="shared" si="7"/>
        <v>NZL</v>
      </c>
      <c r="M92" t="str">
        <f>VLOOKUP(Indice!L92,'Reference table'!J$2:K$195,2,FALSE)</f>
        <v>New Zealand</v>
      </c>
      <c r="N92">
        <v>1</v>
      </c>
      <c r="R92" t="s">
        <v>476</v>
      </c>
      <c r="S92">
        <v>1</v>
      </c>
      <c r="V92">
        <v>11.362643718719482</v>
      </c>
      <c r="W92">
        <v>54.59</v>
      </c>
      <c r="Z92" t="s">
        <v>127</v>
      </c>
      <c r="AA92">
        <f t="shared" si="5"/>
        <v>0</v>
      </c>
      <c r="AB92">
        <v>144.50519561767578</v>
      </c>
      <c r="AC92">
        <v>84.94</v>
      </c>
      <c r="AD92" t="str">
        <f>VLOOKUP(Z92,Migration!$J$3:$R$196,8,FALSE)</f>
        <v>Less than 0.1</v>
      </c>
      <c r="AE92" t="str">
        <f>VLOOKUP(Z92,Migration!$J$3:$R$196,9,FALSE)</f>
        <v>Less than 0.1</v>
      </c>
    </row>
    <row r="93" spans="1:31" x14ac:dyDescent="0.35">
      <c r="A93" t="s">
        <v>479</v>
      </c>
      <c r="B93">
        <v>1</v>
      </c>
      <c r="E93">
        <v>23.321476817131042</v>
      </c>
      <c r="F93">
        <v>54.77</v>
      </c>
      <c r="G93" t="str">
        <f t="shared" si="6"/>
        <v>ZWE</v>
      </c>
      <c r="K93" t="s">
        <v>503</v>
      </c>
      <c r="L93" t="str">
        <f t="shared" si="7"/>
        <v>ISR</v>
      </c>
      <c r="M93" t="str">
        <f>VLOOKUP(Indice!L93,'Reference table'!J$2:K$195,2,FALSE)</f>
        <v>Israel</v>
      </c>
      <c r="N93">
        <v>1</v>
      </c>
      <c r="R93" t="s">
        <v>479</v>
      </c>
      <c r="S93">
        <v>1</v>
      </c>
      <c r="V93">
        <v>23.321476817131042</v>
      </c>
      <c r="W93">
        <v>54.77</v>
      </c>
      <c r="Z93" t="s">
        <v>331</v>
      </c>
      <c r="AA93">
        <f t="shared" si="5"/>
        <v>0</v>
      </c>
      <c r="AB93">
        <v>113.48162221908569</v>
      </c>
      <c r="AC93">
        <v>75.900000000000006</v>
      </c>
      <c r="AD93" t="str">
        <f>VLOOKUP(Z93,Migration!$J$3:$R$196,8,FALSE)</f>
        <v>Less than 0.1</v>
      </c>
      <c r="AE93" t="str">
        <f>VLOOKUP(Z93,Migration!$J$3:$R$196,9,FALSE)</f>
        <v>Less than 0.1</v>
      </c>
    </row>
    <row r="94" spans="1:31" x14ac:dyDescent="0.35">
      <c r="A94" t="s">
        <v>216</v>
      </c>
      <c r="B94">
        <v>0</v>
      </c>
      <c r="C94">
        <v>6.2165584564208984</v>
      </c>
      <c r="D94">
        <v>38.69</v>
      </c>
      <c r="K94" t="s">
        <v>264</v>
      </c>
      <c r="L94" t="str">
        <f t="shared" si="7"/>
        <v>CUB</v>
      </c>
      <c r="M94" t="str">
        <f>VLOOKUP(Indice!L94,'Reference table'!J$2:K$195,2,FALSE)</f>
        <v>Cuba</v>
      </c>
      <c r="N94">
        <v>1</v>
      </c>
      <c r="R94" t="s">
        <v>216</v>
      </c>
      <c r="S94">
        <v>0</v>
      </c>
      <c r="T94">
        <v>6.2165584564208984</v>
      </c>
      <c r="U94">
        <v>38.69</v>
      </c>
      <c r="Z94" t="s">
        <v>334</v>
      </c>
      <c r="AA94">
        <f t="shared" si="5"/>
        <v>0</v>
      </c>
      <c r="AB94">
        <v>13.21848201751709</v>
      </c>
      <c r="AC94">
        <v>55.95</v>
      </c>
      <c r="AD94" t="str">
        <f>VLOOKUP(Z94,Migration!$J$3:$R$196,8,FALSE)</f>
        <v>Less than 0.1</v>
      </c>
      <c r="AE94" t="str">
        <f>VLOOKUP(Z94,Migration!$J$3:$R$196,9,FALSE)</f>
        <v>Above 0.1</v>
      </c>
    </row>
    <row r="95" spans="1:31" x14ac:dyDescent="0.35">
      <c r="A95" t="s">
        <v>205</v>
      </c>
      <c r="B95">
        <v>0</v>
      </c>
      <c r="C95">
        <v>73.468134880065918</v>
      </c>
      <c r="D95">
        <v>77.16</v>
      </c>
      <c r="K95" t="s">
        <v>71</v>
      </c>
      <c r="L95" t="str">
        <f t="shared" si="7"/>
        <v>DEU</v>
      </c>
      <c r="M95" t="str">
        <f>VLOOKUP(Indice!L95,'Reference table'!J$2:K$195,2,FALSE)</f>
        <v>Germany</v>
      </c>
      <c r="N95">
        <v>1</v>
      </c>
      <c r="R95" t="s">
        <v>205</v>
      </c>
      <c r="S95">
        <v>0</v>
      </c>
      <c r="T95">
        <v>73.468134880065918</v>
      </c>
      <c r="U95">
        <v>77.16</v>
      </c>
      <c r="Z95" t="s">
        <v>174</v>
      </c>
      <c r="AA95">
        <f t="shared" si="5"/>
        <v>0</v>
      </c>
      <c r="AB95">
        <v>78.156991004943848</v>
      </c>
      <c r="AC95">
        <v>70.319999999999993</v>
      </c>
      <c r="AD95" t="str">
        <f>VLOOKUP(Z95,Migration!$J$3:$R$196,8,FALSE)</f>
        <v>Less than 0.1</v>
      </c>
      <c r="AE95" t="str">
        <f>VLOOKUP(Z95,Migration!$J$3:$R$196,9,FALSE)</f>
        <v>Less than 0.1</v>
      </c>
    </row>
    <row r="96" spans="1:31" x14ac:dyDescent="0.35">
      <c r="A96" t="s">
        <v>534</v>
      </c>
      <c r="B96">
        <v>0</v>
      </c>
      <c r="C96">
        <v>88.65294885635376</v>
      </c>
      <c r="D96">
        <v>77.83</v>
      </c>
      <c r="K96" t="s">
        <v>316</v>
      </c>
      <c r="L96" t="str">
        <f t="shared" si="7"/>
        <v>ISL</v>
      </c>
      <c r="M96" t="str">
        <f>VLOOKUP(Indice!L96,'Reference table'!J$2:K$195,2,FALSE)</f>
        <v>Iceland</v>
      </c>
      <c r="N96">
        <v>1</v>
      </c>
      <c r="R96" t="s">
        <v>534</v>
      </c>
      <c r="S96">
        <v>0</v>
      </c>
      <c r="T96">
        <v>88.65294885635376</v>
      </c>
      <c r="U96">
        <v>77.83</v>
      </c>
      <c r="Z96" t="s">
        <v>141</v>
      </c>
      <c r="AA96">
        <f t="shared" si="5"/>
        <v>0</v>
      </c>
      <c r="AB96">
        <v>11.991455674171448</v>
      </c>
      <c r="AC96">
        <v>61.18</v>
      </c>
      <c r="AD96" t="str">
        <f>VLOOKUP(Z96,Migration!$J$3:$R$196,8,FALSE)</f>
        <v>Less than 0.1</v>
      </c>
      <c r="AE96" t="str">
        <f>VLOOKUP(Z96,Migration!$J$3:$R$196,9,FALSE)</f>
        <v>Above 0.1</v>
      </c>
    </row>
    <row r="97" spans="1:31" x14ac:dyDescent="0.35">
      <c r="A97" t="s">
        <v>10</v>
      </c>
      <c r="B97">
        <v>0</v>
      </c>
      <c r="C97">
        <v>66.609811782836914</v>
      </c>
      <c r="D97">
        <v>73.41</v>
      </c>
      <c r="K97" t="s">
        <v>112</v>
      </c>
      <c r="L97" t="str">
        <f t="shared" si="7"/>
        <v>IRL</v>
      </c>
      <c r="M97" t="str">
        <f>VLOOKUP(Indice!L97,'Reference table'!J$2:K$195,2,FALSE)</f>
        <v>Ireland</v>
      </c>
      <c r="N97">
        <v>1</v>
      </c>
      <c r="R97" t="s">
        <v>10</v>
      </c>
      <c r="S97">
        <v>0</v>
      </c>
      <c r="T97">
        <v>66.609811782836914</v>
      </c>
      <c r="U97">
        <v>73.41</v>
      </c>
      <c r="Z97" t="s">
        <v>337</v>
      </c>
      <c r="AA97">
        <f t="shared" si="5"/>
        <v>0</v>
      </c>
      <c r="AB97">
        <v>40.280911684036255</v>
      </c>
      <c r="AC97">
        <v>51.22</v>
      </c>
      <c r="AD97" t="str">
        <f>VLOOKUP(Z97,Migration!$J$3:$R$196,8,FALSE)</f>
        <v>No data</v>
      </c>
      <c r="AE97" t="str">
        <f>VLOOKUP(Z97,Migration!$J$3:$R$196,9,FALSE)</f>
        <v>No data</v>
      </c>
    </row>
    <row r="98" spans="1:31" x14ac:dyDescent="0.35">
      <c r="A98" t="s">
        <v>12</v>
      </c>
      <c r="B98">
        <v>0</v>
      </c>
      <c r="C98">
        <v>172.69653034210205</v>
      </c>
      <c r="D98">
        <v>87.15</v>
      </c>
      <c r="K98" t="s">
        <v>518</v>
      </c>
      <c r="L98" t="str">
        <f t="shared" si="7"/>
        <v>CHE</v>
      </c>
      <c r="M98" t="str">
        <f>VLOOKUP(Indice!L98,'Reference table'!J$2:K$195,2,FALSE)</f>
        <v>Switzerland</v>
      </c>
      <c r="N98">
        <v>1</v>
      </c>
      <c r="R98" t="s">
        <v>12</v>
      </c>
      <c r="S98">
        <v>0</v>
      </c>
      <c r="T98">
        <v>172.69653034210205</v>
      </c>
      <c r="U98">
        <v>87.15</v>
      </c>
      <c r="Z98" t="s">
        <v>485</v>
      </c>
      <c r="AA98">
        <f t="shared" ref="AA98:AA129" si="8">IF(OR(AD98="Above 0.05",AE98="Above 0.05"),1,0)</f>
        <v>0</v>
      </c>
      <c r="AB98">
        <v>74.134664058685303</v>
      </c>
      <c r="AC98">
        <v>71.75</v>
      </c>
      <c r="AD98" t="str">
        <f>VLOOKUP(Z98,Migration!$J$3:$R$196,8,FALSE)</f>
        <v>Above 0.1</v>
      </c>
      <c r="AE98" t="str">
        <f>VLOOKUP(Z98,Migration!$J$3:$R$196,9,FALSE)</f>
        <v>Less than 0.1</v>
      </c>
    </row>
    <row r="99" spans="1:31" x14ac:dyDescent="0.35">
      <c r="A99" t="s">
        <v>222</v>
      </c>
      <c r="B99">
        <v>0</v>
      </c>
      <c r="C99">
        <v>158.57124423980713</v>
      </c>
      <c r="D99">
        <v>82.26</v>
      </c>
      <c r="K99" t="s">
        <v>156</v>
      </c>
      <c r="L99" t="str">
        <f t="shared" si="7"/>
        <v>NOR</v>
      </c>
      <c r="M99" t="str">
        <f>VLOOKUP(Indice!L99,'Reference table'!J$2:K$195,2,FALSE)</f>
        <v>Norway</v>
      </c>
      <c r="N99">
        <v>1</v>
      </c>
      <c r="R99" t="s">
        <v>222</v>
      </c>
      <c r="S99">
        <v>0</v>
      </c>
      <c r="T99">
        <v>158.57124423980713</v>
      </c>
      <c r="U99">
        <v>82.26</v>
      </c>
      <c r="Z99" t="s">
        <v>339</v>
      </c>
      <c r="AA99">
        <f t="shared" si="8"/>
        <v>0</v>
      </c>
      <c r="AB99">
        <v>106.67948877811432</v>
      </c>
      <c r="AC99">
        <v>87.09</v>
      </c>
      <c r="AD99" t="str">
        <f>VLOOKUP(Z99,Migration!$J$3:$R$196,8,FALSE)</f>
        <v>Less than 0.1</v>
      </c>
      <c r="AE99" t="str">
        <f>VLOOKUP(Z99,Migration!$J$3:$R$196,9,FALSE)</f>
        <v>Less than 0.1</v>
      </c>
    </row>
    <row r="100" spans="1:31" x14ac:dyDescent="0.35">
      <c r="A100" t="s">
        <v>225</v>
      </c>
      <c r="B100">
        <v>0</v>
      </c>
      <c r="C100">
        <v>96.166758060455322</v>
      </c>
      <c r="D100">
        <v>65.28</v>
      </c>
      <c r="K100" t="s">
        <v>419</v>
      </c>
      <c r="L100" t="str">
        <f t="shared" si="7"/>
        <v>SYC</v>
      </c>
      <c r="M100" t="str">
        <f>VLOOKUP(Indice!L100,'Reference table'!J$2:K$195,2,FALSE)</f>
        <v>Seychelles</v>
      </c>
      <c r="N100">
        <v>1</v>
      </c>
      <c r="R100" t="s">
        <v>225</v>
      </c>
      <c r="S100">
        <v>0</v>
      </c>
      <c r="T100">
        <v>96.166758060455322</v>
      </c>
      <c r="U100">
        <v>65.28</v>
      </c>
      <c r="Z100" t="s">
        <v>506</v>
      </c>
      <c r="AA100">
        <f t="shared" si="8"/>
        <v>0</v>
      </c>
      <c r="AB100">
        <v>75.429846286773682</v>
      </c>
      <c r="AC100">
        <v>69.56</v>
      </c>
      <c r="AD100" t="str">
        <f>VLOOKUP(Z100,Migration!$J$3:$R$196,8,FALSE)</f>
        <v>Less than 0.1</v>
      </c>
      <c r="AE100" t="str">
        <f>VLOOKUP(Z100,Migration!$J$3:$R$196,9,FALSE)</f>
        <v>Less than 0.1</v>
      </c>
    </row>
    <row r="101" spans="1:31" x14ac:dyDescent="0.35">
      <c r="A101" t="s">
        <v>240</v>
      </c>
      <c r="B101">
        <v>0</v>
      </c>
      <c r="C101">
        <v>7.1974789500236511</v>
      </c>
      <c r="D101">
        <v>44.37</v>
      </c>
      <c r="K101" t="s">
        <v>135</v>
      </c>
      <c r="L101" t="str">
        <f t="shared" si="7"/>
        <v>BEL</v>
      </c>
      <c r="M101" t="str">
        <f>VLOOKUP(Indice!L101,'Reference table'!J$2:K$195,2,FALSE)</f>
        <v>Belgium</v>
      </c>
      <c r="N101">
        <v>1</v>
      </c>
      <c r="R101" t="s">
        <v>240</v>
      </c>
      <c r="S101">
        <v>0</v>
      </c>
      <c r="T101">
        <v>7.1974789500236511</v>
      </c>
      <c r="U101">
        <v>44.37</v>
      </c>
      <c r="Z101" t="s">
        <v>176</v>
      </c>
      <c r="AA101">
        <f t="shared" si="8"/>
        <v>0</v>
      </c>
      <c r="AB101">
        <v>15.442119121551514</v>
      </c>
      <c r="AC101">
        <v>50.21</v>
      </c>
      <c r="AD101" t="str">
        <f>VLOOKUP(Z101,Migration!$J$3:$R$196,8,FALSE)</f>
        <v>Above 0.1</v>
      </c>
      <c r="AE101" t="str">
        <f>VLOOKUP(Z101,Migration!$J$3:$R$196,9,FALSE)</f>
        <v>Above 0.1</v>
      </c>
    </row>
    <row r="102" spans="1:31" x14ac:dyDescent="0.35">
      <c r="A102" t="s">
        <v>135</v>
      </c>
      <c r="B102">
        <v>0</v>
      </c>
      <c r="C102">
        <v>261.3905086517334</v>
      </c>
      <c r="D102">
        <v>85.5</v>
      </c>
      <c r="K102" t="s">
        <v>289</v>
      </c>
      <c r="L102" t="str">
        <f t="shared" si="7"/>
        <v>FIN</v>
      </c>
      <c r="M102" t="str">
        <f>VLOOKUP(Indice!L102,'Reference table'!J$2:K$195,2,FALSE)</f>
        <v>Finland</v>
      </c>
      <c r="N102">
        <v>1</v>
      </c>
      <c r="R102" t="s">
        <v>135</v>
      </c>
      <c r="S102">
        <v>0</v>
      </c>
      <c r="T102">
        <v>261.3905086517334</v>
      </c>
      <c r="U102">
        <v>85.5</v>
      </c>
      <c r="Z102" t="s">
        <v>179</v>
      </c>
      <c r="AA102">
        <f t="shared" si="8"/>
        <v>0</v>
      </c>
      <c r="AB102">
        <v>38.805336236953735</v>
      </c>
      <c r="AC102">
        <v>71.98</v>
      </c>
      <c r="AD102" t="str">
        <f>VLOOKUP(Z102,Migration!$J$3:$R$196,8,FALSE)</f>
        <v>Less than 0.1</v>
      </c>
      <c r="AE102" t="str">
        <f>VLOOKUP(Z102,Migration!$J$3:$R$196,9,FALSE)</f>
        <v>Above 0.1</v>
      </c>
    </row>
    <row r="103" spans="1:31" x14ac:dyDescent="0.35">
      <c r="A103" t="s">
        <v>231</v>
      </c>
      <c r="B103">
        <v>0</v>
      </c>
      <c r="C103">
        <v>3.6762710809707642</v>
      </c>
      <c r="D103">
        <v>38.200000000000003</v>
      </c>
      <c r="K103" t="s">
        <v>208</v>
      </c>
      <c r="L103" t="str">
        <f t="shared" si="7"/>
        <v>MCO</v>
      </c>
      <c r="M103" t="str">
        <f>VLOOKUP(Indice!L103,'Reference table'!J$2:K$195,2,FALSE)</f>
        <v>Monaco</v>
      </c>
      <c r="N103">
        <v>1</v>
      </c>
      <c r="R103" t="s">
        <v>231</v>
      </c>
      <c r="S103">
        <v>0</v>
      </c>
      <c r="T103">
        <v>3.6762710809707642</v>
      </c>
      <c r="U103">
        <v>38.200000000000003</v>
      </c>
      <c r="Z103" t="s">
        <v>345</v>
      </c>
      <c r="AA103">
        <f t="shared" si="8"/>
        <v>0</v>
      </c>
      <c r="AB103">
        <v>20.047827780246735</v>
      </c>
      <c r="AC103">
        <v>41.87</v>
      </c>
      <c r="AD103" t="str">
        <f>VLOOKUP(Z103,Migration!$J$3:$R$196,8,FALSE)</f>
        <v>Less than 0.1</v>
      </c>
      <c r="AE103" t="str">
        <f>VLOOKUP(Z103,Migration!$J$3:$R$196,9,FALSE)</f>
        <v>Above 0.1</v>
      </c>
    </row>
    <row r="104" spans="1:31" x14ac:dyDescent="0.35">
      <c r="A104" t="s">
        <v>193</v>
      </c>
      <c r="B104">
        <v>0</v>
      </c>
      <c r="C104">
        <v>11.54121208190918</v>
      </c>
      <c r="D104">
        <v>50.74</v>
      </c>
      <c r="R104" t="s">
        <v>193</v>
      </c>
      <c r="S104">
        <v>0</v>
      </c>
      <c r="T104">
        <v>11.54121208190918</v>
      </c>
      <c r="U104">
        <v>50.74</v>
      </c>
      <c r="Z104" t="s">
        <v>509</v>
      </c>
      <c r="AA104">
        <f t="shared" si="8"/>
        <v>0</v>
      </c>
      <c r="AB104">
        <v>86.209370732307434</v>
      </c>
      <c r="AC104">
        <v>59.66</v>
      </c>
      <c r="AD104" t="str">
        <f>VLOOKUP(Z104,Migration!$J$3:$R$196,8,FALSE)</f>
        <v>Less than 0.1</v>
      </c>
      <c r="AE104" t="str">
        <f>VLOOKUP(Z104,Migration!$J$3:$R$196,9,FALSE)</f>
        <v>Less than 0.1</v>
      </c>
    </row>
    <row r="105" spans="1:31" x14ac:dyDescent="0.35">
      <c r="A105" t="s">
        <v>132</v>
      </c>
      <c r="B105">
        <v>0</v>
      </c>
      <c r="C105">
        <v>39.383409976959229</v>
      </c>
      <c r="D105">
        <v>71.44</v>
      </c>
      <c r="R105" t="s">
        <v>132</v>
      </c>
      <c r="S105">
        <v>0</v>
      </c>
      <c r="T105">
        <v>39.383409976959229</v>
      </c>
      <c r="U105">
        <v>71.44</v>
      </c>
      <c r="Z105" t="s">
        <v>487</v>
      </c>
      <c r="AA105">
        <f t="shared" si="8"/>
        <v>0</v>
      </c>
      <c r="AB105">
        <v>37.965240001678467</v>
      </c>
      <c r="AC105">
        <v>71.599999999999994</v>
      </c>
      <c r="AD105" t="str">
        <f>VLOOKUP(Z105,Migration!$J$3:$R$196,8,FALSE)</f>
        <v>Less than 0.1</v>
      </c>
      <c r="AE105" t="str">
        <f>VLOOKUP(Z105,Migration!$J$3:$R$196,9,FALSE)</f>
        <v>Above 0.1</v>
      </c>
    </row>
    <row r="106" spans="1:31" x14ac:dyDescent="0.35">
      <c r="A106" t="s">
        <v>228</v>
      </c>
      <c r="B106">
        <v>0</v>
      </c>
      <c r="C106">
        <v>155.40891981124878</v>
      </c>
      <c r="D106">
        <v>73.540000000000006</v>
      </c>
      <c r="R106" t="s">
        <v>228</v>
      </c>
      <c r="S106">
        <v>0</v>
      </c>
      <c r="T106">
        <v>155.40891981124878</v>
      </c>
      <c r="U106">
        <v>73.540000000000006</v>
      </c>
      <c r="Z106" t="s">
        <v>56</v>
      </c>
      <c r="AA106">
        <f t="shared" si="8"/>
        <v>0</v>
      </c>
      <c r="AB106">
        <v>37.266354560852051</v>
      </c>
      <c r="AC106">
        <v>66.8</v>
      </c>
      <c r="AD106" t="str">
        <f>VLOOKUP(Z106,Migration!$J$3:$R$196,8,FALSE)</f>
        <v>Less than 0.1</v>
      </c>
      <c r="AE106" t="str">
        <f>VLOOKUP(Z106,Migration!$J$3:$R$196,9,FALSE)</f>
        <v>Less than 0.1</v>
      </c>
    </row>
    <row r="107" spans="1:31" x14ac:dyDescent="0.35">
      <c r="A107" t="s">
        <v>83</v>
      </c>
      <c r="B107">
        <v>0</v>
      </c>
      <c r="C107">
        <v>97.13739013671875</v>
      </c>
      <c r="D107">
        <v>75.03</v>
      </c>
      <c r="R107" t="s">
        <v>83</v>
      </c>
      <c r="S107">
        <v>0</v>
      </c>
      <c r="T107">
        <v>97.13739013671875</v>
      </c>
      <c r="U107">
        <v>75.03</v>
      </c>
      <c r="Z107" t="s">
        <v>150</v>
      </c>
      <c r="AA107">
        <f t="shared" si="8"/>
        <v>0</v>
      </c>
      <c r="AB107">
        <v>40.020579099655151</v>
      </c>
      <c r="AC107">
        <v>48.09</v>
      </c>
      <c r="AD107" t="str">
        <f>VLOOKUP(Z107,Migration!$J$3:$R$196,8,FALSE)</f>
        <v>No data</v>
      </c>
      <c r="AE107" t="str">
        <f>VLOOKUP(Z107,Migration!$J$3:$R$196,9,FALSE)</f>
        <v>Less than 0.1</v>
      </c>
    </row>
    <row r="108" spans="1:31" x14ac:dyDescent="0.35">
      <c r="A108" t="s">
        <v>24</v>
      </c>
      <c r="B108">
        <v>0</v>
      </c>
      <c r="C108">
        <v>75.070095062255859</v>
      </c>
      <c r="D108">
        <v>76.81</v>
      </c>
      <c r="R108" t="s">
        <v>24</v>
      </c>
      <c r="S108">
        <v>0</v>
      </c>
      <c r="T108">
        <v>75.070095062255859</v>
      </c>
      <c r="U108">
        <v>76.81</v>
      </c>
      <c r="Z108" t="s">
        <v>348</v>
      </c>
      <c r="AA108">
        <f t="shared" si="8"/>
        <v>0</v>
      </c>
      <c r="AB108">
        <v>151.58923101425171</v>
      </c>
      <c r="AC108">
        <v>69.52</v>
      </c>
      <c r="AD108" t="str">
        <f>VLOOKUP(Z108,Migration!$J$3:$R$196,8,FALSE)</f>
        <v>Less than 0.1</v>
      </c>
      <c r="AE108" t="str">
        <f>VLOOKUP(Z108,Migration!$J$3:$R$196,9,FALSE)</f>
        <v>Less than 0.1</v>
      </c>
    </row>
    <row r="109" spans="1:31" x14ac:dyDescent="0.35">
      <c r="A109" t="s">
        <v>138</v>
      </c>
      <c r="B109">
        <v>0</v>
      </c>
      <c r="C109">
        <v>25.76424503326416</v>
      </c>
      <c r="D109">
        <v>62.39</v>
      </c>
      <c r="R109" t="s">
        <v>138</v>
      </c>
      <c r="S109">
        <v>0</v>
      </c>
      <c r="T109">
        <v>25.76424503326416</v>
      </c>
      <c r="U109">
        <v>62.39</v>
      </c>
      <c r="Z109" t="s">
        <v>94</v>
      </c>
      <c r="AA109">
        <f t="shared" si="8"/>
        <v>0</v>
      </c>
      <c r="AB109">
        <v>151.81259274482727</v>
      </c>
      <c r="AC109">
        <v>86.48</v>
      </c>
      <c r="AD109" t="str">
        <f>VLOOKUP(Z109,Migration!$J$3:$R$196,8,FALSE)</f>
        <v>Above 0.1</v>
      </c>
      <c r="AE109" t="str">
        <f>VLOOKUP(Z109,Migration!$J$3:$R$196,9,FALSE)</f>
        <v>Less than 0.1</v>
      </c>
    </row>
    <row r="110" spans="1:31" x14ac:dyDescent="0.35">
      <c r="A110" t="s">
        <v>234</v>
      </c>
      <c r="B110">
        <v>0</v>
      </c>
      <c r="C110">
        <v>58.35230016708374</v>
      </c>
      <c r="D110">
        <v>53.66</v>
      </c>
      <c r="R110" t="s">
        <v>234</v>
      </c>
      <c r="S110">
        <v>0</v>
      </c>
      <c r="T110">
        <v>58.35230016708374</v>
      </c>
      <c r="U110">
        <v>53.66</v>
      </c>
      <c r="Z110" t="s">
        <v>342</v>
      </c>
      <c r="AA110">
        <f t="shared" si="8"/>
        <v>0</v>
      </c>
      <c r="AB110">
        <v>78.390331506729126</v>
      </c>
      <c r="AC110">
        <v>71.77</v>
      </c>
      <c r="AD110" t="str">
        <f>VLOOKUP(Z110,Migration!$J$3:$R$196,8,FALSE)</f>
        <v>Above 0.1</v>
      </c>
      <c r="AE110" t="str">
        <f>VLOOKUP(Z110,Migration!$J$3:$R$196,9,FALSE)</f>
        <v>Less than 0.1</v>
      </c>
    </row>
    <row r="111" spans="1:31" x14ac:dyDescent="0.35">
      <c r="A111" t="s">
        <v>31</v>
      </c>
      <c r="B111">
        <v>0</v>
      </c>
      <c r="C111">
        <v>3.278776228427887</v>
      </c>
      <c r="D111">
        <v>32.46</v>
      </c>
      <c r="R111" t="s">
        <v>31</v>
      </c>
      <c r="S111">
        <v>0</v>
      </c>
      <c r="T111">
        <v>3.278776228427887</v>
      </c>
      <c r="U111">
        <v>32.46</v>
      </c>
      <c r="Z111" t="s">
        <v>153</v>
      </c>
      <c r="AA111">
        <f t="shared" si="8"/>
        <v>0</v>
      </c>
      <c r="AB111">
        <v>21.183988571166992</v>
      </c>
      <c r="AC111">
        <v>72.739999999999995</v>
      </c>
      <c r="AD111" t="str">
        <f>VLOOKUP(Z111,Migration!$J$3:$R$196,8,FALSE)</f>
        <v>Above 0.1</v>
      </c>
      <c r="AE111" t="str">
        <f>VLOOKUP(Z111,Migration!$J$3:$R$196,9,FALSE)</f>
        <v>Less than 0.1</v>
      </c>
    </row>
    <row r="112" spans="1:31" x14ac:dyDescent="0.35">
      <c r="A112" t="s">
        <v>518</v>
      </c>
      <c r="B112">
        <v>0</v>
      </c>
      <c r="C112">
        <v>226.40988612174988</v>
      </c>
      <c r="D112">
        <v>87.14</v>
      </c>
      <c r="R112" t="s">
        <v>518</v>
      </c>
      <c r="S112">
        <v>0</v>
      </c>
      <c r="T112">
        <v>226.40988612174988</v>
      </c>
      <c r="U112">
        <v>87.14</v>
      </c>
      <c r="Z112" t="s">
        <v>208</v>
      </c>
      <c r="AA112">
        <f t="shared" si="8"/>
        <v>0</v>
      </c>
      <c r="AB112">
        <v>276.52733087539673</v>
      </c>
      <c r="AC112">
        <v>84.82</v>
      </c>
      <c r="AD112" t="str">
        <f>VLOOKUP(Z112,Migration!$J$3:$R$196,8,FALSE)</f>
        <v>No data</v>
      </c>
      <c r="AE112" t="str">
        <f>VLOOKUP(Z112,Migration!$J$3:$R$196,9,FALSE)</f>
        <v>No data</v>
      </c>
    </row>
    <row r="113" spans="1:31" x14ac:dyDescent="0.35">
      <c r="A113" t="s">
        <v>252</v>
      </c>
      <c r="B113">
        <v>0</v>
      </c>
      <c r="C113">
        <v>71.889527320861816</v>
      </c>
      <c r="D113">
        <v>79.84</v>
      </c>
      <c r="R113" t="s">
        <v>252</v>
      </c>
      <c r="S113">
        <v>0</v>
      </c>
      <c r="T113">
        <v>71.889527320861816</v>
      </c>
      <c r="U113">
        <v>79.84</v>
      </c>
      <c r="Z113" t="s">
        <v>368</v>
      </c>
      <c r="AA113">
        <f t="shared" si="8"/>
        <v>0</v>
      </c>
      <c r="AB113">
        <v>77.811820507049561</v>
      </c>
      <c r="AC113">
        <v>67.42</v>
      </c>
      <c r="AD113" t="str">
        <f>VLOOKUP(Z113,Migration!$J$3:$R$196,8,FALSE)</f>
        <v>Above 0.1</v>
      </c>
      <c r="AE113" t="str">
        <f>VLOOKUP(Z113,Migration!$J$3:$R$196,9,FALSE)</f>
        <v>Less than 0.1</v>
      </c>
    </row>
    <row r="114" spans="1:31" x14ac:dyDescent="0.35">
      <c r="A114" t="s">
        <v>196</v>
      </c>
      <c r="B114">
        <v>0</v>
      </c>
      <c r="C114">
        <v>57.462380886077881</v>
      </c>
      <c r="D114">
        <v>82.17</v>
      </c>
      <c r="R114" t="s">
        <v>196</v>
      </c>
      <c r="S114">
        <v>0</v>
      </c>
      <c r="T114">
        <v>57.462380886077881</v>
      </c>
      <c r="U114">
        <v>82.17</v>
      </c>
      <c r="Z114" t="s">
        <v>351</v>
      </c>
      <c r="AA114">
        <f t="shared" si="8"/>
        <v>0</v>
      </c>
      <c r="AB114">
        <v>4.9646388292312622</v>
      </c>
      <c r="AC114">
        <v>34.65</v>
      </c>
      <c r="AD114" t="str">
        <f>VLOOKUP(Z114,Migration!$J$3:$R$196,8,FALSE)</f>
        <v>Less than 0.1</v>
      </c>
      <c r="AE114" t="str">
        <f>VLOOKUP(Z114,Migration!$J$3:$R$196,9,FALSE)</f>
        <v>No data</v>
      </c>
    </row>
    <row r="115" spans="1:31" x14ac:dyDescent="0.35">
      <c r="A115" t="s">
        <v>268</v>
      </c>
      <c r="B115">
        <v>0</v>
      </c>
      <c r="C115">
        <v>8.1840465068817139</v>
      </c>
      <c r="D115">
        <v>45.44</v>
      </c>
      <c r="R115" t="s">
        <v>268</v>
      </c>
      <c r="S115">
        <v>0</v>
      </c>
      <c r="T115">
        <v>8.1840465068817139</v>
      </c>
      <c r="U115">
        <v>45.44</v>
      </c>
      <c r="Z115" t="s">
        <v>357</v>
      </c>
      <c r="AA115">
        <f t="shared" si="8"/>
        <v>0</v>
      </c>
      <c r="AB115">
        <v>58.644843101501465</v>
      </c>
      <c r="AC115">
        <v>69.17</v>
      </c>
      <c r="AD115" t="str">
        <f>VLOOKUP(Z115,Migration!$J$3:$R$196,8,FALSE)</f>
        <v>Less than 0.1</v>
      </c>
      <c r="AE115" t="str">
        <f>VLOOKUP(Z115,Migration!$J$3:$R$196,9,FALSE)</f>
        <v>Less than 0.1</v>
      </c>
    </row>
    <row r="116" spans="1:31" x14ac:dyDescent="0.35">
      <c r="A116" t="s">
        <v>50</v>
      </c>
      <c r="B116">
        <v>0</v>
      </c>
      <c r="C116">
        <v>14.8480384349823</v>
      </c>
      <c r="D116">
        <v>38.549999999999997</v>
      </c>
      <c r="R116" t="s">
        <v>50</v>
      </c>
      <c r="S116">
        <v>0</v>
      </c>
      <c r="T116">
        <v>14.8480384349823</v>
      </c>
      <c r="U116">
        <v>38.549999999999997</v>
      </c>
      <c r="Z116" t="s">
        <v>539</v>
      </c>
      <c r="AA116">
        <f t="shared" si="8"/>
        <v>0</v>
      </c>
      <c r="AB116">
        <v>52.3169530488085</v>
      </c>
      <c r="AC116">
        <v>73.88</v>
      </c>
      <c r="AD116" t="str">
        <f>VLOOKUP(Z116,Migration!$J$3:$R$196,8,FALSE)</f>
        <v>Less than 0.1</v>
      </c>
      <c r="AE116" t="str">
        <f>VLOOKUP(Z116,Migration!$J$3:$R$196,9,FALSE)</f>
        <v>Above 0.1</v>
      </c>
    </row>
    <row r="117" spans="1:31" x14ac:dyDescent="0.35">
      <c r="A117" t="s">
        <v>39</v>
      </c>
      <c r="B117">
        <v>0</v>
      </c>
      <c r="C117">
        <v>93.921990394592285</v>
      </c>
      <c r="D117">
        <v>53.77</v>
      </c>
      <c r="R117" t="s">
        <v>39</v>
      </c>
      <c r="S117">
        <v>0</v>
      </c>
      <c r="T117">
        <v>93.921990394592285</v>
      </c>
      <c r="U117">
        <v>53.77</v>
      </c>
      <c r="Z117" t="s">
        <v>386</v>
      </c>
      <c r="AA117">
        <f t="shared" si="8"/>
        <v>0</v>
      </c>
      <c r="AB117">
        <v>70.949876308441162</v>
      </c>
      <c r="AC117">
        <v>68.41</v>
      </c>
      <c r="AD117" t="str">
        <f>VLOOKUP(Z117,Migration!$J$3:$R$196,8,FALSE)</f>
        <v>Less than 0.1</v>
      </c>
      <c r="AE117" t="str">
        <f>VLOOKUP(Z117,Migration!$J$3:$R$196,9,FALSE)</f>
        <v>Less than 0.1</v>
      </c>
    </row>
    <row r="118" spans="1:31" x14ac:dyDescent="0.35">
      <c r="A118" t="s">
        <v>532</v>
      </c>
      <c r="B118">
        <v>0</v>
      </c>
      <c r="C118">
        <v>17.469200372695923</v>
      </c>
      <c r="D118">
        <v>43.63</v>
      </c>
      <c r="R118" t="s">
        <v>532</v>
      </c>
      <c r="S118">
        <v>0</v>
      </c>
      <c r="T118">
        <v>17.469200372695923</v>
      </c>
      <c r="U118">
        <v>43.63</v>
      </c>
      <c r="Z118" t="s">
        <v>360</v>
      </c>
      <c r="AA118">
        <f t="shared" si="8"/>
        <v>0</v>
      </c>
      <c r="AB118">
        <v>5.6874344348907471</v>
      </c>
      <c r="AC118">
        <v>41.55</v>
      </c>
      <c r="AD118" t="str">
        <f>VLOOKUP(Z118,Migration!$J$3:$R$196,8,FALSE)</f>
        <v>Less than 0.1</v>
      </c>
      <c r="AE118" t="str">
        <f>VLOOKUP(Z118,Migration!$J$3:$R$196,9,FALSE)</f>
        <v>Less than 0.1</v>
      </c>
    </row>
    <row r="119" spans="1:31" x14ac:dyDescent="0.35">
      <c r="A119" t="s">
        <v>42</v>
      </c>
      <c r="B119">
        <v>0</v>
      </c>
      <c r="C119">
        <v>130.81962871551514</v>
      </c>
      <c r="D119">
        <v>78.37</v>
      </c>
      <c r="R119" t="s">
        <v>42</v>
      </c>
      <c r="S119">
        <v>0</v>
      </c>
      <c r="T119">
        <v>130.81962871551514</v>
      </c>
      <c r="U119">
        <v>78.37</v>
      </c>
      <c r="Z119" t="s">
        <v>363</v>
      </c>
      <c r="AA119">
        <f t="shared" si="8"/>
        <v>0</v>
      </c>
      <c r="AB119">
        <v>123.44289684295654</v>
      </c>
      <c r="AC119">
        <v>81.25</v>
      </c>
      <c r="AD119" t="str">
        <f>VLOOKUP(Z119,Migration!$J$3:$R$196,8,FALSE)</f>
        <v>Above 0.1</v>
      </c>
      <c r="AE119" t="str">
        <f>VLOOKUP(Z119,Migration!$J$3:$R$196,9,FALSE)</f>
        <v>Less than 0.1</v>
      </c>
    </row>
    <row r="120" spans="1:31" x14ac:dyDescent="0.35">
      <c r="A120" t="s">
        <v>71</v>
      </c>
      <c r="B120">
        <v>0</v>
      </c>
      <c r="C120">
        <v>186.25530338287354</v>
      </c>
      <c r="D120">
        <v>85.84</v>
      </c>
      <c r="R120" t="s">
        <v>71</v>
      </c>
      <c r="S120">
        <v>0</v>
      </c>
      <c r="T120">
        <v>186.25530338287354</v>
      </c>
      <c r="U120">
        <v>85.84</v>
      </c>
      <c r="Z120" t="s">
        <v>452</v>
      </c>
      <c r="AA120">
        <f t="shared" si="8"/>
        <v>0</v>
      </c>
      <c r="AB120">
        <v>18.205740451812744</v>
      </c>
      <c r="AC120">
        <v>60.5</v>
      </c>
      <c r="AD120" t="str">
        <f>VLOOKUP(Z120,Migration!$J$3:$R$196,8,FALSE)</f>
        <v>Less than 0.1</v>
      </c>
      <c r="AE120" t="str">
        <f>VLOOKUP(Z120,Migration!$J$3:$R$196,9,FALSE)</f>
        <v>Less than 0.1</v>
      </c>
    </row>
    <row r="121" spans="1:31" x14ac:dyDescent="0.35">
      <c r="A121" t="s">
        <v>271</v>
      </c>
      <c r="B121">
        <v>0</v>
      </c>
      <c r="C121">
        <v>9.5247949361801147</v>
      </c>
      <c r="D121">
        <v>48.14</v>
      </c>
      <c r="R121" t="s">
        <v>271</v>
      </c>
      <c r="S121">
        <v>0</v>
      </c>
      <c r="T121">
        <v>9.5247949361801147</v>
      </c>
      <c r="U121">
        <v>48.14</v>
      </c>
      <c r="Z121" t="s">
        <v>185</v>
      </c>
      <c r="AA121">
        <f t="shared" si="8"/>
        <v>0</v>
      </c>
      <c r="AB121">
        <v>81.122562408447266</v>
      </c>
      <c r="AC121">
        <v>67.16</v>
      </c>
      <c r="AD121" t="str">
        <f>VLOOKUP(Z121,Migration!$J$3:$R$196,8,FALSE)</f>
        <v>Less than 0.1</v>
      </c>
      <c r="AE121" t="str">
        <f>VLOOKUP(Z121,Migration!$J$3:$R$196,9,FALSE)</f>
        <v>Less than 0.1</v>
      </c>
    </row>
    <row r="122" spans="1:31" x14ac:dyDescent="0.35">
      <c r="A122" t="s">
        <v>144</v>
      </c>
      <c r="B122">
        <v>0</v>
      </c>
      <c r="C122">
        <v>147.60095191001892</v>
      </c>
      <c r="D122">
        <v>84.89</v>
      </c>
      <c r="R122" t="s">
        <v>144</v>
      </c>
      <c r="S122">
        <v>0</v>
      </c>
      <c r="T122">
        <v>147.60095191001892</v>
      </c>
      <c r="U122">
        <v>84.89</v>
      </c>
      <c r="Z122" t="s">
        <v>183</v>
      </c>
      <c r="AA122">
        <f t="shared" si="8"/>
        <v>0</v>
      </c>
      <c r="AB122">
        <v>80.714088439941406</v>
      </c>
      <c r="AC122">
        <v>63.28</v>
      </c>
      <c r="AD122" t="str">
        <f>VLOOKUP(Z122,Migration!$J$3:$R$196,8,FALSE)</f>
        <v>Less than 0.1</v>
      </c>
      <c r="AE122" t="str">
        <f>VLOOKUP(Z122,Migration!$J$3:$R$196,9,FALSE)</f>
        <v>Less than 0.1</v>
      </c>
    </row>
    <row r="123" spans="1:31" x14ac:dyDescent="0.35">
      <c r="A123" t="s">
        <v>162</v>
      </c>
      <c r="B123">
        <v>0</v>
      </c>
      <c r="C123">
        <v>105.93875956535339</v>
      </c>
      <c r="D123">
        <v>85.56</v>
      </c>
      <c r="R123" t="s">
        <v>162</v>
      </c>
      <c r="S123">
        <v>0</v>
      </c>
      <c r="T123">
        <v>105.93875956535339</v>
      </c>
      <c r="U123">
        <v>85.56</v>
      </c>
      <c r="Z123" t="s">
        <v>371</v>
      </c>
      <c r="AA123">
        <f t="shared" si="8"/>
        <v>0</v>
      </c>
      <c r="AB123">
        <v>5.6910541653633118</v>
      </c>
      <c r="AC123">
        <v>46.8</v>
      </c>
      <c r="AD123" t="str">
        <f>VLOOKUP(Z123,Migration!$J$3:$R$196,8,FALSE)</f>
        <v>Above 0.1</v>
      </c>
      <c r="AE123" t="str">
        <f>VLOOKUP(Z123,Migration!$J$3:$R$196,9,FALSE)</f>
        <v>Less than 0.1</v>
      </c>
    </row>
    <row r="124" spans="1:31" x14ac:dyDescent="0.35">
      <c r="A124" t="s">
        <v>283</v>
      </c>
      <c r="B124">
        <v>0</v>
      </c>
      <c r="C124">
        <v>100.79591298103333</v>
      </c>
      <c r="D124">
        <v>77.569999999999993</v>
      </c>
      <c r="R124" t="s">
        <v>283</v>
      </c>
      <c r="S124">
        <v>0</v>
      </c>
      <c r="T124">
        <v>100.79591298103333</v>
      </c>
      <c r="U124">
        <v>77.569999999999993</v>
      </c>
      <c r="Z124" t="s">
        <v>120</v>
      </c>
      <c r="AA124">
        <f t="shared" si="8"/>
        <v>0</v>
      </c>
      <c r="AB124">
        <v>11.116631984710693</v>
      </c>
      <c r="AC124">
        <v>39.57</v>
      </c>
      <c r="AD124" t="str">
        <f>VLOOKUP(Z124,Migration!$J$3:$R$196,8,FALSE)</f>
        <v>Less than 0.1</v>
      </c>
      <c r="AE124" t="str">
        <f>VLOOKUP(Z124,Migration!$J$3:$R$196,9,FALSE)</f>
        <v>Less than 0.1</v>
      </c>
    </row>
    <row r="125" spans="1:31" x14ac:dyDescent="0.35">
      <c r="A125" t="s">
        <v>289</v>
      </c>
      <c r="B125">
        <v>0</v>
      </c>
      <c r="C125">
        <v>269.4843168258667</v>
      </c>
      <c r="D125">
        <v>83.24</v>
      </c>
      <c r="R125" t="s">
        <v>289</v>
      </c>
      <c r="S125">
        <v>0</v>
      </c>
      <c r="T125">
        <v>269.4843168258667</v>
      </c>
      <c r="U125">
        <v>83.24</v>
      </c>
      <c r="Z125" t="s">
        <v>366</v>
      </c>
      <c r="AA125">
        <f t="shared" si="8"/>
        <v>0</v>
      </c>
      <c r="AB125">
        <v>66.474699020385742</v>
      </c>
      <c r="AC125">
        <v>64.56</v>
      </c>
      <c r="AD125" t="str">
        <f>VLOOKUP(Z125,Migration!$J$3:$R$196,8,FALSE)</f>
        <v>Less than 0.1</v>
      </c>
      <c r="AE125" t="str">
        <f>VLOOKUP(Z125,Migration!$J$3:$R$196,9,FALSE)</f>
        <v>Less than 0.1</v>
      </c>
    </row>
    <row r="126" spans="1:31" x14ac:dyDescent="0.35">
      <c r="A126" t="s">
        <v>86</v>
      </c>
      <c r="B126">
        <v>0</v>
      </c>
      <c r="C126">
        <v>150.63701939582825</v>
      </c>
      <c r="D126">
        <v>83.91</v>
      </c>
      <c r="R126" t="s">
        <v>86</v>
      </c>
      <c r="S126">
        <v>0</v>
      </c>
      <c r="T126">
        <v>150.63701939582825</v>
      </c>
      <c r="U126">
        <v>83.91</v>
      </c>
      <c r="Z126" t="s">
        <v>354</v>
      </c>
      <c r="AA126">
        <f t="shared" si="8"/>
        <v>0</v>
      </c>
      <c r="AB126">
        <v>7.6031413078308105</v>
      </c>
      <c r="AC126">
        <v>48.26</v>
      </c>
      <c r="AD126" t="str">
        <f>VLOOKUP(Z126,Migration!$J$3:$R$196,8,FALSE)</f>
        <v>Less than 0.1</v>
      </c>
      <c r="AE126" t="str">
        <f>VLOOKUP(Z126,Migration!$J$3:$R$196,9,FALSE)</f>
        <v>Less than 0.1</v>
      </c>
    </row>
    <row r="127" spans="1:31" x14ac:dyDescent="0.35">
      <c r="A127" t="s">
        <v>89</v>
      </c>
      <c r="B127">
        <v>0</v>
      </c>
      <c r="C127">
        <v>30.597177982330322</v>
      </c>
      <c r="D127">
        <v>48.68</v>
      </c>
      <c r="R127" t="s">
        <v>89</v>
      </c>
      <c r="S127">
        <v>0</v>
      </c>
      <c r="T127">
        <v>30.597177982330322</v>
      </c>
      <c r="U127">
        <v>48.68</v>
      </c>
      <c r="Z127" t="s">
        <v>181</v>
      </c>
      <c r="AA127">
        <f t="shared" si="8"/>
        <v>0</v>
      </c>
      <c r="AB127">
        <v>57.728977203369141</v>
      </c>
      <c r="AC127">
        <v>75.81</v>
      </c>
      <c r="AD127" t="str">
        <f>VLOOKUP(Z127,Migration!$J$3:$R$196,8,FALSE)</f>
        <v>Less than 0.1</v>
      </c>
      <c r="AE127" t="str">
        <f>VLOOKUP(Z127,Migration!$J$3:$R$196,9,FALSE)</f>
        <v>Less than 0.1</v>
      </c>
    </row>
    <row r="128" spans="1:31" x14ac:dyDescent="0.35">
      <c r="A128" t="s">
        <v>536</v>
      </c>
      <c r="B128">
        <v>0</v>
      </c>
      <c r="C128">
        <v>118.54255962371826</v>
      </c>
      <c r="D128">
        <v>87.72</v>
      </c>
      <c r="R128" t="s">
        <v>536</v>
      </c>
      <c r="S128">
        <v>0</v>
      </c>
      <c r="T128">
        <v>118.54255962371826</v>
      </c>
      <c r="U128">
        <v>87.72</v>
      </c>
      <c r="Z128" t="s">
        <v>374</v>
      </c>
      <c r="AA128">
        <f t="shared" si="8"/>
        <v>0</v>
      </c>
      <c r="AB128">
        <v>29.740900039672852</v>
      </c>
      <c r="AC128">
        <v>61.57</v>
      </c>
      <c r="AD128" t="str">
        <f>VLOOKUP(Z128,Migration!$J$3:$R$196,8,FALSE)</f>
        <v>Less than 0.1</v>
      </c>
      <c r="AE128" t="str">
        <f>VLOOKUP(Z128,Migration!$J$3:$R$196,9,FALSE)</f>
        <v>Less than 0.1</v>
      </c>
    </row>
    <row r="129" spans="1:31" x14ac:dyDescent="0.35">
      <c r="A129" t="s">
        <v>301</v>
      </c>
      <c r="B129">
        <v>0</v>
      </c>
      <c r="C129">
        <v>8.0499997138977051</v>
      </c>
      <c r="D129">
        <v>37.19</v>
      </c>
      <c r="R129" t="s">
        <v>301</v>
      </c>
      <c r="S129">
        <v>0</v>
      </c>
      <c r="T129">
        <v>8.0499997138977051</v>
      </c>
      <c r="U129">
        <v>37.19</v>
      </c>
      <c r="Z129" t="s">
        <v>446</v>
      </c>
      <c r="AA129">
        <f t="shared" si="8"/>
        <v>0</v>
      </c>
      <c r="AB129">
        <v>2.5829877555370331</v>
      </c>
      <c r="AC129">
        <v>37.369999999999997</v>
      </c>
      <c r="AD129" t="str">
        <f>VLOOKUP(Z129,Migration!$J$3:$R$196,8,FALSE)</f>
        <v>Less than 0.1</v>
      </c>
      <c r="AE129" t="str">
        <f>VLOOKUP(Z129,Migration!$J$3:$R$196,9,FALSE)</f>
        <v>Less than 0.1</v>
      </c>
    </row>
    <row r="130" spans="1:31" x14ac:dyDescent="0.35">
      <c r="A130" t="s">
        <v>304</v>
      </c>
      <c r="B130">
        <v>0</v>
      </c>
      <c r="C130">
        <v>9.8628150820732117</v>
      </c>
      <c r="D130">
        <v>37.1</v>
      </c>
      <c r="R130" t="s">
        <v>304</v>
      </c>
      <c r="S130">
        <v>0</v>
      </c>
      <c r="T130">
        <v>9.8628150820732117</v>
      </c>
      <c r="U130">
        <v>37.1</v>
      </c>
      <c r="Z130" t="s">
        <v>74</v>
      </c>
      <c r="AA130">
        <f t="shared" ref="AA130:AA161" si="9">IF(OR(AD130="Above 0.05",AE130="Above 0.05"),1,0)</f>
        <v>0</v>
      </c>
      <c r="AB130">
        <v>18.8071448802948</v>
      </c>
      <c r="AC130">
        <v>44.49</v>
      </c>
      <c r="AD130" t="str">
        <f>VLOOKUP(Z130,Migration!$J$3:$R$196,8,FALSE)</f>
        <v>Less than 0.1</v>
      </c>
      <c r="AE130" t="str">
        <f>VLOOKUP(Z130,Migration!$J$3:$R$196,9,FALSE)</f>
        <v>Above 0.1</v>
      </c>
    </row>
    <row r="131" spans="1:31" x14ac:dyDescent="0.35">
      <c r="A131" t="s">
        <v>280</v>
      </c>
      <c r="B131">
        <v>0</v>
      </c>
      <c r="C131">
        <v>7.1190922260284424</v>
      </c>
      <c r="D131">
        <v>43.24</v>
      </c>
      <c r="R131" t="s">
        <v>280</v>
      </c>
      <c r="S131">
        <v>0</v>
      </c>
      <c r="T131">
        <v>7.1190922260284424</v>
      </c>
      <c r="U131">
        <v>43.24</v>
      </c>
      <c r="Z131" t="s">
        <v>380</v>
      </c>
      <c r="AA131">
        <f t="shared" si="9"/>
        <v>0</v>
      </c>
      <c r="AB131">
        <v>34.890394926071167</v>
      </c>
      <c r="AC131">
        <v>70.05</v>
      </c>
      <c r="AD131" t="str">
        <f>VLOOKUP(Z131,Migration!$J$3:$R$196,8,FALSE)</f>
        <v>Less than 0.1</v>
      </c>
      <c r="AE131" t="str">
        <f>VLOOKUP(Z131,Migration!$J$3:$R$196,9,FALSE)</f>
        <v>Above 0.1</v>
      </c>
    </row>
    <row r="132" spans="1:31" x14ac:dyDescent="0.35">
      <c r="A132" t="s">
        <v>322</v>
      </c>
      <c r="B132">
        <v>0</v>
      </c>
      <c r="C132">
        <v>45.686314105987549</v>
      </c>
      <c r="D132">
        <v>58.7</v>
      </c>
      <c r="R132" t="s">
        <v>322</v>
      </c>
      <c r="S132">
        <v>0</v>
      </c>
      <c r="T132">
        <v>45.686314105987549</v>
      </c>
      <c r="U132">
        <v>58.7</v>
      </c>
      <c r="Z132" t="s">
        <v>383</v>
      </c>
      <c r="AA132">
        <f t="shared" si="9"/>
        <v>0</v>
      </c>
      <c r="AB132">
        <v>142.59469795227051</v>
      </c>
      <c r="AC132">
        <v>55.01</v>
      </c>
      <c r="AD132" t="str">
        <f>VLOOKUP(Z132,Migration!$J$3:$R$196,8,FALSE)</f>
        <v>Above 0.1</v>
      </c>
      <c r="AE132" t="str">
        <f>VLOOKUP(Z132,Migration!$J$3:$R$196,9,FALSE)</f>
        <v>No data</v>
      </c>
    </row>
    <row r="133" spans="1:31" x14ac:dyDescent="0.35">
      <c r="A133" t="s">
        <v>319</v>
      </c>
      <c r="B133">
        <v>0</v>
      </c>
      <c r="C133">
        <v>24.83448600769043</v>
      </c>
      <c r="D133">
        <v>61.19</v>
      </c>
      <c r="R133" t="s">
        <v>319</v>
      </c>
      <c r="S133">
        <v>0</v>
      </c>
      <c r="T133">
        <v>24.83448600769043</v>
      </c>
      <c r="U133">
        <v>61.19</v>
      </c>
      <c r="Z133" t="s">
        <v>129</v>
      </c>
      <c r="AA133">
        <f t="shared" si="9"/>
        <v>0</v>
      </c>
      <c r="AB133">
        <v>157.54385757446289</v>
      </c>
      <c r="AC133">
        <v>86.29</v>
      </c>
      <c r="AD133" t="str">
        <f>VLOOKUP(Z133,Migration!$J$3:$R$196,8,FALSE)</f>
        <v>Less than 0.1</v>
      </c>
      <c r="AE133" t="str">
        <f>VLOOKUP(Z133,Migration!$J$3:$R$196,9,FALSE)</f>
        <v>Less than 0.1</v>
      </c>
    </row>
    <row r="134" spans="1:31" x14ac:dyDescent="0.35">
      <c r="A134" t="s">
        <v>117</v>
      </c>
      <c r="B134">
        <v>0</v>
      </c>
      <c r="C134">
        <v>36.610269069671631</v>
      </c>
      <c r="D134">
        <v>76.58</v>
      </c>
      <c r="R134" t="s">
        <v>117</v>
      </c>
      <c r="S134">
        <v>0</v>
      </c>
      <c r="T134">
        <v>36.610269069671631</v>
      </c>
      <c r="U134">
        <v>76.58</v>
      </c>
      <c r="Z134" t="s">
        <v>156</v>
      </c>
      <c r="AA134">
        <f t="shared" si="9"/>
        <v>0</v>
      </c>
      <c r="AB134">
        <v>234.68607902526855</v>
      </c>
      <c r="AC134">
        <v>85.6</v>
      </c>
      <c r="AD134" t="str">
        <f>VLOOKUP(Z134,Migration!$J$3:$R$196,8,FALSE)</f>
        <v>Less than 0.1</v>
      </c>
      <c r="AE134" t="str">
        <f>VLOOKUP(Z134,Migration!$J$3:$R$196,9,FALSE)</f>
        <v>Less than 0.1</v>
      </c>
    </row>
    <row r="135" spans="1:31" x14ac:dyDescent="0.35">
      <c r="A135" t="s">
        <v>325</v>
      </c>
      <c r="B135">
        <v>0</v>
      </c>
      <c r="C135">
        <v>33.546517848968506</v>
      </c>
      <c r="D135">
        <v>55.13</v>
      </c>
      <c r="R135" t="s">
        <v>325</v>
      </c>
      <c r="S135">
        <v>0</v>
      </c>
      <c r="T135">
        <v>33.546517848968506</v>
      </c>
      <c r="U135">
        <v>55.13</v>
      </c>
      <c r="Z135" t="s">
        <v>68</v>
      </c>
      <c r="AA135">
        <f t="shared" si="9"/>
        <v>0</v>
      </c>
      <c r="AB135">
        <v>41.987628936767578</v>
      </c>
      <c r="AC135">
        <v>53.06</v>
      </c>
      <c r="AD135" t="str">
        <f>VLOOKUP(Z135,Migration!$J$3:$R$196,8,FALSE)</f>
        <v>Less than 0.1</v>
      </c>
      <c r="AE135" t="str">
        <f>VLOOKUP(Z135,Migration!$J$3:$R$196,9,FALSE)</f>
        <v>Less than 0.1</v>
      </c>
    </row>
    <row r="136" spans="1:31" x14ac:dyDescent="0.35">
      <c r="A136" t="s">
        <v>316</v>
      </c>
      <c r="B136">
        <v>0</v>
      </c>
      <c r="C136">
        <v>209.23558044433594</v>
      </c>
      <c r="D136">
        <v>86.81</v>
      </c>
      <c r="R136" t="s">
        <v>316</v>
      </c>
      <c r="S136">
        <v>0</v>
      </c>
      <c r="T136">
        <v>209.23558044433594</v>
      </c>
      <c r="U136">
        <v>86.81</v>
      </c>
      <c r="Z136" t="s">
        <v>377</v>
      </c>
      <c r="AA136">
        <f t="shared" si="9"/>
        <v>0</v>
      </c>
      <c r="AB136">
        <v>92.161696434020996</v>
      </c>
      <c r="AC136">
        <v>53.85</v>
      </c>
      <c r="AD136" t="str">
        <f>VLOOKUP(Z136,Migration!$J$3:$R$196,8,FALSE)</f>
        <v>Less than 0.1</v>
      </c>
      <c r="AE136" t="str">
        <f>VLOOKUP(Z136,Migration!$J$3:$R$196,9,FALSE)</f>
        <v>No data</v>
      </c>
    </row>
    <row r="137" spans="1:31" x14ac:dyDescent="0.35">
      <c r="A137" t="s">
        <v>503</v>
      </c>
      <c r="B137">
        <v>0</v>
      </c>
      <c r="C137">
        <v>156.17740964889526</v>
      </c>
      <c r="D137">
        <v>84.28</v>
      </c>
      <c r="R137" t="s">
        <v>503</v>
      </c>
      <c r="S137">
        <v>0</v>
      </c>
      <c r="T137">
        <v>156.17740964889526</v>
      </c>
      <c r="U137">
        <v>84.28</v>
      </c>
      <c r="Z137" t="s">
        <v>187</v>
      </c>
      <c r="AA137">
        <f t="shared" si="9"/>
        <v>0</v>
      </c>
      <c r="AB137">
        <v>153.94527769088745</v>
      </c>
      <c r="AC137">
        <v>85.53</v>
      </c>
      <c r="AD137" t="str">
        <f>VLOOKUP(Z137,Migration!$J$3:$R$196,8,FALSE)</f>
        <v>Less than 0.1</v>
      </c>
      <c r="AE137" t="str">
        <f>VLOOKUP(Z137,Migration!$J$3:$R$196,9,FALSE)</f>
        <v>Less than 0.1</v>
      </c>
    </row>
    <row r="138" spans="1:31" x14ac:dyDescent="0.35">
      <c r="A138" t="s">
        <v>328</v>
      </c>
      <c r="B138">
        <v>0</v>
      </c>
      <c r="C138">
        <v>102.12694239616394</v>
      </c>
      <c r="D138">
        <v>83.38</v>
      </c>
      <c r="R138" t="s">
        <v>328</v>
      </c>
      <c r="S138">
        <v>0</v>
      </c>
      <c r="T138">
        <v>102.12694239616394</v>
      </c>
      <c r="U138">
        <v>83.38</v>
      </c>
      <c r="Z138" t="s">
        <v>515</v>
      </c>
      <c r="AA138">
        <f t="shared" si="9"/>
        <v>0</v>
      </c>
      <c r="AB138">
        <v>57.11995267868042</v>
      </c>
      <c r="AC138">
        <v>68.66</v>
      </c>
      <c r="AD138" t="str">
        <f>VLOOKUP(Z138,Migration!$J$3:$R$196,8,FALSE)</f>
        <v>Less than 0.1</v>
      </c>
      <c r="AE138" t="str">
        <f>VLOOKUP(Z138,Migration!$J$3:$R$196,9,FALSE)</f>
        <v>Less than 0.1</v>
      </c>
    </row>
    <row r="139" spans="1:31" x14ac:dyDescent="0.35">
      <c r="A139" t="s">
        <v>127</v>
      </c>
      <c r="B139">
        <v>0</v>
      </c>
      <c r="C139">
        <v>144.50519561767578</v>
      </c>
      <c r="D139">
        <v>84.94</v>
      </c>
      <c r="R139" t="s">
        <v>127</v>
      </c>
      <c r="S139">
        <v>0</v>
      </c>
      <c r="T139">
        <v>144.50519561767578</v>
      </c>
      <c r="U139">
        <v>84.94</v>
      </c>
      <c r="Z139" t="s">
        <v>123</v>
      </c>
      <c r="AA139">
        <f t="shared" si="9"/>
        <v>0</v>
      </c>
      <c r="AB139">
        <v>15.978756189346313</v>
      </c>
      <c r="AC139">
        <v>44.97</v>
      </c>
      <c r="AD139" t="str">
        <f>VLOOKUP(Z139,Migration!$J$3:$R$196,8,FALSE)</f>
        <v>Less than 0.1</v>
      </c>
      <c r="AE139" t="str">
        <f>VLOOKUP(Z139,Migration!$J$3:$R$196,9,FALSE)</f>
        <v>Less than 0.1</v>
      </c>
    </row>
    <row r="140" spans="1:31" x14ac:dyDescent="0.35">
      <c r="A140" t="s">
        <v>331</v>
      </c>
      <c r="B140">
        <v>0</v>
      </c>
      <c r="C140">
        <v>113.48162221908569</v>
      </c>
      <c r="D140">
        <v>75.900000000000006</v>
      </c>
      <c r="R140" t="s">
        <v>331</v>
      </c>
      <c r="S140">
        <v>0</v>
      </c>
      <c r="T140">
        <v>113.48162221908569</v>
      </c>
      <c r="U140">
        <v>75.900000000000006</v>
      </c>
      <c r="Z140" t="s">
        <v>392</v>
      </c>
      <c r="AA140">
        <f t="shared" si="9"/>
        <v>0</v>
      </c>
      <c r="AB140">
        <v>53.63815975189209</v>
      </c>
      <c r="AC140">
        <v>77.28</v>
      </c>
      <c r="AD140" t="str">
        <f>VLOOKUP(Z140,Migration!$J$3:$R$196,8,FALSE)</f>
        <v>Less than 0.1</v>
      </c>
      <c r="AE140" t="str">
        <f>VLOOKUP(Z140,Migration!$J$3:$R$196,9,FALSE)</f>
        <v>Above 0.1</v>
      </c>
    </row>
    <row r="141" spans="1:31" x14ac:dyDescent="0.35">
      <c r="A141" t="s">
        <v>174</v>
      </c>
      <c r="B141">
        <v>0</v>
      </c>
      <c r="C141">
        <v>78.156991004943848</v>
      </c>
      <c r="D141">
        <v>70.319999999999993</v>
      </c>
      <c r="R141" t="s">
        <v>174</v>
      </c>
      <c r="S141">
        <v>0</v>
      </c>
      <c r="T141">
        <v>78.156991004943848</v>
      </c>
      <c r="U141">
        <v>70.319999999999993</v>
      </c>
      <c r="Z141" t="s">
        <v>398</v>
      </c>
      <c r="AA141">
        <f t="shared" si="9"/>
        <v>0</v>
      </c>
      <c r="AB141">
        <v>43.624292373657227</v>
      </c>
      <c r="AC141">
        <v>78.34</v>
      </c>
      <c r="AD141" t="str">
        <f>VLOOKUP(Z141,Migration!$J$3:$R$196,8,FALSE)</f>
        <v>Less than 0.1</v>
      </c>
      <c r="AE141" t="str">
        <f>VLOOKUP(Z141,Migration!$J$3:$R$196,9,FALSE)</f>
        <v>Less than 0.1</v>
      </c>
    </row>
    <row r="142" spans="1:31" x14ac:dyDescent="0.35">
      <c r="A142" t="s">
        <v>337</v>
      </c>
      <c r="B142">
        <v>0</v>
      </c>
      <c r="C142">
        <v>40.280911684036255</v>
      </c>
      <c r="D142">
        <v>51.22</v>
      </c>
      <c r="R142" t="s">
        <v>337</v>
      </c>
      <c r="S142">
        <v>0</v>
      </c>
      <c r="T142">
        <v>40.280911684036255</v>
      </c>
      <c r="U142">
        <v>51.22</v>
      </c>
      <c r="Z142" t="s">
        <v>401</v>
      </c>
      <c r="AA142">
        <f t="shared" si="9"/>
        <v>0</v>
      </c>
      <c r="AB142">
        <v>62.195405960083008</v>
      </c>
      <c r="AC142">
        <v>55.37</v>
      </c>
      <c r="AD142" t="str">
        <f>VLOOKUP(Z142,Migration!$J$3:$R$196,8,FALSE)</f>
        <v>Less than 0.1</v>
      </c>
      <c r="AE142" t="str">
        <f>VLOOKUP(Z142,Migration!$J$3:$R$196,9,FALSE)</f>
        <v>Above 0.1</v>
      </c>
    </row>
    <row r="143" spans="1:31" x14ac:dyDescent="0.35">
      <c r="A143" t="s">
        <v>339</v>
      </c>
      <c r="B143">
        <v>0</v>
      </c>
      <c r="C143">
        <v>106.67948877811432</v>
      </c>
      <c r="D143">
        <v>87.09</v>
      </c>
      <c r="R143" t="s">
        <v>339</v>
      </c>
      <c r="S143">
        <v>0</v>
      </c>
      <c r="T143">
        <v>106.67948877811432</v>
      </c>
      <c r="U143">
        <v>87.09</v>
      </c>
      <c r="Z143" t="s">
        <v>389</v>
      </c>
      <c r="AA143">
        <f t="shared" si="9"/>
        <v>0</v>
      </c>
      <c r="AB143">
        <v>82.356843829154968</v>
      </c>
      <c r="AC143">
        <v>58.77</v>
      </c>
      <c r="AD143" t="str">
        <f>VLOOKUP(Z143,Migration!$J$3:$R$196,8,FALSE)</f>
        <v>No data</v>
      </c>
      <c r="AE143" t="str">
        <f>VLOOKUP(Z143,Migration!$J$3:$R$196,9,FALSE)</f>
        <v>No data</v>
      </c>
    </row>
    <row r="144" spans="1:31" x14ac:dyDescent="0.35">
      <c r="A144" t="s">
        <v>506</v>
      </c>
      <c r="B144">
        <v>0</v>
      </c>
      <c r="C144">
        <v>75.429846286773682</v>
      </c>
      <c r="D144">
        <v>69.56</v>
      </c>
      <c r="R144" t="s">
        <v>506</v>
      </c>
      <c r="S144">
        <v>0</v>
      </c>
      <c r="T144">
        <v>75.429846286773682</v>
      </c>
      <c r="U144">
        <v>69.56</v>
      </c>
      <c r="Z144" t="s">
        <v>107</v>
      </c>
      <c r="AA144">
        <f t="shared" si="9"/>
        <v>0</v>
      </c>
      <c r="AB144">
        <v>5.1902213096618652</v>
      </c>
      <c r="AC144">
        <v>33.42</v>
      </c>
      <c r="AD144" t="str">
        <f>VLOOKUP(Z144,Migration!$J$3:$R$196,8,FALSE)</f>
        <v>Less than 0.1</v>
      </c>
      <c r="AE144" t="str">
        <f>VLOOKUP(Z144,Migration!$J$3:$R$196,9,FALSE)</f>
        <v>No data</v>
      </c>
    </row>
    <row r="145" spans="1:31" x14ac:dyDescent="0.35">
      <c r="A145" t="s">
        <v>56</v>
      </c>
      <c r="B145">
        <v>0</v>
      </c>
      <c r="C145">
        <v>37.266354560852051</v>
      </c>
      <c r="D145">
        <v>66.8</v>
      </c>
      <c r="R145" t="s">
        <v>56</v>
      </c>
      <c r="S145">
        <v>0</v>
      </c>
      <c r="T145">
        <v>37.266354560852051</v>
      </c>
      <c r="U145">
        <v>66.8</v>
      </c>
      <c r="Z145" t="s">
        <v>404</v>
      </c>
      <c r="AA145">
        <f t="shared" si="9"/>
        <v>0</v>
      </c>
      <c r="AB145">
        <v>106.49603033065796</v>
      </c>
      <c r="AC145">
        <v>73.98</v>
      </c>
      <c r="AD145" t="str">
        <f>VLOOKUP(Z145,Migration!$J$3:$R$196,8,FALSE)</f>
        <v>Less than 0.1</v>
      </c>
      <c r="AE145" t="str">
        <f>VLOOKUP(Z145,Migration!$J$3:$R$196,9,FALSE)</f>
        <v>Above 0.1</v>
      </c>
    </row>
    <row r="146" spans="1:31" x14ac:dyDescent="0.35">
      <c r="A146" t="s">
        <v>150</v>
      </c>
      <c r="B146">
        <v>0</v>
      </c>
      <c r="C146">
        <v>40.020579099655151</v>
      </c>
      <c r="D146">
        <v>48.09</v>
      </c>
      <c r="R146" t="s">
        <v>150</v>
      </c>
      <c r="S146">
        <v>0</v>
      </c>
      <c r="T146">
        <v>40.020579099655151</v>
      </c>
      <c r="U146">
        <v>48.09</v>
      </c>
      <c r="Z146" t="s">
        <v>45</v>
      </c>
      <c r="AA146">
        <f t="shared" si="9"/>
        <v>0</v>
      </c>
      <c r="AB146">
        <v>81.418107748031616</v>
      </c>
      <c r="AC146">
        <v>67.75</v>
      </c>
      <c r="AD146" t="str">
        <f>VLOOKUP(Z146,Migration!$J$3:$R$196,8,FALSE)</f>
        <v>Less than 0.1</v>
      </c>
      <c r="AE146" t="str">
        <f>VLOOKUP(Z146,Migration!$J$3:$R$196,9,FALSE)</f>
        <v>No data</v>
      </c>
    </row>
    <row r="147" spans="1:31" x14ac:dyDescent="0.35">
      <c r="A147" t="s">
        <v>348</v>
      </c>
      <c r="B147">
        <v>0</v>
      </c>
      <c r="C147">
        <v>151.58923101425171</v>
      </c>
      <c r="D147">
        <v>69.52</v>
      </c>
      <c r="R147" t="s">
        <v>348</v>
      </c>
      <c r="S147">
        <v>0</v>
      </c>
      <c r="T147">
        <v>151.58923101425171</v>
      </c>
      <c r="U147">
        <v>69.52</v>
      </c>
      <c r="Z147" t="s">
        <v>202</v>
      </c>
      <c r="AA147">
        <f t="shared" si="9"/>
        <v>0</v>
      </c>
      <c r="AB147">
        <v>129.26470828056335</v>
      </c>
      <c r="AC147">
        <v>84.38</v>
      </c>
      <c r="AD147" t="str">
        <f>VLOOKUP(Z147,Migration!$J$3:$R$196,8,FALSE)</f>
        <v>Less than 0.1</v>
      </c>
      <c r="AE147" t="str">
        <f>VLOOKUP(Z147,Migration!$J$3:$R$196,9,FALSE)</f>
        <v>Above 0.1</v>
      </c>
    </row>
    <row r="148" spans="1:31" x14ac:dyDescent="0.35">
      <c r="A148" t="s">
        <v>208</v>
      </c>
      <c r="B148">
        <v>0</v>
      </c>
      <c r="C148">
        <v>276.52733087539673</v>
      </c>
      <c r="D148">
        <v>84.82</v>
      </c>
      <c r="R148" t="s">
        <v>208</v>
      </c>
      <c r="S148">
        <v>0</v>
      </c>
      <c r="T148">
        <v>276.52733087539673</v>
      </c>
      <c r="U148">
        <v>84.82</v>
      </c>
      <c r="Z148" t="s">
        <v>395</v>
      </c>
      <c r="AA148">
        <f t="shared" si="9"/>
        <v>0</v>
      </c>
      <c r="AB148">
        <v>31.367098331451416</v>
      </c>
      <c r="AC148">
        <v>61.41</v>
      </c>
      <c r="AD148" t="str">
        <f>VLOOKUP(Z148,Migration!$J$3:$R$196,8,FALSE)</f>
        <v>Less than 0.1</v>
      </c>
      <c r="AE148" t="str">
        <f>VLOOKUP(Z148,Migration!$J$3:$R$196,9,FALSE)</f>
        <v>Less than 0.1</v>
      </c>
    </row>
    <row r="149" spans="1:31" x14ac:dyDescent="0.35">
      <c r="A149" t="s">
        <v>360</v>
      </c>
      <c r="B149">
        <v>0</v>
      </c>
      <c r="C149">
        <v>5.6874344348907471</v>
      </c>
      <c r="D149">
        <v>41.55</v>
      </c>
      <c r="R149" t="s">
        <v>360</v>
      </c>
      <c r="S149">
        <v>0</v>
      </c>
      <c r="T149">
        <v>5.6874344348907471</v>
      </c>
      <c r="U149">
        <v>41.55</v>
      </c>
      <c r="Z149" t="s">
        <v>899</v>
      </c>
      <c r="AA149" t="e">
        <f t="shared" si="9"/>
        <v>#N/A</v>
      </c>
      <c r="AB149" t="e">
        <v>#N/A</v>
      </c>
      <c r="AC149" t="e">
        <v>#N/A</v>
      </c>
      <c r="AD149" t="e">
        <f>VLOOKUP(Z149,Migration!$J$3:$R$196,8,FALSE)</f>
        <v>#N/A</v>
      </c>
      <c r="AE149" t="e">
        <f>VLOOKUP(Z149,Migration!$J$3:$R$196,9,FALSE)</f>
        <v>#N/A</v>
      </c>
    </row>
    <row r="150" spans="1:31" x14ac:dyDescent="0.35">
      <c r="A150" t="s">
        <v>452</v>
      </c>
      <c r="B150">
        <v>0</v>
      </c>
      <c r="C150">
        <v>18.205740451812744</v>
      </c>
      <c r="D150">
        <v>60.5</v>
      </c>
      <c r="R150" t="s">
        <v>452</v>
      </c>
      <c r="S150">
        <v>0</v>
      </c>
      <c r="T150">
        <v>18.205740451812744</v>
      </c>
      <c r="U150">
        <v>60.5</v>
      </c>
      <c r="Z150" t="s">
        <v>512</v>
      </c>
      <c r="AA150">
        <f t="shared" si="9"/>
        <v>0</v>
      </c>
      <c r="AB150">
        <v>96.822715044021606</v>
      </c>
      <c r="AC150">
        <v>74.400000000000006</v>
      </c>
      <c r="AD150" t="str">
        <f>VLOOKUP(Z150,Migration!$J$3:$R$196,8,FALSE)</f>
        <v>Less than 0.1</v>
      </c>
      <c r="AE150" t="str">
        <f>VLOOKUP(Z150,Migration!$J$3:$R$196,9,FALSE)</f>
        <v>Less than 0.1</v>
      </c>
    </row>
    <row r="151" spans="1:31" x14ac:dyDescent="0.35">
      <c r="A151" t="s">
        <v>183</v>
      </c>
      <c r="B151">
        <v>0</v>
      </c>
      <c r="C151">
        <v>80.714088439941406</v>
      </c>
      <c r="D151">
        <v>63.28</v>
      </c>
      <c r="R151" t="s">
        <v>183</v>
      </c>
      <c r="S151">
        <v>0</v>
      </c>
      <c r="T151">
        <v>80.714088439941406</v>
      </c>
      <c r="U151">
        <v>63.28</v>
      </c>
      <c r="Z151" t="s">
        <v>481</v>
      </c>
      <c r="AA151">
        <f t="shared" si="9"/>
        <v>0</v>
      </c>
      <c r="AB151">
        <v>103.45634686946869</v>
      </c>
      <c r="AC151">
        <v>71.459999999999994</v>
      </c>
      <c r="AD151" t="str">
        <f>VLOOKUP(Z151,Migration!$J$3:$R$196,8,FALSE)</f>
        <v>Above 0.1</v>
      </c>
      <c r="AE151" t="str">
        <f>VLOOKUP(Z151,Migration!$J$3:$R$196,9,FALSE)</f>
        <v>Less than 0.1</v>
      </c>
    </row>
    <row r="152" spans="1:31" x14ac:dyDescent="0.35">
      <c r="A152" t="s">
        <v>120</v>
      </c>
      <c r="B152">
        <v>0</v>
      </c>
      <c r="C152">
        <v>11.116631984710693</v>
      </c>
      <c r="D152">
        <v>39.57</v>
      </c>
      <c r="R152" t="s">
        <v>120</v>
      </c>
      <c r="S152">
        <v>0</v>
      </c>
      <c r="T152">
        <v>11.116631984710693</v>
      </c>
      <c r="U152">
        <v>39.57</v>
      </c>
      <c r="Z152" t="s">
        <v>483</v>
      </c>
      <c r="AA152">
        <f t="shared" si="9"/>
        <v>0</v>
      </c>
      <c r="AB152">
        <v>100.45527315139771</v>
      </c>
      <c r="AC152">
        <v>75.37</v>
      </c>
      <c r="AD152" t="str">
        <f>VLOOKUP(Z152,Migration!$J$3:$R$196,8,FALSE)</f>
        <v>Less than 0.1</v>
      </c>
      <c r="AE152" t="str">
        <f>VLOOKUP(Z152,Migration!$J$3:$R$196,9,FALSE)</f>
        <v>Less than 0.1</v>
      </c>
    </row>
    <row r="153" spans="1:31" x14ac:dyDescent="0.35">
      <c r="A153" t="s">
        <v>354</v>
      </c>
      <c r="B153">
        <v>0</v>
      </c>
      <c r="C153">
        <v>7.6031413078308105</v>
      </c>
      <c r="D153">
        <v>48.26</v>
      </c>
      <c r="R153" t="s">
        <v>354</v>
      </c>
      <c r="S153">
        <v>0</v>
      </c>
      <c r="T153">
        <v>7.6031413078308105</v>
      </c>
      <c r="U153">
        <v>48.26</v>
      </c>
      <c r="Z153" t="s">
        <v>407</v>
      </c>
      <c r="AA153">
        <f t="shared" si="9"/>
        <v>0</v>
      </c>
      <c r="AB153">
        <v>10.68412709236145</v>
      </c>
      <c r="AC153">
        <v>53.74</v>
      </c>
      <c r="AD153" t="str">
        <f>VLOOKUP(Z153,Migration!$J$3:$R$196,8,FALSE)</f>
        <v>Less than 0.1</v>
      </c>
      <c r="AE153" t="str">
        <f>VLOOKUP(Z153,Migration!$J$3:$R$196,9,FALSE)</f>
        <v>Less than 0.1</v>
      </c>
    </row>
    <row r="154" spans="1:31" x14ac:dyDescent="0.35">
      <c r="A154" t="s">
        <v>181</v>
      </c>
      <c r="B154">
        <v>0</v>
      </c>
      <c r="C154">
        <v>57.728977203369141</v>
      </c>
      <c r="D154">
        <v>75.81</v>
      </c>
      <c r="R154" t="s">
        <v>181</v>
      </c>
      <c r="S154">
        <v>0</v>
      </c>
      <c r="T154">
        <v>57.728977203369141</v>
      </c>
      <c r="U154">
        <v>75.81</v>
      </c>
      <c r="Z154" t="s">
        <v>159</v>
      </c>
      <c r="AA154">
        <f t="shared" si="9"/>
        <v>0</v>
      </c>
      <c r="AB154">
        <v>85.515812516212463</v>
      </c>
      <c r="AC154">
        <v>72.87</v>
      </c>
      <c r="AD154" t="str">
        <f>VLOOKUP(Z154,Migration!$J$3:$R$196,8,FALSE)</f>
        <v>Less than 0.1</v>
      </c>
      <c r="AE154" t="str">
        <f>VLOOKUP(Z154,Migration!$J$3:$R$196,9,FALSE)</f>
        <v>Less than 0.1</v>
      </c>
    </row>
    <row r="155" spans="1:31" x14ac:dyDescent="0.35">
      <c r="A155" t="s">
        <v>374</v>
      </c>
      <c r="B155">
        <v>0</v>
      </c>
      <c r="C155">
        <v>29.740900039672852</v>
      </c>
      <c r="D155">
        <v>61.57</v>
      </c>
      <c r="R155" t="s">
        <v>374</v>
      </c>
      <c r="S155">
        <v>0</v>
      </c>
      <c r="T155">
        <v>29.740900039672852</v>
      </c>
      <c r="U155">
        <v>61.57</v>
      </c>
      <c r="Z155" t="s">
        <v>900</v>
      </c>
      <c r="AA155" t="e">
        <f t="shared" si="9"/>
        <v>#N/A</v>
      </c>
      <c r="AB155" t="e">
        <v>#N/A</v>
      </c>
      <c r="AC155" t="e">
        <v>#N/A</v>
      </c>
      <c r="AD155" t="e">
        <f>VLOOKUP(Z155,Migration!$J$3:$R$196,8,FALSE)</f>
        <v>#N/A</v>
      </c>
      <c r="AE155" t="e">
        <f>VLOOKUP(Z155,Migration!$J$3:$R$196,9,FALSE)</f>
        <v>#N/A</v>
      </c>
    </row>
    <row r="156" spans="1:31" x14ac:dyDescent="0.35">
      <c r="A156" t="s">
        <v>129</v>
      </c>
      <c r="B156">
        <v>0</v>
      </c>
      <c r="C156">
        <v>157.54385757446289</v>
      </c>
      <c r="D156">
        <v>86.29</v>
      </c>
      <c r="R156" t="s">
        <v>129</v>
      </c>
      <c r="S156">
        <v>0</v>
      </c>
      <c r="T156">
        <v>157.54385757446289</v>
      </c>
      <c r="U156">
        <v>86.29</v>
      </c>
      <c r="Z156" t="s">
        <v>449</v>
      </c>
      <c r="AA156">
        <f t="shared" si="9"/>
        <v>0</v>
      </c>
      <c r="AB156">
        <v>14.073406219482422</v>
      </c>
      <c r="AC156">
        <v>43.78</v>
      </c>
      <c r="AD156" t="str">
        <f>VLOOKUP(Z156,Migration!$J$3:$R$196,8,FALSE)</f>
        <v>Above 0.1</v>
      </c>
      <c r="AE156" t="str">
        <f>VLOOKUP(Z156,Migration!$J$3:$R$196,9,FALSE)</f>
        <v>Less than 0.1</v>
      </c>
    </row>
    <row r="157" spans="1:31" x14ac:dyDescent="0.35">
      <c r="A157" t="s">
        <v>156</v>
      </c>
      <c r="B157">
        <v>0</v>
      </c>
      <c r="C157">
        <v>234.68607902526855</v>
      </c>
      <c r="D157">
        <v>85.6</v>
      </c>
      <c r="R157" t="s">
        <v>156</v>
      </c>
      <c r="S157">
        <v>0</v>
      </c>
      <c r="T157">
        <v>234.68607902526855</v>
      </c>
      <c r="U157">
        <v>85.6</v>
      </c>
      <c r="Z157" t="s">
        <v>413</v>
      </c>
      <c r="AA157">
        <f t="shared" si="9"/>
        <v>0</v>
      </c>
      <c r="AB157">
        <v>6.283435583114624</v>
      </c>
      <c r="AC157">
        <v>48.99</v>
      </c>
      <c r="AD157" t="str">
        <f>VLOOKUP(Z157,Migration!$J$3:$R$196,8,FALSE)</f>
        <v>Less than 0.1</v>
      </c>
      <c r="AE157" t="str">
        <f>VLOOKUP(Z157,Migration!$J$3:$R$196,9,FALSE)</f>
        <v>Less than 0.1</v>
      </c>
    </row>
    <row r="158" spans="1:31" x14ac:dyDescent="0.35">
      <c r="A158" t="s">
        <v>68</v>
      </c>
      <c r="B158">
        <v>0</v>
      </c>
      <c r="C158">
        <v>41.987628936767578</v>
      </c>
      <c r="D158">
        <v>53.06</v>
      </c>
      <c r="R158" t="s">
        <v>68</v>
      </c>
      <c r="S158">
        <v>0</v>
      </c>
      <c r="T158">
        <v>41.987628936767578</v>
      </c>
      <c r="U158">
        <v>53.06</v>
      </c>
      <c r="Z158" t="s">
        <v>425</v>
      </c>
      <c r="AA158">
        <f t="shared" si="9"/>
        <v>0</v>
      </c>
      <c r="AB158">
        <v>87.031761169433594</v>
      </c>
      <c r="AC158">
        <v>85.87</v>
      </c>
      <c r="AD158" t="str">
        <f>VLOOKUP(Z158,Migration!$J$3:$R$196,8,FALSE)</f>
        <v>Less than 0.1</v>
      </c>
      <c r="AE158" t="str">
        <f>VLOOKUP(Z158,Migration!$J$3:$R$196,9,FALSE)</f>
        <v>Less than 0.1</v>
      </c>
    </row>
    <row r="159" spans="1:31" x14ac:dyDescent="0.35">
      <c r="A159" t="s">
        <v>187</v>
      </c>
      <c r="B159">
        <v>0</v>
      </c>
      <c r="C159">
        <v>153.94527769088745</v>
      </c>
      <c r="D159">
        <v>85.53</v>
      </c>
      <c r="R159" t="s">
        <v>187</v>
      </c>
      <c r="S159">
        <v>0</v>
      </c>
      <c r="T159">
        <v>153.94527769088745</v>
      </c>
      <c r="U159">
        <v>85.53</v>
      </c>
      <c r="Z159" t="s">
        <v>497</v>
      </c>
      <c r="AA159">
        <f t="shared" si="9"/>
        <v>0</v>
      </c>
      <c r="AB159">
        <v>23.580603837966919</v>
      </c>
      <c r="AC159">
        <v>50.29</v>
      </c>
      <c r="AD159" t="str">
        <f>VLOOKUP(Z159,Migration!$J$3:$R$196,8,FALSE)</f>
        <v>No data</v>
      </c>
      <c r="AE159" t="str">
        <f>VLOOKUP(Z159,Migration!$J$3:$R$196,9,FALSE)</f>
        <v>No data</v>
      </c>
    </row>
    <row r="160" spans="1:31" x14ac:dyDescent="0.35">
      <c r="A160" t="s">
        <v>515</v>
      </c>
      <c r="B160">
        <v>0</v>
      </c>
      <c r="C160">
        <v>57.11995267868042</v>
      </c>
      <c r="D160">
        <v>68.66</v>
      </c>
      <c r="R160" t="s">
        <v>515</v>
      </c>
      <c r="S160">
        <v>0</v>
      </c>
      <c r="T160">
        <v>57.11995267868042</v>
      </c>
      <c r="U160">
        <v>68.66</v>
      </c>
      <c r="Z160" t="s">
        <v>422</v>
      </c>
      <c r="AA160">
        <f t="shared" si="9"/>
        <v>0</v>
      </c>
      <c r="AB160">
        <v>9.2148723602294922</v>
      </c>
      <c r="AC160">
        <v>39.11</v>
      </c>
      <c r="AD160" t="str">
        <f>VLOOKUP(Z160,Migration!$J$3:$R$196,8,FALSE)</f>
        <v>Less than 0.1</v>
      </c>
      <c r="AE160" t="str">
        <f>VLOOKUP(Z160,Migration!$J$3:$R$196,9,FALSE)</f>
        <v>Above 0.1</v>
      </c>
    </row>
    <row r="161" spans="1:31" x14ac:dyDescent="0.35">
      <c r="A161" t="s">
        <v>389</v>
      </c>
      <c r="B161">
        <v>0</v>
      </c>
      <c r="C161">
        <v>82.356843829154968</v>
      </c>
      <c r="D161">
        <v>58.77</v>
      </c>
      <c r="R161" t="s">
        <v>389</v>
      </c>
      <c r="S161">
        <v>0</v>
      </c>
      <c r="T161">
        <v>82.356843829154968</v>
      </c>
      <c r="U161">
        <v>58.77</v>
      </c>
      <c r="Z161" t="s">
        <v>277</v>
      </c>
      <c r="AA161">
        <f t="shared" si="9"/>
        <v>0</v>
      </c>
      <c r="AB161">
        <v>51.341620922088623</v>
      </c>
      <c r="AC161">
        <v>75.510000000000005</v>
      </c>
      <c r="AD161" t="str">
        <f>VLOOKUP(Z161,Migration!$J$3:$R$196,8,FALSE)</f>
        <v>Less than 0.1</v>
      </c>
      <c r="AE161" t="str">
        <f>VLOOKUP(Z161,Migration!$J$3:$R$196,9,FALSE)</f>
        <v>Above 0.1</v>
      </c>
    </row>
    <row r="162" spans="1:31" x14ac:dyDescent="0.35">
      <c r="A162" t="s">
        <v>107</v>
      </c>
      <c r="B162">
        <v>0</v>
      </c>
      <c r="C162">
        <v>5.1902213096618652</v>
      </c>
      <c r="D162">
        <v>33.42</v>
      </c>
      <c r="R162" t="s">
        <v>107</v>
      </c>
      <c r="S162">
        <v>0</v>
      </c>
      <c r="T162">
        <v>5.1902213096618652</v>
      </c>
      <c r="U162">
        <v>33.42</v>
      </c>
      <c r="Z162" t="s">
        <v>410</v>
      </c>
      <c r="AA162">
        <f t="shared" ref="AA162:AA193" si="10">IF(OR(AD162="Above 0.05",AE162="Above 0.05"),1,0)</f>
        <v>0</v>
      </c>
      <c r="AB162">
        <v>142.98291206359863</v>
      </c>
      <c r="AC162">
        <v>81.59</v>
      </c>
      <c r="AD162" t="str">
        <f>VLOOKUP(Z162,Migration!$J$3:$R$196,8,FALSE)</f>
        <v>No data</v>
      </c>
      <c r="AE162" t="str">
        <f>VLOOKUP(Z162,Migration!$J$3:$R$196,9,FALSE)</f>
        <v>No data</v>
      </c>
    </row>
    <row r="163" spans="1:31" x14ac:dyDescent="0.35">
      <c r="A163" t="s">
        <v>45</v>
      </c>
      <c r="B163">
        <v>0</v>
      </c>
      <c r="C163">
        <v>81.418107748031616</v>
      </c>
      <c r="D163">
        <v>67.75</v>
      </c>
      <c r="R163" t="s">
        <v>45</v>
      </c>
      <c r="S163">
        <v>0</v>
      </c>
      <c r="T163">
        <v>81.418107748031616</v>
      </c>
      <c r="U163">
        <v>67.75</v>
      </c>
      <c r="Z163" t="s">
        <v>77</v>
      </c>
      <c r="AA163">
        <f t="shared" si="10"/>
        <v>0</v>
      </c>
      <c r="AB163">
        <v>1.3514925241470337</v>
      </c>
      <c r="AC163">
        <v>27.33</v>
      </c>
      <c r="AD163" t="str">
        <f>VLOOKUP(Z163,Migration!$J$3:$R$196,8,FALSE)</f>
        <v>Less than 0.1</v>
      </c>
      <c r="AE163" t="str">
        <f>VLOOKUP(Z163,Migration!$J$3:$R$196,9,FALSE)</f>
        <v>Above 0.1</v>
      </c>
    </row>
    <row r="164" spans="1:31" x14ac:dyDescent="0.35">
      <c r="A164" t="s">
        <v>512</v>
      </c>
      <c r="B164">
        <v>0</v>
      </c>
      <c r="C164">
        <v>96.822715044021606</v>
      </c>
      <c r="D164">
        <v>74.400000000000006</v>
      </c>
      <c r="R164" t="s">
        <v>512</v>
      </c>
      <c r="S164">
        <v>0</v>
      </c>
      <c r="T164">
        <v>96.822715044021606</v>
      </c>
      <c r="U164">
        <v>74.400000000000006</v>
      </c>
      <c r="Z164" t="s">
        <v>434</v>
      </c>
      <c r="AA164">
        <f t="shared" si="10"/>
        <v>0</v>
      </c>
      <c r="AB164">
        <v>6.4817723035812378</v>
      </c>
      <c r="AC164">
        <v>31.83</v>
      </c>
      <c r="AD164" t="str">
        <f>VLOOKUP(Z164,Migration!$J$3:$R$196,8,FALSE)</f>
        <v>No data</v>
      </c>
      <c r="AE164" t="str">
        <f>VLOOKUP(Z164,Migration!$J$3:$R$196,9,FALSE)</f>
        <v>No data</v>
      </c>
    </row>
    <row r="165" spans="1:31" x14ac:dyDescent="0.35">
      <c r="A165" t="s">
        <v>483</v>
      </c>
      <c r="B165">
        <v>0</v>
      </c>
      <c r="C165">
        <v>100.45527315139771</v>
      </c>
      <c r="D165">
        <v>75.37</v>
      </c>
      <c r="R165" t="s">
        <v>483</v>
      </c>
      <c r="S165">
        <v>0</v>
      </c>
      <c r="T165">
        <v>100.45527315139771</v>
      </c>
      <c r="U165">
        <v>75.37</v>
      </c>
      <c r="Z165" t="s">
        <v>48</v>
      </c>
      <c r="AA165">
        <f t="shared" si="10"/>
        <v>0</v>
      </c>
      <c r="AB165">
        <v>26.366206645965576</v>
      </c>
      <c r="AC165">
        <v>60.25</v>
      </c>
      <c r="AD165" t="str">
        <f>VLOOKUP(Z165,Migration!$J$3:$R$196,8,FALSE)</f>
        <v>Less than 0.1</v>
      </c>
      <c r="AE165" t="str">
        <f>VLOOKUP(Z165,Migration!$J$3:$R$196,9,FALSE)</f>
        <v>No data</v>
      </c>
    </row>
    <row r="166" spans="1:31" x14ac:dyDescent="0.35">
      <c r="A166" t="s">
        <v>407</v>
      </c>
      <c r="B166">
        <v>0</v>
      </c>
      <c r="C166">
        <v>10.68412709236145</v>
      </c>
      <c r="D166">
        <v>53.74</v>
      </c>
      <c r="R166" t="s">
        <v>407</v>
      </c>
      <c r="S166">
        <v>0</v>
      </c>
      <c r="T166">
        <v>10.68412709236145</v>
      </c>
      <c r="U166">
        <v>53.74</v>
      </c>
      <c r="Z166" t="s">
        <v>437</v>
      </c>
      <c r="AA166">
        <f t="shared" si="10"/>
        <v>0</v>
      </c>
      <c r="AB166">
        <v>47.464413404464722</v>
      </c>
      <c r="AC166">
        <v>66.930000000000007</v>
      </c>
      <c r="AD166" t="str">
        <f>VLOOKUP(Z166,Migration!$J$3:$R$196,8,FALSE)</f>
        <v>Less than 0.1</v>
      </c>
      <c r="AE166" t="str">
        <f>VLOOKUP(Z166,Migration!$J$3:$R$196,9,FALSE)</f>
        <v>No data</v>
      </c>
    </row>
    <row r="167" spans="1:31" x14ac:dyDescent="0.35">
      <c r="A167" t="s">
        <v>159</v>
      </c>
      <c r="B167">
        <v>0</v>
      </c>
      <c r="C167">
        <v>85.515812516212463</v>
      </c>
      <c r="D167">
        <v>72.87</v>
      </c>
      <c r="R167" t="s">
        <v>159</v>
      </c>
      <c r="S167">
        <v>0</v>
      </c>
      <c r="T167">
        <v>85.515812516212463</v>
      </c>
      <c r="U167">
        <v>72.87</v>
      </c>
      <c r="Z167" t="s">
        <v>492</v>
      </c>
      <c r="AA167">
        <f t="shared" si="10"/>
        <v>0</v>
      </c>
      <c r="AB167">
        <v>96.195500612258911</v>
      </c>
      <c r="AC167">
        <v>76.55</v>
      </c>
      <c r="AD167" t="str">
        <f>VLOOKUP(Z167,Migration!$J$3:$R$196,8,FALSE)</f>
        <v>Above 0.1</v>
      </c>
      <c r="AE167" t="str">
        <f>VLOOKUP(Z167,Migration!$J$3:$R$196,9,FALSE)</f>
        <v>Less than 0.1</v>
      </c>
    </row>
    <row r="168" spans="1:31" x14ac:dyDescent="0.35">
      <c r="A168" t="s">
        <v>425</v>
      </c>
      <c r="B168">
        <v>0</v>
      </c>
      <c r="C168">
        <v>87.031761169433594</v>
      </c>
      <c r="D168">
        <v>85.87</v>
      </c>
      <c r="R168" t="s">
        <v>425</v>
      </c>
      <c r="S168">
        <v>0</v>
      </c>
      <c r="T168">
        <v>87.031761169433594</v>
      </c>
      <c r="U168">
        <v>85.87</v>
      </c>
      <c r="Z168" t="s">
        <v>428</v>
      </c>
      <c r="AA168">
        <f t="shared" si="10"/>
        <v>0</v>
      </c>
      <c r="AB168">
        <v>137.34368050098419</v>
      </c>
      <c r="AC168">
        <v>79.7</v>
      </c>
      <c r="AD168" t="str">
        <f>VLOOKUP(Z168,Migration!$J$3:$R$196,8,FALSE)</f>
        <v>Less than 0.1</v>
      </c>
      <c r="AE168" t="str">
        <f>VLOOKUP(Z168,Migration!$J$3:$R$196,9,FALSE)</f>
        <v>Less than 0.1</v>
      </c>
    </row>
    <row r="169" spans="1:31" x14ac:dyDescent="0.35">
      <c r="A169" t="s">
        <v>497</v>
      </c>
      <c r="B169">
        <v>0</v>
      </c>
      <c r="C169">
        <v>23.580603837966919</v>
      </c>
      <c r="D169">
        <v>50.29</v>
      </c>
      <c r="R169" t="s">
        <v>497</v>
      </c>
      <c r="S169">
        <v>0</v>
      </c>
      <c r="T169">
        <v>23.580603837966919</v>
      </c>
      <c r="U169">
        <v>50.29</v>
      </c>
      <c r="Z169" t="s">
        <v>165</v>
      </c>
      <c r="AA169">
        <f t="shared" si="10"/>
        <v>0</v>
      </c>
      <c r="AB169">
        <v>195.04421138763428</v>
      </c>
      <c r="AC169">
        <v>87.17</v>
      </c>
      <c r="AD169" t="str">
        <f>VLOOKUP(Z169,Migration!$J$3:$R$196,8,FALSE)</f>
        <v>Less than 0.1</v>
      </c>
      <c r="AE169" t="str">
        <f>VLOOKUP(Z169,Migration!$J$3:$R$196,9,FALSE)</f>
        <v>Less than 0.1</v>
      </c>
    </row>
    <row r="170" spans="1:31" x14ac:dyDescent="0.35">
      <c r="A170" t="s">
        <v>410</v>
      </c>
      <c r="B170">
        <v>0</v>
      </c>
      <c r="C170">
        <v>142.98291206359863</v>
      </c>
      <c r="D170">
        <v>81.59</v>
      </c>
      <c r="R170" t="s">
        <v>410</v>
      </c>
      <c r="S170">
        <v>0</v>
      </c>
      <c r="T170">
        <v>142.98291206359863</v>
      </c>
      <c r="U170">
        <v>81.59</v>
      </c>
      <c r="Z170" t="s">
        <v>147</v>
      </c>
      <c r="AA170">
        <f t="shared" si="10"/>
        <v>0</v>
      </c>
      <c r="AB170">
        <v>26.565210461616516</v>
      </c>
      <c r="AC170">
        <v>58.1</v>
      </c>
      <c r="AD170" t="str">
        <f>VLOOKUP(Z170,Migration!$J$3:$R$196,8,FALSE)</f>
        <v>Less than 0.1</v>
      </c>
      <c r="AE170" t="str">
        <f>VLOOKUP(Z170,Migration!$J$3:$R$196,9,FALSE)</f>
        <v>Less than 0.1</v>
      </c>
    </row>
    <row r="171" spans="1:31" x14ac:dyDescent="0.35">
      <c r="A171" t="s">
        <v>434</v>
      </c>
      <c r="B171">
        <v>0</v>
      </c>
      <c r="C171">
        <v>6.4817723035812378</v>
      </c>
      <c r="D171">
        <v>31.83</v>
      </c>
      <c r="R171" t="s">
        <v>434</v>
      </c>
      <c r="S171">
        <v>0</v>
      </c>
      <c r="T171">
        <v>6.4817723035812378</v>
      </c>
      <c r="U171">
        <v>31.83</v>
      </c>
      <c r="Z171" t="s">
        <v>419</v>
      </c>
      <c r="AA171">
        <f t="shared" si="10"/>
        <v>0</v>
      </c>
      <c r="AB171">
        <v>251.97681999206543</v>
      </c>
      <c r="AC171">
        <v>69.7</v>
      </c>
      <c r="AD171" t="str">
        <f>VLOOKUP(Z171,Migration!$J$3:$R$196,8,FALSE)</f>
        <v>Less than 0.1</v>
      </c>
      <c r="AE171" t="str">
        <f>VLOOKUP(Z171,Migration!$J$3:$R$196,9,FALSE)</f>
        <v>Less than 0.1</v>
      </c>
    </row>
    <row r="172" spans="1:31" x14ac:dyDescent="0.35">
      <c r="A172" t="s">
        <v>48</v>
      </c>
      <c r="B172">
        <v>0</v>
      </c>
      <c r="C172">
        <v>26.366206645965576</v>
      </c>
      <c r="D172">
        <v>60.25</v>
      </c>
      <c r="R172" t="s">
        <v>48</v>
      </c>
      <c r="S172">
        <v>0</v>
      </c>
      <c r="T172">
        <v>26.366206645965576</v>
      </c>
      <c r="U172">
        <v>60.25</v>
      </c>
      <c r="Z172" t="s">
        <v>520</v>
      </c>
      <c r="AA172">
        <f t="shared" si="10"/>
        <v>0</v>
      </c>
      <c r="AB172">
        <v>28.22457218170166</v>
      </c>
      <c r="AC172">
        <v>55.61</v>
      </c>
      <c r="AD172" t="str">
        <f>VLOOKUP(Z172,Migration!$J$3:$R$196,8,FALSE)</f>
        <v>Above 0.1</v>
      </c>
      <c r="AE172" t="str">
        <f>VLOOKUP(Z172,Migration!$J$3:$R$196,9,FALSE)</f>
        <v>Less than 0.1</v>
      </c>
    </row>
    <row r="173" spans="1:31" x14ac:dyDescent="0.35">
      <c r="A173" t="s">
        <v>437</v>
      </c>
      <c r="B173">
        <v>0</v>
      </c>
      <c r="C173">
        <v>47.464413404464722</v>
      </c>
      <c r="D173">
        <v>66.930000000000007</v>
      </c>
      <c r="R173" t="s">
        <v>437</v>
      </c>
      <c r="S173">
        <v>0</v>
      </c>
      <c r="T173">
        <v>47.464413404464722</v>
      </c>
      <c r="U173">
        <v>66.930000000000007</v>
      </c>
      <c r="Z173" t="s">
        <v>901</v>
      </c>
      <c r="AA173" t="e">
        <f t="shared" si="10"/>
        <v>#N/A</v>
      </c>
      <c r="AB173" t="e">
        <v>#N/A</v>
      </c>
      <c r="AC173" t="e">
        <v>#N/A</v>
      </c>
      <c r="AD173" t="e">
        <f>VLOOKUP(Z173,Migration!$J$3:$R$196,8,FALSE)</f>
        <v>#N/A</v>
      </c>
      <c r="AE173" t="e">
        <f>VLOOKUP(Z173,Migration!$J$3:$R$196,9,FALSE)</f>
        <v>#N/A</v>
      </c>
    </row>
    <row r="174" spans="1:31" x14ac:dyDescent="0.35">
      <c r="A174" t="s">
        <v>428</v>
      </c>
      <c r="B174">
        <v>0</v>
      </c>
      <c r="C174">
        <v>137.34368050098419</v>
      </c>
      <c r="D174">
        <v>79.7</v>
      </c>
      <c r="R174" t="s">
        <v>428</v>
      </c>
      <c r="S174">
        <v>0</v>
      </c>
      <c r="T174">
        <v>137.34368050098419</v>
      </c>
      <c r="U174">
        <v>79.7</v>
      </c>
      <c r="Z174" t="s">
        <v>249</v>
      </c>
      <c r="AA174">
        <f t="shared" si="10"/>
        <v>0</v>
      </c>
      <c r="AB174">
        <v>2.6439024806022644</v>
      </c>
      <c r="AC174">
        <v>28.18</v>
      </c>
      <c r="AD174" t="str">
        <f>VLOOKUP(Z174,Migration!$J$3:$R$196,8,FALSE)</f>
        <v>Less than 0.1</v>
      </c>
      <c r="AE174" t="str">
        <f>VLOOKUP(Z174,Migration!$J$3:$R$196,9,FALSE)</f>
        <v>No data</v>
      </c>
    </row>
    <row r="175" spans="1:31" x14ac:dyDescent="0.35">
      <c r="A175" t="s">
        <v>165</v>
      </c>
      <c r="B175">
        <v>0</v>
      </c>
      <c r="C175">
        <v>195.04421138763428</v>
      </c>
      <c r="D175">
        <v>87.17</v>
      </c>
      <c r="R175" t="s">
        <v>165</v>
      </c>
      <c r="S175">
        <v>0</v>
      </c>
      <c r="T175">
        <v>195.04421138763428</v>
      </c>
      <c r="U175">
        <v>87.17</v>
      </c>
      <c r="Z175" t="s">
        <v>523</v>
      </c>
      <c r="AA175">
        <f t="shared" si="10"/>
        <v>0</v>
      </c>
      <c r="AB175">
        <v>5.8982426524162292</v>
      </c>
      <c r="AC175">
        <v>44.23</v>
      </c>
      <c r="AD175" t="str">
        <f>VLOOKUP(Z175,Migration!$J$3:$R$196,8,FALSE)</f>
        <v>Less than 0.1</v>
      </c>
      <c r="AE175" t="str">
        <f>VLOOKUP(Z175,Migration!$J$3:$R$196,9,FALSE)</f>
        <v>Above 0.1</v>
      </c>
    </row>
    <row r="176" spans="1:31" x14ac:dyDescent="0.35">
      <c r="A176" t="s">
        <v>147</v>
      </c>
      <c r="B176">
        <v>0</v>
      </c>
      <c r="C176">
        <v>26.565210461616516</v>
      </c>
      <c r="D176">
        <v>58.1</v>
      </c>
      <c r="R176" t="s">
        <v>147</v>
      </c>
      <c r="S176">
        <v>0</v>
      </c>
      <c r="T176">
        <v>26.565210461616516</v>
      </c>
      <c r="U176">
        <v>58.1</v>
      </c>
      <c r="Z176" t="s">
        <v>168</v>
      </c>
      <c r="AA176">
        <f t="shared" si="10"/>
        <v>0</v>
      </c>
      <c r="AB176">
        <v>41.032188415527344</v>
      </c>
      <c r="AC176">
        <v>82.97</v>
      </c>
      <c r="AD176" t="str">
        <f>VLOOKUP(Z176,Migration!$J$3:$R$196,8,FALSE)</f>
        <v>Less than 0.1</v>
      </c>
      <c r="AE176" t="str">
        <f>VLOOKUP(Z176,Migration!$J$3:$R$196,9,FALSE)</f>
        <v>Less than 0.1</v>
      </c>
    </row>
    <row r="177" spans="1:31" x14ac:dyDescent="0.35">
      <c r="A177" t="s">
        <v>419</v>
      </c>
      <c r="B177">
        <v>0</v>
      </c>
      <c r="C177">
        <v>251.97681999206543</v>
      </c>
      <c r="D177">
        <v>69.7</v>
      </c>
      <c r="R177" t="s">
        <v>419</v>
      </c>
      <c r="S177">
        <v>0</v>
      </c>
      <c r="T177">
        <v>251.97681999206543</v>
      </c>
      <c r="U177">
        <v>69.7</v>
      </c>
      <c r="Z177" t="s">
        <v>525</v>
      </c>
      <c r="AA177">
        <f t="shared" si="10"/>
        <v>0</v>
      </c>
      <c r="AB177">
        <v>66.520021915435791</v>
      </c>
      <c r="AC177">
        <v>72.53</v>
      </c>
      <c r="AD177" t="str">
        <f>VLOOKUP(Z177,Migration!$J$3:$R$196,8,FALSE)</f>
        <v>Less than 0.1</v>
      </c>
      <c r="AE177" t="str">
        <f>VLOOKUP(Z177,Migration!$J$3:$R$196,9,FALSE)</f>
        <v>No data</v>
      </c>
    </row>
    <row r="178" spans="1:31" x14ac:dyDescent="0.35">
      <c r="A178" t="s">
        <v>249</v>
      </c>
      <c r="B178">
        <v>0</v>
      </c>
      <c r="C178">
        <v>2.6439024806022644</v>
      </c>
      <c r="D178">
        <v>28.18</v>
      </c>
      <c r="R178" t="s">
        <v>249</v>
      </c>
      <c r="S178">
        <v>0</v>
      </c>
      <c r="T178">
        <v>2.6439024806022644</v>
      </c>
      <c r="U178">
        <v>28.18</v>
      </c>
      <c r="Z178" t="s">
        <v>53</v>
      </c>
      <c r="AA178">
        <f t="shared" si="10"/>
        <v>0</v>
      </c>
      <c r="AB178">
        <v>25.044711589813232</v>
      </c>
      <c r="AC178">
        <v>52.51</v>
      </c>
      <c r="AD178" t="str">
        <f>VLOOKUP(Z178,Migration!$J$3:$R$196,8,FALSE)</f>
        <v>No data</v>
      </c>
      <c r="AE178" t="str">
        <f>VLOOKUP(Z178,Migration!$J$3:$R$196,9,FALSE)</f>
        <v>No data</v>
      </c>
    </row>
    <row r="179" spans="1:31" x14ac:dyDescent="0.35">
      <c r="A179" t="s">
        <v>168</v>
      </c>
      <c r="B179">
        <v>0</v>
      </c>
      <c r="C179">
        <v>41.032188415527344</v>
      </c>
      <c r="D179">
        <v>82.97</v>
      </c>
      <c r="R179" t="s">
        <v>168</v>
      </c>
      <c r="S179">
        <v>0</v>
      </c>
      <c r="T179">
        <v>41.032188415527344</v>
      </c>
      <c r="U179">
        <v>82.97</v>
      </c>
      <c r="Z179" t="s">
        <v>171</v>
      </c>
      <c r="AA179">
        <f t="shared" si="10"/>
        <v>0</v>
      </c>
      <c r="AB179">
        <v>54.873835563659668</v>
      </c>
      <c r="AC179">
        <v>55.81</v>
      </c>
      <c r="AD179" t="str">
        <f>VLOOKUP(Z179,Migration!$J$3:$R$196,8,FALSE)</f>
        <v>No data</v>
      </c>
      <c r="AE179" t="str">
        <f>VLOOKUP(Z179,Migration!$J$3:$R$196,9,FALSE)</f>
        <v>Above 0.1</v>
      </c>
    </row>
    <row r="180" spans="1:31" x14ac:dyDescent="0.35">
      <c r="A180" t="s">
        <v>525</v>
      </c>
      <c r="B180">
        <v>0</v>
      </c>
      <c r="C180">
        <v>66.520021915435791</v>
      </c>
      <c r="D180">
        <v>72.53</v>
      </c>
      <c r="R180" t="s">
        <v>525</v>
      </c>
      <c r="S180">
        <v>0</v>
      </c>
      <c r="T180">
        <v>66.520021915435791</v>
      </c>
      <c r="U180">
        <v>72.53</v>
      </c>
      <c r="Z180" t="s">
        <v>455</v>
      </c>
      <c r="AA180">
        <f t="shared" si="10"/>
        <v>0</v>
      </c>
      <c r="AB180">
        <v>85.457098454236984</v>
      </c>
      <c r="AC180">
        <v>73.33</v>
      </c>
      <c r="AD180" t="str">
        <f>VLOOKUP(Z180,Migration!$J$3:$R$196,8,FALSE)</f>
        <v>Less than 0.1</v>
      </c>
      <c r="AE180" t="str">
        <f>VLOOKUP(Z180,Migration!$J$3:$R$196,9,FALSE)</f>
        <v>Above 0.1</v>
      </c>
    </row>
    <row r="181" spans="1:31" x14ac:dyDescent="0.35">
      <c r="A181" t="s">
        <v>53</v>
      </c>
      <c r="B181">
        <v>0</v>
      </c>
      <c r="C181">
        <v>25.044711589813232</v>
      </c>
      <c r="D181">
        <v>52.51</v>
      </c>
      <c r="R181" t="s">
        <v>53</v>
      </c>
      <c r="S181">
        <v>0</v>
      </c>
      <c r="T181">
        <v>25.044711589813232</v>
      </c>
      <c r="U181">
        <v>52.51</v>
      </c>
      <c r="Z181" t="s">
        <v>458</v>
      </c>
      <c r="AA181">
        <f t="shared" si="10"/>
        <v>0</v>
      </c>
      <c r="AB181">
        <v>38.272808074951172</v>
      </c>
      <c r="AC181">
        <v>69.86</v>
      </c>
      <c r="AD181" t="str">
        <f>VLOOKUP(Z181,Migration!$J$3:$R$196,8,FALSE)</f>
        <v>Above 0.1</v>
      </c>
      <c r="AE181" t="str">
        <f>VLOOKUP(Z181,Migration!$J$3:$R$196,9,FALSE)</f>
        <v>Less than 0.1</v>
      </c>
    </row>
    <row r="182" spans="1:31" x14ac:dyDescent="0.35">
      <c r="A182" t="s">
        <v>461</v>
      </c>
      <c r="B182">
        <v>0</v>
      </c>
      <c r="C182">
        <v>49.746402263641357</v>
      </c>
      <c r="D182">
        <v>78.7</v>
      </c>
      <c r="R182" t="s">
        <v>461</v>
      </c>
      <c r="S182">
        <v>0</v>
      </c>
      <c r="T182">
        <v>49.746402263641357</v>
      </c>
      <c r="U182">
        <v>78.7</v>
      </c>
      <c r="Z182" t="s">
        <v>461</v>
      </c>
      <c r="AA182">
        <f t="shared" si="10"/>
        <v>0</v>
      </c>
      <c r="AB182">
        <v>49.746402263641357</v>
      </c>
      <c r="AC182">
        <v>78.7</v>
      </c>
      <c r="AD182" t="str">
        <f>VLOOKUP(Z182,Migration!$J$3:$R$196,8,FALSE)</f>
        <v>Less than 0.1</v>
      </c>
      <c r="AE182" t="str">
        <f>VLOOKUP(Z182,Migration!$J$3:$R$196,9,FALSE)</f>
        <v>Less than 0.1</v>
      </c>
    </row>
    <row r="183" spans="1:31" x14ac:dyDescent="0.35">
      <c r="A183" t="s">
        <v>527</v>
      </c>
      <c r="B183">
        <v>0</v>
      </c>
      <c r="C183">
        <v>46.641792297363281</v>
      </c>
      <c r="D183">
        <v>51.55</v>
      </c>
      <c r="R183" t="s">
        <v>527</v>
      </c>
      <c r="S183">
        <v>0</v>
      </c>
      <c r="T183">
        <v>46.641792297363281</v>
      </c>
      <c r="U183">
        <v>51.55</v>
      </c>
      <c r="Z183" t="s">
        <v>527</v>
      </c>
      <c r="AA183">
        <f t="shared" si="10"/>
        <v>0</v>
      </c>
      <c r="AB183">
        <v>46.641792297363281</v>
      </c>
      <c r="AC183">
        <v>51.55</v>
      </c>
      <c r="AD183" t="str">
        <f>VLOOKUP(Z183,Migration!$J$3:$R$196,8,FALSE)</f>
        <v>No data</v>
      </c>
      <c r="AE183" t="str">
        <f>VLOOKUP(Z183,Migration!$J$3:$R$196,9,FALSE)</f>
        <v>No data</v>
      </c>
    </row>
    <row r="184" spans="1:31" x14ac:dyDescent="0.35">
      <c r="A184" t="s">
        <v>541</v>
      </c>
      <c r="B184">
        <v>0</v>
      </c>
      <c r="C184">
        <v>6.1856130361557007</v>
      </c>
      <c r="D184">
        <v>46.41</v>
      </c>
      <c r="R184" t="s">
        <v>541</v>
      </c>
      <c r="S184">
        <v>0</v>
      </c>
      <c r="T184">
        <v>6.1856130361557007</v>
      </c>
      <c r="U184">
        <v>46.41</v>
      </c>
      <c r="Z184" t="s">
        <v>541</v>
      </c>
      <c r="AA184">
        <f t="shared" si="10"/>
        <v>0</v>
      </c>
      <c r="AB184">
        <v>6.1856130361557007</v>
      </c>
      <c r="AC184">
        <v>46.41</v>
      </c>
      <c r="AD184" t="str">
        <f>VLOOKUP(Z184,Migration!$J$3:$R$196,8,FALSE)</f>
        <v>Less than 0.1</v>
      </c>
      <c r="AE184" t="str">
        <f>VLOOKUP(Z184,Migration!$J$3:$R$196,9,FALSE)</f>
        <v>Less than 0.1</v>
      </c>
    </row>
    <row r="185" spans="1:31" x14ac:dyDescent="0.35">
      <c r="A185" t="s">
        <v>464</v>
      </c>
      <c r="B185">
        <v>0</v>
      </c>
      <c r="C185">
        <v>17.922100305557251</v>
      </c>
      <c r="D185">
        <v>50.45</v>
      </c>
      <c r="R185" t="s">
        <v>464</v>
      </c>
      <c r="S185">
        <v>0</v>
      </c>
      <c r="T185">
        <v>17.922100305557251</v>
      </c>
      <c r="U185">
        <v>50.45</v>
      </c>
      <c r="Z185" t="s">
        <v>464</v>
      </c>
      <c r="AA185">
        <f t="shared" si="10"/>
        <v>0</v>
      </c>
      <c r="AB185">
        <v>17.922100305557251</v>
      </c>
      <c r="AC185">
        <v>50.45</v>
      </c>
      <c r="AD185" t="str">
        <f>VLOOKUP(Z185,Migration!$J$3:$R$196,8,FALSE)</f>
        <v>Less than 0.1</v>
      </c>
      <c r="AE185" t="str">
        <f>VLOOKUP(Z185,Migration!$J$3:$R$196,9,FALSE)</f>
        <v>Less than 0.1</v>
      </c>
    </row>
    <row r="186" spans="1:31" x14ac:dyDescent="0.35">
      <c r="A186" t="s">
        <v>61</v>
      </c>
      <c r="B186">
        <v>0</v>
      </c>
      <c r="C186">
        <v>121.56899964809418</v>
      </c>
      <c r="D186">
        <v>79.34</v>
      </c>
      <c r="R186" t="s">
        <v>61</v>
      </c>
      <c r="S186">
        <v>0</v>
      </c>
      <c r="T186">
        <v>121.56899964809418</v>
      </c>
      <c r="U186">
        <v>79.34</v>
      </c>
      <c r="Z186" t="s">
        <v>529</v>
      </c>
      <c r="AA186">
        <f t="shared" si="10"/>
        <v>0</v>
      </c>
      <c r="AB186">
        <v>96.557650089263916</v>
      </c>
      <c r="AC186">
        <v>72.95</v>
      </c>
      <c r="AD186" t="str">
        <f>VLOOKUP(Z186,Migration!$J$3:$R$196,8,FALSE)</f>
        <v>Less than 0.1</v>
      </c>
      <c r="AE186" t="str">
        <f>VLOOKUP(Z186,Migration!$J$3:$R$196,9,FALSE)</f>
        <v>Less than 0.1</v>
      </c>
    </row>
    <row r="187" spans="1:31" x14ac:dyDescent="0.35">
      <c r="A187" t="s">
        <v>543</v>
      </c>
      <c r="B187">
        <v>0</v>
      </c>
      <c r="C187">
        <v>183.00391578674316</v>
      </c>
      <c r="D187">
        <v>82.61</v>
      </c>
      <c r="R187" t="s">
        <v>543</v>
      </c>
      <c r="S187">
        <v>0</v>
      </c>
      <c r="T187">
        <v>183.00391578674316</v>
      </c>
      <c r="U187">
        <v>82.61</v>
      </c>
      <c r="Z187" t="s">
        <v>61</v>
      </c>
      <c r="AA187">
        <f t="shared" si="10"/>
        <v>0</v>
      </c>
      <c r="AB187">
        <v>121.56899964809418</v>
      </c>
      <c r="AC187">
        <v>79.34</v>
      </c>
      <c r="AD187" t="str">
        <f>VLOOKUP(Z187,Migration!$J$3:$R$196,8,FALSE)</f>
        <v>Less than 0.1</v>
      </c>
      <c r="AE187" t="str">
        <f>VLOOKUP(Z187,Migration!$J$3:$R$196,9,FALSE)</f>
        <v>Less than 0.1</v>
      </c>
    </row>
    <row r="188" spans="1:31" x14ac:dyDescent="0.35">
      <c r="A188" t="s">
        <v>467</v>
      </c>
      <c r="B188">
        <v>0</v>
      </c>
      <c r="C188">
        <v>136.664475440979</v>
      </c>
      <c r="D188">
        <v>70.849999999999994</v>
      </c>
      <c r="R188" t="s">
        <v>467</v>
      </c>
      <c r="S188">
        <v>0</v>
      </c>
      <c r="T188">
        <v>136.664475440979</v>
      </c>
      <c r="U188">
        <v>70.849999999999994</v>
      </c>
      <c r="Z188" t="s">
        <v>543</v>
      </c>
      <c r="AA188">
        <f t="shared" si="10"/>
        <v>0</v>
      </c>
      <c r="AB188">
        <v>183.00391578674316</v>
      </c>
      <c r="AC188">
        <v>82.61</v>
      </c>
      <c r="AD188" t="str">
        <f>VLOOKUP(Z188,Migration!$J$3:$R$196,8,FALSE)</f>
        <v>Less than 0.1</v>
      </c>
      <c r="AE188" t="str">
        <f>VLOOKUP(Z188,Migration!$J$3:$R$196,9,FALSE)</f>
        <v>Less than 0.1</v>
      </c>
    </row>
    <row r="189" spans="1:31" x14ac:dyDescent="0.35">
      <c r="A189" t="s">
        <v>19</v>
      </c>
      <c r="B189">
        <v>0</v>
      </c>
      <c r="C189">
        <v>43.21414852142334</v>
      </c>
      <c r="D189">
        <v>69.63</v>
      </c>
      <c r="R189" t="s">
        <v>19</v>
      </c>
      <c r="S189">
        <v>0</v>
      </c>
      <c r="T189">
        <v>43.21414852142334</v>
      </c>
      <c r="U189">
        <v>69.63</v>
      </c>
      <c r="Z189" t="s">
        <v>467</v>
      </c>
      <c r="AA189">
        <f t="shared" si="10"/>
        <v>0</v>
      </c>
      <c r="AB189">
        <v>136.664475440979</v>
      </c>
      <c r="AC189">
        <v>70.849999999999994</v>
      </c>
      <c r="AD189" t="str">
        <f>VLOOKUP(Z189,Migration!$J$3:$R$196,8,FALSE)</f>
        <v>Less than 0.1</v>
      </c>
      <c r="AE189" t="str">
        <f>VLOOKUP(Z189,Migration!$J$3:$R$196,9,FALSE)</f>
        <v>Less than 0.1</v>
      </c>
    </row>
    <row r="190" spans="1:31" x14ac:dyDescent="0.35">
      <c r="A190" t="s">
        <v>470</v>
      </c>
      <c r="B190">
        <v>0</v>
      </c>
      <c r="C190">
        <v>15.858325600624084</v>
      </c>
      <c r="D190">
        <v>52.24</v>
      </c>
      <c r="R190" t="s">
        <v>470</v>
      </c>
      <c r="S190">
        <v>0</v>
      </c>
      <c r="T190">
        <v>15.858325600624084</v>
      </c>
      <c r="U190">
        <v>52.24</v>
      </c>
      <c r="Z190" t="s">
        <v>489</v>
      </c>
      <c r="AA190">
        <f t="shared" si="10"/>
        <v>0</v>
      </c>
      <c r="AB190">
        <v>84.804190635681152</v>
      </c>
      <c r="AC190">
        <v>73.040000000000006</v>
      </c>
      <c r="AD190" t="str">
        <f>VLOOKUP(Z190,Migration!$J$3:$R$196,8,FALSE)</f>
        <v>Above 0.1</v>
      </c>
      <c r="AE190" t="str">
        <f>VLOOKUP(Z190,Migration!$J$3:$R$196,9,FALSE)</f>
        <v>Above 0.1</v>
      </c>
    </row>
    <row r="191" spans="1:31" x14ac:dyDescent="0.35">
      <c r="A191" t="s">
        <v>473</v>
      </c>
      <c r="B191">
        <v>0</v>
      </c>
      <c r="C191">
        <v>13.10739278793335</v>
      </c>
      <c r="D191">
        <v>44.33</v>
      </c>
      <c r="R191" t="s">
        <v>473</v>
      </c>
      <c r="S191">
        <v>0</v>
      </c>
      <c r="T191">
        <v>13.10739278793335</v>
      </c>
      <c r="U191">
        <v>44.33</v>
      </c>
      <c r="Z191" t="s">
        <v>19</v>
      </c>
      <c r="AA191">
        <f t="shared" si="10"/>
        <v>0</v>
      </c>
      <c r="AB191">
        <v>43.21414852142334</v>
      </c>
      <c r="AC191">
        <v>69.63</v>
      </c>
      <c r="AD191" t="str">
        <f>VLOOKUP(Z191,Migration!$J$3:$R$196,8,FALSE)</f>
        <v>Less than 0.1</v>
      </c>
      <c r="AE191" t="str">
        <f>VLOOKUP(Z191,Migration!$J$3:$R$196,9,FALSE)</f>
        <v>Less than 0.1</v>
      </c>
    </row>
    <row r="192" spans="1:31" x14ac:dyDescent="0.35">
      <c r="A192" t="s">
        <v>431</v>
      </c>
      <c r="B192">
        <v>0</v>
      </c>
      <c r="C192">
        <v>57.650113582611084</v>
      </c>
      <c r="D192">
        <v>67.47</v>
      </c>
      <c r="R192" t="s">
        <v>431</v>
      </c>
      <c r="S192">
        <v>0</v>
      </c>
      <c r="T192">
        <v>57.650113582611084</v>
      </c>
      <c r="U192">
        <v>67.47</v>
      </c>
      <c r="Z192" t="s">
        <v>896</v>
      </c>
      <c r="AA192" t="e">
        <f t="shared" si="10"/>
        <v>#N/A</v>
      </c>
      <c r="AB192" t="e">
        <v>#N/A</v>
      </c>
      <c r="AC192" t="e">
        <v>#N/A</v>
      </c>
      <c r="AD192" t="e">
        <f>VLOOKUP(Z192,Migration!$J$3:$R$196,8,FALSE)</f>
        <v>#N/A</v>
      </c>
      <c r="AE192" t="e">
        <f>VLOOKUP(Z192,Migration!$J$3:$R$196,9,FALSE)</f>
        <v>#N/A</v>
      </c>
    </row>
    <row r="193" spans="26:31" x14ac:dyDescent="0.35">
      <c r="Z193" t="s">
        <v>495</v>
      </c>
      <c r="AA193">
        <f t="shared" si="10"/>
        <v>0</v>
      </c>
      <c r="AB193">
        <v>22.753312110900879</v>
      </c>
      <c r="AC193">
        <v>69.540000000000006</v>
      </c>
      <c r="AD193" t="str">
        <f>VLOOKUP(Z193,Migration!$J$3:$R$196,8,FALSE)</f>
        <v>Less than 0.1</v>
      </c>
      <c r="AE193" t="str">
        <f>VLOOKUP(Z193,Migration!$J$3:$R$196,9,FALSE)</f>
        <v>Above 0.1</v>
      </c>
    </row>
    <row r="194" spans="26:31" x14ac:dyDescent="0.35">
      <c r="Z194" t="s">
        <v>470</v>
      </c>
      <c r="AA194">
        <f t="shared" ref="AA194:AA200" si="11">IF(OR(AD194="Above 0.05",AE194="Above 0.05"),1,0)</f>
        <v>0</v>
      </c>
      <c r="AB194">
        <v>15.858325600624084</v>
      </c>
      <c r="AC194">
        <v>52.24</v>
      </c>
      <c r="AD194" t="str">
        <f>VLOOKUP(Z194,Migration!$J$3:$R$196,8,FALSE)</f>
        <v>No data</v>
      </c>
      <c r="AE194" t="str">
        <f>VLOOKUP(Z194,Migration!$J$3:$R$196,9,FALSE)</f>
        <v>No data</v>
      </c>
    </row>
    <row r="195" spans="26:31" x14ac:dyDescent="0.35">
      <c r="Z195" t="s">
        <v>902</v>
      </c>
      <c r="AA195" t="e">
        <f t="shared" si="11"/>
        <v>#N/A</v>
      </c>
      <c r="AB195" t="e">
        <v>#N/A</v>
      </c>
      <c r="AC195" t="e">
        <v>#N/A</v>
      </c>
      <c r="AD195" t="e">
        <f>VLOOKUP(Z195,Migration!$J$3:$R$196,8,FALSE)</f>
        <v>#N/A</v>
      </c>
      <c r="AE195" t="e">
        <f>VLOOKUP(Z195,Migration!$J$3:$R$196,9,FALSE)</f>
        <v>#N/A</v>
      </c>
    </row>
    <row r="196" spans="26:31" x14ac:dyDescent="0.35">
      <c r="Z196" t="s">
        <v>110</v>
      </c>
      <c r="AA196">
        <f t="shared" si="11"/>
        <v>0</v>
      </c>
      <c r="AB196">
        <v>38.657326698303223</v>
      </c>
      <c r="AC196">
        <v>53.45</v>
      </c>
      <c r="AD196" t="str">
        <f>VLOOKUP(Z196,Migration!$J$3:$R$196,8,FALSE)</f>
        <v>No data</v>
      </c>
      <c r="AE196" t="str">
        <f>VLOOKUP(Z196,Migration!$J$3:$R$196,9,FALSE)</f>
        <v>Above 0.1</v>
      </c>
    </row>
    <row r="197" spans="26:31" x14ac:dyDescent="0.35">
      <c r="Z197" t="s">
        <v>473</v>
      </c>
      <c r="AA197">
        <f t="shared" si="11"/>
        <v>0</v>
      </c>
      <c r="AB197">
        <v>13.10739278793335</v>
      </c>
      <c r="AC197">
        <v>44.33</v>
      </c>
      <c r="AD197" t="str">
        <f>VLOOKUP(Z197,Migration!$J$3:$R$196,8,FALSE)</f>
        <v>Less than 0.1</v>
      </c>
      <c r="AE197" t="str">
        <f>VLOOKUP(Z197,Migration!$J$3:$R$196,9,FALSE)</f>
        <v>Less than 0.1</v>
      </c>
    </row>
    <row r="198" spans="26:31" x14ac:dyDescent="0.35">
      <c r="Z198" t="s">
        <v>431</v>
      </c>
      <c r="AA198">
        <f t="shared" si="11"/>
        <v>0</v>
      </c>
      <c r="AB198">
        <v>57.650113582611084</v>
      </c>
      <c r="AC198">
        <v>67.47</v>
      </c>
      <c r="AD198" t="str">
        <f>VLOOKUP(Z198,Migration!$J$3:$R$196,8,FALSE)</f>
        <v>Less than 0.1</v>
      </c>
      <c r="AE198" t="str">
        <f>VLOOKUP(Z198,Migration!$J$3:$R$196,9,FALSE)</f>
        <v>Less than 0.1</v>
      </c>
    </row>
    <row r="199" spans="26:31" x14ac:dyDescent="0.35">
      <c r="Z199" t="s">
        <v>476</v>
      </c>
      <c r="AA199">
        <f t="shared" si="11"/>
        <v>0</v>
      </c>
      <c r="AB199">
        <v>11.362643718719482</v>
      </c>
      <c r="AC199">
        <v>54.59</v>
      </c>
      <c r="AD199" t="str">
        <f>VLOOKUP(Z199,Migration!$J$3:$R$196,8,FALSE)</f>
        <v>Less than 0.1</v>
      </c>
      <c r="AE199" t="str">
        <f>VLOOKUP(Z199,Migration!$J$3:$R$196,9,FALSE)</f>
        <v>Less than 0.1</v>
      </c>
    </row>
    <row r="200" spans="26:31" x14ac:dyDescent="0.35">
      <c r="Z200" t="s">
        <v>479</v>
      </c>
      <c r="AA200">
        <f t="shared" si="11"/>
        <v>0</v>
      </c>
      <c r="AB200">
        <v>23.321476817131042</v>
      </c>
      <c r="AC200">
        <v>54.77</v>
      </c>
      <c r="AD200" t="str">
        <f>VLOOKUP(Z200,Migration!$J$3:$R$196,8,FALSE)</f>
        <v>Less than 0.1</v>
      </c>
      <c r="AE200" t="str">
        <f>VLOOKUP(Z200,Migration!$J$3:$R$196,9,FALSE)</f>
        <v>Above 0.1</v>
      </c>
    </row>
  </sheetData>
  <sortState xmlns:xlrd2="http://schemas.microsoft.com/office/spreadsheetml/2017/richdata2" ref="H2:H8">
    <sortCondition ref="H2:H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460F-2C57-4538-BBD8-9D6C707106F1}">
  <dimension ref="A1:AF198"/>
  <sheetViews>
    <sheetView topLeftCell="AG1" zoomScaleNormal="100" workbookViewId="0">
      <selection activeCell="A4" sqref="A4:XFD4"/>
    </sheetView>
  </sheetViews>
  <sheetFormatPr defaultRowHeight="14.5" x14ac:dyDescent="0.35"/>
  <cols>
    <col min="17" max="17" width="15.54296875" customWidth="1"/>
  </cols>
  <sheetData>
    <row r="1" spans="1:32" x14ac:dyDescent="0.35">
      <c r="A1" t="s">
        <v>904</v>
      </c>
      <c r="E1" t="s">
        <v>906</v>
      </c>
      <c r="J1" t="s">
        <v>907</v>
      </c>
      <c r="P1" t="s">
        <v>912</v>
      </c>
      <c r="Q1" s="7">
        <v>0.1</v>
      </c>
      <c r="R1" s="7"/>
      <c r="T1" t="s">
        <v>913</v>
      </c>
      <c r="U1" t="s">
        <v>914</v>
      </c>
      <c r="V1" t="s">
        <v>915</v>
      </c>
    </row>
    <row r="2" spans="1:32" x14ac:dyDescent="0.35">
      <c r="A2" t="s">
        <v>544</v>
      </c>
      <c r="B2" t="s">
        <v>905</v>
      </c>
      <c r="E2" t="s">
        <v>544</v>
      </c>
      <c r="F2" t="s">
        <v>905</v>
      </c>
      <c r="J2" t="str">
        <f>'Processed HWF'!B1</f>
        <v>ISO3</v>
      </c>
      <c r="K2" t="s">
        <v>904</v>
      </c>
      <c r="L2" t="s">
        <v>906</v>
      </c>
      <c r="M2" t="s">
        <v>908</v>
      </c>
      <c r="N2" t="s">
        <v>909</v>
      </c>
      <c r="O2" t="s">
        <v>910</v>
      </c>
      <c r="P2" t="s">
        <v>911</v>
      </c>
      <c r="Q2" t="s">
        <v>916</v>
      </c>
      <c r="R2" t="s">
        <v>917</v>
      </c>
      <c r="X2" t="s">
        <v>544</v>
      </c>
      <c r="Y2" t="s">
        <v>545</v>
      </c>
      <c r="Z2" t="s">
        <v>910</v>
      </c>
      <c r="AA2" t="s">
        <v>911</v>
      </c>
      <c r="AC2" t="s">
        <v>544</v>
      </c>
      <c r="AD2" t="s">
        <v>545</v>
      </c>
      <c r="AE2" t="s">
        <v>910</v>
      </c>
      <c r="AF2" t="s">
        <v>911</v>
      </c>
    </row>
    <row r="3" spans="1:32" x14ac:dyDescent="0.35">
      <c r="A3" t="s">
        <v>319</v>
      </c>
      <c r="B3">
        <v>17202</v>
      </c>
      <c r="E3" t="s">
        <v>401</v>
      </c>
      <c r="F3">
        <v>220984</v>
      </c>
      <c r="J3" t="str">
        <f>'Processed HWF'!B2</f>
        <v>AFG</v>
      </c>
      <c r="K3">
        <f>ROUND('Processed HWF'!D2/10000*'Processed HWF'!J2,0)</f>
        <v>9887</v>
      </c>
      <c r="L3">
        <f>ROUND('Processed HWF'!E2/10000*'Processed HWF'!J2,0)</f>
        <v>12017</v>
      </c>
      <c r="M3">
        <f>VLOOKUP(J3,A$3:B$184,2,FALSE)</f>
        <v>261</v>
      </c>
      <c r="N3">
        <f>VLOOKUP(J3,E$3:F$171,2,FALSE)</f>
        <v>767</v>
      </c>
      <c r="O3">
        <f>IF(_xlfn.IFNA(M3,0)=0,"No data",M3/K3)</f>
        <v>2.6398300799029027E-2</v>
      </c>
      <c r="P3">
        <f>IF(_xlfn.IFNA(N3,0)=0,"No data",N3/L3)</f>
        <v>6.3826246151285682E-2</v>
      </c>
      <c r="Q3" t="str">
        <f>IF(O3="No data","No data",IF(O3&lt;$Q$1,"Less than "&amp;$Q$1,"Above "&amp;$Q$1))</f>
        <v>Less than 0.1</v>
      </c>
      <c r="R3" t="str">
        <f>IF(P3="No data","No data",IF(P3&lt;$Q$1,"Less than "&amp;$Q$1,"Above "&amp;$Q$1))</f>
        <v>Less than 0.1</v>
      </c>
      <c r="X3" t="s">
        <v>383</v>
      </c>
      <c r="Y3" t="str">
        <f>VLOOKUP(X3,'Reference table'!$J$2:$K$195,2,FALSE)</f>
        <v>Niue</v>
      </c>
      <c r="Z3">
        <v>44.333333333333336</v>
      </c>
      <c r="AA3" t="s">
        <v>915</v>
      </c>
      <c r="AC3" t="s">
        <v>125</v>
      </c>
      <c r="AD3" t="str">
        <f>VLOOKUP(AC3,'Reference table'!$J$2:$K$195,2,FALSE)</f>
        <v>Jamaica</v>
      </c>
      <c r="AE3">
        <v>1.6025641025641024E-2</v>
      </c>
      <c r="AF3">
        <v>15.738384261197155</v>
      </c>
    </row>
    <row r="4" spans="1:32" x14ac:dyDescent="0.35">
      <c r="A4" t="s">
        <v>190</v>
      </c>
      <c r="B4">
        <v>11000</v>
      </c>
      <c r="E4" t="s">
        <v>319</v>
      </c>
      <c r="F4">
        <v>71230</v>
      </c>
      <c r="J4" t="str">
        <f>'Processed HWF'!B3</f>
        <v>AGO</v>
      </c>
      <c r="K4">
        <f>ROUND('Processed HWF'!D3/10000*'Processed HWF'!J3,0)</f>
        <v>7035</v>
      </c>
      <c r="L4">
        <f>ROUND('Processed HWF'!E3/10000*'Processed HWF'!J3,0)</f>
        <v>13396</v>
      </c>
      <c r="M4">
        <f t="shared" ref="M4:M67" si="0">VLOOKUP(J4,A$3:B$184,2,FALSE)</f>
        <v>114</v>
      </c>
      <c r="N4">
        <f t="shared" ref="N4:N67" si="1">VLOOKUP(J4,E$3:F$171,2,FALSE)</f>
        <v>16</v>
      </c>
      <c r="O4">
        <f t="shared" ref="O4:O67" si="2">IF(_xlfn.IFNA(M4,0)=0,"No data",M4/K4)</f>
        <v>1.6204690831556502E-2</v>
      </c>
      <c r="P4">
        <f t="shared" ref="P4:P67" si="3">IF(_xlfn.IFNA(N4,0)=0,"No data",N4/L4)</f>
        <v>1.1943863839952225E-3</v>
      </c>
      <c r="Q4" t="str">
        <f t="shared" ref="Q4:Q67" si="4">IF(O4="No data","No data",IF(O4&lt;$Q$1,"Less than "&amp;$Q$1,"Above "&amp;$Q$1))</f>
        <v>Less than 0.1</v>
      </c>
      <c r="R4" t="str">
        <f t="shared" ref="R4:R67" si="5">IF(P4="No data","No data",IF(P4&lt;$Q$1,"Less than "&amp;$Q$1,"Above "&amp;$Q$1))</f>
        <v>Less than 0.1</v>
      </c>
      <c r="X4" t="s">
        <v>80</v>
      </c>
      <c r="Y4" t="str">
        <f>VLOOKUP(X4,'Reference table'!$J$2:$K$195,2,FALSE)</f>
        <v>Micronesia, Federated States of</v>
      </c>
      <c r="Z4">
        <v>2.8703703703703702</v>
      </c>
      <c r="AA4">
        <v>0.21982758620689655</v>
      </c>
      <c r="AC4" t="s">
        <v>310</v>
      </c>
      <c r="AD4" t="str">
        <f>VLOOKUP(AC4,'Reference table'!$J$2:$K$195,2,FALSE)</f>
        <v>Haiti</v>
      </c>
      <c r="AE4">
        <v>1.4942099364960777E-2</v>
      </c>
      <c r="AF4">
        <v>7.8843850760018421</v>
      </c>
    </row>
    <row r="5" spans="1:32" x14ac:dyDescent="0.35">
      <c r="A5" t="s">
        <v>483</v>
      </c>
      <c r="B5">
        <v>9862</v>
      </c>
      <c r="E5" t="s">
        <v>539</v>
      </c>
      <c r="F5">
        <v>38969</v>
      </c>
      <c r="J5" t="str">
        <f>'Processed HWF'!B4</f>
        <v>ALB</v>
      </c>
      <c r="K5">
        <f>ROUND('Processed HWF'!D4/10000*'Processed HWF'!J4,0)</f>
        <v>5397</v>
      </c>
      <c r="L5">
        <f>ROUND('Processed HWF'!E4/10000*'Processed HWF'!J4,0)</f>
        <v>15692</v>
      </c>
      <c r="M5">
        <f t="shared" si="0"/>
        <v>1210</v>
      </c>
      <c r="N5">
        <f t="shared" si="1"/>
        <v>1613</v>
      </c>
      <c r="O5">
        <f t="shared" si="2"/>
        <v>0.22419862886788958</v>
      </c>
      <c r="P5">
        <f t="shared" si="3"/>
        <v>0.10279123120061177</v>
      </c>
      <c r="Q5" t="str">
        <f t="shared" si="4"/>
        <v>Above 0.1</v>
      </c>
      <c r="R5" t="str">
        <f t="shared" si="5"/>
        <v>Above 0.1</v>
      </c>
      <c r="X5" t="s">
        <v>34</v>
      </c>
      <c r="Y5" t="str">
        <f>VLOOKUP(X5,'Reference table'!$J$2:$K$195,2,FALSE)</f>
        <v>Dominica</v>
      </c>
      <c r="Z5">
        <v>0.55696202531645567</v>
      </c>
      <c r="AA5">
        <v>1.0660592255125285</v>
      </c>
      <c r="AC5" t="s">
        <v>307</v>
      </c>
      <c r="AD5" t="str">
        <f>VLOOKUP(AC5,'Reference table'!$J$2:$K$195,2,FALSE)</f>
        <v>Guyana</v>
      </c>
      <c r="AE5">
        <v>1.5178571428571428E-2</v>
      </c>
      <c r="AF5">
        <v>4.7513336068937218</v>
      </c>
    </row>
    <row r="6" spans="1:32" x14ac:dyDescent="0.35">
      <c r="A6" t="s">
        <v>481</v>
      </c>
      <c r="B6">
        <v>9462</v>
      </c>
      <c r="E6" t="s">
        <v>125</v>
      </c>
      <c r="F6">
        <v>37599</v>
      </c>
      <c r="J6" t="str">
        <f>'Processed HWF'!B5</f>
        <v>AND</v>
      </c>
      <c r="K6">
        <f>ROUND('Processed HWF'!D5/10000*'Processed HWF'!J5,0)</f>
        <v>258</v>
      </c>
      <c r="L6">
        <f>ROUND('Processed HWF'!E5/10000*'Processed HWF'!J5,0)</f>
        <v>293</v>
      </c>
      <c r="M6">
        <f t="shared" si="0"/>
        <v>2</v>
      </c>
      <c r="N6" t="e">
        <f t="shared" si="1"/>
        <v>#N/A</v>
      </c>
      <c r="O6">
        <f t="shared" si="2"/>
        <v>7.7519379844961239E-3</v>
      </c>
      <c r="P6" t="str">
        <f t="shared" si="3"/>
        <v>No data</v>
      </c>
      <c r="Q6" t="str">
        <f t="shared" si="4"/>
        <v>Less than 0.1</v>
      </c>
      <c r="R6" t="str">
        <f t="shared" si="5"/>
        <v>No data</v>
      </c>
      <c r="X6" t="s">
        <v>96</v>
      </c>
      <c r="Y6" t="str">
        <f>VLOOKUP(X6,'Reference table'!$J$2:$K$195,2,FALSE)</f>
        <v>Grenada</v>
      </c>
      <c r="Z6">
        <v>0.48765432098765432</v>
      </c>
      <c r="AA6">
        <v>2.0537482319660536</v>
      </c>
      <c r="AC6" t="s">
        <v>14</v>
      </c>
      <c r="AD6" t="str">
        <f>VLOOKUP(AC6,'Reference table'!$J$2:$K$195,2,FALSE)</f>
        <v>Barbados</v>
      </c>
      <c r="AE6">
        <v>1.3986013986013986E-3</v>
      </c>
      <c r="AF6">
        <v>2.551763367463026</v>
      </c>
    </row>
    <row r="7" spans="1:32" x14ac:dyDescent="0.35">
      <c r="A7" t="s">
        <v>529</v>
      </c>
      <c r="B7">
        <v>7612</v>
      </c>
      <c r="E7" t="s">
        <v>74</v>
      </c>
      <c r="F7">
        <v>37461</v>
      </c>
      <c r="J7" t="str">
        <f>'Processed HWF'!B6</f>
        <v>ARE</v>
      </c>
      <c r="K7">
        <f>ROUND('Processed HWF'!D6/10000*'Processed HWF'!J6,0)</f>
        <v>25726</v>
      </c>
      <c r="L7">
        <f>ROUND('Processed HWF'!E6/10000*'Processed HWF'!J6,0)</f>
        <v>56831</v>
      </c>
      <c r="M7">
        <f t="shared" si="0"/>
        <v>130</v>
      </c>
      <c r="N7">
        <f t="shared" si="1"/>
        <v>287</v>
      </c>
      <c r="O7">
        <f t="shared" si="2"/>
        <v>5.0532535178418724E-3</v>
      </c>
      <c r="P7">
        <f t="shared" si="3"/>
        <v>5.0500607063046574E-3</v>
      </c>
      <c r="Q7" t="str">
        <f t="shared" si="4"/>
        <v>Less than 0.1</v>
      </c>
      <c r="R7" t="str">
        <f t="shared" si="5"/>
        <v>Less than 0.1</v>
      </c>
      <c r="X7" t="s">
        <v>489</v>
      </c>
      <c r="Y7" t="str">
        <f>VLOOKUP(X7,'Reference table'!$J$2:$K$195,2,FALSE)</f>
        <v>Saint Vincent and the Grenadines</v>
      </c>
      <c r="Z7">
        <v>0.40384615384615385</v>
      </c>
      <c r="AA7">
        <v>1.7866323907455013</v>
      </c>
      <c r="AC7" t="s">
        <v>77</v>
      </c>
      <c r="AD7" t="str">
        <f>VLOOKUP(AC7,'Reference table'!$J$2:$K$195,2,FALSE)</f>
        <v>Somalia</v>
      </c>
      <c r="AE7">
        <v>1.6393442622950821E-2</v>
      </c>
      <c r="AF7">
        <v>2.5301327885597549</v>
      </c>
    </row>
    <row r="8" spans="1:32" x14ac:dyDescent="0.35">
      <c r="A8" t="s">
        <v>123</v>
      </c>
      <c r="B8">
        <v>6464</v>
      </c>
      <c r="E8" t="s">
        <v>310</v>
      </c>
      <c r="F8">
        <v>34234</v>
      </c>
      <c r="J8" t="str">
        <f>'Processed HWF'!B7</f>
        <v>ARG</v>
      </c>
      <c r="K8">
        <f>ROUND('Processed HWF'!D7/10000*'Processed HWF'!J7,0)</f>
        <v>183458</v>
      </c>
      <c r="L8">
        <f>ROUND('Processed HWF'!E7/10000*'Processed HWF'!J7,0)</f>
        <v>117590</v>
      </c>
      <c r="M8">
        <f t="shared" si="0"/>
        <v>1312</v>
      </c>
      <c r="N8">
        <f t="shared" si="1"/>
        <v>2768</v>
      </c>
      <c r="O8">
        <f t="shared" si="2"/>
        <v>7.1515006159447942E-3</v>
      </c>
      <c r="P8">
        <f t="shared" si="3"/>
        <v>2.3539416617059272E-2</v>
      </c>
      <c r="Q8" t="str">
        <f t="shared" si="4"/>
        <v>Less than 0.1</v>
      </c>
      <c r="R8" t="str">
        <f t="shared" si="5"/>
        <v>Less than 0.1</v>
      </c>
      <c r="X8" t="s">
        <v>267</v>
      </c>
      <c r="Y8" t="str">
        <f>VLOOKUP(X8,'Reference table'!$J$2:$K$195,2,FALSE)</f>
        <v>Cyprus</v>
      </c>
      <c r="Z8">
        <v>0.27660695468914648</v>
      </c>
      <c r="AA8">
        <v>9.8107255520504727E-2</v>
      </c>
      <c r="AC8" t="s">
        <v>96</v>
      </c>
      <c r="AD8" t="str">
        <f>VLOOKUP(AC8,'Reference table'!$J$2:$K$195,2,FALSE)</f>
        <v>Grenada</v>
      </c>
      <c r="AE8">
        <v>0.48765432098765432</v>
      </c>
      <c r="AF8">
        <v>2.0537482319660536</v>
      </c>
    </row>
    <row r="9" spans="1:32" x14ac:dyDescent="0.35">
      <c r="A9" t="s">
        <v>153</v>
      </c>
      <c r="B9">
        <v>5672</v>
      </c>
      <c r="E9" t="s">
        <v>29</v>
      </c>
      <c r="F9">
        <v>30106</v>
      </c>
      <c r="J9" t="str">
        <f>'Processed HWF'!B8</f>
        <v>ARM</v>
      </c>
      <c r="K9">
        <f>ROUND('Processed HWF'!D8/10000*'Processed HWF'!J8,0)</f>
        <v>13045</v>
      </c>
      <c r="L9">
        <f>ROUND('Processed HWF'!E8/10000*'Processed HWF'!J8,0)</f>
        <v>13433</v>
      </c>
      <c r="M9">
        <f t="shared" si="0"/>
        <v>819</v>
      </c>
      <c r="N9">
        <f t="shared" si="1"/>
        <v>1984</v>
      </c>
      <c r="O9">
        <f t="shared" si="2"/>
        <v>6.2782675354541975E-2</v>
      </c>
      <c r="P9">
        <f t="shared" si="3"/>
        <v>0.14769597260477926</v>
      </c>
      <c r="Q9" t="str">
        <f t="shared" si="4"/>
        <v>Less than 0.1</v>
      </c>
      <c r="R9" t="str">
        <f t="shared" si="5"/>
        <v>Above 0.1</v>
      </c>
      <c r="X9" t="s">
        <v>94</v>
      </c>
      <c r="Y9" t="str">
        <f>VLOOKUP(X9,'Reference table'!$J$2:$K$195,2,FALSE)</f>
        <v>Luxembourg</v>
      </c>
      <c r="Z9">
        <v>0.25345377258235918</v>
      </c>
      <c r="AA9">
        <v>1.3524479307546659E-4</v>
      </c>
      <c r="AC9" t="s">
        <v>489</v>
      </c>
      <c r="AD9" t="str">
        <f>VLOOKUP(AC9,'Reference table'!$J$2:$K$195,2,FALSE)</f>
        <v>Saint Vincent and the Grenadines</v>
      </c>
      <c r="AE9">
        <v>0.40384615384615385</v>
      </c>
      <c r="AF9">
        <v>1.7866323907455013</v>
      </c>
    </row>
    <row r="10" spans="1:32" x14ac:dyDescent="0.35">
      <c r="A10" t="s">
        <v>328</v>
      </c>
      <c r="B10">
        <v>5434</v>
      </c>
      <c r="E10" t="s">
        <v>404</v>
      </c>
      <c r="F10">
        <v>30040</v>
      </c>
      <c r="J10" t="str">
        <f>'Processed HWF'!B9</f>
        <v>ATG</v>
      </c>
      <c r="K10">
        <f>ROUND('Processed HWF'!D9/10000*'Processed HWF'!J9,0)</f>
        <v>271</v>
      </c>
      <c r="L10">
        <f>ROUND('Processed HWF'!E9/10000*'Processed HWF'!J9,0)</f>
        <v>615</v>
      </c>
      <c r="M10">
        <f t="shared" si="0"/>
        <v>8</v>
      </c>
      <c r="N10">
        <f t="shared" si="1"/>
        <v>906</v>
      </c>
      <c r="O10">
        <f t="shared" si="2"/>
        <v>2.9520295202952029E-2</v>
      </c>
      <c r="P10">
        <f t="shared" si="3"/>
        <v>1.473170731707317</v>
      </c>
      <c r="Q10" t="str">
        <f t="shared" si="4"/>
        <v>Less than 0.1</v>
      </c>
      <c r="R10" t="str">
        <f t="shared" si="5"/>
        <v>Above 0.1</v>
      </c>
      <c r="X10" t="s">
        <v>458</v>
      </c>
      <c r="Y10" t="str">
        <f>VLOOKUP(X10,'Reference table'!$J$2:$K$195,2,FALSE)</f>
        <v>Tunisia</v>
      </c>
      <c r="Z10">
        <v>0.24153118725306044</v>
      </c>
      <c r="AA10">
        <v>3.9907363898771565E-2</v>
      </c>
      <c r="AC10" t="s">
        <v>455</v>
      </c>
      <c r="AD10" t="str">
        <f>VLOOKUP(AC10,'Reference table'!$J$2:$K$195,2,FALSE)</f>
        <v>Trinidad and Tobago</v>
      </c>
      <c r="AE10">
        <v>1.5964240102171138E-4</v>
      </c>
      <c r="AF10">
        <v>1.6009904492394764</v>
      </c>
    </row>
    <row r="11" spans="1:32" x14ac:dyDescent="0.35">
      <c r="A11" t="s">
        <v>520</v>
      </c>
      <c r="B11">
        <v>5400</v>
      </c>
      <c r="E11" t="s">
        <v>71</v>
      </c>
      <c r="F11">
        <v>28396</v>
      </c>
      <c r="J11" t="str">
        <f>'Processed HWF'!B10</f>
        <v>AUS</v>
      </c>
      <c r="K11">
        <f>ROUND('Processed HWF'!D10/10000*'Processed HWF'!J10,0)</f>
        <v>105293</v>
      </c>
      <c r="L11">
        <f>ROUND('Processed HWF'!E10/10000*'Processed HWF'!J10,0)</f>
        <v>313594</v>
      </c>
      <c r="M11">
        <f t="shared" si="0"/>
        <v>898</v>
      </c>
      <c r="N11">
        <f t="shared" si="1"/>
        <v>3735</v>
      </c>
      <c r="O11">
        <f t="shared" si="2"/>
        <v>8.528582146961337E-3</v>
      </c>
      <c r="P11">
        <f t="shared" si="3"/>
        <v>1.1910304406334305E-2</v>
      </c>
      <c r="Q11" t="str">
        <f t="shared" si="4"/>
        <v>Less than 0.1</v>
      </c>
      <c r="R11" t="str">
        <f t="shared" si="5"/>
        <v>Less than 0.1</v>
      </c>
      <c r="X11" t="s">
        <v>520</v>
      </c>
      <c r="Y11" t="str">
        <f>VLOOKUP(X11,'Reference table'!$J$2:$K$195,2,FALSE)</f>
        <v>Syrian Arab Republic</v>
      </c>
      <c r="Z11">
        <v>0.24014942630970382</v>
      </c>
      <c r="AA11">
        <v>2.7202794604035824E-2</v>
      </c>
      <c r="AC11" t="s">
        <v>3</v>
      </c>
      <c r="AD11" t="str">
        <f>VLOOKUP(AC11,'Reference table'!$J$2:$K$195,2,FALSE)</f>
        <v>Antigua and Barbuda</v>
      </c>
      <c r="AE11">
        <v>2.9520295202952029E-2</v>
      </c>
      <c r="AF11">
        <v>1.473170731707317</v>
      </c>
    </row>
    <row r="12" spans="1:32" x14ac:dyDescent="0.35">
      <c r="A12" t="s">
        <v>264</v>
      </c>
      <c r="B12">
        <v>4577</v>
      </c>
      <c r="E12" t="s">
        <v>536</v>
      </c>
      <c r="F12">
        <v>23429</v>
      </c>
      <c r="J12" t="str">
        <f>'Processed HWF'!B11</f>
        <v>AUT</v>
      </c>
      <c r="K12">
        <f>ROUND('Processed HWF'!D11/10000*'Processed HWF'!J11,0)</f>
        <v>47674</v>
      </c>
      <c r="L12">
        <f>ROUND('Processed HWF'!E11/10000*'Processed HWF'!J11,0)</f>
        <v>92643</v>
      </c>
      <c r="M12">
        <f t="shared" si="0"/>
        <v>2336</v>
      </c>
      <c r="N12">
        <f t="shared" si="1"/>
        <v>869</v>
      </c>
      <c r="O12">
        <f t="shared" si="2"/>
        <v>4.8999454629357724E-2</v>
      </c>
      <c r="P12">
        <f t="shared" si="3"/>
        <v>9.3800934771110615E-3</v>
      </c>
      <c r="Q12" t="str">
        <f t="shared" si="4"/>
        <v>Less than 0.1</v>
      </c>
      <c r="R12" t="str">
        <f t="shared" si="5"/>
        <v>Less than 0.1</v>
      </c>
      <c r="X12" t="s">
        <v>363</v>
      </c>
      <c r="Y12" t="str">
        <f>VLOOKUP(X12,'Reference table'!$J$2:$K$195,2,FALSE)</f>
        <v>Malta</v>
      </c>
      <c r="Z12">
        <v>0.23357086302454474</v>
      </c>
      <c r="AA12">
        <v>1.7141350210970463E-2</v>
      </c>
      <c r="AC12" t="s">
        <v>487</v>
      </c>
      <c r="AD12" t="str">
        <f>VLOOKUP(AC12,'Reference table'!$J$2:$K$195,2,FALSE)</f>
        <v>Saint Lucia</v>
      </c>
      <c r="AE12">
        <v>7.6271186440677971E-2</v>
      </c>
      <c r="AF12">
        <v>1.2795031055900621</v>
      </c>
    </row>
    <row r="13" spans="1:32" x14ac:dyDescent="0.35">
      <c r="A13" t="s">
        <v>7</v>
      </c>
      <c r="B13">
        <v>4228</v>
      </c>
      <c r="E13" t="s">
        <v>483</v>
      </c>
      <c r="F13">
        <v>21528</v>
      </c>
      <c r="J13" t="str">
        <f>'Processed HWF'!B12</f>
        <v>AZE</v>
      </c>
      <c r="K13">
        <f>ROUND('Processed HWF'!D12/10000*'Processed HWF'!J12,0)</f>
        <v>32272</v>
      </c>
      <c r="L13">
        <f>ROUND('Processed HWF'!E12/10000*'Processed HWF'!J12,0)</f>
        <v>59890</v>
      </c>
      <c r="M13">
        <f t="shared" si="0"/>
        <v>1450</v>
      </c>
      <c r="N13">
        <f t="shared" si="1"/>
        <v>1002</v>
      </c>
      <c r="O13">
        <f t="shared" si="2"/>
        <v>4.4930589985126425E-2</v>
      </c>
      <c r="P13">
        <f t="shared" si="3"/>
        <v>1.673067290031725E-2</v>
      </c>
      <c r="Q13" t="str">
        <f t="shared" si="4"/>
        <v>Less than 0.1</v>
      </c>
      <c r="R13" t="str">
        <f t="shared" si="5"/>
        <v>Less than 0.1</v>
      </c>
      <c r="X13" t="s">
        <v>213</v>
      </c>
      <c r="Y13" t="str">
        <f>VLOOKUP(X13,'Reference table'!$J$2:$K$195,2,FALSE)</f>
        <v>Albania</v>
      </c>
      <c r="Z13">
        <v>0.22419862886788958</v>
      </c>
      <c r="AA13">
        <v>0.10279123120061177</v>
      </c>
      <c r="AC13" t="s">
        <v>16</v>
      </c>
      <c r="AD13" t="str">
        <f>VLOOKUP(AC13,'Reference table'!$J$2:$K$195,2,FALSE)</f>
        <v>Belize</v>
      </c>
      <c r="AE13">
        <v>4.662004662004662E-3</v>
      </c>
      <c r="AF13">
        <v>1.1707841031149302</v>
      </c>
    </row>
    <row r="14" spans="1:32" x14ac:dyDescent="0.35">
      <c r="A14" t="s">
        <v>492</v>
      </c>
      <c r="B14">
        <v>3959</v>
      </c>
      <c r="E14" t="s">
        <v>196</v>
      </c>
      <c r="F14">
        <v>19462</v>
      </c>
      <c r="J14" t="str">
        <f>'Processed HWF'!B13</f>
        <v>BDI</v>
      </c>
      <c r="K14">
        <f>ROUND('Processed HWF'!D13/10000*'Processed HWF'!J13,0)</f>
        <v>851</v>
      </c>
      <c r="L14">
        <f>ROUND('Processed HWF'!E13/10000*'Processed HWF'!J13,0)</f>
        <v>7707</v>
      </c>
      <c r="M14">
        <f t="shared" si="0"/>
        <v>12</v>
      </c>
      <c r="N14">
        <f t="shared" si="1"/>
        <v>3</v>
      </c>
      <c r="O14">
        <f t="shared" si="2"/>
        <v>1.4101057579318449E-2</v>
      </c>
      <c r="P14">
        <f t="shared" si="3"/>
        <v>3.8925652004671076E-4</v>
      </c>
      <c r="Q14" t="str">
        <f t="shared" si="4"/>
        <v>Less than 0.1</v>
      </c>
      <c r="R14" t="str">
        <f t="shared" si="5"/>
        <v>Less than 0.1</v>
      </c>
      <c r="X14" t="s">
        <v>37</v>
      </c>
      <c r="Y14" t="str">
        <f>VLOOKUP(X14,'Reference table'!$J$2:$K$195,2,FALSE)</f>
        <v>Bahamas</v>
      </c>
      <c r="Z14">
        <v>0.2178477690288714</v>
      </c>
      <c r="AA14">
        <v>0.50612472160356348</v>
      </c>
      <c r="AC14" t="s">
        <v>171</v>
      </c>
      <c r="AD14" t="str">
        <f>VLOOKUP(AC14,'Reference table'!$J$2:$K$195,2,FALSE)</f>
        <v>Tonga</v>
      </c>
      <c r="AE14" t="s">
        <v>915</v>
      </c>
      <c r="AF14">
        <v>1.0845986984815619</v>
      </c>
    </row>
    <row r="15" spans="1:32" x14ac:dyDescent="0.35">
      <c r="A15" t="s">
        <v>102</v>
      </c>
      <c r="B15">
        <v>3914</v>
      </c>
      <c r="E15" t="s">
        <v>264</v>
      </c>
      <c r="F15">
        <v>17754</v>
      </c>
      <c r="J15" t="str">
        <f>'Processed HWF'!B14</f>
        <v>BEL</v>
      </c>
      <c r="K15">
        <f>ROUND('Processed HWF'!D14/10000*'Processed HWF'!J14,0)</f>
        <v>70389</v>
      </c>
      <c r="L15">
        <f>ROUND('Processed HWF'!E14/10000*'Processed HWF'!J14,0)</f>
        <v>218469</v>
      </c>
      <c r="M15">
        <f t="shared" si="0"/>
        <v>603</v>
      </c>
      <c r="N15">
        <f t="shared" si="1"/>
        <v>977</v>
      </c>
      <c r="O15">
        <f t="shared" si="2"/>
        <v>8.5666794527554015E-3</v>
      </c>
      <c r="P15">
        <f t="shared" si="3"/>
        <v>4.4720303567096472E-3</v>
      </c>
      <c r="Q15" t="str">
        <f t="shared" si="4"/>
        <v>Less than 0.1</v>
      </c>
      <c r="R15" t="str">
        <f t="shared" si="5"/>
        <v>Less than 0.1</v>
      </c>
      <c r="X15" t="s">
        <v>153</v>
      </c>
      <c r="Y15" t="str">
        <f>VLOOKUP(X15,'Reference table'!$J$2:$K$195,2,FALSE)</f>
        <v>Morocco</v>
      </c>
      <c r="Z15">
        <v>0.21038575667655787</v>
      </c>
      <c r="AA15">
        <v>9.2626875199489311E-2</v>
      </c>
      <c r="AC15" t="s">
        <v>34</v>
      </c>
      <c r="AD15" t="str">
        <f>VLOOKUP(AC15,'Reference table'!$J$2:$K$195,2,FALSE)</f>
        <v>Dominica</v>
      </c>
      <c r="AE15">
        <v>0.55696202531645567</v>
      </c>
      <c r="AF15">
        <v>1.0660592255125285</v>
      </c>
    </row>
    <row r="16" spans="1:32" x14ac:dyDescent="0.35">
      <c r="A16" t="s">
        <v>543</v>
      </c>
      <c r="B16">
        <v>3835</v>
      </c>
      <c r="E16" t="s">
        <v>495</v>
      </c>
      <c r="F16">
        <v>15849</v>
      </c>
      <c r="J16" t="str">
        <f>'Processed HWF'!B15</f>
        <v>BEN</v>
      </c>
      <c r="K16">
        <f>ROUND('Processed HWF'!D15/10000*'Processed HWF'!J15,0)</f>
        <v>784</v>
      </c>
      <c r="L16">
        <f>ROUND('Processed HWF'!E15/10000*'Processed HWF'!J15,0)</f>
        <v>2743</v>
      </c>
      <c r="M16">
        <f t="shared" si="0"/>
        <v>9</v>
      </c>
      <c r="N16">
        <f t="shared" si="1"/>
        <v>4</v>
      </c>
      <c r="O16">
        <f t="shared" si="2"/>
        <v>1.1479591836734694E-2</v>
      </c>
      <c r="P16">
        <f t="shared" si="3"/>
        <v>1.4582573824279985E-3</v>
      </c>
      <c r="Q16" t="str">
        <f t="shared" si="4"/>
        <v>Less than 0.1</v>
      </c>
      <c r="R16" t="str">
        <f t="shared" si="5"/>
        <v>Less than 0.1</v>
      </c>
      <c r="X16" t="s">
        <v>368</v>
      </c>
      <c r="Y16" t="str">
        <f>VLOOKUP(X16,'Reference table'!$J$2:$K$195,2,FALSE)</f>
        <v>Republic of Moldova</v>
      </c>
      <c r="Z16">
        <v>0.20645573665707895</v>
      </c>
      <c r="AA16">
        <v>2.3533908485311783E-2</v>
      </c>
      <c r="AC16" t="s">
        <v>422</v>
      </c>
      <c r="AD16" t="str">
        <f>VLOOKUP(AC16,'Reference table'!$J$2:$K$195,2,FALSE)</f>
        <v>Sierra Leone</v>
      </c>
      <c r="AE16">
        <v>4.2372881355932202E-2</v>
      </c>
      <c r="AF16">
        <v>0.9885057471264368</v>
      </c>
    </row>
    <row r="17" spans="1:32" x14ac:dyDescent="0.35">
      <c r="A17" t="s">
        <v>458</v>
      </c>
      <c r="B17">
        <v>3729</v>
      </c>
      <c r="E17" t="s">
        <v>334</v>
      </c>
      <c r="F17">
        <v>14257</v>
      </c>
      <c r="J17" t="str">
        <f>'Processed HWF'!B16</f>
        <v>BFA</v>
      </c>
      <c r="K17">
        <f>ROUND('Processed HWF'!D16/10000*'Processed HWF'!J16,0)</f>
        <v>1089</v>
      </c>
      <c r="L17">
        <f>ROUND('Processed HWF'!E16/10000*'Processed HWF'!J16,0)</f>
        <v>11702</v>
      </c>
      <c r="M17">
        <f t="shared" si="0"/>
        <v>68</v>
      </c>
      <c r="N17">
        <f t="shared" si="1"/>
        <v>43</v>
      </c>
      <c r="O17">
        <f t="shared" si="2"/>
        <v>6.2442607897153349E-2</v>
      </c>
      <c r="P17">
        <f t="shared" si="3"/>
        <v>3.6745855409331739E-3</v>
      </c>
      <c r="Q17" t="str">
        <f t="shared" si="4"/>
        <v>Less than 0.1</v>
      </c>
      <c r="R17" t="str">
        <f t="shared" si="5"/>
        <v>Less than 0.1</v>
      </c>
      <c r="X17" t="s">
        <v>492</v>
      </c>
      <c r="Y17" t="str">
        <f>VLOOKUP(X17,'Reference table'!$J$2:$K$195,2,FALSE)</f>
        <v>Slovakia</v>
      </c>
      <c r="Z17">
        <v>0.20341160150028259</v>
      </c>
      <c r="AA17">
        <v>1.7399355106471281E-2</v>
      </c>
      <c r="AC17" t="s">
        <v>246</v>
      </c>
      <c r="AD17" t="str">
        <f>VLOOKUP(AC17,'Reference table'!$J$2:$K$195,2,FALSE)</f>
        <v>Cameroon</v>
      </c>
      <c r="AE17">
        <v>9.2715231788079472E-2</v>
      </c>
      <c r="AF17">
        <v>0.69638197947469127</v>
      </c>
    </row>
    <row r="18" spans="1:32" x14ac:dyDescent="0.35">
      <c r="A18" t="s">
        <v>104</v>
      </c>
      <c r="B18">
        <v>3505</v>
      </c>
      <c r="E18" t="s">
        <v>481</v>
      </c>
      <c r="F18">
        <v>13067</v>
      </c>
      <c r="J18" t="str">
        <f>'Processed HWF'!B17</f>
        <v>BGD</v>
      </c>
      <c r="K18">
        <f>ROUND('Processed HWF'!D17/10000*'Processed HWF'!J17,0)</f>
        <v>109667</v>
      </c>
      <c r="L18">
        <f>ROUND('Processed HWF'!E17/10000*'Processed HWF'!J17,0)</f>
        <v>66847</v>
      </c>
      <c r="M18">
        <f t="shared" si="0"/>
        <v>744</v>
      </c>
      <c r="N18">
        <f t="shared" si="1"/>
        <v>1281</v>
      </c>
      <c r="O18">
        <f t="shared" si="2"/>
        <v>6.7841739082859934E-3</v>
      </c>
      <c r="P18">
        <f t="shared" si="3"/>
        <v>1.916316364234745E-2</v>
      </c>
      <c r="Q18" t="str">
        <f t="shared" si="4"/>
        <v>Less than 0.1</v>
      </c>
      <c r="R18" t="str">
        <f t="shared" si="5"/>
        <v>Less than 0.1</v>
      </c>
      <c r="X18" t="s">
        <v>210</v>
      </c>
      <c r="Y18" t="str">
        <f>VLOOKUP(X18,'Reference table'!$J$2:$K$195,2,FALSE)</f>
        <v>Marshall Islands</v>
      </c>
      <c r="Z18">
        <v>0.2</v>
      </c>
      <c r="AA18">
        <v>0.56060606060606055</v>
      </c>
      <c r="AC18" t="s">
        <v>58</v>
      </c>
      <c r="AD18" t="str">
        <f>VLOOKUP(AC18,'Reference table'!$J$2:$K$195,2,FALSE)</f>
        <v>Dominican Republic</v>
      </c>
      <c r="AE18">
        <v>1.34117795913203E-2</v>
      </c>
      <c r="AF18">
        <v>0.65210824417872881</v>
      </c>
    </row>
    <row r="19" spans="1:32" x14ac:dyDescent="0.35">
      <c r="A19" t="s">
        <v>404</v>
      </c>
      <c r="B19">
        <v>3026</v>
      </c>
      <c r="E19" t="s">
        <v>307</v>
      </c>
      <c r="F19">
        <v>11579</v>
      </c>
      <c r="J19" t="str">
        <f>'Processed HWF'!B18</f>
        <v>BGR</v>
      </c>
      <c r="K19">
        <f>ROUND('Processed HWF'!D18/10000*'Processed HWF'!J18,0)</f>
        <v>29233</v>
      </c>
      <c r="L19">
        <f>ROUND('Processed HWF'!E18/10000*'Processed HWF'!J18,0)</f>
        <v>30141</v>
      </c>
      <c r="M19">
        <f t="shared" si="0"/>
        <v>2166</v>
      </c>
      <c r="N19">
        <f t="shared" si="1"/>
        <v>1850</v>
      </c>
      <c r="O19">
        <f t="shared" si="2"/>
        <v>7.4094345431532857E-2</v>
      </c>
      <c r="P19">
        <f t="shared" si="3"/>
        <v>6.1378189177532266E-2</v>
      </c>
      <c r="Q19" t="str">
        <f t="shared" si="4"/>
        <v>Less than 0.1</v>
      </c>
      <c r="R19" t="str">
        <f t="shared" si="5"/>
        <v>Less than 0.1</v>
      </c>
      <c r="X19" t="s">
        <v>481</v>
      </c>
      <c r="Y19" t="str">
        <f>VLOOKUP(X19,'Reference table'!$J$2:$K$195,2,FALSE)</f>
        <v>Romania</v>
      </c>
      <c r="Z19">
        <v>0.16539644804922388</v>
      </c>
      <c r="AA19">
        <v>9.4351339056847644E-2</v>
      </c>
      <c r="AC19" t="s">
        <v>277</v>
      </c>
      <c r="AD19" t="str">
        <f>VLOOKUP(AC19,'Reference table'!$J$2:$K$195,2,FALSE)</f>
        <v>El Salvador</v>
      </c>
      <c r="AE19">
        <v>1.579371474617244E-2</v>
      </c>
      <c r="AF19">
        <v>0.59707513867876949</v>
      </c>
    </row>
    <row r="20" spans="1:32" x14ac:dyDescent="0.35">
      <c r="A20" t="s">
        <v>71</v>
      </c>
      <c r="B20">
        <v>2873</v>
      </c>
      <c r="E20" t="s">
        <v>295</v>
      </c>
      <c r="F20">
        <v>11557</v>
      </c>
      <c r="J20" t="str">
        <f>'Processed HWF'!B19</f>
        <v>BHR</v>
      </c>
      <c r="K20">
        <f>ROUND('Processed HWF'!D19/10000*'Processed HWF'!J19,0)</f>
        <v>1575</v>
      </c>
      <c r="L20">
        <f>ROUND('Processed HWF'!E19/10000*'Processed HWF'!J19,0)</f>
        <v>4244</v>
      </c>
      <c r="M20">
        <f t="shared" si="0"/>
        <v>68</v>
      </c>
      <c r="N20">
        <f t="shared" si="1"/>
        <v>5</v>
      </c>
      <c r="O20">
        <f t="shared" si="2"/>
        <v>4.3174603174603178E-2</v>
      </c>
      <c r="P20">
        <f t="shared" si="3"/>
        <v>1.1781338360037699E-3</v>
      </c>
      <c r="Q20" t="str">
        <f t="shared" si="4"/>
        <v>Less than 0.1</v>
      </c>
      <c r="R20" t="str">
        <f t="shared" si="5"/>
        <v>Less than 0.1</v>
      </c>
      <c r="X20" t="s">
        <v>112</v>
      </c>
      <c r="Y20" t="str">
        <f>VLOOKUP(X20,'Reference table'!$J$2:$K$195,2,FALSE)</f>
        <v>Ireland</v>
      </c>
      <c r="Z20">
        <v>0.15640415530149149</v>
      </c>
      <c r="AA20">
        <v>7.2229060881161211E-2</v>
      </c>
      <c r="AC20" t="s">
        <v>345</v>
      </c>
      <c r="AD20" t="str">
        <f>VLOOKUP(AC20,'Reference table'!$J$2:$K$195,2,FALSE)</f>
        <v>Liberia</v>
      </c>
      <c r="AE20">
        <v>2.3255813953488372E-2</v>
      </c>
      <c r="AF20">
        <v>0.57595385082481532</v>
      </c>
    </row>
    <row r="21" spans="1:32" x14ac:dyDescent="0.35">
      <c r="A21" t="s">
        <v>416</v>
      </c>
      <c r="B21">
        <v>2822</v>
      </c>
      <c r="E21" t="s">
        <v>529</v>
      </c>
      <c r="F21">
        <v>10800</v>
      </c>
      <c r="J21" t="str">
        <f>'Processed HWF'!B20</f>
        <v>BHS</v>
      </c>
      <c r="K21">
        <f>ROUND('Processed HWF'!D20/10000*'Processed HWF'!J20,0)</f>
        <v>762</v>
      </c>
      <c r="L21">
        <f>ROUND('Processed HWF'!E20/10000*'Processed HWF'!J20,0)</f>
        <v>1796</v>
      </c>
      <c r="M21">
        <f t="shared" si="0"/>
        <v>166</v>
      </c>
      <c r="N21">
        <f t="shared" si="1"/>
        <v>909</v>
      </c>
      <c r="O21">
        <f t="shared" si="2"/>
        <v>0.2178477690288714</v>
      </c>
      <c r="P21">
        <f t="shared" si="3"/>
        <v>0.50612472160356348</v>
      </c>
      <c r="Q21" t="str">
        <f t="shared" si="4"/>
        <v>Above 0.1</v>
      </c>
      <c r="R21" t="str">
        <f t="shared" si="5"/>
        <v>Above 0.1</v>
      </c>
      <c r="X21" t="s">
        <v>190</v>
      </c>
      <c r="Y21" t="str">
        <f>VLOOKUP(X21,'Reference table'!$J$2:$K$195,2,FALSE)</f>
        <v>Algeria</v>
      </c>
      <c r="Z21">
        <v>0.14580157730797269</v>
      </c>
      <c r="AA21">
        <v>0.14285714285714285</v>
      </c>
      <c r="AC21" t="s">
        <v>210</v>
      </c>
      <c r="AD21" t="str">
        <f>VLOOKUP(AC21,'Reference table'!$J$2:$K$195,2,FALSE)</f>
        <v>Marshall Islands</v>
      </c>
      <c r="AE21">
        <v>0.2</v>
      </c>
      <c r="AF21">
        <v>0.56060606060606055</v>
      </c>
    </row>
    <row r="22" spans="1:32" x14ac:dyDescent="0.35">
      <c r="A22" t="s">
        <v>162</v>
      </c>
      <c r="B22">
        <v>2814</v>
      </c>
      <c r="E22" t="s">
        <v>58</v>
      </c>
      <c r="F22">
        <v>10362</v>
      </c>
      <c r="J22" t="str">
        <f>'Processed HWF'!B21</f>
        <v>BIH</v>
      </c>
      <c r="K22">
        <f>ROUND('Processed HWF'!D21/10000*'Processed HWF'!J21,0)</f>
        <v>7092</v>
      </c>
      <c r="L22">
        <f>ROUND('Processed HWF'!E21/10000*'Processed HWF'!J21,0)</f>
        <v>18810</v>
      </c>
      <c r="M22">
        <f t="shared" si="0"/>
        <v>732</v>
      </c>
      <c r="N22">
        <f t="shared" si="1"/>
        <v>2271</v>
      </c>
      <c r="O22">
        <f t="shared" si="2"/>
        <v>0.10321489001692047</v>
      </c>
      <c r="P22">
        <f t="shared" si="3"/>
        <v>0.12073365231259968</v>
      </c>
      <c r="Q22" t="str">
        <f t="shared" si="4"/>
        <v>Above 0.1</v>
      </c>
      <c r="R22" t="str">
        <f t="shared" si="5"/>
        <v>Above 0.1</v>
      </c>
      <c r="X22" t="s">
        <v>176</v>
      </c>
      <c r="Y22" t="str">
        <f>VLOOKUP(X22,'Reference table'!$J$2:$K$195,2,FALSE)</f>
        <v>Lao People's Democratic Republic</v>
      </c>
      <c r="Z22">
        <v>0.12271844660194174</v>
      </c>
      <c r="AA22">
        <v>0.32373585446211145</v>
      </c>
      <c r="AC22" t="s">
        <v>110</v>
      </c>
      <c r="AD22" t="str">
        <f>VLOOKUP(AC22,'Reference table'!$J$2:$K$195,2,FALSE)</f>
        <v>Samoa</v>
      </c>
      <c r="AE22" t="s">
        <v>915</v>
      </c>
      <c r="AF22">
        <v>0.53508771929824561</v>
      </c>
    </row>
    <row r="23" spans="1:32" x14ac:dyDescent="0.35">
      <c r="A23" t="s">
        <v>74</v>
      </c>
      <c r="B23">
        <v>2736</v>
      </c>
      <c r="E23" t="s">
        <v>162</v>
      </c>
      <c r="F23">
        <v>10149</v>
      </c>
      <c r="J23" t="str">
        <f>'Processed HWF'!B22</f>
        <v>BLR</v>
      </c>
      <c r="K23">
        <f>ROUND('Processed HWF'!D22/10000*'Processed HWF'!J22,0)</f>
        <v>42883</v>
      </c>
      <c r="L23">
        <f>ROUND('Processed HWF'!E22/10000*'Processed HWF'!J22,0)</f>
        <v>98979</v>
      </c>
      <c r="M23">
        <f t="shared" si="0"/>
        <v>1619</v>
      </c>
      <c r="N23">
        <f t="shared" si="1"/>
        <v>1217</v>
      </c>
      <c r="O23">
        <f t="shared" si="2"/>
        <v>3.7753888487279341E-2</v>
      </c>
      <c r="P23">
        <f t="shared" si="3"/>
        <v>1.2295537437234161E-2</v>
      </c>
      <c r="Q23" t="str">
        <f t="shared" si="4"/>
        <v>Less than 0.1</v>
      </c>
      <c r="R23" t="str">
        <f t="shared" si="5"/>
        <v>Less than 0.1</v>
      </c>
      <c r="X23" t="s">
        <v>371</v>
      </c>
      <c r="Y23" t="str">
        <f>VLOOKUP(X23,'Reference table'!$J$2:$K$195,2,FALSE)</f>
        <v>Mozambique</v>
      </c>
      <c r="Z23">
        <v>0.11981914091936699</v>
      </c>
      <c r="AA23">
        <v>2.3814924019051938E-3</v>
      </c>
      <c r="AC23" t="s">
        <v>37</v>
      </c>
      <c r="AD23" t="str">
        <f>VLOOKUP(AC23,'Reference table'!$J$2:$K$195,2,FALSE)</f>
        <v>Bahamas</v>
      </c>
      <c r="AE23">
        <v>0.2178477690288714</v>
      </c>
      <c r="AF23">
        <v>0.50612472160356348</v>
      </c>
    </row>
    <row r="24" spans="1:32" x14ac:dyDescent="0.35">
      <c r="A24" t="s">
        <v>112</v>
      </c>
      <c r="B24">
        <v>2695</v>
      </c>
      <c r="E24" t="s">
        <v>127</v>
      </c>
      <c r="F24">
        <v>9525</v>
      </c>
      <c r="J24" t="str">
        <f>'Processed HWF'!B23</f>
        <v>BLZ</v>
      </c>
      <c r="K24">
        <f>ROUND('Processed HWF'!D23/10000*'Processed HWF'!J23,0)</f>
        <v>429</v>
      </c>
      <c r="L24">
        <f>ROUND('Processed HWF'!E23/10000*'Processed HWF'!J23,0)</f>
        <v>931</v>
      </c>
      <c r="M24">
        <f t="shared" si="0"/>
        <v>2</v>
      </c>
      <c r="N24">
        <f t="shared" si="1"/>
        <v>1090</v>
      </c>
      <c r="O24">
        <f t="shared" si="2"/>
        <v>4.662004662004662E-3</v>
      </c>
      <c r="P24">
        <f t="shared" si="3"/>
        <v>1.1707841031149302</v>
      </c>
      <c r="Q24" t="str">
        <f t="shared" si="4"/>
        <v>Less than 0.1</v>
      </c>
      <c r="R24" t="str">
        <f t="shared" si="5"/>
        <v>Above 0.1</v>
      </c>
      <c r="X24" t="s">
        <v>449</v>
      </c>
      <c r="Y24" t="str">
        <f>VLOOKUP(X24,'Reference table'!$J$2:$K$195,2,FALSE)</f>
        <v>Sudan</v>
      </c>
      <c r="Z24">
        <v>0.11244665098858984</v>
      </c>
      <c r="AA24">
        <v>2.7474168309144118E-3</v>
      </c>
      <c r="AC24" t="s">
        <v>523</v>
      </c>
      <c r="AD24" t="str">
        <f>VLOOKUP(AC24,'Reference table'!$J$2:$K$195,2,FALSE)</f>
        <v>Togo</v>
      </c>
      <c r="AE24">
        <v>6.2773722627737227E-2</v>
      </c>
      <c r="AF24">
        <v>0.42810590631364565</v>
      </c>
    </row>
    <row r="25" spans="1:32" x14ac:dyDescent="0.35">
      <c r="A25" t="s">
        <v>368</v>
      </c>
      <c r="B25">
        <v>2584</v>
      </c>
      <c r="E25" t="s">
        <v>455</v>
      </c>
      <c r="F25">
        <v>9052</v>
      </c>
      <c r="J25" t="str">
        <f>'Processed HWF'!B24</f>
        <v>BOL</v>
      </c>
      <c r="K25">
        <f>ROUND('Processed HWF'!D24/10000*'Processed HWF'!J24,0)</f>
        <v>12015</v>
      </c>
      <c r="L25">
        <f>ROUND('Processed HWF'!E24/10000*'Processed HWF'!J24,0)</f>
        <v>18186</v>
      </c>
      <c r="M25">
        <f t="shared" si="0"/>
        <v>1307</v>
      </c>
      <c r="N25">
        <f t="shared" si="1"/>
        <v>1641</v>
      </c>
      <c r="O25">
        <f t="shared" si="2"/>
        <v>0.10878069080316272</v>
      </c>
      <c r="P25">
        <f t="shared" si="3"/>
        <v>9.023424612339162E-2</v>
      </c>
      <c r="Q25" t="str">
        <f t="shared" si="4"/>
        <v>Above 0.1</v>
      </c>
      <c r="R25" t="str">
        <f t="shared" si="5"/>
        <v>Less than 0.1</v>
      </c>
      <c r="X25" t="s">
        <v>199</v>
      </c>
      <c r="Y25" t="str">
        <f>VLOOKUP(X25,'Reference table'!$J$2:$K$195,2,FALSE)</f>
        <v>Bolivia</v>
      </c>
      <c r="Z25">
        <v>0.10878069080316272</v>
      </c>
      <c r="AA25">
        <v>9.023424612339162E-2</v>
      </c>
      <c r="AC25" t="s">
        <v>401</v>
      </c>
      <c r="AD25" t="str">
        <f>VLOOKUP(AC25,'Reference table'!$J$2:$K$195,2,FALSE)</f>
        <v>Philippines</v>
      </c>
      <c r="AE25">
        <v>1.9915595808241262E-3</v>
      </c>
      <c r="AF25">
        <v>0.42478542938151759</v>
      </c>
    </row>
    <row r="26" spans="1:32" x14ac:dyDescent="0.35">
      <c r="A26" t="s">
        <v>255</v>
      </c>
      <c r="B26">
        <v>2394</v>
      </c>
      <c r="E26" t="s">
        <v>255</v>
      </c>
      <c r="F26">
        <v>8525</v>
      </c>
      <c r="J26" t="str">
        <f>'Processed HWF'!B25</f>
        <v>BRA</v>
      </c>
      <c r="K26">
        <f>ROUND('Processed HWF'!D25/10000*'Processed HWF'!J25,0)</f>
        <v>491263</v>
      </c>
      <c r="L26">
        <f>ROUND('Processed HWF'!E25/10000*'Processed HWF'!J25,0)</f>
        <v>1573484</v>
      </c>
      <c r="M26">
        <f t="shared" si="0"/>
        <v>493</v>
      </c>
      <c r="N26">
        <f t="shared" si="1"/>
        <v>5453</v>
      </c>
      <c r="O26">
        <f t="shared" si="2"/>
        <v>1.0035357842947668E-3</v>
      </c>
      <c r="P26">
        <f t="shared" si="3"/>
        <v>3.4655579592801707E-3</v>
      </c>
      <c r="Q26" t="str">
        <f t="shared" si="4"/>
        <v>Less than 0.1</v>
      </c>
      <c r="R26" t="str">
        <f t="shared" si="5"/>
        <v>Less than 0.1</v>
      </c>
      <c r="X26" t="s">
        <v>416</v>
      </c>
      <c r="Y26" t="str">
        <f>VLOOKUP(X26,'Reference table'!$J$2:$K$195,2,FALSE)</f>
        <v>Serbia</v>
      </c>
      <c r="Z26">
        <v>0.10375</v>
      </c>
      <c r="AA26">
        <v>1.3428372609129036E-2</v>
      </c>
      <c r="AC26" t="s">
        <v>313</v>
      </c>
      <c r="AD26" t="str">
        <f>VLOOKUP(AC26,'Reference table'!$J$2:$K$195,2,FALSE)</f>
        <v>Honduras</v>
      </c>
      <c r="AE26">
        <v>3.1899858671512217E-2</v>
      </c>
      <c r="AF26">
        <v>0.35277816267147016</v>
      </c>
    </row>
    <row r="27" spans="1:32" x14ac:dyDescent="0.35">
      <c r="A27" t="s">
        <v>222</v>
      </c>
      <c r="B27">
        <v>2336</v>
      </c>
      <c r="E27" t="s">
        <v>190</v>
      </c>
      <c r="F27">
        <v>8374</v>
      </c>
      <c r="J27" t="str">
        <f>'Processed HWF'!B26</f>
        <v>BRB</v>
      </c>
      <c r="K27">
        <f>ROUND('Processed HWF'!D26/10000*'Processed HWF'!J26,0)</f>
        <v>715</v>
      </c>
      <c r="L27">
        <f>ROUND('Processed HWF'!E26/10000*'Processed HWF'!J26,0)</f>
        <v>879</v>
      </c>
      <c r="M27">
        <f t="shared" si="0"/>
        <v>1</v>
      </c>
      <c r="N27">
        <f t="shared" si="1"/>
        <v>2243</v>
      </c>
      <c r="O27">
        <f t="shared" si="2"/>
        <v>1.3986013986013986E-3</v>
      </c>
      <c r="P27">
        <f t="shared" si="3"/>
        <v>2.551763367463026</v>
      </c>
      <c r="Q27" t="str">
        <f t="shared" si="4"/>
        <v>Less than 0.1</v>
      </c>
      <c r="R27" t="str">
        <f t="shared" si="5"/>
        <v>Above 0.1</v>
      </c>
      <c r="X27" t="s">
        <v>22</v>
      </c>
      <c r="Y27" t="str">
        <f>VLOOKUP(X27,'Reference table'!$J$2:$K$195,2,FALSE)</f>
        <v>Bosnia and Herzegovina</v>
      </c>
      <c r="Z27">
        <v>0.10321489001692047</v>
      </c>
      <c r="AA27">
        <v>0.12073365231259968</v>
      </c>
      <c r="AC27" t="s">
        <v>243</v>
      </c>
      <c r="AD27" t="str">
        <f>VLOOKUP(AC27,'Reference table'!$J$2:$K$195,2,FALSE)</f>
        <v>Cape Verde</v>
      </c>
      <c r="AE27">
        <v>1.2987012987012988E-2</v>
      </c>
      <c r="AF27">
        <v>0.34072022160664822</v>
      </c>
    </row>
    <row r="28" spans="1:32" x14ac:dyDescent="0.35">
      <c r="A28" t="s">
        <v>237</v>
      </c>
      <c r="B28">
        <v>2166</v>
      </c>
      <c r="E28" t="s">
        <v>202</v>
      </c>
      <c r="F28">
        <v>8359</v>
      </c>
      <c r="J28" t="str">
        <f>'Processed HWF'!B27</f>
        <v>BRN</v>
      </c>
      <c r="K28">
        <f>ROUND('Processed HWF'!D27/10000*'Processed HWF'!J27,0)</f>
        <v>704</v>
      </c>
      <c r="L28">
        <f>ROUND('Processed HWF'!E27/10000*'Processed HWF'!J27,0)</f>
        <v>2580</v>
      </c>
      <c r="M28">
        <f t="shared" si="0"/>
        <v>1</v>
      </c>
      <c r="N28">
        <f t="shared" si="1"/>
        <v>5</v>
      </c>
      <c r="O28">
        <f t="shared" si="2"/>
        <v>1.4204545454545455E-3</v>
      </c>
      <c r="P28">
        <f t="shared" si="3"/>
        <v>1.937984496124031E-3</v>
      </c>
      <c r="Q28" t="str">
        <f t="shared" si="4"/>
        <v>Less than 0.1</v>
      </c>
      <c r="R28" t="str">
        <f t="shared" si="5"/>
        <v>Less than 0.1</v>
      </c>
      <c r="X28" t="s">
        <v>342</v>
      </c>
      <c r="Y28" t="str">
        <f>VLOOKUP(X28,'Reference table'!$J$2:$K$195,2,FALSE)</f>
        <v>Latvia</v>
      </c>
      <c r="Z28">
        <v>0.10261600747430707</v>
      </c>
      <c r="AA28">
        <v>6.0115461847389556E-2</v>
      </c>
      <c r="AC28" t="s">
        <v>500</v>
      </c>
      <c r="AD28" t="str">
        <f>VLOOKUP(AC28,'Reference table'!$J$2:$K$195,2,FALSE)</f>
        <v>Eritrea</v>
      </c>
      <c r="AE28">
        <v>1.0309278350515464E-2</v>
      </c>
      <c r="AF28">
        <v>0.34057971014492755</v>
      </c>
    </row>
    <row r="29" spans="1:32" x14ac:dyDescent="0.35">
      <c r="A29" t="s">
        <v>461</v>
      </c>
      <c r="B29">
        <v>1809</v>
      </c>
      <c r="E29" t="s">
        <v>246</v>
      </c>
      <c r="F29">
        <v>8007</v>
      </c>
      <c r="J29" t="str">
        <f>'Processed HWF'!B28</f>
        <v>BTN</v>
      </c>
      <c r="K29">
        <f>ROUND('Processed HWF'!D28/10000*'Processed HWF'!J28,0)</f>
        <v>385</v>
      </c>
      <c r="L29">
        <f>ROUND('Processed HWF'!E28/10000*'Processed HWF'!J28,0)</f>
        <v>1603</v>
      </c>
      <c r="M29">
        <f t="shared" si="0"/>
        <v>1</v>
      </c>
      <c r="N29">
        <f t="shared" si="1"/>
        <v>77</v>
      </c>
      <c r="O29">
        <f t="shared" si="2"/>
        <v>2.5974025974025974E-3</v>
      </c>
      <c r="P29">
        <f t="shared" si="3"/>
        <v>4.8034934497816595E-2</v>
      </c>
      <c r="Q29" t="str">
        <f t="shared" si="4"/>
        <v>Less than 0.1</v>
      </c>
      <c r="R29" t="str">
        <f t="shared" si="5"/>
        <v>Less than 0.1</v>
      </c>
      <c r="X29" t="s">
        <v>485</v>
      </c>
      <c r="Y29" t="str">
        <f>VLOOKUP(X29,'Reference table'!$J$2:$K$195,2,FALSE)</f>
        <v>Saint Kitts and Nevis</v>
      </c>
      <c r="Z29">
        <v>0.10204081632653061</v>
      </c>
      <c r="AA29">
        <v>1.3392857142857142E-2</v>
      </c>
      <c r="AC29" t="s">
        <v>176</v>
      </c>
      <c r="AD29" t="str">
        <f>VLOOKUP(AC29,'Reference table'!$J$2:$K$195,2,FALSE)</f>
        <v>Lao People's Democratic Republic</v>
      </c>
      <c r="AE29">
        <v>0.12271844660194174</v>
      </c>
      <c r="AF29">
        <v>0.32373585446211145</v>
      </c>
    </row>
    <row r="30" spans="1:32" x14ac:dyDescent="0.35">
      <c r="A30" t="s">
        <v>325</v>
      </c>
      <c r="B30">
        <v>1808</v>
      </c>
      <c r="E30" t="s">
        <v>328</v>
      </c>
      <c r="F30">
        <v>7945</v>
      </c>
      <c r="J30" t="str">
        <f>'Processed HWF'!B29</f>
        <v>BWA</v>
      </c>
      <c r="K30">
        <f>ROUND('Processed HWF'!D29/10000*'Processed HWF'!J29,0)</f>
        <v>890</v>
      </c>
      <c r="L30">
        <f>ROUND('Processed HWF'!E29/10000*'Processed HWF'!J29,0)</f>
        <v>8868</v>
      </c>
      <c r="M30">
        <f t="shared" si="0"/>
        <v>4</v>
      </c>
      <c r="N30">
        <f t="shared" si="1"/>
        <v>224</v>
      </c>
      <c r="O30">
        <f t="shared" si="2"/>
        <v>4.4943820224719105E-3</v>
      </c>
      <c r="P30">
        <f t="shared" si="3"/>
        <v>2.5259359494812811E-2</v>
      </c>
      <c r="Q30" t="str">
        <f t="shared" si="4"/>
        <v>Less than 0.1</v>
      </c>
      <c r="R30" t="str">
        <f t="shared" si="5"/>
        <v>Less than 0.1</v>
      </c>
      <c r="X30" t="s">
        <v>246</v>
      </c>
      <c r="Y30" t="str">
        <f>VLOOKUP(X30,'Reference table'!$J$2:$K$195,2,FALSE)</f>
        <v>Cameroon</v>
      </c>
      <c r="Z30">
        <v>9.2715231788079472E-2</v>
      </c>
      <c r="AA30">
        <v>0.69638197947469127</v>
      </c>
      <c r="AC30" t="s">
        <v>286</v>
      </c>
      <c r="AD30" t="str">
        <f>VLOOKUP(AC30,'Reference table'!$J$2:$K$195,2,FALSE)</f>
        <v>Fiji</v>
      </c>
      <c r="AE30">
        <v>1.6861219195849545E-2</v>
      </c>
      <c r="AF30">
        <v>0.28201219512195119</v>
      </c>
    </row>
    <row r="31" spans="1:32" x14ac:dyDescent="0.35">
      <c r="A31" t="s">
        <v>91</v>
      </c>
      <c r="B31">
        <v>1807</v>
      </c>
      <c r="E31" t="s">
        <v>398</v>
      </c>
      <c r="F31">
        <v>7585</v>
      </c>
      <c r="J31" t="str">
        <f>'Processed HWF'!B30</f>
        <v>CAF</v>
      </c>
      <c r="K31">
        <f>ROUND('Processed HWF'!D30/10000*'Processed HWF'!J30,0)</f>
        <v>347</v>
      </c>
      <c r="L31">
        <f>ROUND('Processed HWF'!E30/10000*'Processed HWF'!J30,0)</f>
        <v>1237</v>
      </c>
      <c r="M31">
        <f t="shared" si="0"/>
        <v>1</v>
      </c>
      <c r="N31">
        <f t="shared" si="1"/>
        <v>1</v>
      </c>
      <c r="O31">
        <f t="shared" si="2"/>
        <v>2.881844380403458E-3</v>
      </c>
      <c r="P31">
        <f t="shared" si="3"/>
        <v>8.0840743734842356E-4</v>
      </c>
      <c r="Q31" t="str">
        <f t="shared" si="4"/>
        <v>Less than 0.1</v>
      </c>
      <c r="R31" t="str">
        <f t="shared" si="5"/>
        <v>Less than 0.1</v>
      </c>
      <c r="X31" t="s">
        <v>261</v>
      </c>
      <c r="Y31" t="str">
        <f>VLOOKUP(X31,'Reference table'!$J$2:$K$195,2,FALSE)</f>
        <v>Croatia</v>
      </c>
      <c r="Z31">
        <v>9.0123022847100179E-2</v>
      </c>
      <c r="AA31">
        <v>1.5954415954415956E-2</v>
      </c>
      <c r="AC31" t="s">
        <v>392</v>
      </c>
      <c r="AD31" t="str">
        <f>VLOOKUP(AC31,'Reference table'!$J$2:$K$195,2,FALSE)</f>
        <v>Panama</v>
      </c>
      <c r="AE31">
        <v>5.4656445201590007E-2</v>
      </c>
      <c r="AF31">
        <v>0.26483985250524184</v>
      </c>
    </row>
    <row r="32" spans="1:32" x14ac:dyDescent="0.35">
      <c r="A32" t="s">
        <v>42</v>
      </c>
      <c r="B32">
        <v>1787</v>
      </c>
      <c r="E32" t="s">
        <v>277</v>
      </c>
      <c r="F32">
        <v>7104</v>
      </c>
      <c r="J32" t="str">
        <f>'Processed HWF'!B31</f>
        <v>CAN</v>
      </c>
      <c r="K32">
        <f>ROUND('Processed HWF'!D31/10000*'Processed HWF'!J31,0)</f>
        <v>92211</v>
      </c>
      <c r="L32">
        <f>ROUND('Processed HWF'!E31/10000*'Processed HWF'!J31,0)</f>
        <v>418388</v>
      </c>
      <c r="M32">
        <f t="shared" si="0"/>
        <v>376</v>
      </c>
      <c r="N32">
        <f t="shared" si="1"/>
        <v>30106</v>
      </c>
      <c r="O32">
        <f t="shared" si="2"/>
        <v>4.077604624177159E-3</v>
      </c>
      <c r="P32">
        <f t="shared" si="3"/>
        <v>7.1957130701645361E-2</v>
      </c>
      <c r="Q32" t="str">
        <f t="shared" si="4"/>
        <v>Less than 0.1</v>
      </c>
      <c r="R32" t="str">
        <f t="shared" si="5"/>
        <v>Less than 0.1</v>
      </c>
      <c r="X32" t="s">
        <v>386</v>
      </c>
      <c r="Y32" t="str">
        <f>VLOOKUP(X32,'Reference table'!$J$2:$K$195,2,FALSE)</f>
        <v>The former Yugoslav Republic of Macedonia</v>
      </c>
      <c r="Z32">
        <v>8.9193252046099888E-2</v>
      </c>
      <c r="AA32">
        <v>1.3419420179769591E-2</v>
      </c>
      <c r="AC32" t="s">
        <v>380</v>
      </c>
      <c r="AD32" t="str">
        <f>VLOOKUP(AC32,'Reference table'!$J$2:$K$195,2,FALSE)</f>
        <v>Nicaragua</v>
      </c>
      <c r="AE32">
        <v>3.0652035911852726E-2</v>
      </c>
      <c r="AF32">
        <v>0.22919097627382343</v>
      </c>
    </row>
    <row r="33" spans="1:32" x14ac:dyDescent="0.35">
      <c r="A33" t="s">
        <v>99</v>
      </c>
      <c r="B33">
        <v>1776</v>
      </c>
      <c r="E33" t="s">
        <v>431</v>
      </c>
      <c r="F33">
        <v>6935</v>
      </c>
      <c r="J33" t="str">
        <f>'Processed HWF'!B32</f>
        <v>CHE</v>
      </c>
      <c r="K33">
        <f>ROUND('Processed HWF'!D32/10000*'Processed HWF'!J32,0)</f>
        <v>37911</v>
      </c>
      <c r="L33">
        <f>ROUND('Processed HWF'!E32/10000*'Processed HWF'!J32,0)</f>
        <v>155138</v>
      </c>
      <c r="M33">
        <f t="shared" si="0"/>
        <v>405</v>
      </c>
      <c r="N33">
        <f t="shared" si="1"/>
        <v>1097</v>
      </c>
      <c r="O33">
        <f t="shared" si="2"/>
        <v>1.068291524887236E-2</v>
      </c>
      <c r="P33">
        <f t="shared" si="3"/>
        <v>7.0711237736724719E-3</v>
      </c>
      <c r="Q33" t="str">
        <f t="shared" si="4"/>
        <v>Less than 0.1</v>
      </c>
      <c r="R33" t="str">
        <f t="shared" si="5"/>
        <v>Less than 0.1</v>
      </c>
      <c r="X33" t="s">
        <v>91</v>
      </c>
      <c r="Y33" t="str">
        <f>VLOOKUP(X33,'Reference table'!$J$2:$K$195,2,FALSE)</f>
        <v>Georgia</v>
      </c>
      <c r="Z33">
        <v>8.8669709014181267E-2</v>
      </c>
      <c r="AA33">
        <v>6.2460453764801589E-2</v>
      </c>
      <c r="AC33" t="s">
        <v>334</v>
      </c>
      <c r="AD33" t="str">
        <f>VLOOKUP(AC33,'Reference table'!$J$2:$K$195,2,FALSE)</f>
        <v>Kenya</v>
      </c>
      <c r="AE33">
        <v>1.7829549506715798E-2</v>
      </c>
      <c r="AF33">
        <v>0.22751500063832503</v>
      </c>
    </row>
    <row r="34" spans="1:32" x14ac:dyDescent="0.35">
      <c r="A34" t="s">
        <v>536</v>
      </c>
      <c r="B34">
        <v>1676</v>
      </c>
      <c r="E34" t="s">
        <v>168</v>
      </c>
      <c r="F34">
        <v>6231</v>
      </c>
      <c r="J34" t="str">
        <f>'Processed HWF'!B33</f>
        <v>CHL</v>
      </c>
      <c r="K34">
        <f>ROUND('Processed HWF'!D33/10000*'Processed HWF'!J33,0)</f>
        <v>54242</v>
      </c>
      <c r="L34">
        <f>ROUND('Processed HWF'!E33/10000*'Processed HWF'!J33,0)</f>
        <v>67577</v>
      </c>
      <c r="M34">
        <f t="shared" si="0"/>
        <v>346</v>
      </c>
      <c r="N34">
        <f t="shared" si="1"/>
        <v>2029</v>
      </c>
      <c r="O34">
        <f t="shared" si="2"/>
        <v>6.3788208399395306E-3</v>
      </c>
      <c r="P34">
        <f t="shared" si="3"/>
        <v>3.0025008508812168E-2</v>
      </c>
      <c r="Q34" t="str">
        <f t="shared" si="4"/>
        <v>Less than 0.1</v>
      </c>
      <c r="R34" t="str">
        <f t="shared" si="5"/>
        <v>Less than 0.1</v>
      </c>
      <c r="X34" t="s">
        <v>446</v>
      </c>
      <c r="Y34" t="str">
        <f>VLOOKUP(X34,'Reference table'!$J$2:$K$195,2,FALSE)</f>
        <v>Niger</v>
      </c>
      <c r="Z34">
        <v>8.862275449101796E-2</v>
      </c>
      <c r="AA34">
        <v>8.337088778729157E-3</v>
      </c>
      <c r="AC34" t="s">
        <v>292</v>
      </c>
      <c r="AD34" t="str">
        <f>VLOOKUP(AC34,'Reference table'!$J$2:$K$195,2,FALSE)</f>
        <v>Gambia</v>
      </c>
      <c r="AE34">
        <v>1.507537688442211E-2</v>
      </c>
      <c r="AF34">
        <v>0.22298850574712645</v>
      </c>
    </row>
    <row r="35" spans="1:32" x14ac:dyDescent="0.35">
      <c r="A35" t="s">
        <v>431</v>
      </c>
      <c r="B35">
        <v>1667</v>
      </c>
      <c r="E35" t="s">
        <v>65</v>
      </c>
      <c r="F35">
        <v>6230</v>
      </c>
      <c r="J35" t="str">
        <f>'Processed HWF'!B34</f>
        <v>CHN</v>
      </c>
      <c r="K35">
        <f>ROUND('Processed HWF'!D34/10000*'Processed HWF'!J34,0)</f>
        <v>3209007</v>
      </c>
      <c r="L35">
        <f>ROUND('Processed HWF'!E34/10000*'Processed HWF'!J34,0)</f>
        <v>4442960</v>
      </c>
      <c r="M35">
        <f t="shared" si="0"/>
        <v>1084</v>
      </c>
      <c r="N35">
        <f t="shared" si="1"/>
        <v>19462</v>
      </c>
      <c r="O35">
        <f t="shared" si="2"/>
        <v>3.3779920081196456E-4</v>
      </c>
      <c r="P35">
        <f t="shared" si="3"/>
        <v>4.3804130579613593E-3</v>
      </c>
      <c r="Q35" t="str">
        <f t="shared" si="4"/>
        <v>Less than 0.1</v>
      </c>
      <c r="R35" t="str">
        <f t="shared" si="5"/>
        <v>Less than 0.1</v>
      </c>
      <c r="X35" t="s">
        <v>509</v>
      </c>
      <c r="Y35" t="str">
        <f>VLOOKUP(X35,'Reference table'!$J$2:$K$195,2,FALSE)</f>
        <v>Libyan Arab Jamahiriya</v>
      </c>
      <c r="Z35">
        <v>8.4099136730715673E-2</v>
      </c>
      <c r="AA35">
        <v>3.8596811766318001E-3</v>
      </c>
      <c r="AC35" t="s">
        <v>80</v>
      </c>
      <c r="AD35" t="str">
        <f>VLOOKUP(AC35,'Reference table'!$J$2:$K$195,2,FALSE)</f>
        <v>Micronesia, Federated States of</v>
      </c>
      <c r="AE35">
        <v>2.8703703703703702</v>
      </c>
      <c r="AF35">
        <v>0.21982758620689655</v>
      </c>
    </row>
    <row r="36" spans="1:32" x14ac:dyDescent="0.35">
      <c r="A36" t="s">
        <v>228</v>
      </c>
      <c r="B36">
        <v>1619</v>
      </c>
      <c r="E36" t="s">
        <v>331</v>
      </c>
      <c r="F36">
        <v>6186</v>
      </c>
      <c r="J36" t="str">
        <f>'Processed HWF'!B35</f>
        <v>CIV</v>
      </c>
      <c r="K36">
        <f>ROUND('Processed HWF'!D35/10000*'Processed HWF'!J35,0)</f>
        <v>4283</v>
      </c>
      <c r="L36">
        <f>ROUND('Processed HWF'!E35/10000*'Processed HWF'!J35,0)</f>
        <v>11556</v>
      </c>
      <c r="M36">
        <f t="shared" si="0"/>
        <v>99</v>
      </c>
      <c r="N36">
        <f t="shared" si="1"/>
        <v>131</v>
      </c>
      <c r="O36">
        <f t="shared" si="2"/>
        <v>2.3114639271538642E-2</v>
      </c>
      <c r="P36">
        <f t="shared" si="3"/>
        <v>1.1336102457597785E-2</v>
      </c>
      <c r="Q36" t="str">
        <f t="shared" si="4"/>
        <v>Less than 0.1</v>
      </c>
      <c r="R36" t="str">
        <f t="shared" si="5"/>
        <v>Less than 0.1</v>
      </c>
      <c r="X36" t="s">
        <v>487</v>
      </c>
      <c r="Y36" t="str">
        <f>VLOOKUP(X36,'Reference table'!$J$2:$K$195,2,FALSE)</f>
        <v>Saint Lucia</v>
      </c>
      <c r="Z36">
        <v>7.6271186440677971E-2</v>
      </c>
      <c r="AA36">
        <v>1.2795031055900621</v>
      </c>
      <c r="AC36" t="s">
        <v>479</v>
      </c>
      <c r="AD36" t="str">
        <f>VLOOKUP(AC36,'Reference table'!$J$2:$K$195,2,FALSE)</f>
        <v>Zimbabwe</v>
      </c>
      <c r="AE36">
        <v>7.0169491525423733E-2</v>
      </c>
      <c r="AF36">
        <v>0.21066702312525062</v>
      </c>
    </row>
    <row r="37" spans="1:32" x14ac:dyDescent="0.35">
      <c r="A37" t="s">
        <v>202</v>
      </c>
      <c r="B37">
        <v>1613</v>
      </c>
      <c r="E37" t="s">
        <v>123</v>
      </c>
      <c r="F37">
        <v>6136</v>
      </c>
      <c r="J37" t="str">
        <f>'Processed HWF'!B36</f>
        <v>CMR</v>
      </c>
      <c r="K37">
        <f>ROUND('Processed HWF'!D36/10000*'Processed HWF'!J36,0)</f>
        <v>2567</v>
      </c>
      <c r="L37">
        <f>ROUND('Processed HWF'!E36/10000*'Processed HWF'!J36,0)</f>
        <v>11498</v>
      </c>
      <c r="M37">
        <f t="shared" si="0"/>
        <v>238</v>
      </c>
      <c r="N37">
        <f t="shared" si="1"/>
        <v>8007</v>
      </c>
      <c r="O37">
        <f t="shared" si="2"/>
        <v>9.2715231788079472E-2</v>
      </c>
      <c r="P37">
        <f t="shared" si="3"/>
        <v>0.69638197947469127</v>
      </c>
      <c r="Q37" t="str">
        <f t="shared" si="4"/>
        <v>Less than 0.1</v>
      </c>
      <c r="R37" t="str">
        <f t="shared" si="5"/>
        <v>Above 0.1</v>
      </c>
      <c r="X37" t="s">
        <v>237</v>
      </c>
      <c r="Y37" t="str">
        <f>VLOOKUP(X37,'Reference table'!$J$2:$K$195,2,FALSE)</f>
        <v>Bulgaria</v>
      </c>
      <c r="Z37">
        <v>7.4094345431532857E-2</v>
      </c>
      <c r="AA37">
        <v>6.1378189177532266E-2</v>
      </c>
      <c r="AC37" t="s">
        <v>264</v>
      </c>
      <c r="AD37" t="str">
        <f>VLOOKUP(AC37,'Reference table'!$J$2:$K$195,2,FALSE)</f>
        <v>Cuba</v>
      </c>
      <c r="AE37">
        <v>4.783103949169723E-2</v>
      </c>
      <c r="AF37">
        <v>0.20660041427141759</v>
      </c>
    </row>
    <row r="38" spans="1:32" x14ac:dyDescent="0.35">
      <c r="A38" t="s">
        <v>117</v>
      </c>
      <c r="B38">
        <v>1602</v>
      </c>
      <c r="E38" t="s">
        <v>422</v>
      </c>
      <c r="F38">
        <v>5934</v>
      </c>
      <c r="J38" t="str">
        <f>'Processed HWF'!B37</f>
        <v>COD</v>
      </c>
      <c r="K38">
        <f>ROUND('Processed HWF'!D37/10000*'Processed HWF'!J37,0)</f>
        <v>33595</v>
      </c>
      <c r="L38">
        <f>ROUND('Processed HWF'!E37/10000*'Processed HWF'!J37,0)</f>
        <v>99387</v>
      </c>
      <c r="M38">
        <f t="shared" si="0"/>
        <v>12</v>
      </c>
      <c r="N38">
        <f t="shared" si="1"/>
        <v>9</v>
      </c>
      <c r="O38">
        <f t="shared" si="2"/>
        <v>3.5719601131120702E-4</v>
      </c>
      <c r="P38">
        <f t="shared" si="3"/>
        <v>9.0555102780041655E-5</v>
      </c>
      <c r="Q38" t="str">
        <f t="shared" si="4"/>
        <v>Less than 0.1</v>
      </c>
      <c r="R38" t="str">
        <f t="shared" si="5"/>
        <v>Less than 0.1</v>
      </c>
      <c r="X38" t="s">
        <v>479</v>
      </c>
      <c r="Y38" t="str">
        <f>VLOOKUP(X38,'Reference table'!$J$2:$K$195,2,FALSE)</f>
        <v>Zimbabwe</v>
      </c>
      <c r="Z38">
        <v>7.0169491525423733E-2</v>
      </c>
      <c r="AA38">
        <v>0.21066702312525062</v>
      </c>
      <c r="AC38" t="s">
        <v>179</v>
      </c>
      <c r="AD38" t="str">
        <f>VLOOKUP(AC38,'Reference table'!$J$2:$K$195,2,FALSE)</f>
        <v>Lebanon</v>
      </c>
      <c r="AE38">
        <v>3.3722782793414764E-2</v>
      </c>
      <c r="AF38">
        <v>0.20274980635166537</v>
      </c>
    </row>
    <row r="39" spans="1:32" x14ac:dyDescent="0.35">
      <c r="A39" t="s">
        <v>225</v>
      </c>
      <c r="B39">
        <v>1450</v>
      </c>
      <c r="E39" t="s">
        <v>117</v>
      </c>
      <c r="F39">
        <v>5868</v>
      </c>
      <c r="J39" t="str">
        <f>'Processed HWF'!B38</f>
        <v>COG</v>
      </c>
      <c r="K39">
        <f>ROUND('Processed HWF'!D38/10000*'Processed HWF'!J38,0)</f>
        <v>572</v>
      </c>
      <c r="L39">
        <f>ROUND('Processed HWF'!E38/10000*'Processed HWF'!J38,0)</f>
        <v>5346</v>
      </c>
      <c r="M39">
        <f t="shared" si="0"/>
        <v>40</v>
      </c>
      <c r="N39">
        <f t="shared" si="1"/>
        <v>270</v>
      </c>
      <c r="O39">
        <f t="shared" si="2"/>
        <v>6.9930069930069935E-2</v>
      </c>
      <c r="P39">
        <f t="shared" si="3"/>
        <v>5.0505050505050504E-2</v>
      </c>
      <c r="Q39" t="str">
        <f t="shared" si="4"/>
        <v>Less than 0.1</v>
      </c>
      <c r="R39" t="str">
        <f t="shared" si="5"/>
        <v>Less than 0.1</v>
      </c>
      <c r="X39" t="s">
        <v>443</v>
      </c>
      <c r="Y39" t="str">
        <f>VLOOKUP(X39,'Reference table'!$J$2:$K$195,2,FALSE)</f>
        <v>Congo</v>
      </c>
      <c r="Z39">
        <v>6.9930069930069935E-2</v>
      </c>
      <c r="AA39">
        <v>5.0505050505050504E-2</v>
      </c>
      <c r="AC39" t="s">
        <v>74</v>
      </c>
      <c r="AD39" t="str">
        <f>VLOOKUP(AC39,'Reference table'!$J$2:$K$195,2,FALSE)</f>
        <v>Nigeria</v>
      </c>
      <c r="AE39">
        <v>3.4898404316381589E-2</v>
      </c>
      <c r="AF39">
        <v>0.20213133329736147</v>
      </c>
    </row>
    <row r="40" spans="1:32" x14ac:dyDescent="0.35">
      <c r="A40" t="s">
        <v>10</v>
      </c>
      <c r="B40">
        <v>1312</v>
      </c>
      <c r="E40" t="s">
        <v>345</v>
      </c>
      <c r="F40">
        <v>5691</v>
      </c>
      <c r="J40" t="str">
        <f>'Processed HWF'!B39</f>
        <v>COK</v>
      </c>
      <c r="K40">
        <f>ROUND('Processed HWF'!D39/10000*'Processed HWF'!J39,0)</f>
        <v>25</v>
      </c>
      <c r="L40">
        <f>ROUND('Processed HWF'!E39/10000*'Processed HWF'!J39,0)</f>
        <v>110</v>
      </c>
      <c r="M40">
        <f t="shared" si="0"/>
        <v>1</v>
      </c>
      <c r="N40" t="e">
        <f t="shared" si="1"/>
        <v>#N/A</v>
      </c>
      <c r="O40">
        <f t="shared" si="2"/>
        <v>0.04</v>
      </c>
      <c r="P40" t="str">
        <f t="shared" si="3"/>
        <v>No data</v>
      </c>
      <c r="Q40" t="str">
        <f t="shared" si="4"/>
        <v>Less than 0.1</v>
      </c>
      <c r="R40" t="str">
        <f t="shared" si="5"/>
        <v>No data</v>
      </c>
      <c r="X40" t="s">
        <v>377</v>
      </c>
      <c r="Y40" t="str">
        <f>VLOOKUP(X40,'Reference table'!$J$2:$K$195,2,FALSE)</f>
        <v>Nauru</v>
      </c>
      <c r="Z40">
        <v>6.6666666666666666E-2</v>
      </c>
      <c r="AA40" t="s">
        <v>915</v>
      </c>
      <c r="AC40" t="s">
        <v>141</v>
      </c>
      <c r="AD40" t="str">
        <f>VLOOKUP(AC40,'Reference table'!$J$2:$K$195,2,FALSE)</f>
        <v>Cambodia</v>
      </c>
      <c r="AE40">
        <v>4.9735778675784889E-3</v>
      </c>
      <c r="AF40">
        <v>0.15579144551982516</v>
      </c>
    </row>
    <row r="41" spans="1:32" x14ac:dyDescent="0.35">
      <c r="A41" t="s">
        <v>199</v>
      </c>
      <c r="B41">
        <v>1307</v>
      </c>
      <c r="E41" t="s">
        <v>112</v>
      </c>
      <c r="F41">
        <v>5633</v>
      </c>
      <c r="J41" t="str">
        <f>'Processed HWF'!B40</f>
        <v>COL</v>
      </c>
      <c r="K41">
        <f>ROUND('Processed HWF'!D40/10000*'Processed HWF'!J40,0)</f>
        <v>118364</v>
      </c>
      <c r="L41">
        <f>ROUND('Processed HWF'!E40/10000*'Processed HWF'!J40,0)</f>
        <v>74059</v>
      </c>
      <c r="M41">
        <f t="shared" si="0"/>
        <v>2394</v>
      </c>
      <c r="N41">
        <f t="shared" si="1"/>
        <v>8525</v>
      </c>
      <c r="O41">
        <f t="shared" si="2"/>
        <v>2.0225744314149571E-2</v>
      </c>
      <c r="P41">
        <f t="shared" si="3"/>
        <v>0.11511092507325241</v>
      </c>
      <c r="Q41" t="str">
        <f t="shared" si="4"/>
        <v>Less than 0.1</v>
      </c>
      <c r="R41" t="str">
        <f t="shared" si="5"/>
        <v>Above 0.1</v>
      </c>
      <c r="X41" t="s">
        <v>99</v>
      </c>
      <c r="Y41" t="str">
        <f>VLOOKUP(X41,'Reference table'!$J$2:$K$195,2,FALSE)</f>
        <v>Jordan</v>
      </c>
      <c r="Z41">
        <v>6.5390279823269518E-2</v>
      </c>
      <c r="AA41">
        <v>5.3853235139400317E-2</v>
      </c>
      <c r="AC41" t="s">
        <v>219</v>
      </c>
      <c r="AD41" t="str">
        <f>VLOOKUP(AC41,'Reference table'!$J$2:$K$195,2,FALSE)</f>
        <v>Armenia</v>
      </c>
      <c r="AE41">
        <v>6.2782675354541975E-2</v>
      </c>
      <c r="AF41">
        <v>0.14769597260477926</v>
      </c>
    </row>
    <row r="42" spans="1:32" x14ac:dyDescent="0.35">
      <c r="A42" t="s">
        <v>449</v>
      </c>
      <c r="B42">
        <v>1291</v>
      </c>
      <c r="E42" t="s">
        <v>83</v>
      </c>
      <c r="F42">
        <v>5453</v>
      </c>
      <c r="J42" t="str">
        <f>'Processed HWF'!B41</f>
        <v>COM</v>
      </c>
      <c r="K42">
        <f>ROUND('Processed HWF'!D41/10000*'Processed HWF'!J41,0)</f>
        <v>230</v>
      </c>
      <c r="L42">
        <f>ROUND('Processed HWF'!E41/10000*'Processed HWF'!J41,0)</f>
        <v>1289</v>
      </c>
      <c r="M42">
        <f t="shared" si="0"/>
        <v>3</v>
      </c>
      <c r="N42" t="e">
        <f t="shared" si="1"/>
        <v>#N/A</v>
      </c>
      <c r="O42">
        <f t="shared" si="2"/>
        <v>1.3043478260869565E-2</v>
      </c>
      <c r="P42" t="str">
        <f t="shared" si="3"/>
        <v>No data</v>
      </c>
      <c r="Q42" t="str">
        <f t="shared" si="4"/>
        <v>Less than 0.1</v>
      </c>
      <c r="R42" t="str">
        <f t="shared" si="5"/>
        <v>No data</v>
      </c>
      <c r="X42" t="s">
        <v>219</v>
      </c>
      <c r="Y42" t="str">
        <f>VLOOKUP(X42,'Reference table'!$J$2:$K$195,2,FALSE)</f>
        <v>Armenia</v>
      </c>
      <c r="Z42">
        <v>6.2782675354541975E-2</v>
      </c>
      <c r="AA42">
        <v>0.14769597260477926</v>
      </c>
      <c r="AC42" t="s">
        <v>495</v>
      </c>
      <c r="AD42" t="str">
        <f>VLOOKUP(AC42,'Reference table'!$J$2:$K$195,2,FALSE)</f>
        <v>Viet Nam</v>
      </c>
      <c r="AE42">
        <v>1.2897465152041272E-3</v>
      </c>
      <c r="AF42">
        <v>0.14289449483383523</v>
      </c>
    </row>
    <row r="43" spans="1:32" x14ac:dyDescent="0.35">
      <c r="A43" t="s">
        <v>261</v>
      </c>
      <c r="B43">
        <v>1282</v>
      </c>
      <c r="E43" t="s">
        <v>274</v>
      </c>
      <c r="F43">
        <v>5141</v>
      </c>
      <c r="J43" t="str">
        <f>'Processed HWF'!B42</f>
        <v>CPV</v>
      </c>
      <c r="K43">
        <f>ROUND('Processed HWF'!D42/10000*'Processed HWF'!J42,0)</f>
        <v>462</v>
      </c>
      <c r="L43">
        <f>ROUND('Processed HWF'!E42/10000*'Processed HWF'!J42,0)</f>
        <v>722</v>
      </c>
      <c r="M43">
        <f t="shared" si="0"/>
        <v>6</v>
      </c>
      <c r="N43">
        <f t="shared" si="1"/>
        <v>246</v>
      </c>
      <c r="O43">
        <f t="shared" si="2"/>
        <v>1.2987012987012988E-2</v>
      </c>
      <c r="P43">
        <f t="shared" si="3"/>
        <v>0.34072022160664822</v>
      </c>
      <c r="Q43" t="str">
        <f t="shared" si="4"/>
        <v>Less than 0.1</v>
      </c>
      <c r="R43" t="str">
        <f t="shared" si="5"/>
        <v>Above 0.1</v>
      </c>
      <c r="X43" t="s">
        <v>523</v>
      </c>
      <c r="Y43" t="str">
        <f>VLOOKUP(X43,'Reference table'!$J$2:$K$195,2,FALSE)</f>
        <v>Togo</v>
      </c>
      <c r="Z43">
        <v>6.2773722627737227E-2</v>
      </c>
      <c r="AA43">
        <v>0.42810590631364565</v>
      </c>
      <c r="AC43" t="s">
        <v>190</v>
      </c>
      <c r="AD43" t="str">
        <f>VLOOKUP(AC43,'Reference table'!$J$2:$K$195,2,FALSE)</f>
        <v>Algeria</v>
      </c>
      <c r="AE43">
        <v>0.14580157730797269</v>
      </c>
      <c r="AF43">
        <v>0.14285714285714285</v>
      </c>
    </row>
    <row r="44" spans="1:32" x14ac:dyDescent="0.35">
      <c r="A44" t="s">
        <v>56</v>
      </c>
      <c r="B44">
        <v>1243</v>
      </c>
      <c r="E44" t="s">
        <v>543</v>
      </c>
      <c r="F44">
        <v>4997</v>
      </c>
      <c r="J44" t="str">
        <f>'Processed HWF'!B43</f>
        <v>CRI</v>
      </c>
      <c r="K44">
        <f>ROUND('Processed HWF'!D43/10000*'Processed HWF'!J43,0)</f>
        <v>16813</v>
      </c>
      <c r="L44">
        <f>ROUND('Processed HWF'!E43/10000*'Processed HWF'!J43,0)</f>
        <v>19366</v>
      </c>
      <c r="M44">
        <f t="shared" si="0"/>
        <v>101</v>
      </c>
      <c r="N44">
        <f t="shared" si="1"/>
        <v>1707</v>
      </c>
      <c r="O44">
        <f t="shared" si="2"/>
        <v>6.0072562897757684E-3</v>
      </c>
      <c r="P44">
        <f t="shared" si="3"/>
        <v>8.8144170195187443E-2</v>
      </c>
      <c r="Q44" t="str">
        <f t="shared" si="4"/>
        <v>Less than 0.1</v>
      </c>
      <c r="R44" t="str">
        <f t="shared" si="5"/>
        <v>Less than 0.1</v>
      </c>
      <c r="X44" t="s">
        <v>27</v>
      </c>
      <c r="Y44" t="str">
        <f>VLOOKUP(X44,'Reference table'!$J$2:$K$195,2,FALSE)</f>
        <v>Burkina Faso</v>
      </c>
      <c r="Z44">
        <v>6.2442607897153349E-2</v>
      </c>
      <c r="AA44">
        <v>3.6745855409331739E-3</v>
      </c>
      <c r="AC44" t="s">
        <v>404</v>
      </c>
      <c r="AD44" t="str">
        <f>VLOOKUP(AC44,'Reference table'!$J$2:$K$195,2,FALSE)</f>
        <v>Poland</v>
      </c>
      <c r="AE44">
        <v>2.1177425676053973E-2</v>
      </c>
      <c r="AF44">
        <v>0.12953971142485057</v>
      </c>
    </row>
    <row r="45" spans="1:32" x14ac:dyDescent="0.35">
      <c r="A45" t="s">
        <v>213</v>
      </c>
      <c r="B45">
        <v>1210</v>
      </c>
      <c r="E45" t="s">
        <v>86</v>
      </c>
      <c r="F45">
        <v>4779</v>
      </c>
      <c r="J45" t="str">
        <f>'Processed HWF'!B44</f>
        <v>CUB</v>
      </c>
      <c r="K45">
        <f>ROUND('Processed HWF'!D44/10000*'Processed HWF'!J44,0)</f>
        <v>95691</v>
      </c>
      <c r="L45">
        <f>ROUND('Processed HWF'!E44/10000*'Processed HWF'!J44,0)</f>
        <v>85934</v>
      </c>
      <c r="M45">
        <f t="shared" si="0"/>
        <v>4577</v>
      </c>
      <c r="N45">
        <f t="shared" si="1"/>
        <v>17754</v>
      </c>
      <c r="O45">
        <f t="shared" si="2"/>
        <v>4.783103949169723E-2</v>
      </c>
      <c r="P45">
        <f t="shared" si="3"/>
        <v>0.20660041427141759</v>
      </c>
      <c r="Q45" t="str">
        <f t="shared" si="4"/>
        <v>Less than 0.1</v>
      </c>
      <c r="R45" t="str">
        <f t="shared" si="5"/>
        <v>Above 0.1</v>
      </c>
      <c r="X45" t="s">
        <v>104</v>
      </c>
      <c r="Y45" t="str">
        <f>VLOOKUP(X45,'Reference table'!$J$2:$K$195,2,FALSE)</f>
        <v>Hungary</v>
      </c>
      <c r="Z45">
        <v>5.9835771719275482E-2</v>
      </c>
      <c r="AA45">
        <v>2.1267367834074256E-2</v>
      </c>
      <c r="AC45" t="s">
        <v>295</v>
      </c>
      <c r="AD45" t="str">
        <f>VLOOKUP(AC45,'Reference table'!$J$2:$K$195,2,FALSE)</f>
        <v>Ghana</v>
      </c>
      <c r="AE45">
        <v>5.9659090909090912E-2</v>
      </c>
      <c r="AF45">
        <v>0.12075522955718555</v>
      </c>
    </row>
    <row r="46" spans="1:32" x14ac:dyDescent="0.35">
      <c r="A46" t="s">
        <v>509</v>
      </c>
      <c r="B46">
        <v>1208</v>
      </c>
      <c r="E46" t="s">
        <v>479</v>
      </c>
      <c r="F46">
        <v>4728</v>
      </c>
      <c r="J46" t="str">
        <f>'Processed HWF'!B45</f>
        <v>CYP</v>
      </c>
      <c r="K46">
        <f>ROUND('Processed HWF'!D45/10000*'Processed HWF'!J45,0)</f>
        <v>3796</v>
      </c>
      <c r="L46">
        <f>ROUND('Processed HWF'!E45/10000*'Processed HWF'!J45,0)</f>
        <v>6340</v>
      </c>
      <c r="M46">
        <f t="shared" si="0"/>
        <v>1050</v>
      </c>
      <c r="N46">
        <f t="shared" si="1"/>
        <v>622</v>
      </c>
      <c r="O46">
        <f t="shared" si="2"/>
        <v>0.27660695468914648</v>
      </c>
      <c r="P46">
        <f t="shared" si="3"/>
        <v>9.8107255520504727E-2</v>
      </c>
      <c r="Q46" t="str">
        <f t="shared" si="4"/>
        <v>Above 0.1</v>
      </c>
      <c r="R46" t="str">
        <f t="shared" si="5"/>
        <v>Less than 0.1</v>
      </c>
      <c r="X46" t="s">
        <v>102</v>
      </c>
      <c r="Y46" t="str">
        <f>VLOOKUP(X46,'Reference table'!$J$2:$K$195,2,FALSE)</f>
        <v>Greece</v>
      </c>
      <c r="Z46">
        <v>5.9688291090981178E-2</v>
      </c>
      <c r="AA46">
        <v>4.1406141447825486E-2</v>
      </c>
      <c r="AC46" t="s">
        <v>22</v>
      </c>
      <c r="AD46" t="str">
        <f>VLOOKUP(AC46,'Reference table'!$J$2:$K$195,2,FALSE)</f>
        <v>Bosnia and Herzegovina</v>
      </c>
      <c r="AE46">
        <v>0.10321489001692047</v>
      </c>
      <c r="AF46">
        <v>0.12073365231259968</v>
      </c>
    </row>
    <row r="47" spans="1:32" x14ac:dyDescent="0.35">
      <c r="A47" t="s">
        <v>86</v>
      </c>
      <c r="B47">
        <v>1206</v>
      </c>
      <c r="E47" t="s">
        <v>153</v>
      </c>
      <c r="F47">
        <v>4353</v>
      </c>
      <c r="J47" t="str">
        <f>'Processed HWF'!B46</f>
        <v>CZE</v>
      </c>
      <c r="K47">
        <f>ROUND('Processed HWF'!D46/10000*'Processed HWF'!J46,0)</f>
        <v>44515</v>
      </c>
      <c r="L47">
        <f>ROUND('Processed HWF'!E46/10000*'Processed HWF'!J46,0)</f>
        <v>91431</v>
      </c>
      <c r="M47">
        <f t="shared" si="0"/>
        <v>1787</v>
      </c>
      <c r="N47">
        <f t="shared" si="1"/>
        <v>1426</v>
      </c>
      <c r="O47">
        <f t="shared" si="2"/>
        <v>4.0143771762327307E-2</v>
      </c>
      <c r="P47">
        <f t="shared" si="3"/>
        <v>1.5596460719012151E-2</v>
      </c>
      <c r="Q47" t="str">
        <f t="shared" si="4"/>
        <v>Less than 0.1</v>
      </c>
      <c r="R47" t="str">
        <f t="shared" si="5"/>
        <v>Less than 0.1</v>
      </c>
      <c r="X47" t="s">
        <v>295</v>
      </c>
      <c r="Y47" t="str">
        <f>VLOOKUP(X47,'Reference table'!$J$2:$K$195,2,FALSE)</f>
        <v>Ghana</v>
      </c>
      <c r="Z47">
        <v>5.9659090909090912E-2</v>
      </c>
      <c r="AA47">
        <v>0.12075522955718555</v>
      </c>
      <c r="AC47" t="s">
        <v>274</v>
      </c>
      <c r="AD47" t="str">
        <f>VLOOKUP(AC47,'Reference table'!$J$2:$K$195,2,FALSE)</f>
        <v>Ecuador</v>
      </c>
      <c r="AE47">
        <v>1.1575907801599674E-2</v>
      </c>
      <c r="AF47">
        <v>0.11638858074302144</v>
      </c>
    </row>
    <row r="48" spans="1:32" x14ac:dyDescent="0.35">
      <c r="A48" t="s">
        <v>398</v>
      </c>
      <c r="B48">
        <v>1129</v>
      </c>
      <c r="E48" t="s">
        <v>298</v>
      </c>
      <c r="F48">
        <v>3920</v>
      </c>
      <c r="J48" t="str">
        <f>'Processed HWF'!B47</f>
        <v>DEU</v>
      </c>
      <c r="K48">
        <f>ROUND('Processed HWF'!D47/10000*'Processed HWF'!J47,0)</f>
        <v>371491</v>
      </c>
      <c r="L48">
        <f>ROUND('Processed HWF'!E47/10000*'Processed HWF'!J47,0)</f>
        <v>1163945</v>
      </c>
      <c r="M48">
        <f t="shared" si="0"/>
        <v>2873</v>
      </c>
      <c r="N48">
        <f t="shared" si="1"/>
        <v>28396</v>
      </c>
      <c r="O48">
        <f t="shared" si="2"/>
        <v>7.7337001434758853E-3</v>
      </c>
      <c r="P48">
        <f t="shared" si="3"/>
        <v>2.4396341751543243E-2</v>
      </c>
      <c r="Q48" t="str">
        <f t="shared" si="4"/>
        <v>Less than 0.1</v>
      </c>
      <c r="R48" t="str">
        <f t="shared" si="5"/>
        <v>Less than 0.1</v>
      </c>
      <c r="X48" t="s">
        <v>357</v>
      </c>
      <c r="Y48" t="str">
        <f>VLOOKUP(X48,'Reference table'!$J$2:$K$195,2,FALSE)</f>
        <v>Maldives</v>
      </c>
      <c r="Z48">
        <v>5.8371735791090631E-2</v>
      </c>
      <c r="AA48">
        <v>3.9698292973402143E-3</v>
      </c>
      <c r="AC48" t="s">
        <v>255</v>
      </c>
      <c r="AD48" t="str">
        <f>VLOOKUP(AC48,'Reference table'!$J$2:$K$195,2,FALSE)</f>
        <v>Colombia</v>
      </c>
      <c r="AE48">
        <v>2.0225744314149571E-2</v>
      </c>
      <c r="AF48">
        <v>0.11511092507325241</v>
      </c>
    </row>
    <row r="49" spans="1:32" x14ac:dyDescent="0.35">
      <c r="A49" t="s">
        <v>196</v>
      </c>
      <c r="B49">
        <v>1084</v>
      </c>
      <c r="E49" t="s">
        <v>12</v>
      </c>
      <c r="F49">
        <v>3735</v>
      </c>
      <c r="J49" t="str">
        <f>'Processed HWF'!B48</f>
        <v>DJI</v>
      </c>
      <c r="K49">
        <f>ROUND('Processed HWF'!D48/10000*'Processed HWF'!J48,0)</f>
        <v>221</v>
      </c>
      <c r="L49">
        <f>ROUND('Processed HWF'!E48/10000*'Processed HWF'!J48,0)</f>
        <v>536</v>
      </c>
      <c r="M49">
        <f t="shared" si="0"/>
        <v>5</v>
      </c>
      <c r="N49" t="e">
        <f t="shared" si="1"/>
        <v>#N/A</v>
      </c>
      <c r="O49">
        <f t="shared" si="2"/>
        <v>2.2624434389140271E-2</v>
      </c>
      <c r="P49" t="str">
        <f t="shared" si="3"/>
        <v>No data</v>
      </c>
      <c r="Q49" t="str">
        <f t="shared" si="4"/>
        <v>Less than 0.1</v>
      </c>
      <c r="R49" t="str">
        <f t="shared" si="5"/>
        <v>No data</v>
      </c>
      <c r="X49" t="s">
        <v>529</v>
      </c>
      <c r="Y49" t="str">
        <f>VLOOKUP(X49,'Reference table'!$J$2:$K$195,2,FALSE)</f>
        <v>Ukraine</v>
      </c>
      <c r="Z49">
        <v>5.8152593260349737E-2</v>
      </c>
      <c r="AA49">
        <v>3.9187654437457593E-2</v>
      </c>
      <c r="AC49" t="s">
        <v>202</v>
      </c>
      <c r="AD49" t="str">
        <f>VLOOKUP(AC49,'Reference table'!$J$2:$K$195,2,FALSE)</f>
        <v>Portugal</v>
      </c>
      <c r="AE49">
        <v>2.8773256747355466E-2</v>
      </c>
      <c r="AF49">
        <v>0.1148608725523875</v>
      </c>
    </row>
    <row r="50" spans="1:32" x14ac:dyDescent="0.35">
      <c r="A50" t="s">
        <v>267</v>
      </c>
      <c r="B50">
        <v>1050</v>
      </c>
      <c r="E50" t="s">
        <v>392</v>
      </c>
      <c r="F50">
        <v>3663</v>
      </c>
      <c r="J50" t="str">
        <f>'Processed HWF'!B49</f>
        <v>DMA</v>
      </c>
      <c r="K50">
        <f>ROUND('Processed HWF'!D49/10000*'Processed HWF'!J49,0)</f>
        <v>79</v>
      </c>
      <c r="L50">
        <f>ROUND('Processed HWF'!E49/10000*'Processed HWF'!J49,0)</f>
        <v>439</v>
      </c>
      <c r="M50">
        <f t="shared" si="0"/>
        <v>44</v>
      </c>
      <c r="N50">
        <f t="shared" si="1"/>
        <v>468</v>
      </c>
      <c r="O50">
        <f t="shared" si="2"/>
        <v>0.55696202531645567</v>
      </c>
      <c r="P50">
        <f t="shared" si="3"/>
        <v>1.0660592255125285</v>
      </c>
      <c r="Q50" t="str">
        <f t="shared" si="4"/>
        <v>Above 0.1</v>
      </c>
      <c r="R50" t="str">
        <f t="shared" si="5"/>
        <v>Above 0.1</v>
      </c>
      <c r="X50" t="s">
        <v>351</v>
      </c>
      <c r="Y50" t="str">
        <f>VLOOKUP(X50,'Reference table'!$J$2:$K$195,2,FALSE)</f>
        <v>Madagascar</v>
      </c>
      <c r="Z50">
        <v>5.6655166152169964E-2</v>
      </c>
      <c r="AA50" t="s">
        <v>915</v>
      </c>
      <c r="AC50" t="s">
        <v>539</v>
      </c>
      <c r="AD50" t="str">
        <f>VLOOKUP(AC50,'Reference table'!$J$2:$K$195,2,FALSE)</f>
        <v>Mexico</v>
      </c>
      <c r="AE50">
        <v>1.8288633133227879E-3</v>
      </c>
      <c r="AF50">
        <v>0.10740143591439635</v>
      </c>
    </row>
    <row r="51" spans="1:32" x14ac:dyDescent="0.35">
      <c r="A51" t="s">
        <v>467</v>
      </c>
      <c r="B51">
        <v>994</v>
      </c>
      <c r="E51" t="s">
        <v>322</v>
      </c>
      <c r="F51">
        <v>3169</v>
      </c>
      <c r="J51" t="str">
        <f>'Processed HWF'!B50</f>
        <v>DNK</v>
      </c>
      <c r="K51">
        <f>ROUND('Processed HWF'!D50/10000*'Processed HWF'!J50,0)</f>
        <v>24470</v>
      </c>
      <c r="L51">
        <f>ROUND('Processed HWF'!E50/10000*'Processed HWF'!J50,0)</f>
        <v>58917</v>
      </c>
      <c r="M51">
        <f t="shared" si="0"/>
        <v>124</v>
      </c>
      <c r="N51">
        <f t="shared" si="1"/>
        <v>442</v>
      </c>
      <c r="O51">
        <f t="shared" si="2"/>
        <v>5.0674295055169599E-3</v>
      </c>
      <c r="P51">
        <f t="shared" si="3"/>
        <v>7.5020791961573057E-3</v>
      </c>
      <c r="Q51" t="str">
        <f t="shared" si="4"/>
        <v>Less than 0.1</v>
      </c>
      <c r="R51" t="str">
        <f t="shared" si="5"/>
        <v>Less than 0.1</v>
      </c>
      <c r="X51" t="s">
        <v>7</v>
      </c>
      <c r="Y51" t="str">
        <f>VLOOKUP(X51,'Reference table'!$J$2:$K$195,2,FALSE)</f>
        <v>Egypt</v>
      </c>
      <c r="Z51">
        <v>5.5143989983305511E-2</v>
      </c>
      <c r="AA51">
        <v>5.5944694383720751E-3</v>
      </c>
      <c r="AC51" t="s">
        <v>213</v>
      </c>
      <c r="AD51" t="str">
        <f>VLOOKUP(AC51,'Reference table'!$J$2:$K$195,2,FALSE)</f>
        <v>Albania</v>
      </c>
      <c r="AE51">
        <v>0.22419862886788958</v>
      </c>
      <c r="AF51">
        <v>0.10279123120061177</v>
      </c>
    </row>
    <row r="52" spans="1:32" x14ac:dyDescent="0.35">
      <c r="A52" t="s">
        <v>19</v>
      </c>
      <c r="B52">
        <v>970</v>
      </c>
      <c r="E52" t="s">
        <v>10</v>
      </c>
      <c r="F52">
        <v>2768</v>
      </c>
      <c r="J52" t="str">
        <f>'Processed HWF'!B51</f>
        <v>DOM</v>
      </c>
      <c r="K52">
        <f>ROUND('Processed HWF'!D51/10000*'Processed HWF'!J51,0)</f>
        <v>15807</v>
      </c>
      <c r="L52">
        <f>ROUND('Processed HWF'!E51/10000*'Processed HWF'!J51,0)</f>
        <v>15890</v>
      </c>
      <c r="M52">
        <f t="shared" si="0"/>
        <v>212</v>
      </c>
      <c r="N52">
        <f t="shared" si="1"/>
        <v>10362</v>
      </c>
      <c r="O52">
        <f t="shared" si="2"/>
        <v>1.34117795913203E-2</v>
      </c>
      <c r="P52">
        <f t="shared" si="3"/>
        <v>0.65210824417872881</v>
      </c>
      <c r="Q52" t="str">
        <f t="shared" si="4"/>
        <v>Less than 0.1</v>
      </c>
      <c r="R52" t="str">
        <f t="shared" si="5"/>
        <v>Above 0.1</v>
      </c>
      <c r="X52" t="s">
        <v>392</v>
      </c>
      <c r="Y52" t="str">
        <f>VLOOKUP(X52,'Reference table'!$J$2:$K$195,2,FALSE)</f>
        <v>Panama</v>
      </c>
      <c r="Z52">
        <v>5.4656445201590007E-2</v>
      </c>
      <c r="AA52">
        <v>0.26483985250524184</v>
      </c>
      <c r="AC52" t="s">
        <v>267</v>
      </c>
      <c r="AD52" t="str">
        <f>VLOOKUP(AC52,'Reference table'!$J$2:$K$195,2,FALSE)</f>
        <v>Cyprus</v>
      </c>
      <c r="AE52">
        <v>0.27660695468914648</v>
      </c>
      <c r="AF52">
        <v>9.8107255520504727E-2</v>
      </c>
    </row>
    <row r="53" spans="1:32" x14ac:dyDescent="0.35">
      <c r="A53" t="s">
        <v>12</v>
      </c>
      <c r="B53">
        <v>898</v>
      </c>
      <c r="E53" t="s">
        <v>129</v>
      </c>
      <c r="F53">
        <v>2616</v>
      </c>
      <c r="J53" t="str">
        <f>'Processed HWF'!B52</f>
        <v>DZA</v>
      </c>
      <c r="K53">
        <f>ROUND('Processed HWF'!D52/10000*'Processed HWF'!J52,0)</f>
        <v>75445</v>
      </c>
      <c r="L53">
        <f>ROUND('Processed HWF'!E52/10000*'Processed HWF'!J52,0)</f>
        <v>58618</v>
      </c>
      <c r="M53">
        <f t="shared" si="0"/>
        <v>11000</v>
      </c>
      <c r="N53">
        <f t="shared" si="1"/>
        <v>8374</v>
      </c>
      <c r="O53">
        <f t="shared" si="2"/>
        <v>0.14580157730797269</v>
      </c>
      <c r="P53">
        <f t="shared" si="3"/>
        <v>0.14285714285714285</v>
      </c>
      <c r="Q53" t="str">
        <f t="shared" si="4"/>
        <v>Above 0.1</v>
      </c>
      <c r="R53" t="str">
        <f t="shared" si="5"/>
        <v>Above 0.1</v>
      </c>
      <c r="X53" t="s">
        <v>395</v>
      </c>
      <c r="Y53" t="str">
        <f>VLOOKUP(X53,'Reference table'!$J$2:$K$195,2,FALSE)</f>
        <v>Paraguay</v>
      </c>
      <c r="Z53">
        <v>5.0266666666666668E-2</v>
      </c>
      <c r="AA53">
        <v>1.472381131013786E-2</v>
      </c>
      <c r="AC53" t="s">
        <v>298</v>
      </c>
      <c r="AD53" t="str">
        <f>VLOOKUP(AC53,'Reference table'!$J$2:$K$195,2,FALSE)</f>
        <v>Guatemala</v>
      </c>
      <c r="AE53">
        <v>6.6978333183493662E-3</v>
      </c>
      <c r="AF53">
        <v>9.7753173237575125E-2</v>
      </c>
    </row>
    <row r="54" spans="1:32" x14ac:dyDescent="0.35">
      <c r="A54" t="s">
        <v>187</v>
      </c>
      <c r="B54">
        <v>845</v>
      </c>
      <c r="E54" t="s">
        <v>313</v>
      </c>
      <c r="F54">
        <v>2546</v>
      </c>
      <c r="J54" t="str">
        <f>'Processed HWF'!B53</f>
        <v>ECU</v>
      </c>
      <c r="K54">
        <f>ROUND('Processed HWF'!D53/10000*'Processed HWF'!J53,0)</f>
        <v>39133</v>
      </c>
      <c r="L54">
        <f>ROUND('Processed HWF'!E53/10000*'Processed HWF'!J53,0)</f>
        <v>44171</v>
      </c>
      <c r="M54">
        <f t="shared" si="0"/>
        <v>453</v>
      </c>
      <c r="N54">
        <f t="shared" si="1"/>
        <v>5141</v>
      </c>
      <c r="O54">
        <f t="shared" si="2"/>
        <v>1.1575907801599674E-2</v>
      </c>
      <c r="P54">
        <f t="shared" si="3"/>
        <v>0.11638858074302144</v>
      </c>
      <c r="Q54" t="str">
        <f t="shared" si="4"/>
        <v>Less than 0.1</v>
      </c>
      <c r="R54" t="str">
        <f t="shared" si="5"/>
        <v>Above 0.1</v>
      </c>
      <c r="X54" t="s">
        <v>437</v>
      </c>
      <c r="Y54" t="str">
        <f>VLOOKUP(X54,'Reference table'!$J$2:$K$195,2,FALSE)</f>
        <v>Suriname</v>
      </c>
      <c r="Z54">
        <v>4.9896049896049899E-2</v>
      </c>
      <c r="AA54" t="s">
        <v>915</v>
      </c>
      <c r="AC54" t="s">
        <v>481</v>
      </c>
      <c r="AD54" t="str">
        <f>VLOOKUP(AC54,'Reference table'!$J$2:$K$195,2,FALSE)</f>
        <v>Romania</v>
      </c>
      <c r="AE54">
        <v>0.16539644804922388</v>
      </c>
      <c r="AF54">
        <v>9.4351339056847644E-2</v>
      </c>
    </row>
    <row r="55" spans="1:32" x14ac:dyDescent="0.35">
      <c r="A55" t="s">
        <v>219</v>
      </c>
      <c r="B55">
        <v>819</v>
      </c>
      <c r="E55" t="s">
        <v>187</v>
      </c>
      <c r="F55">
        <v>2513</v>
      </c>
      <c r="J55" t="str">
        <f>'Processed HWF'!B54</f>
        <v>EGY</v>
      </c>
      <c r="K55">
        <f>ROUND('Processed HWF'!D54/10000*'Processed HWF'!J54,0)</f>
        <v>76672</v>
      </c>
      <c r="L55">
        <f>ROUND('Processed HWF'!E54/10000*'Processed HWF'!J54,0)</f>
        <v>197159</v>
      </c>
      <c r="M55">
        <f t="shared" si="0"/>
        <v>4228</v>
      </c>
      <c r="N55">
        <f t="shared" si="1"/>
        <v>1103</v>
      </c>
      <c r="O55">
        <f t="shared" si="2"/>
        <v>5.5143989983305511E-2</v>
      </c>
      <c r="P55">
        <f t="shared" si="3"/>
        <v>5.5944694383720751E-3</v>
      </c>
      <c r="Q55" t="str">
        <f t="shared" si="4"/>
        <v>Less than 0.1</v>
      </c>
      <c r="R55" t="str">
        <f t="shared" si="5"/>
        <v>Less than 0.1</v>
      </c>
      <c r="X55" t="s">
        <v>222</v>
      </c>
      <c r="Y55" t="str">
        <f>VLOOKUP(X55,'Reference table'!$J$2:$K$195,2,FALSE)</f>
        <v>Austria</v>
      </c>
      <c r="Z55">
        <v>4.8999454629357724E-2</v>
      </c>
      <c r="AA55">
        <v>9.3800934771110615E-3</v>
      </c>
      <c r="AC55" t="s">
        <v>398</v>
      </c>
      <c r="AD55" t="str">
        <f>VLOOKUP(AC55,'Reference table'!$J$2:$K$195,2,FALSE)</f>
        <v>Peru</v>
      </c>
      <c r="AE55">
        <v>2.5013847346848344E-2</v>
      </c>
      <c r="AF55">
        <v>9.4319679673704887E-2</v>
      </c>
    </row>
    <row r="56" spans="1:32" x14ac:dyDescent="0.35">
      <c r="A56" t="s">
        <v>193</v>
      </c>
      <c r="B56">
        <v>744</v>
      </c>
      <c r="E56" t="s">
        <v>77</v>
      </c>
      <c r="F56">
        <v>2477</v>
      </c>
      <c r="J56" t="str">
        <f>'Processed HWF'!B55</f>
        <v>ERI</v>
      </c>
      <c r="K56">
        <f>ROUND('Processed HWF'!D55/10000*'Processed HWF'!J55,0)</f>
        <v>291</v>
      </c>
      <c r="L56">
        <f>ROUND('Processed HWF'!E55/10000*'Processed HWF'!J55,0)</f>
        <v>5106</v>
      </c>
      <c r="M56">
        <f t="shared" si="0"/>
        <v>3</v>
      </c>
      <c r="N56">
        <f t="shared" si="1"/>
        <v>1739</v>
      </c>
      <c r="O56">
        <f t="shared" si="2"/>
        <v>1.0309278350515464E-2</v>
      </c>
      <c r="P56">
        <f t="shared" si="3"/>
        <v>0.34057971014492755</v>
      </c>
      <c r="Q56" t="str">
        <f t="shared" si="4"/>
        <v>Less than 0.1</v>
      </c>
      <c r="R56" t="str">
        <f t="shared" si="5"/>
        <v>Above 0.1</v>
      </c>
      <c r="X56" t="s">
        <v>187</v>
      </c>
      <c r="Y56" t="str">
        <f>VLOOKUP(X56,'Reference table'!$J$2:$K$195,2,FALSE)</f>
        <v>New Zealand</v>
      </c>
      <c r="Z56">
        <v>4.8429619440623566E-2</v>
      </c>
      <c r="AA56">
        <v>4.6594849164704355E-2</v>
      </c>
      <c r="AC56" t="s">
        <v>476</v>
      </c>
      <c r="AD56" t="str">
        <f>VLOOKUP(AC56,'Reference table'!$J$2:$K$195,2,FALSE)</f>
        <v>Zambia</v>
      </c>
      <c r="AE56">
        <v>3.4563288183092011E-2</v>
      </c>
      <c r="AF56">
        <v>9.3127845115998462E-2</v>
      </c>
    </row>
    <row r="57" spans="1:32" x14ac:dyDescent="0.35">
      <c r="A57" t="s">
        <v>22</v>
      </c>
      <c r="B57">
        <v>732</v>
      </c>
      <c r="E57" t="s">
        <v>19</v>
      </c>
      <c r="F57">
        <v>2393</v>
      </c>
      <c r="J57" t="str">
        <f>'Processed HWF'!B56</f>
        <v>ESP</v>
      </c>
      <c r="K57">
        <f>ROUND('Processed HWF'!D56/10000*'Processed HWF'!J56,0)</f>
        <v>207808</v>
      </c>
      <c r="L57">
        <f>ROUND('Processed HWF'!E56/10000*'Processed HWF'!J56,0)</f>
        <v>277959</v>
      </c>
      <c r="M57">
        <f t="shared" si="0"/>
        <v>2814</v>
      </c>
      <c r="N57">
        <f t="shared" si="1"/>
        <v>10149</v>
      </c>
      <c r="O57">
        <f t="shared" si="2"/>
        <v>1.3541345857714814E-2</v>
      </c>
      <c r="P57">
        <f t="shared" si="3"/>
        <v>3.6512579193334269E-2</v>
      </c>
      <c r="Q57" t="str">
        <f t="shared" si="4"/>
        <v>Less than 0.1</v>
      </c>
      <c r="R57" t="str">
        <f t="shared" si="5"/>
        <v>Less than 0.1</v>
      </c>
      <c r="X57" t="s">
        <v>264</v>
      </c>
      <c r="Y57" t="str">
        <f>VLOOKUP(X57,'Reference table'!$J$2:$K$195,2,FALSE)</f>
        <v>Cuba</v>
      </c>
      <c r="Z57">
        <v>4.783103949169723E-2</v>
      </c>
      <c r="AA57">
        <v>0.20660041427141759</v>
      </c>
      <c r="AC57" t="s">
        <v>153</v>
      </c>
      <c r="AD57" t="str">
        <f>VLOOKUP(AC57,'Reference table'!$J$2:$K$195,2,FALSE)</f>
        <v>Morocco</v>
      </c>
      <c r="AE57">
        <v>0.21038575667655787</v>
      </c>
      <c r="AF57">
        <v>9.2626875199489311E-2</v>
      </c>
    </row>
    <row r="58" spans="1:32" x14ac:dyDescent="0.35">
      <c r="A58" t="s">
        <v>342</v>
      </c>
      <c r="B58">
        <v>659</v>
      </c>
      <c r="E58" t="s">
        <v>380</v>
      </c>
      <c r="F58">
        <v>2357</v>
      </c>
      <c r="J58" t="str">
        <f>'Processed HWF'!B57</f>
        <v>EST</v>
      </c>
      <c r="K58">
        <f>ROUND('Processed HWF'!D57/10000*'Processed HWF'!J57,0)</f>
        <v>4606</v>
      </c>
      <c r="L58">
        <f>ROUND('Processed HWF'!E57/10000*'Processed HWF'!J57,0)</f>
        <v>8285</v>
      </c>
      <c r="M58">
        <f t="shared" si="0"/>
        <v>143</v>
      </c>
      <c r="N58">
        <f t="shared" si="1"/>
        <v>330</v>
      </c>
      <c r="O58">
        <f t="shared" si="2"/>
        <v>3.1046461137646548E-2</v>
      </c>
      <c r="P58">
        <f t="shared" si="3"/>
        <v>3.9831019915509955E-2</v>
      </c>
      <c r="Q58" t="str">
        <f t="shared" si="4"/>
        <v>Less than 0.1</v>
      </c>
      <c r="R58" t="str">
        <f t="shared" si="5"/>
        <v>Less than 0.1</v>
      </c>
      <c r="X58" t="s">
        <v>56</v>
      </c>
      <c r="Y58" t="str">
        <f>VLOOKUP(X58,'Reference table'!$J$2:$K$195,2,FALSE)</f>
        <v>Sri Lanka</v>
      </c>
      <c r="Z58">
        <v>4.7197752126366947E-2</v>
      </c>
      <c r="AA58">
        <v>1.7997674834555534E-2</v>
      </c>
      <c r="AC58" t="s">
        <v>199</v>
      </c>
      <c r="AD58" t="str">
        <f>VLOOKUP(AC58,'Reference table'!$J$2:$K$195,2,FALSE)</f>
        <v>Bolivia</v>
      </c>
      <c r="AE58">
        <v>0.10878069080316272</v>
      </c>
      <c r="AF58">
        <v>9.023424612339162E-2</v>
      </c>
    </row>
    <row r="59" spans="1:32" x14ac:dyDescent="0.35">
      <c r="A59" t="s">
        <v>129</v>
      </c>
      <c r="B59">
        <v>622</v>
      </c>
      <c r="E59" t="s">
        <v>22</v>
      </c>
      <c r="F59">
        <v>2271</v>
      </c>
      <c r="J59" t="str">
        <f>'Processed HWF'!B58</f>
        <v>ETH</v>
      </c>
      <c r="K59">
        <f>ROUND('Processed HWF'!D58/10000*'Processed HWF'!J58,0)</f>
        <v>12170</v>
      </c>
      <c r="L59">
        <f>ROUND('Processed HWF'!E58/10000*'Processed HWF'!J58,0)</f>
        <v>69802</v>
      </c>
      <c r="M59">
        <f t="shared" si="0"/>
        <v>66</v>
      </c>
      <c r="N59">
        <f t="shared" si="1"/>
        <v>6230</v>
      </c>
      <c r="O59">
        <f t="shared" si="2"/>
        <v>5.4231717337715696E-3</v>
      </c>
      <c r="P59">
        <f t="shared" si="3"/>
        <v>8.9252456949657596E-2</v>
      </c>
      <c r="Q59" t="str">
        <f t="shared" si="4"/>
        <v>Less than 0.1</v>
      </c>
      <c r="R59" t="str">
        <f t="shared" si="5"/>
        <v>Less than 0.1</v>
      </c>
      <c r="X59" t="s">
        <v>325</v>
      </c>
      <c r="Y59" t="str">
        <f>VLOOKUP(X59,'Reference table'!$J$2:$K$195,2,FALSE)</f>
        <v>Iraq</v>
      </c>
      <c r="Z59">
        <v>4.6493686836217761E-2</v>
      </c>
      <c r="AA59">
        <v>1.8758329631274988E-2</v>
      </c>
      <c r="AC59" t="s">
        <v>366</v>
      </c>
      <c r="AD59" t="str">
        <f>VLOOKUP(AC59,'Reference table'!$J$2:$K$195,2,FALSE)</f>
        <v>Mauritius</v>
      </c>
      <c r="AE59">
        <v>8.4057971014492756E-3</v>
      </c>
      <c r="AF59">
        <v>9.0127897681854516E-2</v>
      </c>
    </row>
    <row r="60" spans="1:32" x14ac:dyDescent="0.35">
      <c r="A60" t="s">
        <v>135</v>
      </c>
      <c r="B60">
        <v>603</v>
      </c>
      <c r="E60" t="s">
        <v>176</v>
      </c>
      <c r="F60">
        <v>2260</v>
      </c>
      <c r="J60" t="str">
        <f>'Processed HWF'!B59</f>
        <v>FIN</v>
      </c>
      <c r="K60">
        <f>ROUND('Processed HWF'!D59/10000*'Processed HWF'!J59,0)</f>
        <v>25711</v>
      </c>
      <c r="L60">
        <f>ROUND('Processed HWF'!E59/10000*'Processed HWF'!J59,0)</f>
        <v>116369</v>
      </c>
      <c r="M60">
        <f t="shared" si="0"/>
        <v>93</v>
      </c>
      <c r="N60">
        <f t="shared" si="1"/>
        <v>742</v>
      </c>
      <c r="O60">
        <f t="shared" si="2"/>
        <v>3.6171288553537395E-3</v>
      </c>
      <c r="P60">
        <f t="shared" si="3"/>
        <v>6.3762685938695014E-3</v>
      </c>
      <c r="Q60" t="str">
        <f t="shared" si="4"/>
        <v>Less than 0.1</v>
      </c>
      <c r="R60" t="str">
        <f t="shared" si="5"/>
        <v>Less than 0.1</v>
      </c>
      <c r="X60" t="s">
        <v>225</v>
      </c>
      <c r="Y60" t="str">
        <f>VLOOKUP(X60,'Reference table'!$J$2:$K$195,2,FALSE)</f>
        <v>Azerbaijan</v>
      </c>
      <c r="Z60">
        <v>4.4930589985126425E-2</v>
      </c>
      <c r="AA60">
        <v>1.673067290031725E-2</v>
      </c>
      <c r="AC60" t="s">
        <v>65</v>
      </c>
      <c r="AD60" t="str">
        <f>VLOOKUP(AC60,'Reference table'!$J$2:$K$195,2,FALSE)</f>
        <v>Ethiopia</v>
      </c>
      <c r="AE60">
        <v>5.4231717337715696E-3</v>
      </c>
      <c r="AF60">
        <v>8.9252456949657596E-2</v>
      </c>
    </row>
    <row r="61" spans="1:32" x14ac:dyDescent="0.35">
      <c r="A61" t="s">
        <v>452</v>
      </c>
      <c r="B61">
        <v>577</v>
      </c>
      <c r="E61" t="s">
        <v>14</v>
      </c>
      <c r="F61">
        <v>2243</v>
      </c>
      <c r="J61" t="str">
        <f>'Processed HWF'!B60</f>
        <v>FJI</v>
      </c>
      <c r="K61">
        <f>ROUND('Processed HWF'!D60/10000*'Processed HWF'!J60,0)</f>
        <v>771</v>
      </c>
      <c r="L61">
        <f>ROUND('Processed HWF'!E60/10000*'Processed HWF'!J60,0)</f>
        <v>3280</v>
      </c>
      <c r="M61">
        <f t="shared" si="0"/>
        <v>13</v>
      </c>
      <c r="N61">
        <f t="shared" si="1"/>
        <v>925</v>
      </c>
      <c r="O61">
        <f t="shared" si="2"/>
        <v>1.6861219195849545E-2</v>
      </c>
      <c r="P61">
        <f t="shared" si="3"/>
        <v>0.28201219512195119</v>
      </c>
      <c r="Q61" t="str">
        <f t="shared" si="4"/>
        <v>Less than 0.1</v>
      </c>
      <c r="R61" t="str">
        <f t="shared" si="5"/>
        <v>Above 0.1</v>
      </c>
      <c r="X61" t="s">
        <v>132</v>
      </c>
      <c r="Y61" t="str">
        <f>VLOOKUP(X61,'Reference table'!$J$2:$K$195,2,FALSE)</f>
        <v>Bahrain</v>
      </c>
      <c r="Z61">
        <v>4.3174603174603178E-2</v>
      </c>
      <c r="AA61">
        <v>1.1781338360037699E-3</v>
      </c>
      <c r="AC61" t="s">
        <v>258</v>
      </c>
      <c r="AD61" t="str">
        <f>VLOOKUP(AC61,'Reference table'!$J$2:$K$195,2,FALSE)</f>
        <v>Costa Rica</v>
      </c>
      <c r="AE61">
        <v>6.0072562897757684E-3</v>
      </c>
      <c r="AF61">
        <v>8.8144170195187443E-2</v>
      </c>
    </row>
    <row r="62" spans="1:32" x14ac:dyDescent="0.35">
      <c r="A62" t="s">
        <v>539</v>
      </c>
      <c r="B62">
        <v>570</v>
      </c>
      <c r="E62" t="s">
        <v>179</v>
      </c>
      <c r="F62">
        <v>2094</v>
      </c>
      <c r="J62" t="str">
        <f>'Processed HWF'!B61</f>
        <v>FRA</v>
      </c>
      <c r="K62">
        <f>ROUND('Processed HWF'!D61/10000*'Processed HWF'!J61,0)</f>
        <v>213769</v>
      </c>
      <c r="L62">
        <f>ROUND('Processed HWF'!E61/10000*'Processed HWF'!J61,0)</f>
        <v>746291</v>
      </c>
      <c r="M62">
        <f t="shared" si="0"/>
        <v>1206</v>
      </c>
      <c r="N62">
        <f t="shared" si="1"/>
        <v>4779</v>
      </c>
      <c r="O62">
        <f t="shared" si="2"/>
        <v>5.641603787265693E-3</v>
      </c>
      <c r="P62">
        <f t="shared" si="3"/>
        <v>6.4036682741718714E-3</v>
      </c>
      <c r="Q62" t="str">
        <f t="shared" si="4"/>
        <v>Less than 0.1</v>
      </c>
      <c r="R62" t="str">
        <f t="shared" si="5"/>
        <v>Less than 0.1</v>
      </c>
      <c r="X62" t="s">
        <v>422</v>
      </c>
      <c r="Y62" t="str">
        <f>VLOOKUP(X62,'Reference table'!$J$2:$K$195,2,FALSE)</f>
        <v>Sierra Leone</v>
      </c>
      <c r="Z62">
        <v>4.2372881355932202E-2</v>
      </c>
      <c r="AA62">
        <v>0.9885057471264368</v>
      </c>
      <c r="AC62" t="s">
        <v>185</v>
      </c>
      <c r="AD62" t="str">
        <f>VLOOKUP(AC62,'Reference table'!$J$2:$K$195,2,FALSE)</f>
        <v>Montenegro</v>
      </c>
      <c r="AE62">
        <v>4.0674026728646138E-2</v>
      </c>
      <c r="AF62">
        <v>7.6972418216805644E-2</v>
      </c>
    </row>
    <row r="63" spans="1:32" x14ac:dyDescent="0.35">
      <c r="A63" t="s">
        <v>386</v>
      </c>
      <c r="B63">
        <v>534</v>
      </c>
      <c r="E63" t="s">
        <v>68</v>
      </c>
      <c r="F63">
        <v>2073</v>
      </c>
      <c r="J63" t="str">
        <f>'Processed HWF'!B62</f>
        <v>FSM</v>
      </c>
      <c r="K63">
        <f>ROUND('Processed HWF'!D62/10000*'Processed HWF'!J62,0)</f>
        <v>108</v>
      </c>
      <c r="L63">
        <f>ROUND('Processed HWF'!E62/10000*'Processed HWF'!J62,0)</f>
        <v>232</v>
      </c>
      <c r="M63">
        <f t="shared" si="0"/>
        <v>310</v>
      </c>
      <c r="N63">
        <f t="shared" si="1"/>
        <v>51</v>
      </c>
      <c r="O63">
        <f t="shared" si="2"/>
        <v>2.8703703703703702</v>
      </c>
      <c r="P63">
        <f t="shared" si="3"/>
        <v>0.21982758620689655</v>
      </c>
      <c r="Q63" t="str">
        <f t="shared" si="4"/>
        <v>Above 0.1</v>
      </c>
      <c r="R63" t="str">
        <f t="shared" si="5"/>
        <v>Above 0.1</v>
      </c>
      <c r="X63" t="s">
        <v>185</v>
      </c>
      <c r="Y63" t="str">
        <f>VLOOKUP(X63,'Reference table'!$J$2:$K$195,2,FALSE)</f>
        <v>Montenegro</v>
      </c>
      <c r="Z63">
        <v>4.0674026728646138E-2</v>
      </c>
      <c r="AA63">
        <v>7.6972418216805644E-2</v>
      </c>
      <c r="AC63" t="s">
        <v>112</v>
      </c>
      <c r="AD63" t="str">
        <f>VLOOKUP(AC63,'Reference table'!$J$2:$K$195,2,FALSE)</f>
        <v>Ireland</v>
      </c>
      <c r="AE63">
        <v>0.15640415530149149</v>
      </c>
      <c r="AF63">
        <v>7.2229060881161211E-2</v>
      </c>
    </row>
    <row r="64" spans="1:32" x14ac:dyDescent="0.35">
      <c r="A64" t="s">
        <v>179</v>
      </c>
      <c r="B64">
        <v>508</v>
      </c>
      <c r="E64" t="s">
        <v>252</v>
      </c>
      <c r="F64">
        <v>2029</v>
      </c>
      <c r="J64" t="str">
        <f>'Processed HWF'!B63</f>
        <v>GAB</v>
      </c>
      <c r="K64">
        <f>ROUND('Processed HWF'!D63/10000*'Processed HWF'!J63,0)</f>
        <v>1362</v>
      </c>
      <c r="L64">
        <f>ROUND('Processed HWF'!E63/10000*'Processed HWF'!J63,0)</f>
        <v>4826</v>
      </c>
      <c r="M64">
        <f t="shared" si="0"/>
        <v>22</v>
      </c>
      <c r="N64" t="e">
        <f t="shared" si="1"/>
        <v>#N/A</v>
      </c>
      <c r="O64">
        <f t="shared" si="2"/>
        <v>1.6152716593245228E-2</v>
      </c>
      <c r="P64" t="str">
        <f t="shared" si="3"/>
        <v>No data</v>
      </c>
      <c r="Q64" t="str">
        <f t="shared" si="4"/>
        <v>Less than 0.1</v>
      </c>
      <c r="R64" t="str">
        <f t="shared" si="5"/>
        <v>No data</v>
      </c>
      <c r="X64" t="s">
        <v>42</v>
      </c>
      <c r="Y64" t="str">
        <f>VLOOKUP(X64,'Reference table'!$J$2:$K$195,2,FALSE)</f>
        <v>Czech Republic</v>
      </c>
      <c r="Z64">
        <v>4.0143771762327307E-2</v>
      </c>
      <c r="AA64">
        <v>1.5596460719012151E-2</v>
      </c>
      <c r="AC64" t="s">
        <v>29</v>
      </c>
      <c r="AD64" t="str">
        <f>VLOOKUP(AC64,'Reference table'!$J$2:$K$195,2,FALSE)</f>
        <v>Canada</v>
      </c>
      <c r="AE64">
        <v>4.077604624177159E-3</v>
      </c>
      <c r="AF64">
        <v>7.1957130701645361E-2</v>
      </c>
    </row>
    <row r="65" spans="1:32" x14ac:dyDescent="0.35">
      <c r="A65" t="s">
        <v>83</v>
      </c>
      <c r="B65">
        <v>493</v>
      </c>
      <c r="E65" t="s">
        <v>219</v>
      </c>
      <c r="F65">
        <v>1984</v>
      </c>
      <c r="J65" t="str">
        <f>'Processed HWF'!B64</f>
        <v>GBR</v>
      </c>
      <c r="K65">
        <f>ROUND('Processed HWF'!D64/10000*'Processed HWF'!J64,0)</f>
        <v>203865</v>
      </c>
      <c r="L65">
        <f>ROUND('Processed HWF'!E64/10000*'Processed HWF'!J64,0)</f>
        <v>568041</v>
      </c>
      <c r="M65">
        <f t="shared" si="0"/>
        <v>1676</v>
      </c>
      <c r="N65">
        <f t="shared" si="1"/>
        <v>23429</v>
      </c>
      <c r="O65">
        <f t="shared" si="2"/>
        <v>8.2211267260196702E-3</v>
      </c>
      <c r="P65">
        <f t="shared" si="3"/>
        <v>4.1245262225790037E-2</v>
      </c>
      <c r="Q65" t="str">
        <f t="shared" si="4"/>
        <v>Less than 0.1</v>
      </c>
      <c r="R65" t="str">
        <f t="shared" si="5"/>
        <v>Less than 0.1</v>
      </c>
      <c r="X65" t="s">
        <v>39</v>
      </c>
      <c r="Y65" t="str">
        <f>VLOOKUP(X65,'Reference table'!$J$2:$K$195,2,FALSE)</f>
        <v>Cook Islands</v>
      </c>
      <c r="Z65">
        <v>0.04</v>
      </c>
      <c r="AA65" t="s">
        <v>915</v>
      </c>
      <c r="AC65" t="s">
        <v>123</v>
      </c>
      <c r="AD65" t="str">
        <f>VLOOKUP(AC65,'Reference table'!$J$2:$K$195,2,FALSE)</f>
        <v>Pakistan</v>
      </c>
      <c r="AE65">
        <v>2.6229295331152969E-2</v>
      </c>
      <c r="AF65">
        <v>6.8056787932564325E-2</v>
      </c>
    </row>
    <row r="66" spans="1:32" x14ac:dyDescent="0.35">
      <c r="A66" t="s">
        <v>94</v>
      </c>
      <c r="B66">
        <v>477</v>
      </c>
      <c r="E66" t="s">
        <v>237</v>
      </c>
      <c r="F66">
        <v>1850</v>
      </c>
      <c r="J66" t="str">
        <f>'Processed HWF'!B65</f>
        <v>GEO</v>
      </c>
      <c r="K66">
        <f>ROUND('Processed HWF'!D65/10000*'Processed HWF'!J65,0)</f>
        <v>20379</v>
      </c>
      <c r="L66">
        <f>ROUND('Processed HWF'!E65/10000*'Processed HWF'!J65,0)</f>
        <v>22126</v>
      </c>
      <c r="M66">
        <f t="shared" si="0"/>
        <v>1807</v>
      </c>
      <c r="N66">
        <f t="shared" si="1"/>
        <v>1382</v>
      </c>
      <c r="O66">
        <f t="shared" si="2"/>
        <v>8.8669709014181267E-2</v>
      </c>
      <c r="P66">
        <f t="shared" si="3"/>
        <v>6.2460453764801589E-2</v>
      </c>
      <c r="Q66" t="str">
        <f t="shared" si="4"/>
        <v>Less than 0.1</v>
      </c>
      <c r="R66" t="str">
        <f t="shared" si="5"/>
        <v>Less than 0.1</v>
      </c>
      <c r="X66" t="s">
        <v>228</v>
      </c>
      <c r="Y66" t="str">
        <f>VLOOKUP(X66,'Reference table'!$J$2:$K$195,2,FALSE)</f>
        <v>Belarus</v>
      </c>
      <c r="Z66">
        <v>3.7753888487279341E-2</v>
      </c>
      <c r="AA66">
        <v>1.2295537437234161E-2</v>
      </c>
      <c r="AC66" t="s">
        <v>114</v>
      </c>
      <c r="AD66" t="str">
        <f>VLOOKUP(AC66,'Reference table'!$J$2:$K$195,2,FALSE)</f>
        <v>Afghanistan</v>
      </c>
      <c r="AE66">
        <v>2.6398300799029027E-2</v>
      </c>
      <c r="AF66">
        <v>6.3826246151285682E-2</v>
      </c>
    </row>
    <row r="67" spans="1:32" x14ac:dyDescent="0.35">
      <c r="A67" t="s">
        <v>274</v>
      </c>
      <c r="B67">
        <v>453</v>
      </c>
      <c r="E67" t="s">
        <v>500</v>
      </c>
      <c r="F67">
        <v>1739</v>
      </c>
      <c r="J67" t="str">
        <f>'Processed HWF'!B66</f>
        <v>GHA</v>
      </c>
      <c r="K67">
        <f>ROUND('Processed HWF'!D66/10000*'Processed HWF'!J66,0)</f>
        <v>5280</v>
      </c>
      <c r="L67">
        <f>ROUND('Processed HWF'!E66/10000*'Processed HWF'!J66,0)</f>
        <v>95706</v>
      </c>
      <c r="M67">
        <f t="shared" si="0"/>
        <v>315</v>
      </c>
      <c r="N67">
        <f t="shared" si="1"/>
        <v>11557</v>
      </c>
      <c r="O67">
        <f t="shared" si="2"/>
        <v>5.9659090909090912E-2</v>
      </c>
      <c r="P67">
        <f t="shared" si="3"/>
        <v>0.12075522955718555</v>
      </c>
      <c r="Q67" t="str">
        <f t="shared" si="4"/>
        <v>Less than 0.1</v>
      </c>
      <c r="R67" t="str">
        <f t="shared" si="5"/>
        <v>Above 0.1</v>
      </c>
      <c r="X67" t="s">
        <v>431</v>
      </c>
      <c r="Y67" t="str">
        <f>VLOOKUP(X67,'Reference table'!$J$2:$K$195,2,FALSE)</f>
        <v>South Africa</v>
      </c>
      <c r="Z67">
        <v>3.5502832559526347E-2</v>
      </c>
      <c r="AA67">
        <v>2.3511582887229158E-2</v>
      </c>
      <c r="AC67" t="s">
        <v>413</v>
      </c>
      <c r="AD67" t="str">
        <f>VLOOKUP(AC67,'Reference table'!$J$2:$K$195,2,FALSE)</f>
        <v>Senegal</v>
      </c>
      <c r="AE67">
        <v>1.8317503392130258E-2</v>
      </c>
      <c r="AF67">
        <v>6.2984649469852827E-2</v>
      </c>
    </row>
    <row r="68" spans="1:32" x14ac:dyDescent="0.35">
      <c r="A68" t="s">
        <v>503</v>
      </c>
      <c r="B68">
        <v>446</v>
      </c>
      <c r="E68" t="s">
        <v>258</v>
      </c>
      <c r="F68">
        <v>1707</v>
      </c>
      <c r="J68" t="str">
        <f>'Processed HWF'!B67</f>
        <v>GIN</v>
      </c>
      <c r="K68">
        <f>ROUND('Processed HWF'!D67/10000*'Processed HWF'!J67,0)</f>
        <v>2952</v>
      </c>
      <c r="L68">
        <f>ROUND('Processed HWF'!E67/10000*'Processed HWF'!J67,0)</f>
        <v>7620</v>
      </c>
      <c r="M68">
        <f t="shared" ref="M68:M131" si="6">VLOOKUP(J68,A$3:B$184,2,FALSE)</f>
        <v>20</v>
      </c>
      <c r="N68">
        <f t="shared" ref="N68:N131" si="7">VLOOKUP(J68,E$3:F$171,2,FALSE)</f>
        <v>333</v>
      </c>
      <c r="O68">
        <f t="shared" ref="O68:O131" si="8">IF(_xlfn.IFNA(M68,0)=0,"No data",M68/K68)</f>
        <v>6.7750677506775072E-3</v>
      </c>
      <c r="P68">
        <f t="shared" ref="P68:P131" si="9">IF(_xlfn.IFNA(N68,0)=0,"No data",N68/L68)</f>
        <v>4.3700787401574806E-2</v>
      </c>
      <c r="Q68" t="str">
        <f t="shared" ref="Q68:Q131" si="10">IF(O68="No data","No data",IF(O68&lt;$Q$1,"Less than "&amp;$Q$1,"Above "&amp;$Q$1))</f>
        <v>Less than 0.1</v>
      </c>
      <c r="R68" t="str">
        <f t="shared" ref="R68:R131" si="11">IF(P68="No data","No data",IF(P68&lt;$Q$1,"Less than "&amp;$Q$1,"Above "&amp;$Q$1))</f>
        <v>Less than 0.1</v>
      </c>
      <c r="X68" t="s">
        <v>74</v>
      </c>
      <c r="Y68" t="str">
        <f>VLOOKUP(X68,'Reference table'!$J$2:$K$195,2,FALSE)</f>
        <v>Nigeria</v>
      </c>
      <c r="Z68">
        <v>3.4898404316381589E-2</v>
      </c>
      <c r="AA68">
        <v>0.20213133329736147</v>
      </c>
      <c r="AC68" t="s">
        <v>91</v>
      </c>
      <c r="AD68" t="str">
        <f>VLOOKUP(AC68,'Reference table'!$J$2:$K$195,2,FALSE)</f>
        <v>Georgia</v>
      </c>
      <c r="AE68">
        <v>8.8669709014181267E-2</v>
      </c>
      <c r="AF68">
        <v>6.2460453764801589E-2</v>
      </c>
    </row>
    <row r="69" spans="1:32" x14ac:dyDescent="0.35">
      <c r="A69" t="s">
        <v>331</v>
      </c>
      <c r="B69">
        <v>431</v>
      </c>
      <c r="E69" t="s">
        <v>476</v>
      </c>
      <c r="F69">
        <v>1698</v>
      </c>
      <c r="J69" t="str">
        <f>'Processed HWF'!B68</f>
        <v>GMB</v>
      </c>
      <c r="K69">
        <f>ROUND('Processed HWF'!D68/10000*'Processed HWF'!J68,0)</f>
        <v>199</v>
      </c>
      <c r="L69">
        <f>ROUND('Processed HWF'!E68/10000*'Processed HWF'!J68,0)</f>
        <v>1740</v>
      </c>
      <c r="M69">
        <f t="shared" si="6"/>
        <v>3</v>
      </c>
      <c r="N69">
        <f t="shared" si="7"/>
        <v>388</v>
      </c>
      <c r="O69">
        <f t="shared" si="8"/>
        <v>1.507537688442211E-2</v>
      </c>
      <c r="P69">
        <f t="shared" si="9"/>
        <v>0.22298850574712645</v>
      </c>
      <c r="Q69" t="str">
        <f t="shared" si="10"/>
        <v>Less than 0.1</v>
      </c>
      <c r="R69" t="str">
        <f t="shared" si="11"/>
        <v>Above 0.1</v>
      </c>
      <c r="X69" t="s">
        <v>476</v>
      </c>
      <c r="Y69" t="str">
        <f>VLOOKUP(X69,'Reference table'!$J$2:$K$195,2,FALSE)</f>
        <v>Zambia</v>
      </c>
      <c r="Z69">
        <v>3.4563288183092011E-2</v>
      </c>
      <c r="AA69">
        <v>9.3127845115998462E-2</v>
      </c>
      <c r="AC69" t="s">
        <v>237</v>
      </c>
      <c r="AD69" t="str">
        <f>VLOOKUP(AC69,'Reference table'!$J$2:$K$195,2,FALSE)</f>
        <v>Bulgaria</v>
      </c>
      <c r="AE69">
        <v>7.4094345431532857E-2</v>
      </c>
      <c r="AF69">
        <v>6.1378189177532266E-2</v>
      </c>
    </row>
    <row r="70" spans="1:32" x14ac:dyDescent="0.35">
      <c r="A70" t="s">
        <v>322</v>
      </c>
      <c r="B70">
        <v>413</v>
      </c>
      <c r="E70" t="s">
        <v>325</v>
      </c>
      <c r="F70">
        <v>1689</v>
      </c>
      <c r="J70" t="str">
        <f>'Processed HWF'!B69</f>
        <v>GNB</v>
      </c>
      <c r="K70">
        <f>ROUND('Processed HWF'!D69/10000*'Processed HWF'!J69,0)</f>
        <v>385</v>
      </c>
      <c r="L70">
        <f>ROUND('Processed HWF'!E69/10000*'Processed HWF'!J69,0)</f>
        <v>1371</v>
      </c>
      <c r="M70">
        <f t="shared" si="6"/>
        <v>1</v>
      </c>
      <c r="N70" t="e">
        <f t="shared" si="7"/>
        <v>#N/A</v>
      </c>
      <c r="O70">
        <f t="shared" si="8"/>
        <v>2.5974025974025974E-3</v>
      </c>
      <c r="P70" t="str">
        <f t="shared" si="9"/>
        <v>No data</v>
      </c>
      <c r="Q70" t="str">
        <f t="shared" si="10"/>
        <v>Less than 0.1</v>
      </c>
      <c r="R70" t="str">
        <f t="shared" si="11"/>
        <v>No data</v>
      </c>
      <c r="X70" t="s">
        <v>179</v>
      </c>
      <c r="Y70" t="str">
        <f>VLOOKUP(X70,'Reference table'!$J$2:$K$195,2,FALSE)</f>
        <v>Lebanon</v>
      </c>
      <c r="Z70">
        <v>3.3722782793414764E-2</v>
      </c>
      <c r="AA70">
        <v>0.20274980635166537</v>
      </c>
      <c r="AC70" t="s">
        <v>342</v>
      </c>
      <c r="AD70" t="str">
        <f>VLOOKUP(AC70,'Reference table'!$J$2:$K$195,2,FALSE)</f>
        <v>Latvia</v>
      </c>
      <c r="AE70">
        <v>0.10261600747430707</v>
      </c>
      <c r="AF70">
        <v>6.0115461847389556E-2</v>
      </c>
    </row>
    <row r="71" spans="1:32" x14ac:dyDescent="0.35">
      <c r="A71" t="s">
        <v>518</v>
      </c>
      <c r="B71">
        <v>405</v>
      </c>
      <c r="E71" t="s">
        <v>199</v>
      </c>
      <c r="F71">
        <v>1641</v>
      </c>
      <c r="J71" t="str">
        <f>'Processed HWF'!B70</f>
        <v>GNQ</v>
      </c>
      <c r="K71">
        <f>ROUND('Processed HWF'!D70/10000*'Processed HWF'!J70,0)</f>
        <v>564</v>
      </c>
      <c r="L71">
        <f>ROUND('Processed HWF'!E70/10000*'Processed HWF'!J70,0)</f>
        <v>435</v>
      </c>
      <c r="M71">
        <f t="shared" si="6"/>
        <v>1</v>
      </c>
      <c r="N71">
        <f t="shared" si="7"/>
        <v>10</v>
      </c>
      <c r="O71">
        <f t="shared" si="8"/>
        <v>1.7730496453900709E-3</v>
      </c>
      <c r="P71">
        <f t="shared" si="9"/>
        <v>2.2988505747126436E-2</v>
      </c>
      <c r="Q71" t="str">
        <f t="shared" si="10"/>
        <v>Less than 0.1</v>
      </c>
      <c r="R71" t="str">
        <f t="shared" si="11"/>
        <v>Less than 0.1</v>
      </c>
      <c r="X71" t="s">
        <v>354</v>
      </c>
      <c r="Y71" t="str">
        <f>VLOOKUP(X71,'Reference table'!$J$2:$K$195,2,FALSE)</f>
        <v>Malawi</v>
      </c>
      <c r="Z71">
        <v>3.3333333333333333E-2</v>
      </c>
      <c r="AA71">
        <v>1.4280456385719544E-2</v>
      </c>
      <c r="AC71" t="s">
        <v>99</v>
      </c>
      <c r="AD71" t="str">
        <f>VLOOKUP(AC71,'Reference table'!$J$2:$K$195,2,FALSE)</f>
        <v>Jordan</v>
      </c>
      <c r="AE71">
        <v>6.5390279823269518E-2</v>
      </c>
      <c r="AF71">
        <v>5.3853235139400317E-2</v>
      </c>
    </row>
    <row r="72" spans="1:32" x14ac:dyDescent="0.35">
      <c r="A72" t="s">
        <v>159</v>
      </c>
      <c r="B72">
        <v>386</v>
      </c>
      <c r="E72" t="s">
        <v>99</v>
      </c>
      <c r="F72">
        <v>1638</v>
      </c>
      <c r="J72" t="str">
        <f>'Processed HWF'!B71</f>
        <v>GRC</v>
      </c>
      <c r="K72">
        <f>ROUND('Processed HWF'!D71/10000*'Processed HWF'!J71,0)</f>
        <v>65574</v>
      </c>
      <c r="L72">
        <f>ROUND('Processed HWF'!E71/10000*'Processed HWF'!J71,0)</f>
        <v>35985</v>
      </c>
      <c r="M72">
        <f t="shared" si="6"/>
        <v>3914</v>
      </c>
      <c r="N72">
        <f t="shared" si="7"/>
        <v>1490</v>
      </c>
      <c r="O72">
        <f t="shared" si="8"/>
        <v>5.9688291090981178E-2</v>
      </c>
      <c r="P72">
        <f t="shared" si="9"/>
        <v>4.1406141447825486E-2</v>
      </c>
      <c r="Q72" t="str">
        <f t="shared" si="10"/>
        <v>Less than 0.1</v>
      </c>
      <c r="R72" t="str">
        <f t="shared" si="11"/>
        <v>Less than 0.1</v>
      </c>
      <c r="X72" t="s">
        <v>313</v>
      </c>
      <c r="Y72" t="str">
        <f>VLOOKUP(X72,'Reference table'!$J$2:$K$195,2,FALSE)</f>
        <v>Honduras</v>
      </c>
      <c r="Z72">
        <v>3.1899858671512217E-2</v>
      </c>
      <c r="AA72">
        <v>0.35277816267147016</v>
      </c>
      <c r="AC72" t="s">
        <v>443</v>
      </c>
      <c r="AD72" t="str">
        <f>VLOOKUP(AC72,'Reference table'!$J$2:$K$195,2,FALSE)</f>
        <v>Congo</v>
      </c>
      <c r="AE72">
        <v>6.9930069930069935E-2</v>
      </c>
      <c r="AF72">
        <v>5.0505050505050504E-2</v>
      </c>
    </row>
    <row r="73" spans="1:32" x14ac:dyDescent="0.35">
      <c r="A73" t="s">
        <v>392</v>
      </c>
      <c r="B73">
        <v>385</v>
      </c>
      <c r="E73" t="s">
        <v>213</v>
      </c>
      <c r="F73">
        <v>1613</v>
      </c>
      <c r="J73" t="str">
        <f>'Processed HWF'!B72</f>
        <v>GRD</v>
      </c>
      <c r="K73">
        <f>ROUND('Processed HWF'!D72/10000*'Processed HWF'!J72,0)</f>
        <v>162</v>
      </c>
      <c r="L73">
        <f>ROUND('Processed HWF'!E72/10000*'Processed HWF'!J72,0)</f>
        <v>707</v>
      </c>
      <c r="M73">
        <f t="shared" si="6"/>
        <v>79</v>
      </c>
      <c r="N73">
        <f t="shared" si="7"/>
        <v>1452</v>
      </c>
      <c r="O73">
        <f t="shared" si="8"/>
        <v>0.48765432098765432</v>
      </c>
      <c r="P73">
        <f t="shared" si="9"/>
        <v>2.0537482319660536</v>
      </c>
      <c r="Q73" t="str">
        <f t="shared" si="10"/>
        <v>Above 0.1</v>
      </c>
      <c r="R73" t="str">
        <f t="shared" si="11"/>
        <v>Above 0.1</v>
      </c>
      <c r="X73" t="s">
        <v>283</v>
      </c>
      <c r="Y73" t="str">
        <f>VLOOKUP(X73,'Reference table'!$J$2:$K$195,2,FALSE)</f>
        <v>Estonia</v>
      </c>
      <c r="Z73">
        <v>3.1046461137646548E-2</v>
      </c>
      <c r="AA73">
        <v>3.9831019915509955E-2</v>
      </c>
      <c r="AC73" t="s">
        <v>331</v>
      </c>
      <c r="AD73" t="str">
        <f>VLOOKUP(AC73,'Reference table'!$J$2:$K$195,2,FALSE)</f>
        <v>Kazakhstan</v>
      </c>
      <c r="AE73">
        <v>5.6452035416775818E-3</v>
      </c>
      <c r="AF73">
        <v>4.8851368959716972E-2</v>
      </c>
    </row>
    <row r="74" spans="1:32" x14ac:dyDescent="0.35">
      <c r="A74" t="s">
        <v>348</v>
      </c>
      <c r="B74">
        <v>383</v>
      </c>
      <c r="E74" t="s">
        <v>181</v>
      </c>
      <c r="F74">
        <v>1533</v>
      </c>
      <c r="J74" t="str">
        <f>'Processed HWF'!B73</f>
        <v>GTM</v>
      </c>
      <c r="K74">
        <f>ROUND('Processed HWF'!D73/10000*'Processed HWF'!J73,0)</f>
        <v>22246</v>
      </c>
      <c r="L74">
        <f>ROUND('Processed HWF'!E73/10000*'Processed HWF'!J73,0)</f>
        <v>40101</v>
      </c>
      <c r="M74">
        <f t="shared" si="6"/>
        <v>149</v>
      </c>
      <c r="N74">
        <f t="shared" si="7"/>
        <v>3920</v>
      </c>
      <c r="O74">
        <f t="shared" si="8"/>
        <v>6.6978333183493662E-3</v>
      </c>
      <c r="P74">
        <f t="shared" si="9"/>
        <v>9.7753173237575125E-2</v>
      </c>
      <c r="Q74" t="str">
        <f t="shared" si="10"/>
        <v>Less than 0.1</v>
      </c>
      <c r="R74" t="str">
        <f t="shared" si="11"/>
        <v>Less than 0.1</v>
      </c>
      <c r="X74" t="s">
        <v>380</v>
      </c>
      <c r="Y74" t="str">
        <f>VLOOKUP(X74,'Reference table'!$J$2:$K$195,2,FALSE)</f>
        <v>Nicaragua</v>
      </c>
      <c r="Z74">
        <v>3.0652035911852726E-2</v>
      </c>
      <c r="AA74">
        <v>0.22919097627382343</v>
      </c>
      <c r="AC74" t="s">
        <v>138</v>
      </c>
      <c r="AD74" t="str">
        <f>VLOOKUP(AC74,'Reference table'!$J$2:$K$195,2,FALSE)</f>
        <v>Bhutan</v>
      </c>
      <c r="AE74">
        <v>2.5974025974025974E-3</v>
      </c>
      <c r="AF74">
        <v>4.8034934497816595E-2</v>
      </c>
    </row>
    <row r="75" spans="1:32" x14ac:dyDescent="0.35">
      <c r="A75" t="s">
        <v>395</v>
      </c>
      <c r="B75">
        <v>377</v>
      </c>
      <c r="E75" t="s">
        <v>141</v>
      </c>
      <c r="F75">
        <v>1497</v>
      </c>
      <c r="J75" t="str">
        <f>'Processed HWF'!B74</f>
        <v>GUY</v>
      </c>
      <c r="K75">
        <f>ROUND('Processed HWF'!D74/10000*'Processed HWF'!J74,0)</f>
        <v>1120</v>
      </c>
      <c r="L75">
        <f>ROUND('Processed HWF'!E74/10000*'Processed HWF'!J74,0)</f>
        <v>2437</v>
      </c>
      <c r="M75">
        <f t="shared" si="6"/>
        <v>17</v>
      </c>
      <c r="N75">
        <f t="shared" si="7"/>
        <v>11579</v>
      </c>
      <c r="O75">
        <f t="shared" si="8"/>
        <v>1.5178571428571428E-2</v>
      </c>
      <c r="P75">
        <f t="shared" si="9"/>
        <v>4.7513336068937218</v>
      </c>
      <c r="Q75" t="str">
        <f t="shared" si="10"/>
        <v>Less than 0.1</v>
      </c>
      <c r="R75" t="str">
        <f t="shared" si="11"/>
        <v>Above 0.1</v>
      </c>
      <c r="X75" t="s">
        <v>3</v>
      </c>
      <c r="Y75" t="str">
        <f>VLOOKUP(X75,'Reference table'!$J$2:$K$195,2,FALSE)</f>
        <v>Antigua and Barbuda</v>
      </c>
      <c r="Z75">
        <v>2.9520295202952029E-2</v>
      </c>
      <c r="AA75">
        <v>1.473170731707317</v>
      </c>
      <c r="AC75" t="s">
        <v>187</v>
      </c>
      <c r="AD75" t="str">
        <f>VLOOKUP(AC75,'Reference table'!$J$2:$K$195,2,FALSE)</f>
        <v>New Zealand</v>
      </c>
      <c r="AE75">
        <v>4.8429619440623566E-2</v>
      </c>
      <c r="AF75">
        <v>4.6594849164704355E-2</v>
      </c>
    </row>
    <row r="76" spans="1:32" x14ac:dyDescent="0.35">
      <c r="A76" t="s">
        <v>29</v>
      </c>
      <c r="B76">
        <v>376</v>
      </c>
      <c r="E76" t="s">
        <v>102</v>
      </c>
      <c r="F76">
        <v>1490</v>
      </c>
      <c r="J76" t="str">
        <f>'Processed HWF'!B75</f>
        <v>HND</v>
      </c>
      <c r="K76">
        <f>ROUND('Processed HWF'!D75/10000*'Processed HWF'!J75,0)</f>
        <v>4953</v>
      </c>
      <c r="L76">
        <f>ROUND('Processed HWF'!E75/10000*'Processed HWF'!J75,0)</f>
        <v>7217</v>
      </c>
      <c r="M76">
        <f t="shared" si="6"/>
        <v>158</v>
      </c>
      <c r="N76">
        <f t="shared" si="7"/>
        <v>2546</v>
      </c>
      <c r="O76">
        <f t="shared" si="8"/>
        <v>3.1899858671512217E-2</v>
      </c>
      <c r="P76">
        <f t="shared" si="9"/>
        <v>0.35277816267147016</v>
      </c>
      <c r="Q76" t="str">
        <f t="shared" si="10"/>
        <v>Less than 0.1</v>
      </c>
      <c r="R76" t="str">
        <f t="shared" si="11"/>
        <v>Above 0.1</v>
      </c>
      <c r="X76" t="s">
        <v>202</v>
      </c>
      <c r="Y76" t="str">
        <f>VLOOKUP(X76,'Reference table'!$J$2:$K$195,2,FALSE)</f>
        <v>Portugal</v>
      </c>
      <c r="Z76">
        <v>2.8773256747355466E-2</v>
      </c>
      <c r="AA76">
        <v>0.1148608725523875</v>
      </c>
      <c r="AC76" t="s">
        <v>147</v>
      </c>
      <c r="AD76" t="str">
        <f>VLOOKUP(AC76,'Reference table'!$J$2:$K$195,2,FALSE)</f>
        <v>Eswatini</v>
      </c>
      <c r="AE76">
        <v>6.0606060606060606E-3</v>
      </c>
      <c r="AF76">
        <v>4.4909153239629754E-2</v>
      </c>
    </row>
    <row r="77" spans="1:32" x14ac:dyDescent="0.35">
      <c r="A77" t="s">
        <v>473</v>
      </c>
      <c r="B77">
        <v>357</v>
      </c>
      <c r="E77" t="s">
        <v>467</v>
      </c>
      <c r="F77">
        <v>1487</v>
      </c>
      <c r="J77" t="str">
        <f>'Processed HWF'!B76</f>
        <v>HRV</v>
      </c>
      <c r="K77">
        <f>ROUND('Processed HWF'!D76/10000*'Processed HWF'!J76,0)</f>
        <v>14225</v>
      </c>
      <c r="L77">
        <f>ROUND('Processed HWF'!E76/10000*'Processed HWF'!J76,0)</f>
        <v>33345</v>
      </c>
      <c r="M77">
        <f t="shared" si="6"/>
        <v>1282</v>
      </c>
      <c r="N77">
        <f t="shared" si="7"/>
        <v>532</v>
      </c>
      <c r="O77">
        <f t="shared" si="8"/>
        <v>9.0123022847100179E-2</v>
      </c>
      <c r="P77">
        <f t="shared" si="9"/>
        <v>1.5954415954415956E-2</v>
      </c>
      <c r="Q77" t="str">
        <f t="shared" si="10"/>
        <v>Less than 0.1</v>
      </c>
      <c r="R77" t="str">
        <f t="shared" si="11"/>
        <v>Less than 0.1</v>
      </c>
      <c r="X77" t="s">
        <v>348</v>
      </c>
      <c r="Y77" t="str">
        <f>VLOOKUP(X77,'Reference table'!$J$2:$K$195,2,FALSE)</f>
        <v>Lithuania</v>
      </c>
      <c r="Z77">
        <v>2.7715464215934581E-2</v>
      </c>
      <c r="AA77">
        <v>2.6753819259709662E-2</v>
      </c>
      <c r="AC77" t="s">
        <v>301</v>
      </c>
      <c r="AD77" t="str">
        <f>VLOOKUP(AC77,'Reference table'!$J$2:$K$195,2,FALSE)</f>
        <v>Guinea</v>
      </c>
      <c r="AE77">
        <v>6.7750677506775072E-3</v>
      </c>
      <c r="AF77">
        <v>4.3700787401574806E-2</v>
      </c>
    </row>
    <row r="78" spans="1:32" x14ac:dyDescent="0.35">
      <c r="A78" t="s">
        <v>68</v>
      </c>
      <c r="B78">
        <v>354</v>
      </c>
      <c r="E78" t="s">
        <v>461</v>
      </c>
      <c r="F78">
        <v>1486</v>
      </c>
      <c r="J78" t="str">
        <f>'Processed HWF'!B77</f>
        <v>HTI</v>
      </c>
      <c r="K78">
        <f>ROUND('Processed HWF'!D77/10000*'Processed HWF'!J77,0)</f>
        <v>2677</v>
      </c>
      <c r="L78">
        <f>ROUND('Processed HWF'!E77/10000*'Processed HWF'!J77,0)</f>
        <v>4342</v>
      </c>
      <c r="M78">
        <f t="shared" si="6"/>
        <v>40</v>
      </c>
      <c r="N78">
        <f t="shared" si="7"/>
        <v>34234</v>
      </c>
      <c r="O78">
        <f t="shared" si="8"/>
        <v>1.4942099364960777E-2</v>
      </c>
      <c r="P78">
        <f t="shared" si="9"/>
        <v>7.8843850760018421</v>
      </c>
      <c r="Q78" t="str">
        <f t="shared" si="10"/>
        <v>Less than 0.1</v>
      </c>
      <c r="R78" t="str">
        <f t="shared" si="11"/>
        <v>Above 0.1</v>
      </c>
      <c r="X78" t="s">
        <v>114</v>
      </c>
      <c r="Y78" t="str">
        <f>VLOOKUP(X78,'Reference table'!$J$2:$K$195,2,FALSE)</f>
        <v>Afghanistan</v>
      </c>
      <c r="Z78">
        <v>2.6398300799029027E-2</v>
      </c>
      <c r="AA78">
        <v>6.3826246151285682E-2</v>
      </c>
      <c r="AC78" t="s">
        <v>117</v>
      </c>
      <c r="AD78" t="str">
        <f>VLOOKUP(AC78,'Reference table'!$J$2:$K$195,2,FALSE)</f>
        <v>Iran, Islamic Republic of</v>
      </c>
      <c r="AE78">
        <v>1.2037962413303377E-2</v>
      </c>
      <c r="AF78">
        <v>4.2757213640338097E-2</v>
      </c>
    </row>
    <row r="79" spans="1:32" x14ac:dyDescent="0.35">
      <c r="A79" t="s">
        <v>252</v>
      </c>
      <c r="B79">
        <v>346</v>
      </c>
      <c r="E79" t="s">
        <v>96</v>
      </c>
      <c r="F79">
        <v>1452</v>
      </c>
      <c r="J79" t="str">
        <f>'Processed HWF'!B78</f>
        <v>HUN</v>
      </c>
      <c r="K79">
        <f>ROUND('Processed HWF'!D78/10000*'Processed HWF'!J78,0)</f>
        <v>58577</v>
      </c>
      <c r="L79">
        <f>ROUND('Processed HWF'!E78/10000*'Processed HWF'!J78,0)</f>
        <v>64559</v>
      </c>
      <c r="M79">
        <f t="shared" si="6"/>
        <v>3505</v>
      </c>
      <c r="N79">
        <f t="shared" si="7"/>
        <v>1373</v>
      </c>
      <c r="O79">
        <f t="shared" si="8"/>
        <v>5.9835771719275482E-2</v>
      </c>
      <c r="P79">
        <f t="shared" si="9"/>
        <v>2.1267367834074256E-2</v>
      </c>
      <c r="Q79" t="str">
        <f t="shared" si="10"/>
        <v>Less than 0.1</v>
      </c>
      <c r="R79" t="str">
        <f t="shared" si="11"/>
        <v>Less than 0.1</v>
      </c>
      <c r="X79" t="s">
        <v>123</v>
      </c>
      <c r="Y79" t="str">
        <f>VLOOKUP(X79,'Reference table'!$J$2:$K$195,2,FALSE)</f>
        <v>Pakistan</v>
      </c>
      <c r="Z79">
        <v>2.6229295331152969E-2</v>
      </c>
      <c r="AA79">
        <v>6.8056787932564325E-2</v>
      </c>
      <c r="AC79" t="s">
        <v>102</v>
      </c>
      <c r="AD79" t="str">
        <f>VLOOKUP(AC79,'Reference table'!$J$2:$K$195,2,FALSE)</f>
        <v>Greece</v>
      </c>
      <c r="AE79">
        <v>5.9688291090981178E-2</v>
      </c>
      <c r="AF79">
        <v>4.1406141447825486E-2</v>
      </c>
    </row>
    <row r="80" spans="1:32" x14ac:dyDescent="0.35">
      <c r="A80" t="s">
        <v>380</v>
      </c>
      <c r="B80">
        <v>338</v>
      </c>
      <c r="E80" t="s">
        <v>42</v>
      </c>
      <c r="F80">
        <v>1426</v>
      </c>
      <c r="J80" t="str">
        <f>'Processed HWF'!B79</f>
        <v>IDN</v>
      </c>
      <c r="K80">
        <f>ROUND('Processed HWF'!D79/10000*'Processed HWF'!J79,0)</f>
        <v>170042</v>
      </c>
      <c r="L80">
        <f>ROUND('Processed HWF'!E79/10000*'Processed HWF'!J79,0)</f>
        <v>614758</v>
      </c>
      <c r="M80">
        <f t="shared" si="6"/>
        <v>413</v>
      </c>
      <c r="N80">
        <f t="shared" si="7"/>
        <v>3169</v>
      </c>
      <c r="O80">
        <f t="shared" si="8"/>
        <v>2.4288117053433856E-3</v>
      </c>
      <c r="P80">
        <f t="shared" si="9"/>
        <v>5.1548739503999947E-3</v>
      </c>
      <c r="Q80" t="str">
        <f t="shared" si="10"/>
        <v>Less than 0.1</v>
      </c>
      <c r="R80" t="str">
        <f t="shared" si="11"/>
        <v>Less than 0.1</v>
      </c>
      <c r="X80" t="s">
        <v>398</v>
      </c>
      <c r="Y80" t="str">
        <f>VLOOKUP(X80,'Reference table'!$J$2:$K$195,2,FALSE)</f>
        <v>Peru</v>
      </c>
      <c r="Z80">
        <v>2.5013847346848344E-2</v>
      </c>
      <c r="AA80">
        <v>9.4319679673704887E-2</v>
      </c>
      <c r="AC80" t="s">
        <v>536</v>
      </c>
      <c r="AD80" t="str">
        <f>VLOOKUP(AC80,'Reference table'!$J$2:$K$195,2,FALSE)</f>
        <v>United Kingdom</v>
      </c>
      <c r="AE80">
        <v>8.2211267260196702E-3</v>
      </c>
      <c r="AF80">
        <v>4.1245262225790037E-2</v>
      </c>
    </row>
    <row r="81" spans="1:32" x14ac:dyDescent="0.35">
      <c r="A81" t="s">
        <v>371</v>
      </c>
      <c r="B81">
        <v>318</v>
      </c>
      <c r="E81" t="s">
        <v>489</v>
      </c>
      <c r="F81">
        <v>1390</v>
      </c>
      <c r="J81" t="str">
        <f>'Processed HWF'!B80</f>
        <v>IND</v>
      </c>
      <c r="K81">
        <f>ROUND('Processed HWF'!D80/10000*'Processed HWF'!J80,0)</f>
        <v>1014541</v>
      </c>
      <c r="L81">
        <f>ROUND('Processed HWF'!E80/10000*'Processed HWF'!J80,0)</f>
        <v>2412629</v>
      </c>
      <c r="M81">
        <f t="shared" si="6"/>
        <v>17202</v>
      </c>
      <c r="N81">
        <f t="shared" si="7"/>
        <v>71230</v>
      </c>
      <c r="O81">
        <f t="shared" si="8"/>
        <v>1.6955450790061714E-2</v>
      </c>
      <c r="P81">
        <f t="shared" si="9"/>
        <v>2.9523809918557721E-2</v>
      </c>
      <c r="Q81" t="str">
        <f t="shared" si="10"/>
        <v>Less than 0.1</v>
      </c>
      <c r="R81" t="str">
        <f t="shared" si="11"/>
        <v>Less than 0.1</v>
      </c>
      <c r="X81" t="s">
        <v>345</v>
      </c>
      <c r="Y81" t="str">
        <f>VLOOKUP(X81,'Reference table'!$J$2:$K$195,2,FALSE)</f>
        <v>Liberia</v>
      </c>
      <c r="Z81">
        <v>2.3255813953488372E-2</v>
      </c>
      <c r="AA81">
        <v>0.57595385082481532</v>
      </c>
      <c r="AC81" t="s">
        <v>19</v>
      </c>
      <c r="AD81" t="str">
        <f>VLOOKUP(AC81,'Reference table'!$J$2:$K$195,2,FALSE)</f>
        <v>Venezuela, Bolivarian Republic of</v>
      </c>
      <c r="AE81">
        <v>1.9716248627993007E-2</v>
      </c>
      <c r="AF81">
        <v>4.0744398283729485E-2</v>
      </c>
    </row>
    <row r="82" spans="1:32" x14ac:dyDescent="0.35">
      <c r="A82" t="s">
        <v>176</v>
      </c>
      <c r="B82">
        <v>316</v>
      </c>
      <c r="E82" t="s">
        <v>91</v>
      </c>
      <c r="F82">
        <v>1382</v>
      </c>
      <c r="J82" t="str">
        <f>'Processed HWF'!B81</f>
        <v>IRL</v>
      </c>
      <c r="K82">
        <f>ROUND('Processed HWF'!D81/10000*'Processed HWF'!J81,0)</f>
        <v>17231</v>
      </c>
      <c r="L82">
        <f>ROUND('Processed HWF'!E81/10000*'Processed HWF'!J81,0)</f>
        <v>77988</v>
      </c>
      <c r="M82">
        <f t="shared" si="6"/>
        <v>2695</v>
      </c>
      <c r="N82">
        <f t="shared" si="7"/>
        <v>5633</v>
      </c>
      <c r="O82">
        <f t="shared" si="8"/>
        <v>0.15640415530149149</v>
      </c>
      <c r="P82">
        <f t="shared" si="9"/>
        <v>7.2229060881161211E-2</v>
      </c>
      <c r="Q82" t="str">
        <f t="shared" si="10"/>
        <v>Above 0.1</v>
      </c>
      <c r="R82" t="str">
        <f t="shared" si="11"/>
        <v>Less than 0.1</v>
      </c>
      <c r="X82" t="s">
        <v>268</v>
      </c>
      <c r="Y82" t="str">
        <f>VLOOKUP(X82,'Reference table'!$J$2:$K$195,2,FALSE)</f>
        <v>Cote d'Ivoire</v>
      </c>
      <c r="Z82">
        <v>2.3114639271538642E-2</v>
      </c>
      <c r="AA82">
        <v>1.1336102457597785E-2</v>
      </c>
      <c r="AC82" t="s">
        <v>458</v>
      </c>
      <c r="AD82" t="str">
        <f>VLOOKUP(AC82,'Reference table'!$J$2:$K$195,2,FALSE)</f>
        <v>Tunisia</v>
      </c>
      <c r="AE82">
        <v>0.24153118725306044</v>
      </c>
      <c r="AF82">
        <v>3.9907363898771565E-2</v>
      </c>
    </row>
    <row r="83" spans="1:32" x14ac:dyDescent="0.35">
      <c r="A83" t="s">
        <v>295</v>
      </c>
      <c r="B83">
        <v>315</v>
      </c>
      <c r="E83" t="s">
        <v>104</v>
      </c>
      <c r="F83">
        <v>1373</v>
      </c>
      <c r="J83" t="str">
        <f>'Processed HWF'!B82</f>
        <v>IRN</v>
      </c>
      <c r="K83">
        <f>ROUND('Processed HWF'!D82/10000*'Processed HWF'!J82,0)</f>
        <v>133079</v>
      </c>
      <c r="L83">
        <f>ROUND('Processed HWF'!E82/10000*'Processed HWF'!J82,0)</f>
        <v>137240</v>
      </c>
      <c r="M83">
        <f t="shared" si="6"/>
        <v>1602</v>
      </c>
      <c r="N83">
        <f t="shared" si="7"/>
        <v>5868</v>
      </c>
      <c r="O83">
        <f t="shared" si="8"/>
        <v>1.2037962413303377E-2</v>
      </c>
      <c r="P83">
        <f t="shared" si="9"/>
        <v>4.2757213640338097E-2</v>
      </c>
      <c r="Q83" t="str">
        <f t="shared" si="10"/>
        <v>Less than 0.1</v>
      </c>
      <c r="R83" t="str">
        <f t="shared" si="11"/>
        <v>Less than 0.1</v>
      </c>
      <c r="X83" t="s">
        <v>328</v>
      </c>
      <c r="Y83" t="str">
        <f>VLOOKUP(X83,'Reference table'!$J$2:$K$195,2,FALSE)</f>
        <v>Italy</v>
      </c>
      <c r="Z83">
        <v>2.2780532999073518E-2</v>
      </c>
      <c r="AA83">
        <v>2.1957643443245918E-2</v>
      </c>
      <c r="AC83" t="s">
        <v>283</v>
      </c>
      <c r="AD83" t="str">
        <f>VLOOKUP(AC83,'Reference table'!$J$2:$K$195,2,FALSE)</f>
        <v>Estonia</v>
      </c>
      <c r="AE83">
        <v>3.1046461137646548E-2</v>
      </c>
      <c r="AF83">
        <v>3.9831019915509955E-2</v>
      </c>
    </row>
    <row r="84" spans="1:32" x14ac:dyDescent="0.35">
      <c r="A84" t="s">
        <v>351</v>
      </c>
      <c r="B84">
        <v>312</v>
      </c>
      <c r="E84" t="s">
        <v>193</v>
      </c>
      <c r="F84">
        <v>1281</v>
      </c>
      <c r="J84" t="str">
        <f>'Processed HWF'!B83</f>
        <v>IRQ</v>
      </c>
      <c r="K84">
        <f>ROUND('Processed HWF'!D83/10000*'Processed HWF'!J83,0)</f>
        <v>38887</v>
      </c>
      <c r="L84">
        <f>ROUND('Processed HWF'!E83/10000*'Processed HWF'!J83,0)</f>
        <v>90040</v>
      </c>
      <c r="M84">
        <f t="shared" si="6"/>
        <v>1808</v>
      </c>
      <c r="N84">
        <f t="shared" si="7"/>
        <v>1689</v>
      </c>
      <c r="O84">
        <f t="shared" si="8"/>
        <v>4.6493686836217761E-2</v>
      </c>
      <c r="P84">
        <f t="shared" si="9"/>
        <v>1.8758329631274988E-2</v>
      </c>
      <c r="Q84" t="str">
        <f t="shared" si="10"/>
        <v>Less than 0.1</v>
      </c>
      <c r="R84" t="str">
        <f t="shared" si="11"/>
        <v>Less than 0.1</v>
      </c>
      <c r="X84" t="s">
        <v>473</v>
      </c>
      <c r="Y84" t="str">
        <f>VLOOKUP(X84,'Reference table'!$J$2:$K$195,2,FALSE)</f>
        <v>Yemen</v>
      </c>
      <c r="Z84">
        <v>2.2773666751722377E-2</v>
      </c>
      <c r="AA84">
        <v>1.0547442138525921E-2</v>
      </c>
      <c r="AC84" t="s">
        <v>529</v>
      </c>
      <c r="AD84" t="str">
        <f>VLOOKUP(AC84,'Reference table'!$J$2:$K$195,2,FALSE)</f>
        <v>Ukraine</v>
      </c>
      <c r="AE84">
        <v>5.8152593260349737E-2</v>
      </c>
      <c r="AF84">
        <v>3.9187654437457593E-2</v>
      </c>
    </row>
    <row r="85" spans="1:32" x14ac:dyDescent="0.35">
      <c r="A85" t="s">
        <v>80</v>
      </c>
      <c r="B85">
        <v>310</v>
      </c>
      <c r="E85" t="s">
        <v>228</v>
      </c>
      <c r="F85">
        <v>1217</v>
      </c>
      <c r="J85" t="str">
        <f>'Processed HWF'!B84</f>
        <v>ISL</v>
      </c>
      <c r="K85">
        <f>ROUND('Processed HWF'!D84/10000*'Processed HWF'!J84,0)</f>
        <v>1413</v>
      </c>
      <c r="L85">
        <f>ROUND('Processed HWF'!E84/10000*'Processed HWF'!J84,0)</f>
        <v>5727</v>
      </c>
      <c r="M85">
        <f t="shared" si="6"/>
        <v>21</v>
      </c>
      <c r="N85">
        <f t="shared" si="7"/>
        <v>197</v>
      </c>
      <c r="O85">
        <f t="shared" si="8"/>
        <v>1.4861995753715499E-2</v>
      </c>
      <c r="P85">
        <f t="shared" si="9"/>
        <v>3.4398463418892966E-2</v>
      </c>
      <c r="Q85" t="str">
        <f t="shared" si="10"/>
        <v>Less than 0.1</v>
      </c>
      <c r="R85" t="str">
        <f t="shared" si="11"/>
        <v>Less than 0.1</v>
      </c>
      <c r="X85" t="s">
        <v>271</v>
      </c>
      <c r="Y85" t="str">
        <f>VLOOKUP(X85,'Reference table'!$J$2:$K$195,2,FALSE)</f>
        <v>Djibouti</v>
      </c>
      <c r="Z85">
        <v>2.2624434389140271E-2</v>
      </c>
      <c r="AA85" t="s">
        <v>915</v>
      </c>
      <c r="AC85" t="s">
        <v>162</v>
      </c>
      <c r="AD85" t="str">
        <f>VLOOKUP(AC85,'Reference table'!$J$2:$K$195,2,FALSE)</f>
        <v>Spain</v>
      </c>
      <c r="AE85">
        <v>1.3541345857714814E-2</v>
      </c>
      <c r="AF85">
        <v>3.6512579193334269E-2</v>
      </c>
    </row>
    <row r="86" spans="1:32" x14ac:dyDescent="0.35">
      <c r="A86" t="s">
        <v>181</v>
      </c>
      <c r="B86">
        <v>296</v>
      </c>
      <c r="E86" t="s">
        <v>458</v>
      </c>
      <c r="F86">
        <v>1189</v>
      </c>
      <c r="J86" t="str">
        <f>'Processed HWF'!B85</f>
        <v>ISR</v>
      </c>
      <c r="K86">
        <f>ROUND('Processed HWF'!D85/10000*'Processed HWF'!J85,0)</f>
        <v>31384</v>
      </c>
      <c r="L86">
        <f>ROUND('Processed HWF'!E85/10000*'Processed HWF'!J85,0)</f>
        <v>101480</v>
      </c>
      <c r="M86">
        <f t="shared" si="6"/>
        <v>446</v>
      </c>
      <c r="N86">
        <f t="shared" si="7"/>
        <v>27</v>
      </c>
      <c r="O86">
        <f t="shared" si="8"/>
        <v>1.4211062962018864E-2</v>
      </c>
      <c r="P86">
        <f t="shared" si="9"/>
        <v>2.6606227828143475E-4</v>
      </c>
      <c r="Q86" t="str">
        <f t="shared" si="10"/>
        <v>Less than 0.1</v>
      </c>
      <c r="R86" t="str">
        <f t="shared" si="11"/>
        <v>Less than 0.1</v>
      </c>
      <c r="X86" t="s">
        <v>404</v>
      </c>
      <c r="Y86" t="str">
        <f>VLOOKUP(X86,'Reference table'!$J$2:$K$195,2,FALSE)</f>
        <v>Poland</v>
      </c>
      <c r="Z86">
        <v>2.1177425676053973E-2</v>
      </c>
      <c r="AA86">
        <v>0.12953971142485057</v>
      </c>
      <c r="AC86" t="s">
        <v>316</v>
      </c>
      <c r="AD86" t="str">
        <f>VLOOKUP(AC86,'Reference table'!$J$2:$K$195,2,FALSE)</f>
        <v>Iceland</v>
      </c>
      <c r="AE86">
        <v>1.4861995753715499E-2</v>
      </c>
      <c r="AF86">
        <v>3.4398463418892966E-2</v>
      </c>
    </row>
    <row r="87" spans="1:32" x14ac:dyDescent="0.35">
      <c r="A87" t="s">
        <v>363</v>
      </c>
      <c r="B87">
        <v>295</v>
      </c>
      <c r="E87" t="s">
        <v>7</v>
      </c>
      <c r="F87">
        <v>1103</v>
      </c>
      <c r="J87" t="str">
        <f>'Processed HWF'!B86</f>
        <v>ITA</v>
      </c>
      <c r="K87">
        <f>ROUND('Processed HWF'!D86/10000*'Processed HWF'!J86,0)</f>
        <v>238537</v>
      </c>
      <c r="L87">
        <f>ROUND('Processed HWF'!E86/10000*'Processed HWF'!J86,0)</f>
        <v>361833</v>
      </c>
      <c r="M87">
        <f t="shared" si="6"/>
        <v>5434</v>
      </c>
      <c r="N87">
        <f t="shared" si="7"/>
        <v>7945</v>
      </c>
      <c r="O87">
        <f t="shared" si="8"/>
        <v>2.2780532999073518E-2</v>
      </c>
      <c r="P87">
        <f t="shared" si="9"/>
        <v>2.1957643443245918E-2</v>
      </c>
      <c r="Q87" t="str">
        <f t="shared" si="10"/>
        <v>Less than 0.1</v>
      </c>
      <c r="R87" t="str">
        <f t="shared" si="11"/>
        <v>Less than 0.1</v>
      </c>
      <c r="X87" t="s">
        <v>255</v>
      </c>
      <c r="Y87" t="str">
        <f>VLOOKUP(X87,'Reference table'!$J$2:$K$195,2,FALSE)</f>
        <v>Colombia</v>
      </c>
      <c r="Z87">
        <v>2.0225744314149571E-2</v>
      </c>
      <c r="AA87">
        <v>0.11511092507325241</v>
      </c>
      <c r="AC87" t="s">
        <v>68</v>
      </c>
      <c r="AD87" t="str">
        <f>VLOOKUP(AC87,'Reference table'!$J$2:$K$195,2,FALSE)</f>
        <v>Nepal</v>
      </c>
      <c r="AE87">
        <v>1.4248339706178306E-2</v>
      </c>
      <c r="AF87">
        <v>3.3352640216237087E-2</v>
      </c>
    </row>
    <row r="88" spans="1:32" x14ac:dyDescent="0.35">
      <c r="A88" t="s">
        <v>277</v>
      </c>
      <c r="B88">
        <v>294</v>
      </c>
      <c r="E88" t="s">
        <v>518</v>
      </c>
      <c r="F88">
        <v>1097</v>
      </c>
      <c r="J88" t="str">
        <f>'Processed HWF'!B87</f>
        <v>JAM</v>
      </c>
      <c r="K88">
        <f>ROUND('Processed HWF'!D87/10000*'Processed HWF'!J87,0)</f>
        <v>1560</v>
      </c>
      <c r="L88">
        <f>ROUND('Processed HWF'!E87/10000*'Processed HWF'!J87,0)</f>
        <v>2389</v>
      </c>
      <c r="M88">
        <f t="shared" si="6"/>
        <v>25</v>
      </c>
      <c r="N88">
        <f t="shared" si="7"/>
        <v>37599</v>
      </c>
      <c r="O88">
        <f t="shared" si="8"/>
        <v>1.6025641025641024E-2</v>
      </c>
      <c r="P88">
        <f t="shared" si="9"/>
        <v>15.738384261197155</v>
      </c>
      <c r="Q88" t="str">
        <f t="shared" si="10"/>
        <v>Less than 0.1</v>
      </c>
      <c r="R88" t="str">
        <f t="shared" si="11"/>
        <v>Above 0.1</v>
      </c>
      <c r="X88" t="s">
        <v>19</v>
      </c>
      <c r="Y88" t="str">
        <f>VLOOKUP(X88,'Reference table'!$J$2:$K$195,2,FALSE)</f>
        <v>Venezuela, Bolivarian Republic of</v>
      </c>
      <c r="Z88">
        <v>1.9716248627993007E-2</v>
      </c>
      <c r="AA88">
        <v>4.0744398283729485E-2</v>
      </c>
      <c r="AC88" t="s">
        <v>252</v>
      </c>
      <c r="AD88" t="str">
        <f>VLOOKUP(AC88,'Reference table'!$J$2:$K$195,2,FALSE)</f>
        <v>Chile</v>
      </c>
      <c r="AE88">
        <v>6.3788208399395306E-3</v>
      </c>
      <c r="AF88">
        <v>3.0025008508812168E-2</v>
      </c>
    </row>
    <row r="89" spans="1:32" x14ac:dyDescent="0.35">
      <c r="A89" t="s">
        <v>127</v>
      </c>
      <c r="B89">
        <v>269</v>
      </c>
      <c r="E89" t="s">
        <v>16</v>
      </c>
      <c r="F89">
        <v>1090</v>
      </c>
      <c r="J89" t="str">
        <f>'Processed HWF'!B88</f>
        <v>JOR</v>
      </c>
      <c r="K89">
        <f>ROUND('Processed HWF'!D88/10000*'Processed HWF'!J88,0)</f>
        <v>27160</v>
      </c>
      <c r="L89">
        <f>ROUND('Processed HWF'!E88/10000*'Processed HWF'!J88,0)</f>
        <v>30416</v>
      </c>
      <c r="M89">
        <f t="shared" si="6"/>
        <v>1776</v>
      </c>
      <c r="N89">
        <f t="shared" si="7"/>
        <v>1638</v>
      </c>
      <c r="O89">
        <f t="shared" si="8"/>
        <v>6.5390279823269518E-2</v>
      </c>
      <c r="P89">
        <f t="shared" si="9"/>
        <v>5.3853235139400317E-2</v>
      </c>
      <c r="Q89" t="str">
        <f t="shared" si="10"/>
        <v>Less than 0.1</v>
      </c>
      <c r="R89" t="str">
        <f t="shared" si="11"/>
        <v>Less than 0.1</v>
      </c>
      <c r="X89" t="s">
        <v>541</v>
      </c>
      <c r="Y89" t="str">
        <f>VLOOKUP(X89,'Reference table'!$J$2:$K$195,2,FALSE)</f>
        <v>United Republic of Tanzania</v>
      </c>
      <c r="Z89">
        <v>1.9274746814766416E-2</v>
      </c>
      <c r="AA89">
        <v>2.986307837582625E-2</v>
      </c>
      <c r="AC89" t="s">
        <v>541</v>
      </c>
      <c r="AD89" t="str">
        <f>VLOOKUP(AC89,'Reference table'!$J$2:$K$195,2,FALSE)</f>
        <v>United Republic of Tanzania</v>
      </c>
      <c r="AE89">
        <v>1.9274746814766416E-2</v>
      </c>
      <c r="AF89">
        <v>2.986307837582625E-2</v>
      </c>
    </row>
    <row r="90" spans="1:32" x14ac:dyDescent="0.35">
      <c r="A90" t="s">
        <v>114</v>
      </c>
      <c r="B90">
        <v>261</v>
      </c>
      <c r="E90" t="s">
        <v>523</v>
      </c>
      <c r="F90">
        <v>1051</v>
      </c>
      <c r="J90" t="str">
        <f>'Processed HWF'!B89</f>
        <v>JPN</v>
      </c>
      <c r="K90">
        <f>ROUND('Processed HWF'!D89/10000*'Processed HWF'!J89,0)</f>
        <v>314106</v>
      </c>
      <c r="L90">
        <f>ROUND('Processed HWF'!E89/10000*'Processed HWF'!J89,0)</f>
        <v>1481312</v>
      </c>
      <c r="M90">
        <f t="shared" si="6"/>
        <v>269</v>
      </c>
      <c r="N90">
        <f t="shared" si="7"/>
        <v>9525</v>
      </c>
      <c r="O90">
        <f t="shared" si="8"/>
        <v>8.5639879531113701E-4</v>
      </c>
      <c r="P90">
        <f t="shared" si="9"/>
        <v>6.4301106046531723E-3</v>
      </c>
      <c r="Q90" t="str">
        <f t="shared" si="10"/>
        <v>Less than 0.1</v>
      </c>
      <c r="R90" t="str">
        <f t="shared" si="11"/>
        <v>Less than 0.1</v>
      </c>
      <c r="X90" t="s">
        <v>413</v>
      </c>
      <c r="Y90" t="str">
        <f>VLOOKUP(X90,'Reference table'!$J$2:$K$195,2,FALSE)</f>
        <v>Senegal</v>
      </c>
      <c r="Z90">
        <v>1.8317503392130258E-2</v>
      </c>
      <c r="AA90">
        <v>6.2984649469852827E-2</v>
      </c>
      <c r="AC90" t="s">
        <v>319</v>
      </c>
      <c r="AD90" t="str">
        <f>VLOOKUP(AC90,'Reference table'!$J$2:$K$195,2,FALSE)</f>
        <v>India</v>
      </c>
      <c r="AE90">
        <v>1.6955450790061714E-2</v>
      </c>
      <c r="AF90">
        <v>2.9523809918557721E-2</v>
      </c>
    </row>
    <row r="91" spans="1:32" x14ac:dyDescent="0.35">
      <c r="A91" t="s">
        <v>246</v>
      </c>
      <c r="B91">
        <v>238</v>
      </c>
      <c r="E91" t="s">
        <v>425</v>
      </c>
      <c r="F91">
        <v>1021</v>
      </c>
      <c r="J91" t="str">
        <f>'Processed HWF'!B90</f>
        <v>KAZ</v>
      </c>
      <c r="K91">
        <f>ROUND('Processed HWF'!D90/10000*'Processed HWF'!J90,0)</f>
        <v>76348</v>
      </c>
      <c r="L91">
        <f>ROUND('Processed HWF'!E90/10000*'Processed HWF'!J90,0)</f>
        <v>126629</v>
      </c>
      <c r="M91">
        <f t="shared" si="6"/>
        <v>431</v>
      </c>
      <c r="N91">
        <f t="shared" si="7"/>
        <v>6186</v>
      </c>
      <c r="O91">
        <f t="shared" si="8"/>
        <v>5.6452035416775818E-3</v>
      </c>
      <c r="P91">
        <f t="shared" si="9"/>
        <v>4.8851368959716972E-2</v>
      </c>
      <c r="Q91" t="str">
        <f t="shared" si="10"/>
        <v>Less than 0.1</v>
      </c>
      <c r="R91" t="str">
        <f t="shared" si="11"/>
        <v>Less than 0.1</v>
      </c>
      <c r="X91" t="s">
        <v>334</v>
      </c>
      <c r="Y91" t="str">
        <f>VLOOKUP(X91,'Reference table'!$J$2:$K$195,2,FALSE)</f>
        <v>Kenya</v>
      </c>
      <c r="Z91">
        <v>1.7829549506715798E-2</v>
      </c>
      <c r="AA91">
        <v>0.22751500063832503</v>
      </c>
      <c r="AC91" t="s">
        <v>168</v>
      </c>
      <c r="AD91" t="str">
        <f>VLOOKUP(AC91,'Reference table'!$J$2:$K$195,2,FALSE)</f>
        <v>Thailand</v>
      </c>
      <c r="AE91">
        <v>1.3423628602886833E-3</v>
      </c>
      <c r="AF91">
        <v>2.8309344673427106E-2</v>
      </c>
    </row>
    <row r="92" spans="1:32" x14ac:dyDescent="0.35">
      <c r="A92" t="s">
        <v>58</v>
      </c>
      <c r="B92">
        <v>212</v>
      </c>
      <c r="E92" t="s">
        <v>541</v>
      </c>
      <c r="F92">
        <v>1012</v>
      </c>
      <c r="J92" t="str">
        <f>'Processed HWF'!B91</f>
        <v>KEN</v>
      </c>
      <c r="K92">
        <f>ROUND('Processed HWF'!D91/10000*'Processed HWF'!J91,0)</f>
        <v>8413</v>
      </c>
      <c r="L92">
        <f>ROUND('Processed HWF'!E91/10000*'Processed HWF'!J91,0)</f>
        <v>62664</v>
      </c>
      <c r="M92">
        <f t="shared" si="6"/>
        <v>150</v>
      </c>
      <c r="N92">
        <f t="shared" si="7"/>
        <v>14257</v>
      </c>
      <c r="O92">
        <f t="shared" si="8"/>
        <v>1.7829549506715798E-2</v>
      </c>
      <c r="P92">
        <f t="shared" si="9"/>
        <v>0.22751500063832503</v>
      </c>
      <c r="Q92" t="str">
        <f t="shared" si="10"/>
        <v>Less than 0.1</v>
      </c>
      <c r="R92" t="str">
        <f t="shared" si="11"/>
        <v>Above 0.1</v>
      </c>
      <c r="X92" t="s">
        <v>483</v>
      </c>
      <c r="Y92" t="str">
        <f>VLOOKUP(X92,'Reference table'!$J$2:$K$195,2,FALSE)</f>
        <v>Russian Federation</v>
      </c>
      <c r="Z92">
        <v>1.7704453041550352E-2</v>
      </c>
      <c r="AA92">
        <v>2.5018507047785951E-2</v>
      </c>
      <c r="AC92" t="s">
        <v>425</v>
      </c>
      <c r="AD92" t="str">
        <f>VLOOKUP(AC92,'Reference table'!$J$2:$K$195,2,FALSE)</f>
        <v>Singapore</v>
      </c>
      <c r="AE92">
        <v>4.9332962757087269E-3</v>
      </c>
      <c r="AF92">
        <v>2.7954221881502574E-2</v>
      </c>
    </row>
    <row r="93" spans="1:32" x14ac:dyDescent="0.35">
      <c r="A93" t="s">
        <v>165</v>
      </c>
      <c r="B93">
        <v>212</v>
      </c>
      <c r="E93" t="s">
        <v>225</v>
      </c>
      <c r="F93">
        <v>1002</v>
      </c>
      <c r="J93" t="str">
        <f>'Processed HWF'!B92</f>
        <v>KGZ</v>
      </c>
      <c r="K93">
        <f>ROUND('Processed HWF'!D92/10000*'Processed HWF'!J92,0)</f>
        <v>14438</v>
      </c>
      <c r="L93">
        <f>ROUND('Processed HWF'!E92/10000*'Processed HWF'!J92,0)</f>
        <v>34084</v>
      </c>
      <c r="M93">
        <f t="shared" si="6"/>
        <v>89</v>
      </c>
      <c r="N93">
        <f t="shared" si="7"/>
        <v>2</v>
      </c>
      <c r="O93">
        <f t="shared" si="8"/>
        <v>6.164288682643025E-3</v>
      </c>
      <c r="P93">
        <f t="shared" si="9"/>
        <v>5.8678558854594528E-5</v>
      </c>
      <c r="Q93" t="str">
        <f t="shared" si="10"/>
        <v>Less than 0.1</v>
      </c>
      <c r="R93" t="str">
        <f t="shared" si="11"/>
        <v>Less than 0.1</v>
      </c>
      <c r="X93" t="s">
        <v>319</v>
      </c>
      <c r="Y93" t="str">
        <f>VLOOKUP(X93,'Reference table'!$J$2:$K$195,2,FALSE)</f>
        <v>India</v>
      </c>
      <c r="Z93">
        <v>1.6955450790061714E-2</v>
      </c>
      <c r="AA93">
        <v>2.9523809918557721E-2</v>
      </c>
      <c r="AC93" t="s">
        <v>419</v>
      </c>
      <c r="AD93" t="str">
        <f>VLOOKUP(AC93,'Reference table'!$J$2:$K$195,2,FALSE)</f>
        <v>Seychelles</v>
      </c>
      <c r="AE93">
        <v>4.5248868778280547E-3</v>
      </c>
      <c r="AF93">
        <v>2.7913159060700046E-2</v>
      </c>
    </row>
    <row r="94" spans="1:32" x14ac:dyDescent="0.35">
      <c r="A94" t="s">
        <v>479</v>
      </c>
      <c r="B94">
        <v>207</v>
      </c>
      <c r="E94" t="s">
        <v>135</v>
      </c>
      <c r="F94">
        <v>977</v>
      </c>
      <c r="J94" t="str">
        <f>'Processed HWF'!B93</f>
        <v>KHM</v>
      </c>
      <c r="K94">
        <f>ROUND('Processed HWF'!D93/10000*'Processed HWF'!J93,0)</f>
        <v>3217</v>
      </c>
      <c r="L94">
        <f>ROUND('Processed HWF'!E93/10000*'Processed HWF'!J93,0)</f>
        <v>9609</v>
      </c>
      <c r="M94">
        <f t="shared" si="6"/>
        <v>16</v>
      </c>
      <c r="N94">
        <f t="shared" si="7"/>
        <v>1497</v>
      </c>
      <c r="O94">
        <f t="shared" si="8"/>
        <v>4.9735778675784889E-3</v>
      </c>
      <c r="P94">
        <f t="shared" si="9"/>
        <v>0.15579144551982516</v>
      </c>
      <c r="Q94" t="str">
        <f t="shared" si="10"/>
        <v>Less than 0.1</v>
      </c>
      <c r="R94" t="str">
        <f t="shared" si="11"/>
        <v>Above 0.1</v>
      </c>
      <c r="X94" t="s">
        <v>286</v>
      </c>
      <c r="Y94" t="str">
        <f>VLOOKUP(X94,'Reference table'!$J$2:$K$195,2,FALSE)</f>
        <v>Fiji</v>
      </c>
      <c r="Z94">
        <v>1.6861219195849545E-2</v>
      </c>
      <c r="AA94">
        <v>0.28201219512195119</v>
      </c>
      <c r="AC94" t="s">
        <v>520</v>
      </c>
      <c r="AD94" t="str">
        <f>VLOOKUP(AC94,'Reference table'!$J$2:$K$195,2,FALSE)</f>
        <v>Syrian Arab Republic</v>
      </c>
      <c r="AE94">
        <v>0.24014942630970382</v>
      </c>
      <c r="AF94">
        <v>2.7202794604035824E-2</v>
      </c>
    </row>
    <row r="95" spans="1:32" x14ac:dyDescent="0.35">
      <c r="A95" t="s">
        <v>401</v>
      </c>
      <c r="B95">
        <v>168</v>
      </c>
      <c r="E95" t="s">
        <v>452</v>
      </c>
      <c r="F95">
        <v>956</v>
      </c>
      <c r="J95" t="str">
        <f>'Processed HWF'!B94</f>
        <v>KIR</v>
      </c>
      <c r="K95">
        <f>ROUND('Processed HWF'!D94/10000*'Processed HWF'!J94,0)</f>
        <v>24</v>
      </c>
      <c r="L95">
        <f>ROUND('Processed HWF'!E94/10000*'Processed HWF'!J94,0)</f>
        <v>457</v>
      </c>
      <c r="M95" t="e">
        <f t="shared" si="6"/>
        <v>#N/A</v>
      </c>
      <c r="N95" t="e">
        <f t="shared" si="7"/>
        <v>#N/A</v>
      </c>
      <c r="O95" t="str">
        <f t="shared" si="8"/>
        <v>No data</v>
      </c>
      <c r="P95" t="str">
        <f t="shared" si="9"/>
        <v>No data</v>
      </c>
      <c r="Q95" t="str">
        <f t="shared" si="10"/>
        <v>No data</v>
      </c>
      <c r="R95" t="str">
        <f t="shared" si="11"/>
        <v>No data</v>
      </c>
      <c r="X95" t="s">
        <v>77</v>
      </c>
      <c r="Y95" t="str">
        <f>VLOOKUP(X95,'Reference table'!$J$2:$K$195,2,FALSE)</f>
        <v>Somalia</v>
      </c>
      <c r="Z95">
        <v>1.6393442622950821E-2</v>
      </c>
      <c r="AA95">
        <v>2.5301327885597549</v>
      </c>
      <c r="AC95" t="s">
        <v>348</v>
      </c>
      <c r="AD95" t="str">
        <f>VLOOKUP(AC95,'Reference table'!$J$2:$K$195,2,FALSE)</f>
        <v>Lithuania</v>
      </c>
      <c r="AE95">
        <v>2.7715464215934581E-2</v>
      </c>
      <c r="AF95">
        <v>2.6753819259709662E-2</v>
      </c>
    </row>
    <row r="96" spans="1:32" x14ac:dyDescent="0.35">
      <c r="A96" t="s">
        <v>37</v>
      </c>
      <c r="B96">
        <v>166</v>
      </c>
      <c r="E96" t="s">
        <v>286</v>
      </c>
      <c r="F96">
        <v>925</v>
      </c>
      <c r="J96" t="str">
        <f>'Processed HWF'!B95</f>
        <v>KNA</v>
      </c>
      <c r="K96">
        <f>ROUND('Processed HWF'!D95/10000*'Processed HWF'!J95,0)</f>
        <v>147</v>
      </c>
      <c r="L96">
        <f>ROUND('Processed HWF'!E95/10000*'Processed HWF'!J95,0)</f>
        <v>224</v>
      </c>
      <c r="M96">
        <f t="shared" si="6"/>
        <v>15</v>
      </c>
      <c r="N96">
        <f t="shared" si="7"/>
        <v>3</v>
      </c>
      <c r="O96">
        <f t="shared" si="8"/>
        <v>0.10204081632653061</v>
      </c>
      <c r="P96">
        <f t="shared" si="9"/>
        <v>1.3392857142857142E-2</v>
      </c>
      <c r="Q96" t="str">
        <f t="shared" si="10"/>
        <v>Above 0.1</v>
      </c>
      <c r="R96" t="str">
        <f t="shared" si="11"/>
        <v>Less than 0.1</v>
      </c>
      <c r="X96" t="s">
        <v>216</v>
      </c>
      <c r="Y96" t="str">
        <f>VLOOKUP(X96,'Reference table'!$J$2:$K$195,2,FALSE)</f>
        <v>Angola</v>
      </c>
      <c r="Z96">
        <v>1.6204690831556502E-2</v>
      </c>
      <c r="AA96">
        <v>1.1943863839952225E-3</v>
      </c>
      <c r="AC96" t="s">
        <v>234</v>
      </c>
      <c r="AD96" t="str">
        <f>VLOOKUP(AC96,'Reference table'!$J$2:$K$195,2,FALSE)</f>
        <v>Botswana</v>
      </c>
      <c r="AE96">
        <v>4.4943820224719105E-3</v>
      </c>
      <c r="AF96">
        <v>2.5259359494812811E-2</v>
      </c>
    </row>
    <row r="97" spans="1:32" x14ac:dyDescent="0.35">
      <c r="A97" t="s">
        <v>313</v>
      </c>
      <c r="B97">
        <v>158</v>
      </c>
      <c r="E97" t="s">
        <v>37</v>
      </c>
      <c r="F97">
        <v>909</v>
      </c>
      <c r="J97" t="str">
        <f>'Processed HWF'!B96</f>
        <v>KOR</v>
      </c>
      <c r="K97">
        <f>ROUND('Processed HWF'!D96/10000*'Processed HWF'!J96,0)</f>
        <v>127430</v>
      </c>
      <c r="L97">
        <f>ROUND('Processed HWF'!E96/10000*'Processed HWF'!J96,0)</f>
        <v>411249</v>
      </c>
      <c r="M97">
        <f t="shared" si="6"/>
        <v>113</v>
      </c>
      <c r="N97">
        <f t="shared" si="7"/>
        <v>44</v>
      </c>
      <c r="O97">
        <f t="shared" si="8"/>
        <v>8.8676135917758764E-4</v>
      </c>
      <c r="P97">
        <f t="shared" si="9"/>
        <v>1.0699114161979725E-4</v>
      </c>
      <c r="Q97" t="str">
        <f t="shared" si="10"/>
        <v>Less than 0.1</v>
      </c>
      <c r="R97" t="str">
        <f t="shared" si="11"/>
        <v>Less than 0.1</v>
      </c>
      <c r="X97" t="s">
        <v>89</v>
      </c>
      <c r="Y97" t="str">
        <f>VLOOKUP(X97,'Reference table'!$J$2:$K$195,2,FALSE)</f>
        <v>Gabon</v>
      </c>
      <c r="Z97">
        <v>1.6152716593245228E-2</v>
      </c>
      <c r="AA97" t="s">
        <v>915</v>
      </c>
      <c r="AC97" t="s">
        <v>483</v>
      </c>
      <c r="AD97" t="str">
        <f>VLOOKUP(AC97,'Reference table'!$J$2:$K$195,2,FALSE)</f>
        <v>Russian Federation</v>
      </c>
      <c r="AE97">
        <v>1.7704453041550352E-2</v>
      </c>
      <c r="AF97">
        <v>2.5018507047785951E-2</v>
      </c>
    </row>
    <row r="98" spans="1:32" x14ac:dyDescent="0.35">
      <c r="A98" t="s">
        <v>61</v>
      </c>
      <c r="B98">
        <v>157</v>
      </c>
      <c r="E98" t="s">
        <v>3</v>
      </c>
      <c r="F98">
        <v>906</v>
      </c>
      <c r="J98" t="str">
        <f>'Processed HWF'!B97</f>
        <v>KWT</v>
      </c>
      <c r="K98">
        <f>ROUND('Processed HWF'!D97/10000*'Processed HWF'!J97,0)</f>
        <v>10000</v>
      </c>
      <c r="L98">
        <f>ROUND('Processed HWF'!E97/10000*'Processed HWF'!J97,0)</f>
        <v>20000</v>
      </c>
      <c r="M98">
        <f t="shared" si="6"/>
        <v>68</v>
      </c>
      <c r="N98">
        <f t="shared" si="7"/>
        <v>222</v>
      </c>
      <c r="O98">
        <f t="shared" si="8"/>
        <v>6.7999999999999996E-3</v>
      </c>
      <c r="P98">
        <f t="shared" si="9"/>
        <v>1.11E-2</v>
      </c>
      <c r="Q98" t="str">
        <f t="shared" si="10"/>
        <v>Less than 0.1</v>
      </c>
      <c r="R98" t="str">
        <f t="shared" si="11"/>
        <v>Less than 0.1</v>
      </c>
      <c r="X98" t="s">
        <v>125</v>
      </c>
      <c r="Y98" t="str">
        <f>VLOOKUP(X98,'Reference table'!$J$2:$K$195,2,FALSE)</f>
        <v>Jamaica</v>
      </c>
      <c r="Z98">
        <v>1.6025641025641024E-2</v>
      </c>
      <c r="AA98">
        <v>15.738384261197155</v>
      </c>
      <c r="AC98" t="s">
        <v>71</v>
      </c>
      <c r="AD98" t="str">
        <f>VLOOKUP(AC98,'Reference table'!$J$2:$K$195,2,FALSE)</f>
        <v>Germany</v>
      </c>
      <c r="AE98">
        <v>7.7337001434758853E-3</v>
      </c>
      <c r="AF98">
        <v>2.4396341751543243E-2</v>
      </c>
    </row>
    <row r="99" spans="1:32" x14ac:dyDescent="0.35">
      <c r="A99" t="s">
        <v>334</v>
      </c>
      <c r="B99">
        <v>150</v>
      </c>
      <c r="E99" t="s">
        <v>222</v>
      </c>
      <c r="F99">
        <v>869</v>
      </c>
      <c r="J99" t="str">
        <f>'Processed HWF'!B98</f>
        <v>LAO</v>
      </c>
      <c r="K99">
        <f>ROUND('Processed HWF'!D98/10000*'Processed HWF'!J98,0)</f>
        <v>2575</v>
      </c>
      <c r="L99">
        <f>ROUND('Processed HWF'!E98/10000*'Processed HWF'!J98,0)</f>
        <v>6981</v>
      </c>
      <c r="M99">
        <f t="shared" si="6"/>
        <v>316</v>
      </c>
      <c r="N99">
        <f t="shared" si="7"/>
        <v>2260</v>
      </c>
      <c r="O99">
        <f t="shared" si="8"/>
        <v>0.12271844660194174</v>
      </c>
      <c r="P99">
        <f t="shared" si="9"/>
        <v>0.32373585446211145</v>
      </c>
      <c r="Q99" t="str">
        <f t="shared" si="10"/>
        <v>Above 0.1</v>
      </c>
      <c r="R99" t="str">
        <f t="shared" si="11"/>
        <v>Above 0.1</v>
      </c>
      <c r="X99" t="s">
        <v>277</v>
      </c>
      <c r="Y99" t="str">
        <f>VLOOKUP(X99,'Reference table'!$J$2:$K$195,2,FALSE)</f>
        <v>El Salvador</v>
      </c>
      <c r="Z99">
        <v>1.579371474617244E-2</v>
      </c>
      <c r="AA99">
        <v>0.59707513867876949</v>
      </c>
      <c r="AC99" t="s">
        <v>10</v>
      </c>
      <c r="AD99" t="str">
        <f>VLOOKUP(AC99,'Reference table'!$J$2:$K$195,2,FALSE)</f>
        <v>Argentina</v>
      </c>
      <c r="AE99">
        <v>7.1515006159447942E-3</v>
      </c>
      <c r="AF99">
        <v>2.3539416617059272E-2</v>
      </c>
    </row>
    <row r="100" spans="1:32" x14ac:dyDescent="0.35">
      <c r="A100" t="s">
        <v>298</v>
      </c>
      <c r="B100">
        <v>149</v>
      </c>
      <c r="E100" t="s">
        <v>56</v>
      </c>
      <c r="F100">
        <v>805</v>
      </c>
      <c r="J100" t="str">
        <f>'Processed HWF'!B99</f>
        <v>LBN</v>
      </c>
      <c r="K100">
        <f>ROUND('Processed HWF'!D99/10000*'Processed HWF'!J99,0)</f>
        <v>15064</v>
      </c>
      <c r="L100">
        <f>ROUND('Processed HWF'!E99/10000*'Processed HWF'!J99,0)</f>
        <v>10328</v>
      </c>
      <c r="M100">
        <f t="shared" si="6"/>
        <v>508</v>
      </c>
      <c r="N100">
        <f t="shared" si="7"/>
        <v>2094</v>
      </c>
      <c r="O100">
        <f t="shared" si="8"/>
        <v>3.3722782793414764E-2</v>
      </c>
      <c r="P100">
        <f t="shared" si="9"/>
        <v>0.20274980635166537</v>
      </c>
      <c r="Q100" t="str">
        <f t="shared" si="10"/>
        <v>Less than 0.1</v>
      </c>
      <c r="R100" t="str">
        <f t="shared" si="11"/>
        <v>Above 0.1</v>
      </c>
      <c r="X100" t="s">
        <v>307</v>
      </c>
      <c r="Y100" t="str">
        <f>VLOOKUP(X100,'Reference table'!$J$2:$K$195,2,FALSE)</f>
        <v>Guyana</v>
      </c>
      <c r="Z100">
        <v>1.5178571428571428E-2</v>
      </c>
      <c r="AA100">
        <v>4.7513336068937218</v>
      </c>
      <c r="AC100" t="s">
        <v>368</v>
      </c>
      <c r="AD100" t="str">
        <f>VLOOKUP(AC100,'Reference table'!$J$2:$K$195,2,FALSE)</f>
        <v>Republic of Moldova</v>
      </c>
      <c r="AE100">
        <v>0.20645573665707895</v>
      </c>
      <c r="AF100">
        <v>2.3533908485311783E-2</v>
      </c>
    </row>
    <row r="101" spans="1:32" x14ac:dyDescent="0.35">
      <c r="A101" t="s">
        <v>283</v>
      </c>
      <c r="B101">
        <v>143</v>
      </c>
      <c r="E101" t="s">
        <v>114</v>
      </c>
      <c r="F101">
        <v>767</v>
      </c>
      <c r="J101" t="str">
        <f>'Processed HWF'!B100</f>
        <v>LBR</v>
      </c>
      <c r="K101">
        <f>ROUND('Processed HWF'!D100/10000*'Processed HWF'!J100,0)</f>
        <v>258</v>
      </c>
      <c r="L101">
        <f>ROUND('Processed HWF'!E100/10000*'Processed HWF'!J100,0)</f>
        <v>9881</v>
      </c>
      <c r="M101">
        <f t="shared" si="6"/>
        <v>6</v>
      </c>
      <c r="N101">
        <f t="shared" si="7"/>
        <v>5691</v>
      </c>
      <c r="O101">
        <f t="shared" si="8"/>
        <v>2.3255813953488372E-2</v>
      </c>
      <c r="P101">
        <f t="shared" si="9"/>
        <v>0.57595385082481532</v>
      </c>
      <c r="Q101" t="str">
        <f t="shared" si="10"/>
        <v>Less than 0.1</v>
      </c>
      <c r="R101" t="str">
        <f t="shared" si="11"/>
        <v>Above 0.1</v>
      </c>
      <c r="X101" t="s">
        <v>292</v>
      </c>
      <c r="Y101" t="str">
        <f>VLOOKUP(X101,'Reference table'!$J$2:$K$195,2,FALSE)</f>
        <v>Gambia</v>
      </c>
      <c r="Z101">
        <v>1.507537688442211E-2</v>
      </c>
      <c r="AA101">
        <v>0.22298850574712645</v>
      </c>
      <c r="AC101" t="s">
        <v>431</v>
      </c>
      <c r="AD101" t="str">
        <f>VLOOKUP(AC101,'Reference table'!$J$2:$K$195,2,FALSE)</f>
        <v>South Africa</v>
      </c>
      <c r="AE101">
        <v>3.5502832559526347E-2</v>
      </c>
      <c r="AF101">
        <v>2.3511582887229158E-2</v>
      </c>
    </row>
    <row r="102" spans="1:32" x14ac:dyDescent="0.35">
      <c r="A102" t="s">
        <v>383</v>
      </c>
      <c r="B102">
        <v>133</v>
      </c>
      <c r="E102" t="s">
        <v>289</v>
      </c>
      <c r="F102">
        <v>742</v>
      </c>
      <c r="J102" t="str">
        <f>'Processed HWF'!B101</f>
        <v>LBY</v>
      </c>
      <c r="K102">
        <f>ROUND('Processed HWF'!D101/10000*'Processed HWF'!J101,0)</f>
        <v>14364</v>
      </c>
      <c r="L102">
        <f>ROUND('Processed HWF'!E101/10000*'Processed HWF'!J101,0)</f>
        <v>43786</v>
      </c>
      <c r="M102">
        <f t="shared" si="6"/>
        <v>1208</v>
      </c>
      <c r="N102">
        <f t="shared" si="7"/>
        <v>169</v>
      </c>
      <c r="O102">
        <f t="shared" si="8"/>
        <v>8.4099136730715673E-2</v>
      </c>
      <c r="P102">
        <f t="shared" si="9"/>
        <v>3.8596811766318001E-3</v>
      </c>
      <c r="Q102" t="str">
        <f t="shared" si="10"/>
        <v>Less than 0.1</v>
      </c>
      <c r="R102" t="str">
        <f t="shared" si="11"/>
        <v>Less than 0.1</v>
      </c>
      <c r="X102" t="s">
        <v>310</v>
      </c>
      <c r="Y102" t="str">
        <f>VLOOKUP(X102,'Reference table'!$J$2:$K$195,2,FALSE)</f>
        <v>Haiti</v>
      </c>
      <c r="Z102">
        <v>1.4942099364960777E-2</v>
      </c>
      <c r="AA102">
        <v>7.8843850760018421</v>
      </c>
      <c r="AC102" t="s">
        <v>452</v>
      </c>
      <c r="AD102" t="str">
        <f>VLOOKUP(AC102,'Reference table'!$J$2:$K$195,2,FALSE)</f>
        <v>Myanmar</v>
      </c>
      <c r="AE102">
        <v>1.4378987240829345E-2</v>
      </c>
      <c r="AF102">
        <v>2.3237724842002917E-2</v>
      </c>
    </row>
    <row r="103" spans="1:32" x14ac:dyDescent="0.35">
      <c r="A103" t="s">
        <v>534</v>
      </c>
      <c r="B103">
        <v>130</v>
      </c>
      <c r="E103" t="s">
        <v>520</v>
      </c>
      <c r="F103">
        <v>732</v>
      </c>
      <c r="J103" t="str">
        <f>'Processed HWF'!B102</f>
        <v>LCA</v>
      </c>
      <c r="K103">
        <f>ROUND('Processed HWF'!D102/10000*'Processed HWF'!J102,0)</f>
        <v>118</v>
      </c>
      <c r="L103">
        <f>ROUND('Processed HWF'!E102/10000*'Processed HWF'!J102,0)</f>
        <v>483</v>
      </c>
      <c r="M103">
        <f t="shared" si="6"/>
        <v>9</v>
      </c>
      <c r="N103">
        <f t="shared" si="7"/>
        <v>618</v>
      </c>
      <c r="O103">
        <f t="shared" si="8"/>
        <v>7.6271186440677971E-2</v>
      </c>
      <c r="P103">
        <f t="shared" si="9"/>
        <v>1.2795031055900621</v>
      </c>
      <c r="Q103" t="str">
        <f t="shared" si="10"/>
        <v>Less than 0.1</v>
      </c>
      <c r="R103" t="str">
        <f t="shared" si="11"/>
        <v>Above 0.1</v>
      </c>
      <c r="X103" t="s">
        <v>316</v>
      </c>
      <c r="Y103" t="str">
        <f>VLOOKUP(X103,'Reference table'!$J$2:$K$195,2,FALSE)</f>
        <v>Iceland</v>
      </c>
      <c r="Z103">
        <v>1.4861995753715499E-2</v>
      </c>
      <c r="AA103">
        <v>3.4398463418892966E-2</v>
      </c>
      <c r="AC103" t="s">
        <v>280</v>
      </c>
      <c r="AD103" t="str">
        <f>VLOOKUP(AC103,'Reference table'!$J$2:$K$195,2,FALSE)</f>
        <v>Equatorial Guinea</v>
      </c>
      <c r="AE103">
        <v>1.7730496453900709E-3</v>
      </c>
      <c r="AF103">
        <v>2.2988505747126436E-2</v>
      </c>
    </row>
    <row r="104" spans="1:32" x14ac:dyDescent="0.35">
      <c r="A104" t="s">
        <v>45</v>
      </c>
      <c r="B104">
        <v>127</v>
      </c>
      <c r="E104" t="s">
        <v>416</v>
      </c>
      <c r="F104">
        <v>714</v>
      </c>
      <c r="J104" t="str">
        <f>'Processed HWF'!B103</f>
        <v>LKA</v>
      </c>
      <c r="K104">
        <f>ROUND('Processed HWF'!D103/10000*'Processed HWF'!J103,0)</f>
        <v>26336</v>
      </c>
      <c r="L104">
        <f>ROUND('Processed HWF'!E103/10000*'Processed HWF'!J103,0)</f>
        <v>44728</v>
      </c>
      <c r="M104">
        <f t="shared" si="6"/>
        <v>1243</v>
      </c>
      <c r="N104">
        <f t="shared" si="7"/>
        <v>805</v>
      </c>
      <c r="O104">
        <f t="shared" si="8"/>
        <v>4.7197752126366947E-2</v>
      </c>
      <c r="P104">
        <f t="shared" si="9"/>
        <v>1.7997674834555534E-2</v>
      </c>
      <c r="Q104" t="str">
        <f t="shared" si="10"/>
        <v>Less than 0.1</v>
      </c>
      <c r="R104" t="str">
        <f t="shared" si="11"/>
        <v>Less than 0.1</v>
      </c>
      <c r="X104" t="s">
        <v>452</v>
      </c>
      <c r="Y104" t="str">
        <f>VLOOKUP(X104,'Reference table'!$J$2:$K$195,2,FALSE)</f>
        <v>Myanmar</v>
      </c>
      <c r="Z104">
        <v>1.4378987240829345E-2</v>
      </c>
      <c r="AA104">
        <v>2.3237724842002917E-2</v>
      </c>
      <c r="AC104" t="s">
        <v>328</v>
      </c>
      <c r="AD104" t="str">
        <f>VLOOKUP(AC104,'Reference table'!$J$2:$K$195,2,FALSE)</f>
        <v>Italy</v>
      </c>
      <c r="AE104">
        <v>2.2780532999073518E-2</v>
      </c>
      <c r="AF104">
        <v>2.1957643443245918E-2</v>
      </c>
    </row>
    <row r="105" spans="1:32" x14ac:dyDescent="0.35">
      <c r="A105" t="s">
        <v>144</v>
      </c>
      <c r="B105">
        <v>124</v>
      </c>
      <c r="E105" t="s">
        <v>348</v>
      </c>
      <c r="F105">
        <v>704</v>
      </c>
      <c r="J105" t="str">
        <f>'Processed HWF'!B104</f>
        <v>LSO</v>
      </c>
      <c r="K105">
        <f>ROUND('Processed HWF'!D104/10000*'Processed HWF'!J104,0)</f>
        <v>1014</v>
      </c>
      <c r="L105">
        <f>ROUND('Processed HWF'!E104/10000*'Processed HWF'!J104,0)</f>
        <v>6976</v>
      </c>
      <c r="M105" t="e">
        <f t="shared" si="6"/>
        <v>#N/A</v>
      </c>
      <c r="N105">
        <f t="shared" si="7"/>
        <v>77</v>
      </c>
      <c r="O105" t="str">
        <f t="shared" si="8"/>
        <v>No data</v>
      </c>
      <c r="P105">
        <f t="shared" si="9"/>
        <v>1.1037844036697247E-2</v>
      </c>
      <c r="Q105" t="str">
        <f t="shared" si="10"/>
        <v>No data</v>
      </c>
      <c r="R105" t="str">
        <f t="shared" si="11"/>
        <v>Less than 0.1</v>
      </c>
      <c r="X105" t="s">
        <v>68</v>
      </c>
      <c r="Y105" t="str">
        <f>VLOOKUP(X105,'Reference table'!$J$2:$K$195,2,FALSE)</f>
        <v>Nepal</v>
      </c>
      <c r="Z105">
        <v>1.4248339706178306E-2</v>
      </c>
      <c r="AA105">
        <v>3.3352640216237087E-2</v>
      </c>
      <c r="AC105" t="s">
        <v>104</v>
      </c>
      <c r="AD105" t="str">
        <f>VLOOKUP(AC105,'Reference table'!$J$2:$K$195,2,FALSE)</f>
        <v>Hungary</v>
      </c>
      <c r="AE105">
        <v>5.9835771719275482E-2</v>
      </c>
      <c r="AF105">
        <v>2.1267367834074256E-2</v>
      </c>
    </row>
    <row r="106" spans="1:32" x14ac:dyDescent="0.35">
      <c r="A106" t="s">
        <v>216</v>
      </c>
      <c r="B106">
        <v>114</v>
      </c>
      <c r="E106" t="s">
        <v>165</v>
      </c>
      <c r="F106">
        <v>679</v>
      </c>
      <c r="J106" t="str">
        <f>'Processed HWF'!B105</f>
        <v>LTU</v>
      </c>
      <c r="K106">
        <f>ROUND('Processed HWF'!D105/10000*'Processed HWF'!J105,0)</f>
        <v>13819</v>
      </c>
      <c r="L106">
        <f>ROUND('Processed HWF'!E105/10000*'Processed HWF'!J105,0)</f>
        <v>26314</v>
      </c>
      <c r="M106">
        <f t="shared" si="6"/>
        <v>383</v>
      </c>
      <c r="N106">
        <f t="shared" si="7"/>
        <v>704</v>
      </c>
      <c r="O106">
        <f t="shared" si="8"/>
        <v>2.7715464215934581E-2</v>
      </c>
      <c r="P106">
        <f t="shared" si="9"/>
        <v>2.6753819259709662E-2</v>
      </c>
      <c r="Q106" t="str">
        <f t="shared" si="10"/>
        <v>Less than 0.1</v>
      </c>
      <c r="R106" t="str">
        <f t="shared" si="11"/>
        <v>Less than 0.1</v>
      </c>
      <c r="X106" t="s">
        <v>503</v>
      </c>
      <c r="Y106" t="str">
        <f>VLOOKUP(X106,'Reference table'!$J$2:$K$195,2,FALSE)</f>
        <v>Israel</v>
      </c>
      <c r="Z106">
        <v>1.4211062962018864E-2</v>
      </c>
      <c r="AA106">
        <v>2.6606227828143475E-4</v>
      </c>
      <c r="AC106" t="s">
        <v>193</v>
      </c>
      <c r="AD106" t="str">
        <f>VLOOKUP(AC106,'Reference table'!$J$2:$K$195,2,FALSE)</f>
        <v>Bangladesh</v>
      </c>
      <c r="AE106">
        <v>6.7841739082859934E-3</v>
      </c>
      <c r="AF106">
        <v>1.916316364234745E-2</v>
      </c>
    </row>
    <row r="107" spans="1:32" x14ac:dyDescent="0.35">
      <c r="A107" t="s">
        <v>339</v>
      </c>
      <c r="B107">
        <v>113</v>
      </c>
      <c r="E107" t="s">
        <v>464</v>
      </c>
      <c r="F107">
        <v>646</v>
      </c>
      <c r="J107" t="str">
        <f>'Processed HWF'!B106</f>
        <v>LUX</v>
      </c>
      <c r="K107">
        <f>ROUND('Processed HWF'!D106/10000*'Processed HWF'!J106,0)</f>
        <v>1882</v>
      </c>
      <c r="L107">
        <f>ROUND('Processed HWF'!E106/10000*'Processed HWF'!J106,0)</f>
        <v>7394</v>
      </c>
      <c r="M107">
        <f t="shared" si="6"/>
        <v>477</v>
      </c>
      <c r="N107">
        <f t="shared" si="7"/>
        <v>1</v>
      </c>
      <c r="O107">
        <f t="shared" si="8"/>
        <v>0.25345377258235918</v>
      </c>
      <c r="P107">
        <f t="shared" si="9"/>
        <v>1.3524479307546659E-4</v>
      </c>
      <c r="Q107" t="str">
        <f t="shared" si="10"/>
        <v>Above 0.1</v>
      </c>
      <c r="R107" t="str">
        <f t="shared" si="11"/>
        <v>Less than 0.1</v>
      </c>
      <c r="X107" t="s">
        <v>240</v>
      </c>
      <c r="Y107" t="str">
        <f>VLOOKUP(X107,'Reference table'!$J$2:$K$195,2,FALSE)</f>
        <v>Burundi</v>
      </c>
      <c r="Z107">
        <v>1.4101057579318449E-2</v>
      </c>
      <c r="AA107">
        <v>3.8925652004671076E-4</v>
      </c>
      <c r="AC107" t="s">
        <v>325</v>
      </c>
      <c r="AD107" t="str">
        <f>VLOOKUP(AC107,'Reference table'!$J$2:$K$195,2,FALSE)</f>
        <v>Iraq</v>
      </c>
      <c r="AE107">
        <v>4.6493686836217761E-2</v>
      </c>
      <c r="AF107">
        <v>1.8758329631274988E-2</v>
      </c>
    </row>
    <row r="108" spans="1:32" x14ac:dyDescent="0.35">
      <c r="A108" t="s">
        <v>495</v>
      </c>
      <c r="B108">
        <v>104</v>
      </c>
      <c r="E108" t="s">
        <v>267</v>
      </c>
      <c r="F108">
        <v>622</v>
      </c>
      <c r="J108" t="str">
        <f>'Processed HWF'!B107</f>
        <v>LVA</v>
      </c>
      <c r="K108">
        <f>ROUND('Processed HWF'!D107/10000*'Processed HWF'!J107,0)</f>
        <v>6422</v>
      </c>
      <c r="L108">
        <f>ROUND('Processed HWF'!E107/10000*'Processed HWF'!J107,0)</f>
        <v>7968</v>
      </c>
      <c r="M108">
        <f t="shared" si="6"/>
        <v>659</v>
      </c>
      <c r="N108">
        <f t="shared" si="7"/>
        <v>479</v>
      </c>
      <c r="O108">
        <f t="shared" si="8"/>
        <v>0.10261600747430707</v>
      </c>
      <c r="P108">
        <f t="shared" si="9"/>
        <v>6.0115461847389556E-2</v>
      </c>
      <c r="Q108" t="str">
        <f t="shared" si="10"/>
        <v>Above 0.1</v>
      </c>
      <c r="R108" t="str">
        <f t="shared" si="11"/>
        <v>Less than 0.1</v>
      </c>
      <c r="X108" t="s">
        <v>162</v>
      </c>
      <c r="Y108" t="str">
        <f>VLOOKUP(X108,'Reference table'!$J$2:$K$195,2,FALSE)</f>
        <v>Spain</v>
      </c>
      <c r="Z108">
        <v>1.3541345857714814E-2</v>
      </c>
      <c r="AA108">
        <v>3.6512579193334269E-2</v>
      </c>
      <c r="AC108" t="s">
        <v>56</v>
      </c>
      <c r="AD108" t="str">
        <f>VLOOKUP(AC108,'Reference table'!$J$2:$K$195,2,FALSE)</f>
        <v>Sri Lanka</v>
      </c>
      <c r="AE108">
        <v>4.7197752126366947E-2</v>
      </c>
      <c r="AF108">
        <v>1.7997674834555534E-2</v>
      </c>
    </row>
    <row r="109" spans="1:32" x14ac:dyDescent="0.35">
      <c r="A109" t="s">
        <v>258</v>
      </c>
      <c r="B109">
        <v>101</v>
      </c>
      <c r="E109" t="s">
        <v>487</v>
      </c>
      <c r="F109">
        <v>618</v>
      </c>
      <c r="J109" t="str">
        <f>'Processed HWF'!B108</f>
        <v>MAR</v>
      </c>
      <c r="K109">
        <f>ROUND('Processed HWF'!D108/10000*'Processed HWF'!J108,0)</f>
        <v>26960</v>
      </c>
      <c r="L109">
        <f>ROUND('Processed HWF'!E108/10000*'Processed HWF'!J108,0)</f>
        <v>46995</v>
      </c>
      <c r="M109">
        <f t="shared" si="6"/>
        <v>5672</v>
      </c>
      <c r="N109">
        <f t="shared" si="7"/>
        <v>4353</v>
      </c>
      <c r="O109">
        <f t="shared" si="8"/>
        <v>0.21038575667655787</v>
      </c>
      <c r="P109">
        <f t="shared" si="9"/>
        <v>9.2626875199489311E-2</v>
      </c>
      <c r="Q109" t="str">
        <f t="shared" si="10"/>
        <v>Above 0.1</v>
      </c>
      <c r="R109" t="str">
        <f t="shared" si="11"/>
        <v>Less than 0.1</v>
      </c>
      <c r="X109" t="s">
        <v>58</v>
      </c>
      <c r="Y109" t="str">
        <f>VLOOKUP(X109,'Reference table'!$J$2:$K$195,2,FALSE)</f>
        <v>Dominican Republic</v>
      </c>
      <c r="Z109">
        <v>1.34117795913203E-2</v>
      </c>
      <c r="AA109">
        <v>0.65210824417872881</v>
      </c>
      <c r="AC109" t="s">
        <v>492</v>
      </c>
      <c r="AD109" t="str">
        <f>VLOOKUP(AC109,'Reference table'!$J$2:$K$195,2,FALSE)</f>
        <v>Slovakia</v>
      </c>
      <c r="AE109">
        <v>0.20341160150028259</v>
      </c>
      <c r="AF109">
        <v>1.7399355106471281E-2</v>
      </c>
    </row>
    <row r="110" spans="1:32" x14ac:dyDescent="0.35">
      <c r="A110" t="s">
        <v>268</v>
      </c>
      <c r="B110">
        <v>99</v>
      </c>
      <c r="E110" t="s">
        <v>159</v>
      </c>
      <c r="F110">
        <v>567</v>
      </c>
      <c r="J110" t="str">
        <f>'Processed HWF'!B109</f>
        <v>MCO</v>
      </c>
      <c r="K110">
        <f>ROUND('Processed HWF'!D109/10000*'Processed HWF'!J109,0)</f>
        <v>294</v>
      </c>
      <c r="L110">
        <f>ROUND('Processed HWF'!E109/10000*'Processed HWF'!J109,0)</f>
        <v>770</v>
      </c>
      <c r="M110" t="e">
        <f t="shared" si="6"/>
        <v>#N/A</v>
      </c>
      <c r="N110" t="e">
        <f t="shared" si="7"/>
        <v>#N/A</v>
      </c>
      <c r="O110" t="str">
        <f t="shared" si="8"/>
        <v>No data</v>
      </c>
      <c r="P110" t="str">
        <f t="shared" si="9"/>
        <v>No data</v>
      </c>
      <c r="Q110" t="str">
        <f t="shared" si="10"/>
        <v>No data</v>
      </c>
      <c r="R110" t="str">
        <f t="shared" si="11"/>
        <v>No data</v>
      </c>
      <c r="X110" t="s">
        <v>428</v>
      </c>
      <c r="Y110" t="str">
        <f>VLOOKUP(X110,'Reference table'!$J$2:$K$195,2,FALSE)</f>
        <v>Slovenia</v>
      </c>
      <c r="Z110">
        <v>1.3356817848231322E-2</v>
      </c>
      <c r="AA110">
        <v>8.3849629664135654E-4</v>
      </c>
      <c r="AC110" t="s">
        <v>363</v>
      </c>
      <c r="AD110" t="str">
        <f>VLOOKUP(AC110,'Reference table'!$J$2:$K$195,2,FALSE)</f>
        <v>Malta</v>
      </c>
      <c r="AE110">
        <v>0.23357086302454474</v>
      </c>
      <c r="AF110">
        <v>1.7141350210970463E-2</v>
      </c>
    </row>
    <row r="111" spans="1:32" x14ac:dyDescent="0.35">
      <c r="A111" t="s">
        <v>156</v>
      </c>
      <c r="B111">
        <v>96</v>
      </c>
      <c r="E111" t="s">
        <v>492</v>
      </c>
      <c r="F111">
        <v>545</v>
      </c>
      <c r="J111" t="str">
        <f>'Processed HWF'!B110</f>
        <v>MDA</v>
      </c>
      <c r="K111">
        <f>ROUND('Processed HWF'!D110/10000*'Processed HWF'!J110,0)</f>
        <v>12516</v>
      </c>
      <c r="L111">
        <f>ROUND('Processed HWF'!E110/10000*'Processed HWF'!J110,0)</f>
        <v>18314</v>
      </c>
      <c r="M111">
        <f t="shared" si="6"/>
        <v>2584</v>
      </c>
      <c r="N111">
        <f t="shared" si="7"/>
        <v>431</v>
      </c>
      <c r="O111">
        <f t="shared" si="8"/>
        <v>0.20645573665707895</v>
      </c>
      <c r="P111">
        <f t="shared" si="9"/>
        <v>2.3533908485311783E-2</v>
      </c>
      <c r="Q111" t="str">
        <f t="shared" si="10"/>
        <v>Above 0.1</v>
      </c>
      <c r="R111" t="str">
        <f t="shared" si="11"/>
        <v>Less than 0.1</v>
      </c>
      <c r="X111" t="s">
        <v>532</v>
      </c>
      <c r="Y111" t="str">
        <f>VLOOKUP(X111,'Reference table'!$J$2:$K$195,2,FALSE)</f>
        <v>Comoros</v>
      </c>
      <c r="Z111">
        <v>1.3043478260869565E-2</v>
      </c>
      <c r="AA111" t="s">
        <v>915</v>
      </c>
      <c r="AC111" t="s">
        <v>225</v>
      </c>
      <c r="AD111" t="str">
        <f>VLOOKUP(AC111,'Reference table'!$J$2:$K$195,2,FALSE)</f>
        <v>Azerbaijan</v>
      </c>
      <c r="AE111">
        <v>4.4930589985126425E-2</v>
      </c>
      <c r="AF111">
        <v>1.673067290031725E-2</v>
      </c>
    </row>
    <row r="112" spans="1:32" x14ac:dyDescent="0.35">
      <c r="A112" t="s">
        <v>289</v>
      </c>
      <c r="B112">
        <v>93</v>
      </c>
      <c r="E112" t="s">
        <v>261</v>
      </c>
      <c r="F112">
        <v>532</v>
      </c>
      <c r="J112" t="str">
        <f>'Processed HWF'!B111</f>
        <v>MDG</v>
      </c>
      <c r="K112">
        <f>ROUND('Processed HWF'!D111/10000*'Processed HWF'!J111,0)</f>
        <v>5507</v>
      </c>
      <c r="L112">
        <f>ROUND('Processed HWF'!E111/10000*'Processed HWF'!J111,0)</f>
        <v>4036</v>
      </c>
      <c r="M112">
        <f t="shared" si="6"/>
        <v>312</v>
      </c>
      <c r="N112" t="e">
        <f t="shared" si="7"/>
        <v>#N/A</v>
      </c>
      <c r="O112">
        <f t="shared" si="8"/>
        <v>5.6655166152169964E-2</v>
      </c>
      <c r="P112" t="str">
        <f t="shared" si="9"/>
        <v>No data</v>
      </c>
      <c r="Q112" t="str">
        <f t="shared" si="10"/>
        <v>Less than 0.1</v>
      </c>
      <c r="R112" t="str">
        <f t="shared" si="11"/>
        <v>No data</v>
      </c>
      <c r="X112" t="s">
        <v>243</v>
      </c>
      <c r="Y112" t="str">
        <f>VLOOKUP(X112,'Reference table'!$J$2:$K$195,2,FALSE)</f>
        <v>Cape Verde</v>
      </c>
      <c r="Z112">
        <v>1.2987012987012988E-2</v>
      </c>
      <c r="AA112">
        <v>0.34072022160664822</v>
      </c>
      <c r="AC112" t="s">
        <v>261</v>
      </c>
      <c r="AD112" t="str">
        <f>VLOOKUP(AC112,'Reference table'!$J$2:$K$195,2,FALSE)</f>
        <v>Croatia</v>
      </c>
      <c r="AE112">
        <v>9.0123022847100179E-2</v>
      </c>
      <c r="AF112">
        <v>1.5954415954415956E-2</v>
      </c>
    </row>
    <row r="113" spans="1:32" x14ac:dyDescent="0.35">
      <c r="A113" t="s">
        <v>440</v>
      </c>
      <c r="B113">
        <v>92</v>
      </c>
      <c r="E113" t="s">
        <v>171</v>
      </c>
      <c r="F113">
        <v>500</v>
      </c>
      <c r="J113" t="str">
        <f>'Processed HWF'!B112</f>
        <v>MDV</v>
      </c>
      <c r="K113">
        <f>ROUND('Processed HWF'!D112/10000*'Processed HWF'!J112,0)</f>
        <v>651</v>
      </c>
      <c r="L113">
        <f>ROUND('Processed HWF'!E112/10000*'Processed HWF'!J112,0)</f>
        <v>2519</v>
      </c>
      <c r="M113">
        <f t="shared" si="6"/>
        <v>38</v>
      </c>
      <c r="N113">
        <f t="shared" si="7"/>
        <v>10</v>
      </c>
      <c r="O113">
        <f t="shared" si="8"/>
        <v>5.8371735791090631E-2</v>
      </c>
      <c r="P113">
        <f t="shared" si="9"/>
        <v>3.9698292973402143E-3</v>
      </c>
      <c r="Q113" t="str">
        <f t="shared" si="10"/>
        <v>Less than 0.1</v>
      </c>
      <c r="R113" t="str">
        <f t="shared" si="11"/>
        <v>Less than 0.1</v>
      </c>
      <c r="X113" t="s">
        <v>249</v>
      </c>
      <c r="Y113" t="str">
        <f>VLOOKUP(X113,'Reference table'!$J$2:$K$195,2,FALSE)</f>
        <v>Chad</v>
      </c>
      <c r="Z113">
        <v>1.2935323383084577E-2</v>
      </c>
      <c r="AA113" t="s">
        <v>915</v>
      </c>
      <c r="AC113" t="s">
        <v>42</v>
      </c>
      <c r="AD113" t="str">
        <f>VLOOKUP(AC113,'Reference table'!$J$2:$K$195,2,FALSE)</f>
        <v>Czech Republic</v>
      </c>
      <c r="AE113">
        <v>4.0143771762327307E-2</v>
      </c>
      <c r="AF113">
        <v>1.5596460719012151E-2</v>
      </c>
    </row>
    <row r="114" spans="1:32" x14ac:dyDescent="0.35">
      <c r="A114" t="s">
        <v>428</v>
      </c>
      <c r="B114">
        <v>91</v>
      </c>
      <c r="E114" t="s">
        <v>342</v>
      </c>
      <c r="F114">
        <v>479</v>
      </c>
      <c r="J114" t="str">
        <f>'Processed HWF'!B113</f>
        <v>MEX</v>
      </c>
      <c r="K114">
        <f>ROUND('Processed HWF'!D113/10000*'Processed HWF'!J113,0)</f>
        <v>311669</v>
      </c>
      <c r="L114">
        <f>ROUND('Processed HWF'!E113/10000*'Processed HWF'!J113,0)</f>
        <v>362835</v>
      </c>
      <c r="M114">
        <f t="shared" si="6"/>
        <v>570</v>
      </c>
      <c r="N114">
        <f t="shared" si="7"/>
        <v>38969</v>
      </c>
      <c r="O114">
        <f t="shared" si="8"/>
        <v>1.8288633133227879E-3</v>
      </c>
      <c r="P114">
        <f t="shared" si="9"/>
        <v>0.10740143591439635</v>
      </c>
      <c r="Q114" t="str">
        <f t="shared" si="10"/>
        <v>Less than 0.1</v>
      </c>
      <c r="R114" t="str">
        <f t="shared" si="11"/>
        <v>Above 0.1</v>
      </c>
      <c r="X114" t="s">
        <v>360</v>
      </c>
      <c r="Y114" t="str">
        <f>VLOOKUP(X114,'Reference table'!$J$2:$K$195,2,FALSE)</f>
        <v>Mali</v>
      </c>
      <c r="Z114">
        <v>1.2682551883166795E-2</v>
      </c>
      <c r="AA114">
        <v>1.6405395552314983E-3</v>
      </c>
      <c r="AC114" t="s">
        <v>61</v>
      </c>
      <c r="AD114" t="str">
        <f>VLOOKUP(AC114,'Reference table'!$J$2:$K$195,2,FALSE)</f>
        <v>Uruguay</v>
      </c>
      <c r="AE114">
        <v>9.1497173494958922E-3</v>
      </c>
      <c r="AF114">
        <v>1.4726278861058987E-2</v>
      </c>
    </row>
    <row r="115" spans="1:32" x14ac:dyDescent="0.35">
      <c r="A115" t="s">
        <v>174</v>
      </c>
      <c r="B115">
        <v>89</v>
      </c>
      <c r="E115" t="s">
        <v>34</v>
      </c>
      <c r="F115">
        <v>468</v>
      </c>
      <c r="J115" t="str">
        <f>'Processed HWF'!B114</f>
        <v>MHL</v>
      </c>
      <c r="K115">
        <f>ROUND('Processed HWF'!D114/10000*'Processed HWF'!J114,0)</f>
        <v>25</v>
      </c>
      <c r="L115">
        <f>ROUND('Processed HWF'!E114/10000*'Processed HWF'!J114,0)</f>
        <v>198</v>
      </c>
      <c r="M115">
        <f t="shared" si="6"/>
        <v>5</v>
      </c>
      <c r="N115">
        <f t="shared" si="7"/>
        <v>111</v>
      </c>
      <c r="O115">
        <f t="shared" si="8"/>
        <v>0.2</v>
      </c>
      <c r="P115">
        <f t="shared" si="9"/>
        <v>0.56060606060606055</v>
      </c>
      <c r="Q115" t="str">
        <f t="shared" si="10"/>
        <v>Above 0.1</v>
      </c>
      <c r="R115" t="str">
        <f t="shared" si="11"/>
        <v>Above 0.1</v>
      </c>
      <c r="X115" t="s">
        <v>467</v>
      </c>
      <c r="Y115" t="str">
        <f>VLOOKUP(X115,'Reference table'!$J$2:$K$195,2,FALSE)</f>
        <v>Uzbekistan</v>
      </c>
      <c r="Z115">
        <v>1.249842826606312E-2</v>
      </c>
      <c r="AA115">
        <v>4.2446784520482643E-3</v>
      </c>
      <c r="AC115" t="s">
        <v>395</v>
      </c>
      <c r="AD115" t="str">
        <f>VLOOKUP(AC115,'Reference table'!$J$2:$K$195,2,FALSE)</f>
        <v>Paraguay</v>
      </c>
      <c r="AE115">
        <v>5.0266666666666668E-2</v>
      </c>
      <c r="AF115">
        <v>1.472381131013786E-2</v>
      </c>
    </row>
    <row r="116" spans="1:32" x14ac:dyDescent="0.35">
      <c r="A116" t="s">
        <v>168</v>
      </c>
      <c r="B116">
        <v>89</v>
      </c>
      <c r="E116" t="s">
        <v>366</v>
      </c>
      <c r="F116">
        <v>451</v>
      </c>
      <c r="J116" t="str">
        <f>'Processed HWF'!B115</f>
        <v>MKD</v>
      </c>
      <c r="K116">
        <f>ROUND('Processed HWF'!D115/10000*'Processed HWF'!J115,0)</f>
        <v>5987</v>
      </c>
      <c r="L116">
        <f>ROUND('Processed HWF'!E115/10000*'Processed HWF'!J115,0)</f>
        <v>7899</v>
      </c>
      <c r="M116">
        <f t="shared" si="6"/>
        <v>534</v>
      </c>
      <c r="N116">
        <f t="shared" si="7"/>
        <v>106</v>
      </c>
      <c r="O116">
        <f t="shared" si="8"/>
        <v>8.9193252046099888E-2</v>
      </c>
      <c r="P116">
        <f t="shared" si="9"/>
        <v>1.3419420179769591E-2</v>
      </c>
      <c r="Q116" t="str">
        <f t="shared" si="10"/>
        <v>Less than 0.1</v>
      </c>
      <c r="R116" t="str">
        <f t="shared" si="11"/>
        <v>Less than 0.1</v>
      </c>
      <c r="X116" t="s">
        <v>117</v>
      </c>
      <c r="Y116" t="str">
        <f>VLOOKUP(X116,'Reference table'!$J$2:$K$195,2,FALSE)</f>
        <v>Iran, Islamic Republic of</v>
      </c>
      <c r="Z116">
        <v>1.2037962413303377E-2</v>
      </c>
      <c r="AA116">
        <v>4.2757213640338097E-2</v>
      </c>
      <c r="AC116" t="s">
        <v>354</v>
      </c>
      <c r="AD116" t="str">
        <f>VLOOKUP(AC116,'Reference table'!$J$2:$K$195,2,FALSE)</f>
        <v>Malawi</v>
      </c>
      <c r="AE116">
        <v>3.3333333333333333E-2</v>
      </c>
      <c r="AF116">
        <v>1.4280456385719544E-2</v>
      </c>
    </row>
    <row r="117" spans="1:32" x14ac:dyDescent="0.35">
      <c r="A117" t="s">
        <v>96</v>
      </c>
      <c r="B117">
        <v>79</v>
      </c>
      <c r="E117" t="s">
        <v>144</v>
      </c>
      <c r="F117">
        <v>442</v>
      </c>
      <c r="J117" t="str">
        <f>'Processed HWF'!B116</f>
        <v>MLI</v>
      </c>
      <c r="K117">
        <f>ROUND('Processed HWF'!D116/10000*'Processed HWF'!J116,0)</f>
        <v>2602</v>
      </c>
      <c r="L117">
        <f>ROUND('Processed HWF'!E116/10000*'Processed HWF'!J116,0)</f>
        <v>5486</v>
      </c>
      <c r="M117">
        <f t="shared" si="6"/>
        <v>33</v>
      </c>
      <c r="N117">
        <f t="shared" si="7"/>
        <v>9</v>
      </c>
      <c r="O117">
        <f t="shared" si="8"/>
        <v>1.2682551883166795E-2</v>
      </c>
      <c r="P117">
        <f t="shared" si="9"/>
        <v>1.6405395552314983E-3</v>
      </c>
      <c r="Q117" t="str">
        <f t="shared" si="10"/>
        <v>Less than 0.1</v>
      </c>
      <c r="R117" t="str">
        <f t="shared" si="11"/>
        <v>Less than 0.1</v>
      </c>
      <c r="X117" t="s">
        <v>274</v>
      </c>
      <c r="Y117" t="str">
        <f>VLOOKUP(X117,'Reference table'!$J$2:$K$195,2,FALSE)</f>
        <v>Ecuador</v>
      </c>
      <c r="Z117">
        <v>1.1575907801599674E-2</v>
      </c>
      <c r="AA117">
        <v>0.11638858074302144</v>
      </c>
      <c r="AC117" t="s">
        <v>181</v>
      </c>
      <c r="AD117" t="str">
        <f>VLOOKUP(AC117,'Reference table'!$J$2:$K$195,2,FALSE)</f>
        <v>Malaysia</v>
      </c>
      <c r="AE117">
        <v>4.0056837404425201E-3</v>
      </c>
      <c r="AF117">
        <v>1.3572377158034528E-2</v>
      </c>
    </row>
    <row r="118" spans="1:32" x14ac:dyDescent="0.35">
      <c r="A118" t="s">
        <v>446</v>
      </c>
      <c r="B118">
        <v>74</v>
      </c>
      <c r="E118" t="s">
        <v>368</v>
      </c>
      <c r="F118">
        <v>431</v>
      </c>
      <c r="J118" t="str">
        <f>'Processed HWF'!B117</f>
        <v>MLT</v>
      </c>
      <c r="K118">
        <f>ROUND('Processed HWF'!D117/10000*'Processed HWF'!J117,0)</f>
        <v>1263</v>
      </c>
      <c r="L118">
        <f>ROUND('Processed HWF'!E117/10000*'Processed HWF'!J117,0)</f>
        <v>3792</v>
      </c>
      <c r="M118">
        <f t="shared" si="6"/>
        <v>295</v>
      </c>
      <c r="N118">
        <f t="shared" si="7"/>
        <v>65</v>
      </c>
      <c r="O118">
        <f t="shared" si="8"/>
        <v>0.23357086302454474</v>
      </c>
      <c r="P118">
        <f t="shared" si="9"/>
        <v>1.7141350210970463E-2</v>
      </c>
      <c r="Q118" t="str">
        <f t="shared" si="10"/>
        <v>Above 0.1</v>
      </c>
      <c r="R118" t="str">
        <f t="shared" si="11"/>
        <v>Less than 0.1</v>
      </c>
      <c r="X118" t="s">
        <v>231</v>
      </c>
      <c r="Y118" t="str">
        <f>VLOOKUP(X118,'Reference table'!$J$2:$K$195,2,FALSE)</f>
        <v>Benin</v>
      </c>
      <c r="Z118">
        <v>1.1479591836734694E-2</v>
      </c>
      <c r="AA118">
        <v>1.4582573824279985E-3</v>
      </c>
      <c r="AC118" t="s">
        <v>416</v>
      </c>
      <c r="AD118" t="str">
        <f>VLOOKUP(AC118,'Reference table'!$J$2:$K$195,2,FALSE)</f>
        <v>Serbia</v>
      </c>
      <c r="AE118">
        <v>0.10375</v>
      </c>
      <c r="AF118">
        <v>1.3428372609129036E-2</v>
      </c>
    </row>
    <row r="119" spans="1:32" x14ac:dyDescent="0.35">
      <c r="A119" t="s">
        <v>476</v>
      </c>
      <c r="B119">
        <v>74</v>
      </c>
      <c r="E119" t="s">
        <v>413</v>
      </c>
      <c r="F119">
        <v>398</v>
      </c>
      <c r="J119" t="str">
        <f>'Processed HWF'!B118</f>
        <v>MMR</v>
      </c>
      <c r="K119">
        <f>ROUND('Processed HWF'!D118/10000*'Processed HWF'!J118,0)</f>
        <v>40128</v>
      </c>
      <c r="L119">
        <f>ROUND('Processed HWF'!E118/10000*'Processed HWF'!J118,0)</f>
        <v>41140</v>
      </c>
      <c r="M119">
        <f t="shared" si="6"/>
        <v>577</v>
      </c>
      <c r="N119">
        <f t="shared" si="7"/>
        <v>956</v>
      </c>
      <c r="O119">
        <f t="shared" si="8"/>
        <v>1.4378987240829345E-2</v>
      </c>
      <c r="P119">
        <f t="shared" si="9"/>
        <v>2.3237724842002917E-2</v>
      </c>
      <c r="Q119" t="str">
        <f t="shared" si="10"/>
        <v>Less than 0.1</v>
      </c>
      <c r="R119" t="str">
        <f t="shared" si="11"/>
        <v>Less than 0.1</v>
      </c>
      <c r="X119" t="s">
        <v>461</v>
      </c>
      <c r="Y119" t="str">
        <f>VLOOKUP(X119,'Reference table'!$J$2:$K$195,2,FALSE)</f>
        <v>Turkey</v>
      </c>
      <c r="Z119">
        <v>1.1124024572472189E-2</v>
      </c>
      <c r="AA119">
        <v>7.417612586979744E-3</v>
      </c>
      <c r="AC119" t="s">
        <v>386</v>
      </c>
      <c r="AD119" t="str">
        <f>VLOOKUP(AC119,'Reference table'!$J$2:$K$195,2,FALSE)</f>
        <v>The former Yugoslav Republic of Macedonia</v>
      </c>
      <c r="AE119">
        <v>8.9193252046099888E-2</v>
      </c>
      <c r="AF119">
        <v>1.3419420179769591E-2</v>
      </c>
    </row>
    <row r="120" spans="1:32" x14ac:dyDescent="0.35">
      <c r="A120" t="s">
        <v>183</v>
      </c>
      <c r="B120">
        <v>73</v>
      </c>
      <c r="E120" t="s">
        <v>292</v>
      </c>
      <c r="F120">
        <v>388</v>
      </c>
      <c r="J120" t="str">
        <f>'Processed HWF'!B119</f>
        <v>MNE</v>
      </c>
      <c r="K120">
        <f>ROUND('Processed HWF'!D119/10000*'Processed HWF'!J119,0)</f>
        <v>1721</v>
      </c>
      <c r="L120">
        <f>ROUND('Processed HWF'!E119/10000*'Processed HWF'!J119,0)</f>
        <v>3118</v>
      </c>
      <c r="M120">
        <f t="shared" si="6"/>
        <v>70</v>
      </c>
      <c r="N120">
        <f t="shared" si="7"/>
        <v>240</v>
      </c>
      <c r="O120">
        <f t="shared" si="8"/>
        <v>4.0674026728646138E-2</v>
      </c>
      <c r="P120">
        <f t="shared" si="9"/>
        <v>7.6972418216805644E-2</v>
      </c>
      <c r="Q120" t="str">
        <f t="shared" si="10"/>
        <v>Less than 0.1</v>
      </c>
      <c r="R120" t="str">
        <f t="shared" si="11"/>
        <v>Less than 0.1</v>
      </c>
      <c r="X120" t="s">
        <v>518</v>
      </c>
      <c r="Y120" t="str">
        <f>VLOOKUP(X120,'Reference table'!$J$2:$K$195,2,FALSE)</f>
        <v>Switzerland</v>
      </c>
      <c r="Z120">
        <v>1.068291524887236E-2</v>
      </c>
      <c r="AA120">
        <v>7.0711237736724719E-3</v>
      </c>
      <c r="AC120" t="s">
        <v>485</v>
      </c>
      <c r="AD120" t="str">
        <f>VLOOKUP(AC120,'Reference table'!$J$2:$K$195,2,FALSE)</f>
        <v>Saint Kitts and Nevis</v>
      </c>
      <c r="AE120">
        <v>0.10204081632653061</v>
      </c>
      <c r="AF120">
        <v>1.3392857142857142E-2</v>
      </c>
    </row>
    <row r="121" spans="1:32" x14ac:dyDescent="0.35">
      <c r="A121" t="s">
        <v>425</v>
      </c>
      <c r="B121">
        <v>71</v>
      </c>
      <c r="E121" t="s">
        <v>61</v>
      </c>
      <c r="F121">
        <v>361</v>
      </c>
      <c r="J121" t="str">
        <f>'Processed HWF'!B120</f>
        <v>MNG</v>
      </c>
      <c r="K121">
        <f>ROUND('Processed HWF'!D120/10000*'Processed HWF'!J120,0)</f>
        <v>12627</v>
      </c>
      <c r="L121">
        <f>ROUND('Processed HWF'!E120/10000*'Processed HWF'!J120,0)</f>
        <v>12765</v>
      </c>
      <c r="M121">
        <f t="shared" si="6"/>
        <v>73</v>
      </c>
      <c r="N121">
        <f t="shared" si="7"/>
        <v>7</v>
      </c>
      <c r="O121">
        <f t="shared" si="8"/>
        <v>5.7812623742773423E-3</v>
      </c>
      <c r="P121">
        <f t="shared" si="9"/>
        <v>5.4837446141793968E-4</v>
      </c>
      <c r="Q121" t="str">
        <f t="shared" si="10"/>
        <v>Less than 0.1</v>
      </c>
      <c r="R121" t="str">
        <f t="shared" si="11"/>
        <v>Less than 0.1</v>
      </c>
      <c r="X121" t="s">
        <v>500</v>
      </c>
      <c r="Y121" t="str">
        <f>VLOOKUP(X121,'Reference table'!$J$2:$K$195,2,FALSE)</f>
        <v>Eritrea</v>
      </c>
      <c r="Z121">
        <v>1.0309278350515464E-2</v>
      </c>
      <c r="AA121">
        <v>0.34057971014492755</v>
      </c>
      <c r="AC121" t="s">
        <v>129</v>
      </c>
      <c r="AD121" t="str">
        <f>VLOOKUP(AC121,'Reference table'!$J$2:$K$195,2,FALSE)</f>
        <v>Netherlands</v>
      </c>
      <c r="AE121">
        <v>8.8802592693059974E-3</v>
      </c>
      <c r="AF121">
        <v>1.3086085029538735E-2</v>
      </c>
    </row>
    <row r="122" spans="1:32" x14ac:dyDescent="0.35">
      <c r="A122" t="s">
        <v>185</v>
      </c>
      <c r="B122">
        <v>70</v>
      </c>
      <c r="E122" t="s">
        <v>301</v>
      </c>
      <c r="F122">
        <v>333</v>
      </c>
      <c r="J122" t="str">
        <f>'Processed HWF'!B121</f>
        <v>MOZ</v>
      </c>
      <c r="K122">
        <f>ROUND('Processed HWF'!D121/10000*'Processed HWF'!J121,0)</f>
        <v>2654</v>
      </c>
      <c r="L122">
        <f>ROUND('Processed HWF'!E121/10000*'Processed HWF'!J121,0)</f>
        <v>8818</v>
      </c>
      <c r="M122">
        <f t="shared" si="6"/>
        <v>318</v>
      </c>
      <c r="N122">
        <f t="shared" si="7"/>
        <v>21</v>
      </c>
      <c r="O122">
        <f t="shared" si="8"/>
        <v>0.11981914091936699</v>
      </c>
      <c r="P122">
        <f t="shared" si="9"/>
        <v>2.3814924019051938E-3</v>
      </c>
      <c r="Q122" t="str">
        <f t="shared" si="10"/>
        <v>Above 0.1</v>
      </c>
      <c r="R122" t="str">
        <f t="shared" si="11"/>
        <v>Less than 0.1</v>
      </c>
      <c r="X122" t="s">
        <v>48</v>
      </c>
      <c r="Y122" t="str">
        <f>VLOOKUP(X122,'Reference table'!$J$2:$K$195,2,FALSE)</f>
        <v>Sao Tome and Principe</v>
      </c>
      <c r="Z122">
        <v>9.3457943925233638E-3</v>
      </c>
      <c r="AA122" t="s">
        <v>915</v>
      </c>
      <c r="AC122" t="s">
        <v>464</v>
      </c>
      <c r="AD122" t="str">
        <f>VLOOKUP(AC122,'Reference table'!$J$2:$K$195,2,FALSE)</f>
        <v>Uganda</v>
      </c>
      <c r="AE122">
        <v>8.9526786983089388E-3</v>
      </c>
      <c r="AF122">
        <v>1.257469877172834E-2</v>
      </c>
    </row>
    <row r="123" spans="1:32" x14ac:dyDescent="0.35">
      <c r="A123" t="s">
        <v>27</v>
      </c>
      <c r="B123">
        <v>68</v>
      </c>
      <c r="E123" t="s">
        <v>283</v>
      </c>
      <c r="F123">
        <v>330</v>
      </c>
      <c r="J123" t="str">
        <f>'Processed HWF'!B122</f>
        <v>MRT</v>
      </c>
      <c r="K123">
        <f>ROUND('Processed HWF'!D122/10000*'Processed HWF'!J122,0)</f>
        <v>867</v>
      </c>
      <c r="L123">
        <f>ROUND('Processed HWF'!E122/10000*'Processed HWF'!J122,0)</f>
        <v>3593</v>
      </c>
      <c r="M123">
        <f t="shared" si="6"/>
        <v>1</v>
      </c>
      <c r="N123">
        <f t="shared" si="7"/>
        <v>12</v>
      </c>
      <c r="O123">
        <f t="shared" si="8"/>
        <v>1.1534025374855825E-3</v>
      </c>
      <c r="P123">
        <f t="shared" si="9"/>
        <v>3.3398274422488171E-3</v>
      </c>
      <c r="Q123" t="str">
        <f t="shared" si="10"/>
        <v>Less than 0.1</v>
      </c>
      <c r="R123" t="str">
        <f t="shared" si="11"/>
        <v>Less than 0.1</v>
      </c>
      <c r="X123" t="s">
        <v>61</v>
      </c>
      <c r="Y123" t="str">
        <f>VLOOKUP(X123,'Reference table'!$J$2:$K$195,2,FALSE)</f>
        <v>Uruguay</v>
      </c>
      <c r="Z123">
        <v>9.1497173494958922E-3</v>
      </c>
      <c r="AA123">
        <v>1.4726278861058987E-2</v>
      </c>
      <c r="AC123" t="s">
        <v>228</v>
      </c>
      <c r="AD123" t="str">
        <f>VLOOKUP(AC123,'Reference table'!$J$2:$K$195,2,FALSE)</f>
        <v>Belarus</v>
      </c>
      <c r="AE123">
        <v>3.7753888487279341E-2</v>
      </c>
      <c r="AF123">
        <v>1.2295537437234161E-2</v>
      </c>
    </row>
    <row r="124" spans="1:32" x14ac:dyDescent="0.35">
      <c r="A124" t="s">
        <v>132</v>
      </c>
      <c r="B124">
        <v>68</v>
      </c>
      <c r="E124" t="s">
        <v>110</v>
      </c>
      <c r="F124">
        <v>305</v>
      </c>
      <c r="J124" t="str">
        <f>'Processed HWF'!B123</f>
        <v>MUS</v>
      </c>
      <c r="K124">
        <f>ROUND('Processed HWF'!D123/10000*'Processed HWF'!J123,0)</f>
        <v>3450</v>
      </c>
      <c r="L124">
        <f>ROUND('Processed HWF'!E123/10000*'Processed HWF'!J123,0)</f>
        <v>5004</v>
      </c>
      <c r="M124">
        <f t="shared" si="6"/>
        <v>29</v>
      </c>
      <c r="N124">
        <f t="shared" si="7"/>
        <v>451</v>
      </c>
      <c r="O124">
        <f t="shared" si="8"/>
        <v>8.4057971014492756E-3</v>
      </c>
      <c r="P124">
        <f t="shared" si="9"/>
        <v>9.0127897681854516E-2</v>
      </c>
      <c r="Q124" t="str">
        <f t="shared" si="10"/>
        <v>Less than 0.1</v>
      </c>
      <c r="R124" t="str">
        <f t="shared" si="11"/>
        <v>Less than 0.1</v>
      </c>
      <c r="X124" t="s">
        <v>464</v>
      </c>
      <c r="Y124" t="str">
        <f>VLOOKUP(X124,'Reference table'!$J$2:$K$195,2,FALSE)</f>
        <v>Uganda</v>
      </c>
      <c r="Z124">
        <v>8.9526786983089388E-3</v>
      </c>
      <c r="AA124">
        <v>1.257469877172834E-2</v>
      </c>
      <c r="AC124" t="s">
        <v>12</v>
      </c>
      <c r="AD124" t="str">
        <f>VLOOKUP(AC124,'Reference table'!$J$2:$K$195,2,FALSE)</f>
        <v>Australia</v>
      </c>
      <c r="AE124">
        <v>8.528582146961337E-3</v>
      </c>
      <c r="AF124">
        <v>1.1910304406334305E-2</v>
      </c>
    </row>
    <row r="125" spans="1:32" x14ac:dyDescent="0.35">
      <c r="A125" t="s">
        <v>506</v>
      </c>
      <c r="B125">
        <v>68</v>
      </c>
      <c r="E125" t="s">
        <v>156</v>
      </c>
      <c r="F125">
        <v>293</v>
      </c>
      <c r="J125" t="str">
        <f>'Processed HWF'!B124</f>
        <v>MWI</v>
      </c>
      <c r="K125">
        <f>ROUND('Processed HWF'!D124/10000*'Processed HWF'!J124,0)</f>
        <v>960</v>
      </c>
      <c r="L125">
        <f>ROUND('Processed HWF'!E124/10000*'Processed HWF'!J124,0)</f>
        <v>13585</v>
      </c>
      <c r="M125">
        <f t="shared" si="6"/>
        <v>32</v>
      </c>
      <c r="N125">
        <f t="shared" si="7"/>
        <v>194</v>
      </c>
      <c r="O125">
        <f t="shared" si="8"/>
        <v>3.3333333333333333E-2</v>
      </c>
      <c r="P125">
        <f t="shared" si="9"/>
        <v>1.4280456385719544E-2</v>
      </c>
      <c r="Q125" t="str">
        <f t="shared" si="10"/>
        <v>Less than 0.1</v>
      </c>
      <c r="R125" t="str">
        <f t="shared" si="11"/>
        <v>Less than 0.1</v>
      </c>
      <c r="X125" t="s">
        <v>129</v>
      </c>
      <c r="Y125" t="str">
        <f>VLOOKUP(X125,'Reference table'!$J$2:$K$195,2,FALSE)</f>
        <v>Netherlands</v>
      </c>
      <c r="Z125">
        <v>8.8802592693059974E-3</v>
      </c>
      <c r="AA125">
        <v>1.3086085029538735E-2</v>
      </c>
      <c r="AC125" t="s">
        <v>268</v>
      </c>
      <c r="AD125" t="str">
        <f>VLOOKUP(AC125,'Reference table'!$J$2:$K$195,2,FALSE)</f>
        <v>Cote d'Ivoire</v>
      </c>
      <c r="AE125">
        <v>2.3114639271538642E-2</v>
      </c>
      <c r="AF125">
        <v>1.1336102457597785E-2</v>
      </c>
    </row>
    <row r="126" spans="1:32" x14ac:dyDescent="0.35">
      <c r="A126" t="s">
        <v>65</v>
      </c>
      <c r="B126">
        <v>66</v>
      </c>
      <c r="E126" t="s">
        <v>534</v>
      </c>
      <c r="F126">
        <v>287</v>
      </c>
      <c r="J126" t="str">
        <f>'Processed HWF'!B125</f>
        <v>MYS</v>
      </c>
      <c r="K126">
        <f>ROUND('Processed HWF'!D125/10000*'Processed HWF'!J125,0)</f>
        <v>73895</v>
      </c>
      <c r="L126">
        <f>ROUND('Processed HWF'!E125/10000*'Processed HWF'!J125,0)</f>
        <v>112950</v>
      </c>
      <c r="M126">
        <f t="shared" si="6"/>
        <v>296</v>
      </c>
      <c r="N126">
        <f t="shared" si="7"/>
        <v>1533</v>
      </c>
      <c r="O126">
        <f t="shared" si="8"/>
        <v>4.0056837404425201E-3</v>
      </c>
      <c r="P126">
        <f t="shared" si="9"/>
        <v>1.3572377158034528E-2</v>
      </c>
      <c r="Q126" t="str">
        <f t="shared" si="10"/>
        <v>Less than 0.1</v>
      </c>
      <c r="R126" t="str">
        <f t="shared" si="11"/>
        <v>Less than 0.1</v>
      </c>
      <c r="X126" t="s">
        <v>135</v>
      </c>
      <c r="Y126" t="str">
        <f>VLOOKUP(X126,'Reference table'!$J$2:$K$195,2,FALSE)</f>
        <v>Belgium</v>
      </c>
      <c r="Z126">
        <v>8.5666794527554015E-3</v>
      </c>
      <c r="AA126">
        <v>4.4720303567096472E-3</v>
      </c>
      <c r="AC126" t="s">
        <v>506</v>
      </c>
      <c r="AD126" t="str">
        <f>VLOOKUP(AC126,'Reference table'!$J$2:$K$195,2,FALSE)</f>
        <v>Kuwait</v>
      </c>
      <c r="AE126">
        <v>6.7999999999999996E-3</v>
      </c>
      <c r="AF126">
        <v>1.11E-2</v>
      </c>
    </row>
    <row r="127" spans="1:32" x14ac:dyDescent="0.35">
      <c r="A127" t="s">
        <v>464</v>
      </c>
      <c r="B127">
        <v>63</v>
      </c>
      <c r="E127" t="s">
        <v>443</v>
      </c>
      <c r="F127">
        <v>270</v>
      </c>
      <c r="J127" t="str">
        <f>'Processed HWF'!B126</f>
        <v>NAM</v>
      </c>
      <c r="K127">
        <f>ROUND('Processed HWF'!D126/10000*'Processed HWF'!J126,0)</f>
        <v>1500</v>
      </c>
      <c r="L127">
        <f>ROUND('Processed HWF'!E126/10000*'Processed HWF'!J126,0)</f>
        <v>4965</v>
      </c>
      <c r="M127">
        <f t="shared" si="6"/>
        <v>1</v>
      </c>
      <c r="N127">
        <f t="shared" si="7"/>
        <v>30</v>
      </c>
      <c r="O127">
        <f t="shared" si="8"/>
        <v>6.6666666666666664E-4</v>
      </c>
      <c r="P127">
        <f t="shared" si="9"/>
        <v>6.0422960725075529E-3</v>
      </c>
      <c r="Q127" t="str">
        <f t="shared" si="10"/>
        <v>Less than 0.1</v>
      </c>
      <c r="R127" t="str">
        <f t="shared" si="11"/>
        <v>Less than 0.1</v>
      </c>
      <c r="X127" t="s">
        <v>12</v>
      </c>
      <c r="Y127" t="str">
        <f>VLOOKUP(X127,'Reference table'!$J$2:$K$195,2,FALSE)</f>
        <v>Australia</v>
      </c>
      <c r="Z127">
        <v>8.528582146961337E-3</v>
      </c>
      <c r="AA127">
        <v>1.1910304406334305E-2</v>
      </c>
      <c r="AC127" t="s">
        <v>473</v>
      </c>
      <c r="AD127" t="str">
        <f>VLOOKUP(AC127,'Reference table'!$J$2:$K$195,2,FALSE)</f>
        <v>Yemen</v>
      </c>
      <c r="AE127">
        <v>2.2773666751722377E-2</v>
      </c>
      <c r="AF127">
        <v>1.0547442138525921E-2</v>
      </c>
    </row>
    <row r="128" spans="1:32" x14ac:dyDescent="0.35">
      <c r="A128" t="s">
        <v>541</v>
      </c>
      <c r="B128">
        <v>59</v>
      </c>
      <c r="E128" t="s">
        <v>473</v>
      </c>
      <c r="F128">
        <v>247</v>
      </c>
      <c r="J128" t="str">
        <f>'Processed HWF'!B127</f>
        <v>NER</v>
      </c>
      <c r="K128">
        <f>ROUND('Processed HWF'!D127/10000*'Processed HWF'!J127,0)</f>
        <v>835</v>
      </c>
      <c r="L128">
        <f>ROUND('Processed HWF'!E127/10000*'Processed HWF'!J127,0)</f>
        <v>4438</v>
      </c>
      <c r="M128">
        <f t="shared" si="6"/>
        <v>74</v>
      </c>
      <c r="N128">
        <f t="shared" si="7"/>
        <v>37</v>
      </c>
      <c r="O128">
        <f t="shared" si="8"/>
        <v>8.862275449101796E-2</v>
      </c>
      <c r="P128">
        <f t="shared" si="9"/>
        <v>8.337088778729157E-3</v>
      </c>
      <c r="Q128" t="str">
        <f t="shared" si="10"/>
        <v>Less than 0.1</v>
      </c>
      <c r="R128" t="str">
        <f t="shared" si="11"/>
        <v>Less than 0.1</v>
      </c>
      <c r="X128" t="s">
        <v>366</v>
      </c>
      <c r="Y128" t="str">
        <f>VLOOKUP(X128,'Reference table'!$J$2:$K$195,2,FALSE)</f>
        <v>Mauritius</v>
      </c>
      <c r="Z128">
        <v>8.4057971014492756E-3</v>
      </c>
      <c r="AA128">
        <v>9.0127897681854516E-2</v>
      </c>
      <c r="AC128" t="s">
        <v>222</v>
      </c>
      <c r="AD128" t="str">
        <f>VLOOKUP(AC128,'Reference table'!$J$2:$K$195,2,FALSE)</f>
        <v>Austria</v>
      </c>
      <c r="AE128">
        <v>4.8999454629357724E-2</v>
      </c>
      <c r="AF128">
        <v>9.3800934771110615E-3</v>
      </c>
    </row>
    <row r="129" spans="1:32" x14ac:dyDescent="0.35">
      <c r="A129" t="s">
        <v>34</v>
      </c>
      <c r="B129">
        <v>44</v>
      </c>
      <c r="E129" t="s">
        <v>243</v>
      </c>
      <c r="F129">
        <v>246</v>
      </c>
      <c r="J129" t="str">
        <f>'Processed HWF'!B128</f>
        <v>NGA</v>
      </c>
      <c r="K129">
        <f>ROUND('Processed HWF'!D128/10000*'Processed HWF'!J128,0)</f>
        <v>78399</v>
      </c>
      <c r="L129">
        <f>ROUND('Processed HWF'!E128/10000*'Processed HWF'!J128,0)</f>
        <v>185330</v>
      </c>
      <c r="M129">
        <f t="shared" si="6"/>
        <v>2736</v>
      </c>
      <c r="N129">
        <f t="shared" si="7"/>
        <v>37461</v>
      </c>
      <c r="O129">
        <f t="shared" si="8"/>
        <v>3.4898404316381589E-2</v>
      </c>
      <c r="P129">
        <f t="shared" si="9"/>
        <v>0.20213133329736147</v>
      </c>
      <c r="Q129" t="str">
        <f t="shared" si="10"/>
        <v>Less than 0.1</v>
      </c>
      <c r="R129" t="str">
        <f t="shared" si="11"/>
        <v>Above 0.1</v>
      </c>
      <c r="X129" t="s">
        <v>536</v>
      </c>
      <c r="Y129" t="str">
        <f>VLOOKUP(X129,'Reference table'!$J$2:$K$195,2,FALSE)</f>
        <v>United Kingdom</v>
      </c>
      <c r="Z129">
        <v>8.2211267260196702E-3</v>
      </c>
      <c r="AA129">
        <v>4.1245262225790037E-2</v>
      </c>
      <c r="AC129" t="s">
        <v>446</v>
      </c>
      <c r="AD129" t="str">
        <f>VLOOKUP(AC129,'Reference table'!$J$2:$K$195,2,FALSE)</f>
        <v>Niger</v>
      </c>
      <c r="AE129">
        <v>8.862275449101796E-2</v>
      </c>
      <c r="AF129">
        <v>8.337088778729157E-3</v>
      </c>
    </row>
    <row r="130" spans="1:32" x14ac:dyDescent="0.35">
      <c r="A130" t="s">
        <v>523</v>
      </c>
      <c r="B130">
        <v>43</v>
      </c>
      <c r="E130" t="s">
        <v>185</v>
      </c>
      <c r="F130">
        <v>240</v>
      </c>
      <c r="J130" t="str">
        <f>'Processed HWF'!B129</f>
        <v>NIC</v>
      </c>
      <c r="K130">
        <f>ROUND('Processed HWF'!D129/10000*'Processed HWF'!J129,0)</f>
        <v>11027</v>
      </c>
      <c r="L130">
        <f>ROUND('Processed HWF'!E129/10000*'Processed HWF'!J129,0)</f>
        <v>10284</v>
      </c>
      <c r="M130">
        <f t="shared" si="6"/>
        <v>338</v>
      </c>
      <c r="N130">
        <f t="shared" si="7"/>
        <v>2357</v>
      </c>
      <c r="O130">
        <f t="shared" si="8"/>
        <v>3.0652035911852726E-2</v>
      </c>
      <c r="P130">
        <f t="shared" si="9"/>
        <v>0.22919097627382343</v>
      </c>
      <c r="Q130" t="str">
        <f t="shared" si="10"/>
        <v>Less than 0.1</v>
      </c>
      <c r="R130" t="str">
        <f t="shared" si="11"/>
        <v>Above 0.1</v>
      </c>
      <c r="X130" t="s">
        <v>407</v>
      </c>
      <c r="Y130" t="str">
        <f>VLOOKUP(X130,'Reference table'!$J$2:$K$195,2,FALSE)</f>
        <v>Rwanda</v>
      </c>
      <c r="Z130">
        <v>7.8226857887874843E-3</v>
      </c>
      <c r="AA130">
        <v>4.6728971962616824E-4</v>
      </c>
      <c r="AC130" t="s">
        <v>144</v>
      </c>
      <c r="AD130" t="str">
        <f>VLOOKUP(AC130,'Reference table'!$J$2:$K$195,2,FALSE)</f>
        <v>Denmark</v>
      </c>
      <c r="AE130">
        <v>5.0674295055169599E-3</v>
      </c>
      <c r="AF130">
        <v>7.5020791961573057E-3</v>
      </c>
    </row>
    <row r="131" spans="1:32" x14ac:dyDescent="0.35">
      <c r="A131" t="s">
        <v>489</v>
      </c>
      <c r="B131">
        <v>42</v>
      </c>
      <c r="E131" t="s">
        <v>234</v>
      </c>
      <c r="F131">
        <v>224</v>
      </c>
      <c r="J131" t="str">
        <f>'Processed HWF'!B130</f>
        <v>NIU</v>
      </c>
      <c r="K131">
        <f>ROUND('Processed HWF'!D130/10000*'Processed HWF'!J130,0)</f>
        <v>3</v>
      </c>
      <c r="L131">
        <f>ROUND('Processed HWF'!E130/10000*'Processed HWF'!J130,0)</f>
        <v>20</v>
      </c>
      <c r="M131">
        <f t="shared" si="6"/>
        <v>133</v>
      </c>
      <c r="N131" t="e">
        <f t="shared" si="7"/>
        <v>#N/A</v>
      </c>
      <c r="O131">
        <f t="shared" si="8"/>
        <v>44.333333333333336</v>
      </c>
      <c r="P131" t="str">
        <f t="shared" si="9"/>
        <v>No data</v>
      </c>
      <c r="Q131" t="str">
        <f t="shared" si="10"/>
        <v>Above 0.1</v>
      </c>
      <c r="R131" t="str">
        <f t="shared" si="11"/>
        <v>No data</v>
      </c>
      <c r="X131" t="s">
        <v>205</v>
      </c>
      <c r="Y131" t="str">
        <f>VLOOKUP(X131,'Reference table'!$J$2:$K$195,2,FALSE)</f>
        <v>Andorra</v>
      </c>
      <c r="Z131">
        <v>7.7519379844961239E-3</v>
      </c>
      <c r="AA131" t="s">
        <v>915</v>
      </c>
      <c r="AC131" t="s">
        <v>461</v>
      </c>
      <c r="AD131" t="str">
        <f>VLOOKUP(AC131,'Reference table'!$J$2:$K$195,2,FALSE)</f>
        <v>Turkey</v>
      </c>
      <c r="AE131">
        <v>1.1124024572472189E-2</v>
      </c>
      <c r="AF131">
        <v>7.417612586979744E-3</v>
      </c>
    </row>
    <row r="132" spans="1:32" x14ac:dyDescent="0.35">
      <c r="A132" t="s">
        <v>443</v>
      </c>
      <c r="B132">
        <v>40</v>
      </c>
      <c r="E132" t="s">
        <v>506</v>
      </c>
      <c r="F132">
        <v>222</v>
      </c>
      <c r="J132" t="str">
        <f>'Processed HWF'!B131</f>
        <v>NLD</v>
      </c>
      <c r="K132">
        <f>ROUND('Processed HWF'!D131/10000*'Processed HWF'!J131,0)</f>
        <v>70043</v>
      </c>
      <c r="L132">
        <f>ROUND('Processed HWF'!E131/10000*'Processed HWF'!J131,0)</f>
        <v>199907</v>
      </c>
      <c r="M132">
        <f t="shared" ref="M132:M195" si="12">VLOOKUP(J132,A$3:B$184,2,FALSE)</f>
        <v>622</v>
      </c>
      <c r="N132">
        <f t="shared" ref="N132:N195" si="13">VLOOKUP(J132,E$3:F$171,2,FALSE)</f>
        <v>2616</v>
      </c>
      <c r="O132">
        <f t="shared" ref="O132:O195" si="14">IF(_xlfn.IFNA(M132,0)=0,"No data",M132/K132)</f>
        <v>8.8802592693059974E-3</v>
      </c>
      <c r="P132">
        <f t="shared" ref="P132:P195" si="15">IF(_xlfn.IFNA(N132,0)=0,"No data",N132/L132)</f>
        <v>1.3086085029538735E-2</v>
      </c>
      <c r="Q132" t="str">
        <f t="shared" ref="Q132:Q195" si="16">IF(O132="No data","No data",IF(O132&lt;$Q$1,"Less than "&amp;$Q$1,"Above "&amp;$Q$1))</f>
        <v>Less than 0.1</v>
      </c>
      <c r="R132" t="str">
        <f t="shared" ref="R132:R195" si="17">IF(P132="No data","No data",IF(P132&lt;$Q$1,"Less than "&amp;$Q$1,"Above "&amp;$Q$1))</f>
        <v>Less than 0.1</v>
      </c>
      <c r="X132" t="s">
        <v>71</v>
      </c>
      <c r="Y132" t="str">
        <f>VLOOKUP(X132,'Reference table'!$J$2:$K$195,2,FALSE)</f>
        <v>Germany</v>
      </c>
      <c r="Z132">
        <v>7.7337001434758853E-3</v>
      </c>
      <c r="AA132">
        <v>2.4396341751543243E-2</v>
      </c>
      <c r="AC132" t="s">
        <v>518</v>
      </c>
      <c r="AD132" t="str">
        <f>VLOOKUP(AC132,'Reference table'!$J$2:$K$195,2,FALSE)</f>
        <v>Switzerland</v>
      </c>
      <c r="AE132">
        <v>1.068291524887236E-2</v>
      </c>
      <c r="AF132">
        <v>7.0711237736724719E-3</v>
      </c>
    </row>
    <row r="133" spans="1:32" x14ac:dyDescent="0.35">
      <c r="A133" t="s">
        <v>310</v>
      </c>
      <c r="B133">
        <v>40</v>
      </c>
      <c r="E133" t="s">
        <v>316</v>
      </c>
      <c r="F133">
        <v>197</v>
      </c>
      <c r="J133" t="str">
        <f>'Processed HWF'!B132</f>
        <v>NOR</v>
      </c>
      <c r="K133">
        <f>ROUND('Processed HWF'!D132/10000*'Processed HWF'!J132,0)</f>
        <v>27361</v>
      </c>
      <c r="L133">
        <f>ROUND('Processed HWF'!E132/10000*'Processed HWF'!J132,0)</f>
        <v>96900</v>
      </c>
      <c r="M133">
        <f t="shared" si="12"/>
        <v>96</v>
      </c>
      <c r="N133">
        <f t="shared" si="13"/>
        <v>293</v>
      </c>
      <c r="O133">
        <f t="shared" si="14"/>
        <v>3.508643689923614E-3</v>
      </c>
      <c r="P133">
        <f t="shared" si="15"/>
        <v>3.0237358101135193E-3</v>
      </c>
      <c r="Q133" t="str">
        <f t="shared" si="16"/>
        <v>Less than 0.1</v>
      </c>
      <c r="R133" t="str">
        <f t="shared" si="17"/>
        <v>Less than 0.1</v>
      </c>
      <c r="X133" t="s">
        <v>10</v>
      </c>
      <c r="Y133" t="str">
        <f>VLOOKUP(X133,'Reference table'!$J$2:$K$195,2,FALSE)</f>
        <v>Argentina</v>
      </c>
      <c r="Z133">
        <v>7.1515006159447942E-3</v>
      </c>
      <c r="AA133">
        <v>2.3539416617059272E-2</v>
      </c>
      <c r="AC133" t="s">
        <v>127</v>
      </c>
      <c r="AD133" t="str">
        <f>VLOOKUP(AC133,'Reference table'!$J$2:$K$195,2,FALSE)</f>
        <v>Japan</v>
      </c>
      <c r="AE133">
        <v>8.5639879531113701E-4</v>
      </c>
      <c r="AF133">
        <v>6.4301106046531723E-3</v>
      </c>
    </row>
    <row r="134" spans="1:32" x14ac:dyDescent="0.35">
      <c r="A134" t="s">
        <v>357</v>
      </c>
      <c r="B134">
        <v>38</v>
      </c>
      <c r="E134" t="s">
        <v>354</v>
      </c>
      <c r="F134">
        <v>194</v>
      </c>
      <c r="J134" t="str">
        <f>'Processed HWF'!B133</f>
        <v>NPL</v>
      </c>
      <c r="K134">
        <f>ROUND('Processed HWF'!D133/10000*'Processed HWF'!J133,0)</f>
        <v>24845</v>
      </c>
      <c r="L134">
        <f>ROUND('Processed HWF'!E133/10000*'Processed HWF'!J133,0)</f>
        <v>62154</v>
      </c>
      <c r="M134">
        <f t="shared" si="12"/>
        <v>354</v>
      </c>
      <c r="N134">
        <f t="shared" si="13"/>
        <v>2073</v>
      </c>
      <c r="O134">
        <f t="shared" si="14"/>
        <v>1.4248339706178306E-2</v>
      </c>
      <c r="P134">
        <f t="shared" si="15"/>
        <v>3.3352640216237087E-2</v>
      </c>
      <c r="Q134" t="str">
        <f t="shared" si="16"/>
        <v>Less than 0.1</v>
      </c>
      <c r="R134" t="str">
        <f t="shared" si="17"/>
        <v>Less than 0.1</v>
      </c>
      <c r="X134" t="s">
        <v>506</v>
      </c>
      <c r="Y134" t="str">
        <f>VLOOKUP(X134,'Reference table'!$J$2:$K$195,2,FALSE)</f>
        <v>Kuwait</v>
      </c>
      <c r="Z134">
        <v>6.7999999999999996E-3</v>
      </c>
      <c r="AA134">
        <v>1.11E-2</v>
      </c>
      <c r="AC134" t="s">
        <v>86</v>
      </c>
      <c r="AD134" t="str">
        <f>VLOOKUP(AC134,'Reference table'!$J$2:$K$195,2,FALSE)</f>
        <v>France</v>
      </c>
      <c r="AE134">
        <v>5.641603787265693E-3</v>
      </c>
      <c r="AF134">
        <v>6.4036682741718714E-3</v>
      </c>
    </row>
    <row r="135" spans="1:32" x14ac:dyDescent="0.35">
      <c r="A135" t="s">
        <v>525</v>
      </c>
      <c r="B135">
        <v>36</v>
      </c>
      <c r="E135" t="s">
        <v>509</v>
      </c>
      <c r="F135">
        <v>169</v>
      </c>
      <c r="J135" t="str">
        <f>'Processed HWF'!B134</f>
        <v>NRU</v>
      </c>
      <c r="K135">
        <f>ROUND('Processed HWF'!D134/10000*'Processed HWF'!J134,0)</f>
        <v>15</v>
      </c>
      <c r="L135">
        <f>ROUND('Processed HWF'!E134/10000*'Processed HWF'!J134,0)</f>
        <v>85</v>
      </c>
      <c r="M135">
        <f t="shared" si="12"/>
        <v>1</v>
      </c>
      <c r="N135" t="e">
        <f t="shared" si="13"/>
        <v>#N/A</v>
      </c>
      <c r="O135">
        <f t="shared" si="14"/>
        <v>6.6666666666666666E-2</v>
      </c>
      <c r="P135" t="str">
        <f t="shared" si="15"/>
        <v>No data</v>
      </c>
      <c r="Q135" t="str">
        <f t="shared" si="16"/>
        <v>Less than 0.1</v>
      </c>
      <c r="R135" t="str">
        <f t="shared" si="17"/>
        <v>No data</v>
      </c>
      <c r="X135" t="s">
        <v>193</v>
      </c>
      <c r="Y135" t="str">
        <f>VLOOKUP(X135,'Reference table'!$J$2:$K$195,2,FALSE)</f>
        <v>Bangladesh</v>
      </c>
      <c r="Z135">
        <v>6.7841739082859934E-3</v>
      </c>
      <c r="AA135">
        <v>1.916316364234745E-2</v>
      </c>
      <c r="AC135" t="s">
        <v>289</v>
      </c>
      <c r="AD135" t="str">
        <f>VLOOKUP(AC135,'Reference table'!$J$2:$K$195,2,FALSE)</f>
        <v>Finland</v>
      </c>
      <c r="AE135">
        <v>3.6171288553537395E-3</v>
      </c>
      <c r="AF135">
        <v>6.3762685938695014E-3</v>
      </c>
    </row>
    <row r="136" spans="1:32" x14ac:dyDescent="0.35">
      <c r="A136" t="s">
        <v>360</v>
      </c>
      <c r="B136">
        <v>33</v>
      </c>
      <c r="E136" t="s">
        <v>395</v>
      </c>
      <c r="F136">
        <v>157</v>
      </c>
      <c r="J136" t="str">
        <f>'Processed HWF'!B135</f>
        <v>NZL</v>
      </c>
      <c r="K136">
        <f>ROUND('Processed HWF'!D135/10000*'Processed HWF'!J135,0)</f>
        <v>17448</v>
      </c>
      <c r="L136">
        <f>ROUND('Processed HWF'!E135/10000*'Processed HWF'!J135,0)</f>
        <v>53933</v>
      </c>
      <c r="M136">
        <f t="shared" si="12"/>
        <v>845</v>
      </c>
      <c r="N136">
        <f t="shared" si="13"/>
        <v>2513</v>
      </c>
      <c r="O136">
        <f t="shared" si="14"/>
        <v>4.8429619440623566E-2</v>
      </c>
      <c r="P136">
        <f t="shared" si="15"/>
        <v>4.6594849164704355E-2</v>
      </c>
      <c r="Q136" t="str">
        <f t="shared" si="16"/>
        <v>Less than 0.1</v>
      </c>
      <c r="R136" t="str">
        <f t="shared" si="17"/>
        <v>Less than 0.1</v>
      </c>
      <c r="X136" t="s">
        <v>301</v>
      </c>
      <c r="Y136" t="str">
        <f>VLOOKUP(X136,'Reference table'!$J$2:$K$195,2,FALSE)</f>
        <v>Guinea</v>
      </c>
      <c r="Z136">
        <v>6.7750677506775072E-3</v>
      </c>
      <c r="AA136">
        <v>4.3700787401574806E-2</v>
      </c>
      <c r="AC136" t="s">
        <v>165</v>
      </c>
      <c r="AD136" t="str">
        <f>VLOOKUP(AC136,'Reference table'!$J$2:$K$195,2,FALSE)</f>
        <v>Sweden</v>
      </c>
      <c r="AE136">
        <v>2.949113874746126E-3</v>
      </c>
      <c r="AF136">
        <v>6.0703589468508335E-3</v>
      </c>
    </row>
    <row r="137" spans="1:32" x14ac:dyDescent="0.35">
      <c r="A137" t="s">
        <v>354</v>
      </c>
      <c r="B137">
        <v>32</v>
      </c>
      <c r="E137" t="s">
        <v>449</v>
      </c>
      <c r="F137">
        <v>138</v>
      </c>
      <c r="J137" t="str">
        <f>'Processed HWF'!B136</f>
        <v>OMN</v>
      </c>
      <c r="K137">
        <f>ROUND('Processed HWF'!D136/10000*'Processed HWF'!J136,0)</f>
        <v>9058</v>
      </c>
      <c r="L137">
        <f>ROUND('Processed HWF'!E136/10000*'Processed HWF'!J136,0)</f>
        <v>18894</v>
      </c>
      <c r="M137">
        <f t="shared" si="12"/>
        <v>14</v>
      </c>
      <c r="N137">
        <f t="shared" si="13"/>
        <v>18</v>
      </c>
      <c r="O137">
        <f t="shared" si="14"/>
        <v>1.5455950540958269E-3</v>
      </c>
      <c r="P137">
        <f t="shared" si="15"/>
        <v>9.5268339155287396E-4</v>
      </c>
      <c r="Q137" t="str">
        <f t="shared" si="16"/>
        <v>Less than 0.1</v>
      </c>
      <c r="R137" t="str">
        <f t="shared" si="17"/>
        <v>Less than 0.1</v>
      </c>
      <c r="X137" t="s">
        <v>107</v>
      </c>
      <c r="Y137" t="str">
        <f>VLOOKUP(X137,'Reference table'!$J$2:$K$195,2,FALSE)</f>
        <v>Papua New Guinea</v>
      </c>
      <c r="Z137">
        <v>6.7681895093062603E-3</v>
      </c>
      <c r="AA137" t="s">
        <v>915</v>
      </c>
      <c r="AC137" t="s">
        <v>374</v>
      </c>
      <c r="AD137" t="str">
        <f>VLOOKUP(AC137,'Reference table'!$J$2:$K$195,2,FALSE)</f>
        <v>Namibia</v>
      </c>
      <c r="AE137">
        <v>6.6666666666666664E-4</v>
      </c>
      <c r="AF137">
        <v>6.0422960725075529E-3</v>
      </c>
    </row>
    <row r="138" spans="1:32" x14ac:dyDescent="0.35">
      <c r="A138" t="s">
        <v>366</v>
      </c>
      <c r="B138">
        <v>29</v>
      </c>
      <c r="E138" t="s">
        <v>268</v>
      </c>
      <c r="F138">
        <v>131</v>
      </c>
      <c r="J138" t="str">
        <f>'Processed HWF'!B137</f>
        <v>PAK</v>
      </c>
      <c r="K138">
        <f>ROUND('Processed HWF'!D137/10000*'Processed HWF'!J137,0)</f>
        <v>246442</v>
      </c>
      <c r="L138">
        <f>ROUND('Processed HWF'!E137/10000*'Processed HWF'!J137,0)</f>
        <v>90160</v>
      </c>
      <c r="M138">
        <f t="shared" si="12"/>
        <v>6464</v>
      </c>
      <c r="N138">
        <f t="shared" si="13"/>
        <v>6136</v>
      </c>
      <c r="O138">
        <f t="shared" si="14"/>
        <v>2.6229295331152969E-2</v>
      </c>
      <c r="P138">
        <f t="shared" si="15"/>
        <v>6.8056787932564325E-2</v>
      </c>
      <c r="Q138" t="str">
        <f t="shared" si="16"/>
        <v>Less than 0.1</v>
      </c>
      <c r="R138" t="str">
        <f t="shared" si="17"/>
        <v>Less than 0.1</v>
      </c>
      <c r="X138" t="s">
        <v>298</v>
      </c>
      <c r="Y138" t="str">
        <f>VLOOKUP(X138,'Reference table'!$J$2:$K$195,2,FALSE)</f>
        <v>Guatemala</v>
      </c>
      <c r="Z138">
        <v>6.6978333183493662E-3</v>
      </c>
      <c r="AA138">
        <v>9.7753173237575125E-2</v>
      </c>
      <c r="AC138" t="s">
        <v>7</v>
      </c>
      <c r="AD138" t="str">
        <f>VLOOKUP(AC138,'Reference table'!$J$2:$K$195,2,FALSE)</f>
        <v>Egypt</v>
      </c>
      <c r="AE138">
        <v>5.5143989983305511E-2</v>
      </c>
      <c r="AF138">
        <v>5.5944694383720751E-3</v>
      </c>
    </row>
    <row r="139" spans="1:32" x14ac:dyDescent="0.35">
      <c r="A139" t="s">
        <v>413</v>
      </c>
      <c r="B139">
        <v>27</v>
      </c>
      <c r="E139" t="s">
        <v>147</v>
      </c>
      <c r="F139">
        <v>131</v>
      </c>
      <c r="J139" t="str">
        <f>'Processed HWF'!B138</f>
        <v>PAN</v>
      </c>
      <c r="K139">
        <f>ROUND('Processed HWF'!D138/10000*'Processed HWF'!J138,0)</f>
        <v>7044</v>
      </c>
      <c r="L139">
        <f>ROUND('Processed HWF'!E138/10000*'Processed HWF'!J138,0)</f>
        <v>13831</v>
      </c>
      <c r="M139">
        <f t="shared" si="12"/>
        <v>385</v>
      </c>
      <c r="N139">
        <f t="shared" si="13"/>
        <v>3663</v>
      </c>
      <c r="O139">
        <f t="shared" si="14"/>
        <v>5.4656445201590007E-2</v>
      </c>
      <c r="P139">
        <f t="shared" si="15"/>
        <v>0.26483985250524184</v>
      </c>
      <c r="Q139" t="str">
        <f t="shared" si="16"/>
        <v>Less than 0.1</v>
      </c>
      <c r="R139" t="str">
        <f t="shared" si="17"/>
        <v>Above 0.1</v>
      </c>
      <c r="X139" t="s">
        <v>252</v>
      </c>
      <c r="Y139" t="str">
        <f>VLOOKUP(X139,'Reference table'!$J$2:$K$195,2,FALSE)</f>
        <v>Chile</v>
      </c>
      <c r="Z139">
        <v>6.3788208399395306E-3</v>
      </c>
      <c r="AA139">
        <v>3.0025008508812168E-2</v>
      </c>
      <c r="AC139" t="s">
        <v>322</v>
      </c>
      <c r="AD139" t="str">
        <f>VLOOKUP(AC139,'Reference table'!$J$2:$K$195,2,FALSE)</f>
        <v>Indonesia</v>
      </c>
      <c r="AE139">
        <v>2.4288117053433856E-3</v>
      </c>
      <c r="AF139">
        <v>5.1548739503999947E-3</v>
      </c>
    </row>
    <row r="140" spans="1:32" x14ac:dyDescent="0.35">
      <c r="A140" t="s">
        <v>125</v>
      </c>
      <c r="B140">
        <v>25</v>
      </c>
      <c r="E140" t="s">
        <v>210</v>
      </c>
      <c r="F140">
        <v>111</v>
      </c>
      <c r="J140" t="str">
        <f>'Processed HWF'!B139</f>
        <v>PER</v>
      </c>
      <c r="K140">
        <f>ROUND('Processed HWF'!D139/10000*'Processed HWF'!J139,0)</f>
        <v>45135</v>
      </c>
      <c r="L140">
        <f>ROUND('Processed HWF'!E139/10000*'Processed HWF'!J139,0)</f>
        <v>80418</v>
      </c>
      <c r="M140">
        <f t="shared" si="12"/>
        <v>1129</v>
      </c>
      <c r="N140">
        <f t="shared" si="13"/>
        <v>7585</v>
      </c>
      <c r="O140">
        <f t="shared" si="14"/>
        <v>2.5013847346848344E-2</v>
      </c>
      <c r="P140">
        <f t="shared" si="15"/>
        <v>9.4319679673704887E-2</v>
      </c>
      <c r="Q140" t="str">
        <f t="shared" si="16"/>
        <v>Less than 0.1</v>
      </c>
      <c r="R140" t="str">
        <f t="shared" si="17"/>
        <v>Less than 0.1</v>
      </c>
      <c r="X140" t="s">
        <v>174</v>
      </c>
      <c r="Y140" t="str">
        <f>VLOOKUP(X140,'Reference table'!$J$2:$K$195,2,FALSE)</f>
        <v>Kyrgyzstan</v>
      </c>
      <c r="Z140">
        <v>6.164288682643025E-3</v>
      </c>
      <c r="AA140">
        <v>5.8678558854594528E-5</v>
      </c>
      <c r="AC140" t="s">
        <v>534</v>
      </c>
      <c r="AD140" t="str">
        <f>VLOOKUP(AC140,'Reference table'!$J$2:$K$195,2,FALSE)</f>
        <v>United Arab Emirates</v>
      </c>
      <c r="AE140">
        <v>5.0532535178418724E-3</v>
      </c>
      <c r="AF140">
        <v>5.0500607063046574E-3</v>
      </c>
    </row>
    <row r="141" spans="1:32" x14ac:dyDescent="0.35">
      <c r="A141" t="s">
        <v>422</v>
      </c>
      <c r="B141">
        <v>25</v>
      </c>
      <c r="E141" t="s">
        <v>386</v>
      </c>
      <c r="F141">
        <v>106</v>
      </c>
      <c r="J141" t="str">
        <f>'Processed HWF'!B140</f>
        <v>PHL</v>
      </c>
      <c r="K141">
        <f>ROUND('Processed HWF'!D140/10000*'Processed HWF'!J140,0)</f>
        <v>84356</v>
      </c>
      <c r="L141">
        <f>ROUND('Processed HWF'!E140/10000*'Processed HWF'!J140,0)</f>
        <v>520225</v>
      </c>
      <c r="M141">
        <f t="shared" si="12"/>
        <v>168</v>
      </c>
      <c r="N141">
        <f t="shared" si="13"/>
        <v>220984</v>
      </c>
      <c r="O141">
        <f t="shared" si="14"/>
        <v>1.9915595808241262E-3</v>
      </c>
      <c r="P141">
        <f t="shared" si="15"/>
        <v>0.42478542938151759</v>
      </c>
      <c r="Q141" t="str">
        <f t="shared" si="16"/>
        <v>Less than 0.1</v>
      </c>
      <c r="R141" t="str">
        <f t="shared" si="17"/>
        <v>Above 0.1</v>
      </c>
      <c r="X141" t="s">
        <v>147</v>
      </c>
      <c r="Y141" t="str">
        <f>VLOOKUP(X141,'Reference table'!$J$2:$K$195,2,FALSE)</f>
        <v>Eswatini</v>
      </c>
      <c r="Z141">
        <v>6.0606060606060606E-3</v>
      </c>
      <c r="AA141">
        <v>4.4909153239629754E-2</v>
      </c>
      <c r="AC141" t="s">
        <v>135</v>
      </c>
      <c r="AD141" t="str">
        <f>VLOOKUP(AC141,'Reference table'!$J$2:$K$195,2,FALSE)</f>
        <v>Belgium</v>
      </c>
      <c r="AE141">
        <v>8.5666794527554015E-3</v>
      </c>
      <c r="AF141">
        <v>4.4720303567096472E-3</v>
      </c>
    </row>
    <row r="142" spans="1:32" x14ac:dyDescent="0.35">
      <c r="A142" t="s">
        <v>437</v>
      </c>
      <c r="B142">
        <v>24</v>
      </c>
      <c r="E142" t="s">
        <v>138</v>
      </c>
      <c r="F142">
        <v>77</v>
      </c>
      <c r="J142" t="str">
        <f>'Processed HWF'!B141</f>
        <v>PLW</v>
      </c>
      <c r="K142">
        <f>ROUND('Processed HWF'!D141/10000*'Processed HWF'!J141,0)</f>
        <v>32</v>
      </c>
      <c r="L142">
        <f>ROUND('Processed HWF'!E141/10000*'Processed HWF'!J141,0)</f>
        <v>115</v>
      </c>
      <c r="M142" t="e">
        <f t="shared" si="12"/>
        <v>#N/A</v>
      </c>
      <c r="N142" t="e">
        <f t="shared" si="13"/>
        <v>#N/A</v>
      </c>
      <c r="O142" t="str">
        <f t="shared" si="14"/>
        <v>No data</v>
      </c>
      <c r="P142" t="str">
        <f t="shared" si="15"/>
        <v>No data</v>
      </c>
      <c r="Q142" t="str">
        <f t="shared" si="16"/>
        <v>No data</v>
      </c>
      <c r="R142" t="str">
        <f t="shared" si="17"/>
        <v>No data</v>
      </c>
      <c r="X142" t="s">
        <v>258</v>
      </c>
      <c r="Y142" t="str">
        <f>VLOOKUP(X142,'Reference table'!$J$2:$K$195,2,FALSE)</f>
        <v>Costa Rica</v>
      </c>
      <c r="Z142">
        <v>6.0072562897757684E-3</v>
      </c>
      <c r="AA142">
        <v>8.8144170195187443E-2</v>
      </c>
      <c r="AC142" t="s">
        <v>196</v>
      </c>
      <c r="AD142" t="str">
        <f>VLOOKUP(AC142,'Reference table'!$J$2:$K$195,2,FALSE)</f>
        <v>China</v>
      </c>
      <c r="AE142">
        <v>3.3779920081196456E-4</v>
      </c>
      <c r="AF142">
        <v>4.3804130579613593E-3</v>
      </c>
    </row>
    <row r="143" spans="1:32" x14ac:dyDescent="0.35">
      <c r="A143" t="s">
        <v>89</v>
      </c>
      <c r="B143">
        <v>22</v>
      </c>
      <c r="E143" t="s">
        <v>150</v>
      </c>
      <c r="F143">
        <v>77</v>
      </c>
      <c r="J143" t="str">
        <f>'Processed HWF'!B142</f>
        <v>PNG</v>
      </c>
      <c r="K143">
        <f>ROUND('Processed HWF'!D142/10000*'Processed HWF'!J142,0)</f>
        <v>591</v>
      </c>
      <c r="L143">
        <f>ROUND('Processed HWF'!E142/10000*'Processed HWF'!J142,0)</f>
        <v>4052</v>
      </c>
      <c r="M143">
        <f t="shared" si="12"/>
        <v>4</v>
      </c>
      <c r="N143" t="e">
        <f t="shared" si="13"/>
        <v>#N/A</v>
      </c>
      <c r="O143">
        <f t="shared" si="14"/>
        <v>6.7681895093062603E-3</v>
      </c>
      <c r="P143" t="str">
        <f t="shared" si="15"/>
        <v>No data</v>
      </c>
      <c r="Q143" t="str">
        <f t="shared" si="16"/>
        <v>Less than 0.1</v>
      </c>
      <c r="R143" t="str">
        <f t="shared" si="17"/>
        <v>No data</v>
      </c>
      <c r="X143" t="s">
        <v>183</v>
      </c>
      <c r="Y143" t="str">
        <f>VLOOKUP(X143,'Reference table'!$J$2:$K$195,2,FALSE)</f>
        <v>Mongolia</v>
      </c>
      <c r="Z143">
        <v>5.7812623742773423E-3</v>
      </c>
      <c r="AA143">
        <v>5.4837446141793968E-4</v>
      </c>
      <c r="AC143" t="s">
        <v>467</v>
      </c>
      <c r="AD143" t="str">
        <f>VLOOKUP(AC143,'Reference table'!$J$2:$K$195,2,FALSE)</f>
        <v>Uzbekistan</v>
      </c>
      <c r="AE143">
        <v>1.249842826606312E-2</v>
      </c>
      <c r="AF143">
        <v>4.2446784520482643E-3</v>
      </c>
    </row>
    <row r="144" spans="1:32" x14ac:dyDescent="0.35">
      <c r="A144" t="s">
        <v>316</v>
      </c>
      <c r="B144">
        <v>21</v>
      </c>
      <c r="E144" t="s">
        <v>363</v>
      </c>
      <c r="F144">
        <v>65</v>
      </c>
      <c r="J144" t="str">
        <f>'Processed HWF'!B143</f>
        <v>POL</v>
      </c>
      <c r="K144">
        <f>ROUND('Processed HWF'!D143/10000*'Processed HWF'!J143,0)</f>
        <v>142888</v>
      </c>
      <c r="L144">
        <f>ROUND('Processed HWF'!E143/10000*'Processed HWF'!J143,0)</f>
        <v>231898</v>
      </c>
      <c r="M144">
        <f t="shared" si="12"/>
        <v>3026</v>
      </c>
      <c r="N144">
        <f t="shared" si="13"/>
        <v>30040</v>
      </c>
      <c r="O144">
        <f t="shared" si="14"/>
        <v>2.1177425676053973E-2</v>
      </c>
      <c r="P144">
        <f t="shared" si="15"/>
        <v>0.12953971142485057</v>
      </c>
      <c r="Q144" t="str">
        <f t="shared" si="16"/>
        <v>Less than 0.1</v>
      </c>
      <c r="R144" t="str">
        <f t="shared" si="17"/>
        <v>Above 0.1</v>
      </c>
      <c r="X144" t="s">
        <v>331</v>
      </c>
      <c r="Y144" t="str">
        <f>VLOOKUP(X144,'Reference table'!$J$2:$K$195,2,FALSE)</f>
        <v>Kazakhstan</v>
      </c>
      <c r="Z144">
        <v>5.6452035416775818E-3</v>
      </c>
      <c r="AA144">
        <v>4.8851368959716972E-2</v>
      </c>
      <c r="AC144" t="s">
        <v>357</v>
      </c>
      <c r="AD144" t="str">
        <f>VLOOKUP(AC144,'Reference table'!$J$2:$K$195,2,FALSE)</f>
        <v>Maldives</v>
      </c>
      <c r="AE144">
        <v>5.8371735791090631E-2</v>
      </c>
      <c r="AF144">
        <v>3.9698292973402143E-3</v>
      </c>
    </row>
    <row r="145" spans="1:32" x14ac:dyDescent="0.35">
      <c r="A145" t="s">
        <v>301</v>
      </c>
      <c r="B145">
        <v>20</v>
      </c>
      <c r="E145" t="s">
        <v>419</v>
      </c>
      <c r="F145">
        <v>63</v>
      </c>
      <c r="J145" t="str">
        <f>'Processed HWF'!B144</f>
        <v>PRK</v>
      </c>
      <c r="K145">
        <f>ROUND('Processed HWF'!D144/10000*'Processed HWF'!J144,0)</f>
        <v>95064</v>
      </c>
      <c r="L145">
        <f>ROUND('Processed HWF'!E144/10000*'Processed HWF'!J144,0)</f>
        <v>106693</v>
      </c>
      <c r="M145">
        <f t="shared" si="12"/>
        <v>127</v>
      </c>
      <c r="N145" t="e">
        <f t="shared" si="13"/>
        <v>#N/A</v>
      </c>
      <c r="O145">
        <f t="shared" si="14"/>
        <v>1.3359421021627534E-3</v>
      </c>
      <c r="P145" t="str">
        <f t="shared" si="15"/>
        <v>No data</v>
      </c>
      <c r="Q145" t="str">
        <f t="shared" si="16"/>
        <v>Less than 0.1</v>
      </c>
      <c r="R145" t="str">
        <f t="shared" si="17"/>
        <v>No data</v>
      </c>
      <c r="X145" t="s">
        <v>86</v>
      </c>
      <c r="Y145" t="str">
        <f>VLOOKUP(X145,'Reference table'!$J$2:$K$195,2,FALSE)</f>
        <v>France</v>
      </c>
      <c r="Z145">
        <v>5.641603787265693E-3</v>
      </c>
      <c r="AA145">
        <v>6.4036682741718714E-3</v>
      </c>
      <c r="AC145" t="s">
        <v>509</v>
      </c>
      <c r="AD145" t="str">
        <f>VLOOKUP(AC145,'Reference table'!$J$2:$K$195,2,FALSE)</f>
        <v>Libyan Arab Jamahiriya</v>
      </c>
      <c r="AE145">
        <v>8.4099136730715673E-2</v>
      </c>
      <c r="AF145">
        <v>3.8596811766318001E-3</v>
      </c>
    </row>
    <row r="146" spans="1:32" x14ac:dyDescent="0.35">
      <c r="A146" t="s">
        <v>307</v>
      </c>
      <c r="B146">
        <v>17</v>
      </c>
      <c r="E146" t="s">
        <v>80</v>
      </c>
      <c r="F146">
        <v>51</v>
      </c>
      <c r="J146" t="str">
        <f>'Processed HWF'!B145</f>
        <v>PRT</v>
      </c>
      <c r="K146">
        <f>ROUND('Processed HWF'!D145/10000*'Processed HWF'!J145,0)</f>
        <v>56059</v>
      </c>
      <c r="L146">
        <f>ROUND('Processed HWF'!E145/10000*'Processed HWF'!J145,0)</f>
        <v>72775</v>
      </c>
      <c r="M146">
        <f t="shared" si="12"/>
        <v>1613</v>
      </c>
      <c r="N146">
        <f t="shared" si="13"/>
        <v>8359</v>
      </c>
      <c r="O146">
        <f t="shared" si="14"/>
        <v>2.8773256747355466E-2</v>
      </c>
      <c r="P146">
        <f t="shared" si="15"/>
        <v>0.1148608725523875</v>
      </c>
      <c r="Q146" t="str">
        <f t="shared" si="16"/>
        <v>Less than 0.1</v>
      </c>
      <c r="R146" t="str">
        <f t="shared" si="17"/>
        <v>Above 0.1</v>
      </c>
      <c r="X146" t="s">
        <v>440</v>
      </c>
      <c r="Y146" t="str">
        <f>VLOOKUP(X146,'Reference table'!$J$2:$K$195,2,FALSE)</f>
        <v>Tajikistan</v>
      </c>
      <c r="Z146">
        <v>5.5984908415992211E-3</v>
      </c>
      <c r="AA146" t="s">
        <v>915</v>
      </c>
      <c r="AC146" t="s">
        <v>27</v>
      </c>
      <c r="AD146" t="str">
        <f>VLOOKUP(AC146,'Reference table'!$J$2:$K$195,2,FALSE)</f>
        <v>Burkina Faso</v>
      </c>
      <c r="AE146">
        <v>6.2442607897153349E-2</v>
      </c>
      <c r="AF146">
        <v>3.6745855409331739E-3</v>
      </c>
    </row>
    <row r="147" spans="1:32" x14ac:dyDescent="0.35">
      <c r="A147" t="s">
        <v>141</v>
      </c>
      <c r="B147">
        <v>16</v>
      </c>
      <c r="E147" t="s">
        <v>339</v>
      </c>
      <c r="F147">
        <v>44</v>
      </c>
      <c r="J147" t="str">
        <f>'Processed HWF'!B146</f>
        <v>PRY</v>
      </c>
      <c r="K147">
        <f>ROUND('Processed HWF'!D146/10000*'Processed HWF'!J146,0)</f>
        <v>7500</v>
      </c>
      <c r="L147">
        <f>ROUND('Processed HWF'!E146/10000*'Processed HWF'!J146,0)</f>
        <v>10663</v>
      </c>
      <c r="M147">
        <f t="shared" si="12"/>
        <v>377</v>
      </c>
      <c r="N147">
        <f t="shared" si="13"/>
        <v>157</v>
      </c>
      <c r="O147">
        <f t="shared" si="14"/>
        <v>5.0266666666666668E-2</v>
      </c>
      <c r="P147">
        <f t="shared" si="15"/>
        <v>1.472381131013786E-2</v>
      </c>
      <c r="Q147" t="str">
        <f t="shared" si="16"/>
        <v>Less than 0.1</v>
      </c>
      <c r="R147" t="str">
        <f t="shared" si="17"/>
        <v>Less than 0.1</v>
      </c>
      <c r="X147" t="s">
        <v>65</v>
      </c>
      <c r="Y147" t="str">
        <f>VLOOKUP(X147,'Reference table'!$J$2:$K$195,2,FALSE)</f>
        <v>Ethiopia</v>
      </c>
      <c r="Z147">
        <v>5.4231717337715696E-3</v>
      </c>
      <c r="AA147">
        <v>8.9252456949657596E-2</v>
      </c>
      <c r="AC147" t="s">
        <v>83</v>
      </c>
      <c r="AD147" t="str">
        <f>VLOOKUP(AC147,'Reference table'!$J$2:$K$195,2,FALSE)</f>
        <v>Brazil</v>
      </c>
      <c r="AE147">
        <v>1.0035357842947668E-3</v>
      </c>
      <c r="AF147">
        <v>3.4655579592801707E-3</v>
      </c>
    </row>
    <row r="148" spans="1:32" x14ac:dyDescent="0.35">
      <c r="A148" t="s">
        <v>485</v>
      </c>
      <c r="B148">
        <v>15</v>
      </c>
      <c r="E148" t="s">
        <v>27</v>
      </c>
      <c r="F148">
        <v>43</v>
      </c>
      <c r="J148" t="str">
        <f>'Processed HWF'!B147</f>
        <v>QAT</v>
      </c>
      <c r="K148">
        <f>ROUND('Processed HWF'!D147/10000*'Processed HWF'!J147,0)</f>
        <v>7160</v>
      </c>
      <c r="L148">
        <f>ROUND('Processed HWF'!E147/10000*'Processed HWF'!J147,0)</f>
        <v>20416</v>
      </c>
      <c r="M148">
        <f t="shared" si="12"/>
        <v>2</v>
      </c>
      <c r="N148">
        <f t="shared" si="13"/>
        <v>4</v>
      </c>
      <c r="O148">
        <f t="shared" si="14"/>
        <v>2.7932960893854746E-4</v>
      </c>
      <c r="P148">
        <f t="shared" si="15"/>
        <v>1.9592476489028212E-4</v>
      </c>
      <c r="Q148" t="str">
        <f t="shared" si="16"/>
        <v>Less than 0.1</v>
      </c>
      <c r="R148" t="str">
        <f t="shared" si="17"/>
        <v>Less than 0.1</v>
      </c>
      <c r="X148" t="s">
        <v>144</v>
      </c>
      <c r="Y148" t="str">
        <f>VLOOKUP(X148,'Reference table'!$J$2:$K$195,2,FALSE)</f>
        <v>Denmark</v>
      </c>
      <c r="Z148">
        <v>5.0674295055169599E-3</v>
      </c>
      <c r="AA148">
        <v>7.5020791961573057E-3</v>
      </c>
      <c r="AC148" t="s">
        <v>120</v>
      </c>
      <c r="AD148" t="str">
        <f>VLOOKUP(AC148,'Reference table'!$J$2:$K$195,2,FALSE)</f>
        <v>Mauritania</v>
      </c>
      <c r="AE148">
        <v>1.1534025374855825E-3</v>
      </c>
      <c r="AF148">
        <v>3.3398274422488171E-3</v>
      </c>
    </row>
    <row r="149" spans="1:32" x14ac:dyDescent="0.35">
      <c r="A149" t="s">
        <v>515</v>
      </c>
      <c r="B149">
        <v>14</v>
      </c>
      <c r="E149" t="s">
        <v>446</v>
      </c>
      <c r="F149">
        <v>37</v>
      </c>
      <c r="J149" t="str">
        <f>'Processed HWF'!B148</f>
        <v>ROU</v>
      </c>
      <c r="K149">
        <f>ROUND('Processed HWF'!D148/10000*'Processed HWF'!J148,0)</f>
        <v>57208</v>
      </c>
      <c r="L149">
        <f>ROUND('Processed HWF'!E148/10000*'Processed HWF'!J148,0)</f>
        <v>138493</v>
      </c>
      <c r="M149">
        <f t="shared" si="12"/>
        <v>9462</v>
      </c>
      <c r="N149">
        <f t="shared" si="13"/>
        <v>13067</v>
      </c>
      <c r="O149">
        <f t="shared" si="14"/>
        <v>0.16539644804922388</v>
      </c>
      <c r="P149">
        <f t="shared" si="15"/>
        <v>9.4351339056847644E-2</v>
      </c>
      <c r="Q149" t="str">
        <f t="shared" si="16"/>
        <v>Above 0.1</v>
      </c>
      <c r="R149" t="str">
        <f t="shared" si="17"/>
        <v>Less than 0.1</v>
      </c>
      <c r="X149" t="s">
        <v>534</v>
      </c>
      <c r="Y149" t="str">
        <f>VLOOKUP(X149,'Reference table'!$J$2:$K$195,2,FALSE)</f>
        <v>United Arab Emirates</v>
      </c>
      <c r="Z149">
        <v>5.0532535178418724E-3</v>
      </c>
      <c r="AA149">
        <v>5.0500607063046574E-3</v>
      </c>
      <c r="AC149" t="s">
        <v>156</v>
      </c>
      <c r="AD149" t="str">
        <f>VLOOKUP(AC149,'Reference table'!$J$2:$K$195,2,FALSE)</f>
        <v>Norway</v>
      </c>
      <c r="AE149">
        <v>3.508643689923614E-3</v>
      </c>
      <c r="AF149">
        <v>3.0237358101135193E-3</v>
      </c>
    </row>
    <row r="150" spans="1:32" x14ac:dyDescent="0.35">
      <c r="A150" t="s">
        <v>286</v>
      </c>
      <c r="B150">
        <v>13</v>
      </c>
      <c r="E150" t="s">
        <v>374</v>
      </c>
      <c r="F150">
        <v>30</v>
      </c>
      <c r="J150" t="str">
        <f>'Processed HWF'!B149</f>
        <v>RUS</v>
      </c>
      <c r="K150">
        <f>ROUND('Processed HWF'!D149/10000*'Processed HWF'!J149,0)</f>
        <v>557035</v>
      </c>
      <c r="L150">
        <f>ROUND('Processed HWF'!E149/10000*'Processed HWF'!J149,0)</f>
        <v>860483</v>
      </c>
      <c r="M150">
        <f t="shared" si="12"/>
        <v>9862</v>
      </c>
      <c r="N150">
        <f t="shared" si="13"/>
        <v>21528</v>
      </c>
      <c r="O150">
        <f t="shared" si="14"/>
        <v>1.7704453041550352E-2</v>
      </c>
      <c r="P150">
        <f t="shared" si="15"/>
        <v>2.5018507047785951E-2</v>
      </c>
      <c r="Q150" t="str">
        <f t="shared" si="16"/>
        <v>Less than 0.1</v>
      </c>
      <c r="R150" t="str">
        <f t="shared" si="17"/>
        <v>Less than 0.1</v>
      </c>
      <c r="X150" t="s">
        <v>141</v>
      </c>
      <c r="Y150" t="str">
        <f>VLOOKUP(X150,'Reference table'!$J$2:$K$195,2,FALSE)</f>
        <v>Cambodia</v>
      </c>
      <c r="Z150">
        <v>4.9735778675784889E-3</v>
      </c>
      <c r="AA150">
        <v>0.15579144551982516</v>
      </c>
      <c r="AC150" t="s">
        <v>159</v>
      </c>
      <c r="AD150" t="str">
        <f>VLOOKUP(AC150,'Reference table'!$J$2:$K$195,2,FALSE)</f>
        <v>Saudi Arabia</v>
      </c>
      <c r="AE150">
        <v>4.0472246104808441E-3</v>
      </c>
      <c r="AF150">
        <v>2.866140617812533E-3</v>
      </c>
    </row>
    <row r="151" spans="1:32" x14ac:dyDescent="0.35">
      <c r="A151" t="s">
        <v>249</v>
      </c>
      <c r="B151">
        <v>13</v>
      </c>
      <c r="E151" t="s">
        <v>503</v>
      </c>
      <c r="F151">
        <v>27</v>
      </c>
      <c r="J151" t="str">
        <f>'Processed HWF'!B150</f>
        <v>RWA</v>
      </c>
      <c r="K151">
        <f>ROUND('Processed HWF'!D150/10000*'Processed HWF'!J150,0)</f>
        <v>1534</v>
      </c>
      <c r="L151">
        <f>ROUND('Processed HWF'!E150/10000*'Processed HWF'!J150,0)</f>
        <v>10700</v>
      </c>
      <c r="M151">
        <f t="shared" si="12"/>
        <v>12</v>
      </c>
      <c r="N151">
        <f t="shared" si="13"/>
        <v>5</v>
      </c>
      <c r="O151">
        <f t="shared" si="14"/>
        <v>7.8226857887874843E-3</v>
      </c>
      <c r="P151">
        <f t="shared" si="15"/>
        <v>4.6728971962616824E-4</v>
      </c>
      <c r="Q151" t="str">
        <f t="shared" si="16"/>
        <v>Less than 0.1</v>
      </c>
      <c r="R151" t="str">
        <f t="shared" si="17"/>
        <v>Less than 0.1</v>
      </c>
      <c r="X151" t="s">
        <v>425</v>
      </c>
      <c r="Y151" t="str">
        <f>VLOOKUP(X151,'Reference table'!$J$2:$K$195,2,FALSE)</f>
        <v>Singapore</v>
      </c>
      <c r="Z151">
        <v>4.9332962757087269E-3</v>
      </c>
      <c r="AA151">
        <v>2.7954221881502574E-2</v>
      </c>
      <c r="AC151" t="s">
        <v>449</v>
      </c>
      <c r="AD151" t="str">
        <f>VLOOKUP(AC151,'Reference table'!$J$2:$K$195,2,FALSE)</f>
        <v>Sudan</v>
      </c>
      <c r="AE151">
        <v>0.11244665098858984</v>
      </c>
      <c r="AF151">
        <v>2.7474168309144118E-3</v>
      </c>
    </row>
    <row r="152" spans="1:32" x14ac:dyDescent="0.35">
      <c r="A152" t="s">
        <v>240</v>
      </c>
      <c r="B152">
        <v>12</v>
      </c>
      <c r="E152" t="s">
        <v>371</v>
      </c>
      <c r="F152">
        <v>21</v>
      </c>
      <c r="J152" t="str">
        <f>'Processed HWF'!B151</f>
        <v>SAU</v>
      </c>
      <c r="K152">
        <f>ROUND('Processed HWF'!D151/10000*'Processed HWF'!J151,0)</f>
        <v>95374</v>
      </c>
      <c r="L152">
        <f>ROUND('Processed HWF'!E151/10000*'Processed HWF'!J151,0)</f>
        <v>197827</v>
      </c>
      <c r="M152">
        <f t="shared" si="12"/>
        <v>386</v>
      </c>
      <c r="N152">
        <f t="shared" si="13"/>
        <v>567</v>
      </c>
      <c r="O152">
        <f t="shared" si="14"/>
        <v>4.0472246104808441E-3</v>
      </c>
      <c r="P152">
        <f t="shared" si="15"/>
        <v>2.866140617812533E-3</v>
      </c>
      <c r="Q152" t="str">
        <f t="shared" si="16"/>
        <v>Less than 0.1</v>
      </c>
      <c r="R152" t="str">
        <f t="shared" si="17"/>
        <v>Less than 0.1</v>
      </c>
      <c r="X152" t="s">
        <v>16</v>
      </c>
      <c r="Y152" t="str">
        <f>VLOOKUP(X152,'Reference table'!$J$2:$K$195,2,FALSE)</f>
        <v>Belize</v>
      </c>
      <c r="Z152">
        <v>4.662004662004662E-3</v>
      </c>
      <c r="AA152">
        <v>1.1707841031149302</v>
      </c>
      <c r="AC152" t="s">
        <v>371</v>
      </c>
      <c r="AD152" t="str">
        <f>VLOOKUP(AC152,'Reference table'!$J$2:$K$195,2,FALSE)</f>
        <v>Mozambique</v>
      </c>
      <c r="AE152">
        <v>0.11981914091936699</v>
      </c>
      <c r="AF152">
        <v>2.3814924019051938E-3</v>
      </c>
    </row>
    <row r="153" spans="1:32" x14ac:dyDescent="0.35">
      <c r="A153" t="s">
        <v>50</v>
      </c>
      <c r="B153">
        <v>12</v>
      </c>
      <c r="E153" t="s">
        <v>515</v>
      </c>
      <c r="F153">
        <v>18</v>
      </c>
      <c r="J153" t="str">
        <f>'Processed HWF'!B152</f>
        <v>SDN</v>
      </c>
      <c r="K153">
        <f>ROUND('Processed HWF'!D152/10000*'Processed HWF'!J152,0)</f>
        <v>11481</v>
      </c>
      <c r="L153">
        <f>ROUND('Processed HWF'!E152/10000*'Processed HWF'!J152,0)</f>
        <v>50229</v>
      </c>
      <c r="M153">
        <f t="shared" si="12"/>
        <v>1291</v>
      </c>
      <c r="N153">
        <f t="shared" si="13"/>
        <v>138</v>
      </c>
      <c r="O153">
        <f t="shared" si="14"/>
        <v>0.11244665098858984</v>
      </c>
      <c r="P153">
        <f t="shared" si="15"/>
        <v>2.7474168309144118E-3</v>
      </c>
      <c r="Q153" t="str">
        <f t="shared" si="16"/>
        <v>Above 0.1</v>
      </c>
      <c r="R153" t="str">
        <f t="shared" si="17"/>
        <v>Less than 0.1</v>
      </c>
      <c r="X153" t="s">
        <v>419</v>
      </c>
      <c r="Y153" t="str">
        <f>VLOOKUP(X153,'Reference table'!$J$2:$K$195,2,FALSE)</f>
        <v>Seychelles</v>
      </c>
      <c r="Z153">
        <v>4.5248868778280547E-3</v>
      </c>
      <c r="AA153">
        <v>2.7913159060700046E-2</v>
      </c>
      <c r="AC153" t="s">
        <v>24</v>
      </c>
      <c r="AD153" t="str">
        <f>VLOOKUP(AC153,'Reference table'!$J$2:$K$195,2,FALSE)</f>
        <v>Brunei Darussalam</v>
      </c>
      <c r="AE153">
        <v>1.4204545454545455E-3</v>
      </c>
      <c r="AF153">
        <v>1.937984496124031E-3</v>
      </c>
    </row>
    <row r="154" spans="1:32" x14ac:dyDescent="0.35">
      <c r="A154" t="s">
        <v>407</v>
      </c>
      <c r="B154">
        <v>12</v>
      </c>
      <c r="E154" t="s">
        <v>428</v>
      </c>
      <c r="F154">
        <v>18</v>
      </c>
      <c r="J154" t="str">
        <f>'Processed HWF'!B153</f>
        <v>SEN</v>
      </c>
      <c r="K154">
        <f>ROUND('Processed HWF'!D153/10000*'Processed HWF'!J153,0)</f>
        <v>1474</v>
      </c>
      <c r="L154">
        <f>ROUND('Processed HWF'!E153/10000*'Processed HWF'!J153,0)</f>
        <v>6319</v>
      </c>
      <c r="M154">
        <f t="shared" si="12"/>
        <v>27</v>
      </c>
      <c r="N154">
        <f t="shared" si="13"/>
        <v>398</v>
      </c>
      <c r="O154">
        <f t="shared" si="14"/>
        <v>1.8317503392130258E-2</v>
      </c>
      <c r="P154">
        <f t="shared" si="15"/>
        <v>6.2984649469852827E-2</v>
      </c>
      <c r="Q154" t="str">
        <f t="shared" si="16"/>
        <v>Less than 0.1</v>
      </c>
      <c r="R154" t="str">
        <f t="shared" si="17"/>
        <v>Less than 0.1</v>
      </c>
      <c r="X154" t="s">
        <v>234</v>
      </c>
      <c r="Y154" t="str">
        <f>VLOOKUP(X154,'Reference table'!$J$2:$K$195,2,FALSE)</f>
        <v>Botswana</v>
      </c>
      <c r="Z154">
        <v>4.4943820224719105E-3</v>
      </c>
      <c r="AA154">
        <v>2.5259359494812811E-2</v>
      </c>
      <c r="AC154" t="s">
        <v>360</v>
      </c>
      <c r="AD154" t="str">
        <f>VLOOKUP(AC154,'Reference table'!$J$2:$K$195,2,FALSE)</f>
        <v>Mali</v>
      </c>
      <c r="AE154">
        <v>1.2682551883166795E-2</v>
      </c>
      <c r="AF154">
        <v>1.6405395552314983E-3</v>
      </c>
    </row>
    <row r="155" spans="1:32" x14ac:dyDescent="0.35">
      <c r="A155" t="s">
        <v>231</v>
      </c>
      <c r="B155">
        <v>9</v>
      </c>
      <c r="E155" t="s">
        <v>216</v>
      </c>
      <c r="F155">
        <v>16</v>
      </c>
      <c r="J155" t="str">
        <f>'Processed HWF'!B154</f>
        <v>SGP</v>
      </c>
      <c r="K155">
        <f>ROUND('Processed HWF'!D154/10000*'Processed HWF'!J154,0)</f>
        <v>14392</v>
      </c>
      <c r="L155">
        <f>ROUND('Processed HWF'!E154/10000*'Processed HWF'!J154,0)</f>
        <v>36524</v>
      </c>
      <c r="M155">
        <f t="shared" si="12"/>
        <v>71</v>
      </c>
      <c r="N155">
        <f t="shared" si="13"/>
        <v>1021</v>
      </c>
      <c r="O155">
        <f t="shared" si="14"/>
        <v>4.9332962757087269E-3</v>
      </c>
      <c r="P155">
        <f t="shared" si="15"/>
        <v>2.7954221881502574E-2</v>
      </c>
      <c r="Q155" t="str">
        <f t="shared" si="16"/>
        <v>Less than 0.1</v>
      </c>
      <c r="R155" t="str">
        <f t="shared" si="17"/>
        <v>Less than 0.1</v>
      </c>
      <c r="X155" t="s">
        <v>543</v>
      </c>
      <c r="Y155" t="str">
        <f>VLOOKUP(X155,'Reference table'!$J$2:$K$195,2,FALSE)</f>
        <v>United States of America</v>
      </c>
      <c r="Z155">
        <v>4.4377790969611338E-3</v>
      </c>
      <c r="AA155">
        <v>9.6220000088575541E-4</v>
      </c>
      <c r="AC155" t="s">
        <v>231</v>
      </c>
      <c r="AD155" t="str">
        <f>VLOOKUP(AC155,'Reference table'!$J$2:$K$195,2,FALSE)</f>
        <v>Benin</v>
      </c>
      <c r="AE155">
        <v>1.1479591836734694E-2</v>
      </c>
      <c r="AF155">
        <v>1.4582573824279985E-3</v>
      </c>
    </row>
    <row r="156" spans="1:32" x14ac:dyDescent="0.35">
      <c r="A156" t="s">
        <v>487</v>
      </c>
      <c r="B156">
        <v>9</v>
      </c>
      <c r="E156" t="s">
        <v>120</v>
      </c>
      <c r="F156">
        <v>12</v>
      </c>
      <c r="J156" t="str">
        <f>'Processed HWF'!B155</f>
        <v>SLB</v>
      </c>
      <c r="K156">
        <f>ROUND('Processed HWF'!D155/10000*'Processed HWF'!J155,0)</f>
        <v>133</v>
      </c>
      <c r="L156">
        <f>ROUND('Processed HWF'!E155/10000*'Processed HWF'!J155,0)</f>
        <v>1487</v>
      </c>
      <c r="M156" t="e">
        <f t="shared" si="12"/>
        <v>#N/A</v>
      </c>
      <c r="N156" t="e">
        <f t="shared" si="13"/>
        <v>#N/A</v>
      </c>
      <c r="O156" t="str">
        <f t="shared" si="14"/>
        <v>No data</v>
      </c>
      <c r="P156" t="str">
        <f t="shared" si="15"/>
        <v>No data</v>
      </c>
      <c r="Q156" t="str">
        <f t="shared" si="16"/>
        <v>No data</v>
      </c>
      <c r="R156" t="str">
        <f t="shared" si="17"/>
        <v>No data</v>
      </c>
      <c r="X156" t="s">
        <v>29</v>
      </c>
      <c r="Y156" t="str">
        <f>VLOOKUP(X156,'Reference table'!$J$2:$K$195,2,FALSE)</f>
        <v>Canada</v>
      </c>
      <c r="Z156">
        <v>4.077604624177159E-3</v>
      </c>
      <c r="AA156">
        <v>7.1957130701645361E-2</v>
      </c>
      <c r="AC156" t="s">
        <v>216</v>
      </c>
      <c r="AD156" t="str">
        <f>VLOOKUP(AC156,'Reference table'!$J$2:$K$195,2,FALSE)</f>
        <v>Angola</v>
      </c>
      <c r="AE156">
        <v>1.6204690831556502E-2</v>
      </c>
      <c r="AF156">
        <v>1.1943863839952225E-3</v>
      </c>
    </row>
    <row r="157" spans="1:32" x14ac:dyDescent="0.35">
      <c r="A157" t="s">
        <v>3</v>
      </c>
      <c r="B157">
        <v>8</v>
      </c>
      <c r="E157" t="s">
        <v>280</v>
      </c>
      <c r="F157">
        <v>10</v>
      </c>
      <c r="J157" t="str">
        <f>'Processed HWF'!B156</f>
        <v>SLE</v>
      </c>
      <c r="K157">
        <f>ROUND('Processed HWF'!D156/10000*'Processed HWF'!J156,0)</f>
        <v>590</v>
      </c>
      <c r="L157">
        <f>ROUND('Processed HWF'!E156/10000*'Processed HWF'!J156,0)</f>
        <v>6003</v>
      </c>
      <c r="M157">
        <f t="shared" si="12"/>
        <v>25</v>
      </c>
      <c r="N157">
        <f t="shared" si="13"/>
        <v>5934</v>
      </c>
      <c r="O157">
        <f t="shared" si="14"/>
        <v>4.2372881355932202E-2</v>
      </c>
      <c r="P157">
        <f t="shared" si="15"/>
        <v>0.9885057471264368</v>
      </c>
      <c r="Q157" t="str">
        <f t="shared" si="16"/>
        <v>Less than 0.1</v>
      </c>
      <c r="R157" t="str">
        <f t="shared" si="17"/>
        <v>Above 0.1</v>
      </c>
      <c r="X157" t="s">
        <v>159</v>
      </c>
      <c r="Y157" t="str">
        <f>VLOOKUP(X157,'Reference table'!$J$2:$K$195,2,FALSE)</f>
        <v>Saudi Arabia</v>
      </c>
      <c r="Z157">
        <v>4.0472246104808441E-3</v>
      </c>
      <c r="AA157">
        <v>2.866140617812533E-3</v>
      </c>
      <c r="AC157" t="s">
        <v>132</v>
      </c>
      <c r="AD157" t="str">
        <f>VLOOKUP(AC157,'Reference table'!$J$2:$K$195,2,FALSE)</f>
        <v>Bahrain</v>
      </c>
      <c r="AE157">
        <v>4.3174603174603178E-2</v>
      </c>
      <c r="AF157">
        <v>1.1781338360037699E-3</v>
      </c>
    </row>
    <row r="158" spans="1:32" x14ac:dyDescent="0.35">
      <c r="A158" t="s">
        <v>243</v>
      </c>
      <c r="B158">
        <v>6</v>
      </c>
      <c r="E158" t="s">
        <v>357</v>
      </c>
      <c r="F158">
        <v>10</v>
      </c>
      <c r="J158" t="str">
        <f>'Processed HWF'!B157</f>
        <v>SLV</v>
      </c>
      <c r="K158">
        <f>ROUND('Processed HWF'!D157/10000*'Processed HWF'!J157,0)</f>
        <v>18615</v>
      </c>
      <c r="L158">
        <f>ROUND('Processed HWF'!E157/10000*'Processed HWF'!J157,0)</f>
        <v>11898</v>
      </c>
      <c r="M158">
        <f t="shared" si="12"/>
        <v>294</v>
      </c>
      <c r="N158">
        <f t="shared" si="13"/>
        <v>7104</v>
      </c>
      <c r="O158">
        <f t="shared" si="14"/>
        <v>1.579371474617244E-2</v>
      </c>
      <c r="P158">
        <f t="shared" si="15"/>
        <v>0.59707513867876949</v>
      </c>
      <c r="Q158" t="str">
        <f t="shared" si="16"/>
        <v>Less than 0.1</v>
      </c>
      <c r="R158" t="str">
        <f t="shared" si="17"/>
        <v>Above 0.1</v>
      </c>
      <c r="X158" t="s">
        <v>181</v>
      </c>
      <c r="Y158" t="str">
        <f>VLOOKUP(X158,'Reference table'!$J$2:$K$195,2,FALSE)</f>
        <v>Malaysia</v>
      </c>
      <c r="Z158">
        <v>4.0056837404425201E-3</v>
      </c>
      <c r="AA158">
        <v>1.3572377158034528E-2</v>
      </c>
      <c r="AC158" t="s">
        <v>543</v>
      </c>
      <c r="AD158" t="str">
        <f>VLOOKUP(AC158,'Reference table'!$J$2:$K$195,2,FALSE)</f>
        <v>United States of America</v>
      </c>
      <c r="AE158">
        <v>4.4377790969611338E-3</v>
      </c>
      <c r="AF158">
        <v>9.6220000088575541E-4</v>
      </c>
    </row>
    <row r="159" spans="1:32" x14ac:dyDescent="0.35">
      <c r="A159" t="s">
        <v>345</v>
      </c>
      <c r="B159">
        <v>6</v>
      </c>
      <c r="E159" t="s">
        <v>50</v>
      </c>
      <c r="F159">
        <v>9</v>
      </c>
      <c r="J159" t="str">
        <f>'Processed HWF'!B158</f>
        <v>SMR</v>
      </c>
      <c r="K159">
        <f>ROUND('Processed HWF'!D158/10000*'Processed HWF'!J158,0)</f>
        <v>207</v>
      </c>
      <c r="L159">
        <f>ROUND('Processed HWF'!E158/10000*'Processed HWF'!J158,0)</f>
        <v>261</v>
      </c>
      <c r="M159" t="e">
        <f t="shared" si="12"/>
        <v>#N/A</v>
      </c>
      <c r="N159" t="e">
        <f t="shared" si="13"/>
        <v>#N/A</v>
      </c>
      <c r="O159" t="str">
        <f t="shared" si="14"/>
        <v>No data</v>
      </c>
      <c r="P159" t="str">
        <f t="shared" si="15"/>
        <v>No data</v>
      </c>
      <c r="Q159" t="str">
        <f t="shared" si="16"/>
        <v>No data</v>
      </c>
      <c r="R159" t="str">
        <f t="shared" si="17"/>
        <v>No data</v>
      </c>
      <c r="X159" t="s">
        <v>289</v>
      </c>
      <c r="Y159" t="str">
        <f>VLOOKUP(X159,'Reference table'!$J$2:$K$195,2,FALSE)</f>
        <v>Finland</v>
      </c>
      <c r="Z159">
        <v>3.6171288553537395E-3</v>
      </c>
      <c r="AA159">
        <v>6.3762685938695014E-3</v>
      </c>
      <c r="AC159" t="s">
        <v>515</v>
      </c>
      <c r="AD159" t="str">
        <f>VLOOKUP(AC159,'Reference table'!$J$2:$K$195,2,FALSE)</f>
        <v>Oman</v>
      </c>
      <c r="AE159">
        <v>1.5455950540958269E-3</v>
      </c>
      <c r="AF159">
        <v>9.5268339155287396E-4</v>
      </c>
    </row>
    <row r="160" spans="1:32" x14ac:dyDescent="0.35">
      <c r="A160" t="s">
        <v>77</v>
      </c>
      <c r="B160">
        <v>6</v>
      </c>
      <c r="E160" t="s">
        <v>360</v>
      </c>
      <c r="F160">
        <v>9</v>
      </c>
      <c r="J160" t="str">
        <f>'Processed HWF'!B159</f>
        <v>SOM</v>
      </c>
      <c r="K160">
        <f>ROUND('Processed HWF'!D159/10000*'Processed HWF'!J159,0)</f>
        <v>366</v>
      </c>
      <c r="L160">
        <f>ROUND('Processed HWF'!E159/10000*'Processed HWF'!J159,0)</f>
        <v>979</v>
      </c>
      <c r="M160">
        <f t="shared" si="12"/>
        <v>6</v>
      </c>
      <c r="N160">
        <f t="shared" si="13"/>
        <v>2477</v>
      </c>
      <c r="O160">
        <f t="shared" si="14"/>
        <v>1.6393442622950821E-2</v>
      </c>
      <c r="P160">
        <f t="shared" si="15"/>
        <v>2.5301327885597549</v>
      </c>
      <c r="Q160" t="str">
        <f t="shared" si="16"/>
        <v>Less than 0.1</v>
      </c>
      <c r="R160" t="str">
        <f t="shared" si="17"/>
        <v>Above 0.1</v>
      </c>
      <c r="X160" t="s">
        <v>156</v>
      </c>
      <c r="Y160" t="str">
        <f>VLOOKUP(X160,'Reference table'!$J$2:$K$195,2,FALSE)</f>
        <v>Norway</v>
      </c>
      <c r="Z160">
        <v>3.508643689923614E-3</v>
      </c>
      <c r="AA160">
        <v>3.0237358101135193E-3</v>
      </c>
      <c r="AC160" t="s">
        <v>428</v>
      </c>
      <c r="AD160" t="str">
        <f>VLOOKUP(AC160,'Reference table'!$J$2:$K$195,2,FALSE)</f>
        <v>Slovenia</v>
      </c>
      <c r="AE160">
        <v>1.3356817848231322E-2</v>
      </c>
      <c r="AF160">
        <v>8.3849629664135654E-4</v>
      </c>
    </row>
    <row r="161" spans="1:32" x14ac:dyDescent="0.35">
      <c r="A161" t="s">
        <v>271</v>
      </c>
      <c r="B161">
        <v>5</v>
      </c>
      <c r="E161" t="s">
        <v>183</v>
      </c>
      <c r="F161">
        <v>7</v>
      </c>
      <c r="J161" t="str">
        <f>'Processed HWF'!B160</f>
        <v>SRB</v>
      </c>
      <c r="K161">
        <f>ROUND('Processed HWF'!D160/10000*'Processed HWF'!J160,0)</f>
        <v>27200</v>
      </c>
      <c r="L161">
        <f>ROUND('Processed HWF'!E160/10000*'Processed HWF'!J160,0)</f>
        <v>53171</v>
      </c>
      <c r="M161">
        <f t="shared" si="12"/>
        <v>2822</v>
      </c>
      <c r="N161">
        <f t="shared" si="13"/>
        <v>714</v>
      </c>
      <c r="O161">
        <f t="shared" si="14"/>
        <v>0.10375</v>
      </c>
      <c r="P161">
        <f t="shared" si="15"/>
        <v>1.3428372609129036E-2</v>
      </c>
      <c r="Q161" t="str">
        <f t="shared" si="16"/>
        <v>Above 0.1</v>
      </c>
      <c r="R161" t="str">
        <f t="shared" si="17"/>
        <v>Less than 0.1</v>
      </c>
      <c r="X161" t="s">
        <v>165</v>
      </c>
      <c r="Y161" t="str">
        <f>VLOOKUP(X161,'Reference table'!$J$2:$K$195,2,FALSE)</f>
        <v>Sweden</v>
      </c>
      <c r="Z161">
        <v>2.949113874746126E-3</v>
      </c>
      <c r="AA161">
        <v>6.0703589468508335E-3</v>
      </c>
      <c r="AC161" t="s">
        <v>31</v>
      </c>
      <c r="AD161" t="str">
        <f>VLOOKUP(AC161,'Reference table'!$J$2:$K$195,2,FALSE)</f>
        <v>Central African Republic</v>
      </c>
      <c r="AE161">
        <v>2.881844380403458E-3</v>
      </c>
      <c r="AF161">
        <v>8.0840743734842356E-4</v>
      </c>
    </row>
    <row r="162" spans="1:32" x14ac:dyDescent="0.35">
      <c r="A162" t="s">
        <v>210</v>
      </c>
      <c r="B162">
        <v>5</v>
      </c>
      <c r="E162" t="s">
        <v>132</v>
      </c>
      <c r="F162">
        <v>5</v>
      </c>
      <c r="J162" t="str">
        <f>'Processed HWF'!B161</f>
        <v>SSD</v>
      </c>
      <c r="K162">
        <f>ROUND('Processed HWF'!D161/10000*'Processed HWF'!J161,0)</f>
        <v>418</v>
      </c>
      <c r="L162">
        <f>ROUND('Processed HWF'!E161/10000*'Processed HWF'!J161,0)</f>
        <v>3792</v>
      </c>
      <c r="M162" t="e">
        <f t="shared" si="12"/>
        <v>#N/A</v>
      </c>
      <c r="N162" t="e">
        <f t="shared" si="13"/>
        <v>#N/A</v>
      </c>
      <c r="O162" t="str">
        <f t="shared" si="14"/>
        <v>No data</v>
      </c>
      <c r="P162" t="str">
        <f t="shared" si="15"/>
        <v>No data</v>
      </c>
      <c r="Q162" t="str">
        <f t="shared" si="16"/>
        <v>No data</v>
      </c>
      <c r="R162" t="str">
        <f t="shared" si="17"/>
        <v>No data</v>
      </c>
      <c r="X162" t="s">
        <v>31</v>
      </c>
      <c r="Y162" t="str">
        <f>VLOOKUP(X162,'Reference table'!$J$2:$K$195,2,FALSE)</f>
        <v>Central African Republic</v>
      </c>
      <c r="Z162">
        <v>2.881844380403458E-3</v>
      </c>
      <c r="AA162">
        <v>8.0840743734842356E-4</v>
      </c>
      <c r="AC162" t="s">
        <v>183</v>
      </c>
      <c r="AD162" t="str">
        <f>VLOOKUP(AC162,'Reference table'!$J$2:$K$195,2,FALSE)</f>
        <v>Mongolia</v>
      </c>
      <c r="AE162">
        <v>5.7812623742773423E-3</v>
      </c>
      <c r="AF162">
        <v>5.4837446141793968E-4</v>
      </c>
    </row>
    <row r="163" spans="1:32" x14ac:dyDescent="0.35">
      <c r="A163" t="s">
        <v>234</v>
      </c>
      <c r="B163">
        <v>4</v>
      </c>
      <c r="E163" t="s">
        <v>24</v>
      </c>
      <c r="F163">
        <v>5</v>
      </c>
      <c r="J163" t="str">
        <f>'Processed HWF'!B162</f>
        <v>STP</v>
      </c>
      <c r="K163">
        <f>ROUND('Processed HWF'!D162/10000*'Processed HWF'!J162,0)</f>
        <v>107</v>
      </c>
      <c r="L163">
        <f>ROUND('Processed HWF'!E162/10000*'Processed HWF'!J162,0)</f>
        <v>448</v>
      </c>
      <c r="M163">
        <f t="shared" si="12"/>
        <v>1</v>
      </c>
      <c r="N163" t="e">
        <f t="shared" si="13"/>
        <v>#N/A</v>
      </c>
      <c r="O163">
        <f t="shared" si="14"/>
        <v>9.3457943925233638E-3</v>
      </c>
      <c r="P163" t="str">
        <f t="shared" si="15"/>
        <v>No data</v>
      </c>
      <c r="Q163" t="str">
        <f t="shared" si="16"/>
        <v>Less than 0.1</v>
      </c>
      <c r="R163" t="str">
        <f t="shared" si="17"/>
        <v>No data</v>
      </c>
      <c r="X163" t="s">
        <v>525</v>
      </c>
      <c r="Y163" t="str">
        <f>VLOOKUP(X163,'Reference table'!$J$2:$K$195,2,FALSE)</f>
        <v>Turkmenistan</v>
      </c>
      <c r="Z163">
        <v>2.682963183782978E-3</v>
      </c>
      <c r="AA163" t="s">
        <v>915</v>
      </c>
      <c r="AC163" t="s">
        <v>407</v>
      </c>
      <c r="AD163" t="str">
        <f>VLOOKUP(AC163,'Reference table'!$J$2:$K$195,2,FALSE)</f>
        <v>Rwanda</v>
      </c>
      <c r="AE163">
        <v>7.8226857887874843E-3</v>
      </c>
      <c r="AF163">
        <v>4.6728971962616824E-4</v>
      </c>
    </row>
    <row r="164" spans="1:32" x14ac:dyDescent="0.35">
      <c r="A164" t="s">
        <v>107</v>
      </c>
      <c r="B164">
        <v>4</v>
      </c>
      <c r="E164" t="s">
        <v>407</v>
      </c>
      <c r="F164">
        <v>5</v>
      </c>
      <c r="J164" t="str">
        <f>'Processed HWF'!B163</f>
        <v>SUR</v>
      </c>
      <c r="K164">
        <f>ROUND('Processed HWF'!D163/10000*'Processed HWF'!J163,0)</f>
        <v>481</v>
      </c>
      <c r="L164">
        <f>ROUND('Processed HWF'!E163/10000*'Processed HWF'!J163,0)</f>
        <v>2192</v>
      </c>
      <c r="M164">
        <f t="shared" si="12"/>
        <v>24</v>
      </c>
      <c r="N164" t="e">
        <f t="shared" si="13"/>
        <v>#N/A</v>
      </c>
      <c r="O164">
        <f t="shared" si="14"/>
        <v>4.9896049896049899E-2</v>
      </c>
      <c r="P164" t="str">
        <f t="shared" si="15"/>
        <v>No data</v>
      </c>
      <c r="Q164" t="str">
        <f t="shared" si="16"/>
        <v>Less than 0.1</v>
      </c>
      <c r="R164" t="str">
        <f t="shared" si="17"/>
        <v>No data</v>
      </c>
      <c r="X164" t="s">
        <v>138</v>
      </c>
      <c r="Y164" t="str">
        <f>VLOOKUP(X164,'Reference table'!$J$2:$K$195,2,FALSE)</f>
        <v>Bhutan</v>
      </c>
      <c r="Z164">
        <v>2.5974025974025974E-3</v>
      </c>
      <c r="AA164">
        <v>4.8034934497816595E-2</v>
      </c>
      <c r="AC164" t="s">
        <v>240</v>
      </c>
      <c r="AD164" t="str">
        <f>VLOOKUP(AC164,'Reference table'!$J$2:$K$195,2,FALSE)</f>
        <v>Burundi</v>
      </c>
      <c r="AE164">
        <v>1.4101057579318449E-2</v>
      </c>
      <c r="AF164">
        <v>3.8925652004671076E-4</v>
      </c>
    </row>
    <row r="165" spans="1:32" x14ac:dyDescent="0.35">
      <c r="A165" t="s">
        <v>532</v>
      </c>
      <c r="B165">
        <v>3</v>
      </c>
      <c r="E165" t="s">
        <v>231</v>
      </c>
      <c r="F165">
        <v>4</v>
      </c>
      <c r="J165" t="str">
        <f>'Processed HWF'!B164</f>
        <v>SVK</v>
      </c>
      <c r="K165">
        <f>ROUND('Processed HWF'!D164/10000*'Processed HWF'!J164,0)</f>
        <v>19463</v>
      </c>
      <c r="L165">
        <f>ROUND('Processed HWF'!E164/10000*'Processed HWF'!J164,0)</f>
        <v>31323</v>
      </c>
      <c r="M165">
        <f t="shared" si="12"/>
        <v>3959</v>
      </c>
      <c r="N165">
        <f t="shared" si="13"/>
        <v>545</v>
      </c>
      <c r="O165">
        <f t="shared" si="14"/>
        <v>0.20341160150028259</v>
      </c>
      <c r="P165">
        <f t="shared" si="15"/>
        <v>1.7399355106471281E-2</v>
      </c>
      <c r="Q165" t="str">
        <f t="shared" si="16"/>
        <v>Above 0.1</v>
      </c>
      <c r="R165" t="str">
        <f t="shared" si="17"/>
        <v>Less than 0.1</v>
      </c>
      <c r="X165" t="s">
        <v>304</v>
      </c>
      <c r="Y165" t="str">
        <f>VLOOKUP(X165,'Reference table'!$J$2:$K$195,2,FALSE)</f>
        <v>Guinea-Bissau</v>
      </c>
      <c r="Z165">
        <v>2.5974025974025974E-3</v>
      </c>
      <c r="AA165" t="s">
        <v>915</v>
      </c>
      <c r="AC165" t="s">
        <v>503</v>
      </c>
      <c r="AD165" t="str">
        <f>VLOOKUP(AC165,'Reference table'!$J$2:$K$195,2,FALSE)</f>
        <v>Israel</v>
      </c>
      <c r="AE165">
        <v>1.4211062962018864E-2</v>
      </c>
      <c r="AF165">
        <v>2.6606227828143475E-4</v>
      </c>
    </row>
    <row r="166" spans="1:32" x14ac:dyDescent="0.35">
      <c r="A166" t="s">
        <v>500</v>
      </c>
      <c r="B166">
        <v>3</v>
      </c>
      <c r="E166" t="s">
        <v>512</v>
      </c>
      <c r="F166">
        <v>4</v>
      </c>
      <c r="J166" t="str">
        <f>'Processed HWF'!B165</f>
        <v>SVN</v>
      </c>
      <c r="K166">
        <f>ROUND('Processed HWF'!D165/10000*'Processed HWF'!J165,0)</f>
        <v>6813</v>
      </c>
      <c r="L166">
        <f>ROUND('Processed HWF'!E165/10000*'Processed HWF'!J165,0)</f>
        <v>21467</v>
      </c>
      <c r="M166">
        <f t="shared" si="12"/>
        <v>91</v>
      </c>
      <c r="N166">
        <f t="shared" si="13"/>
        <v>18</v>
      </c>
      <c r="O166">
        <f t="shared" si="14"/>
        <v>1.3356817848231322E-2</v>
      </c>
      <c r="P166">
        <f t="shared" si="15"/>
        <v>8.3849629664135654E-4</v>
      </c>
      <c r="Q166" t="str">
        <f t="shared" si="16"/>
        <v>Less than 0.1</v>
      </c>
      <c r="R166" t="str">
        <f t="shared" si="17"/>
        <v>Less than 0.1</v>
      </c>
      <c r="X166" t="s">
        <v>322</v>
      </c>
      <c r="Y166" t="str">
        <f>VLOOKUP(X166,'Reference table'!$J$2:$K$195,2,FALSE)</f>
        <v>Indonesia</v>
      </c>
      <c r="Z166">
        <v>2.4288117053433856E-3</v>
      </c>
      <c r="AA166">
        <v>5.1548739503999947E-3</v>
      </c>
      <c r="AC166" t="s">
        <v>512</v>
      </c>
      <c r="AD166" t="str">
        <f>VLOOKUP(AC166,'Reference table'!$J$2:$K$195,2,FALSE)</f>
        <v>Qatar</v>
      </c>
      <c r="AE166">
        <v>2.7932960893854746E-4</v>
      </c>
      <c r="AF166">
        <v>1.9592476489028212E-4</v>
      </c>
    </row>
    <row r="167" spans="1:32" x14ac:dyDescent="0.35">
      <c r="A167" t="s">
        <v>292</v>
      </c>
      <c r="B167">
        <v>3</v>
      </c>
      <c r="E167" t="s">
        <v>240</v>
      </c>
      <c r="F167">
        <v>3</v>
      </c>
      <c r="J167" t="str">
        <f>'Processed HWF'!B166</f>
        <v>SWE</v>
      </c>
      <c r="K167">
        <f>ROUND('Processed HWF'!D166/10000*'Processed HWF'!J166,0)</f>
        <v>71886</v>
      </c>
      <c r="L167">
        <f>ROUND('Processed HWF'!E166/10000*'Processed HWF'!J166,0)</f>
        <v>111855</v>
      </c>
      <c r="M167">
        <f t="shared" si="12"/>
        <v>212</v>
      </c>
      <c r="N167">
        <f t="shared" si="13"/>
        <v>679</v>
      </c>
      <c r="O167">
        <f t="shared" si="14"/>
        <v>2.949113874746126E-3</v>
      </c>
      <c r="P167">
        <f t="shared" si="15"/>
        <v>6.0703589468508335E-3</v>
      </c>
      <c r="Q167" t="str">
        <f t="shared" si="16"/>
        <v>Less than 0.1</v>
      </c>
      <c r="R167" t="str">
        <f t="shared" si="17"/>
        <v>Less than 0.1</v>
      </c>
      <c r="X167" t="s">
        <v>401</v>
      </c>
      <c r="Y167" t="str">
        <f>VLOOKUP(X167,'Reference table'!$J$2:$K$195,2,FALSE)</f>
        <v>Philippines</v>
      </c>
      <c r="Z167">
        <v>1.9915595808241262E-3</v>
      </c>
      <c r="AA167">
        <v>0.42478542938151759</v>
      </c>
      <c r="AC167" t="s">
        <v>94</v>
      </c>
      <c r="AD167" t="str">
        <f>VLOOKUP(AC167,'Reference table'!$J$2:$K$195,2,FALSE)</f>
        <v>Luxembourg</v>
      </c>
      <c r="AE167">
        <v>0.25345377258235918</v>
      </c>
      <c r="AF167">
        <v>1.3524479307546659E-4</v>
      </c>
    </row>
    <row r="168" spans="1:32" x14ac:dyDescent="0.35">
      <c r="A168" t="s">
        <v>205</v>
      </c>
      <c r="B168">
        <v>2</v>
      </c>
      <c r="E168" t="s">
        <v>485</v>
      </c>
      <c r="F168">
        <v>3</v>
      </c>
      <c r="J168" t="str">
        <f>'Processed HWF'!B167</f>
        <v>SWZ</v>
      </c>
      <c r="K168">
        <f>ROUND('Processed HWF'!D167/10000*'Processed HWF'!J167,0)</f>
        <v>165</v>
      </c>
      <c r="L168">
        <f>ROUND('Processed HWF'!E167/10000*'Processed HWF'!J167,0)</f>
        <v>2917</v>
      </c>
      <c r="M168">
        <f t="shared" si="12"/>
        <v>1</v>
      </c>
      <c r="N168">
        <f t="shared" si="13"/>
        <v>131</v>
      </c>
      <c r="O168">
        <f t="shared" si="14"/>
        <v>6.0606060606060606E-3</v>
      </c>
      <c r="P168">
        <f t="shared" si="15"/>
        <v>4.4909153239629754E-2</v>
      </c>
      <c r="Q168" t="str">
        <f t="shared" si="16"/>
        <v>Less than 0.1</v>
      </c>
      <c r="R168" t="str">
        <f t="shared" si="17"/>
        <v>Less than 0.1</v>
      </c>
      <c r="X168" t="s">
        <v>539</v>
      </c>
      <c r="Y168" t="str">
        <f>VLOOKUP(X168,'Reference table'!$J$2:$K$195,2,FALSE)</f>
        <v>Mexico</v>
      </c>
      <c r="Z168">
        <v>1.8288633133227879E-3</v>
      </c>
      <c r="AA168">
        <v>0.10740143591439635</v>
      </c>
      <c r="AC168" t="s">
        <v>339</v>
      </c>
      <c r="AD168" t="str">
        <f>VLOOKUP(AC168,'Reference table'!$J$2:$K$195,2,FALSE)</f>
        <v>Republic of Korea</v>
      </c>
      <c r="AE168">
        <v>8.8676135917758764E-4</v>
      </c>
      <c r="AF168">
        <v>1.0699114161979725E-4</v>
      </c>
    </row>
    <row r="169" spans="1:32" x14ac:dyDescent="0.35">
      <c r="A169" t="s">
        <v>16</v>
      </c>
      <c r="B169">
        <v>2</v>
      </c>
      <c r="E169" t="s">
        <v>174</v>
      </c>
      <c r="F169">
        <v>2</v>
      </c>
      <c r="J169" t="str">
        <f>'Processed HWF'!B168</f>
        <v>SYC</v>
      </c>
      <c r="K169">
        <f>ROUND('Processed HWF'!D168/10000*'Processed HWF'!J168,0)</f>
        <v>221</v>
      </c>
      <c r="L169">
        <f>ROUND('Processed HWF'!E168/10000*'Processed HWF'!J168,0)</f>
        <v>2257</v>
      </c>
      <c r="M169">
        <f t="shared" si="12"/>
        <v>1</v>
      </c>
      <c r="N169">
        <f t="shared" si="13"/>
        <v>63</v>
      </c>
      <c r="O169">
        <f t="shared" si="14"/>
        <v>4.5248868778280547E-3</v>
      </c>
      <c r="P169">
        <f t="shared" si="15"/>
        <v>2.7913159060700046E-2</v>
      </c>
      <c r="Q169" t="str">
        <f t="shared" si="16"/>
        <v>Less than 0.1</v>
      </c>
      <c r="R169" t="str">
        <f t="shared" si="17"/>
        <v>Less than 0.1</v>
      </c>
      <c r="X169" t="s">
        <v>280</v>
      </c>
      <c r="Y169" t="str">
        <f>VLOOKUP(X169,'Reference table'!$J$2:$K$195,2,FALSE)</f>
        <v>Equatorial Guinea</v>
      </c>
      <c r="Z169">
        <v>1.7730496453900709E-3</v>
      </c>
      <c r="AA169">
        <v>2.2988505747126436E-2</v>
      </c>
      <c r="AC169" t="s">
        <v>50</v>
      </c>
      <c r="AD169" t="str">
        <f>VLOOKUP(AC169,'Reference table'!$J$2:$K$195,2,FALSE)</f>
        <v>Democratic Republic of the Congo</v>
      </c>
      <c r="AE169">
        <v>3.5719601131120702E-4</v>
      </c>
      <c r="AF169">
        <v>9.0555102780041655E-5</v>
      </c>
    </row>
    <row r="170" spans="1:32" x14ac:dyDescent="0.35">
      <c r="A170" t="s">
        <v>512</v>
      </c>
      <c r="B170">
        <v>2</v>
      </c>
      <c r="E170" t="s">
        <v>31</v>
      </c>
      <c r="F170">
        <v>1</v>
      </c>
      <c r="J170" t="str">
        <f>'Processed HWF'!B169</f>
        <v>SYR</v>
      </c>
      <c r="K170">
        <f>ROUND('Processed HWF'!D169/10000*'Processed HWF'!J169,0)</f>
        <v>22486</v>
      </c>
      <c r="L170">
        <f>ROUND('Processed HWF'!E169/10000*'Processed HWF'!J169,0)</f>
        <v>26909</v>
      </c>
      <c r="M170">
        <f t="shared" si="12"/>
        <v>5400</v>
      </c>
      <c r="N170">
        <f t="shared" si="13"/>
        <v>732</v>
      </c>
      <c r="O170">
        <f t="shared" si="14"/>
        <v>0.24014942630970382</v>
      </c>
      <c r="P170">
        <f t="shared" si="15"/>
        <v>2.7202794604035824E-2</v>
      </c>
      <c r="Q170" t="str">
        <f t="shared" si="16"/>
        <v>Above 0.1</v>
      </c>
      <c r="R170" t="str">
        <f t="shared" si="17"/>
        <v>Less than 0.1</v>
      </c>
      <c r="X170" t="s">
        <v>515</v>
      </c>
      <c r="Y170" t="str">
        <f>VLOOKUP(X170,'Reference table'!$J$2:$K$195,2,FALSE)</f>
        <v>Oman</v>
      </c>
      <c r="Z170">
        <v>1.5455950540958269E-3</v>
      </c>
      <c r="AA170">
        <v>9.5268339155287396E-4</v>
      </c>
      <c r="AC170" t="s">
        <v>174</v>
      </c>
      <c r="AD170" t="str">
        <f>VLOOKUP(AC170,'Reference table'!$J$2:$K$195,2,FALSE)</f>
        <v>Kyrgyzstan</v>
      </c>
      <c r="AE170">
        <v>6.164288682643025E-3</v>
      </c>
      <c r="AF170">
        <v>5.8678558854594528E-5</v>
      </c>
    </row>
    <row r="171" spans="1:32" x14ac:dyDescent="0.35">
      <c r="A171" t="s">
        <v>14</v>
      </c>
      <c r="B171">
        <v>1</v>
      </c>
      <c r="E171" t="s">
        <v>94</v>
      </c>
      <c r="F171">
        <v>1</v>
      </c>
      <c r="J171" t="str">
        <f>'Processed HWF'!B170</f>
        <v>TCD</v>
      </c>
      <c r="K171">
        <f>ROUND('Processed HWF'!D170/10000*'Processed HWF'!J170,0)</f>
        <v>1005</v>
      </c>
      <c r="L171">
        <f>ROUND('Processed HWF'!E170/10000*'Processed HWF'!J170,0)</f>
        <v>2627</v>
      </c>
      <c r="M171">
        <f t="shared" si="12"/>
        <v>13</v>
      </c>
      <c r="N171" t="e">
        <f t="shared" si="13"/>
        <v>#N/A</v>
      </c>
      <c r="O171">
        <f t="shared" si="14"/>
        <v>1.2935323383084577E-2</v>
      </c>
      <c r="P171" t="str">
        <f t="shared" si="15"/>
        <v>No data</v>
      </c>
      <c r="Q171" t="str">
        <f t="shared" si="16"/>
        <v>Less than 0.1</v>
      </c>
      <c r="R171" t="str">
        <f t="shared" si="17"/>
        <v>No data</v>
      </c>
      <c r="X171" t="s">
        <v>24</v>
      </c>
      <c r="Y171" t="str">
        <f>VLOOKUP(X171,'Reference table'!$J$2:$K$195,2,FALSE)</f>
        <v>Brunei Darussalam</v>
      </c>
      <c r="Z171">
        <v>1.4204545454545455E-3</v>
      </c>
      <c r="AA171">
        <v>1.937984496124031E-3</v>
      </c>
    </row>
    <row r="172" spans="1:32" x14ac:dyDescent="0.35">
      <c r="A172" t="s">
        <v>24</v>
      </c>
      <c r="B172">
        <v>1</v>
      </c>
      <c r="J172" t="str">
        <f>'Processed HWF'!B171</f>
        <v>TGO</v>
      </c>
      <c r="K172">
        <f>ROUND('Processed HWF'!D171/10000*'Processed HWF'!J171,0)</f>
        <v>685</v>
      </c>
      <c r="L172">
        <f>ROUND('Processed HWF'!E171/10000*'Processed HWF'!J171,0)</f>
        <v>2455</v>
      </c>
      <c r="M172">
        <f t="shared" si="12"/>
        <v>43</v>
      </c>
      <c r="N172">
        <f t="shared" si="13"/>
        <v>1051</v>
      </c>
      <c r="O172">
        <f t="shared" si="14"/>
        <v>6.2773722627737227E-2</v>
      </c>
      <c r="P172">
        <f t="shared" si="15"/>
        <v>0.42810590631364565</v>
      </c>
      <c r="Q172" t="str">
        <f t="shared" si="16"/>
        <v>Less than 0.1</v>
      </c>
      <c r="R172" t="str">
        <f t="shared" si="17"/>
        <v>Above 0.1</v>
      </c>
      <c r="X172" t="s">
        <v>14</v>
      </c>
      <c r="Y172" t="str">
        <f>VLOOKUP(X172,'Reference table'!$J$2:$K$195,2,FALSE)</f>
        <v>Barbados</v>
      </c>
      <c r="Z172">
        <v>1.3986013986013986E-3</v>
      </c>
      <c r="AA172">
        <v>2.551763367463026</v>
      </c>
    </row>
    <row r="173" spans="1:32" x14ac:dyDescent="0.35">
      <c r="A173" t="s">
        <v>138</v>
      </c>
      <c r="B173">
        <v>1</v>
      </c>
      <c r="J173" t="str">
        <f>'Processed HWF'!B172</f>
        <v>THA</v>
      </c>
      <c r="K173">
        <f>ROUND('Processed HWF'!D172/10000*'Processed HWF'!J172,0)</f>
        <v>66301</v>
      </c>
      <c r="L173">
        <f>ROUND('Processed HWF'!E172/10000*'Processed HWF'!J172,0)</f>
        <v>220104</v>
      </c>
      <c r="M173">
        <f t="shared" si="12"/>
        <v>89</v>
      </c>
      <c r="N173">
        <f t="shared" si="13"/>
        <v>6231</v>
      </c>
      <c r="O173">
        <f t="shared" si="14"/>
        <v>1.3423628602886833E-3</v>
      </c>
      <c r="P173">
        <f t="shared" si="15"/>
        <v>2.8309344673427106E-2</v>
      </c>
      <c r="Q173" t="str">
        <f t="shared" si="16"/>
        <v>Less than 0.1</v>
      </c>
      <c r="R173" t="str">
        <f t="shared" si="17"/>
        <v>Less than 0.1</v>
      </c>
      <c r="X173" t="s">
        <v>168</v>
      </c>
      <c r="Y173" t="str">
        <f>VLOOKUP(X173,'Reference table'!$J$2:$K$195,2,FALSE)</f>
        <v>Thailand</v>
      </c>
      <c r="Z173">
        <v>1.3423628602886833E-3</v>
      </c>
      <c r="AA173">
        <v>2.8309344673427106E-2</v>
      </c>
    </row>
    <row r="174" spans="1:32" x14ac:dyDescent="0.35">
      <c r="A174" t="s">
        <v>31</v>
      </c>
      <c r="B174">
        <v>1</v>
      </c>
      <c r="J174" t="str">
        <f>'Processed HWF'!B173</f>
        <v>TJK</v>
      </c>
      <c r="K174">
        <f>ROUND('Processed HWF'!D173/10000*'Processed HWF'!J173,0)</f>
        <v>16433</v>
      </c>
      <c r="L174">
        <f>ROUND('Processed HWF'!E173/10000*'Processed HWF'!J173,0)</f>
        <v>40098</v>
      </c>
      <c r="M174">
        <f t="shared" si="12"/>
        <v>92</v>
      </c>
      <c r="N174" t="e">
        <f t="shared" si="13"/>
        <v>#N/A</v>
      </c>
      <c r="O174">
        <f t="shared" si="14"/>
        <v>5.5984908415992211E-3</v>
      </c>
      <c r="P174" t="str">
        <f t="shared" si="15"/>
        <v>No data</v>
      </c>
      <c r="Q174" t="str">
        <f t="shared" si="16"/>
        <v>Less than 0.1</v>
      </c>
      <c r="R174" t="str">
        <f t="shared" si="17"/>
        <v>No data</v>
      </c>
      <c r="X174" t="s">
        <v>45</v>
      </c>
      <c r="Y174" t="str">
        <f>VLOOKUP(X174,'Reference table'!$J$2:$K$195,2,FALSE)</f>
        <v>Democratic People's Republic of Korea</v>
      </c>
      <c r="Z174">
        <v>1.3359421021627534E-3</v>
      </c>
      <c r="AA174" t="s">
        <v>915</v>
      </c>
    </row>
    <row r="175" spans="1:32" x14ac:dyDescent="0.35">
      <c r="A175" t="s">
        <v>39</v>
      </c>
      <c r="B175">
        <v>1</v>
      </c>
      <c r="J175" t="str">
        <f>'Processed HWF'!B174</f>
        <v>TKM</v>
      </c>
      <c r="K175">
        <f>ROUND('Processed HWF'!D174/10000*'Processed HWF'!J174,0)</f>
        <v>13418</v>
      </c>
      <c r="L175">
        <f>ROUND('Processed HWF'!E174/10000*'Processed HWF'!J174,0)</f>
        <v>25476</v>
      </c>
      <c r="M175">
        <f t="shared" si="12"/>
        <v>36</v>
      </c>
      <c r="N175" t="e">
        <f t="shared" si="13"/>
        <v>#N/A</v>
      </c>
      <c r="O175">
        <f t="shared" si="14"/>
        <v>2.682963183782978E-3</v>
      </c>
      <c r="P175" t="str">
        <f t="shared" si="15"/>
        <v>No data</v>
      </c>
      <c r="Q175" t="str">
        <f t="shared" si="16"/>
        <v>Less than 0.1</v>
      </c>
      <c r="R175" t="str">
        <f t="shared" si="17"/>
        <v>No data</v>
      </c>
      <c r="X175" t="s">
        <v>495</v>
      </c>
      <c r="Y175" t="str">
        <f>VLOOKUP(X175,'Reference table'!$J$2:$K$195,2,FALSE)</f>
        <v>Viet Nam</v>
      </c>
      <c r="Z175">
        <v>1.2897465152041272E-3</v>
      </c>
      <c r="AA175">
        <v>0.14289449483383523</v>
      </c>
    </row>
    <row r="176" spans="1:32" x14ac:dyDescent="0.35">
      <c r="A176" t="s">
        <v>304</v>
      </c>
      <c r="B176">
        <v>1</v>
      </c>
      <c r="J176" t="str">
        <f>'Processed HWF'!B175</f>
        <v>TLS</v>
      </c>
      <c r="K176">
        <f>ROUND('Processed HWF'!D175/10000*'Processed HWF'!J175,0)</f>
        <v>997</v>
      </c>
      <c r="L176">
        <f>ROUND('Processed HWF'!E175/10000*'Processed HWF'!J175,0)</f>
        <v>1627</v>
      </c>
      <c r="M176" t="e">
        <f t="shared" si="12"/>
        <v>#N/A</v>
      </c>
      <c r="N176" t="e">
        <f t="shared" si="13"/>
        <v>#N/A</v>
      </c>
      <c r="O176" t="str">
        <f t="shared" si="14"/>
        <v>No data</v>
      </c>
      <c r="P176" t="str">
        <f t="shared" si="15"/>
        <v>No data</v>
      </c>
      <c r="Q176" t="str">
        <f t="shared" si="16"/>
        <v>No data</v>
      </c>
      <c r="R176" t="str">
        <f t="shared" si="17"/>
        <v>No data</v>
      </c>
      <c r="X176" t="s">
        <v>120</v>
      </c>
      <c r="Y176" t="str">
        <f>VLOOKUP(X176,'Reference table'!$J$2:$K$195,2,FALSE)</f>
        <v>Mauritania</v>
      </c>
      <c r="Z176">
        <v>1.1534025374855825E-3</v>
      </c>
      <c r="AA176">
        <v>3.3398274422488171E-3</v>
      </c>
    </row>
    <row r="177" spans="1:27" x14ac:dyDescent="0.35">
      <c r="A177" t="s">
        <v>280</v>
      </c>
      <c r="B177">
        <v>1</v>
      </c>
      <c r="J177" t="str">
        <f>'Processed HWF'!B176</f>
        <v>TON</v>
      </c>
      <c r="K177">
        <f>ROUND('Processed HWF'!D176/10000*'Processed HWF'!J176,0)</f>
        <v>100</v>
      </c>
      <c r="L177">
        <f>ROUND('Processed HWF'!E176/10000*'Processed HWF'!J176,0)</f>
        <v>461</v>
      </c>
      <c r="M177" t="e">
        <f t="shared" si="12"/>
        <v>#N/A</v>
      </c>
      <c r="N177">
        <f t="shared" si="13"/>
        <v>500</v>
      </c>
      <c r="O177" t="str">
        <f t="shared" si="14"/>
        <v>No data</v>
      </c>
      <c r="P177">
        <f t="shared" si="15"/>
        <v>1.0845986984815619</v>
      </c>
      <c r="Q177" t="str">
        <f t="shared" si="16"/>
        <v>No data</v>
      </c>
      <c r="R177" t="str">
        <f t="shared" si="17"/>
        <v>Above 0.1</v>
      </c>
      <c r="X177" t="s">
        <v>83</v>
      </c>
      <c r="Y177" t="str">
        <f>VLOOKUP(X177,'Reference table'!$J$2:$K$195,2,FALSE)</f>
        <v>Brazil</v>
      </c>
      <c r="Z177">
        <v>1.0035357842947668E-3</v>
      </c>
      <c r="AA177">
        <v>3.4655579592801707E-3</v>
      </c>
    </row>
    <row r="178" spans="1:27" x14ac:dyDescent="0.35">
      <c r="A178" t="s">
        <v>120</v>
      </c>
      <c r="B178">
        <v>1</v>
      </c>
      <c r="J178" t="str">
        <f>'Processed HWF'!B177</f>
        <v>TTO</v>
      </c>
      <c r="K178">
        <f>ROUND('Processed HWF'!D177/10000*'Processed HWF'!J177,0)</f>
        <v>6264</v>
      </c>
      <c r="L178">
        <f>ROUND('Processed HWF'!E177/10000*'Processed HWF'!J177,0)</f>
        <v>5654</v>
      </c>
      <c r="M178">
        <f t="shared" si="12"/>
        <v>1</v>
      </c>
      <c r="N178">
        <f t="shared" si="13"/>
        <v>9052</v>
      </c>
      <c r="O178">
        <f t="shared" si="14"/>
        <v>1.5964240102171138E-4</v>
      </c>
      <c r="P178">
        <f t="shared" si="15"/>
        <v>1.6009904492394764</v>
      </c>
      <c r="Q178" t="str">
        <f t="shared" si="16"/>
        <v>Less than 0.1</v>
      </c>
      <c r="R178" t="str">
        <f t="shared" si="17"/>
        <v>Above 0.1</v>
      </c>
      <c r="X178" t="s">
        <v>339</v>
      </c>
      <c r="Y178" t="str">
        <f>VLOOKUP(X178,'Reference table'!$J$2:$K$195,2,FALSE)</f>
        <v>Republic of Korea</v>
      </c>
      <c r="Z178">
        <v>8.8676135917758764E-4</v>
      </c>
      <c r="AA178">
        <v>1.0699114161979725E-4</v>
      </c>
    </row>
    <row r="179" spans="1:27" x14ac:dyDescent="0.35">
      <c r="A179" t="s">
        <v>374</v>
      </c>
      <c r="B179">
        <v>1</v>
      </c>
      <c r="J179" t="str">
        <f>'Processed HWF'!B178</f>
        <v>TUN</v>
      </c>
      <c r="K179">
        <f>ROUND('Processed HWF'!D178/10000*'Processed HWF'!J178,0)</f>
        <v>15439</v>
      </c>
      <c r="L179">
        <f>ROUND('Processed HWF'!E178/10000*'Processed HWF'!J178,0)</f>
        <v>29794</v>
      </c>
      <c r="M179">
        <f t="shared" si="12"/>
        <v>3729</v>
      </c>
      <c r="N179">
        <f t="shared" si="13"/>
        <v>1189</v>
      </c>
      <c r="O179">
        <f t="shared" si="14"/>
        <v>0.24153118725306044</v>
      </c>
      <c r="P179">
        <f t="shared" si="15"/>
        <v>3.9907363898771565E-2</v>
      </c>
      <c r="Q179" t="str">
        <f t="shared" si="16"/>
        <v>Above 0.1</v>
      </c>
      <c r="R179" t="str">
        <f t="shared" si="17"/>
        <v>Less than 0.1</v>
      </c>
      <c r="X179" t="s">
        <v>127</v>
      </c>
      <c r="Y179" t="str">
        <f>VLOOKUP(X179,'Reference table'!$J$2:$K$195,2,FALSE)</f>
        <v>Japan</v>
      </c>
      <c r="Z179">
        <v>8.5639879531113701E-4</v>
      </c>
      <c r="AA179">
        <v>6.4301106046531723E-3</v>
      </c>
    </row>
    <row r="180" spans="1:27" x14ac:dyDescent="0.35">
      <c r="A180" t="s">
        <v>377</v>
      </c>
      <c r="B180">
        <v>1</v>
      </c>
      <c r="J180" t="str">
        <f>'Processed HWF'!B179</f>
        <v>TUR</v>
      </c>
      <c r="K180">
        <f>ROUND('Processed HWF'!D179/10000*'Processed HWF'!J179,0)</f>
        <v>162621</v>
      </c>
      <c r="L180">
        <f>ROUND('Processed HWF'!E179/10000*'Processed HWF'!J179,0)</f>
        <v>200334</v>
      </c>
      <c r="M180">
        <f t="shared" si="12"/>
        <v>1809</v>
      </c>
      <c r="N180">
        <f t="shared" si="13"/>
        <v>1486</v>
      </c>
      <c r="O180">
        <f t="shared" si="14"/>
        <v>1.1124024572472189E-2</v>
      </c>
      <c r="P180">
        <f t="shared" si="15"/>
        <v>7.417612586979744E-3</v>
      </c>
      <c r="Q180" t="str">
        <f t="shared" si="16"/>
        <v>Less than 0.1</v>
      </c>
      <c r="R180" t="str">
        <f t="shared" si="17"/>
        <v>Less than 0.1</v>
      </c>
      <c r="X180" t="s">
        <v>374</v>
      </c>
      <c r="Y180" t="str">
        <f>VLOOKUP(X180,'Reference table'!$J$2:$K$195,2,FALSE)</f>
        <v>Namibia</v>
      </c>
      <c r="Z180">
        <v>6.6666666666666664E-4</v>
      </c>
      <c r="AA180">
        <v>6.0422960725075529E-3</v>
      </c>
    </row>
    <row r="181" spans="1:27" x14ac:dyDescent="0.35">
      <c r="A181" t="s">
        <v>48</v>
      </c>
      <c r="B181">
        <v>1</v>
      </c>
      <c r="J181" t="str">
        <f>'Processed HWF'!B180</f>
        <v>TUV</v>
      </c>
      <c r="K181">
        <f>ROUND('Processed HWF'!D180/10000*'Processed HWF'!J180,0)</f>
        <v>14</v>
      </c>
      <c r="L181">
        <f>ROUND('Processed HWF'!E180/10000*'Processed HWF'!J180,0)</f>
        <v>41</v>
      </c>
      <c r="M181" t="e">
        <f t="shared" si="12"/>
        <v>#N/A</v>
      </c>
      <c r="N181" t="e">
        <f t="shared" si="13"/>
        <v>#N/A</v>
      </c>
      <c r="O181" t="str">
        <f t="shared" si="14"/>
        <v>No data</v>
      </c>
      <c r="P181" t="str">
        <f t="shared" si="15"/>
        <v>No data</v>
      </c>
      <c r="Q181" t="str">
        <f t="shared" si="16"/>
        <v>No data</v>
      </c>
      <c r="R181" t="str">
        <f t="shared" si="17"/>
        <v>No data</v>
      </c>
      <c r="X181" t="s">
        <v>50</v>
      </c>
      <c r="Y181" t="str">
        <f>VLOOKUP(X181,'Reference table'!$J$2:$K$195,2,FALSE)</f>
        <v>Democratic Republic of the Congo</v>
      </c>
      <c r="Z181">
        <v>3.5719601131120702E-4</v>
      </c>
      <c r="AA181">
        <v>9.0555102780041655E-5</v>
      </c>
    </row>
    <row r="182" spans="1:27" x14ac:dyDescent="0.35">
      <c r="A182" t="s">
        <v>147</v>
      </c>
      <c r="B182">
        <v>1</v>
      </c>
      <c r="J182" t="str">
        <f>'Processed HWF'!B181</f>
        <v>TZA</v>
      </c>
      <c r="K182">
        <f>ROUND('Processed HWF'!D181/10000*'Processed HWF'!J181,0)</f>
        <v>3061</v>
      </c>
      <c r="L182">
        <f>ROUND('Processed HWF'!E181/10000*'Processed HWF'!J181,0)</f>
        <v>33888</v>
      </c>
      <c r="M182">
        <f t="shared" si="12"/>
        <v>59</v>
      </c>
      <c r="N182">
        <f t="shared" si="13"/>
        <v>1012</v>
      </c>
      <c r="O182">
        <f t="shared" si="14"/>
        <v>1.9274746814766416E-2</v>
      </c>
      <c r="P182">
        <f t="shared" si="15"/>
        <v>2.986307837582625E-2</v>
      </c>
      <c r="Q182" t="str">
        <f t="shared" si="16"/>
        <v>Less than 0.1</v>
      </c>
      <c r="R182" t="str">
        <f t="shared" si="17"/>
        <v>Less than 0.1</v>
      </c>
      <c r="X182" t="s">
        <v>196</v>
      </c>
      <c r="Y182" t="str">
        <f>VLOOKUP(X182,'Reference table'!$J$2:$K$195,2,FALSE)</f>
        <v>China</v>
      </c>
      <c r="Z182">
        <v>3.3779920081196456E-4</v>
      </c>
      <c r="AA182">
        <v>4.3804130579613593E-3</v>
      </c>
    </row>
    <row r="183" spans="1:27" x14ac:dyDescent="0.35">
      <c r="A183" t="s">
        <v>419</v>
      </c>
      <c r="B183">
        <v>1</v>
      </c>
      <c r="J183" t="str">
        <f>'Processed HWF'!B182</f>
        <v>UGA</v>
      </c>
      <c r="K183">
        <f>ROUND('Processed HWF'!D182/10000*'Processed HWF'!J182,0)</f>
        <v>7037</v>
      </c>
      <c r="L183">
        <f>ROUND('Processed HWF'!E182/10000*'Processed HWF'!J182,0)</f>
        <v>51373</v>
      </c>
      <c r="M183">
        <f t="shared" si="12"/>
        <v>63</v>
      </c>
      <c r="N183">
        <f t="shared" si="13"/>
        <v>646</v>
      </c>
      <c r="O183">
        <f t="shared" si="14"/>
        <v>8.9526786983089388E-3</v>
      </c>
      <c r="P183">
        <f t="shared" si="15"/>
        <v>1.257469877172834E-2</v>
      </c>
      <c r="Q183" t="str">
        <f t="shared" si="16"/>
        <v>Less than 0.1</v>
      </c>
      <c r="R183" t="str">
        <f t="shared" si="17"/>
        <v>Less than 0.1</v>
      </c>
      <c r="X183" t="s">
        <v>512</v>
      </c>
      <c r="Y183" t="str">
        <f>VLOOKUP(X183,'Reference table'!$J$2:$K$195,2,FALSE)</f>
        <v>Qatar</v>
      </c>
      <c r="Z183">
        <v>2.7932960893854746E-4</v>
      </c>
      <c r="AA183">
        <v>1.9592476489028212E-4</v>
      </c>
    </row>
    <row r="184" spans="1:27" x14ac:dyDescent="0.35">
      <c r="A184" t="s">
        <v>455</v>
      </c>
      <c r="B184">
        <v>1</v>
      </c>
      <c r="J184" t="str">
        <f>'Processed HWF'!B183</f>
        <v>UKR</v>
      </c>
      <c r="K184">
        <f>ROUND('Processed HWF'!D183/10000*'Processed HWF'!J183,0)</f>
        <v>130897</v>
      </c>
      <c r="L184">
        <f>ROUND('Processed HWF'!E183/10000*'Processed HWF'!J183,0)</f>
        <v>275597</v>
      </c>
      <c r="M184">
        <f t="shared" si="12"/>
        <v>7612</v>
      </c>
      <c r="N184">
        <f t="shared" si="13"/>
        <v>10800</v>
      </c>
      <c r="O184">
        <f t="shared" si="14"/>
        <v>5.8152593260349737E-2</v>
      </c>
      <c r="P184">
        <f t="shared" si="15"/>
        <v>3.9187654437457593E-2</v>
      </c>
      <c r="Q184" t="str">
        <f t="shared" si="16"/>
        <v>Less than 0.1</v>
      </c>
      <c r="R184" t="str">
        <f t="shared" si="17"/>
        <v>Less than 0.1</v>
      </c>
      <c r="X184" t="s">
        <v>455</v>
      </c>
      <c r="Y184" t="str">
        <f>VLOOKUP(X184,'Reference table'!$J$2:$K$195,2,FALSE)</f>
        <v>Trinidad and Tobago</v>
      </c>
      <c r="Z184">
        <v>1.5964240102171138E-4</v>
      </c>
      <c r="AA184">
        <v>1.6009904492394764</v>
      </c>
    </row>
    <row r="185" spans="1:27" x14ac:dyDescent="0.35">
      <c r="J185" t="str">
        <f>'Processed HWF'!B184</f>
        <v>URY</v>
      </c>
      <c r="K185">
        <f>ROUND('Processed HWF'!D184/10000*'Processed HWF'!J184,0)</f>
        <v>17159</v>
      </c>
      <c r="L185">
        <f>ROUND('Processed HWF'!E184/10000*'Processed HWF'!J184,0)</f>
        <v>24514</v>
      </c>
      <c r="M185">
        <f t="shared" si="12"/>
        <v>157</v>
      </c>
      <c r="N185">
        <f t="shared" si="13"/>
        <v>361</v>
      </c>
      <c r="O185">
        <f t="shared" si="14"/>
        <v>9.1497173494958922E-3</v>
      </c>
      <c r="P185">
        <f t="shared" si="15"/>
        <v>1.4726278861058987E-2</v>
      </c>
      <c r="Q185" t="str">
        <f t="shared" si="16"/>
        <v>Less than 0.1</v>
      </c>
      <c r="R185" t="str">
        <f t="shared" si="17"/>
        <v>Less than 0.1</v>
      </c>
    </row>
    <row r="186" spans="1:27" x14ac:dyDescent="0.35">
      <c r="J186" t="str">
        <f>'Processed HWF'!B185</f>
        <v>USA</v>
      </c>
      <c r="K186">
        <f>ROUND('Processed HWF'!D185/10000*'Processed HWF'!J185,0)</f>
        <v>864171</v>
      </c>
      <c r="L186">
        <f>ROUND('Processed HWF'!E185/10000*'Processed HWF'!J185,0)</f>
        <v>5193307</v>
      </c>
      <c r="M186">
        <f t="shared" si="12"/>
        <v>3835</v>
      </c>
      <c r="N186">
        <f t="shared" si="13"/>
        <v>4997</v>
      </c>
      <c r="O186">
        <f t="shared" si="14"/>
        <v>4.4377790969611338E-3</v>
      </c>
      <c r="P186">
        <f t="shared" si="15"/>
        <v>9.6220000088575541E-4</v>
      </c>
      <c r="Q186" t="str">
        <f t="shared" si="16"/>
        <v>Less than 0.1</v>
      </c>
      <c r="R186" t="str">
        <f t="shared" si="17"/>
        <v>Less than 0.1</v>
      </c>
    </row>
    <row r="187" spans="1:27" x14ac:dyDescent="0.35">
      <c r="J187" t="str">
        <f>'Processed HWF'!B186</f>
        <v>UZB</v>
      </c>
      <c r="K187">
        <f>ROUND('Processed HWF'!D186/10000*'Processed HWF'!J186,0)</f>
        <v>79530</v>
      </c>
      <c r="L187">
        <f>ROUND('Processed HWF'!E186/10000*'Processed HWF'!J186,0)</f>
        <v>350321</v>
      </c>
      <c r="M187">
        <f t="shared" si="12"/>
        <v>994</v>
      </c>
      <c r="N187">
        <f t="shared" si="13"/>
        <v>1487</v>
      </c>
      <c r="O187">
        <f t="shared" si="14"/>
        <v>1.249842826606312E-2</v>
      </c>
      <c r="P187">
        <f t="shared" si="15"/>
        <v>4.2446784520482643E-3</v>
      </c>
      <c r="Q187" t="str">
        <f t="shared" si="16"/>
        <v>Less than 0.1</v>
      </c>
      <c r="R187" t="str">
        <f t="shared" si="17"/>
        <v>Less than 0.1</v>
      </c>
    </row>
    <row r="188" spans="1:27" x14ac:dyDescent="0.35">
      <c r="J188" t="str">
        <f>'Processed HWF'!B187</f>
        <v>VCT</v>
      </c>
      <c r="K188">
        <f>ROUND('Processed HWF'!D187/10000*'Processed HWF'!J187,0)</f>
        <v>104</v>
      </c>
      <c r="L188">
        <f>ROUND('Processed HWF'!E187/10000*'Processed HWF'!J187,0)</f>
        <v>778</v>
      </c>
      <c r="M188">
        <f t="shared" si="12"/>
        <v>42</v>
      </c>
      <c r="N188">
        <f t="shared" si="13"/>
        <v>1390</v>
      </c>
      <c r="O188">
        <f t="shared" si="14"/>
        <v>0.40384615384615385</v>
      </c>
      <c r="P188">
        <f t="shared" si="15"/>
        <v>1.7866323907455013</v>
      </c>
      <c r="Q188" t="str">
        <f t="shared" si="16"/>
        <v>Above 0.1</v>
      </c>
      <c r="R188" t="str">
        <f t="shared" si="17"/>
        <v>Above 0.1</v>
      </c>
    </row>
    <row r="189" spans="1:27" x14ac:dyDescent="0.35">
      <c r="J189" t="str">
        <f>'Processed HWF'!B188</f>
        <v>VEN</v>
      </c>
      <c r="K189">
        <f>ROUND('Processed HWF'!D188/10000*'Processed HWF'!J188,0)</f>
        <v>49198</v>
      </c>
      <c r="L189">
        <f>ROUND('Processed HWF'!E188/10000*'Processed HWF'!J188,0)</f>
        <v>58732</v>
      </c>
      <c r="M189">
        <f t="shared" si="12"/>
        <v>970</v>
      </c>
      <c r="N189">
        <f t="shared" si="13"/>
        <v>2393</v>
      </c>
      <c r="O189">
        <f t="shared" si="14"/>
        <v>1.9716248627993007E-2</v>
      </c>
      <c r="P189">
        <f t="shared" si="15"/>
        <v>4.0744398283729485E-2</v>
      </c>
      <c r="Q189" t="str">
        <f t="shared" si="16"/>
        <v>Less than 0.1</v>
      </c>
      <c r="R189" t="str">
        <f t="shared" si="17"/>
        <v>Less than 0.1</v>
      </c>
    </row>
    <row r="190" spans="1:27" x14ac:dyDescent="0.35">
      <c r="J190" t="str">
        <f>'Processed HWF'!B189</f>
        <v>VNM</v>
      </c>
      <c r="K190">
        <f>ROUND('Processed HWF'!D189/10000*'Processed HWF'!J189,0)</f>
        <v>80636</v>
      </c>
      <c r="L190">
        <f>ROUND('Processed HWF'!E189/10000*'Processed HWF'!J189,0)</f>
        <v>110914</v>
      </c>
      <c r="M190">
        <f t="shared" si="12"/>
        <v>104</v>
      </c>
      <c r="N190">
        <f t="shared" si="13"/>
        <v>15849</v>
      </c>
      <c r="O190">
        <f t="shared" si="14"/>
        <v>1.2897465152041272E-3</v>
      </c>
      <c r="P190">
        <f t="shared" si="15"/>
        <v>0.14289449483383523</v>
      </c>
      <c r="Q190" t="str">
        <f t="shared" si="16"/>
        <v>Less than 0.1</v>
      </c>
      <c r="R190" t="str">
        <f t="shared" si="17"/>
        <v>Above 0.1</v>
      </c>
    </row>
    <row r="191" spans="1:27" x14ac:dyDescent="0.35">
      <c r="J191" t="str">
        <f>'Processed HWF'!B190</f>
        <v>VUT</v>
      </c>
      <c r="K191">
        <f>ROUND('Processed HWF'!D190/10000*'Processed HWF'!J190,0)</f>
        <v>51</v>
      </c>
      <c r="L191">
        <f>ROUND('Processed HWF'!E190/10000*'Processed HWF'!J190,0)</f>
        <v>362</v>
      </c>
      <c r="M191" t="e">
        <f t="shared" si="12"/>
        <v>#N/A</v>
      </c>
      <c r="N191" t="e">
        <f t="shared" si="13"/>
        <v>#N/A</v>
      </c>
      <c r="O191" t="str">
        <f t="shared" si="14"/>
        <v>No data</v>
      </c>
      <c r="P191" t="str">
        <f t="shared" si="15"/>
        <v>No data</v>
      </c>
      <c r="Q191" t="str">
        <f t="shared" si="16"/>
        <v>No data</v>
      </c>
      <c r="R191" t="str">
        <f t="shared" si="17"/>
        <v>No data</v>
      </c>
    </row>
    <row r="192" spans="1:27" x14ac:dyDescent="0.35">
      <c r="J192" t="str">
        <f>'Processed HWF'!B191</f>
        <v>WSM</v>
      </c>
      <c r="K192">
        <f>ROUND('Processed HWF'!D191/10000*'Processed HWF'!J191,0)</f>
        <v>119</v>
      </c>
      <c r="L192">
        <f>ROUND('Processed HWF'!E191/10000*'Processed HWF'!J191,0)</f>
        <v>570</v>
      </c>
      <c r="M192" t="e">
        <f t="shared" si="12"/>
        <v>#N/A</v>
      </c>
      <c r="N192">
        <f t="shared" si="13"/>
        <v>305</v>
      </c>
      <c r="O192" t="str">
        <f t="shared" si="14"/>
        <v>No data</v>
      </c>
      <c r="P192">
        <f t="shared" si="15"/>
        <v>0.53508771929824561</v>
      </c>
      <c r="Q192" t="str">
        <f t="shared" si="16"/>
        <v>No data</v>
      </c>
      <c r="R192" t="str">
        <f t="shared" si="17"/>
        <v>Above 0.1</v>
      </c>
    </row>
    <row r="193" spans="10:18" x14ac:dyDescent="0.35">
      <c r="J193" t="str">
        <f>'Processed HWF'!B192</f>
        <v>YEM</v>
      </c>
      <c r="K193">
        <f>ROUND('Processed HWF'!D192/10000*'Processed HWF'!J192,0)</f>
        <v>15676</v>
      </c>
      <c r="L193">
        <f>ROUND('Processed HWF'!E192/10000*'Processed HWF'!J192,0)</f>
        <v>23418</v>
      </c>
      <c r="M193">
        <f t="shared" si="12"/>
        <v>357</v>
      </c>
      <c r="N193">
        <f t="shared" si="13"/>
        <v>247</v>
      </c>
      <c r="O193">
        <f t="shared" si="14"/>
        <v>2.2773666751722377E-2</v>
      </c>
      <c r="P193">
        <f t="shared" si="15"/>
        <v>1.0547442138525921E-2</v>
      </c>
      <c r="Q193" t="str">
        <f t="shared" si="16"/>
        <v>Less than 0.1</v>
      </c>
      <c r="R193" t="str">
        <f t="shared" si="17"/>
        <v>Less than 0.1</v>
      </c>
    </row>
    <row r="194" spans="10:18" x14ac:dyDescent="0.35">
      <c r="J194" t="str">
        <f>'Processed HWF'!B193</f>
        <v>ZAF</v>
      </c>
      <c r="K194">
        <f>ROUND('Processed HWF'!D193/10000*'Processed HWF'!J193,0)</f>
        <v>46954</v>
      </c>
      <c r="L194">
        <f>ROUND('Processed HWF'!E193/10000*'Processed HWF'!J193,0)</f>
        <v>294961</v>
      </c>
      <c r="M194">
        <f t="shared" si="12"/>
        <v>1667</v>
      </c>
      <c r="N194">
        <f t="shared" si="13"/>
        <v>6935</v>
      </c>
      <c r="O194">
        <f t="shared" si="14"/>
        <v>3.5502832559526347E-2</v>
      </c>
      <c r="P194">
        <f t="shared" si="15"/>
        <v>2.3511582887229158E-2</v>
      </c>
      <c r="Q194" t="str">
        <f t="shared" si="16"/>
        <v>Less than 0.1</v>
      </c>
      <c r="R194" t="str">
        <f t="shared" si="17"/>
        <v>Less than 0.1</v>
      </c>
    </row>
    <row r="195" spans="10:18" x14ac:dyDescent="0.35">
      <c r="J195" t="str">
        <f>'Processed HWF'!B194</f>
        <v>ZMB</v>
      </c>
      <c r="K195">
        <f>ROUND('Processed HWF'!D194/10000*'Processed HWF'!J194,0)</f>
        <v>2141</v>
      </c>
      <c r="L195">
        <f>ROUND('Processed HWF'!E194/10000*'Processed HWF'!J194,0)</f>
        <v>18233</v>
      </c>
      <c r="M195">
        <f t="shared" si="12"/>
        <v>74</v>
      </c>
      <c r="N195">
        <f t="shared" si="13"/>
        <v>1698</v>
      </c>
      <c r="O195">
        <f t="shared" si="14"/>
        <v>3.4563288183092011E-2</v>
      </c>
      <c r="P195">
        <f t="shared" si="15"/>
        <v>9.3127845115998462E-2</v>
      </c>
      <c r="Q195" t="str">
        <f t="shared" si="16"/>
        <v>Less than 0.1</v>
      </c>
      <c r="R195" t="str">
        <f t="shared" si="17"/>
        <v>Less than 0.1</v>
      </c>
    </row>
    <row r="196" spans="10:18" x14ac:dyDescent="0.35">
      <c r="J196" t="str">
        <f>'Processed HWF'!B195</f>
        <v>ZWE</v>
      </c>
      <c r="K196">
        <f>ROUND('Processed HWF'!D195/10000*'Processed HWF'!J195,0)</f>
        <v>2950</v>
      </c>
      <c r="L196">
        <f>ROUND('Processed HWF'!E195/10000*'Processed HWF'!J195,0)</f>
        <v>22443</v>
      </c>
      <c r="M196">
        <f t="shared" ref="M196" si="18">VLOOKUP(J196,A$3:B$184,2,FALSE)</f>
        <v>207</v>
      </c>
      <c r="N196">
        <f t="shared" ref="N196" si="19">VLOOKUP(J196,E$3:F$171,2,FALSE)</f>
        <v>4728</v>
      </c>
      <c r="O196">
        <f t="shared" ref="O196:P196" si="20">IF(_xlfn.IFNA(M196,0)=0,"No data",M196/K196)</f>
        <v>7.0169491525423733E-2</v>
      </c>
      <c r="P196">
        <f t="shared" si="20"/>
        <v>0.21066702312525062</v>
      </c>
      <c r="Q196" t="str">
        <f t="shared" ref="Q196:R196" si="21">IF(O196="No data","No data",IF(O196&lt;$Q$1,"Less than "&amp;$Q$1,"Above "&amp;$Q$1))</f>
        <v>Less than 0.1</v>
      </c>
      <c r="R196" t="str">
        <f t="shared" si="21"/>
        <v>Above 0.1</v>
      </c>
    </row>
    <row r="198" spans="10:18" x14ac:dyDescent="0.35">
      <c r="Q198">
        <f>COUNTIF(Q3:Q196,"Above 0.1")</f>
        <v>27</v>
      </c>
      <c r="R198">
        <f>COUNTIF(R3:R196,"Above 0.1")</f>
        <v>49</v>
      </c>
    </row>
  </sheetData>
  <sortState xmlns:xlrd2="http://schemas.microsoft.com/office/spreadsheetml/2017/richdata2" ref="AC3:AF170">
    <sortCondition descending="1" ref="AF3:AF170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5"/>
  <sheetViews>
    <sheetView tabSelected="1" topLeftCell="A175" workbookViewId="0">
      <selection activeCell="B10" sqref="B10"/>
    </sheetView>
  </sheetViews>
  <sheetFormatPr defaultRowHeight="14.5" x14ac:dyDescent="0.35"/>
  <cols>
    <col min="2" max="2" width="46.1796875" bestFit="1" customWidth="1"/>
  </cols>
  <sheetData>
    <row r="1" spans="1:17" x14ac:dyDescent="0.35">
      <c r="A1" t="s">
        <v>764</v>
      </c>
      <c r="B1" t="s">
        <v>765</v>
      </c>
      <c r="C1" t="s">
        <v>760</v>
      </c>
      <c r="D1" t="s">
        <v>548</v>
      </c>
      <c r="E1" t="s">
        <v>766</v>
      </c>
      <c r="F1" t="s">
        <v>767</v>
      </c>
      <c r="G1" t="s">
        <v>768</v>
      </c>
      <c r="H1" t="s">
        <v>769</v>
      </c>
      <c r="I1" t="s">
        <v>770</v>
      </c>
      <c r="J1" t="s">
        <v>771</v>
      </c>
      <c r="K1" t="s">
        <v>772</v>
      </c>
      <c r="L1" t="s">
        <v>773</v>
      </c>
      <c r="M1" t="s">
        <v>774</v>
      </c>
      <c r="N1" t="s">
        <v>775</v>
      </c>
      <c r="O1" t="s">
        <v>776</v>
      </c>
      <c r="P1" t="s">
        <v>777</v>
      </c>
      <c r="Q1" t="s">
        <v>778</v>
      </c>
    </row>
    <row r="2" spans="1:17" x14ac:dyDescent="0.35">
      <c r="A2" t="s">
        <v>20</v>
      </c>
      <c r="B2" t="s">
        <v>220</v>
      </c>
      <c r="C2" t="s">
        <v>222</v>
      </c>
      <c r="D2" t="s">
        <v>552</v>
      </c>
      <c r="E2">
        <v>52.933467864990234</v>
      </c>
      <c r="F2">
        <v>102.86308288574219</v>
      </c>
      <c r="G2">
        <v>2.774693489074707</v>
      </c>
      <c r="H2">
        <v>0</v>
      </c>
      <c r="I2">
        <v>5.7492451667785645</v>
      </c>
      <c r="J2">
        <v>7.2348551750183105</v>
      </c>
      <c r="K2">
        <v>52.933467864990234</v>
      </c>
      <c r="L2">
        <v>102.86308288574219</v>
      </c>
      <c r="M2">
        <v>2.774693489074707</v>
      </c>
      <c r="N2">
        <v>5.7492451667785645</v>
      </c>
      <c r="O2">
        <v>7.2348551750183105</v>
      </c>
      <c r="P2">
        <v>1120.19775390625</v>
      </c>
      <c r="Q2">
        <v>182.40139770507813</v>
      </c>
    </row>
    <row r="3" spans="1:17" x14ac:dyDescent="0.35">
      <c r="A3" t="s">
        <v>4</v>
      </c>
      <c r="B3" t="s">
        <v>504</v>
      </c>
      <c r="C3" t="s">
        <v>506</v>
      </c>
      <c r="D3" t="s">
        <v>552</v>
      </c>
      <c r="E3">
        <v>23.416116714477539</v>
      </c>
      <c r="F3">
        <v>46.832233428955078</v>
      </c>
      <c r="H3">
        <v>0</v>
      </c>
      <c r="I3">
        <v>6.7447285652160645</v>
      </c>
      <c r="J3">
        <v>4.914738655090332</v>
      </c>
      <c r="K3">
        <v>23.416116714477539</v>
      </c>
      <c r="L3">
        <v>46.832233428955078</v>
      </c>
      <c r="M3">
        <v>5.1814961433410645</v>
      </c>
      <c r="N3">
        <v>6.7447285652160645</v>
      </c>
      <c r="O3">
        <v>4.914738655090332</v>
      </c>
      <c r="P3">
        <v>0</v>
      </c>
      <c r="Q3">
        <v>0</v>
      </c>
    </row>
    <row r="4" spans="1:17" x14ac:dyDescent="0.35">
      <c r="A4" t="s">
        <v>20</v>
      </c>
      <c r="B4" t="s">
        <v>133</v>
      </c>
      <c r="C4" t="s">
        <v>135</v>
      </c>
      <c r="D4" t="s">
        <v>552</v>
      </c>
      <c r="E4">
        <v>60.734481811523438</v>
      </c>
      <c r="F4">
        <v>188.50430297851563</v>
      </c>
      <c r="G4">
        <v>12.151723861694336</v>
      </c>
      <c r="H4">
        <v>0</v>
      </c>
      <c r="I4">
        <v>10.992240905761719</v>
      </c>
      <c r="J4">
        <v>19.781896591186523</v>
      </c>
      <c r="K4">
        <v>60.734481811523438</v>
      </c>
      <c r="L4">
        <v>188.50430297851563</v>
      </c>
      <c r="M4">
        <v>12.151723861694336</v>
      </c>
      <c r="N4">
        <v>10.992240905761719</v>
      </c>
      <c r="O4">
        <v>19.781896591186523</v>
      </c>
      <c r="P4">
        <v>0</v>
      </c>
      <c r="Q4">
        <v>0</v>
      </c>
    </row>
    <row r="5" spans="1:17" x14ac:dyDescent="0.35">
      <c r="A5" t="s">
        <v>1</v>
      </c>
      <c r="B5" t="s">
        <v>28</v>
      </c>
      <c r="C5" t="s">
        <v>29</v>
      </c>
      <c r="D5" t="s">
        <v>552</v>
      </c>
      <c r="E5">
        <v>24.431818008422852</v>
      </c>
      <c r="F5">
        <v>110.85437774658203</v>
      </c>
      <c r="H5">
        <v>1</v>
      </c>
      <c r="I5">
        <v>6.6323528289794922</v>
      </c>
      <c r="J5">
        <v>11.102387428283691</v>
      </c>
      <c r="K5">
        <v>24.431818008422852</v>
      </c>
      <c r="L5">
        <v>110.85437774658203</v>
      </c>
      <c r="N5">
        <v>6.6323528289794922</v>
      </c>
      <c r="O5">
        <v>11.102387428283691</v>
      </c>
      <c r="P5">
        <v>0</v>
      </c>
      <c r="Q5">
        <v>0</v>
      </c>
    </row>
    <row r="6" spans="1:17" x14ac:dyDescent="0.35">
      <c r="A6" t="s">
        <v>0</v>
      </c>
      <c r="B6" t="s">
        <v>23</v>
      </c>
      <c r="C6" t="s">
        <v>24</v>
      </c>
      <c r="D6" t="s">
        <v>552</v>
      </c>
      <c r="E6">
        <v>16.090236663818359</v>
      </c>
      <c r="F6">
        <v>58.9798583984375</v>
      </c>
      <c r="H6">
        <v>1</v>
      </c>
      <c r="I6">
        <v>2.5386803150177002</v>
      </c>
      <c r="J6">
        <v>1.7111979722976685</v>
      </c>
      <c r="K6">
        <v>16.090236663818359</v>
      </c>
      <c r="L6">
        <v>58.9798583984375</v>
      </c>
      <c r="N6">
        <v>2.5386803150177002</v>
      </c>
      <c r="O6">
        <v>1.7111979722976685</v>
      </c>
      <c r="P6">
        <v>13.204122543334961</v>
      </c>
      <c r="Q6">
        <v>2.8210742473602295</v>
      </c>
    </row>
    <row r="7" spans="1:17" x14ac:dyDescent="0.35">
      <c r="A7" t="s">
        <v>20</v>
      </c>
      <c r="B7" t="s">
        <v>203</v>
      </c>
      <c r="C7" t="s">
        <v>205</v>
      </c>
      <c r="D7" t="s">
        <v>552</v>
      </c>
      <c r="E7">
        <v>33.336326599121094</v>
      </c>
      <c r="F7">
        <v>37.952125549316406</v>
      </c>
      <c r="G7">
        <v>2.179682731628418</v>
      </c>
      <c r="H7">
        <v>0</v>
      </c>
      <c r="I7">
        <v>8.2058649063110352</v>
      </c>
      <c r="J7">
        <v>10.129114151000977</v>
      </c>
      <c r="K7">
        <v>33.336326599121094</v>
      </c>
      <c r="L7">
        <v>37.952125549316406</v>
      </c>
      <c r="M7">
        <v>2.179682731628418</v>
      </c>
      <c r="N7">
        <v>8.2058649063110352</v>
      </c>
      <c r="O7">
        <v>10.129114151000977</v>
      </c>
      <c r="P7">
        <v>15.10159969329834</v>
      </c>
      <c r="Q7">
        <v>2.4589879512786865</v>
      </c>
    </row>
    <row r="8" spans="1:17" x14ac:dyDescent="0.35">
      <c r="A8" t="s">
        <v>0</v>
      </c>
      <c r="B8" t="s">
        <v>11</v>
      </c>
      <c r="C8" t="s">
        <v>12</v>
      </c>
      <c r="D8" t="s">
        <v>552</v>
      </c>
      <c r="E8">
        <v>41.291374206542969</v>
      </c>
      <c r="F8">
        <v>122.97856903076172</v>
      </c>
      <c r="G8">
        <v>8.4265871047973633</v>
      </c>
      <c r="H8">
        <v>0</v>
      </c>
      <c r="I8">
        <v>6.1575398445129395</v>
      </c>
      <c r="J8">
        <v>8.9678573608398438</v>
      </c>
      <c r="K8">
        <v>41.291374206542969</v>
      </c>
      <c r="L8">
        <v>122.97856903076172</v>
      </c>
      <c r="M8">
        <v>8.4265871047973633</v>
      </c>
      <c r="N8">
        <v>6.1575398445129395</v>
      </c>
      <c r="O8">
        <v>8.9678573608398438</v>
      </c>
      <c r="P8">
        <v>0</v>
      </c>
      <c r="Q8">
        <v>0</v>
      </c>
    </row>
    <row r="9" spans="1:17" x14ac:dyDescent="0.35">
      <c r="A9" t="s">
        <v>20</v>
      </c>
      <c r="B9" t="s">
        <v>535</v>
      </c>
      <c r="C9" t="s">
        <v>536</v>
      </c>
      <c r="D9" t="s">
        <v>552</v>
      </c>
      <c r="E9">
        <v>30.030485153198242</v>
      </c>
      <c r="F9">
        <v>83.675697326660156</v>
      </c>
      <c r="G9">
        <v>4.8363771438598633</v>
      </c>
      <c r="H9">
        <v>0</v>
      </c>
      <c r="I9">
        <v>5.3599410057067871</v>
      </c>
      <c r="J9">
        <v>8.4268045425415039</v>
      </c>
      <c r="K9">
        <v>30.030485153198242</v>
      </c>
      <c r="L9">
        <v>83.675697326660156</v>
      </c>
      <c r="M9">
        <v>4.8363771438598633</v>
      </c>
      <c r="N9">
        <v>5.3599410057067871</v>
      </c>
      <c r="O9">
        <v>8.4268045425415039</v>
      </c>
      <c r="P9">
        <v>0</v>
      </c>
      <c r="Q9">
        <v>0</v>
      </c>
    </row>
    <row r="10" spans="1:17" x14ac:dyDescent="0.35">
      <c r="A10" t="s">
        <v>0</v>
      </c>
      <c r="B10" t="s">
        <v>338</v>
      </c>
      <c r="C10" t="s">
        <v>339</v>
      </c>
      <c r="D10" t="s">
        <v>552</v>
      </c>
      <c r="E10">
        <v>24.855077743530273</v>
      </c>
      <c r="F10">
        <v>80.213668823242188</v>
      </c>
      <c r="G10">
        <v>1.6107422113418579</v>
      </c>
      <c r="H10">
        <v>0</v>
      </c>
      <c r="I10">
        <v>5.1730470657348633</v>
      </c>
      <c r="J10">
        <v>7.6056642532348633</v>
      </c>
      <c r="K10">
        <v>24.855077743530273</v>
      </c>
      <c r="L10">
        <v>80.213668823242188</v>
      </c>
      <c r="M10">
        <v>1.6107422113418579</v>
      </c>
      <c r="N10">
        <v>5.1730470657348633</v>
      </c>
      <c r="O10">
        <v>7.6056642532348633</v>
      </c>
      <c r="P10">
        <v>14386.375</v>
      </c>
      <c r="Q10">
        <v>3073.66357421875</v>
      </c>
    </row>
    <row r="11" spans="1:17" x14ac:dyDescent="0.35">
      <c r="A11" t="s">
        <v>20</v>
      </c>
      <c r="B11" t="s">
        <v>314</v>
      </c>
      <c r="C11" t="s">
        <v>316</v>
      </c>
      <c r="D11" t="s">
        <v>552</v>
      </c>
      <c r="E11">
        <v>41.411407470703125</v>
      </c>
      <c r="F11">
        <v>167.82417297363281</v>
      </c>
      <c r="H11">
        <v>1</v>
      </c>
      <c r="I11">
        <v>8.4981689453125</v>
      </c>
      <c r="J11">
        <v>6.095238208770752</v>
      </c>
      <c r="K11">
        <v>41.411407470703125</v>
      </c>
      <c r="L11">
        <v>167.82417297363281</v>
      </c>
      <c r="N11">
        <v>8.4981689453125</v>
      </c>
      <c r="O11">
        <v>6.095238208770752</v>
      </c>
      <c r="P11">
        <v>0</v>
      </c>
      <c r="Q11">
        <v>0</v>
      </c>
    </row>
    <row r="12" spans="1:17" x14ac:dyDescent="0.35">
      <c r="A12" t="s">
        <v>20</v>
      </c>
      <c r="B12" t="s">
        <v>501</v>
      </c>
      <c r="C12" t="s">
        <v>503</v>
      </c>
      <c r="D12" t="s">
        <v>552</v>
      </c>
      <c r="E12">
        <v>36.258853912353516</v>
      </c>
      <c r="F12">
        <v>117.24281311035156</v>
      </c>
      <c r="G12">
        <v>2.6757426261901855</v>
      </c>
      <c r="H12">
        <v>0</v>
      </c>
      <c r="I12">
        <v>11.701174736022949</v>
      </c>
      <c r="J12">
        <v>9.8873081207275391</v>
      </c>
      <c r="K12">
        <v>36.258853912353516</v>
      </c>
      <c r="L12">
        <v>117.24281311035156</v>
      </c>
      <c r="M12">
        <v>2.6757426261901855</v>
      </c>
      <c r="N12">
        <v>11.701174736022949</v>
      </c>
      <c r="O12">
        <v>9.8873081207275391</v>
      </c>
      <c r="P12">
        <v>1178.8643798828125</v>
      </c>
      <c r="Q12">
        <v>191.95405578613281</v>
      </c>
    </row>
    <row r="13" spans="1:17" x14ac:dyDescent="0.35">
      <c r="A13" t="s">
        <v>0</v>
      </c>
      <c r="B13" t="s">
        <v>186</v>
      </c>
      <c r="C13" t="s">
        <v>187</v>
      </c>
      <c r="D13" t="s">
        <v>552</v>
      </c>
      <c r="E13">
        <v>36.182407379150391</v>
      </c>
      <c r="F13">
        <v>111.84237670898438</v>
      </c>
      <c r="G13">
        <v>5.9204936027526855</v>
      </c>
      <c r="H13">
        <v>0</v>
      </c>
      <c r="I13">
        <v>6.4874758720397949</v>
      </c>
      <c r="J13">
        <v>7.5732550621032715</v>
      </c>
      <c r="K13">
        <v>36.182407379150391</v>
      </c>
      <c r="L13">
        <v>111.84237670898438</v>
      </c>
      <c r="M13">
        <v>5.9204936027526855</v>
      </c>
      <c r="N13">
        <v>6.4874758720397949</v>
      </c>
      <c r="O13">
        <v>7.5732550621032715</v>
      </c>
      <c r="P13">
        <v>0</v>
      </c>
      <c r="Q13">
        <v>0</v>
      </c>
    </row>
    <row r="14" spans="1:17" x14ac:dyDescent="0.35">
      <c r="A14" t="s">
        <v>20</v>
      </c>
      <c r="B14" t="s">
        <v>361</v>
      </c>
      <c r="C14" t="s">
        <v>363</v>
      </c>
      <c r="D14" t="s">
        <v>552</v>
      </c>
      <c r="E14">
        <v>28.600490570068359</v>
      </c>
      <c r="F14">
        <v>85.872673034667969</v>
      </c>
      <c r="G14">
        <v>8.9697332382202148</v>
      </c>
      <c r="H14">
        <v>0</v>
      </c>
      <c r="I14">
        <v>4.8367648124694824</v>
      </c>
      <c r="J14">
        <v>12.870221138000488</v>
      </c>
      <c r="K14">
        <v>28.600490570068359</v>
      </c>
      <c r="L14">
        <v>85.872673034667969</v>
      </c>
      <c r="M14">
        <v>8.9697332382202148</v>
      </c>
      <c r="N14">
        <v>4.8367648124694824</v>
      </c>
      <c r="O14">
        <v>12.870221138000488</v>
      </c>
      <c r="P14">
        <v>0</v>
      </c>
      <c r="Q14">
        <v>0</v>
      </c>
    </row>
    <row r="15" spans="1:17" x14ac:dyDescent="0.35">
      <c r="A15" t="s">
        <v>20</v>
      </c>
      <c r="B15" t="s">
        <v>200</v>
      </c>
      <c r="C15" t="s">
        <v>202</v>
      </c>
      <c r="D15" t="s">
        <v>552</v>
      </c>
      <c r="E15">
        <v>54.977451324462891</v>
      </c>
      <c r="F15">
        <v>71.370590209960938</v>
      </c>
      <c r="G15">
        <v>2.9166667461395264</v>
      </c>
      <c r="H15">
        <v>0</v>
      </c>
      <c r="I15">
        <v>10.578640937805176</v>
      </c>
      <c r="J15">
        <v>9.3980388641357422</v>
      </c>
      <c r="K15">
        <v>54.977451324462891</v>
      </c>
      <c r="L15">
        <v>71.370590209960938</v>
      </c>
      <c r="M15">
        <v>2.9166667461395264</v>
      </c>
      <c r="N15">
        <v>10.578640937805176</v>
      </c>
      <c r="O15">
        <v>9.3980388641357422</v>
      </c>
      <c r="P15">
        <v>1095.676513671875</v>
      </c>
      <c r="Q15">
        <v>178.40859985351563</v>
      </c>
    </row>
    <row r="16" spans="1:17" x14ac:dyDescent="0.35">
      <c r="A16" t="s">
        <v>4</v>
      </c>
      <c r="B16" t="s">
        <v>157</v>
      </c>
      <c r="C16" t="s">
        <v>159</v>
      </c>
      <c r="D16" t="s">
        <v>552</v>
      </c>
      <c r="E16">
        <v>27.395402908325195</v>
      </c>
      <c r="F16">
        <v>56.824199676513672</v>
      </c>
      <c r="G16">
        <v>1.2962099313735962</v>
      </c>
      <c r="H16">
        <v>0</v>
      </c>
      <c r="I16">
        <v>5.6385059356689453</v>
      </c>
      <c r="J16">
        <v>8.6424331665039063</v>
      </c>
      <c r="K16">
        <v>27.395402908325195</v>
      </c>
      <c r="L16">
        <v>56.824199676513672</v>
      </c>
      <c r="M16">
        <v>1.2962099313735962</v>
      </c>
      <c r="N16">
        <v>5.6385059356689453</v>
      </c>
      <c r="O16">
        <v>8.6424331665039063</v>
      </c>
      <c r="P16">
        <v>12530.4609375</v>
      </c>
      <c r="Q16">
        <v>3761.76904296875</v>
      </c>
    </row>
    <row r="17" spans="1:17" x14ac:dyDescent="0.35">
      <c r="A17" t="s">
        <v>1</v>
      </c>
      <c r="B17" t="s">
        <v>542</v>
      </c>
      <c r="C17" t="s">
        <v>543</v>
      </c>
      <c r="D17" t="s">
        <v>552</v>
      </c>
      <c r="E17">
        <v>26.107675552368164</v>
      </c>
      <c r="F17">
        <v>156.896240234375</v>
      </c>
      <c r="H17">
        <v>1</v>
      </c>
      <c r="I17">
        <v>6.101773738861084</v>
      </c>
      <c r="J17">
        <v>9.2489967346191406</v>
      </c>
      <c r="K17">
        <v>26.107675552368164</v>
      </c>
      <c r="L17">
        <v>156.896240234375</v>
      </c>
      <c r="N17">
        <v>6.101773738861084</v>
      </c>
      <c r="O17">
        <v>9.2489967346191406</v>
      </c>
      <c r="P17">
        <v>0</v>
      </c>
      <c r="Q17">
        <v>0</v>
      </c>
    </row>
    <row r="18" spans="1:17" x14ac:dyDescent="0.35">
      <c r="A18" t="s">
        <v>20</v>
      </c>
      <c r="B18" t="s">
        <v>163</v>
      </c>
      <c r="C18" t="s">
        <v>165</v>
      </c>
      <c r="D18" t="s">
        <v>552</v>
      </c>
      <c r="E18">
        <v>71.179000854492188</v>
      </c>
      <c r="F18">
        <v>110.75521087646484</v>
      </c>
      <c r="G18">
        <v>13.109999656677246</v>
      </c>
      <c r="H18">
        <v>0</v>
      </c>
      <c r="I18">
        <v>8.2353639602661133</v>
      </c>
      <c r="J18">
        <v>16.232000350952148</v>
      </c>
      <c r="K18">
        <v>71.179000854492188</v>
      </c>
      <c r="L18">
        <v>110.75521087646484</v>
      </c>
      <c r="M18">
        <v>13.109999656677246</v>
      </c>
      <c r="N18">
        <v>8.2353639602661133</v>
      </c>
      <c r="O18">
        <v>16.232000350952148</v>
      </c>
      <c r="P18">
        <v>0</v>
      </c>
      <c r="Q18">
        <v>0</v>
      </c>
    </row>
    <row r="19" spans="1:17" x14ac:dyDescent="0.35">
      <c r="A19" t="s">
        <v>20</v>
      </c>
      <c r="B19" t="s">
        <v>516</v>
      </c>
      <c r="C19" t="s">
        <v>518</v>
      </c>
      <c r="D19" t="s">
        <v>552</v>
      </c>
      <c r="E19">
        <v>43.804359436035156</v>
      </c>
      <c r="F19">
        <v>179.25448608398438</v>
      </c>
      <c r="G19">
        <v>3.3510406017303467</v>
      </c>
      <c r="H19">
        <v>0</v>
      </c>
      <c r="I19">
        <v>4.0517444610595703</v>
      </c>
      <c r="J19">
        <v>6.7148847579956055</v>
      </c>
      <c r="K19">
        <v>43.804359436035156</v>
      </c>
      <c r="L19">
        <v>179.25448608398438</v>
      </c>
      <c r="M19">
        <v>3.3510406017303467</v>
      </c>
      <c r="N19">
        <v>4.0517444610595703</v>
      </c>
      <c r="O19">
        <v>6.7148847579956055</v>
      </c>
      <c r="P19">
        <v>480.61956787109375</v>
      </c>
      <c r="Q19">
        <v>78.259109497070313</v>
      </c>
    </row>
    <row r="20" spans="1:17" x14ac:dyDescent="0.35">
      <c r="A20" t="s">
        <v>20</v>
      </c>
      <c r="B20" t="s">
        <v>206</v>
      </c>
      <c r="C20" t="s">
        <v>208</v>
      </c>
      <c r="D20" t="s">
        <v>552</v>
      </c>
      <c r="E20">
        <v>75.02679443359375</v>
      </c>
      <c r="F20">
        <v>196.1414794921875</v>
      </c>
      <c r="G20">
        <v>5.3590569496154785</v>
      </c>
      <c r="H20">
        <v>0</v>
      </c>
      <c r="I20">
        <v>10.182208061218262</v>
      </c>
      <c r="J20">
        <v>26.259378433227539</v>
      </c>
      <c r="K20">
        <v>75.02679443359375</v>
      </c>
      <c r="L20">
        <v>196.1414794921875</v>
      </c>
      <c r="M20">
        <v>5.3590569496154785</v>
      </c>
      <c r="N20">
        <v>10.182208061218262</v>
      </c>
      <c r="O20">
        <v>26.259378433227539</v>
      </c>
      <c r="P20">
        <v>0</v>
      </c>
      <c r="Q20">
        <v>0</v>
      </c>
    </row>
    <row r="21" spans="1:17" x14ac:dyDescent="0.35">
      <c r="A21" t="s">
        <v>20</v>
      </c>
      <c r="B21" t="s">
        <v>426</v>
      </c>
      <c r="C21" t="s">
        <v>428</v>
      </c>
      <c r="D21" t="s">
        <v>552</v>
      </c>
      <c r="E21">
        <v>32.771205902099609</v>
      </c>
      <c r="F21">
        <v>103.25912475585938</v>
      </c>
      <c r="G21">
        <v>1.3133498430252075</v>
      </c>
      <c r="H21">
        <v>0</v>
      </c>
      <c r="I21">
        <v>7.2835593223571777</v>
      </c>
      <c r="J21">
        <v>7.2931809425354004</v>
      </c>
      <c r="K21">
        <v>32.771205902099609</v>
      </c>
      <c r="L21">
        <v>103.25912475585938</v>
      </c>
      <c r="M21">
        <v>1.3133498430252075</v>
      </c>
      <c r="N21">
        <v>7.2835593223571777</v>
      </c>
      <c r="O21">
        <v>7.2931809425354004</v>
      </c>
      <c r="P21">
        <v>621.466552734375</v>
      </c>
      <c r="Q21">
        <v>101.19316864013672</v>
      </c>
    </row>
    <row r="22" spans="1:17" x14ac:dyDescent="0.35">
      <c r="A22" t="s">
        <v>4</v>
      </c>
      <c r="B22" t="s">
        <v>533</v>
      </c>
      <c r="C22" t="s">
        <v>534</v>
      </c>
      <c r="D22" t="s">
        <v>552</v>
      </c>
      <c r="E22">
        <v>26.010881423950195</v>
      </c>
      <c r="F22">
        <v>57.4605712890625</v>
      </c>
      <c r="H22">
        <v>0</v>
      </c>
      <c r="I22">
        <v>6.7304463386535645</v>
      </c>
      <c r="J22">
        <v>12.10477352142334</v>
      </c>
      <c r="K22">
        <v>26.010881423950195</v>
      </c>
      <c r="L22">
        <v>57.4605712890625</v>
      </c>
      <c r="M22">
        <v>5.1814961433410645</v>
      </c>
      <c r="N22">
        <v>6.7304463386535645</v>
      </c>
      <c r="O22">
        <v>12.10477352142334</v>
      </c>
      <c r="P22">
        <v>0</v>
      </c>
      <c r="Q22">
        <v>0</v>
      </c>
    </row>
    <row r="23" spans="1:17" x14ac:dyDescent="0.35">
      <c r="A23" t="s">
        <v>0</v>
      </c>
      <c r="B23" t="s">
        <v>423</v>
      </c>
      <c r="C23" t="s">
        <v>425</v>
      </c>
      <c r="D23" t="s">
        <v>552</v>
      </c>
      <c r="E23">
        <v>24.600543975830078</v>
      </c>
      <c r="F23">
        <v>62.431217193603516</v>
      </c>
      <c r="H23">
        <v>1</v>
      </c>
      <c r="I23">
        <v>4.1042098999023438</v>
      </c>
      <c r="J23">
        <v>5.0852327346801758</v>
      </c>
      <c r="K23">
        <v>24.600543975830078</v>
      </c>
      <c r="L23">
        <v>62.431217193603516</v>
      </c>
      <c r="N23">
        <v>4.1042098999023438</v>
      </c>
      <c r="O23">
        <v>5.0852327346801758</v>
      </c>
      <c r="P23">
        <v>0</v>
      </c>
      <c r="Q23">
        <v>0</v>
      </c>
    </row>
    <row r="24" spans="1:17" x14ac:dyDescent="0.35">
      <c r="A24" t="s">
        <v>20</v>
      </c>
      <c r="B24" t="s">
        <v>111</v>
      </c>
      <c r="C24" t="s">
        <v>112</v>
      </c>
      <c r="D24" t="s">
        <v>552</v>
      </c>
      <c r="E24">
        <v>34.896137237548828</v>
      </c>
      <c r="F24">
        <v>157.94169616699219</v>
      </c>
      <c r="G24">
        <v>21.839231491088867</v>
      </c>
      <c r="H24">
        <v>0</v>
      </c>
      <c r="I24">
        <v>6.6669421195983887</v>
      </c>
      <c r="J24">
        <v>13.704494476318359</v>
      </c>
      <c r="K24">
        <v>34.896137237548828</v>
      </c>
      <c r="L24">
        <v>157.94169616699219</v>
      </c>
      <c r="M24">
        <v>21.839231491088867</v>
      </c>
      <c r="N24">
        <v>6.6669421195983887</v>
      </c>
      <c r="O24">
        <v>13.704494476318359</v>
      </c>
      <c r="P24">
        <v>0</v>
      </c>
      <c r="Q24">
        <v>0</v>
      </c>
    </row>
    <row r="25" spans="1:17" x14ac:dyDescent="0.35">
      <c r="A25" t="s">
        <v>4</v>
      </c>
      <c r="B25" t="s">
        <v>510</v>
      </c>
      <c r="C25" t="s">
        <v>512</v>
      </c>
      <c r="D25" t="s">
        <v>552</v>
      </c>
      <c r="E25">
        <v>24.851869583129883</v>
      </c>
      <c r="F25">
        <v>70.863601684570313</v>
      </c>
      <c r="G25">
        <v>1.1072437763214111</v>
      </c>
      <c r="H25">
        <v>0</v>
      </c>
      <c r="I25">
        <v>6.1474447250366211</v>
      </c>
      <c r="J25">
        <v>8.8938999176025391</v>
      </c>
      <c r="K25">
        <v>24.851869583129883</v>
      </c>
      <c r="L25">
        <v>70.863601684570313</v>
      </c>
      <c r="M25">
        <v>1.1072437763214111</v>
      </c>
      <c r="N25">
        <v>6.1474447250366211</v>
      </c>
      <c r="O25">
        <v>8.8938999176025391</v>
      </c>
      <c r="P25">
        <v>1115.183349609375</v>
      </c>
      <c r="Q25">
        <v>334.78912353515625</v>
      </c>
    </row>
    <row r="26" spans="1:17" x14ac:dyDescent="0.35">
      <c r="A26" t="s">
        <v>20</v>
      </c>
      <c r="B26" t="s">
        <v>265</v>
      </c>
      <c r="C26" t="s">
        <v>267</v>
      </c>
      <c r="D26" t="s">
        <v>552</v>
      </c>
      <c r="E26">
        <v>31.437358856201172</v>
      </c>
      <c r="F26">
        <v>52.512886047363281</v>
      </c>
      <c r="G26">
        <v>2.7949881553649902</v>
      </c>
      <c r="H26">
        <v>0</v>
      </c>
      <c r="I26">
        <v>8.0385990142822266</v>
      </c>
      <c r="J26">
        <v>6.4600205421447754</v>
      </c>
      <c r="K26">
        <v>31.437358856201172</v>
      </c>
      <c r="L26">
        <v>52.512886047363281</v>
      </c>
      <c r="M26">
        <v>2.7949881553649902</v>
      </c>
      <c r="N26">
        <v>8.0385990142822266</v>
      </c>
      <c r="O26">
        <v>6.4600205421447754</v>
      </c>
      <c r="P26">
        <v>147.24223327636719</v>
      </c>
      <c r="Q26">
        <v>23.975399017333984</v>
      </c>
    </row>
    <row r="27" spans="1:17" x14ac:dyDescent="0.35">
      <c r="A27" t="s">
        <v>20</v>
      </c>
      <c r="B27" t="s">
        <v>100</v>
      </c>
      <c r="C27" t="s">
        <v>102</v>
      </c>
      <c r="D27" t="s">
        <v>552</v>
      </c>
      <c r="E27">
        <v>62.912380218505859</v>
      </c>
      <c r="F27">
        <v>34.524761199951172</v>
      </c>
      <c r="G27">
        <v>2.7180953025817871</v>
      </c>
      <c r="H27">
        <v>0</v>
      </c>
      <c r="I27">
        <v>12.822856903076172</v>
      </c>
      <c r="J27">
        <v>10.826666831970215</v>
      </c>
      <c r="K27">
        <v>62.912380218505859</v>
      </c>
      <c r="L27">
        <v>34.524761199951172</v>
      </c>
      <c r="M27">
        <v>2.7180953025817871</v>
      </c>
      <c r="N27">
        <v>12.822856903076172</v>
      </c>
      <c r="O27">
        <v>10.826666831970215</v>
      </c>
      <c r="P27">
        <v>1363.8416748046875</v>
      </c>
      <c r="Q27">
        <v>222.07383728027344</v>
      </c>
    </row>
    <row r="28" spans="1:17" x14ac:dyDescent="0.35">
      <c r="A28" t="s">
        <v>20</v>
      </c>
      <c r="B28" t="s">
        <v>154</v>
      </c>
      <c r="C28" t="s">
        <v>156</v>
      </c>
      <c r="D28" t="s">
        <v>552</v>
      </c>
      <c r="E28">
        <v>50.469985961914063</v>
      </c>
      <c r="F28">
        <v>178.7413330078125</v>
      </c>
      <c r="G28">
        <v>5.4747600555419922</v>
      </c>
      <c r="H28">
        <v>0</v>
      </c>
      <c r="I28">
        <v>9.0440530776977539</v>
      </c>
      <c r="J28">
        <v>8.7581405639648438</v>
      </c>
      <c r="K28">
        <v>50.469985961914063</v>
      </c>
      <c r="L28">
        <v>178.7413330078125</v>
      </c>
      <c r="M28">
        <v>5.4747600555419922</v>
      </c>
      <c r="N28">
        <v>9.0440530776977539</v>
      </c>
      <c r="O28">
        <v>8.7581405639648438</v>
      </c>
      <c r="P28">
        <v>0</v>
      </c>
      <c r="Q28">
        <v>0</v>
      </c>
    </row>
    <row r="29" spans="1:17" x14ac:dyDescent="0.35">
      <c r="A29" t="s">
        <v>20</v>
      </c>
      <c r="B29" t="s">
        <v>287</v>
      </c>
      <c r="C29" t="s">
        <v>289</v>
      </c>
      <c r="D29" t="s">
        <v>552</v>
      </c>
      <c r="E29">
        <v>46.403995513916016</v>
      </c>
      <c r="F29">
        <v>210.02484130859375</v>
      </c>
      <c r="G29">
        <v>13.055480003356934</v>
      </c>
      <c r="H29">
        <v>0</v>
      </c>
      <c r="I29">
        <v>10.755832672119141</v>
      </c>
      <c r="J29">
        <v>19.244611740112305</v>
      </c>
      <c r="K29">
        <v>46.403995513916016</v>
      </c>
      <c r="L29">
        <v>210.02484130859375</v>
      </c>
      <c r="M29">
        <v>13.055480003356934</v>
      </c>
      <c r="N29">
        <v>10.755832672119141</v>
      </c>
      <c r="O29">
        <v>19.244611740112305</v>
      </c>
      <c r="P29">
        <v>0</v>
      </c>
      <c r="Q29">
        <v>0</v>
      </c>
    </row>
    <row r="30" spans="1:17" x14ac:dyDescent="0.35">
      <c r="A30" t="s">
        <v>20</v>
      </c>
      <c r="B30" t="s">
        <v>92</v>
      </c>
      <c r="C30" t="s">
        <v>94</v>
      </c>
      <c r="D30" t="s">
        <v>552</v>
      </c>
      <c r="E30">
        <v>30.071935653686523</v>
      </c>
      <c r="F30">
        <v>118.12526702880859</v>
      </c>
      <c r="G30">
        <v>3.6153900623321533</v>
      </c>
      <c r="H30">
        <v>0</v>
      </c>
      <c r="I30">
        <v>9.8156147003173828</v>
      </c>
      <c r="J30">
        <v>7.028048038482666</v>
      </c>
      <c r="K30">
        <v>30.071935653686523</v>
      </c>
      <c r="L30">
        <v>118.12526702880859</v>
      </c>
      <c r="M30">
        <v>3.6153900623321533</v>
      </c>
      <c r="N30">
        <v>9.8156147003173828</v>
      </c>
      <c r="O30">
        <v>7.028048038482666</v>
      </c>
      <c r="P30">
        <v>14.996359825134277</v>
      </c>
      <c r="Q30">
        <v>2.4418518543243408</v>
      </c>
    </row>
    <row r="31" spans="1:17" x14ac:dyDescent="0.35">
      <c r="A31" t="s">
        <v>20</v>
      </c>
      <c r="B31" t="s">
        <v>326</v>
      </c>
      <c r="C31" t="s">
        <v>328</v>
      </c>
      <c r="D31" t="s">
        <v>552</v>
      </c>
      <c r="E31">
        <v>39.452560424804688</v>
      </c>
      <c r="F31">
        <v>59.844795227050781</v>
      </c>
      <c r="G31">
        <v>2.8295867443084717</v>
      </c>
      <c r="H31">
        <v>0</v>
      </c>
      <c r="I31">
        <v>8.4398345947265625</v>
      </c>
      <c r="J31">
        <v>12.139669418334961</v>
      </c>
      <c r="K31">
        <v>39.452560424804688</v>
      </c>
      <c r="L31">
        <v>59.844795227050781</v>
      </c>
      <c r="M31">
        <v>2.8295867443084717</v>
      </c>
      <c r="N31">
        <v>8.4398345947265625</v>
      </c>
      <c r="O31">
        <v>12.139669418334961</v>
      </c>
      <c r="P31">
        <v>7128.1689453125</v>
      </c>
      <c r="Q31">
        <v>1160.6771240234375</v>
      </c>
    </row>
    <row r="32" spans="1:17" x14ac:dyDescent="0.35">
      <c r="A32" t="s">
        <v>20</v>
      </c>
      <c r="B32" t="s">
        <v>84</v>
      </c>
      <c r="C32" t="s">
        <v>86</v>
      </c>
      <c r="D32" t="s">
        <v>552</v>
      </c>
      <c r="E32">
        <v>32.749771118164063</v>
      </c>
      <c r="F32">
        <v>114.33287048339844</v>
      </c>
      <c r="G32">
        <v>3.5543777942657471</v>
      </c>
      <c r="H32">
        <v>0</v>
      </c>
      <c r="I32">
        <v>6.5374808311462402</v>
      </c>
      <c r="J32">
        <v>10.61106014251709</v>
      </c>
      <c r="K32">
        <v>32.749771118164063</v>
      </c>
      <c r="L32">
        <v>114.33287048339844</v>
      </c>
      <c r="M32">
        <v>3.5543777942657471</v>
      </c>
      <c r="N32">
        <v>6.5374808311462402</v>
      </c>
      <c r="O32">
        <v>10.61106014251709</v>
      </c>
      <c r="P32">
        <v>2040.277587890625</v>
      </c>
      <c r="Q32">
        <v>332.2176513671875</v>
      </c>
    </row>
    <row r="33" spans="1:17" x14ac:dyDescent="0.35">
      <c r="A33" t="s">
        <v>20</v>
      </c>
      <c r="B33" t="s">
        <v>69</v>
      </c>
      <c r="C33" t="s">
        <v>71</v>
      </c>
      <c r="D33" t="s">
        <v>552</v>
      </c>
      <c r="E33">
        <v>44.339141845703125</v>
      </c>
      <c r="F33">
        <v>138.92214965820313</v>
      </c>
      <c r="G33">
        <v>2.9940118789672852</v>
      </c>
      <c r="H33">
        <v>0</v>
      </c>
      <c r="I33">
        <v>8.5077848434448242</v>
      </c>
      <c r="J33">
        <v>6.6365270614624023</v>
      </c>
      <c r="K33">
        <v>44.339141845703125</v>
      </c>
      <c r="L33">
        <v>138.92214965820313</v>
      </c>
      <c r="M33">
        <v>2.9940118789672852</v>
      </c>
      <c r="N33">
        <v>8.5077848434448242</v>
      </c>
      <c r="O33">
        <v>6.6365270614624023</v>
      </c>
      <c r="P33">
        <v>8227.5166015625</v>
      </c>
      <c r="Q33">
        <v>1339.6834716796875</v>
      </c>
    </row>
    <row r="34" spans="1:17" x14ac:dyDescent="0.35">
      <c r="A34" t="s">
        <v>20</v>
      </c>
      <c r="B34" t="s">
        <v>142</v>
      </c>
      <c r="C34" t="s">
        <v>144</v>
      </c>
      <c r="D34" t="s">
        <v>552</v>
      </c>
      <c r="E34">
        <v>42.246952056884766</v>
      </c>
      <c r="F34">
        <v>101.71708679199219</v>
      </c>
      <c r="G34">
        <v>3.6369130611419678</v>
      </c>
      <c r="H34">
        <v>0</v>
      </c>
      <c r="I34">
        <v>7.2355794906616211</v>
      </c>
      <c r="J34">
        <v>5.4414615631103516</v>
      </c>
      <c r="K34">
        <v>42.246952056884766</v>
      </c>
      <c r="L34">
        <v>101.71708679199219</v>
      </c>
      <c r="M34">
        <v>3.6369130611419678</v>
      </c>
      <c r="N34">
        <v>7.2355794906616211</v>
      </c>
      <c r="O34">
        <v>5.4414615631103516</v>
      </c>
      <c r="P34">
        <v>123.87113952636719</v>
      </c>
      <c r="Q34">
        <v>20.169893264770508</v>
      </c>
    </row>
    <row r="35" spans="1:17" x14ac:dyDescent="0.35">
      <c r="A35" t="s">
        <v>20</v>
      </c>
      <c r="B35" t="s">
        <v>408</v>
      </c>
      <c r="C35" t="s">
        <v>410</v>
      </c>
      <c r="D35" t="s">
        <v>552</v>
      </c>
      <c r="E35">
        <v>61.018184661865234</v>
      </c>
      <c r="F35">
        <v>76.803985595703125</v>
      </c>
      <c r="G35">
        <v>5.1607418060302734</v>
      </c>
      <c r="H35">
        <v>0</v>
      </c>
      <c r="I35">
        <v>17.759885787963867</v>
      </c>
      <c r="J35">
        <v>6.6786069869995117</v>
      </c>
      <c r="K35">
        <v>61.018184661865234</v>
      </c>
      <c r="L35">
        <v>76.803985595703125</v>
      </c>
      <c r="M35">
        <v>5.1607418060302734</v>
      </c>
      <c r="N35">
        <v>17.759885787963867</v>
      </c>
      <c r="O35">
        <v>6.6786069869995117</v>
      </c>
      <c r="P35">
        <v>0</v>
      </c>
      <c r="Q35">
        <v>0</v>
      </c>
    </row>
    <row r="36" spans="1:17" x14ac:dyDescent="0.35">
      <c r="A36" t="s">
        <v>20</v>
      </c>
      <c r="B36" t="s">
        <v>160</v>
      </c>
      <c r="C36" t="s">
        <v>162</v>
      </c>
      <c r="D36" t="s">
        <v>552</v>
      </c>
      <c r="E36">
        <v>44.446468353271484</v>
      </c>
      <c r="F36">
        <v>59.450321197509766</v>
      </c>
      <c r="G36">
        <v>2.0419700145721436</v>
      </c>
      <c r="H36">
        <v>0</v>
      </c>
      <c r="I36">
        <v>8.3102779388427734</v>
      </c>
      <c r="J36">
        <v>12.448180198669434</v>
      </c>
      <c r="K36">
        <v>44.446468353271484</v>
      </c>
      <c r="L36">
        <v>59.450321197509766</v>
      </c>
      <c r="M36">
        <v>2.0419700145721436</v>
      </c>
      <c r="N36">
        <v>8.3102779388427734</v>
      </c>
      <c r="O36">
        <v>12.448180198669434</v>
      </c>
      <c r="P36">
        <v>9917.00390625</v>
      </c>
      <c r="Q36">
        <v>1614.7821044921875</v>
      </c>
    </row>
    <row r="37" spans="1:17" x14ac:dyDescent="0.35">
      <c r="A37" t="s">
        <v>20</v>
      </c>
      <c r="B37" t="s">
        <v>779</v>
      </c>
      <c r="C37" t="s">
        <v>129</v>
      </c>
      <c r="D37" t="s">
        <v>552</v>
      </c>
      <c r="E37">
        <v>40.877193450927734</v>
      </c>
      <c r="F37">
        <v>116.66666412353516</v>
      </c>
      <c r="H37">
        <v>1</v>
      </c>
      <c r="I37">
        <v>5.5912280082702637</v>
      </c>
      <c r="J37">
        <v>2.1719298362731934</v>
      </c>
      <c r="K37">
        <v>40.877193450927734</v>
      </c>
      <c r="L37">
        <v>116.66666412353516</v>
      </c>
      <c r="N37">
        <v>5.5912280082702637</v>
      </c>
      <c r="O37">
        <v>2.1719298362731934</v>
      </c>
      <c r="P37">
        <v>0</v>
      </c>
      <c r="Q37">
        <v>0</v>
      </c>
    </row>
    <row r="38" spans="1:17" x14ac:dyDescent="0.35">
      <c r="A38" t="s">
        <v>1</v>
      </c>
      <c r="B38" t="s">
        <v>35</v>
      </c>
      <c r="C38" t="s">
        <v>37</v>
      </c>
      <c r="D38" t="s">
        <v>552</v>
      </c>
      <c r="E38">
        <v>19.384464263916016</v>
      </c>
      <c r="F38">
        <v>45.664943695068359</v>
      </c>
      <c r="H38">
        <v>0</v>
      </c>
      <c r="I38">
        <v>2.5933270454406738</v>
      </c>
      <c r="J38">
        <v>5.6176180839538574</v>
      </c>
      <c r="K38">
        <v>19.384464263916016</v>
      </c>
      <c r="L38">
        <v>45.664943695068359</v>
      </c>
      <c r="M38">
        <v>5.1814961433410645</v>
      </c>
      <c r="N38">
        <v>2.5933270454406738</v>
      </c>
      <c r="O38">
        <v>5.6176180839538574</v>
      </c>
      <c r="P38">
        <v>0</v>
      </c>
      <c r="Q38">
        <v>0</v>
      </c>
    </row>
    <row r="39" spans="1:17" x14ac:dyDescent="0.35">
      <c r="A39" t="s">
        <v>0</v>
      </c>
      <c r="B39" t="s">
        <v>126</v>
      </c>
      <c r="C39" t="s">
        <v>127</v>
      </c>
      <c r="D39" t="s">
        <v>552</v>
      </c>
      <c r="E39">
        <v>24.835117340087891</v>
      </c>
      <c r="F39">
        <v>117.12157440185547</v>
      </c>
      <c r="G39">
        <v>2.5485038757324219</v>
      </c>
      <c r="H39">
        <v>0</v>
      </c>
      <c r="I39">
        <v>8.0166139602661133</v>
      </c>
      <c r="J39">
        <v>18.926851272583008</v>
      </c>
      <c r="K39">
        <v>24.835117340087891</v>
      </c>
      <c r="L39">
        <v>117.12157440185547</v>
      </c>
      <c r="M39">
        <v>2.5485038757324219</v>
      </c>
      <c r="N39">
        <v>8.0166139602661133</v>
      </c>
      <c r="O39">
        <v>18.926851272583008</v>
      </c>
      <c r="P39">
        <v>20308.8046875</v>
      </c>
      <c r="Q39">
        <v>4338.9970703125</v>
      </c>
    </row>
    <row r="40" spans="1:17" x14ac:dyDescent="0.35">
      <c r="A40" t="s">
        <v>4</v>
      </c>
      <c r="B40" t="s">
        <v>130</v>
      </c>
      <c r="C40" t="s">
        <v>132</v>
      </c>
      <c r="D40" t="s">
        <v>552</v>
      </c>
      <c r="E40">
        <v>9.2575511932373047</v>
      </c>
      <c r="F40">
        <v>24.944362640380859</v>
      </c>
      <c r="H40">
        <v>0</v>
      </c>
      <c r="I40">
        <v>0.97678101062774658</v>
      </c>
      <c r="J40">
        <v>1.6182491779327393</v>
      </c>
      <c r="K40">
        <v>9.2575511932373047</v>
      </c>
      <c r="L40">
        <v>24.944362640380859</v>
      </c>
      <c r="M40">
        <v>5.1814961433410645</v>
      </c>
      <c r="N40">
        <v>0.97678101062774658</v>
      </c>
      <c r="O40">
        <v>1.6182491779327393</v>
      </c>
      <c r="P40">
        <v>2573.84130859375</v>
      </c>
      <c r="Q40">
        <v>772.6927490234375</v>
      </c>
    </row>
    <row r="41" spans="1:17" x14ac:dyDescent="0.35">
      <c r="A41" t="s">
        <v>25</v>
      </c>
      <c r="B41" t="s">
        <v>46</v>
      </c>
      <c r="C41" t="s">
        <v>48</v>
      </c>
      <c r="D41" t="s">
        <v>556</v>
      </c>
      <c r="E41">
        <v>4.8826308250427246</v>
      </c>
      <c r="F41">
        <v>20.460548400878906</v>
      </c>
      <c r="G41">
        <v>1.0230274200439453</v>
      </c>
      <c r="H41">
        <v>0</v>
      </c>
      <c r="I41">
        <v>0.27900746464729309</v>
      </c>
      <c r="J41">
        <v>1.7205461263656616</v>
      </c>
      <c r="K41">
        <v>4.8826308250427246</v>
      </c>
      <c r="L41">
        <v>20.460548400878906</v>
      </c>
      <c r="M41">
        <v>1.0230274200439453</v>
      </c>
      <c r="N41">
        <v>0.27900746464729309</v>
      </c>
      <c r="O41">
        <v>1.7205461263656616</v>
      </c>
      <c r="P41">
        <v>723.31988525390625</v>
      </c>
      <c r="Q41">
        <v>222.92564392089844</v>
      </c>
    </row>
    <row r="42" spans="1:17" x14ac:dyDescent="0.35">
      <c r="A42" t="s">
        <v>25</v>
      </c>
      <c r="B42" t="s">
        <v>405</v>
      </c>
      <c r="C42" t="s">
        <v>407</v>
      </c>
      <c r="D42" t="s">
        <v>556</v>
      </c>
      <c r="E42">
        <v>1.1841269731521606</v>
      </c>
      <c r="F42">
        <v>8.2611112594604492</v>
      </c>
      <c r="G42">
        <v>1.2388888597488403</v>
      </c>
      <c r="H42">
        <v>0</v>
      </c>
      <c r="I42">
        <v>0.18536585569381714</v>
      </c>
      <c r="J42">
        <v>0.72032523155212402</v>
      </c>
      <c r="K42">
        <v>1.1841269731521606</v>
      </c>
      <c r="L42">
        <v>8.2611112594604492</v>
      </c>
      <c r="M42">
        <v>1.2388888597488403</v>
      </c>
      <c r="N42">
        <v>0.18536585569381714</v>
      </c>
      <c r="O42">
        <v>0.72032523155212402</v>
      </c>
      <c r="P42">
        <v>74429.765625</v>
      </c>
      <c r="Q42">
        <v>22939.09375</v>
      </c>
    </row>
    <row r="43" spans="1:17" x14ac:dyDescent="0.35">
      <c r="A43" t="s">
        <v>25</v>
      </c>
      <c r="B43" t="s">
        <v>238</v>
      </c>
      <c r="C43" t="s">
        <v>240</v>
      </c>
      <c r="D43" t="s">
        <v>556</v>
      </c>
      <c r="E43">
        <v>0.71596640348434448</v>
      </c>
      <c r="F43">
        <v>6.4815125465393066</v>
      </c>
      <c r="H43">
        <v>1</v>
      </c>
      <c r="I43">
        <v>1.2500000186264515E-2</v>
      </c>
      <c r="J43">
        <v>0.10625000298023224</v>
      </c>
      <c r="K43">
        <v>0.71596640348434448</v>
      </c>
      <c r="L43">
        <v>6.4815125465393066</v>
      </c>
      <c r="N43">
        <v>1.2500000186264515E-2</v>
      </c>
      <c r="O43">
        <v>0.10625000298023224</v>
      </c>
      <c r="P43">
        <v>68919.078125</v>
      </c>
      <c r="Q43">
        <v>21240.7109375</v>
      </c>
    </row>
    <row r="44" spans="1:17" x14ac:dyDescent="0.35">
      <c r="A44" t="s">
        <v>43</v>
      </c>
      <c r="B44" t="s">
        <v>317</v>
      </c>
      <c r="C44" t="s">
        <v>319</v>
      </c>
      <c r="D44" t="s">
        <v>556</v>
      </c>
      <c r="E44">
        <v>7.3517246246337891</v>
      </c>
      <c r="F44">
        <v>17.482761383056641</v>
      </c>
      <c r="H44">
        <v>1</v>
      </c>
      <c r="I44">
        <v>1.6146086454391479</v>
      </c>
      <c r="J44">
        <v>8.7015504837036133</v>
      </c>
      <c r="K44">
        <v>7.3517246246337891</v>
      </c>
      <c r="L44">
        <v>17.482761383056641</v>
      </c>
      <c r="N44">
        <v>1.6146086454391479</v>
      </c>
      <c r="O44">
        <v>8.7015504837036133</v>
      </c>
      <c r="P44">
        <v>3896771</v>
      </c>
      <c r="Q44">
        <v>1276916.875</v>
      </c>
    </row>
    <row r="45" spans="1:17" x14ac:dyDescent="0.35">
      <c r="A45" t="s">
        <v>25</v>
      </c>
      <c r="B45" t="s">
        <v>299</v>
      </c>
      <c r="C45" t="s">
        <v>301</v>
      </c>
      <c r="D45" t="s">
        <v>556</v>
      </c>
      <c r="E45">
        <v>2.2475805282592773</v>
      </c>
      <c r="F45">
        <v>5.8024191856384277</v>
      </c>
      <c r="H45">
        <v>1</v>
      </c>
      <c r="I45">
        <v>5.8870967477560043E-2</v>
      </c>
      <c r="J45">
        <v>0.20564515888690948</v>
      </c>
      <c r="K45">
        <v>2.2475805282592773</v>
      </c>
      <c r="L45">
        <v>5.8024191856384277</v>
      </c>
      <c r="N45">
        <v>5.8870967477560043E-2</v>
      </c>
      <c r="O45">
        <v>0.20564515888690948</v>
      </c>
      <c r="P45">
        <v>73978.53125</v>
      </c>
      <c r="Q45">
        <v>22800.025390625</v>
      </c>
    </row>
    <row r="46" spans="1:17" x14ac:dyDescent="0.35">
      <c r="A46" t="s">
        <v>25</v>
      </c>
      <c r="B46" t="s">
        <v>352</v>
      </c>
      <c r="C46" t="s">
        <v>354</v>
      </c>
      <c r="D46" t="s">
        <v>556</v>
      </c>
      <c r="E46">
        <v>0.50157070159912109</v>
      </c>
      <c r="F46">
        <v>7.1015706062316895</v>
      </c>
      <c r="H46">
        <v>1</v>
      </c>
      <c r="I46">
        <v>7.8010469675064087E-2</v>
      </c>
      <c r="J46">
        <v>7.9057589173316956E-2</v>
      </c>
      <c r="K46">
        <v>0.50157070159912109</v>
      </c>
      <c r="L46">
        <v>7.1015706062316895</v>
      </c>
      <c r="N46">
        <v>7.8010469675064087E-2</v>
      </c>
      <c r="O46">
        <v>7.9057589173316956E-2</v>
      </c>
      <c r="P46">
        <v>109392.21875</v>
      </c>
      <c r="Q46">
        <v>33714.44921875</v>
      </c>
    </row>
    <row r="47" spans="1:17" x14ac:dyDescent="0.35">
      <c r="A47" t="s">
        <v>20</v>
      </c>
      <c r="B47" t="s">
        <v>438</v>
      </c>
      <c r="C47" t="s">
        <v>440</v>
      </c>
      <c r="D47" t="s">
        <v>556</v>
      </c>
      <c r="E47">
        <v>17.229246139526367</v>
      </c>
      <c r="F47">
        <v>42.041347503662109</v>
      </c>
      <c r="G47">
        <v>5.4926624298095703</v>
      </c>
      <c r="H47">
        <v>0</v>
      </c>
      <c r="I47">
        <v>1.5618888139724731</v>
      </c>
      <c r="J47">
        <v>1.0395089387893677</v>
      </c>
      <c r="K47">
        <v>17.229246139526367</v>
      </c>
      <c r="L47">
        <v>42.041347503662109</v>
      </c>
      <c r="M47">
        <v>5.4926624298095703</v>
      </c>
      <c r="N47">
        <v>1.5618888139724731</v>
      </c>
      <c r="O47">
        <v>1.0395089387893677</v>
      </c>
      <c r="P47">
        <v>1176.811767578125</v>
      </c>
      <c r="Q47">
        <v>191.61982727050781</v>
      </c>
    </row>
    <row r="48" spans="1:17" x14ac:dyDescent="0.35">
      <c r="A48" t="s">
        <v>43</v>
      </c>
      <c r="B48" t="s">
        <v>450</v>
      </c>
      <c r="C48" t="s">
        <v>452</v>
      </c>
      <c r="D48" t="s">
        <v>556</v>
      </c>
      <c r="E48">
        <v>7.3751850128173828</v>
      </c>
      <c r="F48">
        <v>7.5611109733581543</v>
      </c>
      <c r="G48">
        <v>3.269444465637207</v>
      </c>
      <c r="H48">
        <v>0</v>
      </c>
      <c r="I48">
        <v>0.70370370149612427</v>
      </c>
      <c r="J48">
        <v>0.77833330631256104</v>
      </c>
      <c r="K48">
        <v>7.3751850128173828</v>
      </c>
      <c r="L48">
        <v>7.5611109733581543</v>
      </c>
      <c r="M48">
        <v>3.269444465637207</v>
      </c>
      <c r="N48">
        <v>0.70370370149612427</v>
      </c>
      <c r="O48">
        <v>0.77833330631256104</v>
      </c>
      <c r="P48">
        <v>254963.8125</v>
      </c>
      <c r="Q48">
        <v>83548.046875</v>
      </c>
    </row>
    <row r="49" spans="1:17" x14ac:dyDescent="0.35">
      <c r="A49" t="s">
        <v>25</v>
      </c>
      <c r="B49" t="s">
        <v>474</v>
      </c>
      <c r="C49" t="s">
        <v>476</v>
      </c>
      <c r="D49" t="s">
        <v>556</v>
      </c>
      <c r="E49">
        <v>1.1643677949905396</v>
      </c>
      <c r="F49">
        <v>9.917816162109375</v>
      </c>
      <c r="G49">
        <v>0.28045976161956787</v>
      </c>
      <c r="H49">
        <v>0</v>
      </c>
      <c r="I49">
        <v>0.26149424910545349</v>
      </c>
      <c r="J49">
        <v>0.98160916566848755</v>
      </c>
      <c r="K49">
        <v>1.1643677949905396</v>
      </c>
      <c r="L49">
        <v>9.917816162109375</v>
      </c>
      <c r="M49">
        <v>0.28045976161956787</v>
      </c>
      <c r="N49">
        <v>0.26149424910545349</v>
      </c>
      <c r="O49">
        <v>0.98160916566848755</v>
      </c>
      <c r="P49">
        <v>102644.6640625</v>
      </c>
      <c r="Q49">
        <v>31634.865234375</v>
      </c>
    </row>
    <row r="50" spans="1:17" x14ac:dyDescent="0.35">
      <c r="A50" t="s">
        <v>25</v>
      </c>
      <c r="B50" t="s">
        <v>420</v>
      </c>
      <c r="C50" t="s">
        <v>422</v>
      </c>
      <c r="D50" t="s">
        <v>556</v>
      </c>
      <c r="E50">
        <v>0.73985487222671509</v>
      </c>
      <c r="F50">
        <v>7.5253434181213379</v>
      </c>
      <c r="G50">
        <v>0.94967406988143921</v>
      </c>
      <c r="H50">
        <v>0</v>
      </c>
      <c r="I50">
        <v>1.9607461988925934E-2</v>
      </c>
      <c r="J50">
        <v>0.20391759276390076</v>
      </c>
      <c r="K50">
        <v>0.73985487222671509</v>
      </c>
      <c r="L50">
        <v>7.5253434181213379</v>
      </c>
      <c r="M50">
        <v>0.94967406988143921</v>
      </c>
      <c r="N50">
        <v>1.9607461988925934E-2</v>
      </c>
      <c r="O50">
        <v>0.20391759276390076</v>
      </c>
      <c r="P50">
        <v>48151.91015625</v>
      </c>
      <c r="Q50">
        <v>14840.3154296875</v>
      </c>
    </row>
    <row r="51" spans="1:17" x14ac:dyDescent="0.35">
      <c r="A51" t="s">
        <v>4</v>
      </c>
      <c r="B51" t="s">
        <v>121</v>
      </c>
      <c r="C51" t="s">
        <v>123</v>
      </c>
      <c r="D51" t="s">
        <v>556</v>
      </c>
      <c r="E51">
        <v>11.156636238098145</v>
      </c>
      <c r="F51">
        <v>4.0816130638122559</v>
      </c>
      <c r="G51">
        <v>0.74050688743591309</v>
      </c>
      <c r="H51">
        <v>0</v>
      </c>
      <c r="I51">
        <v>1.2297695875167847</v>
      </c>
      <c r="J51">
        <v>1.5417050123214722</v>
      </c>
      <c r="K51">
        <v>11.156636238098145</v>
      </c>
      <c r="L51">
        <v>4.0816130638122559</v>
      </c>
      <c r="M51">
        <v>0.74050688743591309</v>
      </c>
      <c r="N51">
        <v>1.2297695875167847</v>
      </c>
      <c r="O51">
        <v>1.5417050123214722</v>
      </c>
      <c r="P51">
        <v>1024730.625</v>
      </c>
      <c r="Q51">
        <v>307634.3125</v>
      </c>
    </row>
    <row r="52" spans="1:17" x14ac:dyDescent="0.35">
      <c r="A52" t="s">
        <v>25</v>
      </c>
      <c r="B52" t="s">
        <v>521</v>
      </c>
      <c r="C52" t="s">
        <v>523</v>
      </c>
      <c r="D52" t="s">
        <v>556</v>
      </c>
      <c r="E52">
        <v>0.82742089033126831</v>
      </c>
      <c r="F52">
        <v>2.9654281139373779</v>
      </c>
      <c r="G52">
        <v>2.105393648147583</v>
      </c>
      <c r="H52">
        <v>0</v>
      </c>
      <c r="I52">
        <v>2.6619022712111473E-2</v>
      </c>
      <c r="J52">
        <v>0.28023597598075867</v>
      </c>
      <c r="K52">
        <v>0.82742089033126831</v>
      </c>
      <c r="L52">
        <v>2.9654281139373779</v>
      </c>
      <c r="M52">
        <v>2.105393648147583</v>
      </c>
      <c r="N52">
        <v>2.6619022712111473E-2</v>
      </c>
      <c r="O52">
        <v>0.28023597598075867</v>
      </c>
      <c r="P52">
        <v>53842.65625</v>
      </c>
      <c r="Q52">
        <v>16594.19140625</v>
      </c>
    </row>
    <row r="53" spans="1:17" x14ac:dyDescent="0.35">
      <c r="A53" t="s">
        <v>25</v>
      </c>
      <c r="B53" t="s">
        <v>63</v>
      </c>
      <c r="C53" t="s">
        <v>65</v>
      </c>
      <c r="D53" t="s">
        <v>556</v>
      </c>
      <c r="E53">
        <v>1.0586086511611938</v>
      </c>
      <c r="F53">
        <v>6.0716519355773926</v>
      </c>
      <c r="G53">
        <v>1.7699999809265137</v>
      </c>
      <c r="H53">
        <v>0</v>
      </c>
      <c r="I53">
        <v>1.9826086238026619E-2</v>
      </c>
      <c r="J53">
        <v>0.46904346346855164</v>
      </c>
      <c r="K53">
        <v>1.0586086511611938</v>
      </c>
      <c r="L53">
        <v>6.0716519355773926</v>
      </c>
      <c r="M53">
        <v>1.7699999809265137</v>
      </c>
      <c r="N53">
        <v>1.9826086238026619E-2</v>
      </c>
      <c r="O53">
        <v>0.46904346346855164</v>
      </c>
      <c r="P53">
        <v>694999.75</v>
      </c>
      <c r="Q53">
        <v>214197.4375</v>
      </c>
    </row>
    <row r="54" spans="1:17" x14ac:dyDescent="0.35">
      <c r="A54" t="s">
        <v>25</v>
      </c>
      <c r="B54" t="s">
        <v>444</v>
      </c>
      <c r="C54" t="s">
        <v>446</v>
      </c>
      <c r="D54" t="s">
        <v>556</v>
      </c>
      <c r="E54">
        <v>0.34504133462905884</v>
      </c>
      <c r="F54">
        <v>1.8334821462631226</v>
      </c>
      <c r="G54">
        <v>0.40446427464485168</v>
      </c>
      <c r="H54">
        <v>0</v>
      </c>
      <c r="I54">
        <v>1.3392857275903225E-2</v>
      </c>
      <c r="J54">
        <v>2.678571455180645E-2</v>
      </c>
      <c r="K54">
        <v>0.34504133462905884</v>
      </c>
      <c r="L54">
        <v>1.8334821462631226</v>
      </c>
      <c r="M54">
        <v>0.40446427464485168</v>
      </c>
      <c r="N54">
        <v>1.3392857275903225E-2</v>
      </c>
      <c r="O54">
        <v>2.678571455180645E-2</v>
      </c>
      <c r="P54">
        <v>169920.203125</v>
      </c>
      <c r="Q54">
        <v>52369.04296875</v>
      </c>
    </row>
    <row r="55" spans="1:17" x14ac:dyDescent="0.35">
      <c r="A55" t="s">
        <v>25</v>
      </c>
      <c r="B55" t="s">
        <v>49</v>
      </c>
      <c r="C55" t="s">
        <v>50</v>
      </c>
      <c r="D55" t="s">
        <v>556</v>
      </c>
      <c r="E55">
        <v>3.7510106563568115</v>
      </c>
      <c r="F55">
        <v>11.097027778625488</v>
      </c>
      <c r="H55">
        <v>1</v>
      </c>
      <c r="I55">
        <v>4.8038050532341003E-2</v>
      </c>
      <c r="J55">
        <v>0.20059452950954437</v>
      </c>
      <c r="K55">
        <v>3.7510106563568115</v>
      </c>
      <c r="L55">
        <v>11.097027778625488</v>
      </c>
      <c r="N55">
        <v>4.8038050532341003E-2</v>
      </c>
      <c r="O55">
        <v>0.20059452950954437</v>
      </c>
      <c r="P55">
        <v>418150.25</v>
      </c>
      <c r="Q55">
        <v>128873.015625</v>
      </c>
    </row>
    <row r="56" spans="1:17" x14ac:dyDescent="0.35">
      <c r="A56" t="s">
        <v>25</v>
      </c>
      <c r="B56" t="s">
        <v>369</v>
      </c>
      <c r="C56" t="s">
        <v>371</v>
      </c>
      <c r="D56" t="s">
        <v>556</v>
      </c>
      <c r="E56">
        <v>0.8492012619972229</v>
      </c>
      <c r="F56">
        <v>2.8214056491851807</v>
      </c>
      <c r="G56">
        <v>2.0204472541809082</v>
      </c>
      <c r="H56">
        <v>0</v>
      </c>
      <c r="I56">
        <v>9.0095847845077515E-2</v>
      </c>
      <c r="J56">
        <v>0.13514377176761627</v>
      </c>
      <c r="K56">
        <v>0.8492012619972229</v>
      </c>
      <c r="L56">
        <v>2.8214056491851807</v>
      </c>
      <c r="M56">
        <v>2.0204472541809082</v>
      </c>
      <c r="N56">
        <v>9.0095847845077515E-2</v>
      </c>
      <c r="O56">
        <v>0.13514377176761627</v>
      </c>
      <c r="P56">
        <v>204873.359375</v>
      </c>
      <c r="Q56">
        <v>63141.53125</v>
      </c>
    </row>
    <row r="57" spans="1:17" x14ac:dyDescent="0.35">
      <c r="A57" t="s">
        <v>43</v>
      </c>
      <c r="B57" t="s">
        <v>136</v>
      </c>
      <c r="C57" t="s">
        <v>138</v>
      </c>
      <c r="D57" t="s">
        <v>556</v>
      </c>
      <c r="E57">
        <v>4.9895544052124023</v>
      </c>
      <c r="F57">
        <v>20.774690628051758</v>
      </c>
      <c r="H57">
        <v>1</v>
      </c>
      <c r="I57">
        <v>0.92015159130096436</v>
      </c>
      <c r="J57">
        <v>0.66095393896102905</v>
      </c>
      <c r="K57">
        <v>4.9895544052124023</v>
      </c>
      <c r="L57">
        <v>20.774690628051758</v>
      </c>
      <c r="N57">
        <v>0.92015159130096436</v>
      </c>
      <c r="O57">
        <v>0.66095393896102905</v>
      </c>
      <c r="P57">
        <v>2299.60693359375</v>
      </c>
      <c r="Q57">
        <v>753.5487060546875</v>
      </c>
    </row>
    <row r="58" spans="1:17" x14ac:dyDescent="0.35">
      <c r="A58" t="s">
        <v>25</v>
      </c>
      <c r="B58" t="s">
        <v>72</v>
      </c>
      <c r="C58" t="s">
        <v>74</v>
      </c>
      <c r="D58" t="s">
        <v>556</v>
      </c>
      <c r="E58">
        <v>3.8032143115997314</v>
      </c>
      <c r="F58">
        <v>8.9904975891113281</v>
      </c>
      <c r="G58">
        <v>6.0134329795837402</v>
      </c>
      <c r="H58">
        <v>0</v>
      </c>
      <c r="I58">
        <v>0.21681591868400574</v>
      </c>
      <c r="J58">
        <v>1.2272636890411377</v>
      </c>
      <c r="K58">
        <v>3.8032143115997314</v>
      </c>
      <c r="L58">
        <v>8.9904975891113281</v>
      </c>
      <c r="M58">
        <v>6.0134329795837402</v>
      </c>
      <c r="N58">
        <v>0.21681591868400574</v>
      </c>
      <c r="O58">
        <v>1.2272636890411377</v>
      </c>
      <c r="P58">
        <v>986947.375</v>
      </c>
      <c r="Q58">
        <v>304175.0625</v>
      </c>
    </row>
    <row r="59" spans="1:17" x14ac:dyDescent="0.35">
      <c r="A59" t="s">
        <v>25</v>
      </c>
      <c r="B59" t="s">
        <v>293</v>
      </c>
      <c r="C59" t="s">
        <v>295</v>
      </c>
      <c r="D59" t="s">
        <v>556</v>
      </c>
      <c r="E59">
        <v>1.6993569135665894</v>
      </c>
      <c r="F59">
        <v>30.800321578979492</v>
      </c>
      <c r="G59">
        <v>5.3697748184204102</v>
      </c>
      <c r="H59">
        <v>0</v>
      </c>
      <c r="I59">
        <v>0.23926174640655518</v>
      </c>
      <c r="J59">
        <v>0.44630226492881775</v>
      </c>
      <c r="K59">
        <v>1.6993569135665894</v>
      </c>
      <c r="L59">
        <v>30.800321578979492</v>
      </c>
      <c r="M59">
        <v>5.3697748184204102</v>
      </c>
      <c r="N59">
        <v>0.23926174640655518</v>
      </c>
      <c r="O59">
        <v>0.44630226492881775</v>
      </c>
      <c r="P59">
        <v>63821.953125</v>
      </c>
      <c r="Q59">
        <v>19669.7890625</v>
      </c>
    </row>
    <row r="60" spans="1:17" x14ac:dyDescent="0.35">
      <c r="A60" t="s">
        <v>25</v>
      </c>
      <c r="B60" t="s">
        <v>349</v>
      </c>
      <c r="C60" t="s">
        <v>351</v>
      </c>
      <c r="D60" t="s">
        <v>556</v>
      </c>
      <c r="E60">
        <v>1.9885931015014648</v>
      </c>
      <c r="F60">
        <v>1.4574145078659058</v>
      </c>
      <c r="G60">
        <v>1.5186312198638916</v>
      </c>
      <c r="H60">
        <v>0</v>
      </c>
      <c r="I60">
        <v>0.21140684187412262</v>
      </c>
      <c r="J60">
        <v>0.12509505450725555</v>
      </c>
      <c r="K60">
        <v>1.9885931015014648</v>
      </c>
      <c r="L60">
        <v>1.4574145078659058</v>
      </c>
      <c r="M60">
        <v>1.5186312198638916</v>
      </c>
      <c r="N60">
        <v>0.21140684187412262</v>
      </c>
      <c r="O60">
        <v>0.12509505450725555</v>
      </c>
      <c r="P60">
        <v>183772.734375</v>
      </c>
      <c r="Q60">
        <v>56638.36328125</v>
      </c>
    </row>
    <row r="61" spans="1:17" x14ac:dyDescent="0.35">
      <c r="A61" t="s">
        <v>20</v>
      </c>
      <c r="B61" t="s">
        <v>367</v>
      </c>
      <c r="C61" t="s">
        <v>368</v>
      </c>
      <c r="D61" t="s">
        <v>556</v>
      </c>
      <c r="E61">
        <v>31.026561737060547</v>
      </c>
      <c r="F61">
        <v>45.399524688720703</v>
      </c>
      <c r="G61">
        <v>1.3857340812683105</v>
      </c>
      <c r="H61">
        <v>0</v>
      </c>
      <c r="I61">
        <v>4.0952286720275879</v>
      </c>
      <c r="J61">
        <v>3.0193634033203125</v>
      </c>
      <c r="K61">
        <v>31.026561737060547</v>
      </c>
      <c r="L61">
        <v>45.399524688720703</v>
      </c>
      <c r="M61">
        <v>1.3857340812683105</v>
      </c>
      <c r="N61">
        <v>4.0952286720275879</v>
      </c>
      <c r="O61">
        <v>3.0193634033203125</v>
      </c>
      <c r="P61">
        <v>1171.0157470703125</v>
      </c>
      <c r="Q61">
        <v>190.67607116699219</v>
      </c>
    </row>
    <row r="62" spans="1:17" x14ac:dyDescent="0.35">
      <c r="A62" t="s">
        <v>0</v>
      </c>
      <c r="B62" t="s">
        <v>493</v>
      </c>
      <c r="C62" t="s">
        <v>495</v>
      </c>
      <c r="D62" t="s">
        <v>556</v>
      </c>
      <c r="E62">
        <v>8.2840814590454102</v>
      </c>
      <c r="F62">
        <v>11.394658088684082</v>
      </c>
      <c r="G62">
        <v>3.0745725631713867</v>
      </c>
      <c r="H62">
        <v>0</v>
      </c>
      <c r="J62">
        <v>3.3887820243835449</v>
      </c>
      <c r="K62">
        <v>8.2840814590454102</v>
      </c>
      <c r="L62">
        <v>11.394658088684082</v>
      </c>
      <c r="M62">
        <v>3.0745725631713867</v>
      </c>
      <c r="N62">
        <v>0.55726933479309082</v>
      </c>
      <c r="O62">
        <v>3.3887820243835449</v>
      </c>
      <c r="P62">
        <v>320958.78125</v>
      </c>
      <c r="Q62">
        <v>68573.171875</v>
      </c>
    </row>
    <row r="63" spans="1:17" x14ac:dyDescent="0.35">
      <c r="A63" t="s">
        <v>25</v>
      </c>
      <c r="B63" t="s">
        <v>148</v>
      </c>
      <c r="C63" t="s">
        <v>150</v>
      </c>
      <c r="D63" t="s">
        <v>556</v>
      </c>
      <c r="E63">
        <v>4.7336111068725586</v>
      </c>
      <c r="F63">
        <v>32.566104888916016</v>
      </c>
      <c r="H63">
        <v>0</v>
      </c>
      <c r="I63">
        <v>0.17409577965736389</v>
      </c>
      <c r="J63">
        <v>1.8877526521682739</v>
      </c>
      <c r="K63">
        <v>4.7336111068725586</v>
      </c>
      <c r="L63">
        <v>32.566104888916016</v>
      </c>
      <c r="M63">
        <v>2.7208631038665771</v>
      </c>
      <c r="N63">
        <v>0.17409577965736389</v>
      </c>
      <c r="O63">
        <v>1.8877526521682739</v>
      </c>
      <c r="P63">
        <v>3335.69287109375</v>
      </c>
      <c r="Q63">
        <v>1028.0533447265625</v>
      </c>
    </row>
    <row r="64" spans="1:17" x14ac:dyDescent="0.35">
      <c r="A64" t="s">
        <v>0</v>
      </c>
      <c r="B64" t="s">
        <v>496</v>
      </c>
      <c r="C64" t="s">
        <v>497</v>
      </c>
      <c r="D64" t="s">
        <v>556</v>
      </c>
      <c r="E64">
        <v>1.9372398853302002</v>
      </c>
      <c r="F64">
        <v>21.643363952636719</v>
      </c>
      <c r="H64">
        <v>1</v>
      </c>
      <c r="I64">
        <v>0.74646806716918945</v>
      </c>
      <c r="J64">
        <v>1.1946312189102173</v>
      </c>
      <c r="K64">
        <v>1.9372398853302002</v>
      </c>
      <c r="L64">
        <v>21.643363952636719</v>
      </c>
      <c r="N64">
        <v>0.74646806716918945</v>
      </c>
      <c r="O64">
        <v>1.1946312189102173</v>
      </c>
      <c r="P64">
        <v>1909.5098876953125</v>
      </c>
      <c r="Q64">
        <v>407.96871948242188</v>
      </c>
    </row>
    <row r="65" spans="1:17" x14ac:dyDescent="0.35">
      <c r="A65" t="s">
        <v>25</v>
      </c>
      <c r="B65" t="s">
        <v>590</v>
      </c>
      <c r="C65" t="s">
        <v>268</v>
      </c>
      <c r="D65" t="s">
        <v>556</v>
      </c>
      <c r="E65">
        <v>1.6237354278564453</v>
      </c>
      <c r="F65">
        <v>4.3809337615966797</v>
      </c>
      <c r="G65">
        <v>2.1793773174285889</v>
      </c>
      <c r="H65">
        <v>0</v>
      </c>
      <c r="I65">
        <v>0.14513619244098663</v>
      </c>
      <c r="J65">
        <v>0.36731517314910889</v>
      </c>
      <c r="K65">
        <v>1.6237354278564453</v>
      </c>
      <c r="L65">
        <v>4.3809337615966797</v>
      </c>
      <c r="M65">
        <v>2.1793773174285889</v>
      </c>
      <c r="N65">
        <v>0.14513619244098663</v>
      </c>
      <c r="O65">
        <v>0.36731517314910889</v>
      </c>
      <c r="P65">
        <v>162190.9375</v>
      </c>
      <c r="Q65">
        <v>49986.8984375</v>
      </c>
    </row>
    <row r="66" spans="1:17" x14ac:dyDescent="0.35">
      <c r="A66" t="s">
        <v>25</v>
      </c>
      <c r="B66" t="s">
        <v>432</v>
      </c>
      <c r="C66" t="s">
        <v>434</v>
      </c>
      <c r="D66" t="s">
        <v>556</v>
      </c>
      <c r="E66">
        <v>0.37363636493682861</v>
      </c>
      <c r="F66">
        <v>3.387272834777832</v>
      </c>
      <c r="H66">
        <v>0</v>
      </c>
      <c r="I66">
        <v>2.9090909287333488E-2</v>
      </c>
      <c r="J66">
        <v>0.32727271318435669</v>
      </c>
      <c r="K66">
        <v>0.37363636493682861</v>
      </c>
      <c r="L66">
        <v>3.387272834777832</v>
      </c>
      <c r="M66">
        <v>2.7208631038665771</v>
      </c>
      <c r="N66">
        <v>2.9090909287333488E-2</v>
      </c>
      <c r="O66">
        <v>0.32727271318435669</v>
      </c>
      <c r="P66">
        <v>71816.890625</v>
      </c>
      <c r="Q66">
        <v>22133.810546875</v>
      </c>
    </row>
    <row r="67" spans="1:17" x14ac:dyDescent="0.35">
      <c r="A67" t="s">
        <v>0</v>
      </c>
      <c r="B67" t="s">
        <v>182</v>
      </c>
      <c r="C67" t="s">
        <v>183</v>
      </c>
      <c r="D67" t="s">
        <v>556</v>
      </c>
      <c r="E67">
        <v>38.517906188964844</v>
      </c>
      <c r="F67">
        <v>38.937435150146484</v>
      </c>
      <c r="G67">
        <v>3.2587471008300781</v>
      </c>
      <c r="H67">
        <v>0</v>
      </c>
      <c r="I67">
        <v>4.0817432403564453</v>
      </c>
      <c r="J67">
        <v>6.813420295715332</v>
      </c>
      <c r="K67">
        <v>38.517906188964844</v>
      </c>
      <c r="L67">
        <v>38.937435150146484</v>
      </c>
      <c r="M67">
        <v>3.2587471008300781</v>
      </c>
      <c r="N67">
        <v>4.0817432403564453</v>
      </c>
      <c r="O67">
        <v>6.813420295715332</v>
      </c>
      <c r="P67">
        <v>232.29769897460938</v>
      </c>
      <c r="Q67">
        <v>49.630638122558594</v>
      </c>
    </row>
    <row r="68" spans="1:17" x14ac:dyDescent="0.35">
      <c r="A68" t="s">
        <v>43</v>
      </c>
      <c r="B68" t="s">
        <v>191</v>
      </c>
      <c r="C68" t="s">
        <v>193</v>
      </c>
      <c r="D68" t="s">
        <v>556</v>
      </c>
      <c r="E68">
        <v>6.6590304374694824</v>
      </c>
      <c r="F68">
        <v>4.0589694976806641</v>
      </c>
      <c r="G68">
        <v>0.8232121467590332</v>
      </c>
      <c r="H68">
        <v>0</v>
      </c>
      <c r="I68">
        <v>0.68533331155776978</v>
      </c>
      <c r="J68">
        <v>1.8091304302215576</v>
      </c>
      <c r="K68">
        <v>6.6590304374694824</v>
      </c>
      <c r="L68">
        <v>4.0589694976806641</v>
      </c>
      <c r="M68">
        <v>0.8232121467590332</v>
      </c>
      <c r="N68">
        <v>0.68533331155776978</v>
      </c>
      <c r="O68">
        <v>1.8091304302215576</v>
      </c>
      <c r="P68">
        <v>912042.125</v>
      </c>
      <c r="Q68">
        <v>298863.34375</v>
      </c>
    </row>
    <row r="69" spans="1:17" x14ac:dyDescent="0.35">
      <c r="A69" t="s">
        <v>25</v>
      </c>
      <c r="B69" t="s">
        <v>477</v>
      </c>
      <c r="C69" t="s">
        <v>479</v>
      </c>
      <c r="D69" t="s">
        <v>556</v>
      </c>
      <c r="E69">
        <v>1.9845637083053589</v>
      </c>
      <c r="F69">
        <v>15.100000381469727</v>
      </c>
      <c r="G69">
        <v>6.236912727355957</v>
      </c>
      <c r="H69">
        <v>0</v>
      </c>
      <c r="I69">
        <v>0.15704697370529175</v>
      </c>
      <c r="J69">
        <v>1.073825478553772</v>
      </c>
      <c r="K69">
        <v>1.9845637083053589</v>
      </c>
      <c r="L69">
        <v>15.100000381469727</v>
      </c>
      <c r="M69">
        <v>6.236912727355957</v>
      </c>
      <c r="N69">
        <v>0.15704697370529175</v>
      </c>
      <c r="O69">
        <v>1.073825478553772</v>
      </c>
      <c r="P69">
        <v>62603.5859375</v>
      </c>
      <c r="Q69">
        <v>19294.291015625</v>
      </c>
    </row>
    <row r="70" spans="1:17" x14ac:dyDescent="0.35">
      <c r="A70" t="s">
        <v>0</v>
      </c>
      <c r="B70" t="s">
        <v>175</v>
      </c>
      <c r="C70" t="s">
        <v>176</v>
      </c>
      <c r="D70" t="s">
        <v>556</v>
      </c>
      <c r="E70">
        <v>3.5392484664916992</v>
      </c>
      <c r="F70">
        <v>9.5951433181762695</v>
      </c>
      <c r="G70">
        <v>2.3077273368835449</v>
      </c>
      <c r="H70">
        <v>0</v>
      </c>
      <c r="I70">
        <v>0.76832616329193115</v>
      </c>
      <c r="J70">
        <v>2.2871103286743164</v>
      </c>
      <c r="K70">
        <v>3.5392484664916992</v>
      </c>
      <c r="L70">
        <v>9.5951433181762695</v>
      </c>
      <c r="M70">
        <v>2.3077273368835449</v>
      </c>
      <c r="N70">
        <v>0.76832616329193115</v>
      </c>
      <c r="O70">
        <v>2.2871103286743164</v>
      </c>
      <c r="P70">
        <v>30568.798828125</v>
      </c>
      <c r="Q70">
        <v>6531.05517578125</v>
      </c>
    </row>
    <row r="71" spans="1:17" x14ac:dyDescent="0.35">
      <c r="A71" t="s">
        <v>25</v>
      </c>
      <c r="B71" t="s">
        <v>302</v>
      </c>
      <c r="C71" t="s">
        <v>304</v>
      </c>
      <c r="D71" t="s">
        <v>556</v>
      </c>
      <c r="E71">
        <v>1.9563027620315552</v>
      </c>
      <c r="F71">
        <v>6.9664707183837891</v>
      </c>
      <c r="G71">
        <v>0.94004160165786743</v>
      </c>
      <c r="H71">
        <v>0</v>
      </c>
      <c r="I71">
        <v>2.5406530126929283E-2</v>
      </c>
      <c r="J71">
        <v>6.6056974232196808E-2</v>
      </c>
      <c r="K71">
        <v>1.9563027620315552</v>
      </c>
      <c r="L71">
        <v>6.9664707183837891</v>
      </c>
      <c r="M71">
        <v>0.94004160165786743</v>
      </c>
      <c r="N71">
        <v>2.5406530126929283E-2</v>
      </c>
      <c r="O71">
        <v>6.6056974232196808E-2</v>
      </c>
      <c r="P71">
        <v>11732.7783203125</v>
      </c>
      <c r="Q71">
        <v>3616.01708984375</v>
      </c>
    </row>
    <row r="72" spans="1:17" x14ac:dyDescent="0.35">
      <c r="A72" t="s">
        <v>4</v>
      </c>
      <c r="B72" t="s">
        <v>780</v>
      </c>
      <c r="C72" t="s">
        <v>114</v>
      </c>
      <c r="D72" t="s">
        <v>556</v>
      </c>
      <c r="E72">
        <v>2.5398457050323486</v>
      </c>
      <c r="F72">
        <v>3.0868279933929443</v>
      </c>
      <c r="G72">
        <v>1.3704301118850708</v>
      </c>
      <c r="H72">
        <v>0</v>
      </c>
      <c r="I72">
        <v>0.70973682403564453</v>
      </c>
      <c r="J72">
        <v>0.28844085335731506</v>
      </c>
      <c r="K72">
        <v>2.5398457050323486</v>
      </c>
      <c r="L72">
        <v>3.0868279933929443</v>
      </c>
      <c r="M72">
        <v>1.3704301118850708</v>
      </c>
      <c r="N72">
        <v>0.70973682403564453</v>
      </c>
      <c r="O72">
        <v>0.28844085335731506</v>
      </c>
      <c r="P72">
        <v>240155.875</v>
      </c>
      <c r="Q72">
        <v>72097.1796875</v>
      </c>
    </row>
    <row r="73" spans="1:17" x14ac:dyDescent="0.35">
      <c r="A73" t="s">
        <v>25</v>
      </c>
      <c r="B73" t="s">
        <v>462</v>
      </c>
      <c r="C73" t="s">
        <v>464</v>
      </c>
      <c r="D73" t="s">
        <v>556</v>
      </c>
      <c r="E73">
        <v>1.5385119915008545</v>
      </c>
      <c r="F73">
        <v>11.231290817260742</v>
      </c>
      <c r="G73">
        <v>5.1522974967956543</v>
      </c>
      <c r="H73">
        <v>0</v>
      </c>
      <c r="I73">
        <v>5.5798687040805817E-2</v>
      </c>
      <c r="J73">
        <v>0.37571117281913757</v>
      </c>
      <c r="K73">
        <v>1.5385119915008545</v>
      </c>
      <c r="L73">
        <v>11.231290817260742</v>
      </c>
      <c r="M73">
        <v>5.1522974967956543</v>
      </c>
      <c r="N73">
        <v>5.5798687040805817E-2</v>
      </c>
      <c r="O73">
        <v>0.37571117281913757</v>
      </c>
      <c r="P73">
        <v>225795.9375</v>
      </c>
      <c r="Q73">
        <v>69589.8203125</v>
      </c>
    </row>
    <row r="74" spans="1:17" x14ac:dyDescent="0.35">
      <c r="A74" t="s">
        <v>25</v>
      </c>
      <c r="B74" t="s">
        <v>358</v>
      </c>
      <c r="C74" t="s">
        <v>360</v>
      </c>
      <c r="D74" t="s">
        <v>556</v>
      </c>
      <c r="E74">
        <v>1.2848167419433594</v>
      </c>
      <c r="F74">
        <v>2.7089004516601563</v>
      </c>
      <c r="G74">
        <v>1.6937172412872314</v>
      </c>
      <c r="H74">
        <v>0</v>
      </c>
      <c r="I74">
        <v>1.5706805512309074E-2</v>
      </c>
      <c r="J74">
        <v>9.5287956297397614E-2</v>
      </c>
      <c r="K74">
        <v>1.2848167419433594</v>
      </c>
      <c r="L74">
        <v>2.7089004516601563</v>
      </c>
      <c r="M74">
        <v>1.6937172412872314</v>
      </c>
      <c r="N74">
        <v>1.5706805512309074E-2</v>
      </c>
      <c r="O74">
        <v>9.5287956297397614E-2</v>
      </c>
      <c r="P74">
        <v>133219</v>
      </c>
      <c r="Q74">
        <v>41057.80859375</v>
      </c>
    </row>
    <row r="75" spans="1:17" x14ac:dyDescent="0.35">
      <c r="A75" t="s">
        <v>4</v>
      </c>
      <c r="B75" t="s">
        <v>75</v>
      </c>
      <c r="C75" t="s">
        <v>77</v>
      </c>
      <c r="D75" t="s">
        <v>556</v>
      </c>
      <c r="E75">
        <v>0.23059701919555664</v>
      </c>
      <c r="F75">
        <v>0.61567163467407227</v>
      </c>
      <c r="G75">
        <v>0.50522387027740479</v>
      </c>
      <c r="H75">
        <v>0</v>
      </c>
      <c r="K75">
        <v>0.23059701919555664</v>
      </c>
      <c r="L75">
        <v>0.61567163467407227</v>
      </c>
      <c r="M75">
        <v>0.50522387027740479</v>
      </c>
      <c r="N75">
        <v>0.55726933479309082</v>
      </c>
      <c r="O75">
        <v>1.035707950592041</v>
      </c>
      <c r="P75">
        <v>109637.390625</v>
      </c>
      <c r="Q75">
        <v>32914.234375</v>
      </c>
    </row>
    <row r="76" spans="1:17" x14ac:dyDescent="0.35">
      <c r="A76" t="s">
        <v>25</v>
      </c>
      <c r="B76" t="s">
        <v>244</v>
      </c>
      <c r="C76" t="s">
        <v>246</v>
      </c>
      <c r="D76" t="s">
        <v>556</v>
      </c>
      <c r="E76">
        <v>0.96716982126235962</v>
      </c>
      <c r="F76">
        <v>4.3313207626342773</v>
      </c>
      <c r="G76">
        <v>0.47471699118614197</v>
      </c>
      <c r="H76">
        <v>0</v>
      </c>
      <c r="I76">
        <v>7.207547128200531E-2</v>
      </c>
      <c r="J76">
        <v>0.12716981768608093</v>
      </c>
      <c r="K76">
        <v>0.96716982126235962</v>
      </c>
      <c r="L76">
        <v>4.3313207626342773</v>
      </c>
      <c r="M76">
        <v>0.47471699118614197</v>
      </c>
      <c r="N76">
        <v>7.207547128200531E-2</v>
      </c>
      <c r="O76">
        <v>0.12716981768608093</v>
      </c>
      <c r="P76">
        <v>173239.953125</v>
      </c>
      <c r="Q76">
        <v>53392.18359375</v>
      </c>
    </row>
    <row r="77" spans="1:17" x14ac:dyDescent="0.35">
      <c r="A77" t="s">
        <v>25</v>
      </c>
      <c r="B77" t="s">
        <v>30</v>
      </c>
      <c r="C77" t="s">
        <v>31</v>
      </c>
      <c r="D77" t="s">
        <v>556</v>
      </c>
      <c r="E77">
        <v>0.71790200471878052</v>
      </c>
      <c r="F77">
        <v>2.5608742237091064</v>
      </c>
      <c r="H77">
        <v>1</v>
      </c>
      <c r="I77">
        <v>2.1429911255836487E-2</v>
      </c>
      <c r="J77">
        <v>7.7147677540779114E-2</v>
      </c>
      <c r="K77">
        <v>0.71790200471878052</v>
      </c>
      <c r="L77">
        <v>2.5608742237091064</v>
      </c>
      <c r="N77">
        <v>2.1429911255836487E-2</v>
      </c>
      <c r="O77">
        <v>7.7147677540779114E-2</v>
      </c>
      <c r="P77">
        <v>30721.564453125</v>
      </c>
      <c r="Q77">
        <v>9468.3203125</v>
      </c>
    </row>
    <row r="78" spans="1:17" x14ac:dyDescent="0.35">
      <c r="A78" t="s">
        <v>25</v>
      </c>
      <c r="B78" t="s">
        <v>332</v>
      </c>
      <c r="C78" t="s">
        <v>334</v>
      </c>
      <c r="D78" t="s">
        <v>556</v>
      </c>
      <c r="E78">
        <v>1.5645914077758789</v>
      </c>
      <c r="F78">
        <v>11.653890609741211</v>
      </c>
      <c r="H78">
        <v>1</v>
      </c>
      <c r="I78">
        <v>0.2471482902765274</v>
      </c>
      <c r="J78">
        <v>0.18754863739013672</v>
      </c>
      <c r="K78">
        <v>1.5645914077758789</v>
      </c>
      <c r="L78">
        <v>11.653890609741211</v>
      </c>
      <c r="N78">
        <v>0.2471482902765274</v>
      </c>
      <c r="O78">
        <v>0.18754863739013672</v>
      </c>
      <c r="P78">
        <v>262302.5625</v>
      </c>
      <c r="Q78">
        <v>80841.09375</v>
      </c>
    </row>
    <row r="79" spans="1:17" x14ac:dyDescent="0.35">
      <c r="A79" t="s">
        <v>4</v>
      </c>
      <c r="B79" t="s">
        <v>471</v>
      </c>
      <c r="C79" t="s">
        <v>473</v>
      </c>
      <c r="D79" t="s">
        <v>556</v>
      </c>
      <c r="E79">
        <v>5.2558140754699707</v>
      </c>
      <c r="F79">
        <v>7.8515787124633789</v>
      </c>
      <c r="H79">
        <v>1</v>
      </c>
      <c r="I79">
        <v>0.21046511828899384</v>
      </c>
      <c r="J79">
        <v>1.05271315574646</v>
      </c>
      <c r="K79">
        <v>5.2558140754699707</v>
      </c>
      <c r="L79">
        <v>7.8515787124633789</v>
      </c>
      <c r="N79">
        <v>0.21046511828899384</v>
      </c>
      <c r="O79">
        <v>1.05271315574646</v>
      </c>
      <c r="P79">
        <v>140576.859375</v>
      </c>
      <c r="Q79">
        <v>42202.5703125</v>
      </c>
    </row>
    <row r="80" spans="1:17" x14ac:dyDescent="0.35">
      <c r="A80" t="s">
        <v>1</v>
      </c>
      <c r="B80" t="s">
        <v>308</v>
      </c>
      <c r="C80" t="s">
        <v>310</v>
      </c>
      <c r="D80" t="s">
        <v>556</v>
      </c>
      <c r="E80">
        <v>2.347747802734375</v>
      </c>
      <c r="F80">
        <v>3.8081080913543701</v>
      </c>
      <c r="G80">
        <v>0.17747747898101807</v>
      </c>
      <c r="H80">
        <v>0</v>
      </c>
      <c r="I80">
        <v>0.21351350843906403</v>
      </c>
      <c r="J80">
        <v>0.30270269513130188</v>
      </c>
      <c r="K80">
        <v>2.347747802734375</v>
      </c>
      <c r="L80">
        <v>3.8081080913543701</v>
      </c>
      <c r="M80">
        <v>0.17747747898101807</v>
      </c>
      <c r="N80">
        <v>0.21351350843906403</v>
      </c>
      <c r="O80">
        <v>0.30270269513130188</v>
      </c>
      <c r="P80">
        <v>64238.0625</v>
      </c>
      <c r="Q80">
        <v>13680.7958984375</v>
      </c>
    </row>
    <row r="81" spans="1:17" x14ac:dyDescent="0.35">
      <c r="A81" t="s">
        <v>4</v>
      </c>
      <c r="B81" t="s">
        <v>447</v>
      </c>
      <c r="C81" t="s">
        <v>449</v>
      </c>
      <c r="D81" t="s">
        <v>556</v>
      </c>
      <c r="E81">
        <v>2.618382453918457</v>
      </c>
      <c r="F81">
        <v>11.455023765563965</v>
      </c>
      <c r="H81">
        <v>1</v>
      </c>
      <c r="I81">
        <v>2.0863752365112305</v>
      </c>
      <c r="J81">
        <v>0.25171568989753723</v>
      </c>
      <c r="K81">
        <v>2.618382453918457</v>
      </c>
      <c r="L81">
        <v>11.455023765563965</v>
      </c>
      <c r="N81">
        <v>2.0863752365112305</v>
      </c>
      <c r="O81">
        <v>0.25171568989753723</v>
      </c>
      <c r="P81">
        <v>196352.59375</v>
      </c>
      <c r="Q81">
        <v>58947</v>
      </c>
    </row>
    <row r="82" spans="1:17" x14ac:dyDescent="0.35">
      <c r="A82" t="s">
        <v>0</v>
      </c>
      <c r="B82" t="s">
        <v>105</v>
      </c>
      <c r="C82" t="s">
        <v>107</v>
      </c>
      <c r="D82" t="s">
        <v>556</v>
      </c>
      <c r="E82">
        <v>0.66088438034057617</v>
      </c>
      <c r="F82">
        <v>4.5293369293212891</v>
      </c>
      <c r="H82">
        <v>1</v>
      </c>
      <c r="I82">
        <v>7.0646263659000397E-2</v>
      </c>
      <c r="J82">
        <v>0.1336226761341095</v>
      </c>
      <c r="K82">
        <v>0.66088438034057617</v>
      </c>
      <c r="L82">
        <v>4.5293369293212891</v>
      </c>
      <c r="N82">
        <v>7.0646263659000397E-2</v>
      </c>
      <c r="O82">
        <v>0.1336226761341095</v>
      </c>
      <c r="P82">
        <v>47773.203125</v>
      </c>
      <c r="Q82">
        <v>10206.7939453125</v>
      </c>
    </row>
    <row r="83" spans="1:17" x14ac:dyDescent="0.35">
      <c r="A83" t="s">
        <v>25</v>
      </c>
      <c r="B83" t="s">
        <v>26</v>
      </c>
      <c r="C83" t="s">
        <v>27</v>
      </c>
      <c r="D83" t="s">
        <v>556</v>
      </c>
      <c r="E83">
        <v>0.52105265855789185</v>
      </c>
      <c r="F83">
        <v>5.598029613494873</v>
      </c>
      <c r="G83">
        <v>3.6832511425018311</v>
      </c>
      <c r="H83">
        <v>0</v>
      </c>
      <c r="I83">
        <v>2.5615762919187546E-2</v>
      </c>
      <c r="J83">
        <v>0.15418718755245209</v>
      </c>
      <c r="K83">
        <v>0.52105265855789185</v>
      </c>
      <c r="L83">
        <v>5.598029613494873</v>
      </c>
      <c r="M83">
        <v>3.6832511425018311</v>
      </c>
      <c r="N83">
        <v>2.5615762919187546E-2</v>
      </c>
      <c r="O83">
        <v>0.15418718755245209</v>
      </c>
      <c r="P83">
        <v>124517.125</v>
      </c>
      <c r="Q83">
        <v>38375.91015625</v>
      </c>
    </row>
    <row r="84" spans="1:17" x14ac:dyDescent="0.35">
      <c r="A84" t="s">
        <v>25</v>
      </c>
      <c r="B84" t="s">
        <v>441</v>
      </c>
      <c r="C84" t="s">
        <v>443</v>
      </c>
      <c r="D84" t="s">
        <v>556</v>
      </c>
      <c r="E84">
        <v>1.0373042821884155</v>
      </c>
      <c r="F84">
        <v>9.6884975433349609</v>
      </c>
      <c r="H84">
        <v>1</v>
      </c>
      <c r="I84">
        <v>5.1483850926160812E-2</v>
      </c>
      <c r="J84">
        <v>0.29936906695365906</v>
      </c>
      <c r="K84">
        <v>1.0373042821884155</v>
      </c>
      <c r="L84">
        <v>9.6884975433349609</v>
      </c>
      <c r="N84">
        <v>5.1483850926160812E-2</v>
      </c>
      <c r="O84">
        <v>0.29936906695365906</v>
      </c>
      <c r="P84">
        <v>28958.66796875</v>
      </c>
      <c r="Q84">
        <v>8924.9990234375</v>
      </c>
    </row>
    <row r="85" spans="1:17" x14ac:dyDescent="0.35">
      <c r="A85" t="s">
        <v>25</v>
      </c>
      <c r="B85" t="s">
        <v>247</v>
      </c>
      <c r="C85" t="s">
        <v>249</v>
      </c>
      <c r="D85" t="s">
        <v>556</v>
      </c>
      <c r="E85">
        <v>0.61158537864685059</v>
      </c>
      <c r="F85">
        <v>1.5993902683258057</v>
      </c>
      <c r="G85">
        <v>0.43292683362960815</v>
      </c>
      <c r="H85">
        <v>0</v>
      </c>
      <c r="I85">
        <v>1.9354838877916336E-3</v>
      </c>
      <c r="J85">
        <v>3.2926827669143677E-2</v>
      </c>
      <c r="K85">
        <v>0.61158537864685059</v>
      </c>
      <c r="L85">
        <v>1.5993902683258057</v>
      </c>
      <c r="M85">
        <v>0.43292683362960815</v>
      </c>
      <c r="N85">
        <v>1.9354838877916336E-3</v>
      </c>
      <c r="O85">
        <v>3.2926827669143677E-2</v>
      </c>
      <c r="P85">
        <v>115020.734375</v>
      </c>
      <c r="Q85">
        <v>35449.14453125</v>
      </c>
    </row>
    <row r="86" spans="1:17" x14ac:dyDescent="0.35">
      <c r="A86" t="s">
        <v>1</v>
      </c>
      <c r="B86" t="s">
        <v>378</v>
      </c>
      <c r="C86" t="s">
        <v>380</v>
      </c>
      <c r="D86" t="s">
        <v>556</v>
      </c>
      <c r="E86">
        <v>16.645265579223633</v>
      </c>
      <c r="F86">
        <v>15.524266242980957</v>
      </c>
      <c r="H86">
        <v>0</v>
      </c>
      <c r="I86">
        <v>0.39904093742370605</v>
      </c>
      <c r="J86">
        <v>1.8574790954589844</v>
      </c>
      <c r="K86">
        <v>16.645265579223633</v>
      </c>
      <c r="L86">
        <v>15.524266242980957</v>
      </c>
      <c r="M86">
        <v>2.7208631038665771</v>
      </c>
      <c r="N86">
        <v>0.39904093742370605</v>
      </c>
      <c r="O86">
        <v>1.8574790954589844</v>
      </c>
      <c r="P86">
        <v>15031.63671875</v>
      </c>
      <c r="Q86">
        <v>3201.29150390625</v>
      </c>
    </row>
    <row r="87" spans="1:17" x14ac:dyDescent="0.35">
      <c r="A87" t="s">
        <v>25</v>
      </c>
      <c r="B87" t="s">
        <v>229</v>
      </c>
      <c r="C87" t="s">
        <v>231</v>
      </c>
      <c r="D87" t="s">
        <v>556</v>
      </c>
      <c r="E87">
        <v>0.64661014080047607</v>
      </c>
      <c r="F87">
        <v>2.262711763381958</v>
      </c>
      <c r="G87">
        <v>0.76694917678833008</v>
      </c>
      <c r="H87">
        <v>0</v>
      </c>
      <c r="I87">
        <v>1.0434783063828945E-2</v>
      </c>
      <c r="J87">
        <v>0.26608696579933167</v>
      </c>
      <c r="K87">
        <v>0.64661014080047607</v>
      </c>
      <c r="L87">
        <v>2.262711763381958</v>
      </c>
      <c r="M87">
        <v>0.76694917678833008</v>
      </c>
      <c r="N87">
        <v>1.0434783063828945E-2</v>
      </c>
      <c r="O87">
        <v>0.26608696579933167</v>
      </c>
      <c r="P87">
        <v>82634.515625</v>
      </c>
      <c r="Q87">
        <v>25467.779296875</v>
      </c>
    </row>
    <row r="88" spans="1:17" x14ac:dyDescent="0.35">
      <c r="A88" t="s">
        <v>25</v>
      </c>
      <c r="B88" t="s">
        <v>343</v>
      </c>
      <c r="C88" t="s">
        <v>345</v>
      </c>
      <c r="D88" t="s">
        <v>556</v>
      </c>
      <c r="E88">
        <v>0.51048189401626587</v>
      </c>
      <c r="F88">
        <v>19.537345886230469</v>
      </c>
      <c r="H88">
        <v>1</v>
      </c>
      <c r="I88">
        <v>1.4177576638758183E-2</v>
      </c>
      <c r="J88">
        <v>2.222463846206665</v>
      </c>
      <c r="K88">
        <v>0.51048189401626587</v>
      </c>
      <c r="L88">
        <v>19.537345886230469</v>
      </c>
      <c r="N88">
        <v>1.4177576638758183E-2</v>
      </c>
      <c r="O88">
        <v>2.222463846206665</v>
      </c>
      <c r="P88">
        <v>18548.80859375</v>
      </c>
      <c r="Q88">
        <v>5716.703125</v>
      </c>
    </row>
    <row r="89" spans="1:17" x14ac:dyDescent="0.35">
      <c r="A89" t="s">
        <v>25</v>
      </c>
      <c r="B89" t="s">
        <v>118</v>
      </c>
      <c r="C89" t="s">
        <v>120</v>
      </c>
      <c r="D89" t="s">
        <v>556</v>
      </c>
      <c r="E89">
        <v>1.8645056486129761</v>
      </c>
      <c r="F89">
        <v>7.7282733917236328</v>
      </c>
      <c r="G89">
        <v>1.5238529443740845</v>
      </c>
      <c r="H89">
        <v>0</v>
      </c>
      <c r="I89">
        <v>0.53030496835708618</v>
      </c>
      <c r="J89">
        <v>0.17713938653469086</v>
      </c>
      <c r="K89">
        <v>1.8645056486129761</v>
      </c>
      <c r="L89">
        <v>7.7282733917236328</v>
      </c>
      <c r="M89">
        <v>1.5238529443740845</v>
      </c>
      <c r="N89">
        <v>0.53030496835708618</v>
      </c>
      <c r="O89">
        <v>0.17713938653469086</v>
      </c>
      <c r="P89">
        <v>26463.5625</v>
      </c>
      <c r="Q89">
        <v>8156.01318359375</v>
      </c>
    </row>
    <row r="90" spans="1:17" x14ac:dyDescent="0.35">
      <c r="A90" t="s">
        <v>25</v>
      </c>
      <c r="B90" t="s">
        <v>498</v>
      </c>
      <c r="C90" t="s">
        <v>500</v>
      </c>
      <c r="D90" t="s">
        <v>556</v>
      </c>
      <c r="E90">
        <v>0.82054418325424194</v>
      </c>
      <c r="F90">
        <v>14.39702320098877</v>
      </c>
      <c r="H90">
        <v>1</v>
      </c>
      <c r="I90">
        <v>0.53869372606277466</v>
      </c>
      <c r="J90">
        <v>1.3061873912811279</v>
      </c>
      <c r="K90">
        <v>0.82054418325424194</v>
      </c>
      <c r="L90">
        <v>14.39702320098877</v>
      </c>
      <c r="N90">
        <v>0.53869372606277466</v>
      </c>
      <c r="O90">
        <v>1.3061873912811279</v>
      </c>
      <c r="P90">
        <v>15542.935546875</v>
      </c>
      <c r="Q90">
        <v>4790.29931640625</v>
      </c>
    </row>
    <row r="91" spans="1:17" x14ac:dyDescent="0.35">
      <c r="A91" t="s">
        <v>25</v>
      </c>
      <c r="B91" t="s">
        <v>540</v>
      </c>
      <c r="C91" t="s">
        <v>541</v>
      </c>
      <c r="D91" t="s">
        <v>556</v>
      </c>
      <c r="E91">
        <v>0.51243340969085693</v>
      </c>
      <c r="F91">
        <v>5.6731796264648438</v>
      </c>
      <c r="H91">
        <v>1</v>
      </c>
      <c r="I91">
        <v>0.12113676965236664</v>
      </c>
      <c r="J91">
        <v>0.32770869135856628</v>
      </c>
      <c r="K91">
        <v>0.51243340969085693</v>
      </c>
      <c r="L91">
        <v>5.6731796264648438</v>
      </c>
      <c r="N91">
        <v>0.12113676965236664</v>
      </c>
      <c r="O91">
        <v>0.32770869135856628</v>
      </c>
      <c r="P91">
        <v>351637.09375</v>
      </c>
      <c r="Q91">
        <v>108373.796875</v>
      </c>
    </row>
    <row r="92" spans="1:17" x14ac:dyDescent="0.35">
      <c r="A92" t="s">
        <v>43</v>
      </c>
      <c r="B92" t="s">
        <v>66</v>
      </c>
      <c r="C92" t="s">
        <v>68</v>
      </c>
      <c r="D92" t="s">
        <v>556</v>
      </c>
      <c r="E92">
        <v>8.5271472930908203</v>
      </c>
      <c r="F92">
        <v>21.331615447998047</v>
      </c>
      <c r="G92">
        <v>12.128866195678711</v>
      </c>
      <c r="H92">
        <v>0</v>
      </c>
      <c r="I92">
        <v>1.2587628364562988</v>
      </c>
      <c r="J92">
        <v>1.6556700468063354</v>
      </c>
      <c r="K92">
        <v>8.5271472930908203</v>
      </c>
      <c r="L92">
        <v>21.331615447998047</v>
      </c>
      <c r="M92">
        <v>12.128866195678711</v>
      </c>
      <c r="N92">
        <v>1.2587628364562988</v>
      </c>
      <c r="O92">
        <v>1.6556700468063354</v>
      </c>
      <c r="P92">
        <v>63232.12890625</v>
      </c>
      <c r="Q92">
        <v>20720.27734375</v>
      </c>
    </row>
    <row r="93" spans="1:17" x14ac:dyDescent="0.35">
      <c r="A93" t="s">
        <v>43</v>
      </c>
      <c r="B93" t="s">
        <v>51</v>
      </c>
      <c r="C93" t="s">
        <v>53</v>
      </c>
      <c r="D93" t="s">
        <v>556</v>
      </c>
      <c r="E93">
        <v>7.5619559288024902</v>
      </c>
      <c r="F93">
        <v>12.340322494506836</v>
      </c>
      <c r="G93">
        <v>5.1424331665039063</v>
      </c>
      <c r="H93">
        <v>0</v>
      </c>
      <c r="I93">
        <v>2.2754129022359848E-2</v>
      </c>
      <c r="J93">
        <v>2.0933799743652344</v>
      </c>
      <c r="K93">
        <v>7.5619559288024902</v>
      </c>
      <c r="L93">
        <v>12.340322494506836</v>
      </c>
      <c r="M93">
        <v>5.1424331665039063</v>
      </c>
      <c r="N93">
        <v>2.2754129022359848E-2</v>
      </c>
      <c r="O93">
        <v>2.0933799743652344</v>
      </c>
      <c r="P93">
        <v>5002.34814453125</v>
      </c>
      <c r="Q93">
        <v>1639.1988525390625</v>
      </c>
    </row>
    <row r="94" spans="1:17" x14ac:dyDescent="0.35">
      <c r="A94" t="s">
        <v>25</v>
      </c>
      <c r="B94" t="s">
        <v>530</v>
      </c>
      <c r="C94" t="s">
        <v>532</v>
      </c>
      <c r="D94" t="s">
        <v>556</v>
      </c>
      <c r="E94">
        <v>2.6432077884674072</v>
      </c>
      <c r="F94">
        <v>14.825992584228516</v>
      </c>
      <c r="H94">
        <v>1</v>
      </c>
      <c r="I94">
        <v>0.38446658849716187</v>
      </c>
      <c r="J94">
        <v>0.66080194711685181</v>
      </c>
      <c r="K94">
        <v>2.6432077884674072</v>
      </c>
      <c r="L94">
        <v>14.825992584228516</v>
      </c>
      <c r="N94">
        <v>0.38446658849716187</v>
      </c>
      <c r="O94">
        <v>0.66080194711685181</v>
      </c>
      <c r="P94">
        <v>3628.657470703125</v>
      </c>
      <c r="Q94">
        <v>1118.344482421875</v>
      </c>
    </row>
    <row r="95" spans="1:17" x14ac:dyDescent="0.35">
      <c r="A95" t="s">
        <v>43</v>
      </c>
      <c r="B95" t="s">
        <v>44</v>
      </c>
      <c r="C95" t="s">
        <v>45</v>
      </c>
      <c r="D95" t="s">
        <v>556</v>
      </c>
      <c r="E95">
        <v>36.87677001953125</v>
      </c>
      <c r="F95">
        <v>41.387794494628906</v>
      </c>
      <c r="G95">
        <v>3.15354323387146</v>
      </c>
      <c r="H95">
        <v>0</v>
      </c>
      <c r="I95">
        <v>2.2027559280395508</v>
      </c>
      <c r="J95">
        <v>3.9740157127380371</v>
      </c>
      <c r="K95">
        <v>36.87677001953125</v>
      </c>
      <c r="L95">
        <v>41.387794494628906</v>
      </c>
      <c r="M95">
        <v>3.15354323387146</v>
      </c>
      <c r="N95">
        <v>2.2027559280395508</v>
      </c>
      <c r="O95">
        <v>3.9740157127380371</v>
      </c>
      <c r="P95">
        <v>2541.976806640625</v>
      </c>
      <c r="Q95">
        <v>832.96990966796875</v>
      </c>
    </row>
    <row r="96" spans="1:17" x14ac:dyDescent="0.35">
      <c r="A96" t="s">
        <v>20</v>
      </c>
      <c r="B96" t="s">
        <v>465</v>
      </c>
      <c r="C96" t="s">
        <v>467</v>
      </c>
      <c r="D96" t="s">
        <v>556</v>
      </c>
      <c r="E96">
        <v>23.762170791625977</v>
      </c>
      <c r="F96">
        <v>104.66973876953125</v>
      </c>
      <c r="G96">
        <v>8.2325658798217773</v>
      </c>
      <c r="H96">
        <v>0</v>
      </c>
      <c r="I96">
        <v>1.486842155456543</v>
      </c>
      <c r="J96">
        <v>0.40888157486915588</v>
      </c>
      <c r="K96">
        <v>23.762170791625977</v>
      </c>
      <c r="L96">
        <v>104.66973876953125</v>
      </c>
      <c r="M96">
        <v>8.2325658798217773</v>
      </c>
      <c r="N96">
        <v>1.486842155456543</v>
      </c>
      <c r="O96">
        <v>0.40888157486915588</v>
      </c>
      <c r="P96">
        <v>6957.2392578125</v>
      </c>
      <c r="Q96">
        <v>1132.8447265625</v>
      </c>
    </row>
    <row r="97" spans="1:17" x14ac:dyDescent="0.35">
      <c r="A97" t="s">
        <v>0</v>
      </c>
      <c r="B97" t="s">
        <v>139</v>
      </c>
      <c r="C97" t="s">
        <v>141</v>
      </c>
      <c r="D97" t="s">
        <v>556</v>
      </c>
      <c r="E97">
        <v>1.9241830110549927</v>
      </c>
      <c r="F97">
        <v>5.7472724914550781</v>
      </c>
      <c r="G97">
        <v>4.320000171661377</v>
      </c>
      <c r="H97">
        <v>0</v>
      </c>
      <c r="I97">
        <v>0.85493826866149902</v>
      </c>
      <c r="J97">
        <v>0.34379085898399353</v>
      </c>
      <c r="K97">
        <v>1.9241830110549927</v>
      </c>
      <c r="L97">
        <v>5.7472724914550781</v>
      </c>
      <c r="M97">
        <v>4.320000171661377</v>
      </c>
      <c r="N97">
        <v>0.85493826866149902</v>
      </c>
      <c r="O97">
        <v>0.34379085898399353</v>
      </c>
      <c r="P97">
        <v>81789.2109375</v>
      </c>
      <c r="Q97">
        <v>17474.34765625</v>
      </c>
    </row>
    <row r="98" spans="1:17" x14ac:dyDescent="0.35">
      <c r="A98" t="s">
        <v>25</v>
      </c>
      <c r="B98" t="s">
        <v>411</v>
      </c>
      <c r="C98" t="s">
        <v>413</v>
      </c>
      <c r="D98" t="s">
        <v>556</v>
      </c>
      <c r="E98">
        <v>0.88036811351776123</v>
      </c>
      <c r="F98">
        <v>3.7736196517944336</v>
      </c>
      <c r="G98">
        <v>1.6294478178024292</v>
      </c>
      <c r="H98">
        <v>0</v>
      </c>
      <c r="I98">
        <v>0.134355828166008</v>
      </c>
      <c r="J98">
        <v>0.11533742398023605</v>
      </c>
      <c r="K98">
        <v>0.88036811351776123</v>
      </c>
      <c r="L98">
        <v>3.7736196517944336</v>
      </c>
      <c r="M98">
        <v>1.6294478178024292</v>
      </c>
      <c r="N98">
        <v>0.134355828166008</v>
      </c>
      <c r="O98">
        <v>0.11533742398023605</v>
      </c>
      <c r="P98">
        <v>107820.3984375</v>
      </c>
      <c r="Q98">
        <v>33230.015625</v>
      </c>
    </row>
    <row r="99" spans="1:17" x14ac:dyDescent="0.35">
      <c r="A99" t="s">
        <v>25</v>
      </c>
      <c r="B99" t="s">
        <v>290</v>
      </c>
      <c r="C99" t="s">
        <v>292</v>
      </c>
      <c r="D99" t="s">
        <v>556</v>
      </c>
      <c r="E99">
        <v>0.82344919443130493</v>
      </c>
      <c r="F99">
        <v>7.2000079154968262</v>
      </c>
      <c r="G99">
        <v>2.2593128681182861</v>
      </c>
      <c r="H99">
        <v>0</v>
      </c>
      <c r="I99">
        <v>3.3103484660387039E-2</v>
      </c>
      <c r="J99">
        <v>2.0689677447080612E-2</v>
      </c>
      <c r="K99">
        <v>0.82344919443130493</v>
      </c>
      <c r="L99">
        <v>7.2000079154968262</v>
      </c>
      <c r="M99">
        <v>2.2593128681182861</v>
      </c>
      <c r="N99">
        <v>3.3103484660387039E-2</v>
      </c>
      <c r="O99">
        <v>2.0689677447080612E-2</v>
      </c>
      <c r="P99">
        <v>14274.0859375</v>
      </c>
      <c r="Q99">
        <v>4399.24267578125</v>
      </c>
    </row>
    <row r="100" spans="1:17" x14ac:dyDescent="0.35">
      <c r="A100" t="s">
        <v>20</v>
      </c>
      <c r="B100" t="s">
        <v>172</v>
      </c>
      <c r="C100" t="s">
        <v>174</v>
      </c>
      <c r="D100" t="s">
        <v>556</v>
      </c>
      <c r="E100">
        <v>22.130128860473633</v>
      </c>
      <c r="F100">
        <v>52.242485046386719</v>
      </c>
      <c r="G100">
        <v>3.7843770980834961</v>
      </c>
      <c r="H100">
        <v>0</v>
      </c>
      <c r="I100">
        <v>1.8496119976043701</v>
      </c>
      <c r="J100">
        <v>0.41406300663948059</v>
      </c>
      <c r="K100">
        <v>22.130128860473633</v>
      </c>
      <c r="L100">
        <v>52.242485046386719</v>
      </c>
      <c r="M100">
        <v>3.7843770980834961</v>
      </c>
      <c r="N100">
        <v>1.8496119976043701</v>
      </c>
      <c r="O100">
        <v>0.41406300663948059</v>
      </c>
      <c r="P100">
        <v>1220.4400634765625</v>
      </c>
      <c r="Q100">
        <v>198.72381591796875</v>
      </c>
    </row>
    <row r="101" spans="1:17" x14ac:dyDescent="0.35">
      <c r="A101" t="s">
        <v>0</v>
      </c>
      <c r="B101" t="s">
        <v>169</v>
      </c>
      <c r="C101" t="s">
        <v>171</v>
      </c>
      <c r="D101" t="s">
        <v>560</v>
      </c>
      <c r="E101">
        <v>9.4610061645507813</v>
      </c>
      <c r="F101">
        <v>43.615238189697266</v>
      </c>
      <c r="G101">
        <v>1.7975912094116211</v>
      </c>
      <c r="H101">
        <v>0</v>
      </c>
      <c r="I101">
        <v>1.4191509485244751</v>
      </c>
      <c r="J101">
        <v>0.75688052177429199</v>
      </c>
      <c r="K101">
        <v>9.4610061645507813</v>
      </c>
      <c r="L101">
        <v>43.615238189697266</v>
      </c>
      <c r="M101">
        <v>1.7975912094116211</v>
      </c>
      <c r="N101">
        <v>1.4191509485244751</v>
      </c>
      <c r="O101">
        <v>0.75688052177429199</v>
      </c>
      <c r="P101">
        <v>92.124183654785156</v>
      </c>
      <c r="Q101">
        <v>19.682424545288086</v>
      </c>
    </row>
    <row r="102" spans="1:17" x14ac:dyDescent="0.35">
      <c r="A102" t="s">
        <v>4</v>
      </c>
      <c r="B102" t="s">
        <v>323</v>
      </c>
      <c r="C102" t="s">
        <v>325</v>
      </c>
      <c r="D102" t="s">
        <v>560</v>
      </c>
      <c r="E102">
        <v>9.6679105758666992</v>
      </c>
      <c r="F102">
        <v>22.38557243347168</v>
      </c>
      <c r="G102">
        <v>1.493034839630127</v>
      </c>
      <c r="H102">
        <v>0</v>
      </c>
      <c r="I102">
        <v>3.4833333492279053</v>
      </c>
      <c r="J102">
        <v>4.1074628829956055</v>
      </c>
      <c r="K102">
        <v>9.6679105758666992</v>
      </c>
      <c r="L102">
        <v>22.38557243347168</v>
      </c>
      <c r="M102">
        <v>1.493034839630127</v>
      </c>
      <c r="N102">
        <v>3.4833333492279053</v>
      </c>
      <c r="O102">
        <v>4.1074628829956055</v>
      </c>
      <c r="P102">
        <v>80522.7109375</v>
      </c>
      <c r="Q102">
        <v>24173.716796875</v>
      </c>
    </row>
    <row r="103" spans="1:17" x14ac:dyDescent="0.35">
      <c r="A103" t="s">
        <v>25</v>
      </c>
      <c r="B103" t="s">
        <v>241</v>
      </c>
      <c r="C103" t="s">
        <v>243</v>
      </c>
      <c r="D103" t="s">
        <v>560</v>
      </c>
      <c r="E103">
        <v>8.3124294281005859</v>
      </c>
      <c r="F103">
        <v>12.983573913574219</v>
      </c>
      <c r="H103">
        <v>0</v>
      </c>
      <c r="I103">
        <v>2.1820721626281738</v>
      </c>
      <c r="J103">
        <v>3.1631369590759277</v>
      </c>
      <c r="K103">
        <v>8.3124294281005859</v>
      </c>
      <c r="L103">
        <v>12.983573913574219</v>
      </c>
      <c r="M103">
        <v>4.2987570762634277</v>
      </c>
      <c r="N103">
        <v>2.1820721626281738</v>
      </c>
      <c r="O103">
        <v>3.1631369590759277</v>
      </c>
      <c r="P103">
        <v>1804.40185546875</v>
      </c>
      <c r="Q103">
        <v>556.11279296875</v>
      </c>
    </row>
    <row r="104" spans="1:17" x14ac:dyDescent="0.35">
      <c r="A104" t="s">
        <v>1</v>
      </c>
      <c r="B104" t="s">
        <v>305</v>
      </c>
      <c r="C104" t="s">
        <v>307</v>
      </c>
      <c r="D104" t="s">
        <v>560</v>
      </c>
      <c r="E104">
        <v>14.239236831665039</v>
      </c>
      <c r="F104">
        <v>30.983053207397461</v>
      </c>
      <c r="G104">
        <v>4.3226256370544434</v>
      </c>
      <c r="H104">
        <v>0</v>
      </c>
      <c r="I104">
        <v>0.69924825429916382</v>
      </c>
      <c r="J104">
        <v>0.59753942489624023</v>
      </c>
      <c r="K104">
        <v>14.239236831665039</v>
      </c>
      <c r="L104">
        <v>30.983053207397461</v>
      </c>
      <c r="M104">
        <v>4.3226256370544434</v>
      </c>
      <c r="N104">
        <v>0.69924825429916382</v>
      </c>
      <c r="O104">
        <v>0.59753942489624023</v>
      </c>
      <c r="P104">
        <v>233.61631774902344</v>
      </c>
      <c r="Q104">
        <v>49.753326416015625</v>
      </c>
    </row>
    <row r="105" spans="1:17" x14ac:dyDescent="0.35">
      <c r="A105" t="s">
        <v>20</v>
      </c>
      <c r="B105" t="s">
        <v>524</v>
      </c>
      <c r="C105" t="s">
        <v>525</v>
      </c>
      <c r="D105" t="s">
        <v>560</v>
      </c>
      <c r="E105">
        <v>22.247125625610352</v>
      </c>
      <c r="F105">
        <v>42.240451812744141</v>
      </c>
      <c r="G105">
        <v>2.0324444770812988</v>
      </c>
      <c r="H105">
        <v>0</v>
      </c>
      <c r="I105">
        <v>1.1543406248092651</v>
      </c>
      <c r="J105">
        <v>1.6940085887908936</v>
      </c>
      <c r="K105">
        <v>22.247125625610352</v>
      </c>
      <c r="L105">
        <v>42.240451812744141</v>
      </c>
      <c r="M105">
        <v>2.0324444770812988</v>
      </c>
      <c r="N105">
        <v>1.1543406248092651</v>
      </c>
      <c r="O105">
        <v>1.6940085887908936</v>
      </c>
      <c r="P105">
        <v>1851.1358642578125</v>
      </c>
      <c r="Q105">
        <v>301.41976928710938</v>
      </c>
    </row>
    <row r="106" spans="1:17" x14ac:dyDescent="0.35">
      <c r="A106" t="s">
        <v>4</v>
      </c>
      <c r="B106" t="s">
        <v>151</v>
      </c>
      <c r="C106" t="s">
        <v>153</v>
      </c>
      <c r="D106" t="s">
        <v>560</v>
      </c>
      <c r="E106">
        <v>7.3042135238647461</v>
      </c>
      <c r="F106">
        <v>12.732022285461426</v>
      </c>
      <c r="G106">
        <v>1.1477527618408203</v>
      </c>
      <c r="H106">
        <v>0</v>
      </c>
      <c r="I106">
        <v>1.3637640476226807</v>
      </c>
      <c r="J106">
        <v>2.5966291427612305</v>
      </c>
      <c r="K106">
        <v>7.3042135238647461</v>
      </c>
      <c r="L106">
        <v>12.732022285461426</v>
      </c>
      <c r="M106">
        <v>1.1477527618408203</v>
      </c>
      <c r="N106">
        <v>1.3637640476226807</v>
      </c>
      <c r="O106">
        <v>2.5966291427612305</v>
      </c>
      <c r="P106">
        <v>140798.546875</v>
      </c>
      <c r="Q106">
        <v>42269.12109375</v>
      </c>
    </row>
    <row r="107" spans="1:17" x14ac:dyDescent="0.35">
      <c r="A107" t="s">
        <v>1</v>
      </c>
      <c r="B107" t="s">
        <v>32</v>
      </c>
      <c r="C107" t="s">
        <v>34</v>
      </c>
      <c r="D107" t="s">
        <v>560</v>
      </c>
      <c r="E107">
        <v>11.029514312744141</v>
      </c>
      <c r="F107">
        <v>61.013153076171875</v>
      </c>
      <c r="H107">
        <v>0</v>
      </c>
      <c r="I107">
        <v>1.116912841796875</v>
      </c>
      <c r="J107">
        <v>2.5835714340209961</v>
      </c>
      <c r="K107">
        <v>11.029514312744141</v>
      </c>
      <c r="L107">
        <v>61.013153076171875</v>
      </c>
      <c r="M107">
        <v>4.2987570762634277</v>
      </c>
      <c r="N107">
        <v>1.116912841796875</v>
      </c>
      <c r="O107">
        <v>2.5835714340209961</v>
      </c>
      <c r="P107">
        <v>21.746841430664063</v>
      </c>
      <c r="Q107">
        <v>4.6314306259155273</v>
      </c>
    </row>
    <row r="108" spans="1:17" x14ac:dyDescent="0.35">
      <c r="A108" t="s">
        <v>4</v>
      </c>
      <c r="B108" t="s">
        <v>456</v>
      </c>
      <c r="C108" t="s">
        <v>458</v>
      </c>
      <c r="D108" t="s">
        <v>560</v>
      </c>
      <c r="E108">
        <v>13.06315803527832</v>
      </c>
      <c r="F108">
        <v>25.209650039672852</v>
      </c>
      <c r="H108">
        <v>1</v>
      </c>
      <c r="I108">
        <v>3.0601770877838135</v>
      </c>
      <c r="J108">
        <v>2.2938597202301025</v>
      </c>
      <c r="K108">
        <v>13.06315803527832</v>
      </c>
      <c r="L108">
        <v>25.209650039672852</v>
      </c>
      <c r="N108">
        <v>3.0601770877838135</v>
      </c>
      <c r="O108">
        <v>2.2938597202301025</v>
      </c>
      <c r="P108">
        <v>9611.50390625</v>
      </c>
      <c r="Q108">
        <v>2885.468994140625</v>
      </c>
    </row>
    <row r="109" spans="1:17" x14ac:dyDescent="0.35">
      <c r="A109" t="s">
        <v>1</v>
      </c>
      <c r="B109" t="s">
        <v>253</v>
      </c>
      <c r="C109" t="s">
        <v>255</v>
      </c>
      <c r="D109" t="s">
        <v>560</v>
      </c>
      <c r="E109">
        <v>23.262083053588867</v>
      </c>
      <c r="F109">
        <v>14.554813385009766</v>
      </c>
      <c r="H109">
        <v>0</v>
      </c>
      <c r="I109">
        <v>10.52259349822998</v>
      </c>
      <c r="J109">
        <v>1.7689586877822876</v>
      </c>
      <c r="K109">
        <v>23.262083053588867</v>
      </c>
      <c r="L109">
        <v>14.554813385009766</v>
      </c>
      <c r="M109">
        <v>4.2987570762634277</v>
      </c>
      <c r="N109">
        <v>10.52259349822998</v>
      </c>
      <c r="O109">
        <v>1.7689586877822876</v>
      </c>
      <c r="P109">
        <v>106934.09375</v>
      </c>
      <c r="Q109">
        <v>22773.78125</v>
      </c>
    </row>
    <row r="110" spans="1:17" x14ac:dyDescent="0.35">
      <c r="A110" t="s">
        <v>0</v>
      </c>
      <c r="B110" t="s">
        <v>335</v>
      </c>
      <c r="C110" t="s">
        <v>337</v>
      </c>
      <c r="D110" t="s">
        <v>560</v>
      </c>
      <c r="E110">
        <v>2.039170503616333</v>
      </c>
      <c r="F110">
        <v>38.241741180419922</v>
      </c>
      <c r="H110">
        <v>1</v>
      </c>
      <c r="I110">
        <v>0.71092784404754639</v>
      </c>
      <c r="J110">
        <v>0.26659795641899109</v>
      </c>
      <c r="K110">
        <v>2.039170503616333</v>
      </c>
      <c r="L110">
        <v>38.241741180419922</v>
      </c>
      <c r="N110">
        <v>0.71092784404754639</v>
      </c>
      <c r="O110">
        <v>0.26659795641899109</v>
      </c>
      <c r="P110">
        <v>204.39143371582031</v>
      </c>
      <c r="Q110">
        <v>43.668437957763672</v>
      </c>
    </row>
    <row r="111" spans="1:17" x14ac:dyDescent="0.35">
      <c r="A111" t="s">
        <v>0</v>
      </c>
      <c r="B111" t="s">
        <v>38</v>
      </c>
      <c r="C111" t="s">
        <v>39</v>
      </c>
      <c r="D111" t="s">
        <v>560</v>
      </c>
      <c r="E111">
        <v>14.136273384094238</v>
      </c>
      <c r="F111">
        <v>62.688777923583984</v>
      </c>
      <c r="G111">
        <v>17.096939086914063</v>
      </c>
      <c r="H111">
        <v>0</v>
      </c>
      <c r="I111">
        <v>3.4193878173828125</v>
      </c>
      <c r="J111">
        <v>0.56545096635818481</v>
      </c>
      <c r="K111">
        <v>14.136273384094238</v>
      </c>
      <c r="L111">
        <v>62.688777923583984</v>
      </c>
      <c r="M111">
        <v>17.096939086914063</v>
      </c>
      <c r="N111">
        <v>3.4193878173828125</v>
      </c>
      <c r="O111">
        <v>0.56545096635818481</v>
      </c>
      <c r="P111">
        <v>3.0892734527587891</v>
      </c>
      <c r="Q111">
        <v>0.6600264310836792</v>
      </c>
    </row>
    <row r="112" spans="1:17" x14ac:dyDescent="0.35">
      <c r="A112" t="s">
        <v>20</v>
      </c>
      <c r="B112" t="s">
        <v>528</v>
      </c>
      <c r="C112" t="s">
        <v>529</v>
      </c>
      <c r="D112" t="s">
        <v>560</v>
      </c>
      <c r="E112">
        <v>29.930376052856445</v>
      </c>
      <c r="F112">
        <v>63.017074584960938</v>
      </c>
      <c r="G112">
        <v>3.6101994514465332</v>
      </c>
      <c r="H112">
        <v>0</v>
      </c>
      <c r="I112">
        <v>5.976496696472168</v>
      </c>
      <c r="J112">
        <v>0.33725056052207947</v>
      </c>
      <c r="K112">
        <v>29.930376052856445</v>
      </c>
      <c r="L112">
        <v>63.017074584960938</v>
      </c>
      <c r="M112">
        <v>3.6101994514465332</v>
      </c>
      <c r="N112">
        <v>5.976496696472168</v>
      </c>
      <c r="O112">
        <v>0.33725056052207947</v>
      </c>
      <c r="P112">
        <v>9484.8486328125</v>
      </c>
      <c r="Q112">
        <v>1544.4144287109375</v>
      </c>
    </row>
    <row r="113" spans="1:17" x14ac:dyDescent="0.35">
      <c r="A113" t="s">
        <v>1</v>
      </c>
      <c r="B113" t="s">
        <v>272</v>
      </c>
      <c r="C113" t="s">
        <v>274</v>
      </c>
      <c r="D113" t="s">
        <v>560</v>
      </c>
      <c r="E113">
        <v>22.180356979370117</v>
      </c>
      <c r="F113">
        <v>25.035673141479492</v>
      </c>
      <c r="H113">
        <v>1</v>
      </c>
      <c r="I113">
        <v>2.9970238208770752</v>
      </c>
      <c r="J113">
        <v>0.41481480002403259</v>
      </c>
      <c r="K113">
        <v>22.180356979370117</v>
      </c>
      <c r="L113">
        <v>25.035673141479492</v>
      </c>
      <c r="N113">
        <v>2.9970238208770752</v>
      </c>
      <c r="O113">
        <v>0.41481480002403259</v>
      </c>
      <c r="P113">
        <v>16565.572265625</v>
      </c>
      <c r="Q113">
        <v>3527.973876953125</v>
      </c>
    </row>
    <row r="114" spans="1:17" x14ac:dyDescent="0.35">
      <c r="A114" t="s">
        <v>20</v>
      </c>
      <c r="B114" t="s">
        <v>384</v>
      </c>
      <c r="C114" t="s">
        <v>386</v>
      </c>
      <c r="D114" t="s">
        <v>560</v>
      </c>
      <c r="E114">
        <v>28.735149383544922</v>
      </c>
      <c r="F114">
        <v>37.915969848632813</v>
      </c>
      <c r="H114">
        <v>0</v>
      </c>
      <c r="I114">
        <v>8.7720355987548828</v>
      </c>
      <c r="K114">
        <v>28.735149383544922</v>
      </c>
      <c r="L114">
        <v>37.915969848632813</v>
      </c>
      <c r="M114">
        <v>4.2987570762634277</v>
      </c>
      <c r="N114">
        <v>8.7720355987548828</v>
      </c>
      <c r="O114">
        <v>3.027867317199707</v>
      </c>
      <c r="P114">
        <v>0</v>
      </c>
      <c r="Q114">
        <v>0</v>
      </c>
    </row>
    <row r="115" spans="1:17" x14ac:dyDescent="0.35">
      <c r="A115" t="s">
        <v>4</v>
      </c>
      <c r="B115" t="s">
        <v>115</v>
      </c>
      <c r="C115" t="s">
        <v>117</v>
      </c>
      <c r="D115" t="s">
        <v>560</v>
      </c>
      <c r="E115">
        <v>15.844009399414063</v>
      </c>
      <c r="F115">
        <v>16.339487075805664</v>
      </c>
      <c r="G115">
        <v>4.4267725944519043</v>
      </c>
      <c r="H115">
        <v>0</v>
      </c>
      <c r="I115">
        <v>4.474327564239502</v>
      </c>
      <c r="J115">
        <v>2.9339852333068848</v>
      </c>
      <c r="K115">
        <v>15.844009399414063</v>
      </c>
      <c r="L115">
        <v>16.339487075805664</v>
      </c>
      <c r="M115">
        <v>4.4267725944519043</v>
      </c>
      <c r="N115">
        <v>4.474327564239502</v>
      </c>
      <c r="O115">
        <v>2.9339852333068848</v>
      </c>
      <c r="P115">
        <v>174894.765625</v>
      </c>
      <c r="Q115">
        <v>52505.14453125</v>
      </c>
    </row>
    <row r="116" spans="1:17" x14ac:dyDescent="0.35">
      <c r="A116" t="s">
        <v>0</v>
      </c>
      <c r="B116" t="s">
        <v>194</v>
      </c>
      <c r="C116" t="s">
        <v>196</v>
      </c>
      <c r="D116" t="s">
        <v>560</v>
      </c>
      <c r="E116">
        <v>22.295242309570313</v>
      </c>
      <c r="F116">
        <v>30.868381500244141</v>
      </c>
      <c r="H116">
        <v>0</v>
      </c>
      <c r="I116">
        <v>4.4545454978942871</v>
      </c>
      <c r="J116">
        <v>3.1678321361541748</v>
      </c>
      <c r="K116">
        <v>22.295242309570313</v>
      </c>
      <c r="L116">
        <v>30.868381500244141</v>
      </c>
      <c r="M116">
        <v>4.2987570762634277</v>
      </c>
      <c r="N116">
        <v>4.4545454978942871</v>
      </c>
      <c r="O116">
        <v>3.1678321361541748</v>
      </c>
      <c r="P116">
        <v>7615.29833984375</v>
      </c>
      <c r="Q116">
        <v>1627.0162353515625</v>
      </c>
    </row>
    <row r="117" spans="1:17" x14ac:dyDescent="0.35">
      <c r="A117" t="s">
        <v>0</v>
      </c>
      <c r="B117" t="s">
        <v>78</v>
      </c>
      <c r="C117" t="s">
        <v>80</v>
      </c>
      <c r="D117" t="s">
        <v>560</v>
      </c>
      <c r="E117">
        <v>9.3895893096923828</v>
      </c>
      <c r="F117">
        <v>20.208942413330078</v>
      </c>
      <c r="G117">
        <v>1.3179745674133301</v>
      </c>
      <c r="H117">
        <v>0</v>
      </c>
      <c r="I117">
        <v>1.3520169258117676</v>
      </c>
      <c r="K117">
        <v>9.3895893096923828</v>
      </c>
      <c r="L117">
        <v>20.208942413330078</v>
      </c>
      <c r="M117">
        <v>1.3179745674133301</v>
      </c>
      <c r="N117">
        <v>1.3520169258117676</v>
      </c>
      <c r="O117">
        <v>3.027867317199707</v>
      </c>
      <c r="P117">
        <v>248.38441467285156</v>
      </c>
      <c r="Q117">
        <v>53.067584991455078</v>
      </c>
    </row>
    <row r="118" spans="1:17" x14ac:dyDescent="0.35">
      <c r="A118" t="s">
        <v>43</v>
      </c>
      <c r="B118" t="s">
        <v>355</v>
      </c>
      <c r="C118" t="s">
        <v>357</v>
      </c>
      <c r="D118" t="s">
        <v>560</v>
      </c>
      <c r="E118">
        <v>12.04346752166748</v>
      </c>
      <c r="F118">
        <v>46.601375579833984</v>
      </c>
      <c r="H118">
        <v>1</v>
      </c>
      <c r="I118">
        <v>0.94349747896194458</v>
      </c>
      <c r="J118">
        <v>6.5119824409484863</v>
      </c>
      <c r="K118">
        <v>12.04346752166748</v>
      </c>
      <c r="L118">
        <v>46.601375579833984</v>
      </c>
      <c r="N118">
        <v>0.94349747896194458</v>
      </c>
      <c r="O118">
        <v>6.5119824409484863</v>
      </c>
      <c r="P118">
        <v>123.56709289550781</v>
      </c>
      <c r="Q118">
        <v>40.491191864013672</v>
      </c>
    </row>
    <row r="119" spans="1:17" x14ac:dyDescent="0.35">
      <c r="A119" t="s">
        <v>0</v>
      </c>
      <c r="B119" t="s">
        <v>781</v>
      </c>
      <c r="C119" t="s">
        <v>210</v>
      </c>
      <c r="D119" t="s">
        <v>560</v>
      </c>
      <c r="E119">
        <v>4.2319087982177734</v>
      </c>
      <c r="F119">
        <v>33.383552551269531</v>
      </c>
      <c r="H119">
        <v>1</v>
      </c>
      <c r="I119">
        <v>1.1906584501266479</v>
      </c>
      <c r="J119">
        <v>0.70531809329986572</v>
      </c>
      <c r="K119">
        <v>4.2319087982177734</v>
      </c>
      <c r="L119">
        <v>33.383552551269531</v>
      </c>
      <c r="N119">
        <v>1.1906584501266479</v>
      </c>
      <c r="O119">
        <v>0.70531809329986572</v>
      </c>
      <c r="P119">
        <v>77.870407104492188</v>
      </c>
      <c r="Q119">
        <v>16.637090682983398</v>
      </c>
    </row>
    <row r="120" spans="1:17" x14ac:dyDescent="0.35">
      <c r="A120" t="s">
        <v>1</v>
      </c>
      <c r="B120" t="s">
        <v>296</v>
      </c>
      <c r="C120" t="s">
        <v>298</v>
      </c>
      <c r="D120" t="s">
        <v>560</v>
      </c>
      <c r="E120">
        <v>12.417318344116211</v>
      </c>
      <c r="F120">
        <v>22.38323974609375</v>
      </c>
      <c r="H120">
        <v>0</v>
      </c>
      <c r="I120">
        <v>2.5100557804107666</v>
      </c>
      <c r="J120">
        <v>1.1793296337127686</v>
      </c>
      <c r="K120">
        <v>12.417318344116211</v>
      </c>
      <c r="L120">
        <v>22.38323974609375</v>
      </c>
      <c r="M120">
        <v>4.2987570762634277</v>
      </c>
      <c r="N120">
        <v>2.5100557804107666</v>
      </c>
      <c r="O120">
        <v>1.1793296337127686</v>
      </c>
      <c r="P120">
        <v>22098.67578125</v>
      </c>
      <c r="Q120">
        <v>4706.3603515625</v>
      </c>
    </row>
    <row r="121" spans="1:17" x14ac:dyDescent="0.35">
      <c r="A121" t="s">
        <v>0</v>
      </c>
      <c r="B121" t="s">
        <v>399</v>
      </c>
      <c r="C121" t="s">
        <v>401</v>
      </c>
      <c r="D121" t="s">
        <v>560</v>
      </c>
      <c r="E121">
        <v>7.6979999542236328</v>
      </c>
      <c r="F121">
        <v>47.473979949951172</v>
      </c>
      <c r="G121">
        <v>7.0234260559082031</v>
      </c>
      <c r="H121">
        <v>0</v>
      </c>
      <c r="I121">
        <v>2.6068518161773682</v>
      </c>
      <c r="J121">
        <v>3.3111429214477539</v>
      </c>
      <c r="K121">
        <v>7.6979999542236328</v>
      </c>
      <c r="L121">
        <v>47.473979949951172</v>
      </c>
      <c r="M121">
        <v>7.0234260559082031</v>
      </c>
      <c r="N121">
        <v>2.6068518161773682</v>
      </c>
      <c r="O121">
        <v>3.3111429214477539</v>
      </c>
      <c r="P121">
        <v>71902.6171875</v>
      </c>
      <c r="Q121">
        <v>15362.0673828125</v>
      </c>
    </row>
    <row r="122" spans="1:17" x14ac:dyDescent="0.35">
      <c r="A122" t="s">
        <v>0</v>
      </c>
      <c r="B122" t="s">
        <v>108</v>
      </c>
      <c r="C122" t="s">
        <v>110</v>
      </c>
      <c r="D122" t="s">
        <v>560</v>
      </c>
      <c r="E122">
        <v>5.9976816177368164</v>
      </c>
      <c r="F122">
        <v>28.728391647338867</v>
      </c>
      <c r="G122">
        <v>3.9312534332275391</v>
      </c>
      <c r="H122">
        <v>0</v>
      </c>
      <c r="I122">
        <v>0.95761305093765259</v>
      </c>
      <c r="J122">
        <v>0.25200343132019043</v>
      </c>
      <c r="K122">
        <v>5.9976816177368164</v>
      </c>
      <c r="L122">
        <v>28.728391647338867</v>
      </c>
      <c r="M122">
        <v>3.9312534332275391</v>
      </c>
      <c r="N122">
        <v>0.95761305093765259</v>
      </c>
      <c r="O122">
        <v>0.25200343132019043</v>
      </c>
      <c r="P122">
        <v>288.81298828125</v>
      </c>
      <c r="Q122">
        <v>61.705188751220703</v>
      </c>
    </row>
    <row r="123" spans="1:17" x14ac:dyDescent="0.35">
      <c r="A123" t="s">
        <v>20</v>
      </c>
      <c r="B123" t="s">
        <v>223</v>
      </c>
      <c r="C123" t="s">
        <v>225</v>
      </c>
      <c r="D123" t="s">
        <v>560</v>
      </c>
      <c r="E123">
        <v>31.829000473022461</v>
      </c>
      <c r="F123">
        <v>59.068241119384766</v>
      </c>
      <c r="G123">
        <v>5.2695164680480957</v>
      </c>
      <c r="H123">
        <v>0</v>
      </c>
      <c r="I123">
        <v>2.7362771034240723</v>
      </c>
      <c r="J123">
        <v>1.9956623315811157</v>
      </c>
      <c r="K123">
        <v>31.829000473022461</v>
      </c>
      <c r="L123">
        <v>59.068241119384766</v>
      </c>
      <c r="M123">
        <v>5.2695164680480957</v>
      </c>
      <c r="N123">
        <v>2.7362771034240723</v>
      </c>
      <c r="O123">
        <v>1.9956623315811157</v>
      </c>
      <c r="P123">
        <v>0</v>
      </c>
      <c r="Q123">
        <v>0</v>
      </c>
    </row>
    <row r="124" spans="1:17" x14ac:dyDescent="0.35">
      <c r="A124" t="s">
        <v>1</v>
      </c>
      <c r="B124" t="s">
        <v>57</v>
      </c>
      <c r="C124" t="s">
        <v>58</v>
      </c>
      <c r="D124" t="s">
        <v>560</v>
      </c>
      <c r="E124">
        <v>14.571027755737305</v>
      </c>
      <c r="F124">
        <v>14.647663116455078</v>
      </c>
      <c r="H124">
        <v>0</v>
      </c>
      <c r="I124">
        <v>2.3186914920806885</v>
      </c>
      <c r="J124">
        <v>1.1803737878799438</v>
      </c>
      <c r="K124">
        <v>14.571027755737305</v>
      </c>
      <c r="L124">
        <v>14.647663116455078</v>
      </c>
      <c r="M124">
        <v>4.2987570762634277</v>
      </c>
      <c r="N124">
        <v>2.3186914920806885</v>
      </c>
      <c r="O124">
        <v>1.1803737878799438</v>
      </c>
      <c r="P124">
        <v>23369.626953125</v>
      </c>
      <c r="Q124">
        <v>4977.03515625</v>
      </c>
    </row>
    <row r="125" spans="1:17" x14ac:dyDescent="0.35">
      <c r="A125" t="s">
        <v>1</v>
      </c>
      <c r="B125" t="s">
        <v>393</v>
      </c>
      <c r="C125" t="s">
        <v>395</v>
      </c>
      <c r="D125" t="s">
        <v>560</v>
      </c>
      <c r="E125">
        <v>10.515202522277832</v>
      </c>
      <c r="F125">
        <v>14.949535369873047</v>
      </c>
      <c r="G125">
        <v>5.9023604393005371</v>
      </c>
      <c r="H125">
        <v>0</v>
      </c>
      <c r="I125">
        <v>1.6230431795120239</v>
      </c>
      <c r="J125">
        <v>0.31770816445350647</v>
      </c>
      <c r="K125">
        <v>10.515202522277832</v>
      </c>
      <c r="L125">
        <v>14.949535369873047</v>
      </c>
      <c r="M125">
        <v>5.9023604393005371</v>
      </c>
      <c r="N125">
        <v>1.6230431795120239</v>
      </c>
      <c r="O125">
        <v>0.31770816445350647</v>
      </c>
      <c r="P125">
        <v>18103.96875</v>
      </c>
      <c r="Q125">
        <v>3855.60693359375</v>
      </c>
    </row>
    <row r="126" spans="1:17" x14ac:dyDescent="0.35">
      <c r="A126" t="s">
        <v>20</v>
      </c>
      <c r="B126" t="s">
        <v>21</v>
      </c>
      <c r="C126" t="s">
        <v>22</v>
      </c>
      <c r="D126" t="s">
        <v>560</v>
      </c>
      <c r="E126">
        <v>21.616266250610352</v>
      </c>
      <c r="F126">
        <v>57.332752227783203</v>
      </c>
      <c r="H126">
        <v>1</v>
      </c>
      <c r="I126">
        <v>2.3998632431030273</v>
      </c>
      <c r="J126">
        <v>1.2917854785919189</v>
      </c>
      <c r="K126">
        <v>21.616266250610352</v>
      </c>
      <c r="L126">
        <v>57.332752227783203</v>
      </c>
      <c r="N126">
        <v>2.3998632431030273</v>
      </c>
      <c r="O126">
        <v>1.2917854785919189</v>
      </c>
      <c r="P126">
        <v>257.3753662109375</v>
      </c>
      <c r="Q126">
        <v>41.908340454101563</v>
      </c>
    </row>
    <row r="127" spans="1:17" x14ac:dyDescent="0.35">
      <c r="A127" t="s">
        <v>0</v>
      </c>
      <c r="B127" t="s">
        <v>381</v>
      </c>
      <c r="C127" t="s">
        <v>383</v>
      </c>
      <c r="D127" t="s">
        <v>560</v>
      </c>
      <c r="E127">
        <v>18.371095657348633</v>
      </c>
      <c r="F127">
        <v>124.22360229492188</v>
      </c>
      <c r="H127">
        <v>1</v>
      </c>
      <c r="I127">
        <v>12.247397422790527</v>
      </c>
      <c r="J127">
        <v>6.1236987113952637</v>
      </c>
      <c r="K127">
        <v>18.371095657348633</v>
      </c>
      <c r="L127">
        <v>124.22360229492188</v>
      </c>
      <c r="N127">
        <v>12.247397422790527</v>
      </c>
      <c r="O127">
        <v>6.1236987113952637</v>
      </c>
      <c r="P127">
        <v>0</v>
      </c>
      <c r="Q127">
        <v>0</v>
      </c>
    </row>
    <row r="128" spans="1:17" x14ac:dyDescent="0.35">
      <c r="A128" t="s">
        <v>1</v>
      </c>
      <c r="B128" t="s">
        <v>124</v>
      </c>
      <c r="C128" t="s">
        <v>125</v>
      </c>
      <c r="D128" t="s">
        <v>560</v>
      </c>
      <c r="E128">
        <v>5.2677254676818848</v>
      </c>
      <c r="F128">
        <v>8.068547248840332</v>
      </c>
      <c r="G128">
        <v>1.3561155796051025</v>
      </c>
      <c r="H128">
        <v>0</v>
      </c>
      <c r="I128">
        <v>0.8969997763633728</v>
      </c>
      <c r="J128">
        <v>0.15332965552806854</v>
      </c>
      <c r="K128">
        <v>5.2677254676818848</v>
      </c>
      <c r="L128">
        <v>8.068547248840332</v>
      </c>
      <c r="M128">
        <v>1.3561155796051025</v>
      </c>
      <c r="N128">
        <v>0.8969997763633728</v>
      </c>
      <c r="O128">
        <v>0.15332965552806854</v>
      </c>
      <c r="P128">
        <v>13339.88671875</v>
      </c>
      <c r="Q128">
        <v>2840.9990234375</v>
      </c>
    </row>
    <row r="129" spans="1:17" x14ac:dyDescent="0.35">
      <c r="A129" t="s">
        <v>43</v>
      </c>
      <c r="B129" t="s">
        <v>166</v>
      </c>
      <c r="C129" t="s">
        <v>168</v>
      </c>
      <c r="D129" t="s">
        <v>560</v>
      </c>
      <c r="E129">
        <v>9.4987106323242188</v>
      </c>
      <c r="F129">
        <v>31.533477783203125</v>
      </c>
      <c r="H129">
        <v>1</v>
      </c>
      <c r="I129">
        <v>2.6666667461395264</v>
      </c>
      <c r="J129">
        <v>6.3126435279846191</v>
      </c>
      <c r="K129">
        <v>9.4987106323242188</v>
      </c>
      <c r="L129">
        <v>31.533477783203125</v>
      </c>
      <c r="N129">
        <v>2.6666667461395264</v>
      </c>
      <c r="O129">
        <v>6.3126435279846191</v>
      </c>
      <c r="P129">
        <v>34669.1953125</v>
      </c>
      <c r="Q129">
        <v>11360.60546875</v>
      </c>
    </row>
    <row r="130" spans="1:17" x14ac:dyDescent="0.35">
      <c r="A130" t="s">
        <v>1</v>
      </c>
      <c r="B130" t="s">
        <v>311</v>
      </c>
      <c r="C130" t="s">
        <v>313</v>
      </c>
      <c r="D130" t="s">
        <v>560</v>
      </c>
      <c r="E130">
        <v>5.0007028579711914</v>
      </c>
      <c r="F130">
        <v>7.2865533828735352</v>
      </c>
      <c r="G130">
        <v>3.2043538093566895</v>
      </c>
      <c r="H130">
        <v>0</v>
      </c>
      <c r="I130">
        <v>0.32665127515792847</v>
      </c>
      <c r="J130">
        <v>0.53388011455535889</v>
      </c>
      <c r="K130">
        <v>5.0007028579711914</v>
      </c>
      <c r="L130">
        <v>7.2865533828735352</v>
      </c>
      <c r="M130">
        <v>3.2043538093566895</v>
      </c>
      <c r="N130">
        <v>0.32665127515792847</v>
      </c>
      <c r="O130">
        <v>0.53388011455535889</v>
      </c>
      <c r="P130">
        <v>43852.83203125</v>
      </c>
      <c r="Q130">
        <v>9339.3486328125</v>
      </c>
    </row>
    <row r="131" spans="1:17" x14ac:dyDescent="0.35">
      <c r="A131" t="s">
        <v>0</v>
      </c>
      <c r="B131" t="s">
        <v>468</v>
      </c>
      <c r="C131" t="s">
        <v>470</v>
      </c>
      <c r="D131" t="s">
        <v>560</v>
      </c>
      <c r="E131">
        <v>1.6527382135391235</v>
      </c>
      <c r="F131">
        <v>11.771296501159668</v>
      </c>
      <c r="G131">
        <v>2.434290885925293</v>
      </c>
      <c r="H131">
        <v>0</v>
      </c>
      <c r="I131">
        <v>0.30011805891990662</v>
      </c>
      <c r="J131">
        <v>1.1623013019561768</v>
      </c>
      <c r="K131">
        <v>1.6527382135391235</v>
      </c>
      <c r="L131">
        <v>11.771296501159668</v>
      </c>
      <c r="M131">
        <v>2.434290885925293</v>
      </c>
      <c r="N131">
        <v>0.30011805891990662</v>
      </c>
      <c r="O131">
        <v>1.1623013019561768</v>
      </c>
      <c r="P131">
        <v>1323.2557373046875</v>
      </c>
      <c r="Q131">
        <v>282.71493530273438</v>
      </c>
    </row>
    <row r="132" spans="1:17" x14ac:dyDescent="0.35">
      <c r="A132" t="s">
        <v>1</v>
      </c>
      <c r="B132" t="s">
        <v>197</v>
      </c>
      <c r="C132" t="s">
        <v>199</v>
      </c>
      <c r="D132" t="s">
        <v>560</v>
      </c>
      <c r="E132">
        <v>10.29285717010498</v>
      </c>
      <c r="F132">
        <v>15.579463958740234</v>
      </c>
      <c r="H132">
        <v>1</v>
      </c>
      <c r="I132">
        <v>1.798214316368103</v>
      </c>
      <c r="J132">
        <v>2.2518181800842285</v>
      </c>
      <c r="K132">
        <v>10.29285717010498</v>
      </c>
      <c r="L132">
        <v>15.579463958740234</v>
      </c>
      <c r="N132">
        <v>1.798214316368103</v>
      </c>
      <c r="O132">
        <v>2.2518181800842285</v>
      </c>
      <c r="P132">
        <v>26573.619140625</v>
      </c>
      <c r="Q132">
        <v>5659.39013671875</v>
      </c>
    </row>
    <row r="133" spans="1:17" x14ac:dyDescent="0.35">
      <c r="A133" t="s">
        <v>20</v>
      </c>
      <c r="B133" t="s">
        <v>480</v>
      </c>
      <c r="C133" t="s">
        <v>481</v>
      </c>
      <c r="D133" t="s">
        <v>560</v>
      </c>
      <c r="E133">
        <v>29.737564086914063</v>
      </c>
      <c r="F133">
        <v>71.9903564453125</v>
      </c>
      <c r="G133">
        <v>1.7284263372421265</v>
      </c>
      <c r="H133">
        <v>0</v>
      </c>
      <c r="I133">
        <v>7.9456853866577148</v>
      </c>
      <c r="J133">
        <v>9.0522842407226563</v>
      </c>
      <c r="K133">
        <v>29.737564086914063</v>
      </c>
      <c r="L133">
        <v>71.9903564453125</v>
      </c>
      <c r="M133">
        <v>1.7284263372421265</v>
      </c>
      <c r="N133">
        <v>7.9456853866577148</v>
      </c>
      <c r="O133">
        <v>9.0522842407226563</v>
      </c>
      <c r="P133">
        <v>4787.60791015625</v>
      </c>
      <c r="Q133">
        <v>779.564453125</v>
      </c>
    </row>
    <row r="134" spans="1:17" x14ac:dyDescent="0.35">
      <c r="A134" t="s">
        <v>0</v>
      </c>
      <c r="B134" t="s">
        <v>375</v>
      </c>
      <c r="C134" t="s">
        <v>377</v>
      </c>
      <c r="D134" t="s">
        <v>560</v>
      </c>
      <c r="E134">
        <v>13.49527645111084</v>
      </c>
      <c r="F134">
        <v>78.666419982910156</v>
      </c>
      <c r="H134">
        <v>1</v>
      </c>
      <c r="I134">
        <v>3.7160906791687012</v>
      </c>
      <c r="J134">
        <v>1.9278966188430786</v>
      </c>
      <c r="K134">
        <v>13.49527645111084</v>
      </c>
      <c r="L134">
        <v>78.666419982910156</v>
      </c>
      <c r="N134">
        <v>3.7160906791687012</v>
      </c>
      <c r="O134">
        <v>1.9278966188430786</v>
      </c>
      <c r="P134">
        <v>2.8433352708816528E-2</v>
      </c>
      <c r="Q134">
        <v>6.0748150572180748E-3</v>
      </c>
    </row>
    <row r="135" spans="1:17" x14ac:dyDescent="0.35">
      <c r="A135" t="s">
        <v>20</v>
      </c>
      <c r="B135" t="s">
        <v>90</v>
      </c>
      <c r="C135" t="s">
        <v>91</v>
      </c>
      <c r="D135" t="s">
        <v>560</v>
      </c>
      <c r="E135">
        <v>51.085750579833984</v>
      </c>
      <c r="F135">
        <v>55.465103149414063</v>
      </c>
      <c r="H135">
        <v>1</v>
      </c>
      <c r="I135">
        <v>6.1767158508300781</v>
      </c>
      <c r="J135">
        <v>0.94076156616210938</v>
      </c>
      <c r="K135">
        <v>51.085750579833984</v>
      </c>
      <c r="L135">
        <v>55.465103149414063</v>
      </c>
      <c r="N135">
        <v>6.1767158508300781</v>
      </c>
      <c r="O135">
        <v>0.94076156616210938</v>
      </c>
      <c r="P135">
        <v>480.2105712890625</v>
      </c>
      <c r="Q135">
        <v>78.192512512207031</v>
      </c>
    </row>
    <row r="136" spans="1:17" x14ac:dyDescent="0.35">
      <c r="A136" t="s">
        <v>4</v>
      </c>
      <c r="B136" t="s">
        <v>97</v>
      </c>
      <c r="C136" t="s">
        <v>99</v>
      </c>
      <c r="D136" t="s">
        <v>560</v>
      </c>
      <c r="E136">
        <v>26.618812561035156</v>
      </c>
      <c r="F136">
        <v>29.810890197753906</v>
      </c>
      <c r="G136">
        <v>3.6643564701080322</v>
      </c>
      <c r="H136">
        <v>0</v>
      </c>
      <c r="I136">
        <v>7.8386139869689941</v>
      </c>
      <c r="J136">
        <v>10.430692672729492</v>
      </c>
      <c r="K136">
        <v>26.618812561035156</v>
      </c>
      <c r="L136">
        <v>29.810890197753906</v>
      </c>
      <c r="M136">
        <v>3.6643564701080322</v>
      </c>
      <c r="N136">
        <v>7.8386139869689941</v>
      </c>
      <c r="O136">
        <v>10.430692672729492</v>
      </c>
      <c r="P136">
        <v>1822.5323486328125</v>
      </c>
      <c r="Q136">
        <v>547.142333984375</v>
      </c>
    </row>
    <row r="137" spans="1:17" x14ac:dyDescent="0.35">
      <c r="A137" t="s">
        <v>1</v>
      </c>
      <c r="B137" t="s">
        <v>81</v>
      </c>
      <c r="C137" t="s">
        <v>83</v>
      </c>
      <c r="D137" t="s">
        <v>560</v>
      </c>
      <c r="E137">
        <v>23.111801147460938</v>
      </c>
      <c r="F137">
        <v>74.025588989257813</v>
      </c>
      <c r="H137">
        <v>1</v>
      </c>
      <c r="I137">
        <v>6.4143538475036621</v>
      </c>
      <c r="J137">
        <v>6.8253846168518066</v>
      </c>
      <c r="K137">
        <v>23.111801147460938</v>
      </c>
      <c r="L137">
        <v>74.025588989257813</v>
      </c>
      <c r="N137">
        <v>6.4143538475036621</v>
      </c>
      <c r="O137">
        <v>6.8253846168518066</v>
      </c>
      <c r="P137">
        <v>0</v>
      </c>
      <c r="Q137">
        <v>0</v>
      </c>
    </row>
    <row r="138" spans="1:17" x14ac:dyDescent="0.35">
      <c r="A138" t="s">
        <v>20</v>
      </c>
      <c r="B138" t="s">
        <v>184</v>
      </c>
      <c r="C138" t="s">
        <v>185</v>
      </c>
      <c r="D138" t="s">
        <v>560</v>
      </c>
      <c r="E138">
        <v>27.401752471923828</v>
      </c>
      <c r="F138">
        <v>49.644779205322266</v>
      </c>
      <c r="G138">
        <v>4.0760307312011719</v>
      </c>
      <c r="H138">
        <v>0</v>
      </c>
      <c r="I138">
        <v>0.49358183145523071</v>
      </c>
      <c r="J138">
        <v>2.2768452167510986</v>
      </c>
      <c r="K138">
        <v>27.401752471923828</v>
      </c>
      <c r="L138">
        <v>49.644779205322266</v>
      </c>
      <c r="M138">
        <v>4.0760307312011719</v>
      </c>
      <c r="N138">
        <v>0.49358183145523071</v>
      </c>
      <c r="O138">
        <v>2.2768452167510986</v>
      </c>
      <c r="P138">
        <v>89.443717956542969</v>
      </c>
      <c r="Q138">
        <v>14.564087867736816</v>
      </c>
    </row>
    <row r="139" spans="1:17" x14ac:dyDescent="0.35">
      <c r="A139" t="s">
        <v>25</v>
      </c>
      <c r="B139" t="s">
        <v>188</v>
      </c>
      <c r="C139" t="s">
        <v>190</v>
      </c>
      <c r="D139" t="s">
        <v>560</v>
      </c>
      <c r="E139">
        <v>17.204738616943359</v>
      </c>
      <c r="F139">
        <v>13.367535591125488</v>
      </c>
      <c r="G139">
        <v>2.1203792095184326</v>
      </c>
      <c r="H139">
        <v>0</v>
      </c>
      <c r="I139">
        <v>3.6580569744110107</v>
      </c>
      <c r="J139">
        <v>4.4566349983215332</v>
      </c>
      <c r="K139">
        <v>17.204738616943359</v>
      </c>
      <c r="L139">
        <v>13.367535591125488</v>
      </c>
      <c r="M139">
        <v>2.1203792095184326</v>
      </c>
      <c r="N139">
        <v>3.6580569744110107</v>
      </c>
      <c r="O139">
        <v>4.4566349983215332</v>
      </c>
      <c r="P139">
        <v>122077.640625</v>
      </c>
      <c r="Q139">
        <v>37624.06640625</v>
      </c>
    </row>
    <row r="140" spans="1:17" x14ac:dyDescent="0.35">
      <c r="A140" t="s">
        <v>4</v>
      </c>
      <c r="B140" t="s">
        <v>519</v>
      </c>
      <c r="C140" t="s">
        <v>520</v>
      </c>
      <c r="D140" t="s">
        <v>560</v>
      </c>
      <c r="E140">
        <v>12.84857177734375</v>
      </c>
      <c r="F140">
        <v>15.37600040435791</v>
      </c>
      <c r="H140">
        <v>1</v>
      </c>
      <c r="I140">
        <v>7.1611428260803223</v>
      </c>
      <c r="J140">
        <v>10.636571884155273</v>
      </c>
      <c r="K140">
        <v>12.84857177734375</v>
      </c>
      <c r="L140">
        <v>15.37600040435791</v>
      </c>
      <c r="N140">
        <v>7.1611428260803223</v>
      </c>
      <c r="O140">
        <v>10.636571884155273</v>
      </c>
      <c r="P140">
        <v>38845.8515625</v>
      </c>
      <c r="Q140">
        <v>11661.91015625</v>
      </c>
    </row>
    <row r="141" spans="1:17" x14ac:dyDescent="0.35">
      <c r="A141" t="s">
        <v>1</v>
      </c>
      <c r="B141" t="s">
        <v>435</v>
      </c>
      <c r="C141" t="s">
        <v>437</v>
      </c>
      <c r="D141" t="s">
        <v>560</v>
      </c>
      <c r="E141">
        <v>8.1946296691894531</v>
      </c>
      <c r="F141">
        <v>37.360477447509766</v>
      </c>
      <c r="G141">
        <v>1.9093062877655029</v>
      </c>
      <c r="H141">
        <v>0</v>
      </c>
      <c r="I141">
        <v>0.56763160228729248</v>
      </c>
      <c r="J141">
        <v>0.3612200915813446</v>
      </c>
      <c r="K141">
        <v>8.1946296691894531</v>
      </c>
      <c r="L141">
        <v>37.360477447509766</v>
      </c>
      <c r="M141">
        <v>1.9093062877655029</v>
      </c>
      <c r="N141">
        <v>0.56763160228729248</v>
      </c>
      <c r="O141">
        <v>0.3612200915813446</v>
      </c>
      <c r="P141">
        <v>689.8883056640625</v>
      </c>
      <c r="Q141">
        <v>146.92568969726563</v>
      </c>
    </row>
    <row r="142" spans="1:17" x14ac:dyDescent="0.35">
      <c r="A142" t="s">
        <v>1</v>
      </c>
      <c r="B142" t="s">
        <v>396</v>
      </c>
      <c r="C142" t="s">
        <v>398</v>
      </c>
      <c r="D142" t="s">
        <v>560</v>
      </c>
      <c r="E142">
        <v>13.689062118530273</v>
      </c>
      <c r="F142">
        <v>24.389999389648438</v>
      </c>
      <c r="G142">
        <v>5.5452308654785156</v>
      </c>
      <c r="H142">
        <v>0</v>
      </c>
      <c r="I142">
        <v>1.9221874475479126</v>
      </c>
      <c r="J142">
        <v>1.0299999713897705</v>
      </c>
      <c r="K142">
        <v>13.689062118530273</v>
      </c>
      <c r="L142">
        <v>24.389999389648438</v>
      </c>
      <c r="M142">
        <v>5.5452308654785156</v>
      </c>
      <c r="N142">
        <v>1.9221874475479126</v>
      </c>
      <c r="O142">
        <v>1.0299999713897705</v>
      </c>
      <c r="P142">
        <v>31188.28515625</v>
      </c>
      <c r="Q142">
        <v>6642.1767578125</v>
      </c>
    </row>
    <row r="143" spans="1:17" x14ac:dyDescent="0.35">
      <c r="A143" t="s">
        <v>4</v>
      </c>
      <c r="B143" t="s">
        <v>269</v>
      </c>
      <c r="C143" t="s">
        <v>271</v>
      </c>
      <c r="D143" t="s">
        <v>560</v>
      </c>
      <c r="E143">
        <v>2.236546516418457</v>
      </c>
      <c r="F143">
        <v>5.430023193359375</v>
      </c>
      <c r="G143">
        <v>1.8582252264022827</v>
      </c>
      <c r="H143">
        <v>0</v>
      </c>
      <c r="I143">
        <v>0.21141484379768372</v>
      </c>
      <c r="J143">
        <v>2.3366904258728027</v>
      </c>
      <c r="K143">
        <v>2.236546516418457</v>
      </c>
      <c r="L143">
        <v>5.430023193359375</v>
      </c>
      <c r="M143">
        <v>1.8582252264022827</v>
      </c>
      <c r="N143">
        <v>0.21141484379768372</v>
      </c>
      <c r="O143">
        <v>2.3366904258728027</v>
      </c>
      <c r="P143">
        <v>5578.7021484375</v>
      </c>
      <c r="Q143">
        <v>1674.7818603515625</v>
      </c>
    </row>
    <row r="144" spans="1:17" x14ac:dyDescent="0.35">
      <c r="A144" t="s">
        <v>20</v>
      </c>
      <c r="B144" t="s">
        <v>329</v>
      </c>
      <c r="C144" t="s">
        <v>331</v>
      </c>
      <c r="D144" t="s">
        <v>560</v>
      </c>
      <c r="E144">
        <v>40.661170959472656</v>
      </c>
      <c r="F144">
        <v>67.439201354980469</v>
      </c>
      <c r="G144">
        <v>5.3812499046325684</v>
      </c>
      <c r="H144">
        <v>0</v>
      </c>
      <c r="I144">
        <v>2.8914773464202881</v>
      </c>
      <c r="J144">
        <v>8.1255683898925781</v>
      </c>
      <c r="K144">
        <v>40.661170959472656</v>
      </c>
      <c r="L144">
        <v>67.439201354980469</v>
      </c>
      <c r="M144">
        <v>5.3812499046325684</v>
      </c>
      <c r="N144">
        <v>2.8914773464202881</v>
      </c>
      <c r="O144">
        <v>8.1255683898925781</v>
      </c>
      <c r="P144">
        <v>0</v>
      </c>
      <c r="Q144">
        <v>0</v>
      </c>
    </row>
    <row r="145" spans="1:17" x14ac:dyDescent="0.35">
      <c r="A145" t="s">
        <v>20</v>
      </c>
      <c r="B145" t="s">
        <v>211</v>
      </c>
      <c r="C145" t="s">
        <v>213</v>
      </c>
      <c r="D145" t="s">
        <v>560</v>
      </c>
      <c r="E145">
        <v>18.753910064697266</v>
      </c>
      <c r="F145">
        <v>54.527763366699219</v>
      </c>
      <c r="G145">
        <v>5.9316143989562988</v>
      </c>
      <c r="H145">
        <v>0</v>
      </c>
      <c r="I145">
        <v>10.313122749328613</v>
      </c>
      <c r="J145">
        <v>10.840399742126465</v>
      </c>
      <c r="K145">
        <v>18.753910064697266</v>
      </c>
      <c r="L145">
        <v>54.527763366699219</v>
      </c>
      <c r="M145">
        <v>5.9316143989562988</v>
      </c>
      <c r="N145">
        <v>10.313122749328613</v>
      </c>
      <c r="O145">
        <v>10.840399742126465</v>
      </c>
      <c r="P145">
        <v>0</v>
      </c>
      <c r="Q145">
        <v>0</v>
      </c>
    </row>
    <row r="146" spans="1:17" x14ac:dyDescent="0.35">
      <c r="A146" t="s">
        <v>1</v>
      </c>
      <c r="B146" t="s">
        <v>262</v>
      </c>
      <c r="C146" t="s">
        <v>264</v>
      </c>
      <c r="D146" t="s">
        <v>560</v>
      </c>
      <c r="E146">
        <v>84.483184814453125</v>
      </c>
      <c r="F146">
        <v>75.869026184082031</v>
      </c>
      <c r="H146">
        <v>0</v>
      </c>
      <c r="I146">
        <v>16.755752563476563</v>
      </c>
      <c r="K146">
        <v>84.483184814453125</v>
      </c>
      <c r="L146">
        <v>75.869026184082031</v>
      </c>
      <c r="M146">
        <v>4.2987570762634277</v>
      </c>
      <c r="N146">
        <v>16.755752563476563</v>
      </c>
      <c r="O146">
        <v>3.027867317199707</v>
      </c>
      <c r="P146">
        <v>0</v>
      </c>
      <c r="Q146">
        <v>0</v>
      </c>
    </row>
    <row r="147" spans="1:17" x14ac:dyDescent="0.35">
      <c r="A147" t="s">
        <v>25</v>
      </c>
      <c r="B147" t="s">
        <v>214</v>
      </c>
      <c r="C147" t="s">
        <v>216</v>
      </c>
      <c r="D147" t="s">
        <v>560</v>
      </c>
      <c r="E147">
        <v>2.1405844688415527</v>
      </c>
      <c r="F147">
        <v>4.0759739875793457</v>
      </c>
      <c r="H147">
        <v>1</v>
      </c>
      <c r="I147">
        <v>0.53636366128921509</v>
      </c>
      <c r="J147">
        <v>0.7474026083946228</v>
      </c>
      <c r="K147">
        <v>2.1405844688415527</v>
      </c>
      <c r="L147">
        <v>4.0759739875793457</v>
      </c>
      <c r="N147">
        <v>0.53636366128921509</v>
      </c>
      <c r="O147">
        <v>0.7474026083946228</v>
      </c>
      <c r="P147">
        <v>189665.453125</v>
      </c>
      <c r="Q147">
        <v>58454.48828125</v>
      </c>
    </row>
    <row r="148" spans="1:17" x14ac:dyDescent="0.35">
      <c r="A148" t="s">
        <v>4</v>
      </c>
      <c r="B148" t="s">
        <v>5</v>
      </c>
      <c r="C148" t="s">
        <v>7</v>
      </c>
      <c r="D148" t="s">
        <v>560</v>
      </c>
      <c r="E148">
        <v>7.4923000335693359</v>
      </c>
      <c r="F148">
        <v>19.266159057617188</v>
      </c>
      <c r="H148">
        <v>1</v>
      </c>
      <c r="I148">
        <v>2.0067074298858643</v>
      </c>
      <c r="J148">
        <v>4.5745935440063477</v>
      </c>
      <c r="K148">
        <v>7.4923000335693359</v>
      </c>
      <c r="L148">
        <v>19.266159057617188</v>
      </c>
      <c r="N148">
        <v>2.0067074298858643</v>
      </c>
      <c r="O148">
        <v>4.5745935440063477</v>
      </c>
      <c r="P148">
        <v>247632.21875</v>
      </c>
      <c r="Q148">
        <v>74341.6484375</v>
      </c>
    </row>
    <row r="149" spans="1:17" x14ac:dyDescent="0.35">
      <c r="A149" t="s">
        <v>20</v>
      </c>
      <c r="B149" t="s">
        <v>235</v>
      </c>
      <c r="C149" t="s">
        <v>237</v>
      </c>
      <c r="D149" t="s">
        <v>560</v>
      </c>
      <c r="E149">
        <v>42.071243286132813</v>
      </c>
      <c r="F149">
        <v>43.378746032714844</v>
      </c>
      <c r="G149">
        <v>4.4741554260253906</v>
      </c>
      <c r="H149">
        <v>0</v>
      </c>
      <c r="I149">
        <v>13.99976634979248</v>
      </c>
      <c r="J149">
        <v>8.364192008972168</v>
      </c>
      <c r="K149">
        <v>42.071243286132813</v>
      </c>
      <c r="L149">
        <v>43.378746032714844</v>
      </c>
      <c r="M149">
        <v>4.4741554260253906</v>
      </c>
      <c r="N149">
        <v>13.99976634979248</v>
      </c>
      <c r="O149">
        <v>8.364192008972168</v>
      </c>
      <c r="P149">
        <v>0</v>
      </c>
      <c r="Q149">
        <v>0</v>
      </c>
    </row>
    <row r="150" spans="1:17" x14ac:dyDescent="0.35">
      <c r="A150" t="s">
        <v>0</v>
      </c>
      <c r="B150" t="s">
        <v>284</v>
      </c>
      <c r="C150" t="s">
        <v>286</v>
      </c>
      <c r="D150" t="s">
        <v>560</v>
      </c>
      <c r="E150">
        <v>8.5997295379638672</v>
      </c>
      <c r="F150">
        <v>36.58612060546875</v>
      </c>
      <c r="G150">
        <v>3.0113883018493652</v>
      </c>
      <c r="H150">
        <v>0</v>
      </c>
      <c r="I150">
        <v>1.2023079395294189</v>
      </c>
      <c r="J150">
        <v>1.0936737060546875</v>
      </c>
      <c r="K150">
        <v>8.5997295379638672</v>
      </c>
      <c r="L150">
        <v>36.58612060546875</v>
      </c>
      <c r="M150">
        <v>3.0113883018493652</v>
      </c>
      <c r="N150">
        <v>1.2023079395294189</v>
      </c>
      <c r="O150">
        <v>1.0936737060546875</v>
      </c>
      <c r="P150">
        <v>727.46728515625</v>
      </c>
      <c r="Q150">
        <v>155.42411804199219</v>
      </c>
    </row>
    <row r="151" spans="1:17" x14ac:dyDescent="0.35">
      <c r="A151" t="s">
        <v>20</v>
      </c>
      <c r="B151" t="s">
        <v>217</v>
      </c>
      <c r="C151" t="s">
        <v>219</v>
      </c>
      <c r="D151" t="s">
        <v>560</v>
      </c>
      <c r="E151">
        <v>44.023529052734375</v>
      </c>
      <c r="F151">
        <v>45.331508636474609</v>
      </c>
      <c r="G151">
        <v>4.0342450141906738</v>
      </c>
      <c r="H151">
        <v>0</v>
      </c>
      <c r="I151">
        <v>5.5623679161071777</v>
      </c>
      <c r="J151">
        <v>0.48879548907279968</v>
      </c>
      <c r="K151">
        <v>44.023529052734375</v>
      </c>
      <c r="L151">
        <v>45.331508636474609</v>
      </c>
      <c r="M151">
        <v>4.0342450141906738</v>
      </c>
      <c r="N151">
        <v>5.5623679161071777</v>
      </c>
      <c r="O151">
        <v>0.48879548907279968</v>
      </c>
      <c r="P151">
        <v>516.68658447265625</v>
      </c>
      <c r="Q151">
        <v>84.131889343261719</v>
      </c>
    </row>
    <row r="152" spans="1:17" x14ac:dyDescent="0.35">
      <c r="A152" t="s">
        <v>43</v>
      </c>
      <c r="B152" t="s">
        <v>54</v>
      </c>
      <c r="C152" t="s">
        <v>56</v>
      </c>
      <c r="D152" t="s">
        <v>560</v>
      </c>
      <c r="E152">
        <v>12.299065589904785</v>
      </c>
      <c r="F152">
        <v>20.887849807739258</v>
      </c>
      <c r="G152">
        <v>4.0794391632080078</v>
      </c>
      <c r="H152">
        <v>0</v>
      </c>
      <c r="I152">
        <v>1.0747663974761963</v>
      </c>
      <c r="J152">
        <v>1.0172897577285767</v>
      </c>
      <c r="K152">
        <v>12.299065589904785</v>
      </c>
      <c r="L152">
        <v>20.887849807739258</v>
      </c>
      <c r="M152">
        <v>4.0794391632080078</v>
      </c>
      <c r="N152">
        <v>1.0747663974761963</v>
      </c>
      <c r="O152">
        <v>1.0172897577285767</v>
      </c>
      <c r="P152">
        <v>38524.625</v>
      </c>
      <c r="Q152">
        <v>12623.9765625</v>
      </c>
    </row>
    <row r="153" spans="1:17" x14ac:dyDescent="0.35">
      <c r="A153" t="s">
        <v>1</v>
      </c>
      <c r="B153" t="s">
        <v>484</v>
      </c>
      <c r="C153" t="s">
        <v>485</v>
      </c>
      <c r="D153" t="s">
        <v>560</v>
      </c>
      <c r="E153">
        <v>27.651702880859375</v>
      </c>
      <c r="F153">
        <v>42.1842041015625</v>
      </c>
      <c r="H153">
        <v>0</v>
      </c>
      <c r="I153">
        <v>2.288416862487793</v>
      </c>
      <c r="K153">
        <v>27.651702880859375</v>
      </c>
      <c r="L153">
        <v>42.1842041015625</v>
      </c>
      <c r="M153">
        <v>4.2987570762634277</v>
      </c>
      <c r="N153">
        <v>2.288416862487793</v>
      </c>
      <c r="O153">
        <v>3.027867317199707</v>
      </c>
      <c r="P153">
        <v>0</v>
      </c>
      <c r="Q153">
        <v>0</v>
      </c>
    </row>
    <row r="154" spans="1:17" x14ac:dyDescent="0.35">
      <c r="A154" t="s">
        <v>25</v>
      </c>
      <c r="B154" t="s">
        <v>372</v>
      </c>
      <c r="C154" t="s">
        <v>374</v>
      </c>
      <c r="D154" t="s">
        <v>560</v>
      </c>
      <c r="E154">
        <v>5.9020543098449707</v>
      </c>
      <c r="F154">
        <v>19.540088653564453</v>
      </c>
      <c r="H154">
        <v>0</v>
      </c>
      <c r="I154">
        <v>0.72703510522842407</v>
      </c>
      <c r="J154">
        <v>2.4425110816955566</v>
      </c>
      <c r="K154">
        <v>5.9020543098449707</v>
      </c>
      <c r="L154">
        <v>19.540088653564453</v>
      </c>
      <c r="M154">
        <v>4.2987570762634277</v>
      </c>
      <c r="N154">
        <v>0.72703510522842407</v>
      </c>
      <c r="O154">
        <v>2.4425110816955566</v>
      </c>
      <c r="P154">
        <v>7075.5986328125</v>
      </c>
      <c r="Q154">
        <v>2180.684326171875</v>
      </c>
    </row>
    <row r="155" spans="1:17" x14ac:dyDescent="0.35">
      <c r="A155" t="s">
        <v>1</v>
      </c>
      <c r="B155" t="s">
        <v>275</v>
      </c>
      <c r="C155" t="s">
        <v>277</v>
      </c>
      <c r="D155" t="s">
        <v>560</v>
      </c>
      <c r="E155">
        <v>28.699184417724609</v>
      </c>
      <c r="F155">
        <v>18.343679428100586</v>
      </c>
      <c r="H155">
        <v>0</v>
      </c>
      <c r="I155">
        <v>8.6999320983886719</v>
      </c>
      <c r="J155">
        <v>6.5449576377868652</v>
      </c>
      <c r="K155">
        <v>28.699184417724609</v>
      </c>
      <c r="L155">
        <v>18.343679428100586</v>
      </c>
      <c r="M155">
        <v>4.2987570762634277</v>
      </c>
      <c r="N155">
        <v>8.6999320983886719</v>
      </c>
      <c r="O155">
        <v>6.5449576377868652</v>
      </c>
      <c r="P155">
        <v>10356.1025390625</v>
      </c>
      <c r="Q155">
        <v>2205.541748046875</v>
      </c>
    </row>
    <row r="156" spans="1:17" x14ac:dyDescent="0.35">
      <c r="A156" t="s">
        <v>20</v>
      </c>
      <c r="B156" t="s">
        <v>414</v>
      </c>
      <c r="C156" t="s">
        <v>416</v>
      </c>
      <c r="D156" t="s">
        <v>560</v>
      </c>
      <c r="E156">
        <v>31.130693435668945</v>
      </c>
      <c r="F156">
        <v>60.855236053466797</v>
      </c>
      <c r="H156">
        <v>1</v>
      </c>
      <c r="I156">
        <v>2.1415431499481201</v>
      </c>
      <c r="J156">
        <v>8.1071043014526367</v>
      </c>
      <c r="K156">
        <v>31.130693435668945</v>
      </c>
      <c r="L156">
        <v>60.855236053466797</v>
      </c>
      <c r="N156">
        <v>2.1415431499481201</v>
      </c>
      <c r="O156">
        <v>8.1071043014526367</v>
      </c>
      <c r="P156">
        <v>0</v>
      </c>
      <c r="Q156">
        <v>0</v>
      </c>
    </row>
    <row r="157" spans="1:17" x14ac:dyDescent="0.35">
      <c r="A157" t="s">
        <v>0</v>
      </c>
      <c r="B157" t="s">
        <v>526</v>
      </c>
      <c r="C157" t="s">
        <v>527</v>
      </c>
      <c r="D157" t="s">
        <v>560</v>
      </c>
      <c r="E157">
        <v>11.872455596923828</v>
      </c>
      <c r="F157">
        <v>34.769336700439453</v>
      </c>
      <c r="H157">
        <v>1</v>
      </c>
      <c r="I157">
        <v>0.84803259372711182</v>
      </c>
      <c r="J157">
        <v>1.6960651874542236</v>
      </c>
      <c r="K157">
        <v>11.872455596923828</v>
      </c>
      <c r="L157">
        <v>34.769336700439453</v>
      </c>
      <c r="N157">
        <v>0.84803259372711182</v>
      </c>
      <c r="O157">
        <v>1.6960651874542236</v>
      </c>
      <c r="P157">
        <v>3.0829229354858398</v>
      </c>
      <c r="Q157">
        <v>0.65866959095001221</v>
      </c>
    </row>
    <row r="158" spans="1:17" x14ac:dyDescent="0.35">
      <c r="A158" t="s">
        <v>43</v>
      </c>
      <c r="B158" t="s">
        <v>320</v>
      </c>
      <c r="C158" t="s">
        <v>322</v>
      </c>
      <c r="D158" t="s">
        <v>560</v>
      </c>
      <c r="E158">
        <v>6.2167153358459473</v>
      </c>
      <c r="F158">
        <v>22.47551155090332</v>
      </c>
      <c r="G158">
        <v>16.994087219238281</v>
      </c>
      <c r="H158">
        <v>0</v>
      </c>
      <c r="I158">
        <v>1.1831387281417847</v>
      </c>
      <c r="J158">
        <v>0.93521898984909058</v>
      </c>
      <c r="K158">
        <v>6.2167153358459473</v>
      </c>
      <c r="L158">
        <v>22.47551155090332</v>
      </c>
      <c r="M158">
        <v>16.994087219238281</v>
      </c>
      <c r="N158">
        <v>1.1831387281417847</v>
      </c>
      <c r="O158">
        <v>0.93521898984909058</v>
      </c>
      <c r="P158">
        <v>675367.25</v>
      </c>
      <c r="Q158">
        <v>221308.328125</v>
      </c>
    </row>
    <row r="159" spans="1:17" x14ac:dyDescent="0.35">
      <c r="A159" t="s">
        <v>20</v>
      </c>
      <c r="B159" t="s">
        <v>226</v>
      </c>
      <c r="C159" t="s">
        <v>228</v>
      </c>
      <c r="D159" t="s">
        <v>560</v>
      </c>
      <c r="E159">
        <v>45.382080078125</v>
      </c>
      <c r="F159">
        <v>104.74685668945313</v>
      </c>
      <c r="G159">
        <v>5.2799830436706543</v>
      </c>
      <c r="H159">
        <v>0</v>
      </c>
      <c r="I159">
        <v>6.2279062271118164</v>
      </c>
      <c r="J159">
        <v>3.6273400783538818</v>
      </c>
      <c r="K159">
        <v>45.382080078125</v>
      </c>
      <c r="L159">
        <v>104.74685668945313</v>
      </c>
      <c r="M159">
        <v>5.2799830436706543</v>
      </c>
      <c r="N159">
        <v>6.2279062271118164</v>
      </c>
      <c r="O159">
        <v>3.6273400783538818</v>
      </c>
      <c r="P159">
        <v>0</v>
      </c>
      <c r="Q159">
        <v>0</v>
      </c>
    </row>
    <row r="160" spans="1:17" x14ac:dyDescent="0.35">
      <c r="A160" t="s">
        <v>0</v>
      </c>
      <c r="B160" t="s">
        <v>387</v>
      </c>
      <c r="C160" t="s">
        <v>389</v>
      </c>
      <c r="D160" t="s">
        <v>560</v>
      </c>
      <c r="E160">
        <v>17.687376022338867</v>
      </c>
      <c r="F160">
        <v>63.564006805419922</v>
      </c>
      <c r="G160">
        <v>1.1054610013961792</v>
      </c>
      <c r="H160">
        <v>0</v>
      </c>
      <c r="I160">
        <v>3.316382884979248</v>
      </c>
      <c r="J160">
        <v>2.7636523246765137</v>
      </c>
      <c r="K160">
        <v>17.687376022338867</v>
      </c>
      <c r="L160">
        <v>63.564006805419922</v>
      </c>
      <c r="M160">
        <v>1.1054610013961792</v>
      </c>
      <c r="N160">
        <v>3.316382884979248</v>
      </c>
      <c r="O160">
        <v>2.7636523246765137</v>
      </c>
      <c r="P160">
        <v>6.2361812591552734</v>
      </c>
      <c r="Q160">
        <v>1.3323664665222168</v>
      </c>
    </row>
    <row r="161" spans="1:17" x14ac:dyDescent="0.35">
      <c r="A161" t="s">
        <v>25</v>
      </c>
      <c r="B161" t="s">
        <v>145</v>
      </c>
      <c r="C161" t="s">
        <v>147</v>
      </c>
      <c r="D161" t="s">
        <v>560</v>
      </c>
      <c r="E161">
        <v>1.4222127199172974</v>
      </c>
      <c r="F161">
        <v>25.142997741699219</v>
      </c>
      <c r="H161">
        <v>1</v>
      </c>
      <c r="I161">
        <v>0.18962836265563965</v>
      </c>
      <c r="J161">
        <v>0.41373461484909058</v>
      </c>
      <c r="K161">
        <v>1.4222127199172974</v>
      </c>
      <c r="L161">
        <v>25.142997741699219</v>
      </c>
      <c r="N161">
        <v>0.18962836265563965</v>
      </c>
      <c r="O161">
        <v>0.41373461484909058</v>
      </c>
      <c r="P161">
        <v>3389.83935546875</v>
      </c>
      <c r="Q161">
        <v>1044.7412109375</v>
      </c>
    </row>
    <row r="162" spans="1:17" x14ac:dyDescent="0.35">
      <c r="A162" t="s">
        <v>25</v>
      </c>
      <c r="B162" t="s">
        <v>364</v>
      </c>
      <c r="C162" t="s">
        <v>366</v>
      </c>
      <c r="D162" t="s">
        <v>558</v>
      </c>
      <c r="E162">
        <v>27.12761116027832</v>
      </c>
      <c r="F162">
        <v>39.347087860107422</v>
      </c>
      <c r="H162">
        <v>1</v>
      </c>
      <c r="I162">
        <v>2.7644977569580078</v>
      </c>
      <c r="J162">
        <v>5.9028525352478027</v>
      </c>
      <c r="K162">
        <v>27.12761116027832</v>
      </c>
      <c r="L162">
        <v>39.347087860107422</v>
      </c>
      <c r="N162">
        <v>2.7644977569580078</v>
      </c>
      <c r="O162">
        <v>5.9028525352478027</v>
      </c>
      <c r="P162">
        <v>0</v>
      </c>
      <c r="Q162">
        <v>0</v>
      </c>
    </row>
    <row r="163" spans="1:17" x14ac:dyDescent="0.35">
      <c r="A163" t="s">
        <v>1</v>
      </c>
      <c r="B163" t="s">
        <v>537</v>
      </c>
      <c r="C163" t="s">
        <v>539</v>
      </c>
      <c r="D163" t="s">
        <v>558</v>
      </c>
      <c r="E163">
        <v>24.172967910766602</v>
      </c>
      <c r="F163">
        <v>28.141407012939453</v>
      </c>
      <c r="G163">
        <v>2.5781251024454832E-3</v>
      </c>
      <c r="H163">
        <v>0</v>
      </c>
      <c r="I163">
        <v>1.3179687261581421</v>
      </c>
      <c r="J163">
        <v>0.49017542600631714</v>
      </c>
      <c r="K163">
        <v>24.172967910766602</v>
      </c>
      <c r="L163">
        <v>28.141407012939453</v>
      </c>
      <c r="M163">
        <v>2.5781251024454832E-3</v>
      </c>
      <c r="N163">
        <v>1.3179687261581421</v>
      </c>
      <c r="O163">
        <v>0.49017542600631714</v>
      </c>
      <c r="P163">
        <v>137810.859375</v>
      </c>
      <c r="Q163">
        <v>29349.61328125</v>
      </c>
    </row>
    <row r="164" spans="1:17" x14ac:dyDescent="0.35">
      <c r="A164" t="s">
        <v>25</v>
      </c>
      <c r="B164" t="s">
        <v>87</v>
      </c>
      <c r="C164" t="s">
        <v>89</v>
      </c>
      <c r="D164" t="s">
        <v>558</v>
      </c>
      <c r="E164">
        <v>6.1193461418151855</v>
      </c>
      <c r="F164">
        <v>21.683916091918945</v>
      </c>
      <c r="G164">
        <v>2.7939157485961914</v>
      </c>
      <c r="H164">
        <v>0</v>
      </c>
      <c r="I164">
        <v>0.15649610757827759</v>
      </c>
      <c r="J164">
        <v>0.64439570903778076</v>
      </c>
      <c r="K164">
        <v>6.1193461418151855</v>
      </c>
      <c r="L164">
        <v>21.683916091918945</v>
      </c>
      <c r="M164">
        <v>2.7939157485961914</v>
      </c>
      <c r="N164">
        <v>0.15649610757827759</v>
      </c>
      <c r="O164">
        <v>0.64439570903778076</v>
      </c>
      <c r="P164">
        <v>6370.22021484375</v>
      </c>
      <c r="Q164">
        <v>1963.2882080078125</v>
      </c>
    </row>
    <row r="165" spans="1:17" x14ac:dyDescent="0.35">
      <c r="A165" t="s">
        <v>1</v>
      </c>
      <c r="B165" t="s">
        <v>95</v>
      </c>
      <c r="C165" t="s">
        <v>96</v>
      </c>
      <c r="D165" t="s">
        <v>558</v>
      </c>
      <c r="E165">
        <v>14.356342315673828</v>
      </c>
      <c r="F165">
        <v>62.808998107910156</v>
      </c>
      <c r="H165">
        <v>0</v>
      </c>
      <c r="I165">
        <v>1.9739971160888672</v>
      </c>
      <c r="J165">
        <v>6.8019189834594727</v>
      </c>
      <c r="K165">
        <v>14.356342315673828</v>
      </c>
      <c r="L165">
        <v>62.808998107910156</v>
      </c>
      <c r="M165">
        <v>5.2588090896606445</v>
      </c>
      <c r="N165">
        <v>1.9739971160888672</v>
      </c>
      <c r="O165">
        <v>6.8019189834594727</v>
      </c>
      <c r="P165">
        <v>0</v>
      </c>
      <c r="Q165">
        <v>0</v>
      </c>
    </row>
    <row r="166" spans="1:17" x14ac:dyDescent="0.35">
      <c r="A166" t="s">
        <v>1</v>
      </c>
      <c r="B166" t="s">
        <v>15</v>
      </c>
      <c r="C166" t="s">
        <v>16</v>
      </c>
      <c r="D166" t="s">
        <v>558</v>
      </c>
      <c r="E166">
        <v>10.781291007995605</v>
      </c>
      <c r="F166">
        <v>23.416025161743164</v>
      </c>
      <c r="H166">
        <v>1</v>
      </c>
      <c r="I166">
        <v>1.3833703994750977</v>
      </c>
      <c r="J166">
        <v>6.759364128112793</v>
      </c>
      <c r="K166">
        <v>10.781291007995605</v>
      </c>
      <c r="L166">
        <v>23.416025161743164</v>
      </c>
      <c r="N166">
        <v>1.3833703994750977</v>
      </c>
      <c r="O166">
        <v>6.759364128112793</v>
      </c>
      <c r="P166">
        <v>497.78338623046875</v>
      </c>
      <c r="Q166">
        <v>106.01304626464844</v>
      </c>
    </row>
    <row r="167" spans="1:17" x14ac:dyDescent="0.35">
      <c r="A167" t="s">
        <v>1</v>
      </c>
      <c r="B167" t="s">
        <v>488</v>
      </c>
      <c r="C167" t="s">
        <v>489</v>
      </c>
      <c r="D167" t="s">
        <v>558</v>
      </c>
      <c r="E167">
        <v>9.4065570831298828</v>
      </c>
      <c r="F167">
        <v>70.138824462890625</v>
      </c>
      <c r="H167">
        <v>0</v>
      </c>
      <c r="I167">
        <v>1.6599806547164917</v>
      </c>
      <c r="J167">
        <v>3.3173608779907227</v>
      </c>
      <c r="K167">
        <v>9.4065570831298828</v>
      </c>
      <c r="L167">
        <v>70.138824462890625</v>
      </c>
      <c r="M167">
        <v>5.2588090896606445</v>
      </c>
      <c r="N167">
        <v>1.6599806547164917</v>
      </c>
      <c r="O167">
        <v>3.3173608779907227</v>
      </c>
      <c r="P167">
        <v>48.737686157226563</v>
      </c>
      <c r="Q167">
        <v>10.379677772521973</v>
      </c>
    </row>
    <row r="168" spans="1:17" x14ac:dyDescent="0.35">
      <c r="A168" t="s">
        <v>25</v>
      </c>
      <c r="B168" t="s">
        <v>278</v>
      </c>
      <c r="C168" t="s">
        <v>280</v>
      </c>
      <c r="D168" t="s">
        <v>558</v>
      </c>
      <c r="E168">
        <v>4.0174074172973633</v>
      </c>
      <c r="F168">
        <v>3.1016848087310791</v>
      </c>
      <c r="H168">
        <v>1</v>
      </c>
      <c r="I168">
        <v>6.9739967584609985E-2</v>
      </c>
      <c r="J168">
        <v>7.6396174728870392E-2</v>
      </c>
      <c r="K168">
        <v>4.0174074172973633</v>
      </c>
      <c r="L168">
        <v>3.1016848087310791</v>
      </c>
      <c r="N168">
        <v>6.9739967584609985E-2</v>
      </c>
      <c r="O168">
        <v>7.6396174728870392E-2</v>
      </c>
      <c r="P168">
        <v>8135.7568359375</v>
      </c>
      <c r="Q168">
        <v>2507.4228515625</v>
      </c>
    </row>
    <row r="169" spans="1:17" x14ac:dyDescent="0.35">
      <c r="A169" t="s">
        <v>1</v>
      </c>
      <c r="B169" t="s">
        <v>17</v>
      </c>
      <c r="C169" t="s">
        <v>19</v>
      </c>
      <c r="D169" t="s">
        <v>558</v>
      </c>
      <c r="E169">
        <v>17.301361083984375</v>
      </c>
      <c r="F169">
        <v>20.65397834777832</v>
      </c>
      <c r="H169">
        <v>0</v>
      </c>
      <c r="I169">
        <v>1.3999999761581421</v>
      </c>
      <c r="K169">
        <v>17.301361083984375</v>
      </c>
      <c r="L169">
        <v>20.65397834777832</v>
      </c>
      <c r="M169">
        <v>5.2588090896606445</v>
      </c>
      <c r="N169">
        <v>1.3999999761581421</v>
      </c>
      <c r="O169">
        <v>5.9551897048950195</v>
      </c>
      <c r="P169">
        <v>38039.10546875</v>
      </c>
      <c r="Q169">
        <v>8101.19775390625</v>
      </c>
    </row>
    <row r="170" spans="1:17" x14ac:dyDescent="0.35">
      <c r="A170" t="s">
        <v>1</v>
      </c>
      <c r="B170" t="s">
        <v>13</v>
      </c>
      <c r="C170" t="s">
        <v>14</v>
      </c>
      <c r="D170" t="s">
        <v>558</v>
      </c>
      <c r="E170">
        <v>24.875186920166016</v>
      </c>
      <c r="F170">
        <v>30.595869064331055</v>
      </c>
      <c r="G170">
        <v>5.086735725402832</v>
      </c>
      <c r="H170">
        <v>0</v>
      </c>
      <c r="I170">
        <v>3.0744614601135254</v>
      </c>
      <c r="J170">
        <v>9.0836715698242188</v>
      </c>
      <c r="K170">
        <v>24.875186920166016</v>
      </c>
      <c r="L170">
        <v>30.595869064331055</v>
      </c>
      <c r="M170">
        <v>5.086735725402832</v>
      </c>
      <c r="N170">
        <v>3.0744614601135254</v>
      </c>
      <c r="O170">
        <v>9.0836715698242188</v>
      </c>
      <c r="P170">
        <v>11.458291053771973</v>
      </c>
      <c r="Q170">
        <v>2.4402751922607422</v>
      </c>
    </row>
    <row r="171" spans="1:17" x14ac:dyDescent="0.35">
      <c r="A171" t="s">
        <v>0</v>
      </c>
      <c r="B171" t="s">
        <v>180</v>
      </c>
      <c r="C171" t="s">
        <v>181</v>
      </c>
      <c r="D171" t="s">
        <v>558</v>
      </c>
      <c r="E171">
        <v>22.831172943115234</v>
      </c>
      <c r="F171">
        <v>34.897804260253906</v>
      </c>
      <c r="H171">
        <v>1</v>
      </c>
      <c r="I171">
        <v>3.0847618579864502</v>
      </c>
      <c r="J171">
        <v>3.4689769744873047</v>
      </c>
      <c r="K171">
        <v>22.831172943115234</v>
      </c>
      <c r="L171">
        <v>34.897804260253906</v>
      </c>
      <c r="N171">
        <v>3.0847618579864502</v>
      </c>
      <c r="O171">
        <v>3.4689769744873047</v>
      </c>
      <c r="P171">
        <v>0</v>
      </c>
      <c r="Q171">
        <v>0</v>
      </c>
    </row>
    <row r="172" spans="1:17" x14ac:dyDescent="0.35">
      <c r="A172" t="s">
        <v>25</v>
      </c>
      <c r="B172" t="s">
        <v>429</v>
      </c>
      <c r="C172" t="s">
        <v>431</v>
      </c>
      <c r="D172" t="s">
        <v>558</v>
      </c>
      <c r="E172">
        <v>7.9168944358825684</v>
      </c>
      <c r="F172">
        <v>49.733219146728516</v>
      </c>
      <c r="H172">
        <v>1</v>
      </c>
      <c r="I172">
        <v>1.0861774682998657</v>
      </c>
      <c r="J172">
        <v>2.716547966003418</v>
      </c>
      <c r="K172">
        <v>7.9168944358825684</v>
      </c>
      <c r="L172">
        <v>49.733219146728516</v>
      </c>
      <c r="N172">
        <v>1.0861774682998657</v>
      </c>
      <c r="O172">
        <v>2.716547966003418</v>
      </c>
      <c r="P172">
        <v>47323.21875</v>
      </c>
      <c r="Q172">
        <v>14584.9150390625</v>
      </c>
    </row>
    <row r="173" spans="1:17" x14ac:dyDescent="0.35">
      <c r="A173" t="s">
        <v>1</v>
      </c>
      <c r="B173" t="s">
        <v>2</v>
      </c>
      <c r="C173" t="s">
        <v>3</v>
      </c>
      <c r="D173" t="s">
        <v>558</v>
      </c>
      <c r="E173">
        <v>27.665706634521484</v>
      </c>
      <c r="F173">
        <v>62.812129974365234</v>
      </c>
      <c r="G173">
        <v>28.008031845092773</v>
      </c>
      <c r="H173">
        <v>0</v>
      </c>
      <c r="I173">
        <v>0.43214279413223267</v>
      </c>
      <c r="J173">
        <v>1.7850979566574097</v>
      </c>
      <c r="K173">
        <v>27.665706634521484</v>
      </c>
      <c r="L173">
        <v>62.812129974365234</v>
      </c>
      <c r="M173">
        <v>28.008031845092773</v>
      </c>
      <c r="N173">
        <v>0.43214279413223267</v>
      </c>
      <c r="O173">
        <v>1.7850979566574097</v>
      </c>
      <c r="P173">
        <v>17.632698059082031</v>
      </c>
      <c r="Q173">
        <v>3.7552399635314941</v>
      </c>
    </row>
    <row r="174" spans="1:17" x14ac:dyDescent="0.35">
      <c r="A174" t="s">
        <v>1</v>
      </c>
      <c r="B174" t="s">
        <v>250</v>
      </c>
      <c r="C174" t="s">
        <v>252</v>
      </c>
      <c r="D174" t="s">
        <v>558</v>
      </c>
      <c r="E174">
        <v>28.374868392944336</v>
      </c>
      <c r="F174">
        <v>35.350784301757813</v>
      </c>
      <c r="G174">
        <v>8.163874626159668</v>
      </c>
      <c r="H174">
        <v>0</v>
      </c>
      <c r="I174">
        <v>13.971203804016113</v>
      </c>
      <c r="J174">
        <v>6.0795812606811523</v>
      </c>
      <c r="K174">
        <v>28.374868392944336</v>
      </c>
      <c r="L174">
        <v>35.350784301757813</v>
      </c>
      <c r="M174">
        <v>8.163874626159668</v>
      </c>
      <c r="N174">
        <v>13.971203804016113</v>
      </c>
      <c r="O174">
        <v>6.0795812606811523</v>
      </c>
      <c r="P174">
        <v>0</v>
      </c>
      <c r="Q174">
        <v>0</v>
      </c>
    </row>
    <row r="175" spans="1:17" x14ac:dyDescent="0.35">
      <c r="A175" t="s">
        <v>1</v>
      </c>
      <c r="B175" t="s">
        <v>8</v>
      </c>
      <c r="C175" t="s">
        <v>10</v>
      </c>
      <c r="D175" t="s">
        <v>558</v>
      </c>
      <c r="E175">
        <v>40.591815948486328</v>
      </c>
      <c r="F175">
        <v>26.017995834350586</v>
      </c>
      <c r="H175">
        <v>1</v>
      </c>
      <c r="I175">
        <v>15.333107948303223</v>
      </c>
      <c r="J175">
        <v>5.0675325393676758</v>
      </c>
      <c r="K175">
        <v>40.591815948486328</v>
      </c>
      <c r="L175">
        <v>26.017995834350586</v>
      </c>
      <c r="N175">
        <v>15.333107948303223</v>
      </c>
      <c r="O175">
        <v>5.0675325393676758</v>
      </c>
      <c r="P175">
        <v>28093.490234375</v>
      </c>
      <c r="Q175">
        <v>5983.07763671875</v>
      </c>
    </row>
    <row r="176" spans="1:17" x14ac:dyDescent="0.35">
      <c r="A176" t="s">
        <v>4</v>
      </c>
      <c r="B176" t="s">
        <v>513</v>
      </c>
      <c r="C176" t="s">
        <v>515</v>
      </c>
      <c r="D176" t="s">
        <v>558</v>
      </c>
      <c r="E176">
        <v>17.737752914428711</v>
      </c>
      <c r="F176">
        <v>36.999019622802734</v>
      </c>
      <c r="G176">
        <v>2.3831801414489746</v>
      </c>
      <c r="H176">
        <v>0</v>
      </c>
      <c r="I176">
        <v>2.9197382926940918</v>
      </c>
      <c r="J176">
        <v>5.7004413604736328</v>
      </c>
      <c r="K176">
        <v>17.737752914428711</v>
      </c>
      <c r="L176">
        <v>36.999019622802734</v>
      </c>
      <c r="M176">
        <v>2.3831801414489746</v>
      </c>
      <c r="N176">
        <v>2.9197382926940918</v>
      </c>
      <c r="O176">
        <v>5.7004413604736328</v>
      </c>
      <c r="P176">
        <v>1045.54345703125</v>
      </c>
      <c r="Q176">
        <v>313.88250732421875</v>
      </c>
    </row>
    <row r="177" spans="1:17" x14ac:dyDescent="0.35">
      <c r="A177" t="s">
        <v>1</v>
      </c>
      <c r="B177" t="s">
        <v>453</v>
      </c>
      <c r="C177" t="s">
        <v>455</v>
      </c>
      <c r="D177" t="s">
        <v>558</v>
      </c>
      <c r="E177">
        <v>44.760852813720703</v>
      </c>
      <c r="F177">
        <v>40.402332305908203</v>
      </c>
      <c r="G177">
        <v>0.293913334608078</v>
      </c>
      <c r="H177">
        <v>0</v>
      </c>
      <c r="I177">
        <v>3.1828663349151611</v>
      </c>
      <c r="J177">
        <v>6.641047477722168</v>
      </c>
      <c r="K177">
        <v>44.760852813720703</v>
      </c>
      <c r="L177">
        <v>40.402332305908203</v>
      </c>
      <c r="M177">
        <v>0.293913334608078</v>
      </c>
      <c r="N177">
        <v>3.1828663349151611</v>
      </c>
      <c r="O177">
        <v>6.641047477722168</v>
      </c>
      <c r="P177">
        <v>626.2860107421875</v>
      </c>
      <c r="Q177">
        <v>133.38029479980469</v>
      </c>
    </row>
    <row r="178" spans="1:17" x14ac:dyDescent="0.35">
      <c r="A178" t="s">
        <v>4</v>
      </c>
      <c r="B178" t="s">
        <v>507</v>
      </c>
      <c r="C178" t="s">
        <v>509</v>
      </c>
      <c r="D178" t="s">
        <v>558</v>
      </c>
      <c r="E178">
        <v>20.904996871948242</v>
      </c>
      <c r="F178">
        <v>63.722480773925781</v>
      </c>
      <c r="G178">
        <v>1.5818930864334106</v>
      </c>
      <c r="H178">
        <v>0</v>
      </c>
      <c r="I178">
        <v>8.7771511077880859</v>
      </c>
      <c r="J178">
        <v>6.0114974975585938</v>
      </c>
      <c r="K178">
        <v>20.904996871948242</v>
      </c>
      <c r="L178">
        <v>63.722480773925781</v>
      </c>
      <c r="M178">
        <v>1.5818930864334106</v>
      </c>
      <c r="N178">
        <v>8.7771511077880859</v>
      </c>
      <c r="O178">
        <v>6.0114974975585938</v>
      </c>
      <c r="P178">
        <v>2193.635009765625</v>
      </c>
      <c r="Q178">
        <v>658.551025390625</v>
      </c>
    </row>
    <row r="179" spans="1:17" x14ac:dyDescent="0.35">
      <c r="A179" t="s">
        <v>20</v>
      </c>
      <c r="B179" t="s">
        <v>490</v>
      </c>
      <c r="C179" t="s">
        <v>492</v>
      </c>
      <c r="D179" t="s">
        <v>558</v>
      </c>
      <c r="E179">
        <v>35.649547576904297</v>
      </c>
      <c r="F179">
        <v>57.372055053710938</v>
      </c>
      <c r="G179">
        <v>3.1738979816436768</v>
      </c>
      <c r="H179">
        <v>0</v>
      </c>
      <c r="I179">
        <v>5.2263031005859375</v>
      </c>
      <c r="J179">
        <v>8.1748037338256836</v>
      </c>
      <c r="K179">
        <v>35.649547576904297</v>
      </c>
      <c r="L179">
        <v>57.372055053710938</v>
      </c>
      <c r="M179">
        <v>3.1738979816436768</v>
      </c>
      <c r="N179">
        <v>5.2263031005859375</v>
      </c>
      <c r="O179">
        <v>8.1748037338256836</v>
      </c>
      <c r="P179">
        <v>418.71636962890625</v>
      </c>
      <c r="Q179">
        <v>68.179435729980469</v>
      </c>
    </row>
    <row r="180" spans="1:17" x14ac:dyDescent="0.35">
      <c r="A180" t="s">
        <v>1</v>
      </c>
      <c r="B180" t="s">
        <v>486</v>
      </c>
      <c r="C180" t="s">
        <v>487</v>
      </c>
      <c r="D180" t="s">
        <v>558</v>
      </c>
      <c r="E180">
        <v>6.4104337692260742</v>
      </c>
      <c r="F180">
        <v>26.304882049560547</v>
      </c>
      <c r="G180">
        <v>5.2499241828918457</v>
      </c>
      <c r="H180">
        <v>0</v>
      </c>
      <c r="I180">
        <v>1.7131330966949463</v>
      </c>
      <c r="J180">
        <v>4.3657264709472656</v>
      </c>
      <c r="K180">
        <v>6.4104337692260742</v>
      </c>
      <c r="L180">
        <v>26.304882049560547</v>
      </c>
      <c r="M180">
        <v>5.2499241828918457</v>
      </c>
      <c r="N180">
        <v>1.7131330966949463</v>
      </c>
      <c r="O180">
        <v>4.3657264709472656</v>
      </c>
      <c r="P180">
        <v>257.40719604492188</v>
      </c>
      <c r="Q180">
        <v>54.820072174072266</v>
      </c>
    </row>
    <row r="181" spans="1:17" x14ac:dyDescent="0.35">
      <c r="A181" t="s">
        <v>20</v>
      </c>
      <c r="B181" t="s">
        <v>402</v>
      </c>
      <c r="C181" t="s">
        <v>404</v>
      </c>
      <c r="D181" t="s">
        <v>558</v>
      </c>
      <c r="E181">
        <v>37.754497528076172</v>
      </c>
      <c r="F181">
        <v>61.273014068603516</v>
      </c>
      <c r="G181">
        <v>7.4685187339782715</v>
      </c>
      <c r="H181">
        <v>0</v>
      </c>
      <c r="I181">
        <v>10.286243438720703</v>
      </c>
      <c r="J181">
        <v>9.6632270812988281</v>
      </c>
      <c r="K181">
        <v>37.754497528076172</v>
      </c>
      <c r="L181">
        <v>61.273014068603516</v>
      </c>
      <c r="M181">
        <v>7.4685187339782715</v>
      </c>
      <c r="N181">
        <v>10.286243438720703</v>
      </c>
      <c r="O181">
        <v>9.6632270812988281</v>
      </c>
      <c r="P181">
        <v>0</v>
      </c>
      <c r="Q181">
        <v>0</v>
      </c>
    </row>
    <row r="182" spans="1:17" x14ac:dyDescent="0.35">
      <c r="A182" t="s">
        <v>20</v>
      </c>
      <c r="B182" t="s">
        <v>482</v>
      </c>
      <c r="C182" t="s">
        <v>483</v>
      </c>
      <c r="D182" t="s">
        <v>558</v>
      </c>
      <c r="E182">
        <v>38.170204162597656</v>
      </c>
      <c r="F182">
        <v>58.963630676269531</v>
      </c>
      <c r="G182">
        <v>3.3214383125305176</v>
      </c>
      <c r="H182">
        <v>0</v>
      </c>
      <c r="I182">
        <v>3.4686300754547119</v>
      </c>
      <c r="J182">
        <v>0.39369863271713257</v>
      </c>
      <c r="K182">
        <v>38.170204162597656</v>
      </c>
      <c r="L182">
        <v>58.963630676269531</v>
      </c>
      <c r="M182">
        <v>3.3214383125305176</v>
      </c>
      <c r="N182">
        <v>3.4686300754547119</v>
      </c>
      <c r="O182">
        <v>0.39369863271713257</v>
      </c>
      <c r="P182">
        <v>35739.98046875</v>
      </c>
      <c r="Q182">
        <v>5819.52783203125</v>
      </c>
    </row>
    <row r="183" spans="1:17" x14ac:dyDescent="0.35">
      <c r="A183" t="s">
        <v>20</v>
      </c>
      <c r="B183" t="s">
        <v>103</v>
      </c>
      <c r="C183" t="s">
        <v>104</v>
      </c>
      <c r="D183" t="s">
        <v>558</v>
      </c>
      <c r="E183">
        <v>60.636520385742188</v>
      </c>
      <c r="F183">
        <v>66.829261779785156</v>
      </c>
      <c r="G183">
        <v>2.3707547187805176</v>
      </c>
      <c r="H183">
        <v>0</v>
      </c>
      <c r="I183">
        <v>7.377631664276123</v>
      </c>
      <c r="J183">
        <v>8.3874740600585938</v>
      </c>
      <c r="K183">
        <v>60.636520385742188</v>
      </c>
      <c r="L183">
        <v>66.829261779785156</v>
      </c>
      <c r="M183">
        <v>2.3707547187805176</v>
      </c>
      <c r="N183">
        <v>7.377631664276123</v>
      </c>
      <c r="O183">
        <v>8.3874740600585938</v>
      </c>
      <c r="P183">
        <v>1667.6513671875</v>
      </c>
      <c r="Q183">
        <v>271.54306030273438</v>
      </c>
    </row>
    <row r="184" spans="1:17" x14ac:dyDescent="0.35">
      <c r="A184" t="s">
        <v>1</v>
      </c>
      <c r="B184" t="s">
        <v>390</v>
      </c>
      <c r="C184" t="s">
        <v>392</v>
      </c>
      <c r="D184" t="s">
        <v>558</v>
      </c>
      <c r="E184">
        <v>16.324262619018555</v>
      </c>
      <c r="F184">
        <v>32.055088043212891</v>
      </c>
      <c r="H184">
        <v>0</v>
      </c>
      <c r="I184">
        <v>3.0237092971801758</v>
      </c>
      <c r="J184">
        <v>2.2442328929901123</v>
      </c>
      <c r="K184">
        <v>16.324262619018555</v>
      </c>
      <c r="L184">
        <v>32.055088043212891</v>
      </c>
      <c r="M184">
        <v>5.2588090896606445</v>
      </c>
      <c r="N184">
        <v>3.0237092971801758</v>
      </c>
      <c r="O184">
        <v>2.2442328929901123</v>
      </c>
      <c r="P184">
        <v>0</v>
      </c>
      <c r="Q184">
        <v>0</v>
      </c>
    </row>
    <row r="185" spans="1:17" x14ac:dyDescent="0.35">
      <c r="A185" t="s">
        <v>20</v>
      </c>
      <c r="B185" t="s">
        <v>259</v>
      </c>
      <c r="C185" t="s">
        <v>261</v>
      </c>
      <c r="D185" t="s">
        <v>558</v>
      </c>
      <c r="E185">
        <v>34.6512451171875</v>
      </c>
      <c r="F185">
        <v>81.223945617675781</v>
      </c>
      <c r="H185">
        <v>1</v>
      </c>
      <c r="I185">
        <v>12.233981132507324</v>
      </c>
      <c r="J185">
        <v>7.1866064071655273</v>
      </c>
      <c r="K185">
        <v>34.6512451171875</v>
      </c>
      <c r="L185">
        <v>81.223945617675781</v>
      </c>
      <c r="N185">
        <v>12.233981132507324</v>
      </c>
      <c r="O185">
        <v>7.1866064071655273</v>
      </c>
      <c r="P185">
        <v>0</v>
      </c>
      <c r="Q185">
        <v>0</v>
      </c>
    </row>
    <row r="186" spans="1:17" x14ac:dyDescent="0.35">
      <c r="A186" t="s">
        <v>20</v>
      </c>
      <c r="B186" t="s">
        <v>459</v>
      </c>
      <c r="C186" t="s">
        <v>461</v>
      </c>
      <c r="D186" t="s">
        <v>558</v>
      </c>
      <c r="E186">
        <v>19.281774520874023</v>
      </c>
      <c r="F186">
        <v>23.75335693359375</v>
      </c>
      <c r="G186">
        <v>6.711270809173584</v>
      </c>
      <c r="H186">
        <v>0</v>
      </c>
      <c r="I186">
        <v>3.9478416442871094</v>
      </c>
      <c r="J186">
        <v>4.0576739311218262</v>
      </c>
      <c r="K186">
        <v>19.281774520874023</v>
      </c>
      <c r="L186">
        <v>23.75335693359375</v>
      </c>
      <c r="M186">
        <v>6.711270809173584</v>
      </c>
      <c r="N186">
        <v>3.9478416442871094</v>
      </c>
      <c r="O186">
        <v>4.0576739311218262</v>
      </c>
      <c r="P186">
        <v>72061.5625</v>
      </c>
      <c r="Q186">
        <v>11733.7578125</v>
      </c>
    </row>
    <row r="187" spans="1:17" x14ac:dyDescent="0.35">
      <c r="A187" t="s">
        <v>1</v>
      </c>
      <c r="B187" t="s">
        <v>59</v>
      </c>
      <c r="C187" t="s">
        <v>61</v>
      </c>
      <c r="D187" t="s">
        <v>558</v>
      </c>
      <c r="E187">
        <v>49.397014617919922</v>
      </c>
      <c r="F187">
        <v>70.568740844726563</v>
      </c>
      <c r="G187">
        <v>1.6032441854476929</v>
      </c>
      <c r="H187">
        <v>0</v>
      </c>
      <c r="I187">
        <v>14.499606132507324</v>
      </c>
      <c r="K187">
        <v>49.397014617919922</v>
      </c>
      <c r="L187">
        <v>70.568740844726563</v>
      </c>
      <c r="M187">
        <v>1.6032441854476929</v>
      </c>
      <c r="N187">
        <v>14.499606132507324</v>
      </c>
      <c r="O187">
        <v>5.9551897048950195</v>
      </c>
      <c r="P187">
        <v>976.6253662109375</v>
      </c>
      <c r="Q187">
        <v>207.99215698242188</v>
      </c>
    </row>
    <row r="188" spans="1:17" x14ac:dyDescent="0.35">
      <c r="A188" t="s">
        <v>20</v>
      </c>
      <c r="B188" t="s">
        <v>40</v>
      </c>
      <c r="C188" t="s">
        <v>42</v>
      </c>
      <c r="D188" t="s">
        <v>558</v>
      </c>
      <c r="E188">
        <v>41.568225860595703</v>
      </c>
      <c r="F188">
        <v>85.377571105957031</v>
      </c>
      <c r="G188">
        <v>3.8738317489624023</v>
      </c>
      <c r="H188">
        <v>0</v>
      </c>
      <c r="I188">
        <v>7.3130841255187988</v>
      </c>
      <c r="J188">
        <v>7.1831774711608887</v>
      </c>
      <c r="K188">
        <v>41.568225860595703</v>
      </c>
      <c r="L188">
        <v>85.377571105957031</v>
      </c>
      <c r="M188">
        <v>3.8738317489624023</v>
      </c>
      <c r="N188">
        <v>7.3130841255187988</v>
      </c>
      <c r="O188">
        <v>7.1831774711608887</v>
      </c>
      <c r="P188">
        <v>0</v>
      </c>
      <c r="Q188">
        <v>0</v>
      </c>
    </row>
    <row r="189" spans="1:17" x14ac:dyDescent="0.35">
      <c r="A189" t="s">
        <v>1</v>
      </c>
      <c r="B189" t="s">
        <v>256</v>
      </c>
      <c r="C189" t="s">
        <v>258</v>
      </c>
      <c r="D189" t="s">
        <v>558</v>
      </c>
      <c r="E189">
        <v>33.004756927490234</v>
      </c>
      <c r="F189">
        <v>38.016426086425781</v>
      </c>
      <c r="H189">
        <v>1</v>
      </c>
      <c r="I189">
        <v>11.511324882507324</v>
      </c>
      <c r="J189">
        <v>11.947121620178223</v>
      </c>
      <c r="K189">
        <v>33.004756927490234</v>
      </c>
      <c r="L189">
        <v>38.016426086425781</v>
      </c>
      <c r="N189">
        <v>11.511324882507324</v>
      </c>
      <c r="O189">
        <v>11.947121620178223</v>
      </c>
      <c r="P189">
        <v>0</v>
      </c>
      <c r="Q189">
        <v>0</v>
      </c>
    </row>
    <row r="190" spans="1:17" x14ac:dyDescent="0.35">
      <c r="A190" t="s">
        <v>20</v>
      </c>
      <c r="B190" t="s">
        <v>346</v>
      </c>
      <c r="C190" t="s">
        <v>348</v>
      </c>
      <c r="D190" t="s">
        <v>558</v>
      </c>
      <c r="E190">
        <v>50.76239013671875</v>
      </c>
      <c r="F190">
        <v>96.661231994628906</v>
      </c>
      <c r="G190">
        <v>4.1656088829040527</v>
      </c>
      <c r="H190">
        <v>0</v>
      </c>
      <c r="I190">
        <v>14.03229808807373</v>
      </c>
      <c r="J190">
        <v>12.665802001953125</v>
      </c>
      <c r="K190">
        <v>50.76239013671875</v>
      </c>
      <c r="L190">
        <v>96.661231994628906</v>
      </c>
      <c r="M190">
        <v>4.1656088829040527</v>
      </c>
      <c r="N190">
        <v>14.03229808807373</v>
      </c>
      <c r="O190">
        <v>12.665802001953125</v>
      </c>
      <c r="P190">
        <v>0</v>
      </c>
      <c r="Q190">
        <v>0</v>
      </c>
    </row>
    <row r="191" spans="1:17" x14ac:dyDescent="0.35">
      <c r="A191" t="s">
        <v>4</v>
      </c>
      <c r="B191" t="s">
        <v>177</v>
      </c>
      <c r="C191" t="s">
        <v>179</v>
      </c>
      <c r="D191" t="s">
        <v>558</v>
      </c>
      <c r="E191">
        <v>22.070655822753906</v>
      </c>
      <c r="F191">
        <v>15.131043434143066</v>
      </c>
      <c r="G191">
        <v>1.6036369800567627</v>
      </c>
      <c r="H191">
        <v>0</v>
      </c>
      <c r="I191">
        <v>10.206419944763184</v>
      </c>
      <c r="J191">
        <v>12.928229331970215</v>
      </c>
      <c r="K191">
        <v>22.070655822753906</v>
      </c>
      <c r="L191">
        <v>15.131043434143066</v>
      </c>
      <c r="M191">
        <v>1.6036369800567627</v>
      </c>
      <c r="N191">
        <v>10.206419944763184</v>
      </c>
      <c r="O191">
        <v>12.928229331970215</v>
      </c>
      <c r="P191">
        <v>17547.57421875</v>
      </c>
      <c r="Q191">
        <v>5267.9560546875</v>
      </c>
    </row>
    <row r="192" spans="1:17" x14ac:dyDescent="0.35">
      <c r="A192" t="s">
        <v>20</v>
      </c>
      <c r="B192" t="s">
        <v>340</v>
      </c>
      <c r="C192" t="s">
        <v>342</v>
      </c>
      <c r="D192" t="s">
        <v>558</v>
      </c>
      <c r="E192">
        <v>34.047256469726563</v>
      </c>
      <c r="F192">
        <v>42.243618011474609</v>
      </c>
      <c r="G192">
        <v>2.0994570255279541</v>
      </c>
      <c r="H192">
        <v>0</v>
      </c>
      <c r="I192">
        <v>7.125429630279541</v>
      </c>
      <c r="J192">
        <v>8.7159271240234375</v>
      </c>
      <c r="K192">
        <v>34.047256469726563</v>
      </c>
      <c r="L192">
        <v>42.243618011474609</v>
      </c>
      <c r="M192">
        <v>2.0994570255279541</v>
      </c>
      <c r="N192">
        <v>7.125429630279541</v>
      </c>
      <c r="O192">
        <v>8.7159271240234375</v>
      </c>
      <c r="P192">
        <v>386.73733520507813</v>
      </c>
      <c r="Q192">
        <v>62.972301483154297</v>
      </c>
    </row>
    <row r="193" spans="1:17" x14ac:dyDescent="0.35">
      <c r="A193" t="s">
        <v>25</v>
      </c>
      <c r="B193" t="s">
        <v>232</v>
      </c>
      <c r="C193" t="s">
        <v>234</v>
      </c>
      <c r="D193" t="s">
        <v>558</v>
      </c>
      <c r="E193">
        <v>3.7842707633972168</v>
      </c>
      <c r="F193">
        <v>37.709613800048828</v>
      </c>
      <c r="G193">
        <v>16.858415603637695</v>
      </c>
      <c r="H193">
        <v>0</v>
      </c>
      <c r="I193">
        <v>0.74662399291992188</v>
      </c>
      <c r="J193">
        <v>2.1605391502380371</v>
      </c>
      <c r="K193">
        <v>3.7842707633972168</v>
      </c>
      <c r="L193">
        <v>37.709613800048828</v>
      </c>
      <c r="M193">
        <v>16.858415603637695</v>
      </c>
      <c r="N193">
        <v>0.74662399291992188</v>
      </c>
      <c r="O193">
        <v>2.1605391502380371</v>
      </c>
      <c r="P193">
        <v>3396.88427734375</v>
      </c>
      <c r="Q193">
        <v>1046.9124755859375</v>
      </c>
    </row>
    <row r="194" spans="1:17" x14ac:dyDescent="0.35">
      <c r="A194" t="s">
        <v>20</v>
      </c>
      <c r="B194" t="s">
        <v>281</v>
      </c>
      <c r="C194" t="s">
        <v>283</v>
      </c>
      <c r="D194" t="s">
        <v>558</v>
      </c>
      <c r="E194">
        <v>34.722614288330078</v>
      </c>
      <c r="F194">
        <v>62.452430725097656</v>
      </c>
      <c r="G194">
        <v>3.6208679676055908</v>
      </c>
      <c r="H194">
        <v>0</v>
      </c>
      <c r="I194">
        <v>9.8291482925415039</v>
      </c>
      <c r="J194">
        <v>7.1738448143005371</v>
      </c>
      <c r="K194">
        <v>34.722614288330078</v>
      </c>
      <c r="L194">
        <v>62.452430725097656</v>
      </c>
      <c r="M194">
        <v>3.6208679676055908</v>
      </c>
      <c r="N194">
        <v>9.8291482925415039</v>
      </c>
      <c r="O194">
        <v>7.1738448143005371</v>
      </c>
      <c r="P194">
        <v>30.911581039428711</v>
      </c>
      <c r="Q194">
        <v>5.0333213806152344</v>
      </c>
    </row>
    <row r="195" spans="1:17" x14ac:dyDescent="0.35">
      <c r="A195" t="s">
        <v>25</v>
      </c>
      <c r="B195" t="s">
        <v>417</v>
      </c>
      <c r="C195" t="s">
        <v>419</v>
      </c>
      <c r="D195" t="s">
        <v>558</v>
      </c>
      <c r="E195">
        <v>22.508466720581055</v>
      </c>
      <c r="F195">
        <v>229.46835327148438</v>
      </c>
      <c r="H195">
        <v>1</v>
      </c>
      <c r="I195">
        <v>4.2970709800720215</v>
      </c>
      <c r="J195">
        <v>12.77112865447998</v>
      </c>
      <c r="K195">
        <v>22.508466720581055</v>
      </c>
      <c r="L195">
        <v>229.46835327148438</v>
      </c>
      <c r="N195">
        <v>4.2970709800720215</v>
      </c>
      <c r="O195">
        <v>12.77112865447998</v>
      </c>
      <c r="P195">
        <v>0</v>
      </c>
      <c r="Q19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83E7-AC38-48A4-88A9-1697BB7EC556}">
  <dimension ref="A1:Q205"/>
  <sheetViews>
    <sheetView topLeftCell="B1" workbookViewId="0">
      <selection activeCell="D2" sqref="D2"/>
    </sheetView>
  </sheetViews>
  <sheetFormatPr defaultRowHeight="14.5" x14ac:dyDescent="0.35"/>
  <cols>
    <col min="1" max="1" width="18.7265625" customWidth="1"/>
    <col min="9" max="9" width="11.54296875" bestFit="1" customWidth="1"/>
    <col min="10" max="10" width="18.7265625" customWidth="1"/>
    <col min="11" max="11" width="11.54296875" customWidth="1"/>
    <col min="13" max="13" width="9.453125" bestFit="1" customWidth="1"/>
  </cols>
  <sheetData>
    <row r="1" spans="1:16" x14ac:dyDescent="0.35">
      <c r="A1" t="s">
        <v>545</v>
      </c>
      <c r="B1" t="s">
        <v>544</v>
      </c>
      <c r="C1" t="s">
        <v>548</v>
      </c>
      <c r="D1" t="str">
        <f>'Raw HWF'!K1</f>
        <v>emeddensity2020</v>
      </c>
      <c r="E1" t="str">
        <f>'Raw HWF'!L1</f>
        <v>enurdensity2020</v>
      </c>
      <c r="F1" t="str">
        <f>'Raw HWF'!M1</f>
        <v>emiddensity2020</v>
      </c>
      <c r="G1" t="str">
        <f>'Raw HWF'!N1</f>
        <v>edendensity2020</v>
      </c>
      <c r="H1" t="str">
        <f>'Raw HWF'!O1</f>
        <v>ephadensity2020</v>
      </c>
      <c r="I1" t="str">
        <f>'Raw HWF'!P1</f>
        <v>Shortage2020</v>
      </c>
      <c r="J1" t="s">
        <v>843</v>
      </c>
      <c r="K1" t="s">
        <v>842</v>
      </c>
      <c r="L1" t="s">
        <v>784</v>
      </c>
      <c r="M1" t="s">
        <v>783</v>
      </c>
      <c r="N1" t="s">
        <v>782</v>
      </c>
      <c r="O1" t="s">
        <v>805</v>
      </c>
      <c r="P1" t="s">
        <v>806</v>
      </c>
    </row>
    <row r="2" spans="1:16" x14ac:dyDescent="0.35">
      <c r="A2" t="str">
        <f>VLOOKUP(B2,'Reference table'!J$2:K$195,2,FALSE)</f>
        <v>Afghanistan</v>
      </c>
      <c r="B2" t="s">
        <v>114</v>
      </c>
      <c r="C2" t="str">
        <f>VLOOKUP(B2,'Reference table'!C$1:E$195,3,FALSE)</f>
        <v>LIN</v>
      </c>
      <c r="D2" s="2">
        <f>VLOOKUP($B2,'Raw HWF'!$C$2:$Q$195,9,FALSE)</f>
        <v>2.5398457050323486</v>
      </c>
      <c r="E2" s="2">
        <f>VLOOKUP($B2,'Raw HWF'!$C$2:$Q$195,10,FALSE)</f>
        <v>3.0868279933929443</v>
      </c>
      <c r="F2" s="2">
        <f>VLOOKUP($B2,'Raw HWF'!$C$2:$Q$195,11,FALSE)</f>
        <v>1.3704301118850708</v>
      </c>
      <c r="G2" s="2">
        <f>VLOOKUP($B2,'Raw HWF'!$C$2:$Q$195,12,FALSE)</f>
        <v>0.70973682403564453</v>
      </c>
      <c r="H2" s="2">
        <f>VLOOKUP($B2,'Raw HWF'!$C$2:$Q$195,13,FALSE)</f>
        <v>0.28844085335731506</v>
      </c>
      <c r="I2" s="5">
        <f>VLOOKUP($B2,'Raw HWF'!$C$2:$Q$195,14,FALSE)</f>
        <v>240155.875</v>
      </c>
      <c r="J2" s="5">
        <f>VLOOKUP(B2,'Pop2020'!$D$2:$E$202,2,FALSE)</f>
        <v>38928346</v>
      </c>
      <c r="K2" s="6">
        <f>I2/((L2/10000)*J2)</f>
        <v>7.7160228532776038</v>
      </c>
      <c r="L2" s="2">
        <f>SUM(D2:H2)</f>
        <v>7.9952814877033234</v>
      </c>
      <c r="M2" s="3">
        <f>SUM(D2:F2)</f>
        <v>6.9971038103103638</v>
      </c>
      <c r="N2">
        <f>VLOOKUP(B2,UHC!$G$2:$X$195,18,FALSE)</f>
        <v>37.33</v>
      </c>
      <c r="O2">
        <f>VLOOKUP(B2,'Covid-19 impact - vaccination'!$B$2:$D$195,2,FALSE)</f>
        <v>9.8226264224018145E-2</v>
      </c>
      <c r="P2">
        <f>VLOOKUP(B2,'Covid-19 impact - vaccination'!$B$2:$D$195,3,FALSE)</f>
        <v>0.2947177746389591</v>
      </c>
    </row>
    <row r="3" spans="1:16" x14ac:dyDescent="0.35">
      <c r="A3" t="str">
        <f>VLOOKUP(B3,'Reference table'!J$2:K$195,2,FALSE)</f>
        <v>Angola</v>
      </c>
      <c r="B3" t="s">
        <v>216</v>
      </c>
      <c r="C3" t="str">
        <f>VLOOKUP(B3,'Reference table'!C$1:E$195,3,FALSE)</f>
        <v>LMI</v>
      </c>
      <c r="D3" s="2">
        <f>VLOOKUP($B3,'Raw HWF'!$C$2:$Q$195,9,FALSE)</f>
        <v>2.1405844688415527</v>
      </c>
      <c r="E3" s="2">
        <f>VLOOKUP($B3,'Raw HWF'!$C$2:$Q$195,10,FALSE)</f>
        <v>4.0759739875793457</v>
      </c>
      <c r="F3" s="2">
        <f>VLOOKUP($B3,'Raw HWF'!$C$2:$Q$195,11,FALSE)</f>
        <v>0</v>
      </c>
      <c r="G3" s="2">
        <f>VLOOKUP($B3,'Raw HWF'!$C$2:$Q$195,12,FALSE)</f>
        <v>0.53636366128921509</v>
      </c>
      <c r="H3" s="2">
        <f>VLOOKUP($B3,'Raw HWF'!$C$2:$Q$195,13,FALSE)</f>
        <v>0.7474026083946228</v>
      </c>
      <c r="I3" s="5">
        <f>VLOOKUP($B3,'Raw HWF'!$C$2:$Q$195,14,FALSE)</f>
        <v>189665.453125</v>
      </c>
      <c r="J3" s="5">
        <f>VLOOKUP(B3,'Pop2020'!$D$2:$E$202,2,FALSE)</f>
        <v>32866272.000000004</v>
      </c>
      <c r="K3" s="6">
        <f t="shared" ref="K3:K66" si="0">I3/((L3/10000)*J3)</f>
        <v>7.6940981348374251</v>
      </c>
      <c r="L3" s="2">
        <f t="shared" ref="L3:L66" si="1">SUM(D3:H3)</f>
        <v>7.5003247261047363</v>
      </c>
      <c r="M3" s="3">
        <f t="shared" ref="M3:M66" si="2">SUM(D3:F3)</f>
        <v>6.2165584564208984</v>
      </c>
      <c r="N3">
        <f>VLOOKUP(B3,UHC!$G$2:$X$195,18,FALSE)</f>
        <v>38.69</v>
      </c>
      <c r="O3">
        <f>VLOOKUP(B3,'Covid-19 impact - vaccination'!$B$2:$D$195,2,FALSE)</f>
        <v>0.13110339986232694</v>
      </c>
      <c r="P3">
        <f>VLOOKUP(B3,'Covid-19 impact - vaccination'!$B$2:$D$195,3,FALSE)</f>
        <v>0.35992832995539742</v>
      </c>
    </row>
    <row r="4" spans="1:16" x14ac:dyDescent="0.35">
      <c r="A4" t="str">
        <f>VLOOKUP(B4,'Reference table'!J$2:K$195,2,FALSE)</f>
        <v>Albania</v>
      </c>
      <c r="B4" t="s">
        <v>213</v>
      </c>
      <c r="C4" t="str">
        <f>VLOOKUP(B4,'Reference table'!C$1:E$195,3,FALSE)</f>
        <v>LMI</v>
      </c>
      <c r="D4" s="2">
        <f>VLOOKUP($B4,'Raw HWF'!$C$2:$Q$195,9,FALSE)</f>
        <v>18.753910064697266</v>
      </c>
      <c r="E4" s="2">
        <f>VLOOKUP($B4,'Raw HWF'!$C$2:$Q$195,10,FALSE)</f>
        <v>54.527763366699219</v>
      </c>
      <c r="F4" s="2">
        <f>VLOOKUP($B4,'Raw HWF'!$C$2:$Q$195,11,FALSE)</f>
        <v>5.9316143989562988</v>
      </c>
      <c r="G4" s="2">
        <f>VLOOKUP($B4,'Raw HWF'!$C$2:$Q$195,12,FALSE)</f>
        <v>10.313122749328613</v>
      </c>
      <c r="H4" s="2">
        <f>VLOOKUP($B4,'Raw HWF'!$C$2:$Q$195,13,FALSE)</f>
        <v>10.840399742126465</v>
      </c>
      <c r="I4" s="5">
        <f>VLOOKUP($B4,'Raw HWF'!$C$2:$Q$195,14,FALSE)</f>
        <v>0</v>
      </c>
      <c r="J4" s="5">
        <f>VLOOKUP(B4,'Pop2020'!$D$2:$E$202,2,FALSE)</f>
        <v>2877797</v>
      </c>
      <c r="K4" s="6">
        <f t="shared" si="0"/>
        <v>0</v>
      </c>
      <c r="L4" s="2">
        <f t="shared" si="1"/>
        <v>100.36681032180786</v>
      </c>
      <c r="M4" s="3">
        <f t="shared" si="2"/>
        <v>79.213287830352783</v>
      </c>
      <c r="N4">
        <f>VLOOKUP(B4,UHC!$G$2:$X$195,18,FALSE)</f>
        <v>62.16</v>
      </c>
      <c r="O4">
        <f>VLOOKUP(B4,'Covid-19 impact - vaccination'!$B$2:$D$195,2,FALSE)</f>
        <v>0.36799569115296404</v>
      </c>
      <c r="P4">
        <f>VLOOKUP(B4,'Covid-19 impact - vaccination'!$B$2:$D$195,3,FALSE)</f>
        <v>1.2851644174109948E-2</v>
      </c>
    </row>
    <row r="5" spans="1:16" x14ac:dyDescent="0.35">
      <c r="A5" t="str">
        <f>VLOOKUP(B5,'Reference table'!J$2:K$195,2,FALSE)</f>
        <v>Andorra</v>
      </c>
      <c r="B5" t="s">
        <v>205</v>
      </c>
      <c r="C5" t="str">
        <f>VLOOKUP(B5,'Reference table'!C$1:E$195,3,FALSE)</f>
        <v>HIN</v>
      </c>
      <c r="D5" s="2">
        <f>VLOOKUP($B5,'Raw HWF'!$C$2:$Q$195,9,FALSE)</f>
        <v>33.336326599121094</v>
      </c>
      <c r="E5" s="2">
        <f>VLOOKUP($B5,'Raw HWF'!$C$2:$Q$195,10,FALSE)</f>
        <v>37.952125549316406</v>
      </c>
      <c r="F5" s="2">
        <f>VLOOKUP($B5,'Raw HWF'!$C$2:$Q$195,11,FALSE)</f>
        <v>2.179682731628418</v>
      </c>
      <c r="G5" s="2">
        <f>VLOOKUP($B5,'Raw HWF'!$C$2:$Q$195,12,FALSE)</f>
        <v>8.2058649063110352</v>
      </c>
      <c r="H5" s="2">
        <f>VLOOKUP($B5,'Raw HWF'!$C$2:$Q$195,13,FALSE)</f>
        <v>10.129114151000977</v>
      </c>
      <c r="I5" s="5">
        <f>VLOOKUP($B5,'Raw HWF'!$C$2:$Q$195,14,FALSE)</f>
        <v>15.10159969329834</v>
      </c>
      <c r="J5" s="5">
        <v>77265</v>
      </c>
      <c r="K5" s="6">
        <f t="shared" si="0"/>
        <v>2.1290346638313553E-2</v>
      </c>
      <c r="L5" s="2">
        <f t="shared" si="1"/>
        <v>91.80311393737793</v>
      </c>
      <c r="M5" s="3">
        <f t="shared" si="2"/>
        <v>73.468134880065918</v>
      </c>
      <c r="N5">
        <f>VLOOKUP(B5,UHC!$G$2:$X$195,18,FALSE)</f>
        <v>77.16</v>
      </c>
      <c r="O5">
        <f>VLOOKUP(B5,'Covid-19 impact - vaccination'!$B$2:$D$195,2,FALSE)</f>
        <v>0.6651394551219828</v>
      </c>
      <c r="P5">
        <f>VLOOKUP(B5,'Covid-19 impact - vaccination'!$B$2:$D$195,3,FALSE)</f>
        <v>0</v>
      </c>
    </row>
    <row r="6" spans="1:16" x14ac:dyDescent="0.35">
      <c r="A6" t="str">
        <f>VLOOKUP(B6,'Reference table'!J$2:K$195,2,FALSE)</f>
        <v>United Arab Emirates</v>
      </c>
      <c r="B6" t="s">
        <v>534</v>
      </c>
      <c r="C6" t="str">
        <f>VLOOKUP(B6,'Reference table'!C$1:E$195,3,FALSE)</f>
        <v>HIN</v>
      </c>
      <c r="D6" s="2">
        <f>VLOOKUP($B6,'Raw HWF'!$C$2:$Q$195,9,FALSE)</f>
        <v>26.010881423950195</v>
      </c>
      <c r="E6" s="2">
        <f>VLOOKUP($B6,'Raw HWF'!$C$2:$Q$195,10,FALSE)</f>
        <v>57.4605712890625</v>
      </c>
      <c r="F6" s="2">
        <f>VLOOKUP($B6,'Raw HWF'!$C$2:$Q$195,11,FALSE)</f>
        <v>5.1814961433410645</v>
      </c>
      <c r="G6" s="2">
        <f>VLOOKUP($B6,'Raw HWF'!$C$2:$Q$195,12,FALSE)</f>
        <v>6.7304463386535645</v>
      </c>
      <c r="H6" s="2">
        <f>VLOOKUP($B6,'Raw HWF'!$C$2:$Q$195,13,FALSE)</f>
        <v>12.10477352142334</v>
      </c>
      <c r="I6" s="5">
        <f>VLOOKUP($B6,'Raw HWF'!$C$2:$Q$195,14,FALSE)</f>
        <v>0</v>
      </c>
      <c r="J6" s="5">
        <f>VLOOKUP(B6,'Pop2020'!$D$2:$E$202,2,FALSE)</f>
        <v>9890402</v>
      </c>
      <c r="K6" s="6">
        <f t="shared" si="0"/>
        <v>0</v>
      </c>
      <c r="L6" s="2">
        <f t="shared" si="1"/>
        <v>107.48816871643066</v>
      </c>
      <c r="M6" s="3">
        <f t="shared" si="2"/>
        <v>88.65294885635376</v>
      </c>
      <c r="N6">
        <f>VLOOKUP(B6,UHC!$G$2:$X$195,18,FALSE)</f>
        <v>77.83</v>
      </c>
      <c r="O6">
        <f>VLOOKUP(B6,'Covid-19 impact - vaccination'!$B$2:$D$195,2,FALSE)</f>
        <v>0</v>
      </c>
      <c r="P6">
        <f>VLOOKUP(B6,'Covid-19 impact - vaccination'!$B$2:$D$195,3,FALSE)</f>
        <v>0</v>
      </c>
    </row>
    <row r="7" spans="1:16" x14ac:dyDescent="0.35">
      <c r="A7" t="str">
        <f>VLOOKUP(B7,'Reference table'!J$2:K$195,2,FALSE)</f>
        <v>Argentina</v>
      </c>
      <c r="B7" t="s">
        <v>10</v>
      </c>
      <c r="C7" t="str">
        <f>VLOOKUP(B7,'Reference table'!C$1:E$195,3,FALSE)</f>
        <v>UMI</v>
      </c>
      <c r="D7" s="2">
        <f>VLOOKUP($B7,'Raw HWF'!$C$2:$Q$195,9,FALSE)</f>
        <v>40.591815948486328</v>
      </c>
      <c r="E7" s="2">
        <f>VLOOKUP($B7,'Raw HWF'!$C$2:$Q$195,10,FALSE)</f>
        <v>26.017995834350586</v>
      </c>
      <c r="F7" s="2">
        <f>VLOOKUP($B7,'Raw HWF'!$C$2:$Q$195,11,FALSE)</f>
        <v>0</v>
      </c>
      <c r="G7" s="2">
        <f>VLOOKUP($B7,'Raw HWF'!$C$2:$Q$195,12,FALSE)</f>
        <v>15.333107948303223</v>
      </c>
      <c r="H7" s="2">
        <f>VLOOKUP($B7,'Raw HWF'!$C$2:$Q$195,13,FALSE)</f>
        <v>5.0675325393676758</v>
      </c>
      <c r="I7" s="5">
        <f>VLOOKUP($B7,'Raw HWF'!$C$2:$Q$195,14,FALSE)</f>
        <v>28093.490234375</v>
      </c>
      <c r="J7" s="5">
        <f>VLOOKUP(B7,'Pop2020'!$D$2:$E$202,2,FALSE)</f>
        <v>45195774</v>
      </c>
      <c r="K7" s="6">
        <f t="shared" si="0"/>
        <v>7.1439177107502944E-2</v>
      </c>
      <c r="L7" s="2">
        <f t="shared" si="1"/>
        <v>87.010452270507813</v>
      </c>
      <c r="M7" s="3">
        <f t="shared" si="2"/>
        <v>66.609811782836914</v>
      </c>
      <c r="N7">
        <f>VLOOKUP(B7,UHC!$G$2:$X$195,18,FALSE)</f>
        <v>73.41</v>
      </c>
      <c r="O7">
        <f>VLOOKUP(B7,'Covid-19 impact - vaccination'!$B$2:$D$195,2,FALSE)</f>
        <v>0.73420592376623528</v>
      </c>
      <c r="P7">
        <f>VLOOKUP(B7,'Covid-19 impact - vaccination'!$B$2:$D$195,3,FALSE)</f>
        <v>0</v>
      </c>
    </row>
    <row r="8" spans="1:16" x14ac:dyDescent="0.35">
      <c r="A8" t="str">
        <f>VLOOKUP(B8,'Reference table'!J$2:K$195,2,FALSE)</f>
        <v>Armenia</v>
      </c>
      <c r="B8" t="s">
        <v>219</v>
      </c>
      <c r="C8" t="str">
        <f>VLOOKUP(B8,'Reference table'!C$1:E$195,3,FALSE)</f>
        <v>LMI</v>
      </c>
      <c r="D8" s="2">
        <f>VLOOKUP($B8,'Raw HWF'!$C$2:$Q$195,9,FALSE)</f>
        <v>44.023529052734375</v>
      </c>
      <c r="E8" s="2">
        <f>VLOOKUP($B8,'Raw HWF'!$C$2:$Q$195,10,FALSE)</f>
        <v>45.331508636474609</v>
      </c>
      <c r="F8" s="2">
        <f>VLOOKUP($B8,'Raw HWF'!$C$2:$Q$195,11,FALSE)</f>
        <v>4.0342450141906738</v>
      </c>
      <c r="G8" s="2">
        <f>VLOOKUP($B8,'Raw HWF'!$C$2:$Q$195,12,FALSE)</f>
        <v>5.5623679161071777</v>
      </c>
      <c r="H8" s="2">
        <f>VLOOKUP($B8,'Raw HWF'!$C$2:$Q$195,13,FALSE)</f>
        <v>0.48879548907279968</v>
      </c>
      <c r="I8" s="5">
        <f>VLOOKUP($B8,'Raw HWF'!$C$2:$Q$195,14,FALSE)</f>
        <v>516.68658447265625</v>
      </c>
      <c r="J8" s="5">
        <f>VLOOKUP(B8,'Pop2020'!$D$2:$E$202,2,FALSE)</f>
        <v>2963243</v>
      </c>
      <c r="K8" s="6">
        <f t="shared" si="0"/>
        <v>1.7534640017015119E-2</v>
      </c>
      <c r="L8" s="2">
        <f t="shared" si="1"/>
        <v>99.440446108579636</v>
      </c>
      <c r="M8" s="3">
        <f t="shared" si="2"/>
        <v>93.389282703399658</v>
      </c>
      <c r="N8">
        <f>VLOOKUP(B8,UHC!$G$2:$X$195,18,FALSE)</f>
        <v>69.260000000000005</v>
      </c>
      <c r="O8">
        <f>VLOOKUP(B8,'Covid-19 impact - vaccination'!$B$2:$D$195,2,FALSE)</f>
        <v>0.23971377218268958</v>
      </c>
      <c r="P8">
        <f>VLOOKUP(B8,'Covid-19 impact - vaccination'!$B$2:$D$195,3,FALSE)</f>
        <v>1.9861468093974918E-2</v>
      </c>
    </row>
    <row r="9" spans="1:16" x14ac:dyDescent="0.35">
      <c r="A9" t="str">
        <f>VLOOKUP(B9,'Reference table'!J$2:K$195,2,FALSE)</f>
        <v>Antigua and Barbuda</v>
      </c>
      <c r="B9" t="s">
        <v>3</v>
      </c>
      <c r="C9" t="str">
        <f>VLOOKUP(B9,'Reference table'!C$1:E$195,3,FALSE)</f>
        <v>UMI</v>
      </c>
      <c r="D9" s="2">
        <f>VLOOKUP($B9,'Raw HWF'!$C$2:$Q$195,9,FALSE)</f>
        <v>27.665706634521484</v>
      </c>
      <c r="E9" s="2">
        <f>VLOOKUP($B9,'Raw HWF'!$C$2:$Q$195,10,FALSE)</f>
        <v>62.812129974365234</v>
      </c>
      <c r="F9" s="2">
        <f>VLOOKUP($B9,'Raw HWF'!$C$2:$Q$195,11,FALSE)</f>
        <v>28.008031845092773</v>
      </c>
      <c r="G9" s="2">
        <f>VLOOKUP($B9,'Raw HWF'!$C$2:$Q$195,12,FALSE)</f>
        <v>0.43214279413223267</v>
      </c>
      <c r="H9" s="2">
        <f>VLOOKUP($B9,'Raw HWF'!$C$2:$Q$195,13,FALSE)</f>
        <v>1.7850979566574097</v>
      </c>
      <c r="I9" s="5">
        <f>VLOOKUP($B9,'Raw HWF'!$C$2:$Q$195,14,FALSE)</f>
        <v>17.632698059082031</v>
      </c>
      <c r="J9" s="5">
        <f>VLOOKUP(B9,'Pop2020'!$D$2:$E$202,2,FALSE)</f>
        <v>97929.000000000029</v>
      </c>
      <c r="K9" s="6">
        <f t="shared" si="0"/>
        <v>1.4917257747180441E-2</v>
      </c>
      <c r="L9" s="2">
        <f t="shared" si="1"/>
        <v>120.70310920476913</v>
      </c>
      <c r="M9" s="3">
        <f t="shared" si="2"/>
        <v>118.48586845397949</v>
      </c>
      <c r="N9">
        <f>VLOOKUP(B9,UHC!$G$2:$X$195,18,FALSE)</f>
        <v>72.33</v>
      </c>
      <c r="O9">
        <f>VLOOKUP(B9,'Covid-19 impact - vaccination'!$B$2:$D$195,2,FALSE)</f>
        <v>0.60302872489252413</v>
      </c>
      <c r="P9">
        <f>VLOOKUP(B9,'Covid-19 impact - vaccination'!$B$2:$D$195,3,FALSE)</f>
        <v>6.5069573052676201E-3</v>
      </c>
    </row>
    <row r="10" spans="1:16" x14ac:dyDescent="0.35">
      <c r="A10" t="str">
        <f>VLOOKUP(B10,'Reference table'!J$2:K$195,2,FALSE)</f>
        <v>Australia</v>
      </c>
      <c r="B10" t="s">
        <v>12</v>
      </c>
      <c r="C10" t="str">
        <f>VLOOKUP(B10,'Reference table'!C$1:E$195,3,FALSE)</f>
        <v>HIN</v>
      </c>
      <c r="D10" s="2">
        <f>VLOOKUP($B10,'Raw HWF'!$C$2:$Q$195,9,FALSE)</f>
        <v>41.291374206542969</v>
      </c>
      <c r="E10" s="2">
        <f>VLOOKUP($B10,'Raw HWF'!$C$2:$Q$195,10,FALSE)</f>
        <v>122.97856903076172</v>
      </c>
      <c r="F10" s="2">
        <f>VLOOKUP($B10,'Raw HWF'!$C$2:$Q$195,11,FALSE)</f>
        <v>8.4265871047973633</v>
      </c>
      <c r="G10" s="2">
        <f>VLOOKUP($B10,'Raw HWF'!$C$2:$Q$195,12,FALSE)</f>
        <v>6.1575398445129395</v>
      </c>
      <c r="H10" s="2">
        <f>VLOOKUP($B10,'Raw HWF'!$C$2:$Q$195,13,FALSE)</f>
        <v>8.9678573608398438</v>
      </c>
      <c r="I10" s="5">
        <f>VLOOKUP($B10,'Raw HWF'!$C$2:$Q$195,14,FALSE)</f>
        <v>0</v>
      </c>
      <c r="J10" s="5">
        <f>VLOOKUP(B10,'Pop2020'!$D$2:$E$202,2,FALSE)</f>
        <v>25499883.999999996</v>
      </c>
      <c r="K10" s="6">
        <f t="shared" si="0"/>
        <v>0</v>
      </c>
      <c r="L10" s="2">
        <f t="shared" si="1"/>
        <v>187.82192754745483</v>
      </c>
      <c r="M10" s="3">
        <f t="shared" si="2"/>
        <v>172.69653034210205</v>
      </c>
      <c r="N10">
        <f>VLOOKUP(B10,UHC!$G$2:$X$195,18,FALSE)</f>
        <v>87.15</v>
      </c>
      <c r="O10">
        <f>VLOOKUP(B10,'Covid-19 impact - vaccination'!$B$2:$D$195,2,FALSE)</f>
        <v>0.78025276507140184</v>
      </c>
      <c r="P10">
        <f>VLOOKUP(B10,'Covid-19 impact - vaccination'!$B$2:$D$195,3,FALSE)</f>
        <v>0</v>
      </c>
    </row>
    <row r="11" spans="1:16" x14ac:dyDescent="0.35">
      <c r="A11" t="str">
        <f>VLOOKUP(B11,'Reference table'!J$2:K$195,2,FALSE)</f>
        <v>Austria</v>
      </c>
      <c r="B11" t="s">
        <v>222</v>
      </c>
      <c r="C11" t="str">
        <f>VLOOKUP(B11,'Reference table'!C$1:E$195,3,FALSE)</f>
        <v>HIN</v>
      </c>
      <c r="D11" s="2">
        <f>VLOOKUP($B11,'Raw HWF'!$C$2:$Q$195,9,FALSE)</f>
        <v>52.933467864990234</v>
      </c>
      <c r="E11" s="2">
        <f>VLOOKUP($B11,'Raw HWF'!$C$2:$Q$195,10,FALSE)</f>
        <v>102.86308288574219</v>
      </c>
      <c r="F11" s="2">
        <f>VLOOKUP($B11,'Raw HWF'!$C$2:$Q$195,11,FALSE)</f>
        <v>2.774693489074707</v>
      </c>
      <c r="G11" s="2">
        <f>VLOOKUP($B11,'Raw HWF'!$C$2:$Q$195,12,FALSE)</f>
        <v>5.7492451667785645</v>
      </c>
      <c r="H11" s="2">
        <f>VLOOKUP($B11,'Raw HWF'!$C$2:$Q$195,13,FALSE)</f>
        <v>7.2348551750183105</v>
      </c>
      <c r="I11" s="5">
        <f>VLOOKUP($B11,'Raw HWF'!$C$2:$Q$195,14,FALSE)</f>
        <v>1120.19775390625</v>
      </c>
      <c r="J11" s="5">
        <f>VLOOKUP(B11,'Pop2020'!$D$2:$E$202,2,FALSE)</f>
        <v>9006397.9999999981</v>
      </c>
      <c r="K11" s="6">
        <f t="shared" si="0"/>
        <v>7.2500217621966597E-3</v>
      </c>
      <c r="L11" s="2">
        <f t="shared" si="1"/>
        <v>171.555344581604</v>
      </c>
      <c r="M11" s="3">
        <f t="shared" si="2"/>
        <v>158.57124423980713</v>
      </c>
      <c r="N11">
        <f>VLOOKUP(B11,UHC!$G$2:$X$195,18,FALSE)</f>
        <v>82.26</v>
      </c>
      <c r="O11">
        <f>VLOOKUP(B11,'Covid-19 impact - vaccination'!$B$2:$D$195,2,FALSE)</f>
        <v>0.67008000391863265</v>
      </c>
      <c r="P11">
        <f>VLOOKUP(B11,'Covid-19 impact - vaccination'!$B$2:$D$195,3,FALSE)</f>
        <v>0</v>
      </c>
    </row>
    <row r="12" spans="1:16" x14ac:dyDescent="0.35">
      <c r="A12" t="str">
        <f>VLOOKUP(B12,'Reference table'!J$2:K$195,2,FALSE)</f>
        <v>Azerbaijan</v>
      </c>
      <c r="B12" t="s">
        <v>225</v>
      </c>
      <c r="C12" t="str">
        <f>VLOOKUP(B12,'Reference table'!C$1:E$195,3,FALSE)</f>
        <v>LMI</v>
      </c>
      <c r="D12" s="2">
        <f>VLOOKUP($B12,'Raw HWF'!$C$2:$Q$195,9,FALSE)</f>
        <v>31.829000473022461</v>
      </c>
      <c r="E12" s="2">
        <f>VLOOKUP($B12,'Raw HWF'!$C$2:$Q$195,10,FALSE)</f>
        <v>59.068241119384766</v>
      </c>
      <c r="F12" s="2">
        <f>VLOOKUP($B12,'Raw HWF'!$C$2:$Q$195,11,FALSE)</f>
        <v>5.2695164680480957</v>
      </c>
      <c r="G12" s="2">
        <f>VLOOKUP($B12,'Raw HWF'!$C$2:$Q$195,12,FALSE)</f>
        <v>2.7362771034240723</v>
      </c>
      <c r="H12" s="2">
        <f>VLOOKUP($B12,'Raw HWF'!$C$2:$Q$195,13,FALSE)</f>
        <v>1.9956623315811157</v>
      </c>
      <c r="I12" s="5">
        <f>VLOOKUP($B12,'Raw HWF'!$C$2:$Q$195,14,FALSE)</f>
        <v>0</v>
      </c>
      <c r="J12" s="5">
        <f>VLOOKUP(B12,'Pop2020'!$D$2:$E$202,2,FALSE)</f>
        <v>10139177.000000002</v>
      </c>
      <c r="K12" s="6">
        <f t="shared" si="0"/>
        <v>0</v>
      </c>
      <c r="L12" s="2">
        <f t="shared" si="1"/>
        <v>100.89869749546051</v>
      </c>
      <c r="M12" s="3">
        <f t="shared" si="2"/>
        <v>96.166758060455322</v>
      </c>
      <c r="N12">
        <f>VLOOKUP(B12,UHC!$G$2:$X$195,18,FALSE)</f>
        <v>65.28</v>
      </c>
      <c r="O12">
        <f>VLOOKUP(B12,'Covid-19 impact - vaccination'!$B$2:$D$195,2,FALSE)</f>
        <v>0.4463986468327058</v>
      </c>
      <c r="P12">
        <f>VLOOKUP(B12,'Covid-19 impact - vaccination'!$B$2:$D$195,3,FALSE)</f>
        <v>8.3271478073171593E-3</v>
      </c>
    </row>
    <row r="13" spans="1:16" x14ac:dyDescent="0.35">
      <c r="A13" t="str">
        <f>VLOOKUP(B13,'Reference table'!J$2:K$195,2,FALSE)</f>
        <v>Burundi</v>
      </c>
      <c r="B13" t="s">
        <v>240</v>
      </c>
      <c r="C13" t="str">
        <f>VLOOKUP(B13,'Reference table'!C$1:E$195,3,FALSE)</f>
        <v>LIN</v>
      </c>
      <c r="D13" s="2">
        <f>VLOOKUP($B13,'Raw HWF'!$C$2:$Q$195,9,FALSE)</f>
        <v>0.71596640348434448</v>
      </c>
      <c r="E13" s="2">
        <f>VLOOKUP($B13,'Raw HWF'!$C$2:$Q$195,10,FALSE)</f>
        <v>6.4815125465393066</v>
      </c>
      <c r="F13" s="2">
        <f>VLOOKUP($B13,'Raw HWF'!$C$2:$Q$195,11,FALSE)</f>
        <v>0</v>
      </c>
      <c r="G13" s="2">
        <f>VLOOKUP($B13,'Raw HWF'!$C$2:$Q$195,12,FALSE)</f>
        <v>1.2500000186264515E-2</v>
      </c>
      <c r="H13" s="2">
        <f>VLOOKUP($B13,'Raw HWF'!$C$2:$Q$195,13,FALSE)</f>
        <v>0.10625000298023224</v>
      </c>
      <c r="I13" s="5">
        <f>VLOOKUP($B13,'Raw HWF'!$C$2:$Q$195,14,FALSE)</f>
        <v>68919.078125</v>
      </c>
      <c r="J13" s="5">
        <f>VLOOKUP(B13,'Pop2020'!$D$2:$E$202,2,FALSE)</f>
        <v>11890783.999999998</v>
      </c>
      <c r="K13" s="6">
        <f t="shared" si="0"/>
        <v>7.9221248371193864</v>
      </c>
      <c r="L13" s="2">
        <f t="shared" si="1"/>
        <v>7.3162289531901479</v>
      </c>
      <c r="M13" s="3">
        <f t="shared" si="2"/>
        <v>7.1974789500236511</v>
      </c>
      <c r="N13">
        <f>VLOOKUP(B13,UHC!$G$2:$X$195,18,FALSE)</f>
        <v>44.37</v>
      </c>
      <c r="O13">
        <f>VLOOKUP(B13,'Covid-19 impact - vaccination'!$B$2:$D$195,2,FALSE)</f>
        <v>5.0593804411887386E-4</v>
      </c>
      <c r="P13">
        <f>VLOOKUP(B13,'Covid-19 impact - vaccination'!$B$2:$D$195,3,FALSE)</f>
        <v>0.31022861969043514</v>
      </c>
    </row>
    <row r="14" spans="1:16" x14ac:dyDescent="0.35">
      <c r="A14" t="str">
        <f>VLOOKUP(B14,'Reference table'!J$2:K$195,2,FALSE)</f>
        <v>Belgium</v>
      </c>
      <c r="B14" t="s">
        <v>135</v>
      </c>
      <c r="C14" t="str">
        <f>VLOOKUP(B14,'Reference table'!C$1:E$195,3,FALSE)</f>
        <v>HIN</v>
      </c>
      <c r="D14" s="2">
        <f>VLOOKUP($B14,'Raw HWF'!$C$2:$Q$195,9,FALSE)</f>
        <v>60.734481811523438</v>
      </c>
      <c r="E14" s="2">
        <f>VLOOKUP($B14,'Raw HWF'!$C$2:$Q$195,10,FALSE)</f>
        <v>188.50430297851563</v>
      </c>
      <c r="F14" s="2">
        <f>VLOOKUP($B14,'Raw HWF'!$C$2:$Q$195,11,FALSE)</f>
        <v>12.151723861694336</v>
      </c>
      <c r="G14" s="2">
        <f>VLOOKUP($B14,'Raw HWF'!$C$2:$Q$195,12,FALSE)</f>
        <v>10.992240905761719</v>
      </c>
      <c r="H14" s="2">
        <f>VLOOKUP($B14,'Raw HWF'!$C$2:$Q$195,13,FALSE)</f>
        <v>19.781896591186523</v>
      </c>
      <c r="I14" s="5">
        <f>VLOOKUP($B14,'Raw HWF'!$C$2:$Q$195,14,FALSE)</f>
        <v>0</v>
      </c>
      <c r="J14" s="5">
        <f>VLOOKUP(B14,'Pop2020'!$D$2:$E$202,2,FALSE)</f>
        <v>11589623.000000002</v>
      </c>
      <c r="K14" s="6">
        <f t="shared" si="0"/>
        <v>0</v>
      </c>
      <c r="L14" s="2">
        <f t="shared" si="1"/>
        <v>292.16464614868164</v>
      </c>
      <c r="M14" s="3">
        <f t="shared" si="2"/>
        <v>261.3905086517334</v>
      </c>
      <c r="N14">
        <f>VLOOKUP(B14,UHC!$G$2:$X$195,18,FALSE)</f>
        <v>85.5</v>
      </c>
      <c r="O14">
        <f>VLOOKUP(B14,'Covid-19 impact - vaccination'!$B$2:$D$195,2,FALSE)</f>
        <v>0.7281663432397999</v>
      </c>
      <c r="P14">
        <f>VLOOKUP(B14,'Covid-19 impact - vaccination'!$B$2:$D$195,3,FALSE)</f>
        <v>0</v>
      </c>
    </row>
    <row r="15" spans="1:16" x14ac:dyDescent="0.35">
      <c r="A15" t="str">
        <f>VLOOKUP(B15,'Reference table'!J$2:K$195,2,FALSE)</f>
        <v>Benin</v>
      </c>
      <c r="B15" t="s">
        <v>231</v>
      </c>
      <c r="C15" t="str">
        <f>VLOOKUP(B15,'Reference table'!C$1:E$195,3,FALSE)</f>
        <v>LIN</v>
      </c>
      <c r="D15" s="2">
        <f>VLOOKUP($B15,'Raw HWF'!$C$2:$Q$195,9,FALSE)</f>
        <v>0.64661014080047607</v>
      </c>
      <c r="E15" s="2">
        <f>VLOOKUP($B15,'Raw HWF'!$C$2:$Q$195,10,FALSE)</f>
        <v>2.262711763381958</v>
      </c>
      <c r="F15" s="2">
        <f>VLOOKUP($B15,'Raw HWF'!$C$2:$Q$195,11,FALSE)</f>
        <v>0.76694917678833008</v>
      </c>
      <c r="G15" s="2">
        <f>VLOOKUP($B15,'Raw HWF'!$C$2:$Q$195,12,FALSE)</f>
        <v>1.0434783063828945E-2</v>
      </c>
      <c r="H15" s="2">
        <f>VLOOKUP($B15,'Raw HWF'!$C$2:$Q$195,13,FALSE)</f>
        <v>0.26608696579933167</v>
      </c>
      <c r="I15" s="5">
        <f>VLOOKUP($B15,'Raw HWF'!$C$2:$Q$195,14,FALSE)</f>
        <v>82634.515625</v>
      </c>
      <c r="J15" s="5">
        <f>VLOOKUP(B15,'Pop2020'!$D$2:$E$202,2,FALSE)</f>
        <v>12123199.999999996</v>
      </c>
      <c r="K15" s="6">
        <f t="shared" si="0"/>
        <v>17.244085310895969</v>
      </c>
      <c r="L15" s="2">
        <f t="shared" si="1"/>
        <v>3.9527928298339248</v>
      </c>
      <c r="M15" s="3">
        <f t="shared" si="2"/>
        <v>3.6762710809707642</v>
      </c>
      <c r="N15">
        <f>VLOOKUP(B15,UHC!$G$2:$X$195,18,FALSE)</f>
        <v>38.200000000000003</v>
      </c>
      <c r="O15">
        <f>VLOOKUP(B15,'Covid-19 impact - vaccination'!$B$2:$D$195,2,FALSE)</f>
        <v>0.11724973604328891</v>
      </c>
      <c r="P15">
        <f>VLOOKUP(B15,'Covid-19 impact - vaccination'!$B$2:$D$195,3,FALSE)</f>
        <v>0.58968531624673692</v>
      </c>
    </row>
    <row r="16" spans="1:16" x14ac:dyDescent="0.35">
      <c r="A16" t="str">
        <f>VLOOKUP(B16,'Reference table'!J$2:K$195,2,FALSE)</f>
        <v>Burkina Faso</v>
      </c>
      <c r="B16" t="s">
        <v>27</v>
      </c>
      <c r="C16" t="str">
        <f>VLOOKUP(B16,'Reference table'!C$1:E$195,3,FALSE)</f>
        <v>LIN</v>
      </c>
      <c r="D16" s="2">
        <f>VLOOKUP($B16,'Raw HWF'!$C$2:$Q$195,9,FALSE)</f>
        <v>0.52105265855789185</v>
      </c>
      <c r="E16" s="2">
        <f>VLOOKUP($B16,'Raw HWF'!$C$2:$Q$195,10,FALSE)</f>
        <v>5.598029613494873</v>
      </c>
      <c r="F16" s="2">
        <f>VLOOKUP($B16,'Raw HWF'!$C$2:$Q$195,11,FALSE)</f>
        <v>3.6832511425018311</v>
      </c>
      <c r="G16" s="2">
        <f>VLOOKUP($B16,'Raw HWF'!$C$2:$Q$195,12,FALSE)</f>
        <v>2.5615762919187546E-2</v>
      </c>
      <c r="H16" s="2">
        <f>VLOOKUP($B16,'Raw HWF'!$C$2:$Q$195,13,FALSE)</f>
        <v>0.15418718755245209</v>
      </c>
      <c r="I16" s="5">
        <f>VLOOKUP($B16,'Raw HWF'!$C$2:$Q$195,14,FALSE)</f>
        <v>124517.125</v>
      </c>
      <c r="J16" s="5">
        <f>VLOOKUP(B16,'Pop2020'!$D$2:$E$202,2,FALSE)</f>
        <v>20903273.000000004</v>
      </c>
      <c r="K16" s="6">
        <f t="shared" si="0"/>
        <v>5.9674844175785786</v>
      </c>
      <c r="L16" s="2">
        <f t="shared" si="1"/>
        <v>9.9821363650262356</v>
      </c>
      <c r="M16" s="3">
        <f t="shared" si="2"/>
        <v>9.8023334145545959</v>
      </c>
      <c r="N16">
        <f>VLOOKUP(B16,UHC!$G$2:$X$195,18,FALSE)</f>
        <v>43.19</v>
      </c>
      <c r="O16">
        <f>VLOOKUP(B16,'Covid-19 impact - vaccination'!$B$2:$D$195,2,FALSE)</f>
        <v>3.6926992246620903E-2</v>
      </c>
      <c r="P16">
        <f>VLOOKUP(B16,'Covid-19 impact - vaccination'!$B$2:$D$195,3,FALSE)</f>
        <v>0.2468457185667472</v>
      </c>
    </row>
    <row r="17" spans="1:16" x14ac:dyDescent="0.35">
      <c r="A17" t="str">
        <f>VLOOKUP(B17,'Reference table'!J$2:K$195,2,FALSE)</f>
        <v>Bangladesh</v>
      </c>
      <c r="B17" t="s">
        <v>193</v>
      </c>
      <c r="C17" t="str">
        <f>VLOOKUP(B17,'Reference table'!C$1:E$195,3,FALSE)</f>
        <v>LIN</v>
      </c>
      <c r="D17" s="2">
        <f>VLOOKUP($B17,'Raw HWF'!$C$2:$Q$195,9,FALSE)</f>
        <v>6.6590304374694824</v>
      </c>
      <c r="E17" s="2">
        <f>VLOOKUP($B17,'Raw HWF'!$C$2:$Q$195,10,FALSE)</f>
        <v>4.0589694976806641</v>
      </c>
      <c r="F17" s="2">
        <f>VLOOKUP($B17,'Raw HWF'!$C$2:$Q$195,11,FALSE)</f>
        <v>0.8232121467590332</v>
      </c>
      <c r="G17" s="2">
        <f>VLOOKUP($B17,'Raw HWF'!$C$2:$Q$195,12,FALSE)</f>
        <v>0.68533331155776978</v>
      </c>
      <c r="H17" s="2">
        <f>VLOOKUP($B17,'Raw HWF'!$C$2:$Q$195,13,FALSE)</f>
        <v>1.8091304302215576</v>
      </c>
      <c r="I17" s="5">
        <f>VLOOKUP($B17,'Raw HWF'!$C$2:$Q$195,14,FALSE)</f>
        <v>912042.125</v>
      </c>
      <c r="J17" s="5">
        <f>VLOOKUP(B17,'Pop2020'!$D$2:$E$202,2,FALSE)</f>
        <v>164689383.00000003</v>
      </c>
      <c r="K17" s="6">
        <f t="shared" si="0"/>
        <v>3.9456264508665022</v>
      </c>
      <c r="L17" s="2">
        <f t="shared" si="1"/>
        <v>14.035675823688507</v>
      </c>
      <c r="M17" s="3">
        <f t="shared" si="2"/>
        <v>11.54121208190918</v>
      </c>
      <c r="N17">
        <f>VLOOKUP(B17,UHC!$G$2:$X$195,18,FALSE)</f>
        <v>50.74</v>
      </c>
      <c r="O17">
        <f>VLOOKUP(B17,'Covid-19 impact - vaccination'!$B$2:$D$195,2,FALSE)</f>
        <v>0.32535576382601422</v>
      </c>
      <c r="P17">
        <f>VLOOKUP(B17,'Covid-19 impact - vaccination'!$B$2:$D$195,3,FALSE)</f>
        <v>8.3567522570831318E-2</v>
      </c>
    </row>
    <row r="18" spans="1:16" x14ac:dyDescent="0.35">
      <c r="A18" t="str">
        <f>VLOOKUP(B18,'Reference table'!J$2:K$195,2,FALSE)</f>
        <v>Bulgaria</v>
      </c>
      <c r="B18" t="s">
        <v>237</v>
      </c>
      <c r="C18" t="str">
        <f>VLOOKUP(B18,'Reference table'!C$1:E$195,3,FALSE)</f>
        <v>LMI</v>
      </c>
      <c r="D18" s="2">
        <f>VLOOKUP($B18,'Raw HWF'!$C$2:$Q$195,9,FALSE)</f>
        <v>42.071243286132813</v>
      </c>
      <c r="E18" s="2">
        <f>VLOOKUP($B18,'Raw HWF'!$C$2:$Q$195,10,FALSE)</f>
        <v>43.378746032714844</v>
      </c>
      <c r="F18" s="2">
        <f>VLOOKUP($B18,'Raw HWF'!$C$2:$Q$195,11,FALSE)</f>
        <v>4.4741554260253906</v>
      </c>
      <c r="G18" s="2">
        <f>VLOOKUP($B18,'Raw HWF'!$C$2:$Q$195,12,FALSE)</f>
        <v>13.99976634979248</v>
      </c>
      <c r="H18" s="2">
        <f>VLOOKUP($B18,'Raw HWF'!$C$2:$Q$195,13,FALSE)</f>
        <v>8.364192008972168</v>
      </c>
      <c r="I18" s="5">
        <f>VLOOKUP($B18,'Raw HWF'!$C$2:$Q$195,14,FALSE)</f>
        <v>0</v>
      </c>
      <c r="J18" s="5">
        <f>VLOOKUP(B18,'Pop2020'!$D$2:$E$202,2,FALSE)</f>
        <v>6948445.0000000009</v>
      </c>
      <c r="K18" s="6">
        <f t="shared" si="0"/>
        <v>0</v>
      </c>
      <c r="L18" s="2">
        <f t="shared" si="1"/>
        <v>112.2881031036377</v>
      </c>
      <c r="M18" s="3">
        <f t="shared" si="2"/>
        <v>89.924144744873047</v>
      </c>
      <c r="N18">
        <f>VLOOKUP(B18,UHC!$G$2:$X$195,18,FALSE)</f>
        <v>69.87</v>
      </c>
      <c r="O18">
        <f>VLOOKUP(B18,'Covid-19 impact - vaccination'!$B$2:$D$195,2,FALSE)</f>
        <v>0.21231443884915477</v>
      </c>
      <c r="P18">
        <f>VLOOKUP(B18,'Covid-19 impact - vaccination'!$B$2:$D$195,3,FALSE)</f>
        <v>1.9478347171175834E-2</v>
      </c>
    </row>
    <row r="19" spans="1:16" x14ac:dyDescent="0.35">
      <c r="A19" t="str">
        <f>VLOOKUP(B19,'Reference table'!J$2:K$195,2,FALSE)</f>
        <v>Bahrain</v>
      </c>
      <c r="B19" t="s">
        <v>132</v>
      </c>
      <c r="C19" t="str">
        <f>VLOOKUP(B19,'Reference table'!C$1:E$195,3,FALSE)</f>
        <v>HIN</v>
      </c>
      <c r="D19" s="2">
        <f>VLOOKUP($B19,'Raw HWF'!$C$2:$Q$195,9,FALSE)</f>
        <v>9.2575511932373047</v>
      </c>
      <c r="E19" s="2">
        <f>VLOOKUP($B19,'Raw HWF'!$C$2:$Q$195,10,FALSE)</f>
        <v>24.944362640380859</v>
      </c>
      <c r="F19" s="2">
        <f>VLOOKUP($B19,'Raw HWF'!$C$2:$Q$195,11,FALSE)</f>
        <v>5.1814961433410645</v>
      </c>
      <c r="G19" s="2">
        <f>VLOOKUP($B19,'Raw HWF'!$C$2:$Q$195,12,FALSE)</f>
        <v>0.97678101062774658</v>
      </c>
      <c r="H19" s="2">
        <f>VLOOKUP($B19,'Raw HWF'!$C$2:$Q$195,13,FALSE)</f>
        <v>1.6182491779327393</v>
      </c>
      <c r="I19" s="5">
        <f>VLOOKUP($B19,'Raw HWF'!$C$2:$Q$195,14,FALSE)</f>
        <v>2573.84130859375</v>
      </c>
      <c r="J19" s="5">
        <f>VLOOKUP(B19,'Pop2020'!$D$2:$E$202,2,FALSE)</f>
        <v>1701575.0000000002</v>
      </c>
      <c r="K19" s="6">
        <f t="shared" si="0"/>
        <v>0.36033327884075095</v>
      </c>
      <c r="L19" s="2">
        <f t="shared" si="1"/>
        <v>41.978440165519714</v>
      </c>
      <c r="M19" s="3">
        <f t="shared" si="2"/>
        <v>39.383409976959229</v>
      </c>
      <c r="N19">
        <f>VLOOKUP(B19,UHC!$G$2:$X$195,18,FALSE)</f>
        <v>71.44</v>
      </c>
      <c r="O19">
        <f>VLOOKUP(B19,'Covid-19 impact - vaccination'!$B$2:$D$195,2,FALSE)</f>
        <v>0.69681618500506881</v>
      </c>
      <c r="P19">
        <f>VLOOKUP(B19,'Covid-19 impact - vaccination'!$B$2:$D$195,3,FALSE)</f>
        <v>0</v>
      </c>
    </row>
    <row r="20" spans="1:16" x14ac:dyDescent="0.35">
      <c r="A20" t="str">
        <f>VLOOKUP(B20,'Reference table'!J$2:K$195,2,FALSE)</f>
        <v>Bahamas</v>
      </c>
      <c r="B20" t="s">
        <v>37</v>
      </c>
      <c r="C20" t="str">
        <f>VLOOKUP(B20,'Reference table'!C$1:E$195,3,FALSE)</f>
        <v>HIN</v>
      </c>
      <c r="D20" s="2">
        <f>VLOOKUP($B20,'Raw HWF'!$C$2:$Q$195,9,FALSE)</f>
        <v>19.384464263916016</v>
      </c>
      <c r="E20" s="2">
        <f>VLOOKUP($B20,'Raw HWF'!$C$2:$Q$195,10,FALSE)</f>
        <v>45.664943695068359</v>
      </c>
      <c r="F20" s="2">
        <f>VLOOKUP($B20,'Raw HWF'!$C$2:$Q$195,11,FALSE)</f>
        <v>5.1814961433410645</v>
      </c>
      <c r="G20" s="2">
        <f>VLOOKUP($B20,'Raw HWF'!$C$2:$Q$195,12,FALSE)</f>
        <v>2.5933270454406738</v>
      </c>
      <c r="H20" s="2">
        <f>VLOOKUP($B20,'Raw HWF'!$C$2:$Q$195,13,FALSE)</f>
        <v>5.6176180839538574</v>
      </c>
      <c r="I20" s="5">
        <f>VLOOKUP($B20,'Raw HWF'!$C$2:$Q$195,14,FALSE)</f>
        <v>0</v>
      </c>
      <c r="J20" s="5">
        <f>VLOOKUP(B20,'Pop2020'!$D$2:$E$202,2,FALSE)</f>
        <v>393244</v>
      </c>
      <c r="K20" s="6">
        <f t="shared" si="0"/>
        <v>0</v>
      </c>
      <c r="L20" s="2">
        <f t="shared" si="1"/>
        <v>78.441849231719971</v>
      </c>
      <c r="M20" s="3">
        <f t="shared" si="2"/>
        <v>70.230904102325439</v>
      </c>
      <c r="N20">
        <f>VLOOKUP(B20,UHC!$G$2:$X$195,18,FALSE)</f>
        <v>69.81</v>
      </c>
      <c r="O20">
        <f>VLOOKUP(B20,'Covid-19 impact - vaccination'!$B$2:$D$195,2,FALSE)</f>
        <v>0.37989899400880878</v>
      </c>
      <c r="P20">
        <f>VLOOKUP(B20,'Covid-19 impact - vaccination'!$B$2:$D$195,3,FALSE)</f>
        <v>1.7187225197471942E-2</v>
      </c>
    </row>
    <row r="21" spans="1:16" x14ac:dyDescent="0.35">
      <c r="A21" t="str">
        <f>VLOOKUP(B21,'Reference table'!J$2:K$195,2,FALSE)</f>
        <v>Bosnia and Herzegovina</v>
      </c>
      <c r="B21" t="s">
        <v>22</v>
      </c>
      <c r="C21" t="str">
        <f>VLOOKUP(B21,'Reference table'!C$1:E$195,3,FALSE)</f>
        <v>LMI</v>
      </c>
      <c r="D21" s="2">
        <f>VLOOKUP($B21,'Raw HWF'!$C$2:$Q$195,9,FALSE)</f>
        <v>21.616266250610352</v>
      </c>
      <c r="E21" s="2">
        <f>VLOOKUP($B21,'Raw HWF'!$C$2:$Q$195,10,FALSE)</f>
        <v>57.332752227783203</v>
      </c>
      <c r="F21" s="2">
        <f>VLOOKUP($B21,'Raw HWF'!$C$2:$Q$195,11,FALSE)</f>
        <v>0</v>
      </c>
      <c r="G21" s="2">
        <f>VLOOKUP($B21,'Raw HWF'!$C$2:$Q$195,12,FALSE)</f>
        <v>2.3998632431030273</v>
      </c>
      <c r="H21" s="2">
        <f>VLOOKUP($B21,'Raw HWF'!$C$2:$Q$195,13,FALSE)</f>
        <v>1.2917854785919189</v>
      </c>
      <c r="I21" s="5">
        <f>VLOOKUP($B21,'Raw HWF'!$C$2:$Q$195,14,FALSE)</f>
        <v>257.3753662109375</v>
      </c>
      <c r="J21" s="5">
        <f>VLOOKUP(B21,'Pop2020'!$D$2:$E$202,2,FALSE)</f>
        <v>3280819.0000000005</v>
      </c>
      <c r="K21" s="6">
        <f t="shared" si="0"/>
        <v>9.4927248171936523E-3</v>
      </c>
      <c r="L21" s="2">
        <f t="shared" si="1"/>
        <v>82.640667200088501</v>
      </c>
      <c r="M21" s="3">
        <f t="shared" si="2"/>
        <v>78.949018478393555</v>
      </c>
      <c r="N21">
        <f>VLOOKUP(B21,UHC!$G$2:$X$195,18,FALSE)</f>
        <v>64.61</v>
      </c>
      <c r="O21">
        <f>VLOOKUP(B21,'Covid-19 impact - vaccination'!$B$2:$D$195,2,FALSE)</f>
        <v>0.21964999550416589</v>
      </c>
      <c r="P21">
        <f>VLOOKUP(B21,'Covid-19 impact - vaccination'!$B$2:$D$195,3,FALSE)</f>
        <v>1.5805506574958272E-2</v>
      </c>
    </row>
    <row r="22" spans="1:16" x14ac:dyDescent="0.35">
      <c r="A22" t="str">
        <f>VLOOKUP(B22,'Reference table'!J$2:K$195,2,FALSE)</f>
        <v>Belarus</v>
      </c>
      <c r="B22" t="s">
        <v>228</v>
      </c>
      <c r="C22" t="str">
        <f>VLOOKUP(B22,'Reference table'!C$1:E$195,3,FALSE)</f>
        <v>LMI</v>
      </c>
      <c r="D22" s="2">
        <f>VLOOKUP($B22,'Raw HWF'!$C$2:$Q$195,9,FALSE)</f>
        <v>45.382080078125</v>
      </c>
      <c r="E22" s="2">
        <f>VLOOKUP($B22,'Raw HWF'!$C$2:$Q$195,10,FALSE)</f>
        <v>104.74685668945313</v>
      </c>
      <c r="F22" s="2">
        <f>VLOOKUP($B22,'Raw HWF'!$C$2:$Q$195,11,FALSE)</f>
        <v>5.2799830436706543</v>
      </c>
      <c r="G22" s="2">
        <f>VLOOKUP($B22,'Raw HWF'!$C$2:$Q$195,12,FALSE)</f>
        <v>6.2279062271118164</v>
      </c>
      <c r="H22" s="2">
        <f>VLOOKUP($B22,'Raw HWF'!$C$2:$Q$195,13,FALSE)</f>
        <v>3.6273400783538818</v>
      </c>
      <c r="I22" s="5">
        <f>VLOOKUP($B22,'Raw HWF'!$C$2:$Q$195,14,FALSE)</f>
        <v>0</v>
      </c>
      <c r="J22" s="5">
        <f>VLOOKUP(B22,'Pop2020'!$D$2:$E$202,2,FALSE)</f>
        <v>9449323</v>
      </c>
      <c r="K22" s="6">
        <f t="shared" si="0"/>
        <v>0</v>
      </c>
      <c r="L22" s="2">
        <f t="shared" si="1"/>
        <v>165.26416611671448</v>
      </c>
      <c r="M22" s="3">
        <f t="shared" si="2"/>
        <v>155.40891981124878</v>
      </c>
      <c r="N22">
        <f>VLOOKUP(B22,UHC!$G$2:$X$195,18,FALSE)</f>
        <v>73.540000000000006</v>
      </c>
      <c r="O22">
        <f>VLOOKUP(B22,'Covid-19 impact - vaccination'!$B$2:$D$195,2,FALSE)</f>
        <v>0.37786005999796174</v>
      </c>
      <c r="P22">
        <f>VLOOKUP(B22,'Covid-19 impact - vaccination'!$B$2:$D$195,3,FALSE)</f>
        <v>7.7025404995930092E-3</v>
      </c>
    </row>
    <row r="23" spans="1:16" x14ac:dyDescent="0.35">
      <c r="A23" t="str">
        <f>VLOOKUP(B23,'Reference table'!J$2:K$195,2,FALSE)</f>
        <v>Belize</v>
      </c>
      <c r="B23" t="s">
        <v>16</v>
      </c>
      <c r="C23" t="str">
        <f>VLOOKUP(B23,'Reference table'!C$1:E$195,3,FALSE)</f>
        <v>UMI</v>
      </c>
      <c r="D23" s="2">
        <f>VLOOKUP($B23,'Raw HWF'!$C$2:$Q$195,9,FALSE)</f>
        <v>10.781291007995605</v>
      </c>
      <c r="E23" s="2">
        <f>VLOOKUP($B23,'Raw HWF'!$C$2:$Q$195,10,FALSE)</f>
        <v>23.416025161743164</v>
      </c>
      <c r="F23" s="2">
        <f>VLOOKUP($B23,'Raw HWF'!$C$2:$Q$195,11,FALSE)</f>
        <v>0</v>
      </c>
      <c r="G23" s="2">
        <f>VLOOKUP($B23,'Raw HWF'!$C$2:$Q$195,12,FALSE)</f>
        <v>1.3833703994750977</v>
      </c>
      <c r="H23" s="2">
        <f>VLOOKUP($B23,'Raw HWF'!$C$2:$Q$195,13,FALSE)</f>
        <v>6.759364128112793</v>
      </c>
      <c r="I23" s="5">
        <f>VLOOKUP($B23,'Raw HWF'!$C$2:$Q$195,14,FALSE)</f>
        <v>497.78338623046875</v>
      </c>
      <c r="J23" s="5">
        <f>VLOOKUP(B23,'Pop2020'!$D$2:$E$202,2,FALSE)</f>
        <v>397627.99999999994</v>
      </c>
      <c r="K23" s="6">
        <f t="shared" si="0"/>
        <v>0.29567327057212889</v>
      </c>
      <c r="L23" s="2">
        <f t="shared" si="1"/>
        <v>42.34005069732666</v>
      </c>
      <c r="M23" s="3">
        <f t="shared" si="2"/>
        <v>34.19731616973877</v>
      </c>
      <c r="N23">
        <f>VLOOKUP(B23,UHC!$G$2:$X$195,18,FALSE)</f>
        <v>67.17</v>
      </c>
      <c r="O23">
        <f>VLOOKUP(B23,'Covid-19 impact - vaccination'!$B$2:$D$195,2,FALSE)</f>
        <v>0.50362147534881851</v>
      </c>
      <c r="P23">
        <f>VLOOKUP(B23,'Covid-19 impact - vaccination'!$B$2:$D$195,3,FALSE)</f>
        <v>7.4955077362221668E-3</v>
      </c>
    </row>
    <row r="24" spans="1:16" x14ac:dyDescent="0.35">
      <c r="A24" t="str">
        <f>VLOOKUP(B24,'Reference table'!J$2:K$195,2,FALSE)</f>
        <v>Bolivia</v>
      </c>
      <c r="B24" t="s">
        <v>199</v>
      </c>
      <c r="C24" t="str">
        <f>VLOOKUP(B24,'Reference table'!C$1:E$195,3,FALSE)</f>
        <v>LMI</v>
      </c>
      <c r="D24" s="2">
        <f>VLOOKUP($B24,'Raw HWF'!$C$2:$Q$195,9,FALSE)</f>
        <v>10.29285717010498</v>
      </c>
      <c r="E24" s="2">
        <f>VLOOKUP($B24,'Raw HWF'!$C$2:$Q$195,10,FALSE)</f>
        <v>15.579463958740234</v>
      </c>
      <c r="F24" s="2">
        <f>VLOOKUP($B24,'Raw HWF'!$C$2:$Q$195,11,FALSE)</f>
        <v>0</v>
      </c>
      <c r="G24" s="2">
        <f>VLOOKUP($B24,'Raw HWF'!$C$2:$Q$195,12,FALSE)</f>
        <v>1.798214316368103</v>
      </c>
      <c r="H24" s="2">
        <f>VLOOKUP($B24,'Raw HWF'!$C$2:$Q$195,13,FALSE)</f>
        <v>2.2518181800842285</v>
      </c>
      <c r="I24" s="5">
        <f>VLOOKUP($B24,'Raw HWF'!$C$2:$Q$195,14,FALSE)</f>
        <v>26573.619140625</v>
      </c>
      <c r="J24" s="5">
        <f>VLOOKUP(B24,'Pop2020'!$D$2:$E$202,2,FALSE)</f>
        <v>11673021.000000004</v>
      </c>
      <c r="K24" s="6">
        <f t="shared" si="0"/>
        <v>0.76080207480273143</v>
      </c>
      <c r="L24" s="2">
        <f t="shared" si="1"/>
        <v>29.922353625297546</v>
      </c>
      <c r="M24" s="3">
        <f t="shared" si="2"/>
        <v>25.872321128845215</v>
      </c>
      <c r="N24">
        <f>VLOOKUP(B24,UHC!$G$2:$X$195,18,FALSE)</f>
        <v>66.75</v>
      </c>
      <c r="O24">
        <f>VLOOKUP(B24,'Covid-19 impact - vaccination'!$B$2:$D$195,2,FALSE)</f>
        <v>0.40640267844973466</v>
      </c>
      <c r="P24">
        <f>VLOOKUP(B24,'Covid-19 impact - vaccination'!$B$2:$D$195,3,FALSE)</f>
        <v>6.1753037030181177E-3</v>
      </c>
    </row>
    <row r="25" spans="1:16" x14ac:dyDescent="0.35">
      <c r="A25" t="str">
        <f>VLOOKUP(B25,'Reference table'!J$2:K$195,2,FALSE)</f>
        <v>Brazil</v>
      </c>
      <c r="B25" t="s">
        <v>83</v>
      </c>
      <c r="C25" t="str">
        <f>VLOOKUP(B25,'Reference table'!C$1:E$195,3,FALSE)</f>
        <v>LMI</v>
      </c>
      <c r="D25" s="2">
        <f>VLOOKUP($B25,'Raw HWF'!$C$2:$Q$195,9,FALSE)</f>
        <v>23.111801147460938</v>
      </c>
      <c r="E25" s="2">
        <f>VLOOKUP($B25,'Raw HWF'!$C$2:$Q$195,10,FALSE)</f>
        <v>74.025588989257813</v>
      </c>
      <c r="F25" s="2">
        <f>VLOOKUP($B25,'Raw HWF'!$C$2:$Q$195,11,FALSE)</f>
        <v>0</v>
      </c>
      <c r="G25" s="2">
        <f>VLOOKUP($B25,'Raw HWF'!$C$2:$Q$195,12,FALSE)</f>
        <v>6.4143538475036621</v>
      </c>
      <c r="H25" s="2">
        <f>VLOOKUP($B25,'Raw HWF'!$C$2:$Q$195,13,FALSE)</f>
        <v>6.8253846168518066</v>
      </c>
      <c r="I25" s="5">
        <f>VLOOKUP($B25,'Raw HWF'!$C$2:$Q$195,14,FALSE)</f>
        <v>0</v>
      </c>
      <c r="J25" s="5">
        <f>VLOOKUP(B25,'Pop2020'!$D$2:$E$202,2,FALSE)</f>
        <v>212559417</v>
      </c>
      <c r="K25" s="6">
        <f t="shared" si="0"/>
        <v>0</v>
      </c>
      <c r="L25" s="2">
        <f t="shared" si="1"/>
        <v>110.37712860107422</v>
      </c>
      <c r="M25" s="3">
        <f t="shared" si="2"/>
        <v>97.13739013671875</v>
      </c>
      <c r="N25">
        <f>VLOOKUP(B25,UHC!$G$2:$X$195,18,FALSE)</f>
        <v>75.03</v>
      </c>
      <c r="O25">
        <f>VLOOKUP(B25,'Covid-19 impact - vaccination'!$B$2:$D$195,2,FALSE)</f>
        <v>0.67275306838087534</v>
      </c>
      <c r="P25">
        <f>VLOOKUP(B25,'Covid-19 impact - vaccination'!$B$2:$D$195,3,FALSE)</f>
        <v>0</v>
      </c>
    </row>
    <row r="26" spans="1:16" x14ac:dyDescent="0.35">
      <c r="A26" t="str">
        <f>VLOOKUP(B26,'Reference table'!J$2:K$195,2,FALSE)</f>
        <v>Barbados</v>
      </c>
      <c r="B26" t="s">
        <v>14</v>
      </c>
      <c r="C26" t="str">
        <f>VLOOKUP(B26,'Reference table'!C$1:E$195,3,FALSE)</f>
        <v>UMI</v>
      </c>
      <c r="D26" s="2">
        <f>VLOOKUP($B26,'Raw HWF'!$C$2:$Q$195,9,FALSE)</f>
        <v>24.875186920166016</v>
      </c>
      <c r="E26" s="2">
        <f>VLOOKUP($B26,'Raw HWF'!$C$2:$Q$195,10,FALSE)</f>
        <v>30.595869064331055</v>
      </c>
      <c r="F26" s="2">
        <f>VLOOKUP($B26,'Raw HWF'!$C$2:$Q$195,11,FALSE)</f>
        <v>5.086735725402832</v>
      </c>
      <c r="G26" s="2">
        <f>VLOOKUP($B26,'Raw HWF'!$C$2:$Q$195,12,FALSE)</f>
        <v>3.0744614601135254</v>
      </c>
      <c r="H26" s="2">
        <f>VLOOKUP($B26,'Raw HWF'!$C$2:$Q$195,13,FALSE)</f>
        <v>9.0836715698242188</v>
      </c>
      <c r="I26" s="5">
        <f>VLOOKUP($B26,'Raw HWF'!$C$2:$Q$195,14,FALSE)</f>
        <v>11.458291053771973</v>
      </c>
      <c r="J26" s="5">
        <f>VLOOKUP(B26,'Pop2020'!$D$2:$E$202,2,FALSE)</f>
        <v>287375</v>
      </c>
      <c r="K26" s="6">
        <f t="shared" si="0"/>
        <v>5.4832914953368197E-3</v>
      </c>
      <c r="L26" s="2">
        <f t="shared" si="1"/>
        <v>72.715924739837646</v>
      </c>
      <c r="M26" s="3">
        <f t="shared" si="2"/>
        <v>60.557791709899902</v>
      </c>
      <c r="N26">
        <f>VLOOKUP(B26,UHC!$G$2:$X$195,18,FALSE)</f>
        <v>74.459999999999994</v>
      </c>
      <c r="O26">
        <f>VLOOKUP(B26,'Covid-19 impact - vaccination'!$B$2:$D$195,2,FALSE)</f>
        <v>0.50062461939973901</v>
      </c>
      <c r="P26">
        <f>VLOOKUP(B26,'Covid-19 impact - vaccination'!$B$2:$D$195,3,FALSE)</f>
        <v>1.4246771512406801E-2</v>
      </c>
    </row>
    <row r="27" spans="1:16" x14ac:dyDescent="0.35">
      <c r="A27" t="str">
        <f>VLOOKUP(B27,'Reference table'!J$2:K$195,2,FALSE)</f>
        <v>Brunei Darussalam</v>
      </c>
      <c r="B27" t="s">
        <v>24</v>
      </c>
      <c r="C27" t="str">
        <f>VLOOKUP(B27,'Reference table'!C$1:E$195,3,FALSE)</f>
        <v>HIN</v>
      </c>
      <c r="D27" s="2">
        <f>VLOOKUP($B27,'Raw HWF'!$C$2:$Q$195,9,FALSE)</f>
        <v>16.090236663818359</v>
      </c>
      <c r="E27" s="2">
        <f>VLOOKUP($B27,'Raw HWF'!$C$2:$Q$195,10,FALSE)</f>
        <v>58.9798583984375</v>
      </c>
      <c r="F27" s="2">
        <f>VLOOKUP($B27,'Raw HWF'!$C$2:$Q$195,11,FALSE)</f>
        <v>0</v>
      </c>
      <c r="G27" s="2">
        <f>VLOOKUP($B27,'Raw HWF'!$C$2:$Q$195,12,FALSE)</f>
        <v>2.5386803150177002</v>
      </c>
      <c r="H27" s="2">
        <f>VLOOKUP($B27,'Raw HWF'!$C$2:$Q$195,13,FALSE)</f>
        <v>1.7111979722976685</v>
      </c>
      <c r="I27" s="5">
        <f>VLOOKUP($B27,'Raw HWF'!$C$2:$Q$195,14,FALSE)</f>
        <v>13.204122543334961</v>
      </c>
      <c r="J27" s="5">
        <f>VLOOKUP(B27,'Pop2020'!$D$2:$E$202,2,FALSE)</f>
        <v>437478.99999999994</v>
      </c>
      <c r="K27" s="6">
        <f t="shared" si="0"/>
        <v>3.8051324279976292E-3</v>
      </c>
      <c r="L27" s="2">
        <f t="shared" si="1"/>
        <v>79.319973349571228</v>
      </c>
      <c r="M27" s="3">
        <f t="shared" si="2"/>
        <v>75.070095062255859</v>
      </c>
      <c r="N27">
        <f>VLOOKUP(B27,UHC!$G$2:$X$195,18,FALSE)</f>
        <v>76.81</v>
      </c>
      <c r="O27">
        <f>VLOOKUP(B27,'Covid-19 impact - vaccination'!$B$2:$D$195,2,FALSE)</f>
        <v>0.91834579488386869</v>
      </c>
      <c r="P27">
        <f>VLOOKUP(B27,'Covid-19 impact - vaccination'!$B$2:$D$195,3,FALSE)</f>
        <v>0</v>
      </c>
    </row>
    <row r="28" spans="1:16" x14ac:dyDescent="0.35">
      <c r="A28" t="str">
        <f>VLOOKUP(B28,'Reference table'!J$2:K$195,2,FALSE)</f>
        <v>Bhutan</v>
      </c>
      <c r="B28" t="s">
        <v>138</v>
      </c>
      <c r="C28" t="str">
        <f>VLOOKUP(B28,'Reference table'!C$1:E$195,3,FALSE)</f>
        <v>LIN</v>
      </c>
      <c r="D28" s="2">
        <f>VLOOKUP($B28,'Raw HWF'!$C$2:$Q$195,9,FALSE)</f>
        <v>4.9895544052124023</v>
      </c>
      <c r="E28" s="2">
        <f>VLOOKUP($B28,'Raw HWF'!$C$2:$Q$195,10,FALSE)</f>
        <v>20.774690628051758</v>
      </c>
      <c r="F28" s="2">
        <f>VLOOKUP($B28,'Raw HWF'!$C$2:$Q$195,11,FALSE)</f>
        <v>0</v>
      </c>
      <c r="G28" s="2">
        <f>VLOOKUP($B28,'Raw HWF'!$C$2:$Q$195,12,FALSE)</f>
        <v>0.92015159130096436</v>
      </c>
      <c r="H28" s="2">
        <f>VLOOKUP($B28,'Raw HWF'!$C$2:$Q$195,13,FALSE)</f>
        <v>0.66095393896102905</v>
      </c>
      <c r="I28" s="5">
        <f>VLOOKUP($B28,'Raw HWF'!$C$2:$Q$195,14,FALSE)</f>
        <v>2299.60693359375</v>
      </c>
      <c r="J28" s="5">
        <f>VLOOKUP(B28,'Pop2020'!$D$2:$E$202,2,FALSE)</f>
        <v>771608.00000000023</v>
      </c>
      <c r="K28" s="6">
        <f t="shared" si="0"/>
        <v>1.0898667227790242</v>
      </c>
      <c r="L28" s="2">
        <f t="shared" si="1"/>
        <v>27.345350563526154</v>
      </c>
      <c r="M28" s="3">
        <f t="shared" si="2"/>
        <v>25.76424503326416</v>
      </c>
      <c r="N28">
        <f>VLOOKUP(B28,UHC!$G$2:$X$195,18,FALSE)</f>
        <v>62.39</v>
      </c>
      <c r="O28">
        <f>VLOOKUP(B28,'Covid-19 impact - vaccination'!$B$2:$D$195,2,FALSE)</f>
        <v>0.73609527117396401</v>
      </c>
      <c r="P28">
        <f>VLOOKUP(B28,'Covid-19 impact - vaccination'!$B$2:$D$195,3,FALSE)</f>
        <v>0</v>
      </c>
    </row>
    <row r="29" spans="1:16" x14ac:dyDescent="0.35">
      <c r="A29" t="str">
        <f>VLOOKUP(B29,'Reference table'!J$2:K$195,2,FALSE)</f>
        <v>Botswana</v>
      </c>
      <c r="B29" t="s">
        <v>234</v>
      </c>
      <c r="C29" t="str">
        <f>VLOOKUP(B29,'Reference table'!C$1:E$195,3,FALSE)</f>
        <v>UMI</v>
      </c>
      <c r="D29" s="2">
        <f>VLOOKUP($B29,'Raw HWF'!$C$2:$Q$195,9,FALSE)</f>
        <v>3.7842707633972168</v>
      </c>
      <c r="E29" s="2">
        <f>VLOOKUP($B29,'Raw HWF'!$C$2:$Q$195,10,FALSE)</f>
        <v>37.709613800048828</v>
      </c>
      <c r="F29" s="2">
        <f>VLOOKUP($B29,'Raw HWF'!$C$2:$Q$195,11,FALSE)</f>
        <v>16.858415603637695</v>
      </c>
      <c r="G29" s="2">
        <f>VLOOKUP($B29,'Raw HWF'!$C$2:$Q$195,12,FALSE)</f>
        <v>0.74662399291992188</v>
      </c>
      <c r="H29" s="2">
        <f>VLOOKUP($B29,'Raw HWF'!$C$2:$Q$195,13,FALSE)</f>
        <v>2.1605391502380371</v>
      </c>
      <c r="I29" s="5">
        <f>VLOOKUP($B29,'Raw HWF'!$C$2:$Q$195,14,FALSE)</f>
        <v>3396.88427734375</v>
      </c>
      <c r="J29" s="5">
        <f>VLOOKUP(B29,'Pop2020'!$D$2:$E$202,2,FALSE)</f>
        <v>2351627.0000000005</v>
      </c>
      <c r="K29" s="6">
        <f t="shared" si="0"/>
        <v>0.23579746205063035</v>
      </c>
      <c r="L29" s="2">
        <f t="shared" si="1"/>
        <v>61.259463310241699</v>
      </c>
      <c r="M29" s="3">
        <f t="shared" si="2"/>
        <v>58.35230016708374</v>
      </c>
      <c r="N29">
        <f>VLOOKUP(B29,UHC!$G$2:$X$195,18,FALSE)</f>
        <v>53.66</v>
      </c>
      <c r="O29">
        <f>VLOOKUP(B29,'Covid-19 impact - vaccination'!$B$2:$D$195,2,FALSE)</f>
        <v>0.43968324908669615</v>
      </c>
      <c r="P29">
        <f>VLOOKUP(B29,'Covid-19 impact - vaccination'!$B$2:$D$195,3,FALSE)</f>
        <v>1.9312147901459142E-2</v>
      </c>
    </row>
    <row r="30" spans="1:16" x14ac:dyDescent="0.35">
      <c r="A30" t="str">
        <f>VLOOKUP(B30,'Reference table'!J$2:K$195,2,FALSE)</f>
        <v>Central African Republic</v>
      </c>
      <c r="B30" t="s">
        <v>31</v>
      </c>
      <c r="C30" t="str">
        <f>VLOOKUP(B30,'Reference table'!C$1:E$195,3,FALSE)</f>
        <v>LIN</v>
      </c>
      <c r="D30" s="2">
        <f>VLOOKUP($B30,'Raw HWF'!$C$2:$Q$195,9,FALSE)</f>
        <v>0.71790200471878052</v>
      </c>
      <c r="E30" s="2">
        <f>VLOOKUP($B30,'Raw HWF'!$C$2:$Q$195,10,FALSE)</f>
        <v>2.5608742237091064</v>
      </c>
      <c r="F30" s="2">
        <f>VLOOKUP($B30,'Raw HWF'!$C$2:$Q$195,11,FALSE)</f>
        <v>0</v>
      </c>
      <c r="G30" s="2">
        <f>VLOOKUP($B30,'Raw HWF'!$C$2:$Q$195,12,FALSE)</f>
        <v>2.1429911255836487E-2</v>
      </c>
      <c r="H30" s="2">
        <f>VLOOKUP($B30,'Raw HWF'!$C$2:$Q$195,13,FALSE)</f>
        <v>7.7147677540779114E-2</v>
      </c>
      <c r="I30" s="5">
        <f>VLOOKUP($B30,'Raw HWF'!$C$2:$Q$195,14,FALSE)</f>
        <v>30721.564453125</v>
      </c>
      <c r="J30" s="5">
        <f>VLOOKUP(B30,'Pop2020'!$D$2:$E$202,2,FALSE)</f>
        <v>4829767.0000000019</v>
      </c>
      <c r="K30" s="6">
        <f t="shared" si="0"/>
        <v>18.833914196283452</v>
      </c>
      <c r="L30" s="2">
        <f t="shared" si="1"/>
        <v>3.3773538172245026</v>
      </c>
      <c r="M30" s="3">
        <f t="shared" si="2"/>
        <v>3.278776228427887</v>
      </c>
      <c r="N30">
        <f>VLOOKUP(B30,UHC!$G$2:$X$195,18,FALSE)</f>
        <v>32.46</v>
      </c>
      <c r="O30">
        <f>VLOOKUP(B30,'Covid-19 impact - vaccination'!$B$2:$D$195,2,FALSE)</f>
        <v>9.5804828680141299E-2</v>
      </c>
      <c r="P30">
        <f>VLOOKUP(B30,'Covid-19 impact - vaccination'!$B$2:$D$195,3,FALSE)</f>
        <v>1.1143201744639815</v>
      </c>
    </row>
    <row r="31" spans="1:16" x14ac:dyDescent="0.35">
      <c r="A31" t="str">
        <f>VLOOKUP(B31,'Reference table'!J$2:K$195,2,FALSE)</f>
        <v>Canada</v>
      </c>
      <c r="B31" t="s">
        <v>29</v>
      </c>
      <c r="C31" t="str">
        <f>VLOOKUP(B31,'Reference table'!C$1:E$195,3,FALSE)</f>
        <v>HIN</v>
      </c>
      <c r="D31" s="2">
        <f>VLOOKUP($B31,'Raw HWF'!$C$2:$Q$195,9,FALSE)</f>
        <v>24.431818008422852</v>
      </c>
      <c r="E31" s="2">
        <f>VLOOKUP($B31,'Raw HWF'!$C$2:$Q$195,10,FALSE)</f>
        <v>110.85437774658203</v>
      </c>
      <c r="F31" s="2">
        <f>VLOOKUP($B31,'Raw HWF'!$C$2:$Q$195,11,FALSE)</f>
        <v>0</v>
      </c>
      <c r="G31" s="2">
        <f>VLOOKUP($B31,'Raw HWF'!$C$2:$Q$195,12,FALSE)</f>
        <v>6.6323528289794922</v>
      </c>
      <c r="H31" s="2">
        <f>VLOOKUP($B31,'Raw HWF'!$C$2:$Q$195,13,FALSE)</f>
        <v>11.102387428283691</v>
      </c>
      <c r="I31" s="5">
        <f>VLOOKUP($B31,'Raw HWF'!$C$2:$Q$195,14,FALSE)</f>
        <v>0</v>
      </c>
      <c r="J31" s="5">
        <f>VLOOKUP(B31,'Pop2020'!$D$2:$E$202,2,FALSE)</f>
        <v>37742154</v>
      </c>
      <c r="K31" s="6">
        <f t="shared" si="0"/>
        <v>0</v>
      </c>
      <c r="L31" s="2">
        <f t="shared" si="1"/>
        <v>153.02093601226807</v>
      </c>
      <c r="M31" s="3">
        <f t="shared" si="2"/>
        <v>135.28619575500488</v>
      </c>
      <c r="N31">
        <f>VLOOKUP(B31,UHC!$G$2:$X$195,18,FALSE)</f>
        <v>89.36</v>
      </c>
      <c r="O31">
        <f>VLOOKUP(B31,'Covid-19 impact - vaccination'!$B$2:$D$195,2,FALSE)</f>
        <v>0.77779029252013543</v>
      </c>
      <c r="P31">
        <f>VLOOKUP(B31,'Covid-19 impact - vaccination'!$B$2:$D$195,3,FALSE)</f>
        <v>0</v>
      </c>
    </row>
    <row r="32" spans="1:16" x14ac:dyDescent="0.35">
      <c r="A32" t="str">
        <f>VLOOKUP(B32,'Reference table'!J$2:K$195,2,FALSE)</f>
        <v>Switzerland</v>
      </c>
      <c r="B32" t="s">
        <v>518</v>
      </c>
      <c r="C32" t="str">
        <f>VLOOKUP(B32,'Reference table'!C$1:E$195,3,FALSE)</f>
        <v>HIN</v>
      </c>
      <c r="D32" s="2">
        <f>VLOOKUP($B32,'Raw HWF'!$C$2:$Q$195,9,FALSE)</f>
        <v>43.804359436035156</v>
      </c>
      <c r="E32" s="2">
        <f>VLOOKUP($B32,'Raw HWF'!$C$2:$Q$195,10,FALSE)</f>
        <v>179.25448608398438</v>
      </c>
      <c r="F32" s="2">
        <f>VLOOKUP($B32,'Raw HWF'!$C$2:$Q$195,11,FALSE)</f>
        <v>3.3510406017303467</v>
      </c>
      <c r="G32" s="2">
        <f>VLOOKUP($B32,'Raw HWF'!$C$2:$Q$195,12,FALSE)</f>
        <v>4.0517444610595703</v>
      </c>
      <c r="H32" s="2">
        <f>VLOOKUP($B32,'Raw HWF'!$C$2:$Q$195,13,FALSE)</f>
        <v>6.7148847579956055</v>
      </c>
      <c r="I32" s="5">
        <f>VLOOKUP($B32,'Raw HWF'!$C$2:$Q$195,14,FALSE)</f>
        <v>480.61956787109375</v>
      </c>
      <c r="J32" s="5">
        <f>VLOOKUP(B32,'Pop2020'!$D$2:$E$202,2,FALSE)</f>
        <v>8654622</v>
      </c>
      <c r="K32" s="6">
        <f t="shared" si="0"/>
        <v>2.3414325972593479E-3</v>
      </c>
      <c r="L32" s="2">
        <f t="shared" si="1"/>
        <v>237.17651534080505</v>
      </c>
      <c r="M32" s="3">
        <f t="shared" si="2"/>
        <v>226.40988612174988</v>
      </c>
      <c r="N32">
        <f>VLOOKUP(B32,UHC!$G$2:$X$195,18,FALSE)</f>
        <v>87.14</v>
      </c>
      <c r="O32">
        <f>VLOOKUP(B32,'Covid-19 impact - vaccination'!$B$2:$D$195,2,FALSE)</f>
        <v>0.63957357794416803</v>
      </c>
      <c r="P32">
        <f>VLOOKUP(B32,'Covid-19 impact - vaccination'!$B$2:$D$195,3,FALSE)</f>
        <v>8.1170620801151712E-4</v>
      </c>
    </row>
    <row r="33" spans="1:16" x14ac:dyDescent="0.35">
      <c r="A33" t="str">
        <f>VLOOKUP(B33,'Reference table'!J$2:K$195,2,FALSE)</f>
        <v>Chile</v>
      </c>
      <c r="B33" t="s">
        <v>252</v>
      </c>
      <c r="C33" t="str">
        <f>VLOOKUP(B33,'Reference table'!C$1:E$195,3,FALSE)</f>
        <v>UMI</v>
      </c>
      <c r="D33" s="2">
        <f>VLOOKUP($B33,'Raw HWF'!$C$2:$Q$195,9,FALSE)</f>
        <v>28.374868392944336</v>
      </c>
      <c r="E33" s="2">
        <f>VLOOKUP($B33,'Raw HWF'!$C$2:$Q$195,10,FALSE)</f>
        <v>35.350784301757813</v>
      </c>
      <c r="F33" s="2">
        <f>VLOOKUP($B33,'Raw HWF'!$C$2:$Q$195,11,FALSE)</f>
        <v>8.163874626159668</v>
      </c>
      <c r="G33" s="2">
        <f>VLOOKUP($B33,'Raw HWF'!$C$2:$Q$195,12,FALSE)</f>
        <v>13.971203804016113</v>
      </c>
      <c r="H33" s="2">
        <f>VLOOKUP($B33,'Raw HWF'!$C$2:$Q$195,13,FALSE)</f>
        <v>6.0795812606811523</v>
      </c>
      <c r="I33" s="5">
        <f>VLOOKUP($B33,'Raw HWF'!$C$2:$Q$195,14,FALSE)</f>
        <v>0</v>
      </c>
      <c r="J33" s="5">
        <f>VLOOKUP(B33,'Pop2020'!$D$2:$E$202,2,FALSE)</f>
        <v>19116200.999999996</v>
      </c>
      <c r="K33" s="6">
        <f t="shared" si="0"/>
        <v>0</v>
      </c>
      <c r="L33" s="2">
        <f t="shared" si="1"/>
        <v>91.940312385559082</v>
      </c>
      <c r="M33" s="3">
        <f t="shared" si="2"/>
        <v>71.889527320861816</v>
      </c>
      <c r="N33">
        <f>VLOOKUP(B33,UHC!$G$2:$X$195,18,FALSE)</f>
        <v>79.84</v>
      </c>
      <c r="O33">
        <f>VLOOKUP(B33,'Covid-19 impact - vaccination'!$B$2:$D$195,2,FALSE)</f>
        <v>0.8671112529105548</v>
      </c>
      <c r="P33">
        <f>VLOOKUP(B33,'Covid-19 impact - vaccination'!$B$2:$D$195,3,FALSE)</f>
        <v>0</v>
      </c>
    </row>
    <row r="34" spans="1:16" x14ac:dyDescent="0.35">
      <c r="A34" t="str">
        <f>VLOOKUP(B34,'Reference table'!J$2:K$195,2,FALSE)</f>
        <v>China</v>
      </c>
      <c r="B34" t="s">
        <v>196</v>
      </c>
      <c r="C34" t="str">
        <f>VLOOKUP(B34,'Reference table'!C$1:E$195,3,FALSE)</f>
        <v>LMI</v>
      </c>
      <c r="D34" s="2">
        <f>VLOOKUP($B34,'Raw HWF'!$C$2:$Q$195,9,FALSE)</f>
        <v>22.295242309570313</v>
      </c>
      <c r="E34" s="2">
        <f>VLOOKUP($B34,'Raw HWF'!$C$2:$Q$195,10,FALSE)</f>
        <v>30.868381500244141</v>
      </c>
      <c r="F34" s="2">
        <f>VLOOKUP($B34,'Raw HWF'!$C$2:$Q$195,11,FALSE)</f>
        <v>4.2987570762634277</v>
      </c>
      <c r="G34" s="2">
        <f>VLOOKUP($B34,'Raw HWF'!$C$2:$Q$195,12,FALSE)</f>
        <v>4.4545454978942871</v>
      </c>
      <c r="H34" s="2">
        <f>VLOOKUP($B34,'Raw HWF'!$C$2:$Q$195,13,FALSE)</f>
        <v>3.1678321361541748</v>
      </c>
      <c r="I34" s="5">
        <f>VLOOKUP($B34,'Raw HWF'!$C$2:$Q$195,14,FALSE)</f>
        <v>7615.29833984375</v>
      </c>
      <c r="J34" s="5">
        <f>VLOOKUP(B34,'Pop2020'!$D$2:$E$202,2,FALSE)</f>
        <v>1439323775.9999998</v>
      </c>
      <c r="K34" s="6">
        <f t="shared" si="0"/>
        <v>8.1292246377877666E-4</v>
      </c>
      <c r="L34" s="2">
        <f t="shared" si="1"/>
        <v>65.084758520126343</v>
      </c>
      <c r="M34" s="3">
        <f t="shared" si="2"/>
        <v>57.462380886077881</v>
      </c>
      <c r="N34">
        <f>VLOOKUP(B34,UHC!$G$2:$X$195,18,FALSE)</f>
        <v>82.17</v>
      </c>
      <c r="O34">
        <f>VLOOKUP(B34,'Covid-19 impact - vaccination'!$B$2:$D$195,2,FALSE)</f>
        <v>0.82590592381677863</v>
      </c>
      <c r="P34">
        <f>VLOOKUP(B34,'Covid-19 impact - vaccination'!$B$2:$D$195,3,FALSE)</f>
        <v>0</v>
      </c>
    </row>
    <row r="35" spans="1:16" x14ac:dyDescent="0.35">
      <c r="A35" t="str">
        <f>VLOOKUP(B35,'Reference table'!J$2:K$195,2,FALSE)</f>
        <v>Cote d'Ivoire</v>
      </c>
      <c r="B35" t="s">
        <v>268</v>
      </c>
      <c r="C35" t="str">
        <f>VLOOKUP(B35,'Reference table'!C$1:E$195,3,FALSE)</f>
        <v>LIN</v>
      </c>
      <c r="D35" s="2">
        <f>VLOOKUP($B35,'Raw HWF'!$C$2:$Q$195,9,FALSE)</f>
        <v>1.6237354278564453</v>
      </c>
      <c r="E35" s="2">
        <f>VLOOKUP($B35,'Raw HWF'!$C$2:$Q$195,10,FALSE)</f>
        <v>4.3809337615966797</v>
      </c>
      <c r="F35" s="2">
        <f>VLOOKUP($B35,'Raw HWF'!$C$2:$Q$195,11,FALSE)</f>
        <v>2.1793773174285889</v>
      </c>
      <c r="G35" s="2">
        <f>VLOOKUP($B35,'Raw HWF'!$C$2:$Q$195,12,FALSE)</f>
        <v>0.14513619244098663</v>
      </c>
      <c r="H35" s="2">
        <f>VLOOKUP($B35,'Raw HWF'!$C$2:$Q$195,13,FALSE)</f>
        <v>0.36731517314910889</v>
      </c>
      <c r="I35" s="5">
        <f>VLOOKUP($B35,'Raw HWF'!$C$2:$Q$195,14,FALSE)</f>
        <v>162190.9375</v>
      </c>
      <c r="J35" s="5">
        <f>VLOOKUP(B35,'Pop2020'!$D$2:$E$202,2,FALSE)</f>
        <v>26378273.999999993</v>
      </c>
      <c r="K35" s="6">
        <f t="shared" si="0"/>
        <v>7.0702669880950646</v>
      </c>
      <c r="L35" s="2">
        <f t="shared" si="1"/>
        <v>8.6964978724718094</v>
      </c>
      <c r="M35" s="3">
        <f t="shared" si="2"/>
        <v>8.1840465068817139</v>
      </c>
      <c r="N35">
        <f>VLOOKUP(B35,UHC!$G$2:$X$195,18,FALSE)</f>
        <v>45.44</v>
      </c>
      <c r="O35">
        <f>VLOOKUP(B35,'Covid-19 impact - vaccination'!$B$2:$D$195,2,FALSE)</f>
        <v>8.1978752665924998E-2</v>
      </c>
      <c r="P35">
        <f>VLOOKUP(B35,'Covid-19 impact - vaccination'!$B$2:$D$195,3,FALSE)</f>
        <v>0.3004258490747832</v>
      </c>
    </row>
    <row r="36" spans="1:16" x14ac:dyDescent="0.35">
      <c r="A36" t="str">
        <f>VLOOKUP(B36,'Reference table'!J$2:K$195,2,FALSE)</f>
        <v>Cameroon</v>
      </c>
      <c r="B36" t="s">
        <v>246</v>
      </c>
      <c r="C36" t="str">
        <f>VLOOKUP(B36,'Reference table'!C$1:E$195,3,FALSE)</f>
        <v>LIN</v>
      </c>
      <c r="D36" s="2">
        <f>VLOOKUP($B36,'Raw HWF'!$C$2:$Q$195,9,FALSE)</f>
        <v>0.96716982126235962</v>
      </c>
      <c r="E36" s="2">
        <f>VLOOKUP($B36,'Raw HWF'!$C$2:$Q$195,10,FALSE)</f>
        <v>4.3313207626342773</v>
      </c>
      <c r="F36" s="2">
        <f>VLOOKUP($B36,'Raw HWF'!$C$2:$Q$195,11,FALSE)</f>
        <v>0.47471699118614197</v>
      </c>
      <c r="G36" s="2">
        <f>VLOOKUP($B36,'Raw HWF'!$C$2:$Q$195,12,FALSE)</f>
        <v>7.207547128200531E-2</v>
      </c>
      <c r="H36" s="2">
        <f>VLOOKUP($B36,'Raw HWF'!$C$2:$Q$195,13,FALSE)</f>
        <v>0.12716981768608093</v>
      </c>
      <c r="I36" s="5">
        <f>VLOOKUP($B36,'Raw HWF'!$C$2:$Q$195,14,FALSE)</f>
        <v>173239.953125</v>
      </c>
      <c r="J36" s="5">
        <f>VLOOKUP(B36,'Pop2020'!$D$2:$E$202,2,FALSE)</f>
        <v>26545863.000000007</v>
      </c>
      <c r="K36" s="6">
        <f t="shared" si="0"/>
        <v>10.926937976479152</v>
      </c>
      <c r="L36" s="2">
        <f t="shared" si="1"/>
        <v>5.9724528640508652</v>
      </c>
      <c r="M36" s="3">
        <f t="shared" si="2"/>
        <v>5.7732075750827789</v>
      </c>
      <c r="N36">
        <f>VLOOKUP(B36,UHC!$G$2:$X$195,18,FALSE)</f>
        <v>44.31</v>
      </c>
      <c r="O36">
        <f>VLOOKUP(B36,'Covid-19 impact - vaccination'!$B$2:$D$195,2,FALSE)</f>
        <v>2.4987584694458793E-2</v>
      </c>
      <c r="P36">
        <f>VLOOKUP(B36,'Covid-19 impact - vaccination'!$B$2:$D$195,3,FALSE)</f>
        <v>0.29735680829183797</v>
      </c>
    </row>
    <row r="37" spans="1:16" x14ac:dyDescent="0.35">
      <c r="A37" t="str">
        <f>VLOOKUP(B37,'Reference table'!J$2:K$195,2,FALSE)</f>
        <v>Democratic Republic of the Congo</v>
      </c>
      <c r="B37" t="s">
        <v>50</v>
      </c>
      <c r="C37" t="str">
        <f>VLOOKUP(B37,'Reference table'!C$1:E$195,3,FALSE)</f>
        <v>LIN</v>
      </c>
      <c r="D37" s="2">
        <f>VLOOKUP($B37,'Raw HWF'!$C$2:$Q$195,9,FALSE)</f>
        <v>3.7510106563568115</v>
      </c>
      <c r="E37" s="2">
        <f>VLOOKUP($B37,'Raw HWF'!$C$2:$Q$195,10,FALSE)</f>
        <v>11.097027778625488</v>
      </c>
      <c r="F37" s="2">
        <f>VLOOKUP($B37,'Raw HWF'!$C$2:$Q$195,11,FALSE)</f>
        <v>0</v>
      </c>
      <c r="G37" s="2">
        <f>VLOOKUP($B37,'Raw HWF'!$C$2:$Q$195,12,FALSE)</f>
        <v>4.8038050532341003E-2</v>
      </c>
      <c r="H37" s="2">
        <f>VLOOKUP($B37,'Raw HWF'!$C$2:$Q$195,13,FALSE)</f>
        <v>0.20059452950954437</v>
      </c>
      <c r="I37" s="5">
        <f>VLOOKUP($B37,'Raw HWF'!$C$2:$Q$195,14,FALSE)</f>
        <v>418150.25</v>
      </c>
      <c r="J37" s="5">
        <f>VLOOKUP(B37,'Pop2020'!$D$2:$E$202,2,FALSE)</f>
        <v>89561402.99999997</v>
      </c>
      <c r="K37" s="6">
        <f t="shared" si="0"/>
        <v>3.092646499495689</v>
      </c>
      <c r="L37" s="2">
        <f t="shared" si="1"/>
        <v>15.096671015024185</v>
      </c>
      <c r="M37" s="3">
        <f t="shared" si="2"/>
        <v>14.8480384349823</v>
      </c>
      <c r="N37">
        <f>VLOOKUP(B37,UHC!$G$2:$X$195,18,FALSE)</f>
        <v>38.549999999999997</v>
      </c>
      <c r="O37">
        <f>VLOOKUP(B37,'Covid-19 impact - vaccination'!$B$2:$D$195,2,FALSE)</f>
        <v>1.7901349758891116E-3</v>
      </c>
      <c r="P37">
        <f>VLOOKUP(B37,'Covid-19 impact - vaccination'!$B$2:$D$195,3,FALSE)</f>
        <v>0.2357905310021492</v>
      </c>
    </row>
    <row r="38" spans="1:16" x14ac:dyDescent="0.35">
      <c r="A38" t="str">
        <f>VLOOKUP(B38,'Reference table'!J$2:K$195,2,FALSE)</f>
        <v>Congo</v>
      </c>
      <c r="B38" t="s">
        <v>443</v>
      </c>
      <c r="C38" t="str">
        <f>VLOOKUP(B38,'Reference table'!C$1:E$195,3,FALSE)</f>
        <v>LIN</v>
      </c>
      <c r="D38" s="2">
        <f>VLOOKUP($B38,'Raw HWF'!$C$2:$Q$195,9,FALSE)</f>
        <v>1.0373042821884155</v>
      </c>
      <c r="E38" s="2">
        <f>VLOOKUP($B38,'Raw HWF'!$C$2:$Q$195,10,FALSE)</f>
        <v>9.6884975433349609</v>
      </c>
      <c r="F38" s="2">
        <f>VLOOKUP($B38,'Raw HWF'!$C$2:$Q$195,11,FALSE)</f>
        <v>0</v>
      </c>
      <c r="G38" s="2">
        <f>VLOOKUP($B38,'Raw HWF'!$C$2:$Q$195,12,FALSE)</f>
        <v>5.1483850926160812E-2</v>
      </c>
      <c r="H38" s="2">
        <f>VLOOKUP($B38,'Raw HWF'!$C$2:$Q$195,13,FALSE)</f>
        <v>0.29936906695365906</v>
      </c>
      <c r="I38" s="5">
        <f>VLOOKUP($B38,'Raw HWF'!$C$2:$Q$195,14,FALSE)</f>
        <v>28958.66796875</v>
      </c>
      <c r="J38" s="5">
        <f>VLOOKUP(B38,'Pop2020'!$D$2:$E$202,2,FALSE)</f>
        <v>5518087</v>
      </c>
      <c r="K38" s="6">
        <f t="shared" si="0"/>
        <v>4.7378512227057978</v>
      </c>
      <c r="L38" s="2">
        <f t="shared" si="1"/>
        <v>11.076654743403196</v>
      </c>
      <c r="M38" s="3">
        <f t="shared" si="2"/>
        <v>10.725801825523376</v>
      </c>
      <c r="N38">
        <f>VLOOKUP(B38,UHC!$G$2:$X$195,18,FALSE)</f>
        <v>40.49</v>
      </c>
      <c r="O38">
        <f>VLOOKUP(B38,'Covid-19 impact - vaccination'!$B$2:$D$195,2,FALSE)</f>
        <v>0.10576292109928677</v>
      </c>
      <c r="P38">
        <f>VLOOKUP(B38,'Covid-19 impact - vaccination'!$B$2:$D$195,3,FALSE)</f>
        <v>0.23998787626348012</v>
      </c>
    </row>
    <row r="39" spans="1:16" x14ac:dyDescent="0.35">
      <c r="A39" t="str">
        <f>VLOOKUP(B39,'Reference table'!J$2:K$195,2,FALSE)</f>
        <v>Cook Islands</v>
      </c>
      <c r="B39" t="s">
        <v>39</v>
      </c>
      <c r="C39" t="str">
        <f>VLOOKUP(B39,'Reference table'!C$1:E$195,3,FALSE)</f>
        <v>UMI</v>
      </c>
      <c r="D39" s="2">
        <f>VLOOKUP($B39,'Raw HWF'!$C$2:$Q$195,9,FALSE)</f>
        <v>14.136273384094238</v>
      </c>
      <c r="E39" s="2">
        <f>VLOOKUP($B39,'Raw HWF'!$C$2:$Q$195,10,FALSE)</f>
        <v>62.688777923583984</v>
      </c>
      <c r="F39" s="2">
        <f>VLOOKUP($B39,'Raw HWF'!$C$2:$Q$195,11,FALSE)</f>
        <v>17.096939086914063</v>
      </c>
      <c r="G39" s="2">
        <f>VLOOKUP($B39,'Raw HWF'!$C$2:$Q$195,12,FALSE)</f>
        <v>3.4193878173828125</v>
      </c>
      <c r="H39" s="2">
        <f>VLOOKUP($B39,'Raw HWF'!$C$2:$Q$195,13,FALSE)</f>
        <v>0.56545096635818481</v>
      </c>
      <c r="I39" s="5">
        <f>VLOOKUP($B39,'Raw HWF'!$C$2:$Q$195,14,FALSE)</f>
        <v>3.0892734527587891</v>
      </c>
      <c r="J39" s="5">
        <v>17564</v>
      </c>
      <c r="K39" s="6">
        <f t="shared" si="0"/>
        <v>1.7964698723004335E-2</v>
      </c>
      <c r="L39" s="2">
        <f t="shared" si="1"/>
        <v>97.906829178333282</v>
      </c>
      <c r="M39" s="3">
        <f t="shared" si="2"/>
        <v>93.921990394592285</v>
      </c>
      <c r="N39">
        <f>VLOOKUP(B39,UHC!$G$2:$X$195,18,FALSE)</f>
        <v>53.77</v>
      </c>
      <c r="O39">
        <f>VLOOKUP(B39,'Covid-19 impact - vaccination'!$B$2:$D$195,2,FALSE)</f>
        <v>0.71908449100432703</v>
      </c>
      <c r="P39">
        <f>VLOOKUP(B39,'Covid-19 impact - vaccination'!$B$2:$D$195,3,FALSE)</f>
        <v>0</v>
      </c>
    </row>
    <row r="40" spans="1:16" x14ac:dyDescent="0.35">
      <c r="A40" t="str">
        <f>VLOOKUP(B40,'Reference table'!J$2:K$195,2,FALSE)</f>
        <v>Colombia</v>
      </c>
      <c r="B40" t="s">
        <v>255</v>
      </c>
      <c r="C40" t="str">
        <f>VLOOKUP(B40,'Reference table'!C$1:E$195,3,FALSE)</f>
        <v>LMI</v>
      </c>
      <c r="D40" s="2">
        <f>VLOOKUP($B40,'Raw HWF'!$C$2:$Q$195,9,FALSE)</f>
        <v>23.262083053588867</v>
      </c>
      <c r="E40" s="2">
        <f>VLOOKUP($B40,'Raw HWF'!$C$2:$Q$195,10,FALSE)</f>
        <v>14.554813385009766</v>
      </c>
      <c r="F40" s="2">
        <f>VLOOKUP($B40,'Raw HWF'!$C$2:$Q$195,11,FALSE)</f>
        <v>4.2987570762634277</v>
      </c>
      <c r="G40" s="2">
        <f>VLOOKUP($B40,'Raw HWF'!$C$2:$Q$195,12,FALSE)</f>
        <v>10.52259349822998</v>
      </c>
      <c r="H40" s="2">
        <f>VLOOKUP($B40,'Raw HWF'!$C$2:$Q$195,13,FALSE)</f>
        <v>1.7689586877822876</v>
      </c>
      <c r="I40" s="5">
        <f>VLOOKUP($B40,'Raw HWF'!$C$2:$Q$195,14,FALSE)</f>
        <v>106934.09375</v>
      </c>
      <c r="J40" s="5">
        <f>VLOOKUP(B40,'Pop2020'!$D$2:$E$202,2,FALSE)</f>
        <v>50882890.999999993</v>
      </c>
      <c r="K40" s="6">
        <f t="shared" si="0"/>
        <v>0.38626734377861233</v>
      </c>
      <c r="L40" s="2">
        <f t="shared" si="1"/>
        <v>54.407205700874329</v>
      </c>
      <c r="M40" s="3">
        <f t="shared" si="2"/>
        <v>42.115653514862061</v>
      </c>
      <c r="N40">
        <f>VLOOKUP(B40,UHC!$G$2:$X$195,18,FALSE)</f>
        <v>78.27</v>
      </c>
      <c r="O40">
        <f>VLOOKUP(B40,'Covid-19 impact - vaccination'!$B$2:$D$195,2,FALSE)</f>
        <v>0.56485171017503699</v>
      </c>
      <c r="P40">
        <f>VLOOKUP(B40,'Covid-19 impact - vaccination'!$B$2:$D$195,3,FALSE)</f>
        <v>2.5772718951128631E-3</v>
      </c>
    </row>
    <row r="41" spans="1:16" x14ac:dyDescent="0.35">
      <c r="A41" t="str">
        <f>VLOOKUP(B41,'Reference table'!J$2:K$195,2,FALSE)</f>
        <v>Comoros</v>
      </c>
      <c r="B41" t="s">
        <v>532</v>
      </c>
      <c r="C41" t="str">
        <f>VLOOKUP(B41,'Reference table'!C$1:E$195,3,FALSE)</f>
        <v>LIN</v>
      </c>
      <c r="D41" s="2">
        <f>VLOOKUP($B41,'Raw HWF'!$C$2:$Q$195,9,FALSE)</f>
        <v>2.6432077884674072</v>
      </c>
      <c r="E41" s="2">
        <f>VLOOKUP($B41,'Raw HWF'!$C$2:$Q$195,10,FALSE)</f>
        <v>14.825992584228516</v>
      </c>
      <c r="F41" s="2">
        <f>VLOOKUP($B41,'Raw HWF'!$C$2:$Q$195,11,FALSE)</f>
        <v>0</v>
      </c>
      <c r="G41" s="2">
        <f>VLOOKUP($B41,'Raw HWF'!$C$2:$Q$195,12,FALSE)</f>
        <v>0.38446658849716187</v>
      </c>
      <c r="H41" s="2">
        <f>VLOOKUP($B41,'Raw HWF'!$C$2:$Q$195,13,FALSE)</f>
        <v>0.66080194711685181</v>
      </c>
      <c r="I41" s="5">
        <f>VLOOKUP($B41,'Raw HWF'!$C$2:$Q$195,14,FALSE)</f>
        <v>3628.657470703125</v>
      </c>
      <c r="J41" s="5">
        <f>VLOOKUP(B41,'Pop2020'!$D$2:$E$202,2,FALSE)</f>
        <v>869601.00000000012</v>
      </c>
      <c r="K41" s="6">
        <f t="shared" si="0"/>
        <v>2.2537964237032018</v>
      </c>
      <c r="L41" s="2">
        <f t="shared" si="1"/>
        <v>18.514468908309937</v>
      </c>
      <c r="M41" s="3">
        <f t="shared" si="2"/>
        <v>17.469200372695923</v>
      </c>
      <c r="N41">
        <f>VLOOKUP(B41,UHC!$G$2:$X$195,18,FALSE)</f>
        <v>43.63</v>
      </c>
      <c r="O41">
        <f>VLOOKUP(B41,'Covid-19 impact - vaccination'!$B$2:$D$195,2,FALSE)</f>
        <v>0.2830482025664644</v>
      </c>
      <c r="P41">
        <f>VLOOKUP(B41,'Covid-19 impact - vaccination'!$B$2:$D$195,3,FALSE)</f>
        <v>9.5956497775495225E-2</v>
      </c>
    </row>
    <row r="42" spans="1:16" x14ac:dyDescent="0.35">
      <c r="A42" t="str">
        <f>VLOOKUP(B42,'Reference table'!J$2:K$195,2,FALSE)</f>
        <v>Cape Verde</v>
      </c>
      <c r="B42" t="s">
        <v>243</v>
      </c>
      <c r="C42" t="str">
        <f>VLOOKUP(B42,'Reference table'!C$1:E$195,3,FALSE)</f>
        <v>LMI</v>
      </c>
      <c r="D42" s="2">
        <f>VLOOKUP($B42,'Raw HWF'!$C$2:$Q$195,9,FALSE)</f>
        <v>8.3124294281005859</v>
      </c>
      <c r="E42" s="2">
        <f>VLOOKUP($B42,'Raw HWF'!$C$2:$Q$195,10,FALSE)</f>
        <v>12.983573913574219</v>
      </c>
      <c r="F42" s="2">
        <f>VLOOKUP($B42,'Raw HWF'!$C$2:$Q$195,11,FALSE)</f>
        <v>4.2987570762634277</v>
      </c>
      <c r="G42" s="2">
        <f>VLOOKUP($B42,'Raw HWF'!$C$2:$Q$195,12,FALSE)</f>
        <v>2.1820721626281738</v>
      </c>
      <c r="H42" s="2">
        <f>VLOOKUP($B42,'Raw HWF'!$C$2:$Q$195,13,FALSE)</f>
        <v>3.1631369590759277</v>
      </c>
      <c r="I42" s="5">
        <f>VLOOKUP($B42,'Raw HWF'!$C$2:$Q$195,14,FALSE)</f>
        <v>1804.40185546875</v>
      </c>
      <c r="J42" s="5">
        <f>VLOOKUP(B42,'Pop2020'!$D$2:$E$202,2,FALSE)</f>
        <v>555986.99999999988</v>
      </c>
      <c r="K42" s="6">
        <f t="shared" si="0"/>
        <v>1.0489354088558049</v>
      </c>
      <c r="L42" s="2">
        <f t="shared" si="1"/>
        <v>30.939969539642334</v>
      </c>
      <c r="M42" s="3">
        <f t="shared" si="2"/>
        <v>25.594760417938232</v>
      </c>
      <c r="N42">
        <f>VLOOKUP(B42,UHC!$G$2:$X$195,18,FALSE)</f>
        <v>69.41</v>
      </c>
      <c r="O42">
        <f>VLOOKUP(B42,'Covid-19 impact - vaccination'!$B$2:$D$195,2,FALSE)</f>
        <v>0.48210839462073751</v>
      </c>
      <c r="P42">
        <f>VLOOKUP(B42,'Covid-19 impact - vaccination'!$B$2:$D$195,3,FALSE)</f>
        <v>5.560963945582224E-3</v>
      </c>
    </row>
    <row r="43" spans="1:16" x14ac:dyDescent="0.35">
      <c r="A43" t="str">
        <f>VLOOKUP(B43,'Reference table'!J$2:K$195,2,FALSE)</f>
        <v>Costa Rica</v>
      </c>
      <c r="B43" t="s">
        <v>258</v>
      </c>
      <c r="C43" t="str">
        <f>VLOOKUP(B43,'Reference table'!C$1:E$195,3,FALSE)</f>
        <v>UMI</v>
      </c>
      <c r="D43" s="2">
        <f>VLOOKUP($B43,'Raw HWF'!$C$2:$Q$195,9,FALSE)</f>
        <v>33.004756927490234</v>
      </c>
      <c r="E43" s="2">
        <f>VLOOKUP($B43,'Raw HWF'!$C$2:$Q$195,10,FALSE)</f>
        <v>38.016426086425781</v>
      </c>
      <c r="F43" s="2">
        <f>VLOOKUP($B43,'Raw HWF'!$C$2:$Q$195,11,FALSE)</f>
        <v>0</v>
      </c>
      <c r="G43" s="2">
        <f>VLOOKUP($B43,'Raw HWF'!$C$2:$Q$195,12,FALSE)</f>
        <v>11.511324882507324</v>
      </c>
      <c r="H43" s="2">
        <f>VLOOKUP($B43,'Raw HWF'!$C$2:$Q$195,13,FALSE)</f>
        <v>11.947121620178223</v>
      </c>
      <c r="I43" s="5">
        <f>VLOOKUP($B43,'Raw HWF'!$C$2:$Q$195,14,FALSE)</f>
        <v>0</v>
      </c>
      <c r="J43" s="5">
        <f>VLOOKUP(B43,'Pop2020'!$D$2:$E$202,2,FALSE)</f>
        <v>5094118.0000000009</v>
      </c>
      <c r="K43" s="6">
        <f t="shared" si="0"/>
        <v>0</v>
      </c>
      <c r="L43" s="2">
        <f t="shared" si="1"/>
        <v>94.479629516601563</v>
      </c>
      <c r="M43" s="3">
        <f t="shared" si="2"/>
        <v>71.021183013916016</v>
      </c>
      <c r="N43">
        <f>VLOOKUP(B43,UHC!$G$2:$X$195,18,FALSE)</f>
        <v>78.209999999999994</v>
      </c>
      <c r="O43">
        <f>VLOOKUP(B43,'Covid-19 impact - vaccination'!$B$2:$D$195,2,FALSE)</f>
        <v>0.69617154529989289</v>
      </c>
      <c r="P43">
        <f>VLOOKUP(B43,'Covid-19 impact - vaccination'!$B$2:$D$195,3,FALSE)</f>
        <v>0</v>
      </c>
    </row>
    <row r="44" spans="1:16" x14ac:dyDescent="0.35">
      <c r="A44" t="str">
        <f>VLOOKUP(B44,'Reference table'!J$2:K$195,2,FALSE)</f>
        <v>Cuba</v>
      </c>
      <c r="B44" t="s">
        <v>264</v>
      </c>
      <c r="C44" t="str">
        <f>VLOOKUP(B44,'Reference table'!C$1:E$195,3,FALSE)</f>
        <v>LMI</v>
      </c>
      <c r="D44" s="2">
        <f>VLOOKUP($B44,'Raw HWF'!$C$2:$Q$195,9,FALSE)</f>
        <v>84.483184814453125</v>
      </c>
      <c r="E44" s="2">
        <f>VLOOKUP($B44,'Raw HWF'!$C$2:$Q$195,10,FALSE)</f>
        <v>75.869026184082031</v>
      </c>
      <c r="F44" s="2">
        <f>VLOOKUP($B44,'Raw HWF'!$C$2:$Q$195,11,FALSE)</f>
        <v>4.2987570762634277</v>
      </c>
      <c r="G44" s="2">
        <f>VLOOKUP($B44,'Raw HWF'!$C$2:$Q$195,12,FALSE)</f>
        <v>16.755752563476563</v>
      </c>
      <c r="H44" s="2">
        <f>VLOOKUP($B44,'Raw HWF'!$C$2:$Q$195,13,FALSE)</f>
        <v>3.027867317199707</v>
      </c>
      <c r="I44" s="5">
        <f>VLOOKUP($B44,'Raw HWF'!$C$2:$Q$195,14,FALSE)</f>
        <v>0</v>
      </c>
      <c r="J44" s="5">
        <f>VLOOKUP(B44,'Pop2020'!$D$2:$E$202,2,FALSE)</f>
        <v>11326616.000000002</v>
      </c>
      <c r="K44" s="6">
        <f t="shared" si="0"/>
        <v>0</v>
      </c>
      <c r="L44" s="2">
        <f t="shared" si="1"/>
        <v>184.43458795547485</v>
      </c>
      <c r="M44" s="3">
        <f t="shared" si="2"/>
        <v>164.65096807479858</v>
      </c>
      <c r="N44">
        <f>VLOOKUP(B44,UHC!$G$2:$X$195,18,FALSE)</f>
        <v>79.67</v>
      </c>
      <c r="O44">
        <f>VLOOKUP(B44,'Covid-19 impact - vaccination'!$B$2:$D$195,2,FALSE)</f>
        <v>0.85605594821966247</v>
      </c>
      <c r="P44">
        <f>VLOOKUP(B44,'Covid-19 impact - vaccination'!$B$2:$D$195,3,FALSE)</f>
        <v>0</v>
      </c>
    </row>
    <row r="45" spans="1:16" x14ac:dyDescent="0.35">
      <c r="A45" t="str">
        <f>VLOOKUP(B45,'Reference table'!J$2:K$195,2,FALSE)</f>
        <v>Cyprus</v>
      </c>
      <c r="B45" t="s">
        <v>267</v>
      </c>
      <c r="C45" t="str">
        <f>VLOOKUP(B45,'Reference table'!C$1:E$195,3,FALSE)</f>
        <v>HIN</v>
      </c>
      <c r="D45" s="2">
        <f>VLOOKUP($B45,'Raw HWF'!$C$2:$Q$195,9,FALSE)</f>
        <v>31.437358856201172</v>
      </c>
      <c r="E45" s="2">
        <f>VLOOKUP($B45,'Raw HWF'!$C$2:$Q$195,10,FALSE)</f>
        <v>52.512886047363281</v>
      </c>
      <c r="F45" s="2">
        <f>VLOOKUP($B45,'Raw HWF'!$C$2:$Q$195,11,FALSE)</f>
        <v>2.7949881553649902</v>
      </c>
      <c r="G45" s="2">
        <f>VLOOKUP($B45,'Raw HWF'!$C$2:$Q$195,12,FALSE)</f>
        <v>8.0385990142822266</v>
      </c>
      <c r="H45" s="2">
        <f>VLOOKUP($B45,'Raw HWF'!$C$2:$Q$195,13,FALSE)</f>
        <v>6.4600205421447754</v>
      </c>
      <c r="I45" s="5">
        <f>VLOOKUP($B45,'Raw HWF'!$C$2:$Q$195,14,FALSE)</f>
        <v>147.24223327636719</v>
      </c>
      <c r="J45" s="5">
        <f>VLOOKUP(B45,'Pop2020'!$D$2:$E$202,2,FALSE)</f>
        <v>1207359</v>
      </c>
      <c r="K45" s="6">
        <f t="shared" si="0"/>
        <v>1.2045568707770347E-2</v>
      </c>
      <c r="L45" s="2">
        <f t="shared" si="1"/>
        <v>101.24385261535645</v>
      </c>
      <c r="M45" s="3">
        <f t="shared" si="2"/>
        <v>86.745233058929443</v>
      </c>
      <c r="N45">
        <f>VLOOKUP(B45,UHC!$G$2:$X$195,18,FALSE)</f>
        <v>78.739999999999995</v>
      </c>
      <c r="O45">
        <f>VLOOKUP(B45,'Covid-19 impact - vaccination'!$B$2:$D$195,2,FALSE)</f>
        <v>0.69261546950749153</v>
      </c>
      <c r="P45">
        <f>VLOOKUP(B45,'Covid-19 impact - vaccination'!$B$2:$D$195,3,FALSE)</f>
        <v>0</v>
      </c>
    </row>
    <row r="46" spans="1:16" x14ac:dyDescent="0.35">
      <c r="A46" t="str">
        <f>VLOOKUP(B46,'Reference table'!J$2:K$195,2,FALSE)</f>
        <v>Czech Republic</v>
      </c>
      <c r="B46" t="s">
        <v>42</v>
      </c>
      <c r="C46" t="str">
        <f>VLOOKUP(B46,'Reference table'!C$1:E$195,3,FALSE)</f>
        <v>UMI</v>
      </c>
      <c r="D46" s="2">
        <f>VLOOKUP($B46,'Raw HWF'!$C$2:$Q$195,9,FALSE)</f>
        <v>41.568225860595703</v>
      </c>
      <c r="E46" s="2">
        <f>VLOOKUP($B46,'Raw HWF'!$C$2:$Q$195,10,FALSE)</f>
        <v>85.377571105957031</v>
      </c>
      <c r="F46" s="2">
        <f>VLOOKUP($B46,'Raw HWF'!$C$2:$Q$195,11,FALSE)</f>
        <v>3.8738317489624023</v>
      </c>
      <c r="G46" s="2">
        <f>VLOOKUP($B46,'Raw HWF'!$C$2:$Q$195,12,FALSE)</f>
        <v>7.3130841255187988</v>
      </c>
      <c r="H46" s="2">
        <f>VLOOKUP($B46,'Raw HWF'!$C$2:$Q$195,13,FALSE)</f>
        <v>7.1831774711608887</v>
      </c>
      <c r="I46" s="5">
        <f>VLOOKUP($B46,'Raw HWF'!$C$2:$Q$195,14,FALSE)</f>
        <v>0</v>
      </c>
      <c r="J46" s="5">
        <f>VLOOKUP(B46,'Pop2020'!$D$2:$E$202,2,FALSE)</f>
        <v>10708981.000000002</v>
      </c>
      <c r="K46" s="6">
        <f t="shared" si="0"/>
        <v>0</v>
      </c>
      <c r="L46" s="2">
        <f t="shared" si="1"/>
        <v>145.31589031219482</v>
      </c>
      <c r="M46" s="3">
        <f t="shared" si="2"/>
        <v>130.81962871551514</v>
      </c>
      <c r="N46">
        <f>VLOOKUP(B46,UHC!$G$2:$X$195,18,FALSE)</f>
        <v>78.37</v>
      </c>
      <c r="O46">
        <f>VLOOKUP(B46,'Covid-19 impact - vaccination'!$B$2:$D$195,2,FALSE)</f>
        <v>0.58860556432947675</v>
      </c>
      <c r="P46">
        <f>VLOOKUP(B46,'Covid-19 impact - vaccination'!$B$2:$D$195,3,FALSE)</f>
        <v>0</v>
      </c>
    </row>
    <row r="47" spans="1:16" x14ac:dyDescent="0.35">
      <c r="A47" t="str">
        <f>VLOOKUP(B47,'Reference table'!J$2:K$195,2,FALSE)</f>
        <v>Germany</v>
      </c>
      <c r="B47" t="s">
        <v>71</v>
      </c>
      <c r="C47" t="str">
        <f>VLOOKUP(B47,'Reference table'!C$1:E$195,3,FALSE)</f>
        <v>HIN</v>
      </c>
      <c r="D47" s="2">
        <f>VLOOKUP($B47,'Raw HWF'!$C$2:$Q$195,9,FALSE)</f>
        <v>44.339141845703125</v>
      </c>
      <c r="E47" s="2">
        <f>VLOOKUP($B47,'Raw HWF'!$C$2:$Q$195,10,FALSE)</f>
        <v>138.92214965820313</v>
      </c>
      <c r="F47" s="2">
        <f>VLOOKUP($B47,'Raw HWF'!$C$2:$Q$195,11,FALSE)</f>
        <v>2.9940118789672852</v>
      </c>
      <c r="G47" s="2">
        <f>VLOOKUP($B47,'Raw HWF'!$C$2:$Q$195,12,FALSE)</f>
        <v>8.5077848434448242</v>
      </c>
      <c r="H47" s="2">
        <f>VLOOKUP($B47,'Raw HWF'!$C$2:$Q$195,13,FALSE)</f>
        <v>6.6365270614624023</v>
      </c>
      <c r="I47" s="5">
        <f>VLOOKUP($B47,'Raw HWF'!$C$2:$Q$195,14,FALSE)</f>
        <v>8227.5166015625</v>
      </c>
      <c r="J47" s="5">
        <f>VLOOKUP(B47,'Pop2020'!$D$2:$E$202,2,FALSE)</f>
        <v>83783942.000000015</v>
      </c>
      <c r="K47" s="6">
        <f t="shared" si="0"/>
        <v>4.8758388201306773E-3</v>
      </c>
      <c r="L47" s="2">
        <f t="shared" si="1"/>
        <v>201.39961528778076</v>
      </c>
      <c r="M47" s="3">
        <f t="shared" si="2"/>
        <v>186.25530338287354</v>
      </c>
      <c r="N47">
        <f>VLOOKUP(B47,UHC!$G$2:$X$195,18,FALSE)</f>
        <v>85.84</v>
      </c>
      <c r="O47">
        <f>VLOOKUP(B47,'Covid-19 impact - vaccination'!$B$2:$D$195,2,FALSE)</f>
        <v>0.6761269902810032</v>
      </c>
      <c r="P47">
        <f>VLOOKUP(B47,'Covid-19 impact - vaccination'!$B$2:$D$195,3,FALSE)</f>
        <v>0</v>
      </c>
    </row>
    <row r="48" spans="1:16" x14ac:dyDescent="0.35">
      <c r="A48" t="str">
        <f>VLOOKUP(B48,'Reference table'!J$2:K$195,2,FALSE)</f>
        <v>Djibouti</v>
      </c>
      <c r="B48" t="s">
        <v>271</v>
      </c>
      <c r="C48" t="str">
        <f>VLOOKUP(B48,'Reference table'!C$1:E$195,3,FALSE)</f>
        <v>LMI</v>
      </c>
      <c r="D48" s="2">
        <f>VLOOKUP($B48,'Raw HWF'!$C$2:$Q$195,9,FALSE)</f>
        <v>2.236546516418457</v>
      </c>
      <c r="E48" s="2">
        <f>VLOOKUP($B48,'Raw HWF'!$C$2:$Q$195,10,FALSE)</f>
        <v>5.430023193359375</v>
      </c>
      <c r="F48" s="2">
        <f>VLOOKUP($B48,'Raw HWF'!$C$2:$Q$195,11,FALSE)</f>
        <v>1.8582252264022827</v>
      </c>
      <c r="G48" s="2">
        <f>VLOOKUP($B48,'Raw HWF'!$C$2:$Q$195,12,FALSE)</f>
        <v>0.21141484379768372</v>
      </c>
      <c r="H48" s="2">
        <f>VLOOKUP($B48,'Raw HWF'!$C$2:$Q$195,13,FALSE)</f>
        <v>2.3366904258728027</v>
      </c>
      <c r="I48" s="5">
        <f>VLOOKUP($B48,'Raw HWF'!$C$2:$Q$195,14,FALSE)</f>
        <v>5578.7021484375</v>
      </c>
      <c r="J48" s="5">
        <f>VLOOKUP(B48,'Pop2020'!$D$2:$E$202,2,FALSE)</f>
        <v>988000.00000000012</v>
      </c>
      <c r="K48" s="6">
        <f t="shared" si="0"/>
        <v>4.6769703783968293</v>
      </c>
      <c r="L48" s="2">
        <f t="shared" si="1"/>
        <v>12.072900205850601</v>
      </c>
      <c r="M48" s="3">
        <f t="shared" si="2"/>
        <v>9.5247949361801147</v>
      </c>
      <c r="N48">
        <f>VLOOKUP(B48,UHC!$G$2:$X$195,18,FALSE)</f>
        <v>48.14</v>
      </c>
      <c r="O48">
        <f>VLOOKUP(B48,'Covid-19 impact - vaccination'!$B$2:$D$195,2,FALSE)</f>
        <v>8.1762145748987852E-2</v>
      </c>
      <c r="P48">
        <f>VLOOKUP(B48,'Covid-19 impact - vaccination'!$B$2:$D$195,3,FALSE)</f>
        <v>0.22109116769950643</v>
      </c>
    </row>
    <row r="49" spans="1:16" x14ac:dyDescent="0.35">
      <c r="A49" t="str">
        <f>VLOOKUP(B49,'Reference table'!J$2:K$195,2,FALSE)</f>
        <v>Dominica</v>
      </c>
      <c r="B49" t="s">
        <v>34</v>
      </c>
      <c r="C49" t="str">
        <f>VLOOKUP(B49,'Reference table'!C$1:E$195,3,FALSE)</f>
        <v>UMI</v>
      </c>
      <c r="D49" s="2">
        <f>VLOOKUP($B49,'Raw HWF'!$C$2:$Q$195,9,FALSE)</f>
        <v>11.029514312744141</v>
      </c>
      <c r="E49" s="2">
        <f>VLOOKUP($B49,'Raw HWF'!$C$2:$Q$195,10,FALSE)</f>
        <v>61.013153076171875</v>
      </c>
      <c r="F49" s="2">
        <f>VLOOKUP($B49,'Raw HWF'!$C$2:$Q$195,11,FALSE)</f>
        <v>4.2987570762634277</v>
      </c>
      <c r="G49" s="2">
        <f>VLOOKUP($B49,'Raw HWF'!$C$2:$Q$195,12,FALSE)</f>
        <v>1.116912841796875</v>
      </c>
      <c r="H49" s="2">
        <f>VLOOKUP($B49,'Raw HWF'!$C$2:$Q$195,13,FALSE)</f>
        <v>2.5835714340209961</v>
      </c>
      <c r="I49" s="5">
        <f>VLOOKUP($B49,'Raw HWF'!$C$2:$Q$195,14,FALSE)</f>
        <v>21.746841430664063</v>
      </c>
      <c r="J49" s="5">
        <v>71991</v>
      </c>
      <c r="K49" s="6">
        <f t="shared" si="0"/>
        <v>3.7739882608902764E-2</v>
      </c>
      <c r="L49" s="2">
        <f t="shared" si="1"/>
        <v>80.041908740997314</v>
      </c>
      <c r="M49" s="3">
        <f t="shared" si="2"/>
        <v>76.341424465179443</v>
      </c>
      <c r="N49">
        <f>VLOOKUP(B49,UHC!$G$2:$X$195,18,FALSE)</f>
        <v>66.680000000000007</v>
      </c>
      <c r="O49">
        <f>VLOOKUP(B49,'Covid-19 impact - vaccination'!$B$2:$D$195,2,FALSE)</f>
        <v>0.39624397494131208</v>
      </c>
      <c r="P49">
        <f>VLOOKUP(B49,'Covid-19 impact - vaccination'!$B$2:$D$195,3,FALSE)</f>
        <v>3.5309389593662456E-2</v>
      </c>
    </row>
    <row r="50" spans="1:16" x14ac:dyDescent="0.35">
      <c r="A50" t="str">
        <f>VLOOKUP(B50,'Reference table'!J$2:K$195,2,FALSE)</f>
        <v>Denmark</v>
      </c>
      <c r="B50" t="s">
        <v>144</v>
      </c>
      <c r="C50" t="str">
        <f>VLOOKUP(B50,'Reference table'!C$1:E$195,3,FALSE)</f>
        <v>HIN</v>
      </c>
      <c r="D50" s="2">
        <f>VLOOKUP($B50,'Raw HWF'!$C$2:$Q$195,9,FALSE)</f>
        <v>42.246952056884766</v>
      </c>
      <c r="E50" s="2">
        <f>VLOOKUP($B50,'Raw HWF'!$C$2:$Q$195,10,FALSE)</f>
        <v>101.71708679199219</v>
      </c>
      <c r="F50" s="2">
        <f>VLOOKUP($B50,'Raw HWF'!$C$2:$Q$195,11,FALSE)</f>
        <v>3.6369130611419678</v>
      </c>
      <c r="G50" s="2">
        <f>VLOOKUP($B50,'Raw HWF'!$C$2:$Q$195,12,FALSE)</f>
        <v>7.2355794906616211</v>
      </c>
      <c r="H50" s="2">
        <f>VLOOKUP($B50,'Raw HWF'!$C$2:$Q$195,13,FALSE)</f>
        <v>5.4414615631103516</v>
      </c>
      <c r="I50" s="5">
        <f>VLOOKUP($B50,'Raw HWF'!$C$2:$Q$195,14,FALSE)</f>
        <v>123.87113952636719</v>
      </c>
      <c r="J50" s="5">
        <f>VLOOKUP(B50,'Pop2020'!$D$2:$E$202,2,FALSE)</f>
        <v>5792201.9999999991</v>
      </c>
      <c r="K50" s="6">
        <f t="shared" si="0"/>
        <v>1.3342970876694649E-3</v>
      </c>
      <c r="L50" s="2">
        <f t="shared" si="1"/>
        <v>160.27799296379089</v>
      </c>
      <c r="M50" s="3">
        <f t="shared" si="2"/>
        <v>147.60095191001892</v>
      </c>
      <c r="N50">
        <f>VLOOKUP(B50,UHC!$G$2:$X$195,18,FALSE)</f>
        <v>84.89</v>
      </c>
      <c r="O50">
        <f>VLOOKUP(B50,'Covid-19 impact - vaccination'!$B$2:$D$195,2,FALSE)</f>
        <v>0.86542986551230061</v>
      </c>
      <c r="P50">
        <f>VLOOKUP(B50,'Covid-19 impact - vaccination'!$B$2:$D$195,3,FALSE)</f>
        <v>0</v>
      </c>
    </row>
    <row r="51" spans="1:16" x14ac:dyDescent="0.35">
      <c r="A51" t="str">
        <f>VLOOKUP(B51,'Reference table'!J$2:K$195,2,FALSE)</f>
        <v>Dominican Republic</v>
      </c>
      <c r="B51" t="s">
        <v>58</v>
      </c>
      <c r="C51" t="str">
        <f>VLOOKUP(B51,'Reference table'!C$1:E$195,3,FALSE)</f>
        <v>LMI</v>
      </c>
      <c r="D51" s="2">
        <f>VLOOKUP($B51,'Raw HWF'!$C$2:$Q$195,9,FALSE)</f>
        <v>14.571027755737305</v>
      </c>
      <c r="E51" s="2">
        <f>VLOOKUP($B51,'Raw HWF'!$C$2:$Q$195,10,FALSE)</f>
        <v>14.647663116455078</v>
      </c>
      <c r="F51" s="2">
        <f>VLOOKUP($B51,'Raw HWF'!$C$2:$Q$195,11,FALSE)</f>
        <v>4.2987570762634277</v>
      </c>
      <c r="G51" s="2">
        <f>VLOOKUP($B51,'Raw HWF'!$C$2:$Q$195,12,FALSE)</f>
        <v>2.3186914920806885</v>
      </c>
      <c r="H51" s="2">
        <f>VLOOKUP($B51,'Raw HWF'!$C$2:$Q$195,13,FALSE)</f>
        <v>1.1803737878799438</v>
      </c>
      <c r="I51" s="5">
        <f>VLOOKUP($B51,'Raw HWF'!$C$2:$Q$195,14,FALSE)</f>
        <v>23369.626953125</v>
      </c>
      <c r="J51" s="5">
        <f>VLOOKUP(B51,'Pop2020'!$D$2:$E$202,2,FALSE)</f>
        <v>10847909.999999998</v>
      </c>
      <c r="K51" s="6">
        <f t="shared" si="0"/>
        <v>0.58198286545894784</v>
      </c>
      <c r="L51" s="2">
        <f t="shared" si="1"/>
        <v>37.016513228416443</v>
      </c>
      <c r="M51" s="3">
        <f t="shared" si="2"/>
        <v>33.517447948455811</v>
      </c>
      <c r="N51">
        <f>VLOOKUP(B51,UHC!$G$2:$X$195,18,FALSE)</f>
        <v>65.72</v>
      </c>
      <c r="O51">
        <f>VLOOKUP(B51,'Covid-19 impact - vaccination'!$B$2:$D$195,2,FALSE)</f>
        <v>0.52706014338245799</v>
      </c>
      <c r="P51">
        <f>VLOOKUP(B51,'Covid-19 impact - vaccination'!$B$2:$D$195,3,FALSE)</f>
        <v>5.7669407425843047E-3</v>
      </c>
    </row>
    <row r="52" spans="1:16" x14ac:dyDescent="0.35">
      <c r="A52" t="str">
        <f>VLOOKUP(B52,'Reference table'!J$2:K$195,2,FALSE)</f>
        <v>Algeria</v>
      </c>
      <c r="B52" t="s">
        <v>190</v>
      </c>
      <c r="C52" t="str">
        <f>VLOOKUP(B52,'Reference table'!C$1:E$195,3,FALSE)</f>
        <v>LMI</v>
      </c>
      <c r="D52" s="2">
        <f>VLOOKUP($B52,'Raw HWF'!$C$2:$Q$195,9,FALSE)</f>
        <v>17.204738616943359</v>
      </c>
      <c r="E52" s="2">
        <f>VLOOKUP($B52,'Raw HWF'!$C$2:$Q$195,10,FALSE)</f>
        <v>13.367535591125488</v>
      </c>
      <c r="F52" s="2">
        <f>VLOOKUP($B52,'Raw HWF'!$C$2:$Q$195,11,FALSE)</f>
        <v>2.1203792095184326</v>
      </c>
      <c r="G52" s="2">
        <f>VLOOKUP($B52,'Raw HWF'!$C$2:$Q$195,12,FALSE)</f>
        <v>3.6580569744110107</v>
      </c>
      <c r="H52" s="2">
        <f>VLOOKUP($B52,'Raw HWF'!$C$2:$Q$195,13,FALSE)</f>
        <v>4.4566349983215332</v>
      </c>
      <c r="I52" s="5">
        <f>VLOOKUP($B52,'Raw HWF'!$C$2:$Q$195,14,FALSE)</f>
        <v>122077.640625</v>
      </c>
      <c r="J52" s="5">
        <f>VLOOKUP(B52,'Pop2020'!$D$2:$E$202,2,FALSE)</f>
        <v>43851043.999999993</v>
      </c>
      <c r="K52" s="6">
        <f t="shared" si="0"/>
        <v>0.68220963042596749</v>
      </c>
      <c r="L52" s="2">
        <f t="shared" si="1"/>
        <v>40.807345390319824</v>
      </c>
      <c r="M52" s="3">
        <f t="shared" si="2"/>
        <v>32.69265341758728</v>
      </c>
      <c r="N52">
        <f>VLOOKUP(B52,UHC!$G$2:$X$195,18,FALSE)</f>
        <v>74.989999999999995</v>
      </c>
      <c r="O52">
        <f>VLOOKUP(B52,'Covid-19 impact - vaccination'!$B$2:$D$195,2,FALSE)</f>
        <v>0.13142460188633137</v>
      </c>
      <c r="P52">
        <f>VLOOKUP(B52,'Covid-19 impact - vaccination'!$B$2:$D$195,3,FALSE)</f>
        <v>3.5642571148685187E-2</v>
      </c>
    </row>
    <row r="53" spans="1:16" x14ac:dyDescent="0.35">
      <c r="A53" t="str">
        <f>VLOOKUP(B53,'Reference table'!J$2:K$195,2,FALSE)</f>
        <v>Ecuador</v>
      </c>
      <c r="B53" t="s">
        <v>274</v>
      </c>
      <c r="C53" t="str">
        <f>VLOOKUP(B53,'Reference table'!C$1:E$195,3,FALSE)</f>
        <v>LMI</v>
      </c>
      <c r="D53" s="2">
        <f>VLOOKUP($B53,'Raw HWF'!$C$2:$Q$195,9,FALSE)</f>
        <v>22.180356979370117</v>
      </c>
      <c r="E53" s="2">
        <f>VLOOKUP($B53,'Raw HWF'!$C$2:$Q$195,10,FALSE)</f>
        <v>25.035673141479492</v>
      </c>
      <c r="F53" s="2">
        <f>VLOOKUP($B53,'Raw HWF'!$C$2:$Q$195,11,FALSE)</f>
        <v>0</v>
      </c>
      <c r="G53" s="2">
        <f>VLOOKUP($B53,'Raw HWF'!$C$2:$Q$195,12,FALSE)</f>
        <v>2.9970238208770752</v>
      </c>
      <c r="H53" s="2">
        <f>VLOOKUP($B53,'Raw HWF'!$C$2:$Q$195,13,FALSE)</f>
        <v>0.41481480002403259</v>
      </c>
      <c r="I53" s="5">
        <f>VLOOKUP($B53,'Raw HWF'!$C$2:$Q$195,14,FALSE)</f>
        <v>16565.572265625</v>
      </c>
      <c r="J53" s="5">
        <f>VLOOKUP(B53,'Pop2020'!$D$2:$E$202,2,FALSE)</f>
        <v>17643054</v>
      </c>
      <c r="K53" s="6">
        <f t="shared" si="0"/>
        <v>0.18545691643067524</v>
      </c>
      <c r="L53" s="2">
        <f t="shared" si="1"/>
        <v>50.627868741750717</v>
      </c>
      <c r="M53" s="3">
        <f t="shared" si="2"/>
        <v>47.216030120849609</v>
      </c>
      <c r="N53">
        <f>VLOOKUP(B53,UHC!$G$2:$X$195,18,FALSE)</f>
        <v>80.34</v>
      </c>
      <c r="O53">
        <f>VLOOKUP(B53,'Covid-19 impact - vaccination'!$B$2:$D$195,2,FALSE)</f>
        <v>0.72450994028584847</v>
      </c>
      <c r="P53">
        <f>VLOOKUP(B53,'Covid-19 impact - vaccination'!$B$2:$D$195,3,FALSE)</f>
        <v>0</v>
      </c>
    </row>
    <row r="54" spans="1:16" x14ac:dyDescent="0.35">
      <c r="A54" t="str">
        <f>VLOOKUP(B54,'Reference table'!J$2:K$195,2,FALSE)</f>
        <v>Egypt</v>
      </c>
      <c r="B54" t="s">
        <v>7</v>
      </c>
      <c r="C54" t="str">
        <f>VLOOKUP(B54,'Reference table'!C$1:E$195,3,FALSE)</f>
        <v>LMI</v>
      </c>
      <c r="D54" s="2">
        <f>VLOOKUP($B54,'Raw HWF'!$C$2:$Q$195,9,FALSE)</f>
        <v>7.4923000335693359</v>
      </c>
      <c r="E54" s="2">
        <f>VLOOKUP($B54,'Raw HWF'!$C$2:$Q$195,10,FALSE)</f>
        <v>19.266159057617188</v>
      </c>
      <c r="F54" s="2">
        <f>VLOOKUP($B54,'Raw HWF'!$C$2:$Q$195,11,FALSE)</f>
        <v>0</v>
      </c>
      <c r="G54" s="2">
        <f>VLOOKUP($B54,'Raw HWF'!$C$2:$Q$195,12,FALSE)</f>
        <v>2.0067074298858643</v>
      </c>
      <c r="H54" s="2">
        <f>VLOOKUP($B54,'Raw HWF'!$C$2:$Q$195,13,FALSE)</f>
        <v>4.5745935440063477</v>
      </c>
      <c r="I54" s="5">
        <f>VLOOKUP($B54,'Raw HWF'!$C$2:$Q$195,14,FALSE)</f>
        <v>247632.21875</v>
      </c>
      <c r="J54" s="5">
        <f>VLOOKUP(B54,'Pop2020'!$D$2:$E$202,2,FALSE)</f>
        <v>102334403.99999999</v>
      </c>
      <c r="K54" s="6">
        <f t="shared" si="0"/>
        <v>0.72581011165545417</v>
      </c>
      <c r="L54" s="2">
        <f t="shared" si="1"/>
        <v>33.339760065078735</v>
      </c>
      <c r="M54" s="3">
        <f t="shared" si="2"/>
        <v>26.758459091186523</v>
      </c>
      <c r="N54">
        <f>VLOOKUP(B54,UHC!$G$2:$X$195,18,FALSE)</f>
        <v>69.8</v>
      </c>
      <c r="O54">
        <f>VLOOKUP(B54,'Covid-19 impact - vaccination'!$B$2:$D$195,2,FALSE)</f>
        <v>0.23020329507171411</v>
      </c>
      <c r="P54">
        <f>VLOOKUP(B54,'Covid-19 impact - vaccination'!$B$2:$D$195,3,FALSE)</f>
        <v>3.5751066361615298E-2</v>
      </c>
    </row>
    <row r="55" spans="1:16" x14ac:dyDescent="0.35">
      <c r="A55" t="str">
        <f>VLOOKUP(B55,'Reference table'!J$2:K$195,2,FALSE)</f>
        <v>Eritrea</v>
      </c>
      <c r="B55" t="s">
        <v>500</v>
      </c>
      <c r="C55" t="str">
        <f>VLOOKUP(B55,'Reference table'!C$1:E$195,3,FALSE)</f>
        <v>LIN</v>
      </c>
      <c r="D55" s="2">
        <f>VLOOKUP($B55,'Raw HWF'!$C$2:$Q$195,9,FALSE)</f>
        <v>0.82054418325424194</v>
      </c>
      <c r="E55" s="2">
        <f>VLOOKUP($B55,'Raw HWF'!$C$2:$Q$195,10,FALSE)</f>
        <v>14.39702320098877</v>
      </c>
      <c r="F55" s="2">
        <f>VLOOKUP($B55,'Raw HWF'!$C$2:$Q$195,11,FALSE)</f>
        <v>0</v>
      </c>
      <c r="G55" s="2">
        <f>VLOOKUP($B55,'Raw HWF'!$C$2:$Q$195,12,FALSE)</f>
        <v>0.53869372606277466</v>
      </c>
      <c r="H55" s="2">
        <f>VLOOKUP($B55,'Raw HWF'!$C$2:$Q$195,13,FALSE)</f>
        <v>1.3061873912811279</v>
      </c>
      <c r="I55" s="5">
        <f>VLOOKUP($B55,'Raw HWF'!$C$2:$Q$195,14,FALSE)</f>
        <v>15542.935546875</v>
      </c>
      <c r="J55" s="5">
        <f>VLOOKUP(B55,'Pop2020'!$D$2:$E$202,2,FALSE)</f>
        <v>3546421.0000000005</v>
      </c>
      <c r="K55" s="6">
        <f t="shared" si="0"/>
        <v>2.5686291246973818</v>
      </c>
      <c r="L55" s="2">
        <f t="shared" si="1"/>
        <v>17.062448501586914</v>
      </c>
      <c r="M55" s="3">
        <f t="shared" si="2"/>
        <v>15.217567384243011</v>
      </c>
      <c r="N55">
        <f>VLOOKUP(B55,UHC!$G$2:$X$195,18,FALSE)</f>
        <v>49.8</v>
      </c>
      <c r="O55">
        <f>VLOOKUP(B55,'Covid-19 impact - vaccination'!$B$2:$D$195,2,FALSE)</f>
        <v>0</v>
      </c>
      <c r="P55">
        <f>VLOOKUP(B55,'Covid-19 impact - vaccination'!$B$2:$D$195,3,FALSE)</f>
        <v>0.16781226127386709</v>
      </c>
    </row>
    <row r="56" spans="1:16" x14ac:dyDescent="0.35">
      <c r="A56" t="str">
        <f>VLOOKUP(B56,'Reference table'!J$2:K$195,2,FALSE)</f>
        <v>Spain</v>
      </c>
      <c r="B56" t="s">
        <v>162</v>
      </c>
      <c r="C56" t="str">
        <f>VLOOKUP(B56,'Reference table'!C$1:E$195,3,FALSE)</f>
        <v>HIN</v>
      </c>
      <c r="D56" s="2">
        <f>VLOOKUP($B56,'Raw HWF'!$C$2:$Q$195,9,FALSE)</f>
        <v>44.446468353271484</v>
      </c>
      <c r="E56" s="2">
        <f>VLOOKUP($B56,'Raw HWF'!$C$2:$Q$195,10,FALSE)</f>
        <v>59.450321197509766</v>
      </c>
      <c r="F56" s="2">
        <f>VLOOKUP($B56,'Raw HWF'!$C$2:$Q$195,11,FALSE)</f>
        <v>2.0419700145721436</v>
      </c>
      <c r="G56" s="2">
        <f>VLOOKUP($B56,'Raw HWF'!$C$2:$Q$195,12,FALSE)</f>
        <v>8.3102779388427734</v>
      </c>
      <c r="H56" s="2">
        <f>VLOOKUP($B56,'Raw HWF'!$C$2:$Q$195,13,FALSE)</f>
        <v>12.448180198669434</v>
      </c>
      <c r="I56" s="5">
        <f>VLOOKUP($B56,'Raw HWF'!$C$2:$Q$195,14,FALSE)</f>
        <v>9917.00390625</v>
      </c>
      <c r="J56" s="5">
        <f>VLOOKUP(B56,'Pop2020'!$D$2:$E$202,2,FALSE)</f>
        <v>46754778.000000007</v>
      </c>
      <c r="K56" s="6">
        <f t="shared" si="0"/>
        <v>1.6741231706397516E-2</v>
      </c>
      <c r="L56" s="2">
        <f t="shared" si="1"/>
        <v>126.6972177028656</v>
      </c>
      <c r="M56" s="3">
        <f t="shared" si="2"/>
        <v>105.93875956535339</v>
      </c>
      <c r="N56">
        <f>VLOOKUP(B56,UHC!$G$2:$X$195,18,FALSE)</f>
        <v>85.56</v>
      </c>
      <c r="O56">
        <f>VLOOKUP(B56,'Covid-19 impact - vaccination'!$B$2:$D$195,2,FALSE)</f>
        <v>0.71192619955449743</v>
      </c>
      <c r="P56">
        <f>VLOOKUP(B56,'Covid-19 impact - vaccination'!$B$2:$D$195,3,FALSE)</f>
        <v>0</v>
      </c>
    </row>
    <row r="57" spans="1:16" x14ac:dyDescent="0.35">
      <c r="A57" t="str">
        <f>VLOOKUP(B57,'Reference table'!J$2:K$195,2,FALSE)</f>
        <v>Estonia</v>
      </c>
      <c r="B57" t="s">
        <v>283</v>
      </c>
      <c r="C57" t="str">
        <f>VLOOKUP(B57,'Reference table'!C$1:E$195,3,FALSE)</f>
        <v>UMI</v>
      </c>
      <c r="D57" s="2">
        <f>VLOOKUP($B57,'Raw HWF'!$C$2:$Q$195,9,FALSE)</f>
        <v>34.722614288330078</v>
      </c>
      <c r="E57" s="2">
        <f>VLOOKUP($B57,'Raw HWF'!$C$2:$Q$195,10,FALSE)</f>
        <v>62.452430725097656</v>
      </c>
      <c r="F57" s="2">
        <f>VLOOKUP($B57,'Raw HWF'!$C$2:$Q$195,11,FALSE)</f>
        <v>3.6208679676055908</v>
      </c>
      <c r="G57" s="2">
        <f>VLOOKUP($B57,'Raw HWF'!$C$2:$Q$195,12,FALSE)</f>
        <v>9.8291482925415039</v>
      </c>
      <c r="H57" s="2">
        <f>VLOOKUP($B57,'Raw HWF'!$C$2:$Q$195,13,FALSE)</f>
        <v>7.1738448143005371</v>
      </c>
      <c r="I57" s="5">
        <f>VLOOKUP($B57,'Raw HWF'!$C$2:$Q$195,14,FALSE)</f>
        <v>30.911581039428711</v>
      </c>
      <c r="J57" s="5">
        <f>VLOOKUP(B57,'Pop2020'!$D$2:$E$202,2,FALSE)</f>
        <v>1326534.9999999998</v>
      </c>
      <c r="K57" s="6">
        <f t="shared" si="0"/>
        <v>1.9781592352815123E-3</v>
      </c>
      <c r="L57" s="2">
        <f t="shared" si="1"/>
        <v>117.79890608787537</v>
      </c>
      <c r="M57" s="3">
        <f t="shared" si="2"/>
        <v>100.79591298103333</v>
      </c>
      <c r="N57">
        <f>VLOOKUP(B57,UHC!$G$2:$X$195,18,FALSE)</f>
        <v>77.569999999999993</v>
      </c>
      <c r="O57">
        <f>VLOOKUP(B57,'Covid-19 impact - vaccination'!$B$2:$D$195,2,FALSE)</f>
        <v>0.54592859464730736</v>
      </c>
      <c r="P57">
        <f>VLOOKUP(B57,'Covid-19 impact - vaccination'!$B$2:$D$195,3,FALSE)</f>
        <v>0</v>
      </c>
    </row>
    <row r="58" spans="1:16" x14ac:dyDescent="0.35">
      <c r="A58" t="str">
        <f>VLOOKUP(B58,'Reference table'!J$2:K$195,2,FALSE)</f>
        <v>Ethiopia</v>
      </c>
      <c r="B58" t="s">
        <v>65</v>
      </c>
      <c r="C58" t="str">
        <f>VLOOKUP(B58,'Reference table'!C$1:E$195,3,FALSE)</f>
        <v>LIN</v>
      </c>
      <c r="D58" s="2">
        <f>VLOOKUP($B58,'Raw HWF'!$C$2:$Q$195,9,FALSE)</f>
        <v>1.0586086511611938</v>
      </c>
      <c r="E58" s="2">
        <f>VLOOKUP($B58,'Raw HWF'!$C$2:$Q$195,10,FALSE)</f>
        <v>6.0716519355773926</v>
      </c>
      <c r="F58" s="2">
        <f>VLOOKUP($B58,'Raw HWF'!$C$2:$Q$195,11,FALSE)</f>
        <v>1.7699999809265137</v>
      </c>
      <c r="G58" s="2">
        <f>VLOOKUP($B58,'Raw HWF'!$C$2:$Q$195,12,FALSE)</f>
        <v>1.9826086238026619E-2</v>
      </c>
      <c r="H58" s="2">
        <f>VLOOKUP($B58,'Raw HWF'!$C$2:$Q$195,13,FALSE)</f>
        <v>0.46904346346855164</v>
      </c>
      <c r="I58" s="5">
        <f>VLOOKUP($B58,'Raw HWF'!$C$2:$Q$195,14,FALSE)</f>
        <v>694999.75</v>
      </c>
      <c r="J58" s="5">
        <f>VLOOKUP(B58,'Pop2020'!$D$2:$E$202,2,FALSE)</f>
        <v>114963587.99999999</v>
      </c>
      <c r="K58" s="6">
        <f t="shared" si="0"/>
        <v>6.4387117226327115</v>
      </c>
      <c r="L58" s="2">
        <f t="shared" si="1"/>
        <v>9.3891301173716784</v>
      </c>
      <c r="M58" s="3">
        <f t="shared" si="2"/>
        <v>8.9002605676651001</v>
      </c>
      <c r="N58">
        <f>VLOOKUP(B58,UHC!$G$2:$X$195,18,FALSE)</f>
        <v>38.130000000000003</v>
      </c>
      <c r="O58">
        <f>VLOOKUP(B58,'Covid-19 impact - vaccination'!$B$2:$D$195,2,FALSE)</f>
        <v>3.5029517345961748E-2</v>
      </c>
      <c r="P58">
        <f>VLOOKUP(B58,'Covid-19 impact - vaccination'!$B$2:$D$195,3,FALSE)</f>
        <v>0.34166192377691718</v>
      </c>
    </row>
    <row r="59" spans="1:16" x14ac:dyDescent="0.35">
      <c r="A59" t="str">
        <f>VLOOKUP(B59,'Reference table'!J$2:K$195,2,FALSE)</f>
        <v>Finland</v>
      </c>
      <c r="B59" t="s">
        <v>289</v>
      </c>
      <c r="C59" t="str">
        <f>VLOOKUP(B59,'Reference table'!C$1:E$195,3,FALSE)</f>
        <v>HIN</v>
      </c>
      <c r="D59" s="2">
        <f>VLOOKUP($B59,'Raw HWF'!$C$2:$Q$195,9,FALSE)</f>
        <v>46.403995513916016</v>
      </c>
      <c r="E59" s="2">
        <f>VLOOKUP($B59,'Raw HWF'!$C$2:$Q$195,10,FALSE)</f>
        <v>210.02484130859375</v>
      </c>
      <c r="F59" s="2">
        <f>VLOOKUP($B59,'Raw HWF'!$C$2:$Q$195,11,FALSE)</f>
        <v>13.055480003356934</v>
      </c>
      <c r="G59" s="2">
        <f>VLOOKUP($B59,'Raw HWF'!$C$2:$Q$195,12,FALSE)</f>
        <v>10.755832672119141</v>
      </c>
      <c r="H59" s="2">
        <f>VLOOKUP($B59,'Raw HWF'!$C$2:$Q$195,13,FALSE)</f>
        <v>19.244611740112305</v>
      </c>
      <c r="I59" s="5">
        <f>VLOOKUP($B59,'Raw HWF'!$C$2:$Q$195,14,FALSE)</f>
        <v>0</v>
      </c>
      <c r="J59" s="5">
        <f>VLOOKUP(B59,'Pop2020'!$D$2:$E$202,2,FALSE)</f>
        <v>5540719.9999999991</v>
      </c>
      <c r="K59" s="6">
        <f t="shared" si="0"/>
        <v>0</v>
      </c>
      <c r="L59" s="2">
        <f t="shared" si="1"/>
        <v>299.48476123809814</v>
      </c>
      <c r="M59" s="3">
        <f t="shared" si="2"/>
        <v>269.4843168258667</v>
      </c>
      <c r="N59">
        <f>VLOOKUP(B59,UHC!$G$2:$X$195,18,FALSE)</f>
        <v>83.24</v>
      </c>
      <c r="O59">
        <f>VLOOKUP(B59,'Covid-19 impact - vaccination'!$B$2:$D$195,2,FALSE)</f>
        <v>0.75246810485310101</v>
      </c>
      <c r="P59">
        <f>VLOOKUP(B59,'Covid-19 impact - vaccination'!$B$2:$D$195,3,FALSE)</f>
        <v>0</v>
      </c>
    </row>
    <row r="60" spans="1:16" x14ac:dyDescent="0.35">
      <c r="A60" t="str">
        <f>VLOOKUP(B60,'Reference table'!J$2:K$195,2,FALSE)</f>
        <v>Fiji</v>
      </c>
      <c r="B60" t="s">
        <v>286</v>
      </c>
      <c r="C60" t="str">
        <f>VLOOKUP(B60,'Reference table'!C$1:E$195,3,FALSE)</f>
        <v>LMI</v>
      </c>
      <c r="D60" s="2">
        <f>VLOOKUP($B60,'Raw HWF'!$C$2:$Q$195,9,FALSE)</f>
        <v>8.5997295379638672</v>
      </c>
      <c r="E60" s="2">
        <f>VLOOKUP($B60,'Raw HWF'!$C$2:$Q$195,10,FALSE)</f>
        <v>36.58612060546875</v>
      </c>
      <c r="F60" s="2">
        <f>VLOOKUP($B60,'Raw HWF'!$C$2:$Q$195,11,FALSE)</f>
        <v>3.0113883018493652</v>
      </c>
      <c r="G60" s="2">
        <f>VLOOKUP($B60,'Raw HWF'!$C$2:$Q$195,12,FALSE)</f>
        <v>1.2023079395294189</v>
      </c>
      <c r="H60" s="2">
        <f>VLOOKUP($B60,'Raw HWF'!$C$2:$Q$195,13,FALSE)</f>
        <v>1.0936737060546875</v>
      </c>
      <c r="I60" s="5">
        <f>VLOOKUP($B60,'Raw HWF'!$C$2:$Q$195,14,FALSE)</f>
        <v>727.46728515625</v>
      </c>
      <c r="J60" s="5">
        <f>VLOOKUP(B60,'Pop2020'!$D$2:$E$202,2,FALSE)</f>
        <v>896444.99999999988</v>
      </c>
      <c r="K60" s="6">
        <f t="shared" si="0"/>
        <v>0.16071512504013791</v>
      </c>
      <c r="L60" s="2">
        <f t="shared" si="1"/>
        <v>50.493220090866089</v>
      </c>
      <c r="M60" s="3">
        <f t="shared" si="2"/>
        <v>48.197238445281982</v>
      </c>
      <c r="N60">
        <f>VLOOKUP(B60,UHC!$G$2:$X$195,18,FALSE)</f>
        <v>60.96</v>
      </c>
      <c r="O60">
        <f>VLOOKUP(B60,'Covid-19 impact - vaccination'!$B$2:$D$195,2,FALSE)</f>
        <v>0.68222144136003882</v>
      </c>
      <c r="P60">
        <f>VLOOKUP(B60,'Covid-19 impact - vaccination'!$B$2:$D$195,3,FALSE)</f>
        <v>0</v>
      </c>
    </row>
    <row r="61" spans="1:16" x14ac:dyDescent="0.35">
      <c r="A61" t="str">
        <f>VLOOKUP(B61,'Reference table'!J$2:K$195,2,FALSE)</f>
        <v>France</v>
      </c>
      <c r="B61" t="s">
        <v>86</v>
      </c>
      <c r="C61" t="str">
        <f>VLOOKUP(B61,'Reference table'!C$1:E$195,3,FALSE)</f>
        <v>HIN</v>
      </c>
      <c r="D61" s="2">
        <f>VLOOKUP($B61,'Raw HWF'!$C$2:$Q$195,9,FALSE)</f>
        <v>32.749771118164063</v>
      </c>
      <c r="E61" s="2">
        <f>VLOOKUP($B61,'Raw HWF'!$C$2:$Q$195,10,FALSE)</f>
        <v>114.33287048339844</v>
      </c>
      <c r="F61" s="2">
        <f>VLOOKUP($B61,'Raw HWF'!$C$2:$Q$195,11,FALSE)</f>
        <v>3.5543777942657471</v>
      </c>
      <c r="G61" s="2">
        <f>VLOOKUP($B61,'Raw HWF'!$C$2:$Q$195,12,FALSE)</f>
        <v>6.5374808311462402</v>
      </c>
      <c r="H61" s="2">
        <f>VLOOKUP($B61,'Raw HWF'!$C$2:$Q$195,13,FALSE)</f>
        <v>10.61106014251709</v>
      </c>
      <c r="I61" s="5">
        <f>VLOOKUP($B61,'Raw HWF'!$C$2:$Q$195,14,FALSE)</f>
        <v>2040.277587890625</v>
      </c>
      <c r="J61" s="5">
        <f>VLOOKUP(B61,'Pop2020'!$D$2:$E$202,2,FALSE)</f>
        <v>65273511</v>
      </c>
      <c r="K61" s="6">
        <f t="shared" si="0"/>
        <v>1.8629350021900806E-3</v>
      </c>
      <c r="L61" s="2">
        <f t="shared" si="1"/>
        <v>167.78556036949158</v>
      </c>
      <c r="M61" s="3">
        <f t="shared" si="2"/>
        <v>150.63701939582825</v>
      </c>
      <c r="N61">
        <f>VLOOKUP(B61,UHC!$G$2:$X$195,18,FALSE)</f>
        <v>83.91</v>
      </c>
      <c r="O61">
        <f>VLOOKUP(B61,'Covid-19 impact - vaccination'!$B$2:$D$195,2,FALSE)</f>
        <v>0.75706703997497882</v>
      </c>
      <c r="P61">
        <f>VLOOKUP(B61,'Covid-19 impact - vaccination'!$B$2:$D$195,3,FALSE)</f>
        <v>0</v>
      </c>
    </row>
    <row r="62" spans="1:16" x14ac:dyDescent="0.35">
      <c r="A62" t="str">
        <f>VLOOKUP(B62,'Reference table'!J$2:K$195,2,FALSE)</f>
        <v>Micronesia, Federated States of</v>
      </c>
      <c r="B62" t="s">
        <v>80</v>
      </c>
      <c r="C62" t="str">
        <f>VLOOKUP(B62,'Reference table'!C$1:E$195,3,FALSE)</f>
        <v>LMI</v>
      </c>
      <c r="D62" s="2">
        <f>VLOOKUP($B62,'Raw HWF'!$C$2:$Q$195,9,FALSE)</f>
        <v>9.3895893096923828</v>
      </c>
      <c r="E62" s="2">
        <f>VLOOKUP($B62,'Raw HWF'!$C$2:$Q$195,10,FALSE)</f>
        <v>20.208942413330078</v>
      </c>
      <c r="F62" s="2">
        <f>VLOOKUP($B62,'Raw HWF'!$C$2:$Q$195,11,FALSE)</f>
        <v>1.3179745674133301</v>
      </c>
      <c r="G62" s="2">
        <f>VLOOKUP($B62,'Raw HWF'!$C$2:$Q$195,12,FALSE)</f>
        <v>1.3520169258117676</v>
      </c>
      <c r="H62" s="2">
        <f>VLOOKUP($B62,'Raw HWF'!$C$2:$Q$195,13,FALSE)</f>
        <v>3.027867317199707</v>
      </c>
      <c r="I62" s="5">
        <f>VLOOKUP($B62,'Raw HWF'!$C$2:$Q$195,14,FALSE)</f>
        <v>248.38441467285156</v>
      </c>
      <c r="J62" s="5">
        <f>VLOOKUP(B62,'Pop2020'!$D$2:$E$202,2,FALSE)</f>
        <v>115023</v>
      </c>
      <c r="K62" s="6">
        <f t="shared" si="0"/>
        <v>0.61179983456155895</v>
      </c>
      <c r="L62" s="2">
        <f t="shared" si="1"/>
        <v>35.296390533447266</v>
      </c>
      <c r="M62" s="3">
        <f t="shared" si="2"/>
        <v>30.916506290435791</v>
      </c>
      <c r="N62">
        <f>VLOOKUP(B62,UHC!$G$2:$X$195,18,FALSE)</f>
        <v>47.9</v>
      </c>
      <c r="O62">
        <f>VLOOKUP(B62,'Covid-19 impact - vaccination'!$B$2:$D$195,2,FALSE)</f>
        <v>0.37587265155664518</v>
      </c>
      <c r="P62">
        <f>VLOOKUP(B62,'Covid-19 impact - vaccination'!$B$2:$D$195,3,FALSE)</f>
        <v>2.6394692686773146E-2</v>
      </c>
    </row>
    <row r="63" spans="1:16" x14ac:dyDescent="0.35">
      <c r="A63" t="str">
        <f>VLOOKUP(B63,'Reference table'!J$2:K$195,2,FALSE)</f>
        <v>Gabon</v>
      </c>
      <c r="B63" t="s">
        <v>89</v>
      </c>
      <c r="C63" t="str">
        <f>VLOOKUP(B63,'Reference table'!C$1:E$195,3,FALSE)</f>
        <v>UMI</v>
      </c>
      <c r="D63" s="2">
        <f>VLOOKUP($B63,'Raw HWF'!$C$2:$Q$195,9,FALSE)</f>
        <v>6.1193461418151855</v>
      </c>
      <c r="E63" s="2">
        <f>VLOOKUP($B63,'Raw HWF'!$C$2:$Q$195,10,FALSE)</f>
        <v>21.683916091918945</v>
      </c>
      <c r="F63" s="2">
        <f>VLOOKUP($B63,'Raw HWF'!$C$2:$Q$195,11,FALSE)</f>
        <v>2.7939157485961914</v>
      </c>
      <c r="G63" s="2">
        <f>VLOOKUP($B63,'Raw HWF'!$C$2:$Q$195,12,FALSE)</f>
        <v>0.15649610757827759</v>
      </c>
      <c r="H63" s="2">
        <f>VLOOKUP($B63,'Raw HWF'!$C$2:$Q$195,13,FALSE)</f>
        <v>0.64439570903778076</v>
      </c>
      <c r="I63" s="5">
        <f>VLOOKUP($B63,'Raw HWF'!$C$2:$Q$195,14,FALSE)</f>
        <v>6370.22021484375</v>
      </c>
      <c r="J63" s="5">
        <f>VLOOKUP(B63,'Pop2020'!$D$2:$E$202,2,FALSE)</f>
        <v>2225734</v>
      </c>
      <c r="K63" s="6">
        <f t="shared" si="0"/>
        <v>0.91154525614299797</v>
      </c>
      <c r="L63" s="2">
        <f t="shared" si="1"/>
        <v>31.398069798946381</v>
      </c>
      <c r="M63" s="3">
        <f t="shared" si="2"/>
        <v>30.597177982330322</v>
      </c>
      <c r="N63">
        <f>VLOOKUP(B63,UHC!$G$2:$X$195,18,FALSE)</f>
        <v>48.68</v>
      </c>
      <c r="O63">
        <f>VLOOKUP(B63,'Covid-19 impact - vaccination'!$B$2:$D$195,2,FALSE)</f>
        <v>9.6110316866256248E-2</v>
      </c>
      <c r="P63">
        <f>VLOOKUP(B63,'Covid-19 impact - vaccination'!$B$2:$D$195,3,FALSE)</f>
        <v>5.0126477865096809E-2</v>
      </c>
    </row>
    <row r="64" spans="1:16" x14ac:dyDescent="0.35">
      <c r="A64" t="str">
        <f>VLOOKUP(B64,'Reference table'!J$2:K$195,2,FALSE)</f>
        <v>United Kingdom</v>
      </c>
      <c r="B64" t="s">
        <v>536</v>
      </c>
      <c r="C64" t="str">
        <f>VLOOKUP(B64,'Reference table'!C$1:E$195,3,FALSE)</f>
        <v>HIN</v>
      </c>
      <c r="D64" s="2">
        <f>VLOOKUP($B64,'Raw HWF'!$C$2:$Q$195,9,FALSE)</f>
        <v>30.030485153198242</v>
      </c>
      <c r="E64" s="2">
        <f>VLOOKUP($B64,'Raw HWF'!$C$2:$Q$195,10,FALSE)</f>
        <v>83.675697326660156</v>
      </c>
      <c r="F64" s="2">
        <f>VLOOKUP($B64,'Raw HWF'!$C$2:$Q$195,11,FALSE)</f>
        <v>4.8363771438598633</v>
      </c>
      <c r="G64" s="2">
        <f>VLOOKUP($B64,'Raw HWF'!$C$2:$Q$195,12,FALSE)</f>
        <v>5.3599410057067871</v>
      </c>
      <c r="H64" s="2">
        <f>VLOOKUP($B64,'Raw HWF'!$C$2:$Q$195,13,FALSE)</f>
        <v>8.4268045425415039</v>
      </c>
      <c r="I64" s="5">
        <f>VLOOKUP($B64,'Raw HWF'!$C$2:$Q$195,14,FALSE)</f>
        <v>0</v>
      </c>
      <c r="J64" s="5">
        <f>VLOOKUP(B64,'Pop2020'!$D$2:$E$202,2,FALSE)</f>
        <v>67886011</v>
      </c>
      <c r="K64" s="6">
        <f t="shared" si="0"/>
        <v>0</v>
      </c>
      <c r="L64" s="2">
        <f t="shared" si="1"/>
        <v>132.32930517196655</v>
      </c>
      <c r="M64" s="3">
        <f t="shared" si="2"/>
        <v>118.54255962371826</v>
      </c>
      <c r="N64">
        <f>VLOOKUP(B64,UHC!$G$2:$X$195,18,FALSE)</f>
        <v>87.72</v>
      </c>
      <c r="O64">
        <f>VLOOKUP(B64,'Covid-19 impact - vaccination'!$B$2:$D$195,2,FALSE)</f>
        <v>0.70112998549745242</v>
      </c>
      <c r="P64">
        <f>VLOOKUP(B64,'Covid-19 impact - vaccination'!$B$2:$D$195,3,FALSE)</f>
        <v>0</v>
      </c>
    </row>
    <row r="65" spans="1:16" x14ac:dyDescent="0.35">
      <c r="A65" t="str">
        <f>VLOOKUP(B65,'Reference table'!J$2:K$195,2,FALSE)</f>
        <v>Georgia</v>
      </c>
      <c r="B65" t="s">
        <v>91</v>
      </c>
      <c r="C65" t="str">
        <f>VLOOKUP(B65,'Reference table'!C$1:E$195,3,FALSE)</f>
        <v>LMI</v>
      </c>
      <c r="D65" s="2">
        <f>VLOOKUP($B65,'Raw HWF'!$C$2:$Q$195,9,FALSE)</f>
        <v>51.085750579833984</v>
      </c>
      <c r="E65" s="2">
        <f>VLOOKUP($B65,'Raw HWF'!$C$2:$Q$195,10,FALSE)</f>
        <v>55.465103149414063</v>
      </c>
      <c r="F65" s="2">
        <f>VLOOKUP($B65,'Raw HWF'!$C$2:$Q$195,11,FALSE)</f>
        <v>0</v>
      </c>
      <c r="G65" s="2">
        <f>VLOOKUP($B65,'Raw HWF'!$C$2:$Q$195,12,FALSE)</f>
        <v>6.1767158508300781</v>
      </c>
      <c r="H65" s="2">
        <f>VLOOKUP($B65,'Raw HWF'!$C$2:$Q$195,13,FALSE)</f>
        <v>0.94076156616210938</v>
      </c>
      <c r="I65" s="5">
        <f>VLOOKUP($B65,'Raw HWF'!$C$2:$Q$195,14,FALSE)</f>
        <v>480.2105712890625</v>
      </c>
      <c r="J65" s="5">
        <f>VLOOKUP(B65,'Pop2020'!$D$2:$E$202,2,FALSE)</f>
        <v>3989166.9999999995</v>
      </c>
      <c r="K65" s="6">
        <f t="shared" si="0"/>
        <v>1.059034271989067E-2</v>
      </c>
      <c r="L65" s="2">
        <f t="shared" si="1"/>
        <v>113.66833114624023</v>
      </c>
      <c r="M65" s="3">
        <f t="shared" si="2"/>
        <v>106.55085372924805</v>
      </c>
      <c r="N65">
        <f>VLOOKUP(B65,UHC!$G$2:$X$195,18,FALSE)</f>
        <v>65.16</v>
      </c>
      <c r="O65">
        <f>VLOOKUP(B65,'Covid-19 impact - vaccination'!$B$2:$D$195,2,FALSE)</f>
        <v>0.25725469551975033</v>
      </c>
      <c r="P65">
        <f>VLOOKUP(B65,'Covid-19 impact - vaccination'!$B$2:$D$195,3,FALSE)</f>
        <v>1.8232413692907172E-2</v>
      </c>
    </row>
    <row r="66" spans="1:16" x14ac:dyDescent="0.35">
      <c r="A66" t="str">
        <f>VLOOKUP(B66,'Reference table'!J$2:K$195,2,FALSE)</f>
        <v>Ghana</v>
      </c>
      <c r="B66" t="s">
        <v>295</v>
      </c>
      <c r="C66" t="str">
        <f>VLOOKUP(B66,'Reference table'!C$1:E$195,3,FALSE)</f>
        <v>LIN</v>
      </c>
      <c r="D66" s="2">
        <f>VLOOKUP($B66,'Raw HWF'!$C$2:$Q$195,9,FALSE)</f>
        <v>1.6993569135665894</v>
      </c>
      <c r="E66" s="2">
        <f>VLOOKUP($B66,'Raw HWF'!$C$2:$Q$195,10,FALSE)</f>
        <v>30.800321578979492</v>
      </c>
      <c r="F66" s="2">
        <f>VLOOKUP($B66,'Raw HWF'!$C$2:$Q$195,11,FALSE)</f>
        <v>5.3697748184204102</v>
      </c>
      <c r="G66" s="2">
        <f>VLOOKUP($B66,'Raw HWF'!$C$2:$Q$195,12,FALSE)</f>
        <v>0.23926174640655518</v>
      </c>
      <c r="H66" s="2">
        <f>VLOOKUP($B66,'Raw HWF'!$C$2:$Q$195,13,FALSE)</f>
        <v>0.44630226492881775</v>
      </c>
      <c r="I66" s="5">
        <f>VLOOKUP($B66,'Raw HWF'!$C$2:$Q$195,14,FALSE)</f>
        <v>63821.953125</v>
      </c>
      <c r="J66" s="5">
        <f>VLOOKUP(B66,'Pop2020'!$D$2:$E$202,2,FALSE)</f>
        <v>31072940</v>
      </c>
      <c r="K66" s="6">
        <f t="shared" si="0"/>
        <v>0.53272961656983031</v>
      </c>
      <c r="L66" s="2">
        <f t="shared" si="1"/>
        <v>38.555017322301865</v>
      </c>
      <c r="M66" s="3">
        <f t="shared" si="2"/>
        <v>37.869453310966492</v>
      </c>
      <c r="N66">
        <f>VLOOKUP(B66,UHC!$G$2:$X$195,18,FALSE)</f>
        <v>45.09</v>
      </c>
      <c r="O66">
        <f>VLOOKUP(B66,'Covid-19 impact - vaccination'!$B$2:$D$195,2,FALSE)</f>
        <v>9.392725632012934E-2</v>
      </c>
      <c r="P66">
        <f>VLOOKUP(B66,'Covid-19 impact - vaccination'!$B$2:$D$195,3,FALSE)</f>
        <v>0</v>
      </c>
    </row>
    <row r="67" spans="1:16" x14ac:dyDescent="0.35">
      <c r="A67" t="str">
        <f>VLOOKUP(B67,'Reference table'!J$2:K$195,2,FALSE)</f>
        <v>Guinea</v>
      </c>
      <c r="B67" t="s">
        <v>301</v>
      </c>
      <c r="C67" t="str">
        <f>VLOOKUP(B67,'Reference table'!C$1:E$195,3,FALSE)</f>
        <v>LIN</v>
      </c>
      <c r="D67" s="2">
        <f>VLOOKUP($B67,'Raw HWF'!$C$2:$Q$195,9,FALSE)</f>
        <v>2.2475805282592773</v>
      </c>
      <c r="E67" s="2">
        <f>VLOOKUP($B67,'Raw HWF'!$C$2:$Q$195,10,FALSE)</f>
        <v>5.8024191856384277</v>
      </c>
      <c r="F67" s="2">
        <f>VLOOKUP($B67,'Raw HWF'!$C$2:$Q$195,11,FALSE)</f>
        <v>0</v>
      </c>
      <c r="G67" s="2">
        <f>VLOOKUP($B67,'Raw HWF'!$C$2:$Q$195,12,FALSE)</f>
        <v>5.8870967477560043E-2</v>
      </c>
      <c r="H67" s="2">
        <f>VLOOKUP($B67,'Raw HWF'!$C$2:$Q$195,13,FALSE)</f>
        <v>0.20564515888690948</v>
      </c>
      <c r="I67" s="5">
        <f>VLOOKUP($B67,'Raw HWF'!$C$2:$Q$195,14,FALSE)</f>
        <v>73978.53125</v>
      </c>
      <c r="J67" s="5">
        <f>VLOOKUP(B67,'Pop2020'!$D$2:$E$202,2,FALSE)</f>
        <v>13132795.000000002</v>
      </c>
      <c r="K67" s="6">
        <f t="shared" ref="K67:K130" si="3">I67/((L67/10000)*J67)</f>
        <v>6.7750354907117929</v>
      </c>
      <c r="L67" s="2">
        <f t="shared" ref="L67:L130" si="4">SUM(D67:H67)</f>
        <v>8.3145158402621746</v>
      </c>
      <c r="M67" s="3">
        <f t="shared" ref="M67:M130" si="5">SUM(D67:F67)</f>
        <v>8.0499997138977051</v>
      </c>
      <c r="N67">
        <f>VLOOKUP(B67,UHC!$G$2:$X$195,18,FALSE)</f>
        <v>37.19</v>
      </c>
      <c r="O67">
        <f>VLOOKUP(B67,'Covid-19 impact - vaccination'!$B$2:$D$195,2,FALSE)</f>
        <v>9.8448350103690796E-2</v>
      </c>
      <c r="P67">
        <f>VLOOKUP(B67,'Covid-19 impact - vaccination'!$B$2:$D$195,3,FALSE)</f>
        <v>1.3103982756381358</v>
      </c>
    </row>
    <row r="68" spans="1:16" x14ac:dyDescent="0.35">
      <c r="A68" t="str">
        <f>VLOOKUP(B68,'Reference table'!J$2:K$195,2,FALSE)</f>
        <v>Gambia</v>
      </c>
      <c r="B68" t="s">
        <v>292</v>
      </c>
      <c r="C68" t="str">
        <f>VLOOKUP(B68,'Reference table'!C$1:E$195,3,FALSE)</f>
        <v>LIN</v>
      </c>
      <c r="D68" s="2">
        <f>VLOOKUP($B68,'Raw HWF'!$C$2:$Q$195,9,FALSE)</f>
        <v>0.82344919443130493</v>
      </c>
      <c r="E68" s="2">
        <f>VLOOKUP($B68,'Raw HWF'!$C$2:$Q$195,10,FALSE)</f>
        <v>7.2000079154968262</v>
      </c>
      <c r="F68" s="2">
        <f>VLOOKUP($B68,'Raw HWF'!$C$2:$Q$195,11,FALSE)</f>
        <v>2.2593128681182861</v>
      </c>
      <c r="G68" s="2">
        <f>VLOOKUP($B68,'Raw HWF'!$C$2:$Q$195,12,FALSE)</f>
        <v>3.3103484660387039E-2</v>
      </c>
      <c r="H68" s="2">
        <f>VLOOKUP($B68,'Raw HWF'!$C$2:$Q$195,13,FALSE)</f>
        <v>2.0689677447080612E-2</v>
      </c>
      <c r="I68" s="5">
        <f>VLOOKUP($B68,'Raw HWF'!$C$2:$Q$195,14,FALSE)</f>
        <v>14274.0859375</v>
      </c>
      <c r="J68" s="5">
        <f>VLOOKUP(B68,'Pop2020'!$D$2:$E$202,2,FALSE)</f>
        <v>2416668.0000000005</v>
      </c>
      <c r="K68" s="6">
        <f t="shared" si="3"/>
        <v>5.7141962759883587</v>
      </c>
      <c r="L68" s="2">
        <f t="shared" si="4"/>
        <v>10.336563140153885</v>
      </c>
      <c r="M68" s="3">
        <f t="shared" si="5"/>
        <v>10.282769978046417</v>
      </c>
      <c r="N68">
        <f>VLOOKUP(B68,UHC!$G$2:$X$195,18,FALSE)</f>
        <v>47.78</v>
      </c>
      <c r="O68">
        <f>VLOOKUP(B68,'Covid-19 impact - vaccination'!$B$2:$D$195,2,FALSE)</f>
        <v>9.750325654992742E-2</v>
      </c>
      <c r="P68">
        <f>VLOOKUP(B68,'Covid-19 impact - vaccination'!$B$2:$D$195,3,FALSE)</f>
        <v>0.33909066306118779</v>
      </c>
    </row>
    <row r="69" spans="1:16" x14ac:dyDescent="0.35">
      <c r="A69" t="str">
        <f>VLOOKUP(B69,'Reference table'!J$2:K$195,2,FALSE)</f>
        <v>Guinea-Bissau</v>
      </c>
      <c r="B69" t="s">
        <v>304</v>
      </c>
      <c r="C69" t="str">
        <f>VLOOKUP(B69,'Reference table'!C$1:E$195,3,FALSE)</f>
        <v>LIN</v>
      </c>
      <c r="D69" s="2">
        <f>VLOOKUP($B69,'Raw HWF'!$C$2:$Q$195,9,FALSE)</f>
        <v>1.9563027620315552</v>
      </c>
      <c r="E69" s="2">
        <f>VLOOKUP($B69,'Raw HWF'!$C$2:$Q$195,10,FALSE)</f>
        <v>6.9664707183837891</v>
      </c>
      <c r="F69" s="2">
        <f>VLOOKUP($B69,'Raw HWF'!$C$2:$Q$195,11,FALSE)</f>
        <v>0.94004160165786743</v>
      </c>
      <c r="G69" s="2">
        <f>VLOOKUP($B69,'Raw HWF'!$C$2:$Q$195,12,FALSE)</f>
        <v>2.5406530126929283E-2</v>
      </c>
      <c r="H69" s="2">
        <f>VLOOKUP($B69,'Raw HWF'!$C$2:$Q$195,13,FALSE)</f>
        <v>6.6056974232196808E-2</v>
      </c>
      <c r="I69" s="5">
        <f>VLOOKUP($B69,'Raw HWF'!$C$2:$Q$195,14,FALSE)</f>
        <v>11732.7783203125</v>
      </c>
      <c r="J69" s="5">
        <f>VLOOKUP(B69,'Pop2020'!$D$2:$E$202,2,FALSE)</f>
        <v>1968001</v>
      </c>
      <c r="K69" s="6">
        <f t="shared" si="3"/>
        <v>5.9891578487201436</v>
      </c>
      <c r="L69" s="2">
        <f t="shared" si="4"/>
        <v>9.9542785864323378</v>
      </c>
      <c r="M69" s="3">
        <f t="shared" si="5"/>
        <v>9.8628150820732117</v>
      </c>
      <c r="N69">
        <f>VLOOKUP(B69,UHC!$G$2:$X$195,18,FALSE)</f>
        <v>37.1</v>
      </c>
      <c r="O69">
        <f>VLOOKUP(B69,'Covid-19 impact - vaccination'!$B$2:$D$195,2,FALSE)</f>
        <v>1.1958327256947532E-2</v>
      </c>
      <c r="P69">
        <f>VLOOKUP(B69,'Covid-19 impact - vaccination'!$B$2:$D$195,3,FALSE)</f>
        <v>0.31022087610656246</v>
      </c>
    </row>
    <row r="70" spans="1:16" x14ac:dyDescent="0.35">
      <c r="A70" t="str">
        <f>VLOOKUP(B70,'Reference table'!J$2:K$195,2,FALSE)</f>
        <v>Equatorial Guinea</v>
      </c>
      <c r="B70" t="s">
        <v>280</v>
      </c>
      <c r="C70" t="str">
        <f>VLOOKUP(B70,'Reference table'!C$1:E$195,3,FALSE)</f>
        <v>UMI</v>
      </c>
      <c r="D70" s="2">
        <f>VLOOKUP($B70,'Raw HWF'!$C$2:$Q$195,9,FALSE)</f>
        <v>4.0174074172973633</v>
      </c>
      <c r="E70" s="2">
        <f>VLOOKUP($B70,'Raw HWF'!$C$2:$Q$195,10,FALSE)</f>
        <v>3.1016848087310791</v>
      </c>
      <c r="F70" s="2">
        <f>VLOOKUP($B70,'Raw HWF'!$C$2:$Q$195,11,FALSE)</f>
        <v>0</v>
      </c>
      <c r="G70" s="2">
        <f>VLOOKUP($B70,'Raw HWF'!$C$2:$Q$195,12,FALSE)</f>
        <v>6.9739967584609985E-2</v>
      </c>
      <c r="H70" s="2">
        <f>VLOOKUP($B70,'Raw HWF'!$C$2:$Q$195,13,FALSE)</f>
        <v>7.6396174728870392E-2</v>
      </c>
      <c r="I70" s="5">
        <f>VLOOKUP($B70,'Raw HWF'!$C$2:$Q$195,14,FALSE)</f>
        <v>8135.7568359375</v>
      </c>
      <c r="J70" s="5">
        <f>VLOOKUP(B70,'Pop2020'!$D$2:$E$202,2,FALSE)</f>
        <v>1402985.0000000002</v>
      </c>
      <c r="K70" s="6">
        <f t="shared" si="3"/>
        <v>7.9817048070251868</v>
      </c>
      <c r="L70" s="2">
        <f t="shared" si="4"/>
        <v>7.2652283683419228</v>
      </c>
      <c r="M70" s="3">
        <f t="shared" si="5"/>
        <v>7.1190922260284424</v>
      </c>
      <c r="N70">
        <f>VLOOKUP(B70,UHC!$G$2:$X$195,18,FALSE)</f>
        <v>43.24</v>
      </c>
      <c r="O70">
        <f>VLOOKUP(B70,'Covid-19 impact - vaccination'!$B$2:$D$195,2,FALSE)</f>
        <v>0.14494595451840184</v>
      </c>
      <c r="P70">
        <f>VLOOKUP(B70,'Covid-19 impact - vaccination'!$B$2:$D$195,3,FALSE)</f>
        <v>0.27741183836761191</v>
      </c>
    </row>
    <row r="71" spans="1:16" x14ac:dyDescent="0.35">
      <c r="A71" t="str">
        <f>VLOOKUP(B71,'Reference table'!J$2:K$195,2,FALSE)</f>
        <v>Greece</v>
      </c>
      <c r="B71" t="s">
        <v>102</v>
      </c>
      <c r="C71" t="str">
        <f>VLOOKUP(B71,'Reference table'!C$1:E$195,3,FALSE)</f>
        <v>HIN</v>
      </c>
      <c r="D71" s="2">
        <f>VLOOKUP($B71,'Raw HWF'!$C$2:$Q$195,9,FALSE)</f>
        <v>62.912380218505859</v>
      </c>
      <c r="E71" s="2">
        <f>VLOOKUP($B71,'Raw HWF'!$C$2:$Q$195,10,FALSE)</f>
        <v>34.524761199951172</v>
      </c>
      <c r="F71" s="2">
        <f>VLOOKUP($B71,'Raw HWF'!$C$2:$Q$195,11,FALSE)</f>
        <v>2.7180953025817871</v>
      </c>
      <c r="G71" s="2">
        <f>VLOOKUP($B71,'Raw HWF'!$C$2:$Q$195,12,FALSE)</f>
        <v>12.822856903076172</v>
      </c>
      <c r="H71" s="2">
        <f>VLOOKUP($B71,'Raw HWF'!$C$2:$Q$195,13,FALSE)</f>
        <v>10.826666831970215</v>
      </c>
      <c r="I71" s="5">
        <f>VLOOKUP($B71,'Raw HWF'!$C$2:$Q$195,14,FALSE)</f>
        <v>1363.8416748046875</v>
      </c>
      <c r="J71" s="5">
        <f>VLOOKUP(B71,'Pop2020'!$D$2:$E$202,2,FALSE)</f>
        <v>10423053.999999998</v>
      </c>
      <c r="K71" s="6">
        <f t="shared" si="3"/>
        <v>1.0568944687732089E-2</v>
      </c>
      <c r="L71" s="2">
        <f t="shared" si="4"/>
        <v>123.80476045608521</v>
      </c>
      <c r="M71" s="3">
        <f t="shared" si="5"/>
        <v>100.15523672103882</v>
      </c>
      <c r="N71">
        <f>VLOOKUP(B71,UHC!$G$2:$X$195,18,FALSE)</f>
        <v>77.63</v>
      </c>
      <c r="O71">
        <f>VLOOKUP(B71,'Covid-19 impact - vaccination'!$B$2:$D$195,2,FALSE)</f>
        <v>0.61297104603088193</v>
      </c>
      <c r="P71">
        <f>VLOOKUP(B71,'Covid-19 impact - vaccination'!$B$2:$D$195,3,FALSE)</f>
        <v>0</v>
      </c>
    </row>
    <row r="72" spans="1:16" x14ac:dyDescent="0.35">
      <c r="A72" t="str">
        <f>VLOOKUP(B72,'Reference table'!J$2:K$195,2,FALSE)</f>
        <v>Grenada</v>
      </c>
      <c r="B72" t="s">
        <v>96</v>
      </c>
      <c r="C72" t="str">
        <f>VLOOKUP(B72,'Reference table'!C$1:E$195,3,FALSE)</f>
        <v>UMI</v>
      </c>
      <c r="D72" s="2">
        <f>VLOOKUP($B72,'Raw HWF'!$C$2:$Q$195,9,FALSE)</f>
        <v>14.356342315673828</v>
      </c>
      <c r="E72" s="2">
        <f>VLOOKUP($B72,'Raw HWF'!$C$2:$Q$195,10,FALSE)</f>
        <v>62.808998107910156</v>
      </c>
      <c r="F72" s="2">
        <f>VLOOKUP($B72,'Raw HWF'!$C$2:$Q$195,11,FALSE)</f>
        <v>5.2588090896606445</v>
      </c>
      <c r="G72" s="2">
        <f>VLOOKUP($B72,'Raw HWF'!$C$2:$Q$195,12,FALSE)</f>
        <v>1.9739971160888672</v>
      </c>
      <c r="H72" s="2">
        <f>VLOOKUP($B72,'Raw HWF'!$C$2:$Q$195,13,FALSE)</f>
        <v>6.8019189834594727</v>
      </c>
      <c r="I72" s="5">
        <f>VLOOKUP($B72,'Raw HWF'!$C$2:$Q$195,14,FALSE)</f>
        <v>0</v>
      </c>
      <c r="J72" s="5">
        <f>VLOOKUP(B72,'Pop2020'!$D$2:$E$202,2,FALSE)</f>
        <v>112522.99999999999</v>
      </c>
      <c r="K72" s="6">
        <f t="shared" si="3"/>
        <v>0</v>
      </c>
      <c r="L72" s="2">
        <f t="shared" si="4"/>
        <v>91.200065612792969</v>
      </c>
      <c r="M72" s="3">
        <f t="shared" si="5"/>
        <v>82.424149513244629</v>
      </c>
      <c r="N72">
        <f>VLOOKUP(B72,UHC!$G$2:$X$195,18,FALSE)</f>
        <v>69.72</v>
      </c>
      <c r="O72">
        <f>VLOOKUP(B72,'Covid-19 impact - vaccination'!$B$2:$D$195,2,FALSE)</f>
        <v>0.32043226718093187</v>
      </c>
      <c r="P72">
        <f>VLOOKUP(B72,'Covid-19 impact - vaccination'!$B$2:$D$195,3,FALSE)</f>
        <v>1.9606928395004036E-2</v>
      </c>
    </row>
    <row r="73" spans="1:16" x14ac:dyDescent="0.35">
      <c r="A73" t="str">
        <f>VLOOKUP(B73,'Reference table'!J$2:K$195,2,FALSE)</f>
        <v>Guatemala</v>
      </c>
      <c r="B73" t="s">
        <v>298</v>
      </c>
      <c r="C73" t="str">
        <f>VLOOKUP(B73,'Reference table'!C$1:E$195,3,FALSE)</f>
        <v>LMI</v>
      </c>
      <c r="D73" s="2">
        <f>VLOOKUP($B73,'Raw HWF'!$C$2:$Q$195,9,FALSE)</f>
        <v>12.417318344116211</v>
      </c>
      <c r="E73" s="2">
        <f>VLOOKUP($B73,'Raw HWF'!$C$2:$Q$195,10,FALSE)</f>
        <v>22.38323974609375</v>
      </c>
      <c r="F73" s="2">
        <f>VLOOKUP($B73,'Raw HWF'!$C$2:$Q$195,11,FALSE)</f>
        <v>4.2987570762634277</v>
      </c>
      <c r="G73" s="2">
        <f>VLOOKUP($B73,'Raw HWF'!$C$2:$Q$195,12,FALSE)</f>
        <v>2.5100557804107666</v>
      </c>
      <c r="H73" s="2">
        <f>VLOOKUP($B73,'Raw HWF'!$C$2:$Q$195,13,FALSE)</f>
        <v>1.1793296337127686</v>
      </c>
      <c r="I73" s="5">
        <f>VLOOKUP($B73,'Raw HWF'!$C$2:$Q$195,14,FALSE)</f>
        <v>22098.67578125</v>
      </c>
      <c r="J73" s="5">
        <f>VLOOKUP(B73,'Pop2020'!$D$2:$E$202,2,FALSE)</f>
        <v>17915568</v>
      </c>
      <c r="K73" s="6">
        <f t="shared" si="3"/>
        <v>0.28827472772778434</v>
      </c>
      <c r="L73" s="2">
        <f t="shared" si="4"/>
        <v>42.788700580596924</v>
      </c>
      <c r="M73" s="3">
        <f t="shared" si="5"/>
        <v>39.099315166473389</v>
      </c>
      <c r="N73">
        <f>VLOOKUP(B73,UHC!$G$2:$X$195,18,FALSE)</f>
        <v>57.11</v>
      </c>
      <c r="O73">
        <f>VLOOKUP(B73,'Covid-19 impact - vaccination'!$B$2:$D$195,2,FALSE)</f>
        <v>0.26561340394008159</v>
      </c>
      <c r="P73">
        <f>VLOOKUP(B73,'Covid-19 impact - vaccination'!$B$2:$D$195,3,FALSE)</f>
        <v>8.391213842112473E-2</v>
      </c>
    </row>
    <row r="74" spans="1:16" x14ac:dyDescent="0.35">
      <c r="A74" t="str">
        <f>VLOOKUP(B74,'Reference table'!J$2:K$195,2,FALSE)</f>
        <v>Guyana</v>
      </c>
      <c r="B74" t="s">
        <v>307</v>
      </c>
      <c r="C74" t="str">
        <f>VLOOKUP(B74,'Reference table'!C$1:E$195,3,FALSE)</f>
        <v>LMI</v>
      </c>
      <c r="D74" s="2">
        <f>VLOOKUP($B74,'Raw HWF'!$C$2:$Q$195,9,FALSE)</f>
        <v>14.239236831665039</v>
      </c>
      <c r="E74" s="2">
        <f>VLOOKUP($B74,'Raw HWF'!$C$2:$Q$195,10,FALSE)</f>
        <v>30.983053207397461</v>
      </c>
      <c r="F74" s="2">
        <f>VLOOKUP($B74,'Raw HWF'!$C$2:$Q$195,11,FALSE)</f>
        <v>4.3226256370544434</v>
      </c>
      <c r="G74" s="2">
        <f>VLOOKUP($B74,'Raw HWF'!$C$2:$Q$195,12,FALSE)</f>
        <v>0.69924825429916382</v>
      </c>
      <c r="H74" s="2">
        <f>VLOOKUP($B74,'Raw HWF'!$C$2:$Q$195,13,FALSE)</f>
        <v>0.59753942489624023</v>
      </c>
      <c r="I74" s="5">
        <f>VLOOKUP($B74,'Raw HWF'!$C$2:$Q$195,14,FALSE)</f>
        <v>233.61631774902344</v>
      </c>
      <c r="J74" s="5">
        <f>VLOOKUP(B74,'Pop2020'!$D$2:$E$202,2,FALSE)</f>
        <v>786552.00000000012</v>
      </c>
      <c r="K74" s="6">
        <f t="shared" si="3"/>
        <v>5.8419204961690542E-2</v>
      </c>
      <c r="L74" s="2">
        <f t="shared" si="4"/>
        <v>50.841703355312347</v>
      </c>
      <c r="M74" s="3">
        <f t="shared" si="5"/>
        <v>49.544915676116943</v>
      </c>
      <c r="N74">
        <f>VLOOKUP(B74,UHC!$G$2:$X$195,18,FALSE)</f>
        <v>74.28</v>
      </c>
      <c r="O74">
        <f>VLOOKUP(B74,'Covid-19 impact - vaccination'!$B$2:$D$195,2,FALSE)</f>
        <v>0.37796102482734772</v>
      </c>
      <c r="P74">
        <f>VLOOKUP(B74,'Covid-19 impact - vaccination'!$B$2:$D$195,3,FALSE)</f>
        <v>7.037379438857014E-3</v>
      </c>
    </row>
    <row r="75" spans="1:16" x14ac:dyDescent="0.35">
      <c r="A75" t="str">
        <f>VLOOKUP(B75,'Reference table'!J$2:K$195,2,FALSE)</f>
        <v>Honduras</v>
      </c>
      <c r="B75" t="s">
        <v>313</v>
      </c>
      <c r="C75" t="str">
        <f>VLOOKUP(B75,'Reference table'!C$1:E$195,3,FALSE)</f>
        <v>LMI</v>
      </c>
      <c r="D75" s="2">
        <f>VLOOKUP($B75,'Raw HWF'!$C$2:$Q$195,9,FALSE)</f>
        <v>5.0007028579711914</v>
      </c>
      <c r="E75" s="2">
        <f>VLOOKUP($B75,'Raw HWF'!$C$2:$Q$195,10,FALSE)</f>
        <v>7.2865533828735352</v>
      </c>
      <c r="F75" s="2">
        <f>VLOOKUP($B75,'Raw HWF'!$C$2:$Q$195,11,FALSE)</f>
        <v>3.2043538093566895</v>
      </c>
      <c r="G75" s="2">
        <f>VLOOKUP($B75,'Raw HWF'!$C$2:$Q$195,12,FALSE)</f>
        <v>0.32665127515792847</v>
      </c>
      <c r="H75" s="2">
        <f>VLOOKUP($B75,'Raw HWF'!$C$2:$Q$195,13,FALSE)</f>
        <v>0.53388011455535889</v>
      </c>
      <c r="I75" s="5">
        <f>VLOOKUP($B75,'Raw HWF'!$C$2:$Q$195,14,FALSE)</f>
        <v>43852.83203125</v>
      </c>
      <c r="J75" s="5">
        <f>VLOOKUP(B75,'Pop2020'!$D$2:$E$202,2,FALSE)</f>
        <v>9904606.9999999981</v>
      </c>
      <c r="K75" s="6">
        <f t="shared" si="3"/>
        <v>2.7076078370996459</v>
      </c>
      <c r="L75" s="2">
        <f t="shared" si="4"/>
        <v>16.352141439914703</v>
      </c>
      <c r="M75" s="3">
        <f t="shared" si="5"/>
        <v>15.491610050201416</v>
      </c>
      <c r="N75">
        <f>VLOOKUP(B75,UHC!$G$2:$X$195,18,FALSE)</f>
        <v>62.96</v>
      </c>
      <c r="O75">
        <f>VLOOKUP(B75,'Covid-19 impact - vaccination'!$B$2:$D$195,2,FALSE)</f>
        <v>0.43916371442097601</v>
      </c>
      <c r="P75">
        <f>VLOOKUP(B75,'Covid-19 impact - vaccination'!$B$2:$D$195,3,FALSE)</f>
        <v>5.1139386942621406E-2</v>
      </c>
    </row>
    <row r="76" spans="1:16" x14ac:dyDescent="0.35">
      <c r="A76" t="str">
        <f>VLOOKUP(B76,'Reference table'!J$2:K$195,2,FALSE)</f>
        <v>Croatia</v>
      </c>
      <c r="B76" t="s">
        <v>261</v>
      </c>
      <c r="C76" t="str">
        <f>VLOOKUP(B76,'Reference table'!C$1:E$195,3,FALSE)</f>
        <v>UMI</v>
      </c>
      <c r="D76" s="2">
        <f>VLOOKUP($B76,'Raw HWF'!$C$2:$Q$195,9,FALSE)</f>
        <v>34.6512451171875</v>
      </c>
      <c r="E76" s="2">
        <f>VLOOKUP($B76,'Raw HWF'!$C$2:$Q$195,10,FALSE)</f>
        <v>81.223945617675781</v>
      </c>
      <c r="F76" s="2">
        <f>VLOOKUP($B76,'Raw HWF'!$C$2:$Q$195,11,FALSE)</f>
        <v>0</v>
      </c>
      <c r="G76" s="2">
        <f>VLOOKUP($B76,'Raw HWF'!$C$2:$Q$195,12,FALSE)</f>
        <v>12.233981132507324</v>
      </c>
      <c r="H76" s="2">
        <f>VLOOKUP($B76,'Raw HWF'!$C$2:$Q$195,13,FALSE)</f>
        <v>7.1866064071655273</v>
      </c>
      <c r="I76" s="5">
        <f>VLOOKUP($B76,'Raw HWF'!$C$2:$Q$195,14,FALSE)</f>
        <v>0</v>
      </c>
      <c r="J76" s="5">
        <f>VLOOKUP(B76,'Pop2020'!$D$2:$E$202,2,FALSE)</f>
        <v>4105267</v>
      </c>
      <c r="K76" s="6">
        <f t="shared" si="3"/>
        <v>0</v>
      </c>
      <c r="L76" s="2">
        <f t="shared" si="4"/>
        <v>135.29577827453613</v>
      </c>
      <c r="M76" s="3">
        <f t="shared" si="5"/>
        <v>115.87519073486328</v>
      </c>
      <c r="N76">
        <f>VLOOKUP(B76,UHC!$G$2:$X$195,18,FALSE)</f>
        <v>72.900000000000006</v>
      </c>
      <c r="O76">
        <f>VLOOKUP(B76,'Covid-19 impact - vaccination'!$B$2:$D$195,2,FALSE)</f>
        <v>0.4863434581886148</v>
      </c>
      <c r="P76">
        <f>VLOOKUP(B76,'Covid-19 impact - vaccination'!$B$2:$D$195,3,FALSE)</f>
        <v>4.5876366876188585E-3</v>
      </c>
    </row>
    <row r="77" spans="1:16" x14ac:dyDescent="0.35">
      <c r="A77" t="str">
        <f>VLOOKUP(B77,'Reference table'!J$2:K$195,2,FALSE)</f>
        <v>Haiti</v>
      </c>
      <c r="B77" t="s">
        <v>310</v>
      </c>
      <c r="C77" t="str">
        <f>VLOOKUP(B77,'Reference table'!C$1:E$195,3,FALSE)</f>
        <v>LIN</v>
      </c>
      <c r="D77" s="2">
        <f>VLOOKUP($B77,'Raw HWF'!$C$2:$Q$195,9,FALSE)</f>
        <v>2.347747802734375</v>
      </c>
      <c r="E77" s="2">
        <f>VLOOKUP($B77,'Raw HWF'!$C$2:$Q$195,10,FALSE)</f>
        <v>3.8081080913543701</v>
      </c>
      <c r="F77" s="2">
        <f>VLOOKUP($B77,'Raw HWF'!$C$2:$Q$195,11,FALSE)</f>
        <v>0.17747747898101807</v>
      </c>
      <c r="G77" s="2">
        <f>VLOOKUP($B77,'Raw HWF'!$C$2:$Q$195,12,FALSE)</f>
        <v>0.21351350843906403</v>
      </c>
      <c r="H77" s="2">
        <f>VLOOKUP($B77,'Raw HWF'!$C$2:$Q$195,13,FALSE)</f>
        <v>0.30270269513130188</v>
      </c>
      <c r="I77" s="5">
        <f>VLOOKUP($B77,'Raw HWF'!$C$2:$Q$195,14,FALSE)</f>
        <v>64238.0625</v>
      </c>
      <c r="J77" s="5">
        <f>VLOOKUP(B77,'Pop2020'!$D$2:$E$202,2,FALSE)</f>
        <v>11402528.000000002</v>
      </c>
      <c r="K77" s="6">
        <f t="shared" si="3"/>
        <v>8.2248743649921945</v>
      </c>
      <c r="L77" s="2">
        <f t="shared" si="4"/>
        <v>6.8495495766401291</v>
      </c>
      <c r="M77" s="3">
        <f t="shared" si="5"/>
        <v>6.3333333730697632</v>
      </c>
      <c r="N77">
        <f>VLOOKUP(B77,UHC!$G$2:$X$195,18,FALSE)</f>
        <v>46.8</v>
      </c>
      <c r="O77">
        <f>VLOOKUP(B77,'Covid-19 impact - vaccination'!$B$2:$D$195,2,FALSE)</f>
        <v>6.4529549938399629E-3</v>
      </c>
      <c r="P77">
        <f>VLOOKUP(B77,'Covid-19 impact - vaccination'!$B$2:$D$195,3,FALSE)</f>
        <v>0.47659772604269346</v>
      </c>
    </row>
    <row r="78" spans="1:16" x14ac:dyDescent="0.35">
      <c r="A78" t="str">
        <f>VLOOKUP(B78,'Reference table'!J$2:K$195,2,FALSE)</f>
        <v>Hungary</v>
      </c>
      <c r="B78" t="s">
        <v>104</v>
      </c>
      <c r="C78" t="str">
        <f>VLOOKUP(B78,'Reference table'!C$1:E$195,3,FALSE)</f>
        <v>UMI</v>
      </c>
      <c r="D78" s="2">
        <f>VLOOKUP($B78,'Raw HWF'!$C$2:$Q$195,9,FALSE)</f>
        <v>60.636520385742188</v>
      </c>
      <c r="E78" s="2">
        <f>VLOOKUP($B78,'Raw HWF'!$C$2:$Q$195,10,FALSE)</f>
        <v>66.829261779785156</v>
      </c>
      <c r="F78" s="2">
        <f>VLOOKUP($B78,'Raw HWF'!$C$2:$Q$195,11,FALSE)</f>
        <v>2.3707547187805176</v>
      </c>
      <c r="G78" s="2">
        <f>VLOOKUP($B78,'Raw HWF'!$C$2:$Q$195,12,FALSE)</f>
        <v>7.377631664276123</v>
      </c>
      <c r="H78" s="2">
        <f>VLOOKUP($B78,'Raw HWF'!$C$2:$Q$195,13,FALSE)</f>
        <v>8.3874740600585938</v>
      </c>
      <c r="I78" s="5">
        <f>VLOOKUP($B78,'Raw HWF'!$C$2:$Q$195,14,FALSE)</f>
        <v>1667.6513671875</v>
      </c>
      <c r="J78" s="5">
        <f>VLOOKUP(B78,'Pop2020'!$D$2:$E$202,2,FALSE)</f>
        <v>9660351.0000000037</v>
      </c>
      <c r="K78" s="6">
        <f t="shared" si="3"/>
        <v>1.185621545767369E-2</v>
      </c>
      <c r="L78" s="2">
        <f t="shared" si="4"/>
        <v>145.60164260864258</v>
      </c>
      <c r="M78" s="3">
        <f t="shared" si="5"/>
        <v>129.83653688430786</v>
      </c>
      <c r="N78">
        <f>VLOOKUP(B78,UHC!$G$2:$X$195,18,FALSE)</f>
        <v>72.63</v>
      </c>
      <c r="O78">
        <f>VLOOKUP(B78,'Covid-19 impact - vaccination'!$B$2:$D$195,2,FALSE)</f>
        <v>0.58979227856090455</v>
      </c>
      <c r="P78">
        <f>VLOOKUP(B78,'Covid-19 impact - vaccination'!$B$2:$D$195,3,FALSE)</f>
        <v>0</v>
      </c>
    </row>
    <row r="79" spans="1:16" x14ac:dyDescent="0.35">
      <c r="A79" t="str">
        <f>VLOOKUP(B79,'Reference table'!J$2:K$195,2,FALSE)</f>
        <v>Indonesia</v>
      </c>
      <c r="B79" t="s">
        <v>322</v>
      </c>
      <c r="C79" t="str">
        <f>VLOOKUP(B79,'Reference table'!C$1:E$195,3,FALSE)</f>
        <v>LMI</v>
      </c>
      <c r="D79" s="2">
        <f>VLOOKUP($B79,'Raw HWF'!$C$2:$Q$195,9,FALSE)</f>
        <v>6.2167153358459473</v>
      </c>
      <c r="E79" s="2">
        <f>VLOOKUP($B79,'Raw HWF'!$C$2:$Q$195,10,FALSE)</f>
        <v>22.47551155090332</v>
      </c>
      <c r="F79" s="2">
        <f>VLOOKUP($B79,'Raw HWF'!$C$2:$Q$195,11,FALSE)</f>
        <v>16.994087219238281</v>
      </c>
      <c r="G79" s="2">
        <f>VLOOKUP($B79,'Raw HWF'!$C$2:$Q$195,12,FALSE)</f>
        <v>1.1831387281417847</v>
      </c>
      <c r="H79" s="2">
        <f>VLOOKUP($B79,'Raw HWF'!$C$2:$Q$195,13,FALSE)</f>
        <v>0.93521898984909058</v>
      </c>
      <c r="I79" s="5">
        <f>VLOOKUP($B79,'Raw HWF'!$C$2:$Q$195,14,FALSE)</f>
        <v>675367.25</v>
      </c>
      <c r="J79" s="5">
        <f>VLOOKUP(B79,'Pop2020'!$D$2:$E$202,2,FALSE)</f>
        <v>273523615.00000006</v>
      </c>
      <c r="K79" s="6">
        <f t="shared" si="3"/>
        <v>0.5165053545606163</v>
      </c>
      <c r="L79" s="2">
        <f t="shared" si="4"/>
        <v>47.804671823978424</v>
      </c>
      <c r="M79" s="3">
        <f t="shared" si="5"/>
        <v>45.686314105987549</v>
      </c>
      <c r="N79">
        <f>VLOOKUP(B79,UHC!$G$2:$X$195,18,FALSE)</f>
        <v>58.7</v>
      </c>
      <c r="O79">
        <f>VLOOKUP(B79,'Covid-19 impact - vaccination'!$B$2:$D$195,2,FALSE)</f>
        <v>0.41931625903671976</v>
      </c>
      <c r="P79">
        <f>VLOOKUP(B79,'Covid-19 impact - vaccination'!$B$2:$D$195,3,FALSE)</f>
        <v>7.6185265478203252E-3</v>
      </c>
    </row>
    <row r="80" spans="1:16" x14ac:dyDescent="0.35">
      <c r="A80" t="str">
        <f>VLOOKUP(B80,'Reference table'!J$2:K$195,2,FALSE)</f>
        <v>India</v>
      </c>
      <c r="B80" t="s">
        <v>319</v>
      </c>
      <c r="C80" t="str">
        <f>VLOOKUP(B80,'Reference table'!C$1:E$195,3,FALSE)</f>
        <v>LIN</v>
      </c>
      <c r="D80" s="2">
        <f>VLOOKUP($B80,'Raw HWF'!$C$2:$Q$195,9,FALSE)</f>
        <v>7.3517246246337891</v>
      </c>
      <c r="E80" s="2">
        <f>VLOOKUP($B80,'Raw HWF'!$C$2:$Q$195,10,FALSE)</f>
        <v>17.482761383056641</v>
      </c>
      <c r="F80" s="2">
        <f>VLOOKUP($B80,'Raw HWF'!$C$2:$Q$195,11,FALSE)</f>
        <v>0</v>
      </c>
      <c r="G80" s="2">
        <f>VLOOKUP($B80,'Raw HWF'!$C$2:$Q$195,12,FALSE)</f>
        <v>1.6146086454391479</v>
      </c>
      <c r="H80" s="2">
        <f>VLOOKUP($B80,'Raw HWF'!$C$2:$Q$195,13,FALSE)</f>
        <v>8.7015504837036133</v>
      </c>
      <c r="I80" s="5">
        <f>VLOOKUP($B80,'Raw HWF'!$C$2:$Q$195,14,FALSE)</f>
        <v>3896771</v>
      </c>
      <c r="J80" s="5">
        <f>VLOOKUP(B80,'Pop2020'!$D$2:$E$202,2,FALSE)</f>
        <v>1380004385</v>
      </c>
      <c r="K80" s="6">
        <f t="shared" si="3"/>
        <v>0.80332469515905414</v>
      </c>
      <c r="L80" s="2">
        <f t="shared" si="4"/>
        <v>35.150645136833191</v>
      </c>
      <c r="M80" s="3">
        <f t="shared" si="5"/>
        <v>24.83448600769043</v>
      </c>
      <c r="N80">
        <f>VLOOKUP(B80,UHC!$G$2:$X$195,18,FALSE)</f>
        <v>61.19</v>
      </c>
      <c r="O80">
        <f>VLOOKUP(B80,'Covid-19 impact - vaccination'!$B$2:$D$195,2,FALSE)</f>
        <v>0.44726423677269694</v>
      </c>
      <c r="P80">
        <f>VLOOKUP(B80,'Covid-19 impact - vaccination'!$B$2:$D$195,3,FALSE)</f>
        <v>4.3637963404949635E-3</v>
      </c>
    </row>
    <row r="81" spans="1:16" x14ac:dyDescent="0.35">
      <c r="A81" t="str">
        <f>VLOOKUP(B81,'Reference table'!J$2:K$195,2,FALSE)</f>
        <v>Ireland</v>
      </c>
      <c r="B81" t="s">
        <v>112</v>
      </c>
      <c r="C81" t="str">
        <f>VLOOKUP(B81,'Reference table'!C$1:E$195,3,FALSE)</f>
        <v>HIN</v>
      </c>
      <c r="D81" s="2">
        <f>VLOOKUP($B81,'Raw HWF'!$C$2:$Q$195,9,FALSE)</f>
        <v>34.896137237548828</v>
      </c>
      <c r="E81" s="2">
        <f>VLOOKUP($B81,'Raw HWF'!$C$2:$Q$195,10,FALSE)</f>
        <v>157.94169616699219</v>
      </c>
      <c r="F81" s="2">
        <f>VLOOKUP($B81,'Raw HWF'!$C$2:$Q$195,11,FALSE)</f>
        <v>21.839231491088867</v>
      </c>
      <c r="G81" s="2">
        <f>VLOOKUP($B81,'Raw HWF'!$C$2:$Q$195,12,FALSE)</f>
        <v>6.6669421195983887</v>
      </c>
      <c r="H81" s="2">
        <f>VLOOKUP($B81,'Raw HWF'!$C$2:$Q$195,13,FALSE)</f>
        <v>13.704494476318359</v>
      </c>
      <c r="I81" s="5">
        <f>VLOOKUP($B81,'Raw HWF'!$C$2:$Q$195,14,FALSE)</f>
        <v>0</v>
      </c>
      <c r="J81" s="5">
        <f>VLOOKUP(B81,'Pop2020'!$D$2:$E$202,2,FALSE)</f>
        <v>4937786.0000000009</v>
      </c>
      <c r="K81" s="6">
        <f t="shared" si="3"/>
        <v>0</v>
      </c>
      <c r="L81" s="2">
        <f t="shared" si="4"/>
        <v>235.04850149154663</v>
      </c>
      <c r="M81" s="3">
        <f t="shared" si="5"/>
        <v>214.67706489562988</v>
      </c>
      <c r="N81">
        <f>VLOOKUP(B81,UHC!$G$2:$X$195,18,FALSE)</f>
        <v>82.81</v>
      </c>
      <c r="O81">
        <f>VLOOKUP(B81,'Covid-19 impact - vaccination'!$B$2:$D$195,2,FALSE)</f>
        <v>0.72701553448123046</v>
      </c>
      <c r="P81">
        <f>VLOOKUP(B81,'Covid-19 impact - vaccination'!$B$2:$D$195,3,FALSE)</f>
        <v>0</v>
      </c>
    </row>
    <row r="82" spans="1:16" x14ac:dyDescent="0.35">
      <c r="A82" t="str">
        <f>VLOOKUP(B82,'Reference table'!J$2:K$195,2,FALSE)</f>
        <v>Iran, Islamic Republic of</v>
      </c>
      <c r="B82" t="s">
        <v>117</v>
      </c>
      <c r="C82" t="str">
        <f>VLOOKUP(B82,'Reference table'!C$1:E$195,3,FALSE)</f>
        <v>LMI</v>
      </c>
      <c r="D82" s="2">
        <f>VLOOKUP($B82,'Raw HWF'!$C$2:$Q$195,9,FALSE)</f>
        <v>15.844009399414063</v>
      </c>
      <c r="E82" s="2">
        <f>VLOOKUP($B82,'Raw HWF'!$C$2:$Q$195,10,FALSE)</f>
        <v>16.339487075805664</v>
      </c>
      <c r="F82" s="2">
        <f>VLOOKUP($B82,'Raw HWF'!$C$2:$Q$195,11,FALSE)</f>
        <v>4.4267725944519043</v>
      </c>
      <c r="G82" s="2">
        <f>VLOOKUP($B82,'Raw HWF'!$C$2:$Q$195,12,FALSE)</f>
        <v>4.474327564239502</v>
      </c>
      <c r="H82" s="2">
        <f>VLOOKUP($B82,'Raw HWF'!$C$2:$Q$195,13,FALSE)</f>
        <v>2.9339852333068848</v>
      </c>
      <c r="I82" s="5">
        <f>VLOOKUP($B82,'Raw HWF'!$C$2:$Q$195,14,FALSE)</f>
        <v>174894.765625</v>
      </c>
      <c r="J82" s="5">
        <f>VLOOKUP(B82,'Pop2020'!$D$2:$E$202,2,FALSE)</f>
        <v>83992949.000000015</v>
      </c>
      <c r="K82" s="6">
        <f t="shared" si="3"/>
        <v>0.47304007542535537</v>
      </c>
      <c r="L82" s="2">
        <f t="shared" si="4"/>
        <v>44.018581867218018</v>
      </c>
      <c r="M82" s="3">
        <f t="shared" si="5"/>
        <v>36.610269069671631</v>
      </c>
      <c r="N82">
        <f>VLOOKUP(B82,UHC!$G$2:$X$195,18,FALSE)</f>
        <v>76.58</v>
      </c>
      <c r="O82">
        <f>VLOOKUP(B82,'Covid-19 impact - vaccination'!$B$2:$D$195,2,FALSE)</f>
        <v>0.62542128387467377</v>
      </c>
      <c r="P82">
        <f>VLOOKUP(B82,'Covid-19 impact - vaccination'!$B$2:$D$195,3,FALSE)</f>
        <v>0</v>
      </c>
    </row>
    <row r="83" spans="1:16" x14ac:dyDescent="0.35">
      <c r="A83" t="str">
        <f>VLOOKUP(B83,'Reference table'!J$2:K$195,2,FALSE)</f>
        <v>Iraq</v>
      </c>
      <c r="B83" t="s">
        <v>325</v>
      </c>
      <c r="C83" t="str">
        <f>VLOOKUP(B83,'Reference table'!C$1:E$195,3,FALSE)</f>
        <v>LMI</v>
      </c>
      <c r="D83" s="2">
        <f>VLOOKUP($B83,'Raw HWF'!$C$2:$Q$195,9,FALSE)</f>
        <v>9.6679105758666992</v>
      </c>
      <c r="E83" s="2">
        <f>VLOOKUP($B83,'Raw HWF'!$C$2:$Q$195,10,FALSE)</f>
        <v>22.38557243347168</v>
      </c>
      <c r="F83" s="2">
        <f>VLOOKUP($B83,'Raw HWF'!$C$2:$Q$195,11,FALSE)</f>
        <v>1.493034839630127</v>
      </c>
      <c r="G83" s="2">
        <f>VLOOKUP($B83,'Raw HWF'!$C$2:$Q$195,12,FALSE)</f>
        <v>3.4833333492279053</v>
      </c>
      <c r="H83" s="2">
        <f>VLOOKUP($B83,'Raw HWF'!$C$2:$Q$195,13,FALSE)</f>
        <v>4.1074628829956055</v>
      </c>
      <c r="I83" s="5">
        <f>VLOOKUP($B83,'Raw HWF'!$C$2:$Q$195,14,FALSE)</f>
        <v>80522.7109375</v>
      </c>
      <c r="J83" s="5">
        <f>VLOOKUP(B83,'Pop2020'!$D$2:$E$202,2,FALSE)</f>
        <v>40222493.000000015</v>
      </c>
      <c r="K83" s="6">
        <f t="shared" si="3"/>
        <v>0.48664635007255963</v>
      </c>
      <c r="L83" s="2">
        <f t="shared" si="4"/>
        <v>41.137314081192017</v>
      </c>
      <c r="M83" s="3">
        <f t="shared" si="5"/>
        <v>33.546517848968506</v>
      </c>
      <c r="N83">
        <f>VLOOKUP(B83,UHC!$G$2:$X$195,18,FALSE)</f>
        <v>55.13</v>
      </c>
      <c r="O83">
        <f>VLOOKUP(B83,'Covid-19 impact - vaccination'!$B$2:$D$195,2,FALSE)</f>
        <v>0.14935036473248936</v>
      </c>
      <c r="P83">
        <f>VLOOKUP(B83,'Covid-19 impact - vaccination'!$B$2:$D$195,3,FALSE)</f>
        <v>5.515688467744544E-3</v>
      </c>
    </row>
    <row r="84" spans="1:16" x14ac:dyDescent="0.35">
      <c r="A84" t="str">
        <f>VLOOKUP(B84,'Reference table'!J$2:K$195,2,FALSE)</f>
        <v>Iceland</v>
      </c>
      <c r="B84" t="s">
        <v>316</v>
      </c>
      <c r="C84" t="str">
        <f>VLOOKUP(B84,'Reference table'!C$1:E$195,3,FALSE)</f>
        <v>HIN</v>
      </c>
      <c r="D84" s="2">
        <f>VLOOKUP($B84,'Raw HWF'!$C$2:$Q$195,9,FALSE)</f>
        <v>41.411407470703125</v>
      </c>
      <c r="E84" s="2">
        <f>VLOOKUP($B84,'Raw HWF'!$C$2:$Q$195,10,FALSE)</f>
        <v>167.82417297363281</v>
      </c>
      <c r="F84" s="2">
        <f>VLOOKUP($B84,'Raw HWF'!$C$2:$Q$195,11,FALSE)</f>
        <v>0</v>
      </c>
      <c r="G84" s="2">
        <f>VLOOKUP($B84,'Raw HWF'!$C$2:$Q$195,12,FALSE)</f>
        <v>8.4981689453125</v>
      </c>
      <c r="H84" s="2">
        <f>VLOOKUP($B84,'Raw HWF'!$C$2:$Q$195,13,FALSE)</f>
        <v>6.095238208770752</v>
      </c>
      <c r="I84" s="5">
        <f>VLOOKUP($B84,'Raw HWF'!$C$2:$Q$195,14,FALSE)</f>
        <v>0</v>
      </c>
      <c r="J84" s="5">
        <f>VLOOKUP(B84,'Pop2020'!$D$2:$E$202,2,FALSE)</f>
        <v>341243.00000000006</v>
      </c>
      <c r="K84" s="6">
        <f t="shared" si="3"/>
        <v>0</v>
      </c>
      <c r="L84" s="2">
        <f t="shared" si="4"/>
        <v>223.82898759841919</v>
      </c>
      <c r="M84" s="3">
        <f t="shared" si="5"/>
        <v>209.23558044433594</v>
      </c>
      <c r="N84">
        <f>VLOOKUP(B84,UHC!$G$2:$X$195,18,FALSE)</f>
        <v>86.81</v>
      </c>
      <c r="O84">
        <f>VLOOKUP(B84,'Covid-19 impact - vaccination'!$B$2:$D$195,2,FALSE)</f>
        <v>0.62512975992354458</v>
      </c>
      <c r="P84">
        <f>VLOOKUP(B84,'Covid-19 impact - vaccination'!$B$2:$D$195,3,FALSE)</f>
        <v>0</v>
      </c>
    </row>
    <row r="85" spans="1:16" x14ac:dyDescent="0.35">
      <c r="A85" t="str">
        <f>VLOOKUP(B85,'Reference table'!J$2:K$195,2,FALSE)</f>
        <v>Israel</v>
      </c>
      <c r="B85" t="s">
        <v>503</v>
      </c>
      <c r="C85" t="str">
        <f>VLOOKUP(B85,'Reference table'!C$1:E$195,3,FALSE)</f>
        <v>HIN</v>
      </c>
      <c r="D85" s="2">
        <f>VLOOKUP($B85,'Raw HWF'!$C$2:$Q$195,9,FALSE)</f>
        <v>36.258853912353516</v>
      </c>
      <c r="E85" s="2">
        <f>VLOOKUP($B85,'Raw HWF'!$C$2:$Q$195,10,FALSE)</f>
        <v>117.24281311035156</v>
      </c>
      <c r="F85" s="2">
        <f>VLOOKUP($B85,'Raw HWF'!$C$2:$Q$195,11,FALSE)</f>
        <v>2.6757426261901855</v>
      </c>
      <c r="G85" s="2">
        <f>VLOOKUP($B85,'Raw HWF'!$C$2:$Q$195,12,FALSE)</f>
        <v>11.701174736022949</v>
      </c>
      <c r="H85" s="2">
        <f>VLOOKUP($B85,'Raw HWF'!$C$2:$Q$195,13,FALSE)</f>
        <v>9.8873081207275391</v>
      </c>
      <c r="I85" s="5">
        <f>VLOOKUP($B85,'Raw HWF'!$C$2:$Q$195,14,FALSE)</f>
        <v>1178.8643798828125</v>
      </c>
      <c r="J85" s="5">
        <f>VLOOKUP(B85,'Pop2020'!$D$2:$E$202,2,FALSE)</f>
        <v>8655535</v>
      </c>
      <c r="K85" s="6">
        <f t="shared" si="3"/>
        <v>7.6616355744618383E-3</v>
      </c>
      <c r="L85" s="2">
        <f t="shared" si="4"/>
        <v>177.76589250564575</v>
      </c>
      <c r="M85" s="3">
        <f t="shared" si="5"/>
        <v>156.17740964889526</v>
      </c>
      <c r="N85">
        <f>VLOOKUP(B85,UHC!$G$2:$X$195,18,FALSE)</f>
        <v>84.28</v>
      </c>
      <c r="O85">
        <f>VLOOKUP(B85,'Covid-19 impact - vaccination'!$B$2:$D$195,2,FALSE)</f>
        <v>0.69239831455942502</v>
      </c>
      <c r="P85">
        <f>VLOOKUP(B85,'Covid-19 impact - vaccination'!$B$2:$D$195,3,FALSE)</f>
        <v>0</v>
      </c>
    </row>
    <row r="86" spans="1:16" x14ac:dyDescent="0.35">
      <c r="A86" t="str">
        <f>VLOOKUP(B86,'Reference table'!J$2:K$195,2,FALSE)</f>
        <v>Italy</v>
      </c>
      <c r="B86" t="s">
        <v>328</v>
      </c>
      <c r="C86" t="str">
        <f>VLOOKUP(B86,'Reference table'!C$1:E$195,3,FALSE)</f>
        <v>HIN</v>
      </c>
      <c r="D86" s="2">
        <f>VLOOKUP($B86,'Raw HWF'!$C$2:$Q$195,9,FALSE)</f>
        <v>39.452560424804688</v>
      </c>
      <c r="E86" s="2">
        <f>VLOOKUP($B86,'Raw HWF'!$C$2:$Q$195,10,FALSE)</f>
        <v>59.844795227050781</v>
      </c>
      <c r="F86" s="2">
        <f>VLOOKUP($B86,'Raw HWF'!$C$2:$Q$195,11,FALSE)</f>
        <v>2.8295867443084717</v>
      </c>
      <c r="G86" s="2">
        <f>VLOOKUP($B86,'Raw HWF'!$C$2:$Q$195,12,FALSE)</f>
        <v>8.4398345947265625</v>
      </c>
      <c r="H86" s="2">
        <f>VLOOKUP($B86,'Raw HWF'!$C$2:$Q$195,13,FALSE)</f>
        <v>12.139669418334961</v>
      </c>
      <c r="I86" s="5">
        <f>VLOOKUP($B86,'Raw HWF'!$C$2:$Q$195,14,FALSE)</f>
        <v>7128.1689453125</v>
      </c>
      <c r="J86" s="5">
        <f>VLOOKUP(B86,'Pop2020'!$D$2:$E$202,2,FALSE)</f>
        <v>60461826.000000007</v>
      </c>
      <c r="K86" s="6">
        <f t="shared" si="3"/>
        <v>9.6079192906260366E-3</v>
      </c>
      <c r="L86" s="2">
        <f t="shared" si="4"/>
        <v>122.70644640922546</v>
      </c>
      <c r="M86" s="3">
        <f t="shared" si="5"/>
        <v>102.12694239616394</v>
      </c>
      <c r="N86">
        <f>VLOOKUP(B86,UHC!$G$2:$X$195,18,FALSE)</f>
        <v>83.38</v>
      </c>
      <c r="O86">
        <f>VLOOKUP(B86,'Covid-19 impact - vaccination'!$B$2:$D$195,2,FALSE)</f>
        <v>0.71819968676837842</v>
      </c>
      <c r="P86">
        <f>VLOOKUP(B86,'Covid-19 impact - vaccination'!$B$2:$D$195,3,FALSE)</f>
        <v>0</v>
      </c>
    </row>
    <row r="87" spans="1:16" x14ac:dyDescent="0.35">
      <c r="A87" t="str">
        <f>VLOOKUP(B87,'Reference table'!J$2:K$195,2,FALSE)</f>
        <v>Jamaica</v>
      </c>
      <c r="B87" t="s">
        <v>125</v>
      </c>
      <c r="C87" t="str">
        <f>VLOOKUP(B87,'Reference table'!C$1:E$195,3,FALSE)</f>
        <v>LMI</v>
      </c>
      <c r="D87" s="2">
        <f>VLOOKUP($B87,'Raw HWF'!$C$2:$Q$195,9,FALSE)</f>
        <v>5.2677254676818848</v>
      </c>
      <c r="E87" s="2">
        <f>VLOOKUP($B87,'Raw HWF'!$C$2:$Q$195,10,FALSE)</f>
        <v>8.068547248840332</v>
      </c>
      <c r="F87" s="2">
        <f>VLOOKUP($B87,'Raw HWF'!$C$2:$Q$195,11,FALSE)</f>
        <v>1.3561155796051025</v>
      </c>
      <c r="G87" s="2">
        <f>VLOOKUP($B87,'Raw HWF'!$C$2:$Q$195,12,FALSE)</f>
        <v>0.8969997763633728</v>
      </c>
      <c r="H87" s="2">
        <f>VLOOKUP($B87,'Raw HWF'!$C$2:$Q$195,13,FALSE)</f>
        <v>0.15332965552806854</v>
      </c>
      <c r="I87" s="5">
        <f>VLOOKUP($B87,'Raw HWF'!$C$2:$Q$195,14,FALSE)</f>
        <v>13339.88671875</v>
      </c>
      <c r="J87" s="5">
        <f>VLOOKUP(B87,'Pop2020'!$D$2:$E$202,2,FALSE)</f>
        <v>2961166.9999999995</v>
      </c>
      <c r="K87" s="6">
        <f t="shared" si="3"/>
        <v>2.8616039872666907</v>
      </c>
      <c r="L87" s="2">
        <f t="shared" si="4"/>
        <v>15.742717728018761</v>
      </c>
      <c r="M87" s="3">
        <f t="shared" si="5"/>
        <v>14.692388296127319</v>
      </c>
      <c r="N87">
        <f>VLOOKUP(B87,UHC!$G$2:$X$195,18,FALSE)</f>
        <v>70.11</v>
      </c>
      <c r="O87">
        <f>VLOOKUP(B87,'Covid-19 impact - vaccination'!$B$2:$D$195,2,FALSE)</f>
        <v>0.19326400706208058</v>
      </c>
      <c r="P87">
        <f>VLOOKUP(B87,'Covid-19 impact - vaccination'!$B$2:$D$195,3,FALSE)</f>
        <v>2.4426290362794457E-2</v>
      </c>
    </row>
    <row r="88" spans="1:16" x14ac:dyDescent="0.35">
      <c r="A88" t="str">
        <f>VLOOKUP(B88,'Reference table'!J$2:K$195,2,FALSE)</f>
        <v>Jordan</v>
      </c>
      <c r="B88" t="s">
        <v>99</v>
      </c>
      <c r="C88" t="str">
        <f>VLOOKUP(B88,'Reference table'!C$1:E$195,3,FALSE)</f>
        <v>LMI</v>
      </c>
      <c r="D88" s="2">
        <f>VLOOKUP($B88,'Raw HWF'!$C$2:$Q$195,9,FALSE)</f>
        <v>26.618812561035156</v>
      </c>
      <c r="E88" s="2">
        <f>VLOOKUP($B88,'Raw HWF'!$C$2:$Q$195,10,FALSE)</f>
        <v>29.810890197753906</v>
      </c>
      <c r="F88" s="2">
        <f>VLOOKUP($B88,'Raw HWF'!$C$2:$Q$195,11,FALSE)</f>
        <v>3.6643564701080322</v>
      </c>
      <c r="G88" s="2">
        <f>VLOOKUP($B88,'Raw HWF'!$C$2:$Q$195,12,FALSE)</f>
        <v>7.8386139869689941</v>
      </c>
      <c r="H88" s="2">
        <f>VLOOKUP($B88,'Raw HWF'!$C$2:$Q$195,13,FALSE)</f>
        <v>10.430692672729492</v>
      </c>
      <c r="I88" s="5">
        <f>VLOOKUP($B88,'Raw HWF'!$C$2:$Q$195,14,FALSE)</f>
        <v>1822.5323486328125</v>
      </c>
      <c r="J88" s="5">
        <f>VLOOKUP(B88,'Pop2020'!$D$2:$E$202,2,FALSE)</f>
        <v>10203134</v>
      </c>
      <c r="K88" s="6">
        <f t="shared" si="3"/>
        <v>2.2794421432081616E-2</v>
      </c>
      <c r="L88" s="2">
        <f t="shared" si="4"/>
        <v>78.363365888595581</v>
      </c>
      <c r="M88" s="3">
        <f t="shared" si="5"/>
        <v>60.094059228897095</v>
      </c>
      <c r="N88">
        <f>VLOOKUP(B88,UHC!$G$2:$X$195,18,FALSE)</f>
        <v>59.53</v>
      </c>
      <c r="O88">
        <f>VLOOKUP(B88,'Covid-19 impact - vaccination'!$B$2:$D$195,2,FALSE)</f>
        <v>0.40092308892542233</v>
      </c>
      <c r="P88">
        <f>VLOOKUP(B88,'Covid-19 impact - vaccination'!$B$2:$D$195,3,FALSE)</f>
        <v>1.2832695323987396E-2</v>
      </c>
    </row>
    <row r="89" spans="1:16" x14ac:dyDescent="0.35">
      <c r="A89" t="str">
        <f>VLOOKUP(B89,'Reference table'!J$2:K$195,2,FALSE)</f>
        <v>Japan</v>
      </c>
      <c r="B89" t="s">
        <v>127</v>
      </c>
      <c r="C89" t="str">
        <f>VLOOKUP(B89,'Reference table'!C$1:E$195,3,FALSE)</f>
        <v>HIN</v>
      </c>
      <c r="D89" s="2">
        <f>VLOOKUP($B89,'Raw HWF'!$C$2:$Q$195,9,FALSE)</f>
        <v>24.835117340087891</v>
      </c>
      <c r="E89" s="2">
        <f>VLOOKUP($B89,'Raw HWF'!$C$2:$Q$195,10,FALSE)</f>
        <v>117.12157440185547</v>
      </c>
      <c r="F89" s="2">
        <f>VLOOKUP($B89,'Raw HWF'!$C$2:$Q$195,11,FALSE)</f>
        <v>2.5485038757324219</v>
      </c>
      <c r="G89" s="2">
        <f>VLOOKUP($B89,'Raw HWF'!$C$2:$Q$195,12,FALSE)</f>
        <v>8.0166139602661133</v>
      </c>
      <c r="H89" s="2">
        <f>VLOOKUP($B89,'Raw HWF'!$C$2:$Q$195,13,FALSE)</f>
        <v>18.926851272583008</v>
      </c>
      <c r="I89" s="5">
        <f>VLOOKUP($B89,'Raw HWF'!$C$2:$Q$195,14,FALSE)</f>
        <v>20308.8046875</v>
      </c>
      <c r="J89" s="5">
        <f>VLOOKUP(B89,'Pop2020'!$D$2:$E$202,2,FALSE)</f>
        <v>126476461.00000001</v>
      </c>
      <c r="K89" s="6">
        <f t="shared" si="3"/>
        <v>9.3657068649626359E-3</v>
      </c>
      <c r="L89" s="2">
        <f t="shared" si="4"/>
        <v>171.4486608505249</v>
      </c>
      <c r="M89" s="3">
        <f t="shared" si="5"/>
        <v>144.50519561767578</v>
      </c>
      <c r="N89">
        <f>VLOOKUP(B89,UHC!$G$2:$X$195,18,FALSE)</f>
        <v>84.94</v>
      </c>
      <c r="O89">
        <f>VLOOKUP(B89,'Covid-19 impact - vaccination'!$B$2:$D$195,2,FALSE)</f>
        <v>0.78546706805782618</v>
      </c>
      <c r="P89">
        <f>VLOOKUP(B89,'Covid-19 impact - vaccination'!$B$2:$D$195,3,FALSE)</f>
        <v>0</v>
      </c>
    </row>
    <row r="90" spans="1:16" x14ac:dyDescent="0.35">
      <c r="A90" t="str">
        <f>VLOOKUP(B90,'Reference table'!J$2:K$195,2,FALSE)</f>
        <v>Kazakhstan</v>
      </c>
      <c r="B90" t="s">
        <v>331</v>
      </c>
      <c r="C90" t="str">
        <f>VLOOKUP(B90,'Reference table'!C$1:E$195,3,FALSE)</f>
        <v>LMI</v>
      </c>
      <c r="D90" s="2">
        <f>VLOOKUP($B90,'Raw HWF'!$C$2:$Q$195,9,FALSE)</f>
        <v>40.661170959472656</v>
      </c>
      <c r="E90" s="2">
        <f>VLOOKUP($B90,'Raw HWF'!$C$2:$Q$195,10,FALSE)</f>
        <v>67.439201354980469</v>
      </c>
      <c r="F90" s="2">
        <f>VLOOKUP($B90,'Raw HWF'!$C$2:$Q$195,11,FALSE)</f>
        <v>5.3812499046325684</v>
      </c>
      <c r="G90" s="2">
        <f>VLOOKUP($B90,'Raw HWF'!$C$2:$Q$195,12,FALSE)</f>
        <v>2.8914773464202881</v>
      </c>
      <c r="H90" s="2">
        <f>VLOOKUP($B90,'Raw HWF'!$C$2:$Q$195,13,FALSE)</f>
        <v>8.1255683898925781</v>
      </c>
      <c r="I90" s="5">
        <f>VLOOKUP($B90,'Raw HWF'!$C$2:$Q$195,14,FALSE)</f>
        <v>0</v>
      </c>
      <c r="J90" s="5">
        <f>VLOOKUP(B90,'Pop2020'!$D$2:$E$202,2,FALSE)</f>
        <v>18776707</v>
      </c>
      <c r="K90" s="6">
        <f t="shared" si="3"/>
        <v>0</v>
      </c>
      <c r="L90" s="2">
        <f t="shared" si="4"/>
        <v>124.49866795539856</v>
      </c>
      <c r="M90" s="3">
        <f t="shared" si="5"/>
        <v>113.48162221908569</v>
      </c>
      <c r="N90">
        <f>VLOOKUP(B90,UHC!$G$2:$X$195,18,FALSE)</f>
        <v>75.900000000000006</v>
      </c>
      <c r="O90">
        <f>VLOOKUP(B90,'Covid-19 impact - vaccination'!$B$2:$D$195,2,FALSE)</f>
        <v>0.46652493432421349</v>
      </c>
      <c r="P90">
        <f>VLOOKUP(B90,'Covid-19 impact - vaccination'!$B$2:$D$195,3,FALSE)</f>
        <v>9.6501548231140051E-3</v>
      </c>
    </row>
    <row r="91" spans="1:16" x14ac:dyDescent="0.35">
      <c r="A91" t="str">
        <f>VLOOKUP(B91,'Reference table'!J$2:K$195,2,FALSE)</f>
        <v>Kenya</v>
      </c>
      <c r="B91" t="s">
        <v>334</v>
      </c>
      <c r="C91" t="str">
        <f>VLOOKUP(B91,'Reference table'!C$1:E$195,3,FALSE)</f>
        <v>LIN</v>
      </c>
      <c r="D91" s="2">
        <f>VLOOKUP($B91,'Raw HWF'!$C$2:$Q$195,9,FALSE)</f>
        <v>1.5645914077758789</v>
      </c>
      <c r="E91" s="2">
        <f>VLOOKUP($B91,'Raw HWF'!$C$2:$Q$195,10,FALSE)</f>
        <v>11.653890609741211</v>
      </c>
      <c r="F91" s="2">
        <f>VLOOKUP($B91,'Raw HWF'!$C$2:$Q$195,11,FALSE)</f>
        <v>0</v>
      </c>
      <c r="G91" s="2">
        <f>VLOOKUP($B91,'Raw HWF'!$C$2:$Q$195,12,FALSE)</f>
        <v>0.2471482902765274</v>
      </c>
      <c r="H91" s="2">
        <f>VLOOKUP($B91,'Raw HWF'!$C$2:$Q$195,13,FALSE)</f>
        <v>0.18754863739013672</v>
      </c>
      <c r="I91" s="5">
        <f>VLOOKUP($B91,'Raw HWF'!$C$2:$Q$195,14,FALSE)</f>
        <v>262302.5625</v>
      </c>
      <c r="J91" s="5">
        <f>VLOOKUP(B91,'Pop2020'!$D$2:$E$202,2,FALSE)</f>
        <v>53771295.999999993</v>
      </c>
      <c r="K91" s="6">
        <f t="shared" si="3"/>
        <v>3.5728784938472007</v>
      </c>
      <c r="L91" s="2">
        <f t="shared" si="4"/>
        <v>13.653178945183754</v>
      </c>
      <c r="M91" s="3">
        <f t="shared" si="5"/>
        <v>13.21848201751709</v>
      </c>
      <c r="N91">
        <f>VLOOKUP(B91,UHC!$G$2:$X$195,18,FALSE)</f>
        <v>55.95</v>
      </c>
      <c r="O91">
        <f>VLOOKUP(B91,'Covid-19 impact - vaccination'!$B$2:$D$195,2,FALSE)</f>
        <v>8.5246950343171937E-2</v>
      </c>
      <c r="P91">
        <f>VLOOKUP(B91,'Covid-19 impact - vaccination'!$B$2:$D$195,3,FALSE)</f>
        <v>0.15836785691039898</v>
      </c>
    </row>
    <row r="92" spans="1:16" x14ac:dyDescent="0.35">
      <c r="A92" t="str">
        <f>VLOOKUP(B92,'Reference table'!J$2:K$195,2,FALSE)</f>
        <v>Kyrgyzstan</v>
      </c>
      <c r="B92" t="s">
        <v>174</v>
      </c>
      <c r="C92" t="str">
        <f>VLOOKUP(B92,'Reference table'!C$1:E$195,3,FALSE)</f>
        <v>LIN</v>
      </c>
      <c r="D92" s="2">
        <f>VLOOKUP($B92,'Raw HWF'!$C$2:$Q$195,9,FALSE)</f>
        <v>22.130128860473633</v>
      </c>
      <c r="E92" s="2">
        <f>VLOOKUP($B92,'Raw HWF'!$C$2:$Q$195,10,FALSE)</f>
        <v>52.242485046386719</v>
      </c>
      <c r="F92" s="2">
        <f>VLOOKUP($B92,'Raw HWF'!$C$2:$Q$195,11,FALSE)</f>
        <v>3.7843770980834961</v>
      </c>
      <c r="G92" s="2">
        <f>VLOOKUP($B92,'Raw HWF'!$C$2:$Q$195,12,FALSE)</f>
        <v>1.8496119976043701</v>
      </c>
      <c r="H92" s="2">
        <f>VLOOKUP($B92,'Raw HWF'!$C$2:$Q$195,13,FALSE)</f>
        <v>0.41406300663948059</v>
      </c>
      <c r="I92" s="5">
        <f>VLOOKUP($B92,'Raw HWF'!$C$2:$Q$195,14,FALSE)</f>
        <v>1220.4400634765625</v>
      </c>
      <c r="J92" s="5">
        <f>VLOOKUP(B92,'Pop2020'!$D$2:$E$202,2,FALSE)</f>
        <v>6524195</v>
      </c>
      <c r="K92" s="6">
        <f t="shared" si="3"/>
        <v>2.3260650575892144E-2</v>
      </c>
      <c r="L92" s="2">
        <f t="shared" si="4"/>
        <v>80.420666009187698</v>
      </c>
      <c r="M92" s="3">
        <f t="shared" si="5"/>
        <v>78.156991004943848</v>
      </c>
      <c r="N92">
        <f>VLOOKUP(B92,UHC!$G$2:$X$195,18,FALSE)</f>
        <v>70.319999999999993</v>
      </c>
      <c r="O92">
        <f>VLOOKUP(B92,'Covid-19 impact - vaccination'!$B$2:$D$195,2,FALSE)</f>
        <v>0.15245507067466296</v>
      </c>
      <c r="P92">
        <f>VLOOKUP(B92,'Covid-19 impact - vaccination'!$B$2:$D$195,3,FALSE)</f>
        <v>1.8740876588231568E-2</v>
      </c>
    </row>
    <row r="93" spans="1:16" x14ac:dyDescent="0.35">
      <c r="A93" t="str">
        <f>VLOOKUP(B93,'Reference table'!J$2:K$195,2,FALSE)</f>
        <v>Cambodia</v>
      </c>
      <c r="B93" t="s">
        <v>141</v>
      </c>
      <c r="C93" t="str">
        <f>VLOOKUP(B93,'Reference table'!C$1:E$195,3,FALSE)</f>
        <v>LIN</v>
      </c>
      <c r="D93" s="2">
        <f>VLOOKUP($B93,'Raw HWF'!$C$2:$Q$195,9,FALSE)</f>
        <v>1.9241830110549927</v>
      </c>
      <c r="E93" s="2">
        <f>VLOOKUP($B93,'Raw HWF'!$C$2:$Q$195,10,FALSE)</f>
        <v>5.7472724914550781</v>
      </c>
      <c r="F93" s="2">
        <f>VLOOKUP($B93,'Raw HWF'!$C$2:$Q$195,11,FALSE)</f>
        <v>4.320000171661377</v>
      </c>
      <c r="G93" s="2">
        <f>VLOOKUP($B93,'Raw HWF'!$C$2:$Q$195,12,FALSE)</f>
        <v>0.85493826866149902</v>
      </c>
      <c r="H93" s="2">
        <f>VLOOKUP($B93,'Raw HWF'!$C$2:$Q$195,13,FALSE)</f>
        <v>0.34379085898399353</v>
      </c>
      <c r="I93" s="5">
        <f>VLOOKUP($B93,'Raw HWF'!$C$2:$Q$195,14,FALSE)</f>
        <v>81789.2109375</v>
      </c>
      <c r="J93" s="5">
        <f>VLOOKUP(B93,'Pop2020'!$D$2:$E$202,2,FALSE)</f>
        <v>16718964.999999996</v>
      </c>
      <c r="K93" s="6">
        <f t="shared" si="3"/>
        <v>3.7088199419050429</v>
      </c>
      <c r="L93" s="2">
        <f t="shared" si="4"/>
        <v>13.19018480181694</v>
      </c>
      <c r="M93" s="3">
        <f t="shared" si="5"/>
        <v>11.991455674171448</v>
      </c>
      <c r="N93">
        <f>VLOOKUP(B93,UHC!$G$2:$X$195,18,FALSE)</f>
        <v>61.18</v>
      </c>
      <c r="O93">
        <f>VLOOKUP(B93,'Covid-19 impact - vaccination'!$B$2:$D$195,2,FALSE)</f>
        <v>0.8183530499645163</v>
      </c>
      <c r="P93">
        <f>VLOOKUP(B93,'Covid-19 impact - vaccination'!$B$2:$D$195,3,FALSE)</f>
        <v>0</v>
      </c>
    </row>
    <row r="94" spans="1:16" x14ac:dyDescent="0.35">
      <c r="A94" t="str">
        <f>VLOOKUP(B94,'Reference table'!J$2:K$195,2,FALSE)</f>
        <v>Kiribati</v>
      </c>
      <c r="B94" t="s">
        <v>337</v>
      </c>
      <c r="C94" t="str">
        <f>VLOOKUP(B94,'Reference table'!C$1:E$195,3,FALSE)</f>
        <v>LMI</v>
      </c>
      <c r="D94" s="2">
        <f>VLOOKUP($B94,'Raw HWF'!$C$2:$Q$195,9,FALSE)</f>
        <v>2.039170503616333</v>
      </c>
      <c r="E94" s="2">
        <f>VLOOKUP($B94,'Raw HWF'!$C$2:$Q$195,10,FALSE)</f>
        <v>38.241741180419922</v>
      </c>
      <c r="F94" s="2">
        <f>VLOOKUP($B94,'Raw HWF'!$C$2:$Q$195,11,FALSE)</f>
        <v>0</v>
      </c>
      <c r="G94" s="2">
        <f>VLOOKUP($B94,'Raw HWF'!$C$2:$Q$195,12,FALSE)</f>
        <v>0.71092784404754639</v>
      </c>
      <c r="H94" s="2">
        <f>VLOOKUP($B94,'Raw HWF'!$C$2:$Q$195,13,FALSE)</f>
        <v>0.26659795641899109</v>
      </c>
      <c r="I94" s="5">
        <f>VLOOKUP($B94,'Raw HWF'!$C$2:$Q$195,14,FALSE)</f>
        <v>204.39143371582031</v>
      </c>
      <c r="J94" s="5">
        <f>VLOOKUP(B94,'Pop2020'!$D$2:$E$202,2,FALSE)</f>
        <v>119449</v>
      </c>
      <c r="K94" s="6">
        <f t="shared" si="3"/>
        <v>0.41473185590018896</v>
      </c>
      <c r="L94" s="2">
        <f t="shared" si="4"/>
        <v>41.258437484502792</v>
      </c>
      <c r="M94" s="3">
        <f t="shared" si="5"/>
        <v>40.280911684036255</v>
      </c>
      <c r="N94">
        <f>VLOOKUP(B94,UHC!$G$2:$X$195,18,FALSE)</f>
        <v>51.22</v>
      </c>
      <c r="O94">
        <f>VLOOKUP(B94,'Covid-19 impact - vaccination'!$B$2:$D$195,2,FALSE)</f>
        <v>0.33934147627857913</v>
      </c>
      <c r="P94">
        <f>VLOOKUP(B94,'Covid-19 impact - vaccination'!$B$2:$D$195,3,FALSE)</f>
        <v>0</v>
      </c>
    </row>
    <row r="95" spans="1:16" x14ac:dyDescent="0.35">
      <c r="A95" t="str">
        <f>VLOOKUP(B95,'Reference table'!J$2:K$195,2,FALSE)</f>
        <v>Saint Kitts and Nevis</v>
      </c>
      <c r="B95" t="s">
        <v>485</v>
      </c>
      <c r="C95" t="str">
        <f>VLOOKUP(B95,'Reference table'!C$1:E$195,3,FALSE)</f>
        <v>UMI</v>
      </c>
      <c r="D95" s="2">
        <f>VLOOKUP($B95,'Raw HWF'!$C$2:$Q$195,9,FALSE)</f>
        <v>27.651702880859375</v>
      </c>
      <c r="E95" s="2">
        <f>VLOOKUP($B95,'Raw HWF'!$C$2:$Q$195,10,FALSE)</f>
        <v>42.1842041015625</v>
      </c>
      <c r="F95" s="2">
        <f>VLOOKUP($B95,'Raw HWF'!$C$2:$Q$195,11,FALSE)</f>
        <v>4.2987570762634277</v>
      </c>
      <c r="G95" s="2">
        <f>VLOOKUP($B95,'Raw HWF'!$C$2:$Q$195,12,FALSE)</f>
        <v>2.288416862487793</v>
      </c>
      <c r="H95" s="2">
        <f>VLOOKUP($B95,'Raw HWF'!$C$2:$Q$195,13,FALSE)</f>
        <v>3.027867317199707</v>
      </c>
      <c r="I95" s="5">
        <f>VLOOKUP($B95,'Raw HWF'!$C$2:$Q$195,14,FALSE)</f>
        <v>0</v>
      </c>
      <c r="J95" s="5">
        <v>53192</v>
      </c>
      <c r="K95" s="6">
        <f t="shared" si="3"/>
        <v>0</v>
      </c>
      <c r="L95" s="2">
        <f t="shared" si="4"/>
        <v>79.450948238372803</v>
      </c>
      <c r="M95" s="3">
        <f t="shared" si="5"/>
        <v>74.134664058685303</v>
      </c>
      <c r="N95">
        <f>VLOOKUP(B95,UHC!$G$2:$X$195,18,FALSE)</f>
        <v>71.75</v>
      </c>
      <c r="O95">
        <f>VLOOKUP(B95,'Covid-19 impact - vaccination'!$B$2:$D$195,2,FALSE)</f>
        <v>0.48482854564596178</v>
      </c>
      <c r="P95">
        <f>VLOOKUP(B95,'Covid-19 impact - vaccination'!$B$2:$D$195,3,FALSE)</f>
        <v>9.0686219392020727E-3</v>
      </c>
    </row>
    <row r="96" spans="1:16" x14ac:dyDescent="0.35">
      <c r="A96" t="str">
        <f>VLOOKUP(B96,'Reference table'!J$2:K$195,2,FALSE)</f>
        <v>Republic of Korea</v>
      </c>
      <c r="B96" t="s">
        <v>339</v>
      </c>
      <c r="C96" t="str">
        <f>VLOOKUP(B96,'Reference table'!C$1:E$195,3,FALSE)</f>
        <v>HIN</v>
      </c>
      <c r="D96" s="2">
        <f>VLOOKUP($B96,'Raw HWF'!$C$2:$Q$195,9,FALSE)</f>
        <v>24.855077743530273</v>
      </c>
      <c r="E96" s="2">
        <f>VLOOKUP($B96,'Raw HWF'!$C$2:$Q$195,10,FALSE)</f>
        <v>80.213668823242188</v>
      </c>
      <c r="F96" s="2">
        <f>VLOOKUP($B96,'Raw HWF'!$C$2:$Q$195,11,FALSE)</f>
        <v>1.6107422113418579</v>
      </c>
      <c r="G96" s="2">
        <f>VLOOKUP($B96,'Raw HWF'!$C$2:$Q$195,12,FALSE)</f>
        <v>5.1730470657348633</v>
      </c>
      <c r="H96" s="2">
        <f>VLOOKUP($B96,'Raw HWF'!$C$2:$Q$195,13,FALSE)</f>
        <v>7.6056642532348633</v>
      </c>
      <c r="I96" s="5">
        <f>VLOOKUP($B96,'Raw HWF'!$C$2:$Q$195,14,FALSE)</f>
        <v>14386.375</v>
      </c>
      <c r="J96" s="5">
        <f>VLOOKUP(B96,'Pop2020'!$D$2:$E$202,2,FALSE)</f>
        <v>51269185</v>
      </c>
      <c r="K96" s="6">
        <f t="shared" si="3"/>
        <v>2.3489782525618886E-2</v>
      </c>
      <c r="L96" s="2">
        <f t="shared" si="4"/>
        <v>119.45820009708405</v>
      </c>
      <c r="M96" s="3">
        <f t="shared" si="5"/>
        <v>106.67948877811432</v>
      </c>
      <c r="N96">
        <f>VLOOKUP(B96,UHC!$G$2:$X$195,18,FALSE)</f>
        <v>87.09</v>
      </c>
      <c r="O96">
        <f>VLOOKUP(B96,'Covid-19 impact - vaccination'!$B$2:$D$195,2,FALSE)</f>
        <v>0.83930435016667415</v>
      </c>
      <c r="P96">
        <f>VLOOKUP(B96,'Covid-19 impact - vaccination'!$B$2:$D$195,3,FALSE)</f>
        <v>0</v>
      </c>
    </row>
    <row r="97" spans="1:16" x14ac:dyDescent="0.35">
      <c r="A97" t="str">
        <f>VLOOKUP(B97,'Reference table'!J$2:K$195,2,FALSE)</f>
        <v>Kuwait</v>
      </c>
      <c r="B97" t="s">
        <v>506</v>
      </c>
      <c r="C97" t="str">
        <f>VLOOKUP(B97,'Reference table'!C$1:E$195,3,FALSE)</f>
        <v>HIN</v>
      </c>
      <c r="D97" s="2">
        <f>VLOOKUP($B97,'Raw HWF'!$C$2:$Q$195,9,FALSE)</f>
        <v>23.416116714477539</v>
      </c>
      <c r="E97" s="2">
        <f>VLOOKUP($B97,'Raw HWF'!$C$2:$Q$195,10,FALSE)</f>
        <v>46.832233428955078</v>
      </c>
      <c r="F97" s="2">
        <f>VLOOKUP($B97,'Raw HWF'!$C$2:$Q$195,11,FALSE)</f>
        <v>5.1814961433410645</v>
      </c>
      <c r="G97" s="2">
        <f>VLOOKUP($B97,'Raw HWF'!$C$2:$Q$195,12,FALSE)</f>
        <v>6.7447285652160645</v>
      </c>
      <c r="H97" s="2">
        <f>VLOOKUP($B97,'Raw HWF'!$C$2:$Q$195,13,FALSE)</f>
        <v>4.914738655090332</v>
      </c>
      <c r="I97" s="5">
        <f>VLOOKUP($B97,'Raw HWF'!$C$2:$Q$195,14,FALSE)</f>
        <v>0</v>
      </c>
      <c r="J97" s="5">
        <f>VLOOKUP(B97,'Pop2020'!$D$2:$E$202,2,FALSE)</f>
        <v>4270571</v>
      </c>
      <c r="K97" s="6">
        <f t="shared" si="3"/>
        <v>0</v>
      </c>
      <c r="L97" s="2">
        <f t="shared" si="4"/>
        <v>87.089313507080078</v>
      </c>
      <c r="M97" s="3">
        <f t="shared" si="5"/>
        <v>75.429846286773682</v>
      </c>
      <c r="N97">
        <f>VLOOKUP(B97,UHC!$G$2:$X$195,18,FALSE)</f>
        <v>69.56</v>
      </c>
      <c r="O97">
        <f>VLOOKUP(B97,'Covid-19 impact - vaccination'!$B$2:$D$195,2,FALSE)</f>
        <v>0.75738443407216505</v>
      </c>
      <c r="P97">
        <f>VLOOKUP(B97,'Covid-19 impact - vaccination'!$B$2:$D$195,3,FALSE)</f>
        <v>0</v>
      </c>
    </row>
    <row r="98" spans="1:16" x14ac:dyDescent="0.35">
      <c r="A98" t="str">
        <f>VLOOKUP(B98,'Reference table'!J$2:K$195,2,FALSE)</f>
        <v>Lao People's Democratic Republic</v>
      </c>
      <c r="B98" t="s">
        <v>176</v>
      </c>
      <c r="C98" t="str">
        <f>VLOOKUP(B98,'Reference table'!C$1:E$195,3,FALSE)</f>
        <v>LIN</v>
      </c>
      <c r="D98" s="2">
        <f>VLOOKUP($B98,'Raw HWF'!$C$2:$Q$195,9,FALSE)</f>
        <v>3.5392484664916992</v>
      </c>
      <c r="E98" s="2">
        <f>VLOOKUP($B98,'Raw HWF'!$C$2:$Q$195,10,FALSE)</f>
        <v>9.5951433181762695</v>
      </c>
      <c r="F98" s="2">
        <f>VLOOKUP($B98,'Raw HWF'!$C$2:$Q$195,11,FALSE)</f>
        <v>2.3077273368835449</v>
      </c>
      <c r="G98" s="2">
        <f>VLOOKUP($B98,'Raw HWF'!$C$2:$Q$195,12,FALSE)</f>
        <v>0.76832616329193115</v>
      </c>
      <c r="H98" s="2">
        <f>VLOOKUP($B98,'Raw HWF'!$C$2:$Q$195,13,FALSE)</f>
        <v>2.2871103286743164</v>
      </c>
      <c r="I98" s="5">
        <f>VLOOKUP($B98,'Raw HWF'!$C$2:$Q$195,14,FALSE)</f>
        <v>30568.798828125</v>
      </c>
      <c r="J98" s="5">
        <f>VLOOKUP(B98,'Pop2020'!$D$2:$E$202,2,FALSE)</f>
        <v>7275559.9999999991</v>
      </c>
      <c r="K98" s="6">
        <f t="shared" si="3"/>
        <v>2.2714208373490368</v>
      </c>
      <c r="L98" s="2">
        <f t="shared" si="4"/>
        <v>18.497555613517761</v>
      </c>
      <c r="M98" s="3">
        <f t="shared" si="5"/>
        <v>15.442119121551514</v>
      </c>
      <c r="N98">
        <f>VLOOKUP(B98,UHC!$G$2:$X$195,18,FALSE)</f>
        <v>50.21</v>
      </c>
      <c r="O98">
        <f>VLOOKUP(B98,'Covid-19 impact - vaccination'!$B$2:$D$195,2,FALSE)</f>
        <v>0.42594700614110803</v>
      </c>
      <c r="P98">
        <f>VLOOKUP(B98,'Covid-19 impact - vaccination'!$B$2:$D$195,3,FALSE)</f>
        <v>3.4647437347070459E-2</v>
      </c>
    </row>
    <row r="99" spans="1:16" x14ac:dyDescent="0.35">
      <c r="A99" t="str">
        <f>VLOOKUP(B99,'Reference table'!J$2:K$195,2,FALSE)</f>
        <v>Lebanon</v>
      </c>
      <c r="B99" t="s">
        <v>179</v>
      </c>
      <c r="C99" t="str">
        <f>VLOOKUP(B99,'Reference table'!C$1:E$195,3,FALSE)</f>
        <v>UMI</v>
      </c>
      <c r="D99" s="2">
        <f>VLOOKUP($B99,'Raw HWF'!$C$2:$Q$195,9,FALSE)</f>
        <v>22.070655822753906</v>
      </c>
      <c r="E99" s="2">
        <f>VLOOKUP($B99,'Raw HWF'!$C$2:$Q$195,10,FALSE)</f>
        <v>15.131043434143066</v>
      </c>
      <c r="F99" s="2">
        <f>VLOOKUP($B99,'Raw HWF'!$C$2:$Q$195,11,FALSE)</f>
        <v>1.6036369800567627</v>
      </c>
      <c r="G99" s="2">
        <f>VLOOKUP($B99,'Raw HWF'!$C$2:$Q$195,12,FALSE)</f>
        <v>10.206419944763184</v>
      </c>
      <c r="H99" s="2">
        <f>VLOOKUP($B99,'Raw HWF'!$C$2:$Q$195,13,FALSE)</f>
        <v>12.928229331970215</v>
      </c>
      <c r="I99" s="5">
        <f>VLOOKUP($B99,'Raw HWF'!$C$2:$Q$195,14,FALSE)</f>
        <v>17547.57421875</v>
      </c>
      <c r="J99" s="5">
        <f>VLOOKUP(B99,'Pop2020'!$D$2:$E$202,2,FALSE)</f>
        <v>6825444.9999999991</v>
      </c>
      <c r="K99" s="6">
        <f t="shared" si="3"/>
        <v>0.41506395222349096</v>
      </c>
      <c r="L99" s="2">
        <f t="shared" si="4"/>
        <v>61.939985513687134</v>
      </c>
      <c r="M99" s="3">
        <f t="shared" si="5"/>
        <v>38.805336236953735</v>
      </c>
      <c r="N99">
        <f>VLOOKUP(B99,UHC!$G$2:$X$195,18,FALSE)</f>
        <v>71.98</v>
      </c>
      <c r="O99">
        <f>VLOOKUP(B99,'Covid-19 impact - vaccination'!$B$2:$D$195,2,FALSE)</f>
        <v>0.29145616146639525</v>
      </c>
      <c r="P99">
        <f>VLOOKUP(B99,'Covid-19 impact - vaccination'!$B$2:$D$195,3,FALSE)</f>
        <v>9.0497274801726191E-3</v>
      </c>
    </row>
    <row r="100" spans="1:16" x14ac:dyDescent="0.35">
      <c r="A100" t="str">
        <f>VLOOKUP(B100,'Reference table'!J$2:K$195,2,FALSE)</f>
        <v>Liberia</v>
      </c>
      <c r="B100" t="s">
        <v>345</v>
      </c>
      <c r="C100" t="str">
        <f>VLOOKUP(B100,'Reference table'!C$1:E$195,3,FALSE)</f>
        <v>LIN</v>
      </c>
      <c r="D100" s="2">
        <f>VLOOKUP($B100,'Raw HWF'!$C$2:$Q$195,9,FALSE)</f>
        <v>0.51048189401626587</v>
      </c>
      <c r="E100" s="2">
        <f>VLOOKUP($B100,'Raw HWF'!$C$2:$Q$195,10,FALSE)</f>
        <v>19.537345886230469</v>
      </c>
      <c r="F100" s="2">
        <f>VLOOKUP($B100,'Raw HWF'!$C$2:$Q$195,11,FALSE)</f>
        <v>0</v>
      </c>
      <c r="G100" s="2">
        <f>VLOOKUP($B100,'Raw HWF'!$C$2:$Q$195,12,FALSE)</f>
        <v>1.4177576638758183E-2</v>
      </c>
      <c r="H100" s="2">
        <f>VLOOKUP($B100,'Raw HWF'!$C$2:$Q$195,13,FALSE)</f>
        <v>2.222463846206665</v>
      </c>
      <c r="I100" s="5">
        <f>VLOOKUP($B100,'Raw HWF'!$C$2:$Q$195,14,FALSE)</f>
        <v>18548.80859375</v>
      </c>
      <c r="J100" s="5">
        <f>VLOOKUP(B100,'Pop2020'!$D$2:$E$202,2,FALSE)</f>
        <v>5057681</v>
      </c>
      <c r="K100" s="6">
        <f t="shared" si="3"/>
        <v>1.6457440431744352</v>
      </c>
      <c r="L100" s="2">
        <f t="shared" si="4"/>
        <v>22.284469203092158</v>
      </c>
      <c r="M100" s="3">
        <f t="shared" si="5"/>
        <v>20.047827780246735</v>
      </c>
      <c r="N100">
        <f>VLOOKUP(B100,UHC!$G$2:$X$195,18,FALSE)</f>
        <v>41.87</v>
      </c>
      <c r="O100">
        <f>VLOOKUP(B100,'Covid-19 impact - vaccination'!$B$2:$D$195,2,FALSE)</f>
        <v>0.19514378229864635</v>
      </c>
      <c r="P100">
        <f>VLOOKUP(B100,'Covid-19 impact - vaccination'!$B$2:$D$195,3,FALSE)</f>
        <v>0.45797280321014378</v>
      </c>
    </row>
    <row r="101" spans="1:16" x14ac:dyDescent="0.35">
      <c r="A101" t="str">
        <f>VLOOKUP(B101,'Reference table'!J$2:K$195,2,FALSE)</f>
        <v>Libyan Arab Jamahiriya</v>
      </c>
      <c r="B101" t="s">
        <v>509</v>
      </c>
      <c r="C101" t="str">
        <f>VLOOKUP(B101,'Reference table'!C$1:E$195,3,FALSE)</f>
        <v>UMI</v>
      </c>
      <c r="D101" s="2">
        <f>VLOOKUP($B101,'Raw HWF'!$C$2:$Q$195,9,FALSE)</f>
        <v>20.904996871948242</v>
      </c>
      <c r="E101" s="2">
        <f>VLOOKUP($B101,'Raw HWF'!$C$2:$Q$195,10,FALSE)</f>
        <v>63.722480773925781</v>
      </c>
      <c r="F101" s="2">
        <f>VLOOKUP($B101,'Raw HWF'!$C$2:$Q$195,11,FALSE)</f>
        <v>1.5818930864334106</v>
      </c>
      <c r="G101" s="2">
        <f>VLOOKUP($B101,'Raw HWF'!$C$2:$Q$195,12,FALSE)</f>
        <v>8.7771511077880859</v>
      </c>
      <c r="H101" s="2">
        <f>VLOOKUP($B101,'Raw HWF'!$C$2:$Q$195,13,FALSE)</f>
        <v>6.0114974975585938</v>
      </c>
      <c r="I101" s="5">
        <f>VLOOKUP($B101,'Raw HWF'!$C$2:$Q$195,14,FALSE)</f>
        <v>2193.635009765625</v>
      </c>
      <c r="J101" s="5">
        <f>VLOOKUP(B101,'Pop2020'!$D$2:$E$202,2,FALSE)</f>
        <v>6871292.0000000009</v>
      </c>
      <c r="K101" s="6">
        <f t="shared" si="3"/>
        <v>3.1609171091606422E-2</v>
      </c>
      <c r="L101" s="2">
        <f t="shared" si="4"/>
        <v>100.99801933765411</v>
      </c>
      <c r="M101" s="3">
        <f t="shared" si="5"/>
        <v>86.209370732307434</v>
      </c>
      <c r="N101">
        <f>VLOOKUP(B101,UHC!$G$2:$X$195,18,FALSE)</f>
        <v>59.66</v>
      </c>
      <c r="O101">
        <f>VLOOKUP(B101,'Covid-19 impact - vaccination'!$B$2:$D$195,2,FALSE)</f>
        <v>0.13480667100161076</v>
      </c>
      <c r="P101">
        <f>VLOOKUP(B101,'Covid-19 impact - vaccination'!$B$2:$D$195,3,FALSE)</f>
        <v>1.8107825605870029E-2</v>
      </c>
    </row>
    <row r="102" spans="1:16" x14ac:dyDescent="0.35">
      <c r="A102" t="str">
        <f>VLOOKUP(B102,'Reference table'!J$2:K$195,2,FALSE)</f>
        <v>Saint Lucia</v>
      </c>
      <c r="B102" t="s">
        <v>487</v>
      </c>
      <c r="C102" t="str">
        <f>VLOOKUP(B102,'Reference table'!C$1:E$195,3,FALSE)</f>
        <v>UMI</v>
      </c>
      <c r="D102" s="2">
        <f>VLOOKUP($B102,'Raw HWF'!$C$2:$Q$195,9,FALSE)</f>
        <v>6.4104337692260742</v>
      </c>
      <c r="E102" s="2">
        <f>VLOOKUP($B102,'Raw HWF'!$C$2:$Q$195,10,FALSE)</f>
        <v>26.304882049560547</v>
      </c>
      <c r="F102" s="2">
        <f>VLOOKUP($B102,'Raw HWF'!$C$2:$Q$195,11,FALSE)</f>
        <v>5.2499241828918457</v>
      </c>
      <c r="G102" s="2">
        <f>VLOOKUP($B102,'Raw HWF'!$C$2:$Q$195,12,FALSE)</f>
        <v>1.7131330966949463</v>
      </c>
      <c r="H102" s="2">
        <f>VLOOKUP($B102,'Raw HWF'!$C$2:$Q$195,13,FALSE)</f>
        <v>4.3657264709472656</v>
      </c>
      <c r="I102" s="5">
        <f>VLOOKUP($B102,'Raw HWF'!$C$2:$Q$195,14,FALSE)</f>
        <v>257.40719604492188</v>
      </c>
      <c r="J102" s="5">
        <f>VLOOKUP(B102,'Pop2020'!$D$2:$E$202,2,FALSE)</f>
        <v>183627</v>
      </c>
      <c r="K102" s="6">
        <f t="shared" si="3"/>
        <v>0.31827051659895955</v>
      </c>
      <c r="L102" s="2">
        <f t="shared" si="4"/>
        <v>44.044099569320679</v>
      </c>
      <c r="M102" s="3">
        <f t="shared" si="5"/>
        <v>37.965240001678467</v>
      </c>
      <c r="N102">
        <f>VLOOKUP(B102,UHC!$G$2:$X$195,18,FALSE)</f>
        <v>71.599999999999994</v>
      </c>
      <c r="O102">
        <f>VLOOKUP(B102,'Covid-19 impact - vaccination'!$B$2:$D$195,2,FALSE)</f>
        <v>0.26988405844456426</v>
      </c>
      <c r="P102">
        <f>VLOOKUP(B102,'Covid-19 impact - vaccination'!$B$2:$D$195,3,FALSE)</f>
        <v>1.7238920822208261E-2</v>
      </c>
    </row>
    <row r="103" spans="1:16" x14ac:dyDescent="0.35">
      <c r="A103" t="str">
        <f>VLOOKUP(B103,'Reference table'!J$2:K$195,2,FALSE)</f>
        <v>Sri Lanka</v>
      </c>
      <c r="B103" t="s">
        <v>56</v>
      </c>
      <c r="C103" t="str">
        <f>VLOOKUP(B103,'Reference table'!C$1:E$195,3,FALSE)</f>
        <v>LMI</v>
      </c>
      <c r="D103" s="2">
        <f>VLOOKUP($B103,'Raw HWF'!$C$2:$Q$195,9,FALSE)</f>
        <v>12.299065589904785</v>
      </c>
      <c r="E103" s="2">
        <f>VLOOKUP($B103,'Raw HWF'!$C$2:$Q$195,10,FALSE)</f>
        <v>20.887849807739258</v>
      </c>
      <c r="F103" s="2">
        <f>VLOOKUP($B103,'Raw HWF'!$C$2:$Q$195,11,FALSE)</f>
        <v>4.0794391632080078</v>
      </c>
      <c r="G103" s="2">
        <f>VLOOKUP($B103,'Raw HWF'!$C$2:$Q$195,12,FALSE)</f>
        <v>1.0747663974761963</v>
      </c>
      <c r="H103" s="2">
        <f>VLOOKUP($B103,'Raw HWF'!$C$2:$Q$195,13,FALSE)</f>
        <v>1.0172897577285767</v>
      </c>
      <c r="I103" s="5">
        <f>VLOOKUP($B103,'Raw HWF'!$C$2:$Q$195,14,FALSE)</f>
        <v>38524.625</v>
      </c>
      <c r="J103" s="5">
        <f>VLOOKUP(B103,'Pop2020'!$D$2:$E$202,2,FALSE)</f>
        <v>21413249</v>
      </c>
      <c r="K103" s="6">
        <f t="shared" si="3"/>
        <v>0.45710744989110919</v>
      </c>
      <c r="L103" s="2">
        <f t="shared" si="4"/>
        <v>39.358410716056824</v>
      </c>
      <c r="M103" s="3">
        <f t="shared" si="5"/>
        <v>37.266354560852051</v>
      </c>
      <c r="N103">
        <f>VLOOKUP(B103,UHC!$G$2:$X$195,18,FALSE)</f>
        <v>66.8</v>
      </c>
      <c r="O103">
        <f>VLOOKUP(B103,'Covid-19 impact - vaccination'!$B$2:$D$195,2,FALSE)</f>
        <v>0.64683523738037141</v>
      </c>
      <c r="P103">
        <f>VLOOKUP(B103,'Covid-19 impact - vaccination'!$B$2:$D$195,3,FALSE)</f>
        <v>5.139215421766756E-4</v>
      </c>
    </row>
    <row r="104" spans="1:16" x14ac:dyDescent="0.35">
      <c r="A104" t="str">
        <f>VLOOKUP(B104,'Reference table'!J$2:K$195,2,FALSE)</f>
        <v>Lesotho</v>
      </c>
      <c r="B104" t="s">
        <v>150</v>
      </c>
      <c r="C104" t="str">
        <f>VLOOKUP(B104,'Reference table'!C$1:E$195,3,FALSE)</f>
        <v>LIN</v>
      </c>
      <c r="D104" s="2">
        <f>VLOOKUP($B104,'Raw HWF'!$C$2:$Q$195,9,FALSE)</f>
        <v>4.7336111068725586</v>
      </c>
      <c r="E104" s="2">
        <f>VLOOKUP($B104,'Raw HWF'!$C$2:$Q$195,10,FALSE)</f>
        <v>32.566104888916016</v>
      </c>
      <c r="F104" s="2">
        <f>VLOOKUP($B104,'Raw HWF'!$C$2:$Q$195,11,FALSE)</f>
        <v>2.7208631038665771</v>
      </c>
      <c r="G104" s="2">
        <f>VLOOKUP($B104,'Raw HWF'!$C$2:$Q$195,12,FALSE)</f>
        <v>0.17409577965736389</v>
      </c>
      <c r="H104" s="2">
        <f>VLOOKUP($B104,'Raw HWF'!$C$2:$Q$195,13,FALSE)</f>
        <v>1.8877526521682739</v>
      </c>
      <c r="I104" s="5">
        <f>VLOOKUP($B104,'Raw HWF'!$C$2:$Q$195,14,FALSE)</f>
        <v>3335.69287109375</v>
      </c>
      <c r="J104" s="5">
        <f>VLOOKUP(B104,'Pop2020'!$D$2:$E$202,2,FALSE)</f>
        <v>2142248.9999999995</v>
      </c>
      <c r="K104" s="6">
        <f t="shared" si="3"/>
        <v>0.37001158656748701</v>
      </c>
      <c r="L104" s="2">
        <f t="shared" si="4"/>
        <v>42.082427531480789</v>
      </c>
      <c r="M104" s="3">
        <f t="shared" si="5"/>
        <v>40.020579099655151</v>
      </c>
      <c r="N104">
        <f>VLOOKUP(B104,UHC!$G$2:$X$195,18,FALSE)</f>
        <v>48.09</v>
      </c>
      <c r="O104">
        <f>VLOOKUP(B104,'Covid-19 impact - vaccination'!$B$2:$D$195,2,FALSE)</f>
        <v>0.34338211851190037</v>
      </c>
      <c r="P104">
        <f>VLOOKUP(B104,'Covid-19 impact - vaccination'!$B$2:$D$195,3,FALSE)</f>
        <v>4.4565688547818449E-2</v>
      </c>
    </row>
    <row r="105" spans="1:16" x14ac:dyDescent="0.35">
      <c r="A105" t="str">
        <f>VLOOKUP(B105,'Reference table'!J$2:K$195,2,FALSE)</f>
        <v>Lithuania</v>
      </c>
      <c r="B105" t="s">
        <v>348</v>
      </c>
      <c r="C105" t="str">
        <f>VLOOKUP(B105,'Reference table'!C$1:E$195,3,FALSE)</f>
        <v>UMI</v>
      </c>
      <c r="D105" s="2">
        <f>VLOOKUP($B105,'Raw HWF'!$C$2:$Q$195,9,FALSE)</f>
        <v>50.76239013671875</v>
      </c>
      <c r="E105" s="2">
        <f>VLOOKUP($B105,'Raw HWF'!$C$2:$Q$195,10,FALSE)</f>
        <v>96.661231994628906</v>
      </c>
      <c r="F105" s="2">
        <f>VLOOKUP($B105,'Raw HWF'!$C$2:$Q$195,11,FALSE)</f>
        <v>4.1656088829040527</v>
      </c>
      <c r="G105" s="2">
        <f>VLOOKUP($B105,'Raw HWF'!$C$2:$Q$195,12,FALSE)</f>
        <v>14.03229808807373</v>
      </c>
      <c r="H105" s="2">
        <f>VLOOKUP($B105,'Raw HWF'!$C$2:$Q$195,13,FALSE)</f>
        <v>12.665802001953125</v>
      </c>
      <c r="I105" s="5">
        <f>VLOOKUP($B105,'Raw HWF'!$C$2:$Q$195,14,FALSE)</f>
        <v>0</v>
      </c>
      <c r="J105" s="5">
        <f>VLOOKUP(B105,'Pop2020'!$D$2:$E$202,2,FALSE)</f>
        <v>2722289</v>
      </c>
      <c r="K105" s="6">
        <f t="shared" si="3"/>
        <v>0</v>
      </c>
      <c r="L105" s="2">
        <f t="shared" si="4"/>
        <v>178.28733110427856</v>
      </c>
      <c r="M105" s="3">
        <f t="shared" si="5"/>
        <v>151.58923101425171</v>
      </c>
      <c r="N105">
        <f>VLOOKUP(B105,UHC!$G$2:$X$195,18,FALSE)</f>
        <v>69.52</v>
      </c>
      <c r="O105">
        <f>VLOOKUP(B105,'Covid-19 impact - vaccination'!$B$2:$D$195,2,FALSE)</f>
        <v>0.56503512771600051</v>
      </c>
      <c r="P105">
        <f>VLOOKUP(B105,'Covid-19 impact - vaccination'!$B$2:$D$195,3,FALSE)</f>
        <v>0</v>
      </c>
    </row>
    <row r="106" spans="1:16" x14ac:dyDescent="0.35">
      <c r="A106" t="str">
        <f>VLOOKUP(B106,'Reference table'!J$2:K$195,2,FALSE)</f>
        <v>Luxembourg</v>
      </c>
      <c r="B106" t="s">
        <v>94</v>
      </c>
      <c r="C106" t="str">
        <f>VLOOKUP(B106,'Reference table'!C$1:E$195,3,FALSE)</f>
        <v>HIN</v>
      </c>
      <c r="D106" s="2">
        <f>VLOOKUP($B106,'Raw HWF'!$C$2:$Q$195,9,FALSE)</f>
        <v>30.071935653686523</v>
      </c>
      <c r="E106" s="2">
        <f>VLOOKUP($B106,'Raw HWF'!$C$2:$Q$195,10,FALSE)</f>
        <v>118.12526702880859</v>
      </c>
      <c r="F106" s="2">
        <f>VLOOKUP($B106,'Raw HWF'!$C$2:$Q$195,11,FALSE)</f>
        <v>3.6153900623321533</v>
      </c>
      <c r="G106" s="2">
        <f>VLOOKUP($B106,'Raw HWF'!$C$2:$Q$195,12,FALSE)</f>
        <v>9.8156147003173828</v>
      </c>
      <c r="H106" s="2">
        <f>VLOOKUP($B106,'Raw HWF'!$C$2:$Q$195,13,FALSE)</f>
        <v>7.028048038482666</v>
      </c>
      <c r="I106" s="5">
        <f>VLOOKUP($B106,'Raw HWF'!$C$2:$Q$195,14,FALSE)</f>
        <v>14.996359825134277</v>
      </c>
      <c r="J106" s="5">
        <f>VLOOKUP(B106,'Pop2020'!$D$2:$E$202,2,FALSE)</f>
        <v>625977.99999999988</v>
      </c>
      <c r="K106" s="6">
        <f t="shared" si="3"/>
        <v>1.4204446924115106E-3</v>
      </c>
      <c r="L106" s="2">
        <f t="shared" si="4"/>
        <v>168.65625548362732</v>
      </c>
      <c r="M106" s="3">
        <f t="shared" si="5"/>
        <v>151.81259274482727</v>
      </c>
      <c r="N106">
        <f>VLOOKUP(B106,UHC!$G$2:$X$195,18,FALSE)</f>
        <v>86.48</v>
      </c>
      <c r="O106">
        <f>VLOOKUP(B106,'Covid-19 impact - vaccination'!$B$2:$D$195,2,FALSE)</f>
        <v>0.57499345160898763</v>
      </c>
      <c r="P106">
        <f>VLOOKUP(B106,'Covid-19 impact - vaccination'!$B$2:$D$195,3,FALSE)</f>
        <v>0</v>
      </c>
    </row>
    <row r="107" spans="1:16" x14ac:dyDescent="0.35">
      <c r="A107" t="str">
        <f>VLOOKUP(B107,'Reference table'!J$2:K$195,2,FALSE)</f>
        <v>Latvia</v>
      </c>
      <c r="B107" t="s">
        <v>342</v>
      </c>
      <c r="C107" t="str">
        <f>VLOOKUP(B107,'Reference table'!C$1:E$195,3,FALSE)</f>
        <v>UMI</v>
      </c>
      <c r="D107" s="2">
        <f>VLOOKUP($B107,'Raw HWF'!$C$2:$Q$195,9,FALSE)</f>
        <v>34.047256469726563</v>
      </c>
      <c r="E107" s="2">
        <f>VLOOKUP($B107,'Raw HWF'!$C$2:$Q$195,10,FALSE)</f>
        <v>42.243618011474609</v>
      </c>
      <c r="F107" s="2">
        <f>VLOOKUP($B107,'Raw HWF'!$C$2:$Q$195,11,FALSE)</f>
        <v>2.0994570255279541</v>
      </c>
      <c r="G107" s="2">
        <f>VLOOKUP($B107,'Raw HWF'!$C$2:$Q$195,12,FALSE)</f>
        <v>7.125429630279541</v>
      </c>
      <c r="H107" s="2">
        <f>VLOOKUP($B107,'Raw HWF'!$C$2:$Q$195,13,FALSE)</f>
        <v>8.7159271240234375</v>
      </c>
      <c r="I107" s="5">
        <f>VLOOKUP($B107,'Raw HWF'!$C$2:$Q$195,14,FALSE)</f>
        <v>386.73733520507813</v>
      </c>
      <c r="J107" s="5">
        <f>VLOOKUP(B107,'Pop2020'!$D$2:$E$202,2,FALSE)</f>
        <v>1886198</v>
      </c>
      <c r="K107" s="6">
        <f t="shared" si="3"/>
        <v>2.1758645089692961E-2</v>
      </c>
      <c r="L107" s="2">
        <f t="shared" si="4"/>
        <v>94.231688261032104</v>
      </c>
      <c r="M107" s="3">
        <f t="shared" si="5"/>
        <v>78.390331506729126</v>
      </c>
      <c r="N107">
        <f>VLOOKUP(B107,UHC!$G$2:$X$195,18,FALSE)</f>
        <v>71.77</v>
      </c>
      <c r="O107">
        <f>VLOOKUP(B107,'Covid-19 impact - vaccination'!$B$2:$D$195,2,FALSE)</f>
        <v>0.50168031766417231</v>
      </c>
      <c r="P107">
        <f>VLOOKUP(B107,'Covid-19 impact - vaccination'!$B$2:$D$195,3,FALSE)</f>
        <v>2.3118979097922735E-3</v>
      </c>
    </row>
    <row r="108" spans="1:16" x14ac:dyDescent="0.35">
      <c r="A108" t="str">
        <f>VLOOKUP(B108,'Reference table'!J$2:K$195,2,FALSE)</f>
        <v>Morocco</v>
      </c>
      <c r="B108" t="s">
        <v>153</v>
      </c>
      <c r="C108" t="str">
        <f>VLOOKUP(B108,'Reference table'!C$1:E$195,3,FALSE)</f>
        <v>LMI</v>
      </c>
      <c r="D108" s="2">
        <f>VLOOKUP($B108,'Raw HWF'!$C$2:$Q$195,9,FALSE)</f>
        <v>7.3042135238647461</v>
      </c>
      <c r="E108" s="2">
        <f>VLOOKUP($B108,'Raw HWF'!$C$2:$Q$195,10,FALSE)</f>
        <v>12.732022285461426</v>
      </c>
      <c r="F108" s="2">
        <f>VLOOKUP($B108,'Raw HWF'!$C$2:$Q$195,11,FALSE)</f>
        <v>1.1477527618408203</v>
      </c>
      <c r="G108" s="2">
        <f>VLOOKUP($B108,'Raw HWF'!$C$2:$Q$195,12,FALSE)</f>
        <v>1.3637640476226807</v>
      </c>
      <c r="H108" s="2">
        <f>VLOOKUP($B108,'Raw HWF'!$C$2:$Q$195,13,FALSE)</f>
        <v>2.5966291427612305</v>
      </c>
      <c r="I108" s="5">
        <f>VLOOKUP($B108,'Raw HWF'!$C$2:$Q$195,14,FALSE)</f>
        <v>140798.546875</v>
      </c>
      <c r="J108" s="5">
        <f>VLOOKUP(B108,'Pop2020'!$D$2:$E$202,2,FALSE)</f>
        <v>36910560.000000007</v>
      </c>
      <c r="K108" s="6">
        <f t="shared" si="3"/>
        <v>1.5170733403086709</v>
      </c>
      <c r="L108" s="2">
        <f t="shared" si="4"/>
        <v>25.144381761550903</v>
      </c>
      <c r="M108" s="3">
        <f t="shared" si="5"/>
        <v>21.183988571166992</v>
      </c>
      <c r="N108">
        <f>VLOOKUP(B108,UHC!$G$2:$X$195,18,FALSE)</f>
        <v>72.739999999999995</v>
      </c>
      <c r="O108">
        <f>VLOOKUP(B108,'Covid-19 impact - vaccination'!$B$2:$D$195,2,FALSE)</f>
        <v>0.62553857215929531</v>
      </c>
      <c r="P108">
        <f>VLOOKUP(B108,'Covid-19 impact - vaccination'!$B$2:$D$195,3,FALSE)</f>
        <v>1.0709127608698084E-3</v>
      </c>
    </row>
    <row r="109" spans="1:16" x14ac:dyDescent="0.35">
      <c r="A109" t="str">
        <f>VLOOKUP(B109,'Reference table'!J$2:K$195,2,FALSE)</f>
        <v>Monaco</v>
      </c>
      <c r="B109" t="s">
        <v>208</v>
      </c>
      <c r="C109" t="str">
        <f>VLOOKUP(B109,'Reference table'!C$1:E$195,3,FALSE)</f>
        <v>HIN</v>
      </c>
      <c r="D109" s="2">
        <f>VLOOKUP($B109,'Raw HWF'!$C$2:$Q$195,9,FALSE)</f>
        <v>75.02679443359375</v>
      </c>
      <c r="E109" s="2">
        <f>VLOOKUP($B109,'Raw HWF'!$C$2:$Q$195,10,FALSE)</f>
        <v>196.1414794921875</v>
      </c>
      <c r="F109" s="2">
        <f>VLOOKUP($B109,'Raw HWF'!$C$2:$Q$195,11,FALSE)</f>
        <v>5.3590569496154785</v>
      </c>
      <c r="G109" s="2">
        <f>VLOOKUP($B109,'Raw HWF'!$C$2:$Q$195,12,FALSE)</f>
        <v>10.182208061218262</v>
      </c>
      <c r="H109" s="2">
        <f>VLOOKUP($B109,'Raw HWF'!$C$2:$Q$195,13,FALSE)</f>
        <v>26.259378433227539</v>
      </c>
      <c r="I109" s="5">
        <f>VLOOKUP($B109,'Raw HWF'!$C$2:$Q$195,14,FALSE)</f>
        <v>0</v>
      </c>
      <c r="J109" s="5">
        <v>39244</v>
      </c>
      <c r="K109" s="6">
        <f t="shared" si="3"/>
        <v>0</v>
      </c>
      <c r="L109" s="2">
        <f t="shared" si="4"/>
        <v>312.96891736984253</v>
      </c>
      <c r="M109" s="3">
        <f t="shared" si="5"/>
        <v>276.52733087539673</v>
      </c>
      <c r="N109">
        <f>VLOOKUP(B109,UHC!$G$2:$X$195,18,FALSE)</f>
        <v>84.82</v>
      </c>
      <c r="O109">
        <f>VLOOKUP(B109,'Covid-19 impact - vaccination'!$B$2:$D$195,2,FALSE)</f>
        <v>0.59392518601569666</v>
      </c>
      <c r="P109">
        <f>VLOOKUP(B109,'Covid-19 impact - vaccination'!$B$2:$D$195,3,FALSE)</f>
        <v>2.5247081395075957E-3</v>
      </c>
    </row>
    <row r="110" spans="1:16" x14ac:dyDescent="0.35">
      <c r="A110" t="str">
        <f>VLOOKUP(B110,'Reference table'!J$2:K$195,2,FALSE)</f>
        <v>Republic of Moldova</v>
      </c>
      <c r="B110" t="s">
        <v>368</v>
      </c>
      <c r="C110" t="str">
        <f>VLOOKUP(B110,'Reference table'!C$1:E$195,3,FALSE)</f>
        <v>LIN</v>
      </c>
      <c r="D110" s="2">
        <f>VLOOKUP($B110,'Raw HWF'!$C$2:$Q$195,9,FALSE)</f>
        <v>31.026561737060547</v>
      </c>
      <c r="E110" s="2">
        <f>VLOOKUP($B110,'Raw HWF'!$C$2:$Q$195,10,FALSE)</f>
        <v>45.399524688720703</v>
      </c>
      <c r="F110" s="2">
        <f>VLOOKUP($B110,'Raw HWF'!$C$2:$Q$195,11,FALSE)</f>
        <v>1.3857340812683105</v>
      </c>
      <c r="G110" s="2">
        <f>VLOOKUP($B110,'Raw HWF'!$C$2:$Q$195,12,FALSE)</f>
        <v>4.0952286720275879</v>
      </c>
      <c r="H110" s="2">
        <f>VLOOKUP($B110,'Raw HWF'!$C$2:$Q$195,13,FALSE)</f>
        <v>3.0193634033203125</v>
      </c>
      <c r="I110" s="5">
        <f>VLOOKUP($B110,'Raw HWF'!$C$2:$Q$195,14,FALSE)</f>
        <v>1171.0157470703125</v>
      </c>
      <c r="J110" s="5">
        <f>VLOOKUP(B110,'Pop2020'!$D$2:$E$202,2,FALSE)</f>
        <v>4033963</v>
      </c>
      <c r="K110" s="6">
        <f t="shared" si="3"/>
        <v>3.4181258247108132E-2</v>
      </c>
      <c r="L110" s="2">
        <f t="shared" si="4"/>
        <v>84.926412582397461</v>
      </c>
      <c r="M110" s="3">
        <f t="shared" si="5"/>
        <v>77.811820507049561</v>
      </c>
      <c r="N110">
        <f>VLOOKUP(B110,UHC!$G$2:$X$195,18,FALSE)</f>
        <v>67.42</v>
      </c>
      <c r="O110">
        <f>VLOOKUP(B110,'Covid-19 impact - vaccination'!$B$2:$D$195,2,FALSE)</f>
        <v>0.16885157350228547</v>
      </c>
      <c r="P110">
        <f>VLOOKUP(B110,'Covid-19 impact - vaccination'!$B$2:$D$195,3,FALSE)</f>
        <v>1.8411166150422886E-2</v>
      </c>
    </row>
    <row r="111" spans="1:16" x14ac:dyDescent="0.35">
      <c r="A111" t="str">
        <f>VLOOKUP(B111,'Reference table'!J$2:K$195,2,FALSE)</f>
        <v>Madagascar</v>
      </c>
      <c r="B111" t="s">
        <v>351</v>
      </c>
      <c r="C111" t="str">
        <f>VLOOKUP(B111,'Reference table'!C$1:E$195,3,FALSE)</f>
        <v>LIN</v>
      </c>
      <c r="D111" s="2">
        <f>VLOOKUP($B111,'Raw HWF'!$C$2:$Q$195,9,FALSE)</f>
        <v>1.9885931015014648</v>
      </c>
      <c r="E111" s="2">
        <f>VLOOKUP($B111,'Raw HWF'!$C$2:$Q$195,10,FALSE)</f>
        <v>1.4574145078659058</v>
      </c>
      <c r="F111" s="2">
        <f>VLOOKUP($B111,'Raw HWF'!$C$2:$Q$195,11,FALSE)</f>
        <v>1.5186312198638916</v>
      </c>
      <c r="G111" s="2">
        <f>VLOOKUP($B111,'Raw HWF'!$C$2:$Q$195,12,FALSE)</f>
        <v>0.21140684187412262</v>
      </c>
      <c r="H111" s="2">
        <f>VLOOKUP($B111,'Raw HWF'!$C$2:$Q$195,13,FALSE)</f>
        <v>0.12509505450725555</v>
      </c>
      <c r="I111" s="5">
        <f>VLOOKUP($B111,'Raw HWF'!$C$2:$Q$195,14,FALSE)</f>
        <v>183772.734375</v>
      </c>
      <c r="J111" s="5">
        <f>VLOOKUP(B111,'Pop2020'!$D$2:$E$202,2,FALSE)</f>
        <v>27691017.999999996</v>
      </c>
      <c r="K111" s="6">
        <f t="shared" si="3"/>
        <v>12.519091743540692</v>
      </c>
      <c r="L111" s="2">
        <f t="shared" si="4"/>
        <v>5.3011407256126404</v>
      </c>
      <c r="M111" s="3">
        <f t="shared" si="5"/>
        <v>4.9646388292312622</v>
      </c>
      <c r="N111">
        <f>VLOOKUP(B111,UHC!$G$2:$X$195,18,FALSE)</f>
        <v>34.65</v>
      </c>
      <c r="O111">
        <f>VLOOKUP(B111,'Covid-19 impact - vaccination'!$B$2:$D$195,2,FALSE)</f>
        <v>2.7702592949092733E-2</v>
      </c>
      <c r="P111">
        <f>VLOOKUP(B111,'Covid-19 impact - vaccination'!$B$2:$D$195,3,FALSE)</f>
        <v>0.90312232647532464</v>
      </c>
    </row>
    <row r="112" spans="1:16" x14ac:dyDescent="0.35">
      <c r="A112" t="str">
        <f>VLOOKUP(B112,'Reference table'!J$2:K$195,2,FALSE)</f>
        <v>Maldives</v>
      </c>
      <c r="B112" t="s">
        <v>357</v>
      </c>
      <c r="C112" t="str">
        <f>VLOOKUP(B112,'Reference table'!C$1:E$195,3,FALSE)</f>
        <v>LMI</v>
      </c>
      <c r="D112" s="2">
        <f>VLOOKUP($B112,'Raw HWF'!$C$2:$Q$195,9,FALSE)</f>
        <v>12.04346752166748</v>
      </c>
      <c r="E112" s="2">
        <f>VLOOKUP($B112,'Raw HWF'!$C$2:$Q$195,10,FALSE)</f>
        <v>46.601375579833984</v>
      </c>
      <c r="F112" s="2">
        <f>VLOOKUP($B112,'Raw HWF'!$C$2:$Q$195,11,FALSE)</f>
        <v>0</v>
      </c>
      <c r="G112" s="2">
        <f>VLOOKUP($B112,'Raw HWF'!$C$2:$Q$195,12,FALSE)</f>
        <v>0.94349747896194458</v>
      </c>
      <c r="H112" s="2">
        <f>VLOOKUP($B112,'Raw HWF'!$C$2:$Q$195,13,FALSE)</f>
        <v>6.5119824409484863</v>
      </c>
      <c r="I112" s="5">
        <f>VLOOKUP($B112,'Raw HWF'!$C$2:$Q$195,14,FALSE)</f>
        <v>123.56709289550781</v>
      </c>
      <c r="J112" s="5">
        <f>VLOOKUP(B112,'Pop2020'!$D$2:$E$202,2,FALSE)</f>
        <v>540544</v>
      </c>
      <c r="K112" s="6">
        <f t="shared" si="3"/>
        <v>3.4583440501133891E-2</v>
      </c>
      <c r="L112" s="2">
        <f t="shared" si="4"/>
        <v>66.100323021411896</v>
      </c>
      <c r="M112" s="3">
        <f t="shared" si="5"/>
        <v>58.644843101501465</v>
      </c>
      <c r="N112">
        <f>VLOOKUP(B112,UHC!$G$2:$X$195,18,FALSE)</f>
        <v>69.17</v>
      </c>
      <c r="O112">
        <f>VLOOKUP(B112,'Covid-19 impact - vaccination'!$B$2:$D$195,2,FALSE)</f>
        <v>0.68018884679138059</v>
      </c>
      <c r="P112">
        <f>VLOOKUP(B112,'Covid-19 impact - vaccination'!$B$2:$D$195,3,FALSE)</f>
        <v>0</v>
      </c>
    </row>
    <row r="113" spans="1:16" x14ac:dyDescent="0.35">
      <c r="A113" t="str">
        <f>VLOOKUP(B113,'Reference table'!J$2:K$195,2,FALSE)</f>
        <v>Mexico</v>
      </c>
      <c r="B113" t="s">
        <v>539</v>
      </c>
      <c r="C113" t="str">
        <f>VLOOKUP(B113,'Reference table'!C$1:E$195,3,FALSE)</f>
        <v>UMI</v>
      </c>
      <c r="D113" s="2">
        <f>VLOOKUP($B113,'Raw HWF'!$C$2:$Q$195,9,FALSE)</f>
        <v>24.172967910766602</v>
      </c>
      <c r="E113" s="2">
        <f>VLOOKUP($B113,'Raw HWF'!$C$2:$Q$195,10,FALSE)</f>
        <v>28.141407012939453</v>
      </c>
      <c r="F113" s="2">
        <f>VLOOKUP($B113,'Raw HWF'!$C$2:$Q$195,11,FALSE)</f>
        <v>2.5781251024454832E-3</v>
      </c>
      <c r="G113" s="2">
        <f>VLOOKUP($B113,'Raw HWF'!$C$2:$Q$195,12,FALSE)</f>
        <v>1.3179687261581421</v>
      </c>
      <c r="H113" s="2">
        <f>VLOOKUP($B113,'Raw HWF'!$C$2:$Q$195,13,FALSE)</f>
        <v>0.49017542600631714</v>
      </c>
      <c r="I113" s="5">
        <f>VLOOKUP($B113,'Raw HWF'!$C$2:$Q$195,14,FALSE)</f>
        <v>137810.859375</v>
      </c>
      <c r="J113" s="5">
        <f>VLOOKUP(B113,'Pop2020'!$D$2:$E$202,2,FALSE)</f>
        <v>128932752.99999999</v>
      </c>
      <c r="K113" s="6">
        <f t="shared" si="3"/>
        <v>0.19747926208678312</v>
      </c>
      <c r="L113" s="2">
        <f t="shared" si="4"/>
        <v>54.125097200972959</v>
      </c>
      <c r="M113" s="3">
        <f t="shared" si="5"/>
        <v>52.3169530488085</v>
      </c>
      <c r="N113">
        <f>VLOOKUP(B113,UHC!$G$2:$X$195,18,FALSE)</f>
        <v>73.88</v>
      </c>
      <c r="O113">
        <f>VLOOKUP(B113,'Covid-19 impact - vaccination'!$B$2:$D$195,2,FALSE)</f>
        <v>0.56888202022646639</v>
      </c>
      <c r="P113">
        <f>VLOOKUP(B113,'Covid-19 impact - vaccination'!$B$2:$D$195,3,FALSE)</f>
        <v>7.6744578497526831E-3</v>
      </c>
    </row>
    <row r="114" spans="1:16" x14ac:dyDescent="0.35">
      <c r="A114" t="str">
        <f>VLOOKUP(B114,'Reference table'!J$2:K$195,2,FALSE)</f>
        <v>Marshall Islands</v>
      </c>
      <c r="B114" t="s">
        <v>210</v>
      </c>
      <c r="C114" t="str">
        <f>VLOOKUP(B114,'Reference table'!C$1:E$195,3,FALSE)</f>
        <v>LMI</v>
      </c>
      <c r="D114" s="2">
        <f>VLOOKUP($B114,'Raw HWF'!$C$2:$Q$195,9,FALSE)</f>
        <v>4.2319087982177734</v>
      </c>
      <c r="E114" s="2">
        <f>VLOOKUP($B114,'Raw HWF'!$C$2:$Q$195,10,FALSE)</f>
        <v>33.383552551269531</v>
      </c>
      <c r="F114" s="2">
        <f>VLOOKUP($B114,'Raw HWF'!$C$2:$Q$195,11,FALSE)</f>
        <v>0</v>
      </c>
      <c r="G114" s="2">
        <f>VLOOKUP($B114,'Raw HWF'!$C$2:$Q$195,12,FALSE)</f>
        <v>1.1906584501266479</v>
      </c>
      <c r="H114" s="2">
        <f>VLOOKUP($B114,'Raw HWF'!$C$2:$Q$195,13,FALSE)</f>
        <v>0.70531809329986572</v>
      </c>
      <c r="I114" s="5">
        <f>VLOOKUP($B114,'Raw HWF'!$C$2:$Q$195,14,FALSE)</f>
        <v>77.870407104492188</v>
      </c>
      <c r="J114" s="5">
        <v>59194</v>
      </c>
      <c r="K114" s="6">
        <f t="shared" si="3"/>
        <v>0.33294455920674987</v>
      </c>
      <c r="L114" s="2">
        <f t="shared" si="4"/>
        <v>39.511437892913818</v>
      </c>
      <c r="M114" s="3">
        <f t="shared" si="5"/>
        <v>37.615461349487305</v>
      </c>
      <c r="N114">
        <f>VLOOKUP(B114,UHC!$G$2:$X$195,18,FALSE)</f>
        <v>61.8</v>
      </c>
      <c r="O114">
        <f>VLOOKUP(B114,'Covid-19 impact - vaccination'!$B$2:$D$195,2,FALSE)</f>
        <v>0.37887285873568266</v>
      </c>
      <c r="P114">
        <f>VLOOKUP(B114,'Covid-19 impact - vaccination'!$B$2:$D$195,3,FALSE)</f>
        <v>8.7019436100049235E-3</v>
      </c>
    </row>
    <row r="115" spans="1:16" x14ac:dyDescent="0.35">
      <c r="A115" t="str">
        <f>VLOOKUP(B115,'Reference table'!J$2:K$195,2,FALSE)</f>
        <v>The former Yugoslav Republic of Macedonia</v>
      </c>
      <c r="B115" t="s">
        <v>386</v>
      </c>
      <c r="C115" t="str">
        <f>VLOOKUP(B115,'Reference table'!C$1:E$195,3,FALSE)</f>
        <v>LMI</v>
      </c>
      <c r="D115" s="2">
        <f>VLOOKUP($B115,'Raw HWF'!$C$2:$Q$195,9,FALSE)</f>
        <v>28.735149383544922</v>
      </c>
      <c r="E115" s="2">
        <f>VLOOKUP($B115,'Raw HWF'!$C$2:$Q$195,10,FALSE)</f>
        <v>37.915969848632813</v>
      </c>
      <c r="F115" s="2">
        <f>VLOOKUP($B115,'Raw HWF'!$C$2:$Q$195,11,FALSE)</f>
        <v>4.2987570762634277</v>
      </c>
      <c r="G115" s="2">
        <f>VLOOKUP($B115,'Raw HWF'!$C$2:$Q$195,12,FALSE)</f>
        <v>8.7720355987548828</v>
      </c>
      <c r="H115" s="2">
        <f>VLOOKUP($B115,'Raw HWF'!$C$2:$Q$195,13,FALSE)</f>
        <v>3.027867317199707</v>
      </c>
      <c r="I115" s="5">
        <f>VLOOKUP($B115,'Raw HWF'!$C$2:$Q$195,14,FALSE)</f>
        <v>0</v>
      </c>
      <c r="J115" s="5">
        <f>VLOOKUP(B115,'Pop2020'!$D$2:$E$202,2,FALSE)</f>
        <v>2083373.9999999998</v>
      </c>
      <c r="K115" s="6">
        <f t="shared" si="3"/>
        <v>0</v>
      </c>
      <c r="L115" s="2">
        <f t="shared" si="4"/>
        <v>82.749779224395752</v>
      </c>
      <c r="M115" s="3">
        <f t="shared" si="5"/>
        <v>70.949876308441162</v>
      </c>
      <c r="N115">
        <f>VLOOKUP(B115,UHC!$G$2:$X$195,18,FALSE)</f>
        <v>68.41</v>
      </c>
      <c r="O115">
        <f>VLOOKUP(B115,'Covid-19 impact - vaccination'!$B$2:$D$195,2,FALSE)</f>
        <v>0.3920441782104081</v>
      </c>
      <c r="P115">
        <f>VLOOKUP(B115,'Covid-19 impact - vaccination'!$B$2:$D$195,3,FALSE)</f>
        <v>1.6638096726652361E-2</v>
      </c>
    </row>
    <row r="116" spans="1:16" x14ac:dyDescent="0.35">
      <c r="A116" t="str">
        <f>VLOOKUP(B116,'Reference table'!J$2:K$195,2,FALSE)</f>
        <v>Mali</v>
      </c>
      <c r="B116" t="s">
        <v>360</v>
      </c>
      <c r="C116" t="str">
        <f>VLOOKUP(B116,'Reference table'!C$1:E$195,3,FALSE)</f>
        <v>LIN</v>
      </c>
      <c r="D116" s="2">
        <f>VLOOKUP($B116,'Raw HWF'!$C$2:$Q$195,9,FALSE)</f>
        <v>1.2848167419433594</v>
      </c>
      <c r="E116" s="2">
        <f>VLOOKUP($B116,'Raw HWF'!$C$2:$Q$195,10,FALSE)</f>
        <v>2.7089004516601563</v>
      </c>
      <c r="F116" s="2">
        <f>VLOOKUP($B116,'Raw HWF'!$C$2:$Q$195,11,FALSE)</f>
        <v>1.6937172412872314</v>
      </c>
      <c r="G116" s="2">
        <f>VLOOKUP($B116,'Raw HWF'!$C$2:$Q$195,12,FALSE)</f>
        <v>1.5706805512309074E-2</v>
      </c>
      <c r="H116" s="2">
        <f>VLOOKUP($B116,'Raw HWF'!$C$2:$Q$195,13,FALSE)</f>
        <v>9.5287956297397614E-2</v>
      </c>
      <c r="I116" s="5">
        <f>VLOOKUP($B116,'Raw HWF'!$C$2:$Q$195,14,FALSE)</f>
        <v>133219</v>
      </c>
      <c r="J116" s="5">
        <f>VLOOKUP(B116,'Pop2020'!$D$2:$E$202,2,FALSE)</f>
        <v>20250833</v>
      </c>
      <c r="K116" s="6">
        <f t="shared" si="3"/>
        <v>11.345219914893434</v>
      </c>
      <c r="L116" s="2">
        <f t="shared" si="4"/>
        <v>5.7984291967004538</v>
      </c>
      <c r="M116" s="3">
        <f t="shared" si="5"/>
        <v>5.6874344348907471</v>
      </c>
      <c r="N116">
        <f>VLOOKUP(B116,UHC!$G$2:$X$195,18,FALSE)</f>
        <v>41.55</v>
      </c>
      <c r="O116">
        <f>VLOOKUP(B116,'Covid-19 impact - vaccination'!$B$2:$D$195,2,FALSE)</f>
        <v>2.8333599906729762E-2</v>
      </c>
      <c r="P116">
        <f>VLOOKUP(B116,'Covid-19 impact - vaccination'!$B$2:$D$195,3,FALSE)</f>
        <v>0.53093402802419354</v>
      </c>
    </row>
    <row r="117" spans="1:16" x14ac:dyDescent="0.35">
      <c r="A117" t="str">
        <f>VLOOKUP(B117,'Reference table'!J$2:K$195,2,FALSE)</f>
        <v>Malta</v>
      </c>
      <c r="B117" t="s">
        <v>363</v>
      </c>
      <c r="C117" t="str">
        <f>VLOOKUP(B117,'Reference table'!C$1:E$195,3,FALSE)</f>
        <v>HIN</v>
      </c>
      <c r="D117" s="2">
        <f>VLOOKUP($B117,'Raw HWF'!$C$2:$Q$195,9,FALSE)</f>
        <v>28.600490570068359</v>
      </c>
      <c r="E117" s="2">
        <f>VLOOKUP($B117,'Raw HWF'!$C$2:$Q$195,10,FALSE)</f>
        <v>85.872673034667969</v>
      </c>
      <c r="F117" s="2">
        <f>VLOOKUP($B117,'Raw HWF'!$C$2:$Q$195,11,FALSE)</f>
        <v>8.9697332382202148</v>
      </c>
      <c r="G117" s="2">
        <f>VLOOKUP($B117,'Raw HWF'!$C$2:$Q$195,12,FALSE)</f>
        <v>4.8367648124694824</v>
      </c>
      <c r="H117" s="2">
        <f>VLOOKUP($B117,'Raw HWF'!$C$2:$Q$195,13,FALSE)</f>
        <v>12.870221138000488</v>
      </c>
      <c r="I117" s="5">
        <f>VLOOKUP($B117,'Raw HWF'!$C$2:$Q$195,14,FALSE)</f>
        <v>0</v>
      </c>
      <c r="J117" s="5">
        <f>VLOOKUP(B117,'Pop2020'!$D$2:$E$202,2,FALSE)</f>
        <v>441543.00000000006</v>
      </c>
      <c r="K117" s="6">
        <f t="shared" si="3"/>
        <v>0</v>
      </c>
      <c r="L117" s="2">
        <f t="shared" si="4"/>
        <v>141.14988279342651</v>
      </c>
      <c r="M117" s="3">
        <f t="shared" si="5"/>
        <v>123.44289684295654</v>
      </c>
      <c r="N117">
        <f>VLOOKUP(B117,UHC!$G$2:$X$195,18,FALSE)</f>
        <v>81.25</v>
      </c>
      <c r="O117">
        <f>VLOOKUP(B117,'Covid-19 impact - vaccination'!$B$2:$D$195,2,FALSE)</f>
        <v>0.7623910728305906</v>
      </c>
      <c r="P117">
        <f>VLOOKUP(B117,'Covid-19 impact - vaccination'!$B$2:$D$195,3,FALSE)</f>
        <v>0</v>
      </c>
    </row>
    <row r="118" spans="1:16" x14ac:dyDescent="0.35">
      <c r="A118" t="str">
        <f>VLOOKUP(B118,'Reference table'!J$2:K$195,2,FALSE)</f>
        <v>Myanmar</v>
      </c>
      <c r="B118" t="s">
        <v>452</v>
      </c>
      <c r="C118" t="str">
        <f>VLOOKUP(B118,'Reference table'!C$1:E$195,3,FALSE)</f>
        <v>LIN</v>
      </c>
      <c r="D118" s="2">
        <f>VLOOKUP($B118,'Raw HWF'!$C$2:$Q$195,9,FALSE)</f>
        <v>7.3751850128173828</v>
      </c>
      <c r="E118" s="2">
        <f>VLOOKUP($B118,'Raw HWF'!$C$2:$Q$195,10,FALSE)</f>
        <v>7.5611109733581543</v>
      </c>
      <c r="F118" s="2">
        <f>VLOOKUP($B118,'Raw HWF'!$C$2:$Q$195,11,FALSE)</f>
        <v>3.269444465637207</v>
      </c>
      <c r="G118" s="2">
        <f>VLOOKUP($B118,'Raw HWF'!$C$2:$Q$195,12,FALSE)</f>
        <v>0.70370370149612427</v>
      </c>
      <c r="H118" s="2">
        <f>VLOOKUP($B118,'Raw HWF'!$C$2:$Q$195,13,FALSE)</f>
        <v>0.77833330631256104</v>
      </c>
      <c r="I118" s="5">
        <f>VLOOKUP($B118,'Raw HWF'!$C$2:$Q$195,14,FALSE)</f>
        <v>254963.8125</v>
      </c>
      <c r="J118" s="5">
        <f>VLOOKUP(B118,'Pop2020'!$D$2:$E$202,2,FALSE)</f>
        <v>54409799.999999985</v>
      </c>
      <c r="K118" s="6">
        <f t="shared" si="3"/>
        <v>2.3801521684129039</v>
      </c>
      <c r="L118" s="2">
        <f t="shared" si="4"/>
        <v>19.687777459621429</v>
      </c>
      <c r="M118" s="3">
        <f t="shared" si="5"/>
        <v>18.205740451812744</v>
      </c>
      <c r="N118">
        <f>VLOOKUP(B118,UHC!$G$2:$X$195,18,FALSE)</f>
        <v>60.5</v>
      </c>
      <c r="O118">
        <f>VLOOKUP(B118,'Covid-19 impact - vaccination'!$B$2:$D$195,2,FALSE)</f>
        <v>0.28619691673191228</v>
      </c>
      <c r="P118">
        <f>VLOOKUP(B118,'Covid-19 impact - vaccination'!$B$2:$D$195,3,FALSE)</f>
        <v>6.0651104095694706E-2</v>
      </c>
    </row>
    <row r="119" spans="1:16" x14ac:dyDescent="0.35">
      <c r="A119" t="str">
        <f>VLOOKUP(B119,'Reference table'!J$2:K$195,2,FALSE)</f>
        <v>Montenegro</v>
      </c>
      <c r="B119" t="s">
        <v>185</v>
      </c>
      <c r="C119" t="str">
        <f>VLOOKUP(B119,'Reference table'!C$1:E$195,3,FALSE)</f>
        <v>LMI</v>
      </c>
      <c r="D119" s="2">
        <f>VLOOKUP($B119,'Raw HWF'!$C$2:$Q$195,9,FALSE)</f>
        <v>27.401752471923828</v>
      </c>
      <c r="E119" s="2">
        <f>VLOOKUP($B119,'Raw HWF'!$C$2:$Q$195,10,FALSE)</f>
        <v>49.644779205322266</v>
      </c>
      <c r="F119" s="2">
        <f>VLOOKUP($B119,'Raw HWF'!$C$2:$Q$195,11,FALSE)</f>
        <v>4.0760307312011719</v>
      </c>
      <c r="G119" s="2">
        <f>VLOOKUP($B119,'Raw HWF'!$C$2:$Q$195,12,FALSE)</f>
        <v>0.49358183145523071</v>
      </c>
      <c r="H119" s="2">
        <f>VLOOKUP($B119,'Raw HWF'!$C$2:$Q$195,13,FALSE)</f>
        <v>2.2768452167510986</v>
      </c>
      <c r="I119" s="5">
        <f>VLOOKUP($B119,'Raw HWF'!$C$2:$Q$195,14,FALSE)</f>
        <v>89.443717956542969</v>
      </c>
      <c r="J119" s="5">
        <f>VLOOKUP(B119,'Pop2020'!$D$2:$E$202,2,FALSE)</f>
        <v>628065.99999999988</v>
      </c>
      <c r="K119" s="6">
        <f t="shared" si="3"/>
        <v>1.6975355939095303E-2</v>
      </c>
      <c r="L119" s="2">
        <f t="shared" si="4"/>
        <v>83.892989456653595</v>
      </c>
      <c r="M119" s="3">
        <f t="shared" si="5"/>
        <v>81.122562408447266</v>
      </c>
      <c r="N119">
        <f>VLOOKUP(B119,UHC!$G$2:$X$195,18,FALSE)</f>
        <v>67.16</v>
      </c>
      <c r="O119">
        <f>VLOOKUP(B119,'Covid-19 impact - vaccination'!$B$2:$D$195,2,FALSE)</f>
        <v>0.39406300651846476</v>
      </c>
      <c r="P119">
        <f>VLOOKUP(B119,'Covid-19 impact - vaccination'!$B$2:$D$195,3,FALSE)</f>
        <v>1.7820302904417485E-2</v>
      </c>
    </row>
    <row r="120" spans="1:16" x14ac:dyDescent="0.35">
      <c r="A120" t="str">
        <f>VLOOKUP(B120,'Reference table'!J$2:K$195,2,FALSE)</f>
        <v>Mongolia</v>
      </c>
      <c r="B120" t="s">
        <v>183</v>
      </c>
      <c r="C120" t="str">
        <f>VLOOKUP(B120,'Reference table'!C$1:E$195,3,FALSE)</f>
        <v>LIN</v>
      </c>
      <c r="D120" s="2">
        <f>VLOOKUP($B120,'Raw HWF'!$C$2:$Q$195,9,FALSE)</f>
        <v>38.517906188964844</v>
      </c>
      <c r="E120" s="2">
        <f>VLOOKUP($B120,'Raw HWF'!$C$2:$Q$195,10,FALSE)</f>
        <v>38.937435150146484</v>
      </c>
      <c r="F120" s="2">
        <f>VLOOKUP($B120,'Raw HWF'!$C$2:$Q$195,11,FALSE)</f>
        <v>3.2587471008300781</v>
      </c>
      <c r="G120" s="2">
        <f>VLOOKUP($B120,'Raw HWF'!$C$2:$Q$195,12,FALSE)</f>
        <v>4.0817432403564453</v>
      </c>
      <c r="H120" s="2">
        <f>VLOOKUP($B120,'Raw HWF'!$C$2:$Q$195,13,FALSE)</f>
        <v>6.813420295715332</v>
      </c>
      <c r="I120" s="5">
        <f>VLOOKUP($B120,'Raw HWF'!$C$2:$Q$195,14,FALSE)</f>
        <v>232.29769897460938</v>
      </c>
      <c r="J120" s="5">
        <f>VLOOKUP(B120,'Pop2020'!$D$2:$E$202,2,FALSE)</f>
        <v>3278290.0000000005</v>
      </c>
      <c r="K120" s="6">
        <f t="shared" si="3"/>
        <v>7.7349623122383634E-3</v>
      </c>
      <c r="L120" s="2">
        <f t="shared" si="4"/>
        <v>91.609251976013184</v>
      </c>
      <c r="M120" s="3">
        <f t="shared" si="5"/>
        <v>80.714088439941406</v>
      </c>
      <c r="N120">
        <f>VLOOKUP(B120,UHC!$G$2:$X$195,18,FALSE)</f>
        <v>63.28</v>
      </c>
      <c r="O120">
        <f>VLOOKUP(B120,'Covid-19 impact - vaccination'!$B$2:$D$195,2,FALSE)</f>
        <v>0.66073593245258966</v>
      </c>
      <c r="P120">
        <f>VLOOKUP(B120,'Covid-19 impact - vaccination'!$B$2:$D$195,3,FALSE)</f>
        <v>0</v>
      </c>
    </row>
    <row r="121" spans="1:16" x14ac:dyDescent="0.35">
      <c r="A121" t="str">
        <f>VLOOKUP(B121,'Reference table'!J$2:K$195,2,FALSE)</f>
        <v>Mozambique</v>
      </c>
      <c r="B121" t="s">
        <v>371</v>
      </c>
      <c r="C121" t="str">
        <f>VLOOKUP(B121,'Reference table'!C$1:E$195,3,FALSE)</f>
        <v>LIN</v>
      </c>
      <c r="D121" s="2">
        <f>VLOOKUP($B121,'Raw HWF'!$C$2:$Q$195,9,FALSE)</f>
        <v>0.8492012619972229</v>
      </c>
      <c r="E121" s="2">
        <f>VLOOKUP($B121,'Raw HWF'!$C$2:$Q$195,10,FALSE)</f>
        <v>2.8214056491851807</v>
      </c>
      <c r="F121" s="2">
        <f>VLOOKUP($B121,'Raw HWF'!$C$2:$Q$195,11,FALSE)</f>
        <v>2.0204472541809082</v>
      </c>
      <c r="G121" s="2">
        <f>VLOOKUP($B121,'Raw HWF'!$C$2:$Q$195,12,FALSE)</f>
        <v>9.0095847845077515E-2</v>
      </c>
      <c r="H121" s="2">
        <f>VLOOKUP($B121,'Raw HWF'!$C$2:$Q$195,13,FALSE)</f>
        <v>0.13514377176761627</v>
      </c>
      <c r="I121" s="5">
        <f>VLOOKUP($B121,'Raw HWF'!$C$2:$Q$195,14,FALSE)</f>
        <v>204873.359375</v>
      </c>
      <c r="J121" s="5">
        <f>VLOOKUP(B121,'Pop2020'!$D$2:$E$202,2,FALSE)</f>
        <v>31255435</v>
      </c>
      <c r="K121" s="6">
        <f t="shared" si="3"/>
        <v>11.079246105944165</v>
      </c>
      <c r="L121" s="2">
        <f t="shared" si="4"/>
        <v>5.9162937849760056</v>
      </c>
      <c r="M121" s="3">
        <f t="shared" si="5"/>
        <v>5.6910541653633118</v>
      </c>
      <c r="N121">
        <f>VLOOKUP(B121,UHC!$G$2:$X$195,18,FALSE)</f>
        <v>46.8</v>
      </c>
      <c r="O121">
        <f>VLOOKUP(B121,'Covid-19 impact - vaccination'!$B$2:$D$195,2,FALSE)</f>
        <v>0.23637719327854501</v>
      </c>
      <c r="P121">
        <f>VLOOKUP(B121,'Covid-19 impact - vaccination'!$B$2:$D$195,3,FALSE)</f>
        <v>0.2527933629163478</v>
      </c>
    </row>
    <row r="122" spans="1:16" x14ac:dyDescent="0.35">
      <c r="A122" t="str">
        <f>VLOOKUP(B122,'Reference table'!J$2:K$195,2,FALSE)</f>
        <v>Mauritania</v>
      </c>
      <c r="B122" t="s">
        <v>120</v>
      </c>
      <c r="C122" t="str">
        <f>VLOOKUP(B122,'Reference table'!C$1:E$195,3,FALSE)</f>
        <v>LIN</v>
      </c>
      <c r="D122" s="2">
        <f>VLOOKUP($B122,'Raw HWF'!$C$2:$Q$195,9,FALSE)</f>
        <v>1.8645056486129761</v>
      </c>
      <c r="E122" s="2">
        <f>VLOOKUP($B122,'Raw HWF'!$C$2:$Q$195,10,FALSE)</f>
        <v>7.7282733917236328</v>
      </c>
      <c r="F122" s="2">
        <f>VLOOKUP($B122,'Raw HWF'!$C$2:$Q$195,11,FALSE)</f>
        <v>1.5238529443740845</v>
      </c>
      <c r="G122" s="2">
        <f>VLOOKUP($B122,'Raw HWF'!$C$2:$Q$195,12,FALSE)</f>
        <v>0.53030496835708618</v>
      </c>
      <c r="H122" s="2">
        <f>VLOOKUP($B122,'Raw HWF'!$C$2:$Q$195,13,FALSE)</f>
        <v>0.17713938653469086</v>
      </c>
      <c r="I122" s="5">
        <f>VLOOKUP($B122,'Raw HWF'!$C$2:$Q$195,14,FALSE)</f>
        <v>26463.5625</v>
      </c>
      <c r="J122" s="5">
        <f>VLOOKUP(B122,'Pop2020'!$D$2:$E$202,2,FALSE)</f>
        <v>4649657.9999999991</v>
      </c>
      <c r="K122" s="6">
        <f t="shared" si="3"/>
        <v>4.8134899905861346</v>
      </c>
      <c r="L122" s="2">
        <f t="shared" si="4"/>
        <v>11.82407633960247</v>
      </c>
      <c r="M122" s="3">
        <f t="shared" si="5"/>
        <v>11.116631984710693</v>
      </c>
      <c r="N122">
        <f>VLOOKUP(B122,UHC!$G$2:$X$195,18,FALSE)</f>
        <v>39.57</v>
      </c>
      <c r="O122">
        <f>VLOOKUP(B122,'Covid-19 impact - vaccination'!$B$2:$D$195,2,FALSE)</f>
        <v>0.19887763788218402</v>
      </c>
      <c r="P122">
        <f>VLOOKUP(B122,'Covid-19 impact - vaccination'!$B$2:$D$195,3,FALSE)</f>
        <v>0.12951282489809973</v>
      </c>
    </row>
    <row r="123" spans="1:16" x14ac:dyDescent="0.35">
      <c r="A123" t="str">
        <f>VLOOKUP(B123,'Reference table'!J$2:K$195,2,FALSE)</f>
        <v>Mauritius</v>
      </c>
      <c r="B123" t="s">
        <v>366</v>
      </c>
      <c r="C123" t="str">
        <f>VLOOKUP(B123,'Reference table'!C$1:E$195,3,FALSE)</f>
        <v>UMI</v>
      </c>
      <c r="D123" s="2">
        <f>VLOOKUP($B123,'Raw HWF'!$C$2:$Q$195,9,FALSE)</f>
        <v>27.12761116027832</v>
      </c>
      <c r="E123" s="2">
        <f>VLOOKUP($B123,'Raw HWF'!$C$2:$Q$195,10,FALSE)</f>
        <v>39.347087860107422</v>
      </c>
      <c r="F123" s="2">
        <f>VLOOKUP($B123,'Raw HWF'!$C$2:$Q$195,11,FALSE)</f>
        <v>0</v>
      </c>
      <c r="G123" s="2">
        <f>VLOOKUP($B123,'Raw HWF'!$C$2:$Q$195,12,FALSE)</f>
        <v>2.7644977569580078</v>
      </c>
      <c r="H123" s="2">
        <f>VLOOKUP($B123,'Raw HWF'!$C$2:$Q$195,13,FALSE)</f>
        <v>5.9028525352478027</v>
      </c>
      <c r="I123" s="5">
        <f>VLOOKUP($B123,'Raw HWF'!$C$2:$Q$195,14,FALSE)</f>
        <v>0</v>
      </c>
      <c r="J123" s="5">
        <f>VLOOKUP(B123,'Pop2020'!$D$2:$E$202,2,FALSE)</f>
        <v>1271767.9999999998</v>
      </c>
      <c r="K123" s="6">
        <f t="shared" si="3"/>
        <v>0</v>
      </c>
      <c r="L123" s="2">
        <f t="shared" si="4"/>
        <v>75.142049312591553</v>
      </c>
      <c r="M123" s="3">
        <f t="shared" si="5"/>
        <v>66.474699020385742</v>
      </c>
      <c r="N123">
        <f>VLOOKUP(B123,UHC!$G$2:$X$195,18,FALSE)</f>
        <v>64.56</v>
      </c>
      <c r="O123">
        <f>VLOOKUP(B123,'Covid-19 impact - vaccination'!$B$2:$D$195,2,FALSE)</f>
        <v>0.71546068150794795</v>
      </c>
      <c r="P123">
        <f>VLOOKUP(B123,'Covid-19 impact - vaccination'!$B$2:$D$195,3,FALSE)</f>
        <v>0</v>
      </c>
    </row>
    <row r="124" spans="1:16" x14ac:dyDescent="0.35">
      <c r="A124" t="str">
        <f>VLOOKUP(B124,'Reference table'!J$2:K$195,2,FALSE)</f>
        <v>Malawi</v>
      </c>
      <c r="B124" t="s">
        <v>354</v>
      </c>
      <c r="C124" t="str">
        <f>VLOOKUP(B124,'Reference table'!C$1:E$195,3,FALSE)</f>
        <v>LIN</v>
      </c>
      <c r="D124" s="2">
        <f>VLOOKUP($B124,'Raw HWF'!$C$2:$Q$195,9,FALSE)</f>
        <v>0.50157070159912109</v>
      </c>
      <c r="E124" s="2">
        <f>VLOOKUP($B124,'Raw HWF'!$C$2:$Q$195,10,FALSE)</f>
        <v>7.1015706062316895</v>
      </c>
      <c r="F124" s="2">
        <f>VLOOKUP($B124,'Raw HWF'!$C$2:$Q$195,11,FALSE)</f>
        <v>0</v>
      </c>
      <c r="G124" s="2">
        <f>VLOOKUP($B124,'Raw HWF'!$C$2:$Q$195,12,FALSE)</f>
        <v>7.8010469675064087E-2</v>
      </c>
      <c r="H124" s="2">
        <f>VLOOKUP($B124,'Raw HWF'!$C$2:$Q$195,13,FALSE)</f>
        <v>7.9057589173316956E-2</v>
      </c>
      <c r="I124" s="5">
        <f>VLOOKUP($B124,'Raw HWF'!$C$2:$Q$195,14,FALSE)</f>
        <v>109392.21875</v>
      </c>
      <c r="J124" s="5">
        <f>VLOOKUP(B124,'Pop2020'!$D$2:$E$202,2,FALSE)</f>
        <v>19129951.999999996</v>
      </c>
      <c r="K124" s="6">
        <f t="shared" si="3"/>
        <v>7.3688397532090884</v>
      </c>
      <c r="L124" s="2">
        <f t="shared" si="4"/>
        <v>7.7602093666791916</v>
      </c>
      <c r="M124" s="3">
        <f t="shared" si="5"/>
        <v>7.6031413078308105</v>
      </c>
      <c r="N124">
        <f>VLOOKUP(B124,UHC!$G$2:$X$195,18,FALSE)</f>
        <v>48.26</v>
      </c>
      <c r="O124">
        <f>VLOOKUP(B124,'Covid-19 impact - vaccination'!$B$2:$D$195,2,FALSE)</f>
        <v>3.5927638501131627E-2</v>
      </c>
      <c r="P124">
        <f>VLOOKUP(B124,'Covid-19 impact - vaccination'!$B$2:$D$195,3,FALSE)</f>
        <v>0.56693548935310334</v>
      </c>
    </row>
    <row r="125" spans="1:16" x14ac:dyDescent="0.35">
      <c r="A125" t="str">
        <f>VLOOKUP(B125,'Reference table'!J$2:K$195,2,FALSE)</f>
        <v>Malaysia</v>
      </c>
      <c r="B125" t="s">
        <v>181</v>
      </c>
      <c r="C125" t="str">
        <f>VLOOKUP(B125,'Reference table'!C$1:E$195,3,FALSE)</f>
        <v>UMI</v>
      </c>
      <c r="D125" s="2">
        <f>VLOOKUP($B125,'Raw HWF'!$C$2:$Q$195,9,FALSE)</f>
        <v>22.831172943115234</v>
      </c>
      <c r="E125" s="2">
        <f>VLOOKUP($B125,'Raw HWF'!$C$2:$Q$195,10,FALSE)</f>
        <v>34.897804260253906</v>
      </c>
      <c r="F125" s="2">
        <f>VLOOKUP($B125,'Raw HWF'!$C$2:$Q$195,11,FALSE)</f>
        <v>0</v>
      </c>
      <c r="G125" s="2">
        <f>VLOOKUP($B125,'Raw HWF'!$C$2:$Q$195,12,FALSE)</f>
        <v>3.0847618579864502</v>
      </c>
      <c r="H125" s="2">
        <f>VLOOKUP($B125,'Raw HWF'!$C$2:$Q$195,13,FALSE)</f>
        <v>3.4689769744873047</v>
      </c>
      <c r="I125" s="5">
        <f>VLOOKUP($B125,'Raw HWF'!$C$2:$Q$195,14,FALSE)</f>
        <v>0</v>
      </c>
      <c r="J125" s="5">
        <f>VLOOKUP(B125,'Pop2020'!$D$2:$E$202,2,FALSE)</f>
        <v>32365998.999999993</v>
      </c>
      <c r="K125" s="6">
        <f t="shared" si="3"/>
        <v>0</v>
      </c>
      <c r="L125" s="2">
        <f t="shared" si="4"/>
        <v>64.282716035842896</v>
      </c>
      <c r="M125" s="3">
        <f t="shared" si="5"/>
        <v>57.728977203369141</v>
      </c>
      <c r="N125">
        <f>VLOOKUP(B125,UHC!$G$2:$X$195,18,FALSE)</f>
        <v>75.81</v>
      </c>
      <c r="O125">
        <f>VLOOKUP(B125,'Covid-19 impact - vaccination'!$B$2:$D$195,2,FALSE)</f>
        <v>0.78307355814971136</v>
      </c>
      <c r="P125">
        <f>VLOOKUP(B125,'Covid-19 impact - vaccination'!$B$2:$D$195,3,FALSE)</f>
        <v>0</v>
      </c>
    </row>
    <row r="126" spans="1:16" x14ac:dyDescent="0.35">
      <c r="A126" t="str">
        <f>VLOOKUP(B126,'Reference table'!J$2:K$195,2,FALSE)</f>
        <v>Namibia</v>
      </c>
      <c r="B126" t="s">
        <v>374</v>
      </c>
      <c r="C126" t="str">
        <f>VLOOKUP(B126,'Reference table'!C$1:E$195,3,FALSE)</f>
        <v>LMI</v>
      </c>
      <c r="D126" s="2">
        <f>VLOOKUP($B126,'Raw HWF'!$C$2:$Q$195,9,FALSE)</f>
        <v>5.9020543098449707</v>
      </c>
      <c r="E126" s="2">
        <f>VLOOKUP($B126,'Raw HWF'!$C$2:$Q$195,10,FALSE)</f>
        <v>19.540088653564453</v>
      </c>
      <c r="F126" s="2">
        <f>VLOOKUP($B126,'Raw HWF'!$C$2:$Q$195,11,FALSE)</f>
        <v>4.2987570762634277</v>
      </c>
      <c r="G126" s="2">
        <f>VLOOKUP($B126,'Raw HWF'!$C$2:$Q$195,12,FALSE)</f>
        <v>0.72703510522842407</v>
      </c>
      <c r="H126" s="2">
        <f>VLOOKUP($B126,'Raw HWF'!$C$2:$Q$195,13,FALSE)</f>
        <v>2.4425110816955566</v>
      </c>
      <c r="I126" s="5">
        <f>VLOOKUP($B126,'Raw HWF'!$C$2:$Q$195,14,FALSE)</f>
        <v>7075.5986328125</v>
      </c>
      <c r="J126" s="5">
        <f>VLOOKUP(B126,'Pop2020'!$D$2:$E$202,2,FALSE)</f>
        <v>2540905</v>
      </c>
      <c r="K126" s="6">
        <f t="shared" si="3"/>
        <v>0.8461375928577699</v>
      </c>
      <c r="L126" s="2">
        <f t="shared" si="4"/>
        <v>32.910446226596832</v>
      </c>
      <c r="M126" s="3">
        <f t="shared" si="5"/>
        <v>29.740900039672852</v>
      </c>
      <c r="N126">
        <f>VLOOKUP(B126,UHC!$G$2:$X$195,18,FALSE)</f>
        <v>61.57</v>
      </c>
      <c r="O126">
        <f>VLOOKUP(B126,'Covid-19 impact - vaccination'!$B$2:$D$195,2,FALSE)</f>
        <v>0.1353871947199915</v>
      </c>
      <c r="P126">
        <f>VLOOKUP(B126,'Covid-19 impact - vaccination'!$B$2:$D$195,3,FALSE)</f>
        <v>5.9537573130763591E-2</v>
      </c>
    </row>
    <row r="127" spans="1:16" x14ac:dyDescent="0.35">
      <c r="A127" t="str">
        <f>VLOOKUP(B127,'Reference table'!J$2:K$195,2,FALSE)</f>
        <v>Niger</v>
      </c>
      <c r="B127" t="s">
        <v>446</v>
      </c>
      <c r="C127" t="str">
        <f>VLOOKUP(B127,'Reference table'!C$1:E$195,3,FALSE)</f>
        <v>LIN</v>
      </c>
      <c r="D127" s="2">
        <f>VLOOKUP($B127,'Raw HWF'!$C$2:$Q$195,9,FALSE)</f>
        <v>0.34504133462905884</v>
      </c>
      <c r="E127" s="2">
        <f>VLOOKUP($B127,'Raw HWF'!$C$2:$Q$195,10,FALSE)</f>
        <v>1.8334821462631226</v>
      </c>
      <c r="F127" s="2">
        <f>VLOOKUP($B127,'Raw HWF'!$C$2:$Q$195,11,FALSE)</f>
        <v>0.40446427464485168</v>
      </c>
      <c r="G127" s="2">
        <f>VLOOKUP($B127,'Raw HWF'!$C$2:$Q$195,12,FALSE)</f>
        <v>1.3392857275903225E-2</v>
      </c>
      <c r="H127" s="2">
        <f>VLOOKUP($B127,'Raw HWF'!$C$2:$Q$195,13,FALSE)</f>
        <v>2.678571455180645E-2</v>
      </c>
      <c r="I127" s="5">
        <f>VLOOKUP($B127,'Raw HWF'!$C$2:$Q$195,14,FALSE)</f>
        <v>169920.203125</v>
      </c>
      <c r="J127" s="5">
        <f>VLOOKUP(B127,'Pop2020'!$D$2:$E$202,2,FALSE)</f>
        <v>24206643.999999996</v>
      </c>
      <c r="K127" s="6">
        <f t="shared" si="3"/>
        <v>26.759907417857647</v>
      </c>
      <c r="L127" s="2">
        <f t="shared" si="4"/>
        <v>2.6231663273647428</v>
      </c>
      <c r="M127" s="3">
        <f t="shared" si="5"/>
        <v>2.5829877555370331</v>
      </c>
      <c r="N127">
        <f>VLOOKUP(B127,UHC!$G$2:$X$195,18,FALSE)</f>
        <v>37.369999999999997</v>
      </c>
      <c r="O127">
        <f>VLOOKUP(B127,'Covid-19 impact - vaccination'!$B$2:$D$195,2,FALSE)</f>
        <v>4.1730361300806505E-2</v>
      </c>
      <c r="P127">
        <f>VLOOKUP(B127,'Covid-19 impact - vaccination'!$B$2:$D$195,3,FALSE)</f>
        <v>1.0381661527698054</v>
      </c>
    </row>
    <row r="128" spans="1:16" x14ac:dyDescent="0.35">
      <c r="A128" t="str">
        <f>VLOOKUP(B128,'Reference table'!J$2:K$195,2,FALSE)</f>
        <v>Nigeria</v>
      </c>
      <c r="B128" t="s">
        <v>74</v>
      </c>
      <c r="C128" t="str">
        <f>VLOOKUP(B128,'Reference table'!C$1:E$195,3,FALSE)</f>
        <v>LIN</v>
      </c>
      <c r="D128" s="2">
        <f>VLOOKUP($B128,'Raw HWF'!$C$2:$Q$195,9,FALSE)</f>
        <v>3.8032143115997314</v>
      </c>
      <c r="E128" s="2">
        <f>VLOOKUP($B128,'Raw HWF'!$C$2:$Q$195,10,FALSE)</f>
        <v>8.9904975891113281</v>
      </c>
      <c r="F128" s="2">
        <f>VLOOKUP($B128,'Raw HWF'!$C$2:$Q$195,11,FALSE)</f>
        <v>6.0134329795837402</v>
      </c>
      <c r="G128" s="2">
        <f>VLOOKUP($B128,'Raw HWF'!$C$2:$Q$195,12,FALSE)</f>
        <v>0.21681591868400574</v>
      </c>
      <c r="H128" s="2">
        <f>VLOOKUP($B128,'Raw HWF'!$C$2:$Q$195,13,FALSE)</f>
        <v>1.2272636890411377</v>
      </c>
      <c r="I128" s="5">
        <f>VLOOKUP($B128,'Raw HWF'!$C$2:$Q$195,14,FALSE)</f>
        <v>986947.375</v>
      </c>
      <c r="J128" s="5">
        <f>VLOOKUP(B128,'Pop2020'!$D$2:$E$202,2,FALSE)</f>
        <v>206139588.99999997</v>
      </c>
      <c r="K128" s="6">
        <f t="shared" si="3"/>
        <v>2.3641841562522083</v>
      </c>
      <c r="L128" s="2">
        <f t="shared" si="4"/>
        <v>20.251224488019943</v>
      </c>
      <c r="M128" s="3">
        <f t="shared" si="5"/>
        <v>18.8071448802948</v>
      </c>
      <c r="N128">
        <f>VLOOKUP(B128,UHC!$G$2:$X$195,18,FALSE)</f>
        <v>44.49</v>
      </c>
      <c r="O128">
        <f>VLOOKUP(B128,'Covid-19 impact - vaccination'!$B$2:$D$195,2,FALSE)</f>
        <v>2.3937265150945849E-2</v>
      </c>
      <c r="P128">
        <f>VLOOKUP(B128,'Covid-19 impact - vaccination'!$B$2:$D$195,3,FALSE)</f>
        <v>0.1766830834958236</v>
      </c>
    </row>
    <row r="129" spans="1:16" x14ac:dyDescent="0.35">
      <c r="A129" t="str">
        <f>VLOOKUP(B129,'Reference table'!J$2:K$195,2,FALSE)</f>
        <v>Nicaragua</v>
      </c>
      <c r="B129" t="s">
        <v>380</v>
      </c>
      <c r="C129" t="str">
        <f>VLOOKUP(B129,'Reference table'!C$1:E$195,3,FALSE)</f>
        <v>LIN</v>
      </c>
      <c r="D129" s="2">
        <f>VLOOKUP($B129,'Raw HWF'!$C$2:$Q$195,9,FALSE)</f>
        <v>16.645265579223633</v>
      </c>
      <c r="E129" s="2">
        <f>VLOOKUP($B129,'Raw HWF'!$C$2:$Q$195,10,FALSE)</f>
        <v>15.524266242980957</v>
      </c>
      <c r="F129" s="2">
        <f>VLOOKUP($B129,'Raw HWF'!$C$2:$Q$195,11,FALSE)</f>
        <v>2.7208631038665771</v>
      </c>
      <c r="G129" s="2">
        <f>VLOOKUP($B129,'Raw HWF'!$C$2:$Q$195,12,FALSE)</f>
        <v>0.39904093742370605</v>
      </c>
      <c r="H129" s="2">
        <f>VLOOKUP($B129,'Raw HWF'!$C$2:$Q$195,13,FALSE)</f>
        <v>1.8574790954589844</v>
      </c>
      <c r="I129" s="5">
        <f>VLOOKUP($B129,'Raw HWF'!$C$2:$Q$195,14,FALSE)</f>
        <v>15031.63671875</v>
      </c>
      <c r="J129" s="5">
        <f>VLOOKUP(B129,'Pop2020'!$D$2:$E$202,2,FALSE)</f>
        <v>6624553.9999999981</v>
      </c>
      <c r="K129" s="6">
        <f t="shared" si="3"/>
        <v>0.61083916545733363</v>
      </c>
      <c r="L129" s="2">
        <f t="shared" si="4"/>
        <v>37.146914958953857</v>
      </c>
      <c r="M129" s="3">
        <f t="shared" si="5"/>
        <v>34.890394926071167</v>
      </c>
      <c r="N129">
        <f>VLOOKUP(B129,UHC!$G$2:$X$195,18,FALSE)</f>
        <v>70.05</v>
      </c>
      <c r="O129">
        <f>VLOOKUP(B129,'Covid-19 impact - vaccination'!$B$2:$D$195,2,FALSE)</f>
        <v>0.45870710692372652</v>
      </c>
      <c r="P129">
        <f>VLOOKUP(B129,'Covid-19 impact - vaccination'!$B$2:$D$195,3,FALSE)</f>
        <v>4.6015914156625091E-3</v>
      </c>
    </row>
    <row r="130" spans="1:16" x14ac:dyDescent="0.35">
      <c r="A130" t="str">
        <f>VLOOKUP(B130,'Reference table'!J$2:K$195,2,FALSE)</f>
        <v>Niue</v>
      </c>
      <c r="B130" t="s">
        <v>383</v>
      </c>
      <c r="C130" t="str">
        <f>VLOOKUP(B130,'Reference table'!C$1:E$195,3,FALSE)</f>
        <v>LIN</v>
      </c>
      <c r="D130" s="2">
        <f>VLOOKUP($B130,'Raw HWF'!$C$2:$Q$195,9,FALSE)</f>
        <v>18.371095657348633</v>
      </c>
      <c r="E130" s="2">
        <f>VLOOKUP($B130,'Raw HWF'!$C$2:$Q$195,10,FALSE)</f>
        <v>124.22360229492188</v>
      </c>
      <c r="F130" s="2">
        <f>VLOOKUP($B130,'Raw HWF'!$C$2:$Q$195,11,FALSE)</f>
        <v>0</v>
      </c>
      <c r="G130" s="2">
        <f>VLOOKUP($B130,'Raw HWF'!$C$2:$Q$195,12,FALSE)</f>
        <v>12.247397422790527</v>
      </c>
      <c r="H130" s="2">
        <f>VLOOKUP($B130,'Raw HWF'!$C$2:$Q$195,13,FALSE)</f>
        <v>6.1236987113952637</v>
      </c>
      <c r="I130" s="5">
        <f>VLOOKUP($B130,'Raw HWF'!$C$2:$Q$195,14,FALSE)</f>
        <v>0</v>
      </c>
      <c r="J130" s="5">
        <v>1618</v>
      </c>
      <c r="K130" s="6">
        <f t="shared" si="3"/>
        <v>0</v>
      </c>
      <c r="L130" s="2">
        <f t="shared" si="4"/>
        <v>160.9657940864563</v>
      </c>
      <c r="M130" s="3">
        <f t="shared" si="5"/>
        <v>142.59469795227051</v>
      </c>
      <c r="N130">
        <f>VLOOKUP(B130,UHC!$G$2:$X$195,18,FALSE)</f>
        <v>55.01</v>
      </c>
      <c r="O130">
        <f>VLOOKUP(B130,'Covid-19 impact - vaccination'!$B$2:$D$195,2,FALSE)</f>
        <v>0.71075401730531518</v>
      </c>
      <c r="P130">
        <f>VLOOKUP(B130,'Covid-19 impact - vaccination'!$B$2:$D$195,3,FALSE)</f>
        <v>0</v>
      </c>
    </row>
    <row r="131" spans="1:16" x14ac:dyDescent="0.35">
      <c r="A131" t="str">
        <f>VLOOKUP(B131,'Reference table'!J$2:K$195,2,FALSE)</f>
        <v>Netherlands</v>
      </c>
      <c r="B131" t="s">
        <v>129</v>
      </c>
      <c r="C131" t="str">
        <f>VLOOKUP(B131,'Reference table'!C$1:E$195,3,FALSE)</f>
        <v>HIN</v>
      </c>
      <c r="D131" s="2">
        <f>VLOOKUP($B131,'Raw HWF'!$C$2:$Q$195,9,FALSE)</f>
        <v>40.877193450927734</v>
      </c>
      <c r="E131" s="2">
        <f>VLOOKUP($B131,'Raw HWF'!$C$2:$Q$195,10,FALSE)</f>
        <v>116.66666412353516</v>
      </c>
      <c r="F131" s="2">
        <f>VLOOKUP($B131,'Raw HWF'!$C$2:$Q$195,11,FALSE)</f>
        <v>0</v>
      </c>
      <c r="G131" s="2">
        <f>VLOOKUP($B131,'Raw HWF'!$C$2:$Q$195,12,FALSE)</f>
        <v>5.5912280082702637</v>
      </c>
      <c r="H131" s="2">
        <f>VLOOKUP($B131,'Raw HWF'!$C$2:$Q$195,13,FALSE)</f>
        <v>2.1719298362731934</v>
      </c>
      <c r="I131" s="5">
        <f>VLOOKUP($B131,'Raw HWF'!$C$2:$Q$195,14,FALSE)</f>
        <v>0</v>
      </c>
      <c r="J131" s="5">
        <f>VLOOKUP(B131,'Pop2020'!$D$2:$E$202,2,FALSE)</f>
        <v>17134872.000000004</v>
      </c>
      <c r="K131" s="6">
        <f t="shared" ref="K131:K194" si="6">I131/((L131/10000)*J131)</f>
        <v>0</v>
      </c>
      <c r="L131" s="2">
        <f t="shared" ref="L131:L194" si="7">SUM(D131:H131)</f>
        <v>165.30701541900635</v>
      </c>
      <c r="M131" s="3">
        <f t="shared" ref="M131:M194" si="8">SUM(D131:F131)</f>
        <v>157.54385757446289</v>
      </c>
      <c r="N131">
        <f>VLOOKUP(B131,UHC!$G$2:$X$195,18,FALSE)</f>
        <v>86.29</v>
      </c>
      <c r="O131">
        <f>VLOOKUP(B131,'Covid-19 impact - vaccination'!$B$2:$D$195,2,FALSE)</f>
        <v>0.62973468174936387</v>
      </c>
      <c r="P131">
        <f>VLOOKUP(B131,'Covid-19 impact - vaccination'!$B$2:$D$195,3,FALSE)</f>
        <v>0</v>
      </c>
    </row>
    <row r="132" spans="1:16" x14ac:dyDescent="0.35">
      <c r="A132" t="str">
        <f>VLOOKUP(B132,'Reference table'!J$2:K$195,2,FALSE)</f>
        <v>Norway</v>
      </c>
      <c r="B132" t="s">
        <v>156</v>
      </c>
      <c r="C132" t="str">
        <f>VLOOKUP(B132,'Reference table'!C$1:E$195,3,FALSE)</f>
        <v>HIN</v>
      </c>
      <c r="D132" s="2">
        <f>VLOOKUP($B132,'Raw HWF'!$C$2:$Q$195,9,FALSE)</f>
        <v>50.469985961914063</v>
      </c>
      <c r="E132" s="2">
        <f>VLOOKUP($B132,'Raw HWF'!$C$2:$Q$195,10,FALSE)</f>
        <v>178.7413330078125</v>
      </c>
      <c r="F132" s="2">
        <f>VLOOKUP($B132,'Raw HWF'!$C$2:$Q$195,11,FALSE)</f>
        <v>5.4747600555419922</v>
      </c>
      <c r="G132" s="2">
        <f>VLOOKUP($B132,'Raw HWF'!$C$2:$Q$195,12,FALSE)</f>
        <v>9.0440530776977539</v>
      </c>
      <c r="H132" s="2">
        <f>VLOOKUP($B132,'Raw HWF'!$C$2:$Q$195,13,FALSE)</f>
        <v>8.7581405639648438</v>
      </c>
      <c r="I132" s="5">
        <f>VLOOKUP($B132,'Raw HWF'!$C$2:$Q$195,14,FALSE)</f>
        <v>0</v>
      </c>
      <c r="J132" s="5">
        <f>VLOOKUP(B132,'Pop2020'!$D$2:$E$202,2,FALSE)</f>
        <v>5421241.0000000009</v>
      </c>
      <c r="K132" s="6">
        <f t="shared" si="6"/>
        <v>0</v>
      </c>
      <c r="L132" s="2">
        <f t="shared" si="7"/>
        <v>252.48827266693115</v>
      </c>
      <c r="M132" s="3">
        <f t="shared" si="8"/>
        <v>234.68607902526855</v>
      </c>
      <c r="N132">
        <f>VLOOKUP(B132,UHC!$G$2:$X$195,18,FALSE)</f>
        <v>85.6</v>
      </c>
      <c r="O132">
        <f>VLOOKUP(B132,'Covid-19 impact - vaccination'!$B$2:$D$195,2,FALSE)</f>
        <v>0.7338072278382437</v>
      </c>
      <c r="P132">
        <f>VLOOKUP(B132,'Covid-19 impact - vaccination'!$B$2:$D$195,3,FALSE)</f>
        <v>0</v>
      </c>
    </row>
    <row r="133" spans="1:16" x14ac:dyDescent="0.35">
      <c r="A133" t="str">
        <f>VLOOKUP(B133,'Reference table'!J$2:K$195,2,FALSE)</f>
        <v>Nepal</v>
      </c>
      <c r="B133" t="s">
        <v>68</v>
      </c>
      <c r="C133" t="str">
        <f>VLOOKUP(B133,'Reference table'!C$1:E$195,3,FALSE)</f>
        <v>LIN</v>
      </c>
      <c r="D133" s="2">
        <f>VLOOKUP($B133,'Raw HWF'!$C$2:$Q$195,9,FALSE)</f>
        <v>8.5271472930908203</v>
      </c>
      <c r="E133" s="2">
        <f>VLOOKUP($B133,'Raw HWF'!$C$2:$Q$195,10,FALSE)</f>
        <v>21.331615447998047</v>
      </c>
      <c r="F133" s="2">
        <f>VLOOKUP($B133,'Raw HWF'!$C$2:$Q$195,11,FALSE)</f>
        <v>12.128866195678711</v>
      </c>
      <c r="G133" s="2">
        <f>VLOOKUP($B133,'Raw HWF'!$C$2:$Q$195,12,FALSE)</f>
        <v>1.2587628364562988</v>
      </c>
      <c r="H133" s="2">
        <f>VLOOKUP($B133,'Raw HWF'!$C$2:$Q$195,13,FALSE)</f>
        <v>1.6556700468063354</v>
      </c>
      <c r="I133" s="5">
        <f>VLOOKUP($B133,'Raw HWF'!$C$2:$Q$195,14,FALSE)</f>
        <v>63232.12890625</v>
      </c>
      <c r="J133" s="5">
        <f>VLOOKUP(B133,'Pop2020'!$D$2:$E$202,2,FALSE)</f>
        <v>29136808</v>
      </c>
      <c r="K133" s="6">
        <f t="shared" si="6"/>
        <v>0.48331419245505269</v>
      </c>
      <c r="L133" s="2">
        <f t="shared" si="7"/>
        <v>44.902061820030212</v>
      </c>
      <c r="M133" s="3">
        <f t="shared" si="8"/>
        <v>41.987628936767578</v>
      </c>
      <c r="N133">
        <f>VLOOKUP(B133,UHC!$G$2:$X$195,18,FALSE)</f>
        <v>53.06</v>
      </c>
      <c r="O133">
        <f>VLOOKUP(B133,'Covid-19 impact - vaccination'!$B$2:$D$195,2,FALSE)</f>
        <v>0.36760104263994875</v>
      </c>
      <c r="P133">
        <f>VLOOKUP(B133,'Covid-19 impact - vaccination'!$B$2:$D$195,3,FALSE)</f>
        <v>0</v>
      </c>
    </row>
    <row r="134" spans="1:16" x14ac:dyDescent="0.35">
      <c r="A134" t="str">
        <f>VLOOKUP(B134,'Reference table'!J$2:K$195,2,FALSE)</f>
        <v>Nauru</v>
      </c>
      <c r="B134" t="s">
        <v>377</v>
      </c>
      <c r="C134" t="str">
        <f>VLOOKUP(B134,'Reference table'!C$1:E$195,3,FALSE)</f>
        <v>UMI</v>
      </c>
      <c r="D134" s="2">
        <f>VLOOKUP($B134,'Raw HWF'!$C$2:$Q$195,9,FALSE)</f>
        <v>13.49527645111084</v>
      </c>
      <c r="E134" s="2">
        <f>VLOOKUP($B134,'Raw HWF'!$C$2:$Q$195,10,FALSE)</f>
        <v>78.666419982910156</v>
      </c>
      <c r="F134" s="2">
        <f>VLOOKUP($B134,'Raw HWF'!$C$2:$Q$195,11,FALSE)</f>
        <v>0</v>
      </c>
      <c r="G134" s="2">
        <f>VLOOKUP($B134,'Raw HWF'!$C$2:$Q$195,12,FALSE)</f>
        <v>3.7160906791687012</v>
      </c>
      <c r="H134" s="2">
        <f>VLOOKUP($B134,'Raw HWF'!$C$2:$Q$195,13,FALSE)</f>
        <v>1.9278966188430786</v>
      </c>
      <c r="I134" s="5">
        <f>VLOOKUP($B134,'Raw HWF'!$C$2:$Q$195,14,FALSE)</f>
        <v>2.8433352708816528E-2</v>
      </c>
      <c r="J134" s="5">
        <v>10834</v>
      </c>
      <c r="K134" s="6">
        <f t="shared" si="6"/>
        <v>2.6833365587911989E-4</v>
      </c>
      <c r="L134" s="2">
        <f t="shared" si="7"/>
        <v>97.805683732032776</v>
      </c>
      <c r="M134" s="3">
        <f t="shared" si="8"/>
        <v>92.161696434020996</v>
      </c>
      <c r="N134">
        <f>VLOOKUP(B134,UHC!$G$2:$X$195,18,FALSE)</f>
        <v>53.85</v>
      </c>
      <c r="O134">
        <f>VLOOKUP(B134,'Covid-19 impact - vaccination'!$B$2:$D$195,2,FALSE)</f>
        <v>0.67971201772198631</v>
      </c>
      <c r="P134">
        <f>VLOOKUP(B134,'Covid-19 impact - vaccination'!$B$2:$D$195,3,FALSE)</f>
        <v>1.9620025899414004E-2</v>
      </c>
    </row>
    <row r="135" spans="1:16" x14ac:dyDescent="0.35">
      <c r="A135" t="str">
        <f>VLOOKUP(B135,'Reference table'!J$2:K$195,2,FALSE)</f>
        <v>New Zealand</v>
      </c>
      <c r="B135" t="s">
        <v>187</v>
      </c>
      <c r="C135" t="str">
        <f>VLOOKUP(B135,'Reference table'!C$1:E$195,3,FALSE)</f>
        <v>HIN</v>
      </c>
      <c r="D135" s="2">
        <f>VLOOKUP($B135,'Raw HWF'!$C$2:$Q$195,9,FALSE)</f>
        <v>36.182407379150391</v>
      </c>
      <c r="E135" s="2">
        <f>VLOOKUP($B135,'Raw HWF'!$C$2:$Q$195,10,FALSE)</f>
        <v>111.84237670898438</v>
      </c>
      <c r="F135" s="2">
        <f>VLOOKUP($B135,'Raw HWF'!$C$2:$Q$195,11,FALSE)</f>
        <v>5.9204936027526855</v>
      </c>
      <c r="G135" s="2">
        <f>VLOOKUP($B135,'Raw HWF'!$C$2:$Q$195,12,FALSE)</f>
        <v>6.4874758720397949</v>
      </c>
      <c r="H135" s="2">
        <f>VLOOKUP($B135,'Raw HWF'!$C$2:$Q$195,13,FALSE)</f>
        <v>7.5732550621032715</v>
      </c>
      <c r="I135" s="5">
        <f>VLOOKUP($B135,'Raw HWF'!$C$2:$Q$195,14,FALSE)</f>
        <v>0</v>
      </c>
      <c r="J135" s="5">
        <f>VLOOKUP(B135,'Pop2020'!$D$2:$E$202,2,FALSE)</f>
        <v>4822233</v>
      </c>
      <c r="K135" s="6">
        <f t="shared" si="6"/>
        <v>0</v>
      </c>
      <c r="L135" s="2">
        <f t="shared" si="7"/>
        <v>168.00600862503052</v>
      </c>
      <c r="M135" s="3">
        <f t="shared" si="8"/>
        <v>153.94527769088745</v>
      </c>
      <c r="N135">
        <f>VLOOKUP(B135,UHC!$G$2:$X$195,18,FALSE)</f>
        <v>85.53</v>
      </c>
      <c r="O135">
        <f>VLOOKUP(B135,'Covid-19 impact - vaccination'!$B$2:$D$195,2,FALSE)</f>
        <v>0.80276025650357419</v>
      </c>
      <c r="P135">
        <f>VLOOKUP(B135,'Covid-19 impact - vaccination'!$B$2:$D$195,3,FALSE)</f>
        <v>0</v>
      </c>
    </row>
    <row r="136" spans="1:16" x14ac:dyDescent="0.35">
      <c r="A136" t="str">
        <f>VLOOKUP(B136,'Reference table'!J$2:K$195,2,FALSE)</f>
        <v>Oman</v>
      </c>
      <c r="B136" t="s">
        <v>515</v>
      </c>
      <c r="C136" t="str">
        <f>VLOOKUP(B136,'Reference table'!C$1:E$195,3,FALSE)</f>
        <v>UMI</v>
      </c>
      <c r="D136" s="2">
        <f>VLOOKUP($B136,'Raw HWF'!$C$2:$Q$195,9,FALSE)</f>
        <v>17.737752914428711</v>
      </c>
      <c r="E136" s="2">
        <f>VLOOKUP($B136,'Raw HWF'!$C$2:$Q$195,10,FALSE)</f>
        <v>36.999019622802734</v>
      </c>
      <c r="F136" s="2">
        <f>VLOOKUP($B136,'Raw HWF'!$C$2:$Q$195,11,FALSE)</f>
        <v>2.3831801414489746</v>
      </c>
      <c r="G136" s="2">
        <f>VLOOKUP($B136,'Raw HWF'!$C$2:$Q$195,12,FALSE)</f>
        <v>2.9197382926940918</v>
      </c>
      <c r="H136" s="2">
        <f>VLOOKUP($B136,'Raw HWF'!$C$2:$Q$195,13,FALSE)</f>
        <v>5.7004413604736328</v>
      </c>
      <c r="I136" s="5">
        <f>VLOOKUP($B136,'Raw HWF'!$C$2:$Q$195,14,FALSE)</f>
        <v>1045.54345703125</v>
      </c>
      <c r="J136" s="5">
        <f>VLOOKUP(B136,'Pop2020'!$D$2:$E$202,2,FALSE)</f>
        <v>5106626.0000000009</v>
      </c>
      <c r="K136" s="6">
        <f t="shared" si="6"/>
        <v>3.1144220286047356E-2</v>
      </c>
      <c r="L136" s="2">
        <f t="shared" si="7"/>
        <v>65.740132331848145</v>
      </c>
      <c r="M136" s="3">
        <f t="shared" si="8"/>
        <v>57.11995267868042</v>
      </c>
      <c r="N136">
        <f>VLOOKUP(B136,UHC!$G$2:$X$195,18,FALSE)</f>
        <v>68.66</v>
      </c>
      <c r="O136">
        <f>VLOOKUP(B136,'Covid-19 impact - vaccination'!$B$2:$D$195,2,FALSE)</f>
        <v>0.56833102717919814</v>
      </c>
      <c r="P136">
        <f>VLOOKUP(B136,'Covid-19 impact - vaccination'!$B$2:$D$195,3,FALSE)</f>
        <v>7.8827519057292489E-3</v>
      </c>
    </row>
    <row r="137" spans="1:16" x14ac:dyDescent="0.35">
      <c r="A137" t="str">
        <f>VLOOKUP(B137,'Reference table'!J$2:K$195,2,FALSE)</f>
        <v>Pakistan</v>
      </c>
      <c r="B137" t="s">
        <v>123</v>
      </c>
      <c r="C137" t="str">
        <f>VLOOKUP(B137,'Reference table'!C$1:E$195,3,FALSE)</f>
        <v>LIN</v>
      </c>
      <c r="D137" s="2">
        <f>VLOOKUP($B137,'Raw HWF'!$C$2:$Q$195,9,FALSE)</f>
        <v>11.156636238098145</v>
      </c>
      <c r="E137" s="2">
        <f>VLOOKUP($B137,'Raw HWF'!$C$2:$Q$195,10,FALSE)</f>
        <v>4.0816130638122559</v>
      </c>
      <c r="F137" s="2">
        <f>VLOOKUP($B137,'Raw HWF'!$C$2:$Q$195,11,FALSE)</f>
        <v>0.74050688743591309</v>
      </c>
      <c r="G137" s="2">
        <f>VLOOKUP($B137,'Raw HWF'!$C$2:$Q$195,12,FALSE)</f>
        <v>1.2297695875167847</v>
      </c>
      <c r="H137" s="2">
        <f>VLOOKUP($B137,'Raw HWF'!$C$2:$Q$195,13,FALSE)</f>
        <v>1.5417050123214722</v>
      </c>
      <c r="I137" s="5">
        <f>VLOOKUP($B137,'Raw HWF'!$C$2:$Q$195,14,FALSE)</f>
        <v>1024730.625</v>
      </c>
      <c r="J137" s="5">
        <f>VLOOKUP(B137,'Pop2020'!$D$2:$E$202,2,FALSE)</f>
        <v>220892340</v>
      </c>
      <c r="K137" s="6">
        <f t="shared" si="6"/>
        <v>2.474129583055102</v>
      </c>
      <c r="L137" s="2">
        <f t="shared" si="7"/>
        <v>18.75023078918457</v>
      </c>
      <c r="M137" s="3">
        <f t="shared" si="8"/>
        <v>15.978756189346313</v>
      </c>
      <c r="N137">
        <f>VLOOKUP(B137,UHC!$G$2:$X$195,18,FALSE)</f>
        <v>44.97</v>
      </c>
      <c r="O137">
        <f>VLOOKUP(B137,'Covid-19 impact - vaccination'!$B$2:$D$195,2,FALSE)</f>
        <v>0.34558510720652424</v>
      </c>
      <c r="P137">
        <f>VLOOKUP(B137,'Covid-19 impact - vaccination'!$B$2:$D$195,3,FALSE)</f>
        <v>3.392241677577254E-2</v>
      </c>
    </row>
    <row r="138" spans="1:16" x14ac:dyDescent="0.35">
      <c r="A138" t="str">
        <f>VLOOKUP(B138,'Reference table'!J$2:K$195,2,FALSE)</f>
        <v>Panama</v>
      </c>
      <c r="B138" t="s">
        <v>392</v>
      </c>
      <c r="C138" t="str">
        <f>VLOOKUP(B138,'Reference table'!C$1:E$195,3,FALSE)</f>
        <v>UMI</v>
      </c>
      <c r="D138" s="2">
        <f>VLOOKUP($B138,'Raw HWF'!$C$2:$Q$195,9,FALSE)</f>
        <v>16.324262619018555</v>
      </c>
      <c r="E138" s="2">
        <f>VLOOKUP($B138,'Raw HWF'!$C$2:$Q$195,10,FALSE)</f>
        <v>32.055088043212891</v>
      </c>
      <c r="F138" s="2">
        <f>VLOOKUP($B138,'Raw HWF'!$C$2:$Q$195,11,FALSE)</f>
        <v>5.2588090896606445</v>
      </c>
      <c r="G138" s="2">
        <f>VLOOKUP($B138,'Raw HWF'!$C$2:$Q$195,12,FALSE)</f>
        <v>3.0237092971801758</v>
      </c>
      <c r="H138" s="2">
        <f>VLOOKUP($B138,'Raw HWF'!$C$2:$Q$195,13,FALSE)</f>
        <v>2.2442328929901123</v>
      </c>
      <c r="I138" s="5">
        <f>VLOOKUP($B138,'Raw HWF'!$C$2:$Q$195,14,FALSE)</f>
        <v>0</v>
      </c>
      <c r="J138" s="5">
        <f>VLOOKUP(B138,'Pop2020'!$D$2:$E$202,2,FALSE)</f>
        <v>4314767.0000000009</v>
      </c>
      <c r="K138" s="6">
        <f t="shared" si="6"/>
        <v>0</v>
      </c>
      <c r="L138" s="2">
        <f t="shared" si="7"/>
        <v>58.906101942062378</v>
      </c>
      <c r="M138" s="3">
        <f t="shared" si="8"/>
        <v>53.63815975189209</v>
      </c>
      <c r="N138">
        <f>VLOOKUP(B138,UHC!$G$2:$X$195,18,FALSE)</f>
        <v>77.28</v>
      </c>
      <c r="O138">
        <f>VLOOKUP(B138,'Covid-19 impact - vaccination'!$B$2:$D$195,2,FALSE)</f>
        <v>0.65379567425077645</v>
      </c>
      <c r="P138">
        <f>VLOOKUP(B138,'Covid-19 impact - vaccination'!$B$2:$D$195,3,FALSE)</f>
        <v>0</v>
      </c>
    </row>
    <row r="139" spans="1:16" x14ac:dyDescent="0.35">
      <c r="A139" t="str">
        <f>VLOOKUP(B139,'Reference table'!J$2:K$195,2,FALSE)</f>
        <v>Peru</v>
      </c>
      <c r="B139" t="s">
        <v>398</v>
      </c>
      <c r="C139" t="str">
        <f>VLOOKUP(B139,'Reference table'!C$1:E$195,3,FALSE)</f>
        <v>LMI</v>
      </c>
      <c r="D139" s="2">
        <f>VLOOKUP($B139,'Raw HWF'!$C$2:$Q$195,9,FALSE)</f>
        <v>13.689062118530273</v>
      </c>
      <c r="E139" s="2">
        <f>VLOOKUP($B139,'Raw HWF'!$C$2:$Q$195,10,FALSE)</f>
        <v>24.389999389648438</v>
      </c>
      <c r="F139" s="2">
        <f>VLOOKUP($B139,'Raw HWF'!$C$2:$Q$195,11,FALSE)</f>
        <v>5.5452308654785156</v>
      </c>
      <c r="G139" s="2">
        <f>VLOOKUP($B139,'Raw HWF'!$C$2:$Q$195,12,FALSE)</f>
        <v>1.9221874475479126</v>
      </c>
      <c r="H139" s="2">
        <f>VLOOKUP($B139,'Raw HWF'!$C$2:$Q$195,13,FALSE)</f>
        <v>1.0299999713897705</v>
      </c>
      <c r="I139" s="5">
        <f>VLOOKUP($B139,'Raw HWF'!$C$2:$Q$195,14,FALSE)</f>
        <v>31188.28515625</v>
      </c>
      <c r="J139" s="5">
        <f>VLOOKUP(B139,'Pop2020'!$D$2:$E$202,2,FALSE)</f>
        <v>32971853.999999993</v>
      </c>
      <c r="K139" s="6">
        <f t="shared" si="6"/>
        <v>0.20308669236124019</v>
      </c>
      <c r="L139" s="2">
        <f t="shared" si="7"/>
        <v>46.57647979259491</v>
      </c>
      <c r="M139" s="3">
        <f t="shared" si="8"/>
        <v>43.624292373657227</v>
      </c>
      <c r="N139">
        <f>VLOOKUP(B139,UHC!$G$2:$X$195,18,FALSE)</f>
        <v>78.34</v>
      </c>
      <c r="O139">
        <f>VLOOKUP(B139,'Covid-19 impact - vaccination'!$B$2:$D$195,2,FALSE)</f>
        <v>0.66882332428137037</v>
      </c>
      <c r="P139">
        <f>VLOOKUP(B139,'Covid-19 impact - vaccination'!$B$2:$D$195,3,FALSE)</f>
        <v>0</v>
      </c>
    </row>
    <row r="140" spans="1:16" x14ac:dyDescent="0.35">
      <c r="A140" t="str">
        <f>VLOOKUP(B140,'Reference table'!J$2:K$195,2,FALSE)</f>
        <v>Philippines</v>
      </c>
      <c r="B140" t="s">
        <v>401</v>
      </c>
      <c r="C140" t="str">
        <f>VLOOKUP(B140,'Reference table'!C$1:E$195,3,FALSE)</f>
        <v>LMI</v>
      </c>
      <c r="D140" s="2">
        <f>VLOOKUP($B140,'Raw HWF'!$C$2:$Q$195,9,FALSE)</f>
        <v>7.6979999542236328</v>
      </c>
      <c r="E140" s="2">
        <f>VLOOKUP($B140,'Raw HWF'!$C$2:$Q$195,10,FALSE)</f>
        <v>47.473979949951172</v>
      </c>
      <c r="F140" s="2">
        <f>VLOOKUP($B140,'Raw HWF'!$C$2:$Q$195,11,FALSE)</f>
        <v>7.0234260559082031</v>
      </c>
      <c r="G140" s="2">
        <f>VLOOKUP($B140,'Raw HWF'!$C$2:$Q$195,12,FALSE)</f>
        <v>2.6068518161773682</v>
      </c>
      <c r="H140" s="2">
        <f>VLOOKUP($B140,'Raw HWF'!$C$2:$Q$195,13,FALSE)</f>
        <v>3.3111429214477539</v>
      </c>
      <c r="I140" s="5">
        <f>VLOOKUP($B140,'Raw HWF'!$C$2:$Q$195,14,FALSE)</f>
        <v>71902.6171875</v>
      </c>
      <c r="J140" s="5">
        <f>VLOOKUP(B140,'Pop2020'!$D$2:$E$202,2,FALSE)</f>
        <v>109581077.99999999</v>
      </c>
      <c r="K140" s="6">
        <f t="shared" si="6"/>
        <v>9.6333328502840085E-2</v>
      </c>
      <c r="L140" s="2">
        <f t="shared" si="7"/>
        <v>68.11340069770813</v>
      </c>
      <c r="M140" s="3">
        <f t="shared" si="8"/>
        <v>62.195405960083008</v>
      </c>
      <c r="N140">
        <f>VLOOKUP(B140,UHC!$G$2:$X$195,18,FALSE)</f>
        <v>55.37</v>
      </c>
      <c r="O140">
        <f>VLOOKUP(B140,'Covid-19 impact - vaccination'!$B$2:$D$195,2,FALSE)</f>
        <v>0.47139205000337742</v>
      </c>
      <c r="P140">
        <f>VLOOKUP(B140,'Covid-19 impact - vaccination'!$B$2:$D$195,3,FALSE)</f>
        <v>1.1051628075258063E-2</v>
      </c>
    </row>
    <row r="141" spans="1:16" x14ac:dyDescent="0.35">
      <c r="A141" t="str">
        <f>VLOOKUP(B141,'Reference table'!J$2:K$195,2,FALSE)</f>
        <v>Palau</v>
      </c>
      <c r="B141" t="s">
        <v>389</v>
      </c>
      <c r="C141" t="str">
        <f>VLOOKUP(B141,'Reference table'!C$1:E$195,3,FALSE)</f>
        <v>UMI</v>
      </c>
      <c r="D141" s="2">
        <f>VLOOKUP($B141,'Raw HWF'!$C$2:$Q$195,9,FALSE)</f>
        <v>17.687376022338867</v>
      </c>
      <c r="E141" s="2">
        <f>VLOOKUP($B141,'Raw HWF'!$C$2:$Q$195,10,FALSE)</f>
        <v>63.564006805419922</v>
      </c>
      <c r="F141" s="2">
        <f>VLOOKUP($B141,'Raw HWF'!$C$2:$Q$195,11,FALSE)</f>
        <v>1.1054610013961792</v>
      </c>
      <c r="G141" s="2">
        <f>VLOOKUP($B141,'Raw HWF'!$C$2:$Q$195,12,FALSE)</f>
        <v>3.316382884979248</v>
      </c>
      <c r="H141" s="2">
        <f>VLOOKUP($B141,'Raw HWF'!$C$2:$Q$195,13,FALSE)</f>
        <v>2.7636523246765137</v>
      </c>
      <c r="I141" s="5">
        <f>VLOOKUP($B141,'Raw HWF'!$C$2:$Q$195,14,FALSE)</f>
        <v>6.2361812591552734</v>
      </c>
      <c r="J141" s="5">
        <v>18092</v>
      </c>
      <c r="K141" s="6">
        <f t="shared" si="6"/>
        <v>3.8976132490429978E-2</v>
      </c>
      <c r="L141" s="2">
        <f t="shared" si="7"/>
        <v>88.43687903881073</v>
      </c>
      <c r="M141" s="3">
        <f t="shared" si="8"/>
        <v>82.356843829154968</v>
      </c>
      <c r="N141">
        <f>VLOOKUP(B141,UHC!$G$2:$X$195,18,FALSE)</f>
        <v>58.77</v>
      </c>
      <c r="O141">
        <f>VLOOKUP(B141,'Covid-19 impact - vaccination'!$B$2:$D$195,2,FALSE)</f>
        <v>0.87043997346893653</v>
      </c>
      <c r="P141">
        <f>VLOOKUP(B141,'Covid-19 impact - vaccination'!$B$2:$D$195,3,FALSE)</f>
        <v>0</v>
      </c>
    </row>
    <row r="142" spans="1:16" x14ac:dyDescent="0.35">
      <c r="A142" t="str">
        <f>VLOOKUP(B142,'Reference table'!J$2:K$195,2,FALSE)</f>
        <v>Papua New Guinea</v>
      </c>
      <c r="B142" t="s">
        <v>107</v>
      </c>
      <c r="C142" t="str">
        <f>VLOOKUP(B142,'Reference table'!C$1:E$195,3,FALSE)</f>
        <v>LIN</v>
      </c>
      <c r="D142" s="2">
        <f>VLOOKUP($B142,'Raw HWF'!$C$2:$Q$195,9,FALSE)</f>
        <v>0.66088438034057617</v>
      </c>
      <c r="E142" s="2">
        <f>VLOOKUP($B142,'Raw HWF'!$C$2:$Q$195,10,FALSE)</f>
        <v>4.5293369293212891</v>
      </c>
      <c r="F142" s="2">
        <f>VLOOKUP($B142,'Raw HWF'!$C$2:$Q$195,11,FALSE)</f>
        <v>0</v>
      </c>
      <c r="G142" s="2">
        <f>VLOOKUP($B142,'Raw HWF'!$C$2:$Q$195,12,FALSE)</f>
        <v>7.0646263659000397E-2</v>
      </c>
      <c r="H142" s="2">
        <f>VLOOKUP($B142,'Raw HWF'!$C$2:$Q$195,13,FALSE)</f>
        <v>0.1336226761341095</v>
      </c>
      <c r="I142" s="5">
        <f>VLOOKUP($B142,'Raw HWF'!$C$2:$Q$195,14,FALSE)</f>
        <v>47773.203125</v>
      </c>
      <c r="J142" s="5">
        <f>VLOOKUP(B142,'Pop2020'!$D$2:$E$202,2,FALSE)</f>
        <v>8947024.0000000056</v>
      </c>
      <c r="K142" s="6">
        <f t="shared" si="6"/>
        <v>9.8981799784511999</v>
      </c>
      <c r="L142" s="2">
        <f t="shared" si="7"/>
        <v>5.3944902494549751</v>
      </c>
      <c r="M142" s="3">
        <f t="shared" si="8"/>
        <v>5.1902213096618652</v>
      </c>
      <c r="N142">
        <f>VLOOKUP(B142,UHC!$G$2:$X$195,18,FALSE)</f>
        <v>33.42</v>
      </c>
      <c r="O142">
        <f>VLOOKUP(B142,'Covid-19 impact - vaccination'!$B$2:$D$195,2,FALSE)</f>
        <v>2.5484116282687964E-2</v>
      </c>
      <c r="P142">
        <f>VLOOKUP(B142,'Covid-19 impact - vaccination'!$B$2:$D$195,3,FALSE)</f>
        <v>0.50200103102524329</v>
      </c>
    </row>
    <row r="143" spans="1:16" x14ac:dyDescent="0.35">
      <c r="A143" t="str">
        <f>VLOOKUP(B143,'Reference table'!J$2:K$195,2,FALSE)</f>
        <v>Poland</v>
      </c>
      <c r="B143" t="s">
        <v>404</v>
      </c>
      <c r="C143" t="str">
        <f>VLOOKUP(B143,'Reference table'!C$1:E$195,3,FALSE)</f>
        <v>UMI</v>
      </c>
      <c r="D143" s="2">
        <f>VLOOKUP($B143,'Raw HWF'!$C$2:$Q$195,9,FALSE)</f>
        <v>37.754497528076172</v>
      </c>
      <c r="E143" s="2">
        <f>VLOOKUP($B143,'Raw HWF'!$C$2:$Q$195,10,FALSE)</f>
        <v>61.273014068603516</v>
      </c>
      <c r="F143" s="2">
        <f>VLOOKUP($B143,'Raw HWF'!$C$2:$Q$195,11,FALSE)</f>
        <v>7.4685187339782715</v>
      </c>
      <c r="G143" s="2">
        <f>VLOOKUP($B143,'Raw HWF'!$C$2:$Q$195,12,FALSE)</f>
        <v>10.286243438720703</v>
      </c>
      <c r="H143" s="2">
        <f>VLOOKUP($B143,'Raw HWF'!$C$2:$Q$195,13,FALSE)</f>
        <v>9.6632270812988281</v>
      </c>
      <c r="I143" s="5">
        <f>VLOOKUP($B143,'Raw HWF'!$C$2:$Q$195,14,FALSE)</f>
        <v>0</v>
      </c>
      <c r="J143" s="5">
        <f>VLOOKUP(B143,'Pop2020'!$D$2:$E$202,2,FALSE)</f>
        <v>37846610.999999993</v>
      </c>
      <c r="K143" s="6">
        <f t="shared" si="6"/>
        <v>0</v>
      </c>
      <c r="L143" s="2">
        <f t="shared" si="7"/>
        <v>126.44550085067749</v>
      </c>
      <c r="M143" s="3">
        <f t="shared" si="8"/>
        <v>106.49603033065796</v>
      </c>
      <c r="N143">
        <f>VLOOKUP(B143,UHC!$G$2:$X$195,18,FALSE)</f>
        <v>73.98</v>
      </c>
      <c r="O143">
        <f>VLOOKUP(B143,'Covid-19 impact - vaccination'!$B$2:$D$195,2,FALSE)</f>
        <v>0.4913605351242466</v>
      </c>
      <c r="P143">
        <f>VLOOKUP(B143,'Covid-19 impact - vaccination'!$B$2:$D$195,3,FALSE)</f>
        <v>3.3066506139425265E-3</v>
      </c>
    </row>
    <row r="144" spans="1:16" x14ac:dyDescent="0.35">
      <c r="A144" t="str">
        <f>VLOOKUP(B144,'Reference table'!J$2:K$195,2,FALSE)</f>
        <v>Democratic People's Republic of Korea</v>
      </c>
      <c r="B144" t="s">
        <v>45</v>
      </c>
      <c r="C144" t="str">
        <f>VLOOKUP(B144,'Reference table'!C$1:E$195,3,FALSE)</f>
        <v>LIN</v>
      </c>
      <c r="D144" s="2">
        <f>VLOOKUP($B144,'Raw HWF'!$C$2:$Q$195,9,FALSE)</f>
        <v>36.87677001953125</v>
      </c>
      <c r="E144" s="2">
        <f>VLOOKUP($B144,'Raw HWF'!$C$2:$Q$195,10,FALSE)</f>
        <v>41.387794494628906</v>
      </c>
      <c r="F144" s="2">
        <f>VLOOKUP($B144,'Raw HWF'!$C$2:$Q$195,11,FALSE)</f>
        <v>3.15354323387146</v>
      </c>
      <c r="G144" s="2">
        <f>VLOOKUP($B144,'Raw HWF'!$C$2:$Q$195,12,FALSE)</f>
        <v>2.2027559280395508</v>
      </c>
      <c r="H144" s="2">
        <f>VLOOKUP($B144,'Raw HWF'!$C$2:$Q$195,13,FALSE)</f>
        <v>3.9740157127380371</v>
      </c>
      <c r="I144" s="5">
        <f>VLOOKUP($B144,'Raw HWF'!$C$2:$Q$195,14,FALSE)</f>
        <v>2541.976806640625</v>
      </c>
      <c r="J144" s="5">
        <f>VLOOKUP(B144,'Pop2020'!$D$2:$E$202,2,FALSE)</f>
        <v>25778816</v>
      </c>
      <c r="K144" s="6">
        <f t="shared" si="6"/>
        <v>1.125718745447927E-2</v>
      </c>
      <c r="L144" s="2">
        <f t="shared" si="7"/>
        <v>87.594879388809204</v>
      </c>
      <c r="M144" s="3">
        <f t="shared" si="8"/>
        <v>81.418107748031616</v>
      </c>
      <c r="N144">
        <f>VLOOKUP(B144,UHC!$G$2:$X$195,18,FALSE)</f>
        <v>67.75</v>
      </c>
      <c r="O144">
        <f>VLOOKUP(B144,'Covid-19 impact - vaccination'!$B$2:$D$195,2,FALSE)</f>
        <v>0</v>
      </c>
      <c r="P144">
        <f>VLOOKUP(B144,'Covid-19 impact - vaccination'!$B$2:$D$195,3,FALSE)</f>
        <v>1.8971916421749765E-2</v>
      </c>
    </row>
    <row r="145" spans="1:16" x14ac:dyDescent="0.35">
      <c r="A145" t="str">
        <f>VLOOKUP(B145,'Reference table'!J$2:K$195,2,FALSE)</f>
        <v>Portugal</v>
      </c>
      <c r="B145" t="s">
        <v>202</v>
      </c>
      <c r="C145" t="str">
        <f>VLOOKUP(B145,'Reference table'!C$1:E$195,3,FALSE)</f>
        <v>HIN</v>
      </c>
      <c r="D145" s="2">
        <f>VLOOKUP($B145,'Raw HWF'!$C$2:$Q$195,9,FALSE)</f>
        <v>54.977451324462891</v>
      </c>
      <c r="E145" s="2">
        <f>VLOOKUP($B145,'Raw HWF'!$C$2:$Q$195,10,FALSE)</f>
        <v>71.370590209960938</v>
      </c>
      <c r="F145" s="2">
        <f>VLOOKUP($B145,'Raw HWF'!$C$2:$Q$195,11,FALSE)</f>
        <v>2.9166667461395264</v>
      </c>
      <c r="G145" s="2">
        <f>VLOOKUP($B145,'Raw HWF'!$C$2:$Q$195,12,FALSE)</f>
        <v>10.578640937805176</v>
      </c>
      <c r="H145" s="2">
        <f>VLOOKUP($B145,'Raw HWF'!$C$2:$Q$195,13,FALSE)</f>
        <v>9.3980388641357422</v>
      </c>
      <c r="I145" s="5">
        <f>VLOOKUP($B145,'Raw HWF'!$C$2:$Q$195,14,FALSE)</f>
        <v>1095.676513671875</v>
      </c>
      <c r="J145" s="5">
        <f>VLOOKUP(B145,'Pop2020'!$D$2:$E$202,2,FALSE)</f>
        <v>10196708.999999998</v>
      </c>
      <c r="K145" s="6">
        <f t="shared" si="6"/>
        <v>7.2000091344088463E-3</v>
      </c>
      <c r="L145" s="2">
        <f t="shared" si="7"/>
        <v>149.24138808250427</v>
      </c>
      <c r="M145" s="3">
        <f t="shared" si="8"/>
        <v>129.26470828056335</v>
      </c>
      <c r="N145">
        <f>VLOOKUP(B145,UHC!$G$2:$X$195,18,FALSE)</f>
        <v>84.38</v>
      </c>
      <c r="O145">
        <f>VLOOKUP(B145,'Covid-19 impact - vaccination'!$B$2:$D$195,2,FALSE)</f>
        <v>0.71748312849307427</v>
      </c>
      <c r="P145">
        <f>VLOOKUP(B145,'Covid-19 impact - vaccination'!$B$2:$D$195,3,FALSE)</f>
        <v>0</v>
      </c>
    </row>
    <row r="146" spans="1:16" x14ac:dyDescent="0.35">
      <c r="A146" t="str">
        <f>VLOOKUP(B146,'Reference table'!J$2:K$195,2,FALSE)</f>
        <v>Paraguay</v>
      </c>
      <c r="B146" t="s">
        <v>395</v>
      </c>
      <c r="C146" t="str">
        <f>VLOOKUP(B146,'Reference table'!C$1:E$195,3,FALSE)</f>
        <v>LMI</v>
      </c>
      <c r="D146" s="2">
        <f>VLOOKUP($B146,'Raw HWF'!$C$2:$Q$195,9,FALSE)</f>
        <v>10.515202522277832</v>
      </c>
      <c r="E146" s="2">
        <f>VLOOKUP($B146,'Raw HWF'!$C$2:$Q$195,10,FALSE)</f>
        <v>14.949535369873047</v>
      </c>
      <c r="F146" s="2">
        <f>VLOOKUP($B146,'Raw HWF'!$C$2:$Q$195,11,FALSE)</f>
        <v>5.9023604393005371</v>
      </c>
      <c r="G146" s="2">
        <f>VLOOKUP($B146,'Raw HWF'!$C$2:$Q$195,12,FALSE)</f>
        <v>1.6230431795120239</v>
      </c>
      <c r="H146" s="2">
        <f>VLOOKUP($B146,'Raw HWF'!$C$2:$Q$195,13,FALSE)</f>
        <v>0.31770816445350647</v>
      </c>
      <c r="I146" s="5">
        <f>VLOOKUP($B146,'Raw HWF'!$C$2:$Q$195,14,FALSE)</f>
        <v>18103.96875</v>
      </c>
      <c r="J146" s="5">
        <f>VLOOKUP(B146,'Pop2020'!$D$2:$E$202,2,FALSE)</f>
        <v>7132537.9999999991</v>
      </c>
      <c r="K146" s="6">
        <f t="shared" si="6"/>
        <v>0.76204935745783531</v>
      </c>
      <c r="L146" s="2">
        <f t="shared" si="7"/>
        <v>33.307849675416946</v>
      </c>
      <c r="M146" s="3">
        <f t="shared" si="8"/>
        <v>31.367098331451416</v>
      </c>
      <c r="N146">
        <f>VLOOKUP(B146,UHC!$G$2:$X$195,18,FALSE)</f>
        <v>61.41</v>
      </c>
      <c r="O146">
        <f>VLOOKUP(B146,'Covid-19 impact - vaccination'!$B$2:$D$195,2,FALSE)</f>
        <v>0.42100623929378295</v>
      </c>
      <c r="P146">
        <f>VLOOKUP(B146,'Covid-19 impact - vaccination'!$B$2:$D$195,3,FALSE)</f>
        <v>6.8270989414828511E-3</v>
      </c>
    </row>
    <row r="147" spans="1:16" x14ac:dyDescent="0.35">
      <c r="A147" t="str">
        <f>VLOOKUP(B147,'Reference table'!J$2:K$195,2,FALSE)</f>
        <v>Qatar</v>
      </c>
      <c r="B147" t="s">
        <v>512</v>
      </c>
      <c r="C147" t="str">
        <f>VLOOKUP(B147,'Reference table'!C$1:E$195,3,FALSE)</f>
        <v>HIN</v>
      </c>
      <c r="D147" s="2">
        <f>VLOOKUP($B147,'Raw HWF'!$C$2:$Q$195,9,FALSE)</f>
        <v>24.851869583129883</v>
      </c>
      <c r="E147" s="2">
        <f>VLOOKUP($B147,'Raw HWF'!$C$2:$Q$195,10,FALSE)</f>
        <v>70.863601684570313</v>
      </c>
      <c r="F147" s="2">
        <f>VLOOKUP($B147,'Raw HWF'!$C$2:$Q$195,11,FALSE)</f>
        <v>1.1072437763214111</v>
      </c>
      <c r="G147" s="2">
        <f>VLOOKUP($B147,'Raw HWF'!$C$2:$Q$195,12,FALSE)</f>
        <v>6.1474447250366211</v>
      </c>
      <c r="H147" s="2">
        <f>VLOOKUP($B147,'Raw HWF'!$C$2:$Q$195,13,FALSE)</f>
        <v>8.8938999176025391</v>
      </c>
      <c r="I147" s="5">
        <f>VLOOKUP($B147,'Raw HWF'!$C$2:$Q$195,14,FALSE)</f>
        <v>1115.183349609375</v>
      </c>
      <c r="J147" s="5">
        <f>VLOOKUP(B147,'Pop2020'!$D$2:$E$202,2,FALSE)</f>
        <v>2881052.9999999995</v>
      </c>
      <c r="K147" s="6">
        <f t="shared" si="6"/>
        <v>3.4602258996718177E-2</v>
      </c>
      <c r="L147" s="2">
        <f t="shared" si="7"/>
        <v>111.86405968666077</v>
      </c>
      <c r="M147" s="3">
        <f t="shared" si="8"/>
        <v>96.822715044021606</v>
      </c>
      <c r="N147">
        <f>VLOOKUP(B147,UHC!$G$2:$X$195,18,FALSE)</f>
        <v>74.400000000000006</v>
      </c>
      <c r="O147">
        <f>VLOOKUP(B147,'Covid-19 impact - vaccination'!$B$2:$D$195,2,FALSE)</f>
        <v>0</v>
      </c>
      <c r="P147">
        <f>VLOOKUP(B147,'Covid-19 impact - vaccination'!$B$2:$D$195,3,FALSE)</f>
        <v>0</v>
      </c>
    </row>
    <row r="148" spans="1:16" x14ac:dyDescent="0.35">
      <c r="A148" t="str">
        <f>VLOOKUP(B148,'Reference table'!J$2:K$195,2,FALSE)</f>
        <v>Romania</v>
      </c>
      <c r="B148" t="s">
        <v>481</v>
      </c>
      <c r="C148" t="str">
        <f>VLOOKUP(B148,'Reference table'!C$1:E$195,3,FALSE)</f>
        <v>LMI</v>
      </c>
      <c r="D148" s="2">
        <f>VLOOKUP($B148,'Raw HWF'!$C$2:$Q$195,9,FALSE)</f>
        <v>29.737564086914063</v>
      </c>
      <c r="E148" s="2">
        <f>VLOOKUP($B148,'Raw HWF'!$C$2:$Q$195,10,FALSE)</f>
        <v>71.9903564453125</v>
      </c>
      <c r="F148" s="2">
        <f>VLOOKUP($B148,'Raw HWF'!$C$2:$Q$195,11,FALSE)</f>
        <v>1.7284263372421265</v>
      </c>
      <c r="G148" s="2">
        <f>VLOOKUP($B148,'Raw HWF'!$C$2:$Q$195,12,FALSE)</f>
        <v>7.9456853866577148</v>
      </c>
      <c r="H148" s="2">
        <f>VLOOKUP($B148,'Raw HWF'!$C$2:$Q$195,13,FALSE)</f>
        <v>9.0522842407226563</v>
      </c>
      <c r="I148" s="5">
        <f>VLOOKUP($B148,'Raw HWF'!$C$2:$Q$195,14,FALSE)</f>
        <v>4787.60791015625</v>
      </c>
      <c r="J148" s="5">
        <f>VLOOKUP(B148,'Pop2020'!$D$2:$E$202,2,FALSE)</f>
        <v>19237691</v>
      </c>
      <c r="K148" s="6">
        <f t="shared" si="6"/>
        <v>2.0660615884561803E-2</v>
      </c>
      <c r="L148" s="2">
        <f t="shared" si="7"/>
        <v>120.45431649684906</v>
      </c>
      <c r="M148" s="3">
        <f t="shared" si="8"/>
        <v>103.45634686946869</v>
      </c>
      <c r="N148">
        <f>VLOOKUP(B148,UHC!$G$2:$X$195,18,FALSE)</f>
        <v>71.459999999999994</v>
      </c>
      <c r="O148">
        <f>VLOOKUP(B148,'Covid-19 impact - vaccination'!$B$2:$D$195,2,FALSE)</f>
        <v>0.30733430535244799</v>
      </c>
      <c r="P148">
        <f>VLOOKUP(B148,'Covid-19 impact - vaccination'!$B$2:$D$195,3,FALSE)</f>
        <v>1.4378077006364162E-2</v>
      </c>
    </row>
    <row r="149" spans="1:16" x14ac:dyDescent="0.35">
      <c r="A149" t="str">
        <f>VLOOKUP(B149,'Reference table'!J$2:K$195,2,FALSE)</f>
        <v>Russian Federation</v>
      </c>
      <c r="B149" t="s">
        <v>483</v>
      </c>
      <c r="C149" t="str">
        <f>VLOOKUP(B149,'Reference table'!C$1:E$195,3,FALSE)</f>
        <v>UMI</v>
      </c>
      <c r="D149" s="2">
        <f>VLOOKUP($B149,'Raw HWF'!$C$2:$Q$195,9,FALSE)</f>
        <v>38.170204162597656</v>
      </c>
      <c r="E149" s="2">
        <f>VLOOKUP($B149,'Raw HWF'!$C$2:$Q$195,10,FALSE)</f>
        <v>58.963630676269531</v>
      </c>
      <c r="F149" s="2">
        <f>VLOOKUP($B149,'Raw HWF'!$C$2:$Q$195,11,FALSE)</f>
        <v>3.3214383125305176</v>
      </c>
      <c r="G149" s="2">
        <f>VLOOKUP($B149,'Raw HWF'!$C$2:$Q$195,12,FALSE)</f>
        <v>3.4686300754547119</v>
      </c>
      <c r="H149" s="2">
        <f>VLOOKUP($B149,'Raw HWF'!$C$2:$Q$195,13,FALSE)</f>
        <v>0.39369863271713257</v>
      </c>
      <c r="I149" s="5">
        <f>VLOOKUP($B149,'Raw HWF'!$C$2:$Q$195,14,FALSE)</f>
        <v>35739.98046875</v>
      </c>
      <c r="J149" s="5">
        <f>VLOOKUP(B149,'Pop2020'!$D$2:$E$202,2,FALSE)</f>
        <v>145934462</v>
      </c>
      <c r="K149" s="6">
        <f t="shared" si="6"/>
        <v>2.347679754982122E-2</v>
      </c>
      <c r="L149" s="2">
        <f t="shared" si="7"/>
        <v>104.31760185956955</v>
      </c>
      <c r="M149" s="3">
        <f t="shared" si="8"/>
        <v>100.45527315139771</v>
      </c>
      <c r="N149">
        <f>VLOOKUP(B149,UHC!$G$2:$X$195,18,FALSE)</f>
        <v>75.37</v>
      </c>
      <c r="O149">
        <f>VLOOKUP(B149,'Covid-19 impact - vaccination'!$B$2:$D$195,2,FALSE)</f>
        <v>0.43575999801554754</v>
      </c>
      <c r="P149">
        <f>VLOOKUP(B149,'Covid-19 impact - vaccination'!$B$2:$D$195,3,FALSE)</f>
        <v>1.284936718608916E-2</v>
      </c>
    </row>
    <row r="150" spans="1:16" x14ac:dyDescent="0.35">
      <c r="A150" t="str">
        <f>VLOOKUP(B150,'Reference table'!J$2:K$195,2,FALSE)</f>
        <v>Rwanda</v>
      </c>
      <c r="B150" t="s">
        <v>407</v>
      </c>
      <c r="C150" t="str">
        <f>VLOOKUP(B150,'Reference table'!C$1:E$195,3,FALSE)</f>
        <v>LIN</v>
      </c>
      <c r="D150" s="2">
        <f>VLOOKUP($B150,'Raw HWF'!$C$2:$Q$195,9,FALSE)</f>
        <v>1.1841269731521606</v>
      </c>
      <c r="E150" s="2">
        <f>VLOOKUP($B150,'Raw HWF'!$C$2:$Q$195,10,FALSE)</f>
        <v>8.2611112594604492</v>
      </c>
      <c r="F150" s="2">
        <f>VLOOKUP($B150,'Raw HWF'!$C$2:$Q$195,11,FALSE)</f>
        <v>1.2388888597488403</v>
      </c>
      <c r="G150" s="2">
        <f>VLOOKUP($B150,'Raw HWF'!$C$2:$Q$195,12,FALSE)</f>
        <v>0.18536585569381714</v>
      </c>
      <c r="H150" s="2">
        <f>VLOOKUP($B150,'Raw HWF'!$C$2:$Q$195,13,FALSE)</f>
        <v>0.72032523155212402</v>
      </c>
      <c r="I150" s="5">
        <f>VLOOKUP($B150,'Raw HWF'!$C$2:$Q$195,14,FALSE)</f>
        <v>74429.765625</v>
      </c>
      <c r="J150" s="5">
        <f>VLOOKUP(B150,'Pop2020'!$D$2:$E$202,2,FALSE)</f>
        <v>12952217.999999996</v>
      </c>
      <c r="K150" s="6">
        <f t="shared" si="6"/>
        <v>4.9582210309404324</v>
      </c>
      <c r="L150" s="2">
        <f t="shared" si="7"/>
        <v>11.589818179607391</v>
      </c>
      <c r="M150" s="3">
        <f t="shared" si="8"/>
        <v>10.68412709236145</v>
      </c>
      <c r="N150">
        <f>VLOOKUP(B150,UHC!$G$2:$X$195,18,FALSE)</f>
        <v>53.74</v>
      </c>
      <c r="O150">
        <f>VLOOKUP(B150,'Covid-19 impact - vaccination'!$B$2:$D$195,2,FALSE)</f>
        <v>0.41963314700231263</v>
      </c>
      <c r="P150">
        <f>VLOOKUP(B150,'Covid-19 impact - vaccination'!$B$2:$D$195,3,FALSE)</f>
        <v>3.1275318133521697E-2</v>
      </c>
    </row>
    <row r="151" spans="1:16" x14ac:dyDescent="0.35">
      <c r="A151" t="str">
        <f>VLOOKUP(B151,'Reference table'!J$2:K$195,2,FALSE)</f>
        <v>Saudi Arabia</v>
      </c>
      <c r="B151" t="s">
        <v>159</v>
      </c>
      <c r="C151" t="str">
        <f>VLOOKUP(B151,'Reference table'!C$1:E$195,3,FALSE)</f>
        <v>HIN</v>
      </c>
      <c r="D151" s="2">
        <f>VLOOKUP($B151,'Raw HWF'!$C$2:$Q$195,9,FALSE)</f>
        <v>27.395402908325195</v>
      </c>
      <c r="E151" s="2">
        <f>VLOOKUP($B151,'Raw HWF'!$C$2:$Q$195,10,FALSE)</f>
        <v>56.824199676513672</v>
      </c>
      <c r="F151" s="2">
        <f>VLOOKUP($B151,'Raw HWF'!$C$2:$Q$195,11,FALSE)</f>
        <v>1.2962099313735962</v>
      </c>
      <c r="G151" s="2">
        <f>VLOOKUP($B151,'Raw HWF'!$C$2:$Q$195,12,FALSE)</f>
        <v>5.6385059356689453</v>
      </c>
      <c r="H151" s="2">
        <f>VLOOKUP($B151,'Raw HWF'!$C$2:$Q$195,13,FALSE)</f>
        <v>8.6424331665039063</v>
      </c>
      <c r="I151" s="5">
        <f>VLOOKUP($B151,'Raw HWF'!$C$2:$Q$195,14,FALSE)</f>
        <v>12530.4609375</v>
      </c>
      <c r="J151" s="5">
        <f>VLOOKUP(B151,'Pop2020'!$D$2:$E$202,2,FALSE)</f>
        <v>34813871</v>
      </c>
      <c r="K151" s="6">
        <f t="shared" si="6"/>
        <v>3.6066028868783719E-2</v>
      </c>
      <c r="L151" s="2">
        <f t="shared" si="7"/>
        <v>99.796751618385315</v>
      </c>
      <c r="M151" s="3">
        <f t="shared" si="8"/>
        <v>85.515812516212463</v>
      </c>
      <c r="N151">
        <f>VLOOKUP(B151,UHC!$G$2:$X$195,18,FALSE)</f>
        <v>72.87</v>
      </c>
      <c r="O151">
        <f>VLOOKUP(B151,'Covid-19 impact - vaccination'!$B$2:$D$195,2,FALSE)</f>
        <v>0.67271364336358919</v>
      </c>
      <c r="P151">
        <f>VLOOKUP(B151,'Covid-19 impact - vaccination'!$B$2:$D$195,3,FALSE)</f>
        <v>0</v>
      </c>
    </row>
    <row r="152" spans="1:16" x14ac:dyDescent="0.35">
      <c r="A152" t="str">
        <f>VLOOKUP(B152,'Reference table'!J$2:K$195,2,FALSE)</f>
        <v>Sudan</v>
      </c>
      <c r="B152" t="s">
        <v>449</v>
      </c>
      <c r="C152" t="str">
        <f>VLOOKUP(B152,'Reference table'!C$1:E$195,3,FALSE)</f>
        <v>LIN</v>
      </c>
      <c r="D152" s="2">
        <f>VLOOKUP($B152,'Raw HWF'!$C$2:$Q$195,9,FALSE)</f>
        <v>2.618382453918457</v>
      </c>
      <c r="E152" s="2">
        <f>VLOOKUP($B152,'Raw HWF'!$C$2:$Q$195,10,FALSE)</f>
        <v>11.455023765563965</v>
      </c>
      <c r="F152" s="2">
        <f>VLOOKUP($B152,'Raw HWF'!$C$2:$Q$195,11,FALSE)</f>
        <v>0</v>
      </c>
      <c r="G152" s="2">
        <f>VLOOKUP($B152,'Raw HWF'!$C$2:$Q$195,12,FALSE)</f>
        <v>2.0863752365112305</v>
      </c>
      <c r="H152" s="2">
        <f>VLOOKUP($B152,'Raw HWF'!$C$2:$Q$195,13,FALSE)</f>
        <v>0.25171568989753723</v>
      </c>
      <c r="I152" s="5">
        <f>VLOOKUP($B152,'Raw HWF'!$C$2:$Q$195,14,FALSE)</f>
        <v>196352.59375</v>
      </c>
      <c r="J152" s="5">
        <f>VLOOKUP(B152,'Pop2020'!$D$2:$E$202,2,FALSE)</f>
        <v>43849259.999999985</v>
      </c>
      <c r="K152" s="6">
        <f t="shared" si="6"/>
        <v>2.728513911181357</v>
      </c>
      <c r="L152" s="2">
        <f t="shared" si="7"/>
        <v>16.41149714589119</v>
      </c>
      <c r="M152" s="3">
        <f t="shared" si="8"/>
        <v>14.073406219482422</v>
      </c>
      <c r="N152">
        <f>VLOOKUP(B152,UHC!$G$2:$X$195,18,FALSE)</f>
        <v>43.78</v>
      </c>
      <c r="O152">
        <f>VLOOKUP(B152,'Covid-19 impact - vaccination'!$B$2:$D$195,2,FALSE)</f>
        <v>3.03647541600474E-2</v>
      </c>
      <c r="P152">
        <f>VLOOKUP(B152,'Covid-19 impact - vaccination'!$B$2:$D$195,3,FALSE)</f>
        <v>0.17028206616442304</v>
      </c>
    </row>
    <row r="153" spans="1:16" x14ac:dyDescent="0.35">
      <c r="A153" t="str">
        <f>VLOOKUP(B153,'Reference table'!J$2:K$195,2,FALSE)</f>
        <v>Senegal</v>
      </c>
      <c r="B153" t="s">
        <v>413</v>
      </c>
      <c r="C153" t="str">
        <f>VLOOKUP(B153,'Reference table'!C$1:E$195,3,FALSE)</f>
        <v>LIN</v>
      </c>
      <c r="D153" s="2">
        <f>VLOOKUP($B153,'Raw HWF'!$C$2:$Q$195,9,FALSE)</f>
        <v>0.88036811351776123</v>
      </c>
      <c r="E153" s="2">
        <f>VLOOKUP($B153,'Raw HWF'!$C$2:$Q$195,10,FALSE)</f>
        <v>3.7736196517944336</v>
      </c>
      <c r="F153" s="2">
        <f>VLOOKUP($B153,'Raw HWF'!$C$2:$Q$195,11,FALSE)</f>
        <v>1.6294478178024292</v>
      </c>
      <c r="G153" s="2">
        <f>VLOOKUP($B153,'Raw HWF'!$C$2:$Q$195,12,FALSE)</f>
        <v>0.134355828166008</v>
      </c>
      <c r="H153" s="2">
        <f>VLOOKUP($B153,'Raw HWF'!$C$2:$Q$195,13,FALSE)</f>
        <v>0.11533742398023605</v>
      </c>
      <c r="I153" s="5">
        <f>VLOOKUP($B153,'Raw HWF'!$C$2:$Q$195,14,FALSE)</f>
        <v>107820.3984375</v>
      </c>
      <c r="J153" s="5">
        <f>VLOOKUP(B153,'Pop2020'!$D$2:$E$202,2,FALSE)</f>
        <v>16743927</v>
      </c>
      <c r="K153" s="6">
        <f t="shared" si="6"/>
        <v>9.8564923184906306</v>
      </c>
      <c r="L153" s="2">
        <f t="shared" si="7"/>
        <v>6.5331288352608681</v>
      </c>
      <c r="M153" s="3">
        <f t="shared" si="8"/>
        <v>6.283435583114624</v>
      </c>
      <c r="N153">
        <f>VLOOKUP(B153,UHC!$G$2:$X$195,18,FALSE)</f>
        <v>48.99</v>
      </c>
      <c r="O153">
        <f>VLOOKUP(B153,'Covid-19 impact - vaccination'!$B$2:$D$195,2,FALSE)</f>
        <v>5.7542594398554171E-2</v>
      </c>
      <c r="P153">
        <f>VLOOKUP(B153,'Covid-19 impact - vaccination'!$B$2:$D$195,3,FALSE)</f>
        <v>0.78242880019359007</v>
      </c>
    </row>
    <row r="154" spans="1:16" x14ac:dyDescent="0.35">
      <c r="A154" t="str">
        <f>VLOOKUP(B154,'Reference table'!J$2:K$195,2,FALSE)</f>
        <v>Singapore</v>
      </c>
      <c r="B154" t="s">
        <v>425</v>
      </c>
      <c r="C154" t="str">
        <f>VLOOKUP(B154,'Reference table'!C$1:E$195,3,FALSE)</f>
        <v>HIN</v>
      </c>
      <c r="D154" s="2">
        <f>VLOOKUP($B154,'Raw HWF'!$C$2:$Q$195,9,FALSE)</f>
        <v>24.600543975830078</v>
      </c>
      <c r="E154" s="2">
        <f>VLOOKUP($B154,'Raw HWF'!$C$2:$Q$195,10,FALSE)</f>
        <v>62.431217193603516</v>
      </c>
      <c r="F154" s="2">
        <f>VLOOKUP($B154,'Raw HWF'!$C$2:$Q$195,11,FALSE)</f>
        <v>0</v>
      </c>
      <c r="G154" s="2">
        <f>VLOOKUP($B154,'Raw HWF'!$C$2:$Q$195,12,FALSE)</f>
        <v>4.1042098999023438</v>
      </c>
      <c r="H154" s="2">
        <f>VLOOKUP($B154,'Raw HWF'!$C$2:$Q$195,13,FALSE)</f>
        <v>5.0852327346801758</v>
      </c>
      <c r="I154" s="5">
        <f>VLOOKUP($B154,'Raw HWF'!$C$2:$Q$195,14,FALSE)</f>
        <v>0</v>
      </c>
      <c r="J154" s="5">
        <f>VLOOKUP(B154,'Pop2020'!$D$2:$E$202,2,FALSE)</f>
        <v>5850342.0000000009</v>
      </c>
      <c r="K154" s="6">
        <f t="shared" si="6"/>
        <v>0</v>
      </c>
      <c r="L154" s="2">
        <f t="shared" si="7"/>
        <v>96.221203804016113</v>
      </c>
      <c r="M154" s="3">
        <f t="shared" si="8"/>
        <v>87.031761169433594</v>
      </c>
      <c r="N154">
        <f>VLOOKUP(B154,UHC!$G$2:$X$195,18,FALSE)</f>
        <v>85.87</v>
      </c>
      <c r="O154">
        <f>VLOOKUP(B154,'Covid-19 impact - vaccination'!$B$2:$D$195,2,FALSE)</f>
        <v>0.80719486142861396</v>
      </c>
      <c r="P154">
        <f>VLOOKUP(B154,'Covid-19 impact - vaccination'!$B$2:$D$195,3,FALSE)</f>
        <v>0</v>
      </c>
    </row>
    <row r="155" spans="1:16" x14ac:dyDescent="0.35">
      <c r="A155" t="str">
        <f>VLOOKUP(B155,'Reference table'!J$2:K$195,2,FALSE)</f>
        <v>Solomon Islands</v>
      </c>
      <c r="B155" t="s">
        <v>497</v>
      </c>
      <c r="C155" t="str">
        <f>VLOOKUP(B155,'Reference table'!C$1:E$195,3,FALSE)</f>
        <v>LIN</v>
      </c>
      <c r="D155" s="2">
        <f>VLOOKUP($B155,'Raw HWF'!$C$2:$Q$195,9,FALSE)</f>
        <v>1.9372398853302002</v>
      </c>
      <c r="E155" s="2">
        <f>VLOOKUP($B155,'Raw HWF'!$C$2:$Q$195,10,FALSE)</f>
        <v>21.643363952636719</v>
      </c>
      <c r="F155" s="2">
        <f>VLOOKUP($B155,'Raw HWF'!$C$2:$Q$195,11,FALSE)</f>
        <v>0</v>
      </c>
      <c r="G155" s="2">
        <f>VLOOKUP($B155,'Raw HWF'!$C$2:$Q$195,12,FALSE)</f>
        <v>0.74646806716918945</v>
      </c>
      <c r="H155" s="2">
        <f>VLOOKUP($B155,'Raw HWF'!$C$2:$Q$195,13,FALSE)</f>
        <v>1.1946312189102173</v>
      </c>
      <c r="I155" s="5">
        <f>VLOOKUP($B155,'Raw HWF'!$C$2:$Q$195,14,FALSE)</f>
        <v>1909.5098876953125</v>
      </c>
      <c r="J155" s="5">
        <f>VLOOKUP(B155,'Pop2020'!$D$2:$E$202,2,FALSE)</f>
        <v>686884.00000000012</v>
      </c>
      <c r="K155" s="6">
        <f t="shared" si="6"/>
        <v>1.0892532359616858</v>
      </c>
      <c r="L155" s="2">
        <f t="shared" si="7"/>
        <v>25.521703124046326</v>
      </c>
      <c r="M155" s="3">
        <f t="shared" si="8"/>
        <v>23.580603837966919</v>
      </c>
      <c r="N155">
        <f>VLOOKUP(B155,UHC!$G$2:$X$195,18,FALSE)</f>
        <v>50.29</v>
      </c>
      <c r="O155">
        <f>VLOOKUP(B155,'Covid-19 impact - vaccination'!$B$2:$D$195,2,FALSE)</f>
        <v>9.6036594242987175E-2</v>
      </c>
      <c r="P155">
        <f>VLOOKUP(B155,'Covid-19 impact - vaccination'!$B$2:$D$195,3,FALSE)</f>
        <v>3.895940753687082E-2</v>
      </c>
    </row>
    <row r="156" spans="1:16" x14ac:dyDescent="0.35">
      <c r="A156" t="str">
        <f>VLOOKUP(B156,'Reference table'!J$2:K$195,2,FALSE)</f>
        <v>Sierra Leone</v>
      </c>
      <c r="B156" t="s">
        <v>422</v>
      </c>
      <c r="C156" t="str">
        <f>VLOOKUP(B156,'Reference table'!C$1:E$195,3,FALSE)</f>
        <v>LIN</v>
      </c>
      <c r="D156" s="2">
        <f>VLOOKUP($B156,'Raw HWF'!$C$2:$Q$195,9,FALSE)</f>
        <v>0.73985487222671509</v>
      </c>
      <c r="E156" s="2">
        <f>VLOOKUP($B156,'Raw HWF'!$C$2:$Q$195,10,FALSE)</f>
        <v>7.5253434181213379</v>
      </c>
      <c r="F156" s="2">
        <f>VLOOKUP($B156,'Raw HWF'!$C$2:$Q$195,11,FALSE)</f>
        <v>0.94967406988143921</v>
      </c>
      <c r="G156" s="2">
        <f>VLOOKUP($B156,'Raw HWF'!$C$2:$Q$195,12,FALSE)</f>
        <v>1.9607461988925934E-2</v>
      </c>
      <c r="H156" s="2">
        <f>VLOOKUP($B156,'Raw HWF'!$C$2:$Q$195,13,FALSE)</f>
        <v>0.20391759276390076</v>
      </c>
      <c r="I156" s="5">
        <f>VLOOKUP($B156,'Raw HWF'!$C$2:$Q$195,14,FALSE)</f>
        <v>48151.91015625</v>
      </c>
      <c r="J156" s="5">
        <f>VLOOKUP(B156,'Pop2020'!$D$2:$E$202,2,FALSE)</f>
        <v>7976983.0000000009</v>
      </c>
      <c r="K156" s="6">
        <f t="shared" si="6"/>
        <v>6.3955307826441405</v>
      </c>
      <c r="L156" s="2">
        <f t="shared" si="7"/>
        <v>9.4383974149823189</v>
      </c>
      <c r="M156" s="3">
        <f t="shared" si="8"/>
        <v>9.2148723602294922</v>
      </c>
      <c r="N156">
        <f>VLOOKUP(B156,UHC!$G$2:$X$195,18,FALSE)</f>
        <v>39.11</v>
      </c>
      <c r="O156">
        <f>VLOOKUP(B156,'Covid-19 impact - vaccination'!$B$2:$D$195,2,FALSE)</f>
        <v>4.8292944838919674E-2</v>
      </c>
      <c r="P156">
        <f>VLOOKUP(B156,'Covid-19 impact - vaccination'!$B$2:$D$195,3,FALSE)</f>
        <v>0.36030541469496452</v>
      </c>
    </row>
    <row r="157" spans="1:16" x14ac:dyDescent="0.35">
      <c r="A157" t="str">
        <f>VLOOKUP(B157,'Reference table'!J$2:K$195,2,FALSE)</f>
        <v>El Salvador</v>
      </c>
      <c r="B157" t="s">
        <v>277</v>
      </c>
      <c r="C157" t="str">
        <f>VLOOKUP(B157,'Reference table'!C$1:E$195,3,FALSE)</f>
        <v>LMI</v>
      </c>
      <c r="D157" s="2">
        <f>VLOOKUP($B157,'Raw HWF'!$C$2:$Q$195,9,FALSE)</f>
        <v>28.699184417724609</v>
      </c>
      <c r="E157" s="2">
        <f>VLOOKUP($B157,'Raw HWF'!$C$2:$Q$195,10,FALSE)</f>
        <v>18.343679428100586</v>
      </c>
      <c r="F157" s="2">
        <f>VLOOKUP($B157,'Raw HWF'!$C$2:$Q$195,11,FALSE)</f>
        <v>4.2987570762634277</v>
      </c>
      <c r="G157" s="2">
        <f>VLOOKUP($B157,'Raw HWF'!$C$2:$Q$195,12,FALSE)</f>
        <v>8.6999320983886719</v>
      </c>
      <c r="H157" s="2">
        <f>VLOOKUP($B157,'Raw HWF'!$C$2:$Q$195,13,FALSE)</f>
        <v>6.5449576377868652</v>
      </c>
      <c r="I157" s="5">
        <f>VLOOKUP($B157,'Raw HWF'!$C$2:$Q$195,14,FALSE)</f>
        <v>10356.1025390625</v>
      </c>
      <c r="J157" s="5">
        <f>VLOOKUP(B157,'Pop2020'!$D$2:$E$202,2,FALSE)</f>
        <v>6486204.9999999991</v>
      </c>
      <c r="K157" s="6">
        <f t="shared" si="6"/>
        <v>0.2397835657150181</v>
      </c>
      <c r="L157" s="2">
        <f t="shared" si="7"/>
        <v>66.58651065826416</v>
      </c>
      <c r="M157" s="3">
        <f t="shared" si="8"/>
        <v>51.341620922088623</v>
      </c>
      <c r="N157">
        <f>VLOOKUP(B157,UHC!$G$2:$X$195,18,FALSE)</f>
        <v>75.510000000000005</v>
      </c>
      <c r="O157">
        <f>VLOOKUP(B157,'Covid-19 impact - vaccination'!$B$2:$D$195,2,FALSE)</f>
        <v>0.640535875754775</v>
      </c>
      <c r="P157">
        <f>VLOOKUP(B157,'Covid-19 impact - vaccination'!$B$2:$D$195,3,FALSE)</f>
        <v>0</v>
      </c>
    </row>
    <row r="158" spans="1:16" x14ac:dyDescent="0.35">
      <c r="A158" t="str">
        <f>VLOOKUP(B158,'Reference table'!J$2:K$195,2,FALSE)</f>
        <v>San Marino</v>
      </c>
      <c r="B158" t="s">
        <v>410</v>
      </c>
      <c r="C158" t="str">
        <f>VLOOKUP(B158,'Reference table'!C$1:E$195,3,FALSE)</f>
        <v>HIN</v>
      </c>
      <c r="D158" s="2">
        <f>VLOOKUP($B158,'Raw HWF'!$C$2:$Q$195,9,FALSE)</f>
        <v>61.018184661865234</v>
      </c>
      <c r="E158" s="2">
        <f>VLOOKUP($B158,'Raw HWF'!$C$2:$Q$195,10,FALSE)</f>
        <v>76.803985595703125</v>
      </c>
      <c r="F158" s="2">
        <f>VLOOKUP($B158,'Raw HWF'!$C$2:$Q$195,11,FALSE)</f>
        <v>5.1607418060302734</v>
      </c>
      <c r="G158" s="2">
        <f>VLOOKUP($B158,'Raw HWF'!$C$2:$Q$195,12,FALSE)</f>
        <v>17.759885787963867</v>
      </c>
      <c r="H158" s="2">
        <f>VLOOKUP($B158,'Raw HWF'!$C$2:$Q$195,13,FALSE)</f>
        <v>6.6786069869995117</v>
      </c>
      <c r="I158" s="5">
        <f>VLOOKUP($B158,'Raw HWF'!$C$2:$Q$195,14,FALSE)</f>
        <v>0</v>
      </c>
      <c r="J158" s="5">
        <v>33938</v>
      </c>
      <c r="K158" s="6">
        <f t="shared" si="6"/>
        <v>0</v>
      </c>
      <c r="L158" s="2">
        <f t="shared" si="7"/>
        <v>167.42140483856201</v>
      </c>
      <c r="M158" s="3">
        <f t="shared" si="8"/>
        <v>142.98291206359863</v>
      </c>
      <c r="N158">
        <f>VLOOKUP(B158,UHC!$G$2:$X$195,18,FALSE)</f>
        <v>81.59</v>
      </c>
      <c r="O158">
        <f>VLOOKUP(B158,'Covid-19 impact - vaccination'!$B$2:$D$195,2,FALSE)</f>
        <v>0.63895927868466029</v>
      </c>
      <c r="P158">
        <f>VLOOKUP(B158,'Covid-19 impact - vaccination'!$B$2:$D$195,3,FALSE)</f>
        <v>0</v>
      </c>
    </row>
    <row r="159" spans="1:16" x14ac:dyDescent="0.35">
      <c r="A159" t="str">
        <f>VLOOKUP(B159,'Reference table'!J$2:K$195,2,FALSE)</f>
        <v>Somalia</v>
      </c>
      <c r="B159" t="s">
        <v>77</v>
      </c>
      <c r="C159" t="str">
        <f>VLOOKUP(B159,'Reference table'!C$1:E$195,3,FALSE)</f>
        <v>LIN</v>
      </c>
      <c r="D159" s="2">
        <f>VLOOKUP($B159,'Raw HWF'!$C$2:$Q$195,9,FALSE)</f>
        <v>0.23059701919555664</v>
      </c>
      <c r="E159" s="2">
        <f>VLOOKUP($B159,'Raw HWF'!$C$2:$Q$195,10,FALSE)</f>
        <v>0.61567163467407227</v>
      </c>
      <c r="F159" s="2">
        <f>VLOOKUP($B159,'Raw HWF'!$C$2:$Q$195,11,FALSE)</f>
        <v>0.50522387027740479</v>
      </c>
      <c r="G159" s="2">
        <f>VLOOKUP($B159,'Raw HWF'!$C$2:$Q$195,12,FALSE)</f>
        <v>0.55726933479309082</v>
      </c>
      <c r="H159" s="2">
        <f>VLOOKUP($B159,'Raw HWF'!$C$2:$Q$195,13,FALSE)</f>
        <v>1.035707950592041</v>
      </c>
      <c r="I159" s="5">
        <f>VLOOKUP($B159,'Raw HWF'!$C$2:$Q$195,14,FALSE)</f>
        <v>109637.390625</v>
      </c>
      <c r="J159" s="5">
        <f>VLOOKUP(B159,'Pop2020'!$D$2:$E$202,2,FALSE)</f>
        <v>15893222.000000002</v>
      </c>
      <c r="K159" s="6">
        <f t="shared" si="6"/>
        <v>23.428238433356039</v>
      </c>
      <c r="L159" s="2">
        <f t="shared" si="7"/>
        <v>2.9444698095321655</v>
      </c>
      <c r="M159" s="3">
        <f t="shared" si="8"/>
        <v>1.3514925241470337</v>
      </c>
      <c r="N159">
        <f>VLOOKUP(B159,UHC!$G$2:$X$195,18,FALSE)</f>
        <v>27.33</v>
      </c>
      <c r="O159">
        <f>VLOOKUP(B159,'Covid-19 impact - vaccination'!$B$2:$D$195,2,FALSE)</f>
        <v>5.0965751312100217E-2</v>
      </c>
      <c r="P159">
        <f>VLOOKUP(B159,'Covid-19 impact - vaccination'!$B$2:$D$195,3,FALSE)</f>
        <v>1.4856536872557362</v>
      </c>
    </row>
    <row r="160" spans="1:16" x14ac:dyDescent="0.35">
      <c r="A160" t="str">
        <f>VLOOKUP(B160,'Reference table'!J$2:K$195,2,FALSE)</f>
        <v>Serbia</v>
      </c>
      <c r="B160" t="s">
        <v>416</v>
      </c>
      <c r="C160" t="str">
        <f>VLOOKUP(B160,'Reference table'!C$1:E$195,3,FALSE)</f>
        <v>LMI</v>
      </c>
      <c r="D160" s="2">
        <f>VLOOKUP($B160,'Raw HWF'!$C$2:$Q$195,9,FALSE)</f>
        <v>31.130693435668945</v>
      </c>
      <c r="E160" s="2">
        <f>VLOOKUP($B160,'Raw HWF'!$C$2:$Q$195,10,FALSE)</f>
        <v>60.855236053466797</v>
      </c>
      <c r="F160" s="2">
        <f>VLOOKUP($B160,'Raw HWF'!$C$2:$Q$195,11,FALSE)</f>
        <v>0</v>
      </c>
      <c r="G160" s="2">
        <f>VLOOKUP($B160,'Raw HWF'!$C$2:$Q$195,12,FALSE)</f>
        <v>2.1415431499481201</v>
      </c>
      <c r="H160" s="2">
        <f>VLOOKUP($B160,'Raw HWF'!$C$2:$Q$195,13,FALSE)</f>
        <v>8.1071043014526367</v>
      </c>
      <c r="I160" s="5">
        <f>VLOOKUP($B160,'Raw HWF'!$C$2:$Q$195,14,FALSE)</f>
        <v>0</v>
      </c>
      <c r="J160" s="5">
        <f>VLOOKUP(B160,'Pop2020'!$D$2:$E$202,2,FALSE)</f>
        <v>8737371.0000000019</v>
      </c>
      <c r="K160" s="6">
        <f t="shared" si="6"/>
        <v>0</v>
      </c>
      <c r="L160" s="2">
        <f t="shared" si="7"/>
        <v>102.2345769405365</v>
      </c>
      <c r="M160" s="3">
        <f t="shared" si="8"/>
        <v>91.985929489135742</v>
      </c>
      <c r="N160">
        <f>VLOOKUP(B160,UHC!$G$2:$X$195,18,FALSE)</f>
        <v>70.709999999999994</v>
      </c>
      <c r="O160">
        <f>VLOOKUP(B160,'Covid-19 impact - vaccination'!$B$2:$D$195,2,FALSE)</f>
        <v>0.46476860209868903</v>
      </c>
      <c r="P160">
        <f>VLOOKUP(B160,'Covid-19 impact - vaccination'!$B$2:$D$195,3,FALSE)</f>
        <v>9.4677266223448086E-3</v>
      </c>
    </row>
    <row r="161" spans="1:16" x14ac:dyDescent="0.35">
      <c r="A161" t="str">
        <f>VLOOKUP(B161,'Reference table'!J$2:K$195,2,FALSE)</f>
        <v>South Sudan</v>
      </c>
      <c r="B161" t="s">
        <v>434</v>
      </c>
      <c r="C161" t="str">
        <f>VLOOKUP(B161,'Reference table'!C$1:E$195,3,FALSE)</f>
        <v>LIN</v>
      </c>
      <c r="D161" s="2">
        <f>VLOOKUP($B161,'Raw HWF'!$C$2:$Q$195,9,FALSE)</f>
        <v>0.37363636493682861</v>
      </c>
      <c r="E161" s="2">
        <f>VLOOKUP($B161,'Raw HWF'!$C$2:$Q$195,10,FALSE)</f>
        <v>3.387272834777832</v>
      </c>
      <c r="F161" s="2">
        <f>VLOOKUP($B161,'Raw HWF'!$C$2:$Q$195,11,FALSE)</f>
        <v>2.7208631038665771</v>
      </c>
      <c r="G161" s="2">
        <f>VLOOKUP($B161,'Raw HWF'!$C$2:$Q$195,12,FALSE)</f>
        <v>2.9090909287333488E-2</v>
      </c>
      <c r="H161" s="2">
        <f>VLOOKUP($B161,'Raw HWF'!$C$2:$Q$195,13,FALSE)</f>
        <v>0.32727271318435669</v>
      </c>
      <c r="I161" s="5">
        <f>VLOOKUP($B161,'Raw HWF'!$C$2:$Q$195,14,FALSE)</f>
        <v>71816.890625</v>
      </c>
      <c r="J161" s="5">
        <f>VLOOKUP(B161,'Pop2020'!$D$2:$E$202,2,FALSE)</f>
        <v>11193724.999999998</v>
      </c>
      <c r="K161" s="6">
        <f t="shared" si="6"/>
        <v>9.3824062911713195</v>
      </c>
      <c r="L161" s="2">
        <f t="shared" si="7"/>
        <v>6.838135926052928</v>
      </c>
      <c r="M161" s="3">
        <f t="shared" si="8"/>
        <v>6.4817723035812378</v>
      </c>
      <c r="N161">
        <f>VLOOKUP(B161,UHC!$G$2:$X$195,18,FALSE)</f>
        <v>31.83</v>
      </c>
      <c r="O161">
        <f>VLOOKUP(B161,'Covid-19 impact - vaccination'!$B$2:$D$195,2,FALSE)</f>
        <v>1.784392594958336E-2</v>
      </c>
      <c r="P161">
        <f>VLOOKUP(B161,'Covid-19 impact - vaccination'!$B$2:$D$195,3,FALSE)</f>
        <v>8.8764640224674382E-2</v>
      </c>
    </row>
    <row r="162" spans="1:16" x14ac:dyDescent="0.35">
      <c r="A162" t="str">
        <f>VLOOKUP(B162,'Reference table'!J$2:K$195,2,FALSE)</f>
        <v>Sao Tome and Principe</v>
      </c>
      <c r="B162" t="s">
        <v>48</v>
      </c>
      <c r="C162" t="str">
        <f>VLOOKUP(B162,'Reference table'!C$1:E$195,3,FALSE)</f>
        <v>LIN</v>
      </c>
      <c r="D162" s="2">
        <f>VLOOKUP($B162,'Raw HWF'!$C$2:$Q$195,9,FALSE)</f>
        <v>4.8826308250427246</v>
      </c>
      <c r="E162" s="2">
        <f>VLOOKUP($B162,'Raw HWF'!$C$2:$Q$195,10,FALSE)</f>
        <v>20.460548400878906</v>
      </c>
      <c r="F162" s="2">
        <f>VLOOKUP($B162,'Raw HWF'!$C$2:$Q$195,11,FALSE)</f>
        <v>1.0230274200439453</v>
      </c>
      <c r="G162" s="2">
        <f>VLOOKUP($B162,'Raw HWF'!$C$2:$Q$195,12,FALSE)</f>
        <v>0.27900746464729309</v>
      </c>
      <c r="H162" s="2">
        <f>VLOOKUP($B162,'Raw HWF'!$C$2:$Q$195,13,FALSE)</f>
        <v>1.7205461263656616</v>
      </c>
      <c r="I162" s="5">
        <f>VLOOKUP($B162,'Raw HWF'!$C$2:$Q$195,14,FALSE)</f>
        <v>723.31988525390625</v>
      </c>
      <c r="J162" s="5">
        <f>VLOOKUP(B162,'Pop2020'!$D$2:$E$202,2,FALSE)</f>
        <v>219159</v>
      </c>
      <c r="K162" s="6">
        <f t="shared" si="6"/>
        <v>1.1635275391742981</v>
      </c>
      <c r="L162" s="2">
        <f t="shared" si="7"/>
        <v>28.365760236978531</v>
      </c>
      <c r="M162" s="3">
        <f t="shared" si="8"/>
        <v>26.366206645965576</v>
      </c>
      <c r="N162">
        <f>VLOOKUP(B162,UHC!$G$2:$X$195,18,FALSE)</f>
        <v>60.25</v>
      </c>
      <c r="O162">
        <f>VLOOKUP(B162,'Covid-19 impact - vaccination'!$B$2:$D$195,2,FALSE)</f>
        <v>0.23369334592692975</v>
      </c>
      <c r="P162">
        <f>VLOOKUP(B162,'Covid-19 impact - vaccination'!$B$2:$D$195,3,FALSE)</f>
        <v>1.8026566566336881E-2</v>
      </c>
    </row>
    <row r="163" spans="1:16" x14ac:dyDescent="0.35">
      <c r="A163" t="str">
        <f>VLOOKUP(B163,'Reference table'!J$2:K$195,2,FALSE)</f>
        <v>Suriname</v>
      </c>
      <c r="B163" t="s">
        <v>437</v>
      </c>
      <c r="C163" t="str">
        <f>VLOOKUP(B163,'Reference table'!C$1:E$195,3,FALSE)</f>
        <v>LMI</v>
      </c>
      <c r="D163" s="2">
        <f>VLOOKUP($B163,'Raw HWF'!$C$2:$Q$195,9,FALSE)</f>
        <v>8.1946296691894531</v>
      </c>
      <c r="E163" s="2">
        <f>VLOOKUP($B163,'Raw HWF'!$C$2:$Q$195,10,FALSE)</f>
        <v>37.360477447509766</v>
      </c>
      <c r="F163" s="2">
        <f>VLOOKUP($B163,'Raw HWF'!$C$2:$Q$195,11,FALSE)</f>
        <v>1.9093062877655029</v>
      </c>
      <c r="G163" s="2">
        <f>VLOOKUP($B163,'Raw HWF'!$C$2:$Q$195,12,FALSE)</f>
        <v>0.56763160228729248</v>
      </c>
      <c r="H163" s="2">
        <f>VLOOKUP($B163,'Raw HWF'!$C$2:$Q$195,13,FALSE)</f>
        <v>0.3612200915813446</v>
      </c>
      <c r="I163" s="5">
        <f>VLOOKUP($B163,'Raw HWF'!$C$2:$Q$195,14,FALSE)</f>
        <v>689.8883056640625</v>
      </c>
      <c r="J163" s="5">
        <f>VLOOKUP(B163,'Pop2020'!$D$2:$E$202,2,FALSE)</f>
        <v>586632.00000000012</v>
      </c>
      <c r="K163" s="6">
        <f t="shared" si="6"/>
        <v>0.24301221771194706</v>
      </c>
      <c r="L163" s="2">
        <f t="shared" si="7"/>
        <v>48.393265098333359</v>
      </c>
      <c r="M163" s="3">
        <f t="shared" si="8"/>
        <v>47.464413404464722</v>
      </c>
      <c r="N163">
        <f>VLOOKUP(B163,UHC!$G$2:$X$195,18,FALSE)</f>
        <v>66.930000000000007</v>
      </c>
      <c r="O163">
        <f>VLOOKUP(B163,'Covid-19 impact - vaccination'!$B$2:$D$195,2,FALSE)</f>
        <v>0.39130494074649863</v>
      </c>
      <c r="P163">
        <f>VLOOKUP(B163,'Covid-19 impact - vaccination'!$B$2:$D$195,3,FALSE)</f>
        <v>8.4956538359314913E-3</v>
      </c>
    </row>
    <row r="164" spans="1:16" x14ac:dyDescent="0.35">
      <c r="A164" t="str">
        <f>VLOOKUP(B164,'Reference table'!J$2:K$195,2,FALSE)</f>
        <v>Slovakia</v>
      </c>
      <c r="B164" t="s">
        <v>492</v>
      </c>
      <c r="C164" t="str">
        <f>VLOOKUP(B164,'Reference table'!C$1:E$195,3,FALSE)</f>
        <v>UMI</v>
      </c>
      <c r="D164" s="2">
        <f>VLOOKUP($B164,'Raw HWF'!$C$2:$Q$195,9,FALSE)</f>
        <v>35.649547576904297</v>
      </c>
      <c r="E164" s="2">
        <f>VLOOKUP($B164,'Raw HWF'!$C$2:$Q$195,10,FALSE)</f>
        <v>57.372055053710938</v>
      </c>
      <c r="F164" s="2">
        <f>VLOOKUP($B164,'Raw HWF'!$C$2:$Q$195,11,FALSE)</f>
        <v>3.1738979816436768</v>
      </c>
      <c r="G164" s="2">
        <f>VLOOKUP($B164,'Raw HWF'!$C$2:$Q$195,12,FALSE)</f>
        <v>5.2263031005859375</v>
      </c>
      <c r="H164" s="2">
        <f>VLOOKUP($B164,'Raw HWF'!$C$2:$Q$195,13,FALSE)</f>
        <v>8.1748037338256836</v>
      </c>
      <c r="I164" s="5">
        <f>VLOOKUP($B164,'Raw HWF'!$C$2:$Q$195,14,FALSE)</f>
        <v>418.71636962890625</v>
      </c>
      <c r="J164" s="5">
        <f>VLOOKUP(B164,'Pop2020'!$D$2:$E$202,2,FALSE)</f>
        <v>5459642</v>
      </c>
      <c r="K164" s="6">
        <f t="shared" si="6"/>
        <v>6.9977538686155421E-3</v>
      </c>
      <c r="L164" s="2">
        <f t="shared" si="7"/>
        <v>109.59660744667053</v>
      </c>
      <c r="M164" s="3">
        <f t="shared" si="8"/>
        <v>96.195500612258911</v>
      </c>
      <c r="N164">
        <f>VLOOKUP(B164,UHC!$G$2:$X$195,18,FALSE)</f>
        <v>76.55</v>
      </c>
      <c r="O164">
        <f>VLOOKUP(B164,'Covid-19 impact - vaccination'!$B$2:$D$195,2,FALSE)</f>
        <v>0.45302996240476828</v>
      </c>
      <c r="P164">
        <f>VLOOKUP(B164,'Covid-19 impact - vaccination'!$B$2:$D$195,3,FALSE)</f>
        <v>5.9748126382060006E-3</v>
      </c>
    </row>
    <row r="165" spans="1:16" x14ac:dyDescent="0.35">
      <c r="A165" t="str">
        <f>VLOOKUP(B165,'Reference table'!J$2:K$195,2,FALSE)</f>
        <v>Slovenia</v>
      </c>
      <c r="B165" t="s">
        <v>428</v>
      </c>
      <c r="C165" t="str">
        <f>VLOOKUP(B165,'Reference table'!C$1:E$195,3,FALSE)</f>
        <v>HIN</v>
      </c>
      <c r="D165" s="2">
        <f>VLOOKUP($B165,'Raw HWF'!$C$2:$Q$195,9,FALSE)</f>
        <v>32.771205902099609</v>
      </c>
      <c r="E165" s="2">
        <f>VLOOKUP($B165,'Raw HWF'!$C$2:$Q$195,10,FALSE)</f>
        <v>103.25912475585938</v>
      </c>
      <c r="F165" s="2">
        <f>VLOOKUP($B165,'Raw HWF'!$C$2:$Q$195,11,FALSE)</f>
        <v>1.3133498430252075</v>
      </c>
      <c r="G165" s="2">
        <f>VLOOKUP($B165,'Raw HWF'!$C$2:$Q$195,12,FALSE)</f>
        <v>7.2835593223571777</v>
      </c>
      <c r="H165" s="2">
        <f>VLOOKUP($B165,'Raw HWF'!$C$2:$Q$195,13,FALSE)</f>
        <v>7.2931809425354004</v>
      </c>
      <c r="I165" s="5">
        <f>VLOOKUP($B165,'Raw HWF'!$C$2:$Q$195,14,FALSE)</f>
        <v>621.466552734375</v>
      </c>
      <c r="J165" s="5">
        <f>VLOOKUP(B165,'Pop2020'!$D$2:$E$202,2,FALSE)</f>
        <v>2078938</v>
      </c>
      <c r="K165" s="6">
        <f t="shared" si="6"/>
        <v>1.9677053560097166E-2</v>
      </c>
      <c r="L165" s="2">
        <f t="shared" si="7"/>
        <v>151.92042076587677</v>
      </c>
      <c r="M165" s="3">
        <f t="shared" si="8"/>
        <v>137.34368050098419</v>
      </c>
      <c r="N165">
        <f>VLOOKUP(B165,UHC!$G$2:$X$195,18,FALSE)</f>
        <v>79.7</v>
      </c>
      <c r="O165">
        <f>VLOOKUP(B165,'Covid-19 impact - vaccination'!$B$2:$D$195,2,FALSE)</f>
        <v>0.50551300873483496</v>
      </c>
      <c r="P165">
        <f>VLOOKUP(B165,'Covid-19 impact - vaccination'!$B$2:$D$195,3,FALSE)</f>
        <v>1.1256060035681659E-3</v>
      </c>
    </row>
    <row r="166" spans="1:16" x14ac:dyDescent="0.35">
      <c r="A166" t="str">
        <f>VLOOKUP(B166,'Reference table'!J$2:K$195,2,FALSE)</f>
        <v>Sweden</v>
      </c>
      <c r="B166" t="s">
        <v>165</v>
      </c>
      <c r="C166" t="str">
        <f>VLOOKUP(B166,'Reference table'!C$1:E$195,3,FALSE)</f>
        <v>HIN</v>
      </c>
      <c r="D166" s="2">
        <f>VLOOKUP($B166,'Raw HWF'!$C$2:$Q$195,9,FALSE)</f>
        <v>71.179000854492188</v>
      </c>
      <c r="E166" s="2">
        <f>VLOOKUP($B166,'Raw HWF'!$C$2:$Q$195,10,FALSE)</f>
        <v>110.75521087646484</v>
      </c>
      <c r="F166" s="2">
        <f>VLOOKUP($B166,'Raw HWF'!$C$2:$Q$195,11,FALSE)</f>
        <v>13.109999656677246</v>
      </c>
      <c r="G166" s="2">
        <f>VLOOKUP($B166,'Raw HWF'!$C$2:$Q$195,12,FALSE)</f>
        <v>8.2353639602661133</v>
      </c>
      <c r="H166" s="2">
        <f>VLOOKUP($B166,'Raw HWF'!$C$2:$Q$195,13,FALSE)</f>
        <v>16.232000350952148</v>
      </c>
      <c r="I166" s="5">
        <f>VLOOKUP($B166,'Raw HWF'!$C$2:$Q$195,14,FALSE)</f>
        <v>0</v>
      </c>
      <c r="J166" s="5">
        <f>VLOOKUP(B166,'Pop2020'!$D$2:$E$202,2,FALSE)</f>
        <v>10099265.000000002</v>
      </c>
      <c r="K166" s="6">
        <f t="shared" si="6"/>
        <v>0</v>
      </c>
      <c r="L166" s="2">
        <f t="shared" si="7"/>
        <v>219.51157569885254</v>
      </c>
      <c r="M166" s="3">
        <f t="shared" si="8"/>
        <v>195.04421138763428</v>
      </c>
      <c r="N166">
        <f>VLOOKUP(B166,UHC!$G$2:$X$195,18,FALSE)</f>
        <v>87.17</v>
      </c>
      <c r="O166">
        <f>VLOOKUP(B166,'Covid-19 impact - vaccination'!$B$2:$D$195,2,FALSE)</f>
        <v>0.69642111048377309</v>
      </c>
      <c r="P166">
        <f>VLOOKUP(B166,'Covid-19 impact - vaccination'!$B$2:$D$195,3,FALSE)</f>
        <v>0</v>
      </c>
    </row>
    <row r="167" spans="1:16" x14ac:dyDescent="0.35">
      <c r="A167" t="str">
        <f>VLOOKUP(B167,'Reference table'!J$2:K$195,2,FALSE)</f>
        <v>Eswatini</v>
      </c>
      <c r="B167" t="s">
        <v>147</v>
      </c>
      <c r="C167" t="str">
        <f>VLOOKUP(B167,'Reference table'!C$1:E$195,3,FALSE)</f>
        <v>LMI</v>
      </c>
      <c r="D167" s="2">
        <f>VLOOKUP($B167,'Raw HWF'!$C$2:$Q$195,9,FALSE)</f>
        <v>1.4222127199172974</v>
      </c>
      <c r="E167" s="2">
        <f>VLOOKUP($B167,'Raw HWF'!$C$2:$Q$195,10,FALSE)</f>
        <v>25.142997741699219</v>
      </c>
      <c r="F167" s="2">
        <f>VLOOKUP($B167,'Raw HWF'!$C$2:$Q$195,11,FALSE)</f>
        <v>0</v>
      </c>
      <c r="G167" s="2">
        <f>VLOOKUP($B167,'Raw HWF'!$C$2:$Q$195,12,FALSE)</f>
        <v>0.18962836265563965</v>
      </c>
      <c r="H167" s="2">
        <f>VLOOKUP($B167,'Raw HWF'!$C$2:$Q$195,13,FALSE)</f>
        <v>0.41373461484909058</v>
      </c>
      <c r="I167" s="5">
        <f>VLOOKUP($B167,'Raw HWF'!$C$2:$Q$195,14,FALSE)</f>
        <v>3389.83935546875</v>
      </c>
      <c r="J167" s="5">
        <f>VLOOKUP(B167,'Pop2020'!$D$2:$E$202,2,FALSE)</f>
        <v>1160163.9999999998</v>
      </c>
      <c r="K167" s="6">
        <f t="shared" si="6"/>
        <v>1.0754566198040776</v>
      </c>
      <c r="L167" s="2">
        <f t="shared" si="7"/>
        <v>27.168573439121246</v>
      </c>
      <c r="M167" s="3">
        <f t="shared" si="8"/>
        <v>26.565210461616516</v>
      </c>
      <c r="N167">
        <f>VLOOKUP(B167,UHC!$G$2:$X$195,18,FALSE)</f>
        <v>58.1</v>
      </c>
      <c r="O167">
        <f>VLOOKUP(B167,'Covid-19 impact - vaccination'!$B$2:$D$195,2,FALSE)</f>
        <v>0.27217186535696675</v>
      </c>
      <c r="P167">
        <f>VLOOKUP(B167,'Covid-19 impact - vaccination'!$B$2:$D$195,3,FALSE)</f>
        <v>1.7226914406094987E-2</v>
      </c>
    </row>
    <row r="168" spans="1:16" x14ac:dyDescent="0.35">
      <c r="A168" t="str">
        <f>VLOOKUP(B168,'Reference table'!J$2:K$195,2,FALSE)</f>
        <v>Seychelles</v>
      </c>
      <c r="B168" t="s">
        <v>419</v>
      </c>
      <c r="C168" t="str">
        <f>VLOOKUP(B168,'Reference table'!C$1:E$195,3,FALSE)</f>
        <v>UMI</v>
      </c>
      <c r="D168" s="2">
        <f>VLOOKUP($B168,'Raw HWF'!$C$2:$Q$195,9,FALSE)</f>
        <v>22.508466720581055</v>
      </c>
      <c r="E168" s="2">
        <f>VLOOKUP($B168,'Raw HWF'!$C$2:$Q$195,10,FALSE)</f>
        <v>229.46835327148438</v>
      </c>
      <c r="F168" s="2">
        <f>VLOOKUP($B168,'Raw HWF'!$C$2:$Q$195,11,FALSE)</f>
        <v>0</v>
      </c>
      <c r="G168" s="2">
        <f>VLOOKUP($B168,'Raw HWF'!$C$2:$Q$195,12,FALSE)</f>
        <v>4.2970709800720215</v>
      </c>
      <c r="H168" s="2">
        <f>VLOOKUP($B168,'Raw HWF'!$C$2:$Q$195,13,FALSE)</f>
        <v>12.77112865447998</v>
      </c>
      <c r="I168" s="5">
        <f>VLOOKUP($B168,'Raw HWF'!$C$2:$Q$195,14,FALSE)</f>
        <v>0</v>
      </c>
      <c r="J168" s="5">
        <f>VLOOKUP(B168,'Pop2020'!$D$2:$E$202,2,FALSE)</f>
        <v>98347</v>
      </c>
      <c r="K168" s="6">
        <f t="shared" si="6"/>
        <v>0</v>
      </c>
      <c r="L168" s="2">
        <f t="shared" si="7"/>
        <v>269.04501962661743</v>
      </c>
      <c r="M168" s="3">
        <f t="shared" si="8"/>
        <v>251.97681999206543</v>
      </c>
      <c r="N168">
        <f>VLOOKUP(B168,UHC!$G$2:$X$195,18,FALSE)</f>
        <v>69.7</v>
      </c>
      <c r="O168">
        <f>VLOOKUP(B168,'Covid-19 impact - vaccination'!$B$2:$D$195,2,FALSE)</f>
        <v>0.79578431472236066</v>
      </c>
      <c r="P168">
        <f>VLOOKUP(B168,'Covid-19 impact - vaccination'!$B$2:$D$195,3,FALSE)</f>
        <v>0</v>
      </c>
    </row>
    <row r="169" spans="1:16" x14ac:dyDescent="0.35">
      <c r="A169" t="str">
        <f>VLOOKUP(B169,'Reference table'!J$2:K$195,2,FALSE)</f>
        <v>Syrian Arab Republic</v>
      </c>
      <c r="B169" t="s">
        <v>520</v>
      </c>
      <c r="C169" t="str">
        <f>VLOOKUP(B169,'Reference table'!C$1:E$195,3,FALSE)</f>
        <v>LMI</v>
      </c>
      <c r="D169" s="2">
        <f>VLOOKUP($B169,'Raw HWF'!$C$2:$Q$195,9,FALSE)</f>
        <v>12.84857177734375</v>
      </c>
      <c r="E169" s="2">
        <f>VLOOKUP($B169,'Raw HWF'!$C$2:$Q$195,10,FALSE)</f>
        <v>15.37600040435791</v>
      </c>
      <c r="F169" s="2">
        <f>VLOOKUP($B169,'Raw HWF'!$C$2:$Q$195,11,FALSE)</f>
        <v>0</v>
      </c>
      <c r="G169" s="2">
        <f>VLOOKUP($B169,'Raw HWF'!$C$2:$Q$195,12,FALSE)</f>
        <v>7.1611428260803223</v>
      </c>
      <c r="H169" s="2">
        <f>VLOOKUP($B169,'Raw HWF'!$C$2:$Q$195,13,FALSE)</f>
        <v>10.636571884155273</v>
      </c>
      <c r="I169" s="5">
        <f>VLOOKUP($B169,'Raw HWF'!$C$2:$Q$195,14,FALSE)</f>
        <v>38845.8515625</v>
      </c>
      <c r="J169" s="5">
        <f>VLOOKUP(B169,'Pop2020'!$D$2:$E$202,2,FALSE)</f>
        <v>17500657.999999996</v>
      </c>
      <c r="K169" s="6">
        <f t="shared" si="6"/>
        <v>0.48230534299432015</v>
      </c>
      <c r="L169" s="2">
        <f t="shared" si="7"/>
        <v>46.022286891937256</v>
      </c>
      <c r="M169" s="3">
        <f t="shared" si="8"/>
        <v>28.22457218170166</v>
      </c>
      <c r="N169">
        <f>VLOOKUP(B169,UHC!$G$2:$X$195,18,FALSE)</f>
        <v>55.61</v>
      </c>
      <c r="O169">
        <f>VLOOKUP(B169,'Covid-19 impact - vaccination'!$B$2:$D$195,2,FALSE)</f>
        <v>5.0482558998638793E-2</v>
      </c>
      <c r="P169">
        <f>VLOOKUP(B169,'Covid-19 impact - vaccination'!$B$2:$D$195,3,FALSE)</f>
        <v>5.3786556630908984E-2</v>
      </c>
    </row>
    <row r="170" spans="1:16" x14ac:dyDescent="0.35">
      <c r="A170" t="str">
        <f>VLOOKUP(B170,'Reference table'!J$2:K$195,2,FALSE)</f>
        <v>Chad</v>
      </c>
      <c r="B170" t="s">
        <v>249</v>
      </c>
      <c r="C170" t="str">
        <f>VLOOKUP(B170,'Reference table'!C$1:E$195,3,FALSE)</f>
        <v>LIN</v>
      </c>
      <c r="D170" s="2">
        <f>VLOOKUP($B170,'Raw HWF'!$C$2:$Q$195,9,FALSE)</f>
        <v>0.61158537864685059</v>
      </c>
      <c r="E170" s="2">
        <f>VLOOKUP($B170,'Raw HWF'!$C$2:$Q$195,10,FALSE)</f>
        <v>1.5993902683258057</v>
      </c>
      <c r="F170" s="2">
        <f>VLOOKUP($B170,'Raw HWF'!$C$2:$Q$195,11,FALSE)</f>
        <v>0.43292683362960815</v>
      </c>
      <c r="G170" s="2">
        <f>VLOOKUP($B170,'Raw HWF'!$C$2:$Q$195,12,FALSE)</f>
        <v>1.9354838877916336E-3</v>
      </c>
      <c r="H170" s="2">
        <f>VLOOKUP($B170,'Raw HWF'!$C$2:$Q$195,13,FALSE)</f>
        <v>3.2926827669143677E-2</v>
      </c>
      <c r="I170" s="5">
        <f>VLOOKUP($B170,'Raw HWF'!$C$2:$Q$195,14,FALSE)</f>
        <v>115020.734375</v>
      </c>
      <c r="J170" s="5">
        <f>VLOOKUP(B170,'Pop2020'!$D$2:$E$202,2,FALSE)</f>
        <v>16425864.000000002</v>
      </c>
      <c r="K170" s="6">
        <f t="shared" si="6"/>
        <v>26.140466348741199</v>
      </c>
      <c r="L170" s="2">
        <f t="shared" si="7"/>
        <v>2.6787647921591997</v>
      </c>
      <c r="M170" s="3">
        <f t="shared" si="8"/>
        <v>2.6439024806022644</v>
      </c>
      <c r="N170">
        <f>VLOOKUP(B170,UHC!$G$2:$X$195,18,FALSE)</f>
        <v>28.18</v>
      </c>
      <c r="O170">
        <f>VLOOKUP(B170,'Covid-19 impact - vaccination'!$B$2:$D$195,2,FALSE)</f>
        <v>6.6964514012778868E-3</v>
      </c>
      <c r="P170">
        <f>VLOOKUP(B170,'Covid-19 impact - vaccination'!$B$2:$D$195,3,FALSE)</f>
        <v>1.2251856306298743</v>
      </c>
    </row>
    <row r="171" spans="1:16" x14ac:dyDescent="0.35">
      <c r="A171" t="str">
        <f>VLOOKUP(B171,'Reference table'!J$2:K$195,2,FALSE)</f>
        <v>Togo</v>
      </c>
      <c r="B171" t="s">
        <v>523</v>
      </c>
      <c r="C171" t="str">
        <f>VLOOKUP(B171,'Reference table'!C$1:E$195,3,FALSE)</f>
        <v>LIN</v>
      </c>
      <c r="D171" s="2">
        <f>VLOOKUP($B171,'Raw HWF'!$C$2:$Q$195,9,FALSE)</f>
        <v>0.82742089033126831</v>
      </c>
      <c r="E171" s="2">
        <f>VLOOKUP($B171,'Raw HWF'!$C$2:$Q$195,10,FALSE)</f>
        <v>2.9654281139373779</v>
      </c>
      <c r="F171" s="2">
        <f>VLOOKUP($B171,'Raw HWF'!$C$2:$Q$195,11,FALSE)</f>
        <v>2.105393648147583</v>
      </c>
      <c r="G171" s="2">
        <f>VLOOKUP($B171,'Raw HWF'!$C$2:$Q$195,12,FALSE)</f>
        <v>2.6619022712111473E-2</v>
      </c>
      <c r="H171" s="2">
        <f>VLOOKUP($B171,'Raw HWF'!$C$2:$Q$195,13,FALSE)</f>
        <v>0.28023597598075867</v>
      </c>
      <c r="I171" s="5">
        <f>VLOOKUP($B171,'Raw HWF'!$C$2:$Q$195,14,FALSE)</f>
        <v>53842.65625</v>
      </c>
      <c r="J171" s="5">
        <f>VLOOKUP(B171,'Pop2020'!$D$2:$E$202,2,FALSE)</f>
        <v>8278724</v>
      </c>
      <c r="K171" s="6">
        <f t="shared" si="6"/>
        <v>10.48128312350874</v>
      </c>
      <c r="L171" s="2">
        <f t="shared" si="7"/>
        <v>6.2050976511090994</v>
      </c>
      <c r="M171" s="3">
        <f t="shared" si="8"/>
        <v>5.8982426524162292</v>
      </c>
      <c r="N171">
        <f>VLOOKUP(B171,UHC!$G$2:$X$195,18,FALSE)</f>
        <v>44.23</v>
      </c>
      <c r="O171">
        <f>VLOOKUP(B171,'Covid-19 impact - vaccination'!$B$2:$D$195,2,FALSE)</f>
        <v>0.12570463757458275</v>
      </c>
      <c r="P171">
        <f>VLOOKUP(B171,'Covid-19 impact - vaccination'!$B$2:$D$195,3,FALSE)</f>
        <v>0.48940076477214989</v>
      </c>
    </row>
    <row r="172" spans="1:16" x14ac:dyDescent="0.35">
      <c r="A172" t="str">
        <f>VLOOKUP(B172,'Reference table'!J$2:K$195,2,FALSE)</f>
        <v>Thailand</v>
      </c>
      <c r="B172" t="s">
        <v>168</v>
      </c>
      <c r="C172" t="str">
        <f>VLOOKUP(B172,'Reference table'!C$1:E$195,3,FALSE)</f>
        <v>LMI</v>
      </c>
      <c r="D172" s="2">
        <f>VLOOKUP($B172,'Raw HWF'!$C$2:$Q$195,9,FALSE)</f>
        <v>9.4987106323242188</v>
      </c>
      <c r="E172" s="2">
        <f>VLOOKUP($B172,'Raw HWF'!$C$2:$Q$195,10,FALSE)</f>
        <v>31.533477783203125</v>
      </c>
      <c r="F172" s="2">
        <f>VLOOKUP($B172,'Raw HWF'!$C$2:$Q$195,11,FALSE)</f>
        <v>0</v>
      </c>
      <c r="G172" s="2">
        <f>VLOOKUP($B172,'Raw HWF'!$C$2:$Q$195,12,FALSE)</f>
        <v>2.6666667461395264</v>
      </c>
      <c r="H172" s="2">
        <f>VLOOKUP($B172,'Raw HWF'!$C$2:$Q$195,13,FALSE)</f>
        <v>6.3126435279846191</v>
      </c>
      <c r="I172" s="5">
        <f>VLOOKUP($B172,'Raw HWF'!$C$2:$Q$195,14,FALSE)</f>
        <v>34669.1953125</v>
      </c>
      <c r="J172" s="5">
        <f>VLOOKUP(B172,'Pop2020'!$D$2:$E$202,2,FALSE)</f>
        <v>69799977.999999985</v>
      </c>
      <c r="K172" s="6">
        <f t="shared" si="6"/>
        <v>9.9315859782401747E-2</v>
      </c>
      <c r="L172" s="2">
        <f t="shared" si="7"/>
        <v>50.011498689651489</v>
      </c>
      <c r="M172" s="3">
        <f t="shared" si="8"/>
        <v>41.032188415527344</v>
      </c>
      <c r="N172">
        <f>VLOOKUP(B172,UHC!$G$2:$X$195,18,FALSE)</f>
        <v>82.97</v>
      </c>
      <c r="O172">
        <f>VLOOKUP(B172,'Covid-19 impact - vaccination'!$B$2:$D$195,2,FALSE)</f>
        <v>0.66149967840964075</v>
      </c>
      <c r="P172">
        <f>VLOOKUP(B172,'Covid-19 impact - vaccination'!$B$2:$D$195,3,FALSE)</f>
        <v>2.1912240400777643E-4</v>
      </c>
    </row>
    <row r="173" spans="1:16" x14ac:dyDescent="0.35">
      <c r="A173" t="str">
        <f>VLOOKUP(B173,'Reference table'!J$2:K$195,2,FALSE)</f>
        <v>Tajikistan</v>
      </c>
      <c r="B173" t="s">
        <v>440</v>
      </c>
      <c r="C173" t="str">
        <f>VLOOKUP(B173,'Reference table'!C$1:E$195,3,FALSE)</f>
        <v>LIN</v>
      </c>
      <c r="D173" s="2">
        <f>VLOOKUP($B173,'Raw HWF'!$C$2:$Q$195,9,FALSE)</f>
        <v>17.229246139526367</v>
      </c>
      <c r="E173" s="2">
        <f>VLOOKUP($B173,'Raw HWF'!$C$2:$Q$195,10,FALSE)</f>
        <v>42.041347503662109</v>
      </c>
      <c r="F173" s="2">
        <f>VLOOKUP($B173,'Raw HWF'!$C$2:$Q$195,11,FALSE)</f>
        <v>5.4926624298095703</v>
      </c>
      <c r="G173" s="2">
        <f>VLOOKUP($B173,'Raw HWF'!$C$2:$Q$195,12,FALSE)</f>
        <v>1.5618888139724731</v>
      </c>
      <c r="H173" s="2">
        <f>VLOOKUP($B173,'Raw HWF'!$C$2:$Q$195,13,FALSE)</f>
        <v>1.0395089387893677</v>
      </c>
      <c r="I173" s="5">
        <f>VLOOKUP($B173,'Raw HWF'!$C$2:$Q$195,14,FALSE)</f>
        <v>1176.811767578125</v>
      </c>
      <c r="J173" s="5">
        <f>VLOOKUP(B173,'Pop2020'!$D$2:$E$202,2,FALSE)</f>
        <v>9537645</v>
      </c>
      <c r="K173" s="6">
        <f t="shared" si="6"/>
        <v>1.8316132077659027E-2</v>
      </c>
      <c r="L173" s="2">
        <f t="shared" si="7"/>
        <v>67.364653825759888</v>
      </c>
      <c r="M173" s="3">
        <f t="shared" si="8"/>
        <v>64.763256072998047</v>
      </c>
      <c r="N173">
        <f>VLOOKUP(B173,UHC!$G$2:$X$195,18,FALSE)</f>
        <v>66.27</v>
      </c>
      <c r="O173">
        <f>VLOOKUP(B173,'Covid-19 impact - vaccination'!$B$2:$D$195,2,FALSE)</f>
        <v>0.30359023750314806</v>
      </c>
      <c r="P173">
        <f>VLOOKUP(B173,'Covid-19 impact - vaccination'!$B$2:$D$195,3,FALSE)</f>
        <v>1.5300604847586186E-2</v>
      </c>
    </row>
    <row r="174" spans="1:16" x14ac:dyDescent="0.35">
      <c r="A174" t="str">
        <f>VLOOKUP(B174,'Reference table'!J$2:K$195,2,FALSE)</f>
        <v>Turkmenistan</v>
      </c>
      <c r="B174" t="s">
        <v>525</v>
      </c>
      <c r="C174" t="str">
        <f>VLOOKUP(B174,'Reference table'!C$1:E$195,3,FALSE)</f>
        <v>LMI</v>
      </c>
      <c r="D174" s="2">
        <f>VLOOKUP($B174,'Raw HWF'!$C$2:$Q$195,9,FALSE)</f>
        <v>22.247125625610352</v>
      </c>
      <c r="E174" s="2">
        <f>VLOOKUP($B174,'Raw HWF'!$C$2:$Q$195,10,FALSE)</f>
        <v>42.240451812744141</v>
      </c>
      <c r="F174" s="2">
        <f>VLOOKUP($B174,'Raw HWF'!$C$2:$Q$195,11,FALSE)</f>
        <v>2.0324444770812988</v>
      </c>
      <c r="G174" s="2">
        <f>VLOOKUP($B174,'Raw HWF'!$C$2:$Q$195,12,FALSE)</f>
        <v>1.1543406248092651</v>
      </c>
      <c r="H174" s="2">
        <f>VLOOKUP($B174,'Raw HWF'!$C$2:$Q$195,13,FALSE)</f>
        <v>1.6940085887908936</v>
      </c>
      <c r="I174" s="5">
        <f>VLOOKUP($B174,'Raw HWF'!$C$2:$Q$195,14,FALSE)</f>
        <v>1851.1358642578125</v>
      </c>
      <c r="J174" s="5">
        <f>VLOOKUP(B174,'Pop2020'!$D$2:$E$202,2,FALSE)</f>
        <v>6031200.0000000009</v>
      </c>
      <c r="K174" s="6">
        <f t="shared" si="6"/>
        <v>4.424590351400496E-2</v>
      </c>
      <c r="L174" s="2">
        <f t="shared" si="7"/>
        <v>69.36837112903595</v>
      </c>
      <c r="M174" s="3">
        <f t="shared" si="8"/>
        <v>66.520021915435791</v>
      </c>
      <c r="N174">
        <f>VLOOKUP(B174,UHC!$G$2:$X$195,18,FALSE)</f>
        <v>72.53</v>
      </c>
      <c r="O174">
        <f>VLOOKUP(B174,'Covid-19 impact - vaccination'!$B$2:$D$195,2,FALSE)</f>
        <v>0.53161707637319155</v>
      </c>
      <c r="P174">
        <f>VLOOKUP(B174,'Covid-19 impact - vaccination'!$B$2:$D$195,3,FALSE)</f>
        <v>5.5418836264224842E-3</v>
      </c>
    </row>
    <row r="175" spans="1:16" x14ac:dyDescent="0.35">
      <c r="A175" t="str">
        <f>VLOOKUP(B175,'Reference table'!J$2:K$195,2,FALSE)</f>
        <v>Timor-Leste</v>
      </c>
      <c r="B175" t="s">
        <v>53</v>
      </c>
      <c r="C175" t="str">
        <f>VLOOKUP(B175,'Reference table'!C$1:E$195,3,FALSE)</f>
        <v>LIN</v>
      </c>
      <c r="D175" s="2">
        <f>VLOOKUP($B175,'Raw HWF'!$C$2:$Q$195,9,FALSE)</f>
        <v>7.5619559288024902</v>
      </c>
      <c r="E175" s="2">
        <f>VLOOKUP($B175,'Raw HWF'!$C$2:$Q$195,10,FALSE)</f>
        <v>12.340322494506836</v>
      </c>
      <c r="F175" s="2">
        <f>VLOOKUP($B175,'Raw HWF'!$C$2:$Q$195,11,FALSE)</f>
        <v>5.1424331665039063</v>
      </c>
      <c r="G175" s="2">
        <f>VLOOKUP($B175,'Raw HWF'!$C$2:$Q$195,12,FALSE)</f>
        <v>2.2754129022359848E-2</v>
      </c>
      <c r="H175" s="2">
        <f>VLOOKUP($B175,'Raw HWF'!$C$2:$Q$195,13,FALSE)</f>
        <v>2.0933799743652344</v>
      </c>
      <c r="I175" s="5">
        <f>VLOOKUP($B175,'Raw HWF'!$C$2:$Q$195,14,FALSE)</f>
        <v>5002.34814453125</v>
      </c>
      <c r="J175" s="5">
        <f>VLOOKUP(B175,'Pop2020'!$D$2:$E$202,2,FALSE)</f>
        <v>1318444.9999999998</v>
      </c>
      <c r="K175" s="6">
        <f t="shared" si="6"/>
        <v>1.3969105840885778</v>
      </c>
      <c r="L175" s="2">
        <f t="shared" si="7"/>
        <v>27.160845693200827</v>
      </c>
      <c r="M175" s="3">
        <f t="shared" si="8"/>
        <v>25.044711589813232</v>
      </c>
      <c r="N175">
        <f>VLOOKUP(B175,UHC!$G$2:$X$195,18,FALSE)</f>
        <v>52.51</v>
      </c>
      <c r="O175">
        <f>VLOOKUP(B175,'Covid-19 impact - vaccination'!$B$2:$D$195,2,FALSE)</f>
        <v>0.41297285817762591</v>
      </c>
      <c r="P175">
        <f>VLOOKUP(B175,'Covid-19 impact - vaccination'!$B$2:$D$195,3,FALSE)</f>
        <v>1.6464787911539346E-2</v>
      </c>
    </row>
    <row r="176" spans="1:16" x14ac:dyDescent="0.35">
      <c r="A176" t="str">
        <f>VLOOKUP(B176,'Reference table'!J$2:K$195,2,FALSE)</f>
        <v>Tonga</v>
      </c>
      <c r="B176" t="s">
        <v>171</v>
      </c>
      <c r="C176" t="str">
        <f>VLOOKUP(B176,'Reference table'!C$1:E$195,3,FALSE)</f>
        <v>LMI</v>
      </c>
      <c r="D176" s="2">
        <f>VLOOKUP($B176,'Raw HWF'!$C$2:$Q$195,9,FALSE)</f>
        <v>9.4610061645507813</v>
      </c>
      <c r="E176" s="2">
        <f>VLOOKUP($B176,'Raw HWF'!$C$2:$Q$195,10,FALSE)</f>
        <v>43.615238189697266</v>
      </c>
      <c r="F176" s="2">
        <f>VLOOKUP($B176,'Raw HWF'!$C$2:$Q$195,11,FALSE)</f>
        <v>1.7975912094116211</v>
      </c>
      <c r="G176" s="2">
        <f>VLOOKUP($B176,'Raw HWF'!$C$2:$Q$195,12,FALSE)</f>
        <v>1.4191509485244751</v>
      </c>
      <c r="H176" s="2">
        <f>VLOOKUP($B176,'Raw HWF'!$C$2:$Q$195,13,FALSE)</f>
        <v>0.75688052177429199</v>
      </c>
      <c r="I176" s="5">
        <f>VLOOKUP($B176,'Raw HWF'!$C$2:$Q$195,14,FALSE)</f>
        <v>92.124183654785156</v>
      </c>
      <c r="J176" s="5">
        <f>VLOOKUP(B176,'Pop2020'!$D$2:$E$202,2,FALSE)</f>
        <v>105694.99999999999</v>
      </c>
      <c r="K176" s="6">
        <f t="shared" si="6"/>
        <v>0.15277932003510525</v>
      </c>
      <c r="L176" s="2">
        <f t="shared" si="7"/>
        <v>57.049867033958435</v>
      </c>
      <c r="M176" s="3">
        <f t="shared" si="8"/>
        <v>54.873835563659668</v>
      </c>
      <c r="N176">
        <f>VLOOKUP(B176,UHC!$G$2:$X$195,18,FALSE)</f>
        <v>55.81</v>
      </c>
      <c r="O176">
        <f>VLOOKUP(B176,'Covid-19 impact - vaccination'!$B$2:$D$195,2,FALSE)</f>
        <v>0.60249775296844699</v>
      </c>
      <c r="P176">
        <f>VLOOKUP(B176,'Covid-19 impact - vaccination'!$B$2:$D$195,3,FALSE)</f>
        <v>7.9895719733678369E-3</v>
      </c>
    </row>
    <row r="177" spans="1:16" x14ac:dyDescent="0.35">
      <c r="A177" t="str">
        <f>VLOOKUP(B177,'Reference table'!J$2:K$195,2,FALSE)</f>
        <v>Trinidad and Tobago</v>
      </c>
      <c r="B177" t="s">
        <v>455</v>
      </c>
      <c r="C177" t="str">
        <f>VLOOKUP(B177,'Reference table'!C$1:E$195,3,FALSE)</f>
        <v>UMI</v>
      </c>
      <c r="D177" s="2">
        <f>VLOOKUP($B177,'Raw HWF'!$C$2:$Q$195,9,FALSE)</f>
        <v>44.760852813720703</v>
      </c>
      <c r="E177" s="2">
        <f>VLOOKUP($B177,'Raw HWF'!$C$2:$Q$195,10,FALSE)</f>
        <v>40.402332305908203</v>
      </c>
      <c r="F177" s="2">
        <f>VLOOKUP($B177,'Raw HWF'!$C$2:$Q$195,11,FALSE)</f>
        <v>0.293913334608078</v>
      </c>
      <c r="G177" s="2">
        <f>VLOOKUP($B177,'Raw HWF'!$C$2:$Q$195,12,FALSE)</f>
        <v>3.1828663349151611</v>
      </c>
      <c r="H177" s="2">
        <f>VLOOKUP($B177,'Raw HWF'!$C$2:$Q$195,13,FALSE)</f>
        <v>6.641047477722168</v>
      </c>
      <c r="I177" s="5">
        <f>VLOOKUP($B177,'Raw HWF'!$C$2:$Q$195,14,FALSE)</f>
        <v>626.2860107421875</v>
      </c>
      <c r="J177" s="5">
        <f>VLOOKUP(B177,'Pop2020'!$D$2:$E$202,2,FALSE)</f>
        <v>1399487.9999999998</v>
      </c>
      <c r="K177" s="6">
        <f t="shared" si="6"/>
        <v>4.696747032593613E-2</v>
      </c>
      <c r="L177" s="2">
        <f t="shared" si="7"/>
        <v>95.281012266874313</v>
      </c>
      <c r="M177" s="3">
        <f t="shared" si="8"/>
        <v>85.457098454236984</v>
      </c>
      <c r="N177">
        <f>VLOOKUP(B177,UHC!$G$2:$X$195,18,FALSE)</f>
        <v>73.33</v>
      </c>
      <c r="O177">
        <f>VLOOKUP(B177,'Covid-19 impact - vaccination'!$B$2:$D$195,2,FALSE)</f>
        <v>0.4804264130882151</v>
      </c>
      <c r="P177">
        <f>VLOOKUP(B177,'Covid-19 impact - vaccination'!$B$2:$D$195,3,FALSE)</f>
        <v>9.6241709019446332E-3</v>
      </c>
    </row>
    <row r="178" spans="1:16" x14ac:dyDescent="0.35">
      <c r="A178" t="str">
        <f>VLOOKUP(B178,'Reference table'!J$2:K$195,2,FALSE)</f>
        <v>Tunisia</v>
      </c>
      <c r="B178" t="s">
        <v>458</v>
      </c>
      <c r="C178" t="str">
        <f>VLOOKUP(B178,'Reference table'!C$1:E$195,3,FALSE)</f>
        <v>LMI</v>
      </c>
      <c r="D178" s="2">
        <f>VLOOKUP($B178,'Raw HWF'!$C$2:$Q$195,9,FALSE)</f>
        <v>13.06315803527832</v>
      </c>
      <c r="E178" s="2">
        <f>VLOOKUP($B178,'Raw HWF'!$C$2:$Q$195,10,FALSE)</f>
        <v>25.209650039672852</v>
      </c>
      <c r="F178" s="2">
        <f>VLOOKUP($B178,'Raw HWF'!$C$2:$Q$195,11,FALSE)</f>
        <v>0</v>
      </c>
      <c r="G178" s="2">
        <f>VLOOKUP($B178,'Raw HWF'!$C$2:$Q$195,12,FALSE)</f>
        <v>3.0601770877838135</v>
      </c>
      <c r="H178" s="2">
        <f>VLOOKUP($B178,'Raw HWF'!$C$2:$Q$195,13,FALSE)</f>
        <v>2.2938597202301025</v>
      </c>
      <c r="I178" s="5">
        <f>VLOOKUP($B178,'Raw HWF'!$C$2:$Q$195,14,FALSE)</f>
        <v>9611.50390625</v>
      </c>
      <c r="J178" s="5">
        <f>VLOOKUP(B178,'Pop2020'!$D$2:$E$202,2,FALSE)</f>
        <v>11818618.999999998</v>
      </c>
      <c r="K178" s="6">
        <f t="shared" si="6"/>
        <v>0.18641068771062094</v>
      </c>
      <c r="L178" s="2">
        <f t="shared" si="7"/>
        <v>43.626844882965088</v>
      </c>
      <c r="M178" s="3">
        <f t="shared" si="8"/>
        <v>38.272808074951172</v>
      </c>
      <c r="N178">
        <f>VLOOKUP(B178,UHC!$G$2:$X$195,18,FALSE)</f>
        <v>69.86</v>
      </c>
      <c r="O178">
        <f>VLOOKUP(B178,'Covid-19 impact - vaccination'!$B$2:$D$195,2,FALSE)</f>
        <v>0.51073522211012978</v>
      </c>
      <c r="P178">
        <f>VLOOKUP(B178,'Covid-19 impact - vaccination'!$B$2:$D$195,3,FALSE)</f>
        <v>8.7926587676104579E-3</v>
      </c>
    </row>
    <row r="179" spans="1:16" x14ac:dyDescent="0.35">
      <c r="A179" t="str">
        <f>VLOOKUP(B179,'Reference table'!J$2:K$195,2,FALSE)</f>
        <v>Turkey</v>
      </c>
      <c r="B179" t="s">
        <v>461</v>
      </c>
      <c r="C179" t="str">
        <f>VLOOKUP(B179,'Reference table'!C$1:E$195,3,FALSE)</f>
        <v>UMI</v>
      </c>
      <c r="D179" s="2">
        <f>VLOOKUP($B179,'Raw HWF'!$C$2:$Q$195,9,FALSE)</f>
        <v>19.281774520874023</v>
      </c>
      <c r="E179" s="2">
        <f>VLOOKUP($B179,'Raw HWF'!$C$2:$Q$195,10,FALSE)</f>
        <v>23.75335693359375</v>
      </c>
      <c r="F179" s="2">
        <f>VLOOKUP($B179,'Raw HWF'!$C$2:$Q$195,11,FALSE)</f>
        <v>6.711270809173584</v>
      </c>
      <c r="G179" s="2">
        <f>VLOOKUP($B179,'Raw HWF'!$C$2:$Q$195,12,FALSE)</f>
        <v>3.9478416442871094</v>
      </c>
      <c r="H179" s="2">
        <f>VLOOKUP($B179,'Raw HWF'!$C$2:$Q$195,13,FALSE)</f>
        <v>4.0576739311218262</v>
      </c>
      <c r="I179" s="5">
        <f>VLOOKUP($B179,'Raw HWF'!$C$2:$Q$195,14,FALSE)</f>
        <v>72061.5625</v>
      </c>
      <c r="J179" s="5">
        <f>VLOOKUP(B179,'Pop2020'!$D$2:$E$202,2,FALSE)</f>
        <v>84339066.999999985</v>
      </c>
      <c r="K179" s="6">
        <f t="shared" si="6"/>
        <v>0.14794778630861796</v>
      </c>
      <c r="L179" s="2">
        <f t="shared" si="7"/>
        <v>57.751917839050293</v>
      </c>
      <c r="M179" s="3">
        <f t="shared" si="8"/>
        <v>49.746402263641357</v>
      </c>
      <c r="N179">
        <f>VLOOKUP(B179,UHC!$G$2:$X$195,18,FALSE)</f>
        <v>78.7</v>
      </c>
      <c r="O179">
        <f>VLOOKUP(B179,'Covid-19 impact - vaccination'!$B$2:$D$195,2,FALSE)</f>
        <v>0.61525999570282175</v>
      </c>
      <c r="P179">
        <f>VLOOKUP(B179,'Covid-19 impact - vaccination'!$B$2:$D$195,3,FALSE)</f>
        <v>0</v>
      </c>
    </row>
    <row r="180" spans="1:16" x14ac:dyDescent="0.35">
      <c r="A180" t="str">
        <f>VLOOKUP(B180,'Reference table'!J$2:K$195,2,FALSE)</f>
        <v>Tuvalu</v>
      </c>
      <c r="B180" t="s">
        <v>527</v>
      </c>
      <c r="C180" t="str">
        <f>VLOOKUP(B180,'Reference table'!C$1:E$195,3,FALSE)</f>
        <v>LIN</v>
      </c>
      <c r="D180" s="2">
        <f>VLOOKUP($B180,'Raw HWF'!$C$2:$Q$195,9,FALSE)</f>
        <v>11.872455596923828</v>
      </c>
      <c r="E180" s="2">
        <f>VLOOKUP($B180,'Raw HWF'!$C$2:$Q$195,10,FALSE)</f>
        <v>34.769336700439453</v>
      </c>
      <c r="F180" s="2">
        <f>VLOOKUP($B180,'Raw HWF'!$C$2:$Q$195,11,FALSE)</f>
        <v>0</v>
      </c>
      <c r="G180" s="2">
        <f>VLOOKUP($B180,'Raw HWF'!$C$2:$Q$195,12,FALSE)</f>
        <v>0.84803259372711182</v>
      </c>
      <c r="H180" s="2">
        <f>VLOOKUP($B180,'Raw HWF'!$C$2:$Q$195,13,FALSE)</f>
        <v>1.6960651874542236</v>
      </c>
      <c r="I180" s="5">
        <f>VLOOKUP($B180,'Raw HWF'!$C$2:$Q$195,14,FALSE)</f>
        <v>3.0829229354858398</v>
      </c>
      <c r="J180" s="5">
        <v>11792</v>
      </c>
      <c r="K180" s="6">
        <f t="shared" si="6"/>
        <v>5.3153842266721096E-2</v>
      </c>
      <c r="L180" s="2">
        <f t="shared" si="7"/>
        <v>49.185890078544617</v>
      </c>
      <c r="M180" s="3">
        <f t="shared" si="8"/>
        <v>46.641792297363281</v>
      </c>
      <c r="N180">
        <f>VLOOKUP(B180,UHC!$G$2:$X$195,18,FALSE)</f>
        <v>51.55</v>
      </c>
      <c r="O180">
        <f>VLOOKUP(B180,'Covid-19 impact - vaccination'!$B$2:$D$195,2,FALSE)</f>
        <v>0.49898236092265941</v>
      </c>
      <c r="P180">
        <f>VLOOKUP(B180,'Covid-19 impact - vaccination'!$B$2:$D$195,3,FALSE)</f>
        <v>1.3004897501324272E-2</v>
      </c>
    </row>
    <row r="181" spans="1:16" x14ac:dyDescent="0.35">
      <c r="A181" t="str">
        <f>VLOOKUP(B181,'Reference table'!J$2:K$195,2,FALSE)</f>
        <v>United Republic of Tanzania</v>
      </c>
      <c r="B181" t="s">
        <v>541</v>
      </c>
      <c r="C181" t="str">
        <f>VLOOKUP(B181,'Reference table'!C$1:E$195,3,FALSE)</f>
        <v>LIN</v>
      </c>
      <c r="D181" s="2">
        <f>VLOOKUP($B181,'Raw HWF'!$C$2:$Q$195,9,FALSE)</f>
        <v>0.51243340969085693</v>
      </c>
      <c r="E181" s="2">
        <f>VLOOKUP($B181,'Raw HWF'!$C$2:$Q$195,10,FALSE)</f>
        <v>5.6731796264648438</v>
      </c>
      <c r="F181" s="2">
        <f>VLOOKUP($B181,'Raw HWF'!$C$2:$Q$195,11,FALSE)</f>
        <v>0</v>
      </c>
      <c r="G181" s="2">
        <f>VLOOKUP($B181,'Raw HWF'!$C$2:$Q$195,12,FALSE)</f>
        <v>0.12113676965236664</v>
      </c>
      <c r="H181" s="2">
        <f>VLOOKUP($B181,'Raw HWF'!$C$2:$Q$195,13,FALSE)</f>
        <v>0.32770869135856628</v>
      </c>
      <c r="I181" s="5">
        <f>VLOOKUP($B181,'Raw HWF'!$C$2:$Q$195,14,FALSE)</f>
        <v>351637.09375</v>
      </c>
      <c r="J181" s="5">
        <f>VLOOKUP(B181,'Pop2020'!$D$2:$E$202,2,FALSE)</f>
        <v>59734218.000000015</v>
      </c>
      <c r="K181" s="6">
        <f t="shared" si="6"/>
        <v>8.8729088024220868</v>
      </c>
      <c r="L181" s="2">
        <f t="shared" si="7"/>
        <v>6.6344584971666336</v>
      </c>
      <c r="M181" s="3">
        <f t="shared" si="8"/>
        <v>6.1856130361557007</v>
      </c>
      <c r="N181">
        <f>VLOOKUP(B181,UHC!$G$2:$X$195,18,FALSE)</f>
        <v>46.41</v>
      </c>
      <c r="O181">
        <f>VLOOKUP(B181,'Covid-19 impact - vaccination'!$B$2:$D$195,2,FALSE)</f>
        <v>2.2754545811581563E-2</v>
      </c>
      <c r="P181">
        <f>VLOOKUP(B181,'Covid-19 impact - vaccination'!$B$2:$D$195,3,FALSE)</f>
        <v>0.51196290603339367</v>
      </c>
    </row>
    <row r="182" spans="1:16" x14ac:dyDescent="0.35">
      <c r="A182" t="str">
        <f>VLOOKUP(B182,'Reference table'!J$2:K$195,2,FALSE)</f>
        <v>Uganda</v>
      </c>
      <c r="B182" t="s">
        <v>464</v>
      </c>
      <c r="C182" t="str">
        <f>VLOOKUP(B182,'Reference table'!C$1:E$195,3,FALSE)</f>
        <v>LIN</v>
      </c>
      <c r="D182" s="2">
        <f>VLOOKUP($B182,'Raw HWF'!$C$2:$Q$195,9,FALSE)</f>
        <v>1.5385119915008545</v>
      </c>
      <c r="E182" s="2">
        <f>VLOOKUP($B182,'Raw HWF'!$C$2:$Q$195,10,FALSE)</f>
        <v>11.231290817260742</v>
      </c>
      <c r="F182" s="2">
        <f>VLOOKUP($B182,'Raw HWF'!$C$2:$Q$195,11,FALSE)</f>
        <v>5.1522974967956543</v>
      </c>
      <c r="G182" s="2">
        <f>VLOOKUP($B182,'Raw HWF'!$C$2:$Q$195,12,FALSE)</f>
        <v>5.5798687040805817E-2</v>
      </c>
      <c r="H182" s="2">
        <f>VLOOKUP($B182,'Raw HWF'!$C$2:$Q$195,13,FALSE)</f>
        <v>0.37571117281913757</v>
      </c>
      <c r="I182" s="5">
        <f>VLOOKUP($B182,'Raw HWF'!$C$2:$Q$195,14,FALSE)</f>
        <v>225795.9375</v>
      </c>
      <c r="J182" s="5">
        <f>VLOOKUP(B182,'Pop2020'!$D$2:$E$202,2,FALSE)</f>
        <v>45741007</v>
      </c>
      <c r="K182" s="6">
        <f t="shared" si="6"/>
        <v>2.6896074523187421</v>
      </c>
      <c r="L182" s="2">
        <f t="shared" si="7"/>
        <v>18.353610165417194</v>
      </c>
      <c r="M182" s="3">
        <f t="shared" si="8"/>
        <v>17.922100305557251</v>
      </c>
      <c r="N182">
        <f>VLOOKUP(B182,UHC!$G$2:$X$195,18,FALSE)</f>
        <v>50.45</v>
      </c>
      <c r="O182">
        <f>VLOOKUP(B182,'Covid-19 impact - vaccination'!$B$2:$D$195,2,FALSE)</f>
        <v>3.9562465251366238E-2</v>
      </c>
      <c r="P182">
        <f>VLOOKUP(B182,'Covid-19 impact - vaccination'!$B$2:$D$195,3,FALSE)</f>
        <v>9.091854135650046E-2</v>
      </c>
    </row>
    <row r="183" spans="1:16" x14ac:dyDescent="0.35">
      <c r="A183" t="str">
        <f>VLOOKUP(B183,'Reference table'!J$2:K$195,2,FALSE)</f>
        <v>Ukraine</v>
      </c>
      <c r="B183" t="s">
        <v>529</v>
      </c>
      <c r="C183" t="str">
        <f>VLOOKUP(B183,'Reference table'!C$1:E$195,3,FALSE)</f>
        <v>LMI</v>
      </c>
      <c r="D183" s="2">
        <f>VLOOKUP($B183,'Raw HWF'!$C$2:$Q$195,9,FALSE)</f>
        <v>29.930376052856445</v>
      </c>
      <c r="E183" s="2">
        <f>VLOOKUP($B183,'Raw HWF'!$C$2:$Q$195,10,FALSE)</f>
        <v>63.017074584960938</v>
      </c>
      <c r="F183" s="2">
        <f>VLOOKUP($B183,'Raw HWF'!$C$2:$Q$195,11,FALSE)</f>
        <v>3.6101994514465332</v>
      </c>
      <c r="G183" s="2">
        <f>VLOOKUP($B183,'Raw HWF'!$C$2:$Q$195,12,FALSE)</f>
        <v>5.976496696472168</v>
      </c>
      <c r="H183" s="2">
        <f>VLOOKUP($B183,'Raw HWF'!$C$2:$Q$195,13,FALSE)</f>
        <v>0.33725056052207947</v>
      </c>
      <c r="I183" s="5">
        <f>VLOOKUP($B183,'Raw HWF'!$C$2:$Q$195,14,FALSE)</f>
        <v>9484.8486328125</v>
      </c>
      <c r="J183" s="5">
        <f>VLOOKUP(B183,'Pop2020'!$D$2:$E$202,2,FALSE)</f>
        <v>43733762</v>
      </c>
      <c r="K183" s="6">
        <f t="shared" si="6"/>
        <v>2.1082345590154525E-2</v>
      </c>
      <c r="L183" s="2">
        <f t="shared" si="7"/>
        <v>102.87139734625816</v>
      </c>
      <c r="M183" s="3">
        <f t="shared" si="8"/>
        <v>96.557650089263916</v>
      </c>
      <c r="N183">
        <f>VLOOKUP(B183,UHC!$G$2:$X$195,18,FALSE)</f>
        <v>72.95</v>
      </c>
      <c r="O183">
        <f>VLOOKUP(B183,'Covid-19 impact - vaccination'!$B$2:$D$195,2,FALSE)</f>
        <v>0.31267755877101716</v>
      </c>
      <c r="P183">
        <f>VLOOKUP(B183,'Covid-19 impact - vaccination'!$B$2:$D$195,3,FALSE)</f>
        <v>2.0355964885518427E-2</v>
      </c>
    </row>
    <row r="184" spans="1:16" x14ac:dyDescent="0.35">
      <c r="A184" t="str">
        <f>VLOOKUP(B184,'Reference table'!J$2:K$195,2,FALSE)</f>
        <v>Uruguay</v>
      </c>
      <c r="B184" t="s">
        <v>61</v>
      </c>
      <c r="C184" t="str">
        <f>VLOOKUP(B184,'Reference table'!C$1:E$195,3,FALSE)</f>
        <v>UMI</v>
      </c>
      <c r="D184" s="2">
        <f>VLOOKUP($B184,'Raw HWF'!$C$2:$Q$195,9,FALSE)</f>
        <v>49.397014617919922</v>
      </c>
      <c r="E184" s="2">
        <f>VLOOKUP($B184,'Raw HWF'!$C$2:$Q$195,10,FALSE)</f>
        <v>70.568740844726563</v>
      </c>
      <c r="F184" s="2">
        <f>VLOOKUP($B184,'Raw HWF'!$C$2:$Q$195,11,FALSE)</f>
        <v>1.6032441854476929</v>
      </c>
      <c r="G184" s="2">
        <f>VLOOKUP($B184,'Raw HWF'!$C$2:$Q$195,12,FALSE)</f>
        <v>14.499606132507324</v>
      </c>
      <c r="H184" s="2">
        <f>VLOOKUP($B184,'Raw HWF'!$C$2:$Q$195,13,FALSE)</f>
        <v>5.9551897048950195</v>
      </c>
      <c r="I184" s="5">
        <f>VLOOKUP($B184,'Raw HWF'!$C$2:$Q$195,14,FALSE)</f>
        <v>976.6253662109375</v>
      </c>
      <c r="J184" s="5">
        <f>VLOOKUP(B184,'Pop2020'!$D$2:$E$202,2,FALSE)</f>
        <v>3473730.0000000009</v>
      </c>
      <c r="K184" s="6">
        <f t="shared" si="6"/>
        <v>1.9795698295463893E-2</v>
      </c>
      <c r="L184" s="2">
        <f t="shared" si="7"/>
        <v>142.02379548549652</v>
      </c>
      <c r="M184" s="3">
        <f t="shared" si="8"/>
        <v>121.56899964809418</v>
      </c>
      <c r="N184">
        <f>VLOOKUP(B184,UHC!$G$2:$X$195,18,FALSE)</f>
        <v>79.34</v>
      </c>
      <c r="O184">
        <f>VLOOKUP(B184,'Covid-19 impact - vaccination'!$B$2:$D$195,2,FALSE)</f>
        <v>0.77057687269879926</v>
      </c>
      <c r="P184">
        <f>VLOOKUP(B184,'Covid-19 impact - vaccination'!$B$2:$D$195,3,FALSE)</f>
        <v>0</v>
      </c>
    </row>
    <row r="185" spans="1:16" x14ac:dyDescent="0.35">
      <c r="A185" t="str">
        <f>VLOOKUP(B185,'Reference table'!J$2:K$195,2,FALSE)</f>
        <v>United States of America</v>
      </c>
      <c r="B185" t="s">
        <v>543</v>
      </c>
      <c r="C185" t="str">
        <f>VLOOKUP(B185,'Reference table'!C$1:E$195,3,FALSE)</f>
        <v>HIN</v>
      </c>
      <c r="D185" s="2">
        <f>VLOOKUP($B185,'Raw HWF'!$C$2:$Q$195,9,FALSE)</f>
        <v>26.107675552368164</v>
      </c>
      <c r="E185" s="2">
        <f>VLOOKUP($B185,'Raw HWF'!$C$2:$Q$195,10,FALSE)</f>
        <v>156.896240234375</v>
      </c>
      <c r="F185" s="2">
        <f>VLOOKUP($B185,'Raw HWF'!$C$2:$Q$195,11,FALSE)</f>
        <v>0</v>
      </c>
      <c r="G185" s="2">
        <f>VLOOKUP($B185,'Raw HWF'!$C$2:$Q$195,12,FALSE)</f>
        <v>6.101773738861084</v>
      </c>
      <c r="H185" s="2">
        <f>VLOOKUP($B185,'Raw HWF'!$C$2:$Q$195,13,FALSE)</f>
        <v>9.2489967346191406</v>
      </c>
      <c r="I185" s="5">
        <f>VLOOKUP($B185,'Raw HWF'!$C$2:$Q$195,14,FALSE)</f>
        <v>0</v>
      </c>
      <c r="J185" s="5">
        <f>VLOOKUP(B185,'Pop2020'!$D$2:$E$202,2,FALSE)</f>
        <v>331002650.99999994</v>
      </c>
      <c r="K185" s="6">
        <f t="shared" si="6"/>
        <v>0</v>
      </c>
      <c r="L185" s="2">
        <f t="shared" si="7"/>
        <v>198.35468626022339</v>
      </c>
      <c r="M185" s="3">
        <f t="shared" si="8"/>
        <v>183.00391578674316</v>
      </c>
      <c r="N185">
        <f>VLOOKUP(B185,UHC!$G$2:$X$195,18,FALSE)</f>
        <v>82.61</v>
      </c>
      <c r="O185">
        <f>VLOOKUP(B185,'Covid-19 impact - vaccination'!$B$2:$D$195,2,FALSE)</f>
        <v>0.61079225012007532</v>
      </c>
      <c r="P185">
        <f>VLOOKUP(B185,'Covid-19 impact - vaccination'!$B$2:$D$195,3,FALSE)</f>
        <v>0</v>
      </c>
    </row>
    <row r="186" spans="1:16" x14ac:dyDescent="0.35">
      <c r="A186" t="str">
        <f>VLOOKUP(B186,'Reference table'!J$2:K$195,2,FALSE)</f>
        <v>Uzbekistan</v>
      </c>
      <c r="B186" t="s">
        <v>467</v>
      </c>
      <c r="C186" t="str">
        <f>VLOOKUP(B186,'Reference table'!C$1:E$195,3,FALSE)</f>
        <v>LIN</v>
      </c>
      <c r="D186" s="2">
        <f>VLOOKUP($B186,'Raw HWF'!$C$2:$Q$195,9,FALSE)</f>
        <v>23.762170791625977</v>
      </c>
      <c r="E186" s="2">
        <f>VLOOKUP($B186,'Raw HWF'!$C$2:$Q$195,10,FALSE)</f>
        <v>104.66973876953125</v>
      </c>
      <c r="F186" s="2">
        <f>VLOOKUP($B186,'Raw HWF'!$C$2:$Q$195,11,FALSE)</f>
        <v>8.2325658798217773</v>
      </c>
      <c r="G186" s="2">
        <f>VLOOKUP($B186,'Raw HWF'!$C$2:$Q$195,12,FALSE)</f>
        <v>1.486842155456543</v>
      </c>
      <c r="H186" s="2">
        <f>VLOOKUP($B186,'Raw HWF'!$C$2:$Q$195,13,FALSE)</f>
        <v>0.40888157486915588</v>
      </c>
      <c r="I186" s="5">
        <f>VLOOKUP($B186,'Raw HWF'!$C$2:$Q$195,14,FALSE)</f>
        <v>6957.2392578125</v>
      </c>
      <c r="J186" s="5">
        <f>VLOOKUP(B186,'Pop2020'!$D$2:$E$202,2,FALSE)</f>
        <v>33469203</v>
      </c>
      <c r="K186" s="6">
        <f t="shared" si="6"/>
        <v>1.5002135002169582E-2</v>
      </c>
      <c r="L186" s="2">
        <f t="shared" si="7"/>
        <v>138.5601991713047</v>
      </c>
      <c r="M186" s="3">
        <f t="shared" si="8"/>
        <v>136.664475440979</v>
      </c>
      <c r="N186">
        <f>VLOOKUP(B186,UHC!$G$2:$X$195,18,FALSE)</f>
        <v>70.849999999999994</v>
      </c>
      <c r="O186">
        <f>VLOOKUP(B186,'Covid-19 impact - vaccination'!$B$2:$D$195,2,FALSE)</f>
        <v>0.37172485066045352</v>
      </c>
      <c r="P186">
        <f>VLOOKUP(B186,'Covid-19 impact - vaccination'!$B$2:$D$195,3,FALSE)</f>
        <v>6.2754264020826031E-3</v>
      </c>
    </row>
    <row r="187" spans="1:16" x14ac:dyDescent="0.35">
      <c r="A187" t="str">
        <f>VLOOKUP(B187,'Reference table'!J$2:K$195,2,FALSE)</f>
        <v>Saint Vincent and the Grenadines</v>
      </c>
      <c r="B187" t="s">
        <v>489</v>
      </c>
      <c r="C187" t="str">
        <f>VLOOKUP(B187,'Reference table'!C$1:E$195,3,FALSE)</f>
        <v>UMI</v>
      </c>
      <c r="D187" s="2">
        <f>VLOOKUP($B187,'Raw HWF'!$C$2:$Q$195,9,FALSE)</f>
        <v>9.4065570831298828</v>
      </c>
      <c r="E187" s="2">
        <f>VLOOKUP($B187,'Raw HWF'!$C$2:$Q$195,10,FALSE)</f>
        <v>70.138824462890625</v>
      </c>
      <c r="F187" s="2">
        <f>VLOOKUP($B187,'Raw HWF'!$C$2:$Q$195,11,FALSE)</f>
        <v>5.2588090896606445</v>
      </c>
      <c r="G187" s="2">
        <f>VLOOKUP($B187,'Raw HWF'!$C$2:$Q$195,12,FALSE)</f>
        <v>1.6599806547164917</v>
      </c>
      <c r="H187" s="2">
        <f>VLOOKUP($B187,'Raw HWF'!$C$2:$Q$195,13,FALSE)</f>
        <v>3.3173608779907227</v>
      </c>
      <c r="I187" s="5">
        <f>VLOOKUP($B187,'Raw HWF'!$C$2:$Q$195,14,FALSE)</f>
        <v>48.737686157226563</v>
      </c>
      <c r="J187" s="5">
        <f>VLOOKUP(B187,'Pop2020'!$D$2:$E$202,2,FALSE)</f>
        <v>110940.00000000001</v>
      </c>
      <c r="K187" s="6">
        <f t="shared" si="6"/>
        <v>4.8931635606573494E-2</v>
      </c>
      <c r="L187" s="2">
        <f t="shared" si="7"/>
        <v>89.781532168388367</v>
      </c>
      <c r="M187" s="3">
        <f t="shared" si="8"/>
        <v>84.804190635681152</v>
      </c>
      <c r="N187">
        <f>VLOOKUP(B187,UHC!$G$2:$X$195,18,FALSE)</f>
        <v>73.040000000000006</v>
      </c>
      <c r="O187">
        <f>VLOOKUP(B187,'Covid-19 impact - vaccination'!$B$2:$D$195,2,FALSE)</f>
        <v>0.24240129799891832</v>
      </c>
      <c r="P187">
        <f>VLOOKUP(B187,'Covid-19 impact - vaccination'!$B$2:$D$195,3,FALSE)</f>
        <v>1.942922522231131E-2</v>
      </c>
    </row>
    <row r="188" spans="1:16" x14ac:dyDescent="0.35">
      <c r="A188" t="str">
        <f>VLOOKUP(B188,'Reference table'!J$2:K$195,2,FALSE)</f>
        <v>Venezuela, Bolivarian Republic of</v>
      </c>
      <c r="B188" t="s">
        <v>19</v>
      </c>
      <c r="C188" t="str">
        <f>VLOOKUP(B188,'Reference table'!C$1:E$195,3,FALSE)</f>
        <v>UMI</v>
      </c>
      <c r="D188" s="2">
        <f>VLOOKUP($B188,'Raw HWF'!$C$2:$Q$195,9,FALSE)</f>
        <v>17.301361083984375</v>
      </c>
      <c r="E188" s="2">
        <f>VLOOKUP($B188,'Raw HWF'!$C$2:$Q$195,10,FALSE)</f>
        <v>20.65397834777832</v>
      </c>
      <c r="F188" s="2">
        <f>VLOOKUP($B188,'Raw HWF'!$C$2:$Q$195,11,FALSE)</f>
        <v>5.2588090896606445</v>
      </c>
      <c r="G188" s="2">
        <f>VLOOKUP($B188,'Raw HWF'!$C$2:$Q$195,12,FALSE)</f>
        <v>1.3999999761581421</v>
      </c>
      <c r="H188" s="2">
        <f>VLOOKUP($B188,'Raw HWF'!$C$2:$Q$195,13,FALSE)</f>
        <v>5.9551897048950195</v>
      </c>
      <c r="I188" s="5">
        <f>VLOOKUP($B188,'Raw HWF'!$C$2:$Q$195,14,FALSE)</f>
        <v>38039.10546875</v>
      </c>
      <c r="J188" s="5">
        <f>VLOOKUP(B188,'Pop2020'!$D$2:$E$202,2,FALSE)</f>
        <v>28435940.000000007</v>
      </c>
      <c r="K188" s="6">
        <f t="shared" si="6"/>
        <v>0.26453030714830078</v>
      </c>
      <c r="L188" s="2">
        <f t="shared" si="7"/>
        <v>50.569338202476501</v>
      </c>
      <c r="M188" s="3">
        <f t="shared" si="8"/>
        <v>43.21414852142334</v>
      </c>
      <c r="N188">
        <f>VLOOKUP(B188,UHC!$G$2:$X$195,18,FALSE)</f>
        <v>69.63</v>
      </c>
      <c r="O188">
        <f>VLOOKUP(B188,'Covid-19 impact - vaccination'!$B$2:$D$195,2,FALSE)</f>
        <v>0.40822652600898723</v>
      </c>
      <c r="P188">
        <f>VLOOKUP(B188,'Covid-19 impact - vaccination'!$B$2:$D$195,3,FALSE)</f>
        <v>1.0149444452042813E-2</v>
      </c>
    </row>
    <row r="189" spans="1:16" x14ac:dyDescent="0.35">
      <c r="A189" t="str">
        <f>VLOOKUP(B189,'Reference table'!J$2:K$195,2,FALSE)</f>
        <v>Viet Nam</v>
      </c>
      <c r="B189" t="s">
        <v>495</v>
      </c>
      <c r="C189" t="str">
        <f>VLOOKUP(B189,'Reference table'!C$1:E$195,3,FALSE)</f>
        <v>LIN</v>
      </c>
      <c r="D189" s="2">
        <f>VLOOKUP($B189,'Raw HWF'!$C$2:$Q$195,9,FALSE)</f>
        <v>8.2840814590454102</v>
      </c>
      <c r="E189" s="2">
        <f>VLOOKUP($B189,'Raw HWF'!$C$2:$Q$195,10,FALSE)</f>
        <v>11.394658088684082</v>
      </c>
      <c r="F189" s="2">
        <f>VLOOKUP($B189,'Raw HWF'!$C$2:$Q$195,11,FALSE)</f>
        <v>3.0745725631713867</v>
      </c>
      <c r="G189" s="2">
        <f>VLOOKUP($B189,'Raw HWF'!$C$2:$Q$195,12,FALSE)</f>
        <v>0.55726933479309082</v>
      </c>
      <c r="H189" s="2">
        <f>VLOOKUP($B189,'Raw HWF'!$C$2:$Q$195,13,FALSE)</f>
        <v>3.3887820243835449</v>
      </c>
      <c r="I189" s="5">
        <f>VLOOKUP($B189,'Raw HWF'!$C$2:$Q$195,14,FALSE)</f>
        <v>320958.78125</v>
      </c>
      <c r="J189" s="5">
        <f>VLOOKUP(B189,'Pop2020'!$D$2:$E$202,2,FALSE)</f>
        <v>97338579</v>
      </c>
      <c r="K189" s="6">
        <f t="shared" si="6"/>
        <v>1.2349897488567909</v>
      </c>
      <c r="L189" s="2">
        <f t="shared" si="7"/>
        <v>26.699363470077515</v>
      </c>
      <c r="M189" s="3">
        <f t="shared" si="8"/>
        <v>22.753312110900879</v>
      </c>
      <c r="N189">
        <f>VLOOKUP(B189,UHC!$G$2:$X$195,18,FALSE)</f>
        <v>69.540000000000006</v>
      </c>
      <c r="O189">
        <f>VLOOKUP(B189,'Covid-19 impact - vaccination'!$B$2:$D$195,2,FALSE)</f>
        <v>0.72457775452012707</v>
      </c>
      <c r="P189">
        <f>VLOOKUP(B189,'Covid-19 impact - vaccination'!$B$2:$D$195,3,FALSE)</f>
        <v>0</v>
      </c>
    </row>
    <row r="190" spans="1:16" x14ac:dyDescent="0.35">
      <c r="A190" t="str">
        <f>VLOOKUP(B190,'Reference table'!J$2:K$195,2,FALSE)</f>
        <v>Vanuatu</v>
      </c>
      <c r="B190" t="s">
        <v>470</v>
      </c>
      <c r="C190" t="str">
        <f>VLOOKUP(B190,'Reference table'!C$1:E$195,3,FALSE)</f>
        <v>LMI</v>
      </c>
      <c r="D190" s="2">
        <f>VLOOKUP($B190,'Raw HWF'!$C$2:$Q$195,9,FALSE)</f>
        <v>1.6527382135391235</v>
      </c>
      <c r="E190" s="2">
        <f>VLOOKUP($B190,'Raw HWF'!$C$2:$Q$195,10,FALSE)</f>
        <v>11.771296501159668</v>
      </c>
      <c r="F190" s="2">
        <f>VLOOKUP($B190,'Raw HWF'!$C$2:$Q$195,11,FALSE)</f>
        <v>2.434290885925293</v>
      </c>
      <c r="G190" s="2">
        <f>VLOOKUP($B190,'Raw HWF'!$C$2:$Q$195,12,FALSE)</f>
        <v>0.30011805891990662</v>
      </c>
      <c r="H190" s="2">
        <f>VLOOKUP($B190,'Raw HWF'!$C$2:$Q$195,13,FALSE)</f>
        <v>1.1623013019561768</v>
      </c>
      <c r="I190" s="5">
        <f>VLOOKUP($B190,'Raw HWF'!$C$2:$Q$195,14,FALSE)</f>
        <v>1323.2557373046875</v>
      </c>
      <c r="J190" s="5">
        <f>VLOOKUP(B190,'Pop2020'!$D$2:$E$202,2,FALSE)</f>
        <v>307145.00000000012</v>
      </c>
      <c r="K190" s="6">
        <f t="shared" si="6"/>
        <v>2.4873320666097265</v>
      </c>
      <c r="L190" s="2">
        <f t="shared" si="7"/>
        <v>17.320744961500168</v>
      </c>
      <c r="M190" s="3">
        <f t="shared" si="8"/>
        <v>15.858325600624084</v>
      </c>
      <c r="N190">
        <f>VLOOKUP(B190,UHC!$G$2:$X$195,18,FALSE)</f>
        <v>52.24</v>
      </c>
      <c r="O190">
        <f>VLOOKUP(B190,'Covid-19 impact - vaccination'!$B$2:$D$195,2,FALSE)</f>
        <v>0.16410164580247114</v>
      </c>
      <c r="P190">
        <f>VLOOKUP(B190,'Covid-19 impact - vaccination'!$B$2:$D$195,3,FALSE)</f>
        <v>8.7772988857406475E-2</v>
      </c>
    </row>
    <row r="191" spans="1:16" x14ac:dyDescent="0.35">
      <c r="A191" t="str">
        <f>VLOOKUP(B191,'Reference table'!J$2:K$195,2,FALSE)</f>
        <v>Samoa</v>
      </c>
      <c r="B191" t="s">
        <v>110</v>
      </c>
      <c r="C191" t="str">
        <f>VLOOKUP(B191,'Reference table'!C$1:E$195,3,FALSE)</f>
        <v>LMI</v>
      </c>
      <c r="D191" s="2">
        <f>VLOOKUP($B191,'Raw HWF'!$C$2:$Q$195,9,FALSE)</f>
        <v>5.9976816177368164</v>
      </c>
      <c r="E191" s="2">
        <f>VLOOKUP($B191,'Raw HWF'!$C$2:$Q$195,10,FALSE)</f>
        <v>28.728391647338867</v>
      </c>
      <c r="F191" s="2">
        <f>VLOOKUP($B191,'Raw HWF'!$C$2:$Q$195,11,FALSE)</f>
        <v>3.9312534332275391</v>
      </c>
      <c r="G191" s="2">
        <f>VLOOKUP($B191,'Raw HWF'!$C$2:$Q$195,12,FALSE)</f>
        <v>0.95761305093765259</v>
      </c>
      <c r="H191" s="2">
        <f>VLOOKUP($B191,'Raw HWF'!$C$2:$Q$195,13,FALSE)</f>
        <v>0.25200343132019043</v>
      </c>
      <c r="I191" s="5">
        <f>VLOOKUP($B191,'Raw HWF'!$C$2:$Q$195,14,FALSE)</f>
        <v>288.81298828125</v>
      </c>
      <c r="J191" s="5">
        <f>VLOOKUP(B191,'Pop2020'!$D$2:$E$202,2,FALSE)</f>
        <v>198414</v>
      </c>
      <c r="K191" s="6">
        <f t="shared" si="6"/>
        <v>0.3651165090729464</v>
      </c>
      <c r="L191" s="2">
        <f t="shared" si="7"/>
        <v>39.866943180561066</v>
      </c>
      <c r="M191" s="3">
        <f t="shared" si="8"/>
        <v>38.657326698303223</v>
      </c>
      <c r="N191">
        <f>VLOOKUP(B191,UHC!$G$2:$X$195,18,FALSE)</f>
        <v>53.45</v>
      </c>
      <c r="O191">
        <f>VLOOKUP(B191,'Covid-19 impact - vaccination'!$B$2:$D$195,2,FALSE)</f>
        <v>0.61847450280726157</v>
      </c>
      <c r="P191">
        <f>VLOOKUP(B191,'Covid-19 impact - vaccination'!$B$2:$D$195,3,FALSE)</f>
        <v>5.3918894974420845E-3</v>
      </c>
    </row>
    <row r="192" spans="1:16" x14ac:dyDescent="0.35">
      <c r="A192" t="str">
        <f>VLOOKUP(B192,'Reference table'!J$2:K$195,2,FALSE)</f>
        <v>Yemen</v>
      </c>
      <c r="B192" t="s">
        <v>473</v>
      </c>
      <c r="C192" t="str">
        <f>VLOOKUP(B192,'Reference table'!C$1:E$195,3,FALSE)</f>
        <v>LIN</v>
      </c>
      <c r="D192" s="2">
        <f>VLOOKUP($B192,'Raw HWF'!$C$2:$Q$195,9,FALSE)</f>
        <v>5.2558140754699707</v>
      </c>
      <c r="E192" s="2">
        <f>VLOOKUP($B192,'Raw HWF'!$C$2:$Q$195,10,FALSE)</f>
        <v>7.8515787124633789</v>
      </c>
      <c r="F192" s="2">
        <f>VLOOKUP($B192,'Raw HWF'!$C$2:$Q$195,11,FALSE)</f>
        <v>0</v>
      </c>
      <c r="G192" s="2">
        <f>VLOOKUP($B192,'Raw HWF'!$C$2:$Q$195,12,FALSE)</f>
        <v>0.21046511828899384</v>
      </c>
      <c r="H192" s="2">
        <f>VLOOKUP($B192,'Raw HWF'!$C$2:$Q$195,13,FALSE)</f>
        <v>1.05271315574646</v>
      </c>
      <c r="I192" s="5">
        <f>VLOOKUP($B192,'Raw HWF'!$C$2:$Q$195,14,FALSE)</f>
        <v>140576.859375</v>
      </c>
      <c r="J192" s="5">
        <f>VLOOKUP(B192,'Pop2020'!$D$2:$E$202,2,FALSE)</f>
        <v>29825963.999999996</v>
      </c>
      <c r="K192" s="6">
        <f t="shared" si="6"/>
        <v>3.2797845868444053</v>
      </c>
      <c r="L192" s="2">
        <f t="shared" si="7"/>
        <v>14.370571061968803</v>
      </c>
      <c r="M192" s="3">
        <f t="shared" si="8"/>
        <v>13.10739278793335</v>
      </c>
      <c r="N192">
        <f>VLOOKUP(B192,UHC!$G$2:$X$195,18,FALSE)</f>
        <v>44.33</v>
      </c>
      <c r="O192">
        <f>VLOOKUP(B192,'Covid-19 impact - vaccination'!$B$2:$D$195,2,FALSE)</f>
        <v>1.2290868452734671E-2</v>
      </c>
      <c r="P192">
        <f>VLOOKUP(B192,'Covid-19 impact - vaccination'!$B$2:$D$195,3,FALSE)</f>
        <v>0.18776157384990672</v>
      </c>
    </row>
    <row r="193" spans="1:17" x14ac:dyDescent="0.35">
      <c r="A193" t="str">
        <f>VLOOKUP(B193,'Reference table'!J$2:K$195,2,FALSE)</f>
        <v>South Africa</v>
      </c>
      <c r="B193" t="s">
        <v>431</v>
      </c>
      <c r="C193" t="str">
        <f>VLOOKUP(B193,'Reference table'!C$1:E$195,3,FALSE)</f>
        <v>UMI</v>
      </c>
      <c r="D193" s="2">
        <f>VLOOKUP($B193,'Raw HWF'!$C$2:$Q$195,9,FALSE)</f>
        <v>7.9168944358825684</v>
      </c>
      <c r="E193" s="2">
        <f>VLOOKUP($B193,'Raw HWF'!$C$2:$Q$195,10,FALSE)</f>
        <v>49.733219146728516</v>
      </c>
      <c r="F193" s="2">
        <f>VLOOKUP($B193,'Raw HWF'!$C$2:$Q$195,11,FALSE)</f>
        <v>0</v>
      </c>
      <c r="G193" s="2">
        <f>VLOOKUP($B193,'Raw HWF'!$C$2:$Q$195,12,FALSE)</f>
        <v>1.0861774682998657</v>
      </c>
      <c r="H193" s="2">
        <f>VLOOKUP($B193,'Raw HWF'!$C$2:$Q$195,13,FALSE)</f>
        <v>2.716547966003418</v>
      </c>
      <c r="I193" s="5">
        <f>VLOOKUP($B193,'Raw HWF'!$C$2:$Q$195,14,FALSE)</f>
        <v>47323.21875</v>
      </c>
      <c r="J193" s="5">
        <f>VLOOKUP(B193,'Pop2020'!$D$2:$E$202,2,FALSE)</f>
        <v>59308689.999999993</v>
      </c>
      <c r="K193" s="6">
        <f t="shared" si="6"/>
        <v>0.12984164025782413</v>
      </c>
      <c r="L193" s="2">
        <f t="shared" si="7"/>
        <v>61.452839016914368</v>
      </c>
      <c r="M193" s="3">
        <f t="shared" si="8"/>
        <v>57.650113582611084</v>
      </c>
      <c r="N193">
        <f>VLOOKUP(B193,UHC!$G$2:$X$195,18,FALSE)</f>
        <v>67.47</v>
      </c>
      <c r="O193">
        <f>VLOOKUP(B193,'Covid-19 impact - vaccination'!$B$2:$D$195,2,FALSE)</f>
        <v>0.26762467692339859</v>
      </c>
      <c r="P193">
        <f>VLOOKUP(B193,'Covid-19 impact - vaccination'!$B$2:$D$195,3,FALSE)</f>
        <v>4.1232964944560843E-2</v>
      </c>
    </row>
    <row r="194" spans="1:17" x14ac:dyDescent="0.35">
      <c r="A194" t="str">
        <f>VLOOKUP(B194,'Reference table'!J$2:K$195,2,FALSE)</f>
        <v>Zambia</v>
      </c>
      <c r="B194" t="s">
        <v>476</v>
      </c>
      <c r="C194" t="str">
        <f>VLOOKUP(B194,'Reference table'!C$1:E$195,3,FALSE)</f>
        <v>LIN</v>
      </c>
      <c r="D194" s="2">
        <f>VLOOKUP($B194,'Raw HWF'!$C$2:$Q$195,9,FALSE)</f>
        <v>1.1643677949905396</v>
      </c>
      <c r="E194" s="2">
        <f>VLOOKUP($B194,'Raw HWF'!$C$2:$Q$195,10,FALSE)</f>
        <v>9.917816162109375</v>
      </c>
      <c r="F194" s="2">
        <f>VLOOKUP($B194,'Raw HWF'!$C$2:$Q$195,11,FALSE)</f>
        <v>0.28045976161956787</v>
      </c>
      <c r="G194" s="2">
        <f>VLOOKUP($B194,'Raw HWF'!$C$2:$Q$195,12,FALSE)</f>
        <v>0.26149424910545349</v>
      </c>
      <c r="H194" s="2">
        <f>VLOOKUP($B194,'Raw HWF'!$C$2:$Q$195,13,FALSE)</f>
        <v>0.98160916566848755</v>
      </c>
      <c r="I194" s="5">
        <f>VLOOKUP($B194,'Raw HWF'!$C$2:$Q$195,14,FALSE)</f>
        <v>102644.6640625</v>
      </c>
      <c r="J194" s="5">
        <f>VLOOKUP(B194,'Pop2020'!$D$2:$E$202,2,FALSE)</f>
        <v>18383955</v>
      </c>
      <c r="K194" s="6">
        <f t="shared" si="6"/>
        <v>4.4292361752673299</v>
      </c>
      <c r="L194" s="2">
        <f t="shared" si="7"/>
        <v>12.605747133493423</v>
      </c>
      <c r="M194" s="3">
        <f t="shared" si="8"/>
        <v>11.362643718719482</v>
      </c>
      <c r="N194">
        <f>VLOOKUP(B194,UHC!$G$2:$X$195,18,FALSE)</f>
        <v>54.59</v>
      </c>
      <c r="O194">
        <f>VLOOKUP(B194,'Covid-19 impact - vaccination'!$B$2:$D$195,2,FALSE)</f>
        <v>3.5463805258444114E-2</v>
      </c>
      <c r="P194">
        <f>VLOOKUP(B194,'Covid-19 impact - vaccination'!$B$2:$D$195,3,FALSE)</f>
        <v>7.5162517062857245E-2</v>
      </c>
    </row>
    <row r="195" spans="1:17" x14ac:dyDescent="0.35">
      <c r="A195" t="str">
        <f>VLOOKUP(B195,'Reference table'!J$2:K$195,2,FALSE)</f>
        <v>Zimbabwe</v>
      </c>
      <c r="B195" t="s">
        <v>479</v>
      </c>
      <c r="C195" t="str">
        <f>VLOOKUP(B195,'Reference table'!C$1:E$195,3,FALSE)</f>
        <v>LIN</v>
      </c>
      <c r="D195" s="2">
        <f>VLOOKUP($B195,'Raw HWF'!$C$2:$Q$195,9,FALSE)</f>
        <v>1.9845637083053589</v>
      </c>
      <c r="E195" s="2">
        <f>VLOOKUP($B195,'Raw HWF'!$C$2:$Q$195,10,FALSE)</f>
        <v>15.100000381469727</v>
      </c>
      <c r="F195" s="2">
        <f>VLOOKUP($B195,'Raw HWF'!$C$2:$Q$195,11,FALSE)</f>
        <v>6.236912727355957</v>
      </c>
      <c r="G195" s="2">
        <f>VLOOKUP($B195,'Raw HWF'!$C$2:$Q$195,12,FALSE)</f>
        <v>0.15704697370529175</v>
      </c>
      <c r="H195" s="2">
        <f>VLOOKUP($B195,'Raw HWF'!$C$2:$Q$195,13,FALSE)</f>
        <v>1.073825478553772</v>
      </c>
      <c r="I195" s="5">
        <f>VLOOKUP($B195,'Raw HWF'!$C$2:$Q$195,14,FALSE)</f>
        <v>62603.5859375</v>
      </c>
      <c r="J195" s="5">
        <f>VLOOKUP(B195,'Pop2020'!$D$2:$E$202,2,FALSE)</f>
        <v>14862924</v>
      </c>
      <c r="K195" s="6">
        <f t="shared" ref="K195" si="9">I195/((L195/10000)*J195)</f>
        <v>1.7155441520287151</v>
      </c>
      <c r="L195" s="2">
        <f t="shared" ref="L195" si="10">SUM(D195:H195)</f>
        <v>24.552349269390106</v>
      </c>
      <c r="M195" s="3">
        <f t="shared" ref="M195" si="11">SUM(D195:F195)</f>
        <v>23.321476817131042</v>
      </c>
      <c r="N195">
        <f>VLOOKUP(B195,UHC!$G$2:$X$195,18,FALSE)</f>
        <v>54.77</v>
      </c>
      <c r="O195">
        <f>VLOOKUP(B195,'Covid-19 impact - vaccination'!$B$2:$D$195,2,FALSE)</f>
        <v>0.21057922384585967</v>
      </c>
      <c r="P195">
        <f>VLOOKUP(B195,'Covid-19 impact - vaccination'!$B$2:$D$195,3,FALSE)</f>
        <v>8.3665705192728326E-2</v>
      </c>
    </row>
    <row r="198" spans="1:17" x14ac:dyDescent="0.35">
      <c r="E198" s="1"/>
      <c r="F198" s="1"/>
      <c r="H198" s="1"/>
      <c r="I198" s="1"/>
      <c r="J198" s="1"/>
      <c r="K198" s="1"/>
      <c r="M198" s="1" t="s">
        <v>759</v>
      </c>
    </row>
    <row r="199" spans="1:17" x14ac:dyDescent="0.35">
      <c r="F199" s="2"/>
      <c r="I199" s="2"/>
      <c r="J199" s="2"/>
      <c r="K199" s="2"/>
      <c r="M199" s="3">
        <f>MEDIAN(M2:M195)</f>
        <v>52.977556400350295</v>
      </c>
    </row>
    <row r="200" spans="1:17" x14ac:dyDescent="0.35">
      <c r="F200" s="2"/>
      <c r="I200" s="2"/>
      <c r="J200" s="2"/>
      <c r="K200" s="2"/>
      <c r="N200">
        <f>QUARTILE(N2:N195,1)</f>
        <v>52.307500000000005</v>
      </c>
    </row>
    <row r="201" spans="1:17" x14ac:dyDescent="0.35">
      <c r="F201" s="2"/>
      <c r="I201" s="2"/>
      <c r="J201" s="2"/>
      <c r="K201" s="2"/>
      <c r="P201" t="s">
        <v>791</v>
      </c>
      <c r="Q201" t="s">
        <v>792</v>
      </c>
    </row>
    <row r="202" spans="1:17" x14ac:dyDescent="0.35">
      <c r="F202" s="2"/>
      <c r="I202" s="2"/>
      <c r="J202" s="2"/>
      <c r="K202" s="2"/>
      <c r="M202" t="s">
        <v>556</v>
      </c>
      <c r="N202">
        <f>AVERAGEIF(C2:C195,M202,N2:N195)</f>
        <v>48.531451612903219</v>
      </c>
      <c r="P202" t="s">
        <v>556</v>
      </c>
      <c r="Q202">
        <v>48.366666666666667</v>
      </c>
    </row>
    <row r="203" spans="1:17" x14ac:dyDescent="0.35">
      <c r="M203" t="s">
        <v>560</v>
      </c>
      <c r="N203">
        <f>AVERAGEIF(C2:C195,M203,N2:N195)</f>
        <v>66.113703703703692</v>
      </c>
      <c r="P203" t="s">
        <v>560</v>
      </c>
      <c r="Q203">
        <v>66.226415094339629</v>
      </c>
    </row>
    <row r="204" spans="1:17" x14ac:dyDescent="0.35">
      <c r="D204" s="1"/>
      <c r="M204" t="s">
        <v>558</v>
      </c>
      <c r="N204">
        <f>AVERAGEIF(C2:C195,M204,N2:N195)</f>
        <v>69.457435897435872</v>
      </c>
      <c r="P204" t="s">
        <v>558</v>
      </c>
      <c r="Q204">
        <v>70.82352941176471</v>
      </c>
    </row>
    <row r="205" spans="1:17" x14ac:dyDescent="0.35">
      <c r="M205" t="s">
        <v>552</v>
      </c>
      <c r="N205">
        <f>AVERAGEIF(C2:C195,M205,N2:N195)</f>
        <v>82.292820512820526</v>
      </c>
      <c r="P205" t="s">
        <v>552</v>
      </c>
      <c r="Q205">
        <v>82.444444444444443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9C03-C58B-4E98-8692-F474463CE7EA}">
  <dimension ref="A1:AH1165"/>
  <sheetViews>
    <sheetView zoomScaleNormal="100" workbookViewId="0">
      <selection activeCell="A2" sqref="A2"/>
    </sheetView>
  </sheetViews>
  <sheetFormatPr defaultRowHeight="14.5" x14ac:dyDescent="0.35"/>
  <cols>
    <col min="19" max="19" width="21.54296875" customWidth="1"/>
  </cols>
  <sheetData>
    <row r="1" spans="1:34" x14ac:dyDescent="0.35">
      <c r="A1" t="s">
        <v>848</v>
      </c>
      <c r="B1" t="s">
        <v>786</v>
      </c>
      <c r="C1" t="s">
        <v>849</v>
      </c>
      <c r="D1" t="s">
        <v>850</v>
      </c>
      <c r="E1" t="s">
        <v>851</v>
      </c>
      <c r="F1" t="s">
        <v>852</v>
      </c>
      <c r="G1" t="s">
        <v>853</v>
      </c>
      <c r="H1" t="s">
        <v>854</v>
      </c>
      <c r="I1" t="s">
        <v>855</v>
      </c>
      <c r="J1" t="s">
        <v>856</v>
      </c>
      <c r="K1" t="s">
        <v>857</v>
      </c>
      <c r="L1" t="s">
        <v>858</v>
      </c>
      <c r="M1" t="s">
        <v>859</v>
      </c>
      <c r="N1" t="s">
        <v>860</v>
      </c>
      <c r="O1" t="s">
        <v>861</v>
      </c>
      <c r="P1" t="s">
        <v>862</v>
      </c>
      <c r="Q1" t="s">
        <v>863</v>
      </c>
      <c r="R1" t="s">
        <v>864</v>
      </c>
      <c r="S1" t="s">
        <v>865</v>
      </c>
      <c r="T1" t="s">
        <v>866</v>
      </c>
      <c r="U1" t="s">
        <v>867</v>
      </c>
      <c r="V1" t="s">
        <v>868</v>
      </c>
      <c r="W1" t="s">
        <v>869</v>
      </c>
      <c r="X1" t="s">
        <v>870</v>
      </c>
      <c r="Y1" t="s">
        <v>871</v>
      </c>
      <c r="Z1" t="s">
        <v>872</v>
      </c>
      <c r="AA1" t="s">
        <v>873</v>
      </c>
      <c r="AB1" t="s">
        <v>874</v>
      </c>
      <c r="AC1" t="s">
        <v>875</v>
      </c>
      <c r="AD1" t="s">
        <v>787</v>
      </c>
      <c r="AE1" t="s">
        <v>876</v>
      </c>
      <c r="AF1" t="s">
        <v>877</v>
      </c>
      <c r="AG1" t="s">
        <v>878</v>
      </c>
      <c r="AH1" t="s">
        <v>879</v>
      </c>
    </row>
    <row r="2" spans="1:34" x14ac:dyDescent="0.35">
      <c r="A2" t="s">
        <v>880</v>
      </c>
      <c r="B2" t="s">
        <v>881</v>
      </c>
      <c r="C2" t="s">
        <v>882</v>
      </c>
      <c r="D2" t="s">
        <v>4</v>
      </c>
      <c r="E2" t="s">
        <v>883</v>
      </c>
      <c r="F2" t="s">
        <v>545</v>
      </c>
      <c r="G2" t="s">
        <v>77</v>
      </c>
      <c r="H2" t="s">
        <v>76</v>
      </c>
      <c r="I2" t="s">
        <v>820</v>
      </c>
      <c r="J2">
        <v>2019</v>
      </c>
      <c r="K2" t="b">
        <v>1</v>
      </c>
      <c r="X2">
        <v>27.33</v>
      </c>
      <c r="AD2">
        <v>27</v>
      </c>
      <c r="AG2" t="s">
        <v>884</v>
      </c>
      <c r="AH2" t="s">
        <v>885</v>
      </c>
    </row>
    <row r="3" spans="1:34" x14ac:dyDescent="0.35">
      <c r="A3" t="s">
        <v>880</v>
      </c>
      <c r="B3" t="s">
        <v>881</v>
      </c>
      <c r="C3" t="s">
        <v>882</v>
      </c>
      <c r="D3" t="s">
        <v>25</v>
      </c>
      <c r="E3" t="s">
        <v>886</v>
      </c>
      <c r="F3" t="s">
        <v>545</v>
      </c>
      <c r="G3" t="s">
        <v>249</v>
      </c>
      <c r="H3" t="s">
        <v>248</v>
      </c>
      <c r="I3" t="s">
        <v>820</v>
      </c>
      <c r="J3">
        <v>2019</v>
      </c>
      <c r="K3" t="b">
        <v>1</v>
      </c>
      <c r="X3">
        <v>28.18</v>
      </c>
      <c r="AD3">
        <v>28</v>
      </c>
      <c r="AG3" t="s">
        <v>884</v>
      </c>
      <c r="AH3" t="s">
        <v>885</v>
      </c>
    </row>
    <row r="4" spans="1:34" x14ac:dyDescent="0.35">
      <c r="A4" t="s">
        <v>880</v>
      </c>
      <c r="B4" t="s">
        <v>881</v>
      </c>
      <c r="C4" t="s">
        <v>882</v>
      </c>
      <c r="D4" t="s">
        <v>25</v>
      </c>
      <c r="E4" t="s">
        <v>886</v>
      </c>
      <c r="F4" t="s">
        <v>545</v>
      </c>
      <c r="G4" t="s">
        <v>31</v>
      </c>
      <c r="H4" t="s">
        <v>30</v>
      </c>
      <c r="I4" t="s">
        <v>820</v>
      </c>
      <c r="J4">
        <v>2019</v>
      </c>
      <c r="K4" t="b">
        <v>1</v>
      </c>
      <c r="X4">
        <v>32.46</v>
      </c>
      <c r="AD4">
        <v>32</v>
      </c>
      <c r="AG4" t="s">
        <v>884</v>
      </c>
      <c r="AH4" t="s">
        <v>885</v>
      </c>
    </row>
    <row r="5" spans="1:34" x14ac:dyDescent="0.35">
      <c r="A5" t="s">
        <v>880</v>
      </c>
      <c r="B5" t="s">
        <v>881</v>
      </c>
      <c r="C5" t="s">
        <v>882</v>
      </c>
      <c r="D5" t="s">
        <v>25</v>
      </c>
      <c r="E5" t="s">
        <v>886</v>
      </c>
      <c r="F5" t="s">
        <v>545</v>
      </c>
      <c r="G5" t="s">
        <v>434</v>
      </c>
      <c r="H5" t="s">
        <v>433</v>
      </c>
      <c r="I5" t="s">
        <v>820</v>
      </c>
      <c r="J5">
        <v>2019</v>
      </c>
      <c r="K5" t="b">
        <v>1</v>
      </c>
      <c r="X5">
        <v>31.83</v>
      </c>
      <c r="AD5">
        <v>32</v>
      </c>
      <c r="AG5" t="s">
        <v>884</v>
      </c>
      <c r="AH5" t="s">
        <v>885</v>
      </c>
    </row>
    <row r="6" spans="1:34" x14ac:dyDescent="0.35">
      <c r="A6" t="s">
        <v>880</v>
      </c>
      <c r="B6" t="s">
        <v>881</v>
      </c>
      <c r="C6" t="s">
        <v>882</v>
      </c>
      <c r="D6" t="s">
        <v>0</v>
      </c>
      <c r="E6" t="s">
        <v>887</v>
      </c>
      <c r="F6" t="s">
        <v>545</v>
      </c>
      <c r="G6" t="s">
        <v>107</v>
      </c>
      <c r="H6" t="s">
        <v>106</v>
      </c>
      <c r="I6" t="s">
        <v>820</v>
      </c>
      <c r="J6">
        <v>2019</v>
      </c>
      <c r="K6" t="b">
        <v>1</v>
      </c>
      <c r="X6">
        <v>33.42</v>
      </c>
      <c r="AD6">
        <v>33</v>
      </c>
      <c r="AG6" t="s">
        <v>884</v>
      </c>
      <c r="AH6" t="s">
        <v>885</v>
      </c>
    </row>
    <row r="7" spans="1:34" x14ac:dyDescent="0.35">
      <c r="A7" t="s">
        <v>880</v>
      </c>
      <c r="B7" t="s">
        <v>881</v>
      </c>
      <c r="C7" t="s">
        <v>882</v>
      </c>
      <c r="D7" t="s">
        <v>25</v>
      </c>
      <c r="E7" t="s">
        <v>886</v>
      </c>
      <c r="F7" t="s">
        <v>545</v>
      </c>
      <c r="G7" t="s">
        <v>351</v>
      </c>
      <c r="H7" t="s">
        <v>350</v>
      </c>
      <c r="I7" t="s">
        <v>820</v>
      </c>
      <c r="J7">
        <v>2019</v>
      </c>
      <c r="K7" t="b">
        <v>1</v>
      </c>
      <c r="X7">
        <v>34.65</v>
      </c>
      <c r="AD7">
        <v>35</v>
      </c>
      <c r="AG7" t="s">
        <v>884</v>
      </c>
      <c r="AH7" t="s">
        <v>885</v>
      </c>
    </row>
    <row r="8" spans="1:34" x14ac:dyDescent="0.35">
      <c r="A8" t="s">
        <v>880</v>
      </c>
      <c r="B8" t="s">
        <v>881</v>
      </c>
      <c r="C8" t="s">
        <v>882</v>
      </c>
      <c r="D8" t="s">
        <v>4</v>
      </c>
      <c r="E8" t="s">
        <v>883</v>
      </c>
      <c r="F8" t="s">
        <v>545</v>
      </c>
      <c r="G8" t="s">
        <v>114</v>
      </c>
      <c r="H8" t="s">
        <v>113</v>
      </c>
      <c r="I8" t="s">
        <v>820</v>
      </c>
      <c r="J8">
        <v>2019</v>
      </c>
      <c r="K8" t="b">
        <v>1</v>
      </c>
      <c r="X8">
        <v>37.33</v>
      </c>
      <c r="AD8">
        <v>37</v>
      </c>
      <c r="AG8" t="s">
        <v>884</v>
      </c>
      <c r="AH8" t="s">
        <v>885</v>
      </c>
    </row>
    <row r="9" spans="1:34" x14ac:dyDescent="0.35">
      <c r="A9" t="s">
        <v>880</v>
      </c>
      <c r="B9" t="s">
        <v>881</v>
      </c>
      <c r="C9" t="s">
        <v>882</v>
      </c>
      <c r="D9" t="s">
        <v>25</v>
      </c>
      <c r="E9" t="s">
        <v>886</v>
      </c>
      <c r="F9" t="s">
        <v>545</v>
      </c>
      <c r="G9" t="s">
        <v>301</v>
      </c>
      <c r="H9" t="s">
        <v>300</v>
      </c>
      <c r="I9" t="s">
        <v>820</v>
      </c>
      <c r="J9">
        <v>2019</v>
      </c>
      <c r="K9" t="b">
        <v>1</v>
      </c>
      <c r="X9">
        <v>37.19</v>
      </c>
      <c r="AD9">
        <v>37</v>
      </c>
      <c r="AG9" t="s">
        <v>884</v>
      </c>
      <c r="AH9" t="s">
        <v>885</v>
      </c>
    </row>
    <row r="10" spans="1:34" x14ac:dyDescent="0.35">
      <c r="A10" t="s">
        <v>880</v>
      </c>
      <c r="B10" t="s">
        <v>881</v>
      </c>
      <c r="C10" t="s">
        <v>882</v>
      </c>
      <c r="D10" t="s">
        <v>25</v>
      </c>
      <c r="E10" t="s">
        <v>886</v>
      </c>
      <c r="F10" t="s">
        <v>545</v>
      </c>
      <c r="G10" t="s">
        <v>304</v>
      </c>
      <c r="H10" t="s">
        <v>303</v>
      </c>
      <c r="I10" t="s">
        <v>820</v>
      </c>
      <c r="J10">
        <v>2019</v>
      </c>
      <c r="K10" t="b">
        <v>1</v>
      </c>
      <c r="X10">
        <v>37.1</v>
      </c>
      <c r="AD10">
        <v>37</v>
      </c>
      <c r="AG10" t="s">
        <v>884</v>
      </c>
      <c r="AH10" t="s">
        <v>885</v>
      </c>
    </row>
    <row r="11" spans="1:34" x14ac:dyDescent="0.35">
      <c r="A11" t="s">
        <v>880</v>
      </c>
      <c r="B11" t="s">
        <v>881</v>
      </c>
      <c r="C11" t="s">
        <v>882</v>
      </c>
      <c r="D11" t="s">
        <v>25</v>
      </c>
      <c r="E11" t="s">
        <v>886</v>
      </c>
      <c r="F11" t="s">
        <v>545</v>
      </c>
      <c r="G11" t="s">
        <v>446</v>
      </c>
      <c r="H11" t="s">
        <v>445</v>
      </c>
      <c r="I11" t="s">
        <v>820</v>
      </c>
      <c r="J11">
        <v>2019</v>
      </c>
      <c r="K11" t="b">
        <v>1</v>
      </c>
      <c r="X11">
        <v>37.369999999999997</v>
      </c>
      <c r="AD11">
        <v>37</v>
      </c>
      <c r="AG11" t="s">
        <v>884</v>
      </c>
      <c r="AH11" t="s">
        <v>885</v>
      </c>
    </row>
    <row r="12" spans="1:34" x14ac:dyDescent="0.35">
      <c r="A12" t="s">
        <v>880</v>
      </c>
      <c r="B12" t="s">
        <v>881</v>
      </c>
      <c r="C12" t="s">
        <v>882</v>
      </c>
      <c r="D12" t="s">
        <v>25</v>
      </c>
      <c r="E12" t="s">
        <v>886</v>
      </c>
      <c r="F12" t="s">
        <v>545</v>
      </c>
      <c r="G12" t="s">
        <v>231</v>
      </c>
      <c r="H12" t="s">
        <v>230</v>
      </c>
      <c r="I12" t="s">
        <v>820</v>
      </c>
      <c r="J12">
        <v>2019</v>
      </c>
      <c r="K12" t="b">
        <v>1</v>
      </c>
      <c r="X12">
        <v>38.200000000000003</v>
      </c>
      <c r="AD12">
        <v>38</v>
      </c>
      <c r="AG12" t="s">
        <v>884</v>
      </c>
      <c r="AH12" t="s">
        <v>885</v>
      </c>
    </row>
    <row r="13" spans="1:34" x14ac:dyDescent="0.35">
      <c r="A13" t="s">
        <v>880</v>
      </c>
      <c r="B13" t="s">
        <v>881</v>
      </c>
      <c r="C13" t="s">
        <v>882</v>
      </c>
      <c r="D13" t="s">
        <v>25</v>
      </c>
      <c r="E13" t="s">
        <v>886</v>
      </c>
      <c r="F13" t="s">
        <v>545</v>
      </c>
      <c r="G13" t="s">
        <v>65</v>
      </c>
      <c r="H13" t="s">
        <v>64</v>
      </c>
      <c r="I13" t="s">
        <v>820</v>
      </c>
      <c r="J13">
        <v>2019</v>
      </c>
      <c r="K13" t="b">
        <v>1</v>
      </c>
      <c r="X13">
        <v>38.130000000000003</v>
      </c>
      <c r="AD13">
        <v>38</v>
      </c>
      <c r="AG13" t="s">
        <v>884</v>
      </c>
      <c r="AH13" t="s">
        <v>885</v>
      </c>
    </row>
    <row r="14" spans="1:34" x14ac:dyDescent="0.35">
      <c r="A14" t="s">
        <v>880</v>
      </c>
      <c r="B14" t="s">
        <v>881</v>
      </c>
      <c r="C14" t="s">
        <v>882</v>
      </c>
      <c r="D14" t="s">
        <v>25</v>
      </c>
      <c r="E14" t="s">
        <v>886</v>
      </c>
      <c r="F14" t="s">
        <v>545</v>
      </c>
      <c r="G14" t="s">
        <v>216</v>
      </c>
      <c r="H14" t="s">
        <v>215</v>
      </c>
      <c r="I14" t="s">
        <v>820</v>
      </c>
      <c r="J14">
        <v>2019</v>
      </c>
      <c r="K14" t="b">
        <v>1</v>
      </c>
      <c r="X14">
        <v>38.69</v>
      </c>
      <c r="AD14">
        <v>39</v>
      </c>
      <c r="AG14" t="s">
        <v>884</v>
      </c>
      <c r="AH14" t="s">
        <v>885</v>
      </c>
    </row>
    <row r="15" spans="1:34" x14ac:dyDescent="0.35">
      <c r="A15" t="s">
        <v>880</v>
      </c>
      <c r="B15" t="s">
        <v>881</v>
      </c>
      <c r="C15" t="s">
        <v>882</v>
      </c>
      <c r="D15" t="s">
        <v>25</v>
      </c>
      <c r="E15" t="s">
        <v>886</v>
      </c>
      <c r="F15" t="s">
        <v>545</v>
      </c>
      <c r="G15" t="s">
        <v>50</v>
      </c>
      <c r="H15" t="s">
        <v>49</v>
      </c>
      <c r="I15" t="s">
        <v>820</v>
      </c>
      <c r="J15">
        <v>2019</v>
      </c>
      <c r="K15" t="b">
        <v>1</v>
      </c>
      <c r="X15">
        <v>38.549999999999997</v>
      </c>
      <c r="AD15">
        <v>39</v>
      </c>
      <c r="AG15" t="s">
        <v>884</v>
      </c>
      <c r="AH15" t="s">
        <v>885</v>
      </c>
    </row>
    <row r="16" spans="1:34" x14ac:dyDescent="0.35">
      <c r="A16" t="s">
        <v>880</v>
      </c>
      <c r="B16" t="s">
        <v>881</v>
      </c>
      <c r="C16" t="s">
        <v>882</v>
      </c>
      <c r="D16" t="s">
        <v>25</v>
      </c>
      <c r="E16" t="s">
        <v>886</v>
      </c>
      <c r="F16" t="s">
        <v>545</v>
      </c>
      <c r="G16" t="s">
        <v>422</v>
      </c>
      <c r="H16" t="s">
        <v>421</v>
      </c>
      <c r="I16" t="s">
        <v>820</v>
      </c>
      <c r="J16">
        <v>2019</v>
      </c>
      <c r="K16" t="b">
        <v>1</v>
      </c>
      <c r="X16">
        <v>39.11</v>
      </c>
      <c r="AD16">
        <v>39</v>
      </c>
      <c r="AG16" t="s">
        <v>884</v>
      </c>
      <c r="AH16" t="s">
        <v>885</v>
      </c>
    </row>
    <row r="17" spans="1:34" x14ac:dyDescent="0.35">
      <c r="A17" t="s">
        <v>880</v>
      </c>
      <c r="B17" t="s">
        <v>881</v>
      </c>
      <c r="C17" t="s">
        <v>882</v>
      </c>
      <c r="D17" t="s">
        <v>25</v>
      </c>
      <c r="E17" t="s">
        <v>886</v>
      </c>
      <c r="F17" t="s">
        <v>545</v>
      </c>
      <c r="G17" t="s">
        <v>443</v>
      </c>
      <c r="H17" t="s">
        <v>442</v>
      </c>
      <c r="I17" t="s">
        <v>820</v>
      </c>
      <c r="J17">
        <v>2019</v>
      </c>
      <c r="K17" t="b">
        <v>1</v>
      </c>
      <c r="X17">
        <v>40.49</v>
      </c>
      <c r="AD17">
        <v>40</v>
      </c>
      <c r="AG17" t="s">
        <v>884</v>
      </c>
      <c r="AH17" t="s">
        <v>885</v>
      </c>
    </row>
    <row r="18" spans="1:34" x14ac:dyDescent="0.35">
      <c r="A18" t="s">
        <v>880</v>
      </c>
      <c r="B18" t="s">
        <v>881</v>
      </c>
      <c r="C18" t="s">
        <v>882</v>
      </c>
      <c r="D18" t="s">
        <v>25</v>
      </c>
      <c r="E18" t="s">
        <v>886</v>
      </c>
      <c r="F18" t="s">
        <v>545</v>
      </c>
      <c r="G18" t="s">
        <v>120</v>
      </c>
      <c r="H18" t="s">
        <v>119</v>
      </c>
      <c r="I18" t="s">
        <v>820</v>
      </c>
      <c r="J18">
        <v>2019</v>
      </c>
      <c r="K18" t="b">
        <v>1</v>
      </c>
      <c r="X18">
        <v>39.57</v>
      </c>
      <c r="AD18">
        <v>40</v>
      </c>
      <c r="AG18" t="s">
        <v>884</v>
      </c>
      <c r="AH18" t="s">
        <v>885</v>
      </c>
    </row>
    <row r="19" spans="1:34" x14ac:dyDescent="0.35">
      <c r="A19" t="s">
        <v>880</v>
      </c>
      <c r="B19" t="s">
        <v>881</v>
      </c>
      <c r="C19" t="s">
        <v>882</v>
      </c>
      <c r="D19" t="s">
        <v>25</v>
      </c>
      <c r="E19" t="s">
        <v>886</v>
      </c>
      <c r="F19" t="s">
        <v>545</v>
      </c>
      <c r="G19" t="s">
        <v>345</v>
      </c>
      <c r="H19" t="s">
        <v>344</v>
      </c>
      <c r="I19" t="s">
        <v>820</v>
      </c>
      <c r="J19">
        <v>2019</v>
      </c>
      <c r="K19" t="b">
        <v>1</v>
      </c>
      <c r="X19">
        <v>41.87</v>
      </c>
      <c r="AD19">
        <v>42</v>
      </c>
      <c r="AG19" t="s">
        <v>884</v>
      </c>
      <c r="AH19" t="s">
        <v>885</v>
      </c>
    </row>
    <row r="20" spans="1:34" x14ac:dyDescent="0.35">
      <c r="A20" t="s">
        <v>880</v>
      </c>
      <c r="B20" t="s">
        <v>881</v>
      </c>
      <c r="C20" t="s">
        <v>882</v>
      </c>
      <c r="D20" t="s">
        <v>25</v>
      </c>
      <c r="E20" t="s">
        <v>886</v>
      </c>
      <c r="F20" t="s">
        <v>545</v>
      </c>
      <c r="G20" t="s">
        <v>360</v>
      </c>
      <c r="H20" t="s">
        <v>359</v>
      </c>
      <c r="I20" t="s">
        <v>820</v>
      </c>
      <c r="J20">
        <v>2019</v>
      </c>
      <c r="K20" t="b">
        <v>1</v>
      </c>
      <c r="X20">
        <v>41.55</v>
      </c>
      <c r="AD20">
        <v>42</v>
      </c>
      <c r="AG20" t="s">
        <v>884</v>
      </c>
      <c r="AH20" t="s">
        <v>885</v>
      </c>
    </row>
    <row r="21" spans="1:34" x14ac:dyDescent="0.35">
      <c r="A21" t="s">
        <v>880</v>
      </c>
      <c r="B21" t="s">
        <v>881</v>
      </c>
      <c r="C21" t="s">
        <v>882</v>
      </c>
      <c r="D21" t="s">
        <v>25</v>
      </c>
      <c r="E21" t="s">
        <v>886</v>
      </c>
      <c r="F21" t="s">
        <v>545</v>
      </c>
      <c r="G21" t="s">
        <v>27</v>
      </c>
      <c r="H21" t="s">
        <v>26</v>
      </c>
      <c r="I21" t="s">
        <v>820</v>
      </c>
      <c r="J21">
        <v>2019</v>
      </c>
      <c r="K21" t="b">
        <v>1</v>
      </c>
      <c r="X21">
        <v>43.19</v>
      </c>
      <c r="AD21">
        <v>43</v>
      </c>
      <c r="AG21" t="s">
        <v>884</v>
      </c>
      <c r="AH21" t="s">
        <v>885</v>
      </c>
    </row>
    <row r="22" spans="1:34" x14ac:dyDescent="0.35">
      <c r="A22" t="s">
        <v>880</v>
      </c>
      <c r="B22" t="s">
        <v>881</v>
      </c>
      <c r="C22" t="s">
        <v>882</v>
      </c>
      <c r="D22" t="s">
        <v>25</v>
      </c>
      <c r="E22" t="s">
        <v>886</v>
      </c>
      <c r="F22" t="s">
        <v>545</v>
      </c>
      <c r="G22" t="s">
        <v>280</v>
      </c>
      <c r="H22" t="s">
        <v>279</v>
      </c>
      <c r="I22" t="s">
        <v>820</v>
      </c>
      <c r="J22">
        <v>2019</v>
      </c>
      <c r="K22" t="b">
        <v>1</v>
      </c>
      <c r="X22">
        <v>43.24</v>
      </c>
      <c r="AD22">
        <v>43</v>
      </c>
      <c r="AG22" t="s">
        <v>884</v>
      </c>
      <c r="AH22" t="s">
        <v>885</v>
      </c>
    </row>
    <row r="23" spans="1:34" x14ac:dyDescent="0.35">
      <c r="A23" t="s">
        <v>880</v>
      </c>
      <c r="B23" t="s">
        <v>881</v>
      </c>
      <c r="C23" t="s">
        <v>882</v>
      </c>
      <c r="D23" t="s">
        <v>25</v>
      </c>
      <c r="E23" t="s">
        <v>886</v>
      </c>
      <c r="F23" t="s">
        <v>545</v>
      </c>
      <c r="G23" t="s">
        <v>240</v>
      </c>
      <c r="H23" t="s">
        <v>239</v>
      </c>
      <c r="I23" t="s">
        <v>820</v>
      </c>
      <c r="J23">
        <v>2019</v>
      </c>
      <c r="K23" t="b">
        <v>1</v>
      </c>
      <c r="X23">
        <v>44.37</v>
      </c>
      <c r="AD23">
        <v>44</v>
      </c>
      <c r="AG23" t="s">
        <v>884</v>
      </c>
      <c r="AH23" t="s">
        <v>885</v>
      </c>
    </row>
    <row r="24" spans="1:34" x14ac:dyDescent="0.35">
      <c r="A24" t="s">
        <v>880</v>
      </c>
      <c r="B24" t="s">
        <v>881</v>
      </c>
      <c r="C24" t="s">
        <v>882</v>
      </c>
      <c r="D24" t="s">
        <v>25</v>
      </c>
      <c r="E24" t="s">
        <v>886</v>
      </c>
      <c r="F24" t="s">
        <v>545</v>
      </c>
      <c r="G24" t="s">
        <v>246</v>
      </c>
      <c r="H24" t="s">
        <v>245</v>
      </c>
      <c r="I24" t="s">
        <v>820</v>
      </c>
      <c r="J24">
        <v>2019</v>
      </c>
      <c r="K24" t="b">
        <v>1</v>
      </c>
      <c r="X24">
        <v>44.31</v>
      </c>
      <c r="AD24">
        <v>44</v>
      </c>
      <c r="AG24" t="s">
        <v>884</v>
      </c>
      <c r="AH24" t="s">
        <v>885</v>
      </c>
    </row>
    <row r="25" spans="1:34" x14ac:dyDescent="0.35">
      <c r="A25" t="s">
        <v>880</v>
      </c>
      <c r="B25" t="s">
        <v>881</v>
      </c>
      <c r="C25" t="s">
        <v>882</v>
      </c>
      <c r="D25" t="s">
        <v>25</v>
      </c>
      <c r="E25" t="s">
        <v>886</v>
      </c>
      <c r="F25" t="s">
        <v>545</v>
      </c>
      <c r="G25" t="s">
        <v>532</v>
      </c>
      <c r="H25" t="s">
        <v>531</v>
      </c>
      <c r="I25" t="s">
        <v>820</v>
      </c>
      <c r="J25">
        <v>2019</v>
      </c>
      <c r="K25" t="b">
        <v>1</v>
      </c>
      <c r="X25">
        <v>43.63</v>
      </c>
      <c r="AD25">
        <v>44</v>
      </c>
      <c r="AG25" t="s">
        <v>884</v>
      </c>
      <c r="AH25" t="s">
        <v>885</v>
      </c>
    </row>
    <row r="26" spans="1:34" x14ac:dyDescent="0.35">
      <c r="A26" t="s">
        <v>880</v>
      </c>
      <c r="B26" t="s">
        <v>881</v>
      </c>
      <c r="C26" t="s">
        <v>882</v>
      </c>
      <c r="D26" t="s">
        <v>25</v>
      </c>
      <c r="E26" t="s">
        <v>886</v>
      </c>
      <c r="F26" t="s">
        <v>545</v>
      </c>
      <c r="G26" t="s">
        <v>74</v>
      </c>
      <c r="H26" t="s">
        <v>73</v>
      </c>
      <c r="I26" t="s">
        <v>820</v>
      </c>
      <c r="J26">
        <v>2019</v>
      </c>
      <c r="K26" t="b">
        <v>1</v>
      </c>
      <c r="X26">
        <v>44.49</v>
      </c>
      <c r="AD26">
        <v>44</v>
      </c>
      <c r="AG26" t="s">
        <v>884</v>
      </c>
      <c r="AH26" t="s">
        <v>885</v>
      </c>
    </row>
    <row r="27" spans="1:34" x14ac:dyDescent="0.35">
      <c r="A27" t="s">
        <v>880</v>
      </c>
      <c r="B27" t="s">
        <v>881</v>
      </c>
      <c r="C27" t="s">
        <v>882</v>
      </c>
      <c r="D27" t="s">
        <v>4</v>
      </c>
      <c r="E27" t="s">
        <v>883</v>
      </c>
      <c r="F27" t="s">
        <v>545</v>
      </c>
      <c r="G27" t="s">
        <v>449</v>
      </c>
      <c r="H27" t="s">
        <v>448</v>
      </c>
      <c r="I27" t="s">
        <v>820</v>
      </c>
      <c r="J27">
        <v>2019</v>
      </c>
      <c r="K27" t="b">
        <v>1</v>
      </c>
      <c r="X27">
        <v>43.78</v>
      </c>
      <c r="AD27">
        <v>44</v>
      </c>
      <c r="AG27" t="s">
        <v>884</v>
      </c>
      <c r="AH27" t="s">
        <v>885</v>
      </c>
    </row>
    <row r="28" spans="1:34" x14ac:dyDescent="0.35">
      <c r="A28" t="s">
        <v>880</v>
      </c>
      <c r="B28" t="s">
        <v>881</v>
      </c>
      <c r="C28" t="s">
        <v>882</v>
      </c>
      <c r="D28" t="s">
        <v>25</v>
      </c>
      <c r="E28" t="s">
        <v>886</v>
      </c>
      <c r="F28" t="s">
        <v>545</v>
      </c>
      <c r="G28" t="s">
        <v>523</v>
      </c>
      <c r="H28" t="s">
        <v>522</v>
      </c>
      <c r="I28" t="s">
        <v>820</v>
      </c>
      <c r="J28">
        <v>2019</v>
      </c>
      <c r="K28" t="b">
        <v>1</v>
      </c>
      <c r="X28">
        <v>44.23</v>
      </c>
      <c r="AD28">
        <v>44</v>
      </c>
      <c r="AG28" t="s">
        <v>884</v>
      </c>
      <c r="AH28" t="s">
        <v>885</v>
      </c>
    </row>
    <row r="29" spans="1:34" x14ac:dyDescent="0.35">
      <c r="A29" t="s">
        <v>880</v>
      </c>
      <c r="B29" t="s">
        <v>881</v>
      </c>
      <c r="C29" t="s">
        <v>882</v>
      </c>
      <c r="D29" t="s">
        <v>4</v>
      </c>
      <c r="E29" t="s">
        <v>883</v>
      </c>
      <c r="F29" t="s">
        <v>545</v>
      </c>
      <c r="G29" t="s">
        <v>473</v>
      </c>
      <c r="H29" t="s">
        <v>472</v>
      </c>
      <c r="I29" t="s">
        <v>820</v>
      </c>
      <c r="J29">
        <v>2019</v>
      </c>
      <c r="K29" t="b">
        <v>1</v>
      </c>
      <c r="X29">
        <v>44.33</v>
      </c>
      <c r="AD29">
        <v>44</v>
      </c>
      <c r="AG29" t="s">
        <v>884</v>
      </c>
      <c r="AH29" t="s">
        <v>885</v>
      </c>
    </row>
    <row r="30" spans="1:34" x14ac:dyDescent="0.35">
      <c r="A30" t="s">
        <v>880</v>
      </c>
      <c r="B30" t="s">
        <v>881</v>
      </c>
      <c r="C30" t="s">
        <v>882</v>
      </c>
      <c r="D30" t="s">
        <v>25</v>
      </c>
      <c r="E30" t="s">
        <v>886</v>
      </c>
      <c r="F30" t="s">
        <v>545</v>
      </c>
      <c r="G30" t="s">
        <v>268</v>
      </c>
      <c r="H30" t="s">
        <v>888</v>
      </c>
      <c r="I30" t="s">
        <v>820</v>
      </c>
      <c r="J30">
        <v>2019</v>
      </c>
      <c r="K30" t="b">
        <v>1</v>
      </c>
      <c r="X30">
        <v>45.44</v>
      </c>
      <c r="AD30">
        <v>45</v>
      </c>
      <c r="AG30" t="s">
        <v>884</v>
      </c>
      <c r="AH30" t="s">
        <v>885</v>
      </c>
    </row>
    <row r="31" spans="1:34" x14ac:dyDescent="0.35">
      <c r="A31" t="s">
        <v>880</v>
      </c>
      <c r="B31" t="s">
        <v>881</v>
      </c>
      <c r="C31" t="s">
        <v>882</v>
      </c>
      <c r="D31" t="s">
        <v>25</v>
      </c>
      <c r="E31" t="s">
        <v>886</v>
      </c>
      <c r="F31" t="s">
        <v>545</v>
      </c>
      <c r="G31" t="s">
        <v>295</v>
      </c>
      <c r="H31" t="s">
        <v>294</v>
      </c>
      <c r="I31" t="s">
        <v>820</v>
      </c>
      <c r="J31">
        <v>2019</v>
      </c>
      <c r="K31" t="b">
        <v>1</v>
      </c>
      <c r="X31">
        <v>45.09</v>
      </c>
      <c r="AD31">
        <v>45</v>
      </c>
      <c r="AG31" t="s">
        <v>884</v>
      </c>
      <c r="AH31" t="s">
        <v>885</v>
      </c>
    </row>
    <row r="32" spans="1:34" x14ac:dyDescent="0.35">
      <c r="A32" t="s">
        <v>880</v>
      </c>
      <c r="B32" t="s">
        <v>881</v>
      </c>
      <c r="C32" t="s">
        <v>882</v>
      </c>
      <c r="D32" t="s">
        <v>4</v>
      </c>
      <c r="E32" t="s">
        <v>883</v>
      </c>
      <c r="F32" t="s">
        <v>545</v>
      </c>
      <c r="G32" t="s">
        <v>123</v>
      </c>
      <c r="H32" t="s">
        <v>122</v>
      </c>
      <c r="I32" t="s">
        <v>820</v>
      </c>
      <c r="J32">
        <v>2019</v>
      </c>
      <c r="K32" t="b">
        <v>1</v>
      </c>
      <c r="X32">
        <v>44.97</v>
      </c>
      <c r="AD32">
        <v>45</v>
      </c>
      <c r="AG32" t="s">
        <v>884</v>
      </c>
      <c r="AH32" t="s">
        <v>885</v>
      </c>
    </row>
    <row r="33" spans="1:34" x14ac:dyDescent="0.35">
      <c r="A33" t="s">
        <v>880</v>
      </c>
      <c r="B33" t="s">
        <v>881</v>
      </c>
      <c r="C33" t="s">
        <v>882</v>
      </c>
      <c r="D33" t="s">
        <v>25</v>
      </c>
      <c r="E33" t="s">
        <v>886</v>
      </c>
      <c r="F33" t="s">
        <v>545</v>
      </c>
      <c r="G33" t="s">
        <v>541</v>
      </c>
      <c r="H33" t="s">
        <v>540</v>
      </c>
      <c r="I33" t="s">
        <v>820</v>
      </c>
      <c r="J33">
        <v>2019</v>
      </c>
      <c r="K33" t="b">
        <v>1</v>
      </c>
      <c r="X33">
        <v>46.41</v>
      </c>
      <c r="AD33">
        <v>46</v>
      </c>
      <c r="AG33" t="s">
        <v>884</v>
      </c>
      <c r="AH33" t="s">
        <v>885</v>
      </c>
    </row>
    <row r="34" spans="1:34" x14ac:dyDescent="0.35">
      <c r="A34" t="s">
        <v>880</v>
      </c>
      <c r="B34" t="s">
        <v>881</v>
      </c>
      <c r="C34" t="s">
        <v>882</v>
      </c>
      <c r="D34" t="s">
        <v>1</v>
      </c>
      <c r="E34" t="s">
        <v>889</v>
      </c>
      <c r="F34" t="s">
        <v>545</v>
      </c>
      <c r="G34" t="s">
        <v>310</v>
      </c>
      <c r="H34" t="s">
        <v>309</v>
      </c>
      <c r="I34" t="s">
        <v>820</v>
      </c>
      <c r="J34">
        <v>2019</v>
      </c>
      <c r="K34" t="b">
        <v>1</v>
      </c>
      <c r="X34">
        <v>46.8</v>
      </c>
      <c r="AD34">
        <v>47</v>
      </c>
      <c r="AG34" t="s">
        <v>884</v>
      </c>
      <c r="AH34" t="s">
        <v>885</v>
      </c>
    </row>
    <row r="35" spans="1:34" x14ac:dyDescent="0.35">
      <c r="A35" t="s">
        <v>880</v>
      </c>
      <c r="B35" t="s">
        <v>881</v>
      </c>
      <c r="C35" t="s">
        <v>882</v>
      </c>
      <c r="D35" t="s">
        <v>25</v>
      </c>
      <c r="E35" t="s">
        <v>886</v>
      </c>
      <c r="F35" t="s">
        <v>545</v>
      </c>
      <c r="G35" t="s">
        <v>371</v>
      </c>
      <c r="H35" t="s">
        <v>370</v>
      </c>
      <c r="I35" t="s">
        <v>820</v>
      </c>
      <c r="J35">
        <v>2019</v>
      </c>
      <c r="K35" t="b">
        <v>1</v>
      </c>
      <c r="X35">
        <v>46.8</v>
      </c>
      <c r="AD35">
        <v>47</v>
      </c>
      <c r="AG35" t="s">
        <v>884</v>
      </c>
      <c r="AH35" t="s">
        <v>885</v>
      </c>
    </row>
    <row r="36" spans="1:34" x14ac:dyDescent="0.35">
      <c r="A36" t="s">
        <v>880</v>
      </c>
      <c r="B36" t="s">
        <v>881</v>
      </c>
      <c r="C36" t="s">
        <v>882</v>
      </c>
      <c r="D36" t="s">
        <v>4</v>
      </c>
      <c r="E36" t="s">
        <v>883</v>
      </c>
      <c r="F36" t="s">
        <v>545</v>
      </c>
      <c r="G36" t="s">
        <v>271</v>
      </c>
      <c r="H36" t="s">
        <v>270</v>
      </c>
      <c r="I36" t="s">
        <v>820</v>
      </c>
      <c r="J36">
        <v>2019</v>
      </c>
      <c r="K36" t="b">
        <v>1</v>
      </c>
      <c r="X36">
        <v>48.14</v>
      </c>
      <c r="AD36">
        <v>48</v>
      </c>
      <c r="AG36" t="s">
        <v>884</v>
      </c>
      <c r="AH36" t="s">
        <v>885</v>
      </c>
    </row>
    <row r="37" spans="1:34" x14ac:dyDescent="0.35">
      <c r="A37" t="s">
        <v>880</v>
      </c>
      <c r="B37" t="s">
        <v>881</v>
      </c>
      <c r="C37" t="s">
        <v>882</v>
      </c>
      <c r="D37" t="s">
        <v>25</v>
      </c>
      <c r="E37" t="s">
        <v>886</v>
      </c>
      <c r="F37" t="s">
        <v>545</v>
      </c>
      <c r="G37" t="s">
        <v>292</v>
      </c>
      <c r="H37" t="s">
        <v>291</v>
      </c>
      <c r="I37" t="s">
        <v>820</v>
      </c>
      <c r="J37">
        <v>2019</v>
      </c>
      <c r="K37" t="b">
        <v>1</v>
      </c>
      <c r="X37">
        <v>47.78</v>
      </c>
      <c r="AD37">
        <v>48</v>
      </c>
      <c r="AG37" t="s">
        <v>884</v>
      </c>
      <c r="AH37" t="s">
        <v>885</v>
      </c>
    </row>
    <row r="38" spans="1:34" x14ac:dyDescent="0.35">
      <c r="A38" t="s">
        <v>880</v>
      </c>
      <c r="B38" t="s">
        <v>881</v>
      </c>
      <c r="C38" t="s">
        <v>882</v>
      </c>
      <c r="D38" t="s">
        <v>25</v>
      </c>
      <c r="E38" t="s">
        <v>886</v>
      </c>
      <c r="F38" t="s">
        <v>545</v>
      </c>
      <c r="G38" t="s">
        <v>150</v>
      </c>
      <c r="H38" t="s">
        <v>149</v>
      </c>
      <c r="I38" t="s">
        <v>820</v>
      </c>
      <c r="J38">
        <v>2019</v>
      </c>
      <c r="K38" t="b">
        <v>1</v>
      </c>
      <c r="X38">
        <v>48.09</v>
      </c>
      <c r="AD38">
        <v>48</v>
      </c>
      <c r="AG38" t="s">
        <v>884</v>
      </c>
      <c r="AH38" t="s">
        <v>885</v>
      </c>
    </row>
    <row r="39" spans="1:34" x14ac:dyDescent="0.35">
      <c r="A39" t="s">
        <v>880</v>
      </c>
      <c r="B39" t="s">
        <v>881</v>
      </c>
      <c r="C39" t="s">
        <v>882</v>
      </c>
      <c r="D39" t="s">
        <v>25</v>
      </c>
      <c r="E39" t="s">
        <v>886</v>
      </c>
      <c r="F39" t="s">
        <v>545</v>
      </c>
      <c r="G39" t="s">
        <v>354</v>
      </c>
      <c r="H39" t="s">
        <v>353</v>
      </c>
      <c r="I39" t="s">
        <v>820</v>
      </c>
      <c r="J39">
        <v>2019</v>
      </c>
      <c r="K39" t="b">
        <v>1</v>
      </c>
      <c r="X39">
        <v>48.26</v>
      </c>
      <c r="AD39">
        <v>48</v>
      </c>
      <c r="AG39" t="s">
        <v>884</v>
      </c>
      <c r="AH39" t="s">
        <v>885</v>
      </c>
    </row>
    <row r="40" spans="1:34" x14ac:dyDescent="0.35">
      <c r="A40" t="s">
        <v>880</v>
      </c>
      <c r="B40" t="s">
        <v>881</v>
      </c>
      <c r="C40" t="s">
        <v>882</v>
      </c>
      <c r="D40" t="s">
        <v>0</v>
      </c>
      <c r="E40" t="s">
        <v>887</v>
      </c>
      <c r="F40" t="s">
        <v>545</v>
      </c>
      <c r="G40" t="s">
        <v>80</v>
      </c>
      <c r="H40" t="s">
        <v>79</v>
      </c>
      <c r="I40" t="s">
        <v>820</v>
      </c>
      <c r="J40">
        <v>2019</v>
      </c>
      <c r="K40" t="b">
        <v>1</v>
      </c>
      <c r="X40">
        <v>47.9</v>
      </c>
      <c r="AD40">
        <v>48</v>
      </c>
      <c r="AG40" t="s">
        <v>884</v>
      </c>
      <c r="AH40" t="s">
        <v>885</v>
      </c>
    </row>
    <row r="41" spans="1:34" x14ac:dyDescent="0.35">
      <c r="A41" t="s">
        <v>880</v>
      </c>
      <c r="B41" t="s">
        <v>881</v>
      </c>
      <c r="C41" t="s">
        <v>882</v>
      </c>
      <c r="D41" t="s">
        <v>25</v>
      </c>
      <c r="E41" t="s">
        <v>886</v>
      </c>
      <c r="F41" t="s">
        <v>545</v>
      </c>
      <c r="G41" t="s">
        <v>89</v>
      </c>
      <c r="H41" t="s">
        <v>88</v>
      </c>
      <c r="I41" t="s">
        <v>820</v>
      </c>
      <c r="J41">
        <v>2019</v>
      </c>
      <c r="K41" t="b">
        <v>1</v>
      </c>
      <c r="X41">
        <v>48.68</v>
      </c>
      <c r="AD41">
        <v>49</v>
      </c>
      <c r="AG41" t="s">
        <v>884</v>
      </c>
      <c r="AH41" t="s">
        <v>885</v>
      </c>
    </row>
    <row r="42" spans="1:34" x14ac:dyDescent="0.35">
      <c r="A42" t="s">
        <v>880</v>
      </c>
      <c r="B42" t="s">
        <v>881</v>
      </c>
      <c r="C42" t="s">
        <v>882</v>
      </c>
      <c r="D42" t="s">
        <v>25</v>
      </c>
      <c r="E42" t="s">
        <v>886</v>
      </c>
      <c r="F42" t="s">
        <v>545</v>
      </c>
      <c r="G42" t="s">
        <v>413</v>
      </c>
      <c r="H42" t="s">
        <v>412</v>
      </c>
      <c r="I42" t="s">
        <v>820</v>
      </c>
      <c r="J42">
        <v>2019</v>
      </c>
      <c r="K42" t="b">
        <v>1</v>
      </c>
      <c r="X42">
        <v>48.99</v>
      </c>
      <c r="AD42">
        <v>49</v>
      </c>
      <c r="AG42" t="s">
        <v>884</v>
      </c>
      <c r="AH42" t="s">
        <v>885</v>
      </c>
    </row>
    <row r="43" spans="1:34" x14ac:dyDescent="0.35">
      <c r="A43" t="s">
        <v>880</v>
      </c>
      <c r="B43" t="s">
        <v>881</v>
      </c>
      <c r="C43" t="s">
        <v>882</v>
      </c>
      <c r="D43" t="s">
        <v>25</v>
      </c>
      <c r="E43" t="s">
        <v>886</v>
      </c>
      <c r="F43" t="s">
        <v>545</v>
      </c>
      <c r="G43" t="s">
        <v>500</v>
      </c>
      <c r="H43" t="s">
        <v>499</v>
      </c>
      <c r="I43" t="s">
        <v>820</v>
      </c>
      <c r="J43">
        <v>2019</v>
      </c>
      <c r="K43" t="b">
        <v>1</v>
      </c>
      <c r="X43">
        <v>49.8</v>
      </c>
      <c r="AD43">
        <v>50</v>
      </c>
      <c r="AG43" t="s">
        <v>884</v>
      </c>
      <c r="AH43" t="s">
        <v>885</v>
      </c>
    </row>
    <row r="44" spans="1:34" x14ac:dyDescent="0.35">
      <c r="A44" t="s">
        <v>880</v>
      </c>
      <c r="B44" t="s">
        <v>881</v>
      </c>
      <c r="C44" t="s">
        <v>882</v>
      </c>
      <c r="D44" t="s">
        <v>0</v>
      </c>
      <c r="E44" t="s">
        <v>887</v>
      </c>
      <c r="F44" t="s">
        <v>545</v>
      </c>
      <c r="G44" t="s">
        <v>176</v>
      </c>
      <c r="H44" t="s">
        <v>175</v>
      </c>
      <c r="I44" t="s">
        <v>820</v>
      </c>
      <c r="J44">
        <v>2019</v>
      </c>
      <c r="K44" t="b">
        <v>1</v>
      </c>
      <c r="X44">
        <v>50.21</v>
      </c>
      <c r="AD44">
        <v>50</v>
      </c>
      <c r="AG44" t="s">
        <v>884</v>
      </c>
      <c r="AH44" t="s">
        <v>885</v>
      </c>
    </row>
    <row r="45" spans="1:34" x14ac:dyDescent="0.35">
      <c r="A45" t="s">
        <v>880</v>
      </c>
      <c r="B45" t="s">
        <v>881</v>
      </c>
      <c r="C45" t="s">
        <v>882</v>
      </c>
      <c r="D45" t="s">
        <v>0</v>
      </c>
      <c r="E45" t="s">
        <v>887</v>
      </c>
      <c r="F45" t="s">
        <v>545</v>
      </c>
      <c r="G45" t="s">
        <v>497</v>
      </c>
      <c r="H45" t="s">
        <v>496</v>
      </c>
      <c r="I45" t="s">
        <v>820</v>
      </c>
      <c r="J45">
        <v>2019</v>
      </c>
      <c r="K45" t="b">
        <v>1</v>
      </c>
      <c r="X45">
        <v>50.29</v>
      </c>
      <c r="AD45">
        <v>50</v>
      </c>
      <c r="AG45" t="s">
        <v>884</v>
      </c>
      <c r="AH45" t="s">
        <v>885</v>
      </c>
    </row>
    <row r="46" spans="1:34" x14ac:dyDescent="0.35">
      <c r="A46" t="s">
        <v>880</v>
      </c>
      <c r="B46" t="s">
        <v>881</v>
      </c>
      <c r="C46" t="s">
        <v>882</v>
      </c>
      <c r="D46" t="s">
        <v>25</v>
      </c>
      <c r="E46" t="s">
        <v>886</v>
      </c>
      <c r="F46" t="s">
        <v>545</v>
      </c>
      <c r="G46" t="s">
        <v>464</v>
      </c>
      <c r="H46" t="s">
        <v>463</v>
      </c>
      <c r="I46" t="s">
        <v>820</v>
      </c>
      <c r="J46">
        <v>2019</v>
      </c>
      <c r="K46" t="b">
        <v>1</v>
      </c>
      <c r="X46">
        <v>50.45</v>
      </c>
      <c r="AD46">
        <v>50</v>
      </c>
      <c r="AG46" t="s">
        <v>884</v>
      </c>
      <c r="AH46" t="s">
        <v>885</v>
      </c>
    </row>
    <row r="47" spans="1:34" x14ac:dyDescent="0.35">
      <c r="A47" t="s">
        <v>880</v>
      </c>
      <c r="B47" t="s">
        <v>881</v>
      </c>
      <c r="C47" t="s">
        <v>882</v>
      </c>
      <c r="D47" t="s">
        <v>43</v>
      </c>
      <c r="E47" t="s">
        <v>890</v>
      </c>
      <c r="F47" t="s">
        <v>545</v>
      </c>
      <c r="G47" t="s">
        <v>193</v>
      </c>
      <c r="H47" t="s">
        <v>192</v>
      </c>
      <c r="I47" t="s">
        <v>820</v>
      </c>
      <c r="J47">
        <v>2019</v>
      </c>
      <c r="K47" t="b">
        <v>1</v>
      </c>
      <c r="X47">
        <v>50.74</v>
      </c>
      <c r="AD47">
        <v>51</v>
      </c>
      <c r="AG47" t="s">
        <v>884</v>
      </c>
      <c r="AH47" t="s">
        <v>885</v>
      </c>
    </row>
    <row r="48" spans="1:34" x14ac:dyDescent="0.35">
      <c r="A48" t="s">
        <v>880</v>
      </c>
      <c r="B48" t="s">
        <v>881</v>
      </c>
      <c r="C48" t="s">
        <v>882</v>
      </c>
      <c r="D48" t="s">
        <v>0</v>
      </c>
      <c r="E48" t="s">
        <v>887</v>
      </c>
      <c r="F48" t="s">
        <v>545</v>
      </c>
      <c r="G48" t="s">
        <v>337</v>
      </c>
      <c r="H48" t="s">
        <v>336</v>
      </c>
      <c r="I48" t="s">
        <v>820</v>
      </c>
      <c r="J48">
        <v>2019</v>
      </c>
      <c r="K48" t="b">
        <v>1</v>
      </c>
      <c r="X48">
        <v>51.22</v>
      </c>
      <c r="AD48">
        <v>51</v>
      </c>
      <c r="AG48" t="s">
        <v>884</v>
      </c>
      <c r="AH48" t="s">
        <v>885</v>
      </c>
    </row>
    <row r="49" spans="1:34" x14ac:dyDescent="0.35">
      <c r="A49" t="s">
        <v>880</v>
      </c>
      <c r="B49" t="s">
        <v>881</v>
      </c>
      <c r="C49" t="s">
        <v>882</v>
      </c>
      <c r="D49" t="s">
        <v>0</v>
      </c>
      <c r="E49" t="s">
        <v>887</v>
      </c>
      <c r="F49" t="s">
        <v>545</v>
      </c>
      <c r="G49" t="s">
        <v>527</v>
      </c>
      <c r="H49" t="s">
        <v>526</v>
      </c>
      <c r="I49" t="s">
        <v>820</v>
      </c>
      <c r="J49">
        <v>2019</v>
      </c>
      <c r="K49" t="b">
        <v>1</v>
      </c>
      <c r="X49">
        <v>51.55</v>
      </c>
      <c r="AD49">
        <v>52</v>
      </c>
      <c r="AG49" t="s">
        <v>884</v>
      </c>
      <c r="AH49" t="s">
        <v>885</v>
      </c>
    </row>
    <row r="50" spans="1:34" x14ac:dyDescent="0.35">
      <c r="A50" t="s">
        <v>880</v>
      </c>
      <c r="B50" t="s">
        <v>881</v>
      </c>
      <c r="C50" t="s">
        <v>882</v>
      </c>
      <c r="D50" t="s">
        <v>0</v>
      </c>
      <c r="E50" t="s">
        <v>887</v>
      </c>
      <c r="F50" t="s">
        <v>545</v>
      </c>
      <c r="G50" t="s">
        <v>470</v>
      </c>
      <c r="H50" t="s">
        <v>469</v>
      </c>
      <c r="I50" t="s">
        <v>820</v>
      </c>
      <c r="J50">
        <v>2019</v>
      </c>
      <c r="K50" t="b">
        <v>1</v>
      </c>
      <c r="X50">
        <v>52.24</v>
      </c>
      <c r="AD50">
        <v>52</v>
      </c>
      <c r="AG50" t="s">
        <v>884</v>
      </c>
      <c r="AH50" t="s">
        <v>885</v>
      </c>
    </row>
    <row r="51" spans="1:34" x14ac:dyDescent="0.35">
      <c r="A51" t="s">
        <v>880</v>
      </c>
      <c r="B51" t="s">
        <v>881</v>
      </c>
      <c r="C51" t="s">
        <v>882</v>
      </c>
      <c r="D51" t="s">
        <v>43</v>
      </c>
      <c r="E51" t="s">
        <v>890</v>
      </c>
      <c r="F51" t="s">
        <v>545</v>
      </c>
      <c r="G51" t="s">
        <v>68</v>
      </c>
      <c r="H51" t="s">
        <v>67</v>
      </c>
      <c r="I51" t="s">
        <v>820</v>
      </c>
      <c r="J51">
        <v>2019</v>
      </c>
      <c r="K51" t="b">
        <v>1</v>
      </c>
      <c r="X51">
        <v>53.06</v>
      </c>
      <c r="AD51">
        <v>53</v>
      </c>
      <c r="AG51" t="s">
        <v>884</v>
      </c>
      <c r="AH51" t="s">
        <v>885</v>
      </c>
    </row>
    <row r="52" spans="1:34" x14ac:dyDescent="0.35">
      <c r="A52" t="s">
        <v>880</v>
      </c>
      <c r="B52" t="s">
        <v>881</v>
      </c>
      <c r="C52" t="s">
        <v>882</v>
      </c>
      <c r="D52" t="s">
        <v>0</v>
      </c>
      <c r="E52" t="s">
        <v>887</v>
      </c>
      <c r="F52" t="s">
        <v>545</v>
      </c>
      <c r="G52" t="s">
        <v>110</v>
      </c>
      <c r="H52" t="s">
        <v>109</v>
      </c>
      <c r="I52" t="s">
        <v>820</v>
      </c>
      <c r="J52">
        <v>2019</v>
      </c>
      <c r="K52" t="b">
        <v>1</v>
      </c>
      <c r="X52">
        <v>53.45</v>
      </c>
      <c r="AD52">
        <v>53</v>
      </c>
      <c r="AG52" t="s">
        <v>884</v>
      </c>
      <c r="AH52" t="s">
        <v>885</v>
      </c>
    </row>
    <row r="53" spans="1:34" x14ac:dyDescent="0.35">
      <c r="A53" t="s">
        <v>880</v>
      </c>
      <c r="B53" t="s">
        <v>881</v>
      </c>
      <c r="C53" t="s">
        <v>882</v>
      </c>
      <c r="D53" t="s">
        <v>43</v>
      </c>
      <c r="E53" t="s">
        <v>890</v>
      </c>
      <c r="F53" t="s">
        <v>545</v>
      </c>
      <c r="G53" t="s">
        <v>53</v>
      </c>
      <c r="H53" t="s">
        <v>52</v>
      </c>
      <c r="I53" t="s">
        <v>820</v>
      </c>
      <c r="J53">
        <v>2019</v>
      </c>
      <c r="K53" t="b">
        <v>1</v>
      </c>
      <c r="X53">
        <v>52.51</v>
      </c>
      <c r="AD53">
        <v>53</v>
      </c>
      <c r="AG53" t="s">
        <v>884</v>
      </c>
      <c r="AH53" t="s">
        <v>885</v>
      </c>
    </row>
    <row r="54" spans="1:34" x14ac:dyDescent="0.35">
      <c r="A54" t="s">
        <v>880</v>
      </c>
      <c r="B54" t="s">
        <v>881</v>
      </c>
      <c r="C54" t="s">
        <v>882</v>
      </c>
      <c r="D54" t="s">
        <v>25</v>
      </c>
      <c r="E54" t="s">
        <v>886</v>
      </c>
      <c r="F54" t="s">
        <v>545</v>
      </c>
      <c r="G54" t="s">
        <v>234</v>
      </c>
      <c r="H54" t="s">
        <v>233</v>
      </c>
      <c r="I54" t="s">
        <v>820</v>
      </c>
      <c r="J54">
        <v>2019</v>
      </c>
      <c r="K54" t="b">
        <v>1</v>
      </c>
      <c r="X54">
        <v>53.66</v>
      </c>
      <c r="AD54">
        <v>54</v>
      </c>
      <c r="AG54" t="s">
        <v>884</v>
      </c>
      <c r="AH54" t="s">
        <v>885</v>
      </c>
    </row>
    <row r="55" spans="1:34" x14ac:dyDescent="0.35">
      <c r="A55" t="s">
        <v>880</v>
      </c>
      <c r="B55" t="s">
        <v>881</v>
      </c>
      <c r="C55" t="s">
        <v>882</v>
      </c>
      <c r="D55" t="s">
        <v>0</v>
      </c>
      <c r="E55" t="s">
        <v>887</v>
      </c>
      <c r="F55" t="s">
        <v>545</v>
      </c>
      <c r="G55" t="s">
        <v>39</v>
      </c>
      <c r="H55" t="s">
        <v>38</v>
      </c>
      <c r="I55" t="s">
        <v>820</v>
      </c>
      <c r="J55">
        <v>2019</v>
      </c>
      <c r="K55" t="b">
        <v>1</v>
      </c>
      <c r="X55">
        <v>53.77</v>
      </c>
      <c r="AD55">
        <v>54</v>
      </c>
      <c r="AG55" t="s">
        <v>884</v>
      </c>
      <c r="AH55" t="s">
        <v>885</v>
      </c>
    </row>
    <row r="56" spans="1:34" x14ac:dyDescent="0.35">
      <c r="A56" t="s">
        <v>880</v>
      </c>
      <c r="B56" t="s">
        <v>881</v>
      </c>
      <c r="C56" t="s">
        <v>882</v>
      </c>
      <c r="D56" t="s">
        <v>0</v>
      </c>
      <c r="E56" t="s">
        <v>887</v>
      </c>
      <c r="F56" t="s">
        <v>545</v>
      </c>
      <c r="G56" t="s">
        <v>377</v>
      </c>
      <c r="H56" t="s">
        <v>376</v>
      </c>
      <c r="I56" t="s">
        <v>820</v>
      </c>
      <c r="J56">
        <v>2019</v>
      </c>
      <c r="K56" t="b">
        <v>1</v>
      </c>
      <c r="X56">
        <v>53.85</v>
      </c>
      <c r="AD56">
        <v>54</v>
      </c>
      <c r="AG56" t="s">
        <v>884</v>
      </c>
      <c r="AH56" t="s">
        <v>885</v>
      </c>
    </row>
    <row r="57" spans="1:34" x14ac:dyDescent="0.35">
      <c r="A57" t="s">
        <v>880</v>
      </c>
      <c r="B57" t="s">
        <v>881</v>
      </c>
      <c r="C57" t="s">
        <v>882</v>
      </c>
      <c r="D57" t="s">
        <v>25</v>
      </c>
      <c r="E57" t="s">
        <v>886</v>
      </c>
      <c r="F57" t="s">
        <v>545</v>
      </c>
      <c r="G57" t="s">
        <v>407</v>
      </c>
      <c r="H57" t="s">
        <v>406</v>
      </c>
      <c r="I57" t="s">
        <v>820</v>
      </c>
      <c r="J57">
        <v>2019</v>
      </c>
      <c r="K57" t="b">
        <v>1</v>
      </c>
      <c r="X57">
        <v>53.74</v>
      </c>
      <c r="AD57">
        <v>54</v>
      </c>
      <c r="AG57" t="s">
        <v>884</v>
      </c>
      <c r="AH57" t="s">
        <v>885</v>
      </c>
    </row>
    <row r="58" spans="1:34" x14ac:dyDescent="0.35">
      <c r="A58" t="s">
        <v>880</v>
      </c>
      <c r="B58" t="s">
        <v>881</v>
      </c>
      <c r="C58" t="s">
        <v>882</v>
      </c>
      <c r="D58" t="s">
        <v>4</v>
      </c>
      <c r="E58" t="s">
        <v>883</v>
      </c>
      <c r="F58" t="s">
        <v>545</v>
      </c>
      <c r="G58" t="s">
        <v>325</v>
      </c>
      <c r="H58" t="s">
        <v>324</v>
      </c>
      <c r="I58" t="s">
        <v>820</v>
      </c>
      <c r="J58">
        <v>2019</v>
      </c>
      <c r="K58" t="b">
        <v>1</v>
      </c>
      <c r="X58">
        <v>55.13</v>
      </c>
      <c r="AD58">
        <v>55</v>
      </c>
      <c r="AG58" t="s">
        <v>884</v>
      </c>
      <c r="AH58" t="s">
        <v>885</v>
      </c>
    </row>
    <row r="59" spans="1:34" x14ac:dyDescent="0.35">
      <c r="A59" t="s">
        <v>880</v>
      </c>
      <c r="B59" t="s">
        <v>881</v>
      </c>
      <c r="C59" t="s">
        <v>882</v>
      </c>
      <c r="D59" t="s">
        <v>0</v>
      </c>
      <c r="E59" t="s">
        <v>887</v>
      </c>
      <c r="F59" t="s">
        <v>545</v>
      </c>
      <c r="G59" t="s">
        <v>383</v>
      </c>
      <c r="H59" t="s">
        <v>382</v>
      </c>
      <c r="I59" t="s">
        <v>820</v>
      </c>
      <c r="J59">
        <v>2019</v>
      </c>
      <c r="K59" t="b">
        <v>1</v>
      </c>
      <c r="X59">
        <v>55.01</v>
      </c>
      <c r="AD59">
        <v>55</v>
      </c>
      <c r="AG59" t="s">
        <v>884</v>
      </c>
      <c r="AH59" t="s">
        <v>885</v>
      </c>
    </row>
    <row r="60" spans="1:34" x14ac:dyDescent="0.35">
      <c r="A60" t="s">
        <v>880</v>
      </c>
      <c r="B60" t="s">
        <v>881</v>
      </c>
      <c r="C60" t="s">
        <v>882</v>
      </c>
      <c r="D60" t="s">
        <v>0</v>
      </c>
      <c r="E60" t="s">
        <v>887</v>
      </c>
      <c r="F60" t="s">
        <v>545</v>
      </c>
      <c r="G60" t="s">
        <v>401</v>
      </c>
      <c r="H60" t="s">
        <v>400</v>
      </c>
      <c r="I60" t="s">
        <v>820</v>
      </c>
      <c r="J60">
        <v>2019</v>
      </c>
      <c r="K60" t="b">
        <v>1</v>
      </c>
      <c r="X60">
        <v>55.37</v>
      </c>
      <c r="AD60">
        <v>55</v>
      </c>
      <c r="AG60" t="s">
        <v>884</v>
      </c>
      <c r="AH60" t="s">
        <v>885</v>
      </c>
    </row>
    <row r="61" spans="1:34" x14ac:dyDescent="0.35">
      <c r="A61" t="s">
        <v>880</v>
      </c>
      <c r="B61" t="s">
        <v>881</v>
      </c>
      <c r="C61" t="s">
        <v>882</v>
      </c>
      <c r="D61" t="s">
        <v>25</v>
      </c>
      <c r="E61" t="s">
        <v>886</v>
      </c>
      <c r="F61" t="s">
        <v>545</v>
      </c>
      <c r="G61" t="s">
        <v>476</v>
      </c>
      <c r="H61" t="s">
        <v>475</v>
      </c>
      <c r="I61" t="s">
        <v>820</v>
      </c>
      <c r="J61">
        <v>2019</v>
      </c>
      <c r="K61" t="b">
        <v>1</v>
      </c>
      <c r="X61">
        <v>54.59</v>
      </c>
      <c r="AD61">
        <v>55</v>
      </c>
      <c r="AG61" t="s">
        <v>884</v>
      </c>
      <c r="AH61" t="s">
        <v>885</v>
      </c>
    </row>
    <row r="62" spans="1:34" x14ac:dyDescent="0.35">
      <c r="A62" t="s">
        <v>880</v>
      </c>
      <c r="B62" t="s">
        <v>881</v>
      </c>
      <c r="C62" t="s">
        <v>882</v>
      </c>
      <c r="D62" t="s">
        <v>25</v>
      </c>
      <c r="E62" t="s">
        <v>886</v>
      </c>
      <c r="F62" t="s">
        <v>545</v>
      </c>
      <c r="G62" t="s">
        <v>479</v>
      </c>
      <c r="H62" t="s">
        <v>478</v>
      </c>
      <c r="I62" t="s">
        <v>820</v>
      </c>
      <c r="J62">
        <v>2019</v>
      </c>
      <c r="K62" t="b">
        <v>1</v>
      </c>
      <c r="X62">
        <v>54.77</v>
      </c>
      <c r="AD62">
        <v>55</v>
      </c>
      <c r="AG62" t="s">
        <v>884</v>
      </c>
      <c r="AH62" t="s">
        <v>885</v>
      </c>
    </row>
    <row r="63" spans="1:34" x14ac:dyDescent="0.35">
      <c r="A63" t="s">
        <v>880</v>
      </c>
      <c r="B63" t="s">
        <v>881</v>
      </c>
      <c r="C63" t="s">
        <v>882</v>
      </c>
      <c r="D63" t="s">
        <v>25</v>
      </c>
      <c r="E63" t="s">
        <v>886</v>
      </c>
      <c r="F63" t="s">
        <v>545</v>
      </c>
      <c r="G63" t="s">
        <v>334</v>
      </c>
      <c r="H63" t="s">
        <v>333</v>
      </c>
      <c r="I63" t="s">
        <v>820</v>
      </c>
      <c r="J63">
        <v>2019</v>
      </c>
      <c r="K63" t="b">
        <v>1</v>
      </c>
      <c r="X63">
        <v>55.95</v>
      </c>
      <c r="AD63">
        <v>56</v>
      </c>
      <c r="AG63" t="s">
        <v>884</v>
      </c>
      <c r="AH63" t="s">
        <v>885</v>
      </c>
    </row>
    <row r="64" spans="1:34" x14ac:dyDescent="0.35">
      <c r="A64" t="s">
        <v>880</v>
      </c>
      <c r="B64" t="s">
        <v>881</v>
      </c>
      <c r="C64" t="s">
        <v>882</v>
      </c>
      <c r="D64" t="s">
        <v>4</v>
      </c>
      <c r="E64" t="s">
        <v>883</v>
      </c>
      <c r="F64" t="s">
        <v>545</v>
      </c>
      <c r="G64" t="s">
        <v>520</v>
      </c>
      <c r="H64" t="s">
        <v>519</v>
      </c>
      <c r="I64" t="s">
        <v>820</v>
      </c>
      <c r="J64">
        <v>2019</v>
      </c>
      <c r="K64" t="b">
        <v>1</v>
      </c>
      <c r="X64">
        <v>55.61</v>
      </c>
      <c r="AD64">
        <v>56</v>
      </c>
      <c r="AG64" t="s">
        <v>884</v>
      </c>
      <c r="AH64" t="s">
        <v>885</v>
      </c>
    </row>
    <row r="65" spans="1:34" x14ac:dyDescent="0.35">
      <c r="A65" t="s">
        <v>880</v>
      </c>
      <c r="B65" t="s">
        <v>881</v>
      </c>
      <c r="C65" t="s">
        <v>882</v>
      </c>
      <c r="D65" t="s">
        <v>0</v>
      </c>
      <c r="E65" t="s">
        <v>887</v>
      </c>
      <c r="F65" t="s">
        <v>545</v>
      </c>
      <c r="G65" t="s">
        <v>171</v>
      </c>
      <c r="H65" t="s">
        <v>170</v>
      </c>
      <c r="I65" t="s">
        <v>820</v>
      </c>
      <c r="J65">
        <v>2019</v>
      </c>
      <c r="K65" t="b">
        <v>1</v>
      </c>
      <c r="X65">
        <v>55.81</v>
      </c>
      <c r="AD65">
        <v>56</v>
      </c>
      <c r="AG65" t="s">
        <v>884</v>
      </c>
      <c r="AH65" t="s">
        <v>885</v>
      </c>
    </row>
    <row r="66" spans="1:34" x14ac:dyDescent="0.35">
      <c r="A66" t="s">
        <v>880</v>
      </c>
      <c r="B66" t="s">
        <v>881</v>
      </c>
      <c r="C66" t="s">
        <v>882</v>
      </c>
      <c r="D66" t="s">
        <v>1</v>
      </c>
      <c r="E66" t="s">
        <v>889</v>
      </c>
      <c r="F66" t="s">
        <v>545</v>
      </c>
      <c r="G66" t="s">
        <v>298</v>
      </c>
      <c r="H66" t="s">
        <v>297</v>
      </c>
      <c r="I66" t="s">
        <v>820</v>
      </c>
      <c r="J66">
        <v>2019</v>
      </c>
      <c r="K66" t="b">
        <v>1</v>
      </c>
      <c r="X66">
        <v>57.11</v>
      </c>
      <c r="AD66">
        <v>57</v>
      </c>
      <c r="AG66" t="s">
        <v>884</v>
      </c>
      <c r="AH66" t="s">
        <v>885</v>
      </c>
    </row>
    <row r="67" spans="1:34" x14ac:dyDescent="0.35">
      <c r="A67" t="s">
        <v>880</v>
      </c>
      <c r="B67" t="s">
        <v>881</v>
      </c>
      <c r="C67" t="s">
        <v>882</v>
      </c>
      <c r="D67" t="s">
        <v>25</v>
      </c>
      <c r="E67" t="s">
        <v>886</v>
      </c>
      <c r="F67" t="s">
        <v>545</v>
      </c>
      <c r="G67" t="s">
        <v>147</v>
      </c>
      <c r="H67" t="s">
        <v>146</v>
      </c>
      <c r="I67" t="s">
        <v>820</v>
      </c>
      <c r="J67">
        <v>2019</v>
      </c>
      <c r="K67" t="b">
        <v>1</v>
      </c>
      <c r="X67">
        <v>58.1</v>
      </c>
      <c r="AD67">
        <v>58</v>
      </c>
      <c r="AG67" t="s">
        <v>884</v>
      </c>
      <c r="AH67" t="s">
        <v>885</v>
      </c>
    </row>
    <row r="68" spans="1:34" x14ac:dyDescent="0.35">
      <c r="A68" t="s">
        <v>880</v>
      </c>
      <c r="B68" t="s">
        <v>881</v>
      </c>
      <c r="C68" t="s">
        <v>882</v>
      </c>
      <c r="D68" t="s">
        <v>43</v>
      </c>
      <c r="E68" t="s">
        <v>890</v>
      </c>
      <c r="F68" t="s">
        <v>545</v>
      </c>
      <c r="G68" t="s">
        <v>322</v>
      </c>
      <c r="H68" t="s">
        <v>321</v>
      </c>
      <c r="I68" t="s">
        <v>820</v>
      </c>
      <c r="J68">
        <v>2019</v>
      </c>
      <c r="K68" t="b">
        <v>1</v>
      </c>
      <c r="X68">
        <v>58.7</v>
      </c>
      <c r="AD68">
        <v>59</v>
      </c>
      <c r="AG68" t="s">
        <v>884</v>
      </c>
      <c r="AH68" t="s">
        <v>885</v>
      </c>
    </row>
    <row r="69" spans="1:34" x14ac:dyDescent="0.35">
      <c r="A69" t="s">
        <v>880</v>
      </c>
      <c r="B69" t="s">
        <v>881</v>
      </c>
      <c r="C69" t="s">
        <v>882</v>
      </c>
      <c r="D69" t="s">
        <v>0</v>
      </c>
      <c r="E69" t="s">
        <v>887</v>
      </c>
      <c r="F69" t="s">
        <v>545</v>
      </c>
      <c r="G69" t="s">
        <v>389</v>
      </c>
      <c r="H69" t="s">
        <v>388</v>
      </c>
      <c r="I69" t="s">
        <v>820</v>
      </c>
      <c r="J69">
        <v>2019</v>
      </c>
      <c r="K69" t="b">
        <v>1</v>
      </c>
      <c r="X69">
        <v>58.77</v>
      </c>
      <c r="AD69">
        <v>59</v>
      </c>
      <c r="AG69" t="s">
        <v>884</v>
      </c>
      <c r="AH69" t="s">
        <v>885</v>
      </c>
    </row>
    <row r="70" spans="1:34" x14ac:dyDescent="0.35">
      <c r="A70" t="s">
        <v>880</v>
      </c>
      <c r="B70" t="s">
        <v>881</v>
      </c>
      <c r="C70" t="s">
        <v>882</v>
      </c>
      <c r="D70" t="s">
        <v>4</v>
      </c>
      <c r="E70" t="s">
        <v>883</v>
      </c>
      <c r="F70" t="s">
        <v>545</v>
      </c>
      <c r="G70" t="s">
        <v>99</v>
      </c>
      <c r="H70" t="s">
        <v>98</v>
      </c>
      <c r="I70" t="s">
        <v>820</v>
      </c>
      <c r="J70">
        <v>2019</v>
      </c>
      <c r="K70" t="b">
        <v>1</v>
      </c>
      <c r="X70">
        <v>59.53</v>
      </c>
      <c r="AD70">
        <v>60</v>
      </c>
      <c r="AG70" t="s">
        <v>884</v>
      </c>
      <c r="AH70" t="s">
        <v>885</v>
      </c>
    </row>
    <row r="71" spans="1:34" x14ac:dyDescent="0.35">
      <c r="A71" t="s">
        <v>880</v>
      </c>
      <c r="B71" t="s">
        <v>881</v>
      </c>
      <c r="C71" t="s">
        <v>882</v>
      </c>
      <c r="D71" t="s">
        <v>4</v>
      </c>
      <c r="E71" t="s">
        <v>883</v>
      </c>
      <c r="F71" t="s">
        <v>545</v>
      </c>
      <c r="G71" t="s">
        <v>509</v>
      </c>
      <c r="H71" t="s">
        <v>508</v>
      </c>
      <c r="I71" t="s">
        <v>820</v>
      </c>
      <c r="J71">
        <v>2019</v>
      </c>
      <c r="K71" t="b">
        <v>1</v>
      </c>
      <c r="X71">
        <v>59.66</v>
      </c>
      <c r="AD71">
        <v>60</v>
      </c>
      <c r="AG71" t="s">
        <v>884</v>
      </c>
      <c r="AH71" t="s">
        <v>885</v>
      </c>
    </row>
    <row r="72" spans="1:34" x14ac:dyDescent="0.35">
      <c r="A72" t="s">
        <v>880</v>
      </c>
      <c r="B72" t="s">
        <v>881</v>
      </c>
      <c r="C72" t="s">
        <v>882</v>
      </c>
      <c r="D72" t="s">
        <v>25</v>
      </c>
      <c r="E72" t="s">
        <v>886</v>
      </c>
      <c r="F72" t="s">
        <v>545</v>
      </c>
      <c r="G72" t="s">
        <v>48</v>
      </c>
      <c r="H72" t="s">
        <v>47</v>
      </c>
      <c r="I72" t="s">
        <v>820</v>
      </c>
      <c r="J72">
        <v>2019</v>
      </c>
      <c r="K72" t="b">
        <v>1</v>
      </c>
      <c r="X72">
        <v>60.25</v>
      </c>
      <c r="AD72">
        <v>60</v>
      </c>
      <c r="AG72" t="s">
        <v>884</v>
      </c>
      <c r="AH72" t="s">
        <v>885</v>
      </c>
    </row>
    <row r="73" spans="1:34" x14ac:dyDescent="0.35">
      <c r="A73" t="s">
        <v>880</v>
      </c>
      <c r="B73" t="s">
        <v>881</v>
      </c>
      <c r="C73" t="s">
        <v>882</v>
      </c>
      <c r="D73" t="s">
        <v>0</v>
      </c>
      <c r="E73" t="s">
        <v>887</v>
      </c>
      <c r="F73" t="s">
        <v>545</v>
      </c>
      <c r="G73" t="s">
        <v>141</v>
      </c>
      <c r="H73" t="s">
        <v>140</v>
      </c>
      <c r="I73" t="s">
        <v>820</v>
      </c>
      <c r="J73">
        <v>2019</v>
      </c>
      <c r="K73" t="b">
        <v>1</v>
      </c>
      <c r="X73">
        <v>61.18</v>
      </c>
      <c r="AD73">
        <v>61</v>
      </c>
      <c r="AG73" t="s">
        <v>884</v>
      </c>
      <c r="AH73" t="s">
        <v>885</v>
      </c>
    </row>
    <row r="74" spans="1:34" x14ac:dyDescent="0.35">
      <c r="A74" t="s">
        <v>880</v>
      </c>
      <c r="B74" t="s">
        <v>881</v>
      </c>
      <c r="C74" t="s">
        <v>882</v>
      </c>
      <c r="D74" t="s">
        <v>0</v>
      </c>
      <c r="E74" t="s">
        <v>887</v>
      </c>
      <c r="F74" t="s">
        <v>545</v>
      </c>
      <c r="G74" t="s">
        <v>286</v>
      </c>
      <c r="H74" t="s">
        <v>285</v>
      </c>
      <c r="I74" t="s">
        <v>820</v>
      </c>
      <c r="J74">
        <v>2019</v>
      </c>
      <c r="K74" t="b">
        <v>1</v>
      </c>
      <c r="X74">
        <v>60.96</v>
      </c>
      <c r="AD74">
        <v>61</v>
      </c>
      <c r="AG74" t="s">
        <v>884</v>
      </c>
      <c r="AH74" t="s">
        <v>885</v>
      </c>
    </row>
    <row r="75" spans="1:34" x14ac:dyDescent="0.35">
      <c r="A75" t="s">
        <v>880</v>
      </c>
      <c r="B75" t="s">
        <v>881</v>
      </c>
      <c r="C75" t="s">
        <v>882</v>
      </c>
      <c r="D75" t="s">
        <v>43</v>
      </c>
      <c r="E75" t="s">
        <v>890</v>
      </c>
      <c r="F75" t="s">
        <v>545</v>
      </c>
      <c r="G75" t="s">
        <v>319</v>
      </c>
      <c r="H75" t="s">
        <v>318</v>
      </c>
      <c r="I75" t="s">
        <v>820</v>
      </c>
      <c r="J75">
        <v>2019</v>
      </c>
      <c r="K75" t="b">
        <v>1</v>
      </c>
      <c r="X75">
        <v>61.19</v>
      </c>
      <c r="AD75">
        <v>61</v>
      </c>
      <c r="AG75" t="s">
        <v>884</v>
      </c>
      <c r="AH75" t="s">
        <v>885</v>
      </c>
    </row>
    <row r="76" spans="1:34" x14ac:dyDescent="0.35">
      <c r="A76" t="s">
        <v>880</v>
      </c>
      <c r="B76" t="s">
        <v>881</v>
      </c>
      <c r="C76" t="s">
        <v>882</v>
      </c>
      <c r="D76" t="s">
        <v>43</v>
      </c>
      <c r="E76" t="s">
        <v>890</v>
      </c>
      <c r="F76" t="s">
        <v>545</v>
      </c>
      <c r="G76" t="s">
        <v>452</v>
      </c>
      <c r="H76" t="s">
        <v>451</v>
      </c>
      <c r="I76" t="s">
        <v>820</v>
      </c>
      <c r="J76">
        <v>2019</v>
      </c>
      <c r="K76" t="b">
        <v>1</v>
      </c>
      <c r="X76">
        <v>60.5</v>
      </c>
      <c r="AD76">
        <v>61</v>
      </c>
      <c r="AG76" t="s">
        <v>884</v>
      </c>
      <c r="AH76" t="s">
        <v>885</v>
      </c>
    </row>
    <row r="77" spans="1:34" x14ac:dyDescent="0.35">
      <c r="A77" t="s">
        <v>880</v>
      </c>
      <c r="B77" t="s">
        <v>881</v>
      </c>
      <c r="C77" t="s">
        <v>882</v>
      </c>
      <c r="D77" t="s">
        <v>1</v>
      </c>
      <c r="E77" t="s">
        <v>889</v>
      </c>
      <c r="F77" t="s">
        <v>545</v>
      </c>
      <c r="G77" t="s">
        <v>395</v>
      </c>
      <c r="H77" t="s">
        <v>394</v>
      </c>
      <c r="I77" t="s">
        <v>820</v>
      </c>
      <c r="J77">
        <v>2019</v>
      </c>
      <c r="K77" t="b">
        <v>1</v>
      </c>
      <c r="X77">
        <v>61.41</v>
      </c>
      <c r="AD77">
        <v>61</v>
      </c>
      <c r="AG77" t="s">
        <v>884</v>
      </c>
      <c r="AH77" t="s">
        <v>885</v>
      </c>
    </row>
    <row r="78" spans="1:34" x14ac:dyDescent="0.35">
      <c r="A78" t="s">
        <v>880</v>
      </c>
      <c r="B78" t="s">
        <v>881</v>
      </c>
      <c r="C78" t="s">
        <v>882</v>
      </c>
      <c r="D78" t="s">
        <v>20</v>
      </c>
      <c r="E78" t="s">
        <v>789</v>
      </c>
      <c r="F78" t="s">
        <v>545</v>
      </c>
      <c r="G78" t="s">
        <v>213</v>
      </c>
      <c r="H78" t="s">
        <v>212</v>
      </c>
      <c r="I78" t="s">
        <v>820</v>
      </c>
      <c r="J78">
        <v>2019</v>
      </c>
      <c r="K78" t="b">
        <v>1</v>
      </c>
      <c r="X78">
        <v>62.16</v>
      </c>
      <c r="AD78">
        <v>62</v>
      </c>
      <c r="AG78" t="s">
        <v>884</v>
      </c>
      <c r="AH78" t="s">
        <v>885</v>
      </c>
    </row>
    <row r="79" spans="1:34" x14ac:dyDescent="0.35">
      <c r="A79" t="s">
        <v>880</v>
      </c>
      <c r="B79" t="s">
        <v>881</v>
      </c>
      <c r="C79" t="s">
        <v>882</v>
      </c>
      <c r="D79" t="s">
        <v>43</v>
      </c>
      <c r="E79" t="s">
        <v>890</v>
      </c>
      <c r="F79" t="s">
        <v>545</v>
      </c>
      <c r="G79" t="s">
        <v>138</v>
      </c>
      <c r="H79" t="s">
        <v>137</v>
      </c>
      <c r="I79" t="s">
        <v>820</v>
      </c>
      <c r="J79">
        <v>2019</v>
      </c>
      <c r="K79" t="b">
        <v>1</v>
      </c>
      <c r="X79">
        <v>62.39</v>
      </c>
      <c r="AD79">
        <v>62</v>
      </c>
      <c r="AG79" t="s">
        <v>884</v>
      </c>
      <c r="AH79" t="s">
        <v>885</v>
      </c>
    </row>
    <row r="80" spans="1:34" x14ac:dyDescent="0.35">
      <c r="A80" t="s">
        <v>880</v>
      </c>
      <c r="B80" t="s">
        <v>881</v>
      </c>
      <c r="C80" t="s">
        <v>882</v>
      </c>
      <c r="D80" t="s">
        <v>0</v>
      </c>
      <c r="E80" t="s">
        <v>887</v>
      </c>
      <c r="F80" t="s">
        <v>545</v>
      </c>
      <c r="G80" t="s">
        <v>210</v>
      </c>
      <c r="H80" t="s">
        <v>209</v>
      </c>
      <c r="I80" t="s">
        <v>820</v>
      </c>
      <c r="J80">
        <v>2019</v>
      </c>
      <c r="K80" t="b">
        <v>1</v>
      </c>
      <c r="X80">
        <v>61.8</v>
      </c>
      <c r="AD80">
        <v>62</v>
      </c>
      <c r="AG80" t="s">
        <v>884</v>
      </c>
      <c r="AH80" t="s">
        <v>885</v>
      </c>
    </row>
    <row r="81" spans="1:34" x14ac:dyDescent="0.35">
      <c r="A81" t="s">
        <v>880</v>
      </c>
      <c r="B81" t="s">
        <v>881</v>
      </c>
      <c r="C81" t="s">
        <v>882</v>
      </c>
      <c r="D81" t="s">
        <v>25</v>
      </c>
      <c r="E81" t="s">
        <v>886</v>
      </c>
      <c r="F81" t="s">
        <v>545</v>
      </c>
      <c r="G81" t="s">
        <v>374</v>
      </c>
      <c r="H81" t="s">
        <v>373</v>
      </c>
      <c r="I81" t="s">
        <v>820</v>
      </c>
      <c r="J81">
        <v>2019</v>
      </c>
      <c r="K81" t="b">
        <v>1</v>
      </c>
      <c r="X81">
        <v>61.57</v>
      </c>
      <c r="AD81">
        <v>62</v>
      </c>
      <c r="AG81" t="s">
        <v>884</v>
      </c>
      <c r="AH81" t="s">
        <v>885</v>
      </c>
    </row>
    <row r="82" spans="1:34" x14ac:dyDescent="0.35">
      <c r="A82" t="s">
        <v>880</v>
      </c>
      <c r="B82" t="s">
        <v>881</v>
      </c>
      <c r="C82" t="s">
        <v>882</v>
      </c>
      <c r="D82" t="s">
        <v>1</v>
      </c>
      <c r="E82" t="s">
        <v>889</v>
      </c>
      <c r="F82" t="s">
        <v>545</v>
      </c>
      <c r="G82" t="s">
        <v>313</v>
      </c>
      <c r="H82" t="s">
        <v>312</v>
      </c>
      <c r="I82" t="s">
        <v>820</v>
      </c>
      <c r="J82">
        <v>2019</v>
      </c>
      <c r="K82" t="b">
        <v>1</v>
      </c>
      <c r="X82">
        <v>62.96</v>
      </c>
      <c r="AD82">
        <v>63</v>
      </c>
      <c r="AG82" t="s">
        <v>884</v>
      </c>
      <c r="AH82" t="s">
        <v>885</v>
      </c>
    </row>
    <row r="83" spans="1:34" x14ac:dyDescent="0.35">
      <c r="A83" t="s">
        <v>880</v>
      </c>
      <c r="B83" t="s">
        <v>881</v>
      </c>
      <c r="C83" t="s">
        <v>882</v>
      </c>
      <c r="D83" t="s">
        <v>0</v>
      </c>
      <c r="E83" t="s">
        <v>887</v>
      </c>
      <c r="F83" t="s">
        <v>545</v>
      </c>
      <c r="G83" t="s">
        <v>183</v>
      </c>
      <c r="H83" t="s">
        <v>182</v>
      </c>
      <c r="I83" t="s">
        <v>820</v>
      </c>
      <c r="J83">
        <v>2019</v>
      </c>
      <c r="K83" t="b">
        <v>1</v>
      </c>
      <c r="X83">
        <v>63.28</v>
      </c>
      <c r="AD83">
        <v>63</v>
      </c>
      <c r="AG83" t="s">
        <v>884</v>
      </c>
      <c r="AH83" t="s">
        <v>885</v>
      </c>
    </row>
    <row r="84" spans="1:34" x14ac:dyDescent="0.35">
      <c r="A84" t="s">
        <v>880</v>
      </c>
      <c r="B84" t="s">
        <v>881</v>
      </c>
      <c r="C84" t="s">
        <v>882</v>
      </c>
      <c r="D84" t="s">
        <v>20</v>
      </c>
      <c r="E84" t="s">
        <v>789</v>
      </c>
      <c r="F84" t="s">
        <v>545</v>
      </c>
      <c r="G84" t="s">
        <v>225</v>
      </c>
      <c r="H84" t="s">
        <v>224</v>
      </c>
      <c r="I84" t="s">
        <v>820</v>
      </c>
      <c r="J84">
        <v>2019</v>
      </c>
      <c r="K84" t="b">
        <v>1</v>
      </c>
      <c r="X84">
        <v>65.28</v>
      </c>
      <c r="AD84">
        <v>65</v>
      </c>
      <c r="AG84" t="s">
        <v>884</v>
      </c>
      <c r="AH84" t="s">
        <v>885</v>
      </c>
    </row>
    <row r="85" spans="1:34" x14ac:dyDescent="0.35">
      <c r="A85" t="s">
        <v>880</v>
      </c>
      <c r="B85" t="s">
        <v>881</v>
      </c>
      <c r="C85" t="s">
        <v>882</v>
      </c>
      <c r="D85" t="s">
        <v>20</v>
      </c>
      <c r="E85" t="s">
        <v>789</v>
      </c>
      <c r="F85" t="s">
        <v>545</v>
      </c>
      <c r="G85" t="s">
        <v>22</v>
      </c>
      <c r="H85" t="s">
        <v>21</v>
      </c>
      <c r="I85" t="s">
        <v>820</v>
      </c>
      <c r="J85">
        <v>2019</v>
      </c>
      <c r="K85" t="b">
        <v>1</v>
      </c>
      <c r="X85">
        <v>64.61</v>
      </c>
      <c r="AD85">
        <v>65</v>
      </c>
      <c r="AG85" t="s">
        <v>884</v>
      </c>
      <c r="AH85" t="s">
        <v>885</v>
      </c>
    </row>
    <row r="86" spans="1:34" x14ac:dyDescent="0.35">
      <c r="A86" t="s">
        <v>880</v>
      </c>
      <c r="B86" t="s">
        <v>881</v>
      </c>
      <c r="C86" t="s">
        <v>882</v>
      </c>
      <c r="D86" t="s">
        <v>20</v>
      </c>
      <c r="E86" t="s">
        <v>789</v>
      </c>
      <c r="F86" t="s">
        <v>545</v>
      </c>
      <c r="G86" t="s">
        <v>91</v>
      </c>
      <c r="H86" t="s">
        <v>90</v>
      </c>
      <c r="I86" t="s">
        <v>820</v>
      </c>
      <c r="J86">
        <v>2019</v>
      </c>
      <c r="K86" t="b">
        <v>1</v>
      </c>
      <c r="X86">
        <v>65.16</v>
      </c>
      <c r="AD86">
        <v>65</v>
      </c>
      <c r="AG86" t="s">
        <v>884</v>
      </c>
      <c r="AH86" t="s">
        <v>885</v>
      </c>
    </row>
    <row r="87" spans="1:34" x14ac:dyDescent="0.35">
      <c r="A87" t="s">
        <v>880</v>
      </c>
      <c r="B87" t="s">
        <v>881</v>
      </c>
      <c r="C87" t="s">
        <v>882</v>
      </c>
      <c r="D87" t="s">
        <v>25</v>
      </c>
      <c r="E87" t="s">
        <v>886</v>
      </c>
      <c r="F87" t="s">
        <v>545</v>
      </c>
      <c r="G87" t="s">
        <v>366</v>
      </c>
      <c r="H87" t="s">
        <v>365</v>
      </c>
      <c r="I87" t="s">
        <v>820</v>
      </c>
      <c r="J87">
        <v>2019</v>
      </c>
      <c r="K87" t="b">
        <v>1</v>
      </c>
      <c r="X87">
        <v>64.56</v>
      </c>
      <c r="AD87">
        <v>65</v>
      </c>
      <c r="AG87" t="s">
        <v>884</v>
      </c>
      <c r="AH87" t="s">
        <v>885</v>
      </c>
    </row>
    <row r="88" spans="1:34" x14ac:dyDescent="0.35">
      <c r="A88" t="s">
        <v>880</v>
      </c>
      <c r="B88" t="s">
        <v>881</v>
      </c>
      <c r="C88" t="s">
        <v>882</v>
      </c>
      <c r="D88" t="s">
        <v>1</v>
      </c>
      <c r="E88" t="s">
        <v>889</v>
      </c>
      <c r="F88" t="s">
        <v>545</v>
      </c>
      <c r="G88" t="s">
        <v>58</v>
      </c>
      <c r="H88" t="s">
        <v>57</v>
      </c>
      <c r="I88" t="s">
        <v>820</v>
      </c>
      <c r="J88">
        <v>2019</v>
      </c>
      <c r="K88" t="b">
        <v>1</v>
      </c>
      <c r="X88">
        <v>65.72</v>
      </c>
      <c r="AD88">
        <v>66</v>
      </c>
      <c r="AG88" t="s">
        <v>884</v>
      </c>
      <c r="AH88" t="s">
        <v>885</v>
      </c>
    </row>
    <row r="89" spans="1:34" x14ac:dyDescent="0.35">
      <c r="A89" t="s">
        <v>880</v>
      </c>
      <c r="B89" t="s">
        <v>881</v>
      </c>
      <c r="C89" t="s">
        <v>882</v>
      </c>
      <c r="D89" t="s">
        <v>20</v>
      </c>
      <c r="E89" t="s">
        <v>789</v>
      </c>
      <c r="F89" t="s">
        <v>545</v>
      </c>
      <c r="G89" t="s">
        <v>440</v>
      </c>
      <c r="H89" t="s">
        <v>439</v>
      </c>
      <c r="I89" t="s">
        <v>820</v>
      </c>
      <c r="J89">
        <v>2019</v>
      </c>
      <c r="K89" t="b">
        <v>1</v>
      </c>
      <c r="X89">
        <v>66.27</v>
      </c>
      <c r="AD89">
        <v>66</v>
      </c>
      <c r="AG89" t="s">
        <v>884</v>
      </c>
      <c r="AH89" t="s">
        <v>885</v>
      </c>
    </row>
    <row r="90" spans="1:34" x14ac:dyDescent="0.35">
      <c r="A90" t="s">
        <v>880</v>
      </c>
      <c r="B90" t="s">
        <v>881</v>
      </c>
      <c r="C90" t="s">
        <v>882</v>
      </c>
      <c r="D90" t="s">
        <v>1</v>
      </c>
      <c r="E90" t="s">
        <v>889</v>
      </c>
      <c r="F90" t="s">
        <v>545</v>
      </c>
      <c r="G90" t="s">
        <v>16</v>
      </c>
      <c r="H90" t="s">
        <v>15</v>
      </c>
      <c r="I90" t="s">
        <v>820</v>
      </c>
      <c r="J90">
        <v>2019</v>
      </c>
      <c r="K90" t="b">
        <v>1</v>
      </c>
      <c r="X90">
        <v>67.17</v>
      </c>
      <c r="AD90">
        <v>67</v>
      </c>
      <c r="AG90" t="s">
        <v>884</v>
      </c>
      <c r="AH90" t="s">
        <v>885</v>
      </c>
    </row>
    <row r="91" spans="1:34" x14ac:dyDescent="0.35">
      <c r="A91" t="s">
        <v>880</v>
      </c>
      <c r="B91" t="s">
        <v>881</v>
      </c>
      <c r="C91" t="s">
        <v>882</v>
      </c>
      <c r="D91" t="s">
        <v>1</v>
      </c>
      <c r="E91" t="s">
        <v>889</v>
      </c>
      <c r="F91" t="s">
        <v>545</v>
      </c>
      <c r="G91" t="s">
        <v>199</v>
      </c>
      <c r="H91" t="s">
        <v>198</v>
      </c>
      <c r="I91" t="s">
        <v>820</v>
      </c>
      <c r="J91">
        <v>2019</v>
      </c>
      <c r="K91" t="b">
        <v>1</v>
      </c>
      <c r="X91">
        <v>66.75</v>
      </c>
      <c r="AD91">
        <v>67</v>
      </c>
      <c r="AG91" t="s">
        <v>884</v>
      </c>
      <c r="AH91" t="s">
        <v>885</v>
      </c>
    </row>
    <row r="92" spans="1:34" x14ac:dyDescent="0.35">
      <c r="A92" t="s">
        <v>880</v>
      </c>
      <c r="B92" t="s">
        <v>881</v>
      </c>
      <c r="C92" t="s">
        <v>882</v>
      </c>
      <c r="D92" t="s">
        <v>1</v>
      </c>
      <c r="E92" t="s">
        <v>889</v>
      </c>
      <c r="F92" t="s">
        <v>545</v>
      </c>
      <c r="G92" t="s">
        <v>34</v>
      </c>
      <c r="H92" t="s">
        <v>33</v>
      </c>
      <c r="I92" t="s">
        <v>820</v>
      </c>
      <c r="J92">
        <v>2019</v>
      </c>
      <c r="K92" t="b">
        <v>1</v>
      </c>
      <c r="X92">
        <v>66.680000000000007</v>
      </c>
      <c r="AD92">
        <v>67</v>
      </c>
      <c r="AG92" t="s">
        <v>884</v>
      </c>
      <c r="AH92" t="s">
        <v>885</v>
      </c>
    </row>
    <row r="93" spans="1:34" x14ac:dyDescent="0.35">
      <c r="A93" t="s">
        <v>880</v>
      </c>
      <c r="B93" t="s">
        <v>881</v>
      </c>
      <c r="C93" t="s">
        <v>882</v>
      </c>
      <c r="D93" t="s">
        <v>20</v>
      </c>
      <c r="E93" t="s">
        <v>789</v>
      </c>
      <c r="F93" t="s">
        <v>545</v>
      </c>
      <c r="G93" t="s">
        <v>185</v>
      </c>
      <c r="H93" t="s">
        <v>184</v>
      </c>
      <c r="I93" t="s">
        <v>820</v>
      </c>
      <c r="J93">
        <v>2019</v>
      </c>
      <c r="K93" t="b">
        <v>1</v>
      </c>
      <c r="X93">
        <v>67.16</v>
      </c>
      <c r="AD93">
        <v>67</v>
      </c>
      <c r="AG93" t="s">
        <v>884</v>
      </c>
      <c r="AH93" t="s">
        <v>885</v>
      </c>
    </row>
    <row r="94" spans="1:34" x14ac:dyDescent="0.35">
      <c r="A94" t="s">
        <v>880</v>
      </c>
      <c r="B94" t="s">
        <v>881</v>
      </c>
      <c r="C94" t="s">
        <v>882</v>
      </c>
      <c r="D94" t="s">
        <v>20</v>
      </c>
      <c r="E94" t="s">
        <v>789</v>
      </c>
      <c r="F94" t="s">
        <v>545</v>
      </c>
      <c r="G94" t="s">
        <v>368</v>
      </c>
      <c r="H94" t="s">
        <v>367</v>
      </c>
      <c r="I94" t="s">
        <v>820</v>
      </c>
      <c r="J94">
        <v>2019</v>
      </c>
      <c r="K94" t="b">
        <v>1</v>
      </c>
      <c r="X94">
        <v>67.42</v>
      </c>
      <c r="AD94">
        <v>67</v>
      </c>
      <c r="AG94" t="s">
        <v>884</v>
      </c>
      <c r="AH94" t="s">
        <v>885</v>
      </c>
    </row>
    <row r="95" spans="1:34" x14ac:dyDescent="0.35">
      <c r="A95" t="s">
        <v>880</v>
      </c>
      <c r="B95" t="s">
        <v>881</v>
      </c>
      <c r="C95" t="s">
        <v>882</v>
      </c>
      <c r="D95" t="s">
        <v>25</v>
      </c>
      <c r="E95" t="s">
        <v>886</v>
      </c>
      <c r="F95" t="s">
        <v>545</v>
      </c>
      <c r="G95" t="s">
        <v>431</v>
      </c>
      <c r="H95" t="s">
        <v>430</v>
      </c>
      <c r="I95" t="s">
        <v>820</v>
      </c>
      <c r="J95">
        <v>2019</v>
      </c>
      <c r="K95" t="b">
        <v>1</v>
      </c>
      <c r="X95">
        <v>67.47</v>
      </c>
      <c r="AD95">
        <v>67</v>
      </c>
      <c r="AG95" t="s">
        <v>884</v>
      </c>
      <c r="AH95" t="s">
        <v>885</v>
      </c>
    </row>
    <row r="96" spans="1:34" x14ac:dyDescent="0.35">
      <c r="A96" t="s">
        <v>880</v>
      </c>
      <c r="B96" t="s">
        <v>881</v>
      </c>
      <c r="C96" t="s">
        <v>882</v>
      </c>
      <c r="D96" t="s">
        <v>43</v>
      </c>
      <c r="E96" t="s">
        <v>890</v>
      </c>
      <c r="F96" t="s">
        <v>545</v>
      </c>
      <c r="G96" t="s">
        <v>56</v>
      </c>
      <c r="H96" t="s">
        <v>55</v>
      </c>
      <c r="I96" t="s">
        <v>820</v>
      </c>
      <c r="J96">
        <v>2019</v>
      </c>
      <c r="K96" t="b">
        <v>1</v>
      </c>
      <c r="X96">
        <v>66.8</v>
      </c>
      <c r="AD96">
        <v>67</v>
      </c>
      <c r="AG96" t="s">
        <v>884</v>
      </c>
      <c r="AH96" t="s">
        <v>885</v>
      </c>
    </row>
    <row r="97" spans="1:34" x14ac:dyDescent="0.35">
      <c r="A97" t="s">
        <v>880</v>
      </c>
      <c r="B97" t="s">
        <v>881</v>
      </c>
      <c r="C97" t="s">
        <v>882</v>
      </c>
      <c r="D97" t="s">
        <v>1</v>
      </c>
      <c r="E97" t="s">
        <v>889</v>
      </c>
      <c r="F97" t="s">
        <v>545</v>
      </c>
      <c r="G97" t="s">
        <v>437</v>
      </c>
      <c r="H97" t="s">
        <v>436</v>
      </c>
      <c r="I97" t="s">
        <v>820</v>
      </c>
      <c r="J97">
        <v>2019</v>
      </c>
      <c r="K97" t="b">
        <v>1</v>
      </c>
      <c r="X97">
        <v>66.930000000000007</v>
      </c>
      <c r="AD97">
        <v>67</v>
      </c>
      <c r="AG97" t="s">
        <v>884</v>
      </c>
      <c r="AH97" t="s">
        <v>885</v>
      </c>
    </row>
    <row r="98" spans="1:34" x14ac:dyDescent="0.35">
      <c r="A98" t="s">
        <v>880</v>
      </c>
      <c r="B98" t="s">
        <v>881</v>
      </c>
      <c r="C98" t="s">
        <v>882</v>
      </c>
      <c r="D98" t="s">
        <v>43</v>
      </c>
      <c r="E98" t="s">
        <v>890</v>
      </c>
      <c r="F98" t="s">
        <v>545</v>
      </c>
      <c r="G98" t="s">
        <v>45</v>
      </c>
      <c r="H98" t="s">
        <v>44</v>
      </c>
      <c r="I98" t="s">
        <v>820</v>
      </c>
      <c r="J98">
        <v>2019</v>
      </c>
      <c r="K98" t="b">
        <v>1</v>
      </c>
      <c r="X98">
        <v>67.75</v>
      </c>
      <c r="AD98">
        <v>68</v>
      </c>
      <c r="AG98" t="s">
        <v>884</v>
      </c>
      <c r="AH98" t="s">
        <v>885</v>
      </c>
    </row>
    <row r="99" spans="1:34" x14ac:dyDescent="0.35">
      <c r="A99" t="s">
        <v>880</v>
      </c>
      <c r="B99" t="s">
        <v>881</v>
      </c>
      <c r="C99" t="s">
        <v>882</v>
      </c>
      <c r="D99" t="s">
        <v>20</v>
      </c>
      <c r="E99" t="s">
        <v>789</v>
      </c>
      <c r="F99" t="s">
        <v>545</v>
      </c>
      <c r="G99" t="s">
        <v>386</v>
      </c>
      <c r="H99" t="s">
        <v>676</v>
      </c>
      <c r="I99" t="s">
        <v>820</v>
      </c>
      <c r="J99">
        <v>2019</v>
      </c>
      <c r="K99" t="b">
        <v>1</v>
      </c>
      <c r="X99">
        <v>68.41</v>
      </c>
      <c r="AD99">
        <v>68</v>
      </c>
      <c r="AG99" t="s">
        <v>884</v>
      </c>
      <c r="AH99" t="s">
        <v>885</v>
      </c>
    </row>
    <row r="100" spans="1:34" x14ac:dyDescent="0.35">
      <c r="A100" t="s">
        <v>880</v>
      </c>
      <c r="B100" t="s">
        <v>881</v>
      </c>
      <c r="C100" t="s">
        <v>882</v>
      </c>
      <c r="D100" t="s">
        <v>20</v>
      </c>
      <c r="E100" t="s">
        <v>789</v>
      </c>
      <c r="F100" t="s">
        <v>545</v>
      </c>
      <c r="G100" t="s">
        <v>219</v>
      </c>
      <c r="H100" t="s">
        <v>218</v>
      </c>
      <c r="I100" t="s">
        <v>820</v>
      </c>
      <c r="J100">
        <v>2019</v>
      </c>
      <c r="K100" t="b">
        <v>1</v>
      </c>
      <c r="X100">
        <v>69.260000000000005</v>
      </c>
      <c r="AD100">
        <v>69</v>
      </c>
      <c r="AG100" t="s">
        <v>884</v>
      </c>
      <c r="AH100" t="s">
        <v>885</v>
      </c>
    </row>
    <row r="101" spans="1:34" x14ac:dyDescent="0.35">
      <c r="A101" t="s">
        <v>880</v>
      </c>
      <c r="B101" t="s">
        <v>881</v>
      </c>
      <c r="C101" t="s">
        <v>882</v>
      </c>
      <c r="D101" t="s">
        <v>25</v>
      </c>
      <c r="E101" t="s">
        <v>886</v>
      </c>
      <c r="F101" t="s">
        <v>545</v>
      </c>
      <c r="G101" t="s">
        <v>243</v>
      </c>
      <c r="H101" t="s">
        <v>242</v>
      </c>
      <c r="I101" t="s">
        <v>820</v>
      </c>
      <c r="J101">
        <v>2019</v>
      </c>
      <c r="K101" t="b">
        <v>1</v>
      </c>
      <c r="X101">
        <v>69.41</v>
      </c>
      <c r="AD101">
        <v>69</v>
      </c>
      <c r="AG101" t="s">
        <v>884</v>
      </c>
      <c r="AH101" t="s">
        <v>885</v>
      </c>
    </row>
    <row r="102" spans="1:34" x14ac:dyDescent="0.35">
      <c r="A102" t="s">
        <v>880</v>
      </c>
      <c r="B102" t="s">
        <v>881</v>
      </c>
      <c r="C102" t="s">
        <v>882</v>
      </c>
      <c r="D102" t="s">
        <v>43</v>
      </c>
      <c r="E102" t="s">
        <v>890</v>
      </c>
      <c r="F102" t="s">
        <v>545</v>
      </c>
      <c r="G102" t="s">
        <v>357</v>
      </c>
      <c r="H102" t="s">
        <v>356</v>
      </c>
      <c r="I102" t="s">
        <v>820</v>
      </c>
      <c r="J102">
        <v>2019</v>
      </c>
      <c r="K102" t="b">
        <v>1</v>
      </c>
      <c r="X102">
        <v>69.17</v>
      </c>
      <c r="AD102">
        <v>69</v>
      </c>
      <c r="AG102" t="s">
        <v>884</v>
      </c>
      <c r="AH102" t="s">
        <v>885</v>
      </c>
    </row>
    <row r="103" spans="1:34" x14ac:dyDescent="0.35">
      <c r="A103" t="s">
        <v>880</v>
      </c>
      <c r="B103" t="s">
        <v>881</v>
      </c>
      <c r="C103" t="s">
        <v>882</v>
      </c>
      <c r="D103" t="s">
        <v>4</v>
      </c>
      <c r="E103" t="s">
        <v>883</v>
      </c>
      <c r="F103" t="s">
        <v>545</v>
      </c>
      <c r="G103" t="s">
        <v>515</v>
      </c>
      <c r="H103" t="s">
        <v>514</v>
      </c>
      <c r="I103" t="s">
        <v>820</v>
      </c>
      <c r="J103">
        <v>2019</v>
      </c>
      <c r="K103" t="b">
        <v>1</v>
      </c>
      <c r="X103">
        <v>68.66</v>
      </c>
      <c r="AD103">
        <v>69</v>
      </c>
      <c r="AG103" t="s">
        <v>884</v>
      </c>
      <c r="AH103" t="s">
        <v>885</v>
      </c>
    </row>
    <row r="104" spans="1:34" x14ac:dyDescent="0.35">
      <c r="A104" t="s">
        <v>880</v>
      </c>
      <c r="B104" t="s">
        <v>881</v>
      </c>
      <c r="C104" t="s">
        <v>882</v>
      </c>
      <c r="D104" t="s">
        <v>1</v>
      </c>
      <c r="E104" t="s">
        <v>889</v>
      </c>
      <c r="F104" t="s">
        <v>545</v>
      </c>
      <c r="G104" t="s">
        <v>37</v>
      </c>
      <c r="H104" t="s">
        <v>36</v>
      </c>
      <c r="I104" t="s">
        <v>820</v>
      </c>
      <c r="J104">
        <v>2019</v>
      </c>
      <c r="K104" t="b">
        <v>1</v>
      </c>
      <c r="X104">
        <v>69.81</v>
      </c>
      <c r="AD104">
        <v>70</v>
      </c>
      <c r="AG104" t="s">
        <v>884</v>
      </c>
      <c r="AH104" t="s">
        <v>885</v>
      </c>
    </row>
    <row r="105" spans="1:34" x14ac:dyDescent="0.35">
      <c r="A105" t="s">
        <v>880</v>
      </c>
      <c r="B105" t="s">
        <v>881</v>
      </c>
      <c r="C105" t="s">
        <v>882</v>
      </c>
      <c r="D105" t="s">
        <v>20</v>
      </c>
      <c r="E105" t="s">
        <v>789</v>
      </c>
      <c r="F105" t="s">
        <v>545</v>
      </c>
      <c r="G105" t="s">
        <v>237</v>
      </c>
      <c r="H105" t="s">
        <v>236</v>
      </c>
      <c r="I105" t="s">
        <v>820</v>
      </c>
      <c r="J105">
        <v>2019</v>
      </c>
      <c r="K105" t="b">
        <v>1</v>
      </c>
      <c r="X105">
        <v>69.87</v>
      </c>
      <c r="AD105">
        <v>70</v>
      </c>
      <c r="AG105" t="s">
        <v>884</v>
      </c>
      <c r="AH105" t="s">
        <v>885</v>
      </c>
    </row>
    <row r="106" spans="1:34" x14ac:dyDescent="0.35">
      <c r="A106" t="s">
        <v>880</v>
      </c>
      <c r="B106" t="s">
        <v>881</v>
      </c>
      <c r="C106" t="s">
        <v>882</v>
      </c>
      <c r="D106" t="s">
        <v>4</v>
      </c>
      <c r="E106" t="s">
        <v>883</v>
      </c>
      <c r="F106" t="s">
        <v>545</v>
      </c>
      <c r="G106" t="s">
        <v>7</v>
      </c>
      <c r="H106" t="s">
        <v>6</v>
      </c>
      <c r="I106" t="s">
        <v>820</v>
      </c>
      <c r="J106">
        <v>2019</v>
      </c>
      <c r="K106" t="b">
        <v>1</v>
      </c>
      <c r="X106">
        <v>69.8</v>
      </c>
      <c r="AD106">
        <v>70</v>
      </c>
      <c r="AG106" t="s">
        <v>884</v>
      </c>
      <c r="AH106" t="s">
        <v>885</v>
      </c>
    </row>
    <row r="107" spans="1:34" x14ac:dyDescent="0.35">
      <c r="A107" t="s">
        <v>880</v>
      </c>
      <c r="B107" t="s">
        <v>881</v>
      </c>
      <c r="C107" t="s">
        <v>882</v>
      </c>
      <c r="D107" t="s">
        <v>1</v>
      </c>
      <c r="E107" t="s">
        <v>889</v>
      </c>
      <c r="F107" t="s">
        <v>545</v>
      </c>
      <c r="G107" t="s">
        <v>96</v>
      </c>
      <c r="H107" t="s">
        <v>95</v>
      </c>
      <c r="I107" t="s">
        <v>820</v>
      </c>
      <c r="J107">
        <v>2019</v>
      </c>
      <c r="K107" t="b">
        <v>1</v>
      </c>
      <c r="X107">
        <v>69.72</v>
      </c>
      <c r="AD107">
        <v>70</v>
      </c>
      <c r="AG107" t="s">
        <v>884</v>
      </c>
      <c r="AH107" t="s">
        <v>885</v>
      </c>
    </row>
    <row r="108" spans="1:34" x14ac:dyDescent="0.35">
      <c r="A108" t="s">
        <v>880</v>
      </c>
      <c r="B108" t="s">
        <v>881</v>
      </c>
      <c r="C108" t="s">
        <v>882</v>
      </c>
      <c r="D108" t="s">
        <v>1</v>
      </c>
      <c r="E108" t="s">
        <v>889</v>
      </c>
      <c r="F108" t="s">
        <v>545</v>
      </c>
      <c r="G108" t="s">
        <v>125</v>
      </c>
      <c r="H108" t="s">
        <v>124</v>
      </c>
      <c r="I108" t="s">
        <v>820</v>
      </c>
      <c r="J108">
        <v>2019</v>
      </c>
      <c r="K108" t="b">
        <v>1</v>
      </c>
      <c r="X108">
        <v>70.11</v>
      </c>
      <c r="AD108">
        <v>70</v>
      </c>
      <c r="AG108" t="s">
        <v>884</v>
      </c>
      <c r="AH108" t="s">
        <v>885</v>
      </c>
    </row>
    <row r="109" spans="1:34" x14ac:dyDescent="0.35">
      <c r="A109" t="s">
        <v>880</v>
      </c>
      <c r="B109" t="s">
        <v>881</v>
      </c>
      <c r="C109" t="s">
        <v>882</v>
      </c>
      <c r="D109" t="s">
        <v>4</v>
      </c>
      <c r="E109" t="s">
        <v>883</v>
      </c>
      <c r="F109" t="s">
        <v>545</v>
      </c>
      <c r="G109" t="s">
        <v>506</v>
      </c>
      <c r="H109" t="s">
        <v>505</v>
      </c>
      <c r="I109" t="s">
        <v>820</v>
      </c>
      <c r="J109">
        <v>2019</v>
      </c>
      <c r="K109" t="b">
        <v>1</v>
      </c>
      <c r="X109">
        <v>69.56</v>
      </c>
      <c r="AD109">
        <v>70</v>
      </c>
      <c r="AG109" t="s">
        <v>884</v>
      </c>
      <c r="AH109" t="s">
        <v>885</v>
      </c>
    </row>
    <row r="110" spans="1:34" x14ac:dyDescent="0.35">
      <c r="A110" t="s">
        <v>880</v>
      </c>
      <c r="B110" t="s">
        <v>881</v>
      </c>
      <c r="C110" t="s">
        <v>882</v>
      </c>
      <c r="D110" t="s">
        <v>20</v>
      </c>
      <c r="E110" t="s">
        <v>789</v>
      </c>
      <c r="F110" t="s">
        <v>545</v>
      </c>
      <c r="G110" t="s">
        <v>174</v>
      </c>
      <c r="H110" t="s">
        <v>173</v>
      </c>
      <c r="I110" t="s">
        <v>820</v>
      </c>
      <c r="J110">
        <v>2019</v>
      </c>
      <c r="K110" t="b">
        <v>1</v>
      </c>
      <c r="X110">
        <v>70.319999999999993</v>
      </c>
      <c r="AD110">
        <v>70</v>
      </c>
      <c r="AG110" t="s">
        <v>884</v>
      </c>
      <c r="AH110" t="s">
        <v>885</v>
      </c>
    </row>
    <row r="111" spans="1:34" x14ac:dyDescent="0.35">
      <c r="A111" t="s">
        <v>880</v>
      </c>
      <c r="B111" t="s">
        <v>881</v>
      </c>
      <c r="C111" t="s">
        <v>882</v>
      </c>
      <c r="D111" t="s">
        <v>20</v>
      </c>
      <c r="E111" t="s">
        <v>789</v>
      </c>
      <c r="F111" t="s">
        <v>545</v>
      </c>
      <c r="G111" t="s">
        <v>348</v>
      </c>
      <c r="H111" t="s">
        <v>347</v>
      </c>
      <c r="I111" t="s">
        <v>820</v>
      </c>
      <c r="J111">
        <v>2019</v>
      </c>
      <c r="K111" t="b">
        <v>1</v>
      </c>
      <c r="X111">
        <v>69.52</v>
      </c>
      <c r="AD111">
        <v>70</v>
      </c>
      <c r="AG111" t="s">
        <v>884</v>
      </c>
      <c r="AH111" t="s">
        <v>885</v>
      </c>
    </row>
    <row r="112" spans="1:34" x14ac:dyDescent="0.35">
      <c r="A112" t="s">
        <v>880</v>
      </c>
      <c r="B112" t="s">
        <v>881</v>
      </c>
      <c r="C112" t="s">
        <v>882</v>
      </c>
      <c r="D112" t="s">
        <v>1</v>
      </c>
      <c r="E112" t="s">
        <v>889</v>
      </c>
      <c r="F112" t="s">
        <v>545</v>
      </c>
      <c r="G112" t="s">
        <v>380</v>
      </c>
      <c r="H112" t="s">
        <v>379</v>
      </c>
      <c r="I112" t="s">
        <v>820</v>
      </c>
      <c r="J112">
        <v>2019</v>
      </c>
      <c r="K112" t="b">
        <v>1</v>
      </c>
      <c r="X112">
        <v>70.05</v>
      </c>
      <c r="AD112">
        <v>70</v>
      </c>
      <c r="AG112" t="s">
        <v>884</v>
      </c>
      <c r="AH112" t="s">
        <v>885</v>
      </c>
    </row>
    <row r="113" spans="1:34" x14ac:dyDescent="0.35">
      <c r="A113" t="s">
        <v>880</v>
      </c>
      <c r="B113" t="s">
        <v>881</v>
      </c>
      <c r="C113" t="s">
        <v>882</v>
      </c>
      <c r="D113" t="s">
        <v>25</v>
      </c>
      <c r="E113" t="s">
        <v>886</v>
      </c>
      <c r="F113" t="s">
        <v>545</v>
      </c>
      <c r="G113" t="s">
        <v>419</v>
      </c>
      <c r="H113" t="s">
        <v>418</v>
      </c>
      <c r="I113" t="s">
        <v>820</v>
      </c>
      <c r="J113">
        <v>2019</v>
      </c>
      <c r="K113" t="b">
        <v>1</v>
      </c>
      <c r="X113">
        <v>69.7</v>
      </c>
      <c r="AD113">
        <v>70</v>
      </c>
      <c r="AG113" t="s">
        <v>884</v>
      </c>
      <c r="AH113" t="s">
        <v>885</v>
      </c>
    </row>
    <row r="114" spans="1:34" x14ac:dyDescent="0.35">
      <c r="A114" t="s">
        <v>880</v>
      </c>
      <c r="B114" t="s">
        <v>881</v>
      </c>
      <c r="C114" t="s">
        <v>882</v>
      </c>
      <c r="D114" t="s">
        <v>4</v>
      </c>
      <c r="E114" t="s">
        <v>883</v>
      </c>
      <c r="F114" t="s">
        <v>545</v>
      </c>
      <c r="G114" t="s">
        <v>458</v>
      </c>
      <c r="H114" t="s">
        <v>457</v>
      </c>
      <c r="I114" t="s">
        <v>820</v>
      </c>
      <c r="J114">
        <v>2019</v>
      </c>
      <c r="K114" t="b">
        <v>1</v>
      </c>
      <c r="X114">
        <v>69.86</v>
      </c>
      <c r="AD114">
        <v>70</v>
      </c>
      <c r="AG114" t="s">
        <v>884</v>
      </c>
      <c r="AH114" t="s">
        <v>885</v>
      </c>
    </row>
    <row r="115" spans="1:34" x14ac:dyDescent="0.35">
      <c r="A115" t="s">
        <v>880</v>
      </c>
      <c r="B115" t="s">
        <v>881</v>
      </c>
      <c r="C115" t="s">
        <v>882</v>
      </c>
      <c r="D115" t="s">
        <v>1</v>
      </c>
      <c r="E115" t="s">
        <v>889</v>
      </c>
      <c r="F115" t="s">
        <v>545</v>
      </c>
      <c r="G115" t="s">
        <v>19</v>
      </c>
      <c r="H115" t="s">
        <v>18</v>
      </c>
      <c r="I115" t="s">
        <v>820</v>
      </c>
      <c r="J115">
        <v>2019</v>
      </c>
      <c r="K115" t="b">
        <v>1</v>
      </c>
      <c r="X115">
        <v>69.63</v>
      </c>
      <c r="AD115">
        <v>70</v>
      </c>
      <c r="AG115" t="s">
        <v>884</v>
      </c>
      <c r="AH115" t="s">
        <v>885</v>
      </c>
    </row>
    <row r="116" spans="1:34" x14ac:dyDescent="0.35">
      <c r="A116" t="s">
        <v>880</v>
      </c>
      <c r="B116" t="s">
        <v>881</v>
      </c>
      <c r="C116" t="s">
        <v>882</v>
      </c>
      <c r="D116" t="s">
        <v>0</v>
      </c>
      <c r="E116" t="s">
        <v>887</v>
      </c>
      <c r="F116" t="s">
        <v>545</v>
      </c>
      <c r="G116" t="s">
        <v>495</v>
      </c>
      <c r="H116" t="s">
        <v>494</v>
      </c>
      <c r="I116" t="s">
        <v>820</v>
      </c>
      <c r="J116">
        <v>2019</v>
      </c>
      <c r="K116" t="b">
        <v>1</v>
      </c>
      <c r="X116">
        <v>69.540000000000006</v>
      </c>
      <c r="AD116">
        <v>70</v>
      </c>
      <c r="AG116" t="s">
        <v>884</v>
      </c>
      <c r="AH116" t="s">
        <v>885</v>
      </c>
    </row>
    <row r="117" spans="1:34" x14ac:dyDescent="0.35">
      <c r="A117" t="s">
        <v>880</v>
      </c>
      <c r="B117" t="s">
        <v>881</v>
      </c>
      <c r="C117" t="s">
        <v>882</v>
      </c>
      <c r="D117" t="s">
        <v>4</v>
      </c>
      <c r="E117" t="s">
        <v>883</v>
      </c>
      <c r="F117" t="s">
        <v>545</v>
      </c>
      <c r="G117" t="s">
        <v>132</v>
      </c>
      <c r="H117" t="s">
        <v>131</v>
      </c>
      <c r="I117" t="s">
        <v>820</v>
      </c>
      <c r="J117">
        <v>2019</v>
      </c>
      <c r="K117" t="b">
        <v>1</v>
      </c>
      <c r="X117">
        <v>71.44</v>
      </c>
      <c r="AD117">
        <v>71</v>
      </c>
      <c r="AG117" t="s">
        <v>884</v>
      </c>
      <c r="AH117" t="s">
        <v>885</v>
      </c>
    </row>
    <row r="118" spans="1:34" x14ac:dyDescent="0.35">
      <c r="A118" t="s">
        <v>880</v>
      </c>
      <c r="B118" t="s">
        <v>881</v>
      </c>
      <c r="C118" t="s">
        <v>882</v>
      </c>
      <c r="D118" t="s">
        <v>20</v>
      </c>
      <c r="E118" t="s">
        <v>789</v>
      </c>
      <c r="F118" t="s">
        <v>545</v>
      </c>
      <c r="G118" t="s">
        <v>481</v>
      </c>
      <c r="H118" t="s">
        <v>480</v>
      </c>
      <c r="I118" t="s">
        <v>820</v>
      </c>
      <c r="J118">
        <v>2019</v>
      </c>
      <c r="K118" t="b">
        <v>1</v>
      </c>
      <c r="X118">
        <v>71.459999999999994</v>
      </c>
      <c r="AD118">
        <v>71</v>
      </c>
      <c r="AG118" t="s">
        <v>884</v>
      </c>
      <c r="AH118" t="s">
        <v>885</v>
      </c>
    </row>
    <row r="119" spans="1:34" x14ac:dyDescent="0.35">
      <c r="A119" t="s">
        <v>880</v>
      </c>
      <c r="B119" t="s">
        <v>881</v>
      </c>
      <c r="C119" t="s">
        <v>882</v>
      </c>
      <c r="D119" t="s">
        <v>20</v>
      </c>
      <c r="E119" t="s">
        <v>789</v>
      </c>
      <c r="F119" t="s">
        <v>545</v>
      </c>
      <c r="G119" t="s">
        <v>416</v>
      </c>
      <c r="H119" t="s">
        <v>415</v>
      </c>
      <c r="I119" t="s">
        <v>820</v>
      </c>
      <c r="J119">
        <v>2019</v>
      </c>
      <c r="K119" t="b">
        <v>1</v>
      </c>
      <c r="X119">
        <v>70.709999999999994</v>
      </c>
      <c r="AD119">
        <v>71</v>
      </c>
      <c r="AG119" t="s">
        <v>884</v>
      </c>
      <c r="AH119" t="s">
        <v>885</v>
      </c>
    </row>
    <row r="120" spans="1:34" x14ac:dyDescent="0.35">
      <c r="A120" t="s">
        <v>880</v>
      </c>
      <c r="B120" t="s">
        <v>881</v>
      </c>
      <c r="C120" t="s">
        <v>882</v>
      </c>
      <c r="D120" t="s">
        <v>20</v>
      </c>
      <c r="E120" t="s">
        <v>789</v>
      </c>
      <c r="F120" t="s">
        <v>545</v>
      </c>
      <c r="G120" t="s">
        <v>467</v>
      </c>
      <c r="H120" t="s">
        <v>466</v>
      </c>
      <c r="I120" t="s">
        <v>820</v>
      </c>
      <c r="J120">
        <v>2019</v>
      </c>
      <c r="K120" t="b">
        <v>1</v>
      </c>
      <c r="X120">
        <v>70.849999999999994</v>
      </c>
      <c r="AD120">
        <v>71</v>
      </c>
      <c r="AG120" t="s">
        <v>884</v>
      </c>
      <c r="AH120" t="s">
        <v>885</v>
      </c>
    </row>
    <row r="121" spans="1:34" x14ac:dyDescent="0.35">
      <c r="A121" t="s">
        <v>880</v>
      </c>
      <c r="B121" t="s">
        <v>881</v>
      </c>
      <c r="C121" t="s">
        <v>882</v>
      </c>
      <c r="D121" t="s">
        <v>1</v>
      </c>
      <c r="E121" t="s">
        <v>889</v>
      </c>
      <c r="F121" t="s">
        <v>545</v>
      </c>
      <c r="G121" t="s">
        <v>3</v>
      </c>
      <c r="H121" t="s">
        <v>2</v>
      </c>
      <c r="I121" t="s">
        <v>820</v>
      </c>
      <c r="J121">
        <v>2019</v>
      </c>
      <c r="K121" t="b">
        <v>1</v>
      </c>
      <c r="X121">
        <v>72.33</v>
      </c>
      <c r="AD121">
        <v>72</v>
      </c>
      <c r="AG121" t="s">
        <v>884</v>
      </c>
      <c r="AH121" t="s">
        <v>885</v>
      </c>
    </row>
    <row r="122" spans="1:34" x14ac:dyDescent="0.35">
      <c r="A122" t="s">
        <v>880</v>
      </c>
      <c r="B122" t="s">
        <v>881</v>
      </c>
      <c r="C122" t="s">
        <v>882</v>
      </c>
      <c r="D122" t="s">
        <v>20</v>
      </c>
      <c r="E122" t="s">
        <v>789</v>
      </c>
      <c r="F122" t="s">
        <v>545</v>
      </c>
      <c r="G122" t="s">
        <v>342</v>
      </c>
      <c r="H122" t="s">
        <v>341</v>
      </c>
      <c r="I122" t="s">
        <v>820</v>
      </c>
      <c r="J122">
        <v>2019</v>
      </c>
      <c r="K122" t="b">
        <v>1</v>
      </c>
      <c r="X122">
        <v>71.77</v>
      </c>
      <c r="AD122">
        <v>72</v>
      </c>
      <c r="AG122" t="s">
        <v>884</v>
      </c>
      <c r="AH122" t="s">
        <v>885</v>
      </c>
    </row>
    <row r="123" spans="1:34" x14ac:dyDescent="0.35">
      <c r="A123" t="s">
        <v>880</v>
      </c>
      <c r="B123" t="s">
        <v>881</v>
      </c>
      <c r="C123" t="s">
        <v>882</v>
      </c>
      <c r="D123" t="s">
        <v>4</v>
      </c>
      <c r="E123" t="s">
        <v>883</v>
      </c>
      <c r="F123" t="s">
        <v>545</v>
      </c>
      <c r="G123" t="s">
        <v>179</v>
      </c>
      <c r="H123" t="s">
        <v>178</v>
      </c>
      <c r="I123" t="s">
        <v>820</v>
      </c>
      <c r="J123">
        <v>2019</v>
      </c>
      <c r="K123" t="b">
        <v>1</v>
      </c>
      <c r="X123">
        <v>71.98</v>
      </c>
      <c r="AD123">
        <v>72</v>
      </c>
      <c r="AG123" t="s">
        <v>884</v>
      </c>
      <c r="AH123" t="s">
        <v>885</v>
      </c>
    </row>
    <row r="124" spans="1:34" x14ac:dyDescent="0.35">
      <c r="A124" t="s">
        <v>880</v>
      </c>
      <c r="B124" t="s">
        <v>881</v>
      </c>
      <c r="C124" t="s">
        <v>882</v>
      </c>
      <c r="D124" t="s">
        <v>1</v>
      </c>
      <c r="E124" t="s">
        <v>889</v>
      </c>
      <c r="F124" t="s">
        <v>545</v>
      </c>
      <c r="G124" t="s">
        <v>485</v>
      </c>
      <c r="H124" t="s">
        <v>484</v>
      </c>
      <c r="I124" t="s">
        <v>820</v>
      </c>
      <c r="J124">
        <v>2019</v>
      </c>
      <c r="K124" t="b">
        <v>1</v>
      </c>
      <c r="X124">
        <v>71.75</v>
      </c>
      <c r="AD124">
        <v>72</v>
      </c>
      <c r="AG124" t="s">
        <v>884</v>
      </c>
      <c r="AH124" t="s">
        <v>885</v>
      </c>
    </row>
    <row r="125" spans="1:34" x14ac:dyDescent="0.35">
      <c r="A125" t="s">
        <v>880</v>
      </c>
      <c r="B125" t="s">
        <v>881</v>
      </c>
      <c r="C125" t="s">
        <v>882</v>
      </c>
      <c r="D125" t="s">
        <v>1</v>
      </c>
      <c r="E125" t="s">
        <v>889</v>
      </c>
      <c r="F125" t="s">
        <v>545</v>
      </c>
      <c r="G125" t="s">
        <v>487</v>
      </c>
      <c r="H125" t="s">
        <v>486</v>
      </c>
      <c r="I125" t="s">
        <v>820</v>
      </c>
      <c r="J125">
        <v>2019</v>
      </c>
      <c r="K125" t="b">
        <v>1</v>
      </c>
      <c r="X125">
        <v>71.599999999999994</v>
      </c>
      <c r="AD125">
        <v>72</v>
      </c>
      <c r="AG125" t="s">
        <v>884</v>
      </c>
      <c r="AH125" t="s">
        <v>885</v>
      </c>
    </row>
    <row r="126" spans="1:34" x14ac:dyDescent="0.35">
      <c r="A126" t="s">
        <v>880</v>
      </c>
      <c r="B126" t="s">
        <v>881</v>
      </c>
      <c r="C126" t="s">
        <v>882</v>
      </c>
      <c r="D126" t="s">
        <v>1</v>
      </c>
      <c r="E126" t="s">
        <v>889</v>
      </c>
      <c r="F126" t="s">
        <v>545</v>
      </c>
      <c r="G126" t="s">
        <v>10</v>
      </c>
      <c r="H126" t="s">
        <v>9</v>
      </c>
      <c r="I126" t="s">
        <v>820</v>
      </c>
      <c r="J126">
        <v>2019</v>
      </c>
      <c r="K126" t="b">
        <v>1</v>
      </c>
      <c r="X126">
        <v>73.41</v>
      </c>
      <c r="AD126">
        <v>73</v>
      </c>
      <c r="AG126" t="s">
        <v>884</v>
      </c>
      <c r="AH126" t="s">
        <v>885</v>
      </c>
    </row>
    <row r="127" spans="1:34" x14ac:dyDescent="0.35">
      <c r="A127" t="s">
        <v>880</v>
      </c>
      <c r="B127" t="s">
        <v>881</v>
      </c>
      <c r="C127" t="s">
        <v>882</v>
      </c>
      <c r="D127" t="s">
        <v>20</v>
      </c>
      <c r="E127" t="s">
        <v>789</v>
      </c>
      <c r="F127" t="s">
        <v>545</v>
      </c>
      <c r="G127" t="s">
        <v>261</v>
      </c>
      <c r="H127" t="s">
        <v>260</v>
      </c>
      <c r="I127" t="s">
        <v>820</v>
      </c>
      <c r="J127">
        <v>2019</v>
      </c>
      <c r="K127" t="b">
        <v>1</v>
      </c>
      <c r="X127">
        <v>72.900000000000006</v>
      </c>
      <c r="AD127">
        <v>73</v>
      </c>
      <c r="AG127" t="s">
        <v>884</v>
      </c>
      <c r="AH127" t="s">
        <v>885</v>
      </c>
    </row>
    <row r="128" spans="1:34" x14ac:dyDescent="0.35">
      <c r="A128" t="s">
        <v>880</v>
      </c>
      <c r="B128" t="s">
        <v>881</v>
      </c>
      <c r="C128" t="s">
        <v>882</v>
      </c>
      <c r="D128" t="s">
        <v>20</v>
      </c>
      <c r="E128" t="s">
        <v>789</v>
      </c>
      <c r="F128" t="s">
        <v>545</v>
      </c>
      <c r="G128" t="s">
        <v>104</v>
      </c>
      <c r="H128" t="s">
        <v>103</v>
      </c>
      <c r="I128" t="s">
        <v>820</v>
      </c>
      <c r="J128">
        <v>2019</v>
      </c>
      <c r="K128" t="b">
        <v>1</v>
      </c>
      <c r="X128">
        <v>72.63</v>
      </c>
      <c r="AD128">
        <v>73</v>
      </c>
      <c r="AG128" t="s">
        <v>884</v>
      </c>
      <c r="AH128" t="s">
        <v>885</v>
      </c>
    </row>
    <row r="129" spans="1:34" x14ac:dyDescent="0.35">
      <c r="A129" t="s">
        <v>880</v>
      </c>
      <c r="B129" t="s">
        <v>881</v>
      </c>
      <c r="C129" t="s">
        <v>882</v>
      </c>
      <c r="D129" t="s">
        <v>4</v>
      </c>
      <c r="E129" t="s">
        <v>883</v>
      </c>
      <c r="F129" t="s">
        <v>545</v>
      </c>
      <c r="G129" t="s">
        <v>153</v>
      </c>
      <c r="H129" t="s">
        <v>152</v>
      </c>
      <c r="I129" t="s">
        <v>820</v>
      </c>
      <c r="J129">
        <v>2019</v>
      </c>
      <c r="K129" t="b">
        <v>1</v>
      </c>
      <c r="X129">
        <v>72.739999999999995</v>
      </c>
      <c r="AD129">
        <v>73</v>
      </c>
      <c r="AG129" t="s">
        <v>884</v>
      </c>
      <c r="AH129" t="s">
        <v>885</v>
      </c>
    </row>
    <row r="130" spans="1:34" x14ac:dyDescent="0.35">
      <c r="A130" t="s">
        <v>880</v>
      </c>
      <c r="B130" t="s">
        <v>881</v>
      </c>
      <c r="C130" t="s">
        <v>882</v>
      </c>
      <c r="D130" t="s">
        <v>1</v>
      </c>
      <c r="E130" t="s">
        <v>889</v>
      </c>
      <c r="F130" t="s">
        <v>545</v>
      </c>
      <c r="G130" t="s">
        <v>489</v>
      </c>
      <c r="H130" t="s">
        <v>488</v>
      </c>
      <c r="I130" t="s">
        <v>820</v>
      </c>
      <c r="J130">
        <v>2019</v>
      </c>
      <c r="K130" t="b">
        <v>1</v>
      </c>
      <c r="X130">
        <v>73.040000000000006</v>
      </c>
      <c r="AD130">
        <v>73</v>
      </c>
      <c r="AG130" t="s">
        <v>884</v>
      </c>
      <c r="AH130" t="s">
        <v>885</v>
      </c>
    </row>
    <row r="131" spans="1:34" x14ac:dyDescent="0.35">
      <c r="A131" t="s">
        <v>880</v>
      </c>
      <c r="B131" t="s">
        <v>881</v>
      </c>
      <c r="C131" t="s">
        <v>882</v>
      </c>
      <c r="D131" t="s">
        <v>4</v>
      </c>
      <c r="E131" t="s">
        <v>883</v>
      </c>
      <c r="F131" t="s">
        <v>545</v>
      </c>
      <c r="G131" t="s">
        <v>159</v>
      </c>
      <c r="H131" t="s">
        <v>158</v>
      </c>
      <c r="I131" t="s">
        <v>820</v>
      </c>
      <c r="J131">
        <v>2019</v>
      </c>
      <c r="K131" t="b">
        <v>1</v>
      </c>
      <c r="X131">
        <v>72.87</v>
      </c>
      <c r="AD131">
        <v>73</v>
      </c>
      <c r="AG131" t="s">
        <v>884</v>
      </c>
      <c r="AH131" t="s">
        <v>885</v>
      </c>
    </row>
    <row r="132" spans="1:34" x14ac:dyDescent="0.35">
      <c r="A132" t="s">
        <v>880</v>
      </c>
      <c r="B132" t="s">
        <v>881</v>
      </c>
      <c r="C132" t="s">
        <v>882</v>
      </c>
      <c r="D132" t="s">
        <v>1</v>
      </c>
      <c r="E132" t="s">
        <v>889</v>
      </c>
      <c r="F132" t="s">
        <v>545</v>
      </c>
      <c r="G132" t="s">
        <v>455</v>
      </c>
      <c r="H132" t="s">
        <v>454</v>
      </c>
      <c r="I132" t="s">
        <v>820</v>
      </c>
      <c r="J132">
        <v>2019</v>
      </c>
      <c r="K132" t="b">
        <v>1</v>
      </c>
      <c r="X132">
        <v>73.33</v>
      </c>
      <c r="AD132">
        <v>73</v>
      </c>
      <c r="AG132" t="s">
        <v>884</v>
      </c>
      <c r="AH132" t="s">
        <v>885</v>
      </c>
    </row>
    <row r="133" spans="1:34" x14ac:dyDescent="0.35">
      <c r="A133" t="s">
        <v>880</v>
      </c>
      <c r="B133" t="s">
        <v>881</v>
      </c>
      <c r="C133" t="s">
        <v>882</v>
      </c>
      <c r="D133" t="s">
        <v>20</v>
      </c>
      <c r="E133" t="s">
        <v>789</v>
      </c>
      <c r="F133" t="s">
        <v>545</v>
      </c>
      <c r="G133" t="s">
        <v>525</v>
      </c>
      <c r="H133" t="s">
        <v>524</v>
      </c>
      <c r="I133" t="s">
        <v>820</v>
      </c>
      <c r="J133">
        <v>2019</v>
      </c>
      <c r="K133" t="b">
        <v>1</v>
      </c>
      <c r="X133">
        <v>72.53</v>
      </c>
      <c r="AD133">
        <v>73</v>
      </c>
      <c r="AG133" t="s">
        <v>884</v>
      </c>
      <c r="AH133" t="s">
        <v>885</v>
      </c>
    </row>
    <row r="134" spans="1:34" x14ac:dyDescent="0.35">
      <c r="A134" t="s">
        <v>880</v>
      </c>
      <c r="B134" t="s">
        <v>881</v>
      </c>
      <c r="C134" t="s">
        <v>882</v>
      </c>
      <c r="D134" t="s">
        <v>20</v>
      </c>
      <c r="E134" t="s">
        <v>789</v>
      </c>
      <c r="F134" t="s">
        <v>545</v>
      </c>
      <c r="G134" t="s">
        <v>529</v>
      </c>
      <c r="H134" t="s">
        <v>528</v>
      </c>
      <c r="I134" t="s">
        <v>820</v>
      </c>
      <c r="J134">
        <v>2019</v>
      </c>
      <c r="K134" t="b">
        <v>1</v>
      </c>
      <c r="X134">
        <v>72.95</v>
      </c>
      <c r="AD134">
        <v>73</v>
      </c>
      <c r="AG134" t="s">
        <v>884</v>
      </c>
      <c r="AH134" t="s">
        <v>885</v>
      </c>
    </row>
    <row r="135" spans="1:34" x14ac:dyDescent="0.35">
      <c r="A135" t="s">
        <v>880</v>
      </c>
      <c r="B135" t="s">
        <v>881</v>
      </c>
      <c r="C135" t="s">
        <v>882</v>
      </c>
      <c r="D135" t="s">
        <v>1</v>
      </c>
      <c r="E135" t="s">
        <v>889</v>
      </c>
      <c r="F135" t="s">
        <v>545</v>
      </c>
      <c r="G135" t="s">
        <v>14</v>
      </c>
      <c r="H135" t="s">
        <v>13</v>
      </c>
      <c r="I135" t="s">
        <v>820</v>
      </c>
      <c r="J135">
        <v>2019</v>
      </c>
      <c r="K135" t="b">
        <v>1</v>
      </c>
      <c r="X135">
        <v>74.459999999999994</v>
      </c>
      <c r="AD135">
        <v>74</v>
      </c>
      <c r="AG135" t="s">
        <v>884</v>
      </c>
      <c r="AH135" t="s">
        <v>885</v>
      </c>
    </row>
    <row r="136" spans="1:34" x14ac:dyDescent="0.35">
      <c r="A136" t="s">
        <v>880</v>
      </c>
      <c r="B136" t="s">
        <v>881</v>
      </c>
      <c r="C136" t="s">
        <v>882</v>
      </c>
      <c r="D136" t="s">
        <v>20</v>
      </c>
      <c r="E136" t="s">
        <v>789</v>
      </c>
      <c r="F136" t="s">
        <v>545</v>
      </c>
      <c r="G136" t="s">
        <v>228</v>
      </c>
      <c r="H136" t="s">
        <v>227</v>
      </c>
      <c r="I136" t="s">
        <v>820</v>
      </c>
      <c r="J136">
        <v>2019</v>
      </c>
      <c r="K136" t="b">
        <v>1</v>
      </c>
      <c r="X136">
        <v>73.540000000000006</v>
      </c>
      <c r="AD136">
        <v>74</v>
      </c>
      <c r="AG136" t="s">
        <v>884</v>
      </c>
      <c r="AH136" t="s">
        <v>885</v>
      </c>
    </row>
    <row r="137" spans="1:34" x14ac:dyDescent="0.35">
      <c r="A137" t="s">
        <v>880</v>
      </c>
      <c r="B137" t="s">
        <v>881</v>
      </c>
      <c r="C137" t="s">
        <v>882</v>
      </c>
      <c r="D137" t="s">
        <v>1</v>
      </c>
      <c r="E137" t="s">
        <v>889</v>
      </c>
      <c r="F137" t="s">
        <v>545</v>
      </c>
      <c r="G137" t="s">
        <v>307</v>
      </c>
      <c r="H137" t="s">
        <v>306</v>
      </c>
      <c r="I137" t="s">
        <v>820</v>
      </c>
      <c r="J137">
        <v>2019</v>
      </c>
      <c r="K137" t="b">
        <v>1</v>
      </c>
      <c r="X137">
        <v>74.28</v>
      </c>
      <c r="AD137">
        <v>74</v>
      </c>
      <c r="AG137" t="s">
        <v>884</v>
      </c>
      <c r="AH137" t="s">
        <v>885</v>
      </c>
    </row>
    <row r="138" spans="1:34" x14ac:dyDescent="0.35">
      <c r="A138" t="s">
        <v>880</v>
      </c>
      <c r="B138" t="s">
        <v>881</v>
      </c>
      <c r="C138" t="s">
        <v>882</v>
      </c>
      <c r="D138" t="s">
        <v>1</v>
      </c>
      <c r="E138" t="s">
        <v>889</v>
      </c>
      <c r="F138" t="s">
        <v>545</v>
      </c>
      <c r="G138" t="s">
        <v>539</v>
      </c>
      <c r="H138" t="s">
        <v>538</v>
      </c>
      <c r="I138" t="s">
        <v>820</v>
      </c>
      <c r="J138">
        <v>2019</v>
      </c>
      <c r="K138" t="b">
        <v>1</v>
      </c>
      <c r="X138">
        <v>73.88</v>
      </c>
      <c r="AD138">
        <v>74</v>
      </c>
      <c r="AG138" t="s">
        <v>884</v>
      </c>
      <c r="AH138" t="s">
        <v>885</v>
      </c>
    </row>
    <row r="139" spans="1:34" x14ac:dyDescent="0.35">
      <c r="A139" t="s">
        <v>880</v>
      </c>
      <c r="B139" t="s">
        <v>881</v>
      </c>
      <c r="C139" t="s">
        <v>882</v>
      </c>
      <c r="D139" t="s">
        <v>20</v>
      </c>
      <c r="E139" t="s">
        <v>789</v>
      </c>
      <c r="F139" t="s">
        <v>545</v>
      </c>
      <c r="G139" t="s">
        <v>404</v>
      </c>
      <c r="H139" t="s">
        <v>403</v>
      </c>
      <c r="I139" t="s">
        <v>820</v>
      </c>
      <c r="J139">
        <v>2019</v>
      </c>
      <c r="K139" t="b">
        <v>1</v>
      </c>
      <c r="X139">
        <v>73.98</v>
      </c>
      <c r="AD139">
        <v>74</v>
      </c>
      <c r="AG139" t="s">
        <v>884</v>
      </c>
      <c r="AH139" t="s">
        <v>885</v>
      </c>
    </row>
    <row r="140" spans="1:34" x14ac:dyDescent="0.35">
      <c r="A140" t="s">
        <v>880</v>
      </c>
      <c r="B140" t="s">
        <v>881</v>
      </c>
      <c r="C140" t="s">
        <v>882</v>
      </c>
      <c r="D140" t="s">
        <v>4</v>
      </c>
      <c r="E140" t="s">
        <v>883</v>
      </c>
      <c r="F140" t="s">
        <v>545</v>
      </c>
      <c r="G140" t="s">
        <v>512</v>
      </c>
      <c r="H140" t="s">
        <v>511</v>
      </c>
      <c r="I140" t="s">
        <v>820</v>
      </c>
      <c r="J140">
        <v>2019</v>
      </c>
      <c r="K140" t="b">
        <v>1</v>
      </c>
      <c r="X140">
        <v>74.400000000000006</v>
      </c>
      <c r="AD140">
        <v>74</v>
      </c>
      <c r="AG140" t="s">
        <v>884</v>
      </c>
      <c r="AH140" t="s">
        <v>885</v>
      </c>
    </row>
    <row r="141" spans="1:34" x14ac:dyDescent="0.35">
      <c r="A141" t="s">
        <v>880</v>
      </c>
      <c r="B141" t="s">
        <v>881</v>
      </c>
      <c r="C141" t="s">
        <v>882</v>
      </c>
      <c r="D141" t="s">
        <v>25</v>
      </c>
      <c r="E141" t="s">
        <v>886</v>
      </c>
      <c r="F141" t="s">
        <v>545</v>
      </c>
      <c r="G141" t="s">
        <v>190</v>
      </c>
      <c r="H141" t="s">
        <v>189</v>
      </c>
      <c r="I141" t="s">
        <v>820</v>
      </c>
      <c r="J141">
        <v>2019</v>
      </c>
      <c r="K141" t="b">
        <v>1</v>
      </c>
      <c r="X141">
        <v>74.989999999999995</v>
      </c>
      <c r="AD141">
        <v>75</v>
      </c>
      <c r="AG141" t="s">
        <v>884</v>
      </c>
      <c r="AH141" t="s">
        <v>885</v>
      </c>
    </row>
    <row r="142" spans="1:34" x14ac:dyDescent="0.35">
      <c r="A142" t="s">
        <v>880</v>
      </c>
      <c r="B142" t="s">
        <v>881</v>
      </c>
      <c r="C142" t="s">
        <v>882</v>
      </c>
      <c r="D142" t="s">
        <v>1</v>
      </c>
      <c r="E142" t="s">
        <v>889</v>
      </c>
      <c r="F142" t="s">
        <v>545</v>
      </c>
      <c r="G142" t="s">
        <v>83</v>
      </c>
      <c r="H142" t="s">
        <v>82</v>
      </c>
      <c r="I142" t="s">
        <v>820</v>
      </c>
      <c r="J142">
        <v>2019</v>
      </c>
      <c r="K142" t="b">
        <v>1</v>
      </c>
      <c r="X142">
        <v>75.03</v>
      </c>
      <c r="AD142">
        <v>75</v>
      </c>
      <c r="AG142" t="s">
        <v>884</v>
      </c>
      <c r="AH142" t="s">
        <v>885</v>
      </c>
    </row>
    <row r="143" spans="1:34" x14ac:dyDescent="0.35">
      <c r="A143" t="s">
        <v>880</v>
      </c>
      <c r="B143" t="s">
        <v>881</v>
      </c>
      <c r="C143" t="s">
        <v>882</v>
      </c>
      <c r="D143" t="s">
        <v>20</v>
      </c>
      <c r="E143" t="s">
        <v>789</v>
      </c>
      <c r="F143" t="s">
        <v>545</v>
      </c>
      <c r="G143" t="s">
        <v>483</v>
      </c>
      <c r="H143" t="s">
        <v>482</v>
      </c>
      <c r="I143" t="s">
        <v>820</v>
      </c>
      <c r="J143">
        <v>2019</v>
      </c>
      <c r="K143" t="b">
        <v>1</v>
      </c>
      <c r="X143">
        <v>75.37</v>
      </c>
      <c r="AD143">
        <v>75</v>
      </c>
      <c r="AG143" t="s">
        <v>884</v>
      </c>
      <c r="AH143" t="s">
        <v>885</v>
      </c>
    </row>
    <row r="144" spans="1:34" x14ac:dyDescent="0.35">
      <c r="A144" t="s">
        <v>880</v>
      </c>
      <c r="B144" t="s">
        <v>881</v>
      </c>
      <c r="C144" t="s">
        <v>882</v>
      </c>
      <c r="D144" t="s">
        <v>1</v>
      </c>
      <c r="E144" t="s">
        <v>889</v>
      </c>
      <c r="F144" t="s">
        <v>545</v>
      </c>
      <c r="G144" t="s">
        <v>277</v>
      </c>
      <c r="H144" t="s">
        <v>276</v>
      </c>
      <c r="I144" t="s">
        <v>820</v>
      </c>
      <c r="J144">
        <v>2019</v>
      </c>
      <c r="K144" t="b">
        <v>1</v>
      </c>
      <c r="X144">
        <v>75.510000000000005</v>
      </c>
      <c r="AD144">
        <v>76</v>
      </c>
      <c r="AG144" t="s">
        <v>884</v>
      </c>
      <c r="AH144" t="s">
        <v>885</v>
      </c>
    </row>
    <row r="145" spans="1:34" x14ac:dyDescent="0.35">
      <c r="A145" t="s">
        <v>880</v>
      </c>
      <c r="B145" t="s">
        <v>881</v>
      </c>
      <c r="C145" t="s">
        <v>882</v>
      </c>
      <c r="D145" t="s">
        <v>20</v>
      </c>
      <c r="E145" t="s">
        <v>789</v>
      </c>
      <c r="F145" t="s">
        <v>545</v>
      </c>
      <c r="G145" t="s">
        <v>331</v>
      </c>
      <c r="H145" t="s">
        <v>330</v>
      </c>
      <c r="I145" t="s">
        <v>820</v>
      </c>
      <c r="J145">
        <v>2019</v>
      </c>
      <c r="K145" t="b">
        <v>1</v>
      </c>
      <c r="X145">
        <v>75.900000000000006</v>
      </c>
      <c r="AD145">
        <v>76</v>
      </c>
      <c r="AG145" t="s">
        <v>884</v>
      </c>
      <c r="AH145" t="s">
        <v>885</v>
      </c>
    </row>
    <row r="146" spans="1:34" x14ac:dyDescent="0.35">
      <c r="A146" t="s">
        <v>880</v>
      </c>
      <c r="B146" t="s">
        <v>881</v>
      </c>
      <c r="C146" t="s">
        <v>882</v>
      </c>
      <c r="D146" t="s">
        <v>0</v>
      </c>
      <c r="E146" t="s">
        <v>887</v>
      </c>
      <c r="F146" t="s">
        <v>545</v>
      </c>
      <c r="G146" t="s">
        <v>181</v>
      </c>
      <c r="H146" t="s">
        <v>180</v>
      </c>
      <c r="I146" t="s">
        <v>820</v>
      </c>
      <c r="J146">
        <v>2019</v>
      </c>
      <c r="K146" t="b">
        <v>1</v>
      </c>
      <c r="X146">
        <v>75.81</v>
      </c>
      <c r="AD146">
        <v>76</v>
      </c>
      <c r="AG146" t="s">
        <v>884</v>
      </c>
      <c r="AH146" t="s">
        <v>885</v>
      </c>
    </row>
    <row r="147" spans="1:34" x14ac:dyDescent="0.35">
      <c r="A147" t="s">
        <v>880</v>
      </c>
      <c r="B147" t="s">
        <v>881</v>
      </c>
      <c r="C147" t="s">
        <v>882</v>
      </c>
      <c r="D147" t="s">
        <v>20</v>
      </c>
      <c r="E147" t="s">
        <v>789</v>
      </c>
      <c r="F147" t="s">
        <v>545</v>
      </c>
      <c r="G147" t="s">
        <v>205</v>
      </c>
      <c r="H147" t="s">
        <v>204</v>
      </c>
      <c r="I147" t="s">
        <v>820</v>
      </c>
      <c r="J147">
        <v>2019</v>
      </c>
      <c r="K147" t="b">
        <v>1</v>
      </c>
      <c r="X147">
        <v>77.16</v>
      </c>
      <c r="AD147">
        <v>77</v>
      </c>
      <c r="AG147" t="s">
        <v>884</v>
      </c>
      <c r="AH147" t="s">
        <v>885</v>
      </c>
    </row>
    <row r="148" spans="1:34" x14ac:dyDescent="0.35">
      <c r="A148" t="s">
        <v>880</v>
      </c>
      <c r="B148" t="s">
        <v>881</v>
      </c>
      <c r="C148" t="s">
        <v>882</v>
      </c>
      <c r="D148" t="s">
        <v>0</v>
      </c>
      <c r="E148" t="s">
        <v>887</v>
      </c>
      <c r="F148" t="s">
        <v>545</v>
      </c>
      <c r="G148" t="s">
        <v>24</v>
      </c>
      <c r="H148" t="s">
        <v>23</v>
      </c>
      <c r="I148" t="s">
        <v>820</v>
      </c>
      <c r="J148">
        <v>2019</v>
      </c>
      <c r="K148" t="b">
        <v>1</v>
      </c>
      <c r="X148">
        <v>76.81</v>
      </c>
      <c r="AD148">
        <v>77</v>
      </c>
      <c r="AG148" t="s">
        <v>884</v>
      </c>
      <c r="AH148" t="s">
        <v>885</v>
      </c>
    </row>
    <row r="149" spans="1:34" x14ac:dyDescent="0.35">
      <c r="A149" t="s">
        <v>880</v>
      </c>
      <c r="B149" t="s">
        <v>881</v>
      </c>
      <c r="C149" t="s">
        <v>882</v>
      </c>
      <c r="D149" t="s">
        <v>4</v>
      </c>
      <c r="E149" t="s">
        <v>883</v>
      </c>
      <c r="F149" t="s">
        <v>545</v>
      </c>
      <c r="G149" t="s">
        <v>117</v>
      </c>
      <c r="H149" t="s">
        <v>116</v>
      </c>
      <c r="I149" t="s">
        <v>820</v>
      </c>
      <c r="J149">
        <v>2019</v>
      </c>
      <c r="K149" t="b">
        <v>1</v>
      </c>
      <c r="X149">
        <v>76.58</v>
      </c>
      <c r="AD149">
        <v>77</v>
      </c>
      <c r="AG149" t="s">
        <v>884</v>
      </c>
      <c r="AH149" t="s">
        <v>885</v>
      </c>
    </row>
    <row r="150" spans="1:34" x14ac:dyDescent="0.35">
      <c r="A150" t="s">
        <v>880</v>
      </c>
      <c r="B150" t="s">
        <v>881</v>
      </c>
      <c r="C150" t="s">
        <v>882</v>
      </c>
      <c r="D150" t="s">
        <v>1</v>
      </c>
      <c r="E150" t="s">
        <v>889</v>
      </c>
      <c r="F150" t="s">
        <v>545</v>
      </c>
      <c r="G150" t="s">
        <v>392</v>
      </c>
      <c r="H150" t="s">
        <v>391</v>
      </c>
      <c r="I150" t="s">
        <v>820</v>
      </c>
      <c r="J150">
        <v>2019</v>
      </c>
      <c r="K150" t="b">
        <v>1</v>
      </c>
      <c r="X150">
        <v>77.28</v>
      </c>
      <c r="AD150">
        <v>77</v>
      </c>
      <c r="AG150" t="s">
        <v>884</v>
      </c>
      <c r="AH150" t="s">
        <v>885</v>
      </c>
    </row>
    <row r="151" spans="1:34" x14ac:dyDescent="0.35">
      <c r="A151" t="s">
        <v>880</v>
      </c>
      <c r="B151" t="s">
        <v>881</v>
      </c>
      <c r="C151" t="s">
        <v>882</v>
      </c>
      <c r="D151" t="s">
        <v>20</v>
      </c>
      <c r="E151" t="s">
        <v>789</v>
      </c>
      <c r="F151" t="s">
        <v>545</v>
      </c>
      <c r="G151" t="s">
        <v>492</v>
      </c>
      <c r="H151" t="s">
        <v>491</v>
      </c>
      <c r="I151" t="s">
        <v>820</v>
      </c>
      <c r="J151">
        <v>2019</v>
      </c>
      <c r="K151" t="b">
        <v>1</v>
      </c>
      <c r="X151">
        <v>76.55</v>
      </c>
      <c r="AD151">
        <v>77</v>
      </c>
      <c r="AG151" t="s">
        <v>884</v>
      </c>
      <c r="AH151" t="s">
        <v>885</v>
      </c>
    </row>
    <row r="152" spans="1:34" x14ac:dyDescent="0.35">
      <c r="A152" t="s">
        <v>880</v>
      </c>
      <c r="B152" t="s">
        <v>881</v>
      </c>
      <c r="C152" t="s">
        <v>882</v>
      </c>
      <c r="D152" t="s">
        <v>1</v>
      </c>
      <c r="E152" t="s">
        <v>889</v>
      </c>
      <c r="F152" t="s">
        <v>545</v>
      </c>
      <c r="G152" t="s">
        <v>255</v>
      </c>
      <c r="H152" t="s">
        <v>254</v>
      </c>
      <c r="I152" t="s">
        <v>820</v>
      </c>
      <c r="J152">
        <v>2019</v>
      </c>
      <c r="K152" t="b">
        <v>1</v>
      </c>
      <c r="X152">
        <v>78.27</v>
      </c>
      <c r="AD152">
        <v>78</v>
      </c>
      <c r="AG152" t="s">
        <v>884</v>
      </c>
      <c r="AH152" t="s">
        <v>885</v>
      </c>
    </row>
    <row r="153" spans="1:34" x14ac:dyDescent="0.35">
      <c r="A153" t="s">
        <v>880</v>
      </c>
      <c r="B153" t="s">
        <v>881</v>
      </c>
      <c r="C153" t="s">
        <v>882</v>
      </c>
      <c r="D153" t="s">
        <v>1</v>
      </c>
      <c r="E153" t="s">
        <v>889</v>
      </c>
      <c r="F153" t="s">
        <v>545</v>
      </c>
      <c r="G153" t="s">
        <v>258</v>
      </c>
      <c r="H153" t="s">
        <v>257</v>
      </c>
      <c r="I153" t="s">
        <v>820</v>
      </c>
      <c r="J153">
        <v>2019</v>
      </c>
      <c r="K153" t="b">
        <v>1</v>
      </c>
      <c r="X153">
        <v>78.209999999999994</v>
      </c>
      <c r="AD153">
        <v>78</v>
      </c>
      <c r="AG153" t="s">
        <v>884</v>
      </c>
      <c r="AH153" t="s">
        <v>885</v>
      </c>
    </row>
    <row r="154" spans="1:34" x14ac:dyDescent="0.35">
      <c r="A154" t="s">
        <v>880</v>
      </c>
      <c r="B154" t="s">
        <v>881</v>
      </c>
      <c r="C154" t="s">
        <v>882</v>
      </c>
      <c r="D154" t="s">
        <v>20</v>
      </c>
      <c r="E154" t="s">
        <v>789</v>
      </c>
      <c r="F154" t="s">
        <v>545</v>
      </c>
      <c r="G154" t="s">
        <v>42</v>
      </c>
      <c r="H154" t="s">
        <v>41</v>
      </c>
      <c r="I154" t="s">
        <v>820</v>
      </c>
      <c r="J154">
        <v>2019</v>
      </c>
      <c r="K154" t="b">
        <v>1</v>
      </c>
      <c r="X154">
        <v>78.37</v>
      </c>
      <c r="AD154">
        <v>78</v>
      </c>
      <c r="AG154" t="s">
        <v>884</v>
      </c>
      <c r="AH154" t="s">
        <v>885</v>
      </c>
    </row>
    <row r="155" spans="1:34" x14ac:dyDescent="0.35">
      <c r="A155" t="s">
        <v>880</v>
      </c>
      <c r="B155" t="s">
        <v>881</v>
      </c>
      <c r="C155" t="s">
        <v>882</v>
      </c>
      <c r="D155" t="s">
        <v>20</v>
      </c>
      <c r="E155" t="s">
        <v>789</v>
      </c>
      <c r="F155" t="s">
        <v>545</v>
      </c>
      <c r="G155" t="s">
        <v>283</v>
      </c>
      <c r="H155" t="s">
        <v>282</v>
      </c>
      <c r="I155" t="s">
        <v>820</v>
      </c>
      <c r="J155">
        <v>2019</v>
      </c>
      <c r="K155" t="b">
        <v>1</v>
      </c>
      <c r="X155">
        <v>77.569999999999993</v>
      </c>
      <c r="AD155">
        <v>78</v>
      </c>
      <c r="AG155" t="s">
        <v>884</v>
      </c>
      <c r="AH155" t="s">
        <v>885</v>
      </c>
    </row>
    <row r="156" spans="1:34" x14ac:dyDescent="0.35">
      <c r="A156" t="s">
        <v>880</v>
      </c>
      <c r="B156" t="s">
        <v>881</v>
      </c>
      <c r="C156" t="s">
        <v>882</v>
      </c>
      <c r="D156" t="s">
        <v>20</v>
      </c>
      <c r="E156" t="s">
        <v>789</v>
      </c>
      <c r="F156" t="s">
        <v>545</v>
      </c>
      <c r="G156" t="s">
        <v>102</v>
      </c>
      <c r="H156" t="s">
        <v>101</v>
      </c>
      <c r="I156" t="s">
        <v>820</v>
      </c>
      <c r="J156">
        <v>2019</v>
      </c>
      <c r="K156" t="b">
        <v>1</v>
      </c>
      <c r="X156">
        <v>77.63</v>
      </c>
      <c r="AD156">
        <v>78</v>
      </c>
      <c r="AG156" t="s">
        <v>884</v>
      </c>
      <c r="AH156" t="s">
        <v>885</v>
      </c>
    </row>
    <row r="157" spans="1:34" x14ac:dyDescent="0.35">
      <c r="A157" t="s">
        <v>880</v>
      </c>
      <c r="B157" t="s">
        <v>881</v>
      </c>
      <c r="C157" t="s">
        <v>882</v>
      </c>
      <c r="D157" t="s">
        <v>1</v>
      </c>
      <c r="E157" t="s">
        <v>889</v>
      </c>
      <c r="F157" t="s">
        <v>545</v>
      </c>
      <c r="G157" t="s">
        <v>398</v>
      </c>
      <c r="H157" t="s">
        <v>397</v>
      </c>
      <c r="I157" t="s">
        <v>820</v>
      </c>
      <c r="J157">
        <v>2019</v>
      </c>
      <c r="K157" t="b">
        <v>1</v>
      </c>
      <c r="X157">
        <v>78.34</v>
      </c>
      <c r="AD157">
        <v>78</v>
      </c>
      <c r="AG157" t="s">
        <v>884</v>
      </c>
      <c r="AH157" t="s">
        <v>885</v>
      </c>
    </row>
    <row r="158" spans="1:34" x14ac:dyDescent="0.35">
      <c r="A158" t="s">
        <v>880</v>
      </c>
      <c r="B158" t="s">
        <v>881</v>
      </c>
      <c r="C158" t="s">
        <v>882</v>
      </c>
      <c r="D158" t="s">
        <v>4</v>
      </c>
      <c r="E158" t="s">
        <v>883</v>
      </c>
      <c r="F158" t="s">
        <v>545</v>
      </c>
      <c r="G158" t="s">
        <v>534</v>
      </c>
      <c r="H158" t="s">
        <v>533</v>
      </c>
      <c r="I158" t="s">
        <v>820</v>
      </c>
      <c r="J158">
        <v>2019</v>
      </c>
      <c r="K158" t="b">
        <v>1</v>
      </c>
      <c r="X158">
        <v>77.83</v>
      </c>
      <c r="AD158">
        <v>78</v>
      </c>
      <c r="AG158" t="s">
        <v>884</v>
      </c>
      <c r="AH158" t="s">
        <v>885</v>
      </c>
    </row>
    <row r="159" spans="1:34" x14ac:dyDescent="0.35">
      <c r="A159" t="s">
        <v>880</v>
      </c>
      <c r="B159" t="s">
        <v>881</v>
      </c>
      <c r="C159" t="s">
        <v>882</v>
      </c>
      <c r="D159" t="s">
        <v>20</v>
      </c>
      <c r="E159" t="s">
        <v>789</v>
      </c>
      <c r="F159" t="s">
        <v>545</v>
      </c>
      <c r="G159" t="s">
        <v>267</v>
      </c>
      <c r="H159" t="s">
        <v>266</v>
      </c>
      <c r="I159" t="s">
        <v>820</v>
      </c>
      <c r="J159">
        <v>2019</v>
      </c>
      <c r="K159" t="b">
        <v>1</v>
      </c>
      <c r="X159">
        <v>78.739999999999995</v>
      </c>
      <c r="AD159">
        <v>79</v>
      </c>
      <c r="AG159" t="s">
        <v>884</v>
      </c>
      <c r="AH159" t="s">
        <v>885</v>
      </c>
    </row>
    <row r="160" spans="1:34" x14ac:dyDescent="0.35">
      <c r="A160" t="s">
        <v>880</v>
      </c>
      <c r="B160" t="s">
        <v>881</v>
      </c>
      <c r="C160" t="s">
        <v>882</v>
      </c>
      <c r="D160" t="s">
        <v>20</v>
      </c>
      <c r="E160" t="s">
        <v>789</v>
      </c>
      <c r="F160" t="s">
        <v>545</v>
      </c>
      <c r="G160" t="s">
        <v>461</v>
      </c>
      <c r="H160" t="s">
        <v>460</v>
      </c>
      <c r="I160" t="s">
        <v>820</v>
      </c>
      <c r="J160">
        <v>2019</v>
      </c>
      <c r="K160" t="b">
        <v>1</v>
      </c>
      <c r="X160">
        <v>78.7</v>
      </c>
      <c r="AD160">
        <v>79</v>
      </c>
      <c r="AG160" t="s">
        <v>884</v>
      </c>
      <c r="AH160" t="s">
        <v>885</v>
      </c>
    </row>
    <row r="161" spans="1:34" x14ac:dyDescent="0.35">
      <c r="A161" t="s">
        <v>880</v>
      </c>
      <c r="B161" t="s">
        <v>881</v>
      </c>
      <c r="C161" t="s">
        <v>882</v>
      </c>
      <c r="D161" t="s">
        <v>1</v>
      </c>
      <c r="E161" t="s">
        <v>889</v>
      </c>
      <c r="F161" t="s">
        <v>545</v>
      </c>
      <c r="G161" t="s">
        <v>61</v>
      </c>
      <c r="H161" t="s">
        <v>60</v>
      </c>
      <c r="I161" t="s">
        <v>820</v>
      </c>
      <c r="J161">
        <v>2019</v>
      </c>
      <c r="K161" t="b">
        <v>1</v>
      </c>
      <c r="X161">
        <v>79.34</v>
      </c>
      <c r="AD161">
        <v>79</v>
      </c>
      <c r="AG161" t="s">
        <v>884</v>
      </c>
      <c r="AH161" t="s">
        <v>885</v>
      </c>
    </row>
    <row r="162" spans="1:34" x14ac:dyDescent="0.35">
      <c r="A162" t="s">
        <v>880</v>
      </c>
      <c r="B162" t="s">
        <v>881</v>
      </c>
      <c r="C162" t="s">
        <v>882</v>
      </c>
      <c r="D162" t="s">
        <v>1</v>
      </c>
      <c r="E162" t="s">
        <v>889</v>
      </c>
      <c r="F162" t="s">
        <v>545</v>
      </c>
      <c r="G162" t="s">
        <v>252</v>
      </c>
      <c r="H162" t="s">
        <v>251</v>
      </c>
      <c r="I162" t="s">
        <v>820</v>
      </c>
      <c r="J162">
        <v>2019</v>
      </c>
      <c r="K162" t="b">
        <v>1</v>
      </c>
      <c r="X162">
        <v>79.84</v>
      </c>
      <c r="AD162">
        <v>80</v>
      </c>
      <c r="AG162" t="s">
        <v>884</v>
      </c>
      <c r="AH162" t="s">
        <v>885</v>
      </c>
    </row>
    <row r="163" spans="1:34" x14ac:dyDescent="0.35">
      <c r="A163" t="s">
        <v>880</v>
      </c>
      <c r="B163" t="s">
        <v>881</v>
      </c>
      <c r="C163" t="s">
        <v>882</v>
      </c>
      <c r="D163" t="s">
        <v>1</v>
      </c>
      <c r="E163" t="s">
        <v>889</v>
      </c>
      <c r="F163" t="s">
        <v>545</v>
      </c>
      <c r="G163" t="s">
        <v>264</v>
      </c>
      <c r="H163" t="s">
        <v>263</v>
      </c>
      <c r="I163" t="s">
        <v>820</v>
      </c>
      <c r="J163">
        <v>2019</v>
      </c>
      <c r="K163" t="b">
        <v>1</v>
      </c>
      <c r="X163">
        <v>79.67</v>
      </c>
      <c r="AD163">
        <v>80</v>
      </c>
      <c r="AG163" t="s">
        <v>884</v>
      </c>
      <c r="AH163" t="s">
        <v>885</v>
      </c>
    </row>
    <row r="164" spans="1:34" x14ac:dyDescent="0.35">
      <c r="A164" t="s">
        <v>880</v>
      </c>
      <c r="B164" t="s">
        <v>881</v>
      </c>
      <c r="C164" t="s">
        <v>882</v>
      </c>
      <c r="D164" t="s">
        <v>1</v>
      </c>
      <c r="E164" t="s">
        <v>889</v>
      </c>
      <c r="F164" t="s">
        <v>545</v>
      </c>
      <c r="G164" t="s">
        <v>274</v>
      </c>
      <c r="H164" t="s">
        <v>273</v>
      </c>
      <c r="I164" t="s">
        <v>820</v>
      </c>
      <c r="J164">
        <v>2019</v>
      </c>
      <c r="K164" t="b">
        <v>1</v>
      </c>
      <c r="X164">
        <v>80.34</v>
      </c>
      <c r="AD164">
        <v>80</v>
      </c>
      <c r="AG164" t="s">
        <v>884</v>
      </c>
      <c r="AH164" t="s">
        <v>885</v>
      </c>
    </row>
    <row r="165" spans="1:34" x14ac:dyDescent="0.35">
      <c r="A165" t="s">
        <v>880</v>
      </c>
      <c r="B165" t="s">
        <v>881</v>
      </c>
      <c r="C165" t="s">
        <v>882</v>
      </c>
      <c r="D165" t="s">
        <v>20</v>
      </c>
      <c r="E165" t="s">
        <v>789</v>
      </c>
      <c r="F165" t="s">
        <v>545</v>
      </c>
      <c r="G165" t="s">
        <v>428</v>
      </c>
      <c r="H165" t="s">
        <v>427</v>
      </c>
      <c r="I165" t="s">
        <v>820</v>
      </c>
      <c r="J165">
        <v>2019</v>
      </c>
      <c r="K165" t="b">
        <v>1</v>
      </c>
      <c r="X165">
        <v>79.7</v>
      </c>
      <c r="AD165">
        <v>80</v>
      </c>
      <c r="AG165" t="s">
        <v>884</v>
      </c>
      <c r="AH165" t="s">
        <v>885</v>
      </c>
    </row>
    <row r="166" spans="1:34" x14ac:dyDescent="0.35">
      <c r="A166" t="s">
        <v>880</v>
      </c>
      <c r="B166" t="s">
        <v>881</v>
      </c>
      <c r="C166" t="s">
        <v>882</v>
      </c>
      <c r="D166" t="s">
        <v>20</v>
      </c>
      <c r="E166" t="s">
        <v>789</v>
      </c>
      <c r="F166" t="s">
        <v>545</v>
      </c>
      <c r="G166" t="s">
        <v>363</v>
      </c>
      <c r="H166" t="s">
        <v>362</v>
      </c>
      <c r="I166" t="s">
        <v>820</v>
      </c>
      <c r="J166">
        <v>2019</v>
      </c>
      <c r="K166" t="b">
        <v>1</v>
      </c>
      <c r="X166">
        <v>81.25</v>
      </c>
      <c r="AD166">
        <v>81</v>
      </c>
      <c r="AG166" t="s">
        <v>884</v>
      </c>
      <c r="AH166" t="s">
        <v>885</v>
      </c>
    </row>
    <row r="167" spans="1:34" x14ac:dyDescent="0.35">
      <c r="A167" t="s">
        <v>880</v>
      </c>
      <c r="B167" t="s">
        <v>881</v>
      </c>
      <c r="C167" t="s">
        <v>882</v>
      </c>
      <c r="D167" t="s">
        <v>20</v>
      </c>
      <c r="E167" t="s">
        <v>789</v>
      </c>
      <c r="F167" t="s">
        <v>545</v>
      </c>
      <c r="G167" t="s">
        <v>222</v>
      </c>
      <c r="H167" t="s">
        <v>221</v>
      </c>
      <c r="I167" t="s">
        <v>820</v>
      </c>
      <c r="J167">
        <v>2019</v>
      </c>
      <c r="K167" t="b">
        <v>1</v>
      </c>
      <c r="X167">
        <v>82.26</v>
      </c>
      <c r="AD167">
        <v>82</v>
      </c>
      <c r="AG167" t="s">
        <v>884</v>
      </c>
      <c r="AH167" t="s">
        <v>885</v>
      </c>
    </row>
    <row r="168" spans="1:34" x14ac:dyDescent="0.35">
      <c r="A168" t="s">
        <v>880</v>
      </c>
      <c r="B168" t="s">
        <v>881</v>
      </c>
      <c r="C168" t="s">
        <v>882</v>
      </c>
      <c r="D168" t="s">
        <v>0</v>
      </c>
      <c r="E168" t="s">
        <v>887</v>
      </c>
      <c r="F168" t="s">
        <v>545</v>
      </c>
      <c r="G168" t="s">
        <v>196</v>
      </c>
      <c r="H168" t="s">
        <v>195</v>
      </c>
      <c r="I168" t="s">
        <v>820</v>
      </c>
      <c r="J168">
        <v>2019</v>
      </c>
      <c r="K168" t="b">
        <v>1</v>
      </c>
      <c r="X168">
        <v>82.17</v>
      </c>
      <c r="AD168">
        <v>82</v>
      </c>
      <c r="AG168" t="s">
        <v>884</v>
      </c>
      <c r="AH168" t="s">
        <v>885</v>
      </c>
    </row>
    <row r="169" spans="1:34" x14ac:dyDescent="0.35">
      <c r="A169" t="s">
        <v>880</v>
      </c>
      <c r="B169" t="s">
        <v>881</v>
      </c>
      <c r="C169" t="s">
        <v>882</v>
      </c>
      <c r="D169" t="s">
        <v>20</v>
      </c>
      <c r="E169" t="s">
        <v>789</v>
      </c>
      <c r="F169" t="s">
        <v>545</v>
      </c>
      <c r="G169" t="s">
        <v>410</v>
      </c>
      <c r="H169" t="s">
        <v>409</v>
      </c>
      <c r="I169" t="s">
        <v>820</v>
      </c>
      <c r="J169">
        <v>2019</v>
      </c>
      <c r="K169" t="b">
        <v>1</v>
      </c>
      <c r="X169">
        <v>81.59</v>
      </c>
      <c r="AD169">
        <v>82</v>
      </c>
      <c r="AG169" t="s">
        <v>884</v>
      </c>
      <c r="AH169" t="s">
        <v>885</v>
      </c>
    </row>
    <row r="170" spans="1:34" x14ac:dyDescent="0.35">
      <c r="A170" t="s">
        <v>880</v>
      </c>
      <c r="B170" t="s">
        <v>881</v>
      </c>
      <c r="C170" t="s">
        <v>882</v>
      </c>
      <c r="D170" t="s">
        <v>20</v>
      </c>
      <c r="E170" t="s">
        <v>789</v>
      </c>
      <c r="F170" t="s">
        <v>545</v>
      </c>
      <c r="G170" t="s">
        <v>289</v>
      </c>
      <c r="H170" t="s">
        <v>288</v>
      </c>
      <c r="I170" t="s">
        <v>820</v>
      </c>
      <c r="J170">
        <v>2019</v>
      </c>
      <c r="K170" t="b">
        <v>1</v>
      </c>
      <c r="X170">
        <v>83.24</v>
      </c>
      <c r="AD170">
        <v>83</v>
      </c>
      <c r="AG170" t="s">
        <v>884</v>
      </c>
      <c r="AH170" t="s">
        <v>885</v>
      </c>
    </row>
    <row r="171" spans="1:34" x14ac:dyDescent="0.35">
      <c r="A171" t="s">
        <v>880</v>
      </c>
      <c r="B171" t="s">
        <v>881</v>
      </c>
      <c r="C171" t="s">
        <v>882</v>
      </c>
      <c r="D171" t="s">
        <v>20</v>
      </c>
      <c r="E171" t="s">
        <v>789</v>
      </c>
      <c r="F171" t="s">
        <v>545</v>
      </c>
      <c r="G171" t="s">
        <v>112</v>
      </c>
      <c r="H171" t="s">
        <v>111</v>
      </c>
      <c r="I171" t="s">
        <v>820</v>
      </c>
      <c r="J171">
        <v>2019</v>
      </c>
      <c r="K171" t="b">
        <v>1</v>
      </c>
      <c r="X171">
        <v>82.81</v>
      </c>
      <c r="AD171">
        <v>83</v>
      </c>
      <c r="AG171" t="s">
        <v>884</v>
      </c>
      <c r="AH171" t="s">
        <v>885</v>
      </c>
    </row>
    <row r="172" spans="1:34" x14ac:dyDescent="0.35">
      <c r="A172" t="s">
        <v>880</v>
      </c>
      <c r="B172" t="s">
        <v>881</v>
      </c>
      <c r="C172" t="s">
        <v>882</v>
      </c>
      <c r="D172" t="s">
        <v>20</v>
      </c>
      <c r="E172" t="s">
        <v>789</v>
      </c>
      <c r="F172" t="s">
        <v>545</v>
      </c>
      <c r="G172" t="s">
        <v>328</v>
      </c>
      <c r="H172" t="s">
        <v>327</v>
      </c>
      <c r="I172" t="s">
        <v>820</v>
      </c>
      <c r="J172">
        <v>2019</v>
      </c>
      <c r="K172" t="b">
        <v>1</v>
      </c>
      <c r="X172">
        <v>83.38</v>
      </c>
      <c r="AD172">
        <v>83</v>
      </c>
      <c r="AG172" t="s">
        <v>884</v>
      </c>
      <c r="AH172" t="s">
        <v>885</v>
      </c>
    </row>
    <row r="173" spans="1:34" x14ac:dyDescent="0.35">
      <c r="A173" t="s">
        <v>880</v>
      </c>
      <c r="B173" t="s">
        <v>881</v>
      </c>
      <c r="C173" t="s">
        <v>882</v>
      </c>
      <c r="D173" t="s">
        <v>43</v>
      </c>
      <c r="E173" t="s">
        <v>890</v>
      </c>
      <c r="F173" t="s">
        <v>545</v>
      </c>
      <c r="G173" t="s">
        <v>168</v>
      </c>
      <c r="H173" t="s">
        <v>167</v>
      </c>
      <c r="I173" t="s">
        <v>820</v>
      </c>
      <c r="J173">
        <v>2019</v>
      </c>
      <c r="K173" t="b">
        <v>1</v>
      </c>
      <c r="X173">
        <v>82.97</v>
      </c>
      <c r="AD173">
        <v>83</v>
      </c>
      <c r="AG173" t="s">
        <v>884</v>
      </c>
      <c r="AH173" t="s">
        <v>885</v>
      </c>
    </row>
    <row r="174" spans="1:34" x14ac:dyDescent="0.35">
      <c r="A174" t="s">
        <v>880</v>
      </c>
      <c r="B174" t="s">
        <v>881</v>
      </c>
      <c r="C174" t="s">
        <v>882</v>
      </c>
      <c r="D174" t="s">
        <v>1</v>
      </c>
      <c r="E174" t="s">
        <v>889</v>
      </c>
      <c r="F174" t="s">
        <v>545</v>
      </c>
      <c r="G174" t="s">
        <v>543</v>
      </c>
      <c r="H174" t="s">
        <v>542</v>
      </c>
      <c r="I174" t="s">
        <v>820</v>
      </c>
      <c r="J174">
        <v>2019</v>
      </c>
      <c r="K174" t="b">
        <v>1</v>
      </c>
      <c r="X174">
        <v>82.61</v>
      </c>
      <c r="AD174">
        <v>83</v>
      </c>
      <c r="AG174" t="s">
        <v>884</v>
      </c>
      <c r="AH174" t="s">
        <v>885</v>
      </c>
    </row>
    <row r="175" spans="1:34" x14ac:dyDescent="0.35">
      <c r="A175" t="s">
        <v>880</v>
      </c>
      <c r="B175" t="s">
        <v>881</v>
      </c>
      <c r="C175" t="s">
        <v>882</v>
      </c>
      <c r="D175" t="s">
        <v>20</v>
      </c>
      <c r="E175" t="s">
        <v>789</v>
      </c>
      <c r="F175" t="s">
        <v>545</v>
      </c>
      <c r="G175" t="s">
        <v>86</v>
      </c>
      <c r="H175" t="s">
        <v>85</v>
      </c>
      <c r="I175" t="s">
        <v>820</v>
      </c>
      <c r="J175">
        <v>2019</v>
      </c>
      <c r="K175" t="b">
        <v>1</v>
      </c>
      <c r="X175">
        <v>83.91</v>
      </c>
      <c r="AD175">
        <v>84</v>
      </c>
      <c r="AG175" t="s">
        <v>884</v>
      </c>
      <c r="AH175" t="s">
        <v>885</v>
      </c>
    </row>
    <row r="176" spans="1:34" x14ac:dyDescent="0.35">
      <c r="A176" t="s">
        <v>880</v>
      </c>
      <c r="B176" t="s">
        <v>881</v>
      </c>
      <c r="C176" t="s">
        <v>882</v>
      </c>
      <c r="D176" t="s">
        <v>20</v>
      </c>
      <c r="E176" t="s">
        <v>789</v>
      </c>
      <c r="F176" t="s">
        <v>545</v>
      </c>
      <c r="G176" t="s">
        <v>503</v>
      </c>
      <c r="H176" t="s">
        <v>502</v>
      </c>
      <c r="I176" t="s">
        <v>820</v>
      </c>
      <c r="J176">
        <v>2019</v>
      </c>
      <c r="K176" t="b">
        <v>1</v>
      </c>
      <c r="X176">
        <v>84.28</v>
      </c>
      <c r="AD176">
        <v>84</v>
      </c>
      <c r="AG176" t="s">
        <v>884</v>
      </c>
      <c r="AH176" t="s">
        <v>885</v>
      </c>
    </row>
    <row r="177" spans="1:34" x14ac:dyDescent="0.35">
      <c r="A177" t="s">
        <v>880</v>
      </c>
      <c r="B177" t="s">
        <v>881</v>
      </c>
      <c r="C177" t="s">
        <v>882</v>
      </c>
      <c r="D177" t="s">
        <v>20</v>
      </c>
      <c r="E177" t="s">
        <v>789</v>
      </c>
      <c r="F177" t="s">
        <v>545</v>
      </c>
      <c r="G177" t="s">
        <v>202</v>
      </c>
      <c r="H177" t="s">
        <v>201</v>
      </c>
      <c r="I177" t="s">
        <v>820</v>
      </c>
      <c r="J177">
        <v>2019</v>
      </c>
      <c r="K177" t="b">
        <v>1</v>
      </c>
      <c r="X177">
        <v>84.38</v>
      </c>
      <c r="AD177">
        <v>84</v>
      </c>
      <c r="AG177" t="s">
        <v>884</v>
      </c>
      <c r="AH177" t="s">
        <v>885</v>
      </c>
    </row>
    <row r="178" spans="1:34" x14ac:dyDescent="0.35">
      <c r="A178" t="s">
        <v>880</v>
      </c>
      <c r="B178" t="s">
        <v>881</v>
      </c>
      <c r="C178" t="s">
        <v>882</v>
      </c>
      <c r="D178" t="s">
        <v>20</v>
      </c>
      <c r="E178" t="s">
        <v>789</v>
      </c>
      <c r="F178" t="s">
        <v>545</v>
      </c>
      <c r="G178" t="s">
        <v>135</v>
      </c>
      <c r="H178" t="s">
        <v>134</v>
      </c>
      <c r="I178" t="s">
        <v>820</v>
      </c>
      <c r="J178">
        <v>2019</v>
      </c>
      <c r="K178" t="b">
        <v>1</v>
      </c>
      <c r="X178">
        <v>85.5</v>
      </c>
      <c r="AD178">
        <v>85</v>
      </c>
      <c r="AG178" t="s">
        <v>884</v>
      </c>
      <c r="AH178" t="s">
        <v>885</v>
      </c>
    </row>
    <row r="179" spans="1:34" x14ac:dyDescent="0.35">
      <c r="A179" t="s">
        <v>880</v>
      </c>
      <c r="B179" t="s">
        <v>881</v>
      </c>
      <c r="C179" t="s">
        <v>882</v>
      </c>
      <c r="D179" t="s">
        <v>20</v>
      </c>
      <c r="E179" t="s">
        <v>789</v>
      </c>
      <c r="F179" t="s">
        <v>545</v>
      </c>
      <c r="G179" t="s">
        <v>144</v>
      </c>
      <c r="H179" t="s">
        <v>143</v>
      </c>
      <c r="I179" t="s">
        <v>820</v>
      </c>
      <c r="J179">
        <v>2019</v>
      </c>
      <c r="K179" t="b">
        <v>1</v>
      </c>
      <c r="X179">
        <v>84.89</v>
      </c>
      <c r="AD179">
        <v>85</v>
      </c>
      <c r="AG179" t="s">
        <v>884</v>
      </c>
      <c r="AH179" t="s">
        <v>885</v>
      </c>
    </row>
    <row r="180" spans="1:34" x14ac:dyDescent="0.35">
      <c r="A180" t="s">
        <v>880</v>
      </c>
      <c r="B180" t="s">
        <v>881</v>
      </c>
      <c r="C180" t="s">
        <v>882</v>
      </c>
      <c r="D180" t="s">
        <v>0</v>
      </c>
      <c r="E180" t="s">
        <v>887</v>
      </c>
      <c r="F180" t="s">
        <v>545</v>
      </c>
      <c r="G180" t="s">
        <v>127</v>
      </c>
      <c r="H180" t="s">
        <v>126</v>
      </c>
      <c r="I180" t="s">
        <v>820</v>
      </c>
      <c r="J180">
        <v>2019</v>
      </c>
      <c r="K180" t="b">
        <v>1</v>
      </c>
      <c r="X180">
        <v>84.94</v>
      </c>
      <c r="AD180">
        <v>85</v>
      </c>
      <c r="AG180" t="s">
        <v>884</v>
      </c>
      <c r="AH180" t="s">
        <v>885</v>
      </c>
    </row>
    <row r="181" spans="1:34" x14ac:dyDescent="0.35">
      <c r="A181" t="s">
        <v>880</v>
      </c>
      <c r="B181" t="s">
        <v>881</v>
      </c>
      <c r="C181" t="s">
        <v>882</v>
      </c>
      <c r="D181" t="s">
        <v>20</v>
      </c>
      <c r="E181" t="s">
        <v>789</v>
      </c>
      <c r="F181" t="s">
        <v>545</v>
      </c>
      <c r="G181" t="s">
        <v>208</v>
      </c>
      <c r="H181" t="s">
        <v>207</v>
      </c>
      <c r="I181" t="s">
        <v>820</v>
      </c>
      <c r="J181">
        <v>2019</v>
      </c>
      <c r="K181" t="b">
        <v>1</v>
      </c>
      <c r="X181">
        <v>84.82</v>
      </c>
      <c r="AD181">
        <v>85</v>
      </c>
      <c r="AG181" t="s">
        <v>884</v>
      </c>
      <c r="AH181" t="s">
        <v>885</v>
      </c>
    </row>
    <row r="182" spans="1:34" x14ac:dyDescent="0.35">
      <c r="A182" t="s">
        <v>880</v>
      </c>
      <c r="B182" t="s">
        <v>881</v>
      </c>
      <c r="C182" t="s">
        <v>882</v>
      </c>
      <c r="D182" t="s">
        <v>20</v>
      </c>
      <c r="E182" t="s">
        <v>789</v>
      </c>
      <c r="F182" t="s">
        <v>545</v>
      </c>
      <c r="G182" t="s">
        <v>71</v>
      </c>
      <c r="H182" t="s">
        <v>70</v>
      </c>
      <c r="I182" t="s">
        <v>820</v>
      </c>
      <c r="J182">
        <v>2019</v>
      </c>
      <c r="K182" t="b">
        <v>1</v>
      </c>
      <c r="X182">
        <v>85.84</v>
      </c>
      <c r="AD182">
        <v>86</v>
      </c>
      <c r="AG182" t="s">
        <v>884</v>
      </c>
      <c r="AH182" t="s">
        <v>885</v>
      </c>
    </row>
    <row r="183" spans="1:34" x14ac:dyDescent="0.35">
      <c r="A183" t="s">
        <v>880</v>
      </c>
      <c r="B183" t="s">
        <v>881</v>
      </c>
      <c r="C183" t="s">
        <v>882</v>
      </c>
      <c r="D183" t="s">
        <v>20</v>
      </c>
      <c r="E183" t="s">
        <v>789</v>
      </c>
      <c r="F183" t="s">
        <v>545</v>
      </c>
      <c r="G183" t="s">
        <v>94</v>
      </c>
      <c r="H183" t="s">
        <v>93</v>
      </c>
      <c r="I183" t="s">
        <v>820</v>
      </c>
      <c r="J183">
        <v>2019</v>
      </c>
      <c r="K183" t="b">
        <v>1</v>
      </c>
      <c r="X183">
        <v>86.48</v>
      </c>
      <c r="AD183">
        <v>86</v>
      </c>
      <c r="AG183" t="s">
        <v>884</v>
      </c>
      <c r="AH183" t="s">
        <v>885</v>
      </c>
    </row>
    <row r="184" spans="1:34" x14ac:dyDescent="0.35">
      <c r="A184" t="s">
        <v>880</v>
      </c>
      <c r="B184" t="s">
        <v>881</v>
      </c>
      <c r="C184" t="s">
        <v>882</v>
      </c>
      <c r="D184" t="s">
        <v>20</v>
      </c>
      <c r="E184" t="s">
        <v>789</v>
      </c>
      <c r="F184" t="s">
        <v>545</v>
      </c>
      <c r="G184" t="s">
        <v>129</v>
      </c>
      <c r="H184" t="s">
        <v>128</v>
      </c>
      <c r="I184" t="s">
        <v>820</v>
      </c>
      <c r="J184">
        <v>2019</v>
      </c>
      <c r="K184" t="b">
        <v>1</v>
      </c>
      <c r="X184">
        <v>86.29</v>
      </c>
      <c r="AD184">
        <v>86</v>
      </c>
      <c r="AG184" t="s">
        <v>884</v>
      </c>
      <c r="AH184" t="s">
        <v>885</v>
      </c>
    </row>
    <row r="185" spans="1:34" x14ac:dyDescent="0.35">
      <c r="A185" t="s">
        <v>880</v>
      </c>
      <c r="B185" t="s">
        <v>881</v>
      </c>
      <c r="C185" t="s">
        <v>882</v>
      </c>
      <c r="D185" t="s">
        <v>0</v>
      </c>
      <c r="E185" t="s">
        <v>887</v>
      </c>
      <c r="F185" t="s">
        <v>545</v>
      </c>
      <c r="G185" t="s">
        <v>187</v>
      </c>
      <c r="H185" t="s">
        <v>186</v>
      </c>
      <c r="I185" t="s">
        <v>820</v>
      </c>
      <c r="J185">
        <v>2019</v>
      </c>
      <c r="K185" t="b">
        <v>1</v>
      </c>
      <c r="X185">
        <v>85.53</v>
      </c>
      <c r="AD185">
        <v>86</v>
      </c>
      <c r="AG185" t="s">
        <v>884</v>
      </c>
      <c r="AH185" t="s">
        <v>885</v>
      </c>
    </row>
    <row r="186" spans="1:34" x14ac:dyDescent="0.35">
      <c r="A186" t="s">
        <v>880</v>
      </c>
      <c r="B186" t="s">
        <v>881</v>
      </c>
      <c r="C186" t="s">
        <v>882</v>
      </c>
      <c r="D186" t="s">
        <v>20</v>
      </c>
      <c r="E186" t="s">
        <v>789</v>
      </c>
      <c r="F186" t="s">
        <v>545</v>
      </c>
      <c r="G186" t="s">
        <v>156</v>
      </c>
      <c r="H186" t="s">
        <v>155</v>
      </c>
      <c r="I186" t="s">
        <v>820</v>
      </c>
      <c r="J186">
        <v>2019</v>
      </c>
      <c r="K186" t="b">
        <v>1</v>
      </c>
      <c r="X186">
        <v>85.6</v>
      </c>
      <c r="AD186">
        <v>86</v>
      </c>
      <c r="AG186" t="s">
        <v>884</v>
      </c>
      <c r="AH186" t="s">
        <v>885</v>
      </c>
    </row>
    <row r="187" spans="1:34" x14ac:dyDescent="0.35">
      <c r="A187" t="s">
        <v>880</v>
      </c>
      <c r="B187" t="s">
        <v>881</v>
      </c>
      <c r="C187" t="s">
        <v>882</v>
      </c>
      <c r="D187" t="s">
        <v>0</v>
      </c>
      <c r="E187" t="s">
        <v>887</v>
      </c>
      <c r="F187" t="s">
        <v>545</v>
      </c>
      <c r="G187" t="s">
        <v>425</v>
      </c>
      <c r="H187" t="s">
        <v>424</v>
      </c>
      <c r="I187" t="s">
        <v>820</v>
      </c>
      <c r="J187">
        <v>2019</v>
      </c>
      <c r="K187" t="b">
        <v>1</v>
      </c>
      <c r="X187">
        <v>85.87</v>
      </c>
      <c r="AD187">
        <v>86</v>
      </c>
      <c r="AG187" t="s">
        <v>884</v>
      </c>
      <c r="AH187" t="s">
        <v>885</v>
      </c>
    </row>
    <row r="188" spans="1:34" x14ac:dyDescent="0.35">
      <c r="A188" t="s">
        <v>880</v>
      </c>
      <c r="B188" t="s">
        <v>881</v>
      </c>
      <c r="C188" t="s">
        <v>882</v>
      </c>
      <c r="D188" t="s">
        <v>20</v>
      </c>
      <c r="E188" t="s">
        <v>789</v>
      </c>
      <c r="F188" t="s">
        <v>545</v>
      </c>
      <c r="G188" t="s">
        <v>162</v>
      </c>
      <c r="H188" t="s">
        <v>161</v>
      </c>
      <c r="I188" t="s">
        <v>820</v>
      </c>
      <c r="J188">
        <v>2019</v>
      </c>
      <c r="K188" t="b">
        <v>1</v>
      </c>
      <c r="X188">
        <v>85.56</v>
      </c>
      <c r="AD188">
        <v>86</v>
      </c>
      <c r="AG188" t="s">
        <v>884</v>
      </c>
      <c r="AH188" t="s">
        <v>885</v>
      </c>
    </row>
    <row r="189" spans="1:34" x14ac:dyDescent="0.35">
      <c r="A189" t="s">
        <v>880</v>
      </c>
      <c r="B189" t="s">
        <v>881</v>
      </c>
      <c r="C189" t="s">
        <v>882</v>
      </c>
      <c r="D189" t="s">
        <v>0</v>
      </c>
      <c r="E189" t="s">
        <v>887</v>
      </c>
      <c r="F189" t="s">
        <v>545</v>
      </c>
      <c r="G189" t="s">
        <v>12</v>
      </c>
      <c r="H189" t="s">
        <v>11</v>
      </c>
      <c r="I189" t="s">
        <v>820</v>
      </c>
      <c r="J189">
        <v>2019</v>
      </c>
      <c r="K189" t="b">
        <v>1</v>
      </c>
      <c r="X189">
        <v>87.15</v>
      </c>
      <c r="AD189">
        <v>87</v>
      </c>
      <c r="AG189" t="s">
        <v>884</v>
      </c>
      <c r="AH189" t="s">
        <v>885</v>
      </c>
    </row>
    <row r="190" spans="1:34" x14ac:dyDescent="0.35">
      <c r="A190" t="s">
        <v>880</v>
      </c>
      <c r="B190" t="s">
        <v>881</v>
      </c>
      <c r="C190" t="s">
        <v>882</v>
      </c>
      <c r="D190" t="s">
        <v>20</v>
      </c>
      <c r="E190" t="s">
        <v>789</v>
      </c>
      <c r="F190" t="s">
        <v>545</v>
      </c>
      <c r="G190" t="s">
        <v>316</v>
      </c>
      <c r="H190" t="s">
        <v>315</v>
      </c>
      <c r="I190" t="s">
        <v>820</v>
      </c>
      <c r="J190">
        <v>2019</v>
      </c>
      <c r="K190" t="b">
        <v>1</v>
      </c>
      <c r="X190">
        <v>86.81</v>
      </c>
      <c r="AD190">
        <v>87</v>
      </c>
      <c r="AG190" t="s">
        <v>884</v>
      </c>
      <c r="AH190" t="s">
        <v>885</v>
      </c>
    </row>
    <row r="191" spans="1:34" x14ac:dyDescent="0.35">
      <c r="A191" t="s">
        <v>880</v>
      </c>
      <c r="B191" t="s">
        <v>881</v>
      </c>
      <c r="C191" t="s">
        <v>882</v>
      </c>
      <c r="D191" t="s">
        <v>0</v>
      </c>
      <c r="E191" t="s">
        <v>887</v>
      </c>
      <c r="F191" t="s">
        <v>545</v>
      </c>
      <c r="G191" t="s">
        <v>339</v>
      </c>
      <c r="H191" t="s">
        <v>338</v>
      </c>
      <c r="I191" t="s">
        <v>820</v>
      </c>
      <c r="J191">
        <v>2019</v>
      </c>
      <c r="K191" t="b">
        <v>1</v>
      </c>
      <c r="X191">
        <v>87.09</v>
      </c>
      <c r="AD191">
        <v>87</v>
      </c>
      <c r="AG191" t="s">
        <v>884</v>
      </c>
      <c r="AH191" t="s">
        <v>885</v>
      </c>
    </row>
    <row r="192" spans="1:34" x14ac:dyDescent="0.35">
      <c r="A192" t="s">
        <v>880</v>
      </c>
      <c r="B192" t="s">
        <v>881</v>
      </c>
      <c r="C192" t="s">
        <v>882</v>
      </c>
      <c r="D192" t="s">
        <v>20</v>
      </c>
      <c r="E192" t="s">
        <v>789</v>
      </c>
      <c r="F192" t="s">
        <v>545</v>
      </c>
      <c r="G192" t="s">
        <v>165</v>
      </c>
      <c r="H192" t="s">
        <v>164</v>
      </c>
      <c r="I192" t="s">
        <v>820</v>
      </c>
      <c r="J192">
        <v>2019</v>
      </c>
      <c r="K192" t="b">
        <v>1</v>
      </c>
      <c r="X192">
        <v>87.17</v>
      </c>
      <c r="AD192">
        <v>87</v>
      </c>
      <c r="AG192" t="s">
        <v>884</v>
      </c>
      <c r="AH192" t="s">
        <v>885</v>
      </c>
    </row>
    <row r="193" spans="1:34" x14ac:dyDescent="0.35">
      <c r="A193" t="s">
        <v>880</v>
      </c>
      <c r="B193" t="s">
        <v>881</v>
      </c>
      <c r="C193" t="s">
        <v>882</v>
      </c>
      <c r="D193" t="s">
        <v>20</v>
      </c>
      <c r="E193" t="s">
        <v>789</v>
      </c>
      <c r="F193" t="s">
        <v>545</v>
      </c>
      <c r="G193" t="s">
        <v>518</v>
      </c>
      <c r="H193" t="s">
        <v>517</v>
      </c>
      <c r="I193" t="s">
        <v>820</v>
      </c>
      <c r="J193">
        <v>2019</v>
      </c>
      <c r="K193" t="b">
        <v>1</v>
      </c>
      <c r="X193">
        <v>87.14</v>
      </c>
      <c r="AD193">
        <v>87</v>
      </c>
      <c r="AG193" t="s">
        <v>884</v>
      </c>
      <c r="AH193" t="s">
        <v>885</v>
      </c>
    </row>
    <row r="194" spans="1:34" x14ac:dyDescent="0.35">
      <c r="A194" t="s">
        <v>880</v>
      </c>
      <c r="B194" t="s">
        <v>881</v>
      </c>
      <c r="C194" t="s">
        <v>882</v>
      </c>
      <c r="D194" t="s">
        <v>20</v>
      </c>
      <c r="E194" t="s">
        <v>789</v>
      </c>
      <c r="F194" t="s">
        <v>545</v>
      </c>
      <c r="G194" t="s">
        <v>536</v>
      </c>
      <c r="H194" t="s">
        <v>535</v>
      </c>
      <c r="I194" t="s">
        <v>820</v>
      </c>
      <c r="J194">
        <v>2019</v>
      </c>
      <c r="K194" t="b">
        <v>1</v>
      </c>
      <c r="X194">
        <v>87.72</v>
      </c>
      <c r="AD194">
        <v>88</v>
      </c>
      <c r="AG194" t="s">
        <v>884</v>
      </c>
      <c r="AH194" t="s">
        <v>885</v>
      </c>
    </row>
    <row r="195" spans="1:34" x14ac:dyDescent="0.35">
      <c r="A195" t="s">
        <v>880</v>
      </c>
      <c r="B195" t="s">
        <v>881</v>
      </c>
      <c r="C195" t="s">
        <v>882</v>
      </c>
      <c r="D195" t="s">
        <v>1</v>
      </c>
      <c r="E195" t="s">
        <v>889</v>
      </c>
      <c r="F195" t="s">
        <v>545</v>
      </c>
      <c r="G195" t="s">
        <v>29</v>
      </c>
      <c r="H195" t="s">
        <v>28</v>
      </c>
      <c r="I195" t="s">
        <v>820</v>
      </c>
      <c r="J195">
        <v>2019</v>
      </c>
      <c r="K195" t="b">
        <v>1</v>
      </c>
      <c r="X195">
        <v>89.36</v>
      </c>
      <c r="AD195">
        <v>89</v>
      </c>
      <c r="AG195" t="s">
        <v>884</v>
      </c>
      <c r="AH195" t="s">
        <v>885</v>
      </c>
    </row>
    <row r="196" spans="1:34" x14ac:dyDescent="0.35">
      <c r="A196" t="s">
        <v>880</v>
      </c>
      <c r="B196" t="s">
        <v>881</v>
      </c>
      <c r="C196" t="s">
        <v>882</v>
      </c>
      <c r="D196" t="s">
        <v>4</v>
      </c>
      <c r="E196" t="s">
        <v>883</v>
      </c>
      <c r="F196" t="s">
        <v>545</v>
      </c>
      <c r="G196" t="s">
        <v>77</v>
      </c>
      <c r="H196" t="s">
        <v>76</v>
      </c>
      <c r="I196" t="s">
        <v>820</v>
      </c>
      <c r="J196">
        <v>2017</v>
      </c>
      <c r="K196" t="b">
        <v>0</v>
      </c>
      <c r="X196">
        <v>26.57</v>
      </c>
      <c r="AD196">
        <v>27</v>
      </c>
      <c r="AG196" t="s">
        <v>884</v>
      </c>
      <c r="AH196" t="s">
        <v>885</v>
      </c>
    </row>
    <row r="197" spans="1:34" x14ac:dyDescent="0.35">
      <c r="A197" t="s">
        <v>880</v>
      </c>
      <c r="B197" t="s">
        <v>881</v>
      </c>
      <c r="C197" t="s">
        <v>882</v>
      </c>
      <c r="D197" t="s">
        <v>25</v>
      </c>
      <c r="E197" t="s">
        <v>886</v>
      </c>
      <c r="F197" t="s">
        <v>545</v>
      </c>
      <c r="G197" t="s">
        <v>249</v>
      </c>
      <c r="H197" t="s">
        <v>248</v>
      </c>
      <c r="I197" t="s">
        <v>820</v>
      </c>
      <c r="J197">
        <v>2017</v>
      </c>
      <c r="K197" t="b">
        <v>0</v>
      </c>
      <c r="X197">
        <v>29.04</v>
      </c>
      <c r="AD197">
        <v>29</v>
      </c>
      <c r="AG197" t="s">
        <v>884</v>
      </c>
      <c r="AH197" t="s">
        <v>885</v>
      </c>
    </row>
    <row r="198" spans="1:34" x14ac:dyDescent="0.35">
      <c r="A198" t="s">
        <v>880</v>
      </c>
      <c r="B198" t="s">
        <v>881</v>
      </c>
      <c r="C198" t="s">
        <v>882</v>
      </c>
      <c r="D198" t="s">
        <v>25</v>
      </c>
      <c r="E198" t="s">
        <v>886</v>
      </c>
      <c r="F198" t="s">
        <v>545</v>
      </c>
      <c r="G198" t="s">
        <v>31</v>
      </c>
      <c r="H198" t="s">
        <v>30</v>
      </c>
      <c r="I198" t="s">
        <v>820</v>
      </c>
      <c r="J198">
        <v>2017</v>
      </c>
      <c r="K198" t="b">
        <v>0</v>
      </c>
      <c r="X198">
        <v>30.33</v>
      </c>
      <c r="AD198">
        <v>30</v>
      </c>
      <c r="AG198" t="s">
        <v>884</v>
      </c>
      <c r="AH198" t="s">
        <v>885</v>
      </c>
    </row>
    <row r="199" spans="1:34" x14ac:dyDescent="0.35">
      <c r="A199" t="s">
        <v>880</v>
      </c>
      <c r="B199" t="s">
        <v>881</v>
      </c>
      <c r="C199" t="s">
        <v>882</v>
      </c>
      <c r="D199" t="s">
        <v>25</v>
      </c>
      <c r="E199" t="s">
        <v>886</v>
      </c>
      <c r="F199" t="s">
        <v>545</v>
      </c>
      <c r="G199" t="s">
        <v>351</v>
      </c>
      <c r="H199" t="s">
        <v>350</v>
      </c>
      <c r="I199" t="s">
        <v>820</v>
      </c>
      <c r="J199">
        <v>2017</v>
      </c>
      <c r="K199" t="b">
        <v>0</v>
      </c>
      <c r="X199">
        <v>31.16</v>
      </c>
      <c r="AD199">
        <v>31</v>
      </c>
      <c r="AG199" t="s">
        <v>884</v>
      </c>
      <c r="AH199" t="s">
        <v>885</v>
      </c>
    </row>
    <row r="200" spans="1:34" x14ac:dyDescent="0.35">
      <c r="A200" t="s">
        <v>880</v>
      </c>
      <c r="B200" t="s">
        <v>881</v>
      </c>
      <c r="C200" t="s">
        <v>882</v>
      </c>
      <c r="D200" t="s">
        <v>25</v>
      </c>
      <c r="E200" t="s">
        <v>886</v>
      </c>
      <c r="F200" t="s">
        <v>545</v>
      </c>
      <c r="G200" t="s">
        <v>434</v>
      </c>
      <c r="H200" t="s">
        <v>433</v>
      </c>
      <c r="I200" t="s">
        <v>820</v>
      </c>
      <c r="J200">
        <v>2017</v>
      </c>
      <c r="K200" t="b">
        <v>0</v>
      </c>
      <c r="X200">
        <v>31.03</v>
      </c>
      <c r="AD200">
        <v>31</v>
      </c>
      <c r="AG200" t="s">
        <v>884</v>
      </c>
      <c r="AH200" t="s">
        <v>885</v>
      </c>
    </row>
    <row r="201" spans="1:34" x14ac:dyDescent="0.35">
      <c r="A201" t="s">
        <v>880</v>
      </c>
      <c r="B201" t="s">
        <v>881</v>
      </c>
      <c r="C201" t="s">
        <v>882</v>
      </c>
      <c r="D201" t="s">
        <v>25</v>
      </c>
      <c r="E201" t="s">
        <v>886</v>
      </c>
      <c r="F201" t="s">
        <v>545</v>
      </c>
      <c r="G201" t="s">
        <v>446</v>
      </c>
      <c r="H201" t="s">
        <v>445</v>
      </c>
      <c r="I201" t="s">
        <v>820</v>
      </c>
      <c r="J201">
        <v>2017</v>
      </c>
      <c r="K201" t="b">
        <v>0</v>
      </c>
      <c r="X201">
        <v>34.19</v>
      </c>
      <c r="AD201">
        <v>34</v>
      </c>
      <c r="AG201" t="s">
        <v>884</v>
      </c>
      <c r="AH201" t="s">
        <v>885</v>
      </c>
    </row>
    <row r="202" spans="1:34" x14ac:dyDescent="0.35">
      <c r="A202" t="s">
        <v>880</v>
      </c>
      <c r="B202" t="s">
        <v>881</v>
      </c>
      <c r="C202" t="s">
        <v>882</v>
      </c>
      <c r="D202" t="s">
        <v>25</v>
      </c>
      <c r="E202" t="s">
        <v>886</v>
      </c>
      <c r="F202" t="s">
        <v>545</v>
      </c>
      <c r="G202" t="s">
        <v>301</v>
      </c>
      <c r="H202" t="s">
        <v>300</v>
      </c>
      <c r="I202" t="s">
        <v>820</v>
      </c>
      <c r="J202">
        <v>2017</v>
      </c>
      <c r="K202" t="b">
        <v>0</v>
      </c>
      <c r="X202">
        <v>34.6</v>
      </c>
      <c r="AD202">
        <v>35</v>
      </c>
      <c r="AG202" t="s">
        <v>884</v>
      </c>
      <c r="AH202" t="s">
        <v>885</v>
      </c>
    </row>
    <row r="203" spans="1:34" x14ac:dyDescent="0.35">
      <c r="A203" t="s">
        <v>880</v>
      </c>
      <c r="B203" t="s">
        <v>881</v>
      </c>
      <c r="C203" t="s">
        <v>882</v>
      </c>
      <c r="D203" t="s">
        <v>4</v>
      </c>
      <c r="E203" t="s">
        <v>883</v>
      </c>
      <c r="F203" t="s">
        <v>545</v>
      </c>
      <c r="G203" t="s">
        <v>114</v>
      </c>
      <c r="H203" t="s">
        <v>113</v>
      </c>
      <c r="I203" t="s">
        <v>820</v>
      </c>
      <c r="J203">
        <v>2017</v>
      </c>
      <c r="K203" t="b">
        <v>0</v>
      </c>
      <c r="X203">
        <v>35.78</v>
      </c>
      <c r="AD203">
        <v>36</v>
      </c>
      <c r="AG203" t="s">
        <v>884</v>
      </c>
      <c r="AH203" t="s">
        <v>885</v>
      </c>
    </row>
    <row r="204" spans="1:34" x14ac:dyDescent="0.35">
      <c r="A204" t="s">
        <v>880</v>
      </c>
      <c r="B204" t="s">
        <v>881</v>
      </c>
      <c r="C204" t="s">
        <v>882</v>
      </c>
      <c r="D204" t="s">
        <v>0</v>
      </c>
      <c r="E204" t="s">
        <v>887</v>
      </c>
      <c r="F204" t="s">
        <v>545</v>
      </c>
      <c r="G204" t="s">
        <v>107</v>
      </c>
      <c r="H204" t="s">
        <v>106</v>
      </c>
      <c r="I204" t="s">
        <v>820</v>
      </c>
      <c r="J204">
        <v>2017</v>
      </c>
      <c r="K204" t="b">
        <v>0</v>
      </c>
      <c r="X204">
        <v>36.49</v>
      </c>
      <c r="AD204">
        <v>36</v>
      </c>
      <c r="AG204" t="s">
        <v>884</v>
      </c>
      <c r="AH204" t="s">
        <v>885</v>
      </c>
    </row>
    <row r="205" spans="1:34" x14ac:dyDescent="0.35">
      <c r="A205" t="s">
        <v>880</v>
      </c>
      <c r="B205" t="s">
        <v>881</v>
      </c>
      <c r="C205" t="s">
        <v>882</v>
      </c>
      <c r="D205" t="s">
        <v>25</v>
      </c>
      <c r="E205" t="s">
        <v>886</v>
      </c>
      <c r="F205" t="s">
        <v>545</v>
      </c>
      <c r="G205" t="s">
        <v>50</v>
      </c>
      <c r="H205" t="s">
        <v>49</v>
      </c>
      <c r="I205" t="s">
        <v>820</v>
      </c>
      <c r="J205">
        <v>2017</v>
      </c>
      <c r="K205" t="b">
        <v>0</v>
      </c>
      <c r="X205">
        <v>36.78</v>
      </c>
      <c r="AD205">
        <v>37</v>
      </c>
      <c r="AG205" t="s">
        <v>884</v>
      </c>
      <c r="AH205" t="s">
        <v>885</v>
      </c>
    </row>
    <row r="206" spans="1:34" x14ac:dyDescent="0.35">
      <c r="A206" t="s">
        <v>880</v>
      </c>
      <c r="B206" t="s">
        <v>881</v>
      </c>
      <c r="C206" t="s">
        <v>882</v>
      </c>
      <c r="D206" t="s">
        <v>25</v>
      </c>
      <c r="E206" t="s">
        <v>886</v>
      </c>
      <c r="F206" t="s">
        <v>545</v>
      </c>
      <c r="G206" t="s">
        <v>65</v>
      </c>
      <c r="H206" t="s">
        <v>64</v>
      </c>
      <c r="I206" t="s">
        <v>820</v>
      </c>
      <c r="J206">
        <v>2017</v>
      </c>
      <c r="K206" t="b">
        <v>0</v>
      </c>
      <c r="X206">
        <v>36.92</v>
      </c>
      <c r="AD206">
        <v>37</v>
      </c>
      <c r="AG206" t="s">
        <v>884</v>
      </c>
      <c r="AH206" t="s">
        <v>885</v>
      </c>
    </row>
    <row r="207" spans="1:34" x14ac:dyDescent="0.35">
      <c r="A207" t="s">
        <v>880</v>
      </c>
      <c r="B207" t="s">
        <v>881</v>
      </c>
      <c r="C207" t="s">
        <v>882</v>
      </c>
      <c r="D207" t="s">
        <v>25</v>
      </c>
      <c r="E207" t="s">
        <v>886</v>
      </c>
      <c r="F207" t="s">
        <v>545</v>
      </c>
      <c r="G207" t="s">
        <v>231</v>
      </c>
      <c r="H207" t="s">
        <v>230</v>
      </c>
      <c r="I207" t="s">
        <v>820</v>
      </c>
      <c r="J207">
        <v>2017</v>
      </c>
      <c r="K207" t="b">
        <v>0</v>
      </c>
      <c r="X207">
        <v>37.51</v>
      </c>
      <c r="AD207">
        <v>38</v>
      </c>
      <c r="AG207" t="s">
        <v>884</v>
      </c>
      <c r="AH207" t="s">
        <v>885</v>
      </c>
    </row>
    <row r="208" spans="1:34" x14ac:dyDescent="0.35">
      <c r="A208" t="s">
        <v>880</v>
      </c>
      <c r="B208" t="s">
        <v>881</v>
      </c>
      <c r="C208" t="s">
        <v>882</v>
      </c>
      <c r="D208" t="s">
        <v>25</v>
      </c>
      <c r="E208" t="s">
        <v>886</v>
      </c>
      <c r="F208" t="s">
        <v>545</v>
      </c>
      <c r="G208" t="s">
        <v>304</v>
      </c>
      <c r="H208" t="s">
        <v>303</v>
      </c>
      <c r="I208" t="s">
        <v>820</v>
      </c>
      <c r="J208">
        <v>2017</v>
      </c>
      <c r="K208" t="b">
        <v>0</v>
      </c>
      <c r="X208">
        <v>37.92</v>
      </c>
      <c r="AD208">
        <v>38</v>
      </c>
      <c r="AG208" t="s">
        <v>884</v>
      </c>
      <c r="AH208" t="s">
        <v>885</v>
      </c>
    </row>
    <row r="209" spans="1:34" x14ac:dyDescent="0.35">
      <c r="A209" t="s">
        <v>880</v>
      </c>
      <c r="B209" t="s">
        <v>881</v>
      </c>
      <c r="C209" t="s">
        <v>882</v>
      </c>
      <c r="D209" t="s">
        <v>25</v>
      </c>
      <c r="E209" t="s">
        <v>886</v>
      </c>
      <c r="F209" t="s">
        <v>545</v>
      </c>
      <c r="G209" t="s">
        <v>422</v>
      </c>
      <c r="H209" t="s">
        <v>421</v>
      </c>
      <c r="I209" t="s">
        <v>820</v>
      </c>
      <c r="J209">
        <v>2017</v>
      </c>
      <c r="K209" t="b">
        <v>0</v>
      </c>
      <c r="X209">
        <v>37.96</v>
      </c>
      <c r="AD209">
        <v>38</v>
      </c>
      <c r="AG209" t="s">
        <v>884</v>
      </c>
      <c r="AH209" t="s">
        <v>885</v>
      </c>
    </row>
    <row r="210" spans="1:34" x14ac:dyDescent="0.35">
      <c r="A210" t="s">
        <v>880</v>
      </c>
      <c r="B210" t="s">
        <v>881</v>
      </c>
      <c r="C210" t="s">
        <v>882</v>
      </c>
      <c r="D210" t="s">
        <v>25</v>
      </c>
      <c r="E210" t="s">
        <v>886</v>
      </c>
      <c r="F210" t="s">
        <v>545</v>
      </c>
      <c r="G210" t="s">
        <v>216</v>
      </c>
      <c r="H210" t="s">
        <v>215</v>
      </c>
      <c r="I210" t="s">
        <v>820</v>
      </c>
      <c r="J210">
        <v>2017</v>
      </c>
      <c r="K210" t="b">
        <v>0</v>
      </c>
      <c r="X210">
        <v>38.53</v>
      </c>
      <c r="AD210">
        <v>39</v>
      </c>
      <c r="AG210" t="s">
        <v>884</v>
      </c>
      <c r="AH210" t="s">
        <v>885</v>
      </c>
    </row>
    <row r="211" spans="1:34" x14ac:dyDescent="0.35">
      <c r="A211" t="s">
        <v>880</v>
      </c>
      <c r="B211" t="s">
        <v>881</v>
      </c>
      <c r="C211" t="s">
        <v>882</v>
      </c>
      <c r="D211" t="s">
        <v>25</v>
      </c>
      <c r="E211" t="s">
        <v>886</v>
      </c>
      <c r="F211" t="s">
        <v>545</v>
      </c>
      <c r="G211" t="s">
        <v>443</v>
      </c>
      <c r="H211" t="s">
        <v>442</v>
      </c>
      <c r="I211" t="s">
        <v>820</v>
      </c>
      <c r="J211">
        <v>2017</v>
      </c>
      <c r="K211" t="b">
        <v>0</v>
      </c>
      <c r="X211">
        <v>39.35</v>
      </c>
      <c r="AD211">
        <v>39</v>
      </c>
      <c r="AG211" t="s">
        <v>884</v>
      </c>
      <c r="AH211" t="s">
        <v>885</v>
      </c>
    </row>
    <row r="212" spans="1:34" x14ac:dyDescent="0.35">
      <c r="A212" t="s">
        <v>880</v>
      </c>
      <c r="B212" t="s">
        <v>881</v>
      </c>
      <c r="C212" t="s">
        <v>882</v>
      </c>
      <c r="D212" t="s">
        <v>25</v>
      </c>
      <c r="E212" t="s">
        <v>886</v>
      </c>
      <c r="F212" t="s">
        <v>545</v>
      </c>
      <c r="G212" t="s">
        <v>345</v>
      </c>
      <c r="H212" t="s">
        <v>344</v>
      </c>
      <c r="I212" t="s">
        <v>820</v>
      </c>
      <c r="J212">
        <v>2017</v>
      </c>
      <c r="K212" t="b">
        <v>0</v>
      </c>
      <c r="X212">
        <v>38.67</v>
      </c>
      <c r="AD212">
        <v>39</v>
      </c>
      <c r="AG212" t="s">
        <v>884</v>
      </c>
      <c r="AH212" t="s">
        <v>885</v>
      </c>
    </row>
    <row r="213" spans="1:34" x14ac:dyDescent="0.35">
      <c r="A213" t="s">
        <v>880</v>
      </c>
      <c r="B213" t="s">
        <v>881</v>
      </c>
      <c r="C213" t="s">
        <v>882</v>
      </c>
      <c r="D213" t="s">
        <v>25</v>
      </c>
      <c r="E213" t="s">
        <v>886</v>
      </c>
      <c r="F213" t="s">
        <v>545</v>
      </c>
      <c r="G213" t="s">
        <v>360</v>
      </c>
      <c r="H213" t="s">
        <v>359</v>
      </c>
      <c r="I213" t="s">
        <v>820</v>
      </c>
      <c r="J213">
        <v>2017</v>
      </c>
      <c r="K213" t="b">
        <v>0</v>
      </c>
      <c r="X213">
        <v>39.409999999999997</v>
      </c>
      <c r="AD213">
        <v>39</v>
      </c>
      <c r="AG213" t="s">
        <v>884</v>
      </c>
      <c r="AH213" t="s">
        <v>885</v>
      </c>
    </row>
    <row r="214" spans="1:34" x14ac:dyDescent="0.35">
      <c r="A214" t="s">
        <v>880</v>
      </c>
      <c r="B214" t="s">
        <v>881</v>
      </c>
      <c r="C214" t="s">
        <v>882</v>
      </c>
      <c r="D214" t="s">
        <v>25</v>
      </c>
      <c r="E214" t="s">
        <v>886</v>
      </c>
      <c r="F214" t="s">
        <v>545</v>
      </c>
      <c r="G214" t="s">
        <v>27</v>
      </c>
      <c r="H214" t="s">
        <v>26</v>
      </c>
      <c r="I214" t="s">
        <v>820</v>
      </c>
      <c r="J214">
        <v>2017</v>
      </c>
      <c r="K214" t="b">
        <v>0</v>
      </c>
      <c r="X214">
        <v>41.47</v>
      </c>
      <c r="AD214">
        <v>41</v>
      </c>
      <c r="AG214" t="s">
        <v>884</v>
      </c>
      <c r="AH214" t="s">
        <v>885</v>
      </c>
    </row>
    <row r="215" spans="1:34" x14ac:dyDescent="0.35">
      <c r="A215" t="s">
        <v>880</v>
      </c>
      <c r="B215" t="s">
        <v>881</v>
      </c>
      <c r="C215" t="s">
        <v>882</v>
      </c>
      <c r="D215" t="s">
        <v>25</v>
      </c>
      <c r="E215" t="s">
        <v>886</v>
      </c>
      <c r="F215" t="s">
        <v>545</v>
      </c>
      <c r="G215" t="s">
        <v>120</v>
      </c>
      <c r="H215" t="s">
        <v>119</v>
      </c>
      <c r="I215" t="s">
        <v>820</v>
      </c>
      <c r="J215">
        <v>2017</v>
      </c>
      <c r="K215" t="b">
        <v>0</v>
      </c>
      <c r="X215">
        <v>41.22</v>
      </c>
      <c r="AD215">
        <v>41</v>
      </c>
      <c r="AG215" t="s">
        <v>884</v>
      </c>
      <c r="AH215" t="s">
        <v>885</v>
      </c>
    </row>
    <row r="216" spans="1:34" x14ac:dyDescent="0.35">
      <c r="A216" t="s">
        <v>880</v>
      </c>
      <c r="B216" t="s">
        <v>881</v>
      </c>
      <c r="C216" t="s">
        <v>882</v>
      </c>
      <c r="D216" t="s">
        <v>25</v>
      </c>
      <c r="E216" t="s">
        <v>886</v>
      </c>
      <c r="F216" t="s">
        <v>545</v>
      </c>
      <c r="G216" t="s">
        <v>74</v>
      </c>
      <c r="H216" t="s">
        <v>73</v>
      </c>
      <c r="I216" t="s">
        <v>820</v>
      </c>
      <c r="J216">
        <v>2017</v>
      </c>
      <c r="K216" t="b">
        <v>0</v>
      </c>
      <c r="X216">
        <v>41.35</v>
      </c>
      <c r="AD216">
        <v>41</v>
      </c>
      <c r="AG216" t="s">
        <v>884</v>
      </c>
      <c r="AH216" t="s">
        <v>885</v>
      </c>
    </row>
    <row r="217" spans="1:34" x14ac:dyDescent="0.35">
      <c r="A217" t="s">
        <v>880</v>
      </c>
      <c r="B217" t="s">
        <v>881</v>
      </c>
      <c r="C217" t="s">
        <v>882</v>
      </c>
      <c r="D217" t="s">
        <v>25</v>
      </c>
      <c r="E217" t="s">
        <v>886</v>
      </c>
      <c r="F217" t="s">
        <v>545</v>
      </c>
      <c r="G217" t="s">
        <v>240</v>
      </c>
      <c r="H217" t="s">
        <v>239</v>
      </c>
      <c r="I217" t="s">
        <v>820</v>
      </c>
      <c r="J217">
        <v>2017</v>
      </c>
      <c r="K217" t="b">
        <v>0</v>
      </c>
      <c r="X217">
        <v>41.69</v>
      </c>
      <c r="AD217">
        <v>42</v>
      </c>
      <c r="AG217" t="s">
        <v>884</v>
      </c>
      <c r="AH217" t="s">
        <v>885</v>
      </c>
    </row>
    <row r="218" spans="1:34" x14ac:dyDescent="0.35">
      <c r="A218" t="s">
        <v>880</v>
      </c>
      <c r="B218" t="s">
        <v>881</v>
      </c>
      <c r="C218" t="s">
        <v>882</v>
      </c>
      <c r="D218" t="s">
        <v>25</v>
      </c>
      <c r="E218" t="s">
        <v>886</v>
      </c>
      <c r="F218" t="s">
        <v>545</v>
      </c>
      <c r="G218" t="s">
        <v>532</v>
      </c>
      <c r="H218" t="s">
        <v>531</v>
      </c>
      <c r="I218" t="s">
        <v>820</v>
      </c>
      <c r="J218">
        <v>2017</v>
      </c>
      <c r="K218" t="b">
        <v>0</v>
      </c>
      <c r="X218">
        <v>42.35</v>
      </c>
      <c r="AD218">
        <v>42</v>
      </c>
      <c r="AG218" t="s">
        <v>884</v>
      </c>
      <c r="AH218" t="s">
        <v>885</v>
      </c>
    </row>
    <row r="219" spans="1:34" x14ac:dyDescent="0.35">
      <c r="A219" t="s">
        <v>880</v>
      </c>
      <c r="B219" t="s">
        <v>881</v>
      </c>
      <c r="C219" t="s">
        <v>882</v>
      </c>
      <c r="D219" t="s">
        <v>25</v>
      </c>
      <c r="E219" t="s">
        <v>886</v>
      </c>
      <c r="F219" t="s">
        <v>545</v>
      </c>
      <c r="G219" t="s">
        <v>295</v>
      </c>
      <c r="H219" t="s">
        <v>294</v>
      </c>
      <c r="I219" t="s">
        <v>820</v>
      </c>
      <c r="J219">
        <v>2017</v>
      </c>
      <c r="K219" t="b">
        <v>0</v>
      </c>
      <c r="X219">
        <v>42.43</v>
      </c>
      <c r="AD219">
        <v>42</v>
      </c>
      <c r="AG219" t="s">
        <v>884</v>
      </c>
      <c r="AH219" t="s">
        <v>885</v>
      </c>
    </row>
    <row r="220" spans="1:34" x14ac:dyDescent="0.35">
      <c r="A220" t="s">
        <v>880</v>
      </c>
      <c r="B220" t="s">
        <v>881</v>
      </c>
      <c r="C220" t="s">
        <v>882</v>
      </c>
      <c r="D220" t="s">
        <v>25</v>
      </c>
      <c r="E220" t="s">
        <v>886</v>
      </c>
      <c r="F220" t="s">
        <v>545</v>
      </c>
      <c r="G220" t="s">
        <v>523</v>
      </c>
      <c r="H220" t="s">
        <v>522</v>
      </c>
      <c r="I220" t="s">
        <v>820</v>
      </c>
      <c r="J220">
        <v>2017</v>
      </c>
      <c r="K220" t="b">
        <v>0</v>
      </c>
      <c r="X220">
        <v>42.06</v>
      </c>
      <c r="AD220">
        <v>42</v>
      </c>
      <c r="AG220" t="s">
        <v>884</v>
      </c>
      <c r="AH220" t="s">
        <v>885</v>
      </c>
    </row>
    <row r="221" spans="1:34" x14ac:dyDescent="0.35">
      <c r="A221" t="s">
        <v>880</v>
      </c>
      <c r="B221" t="s">
        <v>881</v>
      </c>
      <c r="C221" t="s">
        <v>882</v>
      </c>
      <c r="D221" t="s">
        <v>25</v>
      </c>
      <c r="E221" t="s">
        <v>886</v>
      </c>
      <c r="F221" t="s">
        <v>545</v>
      </c>
      <c r="G221" t="s">
        <v>246</v>
      </c>
      <c r="H221" t="s">
        <v>245</v>
      </c>
      <c r="I221" t="s">
        <v>820</v>
      </c>
      <c r="J221">
        <v>2017</v>
      </c>
      <c r="K221" t="b">
        <v>0</v>
      </c>
      <c r="X221">
        <v>43.33</v>
      </c>
      <c r="AD221">
        <v>43</v>
      </c>
      <c r="AG221" t="s">
        <v>884</v>
      </c>
      <c r="AH221" t="s">
        <v>885</v>
      </c>
    </row>
    <row r="222" spans="1:34" x14ac:dyDescent="0.35">
      <c r="A222" t="s">
        <v>880</v>
      </c>
      <c r="B222" t="s">
        <v>881</v>
      </c>
      <c r="C222" t="s">
        <v>882</v>
      </c>
      <c r="D222" t="s">
        <v>25</v>
      </c>
      <c r="E222" t="s">
        <v>886</v>
      </c>
      <c r="F222" t="s">
        <v>545</v>
      </c>
      <c r="G222" t="s">
        <v>280</v>
      </c>
      <c r="H222" t="s">
        <v>279</v>
      </c>
      <c r="I222" t="s">
        <v>820</v>
      </c>
      <c r="J222">
        <v>2017</v>
      </c>
      <c r="K222" t="b">
        <v>0</v>
      </c>
      <c r="X222">
        <v>42.7</v>
      </c>
      <c r="AD222">
        <v>43</v>
      </c>
      <c r="AG222" t="s">
        <v>884</v>
      </c>
      <c r="AH222" t="s">
        <v>885</v>
      </c>
    </row>
    <row r="223" spans="1:34" x14ac:dyDescent="0.35">
      <c r="A223" t="s">
        <v>880</v>
      </c>
      <c r="B223" t="s">
        <v>881</v>
      </c>
      <c r="C223" t="s">
        <v>882</v>
      </c>
      <c r="D223" t="s">
        <v>4</v>
      </c>
      <c r="E223" t="s">
        <v>883</v>
      </c>
      <c r="F223" t="s">
        <v>545</v>
      </c>
      <c r="G223" t="s">
        <v>123</v>
      </c>
      <c r="H223" t="s">
        <v>122</v>
      </c>
      <c r="I223" t="s">
        <v>820</v>
      </c>
      <c r="J223">
        <v>2017</v>
      </c>
      <c r="K223" t="b">
        <v>0</v>
      </c>
      <c r="X223">
        <v>43.13</v>
      </c>
      <c r="AD223">
        <v>43</v>
      </c>
      <c r="AG223" t="s">
        <v>884</v>
      </c>
      <c r="AH223" t="s">
        <v>885</v>
      </c>
    </row>
    <row r="224" spans="1:34" x14ac:dyDescent="0.35">
      <c r="A224" t="s">
        <v>880</v>
      </c>
      <c r="B224" t="s">
        <v>881</v>
      </c>
      <c r="C224" t="s">
        <v>882</v>
      </c>
      <c r="D224" t="s">
        <v>25</v>
      </c>
      <c r="E224" t="s">
        <v>886</v>
      </c>
      <c r="F224" t="s">
        <v>545</v>
      </c>
      <c r="G224" t="s">
        <v>541</v>
      </c>
      <c r="H224" t="s">
        <v>540</v>
      </c>
      <c r="I224" t="s">
        <v>820</v>
      </c>
      <c r="J224">
        <v>2017</v>
      </c>
      <c r="K224" t="b">
        <v>0</v>
      </c>
      <c r="X224">
        <v>43.16</v>
      </c>
      <c r="AD224">
        <v>43</v>
      </c>
      <c r="AG224" t="s">
        <v>884</v>
      </c>
      <c r="AH224" t="s">
        <v>885</v>
      </c>
    </row>
    <row r="225" spans="1:34" x14ac:dyDescent="0.35">
      <c r="A225" t="s">
        <v>880</v>
      </c>
      <c r="B225" t="s">
        <v>881</v>
      </c>
      <c r="C225" t="s">
        <v>882</v>
      </c>
      <c r="D225" t="s">
        <v>4</v>
      </c>
      <c r="E225" t="s">
        <v>883</v>
      </c>
      <c r="F225" t="s">
        <v>545</v>
      </c>
      <c r="G225" t="s">
        <v>449</v>
      </c>
      <c r="H225" t="s">
        <v>448</v>
      </c>
      <c r="I225" t="s">
        <v>820</v>
      </c>
      <c r="J225">
        <v>2017</v>
      </c>
      <c r="K225" t="b">
        <v>0</v>
      </c>
      <c r="X225">
        <v>43.81</v>
      </c>
      <c r="AD225">
        <v>44</v>
      </c>
      <c r="AG225" t="s">
        <v>884</v>
      </c>
      <c r="AH225" t="s">
        <v>885</v>
      </c>
    </row>
    <row r="226" spans="1:34" x14ac:dyDescent="0.35">
      <c r="A226" t="s">
        <v>880</v>
      </c>
      <c r="B226" t="s">
        <v>881</v>
      </c>
      <c r="C226" t="s">
        <v>882</v>
      </c>
      <c r="D226" t="s">
        <v>4</v>
      </c>
      <c r="E226" t="s">
        <v>883</v>
      </c>
      <c r="F226" t="s">
        <v>545</v>
      </c>
      <c r="G226" t="s">
        <v>473</v>
      </c>
      <c r="H226" t="s">
        <v>472</v>
      </c>
      <c r="I226" t="s">
        <v>820</v>
      </c>
      <c r="J226">
        <v>2017</v>
      </c>
      <c r="K226" t="b">
        <v>0</v>
      </c>
      <c r="X226">
        <v>44.23</v>
      </c>
      <c r="AD226">
        <v>44</v>
      </c>
      <c r="AG226" t="s">
        <v>884</v>
      </c>
      <c r="AH226" t="s">
        <v>885</v>
      </c>
    </row>
    <row r="227" spans="1:34" x14ac:dyDescent="0.35">
      <c r="A227" t="s">
        <v>880</v>
      </c>
      <c r="B227" t="s">
        <v>881</v>
      </c>
      <c r="C227" t="s">
        <v>882</v>
      </c>
      <c r="D227" t="s">
        <v>25</v>
      </c>
      <c r="E227" t="s">
        <v>886</v>
      </c>
      <c r="F227" t="s">
        <v>545</v>
      </c>
      <c r="G227" t="s">
        <v>268</v>
      </c>
      <c r="H227" t="s">
        <v>888</v>
      </c>
      <c r="I227" t="s">
        <v>820</v>
      </c>
      <c r="J227">
        <v>2017</v>
      </c>
      <c r="K227" t="b">
        <v>0</v>
      </c>
      <c r="X227">
        <v>44.92</v>
      </c>
      <c r="AD227">
        <v>45</v>
      </c>
      <c r="AG227" t="s">
        <v>884</v>
      </c>
      <c r="AH227" t="s">
        <v>885</v>
      </c>
    </row>
    <row r="228" spans="1:34" x14ac:dyDescent="0.35">
      <c r="A228" t="s">
        <v>880</v>
      </c>
      <c r="B228" t="s">
        <v>881</v>
      </c>
      <c r="C228" t="s">
        <v>882</v>
      </c>
      <c r="D228" t="s">
        <v>25</v>
      </c>
      <c r="E228" t="s">
        <v>886</v>
      </c>
      <c r="F228" t="s">
        <v>545</v>
      </c>
      <c r="G228" t="s">
        <v>292</v>
      </c>
      <c r="H228" t="s">
        <v>291</v>
      </c>
      <c r="I228" t="s">
        <v>820</v>
      </c>
      <c r="J228">
        <v>2017</v>
      </c>
      <c r="K228" t="b">
        <v>0</v>
      </c>
      <c r="X228">
        <v>46.16</v>
      </c>
      <c r="AD228">
        <v>46</v>
      </c>
      <c r="AG228" t="s">
        <v>884</v>
      </c>
      <c r="AH228" t="s">
        <v>885</v>
      </c>
    </row>
    <row r="229" spans="1:34" x14ac:dyDescent="0.35">
      <c r="A229" t="s">
        <v>880</v>
      </c>
      <c r="B229" t="s">
        <v>881</v>
      </c>
      <c r="C229" t="s">
        <v>882</v>
      </c>
      <c r="D229" t="s">
        <v>1</v>
      </c>
      <c r="E229" t="s">
        <v>889</v>
      </c>
      <c r="F229" t="s">
        <v>545</v>
      </c>
      <c r="G229" t="s">
        <v>310</v>
      </c>
      <c r="H229" t="s">
        <v>309</v>
      </c>
      <c r="I229" t="s">
        <v>820</v>
      </c>
      <c r="J229">
        <v>2017</v>
      </c>
      <c r="K229" t="b">
        <v>0</v>
      </c>
      <c r="X229">
        <v>46.5</v>
      </c>
      <c r="AD229">
        <v>46</v>
      </c>
      <c r="AG229" t="s">
        <v>884</v>
      </c>
      <c r="AH229" t="s">
        <v>885</v>
      </c>
    </row>
    <row r="230" spans="1:34" x14ac:dyDescent="0.35">
      <c r="A230" t="s">
        <v>880</v>
      </c>
      <c r="B230" t="s">
        <v>881</v>
      </c>
      <c r="C230" t="s">
        <v>882</v>
      </c>
      <c r="D230" t="s">
        <v>25</v>
      </c>
      <c r="E230" t="s">
        <v>886</v>
      </c>
      <c r="F230" t="s">
        <v>545</v>
      </c>
      <c r="G230" t="s">
        <v>371</v>
      </c>
      <c r="H230" t="s">
        <v>370</v>
      </c>
      <c r="I230" t="s">
        <v>820</v>
      </c>
      <c r="J230">
        <v>2017</v>
      </c>
      <c r="K230" t="b">
        <v>0</v>
      </c>
      <c r="X230">
        <v>46.17</v>
      </c>
      <c r="AD230">
        <v>46</v>
      </c>
      <c r="AG230" t="s">
        <v>884</v>
      </c>
      <c r="AH230" t="s">
        <v>885</v>
      </c>
    </row>
    <row r="231" spans="1:34" x14ac:dyDescent="0.35">
      <c r="A231" t="s">
        <v>880</v>
      </c>
      <c r="B231" t="s">
        <v>881</v>
      </c>
      <c r="C231" t="s">
        <v>882</v>
      </c>
      <c r="D231" t="s">
        <v>25</v>
      </c>
      <c r="E231" t="s">
        <v>886</v>
      </c>
      <c r="F231" t="s">
        <v>545</v>
      </c>
      <c r="G231" t="s">
        <v>354</v>
      </c>
      <c r="H231" t="s">
        <v>353</v>
      </c>
      <c r="I231" t="s">
        <v>820</v>
      </c>
      <c r="J231">
        <v>2017</v>
      </c>
      <c r="K231" t="b">
        <v>0</v>
      </c>
      <c r="X231">
        <v>47.3</v>
      </c>
      <c r="AD231">
        <v>47</v>
      </c>
      <c r="AG231" t="s">
        <v>884</v>
      </c>
      <c r="AH231" t="s">
        <v>885</v>
      </c>
    </row>
    <row r="232" spans="1:34" x14ac:dyDescent="0.35">
      <c r="A232" t="s">
        <v>880</v>
      </c>
      <c r="B232" t="s">
        <v>881</v>
      </c>
      <c r="C232" t="s">
        <v>882</v>
      </c>
      <c r="D232" t="s">
        <v>0</v>
      </c>
      <c r="E232" t="s">
        <v>887</v>
      </c>
      <c r="F232" t="s">
        <v>545</v>
      </c>
      <c r="G232" t="s">
        <v>80</v>
      </c>
      <c r="H232" t="s">
        <v>79</v>
      </c>
      <c r="I232" t="s">
        <v>820</v>
      </c>
      <c r="J232">
        <v>2017</v>
      </c>
      <c r="K232" t="b">
        <v>0</v>
      </c>
      <c r="X232">
        <v>47.2</v>
      </c>
      <c r="AD232">
        <v>47</v>
      </c>
      <c r="AG232" t="s">
        <v>884</v>
      </c>
      <c r="AH232" t="s">
        <v>885</v>
      </c>
    </row>
    <row r="233" spans="1:34" x14ac:dyDescent="0.35">
      <c r="A233" t="s">
        <v>880</v>
      </c>
      <c r="B233" t="s">
        <v>881</v>
      </c>
      <c r="C233" t="s">
        <v>882</v>
      </c>
      <c r="D233" t="s">
        <v>25</v>
      </c>
      <c r="E233" t="s">
        <v>886</v>
      </c>
      <c r="F233" t="s">
        <v>545</v>
      </c>
      <c r="G233" t="s">
        <v>413</v>
      </c>
      <c r="H233" t="s">
        <v>412</v>
      </c>
      <c r="I233" t="s">
        <v>820</v>
      </c>
      <c r="J233">
        <v>2017</v>
      </c>
      <c r="K233" t="b">
        <v>0</v>
      </c>
      <c r="X233">
        <v>46.98</v>
      </c>
      <c r="AD233">
        <v>47</v>
      </c>
      <c r="AG233" t="s">
        <v>884</v>
      </c>
      <c r="AH233" t="s">
        <v>885</v>
      </c>
    </row>
    <row r="234" spans="1:34" x14ac:dyDescent="0.35">
      <c r="A234" t="s">
        <v>880</v>
      </c>
      <c r="B234" t="s">
        <v>881</v>
      </c>
      <c r="C234" t="s">
        <v>882</v>
      </c>
      <c r="D234" t="s">
        <v>43</v>
      </c>
      <c r="E234" t="s">
        <v>890</v>
      </c>
      <c r="F234" t="s">
        <v>545</v>
      </c>
      <c r="G234" t="s">
        <v>193</v>
      </c>
      <c r="H234" t="s">
        <v>192</v>
      </c>
      <c r="I234" t="s">
        <v>820</v>
      </c>
      <c r="J234">
        <v>2017</v>
      </c>
      <c r="K234" t="b">
        <v>0</v>
      </c>
      <c r="X234">
        <v>47.81</v>
      </c>
      <c r="AD234">
        <v>48</v>
      </c>
      <c r="AG234" t="s">
        <v>884</v>
      </c>
      <c r="AH234" t="s">
        <v>885</v>
      </c>
    </row>
    <row r="235" spans="1:34" x14ac:dyDescent="0.35">
      <c r="A235" t="s">
        <v>880</v>
      </c>
      <c r="B235" t="s">
        <v>881</v>
      </c>
      <c r="C235" t="s">
        <v>882</v>
      </c>
      <c r="D235" t="s">
        <v>25</v>
      </c>
      <c r="E235" t="s">
        <v>886</v>
      </c>
      <c r="F235" t="s">
        <v>545</v>
      </c>
      <c r="G235" t="s">
        <v>500</v>
      </c>
      <c r="H235" t="s">
        <v>499</v>
      </c>
      <c r="I235" t="s">
        <v>820</v>
      </c>
      <c r="J235">
        <v>2017</v>
      </c>
      <c r="K235" t="b">
        <v>0</v>
      </c>
      <c r="X235">
        <v>48.45</v>
      </c>
      <c r="AD235">
        <v>48</v>
      </c>
      <c r="AG235" t="s">
        <v>884</v>
      </c>
      <c r="AH235" t="s">
        <v>885</v>
      </c>
    </row>
    <row r="236" spans="1:34" x14ac:dyDescent="0.35">
      <c r="A236" t="s">
        <v>880</v>
      </c>
      <c r="B236" t="s">
        <v>881</v>
      </c>
      <c r="C236" t="s">
        <v>882</v>
      </c>
      <c r="D236" t="s">
        <v>0</v>
      </c>
      <c r="E236" t="s">
        <v>887</v>
      </c>
      <c r="F236" t="s">
        <v>545</v>
      </c>
      <c r="G236" t="s">
        <v>176</v>
      </c>
      <c r="H236" t="s">
        <v>175</v>
      </c>
      <c r="I236" t="s">
        <v>820</v>
      </c>
      <c r="J236">
        <v>2017</v>
      </c>
      <c r="K236" t="b">
        <v>0</v>
      </c>
      <c r="X236">
        <v>48.42</v>
      </c>
      <c r="AD236">
        <v>48</v>
      </c>
      <c r="AG236" t="s">
        <v>884</v>
      </c>
      <c r="AH236" t="s">
        <v>885</v>
      </c>
    </row>
    <row r="237" spans="1:34" x14ac:dyDescent="0.35">
      <c r="A237" t="s">
        <v>880</v>
      </c>
      <c r="B237" t="s">
        <v>881</v>
      </c>
      <c r="C237" t="s">
        <v>882</v>
      </c>
      <c r="D237" t="s">
        <v>25</v>
      </c>
      <c r="E237" t="s">
        <v>886</v>
      </c>
      <c r="F237" t="s">
        <v>545</v>
      </c>
      <c r="G237" t="s">
        <v>150</v>
      </c>
      <c r="H237" t="s">
        <v>149</v>
      </c>
      <c r="I237" t="s">
        <v>820</v>
      </c>
      <c r="J237">
        <v>2017</v>
      </c>
      <c r="K237" t="b">
        <v>0</v>
      </c>
      <c r="X237">
        <v>48.31</v>
      </c>
      <c r="AD237">
        <v>48</v>
      </c>
      <c r="AG237" t="s">
        <v>884</v>
      </c>
      <c r="AH237" t="s">
        <v>885</v>
      </c>
    </row>
    <row r="238" spans="1:34" x14ac:dyDescent="0.35">
      <c r="A238" t="s">
        <v>880</v>
      </c>
      <c r="B238" t="s">
        <v>881</v>
      </c>
      <c r="C238" t="s">
        <v>882</v>
      </c>
      <c r="D238" t="s">
        <v>43</v>
      </c>
      <c r="E238" t="s">
        <v>890</v>
      </c>
      <c r="F238" t="s">
        <v>545</v>
      </c>
      <c r="G238" t="s">
        <v>68</v>
      </c>
      <c r="H238" t="s">
        <v>67</v>
      </c>
      <c r="I238" t="s">
        <v>820</v>
      </c>
      <c r="J238">
        <v>2017</v>
      </c>
      <c r="K238" t="b">
        <v>0</v>
      </c>
      <c r="X238">
        <v>48.14</v>
      </c>
      <c r="AD238">
        <v>48</v>
      </c>
      <c r="AG238" t="s">
        <v>884</v>
      </c>
      <c r="AH238" t="s">
        <v>885</v>
      </c>
    </row>
    <row r="239" spans="1:34" x14ac:dyDescent="0.35">
      <c r="A239" t="s">
        <v>880</v>
      </c>
      <c r="B239" t="s">
        <v>881</v>
      </c>
      <c r="C239" t="s">
        <v>882</v>
      </c>
      <c r="D239" t="s">
        <v>25</v>
      </c>
      <c r="E239" t="s">
        <v>886</v>
      </c>
      <c r="F239" t="s">
        <v>545</v>
      </c>
      <c r="G239" t="s">
        <v>464</v>
      </c>
      <c r="H239" t="s">
        <v>463</v>
      </c>
      <c r="I239" t="s">
        <v>820</v>
      </c>
      <c r="J239">
        <v>2017</v>
      </c>
      <c r="K239" t="b">
        <v>0</v>
      </c>
      <c r="X239">
        <v>48.09</v>
      </c>
      <c r="AD239">
        <v>48</v>
      </c>
      <c r="AG239" t="s">
        <v>884</v>
      </c>
      <c r="AH239" t="s">
        <v>885</v>
      </c>
    </row>
    <row r="240" spans="1:34" x14ac:dyDescent="0.35">
      <c r="A240" t="s">
        <v>880</v>
      </c>
      <c r="B240" t="s">
        <v>881</v>
      </c>
      <c r="C240" t="s">
        <v>882</v>
      </c>
      <c r="D240" t="s">
        <v>4</v>
      </c>
      <c r="E240" t="s">
        <v>883</v>
      </c>
      <c r="F240" t="s">
        <v>545</v>
      </c>
      <c r="G240" t="s">
        <v>271</v>
      </c>
      <c r="H240" t="s">
        <v>270</v>
      </c>
      <c r="I240" t="s">
        <v>820</v>
      </c>
      <c r="J240">
        <v>2017</v>
      </c>
      <c r="K240" t="b">
        <v>0</v>
      </c>
      <c r="X240">
        <v>48.58</v>
      </c>
      <c r="AD240">
        <v>49</v>
      </c>
      <c r="AG240" t="s">
        <v>884</v>
      </c>
      <c r="AH240" t="s">
        <v>885</v>
      </c>
    </row>
    <row r="241" spans="1:34" x14ac:dyDescent="0.35">
      <c r="A241" t="s">
        <v>880</v>
      </c>
      <c r="B241" t="s">
        <v>881</v>
      </c>
      <c r="C241" t="s">
        <v>882</v>
      </c>
      <c r="D241" t="s">
        <v>0</v>
      </c>
      <c r="E241" t="s">
        <v>887</v>
      </c>
      <c r="F241" t="s">
        <v>545</v>
      </c>
      <c r="G241" t="s">
        <v>497</v>
      </c>
      <c r="H241" t="s">
        <v>496</v>
      </c>
      <c r="I241" t="s">
        <v>820</v>
      </c>
      <c r="J241">
        <v>2017</v>
      </c>
      <c r="K241" t="b">
        <v>0</v>
      </c>
      <c r="X241">
        <v>49.04</v>
      </c>
      <c r="AD241">
        <v>49</v>
      </c>
      <c r="AG241" t="s">
        <v>884</v>
      </c>
      <c r="AH241" t="s">
        <v>885</v>
      </c>
    </row>
    <row r="242" spans="1:34" x14ac:dyDescent="0.35">
      <c r="A242" t="s">
        <v>880</v>
      </c>
      <c r="B242" t="s">
        <v>881</v>
      </c>
      <c r="C242" t="s">
        <v>882</v>
      </c>
      <c r="D242" t="s">
        <v>0</v>
      </c>
      <c r="E242" t="s">
        <v>887</v>
      </c>
      <c r="F242" t="s">
        <v>545</v>
      </c>
      <c r="G242" t="s">
        <v>337</v>
      </c>
      <c r="H242" t="s">
        <v>336</v>
      </c>
      <c r="I242" t="s">
        <v>820</v>
      </c>
      <c r="J242">
        <v>2017</v>
      </c>
      <c r="K242" t="b">
        <v>0</v>
      </c>
      <c r="X242">
        <v>49.59</v>
      </c>
      <c r="AD242">
        <v>50</v>
      </c>
      <c r="AG242" t="s">
        <v>884</v>
      </c>
      <c r="AH242" t="s">
        <v>885</v>
      </c>
    </row>
    <row r="243" spans="1:34" x14ac:dyDescent="0.35">
      <c r="A243" t="s">
        <v>880</v>
      </c>
      <c r="B243" t="s">
        <v>881</v>
      </c>
      <c r="C243" t="s">
        <v>882</v>
      </c>
      <c r="D243" t="s">
        <v>43</v>
      </c>
      <c r="E243" t="s">
        <v>890</v>
      </c>
      <c r="F243" t="s">
        <v>545</v>
      </c>
      <c r="G243" t="s">
        <v>53</v>
      </c>
      <c r="H243" t="s">
        <v>52</v>
      </c>
      <c r="I243" t="s">
        <v>820</v>
      </c>
      <c r="J243">
        <v>2017</v>
      </c>
      <c r="K243" t="b">
        <v>0</v>
      </c>
      <c r="X243">
        <v>50.26</v>
      </c>
      <c r="AD243">
        <v>50</v>
      </c>
      <c r="AG243" t="s">
        <v>884</v>
      </c>
      <c r="AH243" t="s">
        <v>885</v>
      </c>
    </row>
    <row r="244" spans="1:34" x14ac:dyDescent="0.35">
      <c r="A244" t="s">
        <v>880</v>
      </c>
      <c r="B244" t="s">
        <v>881</v>
      </c>
      <c r="C244" t="s">
        <v>882</v>
      </c>
      <c r="D244" t="s">
        <v>0</v>
      </c>
      <c r="E244" t="s">
        <v>887</v>
      </c>
      <c r="F244" t="s">
        <v>545</v>
      </c>
      <c r="G244" t="s">
        <v>470</v>
      </c>
      <c r="H244" t="s">
        <v>469</v>
      </c>
      <c r="I244" t="s">
        <v>820</v>
      </c>
      <c r="J244">
        <v>2017</v>
      </c>
      <c r="K244" t="b">
        <v>0</v>
      </c>
      <c r="X244">
        <v>49.68</v>
      </c>
      <c r="AD244">
        <v>50</v>
      </c>
      <c r="AG244" t="s">
        <v>884</v>
      </c>
      <c r="AH244" t="s">
        <v>885</v>
      </c>
    </row>
    <row r="245" spans="1:34" x14ac:dyDescent="0.35">
      <c r="A245" t="s">
        <v>880</v>
      </c>
      <c r="B245" t="s">
        <v>881</v>
      </c>
      <c r="C245" t="s">
        <v>882</v>
      </c>
      <c r="D245" t="s">
        <v>25</v>
      </c>
      <c r="E245" t="s">
        <v>886</v>
      </c>
      <c r="F245" t="s">
        <v>545</v>
      </c>
      <c r="G245" t="s">
        <v>89</v>
      </c>
      <c r="H245" t="s">
        <v>88</v>
      </c>
      <c r="I245" t="s">
        <v>820</v>
      </c>
      <c r="J245">
        <v>2017</v>
      </c>
      <c r="K245" t="b">
        <v>0</v>
      </c>
      <c r="X245">
        <v>51.21</v>
      </c>
      <c r="AD245">
        <v>51</v>
      </c>
      <c r="AG245" t="s">
        <v>884</v>
      </c>
      <c r="AH245" t="s">
        <v>885</v>
      </c>
    </row>
    <row r="246" spans="1:34" x14ac:dyDescent="0.35">
      <c r="A246" t="s">
        <v>880</v>
      </c>
      <c r="B246" t="s">
        <v>881</v>
      </c>
      <c r="C246" t="s">
        <v>882</v>
      </c>
      <c r="D246" t="s">
        <v>0</v>
      </c>
      <c r="E246" t="s">
        <v>887</v>
      </c>
      <c r="F246" t="s">
        <v>545</v>
      </c>
      <c r="G246" t="s">
        <v>377</v>
      </c>
      <c r="H246" t="s">
        <v>376</v>
      </c>
      <c r="I246" t="s">
        <v>820</v>
      </c>
      <c r="J246">
        <v>2017</v>
      </c>
      <c r="K246" t="b">
        <v>0</v>
      </c>
      <c r="X246">
        <v>52.32</v>
      </c>
      <c r="AD246">
        <v>52</v>
      </c>
      <c r="AG246" t="s">
        <v>884</v>
      </c>
      <c r="AH246" t="s">
        <v>885</v>
      </c>
    </row>
    <row r="247" spans="1:34" x14ac:dyDescent="0.35">
      <c r="A247" t="s">
        <v>880</v>
      </c>
      <c r="B247" t="s">
        <v>881</v>
      </c>
      <c r="C247" t="s">
        <v>882</v>
      </c>
      <c r="D247" t="s">
        <v>0</v>
      </c>
      <c r="E247" t="s">
        <v>887</v>
      </c>
      <c r="F247" t="s">
        <v>545</v>
      </c>
      <c r="G247" t="s">
        <v>527</v>
      </c>
      <c r="H247" t="s">
        <v>526</v>
      </c>
      <c r="I247" t="s">
        <v>820</v>
      </c>
      <c r="J247">
        <v>2017</v>
      </c>
      <c r="K247" t="b">
        <v>0</v>
      </c>
      <c r="X247">
        <v>51.6</v>
      </c>
      <c r="AD247">
        <v>52</v>
      </c>
      <c r="AG247" t="s">
        <v>884</v>
      </c>
      <c r="AH247" t="s">
        <v>885</v>
      </c>
    </row>
    <row r="248" spans="1:34" x14ac:dyDescent="0.35">
      <c r="A248" t="s">
        <v>880</v>
      </c>
      <c r="B248" t="s">
        <v>881</v>
      </c>
      <c r="C248" t="s">
        <v>882</v>
      </c>
      <c r="D248" t="s">
        <v>25</v>
      </c>
      <c r="E248" t="s">
        <v>886</v>
      </c>
      <c r="F248" t="s">
        <v>545</v>
      </c>
      <c r="G248" t="s">
        <v>476</v>
      </c>
      <c r="H248" t="s">
        <v>475</v>
      </c>
      <c r="I248" t="s">
        <v>820</v>
      </c>
      <c r="J248">
        <v>2017</v>
      </c>
      <c r="K248" t="b">
        <v>0</v>
      </c>
      <c r="X248">
        <v>51.97</v>
      </c>
      <c r="AD248">
        <v>52</v>
      </c>
      <c r="AG248" t="s">
        <v>884</v>
      </c>
      <c r="AH248" t="s">
        <v>885</v>
      </c>
    </row>
    <row r="249" spans="1:34" x14ac:dyDescent="0.35">
      <c r="A249" t="s">
        <v>880</v>
      </c>
      <c r="B249" t="s">
        <v>881</v>
      </c>
      <c r="C249" t="s">
        <v>882</v>
      </c>
      <c r="D249" t="s">
        <v>4</v>
      </c>
      <c r="E249" t="s">
        <v>883</v>
      </c>
      <c r="F249" t="s">
        <v>545</v>
      </c>
      <c r="G249" t="s">
        <v>325</v>
      </c>
      <c r="H249" t="s">
        <v>324</v>
      </c>
      <c r="I249" t="s">
        <v>820</v>
      </c>
      <c r="J249">
        <v>2017</v>
      </c>
      <c r="K249" t="b">
        <v>0</v>
      </c>
      <c r="X249">
        <v>53.21</v>
      </c>
      <c r="AD249">
        <v>53</v>
      </c>
      <c r="AG249" t="s">
        <v>884</v>
      </c>
      <c r="AH249" t="s">
        <v>885</v>
      </c>
    </row>
    <row r="250" spans="1:34" x14ac:dyDescent="0.35">
      <c r="A250" t="s">
        <v>880</v>
      </c>
      <c r="B250" t="s">
        <v>881</v>
      </c>
      <c r="C250" t="s">
        <v>882</v>
      </c>
      <c r="D250" t="s">
        <v>0</v>
      </c>
      <c r="E250" t="s">
        <v>887</v>
      </c>
      <c r="F250" t="s">
        <v>545</v>
      </c>
      <c r="G250" t="s">
        <v>401</v>
      </c>
      <c r="H250" t="s">
        <v>400</v>
      </c>
      <c r="I250" t="s">
        <v>820</v>
      </c>
      <c r="J250">
        <v>2017</v>
      </c>
      <c r="K250" t="b">
        <v>0</v>
      </c>
      <c r="X250">
        <v>52.98</v>
      </c>
      <c r="AD250">
        <v>53</v>
      </c>
      <c r="AG250" t="s">
        <v>884</v>
      </c>
      <c r="AH250" t="s">
        <v>885</v>
      </c>
    </row>
    <row r="251" spans="1:34" x14ac:dyDescent="0.35">
      <c r="A251" t="s">
        <v>880</v>
      </c>
      <c r="B251" t="s">
        <v>881</v>
      </c>
      <c r="C251" t="s">
        <v>882</v>
      </c>
      <c r="D251" t="s">
        <v>25</v>
      </c>
      <c r="E251" t="s">
        <v>886</v>
      </c>
      <c r="F251" t="s">
        <v>545</v>
      </c>
      <c r="G251" t="s">
        <v>234</v>
      </c>
      <c r="H251" t="s">
        <v>233</v>
      </c>
      <c r="I251" t="s">
        <v>820</v>
      </c>
      <c r="J251">
        <v>2017</v>
      </c>
      <c r="K251" t="b">
        <v>0</v>
      </c>
      <c r="X251">
        <v>54.42</v>
      </c>
      <c r="AD251">
        <v>54</v>
      </c>
      <c r="AG251" t="s">
        <v>884</v>
      </c>
      <c r="AH251" t="s">
        <v>885</v>
      </c>
    </row>
    <row r="252" spans="1:34" x14ac:dyDescent="0.35">
      <c r="A252" t="s">
        <v>880</v>
      </c>
      <c r="B252" t="s">
        <v>881</v>
      </c>
      <c r="C252" t="s">
        <v>882</v>
      </c>
      <c r="D252" t="s">
        <v>25</v>
      </c>
      <c r="E252" t="s">
        <v>886</v>
      </c>
      <c r="F252" t="s">
        <v>545</v>
      </c>
      <c r="G252" t="s">
        <v>334</v>
      </c>
      <c r="H252" t="s">
        <v>333</v>
      </c>
      <c r="I252" t="s">
        <v>820</v>
      </c>
      <c r="J252">
        <v>2017</v>
      </c>
      <c r="K252" t="b">
        <v>0</v>
      </c>
      <c r="X252">
        <v>54.02</v>
      </c>
      <c r="AD252">
        <v>54</v>
      </c>
      <c r="AG252" t="s">
        <v>884</v>
      </c>
      <c r="AH252" t="s">
        <v>885</v>
      </c>
    </row>
    <row r="253" spans="1:34" x14ac:dyDescent="0.35">
      <c r="A253" t="s">
        <v>880</v>
      </c>
      <c r="B253" t="s">
        <v>881</v>
      </c>
      <c r="C253" t="s">
        <v>882</v>
      </c>
      <c r="D253" t="s">
        <v>0</v>
      </c>
      <c r="E253" t="s">
        <v>887</v>
      </c>
      <c r="F253" t="s">
        <v>545</v>
      </c>
      <c r="G253" t="s">
        <v>383</v>
      </c>
      <c r="H253" t="s">
        <v>382</v>
      </c>
      <c r="I253" t="s">
        <v>820</v>
      </c>
      <c r="J253">
        <v>2017</v>
      </c>
      <c r="K253" t="b">
        <v>0</v>
      </c>
      <c r="X253">
        <v>54.34</v>
      </c>
      <c r="AD253">
        <v>54</v>
      </c>
      <c r="AG253" t="s">
        <v>884</v>
      </c>
      <c r="AH253" t="s">
        <v>885</v>
      </c>
    </row>
    <row r="254" spans="1:34" x14ac:dyDescent="0.35">
      <c r="A254" t="s">
        <v>880</v>
      </c>
      <c r="B254" t="s">
        <v>881</v>
      </c>
      <c r="C254" t="s">
        <v>882</v>
      </c>
      <c r="D254" t="s">
        <v>0</v>
      </c>
      <c r="E254" t="s">
        <v>887</v>
      </c>
      <c r="F254" t="s">
        <v>545</v>
      </c>
      <c r="G254" t="s">
        <v>110</v>
      </c>
      <c r="H254" t="s">
        <v>109</v>
      </c>
      <c r="I254" t="s">
        <v>820</v>
      </c>
      <c r="J254">
        <v>2017</v>
      </c>
      <c r="K254" t="b">
        <v>0</v>
      </c>
      <c r="X254">
        <v>53.54</v>
      </c>
      <c r="AD254">
        <v>54</v>
      </c>
      <c r="AG254" t="s">
        <v>884</v>
      </c>
      <c r="AH254" t="s">
        <v>885</v>
      </c>
    </row>
    <row r="255" spans="1:34" x14ac:dyDescent="0.35">
      <c r="A255" t="s">
        <v>880</v>
      </c>
      <c r="B255" t="s">
        <v>881</v>
      </c>
      <c r="C255" t="s">
        <v>882</v>
      </c>
      <c r="D255" t="s">
        <v>43</v>
      </c>
      <c r="E255" t="s">
        <v>890</v>
      </c>
      <c r="F255" t="s">
        <v>545</v>
      </c>
      <c r="G255" t="s">
        <v>322</v>
      </c>
      <c r="H255" t="s">
        <v>321</v>
      </c>
      <c r="I255" t="s">
        <v>820</v>
      </c>
      <c r="J255">
        <v>2017</v>
      </c>
      <c r="K255" t="b">
        <v>0</v>
      </c>
      <c r="X255">
        <v>55.24</v>
      </c>
      <c r="AD255">
        <v>55</v>
      </c>
      <c r="AG255" t="s">
        <v>884</v>
      </c>
      <c r="AH255" t="s">
        <v>885</v>
      </c>
    </row>
    <row r="256" spans="1:34" x14ac:dyDescent="0.35">
      <c r="A256" t="s">
        <v>880</v>
      </c>
      <c r="B256" t="s">
        <v>881</v>
      </c>
      <c r="C256" t="s">
        <v>882</v>
      </c>
      <c r="D256" t="s">
        <v>25</v>
      </c>
      <c r="E256" t="s">
        <v>886</v>
      </c>
      <c r="F256" t="s">
        <v>545</v>
      </c>
      <c r="G256" t="s">
        <v>407</v>
      </c>
      <c r="H256" t="s">
        <v>406</v>
      </c>
      <c r="I256" t="s">
        <v>820</v>
      </c>
      <c r="J256">
        <v>2017</v>
      </c>
      <c r="K256" t="b">
        <v>0</v>
      </c>
      <c r="X256">
        <v>55.35</v>
      </c>
      <c r="AD256">
        <v>55</v>
      </c>
      <c r="AG256" t="s">
        <v>884</v>
      </c>
      <c r="AH256" t="s">
        <v>885</v>
      </c>
    </row>
    <row r="257" spans="1:34" x14ac:dyDescent="0.35">
      <c r="A257" t="s">
        <v>880</v>
      </c>
      <c r="B257" t="s">
        <v>881</v>
      </c>
      <c r="C257" t="s">
        <v>882</v>
      </c>
      <c r="D257" t="s">
        <v>0</v>
      </c>
      <c r="E257" t="s">
        <v>887</v>
      </c>
      <c r="F257" t="s">
        <v>545</v>
      </c>
      <c r="G257" t="s">
        <v>171</v>
      </c>
      <c r="H257" t="s">
        <v>170</v>
      </c>
      <c r="I257" t="s">
        <v>820</v>
      </c>
      <c r="J257">
        <v>2017</v>
      </c>
      <c r="K257" t="b">
        <v>0</v>
      </c>
      <c r="X257">
        <v>55.25</v>
      </c>
      <c r="AD257">
        <v>55</v>
      </c>
      <c r="AG257" t="s">
        <v>884</v>
      </c>
      <c r="AH257" t="s">
        <v>885</v>
      </c>
    </row>
    <row r="258" spans="1:34" x14ac:dyDescent="0.35">
      <c r="A258" t="s">
        <v>880</v>
      </c>
      <c r="B258" t="s">
        <v>881</v>
      </c>
      <c r="C258" t="s">
        <v>882</v>
      </c>
      <c r="D258" t="s">
        <v>1</v>
      </c>
      <c r="E258" t="s">
        <v>889</v>
      </c>
      <c r="F258" t="s">
        <v>545</v>
      </c>
      <c r="G258" t="s">
        <v>298</v>
      </c>
      <c r="H258" t="s">
        <v>297</v>
      </c>
      <c r="I258" t="s">
        <v>820</v>
      </c>
      <c r="J258">
        <v>2017</v>
      </c>
      <c r="K258" t="b">
        <v>0</v>
      </c>
      <c r="X258">
        <v>56.01</v>
      </c>
      <c r="AD258">
        <v>56</v>
      </c>
      <c r="AG258" t="s">
        <v>884</v>
      </c>
      <c r="AH258" t="s">
        <v>885</v>
      </c>
    </row>
    <row r="259" spans="1:34" x14ac:dyDescent="0.35">
      <c r="A259" t="s">
        <v>880</v>
      </c>
      <c r="B259" t="s">
        <v>881</v>
      </c>
      <c r="C259" t="s">
        <v>882</v>
      </c>
      <c r="D259" t="s">
        <v>43</v>
      </c>
      <c r="E259" t="s">
        <v>890</v>
      </c>
      <c r="F259" t="s">
        <v>545</v>
      </c>
      <c r="G259" t="s">
        <v>452</v>
      </c>
      <c r="H259" t="s">
        <v>451</v>
      </c>
      <c r="I259" t="s">
        <v>820</v>
      </c>
      <c r="J259">
        <v>2017</v>
      </c>
      <c r="K259" t="b">
        <v>0</v>
      </c>
      <c r="X259">
        <v>55.57</v>
      </c>
      <c r="AD259">
        <v>56</v>
      </c>
      <c r="AG259" t="s">
        <v>884</v>
      </c>
      <c r="AH259" t="s">
        <v>885</v>
      </c>
    </row>
    <row r="260" spans="1:34" x14ac:dyDescent="0.35">
      <c r="A260" t="s">
        <v>880</v>
      </c>
      <c r="B260" t="s">
        <v>881</v>
      </c>
      <c r="C260" t="s">
        <v>882</v>
      </c>
      <c r="D260" t="s">
        <v>4</v>
      </c>
      <c r="E260" t="s">
        <v>883</v>
      </c>
      <c r="F260" t="s">
        <v>545</v>
      </c>
      <c r="G260" t="s">
        <v>520</v>
      </c>
      <c r="H260" t="s">
        <v>519</v>
      </c>
      <c r="I260" t="s">
        <v>820</v>
      </c>
      <c r="J260">
        <v>2017</v>
      </c>
      <c r="K260" t="b">
        <v>0</v>
      </c>
      <c r="X260">
        <v>56.19</v>
      </c>
      <c r="AD260">
        <v>56</v>
      </c>
      <c r="AG260" t="s">
        <v>884</v>
      </c>
      <c r="AH260" t="s">
        <v>885</v>
      </c>
    </row>
    <row r="261" spans="1:34" x14ac:dyDescent="0.35">
      <c r="A261" t="s">
        <v>880</v>
      </c>
      <c r="B261" t="s">
        <v>881</v>
      </c>
      <c r="C261" t="s">
        <v>882</v>
      </c>
      <c r="D261" t="s">
        <v>25</v>
      </c>
      <c r="E261" t="s">
        <v>886</v>
      </c>
      <c r="F261" t="s">
        <v>545</v>
      </c>
      <c r="G261" t="s">
        <v>479</v>
      </c>
      <c r="H261" t="s">
        <v>478</v>
      </c>
      <c r="I261" t="s">
        <v>820</v>
      </c>
      <c r="J261">
        <v>2017</v>
      </c>
      <c r="K261" t="b">
        <v>0</v>
      </c>
      <c r="X261">
        <v>55.71</v>
      </c>
      <c r="AD261">
        <v>56</v>
      </c>
      <c r="AG261" t="s">
        <v>884</v>
      </c>
      <c r="AH261" t="s">
        <v>885</v>
      </c>
    </row>
    <row r="262" spans="1:34" x14ac:dyDescent="0.35">
      <c r="A262" t="s">
        <v>880</v>
      </c>
      <c r="B262" t="s">
        <v>881</v>
      </c>
      <c r="C262" t="s">
        <v>882</v>
      </c>
      <c r="D262" t="s">
        <v>25</v>
      </c>
      <c r="E262" t="s">
        <v>886</v>
      </c>
      <c r="F262" t="s">
        <v>545</v>
      </c>
      <c r="G262" t="s">
        <v>147</v>
      </c>
      <c r="H262" t="s">
        <v>146</v>
      </c>
      <c r="I262" t="s">
        <v>820</v>
      </c>
      <c r="J262">
        <v>2017</v>
      </c>
      <c r="K262" t="b">
        <v>0</v>
      </c>
      <c r="X262">
        <v>56.87</v>
      </c>
      <c r="AD262">
        <v>57</v>
      </c>
      <c r="AG262" t="s">
        <v>884</v>
      </c>
      <c r="AH262" t="s">
        <v>885</v>
      </c>
    </row>
    <row r="263" spans="1:34" x14ac:dyDescent="0.35">
      <c r="A263" t="s">
        <v>880</v>
      </c>
      <c r="B263" t="s">
        <v>881</v>
      </c>
      <c r="C263" t="s">
        <v>882</v>
      </c>
      <c r="D263" t="s">
        <v>43</v>
      </c>
      <c r="E263" t="s">
        <v>890</v>
      </c>
      <c r="F263" t="s">
        <v>545</v>
      </c>
      <c r="G263" t="s">
        <v>319</v>
      </c>
      <c r="H263" t="s">
        <v>318</v>
      </c>
      <c r="I263" t="s">
        <v>820</v>
      </c>
      <c r="J263">
        <v>2017</v>
      </c>
      <c r="K263" t="b">
        <v>0</v>
      </c>
      <c r="X263">
        <v>56.84</v>
      </c>
      <c r="AD263">
        <v>57</v>
      </c>
      <c r="AG263" t="s">
        <v>884</v>
      </c>
      <c r="AH263" t="s">
        <v>885</v>
      </c>
    </row>
    <row r="264" spans="1:34" x14ac:dyDescent="0.35">
      <c r="A264" t="s">
        <v>880</v>
      </c>
      <c r="B264" t="s">
        <v>881</v>
      </c>
      <c r="C264" t="s">
        <v>882</v>
      </c>
      <c r="D264" t="s">
        <v>0</v>
      </c>
      <c r="E264" t="s">
        <v>887</v>
      </c>
      <c r="F264" t="s">
        <v>545</v>
      </c>
      <c r="G264" t="s">
        <v>389</v>
      </c>
      <c r="H264" t="s">
        <v>388</v>
      </c>
      <c r="I264" t="s">
        <v>820</v>
      </c>
      <c r="J264">
        <v>2017</v>
      </c>
      <c r="K264" t="b">
        <v>0</v>
      </c>
      <c r="X264">
        <v>57.74</v>
      </c>
      <c r="AD264">
        <v>58</v>
      </c>
      <c r="AG264" t="s">
        <v>884</v>
      </c>
      <c r="AH264" t="s">
        <v>885</v>
      </c>
    </row>
    <row r="265" spans="1:34" x14ac:dyDescent="0.35">
      <c r="A265" t="s">
        <v>880</v>
      </c>
      <c r="B265" t="s">
        <v>881</v>
      </c>
      <c r="C265" t="s">
        <v>882</v>
      </c>
      <c r="D265" t="s">
        <v>0</v>
      </c>
      <c r="E265" t="s">
        <v>887</v>
      </c>
      <c r="F265" t="s">
        <v>545</v>
      </c>
      <c r="G265" t="s">
        <v>286</v>
      </c>
      <c r="H265" t="s">
        <v>285</v>
      </c>
      <c r="I265" t="s">
        <v>820</v>
      </c>
      <c r="J265">
        <v>2017</v>
      </c>
      <c r="K265" t="b">
        <v>0</v>
      </c>
      <c r="X265">
        <v>58.99</v>
      </c>
      <c r="AD265">
        <v>59</v>
      </c>
      <c r="AG265" t="s">
        <v>884</v>
      </c>
      <c r="AH265" t="s">
        <v>885</v>
      </c>
    </row>
    <row r="266" spans="1:34" x14ac:dyDescent="0.35">
      <c r="A266" t="s">
        <v>880</v>
      </c>
      <c r="B266" t="s">
        <v>881</v>
      </c>
      <c r="C266" t="s">
        <v>882</v>
      </c>
      <c r="D266" t="s">
        <v>25</v>
      </c>
      <c r="E266" t="s">
        <v>886</v>
      </c>
      <c r="F266" t="s">
        <v>545</v>
      </c>
      <c r="G266" t="s">
        <v>374</v>
      </c>
      <c r="H266" t="s">
        <v>373</v>
      </c>
      <c r="I266" t="s">
        <v>820</v>
      </c>
      <c r="J266">
        <v>2017</v>
      </c>
      <c r="K266" t="b">
        <v>0</v>
      </c>
      <c r="X266">
        <v>59.31</v>
      </c>
      <c r="AD266">
        <v>59</v>
      </c>
      <c r="AG266" t="s">
        <v>884</v>
      </c>
      <c r="AH266" t="s">
        <v>885</v>
      </c>
    </row>
    <row r="267" spans="1:34" x14ac:dyDescent="0.35">
      <c r="A267" t="s">
        <v>880</v>
      </c>
      <c r="B267" t="s">
        <v>881</v>
      </c>
      <c r="C267" t="s">
        <v>882</v>
      </c>
      <c r="D267" t="s">
        <v>43</v>
      </c>
      <c r="E267" t="s">
        <v>890</v>
      </c>
      <c r="F267" t="s">
        <v>545</v>
      </c>
      <c r="G267" t="s">
        <v>138</v>
      </c>
      <c r="H267" t="s">
        <v>137</v>
      </c>
      <c r="I267" t="s">
        <v>820</v>
      </c>
      <c r="J267">
        <v>2017</v>
      </c>
      <c r="K267" t="b">
        <v>0</v>
      </c>
      <c r="X267">
        <v>59.7</v>
      </c>
      <c r="AD267">
        <v>60</v>
      </c>
      <c r="AG267" t="s">
        <v>884</v>
      </c>
      <c r="AH267" t="s">
        <v>885</v>
      </c>
    </row>
    <row r="268" spans="1:34" x14ac:dyDescent="0.35">
      <c r="A268" t="s">
        <v>880</v>
      </c>
      <c r="B268" t="s">
        <v>881</v>
      </c>
      <c r="C268" t="s">
        <v>882</v>
      </c>
      <c r="D268" t="s">
        <v>0</v>
      </c>
      <c r="E268" t="s">
        <v>887</v>
      </c>
      <c r="F268" t="s">
        <v>545</v>
      </c>
      <c r="G268" t="s">
        <v>141</v>
      </c>
      <c r="H268" t="s">
        <v>140</v>
      </c>
      <c r="I268" t="s">
        <v>820</v>
      </c>
      <c r="J268">
        <v>2017</v>
      </c>
      <c r="K268" t="b">
        <v>0</v>
      </c>
      <c r="X268">
        <v>59.75</v>
      </c>
      <c r="AD268">
        <v>60</v>
      </c>
      <c r="AG268" t="s">
        <v>884</v>
      </c>
      <c r="AH268" t="s">
        <v>885</v>
      </c>
    </row>
    <row r="269" spans="1:34" x14ac:dyDescent="0.35">
      <c r="A269" t="s">
        <v>880</v>
      </c>
      <c r="B269" t="s">
        <v>881</v>
      </c>
      <c r="C269" t="s">
        <v>882</v>
      </c>
      <c r="D269" t="s">
        <v>1</v>
      </c>
      <c r="E269" t="s">
        <v>889</v>
      </c>
      <c r="F269" t="s">
        <v>545</v>
      </c>
      <c r="G269" t="s">
        <v>313</v>
      </c>
      <c r="H269" t="s">
        <v>312</v>
      </c>
      <c r="I269" t="s">
        <v>820</v>
      </c>
      <c r="J269">
        <v>2017</v>
      </c>
      <c r="K269" t="b">
        <v>0</v>
      </c>
      <c r="X269">
        <v>60.39</v>
      </c>
      <c r="AD269">
        <v>60</v>
      </c>
      <c r="AG269" t="s">
        <v>884</v>
      </c>
      <c r="AH269" t="s">
        <v>885</v>
      </c>
    </row>
    <row r="270" spans="1:34" x14ac:dyDescent="0.35">
      <c r="A270" t="s">
        <v>880</v>
      </c>
      <c r="B270" t="s">
        <v>881</v>
      </c>
      <c r="C270" t="s">
        <v>882</v>
      </c>
      <c r="D270" t="s">
        <v>4</v>
      </c>
      <c r="E270" t="s">
        <v>883</v>
      </c>
      <c r="F270" t="s">
        <v>545</v>
      </c>
      <c r="G270" t="s">
        <v>509</v>
      </c>
      <c r="H270" t="s">
        <v>508</v>
      </c>
      <c r="I270" t="s">
        <v>820</v>
      </c>
      <c r="J270">
        <v>2017</v>
      </c>
      <c r="K270" t="b">
        <v>0</v>
      </c>
      <c r="X270">
        <v>59.52</v>
      </c>
      <c r="AD270">
        <v>60</v>
      </c>
      <c r="AG270" t="s">
        <v>884</v>
      </c>
      <c r="AH270" t="s">
        <v>885</v>
      </c>
    </row>
    <row r="271" spans="1:34" x14ac:dyDescent="0.35">
      <c r="A271" t="s">
        <v>880</v>
      </c>
      <c r="B271" t="s">
        <v>881</v>
      </c>
      <c r="C271" t="s">
        <v>882</v>
      </c>
      <c r="D271" t="s">
        <v>1</v>
      </c>
      <c r="E271" t="s">
        <v>889</v>
      </c>
      <c r="F271" t="s">
        <v>545</v>
      </c>
      <c r="G271" t="s">
        <v>395</v>
      </c>
      <c r="H271" t="s">
        <v>394</v>
      </c>
      <c r="I271" t="s">
        <v>820</v>
      </c>
      <c r="J271">
        <v>2017</v>
      </c>
      <c r="K271" t="b">
        <v>0</v>
      </c>
      <c r="X271">
        <v>60.24</v>
      </c>
      <c r="AD271">
        <v>60</v>
      </c>
      <c r="AG271" t="s">
        <v>884</v>
      </c>
      <c r="AH271" t="s">
        <v>885</v>
      </c>
    </row>
    <row r="272" spans="1:34" x14ac:dyDescent="0.35">
      <c r="A272" t="s">
        <v>880</v>
      </c>
      <c r="B272" t="s">
        <v>881</v>
      </c>
      <c r="C272" t="s">
        <v>882</v>
      </c>
      <c r="D272" t="s">
        <v>25</v>
      </c>
      <c r="E272" t="s">
        <v>886</v>
      </c>
      <c r="F272" t="s">
        <v>545</v>
      </c>
      <c r="G272" t="s">
        <v>48</v>
      </c>
      <c r="H272" t="s">
        <v>47</v>
      </c>
      <c r="I272" t="s">
        <v>820</v>
      </c>
      <c r="J272">
        <v>2017</v>
      </c>
      <c r="K272" t="b">
        <v>0</v>
      </c>
      <c r="X272">
        <v>60.08</v>
      </c>
      <c r="AD272">
        <v>60</v>
      </c>
      <c r="AG272" t="s">
        <v>884</v>
      </c>
      <c r="AH272" t="s">
        <v>885</v>
      </c>
    </row>
    <row r="273" spans="1:34" x14ac:dyDescent="0.35">
      <c r="A273" t="s">
        <v>880</v>
      </c>
      <c r="B273" t="s">
        <v>881</v>
      </c>
      <c r="C273" t="s">
        <v>882</v>
      </c>
      <c r="D273" t="s">
        <v>4</v>
      </c>
      <c r="E273" t="s">
        <v>883</v>
      </c>
      <c r="F273" t="s">
        <v>545</v>
      </c>
      <c r="G273" t="s">
        <v>99</v>
      </c>
      <c r="H273" t="s">
        <v>98</v>
      </c>
      <c r="I273" t="s">
        <v>820</v>
      </c>
      <c r="J273">
        <v>2017</v>
      </c>
      <c r="K273" t="b">
        <v>0</v>
      </c>
      <c r="X273">
        <v>60.7</v>
      </c>
      <c r="AD273">
        <v>61</v>
      </c>
      <c r="AG273" t="s">
        <v>884</v>
      </c>
      <c r="AH273" t="s">
        <v>885</v>
      </c>
    </row>
    <row r="274" spans="1:34" x14ac:dyDescent="0.35">
      <c r="A274" t="s">
        <v>880</v>
      </c>
      <c r="B274" t="s">
        <v>881</v>
      </c>
      <c r="C274" t="s">
        <v>882</v>
      </c>
      <c r="D274" t="s">
        <v>0</v>
      </c>
      <c r="E274" t="s">
        <v>887</v>
      </c>
      <c r="F274" t="s">
        <v>545</v>
      </c>
      <c r="G274" t="s">
        <v>210</v>
      </c>
      <c r="H274" t="s">
        <v>209</v>
      </c>
      <c r="I274" t="s">
        <v>820</v>
      </c>
      <c r="J274">
        <v>2017</v>
      </c>
      <c r="K274" t="b">
        <v>0</v>
      </c>
      <c r="X274">
        <v>61.17</v>
      </c>
      <c r="AD274">
        <v>61</v>
      </c>
      <c r="AG274" t="s">
        <v>884</v>
      </c>
      <c r="AH274" t="s">
        <v>885</v>
      </c>
    </row>
    <row r="275" spans="1:34" x14ac:dyDescent="0.35">
      <c r="A275" t="s">
        <v>880</v>
      </c>
      <c r="B275" t="s">
        <v>881</v>
      </c>
      <c r="C275" t="s">
        <v>882</v>
      </c>
      <c r="D275" t="s">
        <v>20</v>
      </c>
      <c r="E275" t="s">
        <v>789</v>
      </c>
      <c r="F275" t="s">
        <v>545</v>
      </c>
      <c r="G275" t="s">
        <v>213</v>
      </c>
      <c r="H275" t="s">
        <v>212</v>
      </c>
      <c r="I275" t="s">
        <v>820</v>
      </c>
      <c r="J275">
        <v>2017</v>
      </c>
      <c r="K275" t="b">
        <v>0</v>
      </c>
      <c r="X275">
        <v>61.72</v>
      </c>
      <c r="AD275">
        <v>62</v>
      </c>
      <c r="AG275" t="s">
        <v>884</v>
      </c>
      <c r="AH275" t="s">
        <v>885</v>
      </c>
    </row>
    <row r="276" spans="1:34" x14ac:dyDescent="0.35">
      <c r="A276" t="s">
        <v>880</v>
      </c>
      <c r="B276" t="s">
        <v>881</v>
      </c>
      <c r="C276" t="s">
        <v>882</v>
      </c>
      <c r="D276" t="s">
        <v>20</v>
      </c>
      <c r="E276" t="s">
        <v>789</v>
      </c>
      <c r="F276" t="s">
        <v>545</v>
      </c>
      <c r="G276" t="s">
        <v>225</v>
      </c>
      <c r="H276" t="s">
        <v>224</v>
      </c>
      <c r="I276" t="s">
        <v>820</v>
      </c>
      <c r="J276">
        <v>2017</v>
      </c>
      <c r="K276" t="b">
        <v>0</v>
      </c>
      <c r="X276">
        <v>63.27</v>
      </c>
      <c r="AD276">
        <v>63</v>
      </c>
      <c r="AG276" t="s">
        <v>884</v>
      </c>
      <c r="AH276" t="s">
        <v>885</v>
      </c>
    </row>
    <row r="277" spans="1:34" x14ac:dyDescent="0.35">
      <c r="A277" t="s">
        <v>880</v>
      </c>
      <c r="B277" t="s">
        <v>881</v>
      </c>
      <c r="C277" t="s">
        <v>882</v>
      </c>
      <c r="D277" t="s">
        <v>0</v>
      </c>
      <c r="E277" t="s">
        <v>887</v>
      </c>
      <c r="F277" t="s">
        <v>545</v>
      </c>
      <c r="G277" t="s">
        <v>39</v>
      </c>
      <c r="H277" t="s">
        <v>38</v>
      </c>
      <c r="I277" t="s">
        <v>820</v>
      </c>
      <c r="J277">
        <v>2017</v>
      </c>
      <c r="K277" t="b">
        <v>0</v>
      </c>
      <c r="X277">
        <v>62.73</v>
      </c>
      <c r="AD277">
        <v>63</v>
      </c>
      <c r="AG277" t="s">
        <v>884</v>
      </c>
      <c r="AH277" t="s">
        <v>885</v>
      </c>
    </row>
    <row r="278" spans="1:34" x14ac:dyDescent="0.35">
      <c r="A278" t="s">
        <v>880</v>
      </c>
      <c r="B278" t="s">
        <v>881</v>
      </c>
      <c r="C278" t="s">
        <v>882</v>
      </c>
      <c r="D278" t="s">
        <v>0</v>
      </c>
      <c r="E278" t="s">
        <v>887</v>
      </c>
      <c r="F278" t="s">
        <v>545</v>
      </c>
      <c r="G278" t="s">
        <v>183</v>
      </c>
      <c r="H278" t="s">
        <v>182</v>
      </c>
      <c r="I278" t="s">
        <v>820</v>
      </c>
      <c r="J278">
        <v>2017</v>
      </c>
      <c r="K278" t="b">
        <v>0</v>
      </c>
      <c r="X278">
        <v>62.79</v>
      </c>
      <c r="AD278">
        <v>63</v>
      </c>
      <c r="AG278" t="s">
        <v>884</v>
      </c>
      <c r="AH278" t="s">
        <v>885</v>
      </c>
    </row>
    <row r="279" spans="1:34" x14ac:dyDescent="0.35">
      <c r="A279" t="s">
        <v>880</v>
      </c>
      <c r="B279" t="s">
        <v>881</v>
      </c>
      <c r="C279" t="s">
        <v>882</v>
      </c>
      <c r="D279" t="s">
        <v>1</v>
      </c>
      <c r="E279" t="s">
        <v>889</v>
      </c>
      <c r="F279" t="s">
        <v>545</v>
      </c>
      <c r="G279" t="s">
        <v>58</v>
      </c>
      <c r="H279" t="s">
        <v>57</v>
      </c>
      <c r="I279" t="s">
        <v>820</v>
      </c>
      <c r="J279">
        <v>2017</v>
      </c>
      <c r="K279" t="b">
        <v>0</v>
      </c>
      <c r="X279">
        <v>63.67</v>
      </c>
      <c r="AD279">
        <v>64</v>
      </c>
      <c r="AG279" t="s">
        <v>884</v>
      </c>
      <c r="AH279" t="s">
        <v>885</v>
      </c>
    </row>
    <row r="280" spans="1:34" x14ac:dyDescent="0.35">
      <c r="A280" t="s">
        <v>880</v>
      </c>
      <c r="B280" t="s">
        <v>881</v>
      </c>
      <c r="C280" t="s">
        <v>882</v>
      </c>
      <c r="D280" t="s">
        <v>25</v>
      </c>
      <c r="E280" t="s">
        <v>886</v>
      </c>
      <c r="F280" t="s">
        <v>545</v>
      </c>
      <c r="G280" t="s">
        <v>366</v>
      </c>
      <c r="H280" t="s">
        <v>365</v>
      </c>
      <c r="I280" t="s">
        <v>820</v>
      </c>
      <c r="J280">
        <v>2017</v>
      </c>
      <c r="K280" t="b">
        <v>0</v>
      </c>
      <c r="X280">
        <v>63.68</v>
      </c>
      <c r="AD280">
        <v>64</v>
      </c>
      <c r="AG280" t="s">
        <v>884</v>
      </c>
      <c r="AH280" t="s">
        <v>885</v>
      </c>
    </row>
    <row r="281" spans="1:34" x14ac:dyDescent="0.35">
      <c r="A281" t="s">
        <v>880</v>
      </c>
      <c r="B281" t="s">
        <v>881</v>
      </c>
      <c r="C281" t="s">
        <v>882</v>
      </c>
      <c r="D281" t="s">
        <v>43</v>
      </c>
      <c r="E281" t="s">
        <v>890</v>
      </c>
      <c r="F281" t="s">
        <v>545</v>
      </c>
      <c r="G281" t="s">
        <v>56</v>
      </c>
      <c r="H281" t="s">
        <v>55</v>
      </c>
      <c r="I281" t="s">
        <v>820</v>
      </c>
      <c r="J281">
        <v>2017</v>
      </c>
      <c r="K281" t="b">
        <v>0</v>
      </c>
      <c r="X281">
        <v>63.61</v>
      </c>
      <c r="AD281">
        <v>64</v>
      </c>
      <c r="AG281" t="s">
        <v>884</v>
      </c>
      <c r="AH281" t="s">
        <v>885</v>
      </c>
    </row>
    <row r="282" spans="1:34" x14ac:dyDescent="0.35">
      <c r="A282" t="s">
        <v>880</v>
      </c>
      <c r="B282" t="s">
        <v>881</v>
      </c>
      <c r="C282" t="s">
        <v>882</v>
      </c>
      <c r="D282" t="s">
        <v>1</v>
      </c>
      <c r="E282" t="s">
        <v>889</v>
      </c>
      <c r="F282" t="s">
        <v>545</v>
      </c>
      <c r="G282" t="s">
        <v>16</v>
      </c>
      <c r="H282" t="s">
        <v>15</v>
      </c>
      <c r="I282" t="s">
        <v>820</v>
      </c>
      <c r="J282">
        <v>2017</v>
      </c>
      <c r="K282" t="b">
        <v>0</v>
      </c>
      <c r="X282">
        <v>64.91</v>
      </c>
      <c r="AD282">
        <v>65</v>
      </c>
      <c r="AG282" t="s">
        <v>884</v>
      </c>
      <c r="AH282" t="s">
        <v>885</v>
      </c>
    </row>
    <row r="283" spans="1:34" x14ac:dyDescent="0.35">
      <c r="A283" t="s">
        <v>880</v>
      </c>
      <c r="B283" t="s">
        <v>881</v>
      </c>
      <c r="C283" t="s">
        <v>882</v>
      </c>
      <c r="D283" t="s">
        <v>1</v>
      </c>
      <c r="E283" t="s">
        <v>889</v>
      </c>
      <c r="F283" t="s">
        <v>545</v>
      </c>
      <c r="G283" t="s">
        <v>199</v>
      </c>
      <c r="H283" t="s">
        <v>198</v>
      </c>
      <c r="I283" t="s">
        <v>820</v>
      </c>
      <c r="J283">
        <v>2017</v>
      </c>
      <c r="K283" t="b">
        <v>0</v>
      </c>
      <c r="X283">
        <v>64.930000000000007</v>
      </c>
      <c r="AD283">
        <v>65</v>
      </c>
      <c r="AG283" t="s">
        <v>884</v>
      </c>
      <c r="AH283" t="s">
        <v>885</v>
      </c>
    </row>
    <row r="284" spans="1:34" x14ac:dyDescent="0.35">
      <c r="A284" t="s">
        <v>880</v>
      </c>
      <c r="B284" t="s">
        <v>881</v>
      </c>
      <c r="C284" t="s">
        <v>882</v>
      </c>
      <c r="D284" t="s">
        <v>20</v>
      </c>
      <c r="E284" t="s">
        <v>789</v>
      </c>
      <c r="F284" t="s">
        <v>545</v>
      </c>
      <c r="G284" t="s">
        <v>22</v>
      </c>
      <c r="H284" t="s">
        <v>21</v>
      </c>
      <c r="I284" t="s">
        <v>820</v>
      </c>
      <c r="J284">
        <v>2017</v>
      </c>
      <c r="K284" t="b">
        <v>0</v>
      </c>
      <c r="X284">
        <v>64.83</v>
      </c>
      <c r="AD284">
        <v>65</v>
      </c>
      <c r="AG284" t="s">
        <v>884</v>
      </c>
      <c r="AH284" t="s">
        <v>885</v>
      </c>
    </row>
    <row r="285" spans="1:34" x14ac:dyDescent="0.35">
      <c r="A285" t="s">
        <v>880</v>
      </c>
      <c r="B285" t="s">
        <v>881</v>
      </c>
      <c r="C285" t="s">
        <v>882</v>
      </c>
      <c r="D285" t="s">
        <v>4</v>
      </c>
      <c r="E285" t="s">
        <v>883</v>
      </c>
      <c r="F285" t="s">
        <v>545</v>
      </c>
      <c r="G285" t="s">
        <v>7</v>
      </c>
      <c r="H285" t="s">
        <v>6</v>
      </c>
      <c r="I285" t="s">
        <v>820</v>
      </c>
      <c r="J285">
        <v>2017</v>
      </c>
      <c r="K285" t="b">
        <v>0</v>
      </c>
      <c r="X285">
        <v>64.92</v>
      </c>
      <c r="AD285">
        <v>65</v>
      </c>
      <c r="AG285" t="s">
        <v>884</v>
      </c>
      <c r="AH285" t="s">
        <v>885</v>
      </c>
    </row>
    <row r="286" spans="1:34" x14ac:dyDescent="0.35">
      <c r="A286" t="s">
        <v>880</v>
      </c>
      <c r="B286" t="s">
        <v>881</v>
      </c>
      <c r="C286" t="s">
        <v>882</v>
      </c>
      <c r="D286" t="s">
        <v>20</v>
      </c>
      <c r="E286" t="s">
        <v>789</v>
      </c>
      <c r="F286" t="s">
        <v>545</v>
      </c>
      <c r="G286" t="s">
        <v>91</v>
      </c>
      <c r="H286" t="s">
        <v>90</v>
      </c>
      <c r="I286" t="s">
        <v>820</v>
      </c>
      <c r="J286">
        <v>2017</v>
      </c>
      <c r="K286" t="b">
        <v>0</v>
      </c>
      <c r="X286">
        <v>65.23</v>
      </c>
      <c r="AD286">
        <v>65</v>
      </c>
      <c r="AG286" t="s">
        <v>884</v>
      </c>
      <c r="AH286" t="s">
        <v>885</v>
      </c>
    </row>
    <row r="287" spans="1:34" x14ac:dyDescent="0.35">
      <c r="A287" t="s">
        <v>880</v>
      </c>
      <c r="B287" t="s">
        <v>881</v>
      </c>
      <c r="C287" t="s">
        <v>882</v>
      </c>
      <c r="D287" t="s">
        <v>20</v>
      </c>
      <c r="E287" t="s">
        <v>789</v>
      </c>
      <c r="F287" t="s">
        <v>545</v>
      </c>
      <c r="G287" t="s">
        <v>185</v>
      </c>
      <c r="H287" t="s">
        <v>184</v>
      </c>
      <c r="I287" t="s">
        <v>820</v>
      </c>
      <c r="J287">
        <v>2017</v>
      </c>
      <c r="K287" t="b">
        <v>0</v>
      </c>
      <c r="X287">
        <v>65.319999999999993</v>
      </c>
      <c r="AD287">
        <v>65</v>
      </c>
      <c r="AG287" t="s">
        <v>884</v>
      </c>
      <c r="AH287" t="s">
        <v>885</v>
      </c>
    </row>
    <row r="288" spans="1:34" x14ac:dyDescent="0.35">
      <c r="A288" t="s">
        <v>880</v>
      </c>
      <c r="B288" t="s">
        <v>881</v>
      </c>
      <c r="C288" t="s">
        <v>882</v>
      </c>
      <c r="D288" t="s">
        <v>20</v>
      </c>
      <c r="E288" t="s">
        <v>789</v>
      </c>
      <c r="F288" t="s">
        <v>545</v>
      </c>
      <c r="G288" t="s">
        <v>440</v>
      </c>
      <c r="H288" t="s">
        <v>439</v>
      </c>
      <c r="I288" t="s">
        <v>820</v>
      </c>
      <c r="J288">
        <v>2017</v>
      </c>
      <c r="K288" t="b">
        <v>0</v>
      </c>
      <c r="X288">
        <v>64.52</v>
      </c>
      <c r="AD288">
        <v>65</v>
      </c>
      <c r="AG288" t="s">
        <v>884</v>
      </c>
      <c r="AH288" t="s">
        <v>885</v>
      </c>
    </row>
    <row r="289" spans="1:34" x14ac:dyDescent="0.35">
      <c r="A289" t="s">
        <v>880</v>
      </c>
      <c r="B289" t="s">
        <v>881</v>
      </c>
      <c r="C289" t="s">
        <v>882</v>
      </c>
      <c r="D289" t="s">
        <v>1</v>
      </c>
      <c r="E289" t="s">
        <v>889</v>
      </c>
      <c r="F289" t="s">
        <v>545</v>
      </c>
      <c r="G289" t="s">
        <v>34</v>
      </c>
      <c r="H289" t="s">
        <v>33</v>
      </c>
      <c r="I289" t="s">
        <v>820</v>
      </c>
      <c r="J289">
        <v>2017</v>
      </c>
      <c r="K289" t="b">
        <v>0</v>
      </c>
      <c r="X289">
        <v>65.709999999999994</v>
      </c>
      <c r="AD289">
        <v>66</v>
      </c>
      <c r="AG289" t="s">
        <v>884</v>
      </c>
      <c r="AH289" t="s">
        <v>885</v>
      </c>
    </row>
    <row r="290" spans="1:34" x14ac:dyDescent="0.35">
      <c r="A290" t="s">
        <v>880</v>
      </c>
      <c r="B290" t="s">
        <v>881</v>
      </c>
      <c r="C290" t="s">
        <v>882</v>
      </c>
      <c r="D290" t="s">
        <v>20</v>
      </c>
      <c r="E290" t="s">
        <v>789</v>
      </c>
      <c r="F290" t="s">
        <v>545</v>
      </c>
      <c r="G290" t="s">
        <v>368</v>
      </c>
      <c r="H290" t="s">
        <v>367</v>
      </c>
      <c r="I290" t="s">
        <v>820</v>
      </c>
      <c r="J290">
        <v>2017</v>
      </c>
      <c r="K290" t="b">
        <v>0</v>
      </c>
      <c r="X290">
        <v>65.53</v>
      </c>
      <c r="AD290">
        <v>66</v>
      </c>
      <c r="AG290" t="s">
        <v>884</v>
      </c>
      <c r="AH290" t="s">
        <v>885</v>
      </c>
    </row>
    <row r="291" spans="1:34" x14ac:dyDescent="0.35">
      <c r="A291" t="s">
        <v>880</v>
      </c>
      <c r="B291" t="s">
        <v>881</v>
      </c>
      <c r="C291" t="s">
        <v>882</v>
      </c>
      <c r="D291" t="s">
        <v>25</v>
      </c>
      <c r="E291" t="s">
        <v>886</v>
      </c>
      <c r="F291" t="s">
        <v>545</v>
      </c>
      <c r="G291" t="s">
        <v>431</v>
      </c>
      <c r="H291" t="s">
        <v>430</v>
      </c>
      <c r="I291" t="s">
        <v>820</v>
      </c>
      <c r="J291">
        <v>2017</v>
      </c>
      <c r="K291" t="b">
        <v>0</v>
      </c>
      <c r="X291">
        <v>66.11</v>
      </c>
      <c r="AD291">
        <v>66</v>
      </c>
      <c r="AG291" t="s">
        <v>884</v>
      </c>
      <c r="AH291" t="s">
        <v>885</v>
      </c>
    </row>
    <row r="292" spans="1:34" x14ac:dyDescent="0.35">
      <c r="A292" t="s">
        <v>880</v>
      </c>
      <c r="B292" t="s">
        <v>881</v>
      </c>
      <c r="C292" t="s">
        <v>882</v>
      </c>
      <c r="D292" t="s">
        <v>20</v>
      </c>
      <c r="E292" t="s">
        <v>789</v>
      </c>
      <c r="F292" t="s">
        <v>545</v>
      </c>
      <c r="G292" t="s">
        <v>237</v>
      </c>
      <c r="H292" t="s">
        <v>236</v>
      </c>
      <c r="I292" t="s">
        <v>820</v>
      </c>
      <c r="J292">
        <v>2017</v>
      </c>
      <c r="K292" t="b">
        <v>0</v>
      </c>
      <c r="X292">
        <v>67.2</v>
      </c>
      <c r="AD292">
        <v>67</v>
      </c>
      <c r="AG292" t="s">
        <v>884</v>
      </c>
      <c r="AH292" t="s">
        <v>885</v>
      </c>
    </row>
    <row r="293" spans="1:34" x14ac:dyDescent="0.35">
      <c r="A293" t="s">
        <v>880</v>
      </c>
      <c r="B293" t="s">
        <v>881</v>
      </c>
      <c r="C293" t="s">
        <v>882</v>
      </c>
      <c r="D293" t="s">
        <v>20</v>
      </c>
      <c r="E293" t="s">
        <v>789</v>
      </c>
      <c r="F293" t="s">
        <v>545</v>
      </c>
      <c r="G293" t="s">
        <v>348</v>
      </c>
      <c r="H293" t="s">
        <v>347</v>
      </c>
      <c r="I293" t="s">
        <v>820</v>
      </c>
      <c r="J293">
        <v>2017</v>
      </c>
      <c r="K293" t="b">
        <v>0</v>
      </c>
      <c r="X293">
        <v>66.88</v>
      </c>
      <c r="AD293">
        <v>67</v>
      </c>
      <c r="AG293" t="s">
        <v>884</v>
      </c>
      <c r="AH293" t="s">
        <v>885</v>
      </c>
    </row>
    <row r="294" spans="1:34" x14ac:dyDescent="0.35">
      <c r="A294" t="s">
        <v>880</v>
      </c>
      <c r="B294" t="s">
        <v>881</v>
      </c>
      <c r="C294" t="s">
        <v>882</v>
      </c>
      <c r="D294" t="s">
        <v>20</v>
      </c>
      <c r="E294" t="s">
        <v>789</v>
      </c>
      <c r="F294" t="s">
        <v>545</v>
      </c>
      <c r="G294" t="s">
        <v>386</v>
      </c>
      <c r="H294" t="s">
        <v>676</v>
      </c>
      <c r="I294" t="s">
        <v>820</v>
      </c>
      <c r="J294">
        <v>2017</v>
      </c>
      <c r="K294" t="b">
        <v>0</v>
      </c>
      <c r="X294">
        <v>67.319999999999993</v>
      </c>
      <c r="AD294">
        <v>67</v>
      </c>
      <c r="AG294" t="s">
        <v>884</v>
      </c>
      <c r="AH294" t="s">
        <v>885</v>
      </c>
    </row>
    <row r="295" spans="1:34" x14ac:dyDescent="0.35">
      <c r="A295" t="s">
        <v>880</v>
      </c>
      <c r="B295" t="s">
        <v>881</v>
      </c>
      <c r="C295" t="s">
        <v>882</v>
      </c>
      <c r="D295" t="s">
        <v>20</v>
      </c>
      <c r="E295" t="s">
        <v>789</v>
      </c>
      <c r="F295" t="s">
        <v>545</v>
      </c>
      <c r="G295" t="s">
        <v>219</v>
      </c>
      <c r="H295" t="s">
        <v>218</v>
      </c>
      <c r="I295" t="s">
        <v>820</v>
      </c>
      <c r="J295">
        <v>2017</v>
      </c>
      <c r="K295" t="b">
        <v>0</v>
      </c>
      <c r="X295">
        <v>67.61</v>
      </c>
      <c r="AD295">
        <v>68</v>
      </c>
      <c r="AG295" t="s">
        <v>884</v>
      </c>
      <c r="AH295" t="s">
        <v>885</v>
      </c>
    </row>
    <row r="296" spans="1:34" x14ac:dyDescent="0.35">
      <c r="A296" t="s">
        <v>880</v>
      </c>
      <c r="B296" t="s">
        <v>881</v>
      </c>
      <c r="C296" t="s">
        <v>882</v>
      </c>
      <c r="D296" t="s">
        <v>25</v>
      </c>
      <c r="E296" t="s">
        <v>886</v>
      </c>
      <c r="F296" t="s">
        <v>545</v>
      </c>
      <c r="G296" t="s">
        <v>243</v>
      </c>
      <c r="H296" t="s">
        <v>242</v>
      </c>
      <c r="I296" t="s">
        <v>820</v>
      </c>
      <c r="J296">
        <v>2017</v>
      </c>
      <c r="K296" t="b">
        <v>0</v>
      </c>
      <c r="X296">
        <v>67.73</v>
      </c>
      <c r="AD296">
        <v>68</v>
      </c>
      <c r="AG296" t="s">
        <v>884</v>
      </c>
      <c r="AH296" t="s">
        <v>885</v>
      </c>
    </row>
    <row r="297" spans="1:34" x14ac:dyDescent="0.35">
      <c r="A297" t="s">
        <v>880</v>
      </c>
      <c r="B297" t="s">
        <v>881</v>
      </c>
      <c r="C297" t="s">
        <v>882</v>
      </c>
      <c r="D297" t="s">
        <v>43</v>
      </c>
      <c r="E297" t="s">
        <v>890</v>
      </c>
      <c r="F297" t="s">
        <v>545</v>
      </c>
      <c r="G297" t="s">
        <v>45</v>
      </c>
      <c r="H297" t="s">
        <v>44</v>
      </c>
      <c r="I297" t="s">
        <v>820</v>
      </c>
      <c r="J297">
        <v>2017</v>
      </c>
      <c r="K297" t="b">
        <v>0</v>
      </c>
      <c r="X297">
        <v>67.98</v>
      </c>
      <c r="AD297">
        <v>68</v>
      </c>
      <c r="AG297" t="s">
        <v>884</v>
      </c>
      <c r="AH297" t="s">
        <v>885</v>
      </c>
    </row>
    <row r="298" spans="1:34" x14ac:dyDescent="0.35">
      <c r="A298" t="s">
        <v>880</v>
      </c>
      <c r="B298" t="s">
        <v>881</v>
      </c>
      <c r="C298" t="s">
        <v>882</v>
      </c>
      <c r="D298" t="s">
        <v>4</v>
      </c>
      <c r="E298" t="s">
        <v>883</v>
      </c>
      <c r="F298" t="s">
        <v>545</v>
      </c>
      <c r="G298" t="s">
        <v>506</v>
      </c>
      <c r="H298" t="s">
        <v>505</v>
      </c>
      <c r="I298" t="s">
        <v>820</v>
      </c>
      <c r="J298">
        <v>2017</v>
      </c>
      <c r="K298" t="b">
        <v>0</v>
      </c>
      <c r="X298">
        <v>67.95</v>
      </c>
      <c r="AD298">
        <v>68</v>
      </c>
      <c r="AG298" t="s">
        <v>884</v>
      </c>
      <c r="AH298" t="s">
        <v>885</v>
      </c>
    </row>
    <row r="299" spans="1:34" x14ac:dyDescent="0.35">
      <c r="A299" t="s">
        <v>880</v>
      </c>
      <c r="B299" t="s">
        <v>881</v>
      </c>
      <c r="C299" t="s">
        <v>882</v>
      </c>
      <c r="D299" t="s">
        <v>1</v>
      </c>
      <c r="E299" t="s">
        <v>889</v>
      </c>
      <c r="F299" t="s">
        <v>545</v>
      </c>
      <c r="G299" t="s">
        <v>380</v>
      </c>
      <c r="H299" t="s">
        <v>379</v>
      </c>
      <c r="I299" t="s">
        <v>820</v>
      </c>
      <c r="J299">
        <v>2017</v>
      </c>
      <c r="K299" t="b">
        <v>0</v>
      </c>
      <c r="X299">
        <v>68.2</v>
      </c>
      <c r="AD299">
        <v>68</v>
      </c>
      <c r="AG299" t="s">
        <v>884</v>
      </c>
      <c r="AH299" t="s">
        <v>885</v>
      </c>
    </row>
    <row r="300" spans="1:34" x14ac:dyDescent="0.35">
      <c r="A300" t="s">
        <v>880</v>
      </c>
      <c r="B300" t="s">
        <v>881</v>
      </c>
      <c r="C300" t="s">
        <v>882</v>
      </c>
      <c r="D300" t="s">
        <v>25</v>
      </c>
      <c r="E300" t="s">
        <v>886</v>
      </c>
      <c r="F300" t="s">
        <v>545</v>
      </c>
      <c r="G300" t="s">
        <v>419</v>
      </c>
      <c r="H300" t="s">
        <v>418</v>
      </c>
      <c r="I300" t="s">
        <v>820</v>
      </c>
      <c r="J300">
        <v>2017</v>
      </c>
      <c r="K300" t="b">
        <v>0</v>
      </c>
      <c r="X300">
        <v>67.88</v>
      </c>
      <c r="AD300">
        <v>68</v>
      </c>
      <c r="AG300" t="s">
        <v>884</v>
      </c>
      <c r="AH300" t="s">
        <v>885</v>
      </c>
    </row>
    <row r="301" spans="1:34" x14ac:dyDescent="0.35">
      <c r="A301" t="s">
        <v>880</v>
      </c>
      <c r="B301" t="s">
        <v>881</v>
      </c>
      <c r="C301" t="s">
        <v>882</v>
      </c>
      <c r="D301" t="s">
        <v>1</v>
      </c>
      <c r="E301" t="s">
        <v>889</v>
      </c>
      <c r="F301" t="s">
        <v>545</v>
      </c>
      <c r="G301" t="s">
        <v>437</v>
      </c>
      <c r="H301" t="s">
        <v>436</v>
      </c>
      <c r="I301" t="s">
        <v>820</v>
      </c>
      <c r="J301">
        <v>2017</v>
      </c>
      <c r="K301" t="b">
        <v>0</v>
      </c>
      <c r="X301">
        <v>67.84</v>
      </c>
      <c r="AD301">
        <v>68</v>
      </c>
      <c r="AG301" t="s">
        <v>884</v>
      </c>
      <c r="AH301" t="s">
        <v>885</v>
      </c>
    </row>
    <row r="302" spans="1:34" x14ac:dyDescent="0.35">
      <c r="A302" t="s">
        <v>880</v>
      </c>
      <c r="B302" t="s">
        <v>881</v>
      </c>
      <c r="C302" t="s">
        <v>882</v>
      </c>
      <c r="D302" t="s">
        <v>4</v>
      </c>
      <c r="E302" t="s">
        <v>883</v>
      </c>
      <c r="F302" t="s">
        <v>545</v>
      </c>
      <c r="G302" t="s">
        <v>458</v>
      </c>
      <c r="H302" t="s">
        <v>457</v>
      </c>
      <c r="I302" t="s">
        <v>820</v>
      </c>
      <c r="J302">
        <v>2017</v>
      </c>
      <c r="K302" t="b">
        <v>0</v>
      </c>
      <c r="X302">
        <v>67.59</v>
      </c>
      <c r="AD302">
        <v>68</v>
      </c>
      <c r="AG302" t="s">
        <v>884</v>
      </c>
      <c r="AH302" t="s">
        <v>885</v>
      </c>
    </row>
    <row r="303" spans="1:34" x14ac:dyDescent="0.35">
      <c r="A303" t="s">
        <v>880</v>
      </c>
      <c r="B303" t="s">
        <v>881</v>
      </c>
      <c r="C303" t="s">
        <v>882</v>
      </c>
      <c r="D303" t="s">
        <v>0</v>
      </c>
      <c r="E303" t="s">
        <v>887</v>
      </c>
      <c r="F303" t="s">
        <v>545</v>
      </c>
      <c r="G303" t="s">
        <v>495</v>
      </c>
      <c r="H303" t="s">
        <v>494</v>
      </c>
      <c r="I303" t="s">
        <v>820</v>
      </c>
      <c r="J303">
        <v>2017</v>
      </c>
      <c r="K303" t="b">
        <v>0</v>
      </c>
      <c r="X303">
        <v>67.8</v>
      </c>
      <c r="AD303">
        <v>68</v>
      </c>
      <c r="AG303" t="s">
        <v>884</v>
      </c>
      <c r="AH303" t="s">
        <v>885</v>
      </c>
    </row>
    <row r="304" spans="1:34" x14ac:dyDescent="0.35">
      <c r="A304" t="s">
        <v>880</v>
      </c>
      <c r="B304" t="s">
        <v>881</v>
      </c>
      <c r="C304" t="s">
        <v>882</v>
      </c>
      <c r="D304" t="s">
        <v>1</v>
      </c>
      <c r="E304" t="s">
        <v>889</v>
      </c>
      <c r="F304" t="s">
        <v>545</v>
      </c>
      <c r="G304" t="s">
        <v>37</v>
      </c>
      <c r="H304" t="s">
        <v>36</v>
      </c>
      <c r="I304" t="s">
        <v>820</v>
      </c>
      <c r="J304">
        <v>2017</v>
      </c>
      <c r="K304" t="b">
        <v>0</v>
      </c>
      <c r="X304">
        <v>68.63</v>
      </c>
      <c r="AD304">
        <v>69</v>
      </c>
      <c r="AG304" t="s">
        <v>884</v>
      </c>
      <c r="AH304" t="s">
        <v>885</v>
      </c>
    </row>
    <row r="305" spans="1:34" x14ac:dyDescent="0.35">
      <c r="A305" t="s">
        <v>880</v>
      </c>
      <c r="B305" t="s">
        <v>881</v>
      </c>
      <c r="C305" t="s">
        <v>882</v>
      </c>
      <c r="D305" t="s">
        <v>1</v>
      </c>
      <c r="E305" t="s">
        <v>889</v>
      </c>
      <c r="F305" t="s">
        <v>545</v>
      </c>
      <c r="G305" t="s">
        <v>96</v>
      </c>
      <c r="H305" t="s">
        <v>95</v>
      </c>
      <c r="I305" t="s">
        <v>820</v>
      </c>
      <c r="J305">
        <v>2017</v>
      </c>
      <c r="K305" t="b">
        <v>0</v>
      </c>
      <c r="X305">
        <v>68.78</v>
      </c>
      <c r="AD305">
        <v>69</v>
      </c>
      <c r="AG305" t="s">
        <v>884</v>
      </c>
      <c r="AH305" t="s">
        <v>885</v>
      </c>
    </row>
    <row r="306" spans="1:34" x14ac:dyDescent="0.35">
      <c r="A306" t="s">
        <v>880</v>
      </c>
      <c r="B306" t="s">
        <v>881</v>
      </c>
      <c r="C306" t="s">
        <v>882</v>
      </c>
      <c r="D306" t="s">
        <v>1</v>
      </c>
      <c r="E306" t="s">
        <v>889</v>
      </c>
      <c r="F306" t="s">
        <v>545</v>
      </c>
      <c r="G306" t="s">
        <v>125</v>
      </c>
      <c r="H306" t="s">
        <v>124</v>
      </c>
      <c r="I306" t="s">
        <v>820</v>
      </c>
      <c r="J306">
        <v>2017</v>
      </c>
      <c r="K306" t="b">
        <v>0</v>
      </c>
      <c r="X306">
        <v>68.86</v>
      </c>
      <c r="AD306">
        <v>69</v>
      </c>
      <c r="AG306" t="s">
        <v>884</v>
      </c>
      <c r="AH306" t="s">
        <v>885</v>
      </c>
    </row>
    <row r="307" spans="1:34" x14ac:dyDescent="0.35">
      <c r="A307" t="s">
        <v>880</v>
      </c>
      <c r="B307" t="s">
        <v>881</v>
      </c>
      <c r="C307" t="s">
        <v>882</v>
      </c>
      <c r="D307" t="s">
        <v>4</v>
      </c>
      <c r="E307" t="s">
        <v>883</v>
      </c>
      <c r="F307" t="s">
        <v>545</v>
      </c>
      <c r="G307" t="s">
        <v>179</v>
      </c>
      <c r="H307" t="s">
        <v>178</v>
      </c>
      <c r="I307" t="s">
        <v>820</v>
      </c>
      <c r="J307">
        <v>2017</v>
      </c>
      <c r="K307" t="b">
        <v>0</v>
      </c>
      <c r="X307">
        <v>69.31</v>
      </c>
      <c r="AD307">
        <v>69</v>
      </c>
      <c r="AG307" t="s">
        <v>884</v>
      </c>
      <c r="AH307" t="s">
        <v>885</v>
      </c>
    </row>
    <row r="308" spans="1:34" x14ac:dyDescent="0.35">
      <c r="A308" t="s">
        <v>880</v>
      </c>
      <c r="B308" t="s">
        <v>881</v>
      </c>
      <c r="C308" t="s">
        <v>882</v>
      </c>
      <c r="D308" t="s">
        <v>4</v>
      </c>
      <c r="E308" t="s">
        <v>883</v>
      </c>
      <c r="F308" t="s">
        <v>545</v>
      </c>
      <c r="G308" t="s">
        <v>515</v>
      </c>
      <c r="H308" t="s">
        <v>514</v>
      </c>
      <c r="I308" t="s">
        <v>820</v>
      </c>
      <c r="J308">
        <v>2017</v>
      </c>
      <c r="K308" t="b">
        <v>0</v>
      </c>
      <c r="X308">
        <v>68.760000000000005</v>
      </c>
      <c r="AD308">
        <v>69</v>
      </c>
      <c r="AG308" t="s">
        <v>884</v>
      </c>
      <c r="AH308" t="s">
        <v>885</v>
      </c>
    </row>
    <row r="309" spans="1:34" x14ac:dyDescent="0.35">
      <c r="A309" t="s">
        <v>880</v>
      </c>
      <c r="B309" t="s">
        <v>881</v>
      </c>
      <c r="C309" t="s">
        <v>882</v>
      </c>
      <c r="D309" t="s">
        <v>20</v>
      </c>
      <c r="E309" t="s">
        <v>789</v>
      </c>
      <c r="F309" t="s">
        <v>545</v>
      </c>
      <c r="G309" t="s">
        <v>467</v>
      </c>
      <c r="H309" t="s">
        <v>466</v>
      </c>
      <c r="I309" t="s">
        <v>820</v>
      </c>
      <c r="J309">
        <v>2017</v>
      </c>
      <c r="K309" t="b">
        <v>0</v>
      </c>
      <c r="X309">
        <v>69.19</v>
      </c>
      <c r="AD309">
        <v>69</v>
      </c>
      <c r="AG309" t="s">
        <v>884</v>
      </c>
      <c r="AH309" t="s">
        <v>885</v>
      </c>
    </row>
    <row r="310" spans="1:34" x14ac:dyDescent="0.35">
      <c r="A310" t="s">
        <v>880</v>
      </c>
      <c r="B310" t="s">
        <v>881</v>
      </c>
      <c r="C310" t="s">
        <v>882</v>
      </c>
      <c r="D310" t="s">
        <v>1</v>
      </c>
      <c r="E310" t="s">
        <v>889</v>
      </c>
      <c r="F310" t="s">
        <v>545</v>
      </c>
      <c r="G310" t="s">
        <v>19</v>
      </c>
      <c r="H310" t="s">
        <v>18</v>
      </c>
      <c r="I310" t="s">
        <v>820</v>
      </c>
      <c r="J310">
        <v>2017</v>
      </c>
      <c r="K310" t="b">
        <v>0</v>
      </c>
      <c r="X310">
        <v>68.87</v>
      </c>
      <c r="AD310">
        <v>69</v>
      </c>
      <c r="AG310" t="s">
        <v>884</v>
      </c>
      <c r="AH310" t="s">
        <v>885</v>
      </c>
    </row>
    <row r="311" spans="1:34" x14ac:dyDescent="0.35">
      <c r="A311" t="s">
        <v>880</v>
      </c>
      <c r="B311" t="s">
        <v>881</v>
      </c>
      <c r="C311" t="s">
        <v>882</v>
      </c>
      <c r="D311" t="s">
        <v>20</v>
      </c>
      <c r="E311" t="s">
        <v>789</v>
      </c>
      <c r="F311" t="s">
        <v>545</v>
      </c>
      <c r="G311" t="s">
        <v>342</v>
      </c>
      <c r="H311" t="s">
        <v>341</v>
      </c>
      <c r="I311" t="s">
        <v>820</v>
      </c>
      <c r="J311">
        <v>2017</v>
      </c>
      <c r="K311" t="b">
        <v>0</v>
      </c>
      <c r="X311">
        <v>70.23</v>
      </c>
      <c r="AD311">
        <v>70</v>
      </c>
      <c r="AG311" t="s">
        <v>884</v>
      </c>
      <c r="AH311" t="s">
        <v>885</v>
      </c>
    </row>
    <row r="312" spans="1:34" x14ac:dyDescent="0.35">
      <c r="A312" t="s">
        <v>880</v>
      </c>
      <c r="B312" t="s">
        <v>881</v>
      </c>
      <c r="C312" t="s">
        <v>882</v>
      </c>
      <c r="D312" t="s">
        <v>1</v>
      </c>
      <c r="E312" t="s">
        <v>889</v>
      </c>
      <c r="F312" t="s">
        <v>545</v>
      </c>
      <c r="G312" t="s">
        <v>487</v>
      </c>
      <c r="H312" t="s">
        <v>486</v>
      </c>
      <c r="I312" t="s">
        <v>820</v>
      </c>
      <c r="J312">
        <v>2017</v>
      </c>
      <c r="K312" t="b">
        <v>0</v>
      </c>
      <c r="X312">
        <v>69.62</v>
      </c>
      <c r="AD312">
        <v>70</v>
      </c>
      <c r="AG312" t="s">
        <v>884</v>
      </c>
      <c r="AH312" t="s">
        <v>885</v>
      </c>
    </row>
    <row r="313" spans="1:34" x14ac:dyDescent="0.35">
      <c r="A313" t="s">
        <v>880</v>
      </c>
      <c r="B313" t="s">
        <v>881</v>
      </c>
      <c r="C313" t="s">
        <v>882</v>
      </c>
      <c r="D313" t="s">
        <v>20</v>
      </c>
      <c r="E313" t="s">
        <v>789</v>
      </c>
      <c r="F313" t="s">
        <v>545</v>
      </c>
      <c r="G313" t="s">
        <v>416</v>
      </c>
      <c r="H313" t="s">
        <v>415</v>
      </c>
      <c r="I313" t="s">
        <v>820</v>
      </c>
      <c r="J313">
        <v>2017</v>
      </c>
      <c r="K313" t="b">
        <v>0</v>
      </c>
      <c r="X313">
        <v>69.89</v>
      </c>
      <c r="AD313">
        <v>70</v>
      </c>
      <c r="AG313" t="s">
        <v>884</v>
      </c>
      <c r="AH313" t="s">
        <v>885</v>
      </c>
    </row>
    <row r="314" spans="1:34" x14ac:dyDescent="0.35">
      <c r="A314" t="s">
        <v>880</v>
      </c>
      <c r="B314" t="s">
        <v>881</v>
      </c>
      <c r="C314" t="s">
        <v>882</v>
      </c>
      <c r="D314" t="s">
        <v>20</v>
      </c>
      <c r="E314" t="s">
        <v>789</v>
      </c>
      <c r="F314" t="s">
        <v>545</v>
      </c>
      <c r="G314" t="s">
        <v>529</v>
      </c>
      <c r="H314" t="s">
        <v>528</v>
      </c>
      <c r="I314" t="s">
        <v>820</v>
      </c>
      <c r="J314">
        <v>2017</v>
      </c>
      <c r="K314" t="b">
        <v>0</v>
      </c>
      <c r="X314">
        <v>69.55</v>
      </c>
      <c r="AD314">
        <v>70</v>
      </c>
      <c r="AG314" t="s">
        <v>884</v>
      </c>
      <c r="AH314" t="s">
        <v>885</v>
      </c>
    </row>
    <row r="315" spans="1:34" x14ac:dyDescent="0.35">
      <c r="A315" t="s">
        <v>880</v>
      </c>
      <c r="B315" t="s">
        <v>881</v>
      </c>
      <c r="C315" t="s">
        <v>882</v>
      </c>
      <c r="D315" t="s">
        <v>20</v>
      </c>
      <c r="E315" t="s">
        <v>789</v>
      </c>
      <c r="F315" t="s">
        <v>545</v>
      </c>
      <c r="G315" t="s">
        <v>228</v>
      </c>
      <c r="H315" t="s">
        <v>227</v>
      </c>
      <c r="I315" t="s">
        <v>820</v>
      </c>
      <c r="J315">
        <v>2017</v>
      </c>
      <c r="K315" t="b">
        <v>0</v>
      </c>
      <c r="X315">
        <v>70.8</v>
      </c>
      <c r="AD315">
        <v>71</v>
      </c>
      <c r="AG315" t="s">
        <v>884</v>
      </c>
      <c r="AH315" t="s">
        <v>885</v>
      </c>
    </row>
    <row r="316" spans="1:34" x14ac:dyDescent="0.35">
      <c r="A316" t="s">
        <v>880</v>
      </c>
      <c r="B316" t="s">
        <v>881</v>
      </c>
      <c r="C316" t="s">
        <v>882</v>
      </c>
      <c r="D316" t="s">
        <v>20</v>
      </c>
      <c r="E316" t="s">
        <v>789</v>
      </c>
      <c r="F316" t="s">
        <v>545</v>
      </c>
      <c r="G316" t="s">
        <v>104</v>
      </c>
      <c r="H316" t="s">
        <v>103</v>
      </c>
      <c r="I316" t="s">
        <v>820</v>
      </c>
      <c r="J316">
        <v>2017</v>
      </c>
      <c r="K316" t="b">
        <v>0</v>
      </c>
      <c r="X316">
        <v>71.13</v>
      </c>
      <c r="AD316">
        <v>71</v>
      </c>
      <c r="AG316" t="s">
        <v>884</v>
      </c>
      <c r="AH316" t="s">
        <v>885</v>
      </c>
    </row>
    <row r="317" spans="1:34" x14ac:dyDescent="0.35">
      <c r="A317" t="s">
        <v>880</v>
      </c>
      <c r="B317" t="s">
        <v>881</v>
      </c>
      <c r="C317" t="s">
        <v>882</v>
      </c>
      <c r="D317" t="s">
        <v>20</v>
      </c>
      <c r="E317" t="s">
        <v>789</v>
      </c>
      <c r="F317" t="s">
        <v>545</v>
      </c>
      <c r="G317" t="s">
        <v>174</v>
      </c>
      <c r="H317" t="s">
        <v>173</v>
      </c>
      <c r="I317" t="s">
        <v>820</v>
      </c>
      <c r="J317">
        <v>2017</v>
      </c>
      <c r="K317" t="b">
        <v>0</v>
      </c>
      <c r="X317">
        <v>70.69</v>
      </c>
      <c r="AD317">
        <v>71</v>
      </c>
      <c r="AG317" t="s">
        <v>884</v>
      </c>
      <c r="AH317" t="s">
        <v>885</v>
      </c>
    </row>
    <row r="318" spans="1:34" x14ac:dyDescent="0.35">
      <c r="A318" t="s">
        <v>880</v>
      </c>
      <c r="B318" t="s">
        <v>881</v>
      </c>
      <c r="C318" t="s">
        <v>882</v>
      </c>
      <c r="D318" t="s">
        <v>43</v>
      </c>
      <c r="E318" t="s">
        <v>890</v>
      </c>
      <c r="F318" t="s">
        <v>545</v>
      </c>
      <c r="G318" t="s">
        <v>357</v>
      </c>
      <c r="H318" t="s">
        <v>356</v>
      </c>
      <c r="I318" t="s">
        <v>820</v>
      </c>
      <c r="J318">
        <v>2017</v>
      </c>
      <c r="K318" t="b">
        <v>0</v>
      </c>
      <c r="X318">
        <v>70.88</v>
      </c>
      <c r="AD318">
        <v>71</v>
      </c>
      <c r="AG318" t="s">
        <v>884</v>
      </c>
      <c r="AH318" t="s">
        <v>885</v>
      </c>
    </row>
    <row r="319" spans="1:34" x14ac:dyDescent="0.35">
      <c r="A319" t="s">
        <v>880</v>
      </c>
      <c r="B319" t="s">
        <v>881</v>
      </c>
      <c r="C319" t="s">
        <v>882</v>
      </c>
      <c r="D319" t="s">
        <v>4</v>
      </c>
      <c r="E319" t="s">
        <v>883</v>
      </c>
      <c r="F319" t="s">
        <v>545</v>
      </c>
      <c r="G319" t="s">
        <v>153</v>
      </c>
      <c r="H319" t="s">
        <v>152</v>
      </c>
      <c r="I319" t="s">
        <v>820</v>
      </c>
      <c r="J319">
        <v>2017</v>
      </c>
      <c r="K319" t="b">
        <v>0</v>
      </c>
      <c r="X319">
        <v>71.02</v>
      </c>
      <c r="AD319">
        <v>71</v>
      </c>
      <c r="AG319" t="s">
        <v>884</v>
      </c>
      <c r="AH319" t="s">
        <v>885</v>
      </c>
    </row>
    <row r="320" spans="1:34" x14ac:dyDescent="0.35">
      <c r="A320" t="s">
        <v>880</v>
      </c>
      <c r="B320" t="s">
        <v>881</v>
      </c>
      <c r="C320" t="s">
        <v>882</v>
      </c>
      <c r="D320" t="s">
        <v>20</v>
      </c>
      <c r="E320" t="s">
        <v>789</v>
      </c>
      <c r="F320" t="s">
        <v>545</v>
      </c>
      <c r="G320" t="s">
        <v>481</v>
      </c>
      <c r="H320" t="s">
        <v>480</v>
      </c>
      <c r="I320" t="s">
        <v>820</v>
      </c>
      <c r="J320">
        <v>2017</v>
      </c>
      <c r="K320" t="b">
        <v>0</v>
      </c>
      <c r="X320">
        <v>70.94</v>
      </c>
      <c r="AD320">
        <v>71</v>
      </c>
      <c r="AG320" t="s">
        <v>884</v>
      </c>
      <c r="AH320" t="s">
        <v>885</v>
      </c>
    </row>
    <row r="321" spans="1:34" x14ac:dyDescent="0.35">
      <c r="A321" t="s">
        <v>880</v>
      </c>
      <c r="B321" t="s">
        <v>881</v>
      </c>
      <c r="C321" t="s">
        <v>882</v>
      </c>
      <c r="D321" t="s">
        <v>1</v>
      </c>
      <c r="E321" t="s">
        <v>889</v>
      </c>
      <c r="F321" t="s">
        <v>545</v>
      </c>
      <c r="G321" t="s">
        <v>485</v>
      </c>
      <c r="H321" t="s">
        <v>484</v>
      </c>
      <c r="I321" t="s">
        <v>820</v>
      </c>
      <c r="J321">
        <v>2017</v>
      </c>
      <c r="K321" t="b">
        <v>0</v>
      </c>
      <c r="X321">
        <v>70.91</v>
      </c>
      <c r="AD321">
        <v>71</v>
      </c>
      <c r="AG321" t="s">
        <v>884</v>
      </c>
      <c r="AH321" t="s">
        <v>885</v>
      </c>
    </row>
    <row r="322" spans="1:34" x14ac:dyDescent="0.35">
      <c r="A322" t="s">
        <v>880</v>
      </c>
      <c r="B322" t="s">
        <v>881</v>
      </c>
      <c r="C322" t="s">
        <v>882</v>
      </c>
      <c r="D322" t="s">
        <v>20</v>
      </c>
      <c r="E322" t="s">
        <v>789</v>
      </c>
      <c r="F322" t="s">
        <v>545</v>
      </c>
      <c r="G322" t="s">
        <v>525</v>
      </c>
      <c r="H322" t="s">
        <v>524</v>
      </c>
      <c r="I322" t="s">
        <v>820</v>
      </c>
      <c r="J322">
        <v>2017</v>
      </c>
      <c r="K322" t="b">
        <v>0</v>
      </c>
      <c r="X322">
        <v>71.09</v>
      </c>
      <c r="AD322">
        <v>71</v>
      </c>
      <c r="AG322" t="s">
        <v>884</v>
      </c>
      <c r="AH322" t="s">
        <v>885</v>
      </c>
    </row>
    <row r="323" spans="1:34" x14ac:dyDescent="0.35">
      <c r="A323" t="s">
        <v>880</v>
      </c>
      <c r="B323" t="s">
        <v>881</v>
      </c>
      <c r="C323" t="s">
        <v>882</v>
      </c>
      <c r="D323" t="s">
        <v>1</v>
      </c>
      <c r="E323" t="s">
        <v>889</v>
      </c>
      <c r="F323" t="s">
        <v>545</v>
      </c>
      <c r="G323" t="s">
        <v>3</v>
      </c>
      <c r="H323" t="s">
        <v>2</v>
      </c>
      <c r="I323" t="s">
        <v>820</v>
      </c>
      <c r="J323">
        <v>2017</v>
      </c>
      <c r="K323" t="b">
        <v>0</v>
      </c>
      <c r="X323">
        <v>71.69</v>
      </c>
      <c r="AD323">
        <v>72</v>
      </c>
      <c r="AG323" t="s">
        <v>884</v>
      </c>
      <c r="AH323" t="s">
        <v>885</v>
      </c>
    </row>
    <row r="324" spans="1:34" x14ac:dyDescent="0.35">
      <c r="A324" t="s">
        <v>880</v>
      </c>
      <c r="B324" t="s">
        <v>881</v>
      </c>
      <c r="C324" t="s">
        <v>882</v>
      </c>
      <c r="D324" t="s">
        <v>4</v>
      </c>
      <c r="E324" t="s">
        <v>883</v>
      </c>
      <c r="F324" t="s">
        <v>545</v>
      </c>
      <c r="G324" t="s">
        <v>132</v>
      </c>
      <c r="H324" t="s">
        <v>131</v>
      </c>
      <c r="I324" t="s">
        <v>820</v>
      </c>
      <c r="J324">
        <v>2017</v>
      </c>
      <c r="K324" t="b">
        <v>0</v>
      </c>
      <c r="X324">
        <v>71.92</v>
      </c>
      <c r="AD324">
        <v>72</v>
      </c>
      <c r="AG324" t="s">
        <v>884</v>
      </c>
      <c r="AH324" t="s">
        <v>885</v>
      </c>
    </row>
    <row r="325" spans="1:34" x14ac:dyDescent="0.35">
      <c r="A325" t="s">
        <v>880</v>
      </c>
      <c r="B325" t="s">
        <v>881</v>
      </c>
      <c r="C325" t="s">
        <v>882</v>
      </c>
      <c r="D325" t="s">
        <v>20</v>
      </c>
      <c r="E325" t="s">
        <v>789</v>
      </c>
      <c r="F325" t="s">
        <v>545</v>
      </c>
      <c r="G325" t="s">
        <v>261</v>
      </c>
      <c r="H325" t="s">
        <v>260</v>
      </c>
      <c r="I325" t="s">
        <v>820</v>
      </c>
      <c r="J325">
        <v>2017</v>
      </c>
      <c r="K325" t="b">
        <v>0</v>
      </c>
      <c r="X325">
        <v>72.069999999999993</v>
      </c>
      <c r="AD325">
        <v>72</v>
      </c>
      <c r="AG325" t="s">
        <v>884</v>
      </c>
      <c r="AH325" t="s">
        <v>885</v>
      </c>
    </row>
    <row r="326" spans="1:34" x14ac:dyDescent="0.35">
      <c r="A326" t="s">
        <v>880</v>
      </c>
      <c r="B326" t="s">
        <v>881</v>
      </c>
      <c r="C326" t="s">
        <v>882</v>
      </c>
      <c r="D326" t="s">
        <v>4</v>
      </c>
      <c r="E326" t="s">
        <v>883</v>
      </c>
      <c r="F326" t="s">
        <v>545</v>
      </c>
      <c r="G326" t="s">
        <v>512</v>
      </c>
      <c r="H326" t="s">
        <v>511</v>
      </c>
      <c r="I326" t="s">
        <v>820</v>
      </c>
      <c r="J326">
        <v>2017</v>
      </c>
      <c r="K326" t="b">
        <v>0</v>
      </c>
      <c r="X326">
        <v>71.94</v>
      </c>
      <c r="AD326">
        <v>72</v>
      </c>
      <c r="AG326" t="s">
        <v>884</v>
      </c>
      <c r="AH326" t="s">
        <v>885</v>
      </c>
    </row>
    <row r="327" spans="1:34" x14ac:dyDescent="0.35">
      <c r="A327" t="s">
        <v>880</v>
      </c>
      <c r="B327" t="s">
        <v>881</v>
      </c>
      <c r="C327" t="s">
        <v>882</v>
      </c>
      <c r="D327" t="s">
        <v>1</v>
      </c>
      <c r="E327" t="s">
        <v>889</v>
      </c>
      <c r="F327" t="s">
        <v>545</v>
      </c>
      <c r="G327" t="s">
        <v>489</v>
      </c>
      <c r="H327" t="s">
        <v>488</v>
      </c>
      <c r="I327" t="s">
        <v>820</v>
      </c>
      <c r="J327">
        <v>2017</v>
      </c>
      <c r="K327" t="b">
        <v>0</v>
      </c>
      <c r="X327">
        <v>72.03</v>
      </c>
      <c r="AD327">
        <v>72</v>
      </c>
      <c r="AG327" t="s">
        <v>884</v>
      </c>
      <c r="AH327" t="s">
        <v>885</v>
      </c>
    </row>
    <row r="328" spans="1:34" x14ac:dyDescent="0.35">
      <c r="A328" t="s">
        <v>880</v>
      </c>
      <c r="B328" t="s">
        <v>881</v>
      </c>
      <c r="C328" t="s">
        <v>882</v>
      </c>
      <c r="D328" t="s">
        <v>4</v>
      </c>
      <c r="E328" t="s">
        <v>883</v>
      </c>
      <c r="F328" t="s">
        <v>545</v>
      </c>
      <c r="G328" t="s">
        <v>159</v>
      </c>
      <c r="H328" t="s">
        <v>158</v>
      </c>
      <c r="I328" t="s">
        <v>820</v>
      </c>
      <c r="J328">
        <v>2017</v>
      </c>
      <c r="K328" t="b">
        <v>0</v>
      </c>
      <c r="X328">
        <v>71.72</v>
      </c>
      <c r="AD328">
        <v>72</v>
      </c>
      <c r="AG328" t="s">
        <v>884</v>
      </c>
      <c r="AH328" t="s">
        <v>885</v>
      </c>
    </row>
    <row r="329" spans="1:34" x14ac:dyDescent="0.35">
      <c r="A329" t="s">
        <v>880</v>
      </c>
      <c r="B329" t="s">
        <v>881</v>
      </c>
      <c r="C329" t="s">
        <v>882</v>
      </c>
      <c r="D329" t="s">
        <v>1</v>
      </c>
      <c r="E329" t="s">
        <v>889</v>
      </c>
      <c r="F329" t="s">
        <v>545</v>
      </c>
      <c r="G329" t="s">
        <v>455</v>
      </c>
      <c r="H329" t="s">
        <v>454</v>
      </c>
      <c r="I329" t="s">
        <v>820</v>
      </c>
      <c r="J329">
        <v>2017</v>
      </c>
      <c r="K329" t="b">
        <v>0</v>
      </c>
      <c r="X329">
        <v>71.8</v>
      </c>
      <c r="AD329">
        <v>72</v>
      </c>
      <c r="AG329" t="s">
        <v>884</v>
      </c>
      <c r="AH329" t="s">
        <v>885</v>
      </c>
    </row>
    <row r="330" spans="1:34" x14ac:dyDescent="0.35">
      <c r="A330" t="s">
        <v>880</v>
      </c>
      <c r="B330" t="s">
        <v>881</v>
      </c>
      <c r="C330" t="s">
        <v>882</v>
      </c>
      <c r="D330" t="s">
        <v>1</v>
      </c>
      <c r="E330" t="s">
        <v>889</v>
      </c>
      <c r="F330" t="s">
        <v>545</v>
      </c>
      <c r="G330" t="s">
        <v>307</v>
      </c>
      <c r="H330" t="s">
        <v>306</v>
      </c>
      <c r="I330" t="s">
        <v>820</v>
      </c>
      <c r="J330">
        <v>2017</v>
      </c>
      <c r="K330" t="b">
        <v>0</v>
      </c>
      <c r="X330">
        <v>73.31</v>
      </c>
      <c r="AD330">
        <v>73</v>
      </c>
      <c r="AG330" t="s">
        <v>884</v>
      </c>
      <c r="AH330" t="s">
        <v>885</v>
      </c>
    </row>
    <row r="331" spans="1:34" x14ac:dyDescent="0.35">
      <c r="A331" t="s">
        <v>880</v>
      </c>
      <c r="B331" t="s">
        <v>881</v>
      </c>
      <c r="C331" t="s">
        <v>882</v>
      </c>
      <c r="D331" t="s">
        <v>20</v>
      </c>
      <c r="E331" t="s">
        <v>789</v>
      </c>
      <c r="F331" t="s">
        <v>545</v>
      </c>
      <c r="G331" t="s">
        <v>331</v>
      </c>
      <c r="H331" t="s">
        <v>330</v>
      </c>
      <c r="I331" t="s">
        <v>820</v>
      </c>
      <c r="J331">
        <v>2017</v>
      </c>
      <c r="K331" t="b">
        <v>0</v>
      </c>
      <c r="X331">
        <v>73.459999999999994</v>
      </c>
      <c r="AD331">
        <v>73</v>
      </c>
      <c r="AG331" t="s">
        <v>884</v>
      </c>
      <c r="AH331" t="s">
        <v>885</v>
      </c>
    </row>
    <row r="332" spans="1:34" x14ac:dyDescent="0.35">
      <c r="A332" t="s">
        <v>880</v>
      </c>
      <c r="B332" t="s">
        <v>881</v>
      </c>
      <c r="C332" t="s">
        <v>882</v>
      </c>
      <c r="D332" t="s">
        <v>1</v>
      </c>
      <c r="E332" t="s">
        <v>889</v>
      </c>
      <c r="F332" t="s">
        <v>545</v>
      </c>
      <c r="G332" t="s">
        <v>539</v>
      </c>
      <c r="H332" t="s">
        <v>538</v>
      </c>
      <c r="I332" t="s">
        <v>820</v>
      </c>
      <c r="J332">
        <v>2017</v>
      </c>
      <c r="K332" t="b">
        <v>0</v>
      </c>
      <c r="X332">
        <v>73.319999999999993</v>
      </c>
      <c r="AD332">
        <v>73</v>
      </c>
      <c r="AG332" t="s">
        <v>884</v>
      </c>
      <c r="AH332" t="s">
        <v>885</v>
      </c>
    </row>
    <row r="333" spans="1:34" x14ac:dyDescent="0.35">
      <c r="A333" t="s">
        <v>880</v>
      </c>
      <c r="B333" t="s">
        <v>881</v>
      </c>
      <c r="C333" t="s">
        <v>882</v>
      </c>
      <c r="D333" t="s">
        <v>1</v>
      </c>
      <c r="E333" t="s">
        <v>889</v>
      </c>
      <c r="F333" t="s">
        <v>545</v>
      </c>
      <c r="G333" t="s">
        <v>10</v>
      </c>
      <c r="H333" t="s">
        <v>9</v>
      </c>
      <c r="I333" t="s">
        <v>820</v>
      </c>
      <c r="J333">
        <v>2017</v>
      </c>
      <c r="K333" t="b">
        <v>0</v>
      </c>
      <c r="X333">
        <v>73.739999999999995</v>
      </c>
      <c r="AD333">
        <v>74</v>
      </c>
      <c r="AG333" t="s">
        <v>884</v>
      </c>
      <c r="AH333" t="s">
        <v>885</v>
      </c>
    </row>
    <row r="334" spans="1:34" x14ac:dyDescent="0.35">
      <c r="A334" t="s">
        <v>880</v>
      </c>
      <c r="B334" t="s">
        <v>881</v>
      </c>
      <c r="C334" t="s">
        <v>882</v>
      </c>
      <c r="D334" t="s">
        <v>1</v>
      </c>
      <c r="E334" t="s">
        <v>889</v>
      </c>
      <c r="F334" t="s">
        <v>545</v>
      </c>
      <c r="G334" t="s">
        <v>14</v>
      </c>
      <c r="H334" t="s">
        <v>13</v>
      </c>
      <c r="I334" t="s">
        <v>820</v>
      </c>
      <c r="J334">
        <v>2017</v>
      </c>
      <c r="K334" t="b">
        <v>0</v>
      </c>
      <c r="X334">
        <v>73.599999999999994</v>
      </c>
      <c r="AD334">
        <v>74</v>
      </c>
      <c r="AG334" t="s">
        <v>884</v>
      </c>
      <c r="AH334" t="s">
        <v>885</v>
      </c>
    </row>
    <row r="335" spans="1:34" x14ac:dyDescent="0.35">
      <c r="A335" t="s">
        <v>880</v>
      </c>
      <c r="B335" t="s">
        <v>881</v>
      </c>
      <c r="C335" t="s">
        <v>882</v>
      </c>
      <c r="D335" t="s">
        <v>1</v>
      </c>
      <c r="E335" t="s">
        <v>889</v>
      </c>
      <c r="F335" t="s">
        <v>545</v>
      </c>
      <c r="G335" t="s">
        <v>277</v>
      </c>
      <c r="H335" t="s">
        <v>276</v>
      </c>
      <c r="I335" t="s">
        <v>820</v>
      </c>
      <c r="J335">
        <v>2017</v>
      </c>
      <c r="K335" t="b">
        <v>0</v>
      </c>
      <c r="X335">
        <v>74.09</v>
      </c>
      <c r="AD335">
        <v>74</v>
      </c>
      <c r="AG335" t="s">
        <v>884</v>
      </c>
      <c r="AH335" t="s">
        <v>885</v>
      </c>
    </row>
    <row r="336" spans="1:34" x14ac:dyDescent="0.35">
      <c r="A336" t="s">
        <v>880</v>
      </c>
      <c r="B336" t="s">
        <v>881</v>
      </c>
      <c r="C336" t="s">
        <v>882</v>
      </c>
      <c r="D336" t="s">
        <v>4</v>
      </c>
      <c r="E336" t="s">
        <v>883</v>
      </c>
      <c r="F336" t="s">
        <v>545</v>
      </c>
      <c r="G336" t="s">
        <v>117</v>
      </c>
      <c r="H336" t="s">
        <v>116</v>
      </c>
      <c r="I336" t="s">
        <v>820</v>
      </c>
      <c r="J336">
        <v>2017</v>
      </c>
      <c r="K336" t="b">
        <v>0</v>
      </c>
      <c r="X336">
        <v>73.900000000000006</v>
      </c>
      <c r="AD336">
        <v>74</v>
      </c>
      <c r="AG336" t="s">
        <v>884</v>
      </c>
      <c r="AH336" t="s">
        <v>885</v>
      </c>
    </row>
    <row r="337" spans="1:34" x14ac:dyDescent="0.35">
      <c r="A337" t="s">
        <v>880</v>
      </c>
      <c r="B337" t="s">
        <v>881</v>
      </c>
      <c r="C337" t="s">
        <v>882</v>
      </c>
      <c r="D337" t="s">
        <v>20</v>
      </c>
      <c r="E337" t="s">
        <v>789</v>
      </c>
      <c r="F337" t="s">
        <v>545</v>
      </c>
      <c r="G337" t="s">
        <v>404</v>
      </c>
      <c r="H337" t="s">
        <v>403</v>
      </c>
      <c r="I337" t="s">
        <v>820</v>
      </c>
      <c r="J337">
        <v>2017</v>
      </c>
      <c r="K337" t="b">
        <v>0</v>
      </c>
      <c r="X337">
        <v>73.7</v>
      </c>
      <c r="AD337">
        <v>74</v>
      </c>
      <c r="AG337" t="s">
        <v>884</v>
      </c>
      <c r="AH337" t="s">
        <v>885</v>
      </c>
    </row>
    <row r="338" spans="1:34" x14ac:dyDescent="0.35">
      <c r="A338" t="s">
        <v>880</v>
      </c>
      <c r="B338" t="s">
        <v>881</v>
      </c>
      <c r="C338" t="s">
        <v>882</v>
      </c>
      <c r="D338" t="s">
        <v>20</v>
      </c>
      <c r="E338" t="s">
        <v>789</v>
      </c>
      <c r="F338" t="s">
        <v>545</v>
      </c>
      <c r="G338" t="s">
        <v>483</v>
      </c>
      <c r="H338" t="s">
        <v>482</v>
      </c>
      <c r="I338" t="s">
        <v>820</v>
      </c>
      <c r="J338">
        <v>2017</v>
      </c>
      <c r="K338" t="b">
        <v>0</v>
      </c>
      <c r="X338">
        <v>73.56</v>
      </c>
      <c r="AD338">
        <v>74</v>
      </c>
      <c r="AG338" t="s">
        <v>884</v>
      </c>
      <c r="AH338" t="s">
        <v>885</v>
      </c>
    </row>
    <row r="339" spans="1:34" x14ac:dyDescent="0.35">
      <c r="A339" t="s">
        <v>880</v>
      </c>
      <c r="B339" t="s">
        <v>881</v>
      </c>
      <c r="C339" t="s">
        <v>882</v>
      </c>
      <c r="D339" t="s">
        <v>25</v>
      </c>
      <c r="E339" t="s">
        <v>886</v>
      </c>
      <c r="F339" t="s">
        <v>545</v>
      </c>
      <c r="G339" t="s">
        <v>190</v>
      </c>
      <c r="H339" t="s">
        <v>189</v>
      </c>
      <c r="I339" t="s">
        <v>820</v>
      </c>
      <c r="J339">
        <v>2017</v>
      </c>
      <c r="K339" t="b">
        <v>0</v>
      </c>
      <c r="X339">
        <v>75</v>
      </c>
      <c r="AD339">
        <v>75</v>
      </c>
      <c r="AG339" t="s">
        <v>884</v>
      </c>
      <c r="AH339" t="s">
        <v>885</v>
      </c>
    </row>
    <row r="340" spans="1:34" x14ac:dyDescent="0.35">
      <c r="A340" t="s">
        <v>880</v>
      </c>
      <c r="B340" t="s">
        <v>881</v>
      </c>
      <c r="C340" t="s">
        <v>882</v>
      </c>
      <c r="D340" t="s">
        <v>1</v>
      </c>
      <c r="E340" t="s">
        <v>889</v>
      </c>
      <c r="F340" t="s">
        <v>545</v>
      </c>
      <c r="G340" t="s">
        <v>83</v>
      </c>
      <c r="H340" t="s">
        <v>82</v>
      </c>
      <c r="I340" t="s">
        <v>820</v>
      </c>
      <c r="J340">
        <v>2017</v>
      </c>
      <c r="K340" t="b">
        <v>0</v>
      </c>
      <c r="X340">
        <v>75.41</v>
      </c>
      <c r="AD340">
        <v>75</v>
      </c>
      <c r="AG340" t="s">
        <v>884</v>
      </c>
      <c r="AH340" t="s">
        <v>885</v>
      </c>
    </row>
    <row r="341" spans="1:34" x14ac:dyDescent="0.35">
      <c r="A341" t="s">
        <v>880</v>
      </c>
      <c r="B341" t="s">
        <v>881</v>
      </c>
      <c r="C341" t="s">
        <v>882</v>
      </c>
      <c r="D341" t="s">
        <v>0</v>
      </c>
      <c r="E341" t="s">
        <v>887</v>
      </c>
      <c r="F341" t="s">
        <v>545</v>
      </c>
      <c r="G341" t="s">
        <v>181</v>
      </c>
      <c r="H341" t="s">
        <v>180</v>
      </c>
      <c r="I341" t="s">
        <v>820</v>
      </c>
      <c r="J341">
        <v>2017</v>
      </c>
      <c r="K341" t="b">
        <v>0</v>
      </c>
      <c r="X341">
        <v>75.48</v>
      </c>
      <c r="AD341">
        <v>75</v>
      </c>
      <c r="AG341" t="s">
        <v>884</v>
      </c>
      <c r="AH341" t="s">
        <v>885</v>
      </c>
    </row>
    <row r="342" spans="1:34" x14ac:dyDescent="0.35">
      <c r="A342" t="s">
        <v>880</v>
      </c>
      <c r="B342" t="s">
        <v>881</v>
      </c>
      <c r="C342" t="s">
        <v>882</v>
      </c>
      <c r="D342" t="s">
        <v>20</v>
      </c>
      <c r="E342" t="s">
        <v>789</v>
      </c>
      <c r="F342" t="s">
        <v>545</v>
      </c>
      <c r="G342" t="s">
        <v>205</v>
      </c>
      <c r="H342" t="s">
        <v>204</v>
      </c>
      <c r="I342" t="s">
        <v>820</v>
      </c>
      <c r="J342">
        <v>2017</v>
      </c>
      <c r="K342" t="b">
        <v>0</v>
      </c>
      <c r="X342">
        <v>76.06</v>
      </c>
      <c r="AD342">
        <v>76</v>
      </c>
      <c r="AG342" t="s">
        <v>884</v>
      </c>
      <c r="AH342" t="s">
        <v>885</v>
      </c>
    </row>
    <row r="343" spans="1:34" x14ac:dyDescent="0.35">
      <c r="A343" t="s">
        <v>880</v>
      </c>
      <c r="B343" t="s">
        <v>881</v>
      </c>
      <c r="C343" t="s">
        <v>882</v>
      </c>
      <c r="D343" t="s">
        <v>1</v>
      </c>
      <c r="E343" t="s">
        <v>889</v>
      </c>
      <c r="F343" t="s">
        <v>545</v>
      </c>
      <c r="G343" t="s">
        <v>392</v>
      </c>
      <c r="H343" t="s">
        <v>391</v>
      </c>
      <c r="I343" t="s">
        <v>820</v>
      </c>
      <c r="J343">
        <v>2017</v>
      </c>
      <c r="K343" t="b">
        <v>0</v>
      </c>
      <c r="X343">
        <v>75.540000000000006</v>
      </c>
      <c r="AD343">
        <v>76</v>
      </c>
      <c r="AG343" t="s">
        <v>884</v>
      </c>
      <c r="AH343" t="s">
        <v>885</v>
      </c>
    </row>
    <row r="344" spans="1:34" x14ac:dyDescent="0.35">
      <c r="A344" t="s">
        <v>880</v>
      </c>
      <c r="B344" t="s">
        <v>881</v>
      </c>
      <c r="C344" t="s">
        <v>882</v>
      </c>
      <c r="D344" t="s">
        <v>20</v>
      </c>
      <c r="E344" t="s">
        <v>789</v>
      </c>
      <c r="F344" t="s">
        <v>545</v>
      </c>
      <c r="G344" t="s">
        <v>492</v>
      </c>
      <c r="H344" t="s">
        <v>491</v>
      </c>
      <c r="I344" t="s">
        <v>820</v>
      </c>
      <c r="J344">
        <v>2017</v>
      </c>
      <c r="K344" t="b">
        <v>0</v>
      </c>
      <c r="X344">
        <v>76.45</v>
      </c>
      <c r="AD344">
        <v>76</v>
      </c>
      <c r="AG344" t="s">
        <v>884</v>
      </c>
      <c r="AH344" t="s">
        <v>885</v>
      </c>
    </row>
    <row r="345" spans="1:34" x14ac:dyDescent="0.35">
      <c r="A345" t="s">
        <v>880</v>
      </c>
      <c r="B345" t="s">
        <v>881</v>
      </c>
      <c r="C345" t="s">
        <v>882</v>
      </c>
      <c r="D345" t="s">
        <v>1</v>
      </c>
      <c r="E345" t="s">
        <v>889</v>
      </c>
      <c r="F345" t="s">
        <v>545</v>
      </c>
      <c r="G345" t="s">
        <v>255</v>
      </c>
      <c r="H345" t="s">
        <v>254</v>
      </c>
      <c r="I345" t="s">
        <v>820</v>
      </c>
      <c r="J345">
        <v>2017</v>
      </c>
      <c r="K345" t="b">
        <v>0</v>
      </c>
      <c r="X345">
        <v>77.16</v>
      </c>
      <c r="AD345">
        <v>77</v>
      </c>
      <c r="AG345" t="s">
        <v>884</v>
      </c>
      <c r="AH345" t="s">
        <v>885</v>
      </c>
    </row>
    <row r="346" spans="1:34" x14ac:dyDescent="0.35">
      <c r="A346" t="s">
        <v>880</v>
      </c>
      <c r="B346" t="s">
        <v>881</v>
      </c>
      <c r="C346" t="s">
        <v>882</v>
      </c>
      <c r="D346" t="s">
        <v>1</v>
      </c>
      <c r="E346" t="s">
        <v>889</v>
      </c>
      <c r="F346" t="s">
        <v>545</v>
      </c>
      <c r="G346" t="s">
        <v>258</v>
      </c>
      <c r="H346" t="s">
        <v>257</v>
      </c>
      <c r="I346" t="s">
        <v>820</v>
      </c>
      <c r="J346">
        <v>2017</v>
      </c>
      <c r="K346" t="b">
        <v>0</v>
      </c>
      <c r="X346">
        <v>76.73</v>
      </c>
      <c r="AD346">
        <v>77</v>
      </c>
      <c r="AG346" t="s">
        <v>884</v>
      </c>
      <c r="AH346" t="s">
        <v>885</v>
      </c>
    </row>
    <row r="347" spans="1:34" x14ac:dyDescent="0.35">
      <c r="A347" t="s">
        <v>880</v>
      </c>
      <c r="B347" t="s">
        <v>881</v>
      </c>
      <c r="C347" t="s">
        <v>882</v>
      </c>
      <c r="D347" t="s">
        <v>20</v>
      </c>
      <c r="E347" t="s">
        <v>789</v>
      </c>
      <c r="F347" t="s">
        <v>545</v>
      </c>
      <c r="G347" t="s">
        <v>283</v>
      </c>
      <c r="H347" t="s">
        <v>282</v>
      </c>
      <c r="I347" t="s">
        <v>820</v>
      </c>
      <c r="J347">
        <v>2017</v>
      </c>
      <c r="K347" t="b">
        <v>0</v>
      </c>
      <c r="X347">
        <v>76.77</v>
      </c>
      <c r="AD347">
        <v>77</v>
      </c>
      <c r="AG347" t="s">
        <v>884</v>
      </c>
      <c r="AH347" t="s">
        <v>885</v>
      </c>
    </row>
    <row r="348" spans="1:34" x14ac:dyDescent="0.35">
      <c r="A348" t="s">
        <v>880</v>
      </c>
      <c r="B348" t="s">
        <v>881</v>
      </c>
      <c r="C348" t="s">
        <v>882</v>
      </c>
      <c r="D348" t="s">
        <v>20</v>
      </c>
      <c r="E348" t="s">
        <v>789</v>
      </c>
      <c r="F348" t="s">
        <v>545</v>
      </c>
      <c r="G348" t="s">
        <v>102</v>
      </c>
      <c r="H348" t="s">
        <v>101</v>
      </c>
      <c r="I348" t="s">
        <v>820</v>
      </c>
      <c r="J348">
        <v>2017</v>
      </c>
      <c r="K348" t="b">
        <v>0</v>
      </c>
      <c r="X348">
        <v>76.510000000000005</v>
      </c>
      <c r="AD348">
        <v>77</v>
      </c>
      <c r="AG348" t="s">
        <v>884</v>
      </c>
      <c r="AH348" t="s">
        <v>885</v>
      </c>
    </row>
    <row r="349" spans="1:34" x14ac:dyDescent="0.35">
      <c r="A349" t="s">
        <v>880</v>
      </c>
      <c r="B349" t="s">
        <v>881</v>
      </c>
      <c r="C349" t="s">
        <v>882</v>
      </c>
      <c r="D349" t="s">
        <v>1</v>
      </c>
      <c r="E349" t="s">
        <v>889</v>
      </c>
      <c r="F349" t="s">
        <v>545</v>
      </c>
      <c r="G349" t="s">
        <v>398</v>
      </c>
      <c r="H349" t="s">
        <v>397</v>
      </c>
      <c r="I349" t="s">
        <v>820</v>
      </c>
      <c r="J349">
        <v>2017</v>
      </c>
      <c r="K349" t="b">
        <v>0</v>
      </c>
      <c r="X349">
        <v>77.38</v>
      </c>
      <c r="AD349">
        <v>77</v>
      </c>
      <c r="AG349" t="s">
        <v>884</v>
      </c>
      <c r="AH349" t="s">
        <v>885</v>
      </c>
    </row>
    <row r="350" spans="1:34" x14ac:dyDescent="0.35">
      <c r="A350" t="s">
        <v>880</v>
      </c>
      <c r="B350" t="s">
        <v>881</v>
      </c>
      <c r="C350" t="s">
        <v>882</v>
      </c>
      <c r="D350" t="s">
        <v>20</v>
      </c>
      <c r="E350" t="s">
        <v>789</v>
      </c>
      <c r="F350" t="s">
        <v>545</v>
      </c>
      <c r="G350" t="s">
        <v>461</v>
      </c>
      <c r="H350" t="s">
        <v>460</v>
      </c>
      <c r="I350" t="s">
        <v>820</v>
      </c>
      <c r="J350">
        <v>2017</v>
      </c>
      <c r="K350" t="b">
        <v>0</v>
      </c>
      <c r="X350">
        <v>77.180000000000007</v>
      </c>
      <c r="AD350">
        <v>77</v>
      </c>
      <c r="AG350" t="s">
        <v>884</v>
      </c>
      <c r="AH350" t="s">
        <v>885</v>
      </c>
    </row>
    <row r="351" spans="1:34" x14ac:dyDescent="0.35">
      <c r="A351" t="s">
        <v>880</v>
      </c>
      <c r="B351" t="s">
        <v>881</v>
      </c>
      <c r="C351" t="s">
        <v>882</v>
      </c>
      <c r="D351" t="s">
        <v>4</v>
      </c>
      <c r="E351" t="s">
        <v>883</v>
      </c>
      <c r="F351" t="s">
        <v>545</v>
      </c>
      <c r="G351" t="s">
        <v>534</v>
      </c>
      <c r="H351" t="s">
        <v>533</v>
      </c>
      <c r="I351" t="s">
        <v>820</v>
      </c>
      <c r="J351">
        <v>2017</v>
      </c>
      <c r="K351" t="b">
        <v>0</v>
      </c>
      <c r="X351">
        <v>77.260000000000005</v>
      </c>
      <c r="AD351">
        <v>77</v>
      </c>
      <c r="AG351" t="s">
        <v>884</v>
      </c>
      <c r="AH351" t="s">
        <v>885</v>
      </c>
    </row>
    <row r="352" spans="1:34" x14ac:dyDescent="0.35">
      <c r="A352" t="s">
        <v>880</v>
      </c>
      <c r="B352" t="s">
        <v>881</v>
      </c>
      <c r="C352" t="s">
        <v>882</v>
      </c>
      <c r="D352" t="s">
        <v>0</v>
      </c>
      <c r="E352" t="s">
        <v>887</v>
      </c>
      <c r="F352" t="s">
        <v>545</v>
      </c>
      <c r="G352" t="s">
        <v>24</v>
      </c>
      <c r="H352" t="s">
        <v>23</v>
      </c>
      <c r="I352" t="s">
        <v>820</v>
      </c>
      <c r="J352">
        <v>2017</v>
      </c>
      <c r="K352" t="b">
        <v>0</v>
      </c>
      <c r="X352">
        <v>77.72</v>
      </c>
      <c r="AD352">
        <v>78</v>
      </c>
      <c r="AG352" t="s">
        <v>884</v>
      </c>
      <c r="AH352" t="s">
        <v>885</v>
      </c>
    </row>
    <row r="353" spans="1:34" x14ac:dyDescent="0.35">
      <c r="A353" t="s">
        <v>880</v>
      </c>
      <c r="B353" t="s">
        <v>881</v>
      </c>
      <c r="C353" t="s">
        <v>882</v>
      </c>
      <c r="D353" t="s">
        <v>1</v>
      </c>
      <c r="E353" t="s">
        <v>889</v>
      </c>
      <c r="F353" t="s">
        <v>545</v>
      </c>
      <c r="G353" t="s">
        <v>252</v>
      </c>
      <c r="H353" t="s">
        <v>251</v>
      </c>
      <c r="I353" t="s">
        <v>820</v>
      </c>
      <c r="J353">
        <v>2017</v>
      </c>
      <c r="K353" t="b">
        <v>0</v>
      </c>
      <c r="X353">
        <v>78.27</v>
      </c>
      <c r="AD353">
        <v>78</v>
      </c>
      <c r="AG353" t="s">
        <v>884</v>
      </c>
      <c r="AH353" t="s">
        <v>885</v>
      </c>
    </row>
    <row r="354" spans="1:34" x14ac:dyDescent="0.35">
      <c r="A354" t="s">
        <v>880</v>
      </c>
      <c r="B354" t="s">
        <v>881</v>
      </c>
      <c r="C354" t="s">
        <v>882</v>
      </c>
      <c r="D354" t="s">
        <v>20</v>
      </c>
      <c r="E354" t="s">
        <v>789</v>
      </c>
      <c r="F354" t="s">
        <v>545</v>
      </c>
      <c r="G354" t="s">
        <v>42</v>
      </c>
      <c r="H354" t="s">
        <v>41</v>
      </c>
      <c r="I354" t="s">
        <v>820</v>
      </c>
      <c r="J354">
        <v>2017</v>
      </c>
      <c r="K354" t="b">
        <v>0</v>
      </c>
      <c r="X354">
        <v>77.59</v>
      </c>
      <c r="AD354">
        <v>78</v>
      </c>
      <c r="AG354" t="s">
        <v>884</v>
      </c>
      <c r="AH354" t="s">
        <v>885</v>
      </c>
    </row>
    <row r="355" spans="1:34" x14ac:dyDescent="0.35">
      <c r="A355" t="s">
        <v>880</v>
      </c>
      <c r="B355" t="s">
        <v>881</v>
      </c>
      <c r="C355" t="s">
        <v>882</v>
      </c>
      <c r="D355" t="s">
        <v>1</v>
      </c>
      <c r="E355" t="s">
        <v>889</v>
      </c>
      <c r="F355" t="s">
        <v>545</v>
      </c>
      <c r="G355" t="s">
        <v>274</v>
      </c>
      <c r="H355" t="s">
        <v>273</v>
      </c>
      <c r="I355" t="s">
        <v>820</v>
      </c>
      <c r="J355">
        <v>2017</v>
      </c>
      <c r="K355" t="b">
        <v>0</v>
      </c>
      <c r="X355">
        <v>78.05</v>
      </c>
      <c r="AD355">
        <v>78</v>
      </c>
      <c r="AG355" t="s">
        <v>884</v>
      </c>
      <c r="AH355" t="s">
        <v>885</v>
      </c>
    </row>
    <row r="356" spans="1:34" x14ac:dyDescent="0.35">
      <c r="A356" t="s">
        <v>880</v>
      </c>
      <c r="B356" t="s">
        <v>881</v>
      </c>
      <c r="C356" t="s">
        <v>882</v>
      </c>
      <c r="D356" t="s">
        <v>1</v>
      </c>
      <c r="E356" t="s">
        <v>889</v>
      </c>
      <c r="F356" t="s">
        <v>545</v>
      </c>
      <c r="G356" t="s">
        <v>61</v>
      </c>
      <c r="H356" t="s">
        <v>60</v>
      </c>
      <c r="I356" t="s">
        <v>820</v>
      </c>
      <c r="J356">
        <v>2017</v>
      </c>
      <c r="K356" t="b">
        <v>0</v>
      </c>
      <c r="X356">
        <v>78.430000000000007</v>
      </c>
      <c r="AD356">
        <v>78</v>
      </c>
      <c r="AG356" t="s">
        <v>884</v>
      </c>
      <c r="AH356" t="s">
        <v>885</v>
      </c>
    </row>
    <row r="357" spans="1:34" x14ac:dyDescent="0.35">
      <c r="A357" t="s">
        <v>880</v>
      </c>
      <c r="B357" t="s">
        <v>881</v>
      </c>
      <c r="C357" t="s">
        <v>882</v>
      </c>
      <c r="D357" t="s">
        <v>20</v>
      </c>
      <c r="E357" t="s">
        <v>789</v>
      </c>
      <c r="F357" t="s">
        <v>545</v>
      </c>
      <c r="G357" t="s">
        <v>267</v>
      </c>
      <c r="H357" t="s">
        <v>266</v>
      </c>
      <c r="I357" t="s">
        <v>820</v>
      </c>
      <c r="J357">
        <v>2017</v>
      </c>
      <c r="K357" t="b">
        <v>0</v>
      </c>
      <c r="X357">
        <v>78.739999999999995</v>
      </c>
      <c r="AD357">
        <v>79</v>
      </c>
      <c r="AG357" t="s">
        <v>884</v>
      </c>
      <c r="AH357" t="s">
        <v>885</v>
      </c>
    </row>
    <row r="358" spans="1:34" x14ac:dyDescent="0.35">
      <c r="A358" t="s">
        <v>880</v>
      </c>
      <c r="B358" t="s">
        <v>881</v>
      </c>
      <c r="C358" t="s">
        <v>882</v>
      </c>
      <c r="D358" t="s">
        <v>20</v>
      </c>
      <c r="E358" t="s">
        <v>789</v>
      </c>
      <c r="F358" t="s">
        <v>545</v>
      </c>
      <c r="G358" t="s">
        <v>428</v>
      </c>
      <c r="H358" t="s">
        <v>427</v>
      </c>
      <c r="I358" t="s">
        <v>820</v>
      </c>
      <c r="J358">
        <v>2017</v>
      </c>
      <c r="K358" t="b">
        <v>0</v>
      </c>
      <c r="X358">
        <v>78.69</v>
      </c>
      <c r="AD358">
        <v>79</v>
      </c>
      <c r="AG358" t="s">
        <v>884</v>
      </c>
      <c r="AH358" t="s">
        <v>885</v>
      </c>
    </row>
    <row r="359" spans="1:34" x14ac:dyDescent="0.35">
      <c r="A359" t="s">
        <v>880</v>
      </c>
      <c r="B359" t="s">
        <v>881</v>
      </c>
      <c r="C359" t="s">
        <v>882</v>
      </c>
      <c r="D359" t="s">
        <v>0</v>
      </c>
      <c r="E359" t="s">
        <v>887</v>
      </c>
      <c r="F359" t="s">
        <v>545</v>
      </c>
      <c r="G359" t="s">
        <v>196</v>
      </c>
      <c r="H359" t="s">
        <v>195</v>
      </c>
      <c r="I359" t="s">
        <v>820</v>
      </c>
      <c r="J359">
        <v>2017</v>
      </c>
      <c r="K359" t="b">
        <v>0</v>
      </c>
      <c r="X359">
        <v>79.98</v>
      </c>
      <c r="AD359">
        <v>80</v>
      </c>
      <c r="AG359" t="s">
        <v>884</v>
      </c>
      <c r="AH359" t="s">
        <v>885</v>
      </c>
    </row>
    <row r="360" spans="1:34" x14ac:dyDescent="0.35">
      <c r="A360" t="s">
        <v>880</v>
      </c>
      <c r="B360" t="s">
        <v>881</v>
      </c>
      <c r="C360" t="s">
        <v>882</v>
      </c>
      <c r="D360" t="s">
        <v>20</v>
      </c>
      <c r="E360" t="s">
        <v>789</v>
      </c>
      <c r="F360" t="s">
        <v>545</v>
      </c>
      <c r="G360" t="s">
        <v>363</v>
      </c>
      <c r="H360" t="s">
        <v>362</v>
      </c>
      <c r="I360" t="s">
        <v>820</v>
      </c>
      <c r="J360">
        <v>2017</v>
      </c>
      <c r="K360" t="b">
        <v>0</v>
      </c>
      <c r="X360">
        <v>79.569999999999993</v>
      </c>
      <c r="AD360">
        <v>80</v>
      </c>
      <c r="AG360" t="s">
        <v>884</v>
      </c>
      <c r="AH360" t="s">
        <v>885</v>
      </c>
    </row>
    <row r="361" spans="1:34" x14ac:dyDescent="0.35">
      <c r="A361" t="s">
        <v>880</v>
      </c>
      <c r="B361" t="s">
        <v>881</v>
      </c>
      <c r="C361" t="s">
        <v>882</v>
      </c>
      <c r="D361" t="s">
        <v>43</v>
      </c>
      <c r="E361" t="s">
        <v>890</v>
      </c>
      <c r="F361" t="s">
        <v>545</v>
      </c>
      <c r="G361" t="s">
        <v>168</v>
      </c>
      <c r="H361" t="s">
        <v>167</v>
      </c>
      <c r="I361" t="s">
        <v>820</v>
      </c>
      <c r="J361">
        <v>2017</v>
      </c>
      <c r="K361" t="b">
        <v>0</v>
      </c>
      <c r="X361">
        <v>80.16</v>
      </c>
      <c r="AD361">
        <v>80</v>
      </c>
      <c r="AG361" t="s">
        <v>884</v>
      </c>
      <c r="AH361" t="s">
        <v>885</v>
      </c>
    </row>
    <row r="362" spans="1:34" x14ac:dyDescent="0.35">
      <c r="A362" t="s">
        <v>880</v>
      </c>
      <c r="B362" t="s">
        <v>881</v>
      </c>
      <c r="C362" t="s">
        <v>882</v>
      </c>
      <c r="D362" t="s">
        <v>20</v>
      </c>
      <c r="E362" t="s">
        <v>789</v>
      </c>
      <c r="F362" t="s">
        <v>545</v>
      </c>
      <c r="G362" t="s">
        <v>222</v>
      </c>
      <c r="H362" t="s">
        <v>221</v>
      </c>
      <c r="I362" t="s">
        <v>820</v>
      </c>
      <c r="J362">
        <v>2017</v>
      </c>
      <c r="K362" t="b">
        <v>0</v>
      </c>
      <c r="X362">
        <v>80.8</v>
      </c>
      <c r="AD362">
        <v>81</v>
      </c>
      <c r="AG362" t="s">
        <v>884</v>
      </c>
      <c r="AH362" t="s">
        <v>885</v>
      </c>
    </row>
    <row r="363" spans="1:34" x14ac:dyDescent="0.35">
      <c r="A363" t="s">
        <v>880</v>
      </c>
      <c r="B363" t="s">
        <v>881</v>
      </c>
      <c r="C363" t="s">
        <v>882</v>
      </c>
      <c r="D363" t="s">
        <v>1</v>
      </c>
      <c r="E363" t="s">
        <v>889</v>
      </c>
      <c r="F363" t="s">
        <v>545</v>
      </c>
      <c r="G363" t="s">
        <v>264</v>
      </c>
      <c r="H363" t="s">
        <v>263</v>
      </c>
      <c r="I363" t="s">
        <v>820</v>
      </c>
      <c r="J363">
        <v>2017</v>
      </c>
      <c r="K363" t="b">
        <v>0</v>
      </c>
      <c r="X363">
        <v>80.569999999999993</v>
      </c>
      <c r="AD363">
        <v>81</v>
      </c>
      <c r="AG363" t="s">
        <v>884</v>
      </c>
      <c r="AH363" t="s">
        <v>885</v>
      </c>
    </row>
    <row r="364" spans="1:34" x14ac:dyDescent="0.35">
      <c r="A364" t="s">
        <v>880</v>
      </c>
      <c r="B364" t="s">
        <v>881</v>
      </c>
      <c r="C364" t="s">
        <v>882</v>
      </c>
      <c r="D364" t="s">
        <v>20</v>
      </c>
      <c r="E364" t="s">
        <v>789</v>
      </c>
      <c r="F364" t="s">
        <v>545</v>
      </c>
      <c r="G364" t="s">
        <v>410</v>
      </c>
      <c r="H364" t="s">
        <v>409</v>
      </c>
      <c r="I364" t="s">
        <v>820</v>
      </c>
      <c r="J364">
        <v>2017</v>
      </c>
      <c r="K364" t="b">
        <v>0</v>
      </c>
      <c r="X364">
        <v>80.92</v>
      </c>
      <c r="AD364">
        <v>81</v>
      </c>
      <c r="AG364" t="s">
        <v>884</v>
      </c>
      <c r="AH364" t="s">
        <v>885</v>
      </c>
    </row>
    <row r="365" spans="1:34" x14ac:dyDescent="0.35">
      <c r="A365" t="s">
        <v>880</v>
      </c>
      <c r="B365" t="s">
        <v>881</v>
      </c>
      <c r="C365" t="s">
        <v>882</v>
      </c>
      <c r="D365" t="s">
        <v>20</v>
      </c>
      <c r="E365" t="s">
        <v>789</v>
      </c>
      <c r="F365" t="s">
        <v>545</v>
      </c>
      <c r="G365" t="s">
        <v>112</v>
      </c>
      <c r="H365" t="s">
        <v>111</v>
      </c>
      <c r="I365" t="s">
        <v>820</v>
      </c>
      <c r="J365">
        <v>2017</v>
      </c>
      <c r="K365" t="b">
        <v>0</v>
      </c>
      <c r="X365">
        <v>82.17</v>
      </c>
      <c r="AD365">
        <v>82</v>
      </c>
      <c r="AG365" t="s">
        <v>884</v>
      </c>
      <c r="AH365" t="s">
        <v>885</v>
      </c>
    </row>
    <row r="366" spans="1:34" x14ac:dyDescent="0.35">
      <c r="A366" t="s">
        <v>880</v>
      </c>
      <c r="B366" t="s">
        <v>881</v>
      </c>
      <c r="C366" t="s">
        <v>882</v>
      </c>
      <c r="D366" t="s">
        <v>20</v>
      </c>
      <c r="E366" t="s">
        <v>789</v>
      </c>
      <c r="F366" t="s">
        <v>545</v>
      </c>
      <c r="G366" t="s">
        <v>328</v>
      </c>
      <c r="H366" t="s">
        <v>327</v>
      </c>
      <c r="I366" t="s">
        <v>820</v>
      </c>
      <c r="J366">
        <v>2017</v>
      </c>
      <c r="K366" t="b">
        <v>0</v>
      </c>
      <c r="X366">
        <v>82.36</v>
      </c>
      <c r="AD366">
        <v>82</v>
      </c>
      <c r="AG366" t="s">
        <v>884</v>
      </c>
      <c r="AH366" t="s">
        <v>885</v>
      </c>
    </row>
    <row r="367" spans="1:34" x14ac:dyDescent="0.35">
      <c r="A367" t="s">
        <v>880</v>
      </c>
      <c r="B367" t="s">
        <v>881</v>
      </c>
      <c r="C367" t="s">
        <v>882</v>
      </c>
      <c r="D367" t="s">
        <v>1</v>
      </c>
      <c r="E367" t="s">
        <v>889</v>
      </c>
      <c r="F367" t="s">
        <v>545</v>
      </c>
      <c r="G367" t="s">
        <v>543</v>
      </c>
      <c r="H367" t="s">
        <v>542</v>
      </c>
      <c r="I367" t="s">
        <v>820</v>
      </c>
      <c r="J367">
        <v>2017</v>
      </c>
      <c r="K367" t="b">
        <v>0</v>
      </c>
      <c r="X367">
        <v>82.12</v>
      </c>
      <c r="AD367">
        <v>82</v>
      </c>
      <c r="AG367" t="s">
        <v>884</v>
      </c>
      <c r="AH367" t="s">
        <v>885</v>
      </c>
    </row>
    <row r="368" spans="1:34" x14ac:dyDescent="0.35">
      <c r="A368" t="s">
        <v>880</v>
      </c>
      <c r="B368" t="s">
        <v>881</v>
      </c>
      <c r="C368" t="s">
        <v>882</v>
      </c>
      <c r="D368" t="s">
        <v>20</v>
      </c>
      <c r="E368" t="s">
        <v>789</v>
      </c>
      <c r="F368" t="s">
        <v>545</v>
      </c>
      <c r="G368" t="s">
        <v>289</v>
      </c>
      <c r="H368" t="s">
        <v>288</v>
      </c>
      <c r="I368" t="s">
        <v>820</v>
      </c>
      <c r="J368">
        <v>2017</v>
      </c>
      <c r="K368" t="b">
        <v>0</v>
      </c>
      <c r="X368">
        <v>83.07</v>
      </c>
      <c r="AD368">
        <v>83</v>
      </c>
      <c r="AG368" t="s">
        <v>884</v>
      </c>
      <c r="AH368" t="s">
        <v>885</v>
      </c>
    </row>
    <row r="369" spans="1:34" x14ac:dyDescent="0.35">
      <c r="A369" t="s">
        <v>880</v>
      </c>
      <c r="B369" t="s">
        <v>881</v>
      </c>
      <c r="C369" t="s">
        <v>882</v>
      </c>
      <c r="D369" t="s">
        <v>20</v>
      </c>
      <c r="E369" t="s">
        <v>789</v>
      </c>
      <c r="F369" t="s">
        <v>545</v>
      </c>
      <c r="G369" t="s">
        <v>144</v>
      </c>
      <c r="H369" t="s">
        <v>143</v>
      </c>
      <c r="I369" t="s">
        <v>820</v>
      </c>
      <c r="J369">
        <v>2017</v>
      </c>
      <c r="K369" t="b">
        <v>0</v>
      </c>
      <c r="X369">
        <v>83.96</v>
      </c>
      <c r="AD369">
        <v>84</v>
      </c>
      <c r="AG369" t="s">
        <v>884</v>
      </c>
      <c r="AH369" t="s">
        <v>885</v>
      </c>
    </row>
    <row r="370" spans="1:34" x14ac:dyDescent="0.35">
      <c r="A370" t="s">
        <v>880</v>
      </c>
      <c r="B370" t="s">
        <v>881</v>
      </c>
      <c r="C370" t="s">
        <v>882</v>
      </c>
      <c r="D370" t="s">
        <v>20</v>
      </c>
      <c r="E370" t="s">
        <v>789</v>
      </c>
      <c r="F370" t="s">
        <v>545</v>
      </c>
      <c r="G370" t="s">
        <v>86</v>
      </c>
      <c r="H370" t="s">
        <v>85</v>
      </c>
      <c r="I370" t="s">
        <v>820</v>
      </c>
      <c r="J370">
        <v>2017</v>
      </c>
      <c r="K370" t="b">
        <v>0</v>
      </c>
      <c r="X370">
        <v>83.59</v>
      </c>
      <c r="AD370">
        <v>84</v>
      </c>
      <c r="AG370" t="s">
        <v>884</v>
      </c>
      <c r="AH370" t="s">
        <v>885</v>
      </c>
    </row>
    <row r="371" spans="1:34" x14ac:dyDescent="0.35">
      <c r="A371" t="s">
        <v>880</v>
      </c>
      <c r="B371" t="s">
        <v>881</v>
      </c>
      <c r="C371" t="s">
        <v>882</v>
      </c>
      <c r="D371" t="s">
        <v>20</v>
      </c>
      <c r="E371" t="s">
        <v>789</v>
      </c>
      <c r="F371" t="s">
        <v>545</v>
      </c>
      <c r="G371" t="s">
        <v>503</v>
      </c>
      <c r="H371" t="s">
        <v>502</v>
      </c>
      <c r="I371" t="s">
        <v>820</v>
      </c>
      <c r="J371">
        <v>2017</v>
      </c>
      <c r="K371" t="b">
        <v>0</v>
      </c>
      <c r="X371">
        <v>83.54</v>
      </c>
      <c r="AD371">
        <v>84</v>
      </c>
      <c r="AG371" t="s">
        <v>884</v>
      </c>
      <c r="AH371" t="s">
        <v>885</v>
      </c>
    </row>
    <row r="372" spans="1:34" x14ac:dyDescent="0.35">
      <c r="A372" t="s">
        <v>880</v>
      </c>
      <c r="B372" t="s">
        <v>881</v>
      </c>
      <c r="C372" t="s">
        <v>882</v>
      </c>
      <c r="D372" t="s">
        <v>0</v>
      </c>
      <c r="E372" t="s">
        <v>887</v>
      </c>
      <c r="F372" t="s">
        <v>545</v>
      </c>
      <c r="G372" t="s">
        <v>127</v>
      </c>
      <c r="H372" t="s">
        <v>126</v>
      </c>
      <c r="I372" t="s">
        <v>820</v>
      </c>
      <c r="J372">
        <v>2017</v>
      </c>
      <c r="K372" t="b">
        <v>0</v>
      </c>
      <c r="X372">
        <v>83.99</v>
      </c>
      <c r="AD372">
        <v>84</v>
      </c>
      <c r="AG372" t="s">
        <v>884</v>
      </c>
      <c r="AH372" t="s">
        <v>885</v>
      </c>
    </row>
    <row r="373" spans="1:34" x14ac:dyDescent="0.35">
      <c r="A373" t="s">
        <v>880</v>
      </c>
      <c r="B373" t="s">
        <v>881</v>
      </c>
      <c r="C373" t="s">
        <v>882</v>
      </c>
      <c r="D373" t="s">
        <v>20</v>
      </c>
      <c r="E373" t="s">
        <v>789</v>
      </c>
      <c r="F373" t="s">
        <v>545</v>
      </c>
      <c r="G373" t="s">
        <v>94</v>
      </c>
      <c r="H373" t="s">
        <v>93</v>
      </c>
      <c r="I373" t="s">
        <v>820</v>
      </c>
      <c r="J373">
        <v>2017</v>
      </c>
      <c r="K373" t="b">
        <v>0</v>
      </c>
      <c r="X373">
        <v>83.93</v>
      </c>
      <c r="AD373">
        <v>84</v>
      </c>
      <c r="AG373" t="s">
        <v>884</v>
      </c>
      <c r="AH373" t="s">
        <v>885</v>
      </c>
    </row>
    <row r="374" spans="1:34" x14ac:dyDescent="0.35">
      <c r="A374" t="s">
        <v>880</v>
      </c>
      <c r="B374" t="s">
        <v>881</v>
      </c>
      <c r="C374" t="s">
        <v>882</v>
      </c>
      <c r="D374" t="s">
        <v>20</v>
      </c>
      <c r="E374" t="s">
        <v>789</v>
      </c>
      <c r="F374" t="s">
        <v>545</v>
      </c>
      <c r="G374" t="s">
        <v>208</v>
      </c>
      <c r="H374" t="s">
        <v>207</v>
      </c>
      <c r="I374" t="s">
        <v>820</v>
      </c>
      <c r="J374">
        <v>2017</v>
      </c>
      <c r="K374" t="b">
        <v>0</v>
      </c>
      <c r="X374">
        <v>84.23</v>
      </c>
      <c r="AD374">
        <v>84</v>
      </c>
      <c r="AG374" t="s">
        <v>884</v>
      </c>
      <c r="AH374" t="s">
        <v>885</v>
      </c>
    </row>
    <row r="375" spans="1:34" x14ac:dyDescent="0.35">
      <c r="A375" t="s">
        <v>880</v>
      </c>
      <c r="B375" t="s">
        <v>881</v>
      </c>
      <c r="C375" t="s">
        <v>882</v>
      </c>
      <c r="D375" t="s">
        <v>20</v>
      </c>
      <c r="E375" t="s">
        <v>789</v>
      </c>
      <c r="F375" t="s">
        <v>545</v>
      </c>
      <c r="G375" t="s">
        <v>202</v>
      </c>
      <c r="H375" t="s">
        <v>201</v>
      </c>
      <c r="I375" t="s">
        <v>820</v>
      </c>
      <c r="J375">
        <v>2017</v>
      </c>
      <c r="K375" t="b">
        <v>0</v>
      </c>
      <c r="X375">
        <v>83.86</v>
      </c>
      <c r="AD375">
        <v>84</v>
      </c>
      <c r="AG375" t="s">
        <v>884</v>
      </c>
      <c r="AH375" t="s">
        <v>885</v>
      </c>
    </row>
    <row r="376" spans="1:34" x14ac:dyDescent="0.35">
      <c r="A376" t="s">
        <v>880</v>
      </c>
      <c r="B376" t="s">
        <v>881</v>
      </c>
      <c r="C376" t="s">
        <v>882</v>
      </c>
      <c r="D376" t="s">
        <v>20</v>
      </c>
      <c r="E376" t="s">
        <v>789</v>
      </c>
      <c r="F376" t="s">
        <v>545</v>
      </c>
      <c r="G376" t="s">
        <v>135</v>
      </c>
      <c r="H376" t="s">
        <v>134</v>
      </c>
      <c r="I376" t="s">
        <v>820</v>
      </c>
      <c r="J376">
        <v>2017</v>
      </c>
      <c r="K376" t="b">
        <v>0</v>
      </c>
      <c r="X376">
        <v>84.52</v>
      </c>
      <c r="AD376">
        <v>85</v>
      </c>
      <c r="AG376" t="s">
        <v>884</v>
      </c>
      <c r="AH376" t="s">
        <v>885</v>
      </c>
    </row>
    <row r="377" spans="1:34" x14ac:dyDescent="0.35">
      <c r="A377" t="s">
        <v>880</v>
      </c>
      <c r="B377" t="s">
        <v>881</v>
      </c>
      <c r="C377" t="s">
        <v>882</v>
      </c>
      <c r="D377" t="s">
        <v>20</v>
      </c>
      <c r="E377" t="s">
        <v>789</v>
      </c>
      <c r="F377" t="s">
        <v>545</v>
      </c>
      <c r="G377" t="s">
        <v>71</v>
      </c>
      <c r="H377" t="s">
        <v>70</v>
      </c>
      <c r="I377" t="s">
        <v>820</v>
      </c>
      <c r="J377">
        <v>2017</v>
      </c>
      <c r="K377" t="b">
        <v>0</v>
      </c>
      <c r="X377">
        <v>85.23</v>
      </c>
      <c r="AD377">
        <v>85</v>
      </c>
      <c r="AG377" t="s">
        <v>884</v>
      </c>
      <c r="AH377" t="s">
        <v>885</v>
      </c>
    </row>
    <row r="378" spans="1:34" x14ac:dyDescent="0.35">
      <c r="A378" t="s">
        <v>880</v>
      </c>
      <c r="B378" t="s">
        <v>881</v>
      </c>
      <c r="C378" t="s">
        <v>882</v>
      </c>
      <c r="D378" t="s">
        <v>20</v>
      </c>
      <c r="E378" t="s">
        <v>789</v>
      </c>
      <c r="F378" t="s">
        <v>545</v>
      </c>
      <c r="G378" t="s">
        <v>129</v>
      </c>
      <c r="H378" t="s">
        <v>128</v>
      </c>
      <c r="I378" t="s">
        <v>820</v>
      </c>
      <c r="J378">
        <v>2017</v>
      </c>
      <c r="K378" t="b">
        <v>0</v>
      </c>
      <c r="X378">
        <v>85.44</v>
      </c>
      <c r="AD378">
        <v>85</v>
      </c>
      <c r="AG378" t="s">
        <v>884</v>
      </c>
      <c r="AH378" t="s">
        <v>885</v>
      </c>
    </row>
    <row r="379" spans="1:34" x14ac:dyDescent="0.35">
      <c r="A379" t="s">
        <v>880</v>
      </c>
      <c r="B379" t="s">
        <v>881</v>
      </c>
      <c r="C379" t="s">
        <v>882</v>
      </c>
      <c r="D379" t="s">
        <v>0</v>
      </c>
      <c r="E379" t="s">
        <v>887</v>
      </c>
      <c r="F379" t="s">
        <v>545</v>
      </c>
      <c r="G379" t="s">
        <v>187</v>
      </c>
      <c r="H379" t="s">
        <v>186</v>
      </c>
      <c r="I379" t="s">
        <v>820</v>
      </c>
      <c r="J379">
        <v>2017</v>
      </c>
      <c r="K379" t="b">
        <v>0</v>
      </c>
      <c r="X379">
        <v>85.3</v>
      </c>
      <c r="AD379">
        <v>85</v>
      </c>
      <c r="AG379" t="s">
        <v>884</v>
      </c>
      <c r="AH379" t="s">
        <v>885</v>
      </c>
    </row>
    <row r="380" spans="1:34" x14ac:dyDescent="0.35">
      <c r="A380" t="s">
        <v>880</v>
      </c>
      <c r="B380" t="s">
        <v>881</v>
      </c>
      <c r="C380" t="s">
        <v>882</v>
      </c>
      <c r="D380" t="s">
        <v>20</v>
      </c>
      <c r="E380" t="s">
        <v>789</v>
      </c>
      <c r="F380" t="s">
        <v>545</v>
      </c>
      <c r="G380" t="s">
        <v>156</v>
      </c>
      <c r="H380" t="s">
        <v>155</v>
      </c>
      <c r="I380" t="s">
        <v>820</v>
      </c>
      <c r="J380">
        <v>2017</v>
      </c>
      <c r="K380" t="b">
        <v>0</v>
      </c>
      <c r="X380">
        <v>84.64</v>
      </c>
      <c r="AD380">
        <v>85</v>
      </c>
      <c r="AG380" t="s">
        <v>884</v>
      </c>
      <c r="AH380" t="s">
        <v>885</v>
      </c>
    </row>
    <row r="381" spans="1:34" x14ac:dyDescent="0.35">
      <c r="A381" t="s">
        <v>880</v>
      </c>
      <c r="B381" t="s">
        <v>881</v>
      </c>
      <c r="C381" t="s">
        <v>882</v>
      </c>
      <c r="D381" t="s">
        <v>0</v>
      </c>
      <c r="E381" t="s">
        <v>887</v>
      </c>
      <c r="F381" t="s">
        <v>545</v>
      </c>
      <c r="G381" t="s">
        <v>425</v>
      </c>
      <c r="H381" t="s">
        <v>424</v>
      </c>
      <c r="I381" t="s">
        <v>820</v>
      </c>
      <c r="J381">
        <v>2017</v>
      </c>
      <c r="K381" t="b">
        <v>0</v>
      </c>
      <c r="X381">
        <v>85.09</v>
      </c>
      <c r="AD381">
        <v>85</v>
      </c>
      <c r="AG381" t="s">
        <v>884</v>
      </c>
      <c r="AH381" t="s">
        <v>885</v>
      </c>
    </row>
    <row r="382" spans="1:34" x14ac:dyDescent="0.35">
      <c r="A382" t="s">
        <v>880</v>
      </c>
      <c r="B382" t="s">
        <v>881</v>
      </c>
      <c r="C382" t="s">
        <v>882</v>
      </c>
      <c r="D382" t="s">
        <v>20</v>
      </c>
      <c r="E382" t="s">
        <v>789</v>
      </c>
      <c r="F382" t="s">
        <v>545</v>
      </c>
      <c r="G382" t="s">
        <v>162</v>
      </c>
      <c r="H382" t="s">
        <v>161</v>
      </c>
      <c r="I382" t="s">
        <v>820</v>
      </c>
      <c r="J382">
        <v>2017</v>
      </c>
      <c r="K382" t="b">
        <v>0</v>
      </c>
      <c r="X382">
        <v>84.91</v>
      </c>
      <c r="AD382">
        <v>85</v>
      </c>
      <c r="AG382" t="s">
        <v>884</v>
      </c>
      <c r="AH382" t="s">
        <v>885</v>
      </c>
    </row>
    <row r="383" spans="1:34" x14ac:dyDescent="0.35">
      <c r="A383" t="s">
        <v>880</v>
      </c>
      <c r="B383" t="s">
        <v>881</v>
      </c>
      <c r="C383" t="s">
        <v>882</v>
      </c>
      <c r="D383" t="s">
        <v>20</v>
      </c>
      <c r="E383" t="s">
        <v>789</v>
      </c>
      <c r="F383" t="s">
        <v>545</v>
      </c>
      <c r="G383" t="s">
        <v>316</v>
      </c>
      <c r="H383" t="s">
        <v>315</v>
      </c>
      <c r="I383" t="s">
        <v>820</v>
      </c>
      <c r="J383">
        <v>2017</v>
      </c>
      <c r="K383" t="b">
        <v>0</v>
      </c>
      <c r="X383">
        <v>85.53</v>
      </c>
      <c r="AD383">
        <v>86</v>
      </c>
      <c r="AG383" t="s">
        <v>884</v>
      </c>
      <c r="AH383" t="s">
        <v>885</v>
      </c>
    </row>
    <row r="384" spans="1:34" x14ac:dyDescent="0.35">
      <c r="A384" t="s">
        <v>880</v>
      </c>
      <c r="B384" t="s">
        <v>881</v>
      </c>
      <c r="C384" t="s">
        <v>882</v>
      </c>
      <c r="D384" t="s">
        <v>0</v>
      </c>
      <c r="E384" t="s">
        <v>887</v>
      </c>
      <c r="F384" t="s">
        <v>545</v>
      </c>
      <c r="G384" t="s">
        <v>339</v>
      </c>
      <c r="H384" t="s">
        <v>338</v>
      </c>
      <c r="I384" t="s">
        <v>820</v>
      </c>
      <c r="J384">
        <v>2017</v>
      </c>
      <c r="K384" t="b">
        <v>0</v>
      </c>
      <c r="X384">
        <v>86.09</v>
      </c>
      <c r="AD384">
        <v>86</v>
      </c>
      <c r="AG384" t="s">
        <v>884</v>
      </c>
      <c r="AH384" t="s">
        <v>885</v>
      </c>
    </row>
    <row r="385" spans="1:34" x14ac:dyDescent="0.35">
      <c r="A385" t="s">
        <v>880</v>
      </c>
      <c r="B385" t="s">
        <v>881</v>
      </c>
      <c r="C385" t="s">
        <v>882</v>
      </c>
      <c r="D385" t="s">
        <v>20</v>
      </c>
      <c r="E385" t="s">
        <v>789</v>
      </c>
      <c r="F385" t="s">
        <v>545</v>
      </c>
      <c r="G385" t="s">
        <v>165</v>
      </c>
      <c r="H385" t="s">
        <v>164</v>
      </c>
      <c r="I385" t="s">
        <v>820</v>
      </c>
      <c r="J385">
        <v>2017</v>
      </c>
      <c r="K385" t="b">
        <v>0</v>
      </c>
      <c r="X385">
        <v>86.05</v>
      </c>
      <c r="AD385">
        <v>86</v>
      </c>
      <c r="AG385" t="s">
        <v>884</v>
      </c>
      <c r="AH385" t="s">
        <v>885</v>
      </c>
    </row>
    <row r="386" spans="1:34" x14ac:dyDescent="0.35">
      <c r="A386" t="s">
        <v>880</v>
      </c>
      <c r="B386" t="s">
        <v>881</v>
      </c>
      <c r="C386" t="s">
        <v>882</v>
      </c>
      <c r="D386" t="s">
        <v>20</v>
      </c>
      <c r="E386" t="s">
        <v>789</v>
      </c>
      <c r="F386" t="s">
        <v>545</v>
      </c>
      <c r="G386" t="s">
        <v>518</v>
      </c>
      <c r="H386" t="s">
        <v>517</v>
      </c>
      <c r="I386" t="s">
        <v>820</v>
      </c>
      <c r="J386">
        <v>2017</v>
      </c>
      <c r="K386" t="b">
        <v>0</v>
      </c>
      <c r="X386">
        <v>85.74</v>
      </c>
      <c r="AD386">
        <v>86</v>
      </c>
      <c r="AG386" t="s">
        <v>884</v>
      </c>
      <c r="AH386" t="s">
        <v>885</v>
      </c>
    </row>
    <row r="387" spans="1:34" x14ac:dyDescent="0.35">
      <c r="A387" t="s">
        <v>880</v>
      </c>
      <c r="B387" t="s">
        <v>881</v>
      </c>
      <c r="C387" t="s">
        <v>882</v>
      </c>
      <c r="D387" t="s">
        <v>0</v>
      </c>
      <c r="E387" t="s">
        <v>887</v>
      </c>
      <c r="F387" t="s">
        <v>545</v>
      </c>
      <c r="G387" t="s">
        <v>12</v>
      </c>
      <c r="H387" t="s">
        <v>11</v>
      </c>
      <c r="I387" t="s">
        <v>820</v>
      </c>
      <c r="J387">
        <v>2017</v>
      </c>
      <c r="K387" t="b">
        <v>0</v>
      </c>
      <c r="X387">
        <v>86.65</v>
      </c>
      <c r="AD387">
        <v>87</v>
      </c>
      <c r="AG387" t="s">
        <v>884</v>
      </c>
      <c r="AH387" t="s">
        <v>885</v>
      </c>
    </row>
    <row r="388" spans="1:34" x14ac:dyDescent="0.35">
      <c r="A388" t="s">
        <v>880</v>
      </c>
      <c r="B388" t="s">
        <v>881</v>
      </c>
      <c r="C388" t="s">
        <v>882</v>
      </c>
      <c r="D388" t="s">
        <v>20</v>
      </c>
      <c r="E388" t="s">
        <v>789</v>
      </c>
      <c r="F388" t="s">
        <v>545</v>
      </c>
      <c r="G388" t="s">
        <v>536</v>
      </c>
      <c r="H388" t="s">
        <v>535</v>
      </c>
      <c r="I388" t="s">
        <v>820</v>
      </c>
      <c r="J388">
        <v>2017</v>
      </c>
      <c r="K388" t="b">
        <v>0</v>
      </c>
      <c r="X388">
        <v>87.22</v>
      </c>
      <c r="AD388">
        <v>87</v>
      </c>
      <c r="AG388" t="s">
        <v>884</v>
      </c>
      <c r="AH388" t="s">
        <v>885</v>
      </c>
    </row>
    <row r="389" spans="1:34" x14ac:dyDescent="0.35">
      <c r="A389" t="s">
        <v>880</v>
      </c>
      <c r="B389" t="s">
        <v>881</v>
      </c>
      <c r="C389" t="s">
        <v>882</v>
      </c>
      <c r="D389" t="s">
        <v>1</v>
      </c>
      <c r="E389" t="s">
        <v>889</v>
      </c>
      <c r="F389" t="s">
        <v>545</v>
      </c>
      <c r="G389" t="s">
        <v>29</v>
      </c>
      <c r="H389" t="s">
        <v>28</v>
      </c>
      <c r="I389" t="s">
        <v>820</v>
      </c>
      <c r="J389">
        <v>2017</v>
      </c>
      <c r="K389" t="b">
        <v>0</v>
      </c>
      <c r="X389">
        <v>88.97</v>
      </c>
      <c r="AD389">
        <v>89</v>
      </c>
      <c r="AG389" t="s">
        <v>884</v>
      </c>
      <c r="AH389" t="s">
        <v>885</v>
      </c>
    </row>
    <row r="390" spans="1:34" x14ac:dyDescent="0.35">
      <c r="A390" t="s">
        <v>880</v>
      </c>
      <c r="B390" t="s">
        <v>881</v>
      </c>
      <c r="C390" t="s">
        <v>882</v>
      </c>
      <c r="D390" t="s">
        <v>4</v>
      </c>
      <c r="E390" t="s">
        <v>883</v>
      </c>
      <c r="F390" t="s">
        <v>545</v>
      </c>
      <c r="G390" t="s">
        <v>77</v>
      </c>
      <c r="H390" t="s">
        <v>76</v>
      </c>
      <c r="I390" t="s">
        <v>820</v>
      </c>
      <c r="J390">
        <v>2015</v>
      </c>
      <c r="K390" t="b">
        <v>0</v>
      </c>
      <c r="X390">
        <v>24.34</v>
      </c>
      <c r="AD390">
        <v>24</v>
      </c>
      <c r="AG390" t="s">
        <v>884</v>
      </c>
      <c r="AH390" t="s">
        <v>885</v>
      </c>
    </row>
    <row r="391" spans="1:34" x14ac:dyDescent="0.35">
      <c r="A391" t="s">
        <v>880</v>
      </c>
      <c r="B391" t="s">
        <v>881</v>
      </c>
      <c r="C391" t="s">
        <v>882</v>
      </c>
      <c r="D391" t="s">
        <v>25</v>
      </c>
      <c r="E391" t="s">
        <v>886</v>
      </c>
      <c r="F391" t="s">
        <v>545</v>
      </c>
      <c r="G391" t="s">
        <v>249</v>
      </c>
      <c r="H391" t="s">
        <v>248</v>
      </c>
      <c r="I391" t="s">
        <v>820</v>
      </c>
      <c r="J391">
        <v>2015</v>
      </c>
      <c r="K391" t="b">
        <v>0</v>
      </c>
      <c r="X391">
        <v>28.15</v>
      </c>
      <c r="AD391">
        <v>28</v>
      </c>
      <c r="AG391" t="s">
        <v>884</v>
      </c>
      <c r="AH391" t="s">
        <v>885</v>
      </c>
    </row>
    <row r="392" spans="1:34" x14ac:dyDescent="0.35">
      <c r="A392" t="s">
        <v>880</v>
      </c>
      <c r="B392" t="s">
        <v>881</v>
      </c>
      <c r="C392" t="s">
        <v>882</v>
      </c>
      <c r="D392" t="s">
        <v>25</v>
      </c>
      <c r="E392" t="s">
        <v>886</v>
      </c>
      <c r="F392" t="s">
        <v>545</v>
      </c>
      <c r="G392" t="s">
        <v>434</v>
      </c>
      <c r="H392" t="s">
        <v>433</v>
      </c>
      <c r="I392" t="s">
        <v>820</v>
      </c>
      <c r="J392">
        <v>2015</v>
      </c>
      <c r="K392" t="b">
        <v>0</v>
      </c>
      <c r="X392">
        <v>28.34</v>
      </c>
      <c r="AD392">
        <v>28</v>
      </c>
      <c r="AG392" t="s">
        <v>884</v>
      </c>
      <c r="AH392" t="s">
        <v>885</v>
      </c>
    </row>
    <row r="393" spans="1:34" x14ac:dyDescent="0.35">
      <c r="A393" t="s">
        <v>880</v>
      </c>
      <c r="B393" t="s">
        <v>881</v>
      </c>
      <c r="C393" t="s">
        <v>882</v>
      </c>
      <c r="D393" t="s">
        <v>25</v>
      </c>
      <c r="E393" t="s">
        <v>886</v>
      </c>
      <c r="F393" t="s">
        <v>545</v>
      </c>
      <c r="G393" t="s">
        <v>31</v>
      </c>
      <c r="H393" t="s">
        <v>30</v>
      </c>
      <c r="I393" t="s">
        <v>820</v>
      </c>
      <c r="J393">
        <v>2015</v>
      </c>
      <c r="K393" t="b">
        <v>0</v>
      </c>
      <c r="X393">
        <v>29.8</v>
      </c>
      <c r="AD393">
        <v>30</v>
      </c>
      <c r="AG393" t="s">
        <v>884</v>
      </c>
      <c r="AH393" t="s">
        <v>885</v>
      </c>
    </row>
    <row r="394" spans="1:34" x14ac:dyDescent="0.35">
      <c r="A394" t="s">
        <v>880</v>
      </c>
      <c r="B394" t="s">
        <v>881</v>
      </c>
      <c r="C394" t="s">
        <v>882</v>
      </c>
      <c r="D394" t="s">
        <v>25</v>
      </c>
      <c r="E394" t="s">
        <v>886</v>
      </c>
      <c r="F394" t="s">
        <v>545</v>
      </c>
      <c r="G394" t="s">
        <v>351</v>
      </c>
      <c r="H394" t="s">
        <v>350</v>
      </c>
      <c r="I394" t="s">
        <v>820</v>
      </c>
      <c r="J394">
        <v>2015</v>
      </c>
      <c r="K394" t="b">
        <v>0</v>
      </c>
      <c r="X394">
        <v>30.93</v>
      </c>
      <c r="AD394">
        <v>31</v>
      </c>
      <c r="AG394" t="s">
        <v>884</v>
      </c>
      <c r="AH394" t="s">
        <v>885</v>
      </c>
    </row>
    <row r="395" spans="1:34" x14ac:dyDescent="0.35">
      <c r="A395" t="s">
        <v>880</v>
      </c>
      <c r="B395" t="s">
        <v>881</v>
      </c>
      <c r="C395" t="s">
        <v>882</v>
      </c>
      <c r="D395" t="s">
        <v>4</v>
      </c>
      <c r="E395" t="s">
        <v>883</v>
      </c>
      <c r="F395" t="s">
        <v>545</v>
      </c>
      <c r="G395" t="s">
        <v>114</v>
      </c>
      <c r="H395" t="s">
        <v>113</v>
      </c>
      <c r="I395" t="s">
        <v>820</v>
      </c>
      <c r="J395">
        <v>2015</v>
      </c>
      <c r="K395" t="b">
        <v>0</v>
      </c>
      <c r="X395">
        <v>32.19</v>
      </c>
      <c r="AD395">
        <v>32</v>
      </c>
      <c r="AG395" t="s">
        <v>884</v>
      </c>
      <c r="AH395" t="s">
        <v>885</v>
      </c>
    </row>
    <row r="396" spans="1:34" x14ac:dyDescent="0.35">
      <c r="A396" t="s">
        <v>880</v>
      </c>
      <c r="B396" t="s">
        <v>881</v>
      </c>
      <c r="C396" t="s">
        <v>882</v>
      </c>
      <c r="D396" t="s">
        <v>25</v>
      </c>
      <c r="E396" t="s">
        <v>886</v>
      </c>
      <c r="F396" t="s">
        <v>545</v>
      </c>
      <c r="G396" t="s">
        <v>301</v>
      </c>
      <c r="H396" t="s">
        <v>300</v>
      </c>
      <c r="I396" t="s">
        <v>820</v>
      </c>
      <c r="J396">
        <v>2015</v>
      </c>
      <c r="K396" t="b">
        <v>0</v>
      </c>
      <c r="X396">
        <v>32.85</v>
      </c>
      <c r="AD396">
        <v>33</v>
      </c>
      <c r="AG396" t="s">
        <v>884</v>
      </c>
      <c r="AH396" t="s">
        <v>885</v>
      </c>
    </row>
    <row r="397" spans="1:34" x14ac:dyDescent="0.35">
      <c r="A397" t="s">
        <v>880</v>
      </c>
      <c r="B397" t="s">
        <v>881</v>
      </c>
      <c r="C397" t="s">
        <v>882</v>
      </c>
      <c r="D397" t="s">
        <v>25</v>
      </c>
      <c r="E397" t="s">
        <v>886</v>
      </c>
      <c r="F397" t="s">
        <v>545</v>
      </c>
      <c r="G397" t="s">
        <v>120</v>
      </c>
      <c r="H397" t="s">
        <v>119</v>
      </c>
      <c r="I397" t="s">
        <v>820</v>
      </c>
      <c r="J397">
        <v>2015</v>
      </c>
      <c r="K397" t="b">
        <v>0</v>
      </c>
      <c r="X397">
        <v>34.14</v>
      </c>
      <c r="AD397">
        <v>34</v>
      </c>
      <c r="AG397" t="s">
        <v>884</v>
      </c>
      <c r="AH397" t="s">
        <v>885</v>
      </c>
    </row>
    <row r="398" spans="1:34" x14ac:dyDescent="0.35">
      <c r="A398" t="s">
        <v>880</v>
      </c>
      <c r="B398" t="s">
        <v>881</v>
      </c>
      <c r="C398" t="s">
        <v>882</v>
      </c>
      <c r="D398" t="s">
        <v>25</v>
      </c>
      <c r="E398" t="s">
        <v>886</v>
      </c>
      <c r="F398" t="s">
        <v>545</v>
      </c>
      <c r="G398" t="s">
        <v>446</v>
      </c>
      <c r="H398" t="s">
        <v>445</v>
      </c>
      <c r="I398" t="s">
        <v>820</v>
      </c>
      <c r="J398">
        <v>2015</v>
      </c>
      <c r="K398" t="b">
        <v>0</v>
      </c>
      <c r="X398">
        <v>34.07</v>
      </c>
      <c r="AD398">
        <v>34</v>
      </c>
      <c r="AG398" t="s">
        <v>884</v>
      </c>
      <c r="AH398" t="s">
        <v>885</v>
      </c>
    </row>
    <row r="399" spans="1:34" x14ac:dyDescent="0.35">
      <c r="A399" t="s">
        <v>880</v>
      </c>
      <c r="B399" t="s">
        <v>881</v>
      </c>
      <c r="C399" t="s">
        <v>882</v>
      </c>
      <c r="D399" t="s">
        <v>25</v>
      </c>
      <c r="E399" t="s">
        <v>886</v>
      </c>
      <c r="F399" t="s">
        <v>545</v>
      </c>
      <c r="G399" t="s">
        <v>50</v>
      </c>
      <c r="H399" t="s">
        <v>49</v>
      </c>
      <c r="I399" t="s">
        <v>820</v>
      </c>
      <c r="J399">
        <v>2015</v>
      </c>
      <c r="K399" t="b">
        <v>0</v>
      </c>
      <c r="X399">
        <v>34.85</v>
      </c>
      <c r="AD399">
        <v>35</v>
      </c>
      <c r="AG399" t="s">
        <v>884</v>
      </c>
      <c r="AH399" t="s">
        <v>885</v>
      </c>
    </row>
    <row r="400" spans="1:34" x14ac:dyDescent="0.35">
      <c r="A400" t="s">
        <v>880</v>
      </c>
      <c r="B400" t="s">
        <v>881</v>
      </c>
      <c r="C400" t="s">
        <v>882</v>
      </c>
      <c r="D400" t="s">
        <v>25</v>
      </c>
      <c r="E400" t="s">
        <v>886</v>
      </c>
      <c r="F400" t="s">
        <v>545</v>
      </c>
      <c r="G400" t="s">
        <v>422</v>
      </c>
      <c r="H400" t="s">
        <v>421</v>
      </c>
      <c r="I400" t="s">
        <v>820</v>
      </c>
      <c r="J400">
        <v>2015</v>
      </c>
      <c r="K400" t="b">
        <v>0</v>
      </c>
      <c r="X400">
        <v>35.24</v>
      </c>
      <c r="AD400">
        <v>35</v>
      </c>
      <c r="AG400" t="s">
        <v>884</v>
      </c>
      <c r="AH400" t="s">
        <v>885</v>
      </c>
    </row>
    <row r="401" spans="1:34" x14ac:dyDescent="0.35">
      <c r="A401" t="s">
        <v>880</v>
      </c>
      <c r="B401" t="s">
        <v>881</v>
      </c>
      <c r="C401" t="s">
        <v>882</v>
      </c>
      <c r="D401" t="s">
        <v>25</v>
      </c>
      <c r="E401" t="s">
        <v>886</v>
      </c>
      <c r="F401" t="s">
        <v>545</v>
      </c>
      <c r="G401" t="s">
        <v>216</v>
      </c>
      <c r="H401" t="s">
        <v>215</v>
      </c>
      <c r="I401" t="s">
        <v>820</v>
      </c>
      <c r="J401">
        <v>2015</v>
      </c>
      <c r="K401" t="b">
        <v>0</v>
      </c>
      <c r="X401">
        <v>36.68</v>
      </c>
      <c r="AD401">
        <v>37</v>
      </c>
      <c r="AG401" t="s">
        <v>884</v>
      </c>
      <c r="AH401" t="s">
        <v>885</v>
      </c>
    </row>
    <row r="402" spans="1:34" x14ac:dyDescent="0.35">
      <c r="A402" t="s">
        <v>880</v>
      </c>
      <c r="B402" t="s">
        <v>881</v>
      </c>
      <c r="C402" t="s">
        <v>882</v>
      </c>
      <c r="D402" t="s">
        <v>25</v>
      </c>
      <c r="E402" t="s">
        <v>886</v>
      </c>
      <c r="F402" t="s">
        <v>545</v>
      </c>
      <c r="G402" t="s">
        <v>231</v>
      </c>
      <c r="H402" t="s">
        <v>230</v>
      </c>
      <c r="I402" t="s">
        <v>820</v>
      </c>
      <c r="J402">
        <v>2015</v>
      </c>
      <c r="K402" t="b">
        <v>0</v>
      </c>
      <c r="X402">
        <v>37.43</v>
      </c>
      <c r="AD402">
        <v>37</v>
      </c>
      <c r="AG402" t="s">
        <v>884</v>
      </c>
      <c r="AH402" t="s">
        <v>885</v>
      </c>
    </row>
    <row r="403" spans="1:34" x14ac:dyDescent="0.35">
      <c r="A403" t="s">
        <v>880</v>
      </c>
      <c r="B403" t="s">
        <v>881</v>
      </c>
      <c r="C403" t="s">
        <v>882</v>
      </c>
      <c r="D403" t="s">
        <v>25</v>
      </c>
      <c r="E403" t="s">
        <v>886</v>
      </c>
      <c r="F403" t="s">
        <v>545</v>
      </c>
      <c r="G403" t="s">
        <v>65</v>
      </c>
      <c r="H403" t="s">
        <v>64</v>
      </c>
      <c r="I403" t="s">
        <v>820</v>
      </c>
      <c r="J403">
        <v>2015</v>
      </c>
      <c r="K403" t="b">
        <v>0</v>
      </c>
      <c r="X403">
        <v>36.659999999999997</v>
      </c>
      <c r="AD403">
        <v>37</v>
      </c>
      <c r="AG403" t="s">
        <v>884</v>
      </c>
      <c r="AH403" t="s">
        <v>885</v>
      </c>
    </row>
    <row r="404" spans="1:34" x14ac:dyDescent="0.35">
      <c r="A404" t="s">
        <v>880</v>
      </c>
      <c r="B404" t="s">
        <v>881</v>
      </c>
      <c r="C404" t="s">
        <v>882</v>
      </c>
      <c r="D404" t="s">
        <v>25</v>
      </c>
      <c r="E404" t="s">
        <v>886</v>
      </c>
      <c r="F404" t="s">
        <v>545</v>
      </c>
      <c r="G404" t="s">
        <v>304</v>
      </c>
      <c r="H404" t="s">
        <v>303</v>
      </c>
      <c r="I404" t="s">
        <v>820</v>
      </c>
      <c r="J404">
        <v>2015</v>
      </c>
      <c r="K404" t="b">
        <v>0</v>
      </c>
      <c r="X404">
        <v>37.53</v>
      </c>
      <c r="AD404">
        <v>38</v>
      </c>
      <c r="AG404" t="s">
        <v>884</v>
      </c>
      <c r="AH404" t="s">
        <v>885</v>
      </c>
    </row>
    <row r="405" spans="1:34" x14ac:dyDescent="0.35">
      <c r="A405" t="s">
        <v>880</v>
      </c>
      <c r="B405" t="s">
        <v>881</v>
      </c>
      <c r="C405" t="s">
        <v>882</v>
      </c>
      <c r="D405" t="s">
        <v>25</v>
      </c>
      <c r="E405" t="s">
        <v>886</v>
      </c>
      <c r="F405" t="s">
        <v>545</v>
      </c>
      <c r="G405" t="s">
        <v>345</v>
      </c>
      <c r="H405" t="s">
        <v>344</v>
      </c>
      <c r="I405" t="s">
        <v>820</v>
      </c>
      <c r="J405">
        <v>2015</v>
      </c>
      <c r="K405" t="b">
        <v>0</v>
      </c>
      <c r="X405">
        <v>38.200000000000003</v>
      </c>
      <c r="AD405">
        <v>38</v>
      </c>
      <c r="AG405" t="s">
        <v>884</v>
      </c>
      <c r="AH405" t="s">
        <v>885</v>
      </c>
    </row>
    <row r="406" spans="1:34" x14ac:dyDescent="0.35">
      <c r="A406" t="s">
        <v>880</v>
      </c>
      <c r="B406" t="s">
        <v>881</v>
      </c>
      <c r="C406" t="s">
        <v>882</v>
      </c>
      <c r="D406" t="s">
        <v>25</v>
      </c>
      <c r="E406" t="s">
        <v>886</v>
      </c>
      <c r="F406" t="s">
        <v>545</v>
      </c>
      <c r="G406" t="s">
        <v>360</v>
      </c>
      <c r="H406" t="s">
        <v>359</v>
      </c>
      <c r="I406" t="s">
        <v>820</v>
      </c>
      <c r="J406">
        <v>2015</v>
      </c>
      <c r="K406" t="b">
        <v>0</v>
      </c>
      <c r="X406">
        <v>37.799999999999997</v>
      </c>
      <c r="AD406">
        <v>38</v>
      </c>
      <c r="AG406" t="s">
        <v>884</v>
      </c>
      <c r="AH406" t="s">
        <v>885</v>
      </c>
    </row>
    <row r="407" spans="1:34" x14ac:dyDescent="0.35">
      <c r="A407" t="s">
        <v>880</v>
      </c>
      <c r="B407" t="s">
        <v>881</v>
      </c>
      <c r="C407" t="s">
        <v>882</v>
      </c>
      <c r="D407" t="s">
        <v>0</v>
      </c>
      <c r="E407" t="s">
        <v>887</v>
      </c>
      <c r="F407" t="s">
        <v>545</v>
      </c>
      <c r="G407" t="s">
        <v>107</v>
      </c>
      <c r="H407" t="s">
        <v>106</v>
      </c>
      <c r="I407" t="s">
        <v>820</v>
      </c>
      <c r="J407">
        <v>2015</v>
      </c>
      <c r="K407" t="b">
        <v>0</v>
      </c>
      <c r="X407">
        <v>38.17</v>
      </c>
      <c r="AD407">
        <v>38</v>
      </c>
      <c r="AG407" t="s">
        <v>884</v>
      </c>
      <c r="AH407" t="s">
        <v>885</v>
      </c>
    </row>
    <row r="408" spans="1:34" x14ac:dyDescent="0.35">
      <c r="A408" t="s">
        <v>880</v>
      </c>
      <c r="B408" t="s">
        <v>881</v>
      </c>
      <c r="C408" t="s">
        <v>882</v>
      </c>
      <c r="D408" t="s">
        <v>25</v>
      </c>
      <c r="E408" t="s">
        <v>886</v>
      </c>
      <c r="F408" t="s">
        <v>545</v>
      </c>
      <c r="G408" t="s">
        <v>27</v>
      </c>
      <c r="H408" t="s">
        <v>26</v>
      </c>
      <c r="I408" t="s">
        <v>820</v>
      </c>
      <c r="J408">
        <v>2015</v>
      </c>
      <c r="K408" t="b">
        <v>0</v>
      </c>
      <c r="X408">
        <v>38.82</v>
      </c>
      <c r="AD408">
        <v>39</v>
      </c>
      <c r="AG408" t="s">
        <v>884</v>
      </c>
      <c r="AH408" t="s">
        <v>885</v>
      </c>
    </row>
    <row r="409" spans="1:34" x14ac:dyDescent="0.35">
      <c r="A409" t="s">
        <v>880</v>
      </c>
      <c r="B409" t="s">
        <v>881</v>
      </c>
      <c r="C409" t="s">
        <v>882</v>
      </c>
      <c r="D409" t="s">
        <v>43</v>
      </c>
      <c r="E409" t="s">
        <v>890</v>
      </c>
      <c r="F409" t="s">
        <v>545</v>
      </c>
      <c r="G409" t="s">
        <v>45</v>
      </c>
      <c r="H409" t="s">
        <v>44</v>
      </c>
      <c r="I409" t="s">
        <v>820</v>
      </c>
      <c r="J409">
        <v>2015</v>
      </c>
      <c r="K409" t="b">
        <v>0</v>
      </c>
      <c r="X409">
        <v>38.82</v>
      </c>
      <c r="AD409">
        <v>39</v>
      </c>
      <c r="AG409" t="s">
        <v>884</v>
      </c>
      <c r="AH409" t="s">
        <v>885</v>
      </c>
    </row>
    <row r="410" spans="1:34" x14ac:dyDescent="0.35">
      <c r="A410" t="s">
        <v>880</v>
      </c>
      <c r="B410" t="s">
        <v>881</v>
      </c>
      <c r="C410" t="s">
        <v>882</v>
      </c>
      <c r="D410" t="s">
        <v>25</v>
      </c>
      <c r="E410" t="s">
        <v>886</v>
      </c>
      <c r="F410" t="s">
        <v>545</v>
      </c>
      <c r="G410" t="s">
        <v>240</v>
      </c>
      <c r="H410" t="s">
        <v>239</v>
      </c>
      <c r="I410" t="s">
        <v>820</v>
      </c>
      <c r="J410">
        <v>2015</v>
      </c>
      <c r="K410" t="b">
        <v>0</v>
      </c>
      <c r="X410">
        <v>39.76</v>
      </c>
      <c r="AD410">
        <v>40</v>
      </c>
      <c r="AG410" t="s">
        <v>884</v>
      </c>
      <c r="AH410" t="s">
        <v>885</v>
      </c>
    </row>
    <row r="411" spans="1:34" x14ac:dyDescent="0.35">
      <c r="A411" t="s">
        <v>880</v>
      </c>
      <c r="B411" t="s">
        <v>881</v>
      </c>
      <c r="C411" t="s">
        <v>882</v>
      </c>
      <c r="D411" t="s">
        <v>25</v>
      </c>
      <c r="E411" t="s">
        <v>886</v>
      </c>
      <c r="F411" t="s">
        <v>545</v>
      </c>
      <c r="G411" t="s">
        <v>443</v>
      </c>
      <c r="H411" t="s">
        <v>442</v>
      </c>
      <c r="I411" t="s">
        <v>820</v>
      </c>
      <c r="J411">
        <v>2015</v>
      </c>
      <c r="K411" t="b">
        <v>0</v>
      </c>
      <c r="X411">
        <v>40.409999999999997</v>
      </c>
      <c r="AD411">
        <v>40</v>
      </c>
      <c r="AG411" t="s">
        <v>884</v>
      </c>
      <c r="AH411" t="s">
        <v>885</v>
      </c>
    </row>
    <row r="412" spans="1:34" x14ac:dyDescent="0.35">
      <c r="A412" t="s">
        <v>880</v>
      </c>
      <c r="B412" t="s">
        <v>881</v>
      </c>
      <c r="C412" t="s">
        <v>882</v>
      </c>
      <c r="D412" t="s">
        <v>25</v>
      </c>
      <c r="E412" t="s">
        <v>886</v>
      </c>
      <c r="F412" t="s">
        <v>545</v>
      </c>
      <c r="G412" t="s">
        <v>280</v>
      </c>
      <c r="H412" t="s">
        <v>279</v>
      </c>
      <c r="I412" t="s">
        <v>820</v>
      </c>
      <c r="J412">
        <v>2015</v>
      </c>
      <c r="K412" t="b">
        <v>0</v>
      </c>
      <c r="X412">
        <v>39.65</v>
      </c>
      <c r="AD412">
        <v>40</v>
      </c>
      <c r="AG412" t="s">
        <v>884</v>
      </c>
      <c r="AH412" t="s">
        <v>885</v>
      </c>
    </row>
    <row r="413" spans="1:34" x14ac:dyDescent="0.35">
      <c r="A413" t="s">
        <v>880</v>
      </c>
      <c r="B413" t="s">
        <v>881</v>
      </c>
      <c r="C413" t="s">
        <v>882</v>
      </c>
      <c r="D413" t="s">
        <v>25</v>
      </c>
      <c r="E413" t="s">
        <v>886</v>
      </c>
      <c r="F413" t="s">
        <v>545</v>
      </c>
      <c r="G413" t="s">
        <v>74</v>
      </c>
      <c r="H413" t="s">
        <v>73</v>
      </c>
      <c r="I413" t="s">
        <v>820</v>
      </c>
      <c r="J413">
        <v>2015</v>
      </c>
      <c r="K413" t="b">
        <v>0</v>
      </c>
      <c r="X413">
        <v>40.409999999999997</v>
      </c>
      <c r="AD413">
        <v>40</v>
      </c>
      <c r="AG413" t="s">
        <v>884</v>
      </c>
      <c r="AH413" t="s">
        <v>885</v>
      </c>
    </row>
    <row r="414" spans="1:34" x14ac:dyDescent="0.35">
      <c r="A414" t="s">
        <v>880</v>
      </c>
      <c r="B414" t="s">
        <v>881</v>
      </c>
      <c r="C414" t="s">
        <v>882</v>
      </c>
      <c r="D414" t="s">
        <v>25</v>
      </c>
      <c r="E414" t="s">
        <v>886</v>
      </c>
      <c r="F414" t="s">
        <v>545</v>
      </c>
      <c r="G414" t="s">
        <v>523</v>
      </c>
      <c r="H414" t="s">
        <v>522</v>
      </c>
      <c r="I414" t="s">
        <v>820</v>
      </c>
      <c r="J414">
        <v>2015</v>
      </c>
      <c r="K414" t="b">
        <v>0</v>
      </c>
      <c r="X414">
        <v>40.03</v>
      </c>
      <c r="AD414">
        <v>40</v>
      </c>
      <c r="AG414" t="s">
        <v>884</v>
      </c>
      <c r="AH414" t="s">
        <v>885</v>
      </c>
    </row>
    <row r="415" spans="1:34" x14ac:dyDescent="0.35">
      <c r="A415" t="s">
        <v>880</v>
      </c>
      <c r="B415" t="s">
        <v>881</v>
      </c>
      <c r="C415" t="s">
        <v>882</v>
      </c>
      <c r="D415" t="s">
        <v>25</v>
      </c>
      <c r="E415" t="s">
        <v>886</v>
      </c>
      <c r="F415" t="s">
        <v>545</v>
      </c>
      <c r="G415" t="s">
        <v>246</v>
      </c>
      <c r="H415" t="s">
        <v>245</v>
      </c>
      <c r="I415" t="s">
        <v>820</v>
      </c>
      <c r="J415">
        <v>2015</v>
      </c>
      <c r="K415" t="b">
        <v>0</v>
      </c>
      <c r="X415">
        <v>41.4</v>
      </c>
      <c r="AD415">
        <v>41</v>
      </c>
      <c r="AG415" t="s">
        <v>884</v>
      </c>
      <c r="AH415" t="s">
        <v>885</v>
      </c>
    </row>
    <row r="416" spans="1:34" x14ac:dyDescent="0.35">
      <c r="A416" t="s">
        <v>880</v>
      </c>
      <c r="B416" t="s">
        <v>881</v>
      </c>
      <c r="C416" t="s">
        <v>882</v>
      </c>
      <c r="D416" t="s">
        <v>25</v>
      </c>
      <c r="E416" t="s">
        <v>886</v>
      </c>
      <c r="F416" t="s">
        <v>545</v>
      </c>
      <c r="G416" t="s">
        <v>532</v>
      </c>
      <c r="H416" t="s">
        <v>531</v>
      </c>
      <c r="I416" t="s">
        <v>820</v>
      </c>
      <c r="J416">
        <v>2015</v>
      </c>
      <c r="K416" t="b">
        <v>0</v>
      </c>
      <c r="X416">
        <v>41.4</v>
      </c>
      <c r="AD416">
        <v>41</v>
      </c>
      <c r="AG416" t="s">
        <v>884</v>
      </c>
      <c r="AH416" t="s">
        <v>885</v>
      </c>
    </row>
    <row r="417" spans="1:34" x14ac:dyDescent="0.35">
      <c r="A417" t="s">
        <v>880</v>
      </c>
      <c r="B417" t="s">
        <v>881</v>
      </c>
      <c r="C417" t="s">
        <v>882</v>
      </c>
      <c r="D417" t="s">
        <v>25</v>
      </c>
      <c r="E417" t="s">
        <v>886</v>
      </c>
      <c r="F417" t="s">
        <v>545</v>
      </c>
      <c r="G417" t="s">
        <v>295</v>
      </c>
      <c r="H417" t="s">
        <v>294</v>
      </c>
      <c r="I417" t="s">
        <v>820</v>
      </c>
      <c r="J417">
        <v>2015</v>
      </c>
      <c r="K417" t="b">
        <v>0</v>
      </c>
      <c r="X417">
        <v>41.32</v>
      </c>
      <c r="AD417">
        <v>41</v>
      </c>
      <c r="AG417" t="s">
        <v>884</v>
      </c>
      <c r="AH417" t="s">
        <v>885</v>
      </c>
    </row>
    <row r="418" spans="1:34" x14ac:dyDescent="0.35">
      <c r="A418" t="s">
        <v>880</v>
      </c>
      <c r="B418" t="s">
        <v>881</v>
      </c>
      <c r="C418" t="s">
        <v>882</v>
      </c>
      <c r="D418" t="s">
        <v>4</v>
      </c>
      <c r="E418" t="s">
        <v>883</v>
      </c>
      <c r="F418" t="s">
        <v>545</v>
      </c>
      <c r="G418" t="s">
        <v>123</v>
      </c>
      <c r="H418" t="s">
        <v>122</v>
      </c>
      <c r="I418" t="s">
        <v>820</v>
      </c>
      <c r="J418">
        <v>2015</v>
      </c>
      <c r="K418" t="b">
        <v>0</v>
      </c>
      <c r="X418">
        <v>40.619999999999997</v>
      </c>
      <c r="AD418">
        <v>41</v>
      </c>
      <c r="AG418" t="s">
        <v>884</v>
      </c>
      <c r="AH418" t="s">
        <v>885</v>
      </c>
    </row>
    <row r="419" spans="1:34" x14ac:dyDescent="0.35">
      <c r="A419" t="s">
        <v>880</v>
      </c>
      <c r="B419" t="s">
        <v>881</v>
      </c>
      <c r="C419" t="s">
        <v>882</v>
      </c>
      <c r="D419" t="s">
        <v>25</v>
      </c>
      <c r="E419" t="s">
        <v>886</v>
      </c>
      <c r="F419" t="s">
        <v>545</v>
      </c>
      <c r="G419" t="s">
        <v>541</v>
      </c>
      <c r="H419" t="s">
        <v>540</v>
      </c>
      <c r="I419" t="s">
        <v>820</v>
      </c>
      <c r="J419">
        <v>2015</v>
      </c>
      <c r="K419" t="b">
        <v>0</v>
      </c>
      <c r="X419">
        <v>41.07</v>
      </c>
      <c r="AD419">
        <v>41</v>
      </c>
      <c r="AG419" t="s">
        <v>884</v>
      </c>
      <c r="AH419" t="s">
        <v>885</v>
      </c>
    </row>
    <row r="420" spans="1:34" x14ac:dyDescent="0.35">
      <c r="A420" t="s">
        <v>880</v>
      </c>
      <c r="B420" t="s">
        <v>881</v>
      </c>
      <c r="C420" t="s">
        <v>882</v>
      </c>
      <c r="D420" t="s">
        <v>4</v>
      </c>
      <c r="E420" t="s">
        <v>883</v>
      </c>
      <c r="F420" t="s">
        <v>545</v>
      </c>
      <c r="G420" t="s">
        <v>449</v>
      </c>
      <c r="H420" t="s">
        <v>448</v>
      </c>
      <c r="I420" t="s">
        <v>820</v>
      </c>
      <c r="J420">
        <v>2015</v>
      </c>
      <c r="K420" t="b">
        <v>0</v>
      </c>
      <c r="X420">
        <v>41.72</v>
      </c>
      <c r="AD420">
        <v>42</v>
      </c>
      <c r="AG420" t="s">
        <v>884</v>
      </c>
      <c r="AH420" t="s">
        <v>885</v>
      </c>
    </row>
    <row r="421" spans="1:34" x14ac:dyDescent="0.35">
      <c r="A421" t="s">
        <v>880</v>
      </c>
      <c r="B421" t="s">
        <v>881</v>
      </c>
      <c r="C421" t="s">
        <v>882</v>
      </c>
      <c r="D421" t="s">
        <v>25</v>
      </c>
      <c r="E421" t="s">
        <v>886</v>
      </c>
      <c r="F421" t="s">
        <v>545</v>
      </c>
      <c r="G421" t="s">
        <v>268</v>
      </c>
      <c r="H421" t="s">
        <v>888</v>
      </c>
      <c r="I421" t="s">
        <v>820</v>
      </c>
      <c r="J421">
        <v>2015</v>
      </c>
      <c r="K421" t="b">
        <v>0</v>
      </c>
      <c r="X421">
        <v>43.42</v>
      </c>
      <c r="AD421">
        <v>43</v>
      </c>
      <c r="AG421" t="s">
        <v>884</v>
      </c>
      <c r="AH421" t="s">
        <v>885</v>
      </c>
    </row>
    <row r="422" spans="1:34" x14ac:dyDescent="0.35">
      <c r="A422" t="s">
        <v>880</v>
      </c>
      <c r="B422" t="s">
        <v>881</v>
      </c>
      <c r="C422" t="s">
        <v>882</v>
      </c>
      <c r="D422" t="s">
        <v>25</v>
      </c>
      <c r="E422" t="s">
        <v>886</v>
      </c>
      <c r="F422" t="s">
        <v>545</v>
      </c>
      <c r="G422" t="s">
        <v>354</v>
      </c>
      <c r="H422" t="s">
        <v>353</v>
      </c>
      <c r="I422" t="s">
        <v>820</v>
      </c>
      <c r="J422">
        <v>2015</v>
      </c>
      <c r="K422" t="b">
        <v>0</v>
      </c>
      <c r="X422">
        <v>43.28</v>
      </c>
      <c r="AD422">
        <v>43</v>
      </c>
      <c r="AG422" t="s">
        <v>884</v>
      </c>
      <c r="AH422" t="s">
        <v>885</v>
      </c>
    </row>
    <row r="423" spans="1:34" x14ac:dyDescent="0.35">
      <c r="A423" t="s">
        <v>880</v>
      </c>
      <c r="B423" t="s">
        <v>881</v>
      </c>
      <c r="C423" t="s">
        <v>882</v>
      </c>
      <c r="D423" t="s">
        <v>25</v>
      </c>
      <c r="E423" t="s">
        <v>886</v>
      </c>
      <c r="F423" t="s">
        <v>545</v>
      </c>
      <c r="G423" t="s">
        <v>371</v>
      </c>
      <c r="H423" t="s">
        <v>370</v>
      </c>
      <c r="I423" t="s">
        <v>820</v>
      </c>
      <c r="J423">
        <v>2015</v>
      </c>
      <c r="K423" t="b">
        <v>0</v>
      </c>
      <c r="X423">
        <v>42.9</v>
      </c>
      <c r="AD423">
        <v>43</v>
      </c>
      <c r="AG423" t="s">
        <v>884</v>
      </c>
      <c r="AH423" t="s">
        <v>885</v>
      </c>
    </row>
    <row r="424" spans="1:34" x14ac:dyDescent="0.35">
      <c r="A424" t="s">
        <v>880</v>
      </c>
      <c r="B424" t="s">
        <v>881</v>
      </c>
      <c r="C424" t="s">
        <v>882</v>
      </c>
      <c r="D424" t="s">
        <v>4</v>
      </c>
      <c r="E424" t="s">
        <v>883</v>
      </c>
      <c r="F424" t="s">
        <v>545</v>
      </c>
      <c r="G424" t="s">
        <v>473</v>
      </c>
      <c r="H424" t="s">
        <v>472</v>
      </c>
      <c r="I424" t="s">
        <v>820</v>
      </c>
      <c r="J424">
        <v>2015</v>
      </c>
      <c r="K424" t="b">
        <v>0</v>
      </c>
      <c r="X424">
        <v>42.56</v>
      </c>
      <c r="AD424">
        <v>43</v>
      </c>
      <c r="AG424" t="s">
        <v>884</v>
      </c>
      <c r="AH424" t="s">
        <v>885</v>
      </c>
    </row>
    <row r="425" spans="1:34" x14ac:dyDescent="0.35">
      <c r="A425" t="s">
        <v>880</v>
      </c>
      <c r="B425" t="s">
        <v>881</v>
      </c>
      <c r="C425" t="s">
        <v>882</v>
      </c>
      <c r="D425" t="s">
        <v>4</v>
      </c>
      <c r="E425" t="s">
        <v>883</v>
      </c>
      <c r="F425" t="s">
        <v>545</v>
      </c>
      <c r="G425" t="s">
        <v>271</v>
      </c>
      <c r="H425" t="s">
        <v>270</v>
      </c>
      <c r="I425" t="s">
        <v>820</v>
      </c>
      <c r="J425">
        <v>2015</v>
      </c>
      <c r="K425" t="b">
        <v>0</v>
      </c>
      <c r="X425">
        <v>43.89</v>
      </c>
      <c r="AD425">
        <v>44</v>
      </c>
      <c r="AG425" t="s">
        <v>884</v>
      </c>
      <c r="AH425" t="s">
        <v>885</v>
      </c>
    </row>
    <row r="426" spans="1:34" x14ac:dyDescent="0.35">
      <c r="A426" t="s">
        <v>880</v>
      </c>
      <c r="B426" t="s">
        <v>881</v>
      </c>
      <c r="C426" t="s">
        <v>882</v>
      </c>
      <c r="D426" t="s">
        <v>1</v>
      </c>
      <c r="E426" t="s">
        <v>889</v>
      </c>
      <c r="F426" t="s">
        <v>545</v>
      </c>
      <c r="G426" t="s">
        <v>310</v>
      </c>
      <c r="H426" t="s">
        <v>309</v>
      </c>
      <c r="I426" t="s">
        <v>820</v>
      </c>
      <c r="J426">
        <v>2015</v>
      </c>
      <c r="K426" t="b">
        <v>0</v>
      </c>
      <c r="X426">
        <v>44.19</v>
      </c>
      <c r="AD426">
        <v>44</v>
      </c>
      <c r="AG426" t="s">
        <v>884</v>
      </c>
      <c r="AH426" t="s">
        <v>885</v>
      </c>
    </row>
    <row r="427" spans="1:34" x14ac:dyDescent="0.35">
      <c r="A427" t="s">
        <v>880</v>
      </c>
      <c r="B427" t="s">
        <v>881</v>
      </c>
      <c r="C427" t="s">
        <v>882</v>
      </c>
      <c r="D427" t="s">
        <v>43</v>
      </c>
      <c r="E427" t="s">
        <v>890</v>
      </c>
      <c r="F427" t="s">
        <v>545</v>
      </c>
      <c r="G427" t="s">
        <v>193</v>
      </c>
      <c r="H427" t="s">
        <v>192</v>
      </c>
      <c r="I427" t="s">
        <v>820</v>
      </c>
      <c r="J427">
        <v>2015</v>
      </c>
      <c r="K427" t="b">
        <v>0</v>
      </c>
      <c r="X427">
        <v>44.57</v>
      </c>
      <c r="AD427">
        <v>45</v>
      </c>
      <c r="AG427" t="s">
        <v>884</v>
      </c>
      <c r="AH427" t="s">
        <v>885</v>
      </c>
    </row>
    <row r="428" spans="1:34" x14ac:dyDescent="0.35">
      <c r="A428" t="s">
        <v>880</v>
      </c>
      <c r="B428" t="s">
        <v>881</v>
      </c>
      <c r="C428" t="s">
        <v>882</v>
      </c>
      <c r="D428" t="s">
        <v>25</v>
      </c>
      <c r="E428" t="s">
        <v>886</v>
      </c>
      <c r="F428" t="s">
        <v>545</v>
      </c>
      <c r="G428" t="s">
        <v>292</v>
      </c>
      <c r="H428" t="s">
        <v>291</v>
      </c>
      <c r="I428" t="s">
        <v>820</v>
      </c>
      <c r="J428">
        <v>2015</v>
      </c>
      <c r="K428" t="b">
        <v>0</v>
      </c>
      <c r="X428">
        <v>45.33</v>
      </c>
      <c r="AD428">
        <v>45</v>
      </c>
      <c r="AG428" t="s">
        <v>884</v>
      </c>
      <c r="AH428" t="s">
        <v>885</v>
      </c>
    </row>
    <row r="429" spans="1:34" x14ac:dyDescent="0.35">
      <c r="A429" t="s">
        <v>880</v>
      </c>
      <c r="B429" t="s">
        <v>881</v>
      </c>
      <c r="C429" t="s">
        <v>882</v>
      </c>
      <c r="D429" t="s">
        <v>0</v>
      </c>
      <c r="E429" t="s">
        <v>887</v>
      </c>
      <c r="F429" t="s">
        <v>545</v>
      </c>
      <c r="G429" t="s">
        <v>176</v>
      </c>
      <c r="H429" t="s">
        <v>175</v>
      </c>
      <c r="I429" t="s">
        <v>820</v>
      </c>
      <c r="J429">
        <v>2015</v>
      </c>
      <c r="K429" t="b">
        <v>0</v>
      </c>
      <c r="X429">
        <v>45.49</v>
      </c>
      <c r="AD429">
        <v>45</v>
      </c>
      <c r="AG429" t="s">
        <v>884</v>
      </c>
      <c r="AH429" t="s">
        <v>885</v>
      </c>
    </row>
    <row r="430" spans="1:34" x14ac:dyDescent="0.35">
      <c r="A430" t="s">
        <v>880</v>
      </c>
      <c r="B430" t="s">
        <v>881</v>
      </c>
      <c r="C430" t="s">
        <v>882</v>
      </c>
      <c r="D430" t="s">
        <v>43</v>
      </c>
      <c r="E430" t="s">
        <v>890</v>
      </c>
      <c r="F430" t="s">
        <v>545</v>
      </c>
      <c r="G430" t="s">
        <v>68</v>
      </c>
      <c r="H430" t="s">
        <v>67</v>
      </c>
      <c r="I430" t="s">
        <v>820</v>
      </c>
      <c r="J430">
        <v>2015</v>
      </c>
      <c r="K430" t="b">
        <v>0</v>
      </c>
      <c r="X430">
        <v>44.77</v>
      </c>
      <c r="AD430">
        <v>45</v>
      </c>
      <c r="AG430" t="s">
        <v>884</v>
      </c>
      <c r="AH430" t="s">
        <v>885</v>
      </c>
    </row>
    <row r="431" spans="1:34" x14ac:dyDescent="0.35">
      <c r="A431" t="s">
        <v>880</v>
      </c>
      <c r="B431" t="s">
        <v>881</v>
      </c>
      <c r="C431" t="s">
        <v>882</v>
      </c>
      <c r="D431" t="s">
        <v>25</v>
      </c>
      <c r="E431" t="s">
        <v>886</v>
      </c>
      <c r="F431" t="s">
        <v>545</v>
      </c>
      <c r="G431" t="s">
        <v>464</v>
      </c>
      <c r="H431" t="s">
        <v>463</v>
      </c>
      <c r="I431" t="s">
        <v>820</v>
      </c>
      <c r="J431">
        <v>2015</v>
      </c>
      <c r="K431" t="b">
        <v>0</v>
      </c>
      <c r="X431">
        <v>44.89</v>
      </c>
      <c r="AD431">
        <v>45</v>
      </c>
      <c r="AG431" t="s">
        <v>884</v>
      </c>
      <c r="AH431" t="s">
        <v>885</v>
      </c>
    </row>
    <row r="432" spans="1:34" x14ac:dyDescent="0.35">
      <c r="A432" t="s">
        <v>880</v>
      </c>
      <c r="B432" t="s">
        <v>881</v>
      </c>
      <c r="C432" t="s">
        <v>882</v>
      </c>
      <c r="D432" t="s">
        <v>25</v>
      </c>
      <c r="E432" t="s">
        <v>886</v>
      </c>
      <c r="F432" t="s">
        <v>545</v>
      </c>
      <c r="G432" t="s">
        <v>500</v>
      </c>
      <c r="H432" t="s">
        <v>499</v>
      </c>
      <c r="I432" t="s">
        <v>820</v>
      </c>
      <c r="J432">
        <v>2015</v>
      </c>
      <c r="K432" t="b">
        <v>0</v>
      </c>
      <c r="X432">
        <v>46.04</v>
      </c>
      <c r="AD432">
        <v>46</v>
      </c>
      <c r="AG432" t="s">
        <v>884</v>
      </c>
      <c r="AH432" t="s">
        <v>885</v>
      </c>
    </row>
    <row r="433" spans="1:34" x14ac:dyDescent="0.35">
      <c r="A433" t="s">
        <v>880</v>
      </c>
      <c r="B433" t="s">
        <v>881</v>
      </c>
      <c r="C433" t="s">
        <v>882</v>
      </c>
      <c r="D433" t="s">
        <v>25</v>
      </c>
      <c r="E433" t="s">
        <v>886</v>
      </c>
      <c r="F433" t="s">
        <v>545</v>
      </c>
      <c r="G433" t="s">
        <v>150</v>
      </c>
      <c r="H433" t="s">
        <v>149</v>
      </c>
      <c r="I433" t="s">
        <v>820</v>
      </c>
      <c r="J433">
        <v>2015</v>
      </c>
      <c r="K433" t="b">
        <v>0</v>
      </c>
      <c r="X433">
        <v>46.44</v>
      </c>
      <c r="AD433">
        <v>46</v>
      </c>
      <c r="AG433" t="s">
        <v>884</v>
      </c>
      <c r="AH433" t="s">
        <v>885</v>
      </c>
    </row>
    <row r="434" spans="1:34" x14ac:dyDescent="0.35">
      <c r="A434" t="s">
        <v>880</v>
      </c>
      <c r="B434" t="s">
        <v>881</v>
      </c>
      <c r="C434" t="s">
        <v>882</v>
      </c>
      <c r="D434" t="s">
        <v>0</v>
      </c>
      <c r="E434" t="s">
        <v>887</v>
      </c>
      <c r="F434" t="s">
        <v>545</v>
      </c>
      <c r="G434" t="s">
        <v>80</v>
      </c>
      <c r="H434" t="s">
        <v>79</v>
      </c>
      <c r="I434" t="s">
        <v>820</v>
      </c>
      <c r="J434">
        <v>2015</v>
      </c>
      <c r="K434" t="b">
        <v>0</v>
      </c>
      <c r="X434">
        <v>45.74</v>
      </c>
      <c r="AD434">
        <v>46</v>
      </c>
      <c r="AG434" t="s">
        <v>884</v>
      </c>
      <c r="AH434" t="s">
        <v>885</v>
      </c>
    </row>
    <row r="435" spans="1:34" x14ac:dyDescent="0.35">
      <c r="A435" t="s">
        <v>880</v>
      </c>
      <c r="B435" t="s">
        <v>881</v>
      </c>
      <c r="C435" t="s">
        <v>882</v>
      </c>
      <c r="D435" t="s">
        <v>25</v>
      </c>
      <c r="E435" t="s">
        <v>886</v>
      </c>
      <c r="F435" t="s">
        <v>545</v>
      </c>
      <c r="G435" t="s">
        <v>413</v>
      </c>
      <c r="H435" t="s">
        <v>412</v>
      </c>
      <c r="I435" t="s">
        <v>820</v>
      </c>
      <c r="J435">
        <v>2015</v>
      </c>
      <c r="K435" t="b">
        <v>0</v>
      </c>
      <c r="X435">
        <v>46.14</v>
      </c>
      <c r="AD435">
        <v>46</v>
      </c>
      <c r="AG435" t="s">
        <v>884</v>
      </c>
      <c r="AH435" t="s">
        <v>885</v>
      </c>
    </row>
    <row r="436" spans="1:34" x14ac:dyDescent="0.35">
      <c r="A436" t="s">
        <v>880</v>
      </c>
      <c r="B436" t="s">
        <v>881</v>
      </c>
      <c r="C436" t="s">
        <v>882</v>
      </c>
      <c r="D436" t="s">
        <v>0</v>
      </c>
      <c r="E436" t="s">
        <v>887</v>
      </c>
      <c r="F436" t="s">
        <v>545</v>
      </c>
      <c r="G436" t="s">
        <v>337</v>
      </c>
      <c r="H436" t="s">
        <v>336</v>
      </c>
      <c r="I436" t="s">
        <v>820</v>
      </c>
      <c r="J436">
        <v>2015</v>
      </c>
      <c r="K436" t="b">
        <v>0</v>
      </c>
      <c r="X436">
        <v>47.54</v>
      </c>
      <c r="AD436">
        <v>48</v>
      </c>
      <c r="AG436" t="s">
        <v>884</v>
      </c>
      <c r="AH436" t="s">
        <v>885</v>
      </c>
    </row>
    <row r="437" spans="1:34" x14ac:dyDescent="0.35">
      <c r="A437" t="s">
        <v>880</v>
      </c>
      <c r="B437" t="s">
        <v>881</v>
      </c>
      <c r="C437" t="s">
        <v>882</v>
      </c>
      <c r="D437" t="s">
        <v>0</v>
      </c>
      <c r="E437" t="s">
        <v>887</v>
      </c>
      <c r="F437" t="s">
        <v>545</v>
      </c>
      <c r="G437" t="s">
        <v>497</v>
      </c>
      <c r="H437" t="s">
        <v>496</v>
      </c>
      <c r="I437" t="s">
        <v>820</v>
      </c>
      <c r="J437">
        <v>2015</v>
      </c>
      <c r="K437" t="b">
        <v>0</v>
      </c>
      <c r="X437">
        <v>47.51</v>
      </c>
      <c r="AD437">
        <v>48</v>
      </c>
      <c r="AG437" t="s">
        <v>884</v>
      </c>
      <c r="AH437" t="s">
        <v>885</v>
      </c>
    </row>
    <row r="438" spans="1:34" x14ac:dyDescent="0.35">
      <c r="A438" t="s">
        <v>880</v>
      </c>
      <c r="B438" t="s">
        <v>881</v>
      </c>
      <c r="C438" t="s">
        <v>882</v>
      </c>
      <c r="D438" t="s">
        <v>4</v>
      </c>
      <c r="E438" t="s">
        <v>883</v>
      </c>
      <c r="F438" t="s">
        <v>545</v>
      </c>
      <c r="G438" t="s">
        <v>325</v>
      </c>
      <c r="H438" t="s">
        <v>324</v>
      </c>
      <c r="I438" t="s">
        <v>820</v>
      </c>
      <c r="J438">
        <v>2015</v>
      </c>
      <c r="K438" t="b">
        <v>0</v>
      </c>
      <c r="X438">
        <v>48.88</v>
      </c>
      <c r="AD438">
        <v>49</v>
      </c>
      <c r="AG438" t="s">
        <v>884</v>
      </c>
      <c r="AH438" t="s">
        <v>885</v>
      </c>
    </row>
    <row r="439" spans="1:34" x14ac:dyDescent="0.35">
      <c r="A439" t="s">
        <v>880</v>
      </c>
      <c r="B439" t="s">
        <v>881</v>
      </c>
      <c r="C439" t="s">
        <v>882</v>
      </c>
      <c r="D439" t="s">
        <v>0</v>
      </c>
      <c r="E439" t="s">
        <v>887</v>
      </c>
      <c r="F439" t="s">
        <v>545</v>
      </c>
      <c r="G439" t="s">
        <v>401</v>
      </c>
      <c r="H439" t="s">
        <v>400</v>
      </c>
      <c r="I439" t="s">
        <v>820</v>
      </c>
      <c r="J439">
        <v>2015</v>
      </c>
      <c r="K439" t="b">
        <v>0</v>
      </c>
      <c r="X439">
        <v>49</v>
      </c>
      <c r="AD439">
        <v>49</v>
      </c>
      <c r="AG439" t="s">
        <v>884</v>
      </c>
      <c r="AH439" t="s">
        <v>885</v>
      </c>
    </row>
    <row r="440" spans="1:34" x14ac:dyDescent="0.35">
      <c r="A440" t="s">
        <v>880</v>
      </c>
      <c r="B440" t="s">
        <v>881</v>
      </c>
      <c r="C440" t="s">
        <v>882</v>
      </c>
      <c r="D440" t="s">
        <v>43</v>
      </c>
      <c r="E440" t="s">
        <v>890</v>
      </c>
      <c r="F440" t="s">
        <v>545</v>
      </c>
      <c r="G440" t="s">
        <v>53</v>
      </c>
      <c r="H440" t="s">
        <v>52</v>
      </c>
      <c r="I440" t="s">
        <v>820</v>
      </c>
      <c r="J440">
        <v>2015</v>
      </c>
      <c r="K440" t="b">
        <v>0</v>
      </c>
      <c r="X440">
        <v>49.13</v>
      </c>
      <c r="AD440">
        <v>49</v>
      </c>
      <c r="AG440" t="s">
        <v>884</v>
      </c>
      <c r="AH440" t="s">
        <v>885</v>
      </c>
    </row>
    <row r="441" spans="1:34" x14ac:dyDescent="0.35">
      <c r="A441" t="s">
        <v>880</v>
      </c>
      <c r="B441" t="s">
        <v>881</v>
      </c>
      <c r="C441" t="s">
        <v>882</v>
      </c>
      <c r="D441" t="s">
        <v>0</v>
      </c>
      <c r="E441" t="s">
        <v>887</v>
      </c>
      <c r="F441" t="s">
        <v>545</v>
      </c>
      <c r="G441" t="s">
        <v>470</v>
      </c>
      <c r="H441" t="s">
        <v>469</v>
      </c>
      <c r="I441" t="s">
        <v>820</v>
      </c>
      <c r="J441">
        <v>2015</v>
      </c>
      <c r="K441" t="b">
        <v>0</v>
      </c>
      <c r="X441">
        <v>49.23</v>
      </c>
      <c r="AD441">
        <v>49</v>
      </c>
      <c r="AG441" t="s">
        <v>884</v>
      </c>
      <c r="AH441" t="s">
        <v>885</v>
      </c>
    </row>
    <row r="442" spans="1:34" x14ac:dyDescent="0.35">
      <c r="A442" t="s">
        <v>880</v>
      </c>
      <c r="B442" t="s">
        <v>881</v>
      </c>
      <c r="C442" t="s">
        <v>882</v>
      </c>
      <c r="D442" t="s">
        <v>0</v>
      </c>
      <c r="E442" t="s">
        <v>887</v>
      </c>
      <c r="F442" t="s">
        <v>545</v>
      </c>
      <c r="G442" t="s">
        <v>527</v>
      </c>
      <c r="H442" t="s">
        <v>526</v>
      </c>
      <c r="I442" t="s">
        <v>820</v>
      </c>
      <c r="J442">
        <v>2015</v>
      </c>
      <c r="K442" t="b">
        <v>0</v>
      </c>
      <c r="X442">
        <v>50.22</v>
      </c>
      <c r="AD442">
        <v>50</v>
      </c>
      <c r="AG442" t="s">
        <v>884</v>
      </c>
      <c r="AH442" t="s">
        <v>885</v>
      </c>
    </row>
    <row r="443" spans="1:34" x14ac:dyDescent="0.35">
      <c r="A443" t="s">
        <v>880</v>
      </c>
      <c r="B443" t="s">
        <v>881</v>
      </c>
      <c r="C443" t="s">
        <v>882</v>
      </c>
      <c r="D443" t="s">
        <v>25</v>
      </c>
      <c r="E443" t="s">
        <v>886</v>
      </c>
      <c r="F443" t="s">
        <v>545</v>
      </c>
      <c r="G443" t="s">
        <v>476</v>
      </c>
      <c r="H443" t="s">
        <v>475</v>
      </c>
      <c r="I443" t="s">
        <v>820</v>
      </c>
      <c r="J443">
        <v>2015</v>
      </c>
      <c r="K443" t="b">
        <v>0</v>
      </c>
      <c r="X443">
        <v>50.35</v>
      </c>
      <c r="AD443">
        <v>50</v>
      </c>
      <c r="AG443" t="s">
        <v>884</v>
      </c>
      <c r="AH443" t="s">
        <v>885</v>
      </c>
    </row>
    <row r="444" spans="1:34" x14ac:dyDescent="0.35">
      <c r="A444" t="s">
        <v>880</v>
      </c>
      <c r="B444" t="s">
        <v>881</v>
      </c>
      <c r="C444" t="s">
        <v>882</v>
      </c>
      <c r="D444" t="s">
        <v>25</v>
      </c>
      <c r="E444" t="s">
        <v>886</v>
      </c>
      <c r="F444" t="s">
        <v>545</v>
      </c>
      <c r="G444" t="s">
        <v>89</v>
      </c>
      <c r="H444" t="s">
        <v>88</v>
      </c>
      <c r="I444" t="s">
        <v>820</v>
      </c>
      <c r="J444">
        <v>2015</v>
      </c>
      <c r="K444" t="b">
        <v>0</v>
      </c>
      <c r="X444">
        <v>50.53</v>
      </c>
      <c r="AD444">
        <v>51</v>
      </c>
      <c r="AG444" t="s">
        <v>884</v>
      </c>
      <c r="AH444" t="s">
        <v>885</v>
      </c>
    </row>
    <row r="445" spans="1:34" x14ac:dyDescent="0.35">
      <c r="A445" t="s">
        <v>880</v>
      </c>
      <c r="B445" t="s">
        <v>881</v>
      </c>
      <c r="C445" t="s">
        <v>882</v>
      </c>
      <c r="D445" t="s">
        <v>43</v>
      </c>
      <c r="E445" t="s">
        <v>890</v>
      </c>
      <c r="F445" t="s">
        <v>545</v>
      </c>
      <c r="G445" t="s">
        <v>322</v>
      </c>
      <c r="H445" t="s">
        <v>321</v>
      </c>
      <c r="I445" t="s">
        <v>820</v>
      </c>
      <c r="J445">
        <v>2015</v>
      </c>
      <c r="K445" t="b">
        <v>0</v>
      </c>
      <c r="X445">
        <v>51.48</v>
      </c>
      <c r="AD445">
        <v>51</v>
      </c>
      <c r="AG445" t="s">
        <v>884</v>
      </c>
      <c r="AH445" t="s">
        <v>885</v>
      </c>
    </row>
    <row r="446" spans="1:34" x14ac:dyDescent="0.35">
      <c r="A446" t="s">
        <v>880</v>
      </c>
      <c r="B446" t="s">
        <v>881</v>
      </c>
      <c r="C446" t="s">
        <v>882</v>
      </c>
      <c r="D446" t="s">
        <v>0</v>
      </c>
      <c r="E446" t="s">
        <v>887</v>
      </c>
      <c r="F446" t="s">
        <v>545</v>
      </c>
      <c r="G446" t="s">
        <v>377</v>
      </c>
      <c r="H446" t="s">
        <v>376</v>
      </c>
      <c r="I446" t="s">
        <v>820</v>
      </c>
      <c r="J446">
        <v>2015</v>
      </c>
      <c r="K446" t="b">
        <v>0</v>
      </c>
      <c r="X446">
        <v>50.86</v>
      </c>
      <c r="AD446">
        <v>51</v>
      </c>
      <c r="AG446" t="s">
        <v>884</v>
      </c>
      <c r="AH446" t="s">
        <v>885</v>
      </c>
    </row>
    <row r="447" spans="1:34" x14ac:dyDescent="0.35">
      <c r="A447" t="s">
        <v>880</v>
      </c>
      <c r="B447" t="s">
        <v>881</v>
      </c>
      <c r="C447" t="s">
        <v>882</v>
      </c>
      <c r="D447" t="s">
        <v>25</v>
      </c>
      <c r="E447" t="s">
        <v>886</v>
      </c>
      <c r="F447" t="s">
        <v>545</v>
      </c>
      <c r="G447" t="s">
        <v>334</v>
      </c>
      <c r="H447" t="s">
        <v>333</v>
      </c>
      <c r="I447" t="s">
        <v>820</v>
      </c>
      <c r="J447">
        <v>2015</v>
      </c>
      <c r="K447" t="b">
        <v>0</v>
      </c>
      <c r="X447">
        <v>52.33</v>
      </c>
      <c r="AD447">
        <v>52</v>
      </c>
      <c r="AG447" t="s">
        <v>884</v>
      </c>
      <c r="AH447" t="s">
        <v>885</v>
      </c>
    </row>
    <row r="448" spans="1:34" x14ac:dyDescent="0.35">
      <c r="A448" t="s">
        <v>880</v>
      </c>
      <c r="B448" t="s">
        <v>881</v>
      </c>
      <c r="C448" t="s">
        <v>882</v>
      </c>
      <c r="D448" t="s">
        <v>25</v>
      </c>
      <c r="E448" t="s">
        <v>886</v>
      </c>
      <c r="F448" t="s">
        <v>545</v>
      </c>
      <c r="G448" t="s">
        <v>234</v>
      </c>
      <c r="H448" t="s">
        <v>233</v>
      </c>
      <c r="I448" t="s">
        <v>820</v>
      </c>
      <c r="J448">
        <v>2015</v>
      </c>
      <c r="K448" t="b">
        <v>0</v>
      </c>
      <c r="X448">
        <v>53.04</v>
      </c>
      <c r="AD448">
        <v>53</v>
      </c>
      <c r="AG448" t="s">
        <v>884</v>
      </c>
      <c r="AH448" t="s">
        <v>885</v>
      </c>
    </row>
    <row r="449" spans="1:34" x14ac:dyDescent="0.35">
      <c r="A449" t="s">
        <v>880</v>
      </c>
      <c r="B449" t="s">
        <v>881</v>
      </c>
      <c r="C449" t="s">
        <v>882</v>
      </c>
      <c r="D449" t="s">
        <v>0</v>
      </c>
      <c r="E449" t="s">
        <v>887</v>
      </c>
      <c r="F449" t="s">
        <v>545</v>
      </c>
      <c r="G449" t="s">
        <v>383</v>
      </c>
      <c r="H449" t="s">
        <v>382</v>
      </c>
      <c r="I449" t="s">
        <v>820</v>
      </c>
      <c r="J449">
        <v>2015</v>
      </c>
      <c r="K449" t="b">
        <v>0</v>
      </c>
      <c r="X449">
        <v>53</v>
      </c>
      <c r="AD449">
        <v>53</v>
      </c>
      <c r="AG449" t="s">
        <v>884</v>
      </c>
      <c r="AH449" t="s">
        <v>885</v>
      </c>
    </row>
    <row r="450" spans="1:34" x14ac:dyDescent="0.35">
      <c r="A450" t="s">
        <v>880</v>
      </c>
      <c r="B450" t="s">
        <v>881</v>
      </c>
      <c r="C450" t="s">
        <v>882</v>
      </c>
      <c r="D450" t="s">
        <v>25</v>
      </c>
      <c r="E450" t="s">
        <v>886</v>
      </c>
      <c r="F450" t="s">
        <v>545</v>
      </c>
      <c r="G450" t="s">
        <v>407</v>
      </c>
      <c r="H450" t="s">
        <v>406</v>
      </c>
      <c r="I450" t="s">
        <v>820</v>
      </c>
      <c r="J450">
        <v>2015</v>
      </c>
      <c r="K450" t="b">
        <v>0</v>
      </c>
      <c r="X450">
        <v>53.1</v>
      </c>
      <c r="AD450">
        <v>53</v>
      </c>
      <c r="AG450" t="s">
        <v>884</v>
      </c>
      <c r="AH450" t="s">
        <v>885</v>
      </c>
    </row>
    <row r="451" spans="1:34" x14ac:dyDescent="0.35">
      <c r="A451" t="s">
        <v>880</v>
      </c>
      <c r="B451" t="s">
        <v>881</v>
      </c>
      <c r="C451" t="s">
        <v>882</v>
      </c>
      <c r="D451" t="s">
        <v>0</v>
      </c>
      <c r="E451" t="s">
        <v>887</v>
      </c>
      <c r="F451" t="s">
        <v>545</v>
      </c>
      <c r="G451" t="s">
        <v>110</v>
      </c>
      <c r="H451" t="s">
        <v>109</v>
      </c>
      <c r="I451" t="s">
        <v>820</v>
      </c>
      <c r="J451">
        <v>2015</v>
      </c>
      <c r="K451" t="b">
        <v>0</v>
      </c>
      <c r="X451">
        <v>53.05</v>
      </c>
      <c r="AD451">
        <v>53</v>
      </c>
      <c r="AG451" t="s">
        <v>884</v>
      </c>
      <c r="AH451" t="s">
        <v>885</v>
      </c>
    </row>
    <row r="452" spans="1:34" x14ac:dyDescent="0.35">
      <c r="A452" t="s">
        <v>880</v>
      </c>
      <c r="B452" t="s">
        <v>881</v>
      </c>
      <c r="C452" t="s">
        <v>882</v>
      </c>
      <c r="D452" t="s">
        <v>25</v>
      </c>
      <c r="E452" t="s">
        <v>886</v>
      </c>
      <c r="F452" t="s">
        <v>545</v>
      </c>
      <c r="G452" t="s">
        <v>147</v>
      </c>
      <c r="H452" t="s">
        <v>146</v>
      </c>
      <c r="I452" t="s">
        <v>820</v>
      </c>
      <c r="J452">
        <v>2015</v>
      </c>
      <c r="K452" t="b">
        <v>0</v>
      </c>
      <c r="X452">
        <v>54.44</v>
      </c>
      <c r="AD452">
        <v>54</v>
      </c>
      <c r="AG452" t="s">
        <v>884</v>
      </c>
      <c r="AH452" t="s">
        <v>885</v>
      </c>
    </row>
    <row r="453" spans="1:34" x14ac:dyDescent="0.35">
      <c r="A453" t="s">
        <v>880</v>
      </c>
      <c r="B453" t="s">
        <v>881</v>
      </c>
      <c r="C453" t="s">
        <v>882</v>
      </c>
      <c r="D453" t="s">
        <v>43</v>
      </c>
      <c r="E453" t="s">
        <v>890</v>
      </c>
      <c r="F453" t="s">
        <v>545</v>
      </c>
      <c r="G453" t="s">
        <v>452</v>
      </c>
      <c r="H453" t="s">
        <v>451</v>
      </c>
      <c r="I453" t="s">
        <v>820</v>
      </c>
      <c r="J453">
        <v>2015</v>
      </c>
      <c r="K453" t="b">
        <v>0</v>
      </c>
      <c r="X453">
        <v>54.18</v>
      </c>
      <c r="AD453">
        <v>54</v>
      </c>
      <c r="AG453" t="s">
        <v>884</v>
      </c>
      <c r="AH453" t="s">
        <v>885</v>
      </c>
    </row>
    <row r="454" spans="1:34" x14ac:dyDescent="0.35">
      <c r="A454" t="s">
        <v>880</v>
      </c>
      <c r="B454" t="s">
        <v>881</v>
      </c>
      <c r="C454" t="s">
        <v>882</v>
      </c>
      <c r="D454" t="s">
        <v>4</v>
      </c>
      <c r="E454" t="s">
        <v>883</v>
      </c>
      <c r="F454" t="s">
        <v>545</v>
      </c>
      <c r="G454" t="s">
        <v>520</v>
      </c>
      <c r="H454" t="s">
        <v>519</v>
      </c>
      <c r="I454" t="s">
        <v>820</v>
      </c>
      <c r="J454">
        <v>2015</v>
      </c>
      <c r="K454" t="b">
        <v>0</v>
      </c>
      <c r="X454">
        <v>54.28</v>
      </c>
      <c r="AD454">
        <v>54</v>
      </c>
      <c r="AG454" t="s">
        <v>884</v>
      </c>
      <c r="AH454" t="s">
        <v>885</v>
      </c>
    </row>
    <row r="455" spans="1:34" x14ac:dyDescent="0.35">
      <c r="A455" t="s">
        <v>880</v>
      </c>
      <c r="B455" t="s">
        <v>881</v>
      </c>
      <c r="C455" t="s">
        <v>882</v>
      </c>
      <c r="D455" t="s">
        <v>0</v>
      </c>
      <c r="E455" t="s">
        <v>887</v>
      </c>
      <c r="F455" t="s">
        <v>545</v>
      </c>
      <c r="G455" t="s">
        <v>171</v>
      </c>
      <c r="H455" t="s">
        <v>170</v>
      </c>
      <c r="I455" t="s">
        <v>820</v>
      </c>
      <c r="J455">
        <v>2015</v>
      </c>
      <c r="K455" t="b">
        <v>0</v>
      </c>
      <c r="X455">
        <v>53.79</v>
      </c>
      <c r="AD455">
        <v>54</v>
      </c>
      <c r="AG455" t="s">
        <v>884</v>
      </c>
      <c r="AH455" t="s">
        <v>885</v>
      </c>
    </row>
    <row r="456" spans="1:34" x14ac:dyDescent="0.35">
      <c r="A456" t="s">
        <v>880</v>
      </c>
      <c r="B456" t="s">
        <v>881</v>
      </c>
      <c r="C456" t="s">
        <v>882</v>
      </c>
      <c r="D456" t="s">
        <v>43</v>
      </c>
      <c r="E456" t="s">
        <v>890</v>
      </c>
      <c r="F456" t="s">
        <v>545</v>
      </c>
      <c r="G456" t="s">
        <v>319</v>
      </c>
      <c r="H456" t="s">
        <v>318</v>
      </c>
      <c r="I456" t="s">
        <v>820</v>
      </c>
      <c r="J456">
        <v>2015</v>
      </c>
      <c r="K456" t="b">
        <v>0</v>
      </c>
      <c r="X456">
        <v>54.89</v>
      </c>
      <c r="AD456">
        <v>55</v>
      </c>
      <c r="AG456" t="s">
        <v>884</v>
      </c>
      <c r="AH456" t="s">
        <v>885</v>
      </c>
    </row>
    <row r="457" spans="1:34" x14ac:dyDescent="0.35">
      <c r="A457" t="s">
        <v>880</v>
      </c>
      <c r="B457" t="s">
        <v>881</v>
      </c>
      <c r="C457" t="s">
        <v>882</v>
      </c>
      <c r="D457" t="s">
        <v>25</v>
      </c>
      <c r="E457" t="s">
        <v>886</v>
      </c>
      <c r="F457" t="s">
        <v>545</v>
      </c>
      <c r="G457" t="s">
        <v>479</v>
      </c>
      <c r="H457" t="s">
        <v>478</v>
      </c>
      <c r="I457" t="s">
        <v>820</v>
      </c>
      <c r="J457">
        <v>2015</v>
      </c>
      <c r="K457" t="b">
        <v>0</v>
      </c>
      <c r="X457">
        <v>54.87</v>
      </c>
      <c r="AD457">
        <v>55</v>
      </c>
      <c r="AG457" t="s">
        <v>884</v>
      </c>
      <c r="AH457" t="s">
        <v>885</v>
      </c>
    </row>
    <row r="458" spans="1:34" x14ac:dyDescent="0.35">
      <c r="A458" t="s">
        <v>880</v>
      </c>
      <c r="B458" t="s">
        <v>881</v>
      </c>
      <c r="C458" t="s">
        <v>882</v>
      </c>
      <c r="D458" t="s">
        <v>0</v>
      </c>
      <c r="E458" t="s">
        <v>887</v>
      </c>
      <c r="F458" t="s">
        <v>545</v>
      </c>
      <c r="G458" t="s">
        <v>389</v>
      </c>
      <c r="H458" t="s">
        <v>388</v>
      </c>
      <c r="I458" t="s">
        <v>820</v>
      </c>
      <c r="J458">
        <v>2015</v>
      </c>
      <c r="K458" t="b">
        <v>0</v>
      </c>
      <c r="X458">
        <v>55.83</v>
      </c>
      <c r="AD458">
        <v>56</v>
      </c>
      <c r="AG458" t="s">
        <v>884</v>
      </c>
      <c r="AH458" t="s">
        <v>885</v>
      </c>
    </row>
    <row r="459" spans="1:34" x14ac:dyDescent="0.35">
      <c r="A459" t="s">
        <v>880</v>
      </c>
      <c r="B459" t="s">
        <v>881</v>
      </c>
      <c r="C459" t="s">
        <v>882</v>
      </c>
      <c r="D459" t="s">
        <v>43</v>
      </c>
      <c r="E459" t="s">
        <v>890</v>
      </c>
      <c r="F459" t="s">
        <v>545</v>
      </c>
      <c r="G459" t="s">
        <v>138</v>
      </c>
      <c r="H459" t="s">
        <v>137</v>
      </c>
      <c r="I459" t="s">
        <v>820</v>
      </c>
      <c r="J459">
        <v>2015</v>
      </c>
      <c r="K459" t="b">
        <v>0</v>
      </c>
      <c r="X459">
        <v>57.21</v>
      </c>
      <c r="AD459">
        <v>57</v>
      </c>
      <c r="AG459" t="s">
        <v>884</v>
      </c>
      <c r="AH459" t="s">
        <v>885</v>
      </c>
    </row>
    <row r="460" spans="1:34" x14ac:dyDescent="0.35">
      <c r="A460" t="s">
        <v>880</v>
      </c>
      <c r="B460" t="s">
        <v>881</v>
      </c>
      <c r="C460" t="s">
        <v>882</v>
      </c>
      <c r="D460" t="s">
        <v>1</v>
      </c>
      <c r="E460" t="s">
        <v>889</v>
      </c>
      <c r="F460" t="s">
        <v>545</v>
      </c>
      <c r="G460" t="s">
        <v>298</v>
      </c>
      <c r="H460" t="s">
        <v>297</v>
      </c>
      <c r="I460" t="s">
        <v>820</v>
      </c>
      <c r="J460">
        <v>2015</v>
      </c>
      <c r="K460" t="b">
        <v>0</v>
      </c>
      <c r="X460">
        <v>57.06</v>
      </c>
      <c r="AD460">
        <v>57</v>
      </c>
      <c r="AG460" t="s">
        <v>884</v>
      </c>
      <c r="AH460" t="s">
        <v>885</v>
      </c>
    </row>
    <row r="461" spans="1:34" x14ac:dyDescent="0.35">
      <c r="A461" t="s">
        <v>880</v>
      </c>
      <c r="B461" t="s">
        <v>881</v>
      </c>
      <c r="C461" t="s">
        <v>882</v>
      </c>
      <c r="D461" t="s">
        <v>4</v>
      </c>
      <c r="E461" t="s">
        <v>883</v>
      </c>
      <c r="F461" t="s">
        <v>545</v>
      </c>
      <c r="G461" t="s">
        <v>509</v>
      </c>
      <c r="H461" t="s">
        <v>508</v>
      </c>
      <c r="I461" t="s">
        <v>820</v>
      </c>
      <c r="J461">
        <v>2015</v>
      </c>
      <c r="K461" t="b">
        <v>0</v>
      </c>
      <c r="X461">
        <v>56.85</v>
      </c>
      <c r="AD461">
        <v>57</v>
      </c>
      <c r="AG461" t="s">
        <v>884</v>
      </c>
      <c r="AH461" t="s">
        <v>885</v>
      </c>
    </row>
    <row r="462" spans="1:34" x14ac:dyDescent="0.35">
      <c r="A462" t="s">
        <v>880</v>
      </c>
      <c r="B462" t="s">
        <v>881</v>
      </c>
      <c r="C462" t="s">
        <v>882</v>
      </c>
      <c r="D462" t="s">
        <v>0</v>
      </c>
      <c r="E462" t="s">
        <v>887</v>
      </c>
      <c r="F462" t="s">
        <v>545</v>
      </c>
      <c r="G462" t="s">
        <v>141</v>
      </c>
      <c r="H462" t="s">
        <v>140</v>
      </c>
      <c r="I462" t="s">
        <v>820</v>
      </c>
      <c r="J462">
        <v>2015</v>
      </c>
      <c r="K462" t="b">
        <v>0</v>
      </c>
      <c r="X462">
        <v>57.65</v>
      </c>
      <c r="AD462">
        <v>58</v>
      </c>
      <c r="AG462" t="s">
        <v>884</v>
      </c>
      <c r="AH462" t="s">
        <v>885</v>
      </c>
    </row>
    <row r="463" spans="1:34" x14ac:dyDescent="0.35">
      <c r="A463" t="s">
        <v>880</v>
      </c>
      <c r="B463" t="s">
        <v>881</v>
      </c>
      <c r="C463" t="s">
        <v>882</v>
      </c>
      <c r="D463" t="s">
        <v>0</v>
      </c>
      <c r="E463" t="s">
        <v>887</v>
      </c>
      <c r="F463" t="s">
        <v>545</v>
      </c>
      <c r="G463" t="s">
        <v>286</v>
      </c>
      <c r="H463" t="s">
        <v>285</v>
      </c>
      <c r="I463" t="s">
        <v>820</v>
      </c>
      <c r="J463">
        <v>2015</v>
      </c>
      <c r="K463" t="b">
        <v>0</v>
      </c>
      <c r="X463">
        <v>58.22</v>
      </c>
      <c r="AD463">
        <v>58</v>
      </c>
      <c r="AG463" t="s">
        <v>884</v>
      </c>
      <c r="AH463" t="s">
        <v>885</v>
      </c>
    </row>
    <row r="464" spans="1:34" x14ac:dyDescent="0.35">
      <c r="A464" t="s">
        <v>880</v>
      </c>
      <c r="B464" t="s">
        <v>881</v>
      </c>
      <c r="C464" t="s">
        <v>882</v>
      </c>
      <c r="D464" t="s">
        <v>25</v>
      </c>
      <c r="E464" t="s">
        <v>886</v>
      </c>
      <c r="F464" t="s">
        <v>545</v>
      </c>
      <c r="G464" t="s">
        <v>48</v>
      </c>
      <c r="H464" t="s">
        <v>47</v>
      </c>
      <c r="I464" t="s">
        <v>820</v>
      </c>
      <c r="J464">
        <v>2015</v>
      </c>
      <c r="K464" t="b">
        <v>0</v>
      </c>
      <c r="X464">
        <v>58.29</v>
      </c>
      <c r="AD464">
        <v>58</v>
      </c>
      <c r="AG464" t="s">
        <v>884</v>
      </c>
      <c r="AH464" t="s">
        <v>885</v>
      </c>
    </row>
    <row r="465" spans="1:34" x14ac:dyDescent="0.35">
      <c r="A465" t="s">
        <v>880</v>
      </c>
      <c r="B465" t="s">
        <v>881</v>
      </c>
      <c r="C465" t="s">
        <v>882</v>
      </c>
      <c r="D465" t="s">
        <v>25</v>
      </c>
      <c r="E465" t="s">
        <v>886</v>
      </c>
      <c r="F465" t="s">
        <v>545</v>
      </c>
      <c r="G465" t="s">
        <v>374</v>
      </c>
      <c r="H465" t="s">
        <v>373</v>
      </c>
      <c r="I465" t="s">
        <v>820</v>
      </c>
      <c r="J465">
        <v>2015</v>
      </c>
      <c r="K465" t="b">
        <v>0</v>
      </c>
      <c r="X465">
        <v>58.55</v>
      </c>
      <c r="AD465">
        <v>59</v>
      </c>
      <c r="AG465" t="s">
        <v>884</v>
      </c>
      <c r="AH465" t="s">
        <v>885</v>
      </c>
    </row>
    <row r="466" spans="1:34" x14ac:dyDescent="0.35">
      <c r="A466" t="s">
        <v>880</v>
      </c>
      <c r="B466" t="s">
        <v>881</v>
      </c>
      <c r="C466" t="s">
        <v>882</v>
      </c>
      <c r="D466" t="s">
        <v>1</v>
      </c>
      <c r="E466" t="s">
        <v>889</v>
      </c>
      <c r="F466" t="s">
        <v>545</v>
      </c>
      <c r="G466" t="s">
        <v>395</v>
      </c>
      <c r="H466" t="s">
        <v>394</v>
      </c>
      <c r="I466" t="s">
        <v>820</v>
      </c>
      <c r="J466">
        <v>2015</v>
      </c>
      <c r="K466" t="b">
        <v>0</v>
      </c>
      <c r="X466">
        <v>58.53</v>
      </c>
      <c r="AD466">
        <v>59</v>
      </c>
      <c r="AG466" t="s">
        <v>884</v>
      </c>
      <c r="AH466" t="s">
        <v>885</v>
      </c>
    </row>
    <row r="467" spans="1:34" x14ac:dyDescent="0.35">
      <c r="A467" t="s">
        <v>880</v>
      </c>
      <c r="B467" t="s">
        <v>881</v>
      </c>
      <c r="C467" t="s">
        <v>882</v>
      </c>
      <c r="D467" t="s">
        <v>1</v>
      </c>
      <c r="E467" t="s">
        <v>889</v>
      </c>
      <c r="F467" t="s">
        <v>545</v>
      </c>
      <c r="G467" t="s">
        <v>313</v>
      </c>
      <c r="H467" t="s">
        <v>312</v>
      </c>
      <c r="I467" t="s">
        <v>820</v>
      </c>
      <c r="J467">
        <v>2015</v>
      </c>
      <c r="K467" t="b">
        <v>0</v>
      </c>
      <c r="X467">
        <v>60.47</v>
      </c>
      <c r="AD467">
        <v>60</v>
      </c>
      <c r="AG467" t="s">
        <v>884</v>
      </c>
      <c r="AH467" t="s">
        <v>885</v>
      </c>
    </row>
    <row r="468" spans="1:34" x14ac:dyDescent="0.35">
      <c r="A468" t="s">
        <v>880</v>
      </c>
      <c r="B468" t="s">
        <v>881</v>
      </c>
      <c r="C468" t="s">
        <v>882</v>
      </c>
      <c r="D468" t="s">
        <v>4</v>
      </c>
      <c r="E468" t="s">
        <v>883</v>
      </c>
      <c r="F468" t="s">
        <v>545</v>
      </c>
      <c r="G468" t="s">
        <v>99</v>
      </c>
      <c r="H468" t="s">
        <v>98</v>
      </c>
      <c r="I468" t="s">
        <v>820</v>
      </c>
      <c r="J468">
        <v>2015</v>
      </c>
      <c r="K468" t="b">
        <v>0</v>
      </c>
      <c r="X468">
        <v>59.69</v>
      </c>
      <c r="AD468">
        <v>60</v>
      </c>
      <c r="AG468" t="s">
        <v>884</v>
      </c>
      <c r="AH468" t="s">
        <v>885</v>
      </c>
    </row>
    <row r="469" spans="1:34" x14ac:dyDescent="0.35">
      <c r="A469" t="s">
        <v>880</v>
      </c>
      <c r="B469" t="s">
        <v>881</v>
      </c>
      <c r="C469" t="s">
        <v>882</v>
      </c>
      <c r="D469" t="s">
        <v>0</v>
      </c>
      <c r="E469" t="s">
        <v>887</v>
      </c>
      <c r="F469" t="s">
        <v>545</v>
      </c>
      <c r="G469" t="s">
        <v>210</v>
      </c>
      <c r="H469" t="s">
        <v>209</v>
      </c>
      <c r="I469" t="s">
        <v>820</v>
      </c>
      <c r="J469">
        <v>2015</v>
      </c>
      <c r="K469" t="b">
        <v>0</v>
      </c>
      <c r="X469">
        <v>59.73</v>
      </c>
      <c r="AD469">
        <v>60</v>
      </c>
      <c r="AG469" t="s">
        <v>884</v>
      </c>
      <c r="AH469" t="s">
        <v>885</v>
      </c>
    </row>
    <row r="470" spans="1:34" x14ac:dyDescent="0.35">
      <c r="A470" t="s">
        <v>880</v>
      </c>
      <c r="B470" t="s">
        <v>881</v>
      </c>
      <c r="C470" t="s">
        <v>882</v>
      </c>
      <c r="D470" t="s">
        <v>43</v>
      </c>
      <c r="E470" t="s">
        <v>890</v>
      </c>
      <c r="F470" t="s">
        <v>545</v>
      </c>
      <c r="G470" t="s">
        <v>56</v>
      </c>
      <c r="H470" t="s">
        <v>55</v>
      </c>
      <c r="I470" t="s">
        <v>820</v>
      </c>
      <c r="J470">
        <v>2015</v>
      </c>
      <c r="K470" t="b">
        <v>0</v>
      </c>
      <c r="X470">
        <v>60.23</v>
      </c>
      <c r="AD470">
        <v>60</v>
      </c>
      <c r="AG470" t="s">
        <v>884</v>
      </c>
      <c r="AH470" t="s">
        <v>885</v>
      </c>
    </row>
    <row r="471" spans="1:34" x14ac:dyDescent="0.35">
      <c r="A471" t="s">
        <v>880</v>
      </c>
      <c r="B471" t="s">
        <v>881</v>
      </c>
      <c r="C471" t="s">
        <v>882</v>
      </c>
      <c r="D471" t="s">
        <v>20</v>
      </c>
      <c r="E471" t="s">
        <v>789</v>
      </c>
      <c r="F471" t="s">
        <v>545</v>
      </c>
      <c r="G471" t="s">
        <v>225</v>
      </c>
      <c r="H471" t="s">
        <v>224</v>
      </c>
      <c r="I471" t="s">
        <v>820</v>
      </c>
      <c r="J471">
        <v>2015</v>
      </c>
      <c r="K471" t="b">
        <v>0</v>
      </c>
      <c r="X471">
        <v>60.96</v>
      </c>
      <c r="AD471">
        <v>61</v>
      </c>
      <c r="AG471" t="s">
        <v>884</v>
      </c>
      <c r="AH471" t="s">
        <v>885</v>
      </c>
    </row>
    <row r="472" spans="1:34" x14ac:dyDescent="0.35">
      <c r="A472" t="s">
        <v>880</v>
      </c>
      <c r="B472" t="s">
        <v>881</v>
      </c>
      <c r="C472" t="s">
        <v>882</v>
      </c>
      <c r="D472" t="s">
        <v>20</v>
      </c>
      <c r="E472" t="s">
        <v>789</v>
      </c>
      <c r="F472" t="s">
        <v>545</v>
      </c>
      <c r="G472" t="s">
        <v>213</v>
      </c>
      <c r="H472" t="s">
        <v>212</v>
      </c>
      <c r="I472" t="s">
        <v>820</v>
      </c>
      <c r="J472">
        <v>2015</v>
      </c>
      <c r="K472" t="b">
        <v>0</v>
      </c>
      <c r="X472">
        <v>61.66</v>
      </c>
      <c r="AD472">
        <v>62</v>
      </c>
      <c r="AG472" t="s">
        <v>884</v>
      </c>
      <c r="AH472" t="s">
        <v>885</v>
      </c>
    </row>
    <row r="473" spans="1:34" x14ac:dyDescent="0.35">
      <c r="A473" t="s">
        <v>880</v>
      </c>
      <c r="B473" t="s">
        <v>881</v>
      </c>
      <c r="C473" t="s">
        <v>882</v>
      </c>
      <c r="D473" t="s">
        <v>20</v>
      </c>
      <c r="E473" t="s">
        <v>789</v>
      </c>
      <c r="F473" t="s">
        <v>545</v>
      </c>
      <c r="G473" t="s">
        <v>22</v>
      </c>
      <c r="H473" t="s">
        <v>21</v>
      </c>
      <c r="I473" t="s">
        <v>820</v>
      </c>
      <c r="J473">
        <v>2015</v>
      </c>
      <c r="K473" t="b">
        <v>0</v>
      </c>
      <c r="X473">
        <v>62.5</v>
      </c>
      <c r="AD473">
        <v>62</v>
      </c>
      <c r="AG473" t="s">
        <v>884</v>
      </c>
      <c r="AH473" t="s">
        <v>885</v>
      </c>
    </row>
    <row r="474" spans="1:34" x14ac:dyDescent="0.35">
      <c r="A474" t="s">
        <v>880</v>
      </c>
      <c r="B474" t="s">
        <v>881</v>
      </c>
      <c r="C474" t="s">
        <v>882</v>
      </c>
      <c r="D474" t="s">
        <v>0</v>
      </c>
      <c r="E474" t="s">
        <v>887</v>
      </c>
      <c r="F474" t="s">
        <v>545</v>
      </c>
      <c r="G474" t="s">
        <v>39</v>
      </c>
      <c r="H474" t="s">
        <v>38</v>
      </c>
      <c r="I474" t="s">
        <v>820</v>
      </c>
      <c r="J474">
        <v>2015</v>
      </c>
      <c r="K474" t="b">
        <v>0</v>
      </c>
      <c r="X474">
        <v>61.52</v>
      </c>
      <c r="AD474">
        <v>62</v>
      </c>
      <c r="AG474" t="s">
        <v>884</v>
      </c>
      <c r="AH474" t="s">
        <v>885</v>
      </c>
    </row>
    <row r="475" spans="1:34" x14ac:dyDescent="0.35">
      <c r="A475" t="s">
        <v>880</v>
      </c>
      <c r="B475" t="s">
        <v>881</v>
      </c>
      <c r="C475" t="s">
        <v>882</v>
      </c>
      <c r="D475" t="s">
        <v>4</v>
      </c>
      <c r="E475" t="s">
        <v>883</v>
      </c>
      <c r="F475" t="s">
        <v>545</v>
      </c>
      <c r="G475" t="s">
        <v>7</v>
      </c>
      <c r="H475" t="s">
        <v>6</v>
      </c>
      <c r="I475" t="s">
        <v>820</v>
      </c>
      <c r="J475">
        <v>2015</v>
      </c>
      <c r="K475" t="b">
        <v>0</v>
      </c>
      <c r="X475">
        <v>61.84</v>
      </c>
      <c r="AD475">
        <v>62</v>
      </c>
      <c r="AG475" t="s">
        <v>884</v>
      </c>
      <c r="AH475" t="s">
        <v>885</v>
      </c>
    </row>
    <row r="476" spans="1:34" x14ac:dyDescent="0.35">
      <c r="A476" t="s">
        <v>880</v>
      </c>
      <c r="B476" t="s">
        <v>881</v>
      </c>
      <c r="C476" t="s">
        <v>882</v>
      </c>
      <c r="D476" t="s">
        <v>0</v>
      </c>
      <c r="E476" t="s">
        <v>887</v>
      </c>
      <c r="F476" t="s">
        <v>545</v>
      </c>
      <c r="G476" t="s">
        <v>183</v>
      </c>
      <c r="H476" t="s">
        <v>182</v>
      </c>
      <c r="I476" t="s">
        <v>820</v>
      </c>
      <c r="J476">
        <v>2015</v>
      </c>
      <c r="K476" t="b">
        <v>0</v>
      </c>
      <c r="X476">
        <v>62.23</v>
      </c>
      <c r="AD476">
        <v>62</v>
      </c>
      <c r="AG476" t="s">
        <v>884</v>
      </c>
      <c r="AH476" t="s">
        <v>885</v>
      </c>
    </row>
    <row r="477" spans="1:34" x14ac:dyDescent="0.35">
      <c r="A477" t="s">
        <v>880</v>
      </c>
      <c r="B477" t="s">
        <v>881</v>
      </c>
      <c r="C477" t="s">
        <v>882</v>
      </c>
      <c r="D477" t="s">
        <v>20</v>
      </c>
      <c r="E477" t="s">
        <v>789</v>
      </c>
      <c r="F477" t="s">
        <v>545</v>
      </c>
      <c r="G477" t="s">
        <v>440</v>
      </c>
      <c r="H477" t="s">
        <v>439</v>
      </c>
      <c r="I477" t="s">
        <v>820</v>
      </c>
      <c r="J477">
        <v>2015</v>
      </c>
      <c r="K477" t="b">
        <v>0</v>
      </c>
      <c r="X477">
        <v>62.36</v>
      </c>
      <c r="AD477">
        <v>62</v>
      </c>
      <c r="AG477" t="s">
        <v>884</v>
      </c>
      <c r="AH477" t="s">
        <v>885</v>
      </c>
    </row>
    <row r="478" spans="1:34" x14ac:dyDescent="0.35">
      <c r="A478" t="s">
        <v>880</v>
      </c>
      <c r="B478" t="s">
        <v>881</v>
      </c>
      <c r="C478" t="s">
        <v>882</v>
      </c>
      <c r="D478" t="s">
        <v>1</v>
      </c>
      <c r="E478" t="s">
        <v>889</v>
      </c>
      <c r="F478" t="s">
        <v>545</v>
      </c>
      <c r="G478" t="s">
        <v>58</v>
      </c>
      <c r="H478" t="s">
        <v>57</v>
      </c>
      <c r="I478" t="s">
        <v>820</v>
      </c>
      <c r="J478">
        <v>2015</v>
      </c>
      <c r="K478" t="b">
        <v>0</v>
      </c>
      <c r="X478">
        <v>62.78</v>
      </c>
      <c r="AD478">
        <v>63</v>
      </c>
      <c r="AG478" t="s">
        <v>884</v>
      </c>
      <c r="AH478" t="s">
        <v>885</v>
      </c>
    </row>
    <row r="479" spans="1:34" x14ac:dyDescent="0.35">
      <c r="A479" t="s">
        <v>880</v>
      </c>
      <c r="B479" t="s">
        <v>881</v>
      </c>
      <c r="C479" t="s">
        <v>882</v>
      </c>
      <c r="D479" t="s">
        <v>25</v>
      </c>
      <c r="E479" t="s">
        <v>886</v>
      </c>
      <c r="F479" t="s">
        <v>545</v>
      </c>
      <c r="G479" t="s">
        <v>366</v>
      </c>
      <c r="H479" t="s">
        <v>365</v>
      </c>
      <c r="I479" t="s">
        <v>820</v>
      </c>
      <c r="J479">
        <v>2015</v>
      </c>
      <c r="K479" t="b">
        <v>0</v>
      </c>
      <c r="X479">
        <v>63.13</v>
      </c>
      <c r="AD479">
        <v>63</v>
      </c>
      <c r="AG479" t="s">
        <v>884</v>
      </c>
      <c r="AH479" t="s">
        <v>885</v>
      </c>
    </row>
    <row r="480" spans="1:34" x14ac:dyDescent="0.35">
      <c r="A480" t="s">
        <v>880</v>
      </c>
      <c r="B480" t="s">
        <v>881</v>
      </c>
      <c r="C480" t="s">
        <v>882</v>
      </c>
      <c r="D480" t="s">
        <v>20</v>
      </c>
      <c r="E480" t="s">
        <v>789</v>
      </c>
      <c r="F480" t="s">
        <v>545</v>
      </c>
      <c r="G480" t="s">
        <v>529</v>
      </c>
      <c r="H480" t="s">
        <v>528</v>
      </c>
      <c r="I480" t="s">
        <v>820</v>
      </c>
      <c r="J480">
        <v>2015</v>
      </c>
      <c r="K480" t="b">
        <v>0</v>
      </c>
      <c r="X480">
        <v>63.34</v>
      </c>
      <c r="AD480">
        <v>63</v>
      </c>
      <c r="AG480" t="s">
        <v>884</v>
      </c>
      <c r="AH480" t="s">
        <v>885</v>
      </c>
    </row>
    <row r="481" spans="1:34" x14ac:dyDescent="0.35">
      <c r="A481" t="s">
        <v>880</v>
      </c>
      <c r="B481" t="s">
        <v>881</v>
      </c>
      <c r="C481" t="s">
        <v>882</v>
      </c>
      <c r="D481" t="s">
        <v>1</v>
      </c>
      <c r="E481" t="s">
        <v>889</v>
      </c>
      <c r="F481" t="s">
        <v>545</v>
      </c>
      <c r="G481" t="s">
        <v>16</v>
      </c>
      <c r="H481" t="s">
        <v>15</v>
      </c>
      <c r="I481" t="s">
        <v>820</v>
      </c>
      <c r="J481">
        <v>2015</v>
      </c>
      <c r="K481" t="b">
        <v>0</v>
      </c>
      <c r="X481">
        <v>64.150000000000006</v>
      </c>
      <c r="AD481">
        <v>64</v>
      </c>
      <c r="AG481" t="s">
        <v>884</v>
      </c>
      <c r="AH481" t="s">
        <v>885</v>
      </c>
    </row>
    <row r="482" spans="1:34" x14ac:dyDescent="0.35">
      <c r="A482" t="s">
        <v>880</v>
      </c>
      <c r="B482" t="s">
        <v>881</v>
      </c>
      <c r="C482" t="s">
        <v>882</v>
      </c>
      <c r="D482" t="s">
        <v>20</v>
      </c>
      <c r="E482" t="s">
        <v>789</v>
      </c>
      <c r="F482" t="s">
        <v>545</v>
      </c>
      <c r="G482" t="s">
        <v>185</v>
      </c>
      <c r="H482" t="s">
        <v>184</v>
      </c>
      <c r="I482" t="s">
        <v>820</v>
      </c>
      <c r="J482">
        <v>2015</v>
      </c>
      <c r="K482" t="b">
        <v>0</v>
      </c>
      <c r="X482">
        <v>64</v>
      </c>
      <c r="AD482">
        <v>64</v>
      </c>
      <c r="AG482" t="s">
        <v>884</v>
      </c>
      <c r="AH482" t="s">
        <v>885</v>
      </c>
    </row>
    <row r="483" spans="1:34" x14ac:dyDescent="0.35">
      <c r="A483" t="s">
        <v>880</v>
      </c>
      <c r="B483" t="s">
        <v>881</v>
      </c>
      <c r="C483" t="s">
        <v>882</v>
      </c>
      <c r="D483" t="s">
        <v>20</v>
      </c>
      <c r="E483" t="s">
        <v>789</v>
      </c>
      <c r="F483" t="s">
        <v>545</v>
      </c>
      <c r="G483" t="s">
        <v>368</v>
      </c>
      <c r="H483" t="s">
        <v>367</v>
      </c>
      <c r="I483" t="s">
        <v>820</v>
      </c>
      <c r="J483">
        <v>2015</v>
      </c>
      <c r="K483" t="b">
        <v>0</v>
      </c>
      <c r="X483">
        <v>63.57</v>
      </c>
      <c r="AD483">
        <v>64</v>
      </c>
      <c r="AG483" t="s">
        <v>884</v>
      </c>
      <c r="AH483" t="s">
        <v>885</v>
      </c>
    </row>
    <row r="484" spans="1:34" x14ac:dyDescent="0.35">
      <c r="A484" t="s">
        <v>880</v>
      </c>
      <c r="B484" t="s">
        <v>881</v>
      </c>
      <c r="C484" t="s">
        <v>882</v>
      </c>
      <c r="D484" t="s">
        <v>25</v>
      </c>
      <c r="E484" t="s">
        <v>886</v>
      </c>
      <c r="F484" t="s">
        <v>545</v>
      </c>
      <c r="G484" t="s">
        <v>431</v>
      </c>
      <c r="H484" t="s">
        <v>430</v>
      </c>
      <c r="I484" t="s">
        <v>820</v>
      </c>
      <c r="J484">
        <v>2015</v>
      </c>
      <c r="K484" t="b">
        <v>0</v>
      </c>
      <c r="X484">
        <v>64.47</v>
      </c>
      <c r="AD484">
        <v>64</v>
      </c>
      <c r="AG484" t="s">
        <v>884</v>
      </c>
      <c r="AH484" t="s">
        <v>885</v>
      </c>
    </row>
    <row r="485" spans="1:34" x14ac:dyDescent="0.35">
      <c r="A485" t="s">
        <v>880</v>
      </c>
      <c r="B485" t="s">
        <v>881</v>
      </c>
      <c r="C485" t="s">
        <v>882</v>
      </c>
      <c r="D485" t="s">
        <v>20</v>
      </c>
      <c r="E485" t="s">
        <v>789</v>
      </c>
      <c r="F485" t="s">
        <v>545</v>
      </c>
      <c r="G485" t="s">
        <v>219</v>
      </c>
      <c r="H485" t="s">
        <v>218</v>
      </c>
      <c r="I485" t="s">
        <v>820</v>
      </c>
      <c r="J485">
        <v>2015</v>
      </c>
      <c r="K485" t="b">
        <v>0</v>
      </c>
      <c r="X485">
        <v>64.81</v>
      </c>
      <c r="AD485">
        <v>65</v>
      </c>
      <c r="AG485" t="s">
        <v>884</v>
      </c>
      <c r="AH485" t="s">
        <v>885</v>
      </c>
    </row>
    <row r="486" spans="1:34" x14ac:dyDescent="0.35">
      <c r="A486" t="s">
        <v>880</v>
      </c>
      <c r="B486" t="s">
        <v>881</v>
      </c>
      <c r="C486" t="s">
        <v>882</v>
      </c>
      <c r="D486" t="s">
        <v>1</v>
      </c>
      <c r="E486" t="s">
        <v>889</v>
      </c>
      <c r="F486" t="s">
        <v>545</v>
      </c>
      <c r="G486" t="s">
        <v>199</v>
      </c>
      <c r="H486" t="s">
        <v>198</v>
      </c>
      <c r="I486" t="s">
        <v>820</v>
      </c>
      <c r="J486">
        <v>2015</v>
      </c>
      <c r="K486" t="b">
        <v>0</v>
      </c>
      <c r="X486">
        <v>65.11</v>
      </c>
      <c r="AD486">
        <v>65</v>
      </c>
      <c r="AG486" t="s">
        <v>884</v>
      </c>
      <c r="AH486" t="s">
        <v>885</v>
      </c>
    </row>
    <row r="487" spans="1:34" x14ac:dyDescent="0.35">
      <c r="A487" t="s">
        <v>880</v>
      </c>
      <c r="B487" t="s">
        <v>881</v>
      </c>
      <c r="C487" t="s">
        <v>882</v>
      </c>
      <c r="D487" t="s">
        <v>20</v>
      </c>
      <c r="E487" t="s">
        <v>789</v>
      </c>
      <c r="F487" t="s">
        <v>545</v>
      </c>
      <c r="G487" t="s">
        <v>91</v>
      </c>
      <c r="H487" t="s">
        <v>90</v>
      </c>
      <c r="I487" t="s">
        <v>820</v>
      </c>
      <c r="J487">
        <v>2015</v>
      </c>
      <c r="K487" t="b">
        <v>0</v>
      </c>
      <c r="X487">
        <v>65.37</v>
      </c>
      <c r="AD487">
        <v>65</v>
      </c>
      <c r="AG487" t="s">
        <v>884</v>
      </c>
      <c r="AH487" t="s">
        <v>885</v>
      </c>
    </row>
    <row r="488" spans="1:34" x14ac:dyDescent="0.35">
      <c r="A488" t="s">
        <v>880</v>
      </c>
      <c r="B488" t="s">
        <v>881</v>
      </c>
      <c r="C488" t="s">
        <v>882</v>
      </c>
      <c r="D488" t="s">
        <v>20</v>
      </c>
      <c r="E488" t="s">
        <v>789</v>
      </c>
      <c r="F488" t="s">
        <v>545</v>
      </c>
      <c r="G488" t="s">
        <v>348</v>
      </c>
      <c r="H488" t="s">
        <v>347</v>
      </c>
      <c r="I488" t="s">
        <v>820</v>
      </c>
      <c r="J488">
        <v>2015</v>
      </c>
      <c r="K488" t="b">
        <v>0</v>
      </c>
      <c r="X488">
        <v>64.95</v>
      </c>
      <c r="AD488">
        <v>65</v>
      </c>
      <c r="AG488" t="s">
        <v>884</v>
      </c>
      <c r="AH488" t="s">
        <v>885</v>
      </c>
    </row>
    <row r="489" spans="1:34" x14ac:dyDescent="0.35">
      <c r="A489" t="s">
        <v>880</v>
      </c>
      <c r="B489" t="s">
        <v>881</v>
      </c>
      <c r="C489" t="s">
        <v>882</v>
      </c>
      <c r="D489" t="s">
        <v>20</v>
      </c>
      <c r="E489" t="s">
        <v>789</v>
      </c>
      <c r="F489" t="s">
        <v>545</v>
      </c>
      <c r="G489" t="s">
        <v>237</v>
      </c>
      <c r="H489" t="s">
        <v>236</v>
      </c>
      <c r="I489" t="s">
        <v>820</v>
      </c>
      <c r="J489">
        <v>2015</v>
      </c>
      <c r="K489" t="b">
        <v>0</v>
      </c>
      <c r="X489">
        <v>65.900000000000006</v>
      </c>
      <c r="AD489">
        <v>66</v>
      </c>
      <c r="AG489" t="s">
        <v>884</v>
      </c>
      <c r="AH489" t="s">
        <v>885</v>
      </c>
    </row>
    <row r="490" spans="1:34" x14ac:dyDescent="0.35">
      <c r="A490" t="s">
        <v>880</v>
      </c>
      <c r="B490" t="s">
        <v>881</v>
      </c>
      <c r="C490" t="s">
        <v>882</v>
      </c>
      <c r="D490" t="s">
        <v>1</v>
      </c>
      <c r="E490" t="s">
        <v>889</v>
      </c>
      <c r="F490" t="s">
        <v>545</v>
      </c>
      <c r="G490" t="s">
        <v>34</v>
      </c>
      <c r="H490" t="s">
        <v>33</v>
      </c>
      <c r="I490" t="s">
        <v>820</v>
      </c>
      <c r="J490">
        <v>2015</v>
      </c>
      <c r="K490" t="b">
        <v>0</v>
      </c>
      <c r="X490">
        <v>65.67</v>
      </c>
      <c r="AD490">
        <v>66</v>
      </c>
      <c r="AG490" t="s">
        <v>884</v>
      </c>
      <c r="AH490" t="s">
        <v>885</v>
      </c>
    </row>
    <row r="491" spans="1:34" x14ac:dyDescent="0.35">
      <c r="A491" t="s">
        <v>880</v>
      </c>
      <c r="B491" t="s">
        <v>881</v>
      </c>
      <c r="C491" t="s">
        <v>882</v>
      </c>
      <c r="D491" t="s">
        <v>20</v>
      </c>
      <c r="E491" t="s">
        <v>789</v>
      </c>
      <c r="F491" t="s">
        <v>545</v>
      </c>
      <c r="G491" t="s">
        <v>342</v>
      </c>
      <c r="H491" t="s">
        <v>341</v>
      </c>
      <c r="I491" t="s">
        <v>820</v>
      </c>
      <c r="J491">
        <v>2015</v>
      </c>
      <c r="K491" t="b">
        <v>0</v>
      </c>
      <c r="X491">
        <v>65.63</v>
      </c>
      <c r="AD491">
        <v>66</v>
      </c>
      <c r="AG491" t="s">
        <v>884</v>
      </c>
      <c r="AH491" t="s">
        <v>885</v>
      </c>
    </row>
    <row r="492" spans="1:34" x14ac:dyDescent="0.35">
      <c r="A492" t="s">
        <v>880</v>
      </c>
      <c r="B492" t="s">
        <v>881</v>
      </c>
      <c r="C492" t="s">
        <v>882</v>
      </c>
      <c r="D492" t="s">
        <v>4</v>
      </c>
      <c r="E492" t="s">
        <v>883</v>
      </c>
      <c r="F492" t="s">
        <v>545</v>
      </c>
      <c r="G492" t="s">
        <v>512</v>
      </c>
      <c r="H492" t="s">
        <v>511</v>
      </c>
      <c r="I492" t="s">
        <v>820</v>
      </c>
      <c r="J492">
        <v>2015</v>
      </c>
      <c r="K492" t="b">
        <v>0</v>
      </c>
      <c r="X492">
        <v>66.13</v>
      </c>
      <c r="AD492">
        <v>66</v>
      </c>
      <c r="AG492" t="s">
        <v>884</v>
      </c>
      <c r="AH492" t="s">
        <v>885</v>
      </c>
    </row>
    <row r="493" spans="1:34" x14ac:dyDescent="0.35">
      <c r="A493" t="s">
        <v>880</v>
      </c>
      <c r="B493" t="s">
        <v>881</v>
      </c>
      <c r="C493" t="s">
        <v>882</v>
      </c>
      <c r="D493" t="s">
        <v>20</v>
      </c>
      <c r="E493" t="s">
        <v>789</v>
      </c>
      <c r="F493" t="s">
        <v>545</v>
      </c>
      <c r="G493" t="s">
        <v>386</v>
      </c>
      <c r="H493" t="s">
        <v>676</v>
      </c>
      <c r="I493" t="s">
        <v>820</v>
      </c>
      <c r="J493">
        <v>2015</v>
      </c>
      <c r="K493" t="b">
        <v>0</v>
      </c>
      <c r="X493">
        <v>66.09</v>
      </c>
      <c r="AD493">
        <v>66</v>
      </c>
      <c r="AG493" t="s">
        <v>884</v>
      </c>
      <c r="AH493" t="s">
        <v>885</v>
      </c>
    </row>
    <row r="494" spans="1:34" x14ac:dyDescent="0.35">
      <c r="A494" t="s">
        <v>880</v>
      </c>
      <c r="B494" t="s">
        <v>881</v>
      </c>
      <c r="C494" t="s">
        <v>882</v>
      </c>
      <c r="D494" t="s">
        <v>25</v>
      </c>
      <c r="E494" t="s">
        <v>886</v>
      </c>
      <c r="F494" t="s">
        <v>545</v>
      </c>
      <c r="G494" t="s">
        <v>419</v>
      </c>
      <c r="H494" t="s">
        <v>418</v>
      </c>
      <c r="I494" t="s">
        <v>820</v>
      </c>
      <c r="J494">
        <v>2015</v>
      </c>
      <c r="K494" t="b">
        <v>0</v>
      </c>
      <c r="X494">
        <v>65.66</v>
      </c>
      <c r="AD494">
        <v>66</v>
      </c>
      <c r="AG494" t="s">
        <v>884</v>
      </c>
      <c r="AH494" t="s">
        <v>885</v>
      </c>
    </row>
    <row r="495" spans="1:34" x14ac:dyDescent="0.35">
      <c r="A495" t="s">
        <v>880</v>
      </c>
      <c r="B495" t="s">
        <v>881</v>
      </c>
      <c r="C495" t="s">
        <v>882</v>
      </c>
      <c r="D495" t="s">
        <v>4</v>
      </c>
      <c r="E495" t="s">
        <v>883</v>
      </c>
      <c r="F495" t="s">
        <v>545</v>
      </c>
      <c r="G495" t="s">
        <v>458</v>
      </c>
      <c r="H495" t="s">
        <v>457</v>
      </c>
      <c r="I495" t="s">
        <v>820</v>
      </c>
      <c r="J495">
        <v>2015</v>
      </c>
      <c r="K495" t="b">
        <v>0</v>
      </c>
      <c r="X495">
        <v>66</v>
      </c>
      <c r="AD495">
        <v>66</v>
      </c>
      <c r="AG495" t="s">
        <v>884</v>
      </c>
      <c r="AH495" t="s">
        <v>885</v>
      </c>
    </row>
    <row r="496" spans="1:34" x14ac:dyDescent="0.35">
      <c r="A496" t="s">
        <v>880</v>
      </c>
      <c r="B496" t="s">
        <v>881</v>
      </c>
      <c r="C496" t="s">
        <v>882</v>
      </c>
      <c r="D496" t="s">
        <v>0</v>
      </c>
      <c r="E496" t="s">
        <v>887</v>
      </c>
      <c r="F496" t="s">
        <v>545</v>
      </c>
      <c r="G496" t="s">
        <v>495</v>
      </c>
      <c r="H496" t="s">
        <v>494</v>
      </c>
      <c r="I496" t="s">
        <v>820</v>
      </c>
      <c r="J496">
        <v>2015</v>
      </c>
      <c r="K496" t="b">
        <v>0</v>
      </c>
      <c r="X496">
        <v>66.19</v>
      </c>
      <c r="AD496">
        <v>66</v>
      </c>
      <c r="AG496" t="s">
        <v>884</v>
      </c>
      <c r="AH496" t="s">
        <v>885</v>
      </c>
    </row>
    <row r="497" spans="1:34" x14ac:dyDescent="0.35">
      <c r="A497" t="s">
        <v>880</v>
      </c>
      <c r="B497" t="s">
        <v>881</v>
      </c>
      <c r="C497" t="s">
        <v>882</v>
      </c>
      <c r="D497" t="s">
        <v>1</v>
      </c>
      <c r="E497" t="s">
        <v>889</v>
      </c>
      <c r="F497" t="s">
        <v>545</v>
      </c>
      <c r="G497" t="s">
        <v>37</v>
      </c>
      <c r="H497" t="s">
        <v>36</v>
      </c>
      <c r="I497" t="s">
        <v>820</v>
      </c>
      <c r="J497">
        <v>2015</v>
      </c>
      <c r="K497" t="b">
        <v>0</v>
      </c>
      <c r="X497">
        <v>67.08</v>
      </c>
      <c r="AD497">
        <v>67</v>
      </c>
      <c r="AG497" t="s">
        <v>884</v>
      </c>
      <c r="AH497" t="s">
        <v>885</v>
      </c>
    </row>
    <row r="498" spans="1:34" x14ac:dyDescent="0.35">
      <c r="A498" t="s">
        <v>880</v>
      </c>
      <c r="B498" t="s">
        <v>881</v>
      </c>
      <c r="C498" t="s">
        <v>882</v>
      </c>
      <c r="D498" t="s">
        <v>25</v>
      </c>
      <c r="E498" t="s">
        <v>886</v>
      </c>
      <c r="F498" t="s">
        <v>545</v>
      </c>
      <c r="G498" t="s">
        <v>243</v>
      </c>
      <c r="H498" t="s">
        <v>242</v>
      </c>
      <c r="I498" t="s">
        <v>820</v>
      </c>
      <c r="J498">
        <v>2015</v>
      </c>
      <c r="K498" t="b">
        <v>0</v>
      </c>
      <c r="X498">
        <v>66.92</v>
      </c>
      <c r="AD498">
        <v>67</v>
      </c>
      <c r="AG498" t="s">
        <v>884</v>
      </c>
      <c r="AH498" t="s">
        <v>885</v>
      </c>
    </row>
    <row r="499" spans="1:34" x14ac:dyDescent="0.35">
      <c r="A499" t="s">
        <v>880</v>
      </c>
      <c r="B499" t="s">
        <v>881</v>
      </c>
      <c r="C499" t="s">
        <v>882</v>
      </c>
      <c r="D499" t="s">
        <v>1</v>
      </c>
      <c r="E499" t="s">
        <v>889</v>
      </c>
      <c r="F499" t="s">
        <v>545</v>
      </c>
      <c r="G499" t="s">
        <v>96</v>
      </c>
      <c r="H499" t="s">
        <v>95</v>
      </c>
      <c r="I499" t="s">
        <v>820</v>
      </c>
      <c r="J499">
        <v>2015</v>
      </c>
      <c r="K499" t="b">
        <v>0</v>
      </c>
      <c r="X499">
        <v>67.3</v>
      </c>
      <c r="AD499">
        <v>67</v>
      </c>
      <c r="AG499" t="s">
        <v>884</v>
      </c>
      <c r="AH499" t="s">
        <v>885</v>
      </c>
    </row>
    <row r="500" spans="1:34" x14ac:dyDescent="0.35">
      <c r="A500" t="s">
        <v>880</v>
      </c>
      <c r="B500" t="s">
        <v>881</v>
      </c>
      <c r="C500" t="s">
        <v>882</v>
      </c>
      <c r="D500" t="s">
        <v>4</v>
      </c>
      <c r="E500" t="s">
        <v>883</v>
      </c>
      <c r="F500" t="s">
        <v>545</v>
      </c>
      <c r="G500" t="s">
        <v>506</v>
      </c>
      <c r="H500" t="s">
        <v>505</v>
      </c>
      <c r="I500" t="s">
        <v>820</v>
      </c>
      <c r="J500">
        <v>2015</v>
      </c>
      <c r="K500" t="b">
        <v>0</v>
      </c>
      <c r="X500">
        <v>66.83</v>
      </c>
      <c r="AD500">
        <v>67</v>
      </c>
      <c r="AG500" t="s">
        <v>884</v>
      </c>
      <c r="AH500" t="s">
        <v>885</v>
      </c>
    </row>
    <row r="501" spans="1:34" x14ac:dyDescent="0.35">
      <c r="A501" t="s">
        <v>880</v>
      </c>
      <c r="B501" t="s">
        <v>881</v>
      </c>
      <c r="C501" t="s">
        <v>882</v>
      </c>
      <c r="D501" t="s">
        <v>4</v>
      </c>
      <c r="E501" t="s">
        <v>883</v>
      </c>
      <c r="F501" t="s">
        <v>545</v>
      </c>
      <c r="G501" t="s">
        <v>515</v>
      </c>
      <c r="H501" t="s">
        <v>514</v>
      </c>
      <c r="I501" t="s">
        <v>820</v>
      </c>
      <c r="J501">
        <v>2015</v>
      </c>
      <c r="K501" t="b">
        <v>0</v>
      </c>
      <c r="X501">
        <v>67.209999999999994</v>
      </c>
      <c r="AD501">
        <v>67</v>
      </c>
      <c r="AG501" t="s">
        <v>884</v>
      </c>
      <c r="AH501" t="s">
        <v>885</v>
      </c>
    </row>
    <row r="502" spans="1:34" x14ac:dyDescent="0.35">
      <c r="A502" t="s">
        <v>880</v>
      </c>
      <c r="B502" t="s">
        <v>881</v>
      </c>
      <c r="C502" t="s">
        <v>882</v>
      </c>
      <c r="D502" t="s">
        <v>1</v>
      </c>
      <c r="E502" t="s">
        <v>889</v>
      </c>
      <c r="F502" t="s">
        <v>545</v>
      </c>
      <c r="G502" t="s">
        <v>437</v>
      </c>
      <c r="H502" t="s">
        <v>436</v>
      </c>
      <c r="I502" t="s">
        <v>820</v>
      </c>
      <c r="J502">
        <v>2015</v>
      </c>
      <c r="K502" t="b">
        <v>0</v>
      </c>
      <c r="X502">
        <v>66.88</v>
      </c>
      <c r="AD502">
        <v>67</v>
      </c>
      <c r="AG502" t="s">
        <v>884</v>
      </c>
      <c r="AH502" t="s">
        <v>885</v>
      </c>
    </row>
    <row r="503" spans="1:34" x14ac:dyDescent="0.35">
      <c r="A503" t="s">
        <v>880</v>
      </c>
      <c r="B503" t="s">
        <v>881</v>
      </c>
      <c r="C503" t="s">
        <v>882</v>
      </c>
      <c r="D503" t="s">
        <v>20</v>
      </c>
      <c r="E503" t="s">
        <v>789</v>
      </c>
      <c r="F503" t="s">
        <v>545</v>
      </c>
      <c r="G503" t="s">
        <v>467</v>
      </c>
      <c r="H503" t="s">
        <v>466</v>
      </c>
      <c r="I503" t="s">
        <v>820</v>
      </c>
      <c r="J503">
        <v>2015</v>
      </c>
      <c r="K503" t="b">
        <v>0</v>
      </c>
      <c r="X503">
        <v>67.099999999999994</v>
      </c>
      <c r="AD503">
        <v>67</v>
      </c>
      <c r="AG503" t="s">
        <v>884</v>
      </c>
      <c r="AH503" t="s">
        <v>885</v>
      </c>
    </row>
    <row r="504" spans="1:34" x14ac:dyDescent="0.35">
      <c r="A504" t="s">
        <v>880</v>
      </c>
      <c r="B504" t="s">
        <v>881</v>
      </c>
      <c r="C504" t="s">
        <v>882</v>
      </c>
      <c r="D504" t="s">
        <v>1</v>
      </c>
      <c r="E504" t="s">
        <v>889</v>
      </c>
      <c r="F504" t="s">
        <v>545</v>
      </c>
      <c r="G504" t="s">
        <v>125</v>
      </c>
      <c r="H504" t="s">
        <v>124</v>
      </c>
      <c r="I504" t="s">
        <v>820</v>
      </c>
      <c r="J504">
        <v>2015</v>
      </c>
      <c r="K504" t="b">
        <v>0</v>
      </c>
      <c r="X504">
        <v>68.03</v>
      </c>
      <c r="AD504">
        <v>68</v>
      </c>
      <c r="AG504" t="s">
        <v>884</v>
      </c>
      <c r="AH504" t="s">
        <v>885</v>
      </c>
    </row>
    <row r="505" spans="1:34" x14ac:dyDescent="0.35">
      <c r="A505" t="s">
        <v>880</v>
      </c>
      <c r="B505" t="s">
        <v>881</v>
      </c>
      <c r="C505" t="s">
        <v>882</v>
      </c>
      <c r="D505" t="s">
        <v>4</v>
      </c>
      <c r="E505" t="s">
        <v>883</v>
      </c>
      <c r="F505" t="s">
        <v>545</v>
      </c>
      <c r="G505" t="s">
        <v>179</v>
      </c>
      <c r="H505" t="s">
        <v>178</v>
      </c>
      <c r="I505" t="s">
        <v>820</v>
      </c>
      <c r="J505">
        <v>2015</v>
      </c>
      <c r="K505" t="b">
        <v>0</v>
      </c>
      <c r="X505">
        <v>67.8</v>
      </c>
      <c r="AD505">
        <v>68</v>
      </c>
      <c r="AG505" t="s">
        <v>884</v>
      </c>
      <c r="AH505" t="s">
        <v>885</v>
      </c>
    </row>
    <row r="506" spans="1:34" x14ac:dyDescent="0.35">
      <c r="A506" t="s">
        <v>880</v>
      </c>
      <c r="B506" t="s">
        <v>881</v>
      </c>
      <c r="C506" t="s">
        <v>882</v>
      </c>
      <c r="D506" t="s">
        <v>43</v>
      </c>
      <c r="E506" t="s">
        <v>890</v>
      </c>
      <c r="F506" t="s">
        <v>545</v>
      </c>
      <c r="G506" t="s">
        <v>357</v>
      </c>
      <c r="H506" t="s">
        <v>356</v>
      </c>
      <c r="I506" t="s">
        <v>820</v>
      </c>
      <c r="J506">
        <v>2015</v>
      </c>
      <c r="K506" t="b">
        <v>0</v>
      </c>
      <c r="X506">
        <v>68.2</v>
      </c>
      <c r="AD506">
        <v>68</v>
      </c>
      <c r="AG506" t="s">
        <v>884</v>
      </c>
      <c r="AH506" t="s">
        <v>885</v>
      </c>
    </row>
    <row r="507" spans="1:34" x14ac:dyDescent="0.35">
      <c r="A507" t="s">
        <v>880</v>
      </c>
      <c r="B507" t="s">
        <v>881</v>
      </c>
      <c r="C507" t="s">
        <v>882</v>
      </c>
      <c r="D507" t="s">
        <v>1</v>
      </c>
      <c r="E507" t="s">
        <v>889</v>
      </c>
      <c r="F507" t="s">
        <v>545</v>
      </c>
      <c r="G507" t="s">
        <v>380</v>
      </c>
      <c r="H507" t="s">
        <v>379</v>
      </c>
      <c r="I507" t="s">
        <v>820</v>
      </c>
      <c r="J507">
        <v>2015</v>
      </c>
      <c r="K507" t="b">
        <v>0</v>
      </c>
      <c r="X507">
        <v>67.61</v>
      </c>
      <c r="AD507">
        <v>68</v>
      </c>
      <c r="AG507" t="s">
        <v>884</v>
      </c>
      <c r="AH507" t="s">
        <v>885</v>
      </c>
    </row>
    <row r="508" spans="1:34" x14ac:dyDescent="0.35">
      <c r="A508" t="s">
        <v>880</v>
      </c>
      <c r="B508" t="s">
        <v>881</v>
      </c>
      <c r="C508" t="s">
        <v>882</v>
      </c>
      <c r="D508" t="s">
        <v>20</v>
      </c>
      <c r="E508" t="s">
        <v>789</v>
      </c>
      <c r="F508" t="s">
        <v>545</v>
      </c>
      <c r="G508" t="s">
        <v>228</v>
      </c>
      <c r="H508" t="s">
        <v>227</v>
      </c>
      <c r="I508" t="s">
        <v>820</v>
      </c>
      <c r="J508">
        <v>2015</v>
      </c>
      <c r="K508" t="b">
        <v>0</v>
      </c>
      <c r="X508">
        <v>68.790000000000006</v>
      </c>
      <c r="AD508">
        <v>69</v>
      </c>
      <c r="AG508" t="s">
        <v>884</v>
      </c>
      <c r="AH508" t="s">
        <v>885</v>
      </c>
    </row>
    <row r="509" spans="1:34" x14ac:dyDescent="0.35">
      <c r="A509" t="s">
        <v>880</v>
      </c>
      <c r="B509" t="s">
        <v>881</v>
      </c>
      <c r="C509" t="s">
        <v>882</v>
      </c>
      <c r="D509" t="s">
        <v>4</v>
      </c>
      <c r="E509" t="s">
        <v>883</v>
      </c>
      <c r="F509" t="s">
        <v>545</v>
      </c>
      <c r="G509" t="s">
        <v>117</v>
      </c>
      <c r="H509" t="s">
        <v>116</v>
      </c>
      <c r="I509" t="s">
        <v>820</v>
      </c>
      <c r="J509">
        <v>2015</v>
      </c>
      <c r="K509" t="b">
        <v>0</v>
      </c>
      <c r="X509">
        <v>68.760000000000005</v>
      </c>
      <c r="AD509">
        <v>69</v>
      </c>
      <c r="AG509" t="s">
        <v>884</v>
      </c>
      <c r="AH509" t="s">
        <v>885</v>
      </c>
    </row>
    <row r="510" spans="1:34" x14ac:dyDescent="0.35">
      <c r="A510" t="s">
        <v>880</v>
      </c>
      <c r="B510" t="s">
        <v>881</v>
      </c>
      <c r="C510" t="s">
        <v>882</v>
      </c>
      <c r="D510" t="s">
        <v>20</v>
      </c>
      <c r="E510" t="s">
        <v>789</v>
      </c>
      <c r="F510" t="s">
        <v>545</v>
      </c>
      <c r="G510" t="s">
        <v>174</v>
      </c>
      <c r="H510" t="s">
        <v>173</v>
      </c>
      <c r="I510" t="s">
        <v>820</v>
      </c>
      <c r="J510">
        <v>2015</v>
      </c>
      <c r="K510" t="b">
        <v>0</v>
      </c>
      <c r="X510">
        <v>69.27</v>
      </c>
      <c r="AD510">
        <v>69</v>
      </c>
      <c r="AG510" t="s">
        <v>884</v>
      </c>
      <c r="AH510" t="s">
        <v>885</v>
      </c>
    </row>
    <row r="511" spans="1:34" x14ac:dyDescent="0.35">
      <c r="A511" t="s">
        <v>880</v>
      </c>
      <c r="B511" t="s">
        <v>881</v>
      </c>
      <c r="C511" t="s">
        <v>882</v>
      </c>
      <c r="D511" t="s">
        <v>20</v>
      </c>
      <c r="E511" t="s">
        <v>789</v>
      </c>
      <c r="F511" t="s">
        <v>545</v>
      </c>
      <c r="G511" t="s">
        <v>416</v>
      </c>
      <c r="H511" t="s">
        <v>415</v>
      </c>
      <c r="I511" t="s">
        <v>820</v>
      </c>
      <c r="J511">
        <v>2015</v>
      </c>
      <c r="K511" t="b">
        <v>0</v>
      </c>
      <c r="X511">
        <v>68.87</v>
      </c>
      <c r="AD511">
        <v>69</v>
      </c>
      <c r="AG511" t="s">
        <v>884</v>
      </c>
      <c r="AH511" t="s">
        <v>885</v>
      </c>
    </row>
    <row r="512" spans="1:34" x14ac:dyDescent="0.35">
      <c r="A512" t="s">
        <v>880</v>
      </c>
      <c r="B512" t="s">
        <v>881</v>
      </c>
      <c r="C512" t="s">
        <v>882</v>
      </c>
      <c r="D512" t="s">
        <v>20</v>
      </c>
      <c r="E512" t="s">
        <v>789</v>
      </c>
      <c r="F512" t="s">
        <v>545</v>
      </c>
      <c r="G512" t="s">
        <v>525</v>
      </c>
      <c r="H512" t="s">
        <v>524</v>
      </c>
      <c r="I512" t="s">
        <v>820</v>
      </c>
      <c r="J512">
        <v>2015</v>
      </c>
      <c r="K512" t="b">
        <v>0</v>
      </c>
      <c r="X512">
        <v>69.27</v>
      </c>
      <c r="AD512">
        <v>69</v>
      </c>
      <c r="AG512" t="s">
        <v>884</v>
      </c>
      <c r="AH512" t="s">
        <v>885</v>
      </c>
    </row>
    <row r="513" spans="1:34" x14ac:dyDescent="0.35">
      <c r="A513" t="s">
        <v>880</v>
      </c>
      <c r="B513" t="s">
        <v>881</v>
      </c>
      <c r="C513" t="s">
        <v>882</v>
      </c>
      <c r="D513" t="s">
        <v>20</v>
      </c>
      <c r="E513" t="s">
        <v>789</v>
      </c>
      <c r="F513" t="s">
        <v>545</v>
      </c>
      <c r="G513" t="s">
        <v>104</v>
      </c>
      <c r="H513" t="s">
        <v>103</v>
      </c>
      <c r="I513" t="s">
        <v>820</v>
      </c>
      <c r="J513">
        <v>2015</v>
      </c>
      <c r="K513" t="b">
        <v>0</v>
      </c>
      <c r="X513">
        <v>70.31</v>
      </c>
      <c r="AD513">
        <v>70</v>
      </c>
      <c r="AG513" t="s">
        <v>884</v>
      </c>
      <c r="AH513" t="s">
        <v>885</v>
      </c>
    </row>
    <row r="514" spans="1:34" x14ac:dyDescent="0.35">
      <c r="A514" t="s">
        <v>880</v>
      </c>
      <c r="B514" t="s">
        <v>881</v>
      </c>
      <c r="C514" t="s">
        <v>882</v>
      </c>
      <c r="D514" t="s">
        <v>4</v>
      </c>
      <c r="E514" t="s">
        <v>883</v>
      </c>
      <c r="F514" t="s">
        <v>545</v>
      </c>
      <c r="G514" t="s">
        <v>153</v>
      </c>
      <c r="H514" t="s">
        <v>152</v>
      </c>
      <c r="I514" t="s">
        <v>820</v>
      </c>
      <c r="J514">
        <v>2015</v>
      </c>
      <c r="K514" t="b">
        <v>0</v>
      </c>
      <c r="X514">
        <v>70.209999999999994</v>
      </c>
      <c r="AD514">
        <v>70</v>
      </c>
      <c r="AG514" t="s">
        <v>884</v>
      </c>
      <c r="AH514" t="s">
        <v>885</v>
      </c>
    </row>
    <row r="515" spans="1:34" x14ac:dyDescent="0.35">
      <c r="A515" t="s">
        <v>880</v>
      </c>
      <c r="B515" t="s">
        <v>881</v>
      </c>
      <c r="C515" t="s">
        <v>882</v>
      </c>
      <c r="D515" t="s">
        <v>1</v>
      </c>
      <c r="E515" t="s">
        <v>889</v>
      </c>
      <c r="F515" t="s">
        <v>545</v>
      </c>
      <c r="G515" t="s">
        <v>485</v>
      </c>
      <c r="H515" t="s">
        <v>484</v>
      </c>
      <c r="I515" t="s">
        <v>820</v>
      </c>
      <c r="J515">
        <v>2015</v>
      </c>
      <c r="K515" t="b">
        <v>0</v>
      </c>
      <c r="X515">
        <v>70.040000000000006</v>
      </c>
      <c r="AD515">
        <v>70</v>
      </c>
      <c r="AG515" t="s">
        <v>884</v>
      </c>
      <c r="AH515" t="s">
        <v>885</v>
      </c>
    </row>
    <row r="516" spans="1:34" x14ac:dyDescent="0.35">
      <c r="A516" t="s">
        <v>880</v>
      </c>
      <c r="B516" t="s">
        <v>881</v>
      </c>
      <c r="C516" t="s">
        <v>882</v>
      </c>
      <c r="D516" t="s">
        <v>20</v>
      </c>
      <c r="E516" t="s">
        <v>789</v>
      </c>
      <c r="F516" t="s">
        <v>545</v>
      </c>
      <c r="G516" t="s">
        <v>261</v>
      </c>
      <c r="H516" t="s">
        <v>260</v>
      </c>
      <c r="I516" t="s">
        <v>820</v>
      </c>
      <c r="J516">
        <v>2015</v>
      </c>
      <c r="K516" t="b">
        <v>0</v>
      </c>
      <c r="X516">
        <v>71.31</v>
      </c>
      <c r="AD516">
        <v>71</v>
      </c>
      <c r="AG516" t="s">
        <v>884</v>
      </c>
      <c r="AH516" t="s">
        <v>885</v>
      </c>
    </row>
    <row r="517" spans="1:34" x14ac:dyDescent="0.35">
      <c r="A517" t="s">
        <v>880</v>
      </c>
      <c r="B517" t="s">
        <v>881</v>
      </c>
      <c r="C517" t="s">
        <v>882</v>
      </c>
      <c r="D517" t="s">
        <v>20</v>
      </c>
      <c r="E517" t="s">
        <v>789</v>
      </c>
      <c r="F517" t="s">
        <v>545</v>
      </c>
      <c r="G517" t="s">
        <v>331</v>
      </c>
      <c r="H517" t="s">
        <v>330</v>
      </c>
      <c r="I517" t="s">
        <v>820</v>
      </c>
      <c r="J517">
        <v>2015</v>
      </c>
      <c r="K517" t="b">
        <v>0</v>
      </c>
      <c r="X517">
        <v>70.98</v>
      </c>
      <c r="AD517">
        <v>71</v>
      </c>
      <c r="AG517" t="s">
        <v>884</v>
      </c>
      <c r="AH517" t="s">
        <v>885</v>
      </c>
    </row>
    <row r="518" spans="1:34" x14ac:dyDescent="0.35">
      <c r="A518" t="s">
        <v>880</v>
      </c>
      <c r="B518" t="s">
        <v>881</v>
      </c>
      <c r="C518" t="s">
        <v>882</v>
      </c>
      <c r="D518" t="s">
        <v>20</v>
      </c>
      <c r="E518" t="s">
        <v>789</v>
      </c>
      <c r="F518" t="s">
        <v>545</v>
      </c>
      <c r="G518" t="s">
        <v>481</v>
      </c>
      <c r="H518" t="s">
        <v>480</v>
      </c>
      <c r="I518" t="s">
        <v>820</v>
      </c>
      <c r="J518">
        <v>2015</v>
      </c>
      <c r="K518" t="b">
        <v>0</v>
      </c>
      <c r="X518">
        <v>70.790000000000006</v>
      </c>
      <c r="AD518">
        <v>71</v>
      </c>
      <c r="AG518" t="s">
        <v>884</v>
      </c>
      <c r="AH518" t="s">
        <v>885</v>
      </c>
    </row>
    <row r="519" spans="1:34" x14ac:dyDescent="0.35">
      <c r="A519" t="s">
        <v>880</v>
      </c>
      <c r="B519" t="s">
        <v>881</v>
      </c>
      <c r="C519" t="s">
        <v>882</v>
      </c>
      <c r="D519" t="s">
        <v>20</v>
      </c>
      <c r="E519" t="s">
        <v>789</v>
      </c>
      <c r="F519" t="s">
        <v>545</v>
      </c>
      <c r="G519" t="s">
        <v>483</v>
      </c>
      <c r="H519" t="s">
        <v>482</v>
      </c>
      <c r="I519" t="s">
        <v>820</v>
      </c>
      <c r="J519">
        <v>2015</v>
      </c>
      <c r="K519" t="b">
        <v>0</v>
      </c>
      <c r="X519">
        <v>70.989999999999995</v>
      </c>
      <c r="AD519">
        <v>71</v>
      </c>
      <c r="AG519" t="s">
        <v>884</v>
      </c>
      <c r="AH519" t="s">
        <v>885</v>
      </c>
    </row>
    <row r="520" spans="1:34" x14ac:dyDescent="0.35">
      <c r="A520" t="s">
        <v>880</v>
      </c>
      <c r="B520" t="s">
        <v>881</v>
      </c>
      <c r="C520" t="s">
        <v>882</v>
      </c>
      <c r="D520" t="s">
        <v>1</v>
      </c>
      <c r="E520" t="s">
        <v>889</v>
      </c>
      <c r="F520" t="s">
        <v>545</v>
      </c>
      <c r="G520" t="s">
        <v>487</v>
      </c>
      <c r="H520" t="s">
        <v>486</v>
      </c>
      <c r="I520" t="s">
        <v>820</v>
      </c>
      <c r="J520">
        <v>2015</v>
      </c>
      <c r="K520" t="b">
        <v>0</v>
      </c>
      <c r="X520">
        <v>71.08</v>
      </c>
      <c r="AD520">
        <v>71</v>
      </c>
      <c r="AG520" t="s">
        <v>884</v>
      </c>
      <c r="AH520" t="s">
        <v>885</v>
      </c>
    </row>
    <row r="521" spans="1:34" x14ac:dyDescent="0.35">
      <c r="A521" t="s">
        <v>880</v>
      </c>
      <c r="B521" t="s">
        <v>881</v>
      </c>
      <c r="C521" t="s">
        <v>882</v>
      </c>
      <c r="D521" t="s">
        <v>1</v>
      </c>
      <c r="E521" t="s">
        <v>889</v>
      </c>
      <c r="F521" t="s">
        <v>545</v>
      </c>
      <c r="G521" t="s">
        <v>489</v>
      </c>
      <c r="H521" t="s">
        <v>488</v>
      </c>
      <c r="I521" t="s">
        <v>820</v>
      </c>
      <c r="J521">
        <v>2015</v>
      </c>
      <c r="K521" t="b">
        <v>0</v>
      </c>
      <c r="X521">
        <v>71.400000000000006</v>
      </c>
      <c r="AD521">
        <v>71</v>
      </c>
      <c r="AG521" t="s">
        <v>884</v>
      </c>
      <c r="AH521" t="s">
        <v>885</v>
      </c>
    </row>
    <row r="522" spans="1:34" x14ac:dyDescent="0.35">
      <c r="A522" t="s">
        <v>880</v>
      </c>
      <c r="B522" t="s">
        <v>881</v>
      </c>
      <c r="C522" t="s">
        <v>882</v>
      </c>
      <c r="D522" t="s">
        <v>4</v>
      </c>
      <c r="E522" t="s">
        <v>883</v>
      </c>
      <c r="F522" t="s">
        <v>545</v>
      </c>
      <c r="G522" t="s">
        <v>159</v>
      </c>
      <c r="H522" t="s">
        <v>158</v>
      </c>
      <c r="I522" t="s">
        <v>820</v>
      </c>
      <c r="J522">
        <v>2015</v>
      </c>
      <c r="K522" t="b">
        <v>0</v>
      </c>
      <c r="X522">
        <v>71.03</v>
      </c>
      <c r="AD522">
        <v>71</v>
      </c>
      <c r="AG522" t="s">
        <v>884</v>
      </c>
      <c r="AH522" t="s">
        <v>885</v>
      </c>
    </row>
    <row r="523" spans="1:34" x14ac:dyDescent="0.35">
      <c r="A523" t="s">
        <v>880</v>
      </c>
      <c r="B523" t="s">
        <v>881</v>
      </c>
      <c r="C523" t="s">
        <v>882</v>
      </c>
      <c r="D523" t="s">
        <v>1</v>
      </c>
      <c r="E523" t="s">
        <v>889</v>
      </c>
      <c r="F523" t="s">
        <v>545</v>
      </c>
      <c r="G523" t="s">
        <v>19</v>
      </c>
      <c r="H523" t="s">
        <v>18</v>
      </c>
      <c r="I523" t="s">
        <v>820</v>
      </c>
      <c r="J523">
        <v>2015</v>
      </c>
      <c r="K523" t="b">
        <v>0</v>
      </c>
      <c r="X523">
        <v>70.540000000000006</v>
      </c>
      <c r="AD523">
        <v>71</v>
      </c>
      <c r="AG523" t="s">
        <v>884</v>
      </c>
      <c r="AH523" t="s">
        <v>885</v>
      </c>
    </row>
    <row r="524" spans="1:34" x14ac:dyDescent="0.35">
      <c r="A524" t="s">
        <v>880</v>
      </c>
      <c r="B524" t="s">
        <v>881</v>
      </c>
      <c r="C524" t="s">
        <v>882</v>
      </c>
      <c r="D524" t="s">
        <v>1</v>
      </c>
      <c r="E524" t="s">
        <v>889</v>
      </c>
      <c r="F524" t="s">
        <v>545</v>
      </c>
      <c r="G524" t="s">
        <v>3</v>
      </c>
      <c r="H524" t="s">
        <v>2</v>
      </c>
      <c r="I524" t="s">
        <v>820</v>
      </c>
      <c r="J524">
        <v>2015</v>
      </c>
      <c r="K524" t="b">
        <v>0</v>
      </c>
      <c r="X524">
        <v>71.73</v>
      </c>
      <c r="AD524">
        <v>72</v>
      </c>
      <c r="AG524" t="s">
        <v>884</v>
      </c>
      <c r="AH524" t="s">
        <v>885</v>
      </c>
    </row>
    <row r="525" spans="1:34" x14ac:dyDescent="0.35">
      <c r="A525" t="s">
        <v>880</v>
      </c>
      <c r="B525" t="s">
        <v>881</v>
      </c>
      <c r="C525" t="s">
        <v>882</v>
      </c>
      <c r="D525" t="s">
        <v>4</v>
      </c>
      <c r="E525" t="s">
        <v>883</v>
      </c>
      <c r="F525" t="s">
        <v>545</v>
      </c>
      <c r="G525" t="s">
        <v>132</v>
      </c>
      <c r="H525" t="s">
        <v>131</v>
      </c>
      <c r="I525" t="s">
        <v>820</v>
      </c>
      <c r="J525">
        <v>2015</v>
      </c>
      <c r="K525" t="b">
        <v>0</v>
      </c>
      <c r="X525">
        <v>71.62</v>
      </c>
      <c r="AD525">
        <v>72</v>
      </c>
      <c r="AG525" t="s">
        <v>884</v>
      </c>
      <c r="AH525" t="s">
        <v>885</v>
      </c>
    </row>
    <row r="526" spans="1:34" x14ac:dyDescent="0.35">
      <c r="A526" t="s">
        <v>880</v>
      </c>
      <c r="B526" t="s">
        <v>881</v>
      </c>
      <c r="C526" t="s">
        <v>882</v>
      </c>
      <c r="D526" t="s">
        <v>1</v>
      </c>
      <c r="E526" t="s">
        <v>889</v>
      </c>
      <c r="F526" t="s">
        <v>545</v>
      </c>
      <c r="G526" t="s">
        <v>307</v>
      </c>
      <c r="H526" t="s">
        <v>306</v>
      </c>
      <c r="I526" t="s">
        <v>820</v>
      </c>
      <c r="J526">
        <v>2015</v>
      </c>
      <c r="K526" t="b">
        <v>0</v>
      </c>
      <c r="X526">
        <v>72.28</v>
      </c>
      <c r="AD526">
        <v>72</v>
      </c>
      <c r="AG526" t="s">
        <v>884</v>
      </c>
      <c r="AH526" t="s">
        <v>885</v>
      </c>
    </row>
    <row r="527" spans="1:34" x14ac:dyDescent="0.35">
      <c r="A527" t="s">
        <v>880</v>
      </c>
      <c r="B527" t="s">
        <v>881</v>
      </c>
      <c r="C527" t="s">
        <v>882</v>
      </c>
      <c r="D527" t="s">
        <v>1</v>
      </c>
      <c r="E527" t="s">
        <v>889</v>
      </c>
      <c r="F527" t="s">
        <v>545</v>
      </c>
      <c r="G527" t="s">
        <v>455</v>
      </c>
      <c r="H527" t="s">
        <v>454</v>
      </c>
      <c r="I527" t="s">
        <v>820</v>
      </c>
      <c r="J527">
        <v>2015</v>
      </c>
      <c r="K527" t="b">
        <v>0</v>
      </c>
      <c r="X527">
        <v>72.2</v>
      </c>
      <c r="AD527">
        <v>72</v>
      </c>
      <c r="AG527" t="s">
        <v>884</v>
      </c>
      <c r="AH527" t="s">
        <v>885</v>
      </c>
    </row>
    <row r="528" spans="1:34" x14ac:dyDescent="0.35">
      <c r="A528" t="s">
        <v>880</v>
      </c>
      <c r="B528" t="s">
        <v>881</v>
      </c>
      <c r="C528" t="s">
        <v>882</v>
      </c>
      <c r="D528" t="s">
        <v>1</v>
      </c>
      <c r="E528" t="s">
        <v>889</v>
      </c>
      <c r="F528" t="s">
        <v>545</v>
      </c>
      <c r="G528" t="s">
        <v>14</v>
      </c>
      <c r="H528" t="s">
        <v>13</v>
      </c>
      <c r="I528" t="s">
        <v>820</v>
      </c>
      <c r="J528">
        <v>2015</v>
      </c>
      <c r="K528" t="b">
        <v>0</v>
      </c>
      <c r="X528">
        <v>73.09</v>
      </c>
      <c r="AD528">
        <v>73</v>
      </c>
      <c r="AG528" t="s">
        <v>884</v>
      </c>
      <c r="AH528" t="s">
        <v>885</v>
      </c>
    </row>
    <row r="529" spans="1:34" x14ac:dyDescent="0.35">
      <c r="A529" t="s">
        <v>880</v>
      </c>
      <c r="B529" t="s">
        <v>881</v>
      </c>
      <c r="C529" t="s">
        <v>882</v>
      </c>
      <c r="D529" t="s">
        <v>0</v>
      </c>
      <c r="E529" t="s">
        <v>887</v>
      </c>
      <c r="F529" t="s">
        <v>545</v>
      </c>
      <c r="G529" t="s">
        <v>24</v>
      </c>
      <c r="H529" t="s">
        <v>23</v>
      </c>
      <c r="I529" t="s">
        <v>820</v>
      </c>
      <c r="J529">
        <v>2015</v>
      </c>
      <c r="K529" t="b">
        <v>0</v>
      </c>
      <c r="X529">
        <v>73.430000000000007</v>
      </c>
      <c r="AD529">
        <v>73</v>
      </c>
      <c r="AG529" t="s">
        <v>884</v>
      </c>
      <c r="AH529" t="s">
        <v>885</v>
      </c>
    </row>
    <row r="530" spans="1:34" x14ac:dyDescent="0.35">
      <c r="A530" t="s">
        <v>880</v>
      </c>
      <c r="B530" t="s">
        <v>881</v>
      </c>
      <c r="C530" t="s">
        <v>882</v>
      </c>
      <c r="D530" t="s">
        <v>1</v>
      </c>
      <c r="E530" t="s">
        <v>889</v>
      </c>
      <c r="F530" t="s">
        <v>545</v>
      </c>
      <c r="G530" t="s">
        <v>277</v>
      </c>
      <c r="H530" t="s">
        <v>276</v>
      </c>
      <c r="I530" t="s">
        <v>820</v>
      </c>
      <c r="J530">
        <v>2015</v>
      </c>
      <c r="K530" t="b">
        <v>0</v>
      </c>
      <c r="X530">
        <v>72.78</v>
      </c>
      <c r="AD530">
        <v>73</v>
      </c>
      <c r="AG530" t="s">
        <v>884</v>
      </c>
      <c r="AH530" t="s">
        <v>885</v>
      </c>
    </row>
    <row r="531" spans="1:34" x14ac:dyDescent="0.35">
      <c r="A531" t="s">
        <v>880</v>
      </c>
      <c r="B531" t="s">
        <v>881</v>
      </c>
      <c r="C531" t="s">
        <v>882</v>
      </c>
      <c r="D531" t="s">
        <v>0</v>
      </c>
      <c r="E531" t="s">
        <v>887</v>
      </c>
      <c r="F531" t="s">
        <v>545</v>
      </c>
      <c r="G531" t="s">
        <v>181</v>
      </c>
      <c r="H531" t="s">
        <v>180</v>
      </c>
      <c r="I531" t="s">
        <v>820</v>
      </c>
      <c r="J531">
        <v>2015</v>
      </c>
      <c r="K531" t="b">
        <v>0</v>
      </c>
      <c r="X531">
        <v>72.73</v>
      </c>
      <c r="AD531">
        <v>73</v>
      </c>
      <c r="AG531" t="s">
        <v>884</v>
      </c>
      <c r="AH531" t="s">
        <v>885</v>
      </c>
    </row>
    <row r="532" spans="1:34" x14ac:dyDescent="0.35">
      <c r="A532" t="s">
        <v>880</v>
      </c>
      <c r="B532" t="s">
        <v>881</v>
      </c>
      <c r="C532" t="s">
        <v>882</v>
      </c>
      <c r="D532" t="s">
        <v>1</v>
      </c>
      <c r="E532" t="s">
        <v>889</v>
      </c>
      <c r="F532" t="s">
        <v>545</v>
      </c>
      <c r="G532" t="s">
        <v>539</v>
      </c>
      <c r="H532" t="s">
        <v>538</v>
      </c>
      <c r="I532" t="s">
        <v>820</v>
      </c>
      <c r="J532">
        <v>2015</v>
      </c>
      <c r="K532" t="b">
        <v>0</v>
      </c>
      <c r="X532">
        <v>72.510000000000005</v>
      </c>
      <c r="AD532">
        <v>73</v>
      </c>
      <c r="AG532" t="s">
        <v>884</v>
      </c>
      <c r="AH532" t="s">
        <v>885</v>
      </c>
    </row>
    <row r="533" spans="1:34" x14ac:dyDescent="0.35">
      <c r="A533" t="s">
        <v>880</v>
      </c>
      <c r="B533" t="s">
        <v>881</v>
      </c>
      <c r="C533" t="s">
        <v>882</v>
      </c>
      <c r="D533" t="s">
        <v>1</v>
      </c>
      <c r="E533" t="s">
        <v>889</v>
      </c>
      <c r="F533" t="s">
        <v>545</v>
      </c>
      <c r="G533" t="s">
        <v>392</v>
      </c>
      <c r="H533" t="s">
        <v>391</v>
      </c>
      <c r="I533" t="s">
        <v>820</v>
      </c>
      <c r="J533">
        <v>2015</v>
      </c>
      <c r="K533" t="b">
        <v>0</v>
      </c>
      <c r="X533">
        <v>73.48</v>
      </c>
      <c r="AD533">
        <v>73</v>
      </c>
      <c r="AG533" t="s">
        <v>884</v>
      </c>
      <c r="AH533" t="s">
        <v>885</v>
      </c>
    </row>
    <row r="534" spans="1:34" x14ac:dyDescent="0.35">
      <c r="A534" t="s">
        <v>880</v>
      </c>
      <c r="B534" t="s">
        <v>881</v>
      </c>
      <c r="C534" t="s">
        <v>882</v>
      </c>
      <c r="D534" t="s">
        <v>20</v>
      </c>
      <c r="E534" t="s">
        <v>789</v>
      </c>
      <c r="F534" t="s">
        <v>545</v>
      </c>
      <c r="G534" t="s">
        <v>404</v>
      </c>
      <c r="H534" t="s">
        <v>403</v>
      </c>
      <c r="I534" t="s">
        <v>820</v>
      </c>
      <c r="J534">
        <v>2015</v>
      </c>
      <c r="K534" t="b">
        <v>0</v>
      </c>
      <c r="X534">
        <v>73.03</v>
      </c>
      <c r="AD534">
        <v>73</v>
      </c>
      <c r="AG534" t="s">
        <v>884</v>
      </c>
      <c r="AH534" t="s">
        <v>885</v>
      </c>
    </row>
    <row r="535" spans="1:34" x14ac:dyDescent="0.35">
      <c r="A535" t="s">
        <v>880</v>
      </c>
      <c r="B535" t="s">
        <v>881</v>
      </c>
      <c r="C535" t="s">
        <v>882</v>
      </c>
      <c r="D535" t="s">
        <v>1</v>
      </c>
      <c r="E535" t="s">
        <v>889</v>
      </c>
      <c r="F535" t="s">
        <v>545</v>
      </c>
      <c r="G535" t="s">
        <v>10</v>
      </c>
      <c r="H535" t="s">
        <v>9</v>
      </c>
      <c r="I535" t="s">
        <v>820</v>
      </c>
      <c r="J535">
        <v>2015</v>
      </c>
      <c r="K535" t="b">
        <v>0</v>
      </c>
      <c r="X535">
        <v>73.94</v>
      </c>
      <c r="AD535">
        <v>74</v>
      </c>
      <c r="AG535" t="s">
        <v>884</v>
      </c>
      <c r="AH535" t="s">
        <v>885</v>
      </c>
    </row>
    <row r="536" spans="1:34" x14ac:dyDescent="0.35">
      <c r="A536" t="s">
        <v>880</v>
      </c>
      <c r="B536" t="s">
        <v>881</v>
      </c>
      <c r="C536" t="s">
        <v>882</v>
      </c>
      <c r="D536" t="s">
        <v>1</v>
      </c>
      <c r="E536" t="s">
        <v>889</v>
      </c>
      <c r="F536" t="s">
        <v>545</v>
      </c>
      <c r="G536" t="s">
        <v>258</v>
      </c>
      <c r="H536" t="s">
        <v>257</v>
      </c>
      <c r="I536" t="s">
        <v>820</v>
      </c>
      <c r="J536">
        <v>2015</v>
      </c>
      <c r="K536" t="b">
        <v>0</v>
      </c>
      <c r="X536">
        <v>73.84</v>
      </c>
      <c r="AD536">
        <v>74</v>
      </c>
      <c r="AG536" t="s">
        <v>884</v>
      </c>
      <c r="AH536" t="s">
        <v>885</v>
      </c>
    </row>
    <row r="537" spans="1:34" x14ac:dyDescent="0.35">
      <c r="A537" t="s">
        <v>880</v>
      </c>
      <c r="B537" t="s">
        <v>881</v>
      </c>
      <c r="C537" t="s">
        <v>882</v>
      </c>
      <c r="D537" t="s">
        <v>25</v>
      </c>
      <c r="E537" t="s">
        <v>886</v>
      </c>
      <c r="F537" t="s">
        <v>545</v>
      </c>
      <c r="G537" t="s">
        <v>190</v>
      </c>
      <c r="H537" t="s">
        <v>189</v>
      </c>
      <c r="I537" t="s">
        <v>820</v>
      </c>
      <c r="J537">
        <v>2015</v>
      </c>
      <c r="K537" t="b">
        <v>0</v>
      </c>
      <c r="X537">
        <v>74.84</v>
      </c>
      <c r="AD537">
        <v>75</v>
      </c>
      <c r="AG537" t="s">
        <v>884</v>
      </c>
      <c r="AH537" t="s">
        <v>885</v>
      </c>
    </row>
    <row r="538" spans="1:34" x14ac:dyDescent="0.35">
      <c r="A538" t="s">
        <v>880</v>
      </c>
      <c r="B538" t="s">
        <v>881</v>
      </c>
      <c r="C538" t="s">
        <v>882</v>
      </c>
      <c r="D538" t="s">
        <v>20</v>
      </c>
      <c r="E538" t="s">
        <v>789</v>
      </c>
      <c r="F538" t="s">
        <v>545</v>
      </c>
      <c r="G538" t="s">
        <v>205</v>
      </c>
      <c r="H538" t="s">
        <v>204</v>
      </c>
      <c r="I538" t="s">
        <v>820</v>
      </c>
      <c r="J538">
        <v>2015</v>
      </c>
      <c r="K538" t="b">
        <v>0</v>
      </c>
      <c r="X538">
        <v>75.180000000000007</v>
      </c>
      <c r="AD538">
        <v>75</v>
      </c>
      <c r="AG538" t="s">
        <v>884</v>
      </c>
      <c r="AH538" t="s">
        <v>885</v>
      </c>
    </row>
    <row r="539" spans="1:34" x14ac:dyDescent="0.35">
      <c r="A539" t="s">
        <v>880</v>
      </c>
      <c r="B539" t="s">
        <v>881</v>
      </c>
      <c r="C539" t="s">
        <v>882</v>
      </c>
      <c r="D539" t="s">
        <v>1</v>
      </c>
      <c r="E539" t="s">
        <v>889</v>
      </c>
      <c r="F539" t="s">
        <v>545</v>
      </c>
      <c r="G539" t="s">
        <v>83</v>
      </c>
      <c r="H539" t="s">
        <v>82</v>
      </c>
      <c r="I539" t="s">
        <v>820</v>
      </c>
      <c r="J539">
        <v>2015</v>
      </c>
      <c r="K539" t="b">
        <v>0</v>
      </c>
      <c r="X539">
        <v>75.05</v>
      </c>
      <c r="AD539">
        <v>75</v>
      </c>
      <c r="AG539" t="s">
        <v>884</v>
      </c>
      <c r="AH539" t="s">
        <v>885</v>
      </c>
    </row>
    <row r="540" spans="1:34" x14ac:dyDescent="0.35">
      <c r="A540" t="s">
        <v>880</v>
      </c>
      <c r="B540" t="s">
        <v>881</v>
      </c>
      <c r="C540" t="s">
        <v>882</v>
      </c>
      <c r="D540" t="s">
        <v>20</v>
      </c>
      <c r="E540" t="s">
        <v>789</v>
      </c>
      <c r="F540" t="s">
        <v>545</v>
      </c>
      <c r="G540" t="s">
        <v>283</v>
      </c>
      <c r="H540" t="s">
        <v>282</v>
      </c>
      <c r="I540" t="s">
        <v>820</v>
      </c>
      <c r="J540">
        <v>2015</v>
      </c>
      <c r="K540" t="b">
        <v>0</v>
      </c>
      <c r="X540">
        <v>75.459999999999994</v>
      </c>
      <c r="AD540">
        <v>75</v>
      </c>
      <c r="AG540" t="s">
        <v>884</v>
      </c>
      <c r="AH540" t="s">
        <v>885</v>
      </c>
    </row>
    <row r="541" spans="1:34" x14ac:dyDescent="0.35">
      <c r="A541" t="s">
        <v>880</v>
      </c>
      <c r="B541" t="s">
        <v>881</v>
      </c>
      <c r="C541" t="s">
        <v>882</v>
      </c>
      <c r="D541" t="s">
        <v>20</v>
      </c>
      <c r="E541" t="s">
        <v>789</v>
      </c>
      <c r="F541" t="s">
        <v>545</v>
      </c>
      <c r="G541" t="s">
        <v>102</v>
      </c>
      <c r="H541" t="s">
        <v>101</v>
      </c>
      <c r="I541" t="s">
        <v>820</v>
      </c>
      <c r="J541">
        <v>2015</v>
      </c>
      <c r="K541" t="b">
        <v>0</v>
      </c>
      <c r="X541">
        <v>75.17</v>
      </c>
      <c r="AD541">
        <v>75</v>
      </c>
      <c r="AG541" t="s">
        <v>884</v>
      </c>
      <c r="AH541" t="s">
        <v>885</v>
      </c>
    </row>
    <row r="542" spans="1:34" x14ac:dyDescent="0.35">
      <c r="A542" t="s">
        <v>880</v>
      </c>
      <c r="B542" t="s">
        <v>881</v>
      </c>
      <c r="C542" t="s">
        <v>882</v>
      </c>
      <c r="D542" t="s">
        <v>20</v>
      </c>
      <c r="E542" t="s">
        <v>789</v>
      </c>
      <c r="F542" t="s">
        <v>545</v>
      </c>
      <c r="G542" t="s">
        <v>492</v>
      </c>
      <c r="H542" t="s">
        <v>491</v>
      </c>
      <c r="I542" t="s">
        <v>820</v>
      </c>
      <c r="J542">
        <v>2015</v>
      </c>
      <c r="K542" t="b">
        <v>0</v>
      </c>
      <c r="X542">
        <v>74.66</v>
      </c>
      <c r="AD542">
        <v>75</v>
      </c>
      <c r="AG542" t="s">
        <v>884</v>
      </c>
      <c r="AH542" t="s">
        <v>885</v>
      </c>
    </row>
    <row r="543" spans="1:34" x14ac:dyDescent="0.35">
      <c r="A543" t="s">
        <v>880</v>
      </c>
      <c r="B543" t="s">
        <v>881</v>
      </c>
      <c r="C543" t="s">
        <v>882</v>
      </c>
      <c r="D543" t="s">
        <v>43</v>
      </c>
      <c r="E543" t="s">
        <v>890</v>
      </c>
      <c r="F543" t="s">
        <v>545</v>
      </c>
      <c r="G543" t="s">
        <v>168</v>
      </c>
      <c r="H543" t="s">
        <v>167</v>
      </c>
      <c r="I543" t="s">
        <v>820</v>
      </c>
      <c r="J543">
        <v>2015</v>
      </c>
      <c r="K543" t="b">
        <v>0</v>
      </c>
      <c r="X543">
        <v>75.11</v>
      </c>
      <c r="AD543">
        <v>75</v>
      </c>
      <c r="AG543" t="s">
        <v>884</v>
      </c>
      <c r="AH543" t="s">
        <v>885</v>
      </c>
    </row>
    <row r="544" spans="1:34" x14ac:dyDescent="0.35">
      <c r="A544" t="s">
        <v>880</v>
      </c>
      <c r="B544" t="s">
        <v>881</v>
      </c>
      <c r="C544" t="s">
        <v>882</v>
      </c>
      <c r="D544" t="s">
        <v>1</v>
      </c>
      <c r="E544" t="s">
        <v>889</v>
      </c>
      <c r="F544" t="s">
        <v>545</v>
      </c>
      <c r="G544" t="s">
        <v>255</v>
      </c>
      <c r="H544" t="s">
        <v>254</v>
      </c>
      <c r="I544" t="s">
        <v>820</v>
      </c>
      <c r="J544">
        <v>2015</v>
      </c>
      <c r="K544" t="b">
        <v>0</v>
      </c>
      <c r="X544">
        <v>76.11</v>
      </c>
      <c r="AD544">
        <v>76</v>
      </c>
      <c r="AG544" t="s">
        <v>884</v>
      </c>
      <c r="AH544" t="s">
        <v>885</v>
      </c>
    </row>
    <row r="545" spans="1:34" x14ac:dyDescent="0.35">
      <c r="A545" t="s">
        <v>880</v>
      </c>
      <c r="B545" t="s">
        <v>881</v>
      </c>
      <c r="C545" t="s">
        <v>882</v>
      </c>
      <c r="D545" t="s">
        <v>20</v>
      </c>
      <c r="E545" t="s">
        <v>789</v>
      </c>
      <c r="F545" t="s">
        <v>545</v>
      </c>
      <c r="G545" t="s">
        <v>42</v>
      </c>
      <c r="H545" t="s">
        <v>41</v>
      </c>
      <c r="I545" t="s">
        <v>820</v>
      </c>
      <c r="J545">
        <v>2015</v>
      </c>
      <c r="K545" t="b">
        <v>0</v>
      </c>
      <c r="X545">
        <v>75.64</v>
      </c>
      <c r="AD545">
        <v>76</v>
      </c>
      <c r="AG545" t="s">
        <v>884</v>
      </c>
      <c r="AH545" t="s">
        <v>885</v>
      </c>
    </row>
    <row r="546" spans="1:34" x14ac:dyDescent="0.35">
      <c r="A546" t="s">
        <v>880</v>
      </c>
      <c r="B546" t="s">
        <v>881</v>
      </c>
      <c r="C546" t="s">
        <v>882</v>
      </c>
      <c r="D546" t="s">
        <v>1</v>
      </c>
      <c r="E546" t="s">
        <v>889</v>
      </c>
      <c r="F546" t="s">
        <v>545</v>
      </c>
      <c r="G546" t="s">
        <v>274</v>
      </c>
      <c r="H546" t="s">
        <v>273</v>
      </c>
      <c r="I546" t="s">
        <v>820</v>
      </c>
      <c r="J546">
        <v>2015</v>
      </c>
      <c r="K546" t="b">
        <v>0</v>
      </c>
      <c r="X546">
        <v>76.45</v>
      </c>
      <c r="AD546">
        <v>76</v>
      </c>
      <c r="AG546" t="s">
        <v>884</v>
      </c>
      <c r="AH546" t="s">
        <v>885</v>
      </c>
    </row>
    <row r="547" spans="1:34" x14ac:dyDescent="0.35">
      <c r="A547" t="s">
        <v>880</v>
      </c>
      <c r="B547" t="s">
        <v>881</v>
      </c>
      <c r="C547" t="s">
        <v>882</v>
      </c>
      <c r="D547" t="s">
        <v>1</v>
      </c>
      <c r="E547" t="s">
        <v>889</v>
      </c>
      <c r="F547" t="s">
        <v>545</v>
      </c>
      <c r="G547" t="s">
        <v>398</v>
      </c>
      <c r="H547" t="s">
        <v>397</v>
      </c>
      <c r="I547" t="s">
        <v>820</v>
      </c>
      <c r="J547">
        <v>2015</v>
      </c>
      <c r="K547" t="b">
        <v>0</v>
      </c>
      <c r="X547">
        <v>76.430000000000007</v>
      </c>
      <c r="AD547">
        <v>76</v>
      </c>
      <c r="AG547" t="s">
        <v>884</v>
      </c>
      <c r="AH547" t="s">
        <v>885</v>
      </c>
    </row>
    <row r="548" spans="1:34" x14ac:dyDescent="0.35">
      <c r="A548" t="s">
        <v>880</v>
      </c>
      <c r="B548" t="s">
        <v>881</v>
      </c>
      <c r="C548" t="s">
        <v>882</v>
      </c>
      <c r="D548" t="s">
        <v>1</v>
      </c>
      <c r="E548" t="s">
        <v>889</v>
      </c>
      <c r="F548" t="s">
        <v>545</v>
      </c>
      <c r="G548" t="s">
        <v>252</v>
      </c>
      <c r="H548" t="s">
        <v>251</v>
      </c>
      <c r="I548" t="s">
        <v>820</v>
      </c>
      <c r="J548">
        <v>2015</v>
      </c>
      <c r="K548" t="b">
        <v>0</v>
      </c>
      <c r="X548">
        <v>76.73</v>
      </c>
      <c r="AD548">
        <v>77</v>
      </c>
      <c r="AG548" t="s">
        <v>884</v>
      </c>
      <c r="AH548" t="s">
        <v>885</v>
      </c>
    </row>
    <row r="549" spans="1:34" x14ac:dyDescent="0.35">
      <c r="A549" t="s">
        <v>880</v>
      </c>
      <c r="B549" t="s">
        <v>881</v>
      </c>
      <c r="C549" t="s">
        <v>882</v>
      </c>
      <c r="D549" t="s">
        <v>0</v>
      </c>
      <c r="E549" t="s">
        <v>887</v>
      </c>
      <c r="F549" t="s">
        <v>545</v>
      </c>
      <c r="G549" t="s">
        <v>196</v>
      </c>
      <c r="H549" t="s">
        <v>195</v>
      </c>
      <c r="I549" t="s">
        <v>820</v>
      </c>
      <c r="J549">
        <v>2015</v>
      </c>
      <c r="K549" t="b">
        <v>0</v>
      </c>
      <c r="X549">
        <v>77.03</v>
      </c>
      <c r="AD549">
        <v>77</v>
      </c>
      <c r="AG549" t="s">
        <v>884</v>
      </c>
      <c r="AH549" t="s">
        <v>885</v>
      </c>
    </row>
    <row r="550" spans="1:34" x14ac:dyDescent="0.35">
      <c r="A550" t="s">
        <v>880</v>
      </c>
      <c r="B550" t="s">
        <v>881</v>
      </c>
      <c r="C550" t="s">
        <v>882</v>
      </c>
      <c r="D550" t="s">
        <v>20</v>
      </c>
      <c r="E550" t="s">
        <v>789</v>
      </c>
      <c r="F550" t="s">
        <v>545</v>
      </c>
      <c r="G550" t="s">
        <v>267</v>
      </c>
      <c r="H550" t="s">
        <v>266</v>
      </c>
      <c r="I550" t="s">
        <v>820</v>
      </c>
      <c r="J550">
        <v>2015</v>
      </c>
      <c r="K550" t="b">
        <v>0</v>
      </c>
      <c r="X550">
        <v>76.63</v>
      </c>
      <c r="AD550">
        <v>77</v>
      </c>
      <c r="AG550" t="s">
        <v>884</v>
      </c>
      <c r="AH550" t="s">
        <v>885</v>
      </c>
    </row>
    <row r="551" spans="1:34" x14ac:dyDescent="0.35">
      <c r="A551" t="s">
        <v>880</v>
      </c>
      <c r="B551" t="s">
        <v>881</v>
      </c>
      <c r="C551" t="s">
        <v>882</v>
      </c>
      <c r="D551" t="s">
        <v>20</v>
      </c>
      <c r="E551" t="s">
        <v>789</v>
      </c>
      <c r="F551" t="s">
        <v>545</v>
      </c>
      <c r="G551" t="s">
        <v>428</v>
      </c>
      <c r="H551" t="s">
        <v>427</v>
      </c>
      <c r="I551" t="s">
        <v>820</v>
      </c>
      <c r="J551">
        <v>2015</v>
      </c>
      <c r="K551" t="b">
        <v>0</v>
      </c>
      <c r="X551">
        <v>77.2</v>
      </c>
      <c r="AD551">
        <v>77</v>
      </c>
      <c r="AG551" t="s">
        <v>884</v>
      </c>
      <c r="AH551" t="s">
        <v>885</v>
      </c>
    </row>
    <row r="552" spans="1:34" x14ac:dyDescent="0.35">
      <c r="A552" t="s">
        <v>880</v>
      </c>
      <c r="B552" t="s">
        <v>881</v>
      </c>
      <c r="C552" t="s">
        <v>882</v>
      </c>
      <c r="D552" t="s">
        <v>20</v>
      </c>
      <c r="E552" t="s">
        <v>789</v>
      </c>
      <c r="F552" t="s">
        <v>545</v>
      </c>
      <c r="G552" t="s">
        <v>461</v>
      </c>
      <c r="H552" t="s">
        <v>460</v>
      </c>
      <c r="I552" t="s">
        <v>820</v>
      </c>
      <c r="J552">
        <v>2015</v>
      </c>
      <c r="K552" t="b">
        <v>0</v>
      </c>
      <c r="X552">
        <v>76.569999999999993</v>
      </c>
      <c r="AD552">
        <v>77</v>
      </c>
      <c r="AG552" t="s">
        <v>884</v>
      </c>
      <c r="AH552" t="s">
        <v>885</v>
      </c>
    </row>
    <row r="553" spans="1:34" x14ac:dyDescent="0.35">
      <c r="A553" t="s">
        <v>880</v>
      </c>
      <c r="B553" t="s">
        <v>881</v>
      </c>
      <c r="C553" t="s">
        <v>882</v>
      </c>
      <c r="D553" t="s">
        <v>1</v>
      </c>
      <c r="E553" t="s">
        <v>889</v>
      </c>
      <c r="F553" t="s">
        <v>545</v>
      </c>
      <c r="G553" t="s">
        <v>61</v>
      </c>
      <c r="H553" t="s">
        <v>60</v>
      </c>
      <c r="I553" t="s">
        <v>820</v>
      </c>
      <c r="J553">
        <v>2015</v>
      </c>
      <c r="K553" t="b">
        <v>0</v>
      </c>
      <c r="X553">
        <v>77.95</v>
      </c>
      <c r="AD553">
        <v>78</v>
      </c>
      <c r="AG553" t="s">
        <v>884</v>
      </c>
      <c r="AH553" t="s">
        <v>885</v>
      </c>
    </row>
    <row r="554" spans="1:34" x14ac:dyDescent="0.35">
      <c r="A554" t="s">
        <v>880</v>
      </c>
      <c r="B554" t="s">
        <v>881</v>
      </c>
      <c r="C554" t="s">
        <v>882</v>
      </c>
      <c r="D554" t="s">
        <v>20</v>
      </c>
      <c r="E554" t="s">
        <v>789</v>
      </c>
      <c r="F554" t="s">
        <v>545</v>
      </c>
      <c r="G554" t="s">
        <v>222</v>
      </c>
      <c r="H554" t="s">
        <v>221</v>
      </c>
      <c r="I554" t="s">
        <v>820</v>
      </c>
      <c r="J554">
        <v>2015</v>
      </c>
      <c r="K554" t="b">
        <v>0</v>
      </c>
      <c r="X554">
        <v>79.27</v>
      </c>
      <c r="AD554">
        <v>79</v>
      </c>
      <c r="AG554" t="s">
        <v>884</v>
      </c>
      <c r="AH554" t="s">
        <v>885</v>
      </c>
    </row>
    <row r="555" spans="1:34" x14ac:dyDescent="0.35">
      <c r="A555" t="s">
        <v>880</v>
      </c>
      <c r="B555" t="s">
        <v>881</v>
      </c>
      <c r="C555" t="s">
        <v>882</v>
      </c>
      <c r="D555" t="s">
        <v>20</v>
      </c>
      <c r="E555" t="s">
        <v>789</v>
      </c>
      <c r="F555" t="s">
        <v>545</v>
      </c>
      <c r="G555" t="s">
        <v>363</v>
      </c>
      <c r="H555" t="s">
        <v>362</v>
      </c>
      <c r="I555" t="s">
        <v>820</v>
      </c>
      <c r="J555">
        <v>2015</v>
      </c>
      <c r="K555" t="b">
        <v>0</v>
      </c>
      <c r="X555">
        <v>79.08</v>
      </c>
      <c r="AD555">
        <v>79</v>
      </c>
      <c r="AG555" t="s">
        <v>884</v>
      </c>
      <c r="AH555" t="s">
        <v>885</v>
      </c>
    </row>
    <row r="556" spans="1:34" x14ac:dyDescent="0.35">
      <c r="A556" t="s">
        <v>880</v>
      </c>
      <c r="B556" t="s">
        <v>881</v>
      </c>
      <c r="C556" t="s">
        <v>882</v>
      </c>
      <c r="D556" t="s">
        <v>4</v>
      </c>
      <c r="E556" t="s">
        <v>883</v>
      </c>
      <c r="F556" t="s">
        <v>545</v>
      </c>
      <c r="G556" t="s">
        <v>534</v>
      </c>
      <c r="H556" t="s">
        <v>533</v>
      </c>
      <c r="I556" t="s">
        <v>820</v>
      </c>
      <c r="J556">
        <v>2015</v>
      </c>
      <c r="K556" t="b">
        <v>0</v>
      </c>
      <c r="X556">
        <v>78.5</v>
      </c>
      <c r="AD556">
        <v>79</v>
      </c>
      <c r="AG556" t="s">
        <v>884</v>
      </c>
      <c r="AH556" t="s">
        <v>885</v>
      </c>
    </row>
    <row r="557" spans="1:34" x14ac:dyDescent="0.35">
      <c r="A557" t="s">
        <v>880</v>
      </c>
      <c r="B557" t="s">
        <v>881</v>
      </c>
      <c r="C557" t="s">
        <v>882</v>
      </c>
      <c r="D557" t="s">
        <v>1</v>
      </c>
      <c r="E557" t="s">
        <v>889</v>
      </c>
      <c r="F557" t="s">
        <v>545</v>
      </c>
      <c r="G557" t="s">
        <v>264</v>
      </c>
      <c r="H557" t="s">
        <v>263</v>
      </c>
      <c r="I557" t="s">
        <v>820</v>
      </c>
      <c r="J557">
        <v>2015</v>
      </c>
      <c r="K557" t="b">
        <v>0</v>
      </c>
      <c r="X557">
        <v>80.03</v>
      </c>
      <c r="AD557">
        <v>80</v>
      </c>
      <c r="AG557" t="s">
        <v>884</v>
      </c>
      <c r="AH557" t="s">
        <v>885</v>
      </c>
    </row>
    <row r="558" spans="1:34" x14ac:dyDescent="0.35">
      <c r="A558" t="s">
        <v>880</v>
      </c>
      <c r="B558" t="s">
        <v>881</v>
      </c>
      <c r="C558" t="s">
        <v>882</v>
      </c>
      <c r="D558" t="s">
        <v>20</v>
      </c>
      <c r="E558" t="s">
        <v>789</v>
      </c>
      <c r="F558" t="s">
        <v>545</v>
      </c>
      <c r="G558" t="s">
        <v>410</v>
      </c>
      <c r="H558" t="s">
        <v>409</v>
      </c>
      <c r="I558" t="s">
        <v>820</v>
      </c>
      <c r="J558">
        <v>2015</v>
      </c>
      <c r="K558" t="b">
        <v>0</v>
      </c>
      <c r="X558">
        <v>79.87</v>
      </c>
      <c r="AD558">
        <v>80</v>
      </c>
      <c r="AG558" t="s">
        <v>884</v>
      </c>
      <c r="AH558" t="s">
        <v>885</v>
      </c>
    </row>
    <row r="559" spans="1:34" x14ac:dyDescent="0.35">
      <c r="A559" t="s">
        <v>880</v>
      </c>
      <c r="B559" t="s">
        <v>881</v>
      </c>
      <c r="C559" t="s">
        <v>882</v>
      </c>
      <c r="D559" t="s">
        <v>20</v>
      </c>
      <c r="E559" t="s">
        <v>789</v>
      </c>
      <c r="F559" t="s">
        <v>545</v>
      </c>
      <c r="G559" t="s">
        <v>328</v>
      </c>
      <c r="H559" t="s">
        <v>327</v>
      </c>
      <c r="I559" t="s">
        <v>820</v>
      </c>
      <c r="J559">
        <v>2015</v>
      </c>
      <c r="K559" t="b">
        <v>0</v>
      </c>
      <c r="X559">
        <v>81.36</v>
      </c>
      <c r="AD559">
        <v>81</v>
      </c>
      <c r="AG559" t="s">
        <v>884</v>
      </c>
      <c r="AH559" t="s">
        <v>885</v>
      </c>
    </row>
    <row r="560" spans="1:34" x14ac:dyDescent="0.35">
      <c r="A560" t="s">
        <v>880</v>
      </c>
      <c r="B560" t="s">
        <v>881</v>
      </c>
      <c r="C560" t="s">
        <v>882</v>
      </c>
      <c r="D560" t="s">
        <v>1</v>
      </c>
      <c r="E560" t="s">
        <v>889</v>
      </c>
      <c r="F560" t="s">
        <v>545</v>
      </c>
      <c r="G560" t="s">
        <v>543</v>
      </c>
      <c r="H560" t="s">
        <v>542</v>
      </c>
      <c r="I560" t="s">
        <v>820</v>
      </c>
      <c r="J560">
        <v>2015</v>
      </c>
      <c r="K560" t="b">
        <v>0</v>
      </c>
      <c r="X560">
        <v>81.41</v>
      </c>
      <c r="AD560">
        <v>81</v>
      </c>
      <c r="AG560" t="s">
        <v>884</v>
      </c>
      <c r="AH560" t="s">
        <v>885</v>
      </c>
    </row>
    <row r="561" spans="1:34" x14ac:dyDescent="0.35">
      <c r="A561" t="s">
        <v>880</v>
      </c>
      <c r="B561" t="s">
        <v>881</v>
      </c>
      <c r="C561" t="s">
        <v>882</v>
      </c>
      <c r="D561" t="s">
        <v>20</v>
      </c>
      <c r="E561" t="s">
        <v>789</v>
      </c>
      <c r="F561" t="s">
        <v>545</v>
      </c>
      <c r="G561" t="s">
        <v>112</v>
      </c>
      <c r="H561" t="s">
        <v>111</v>
      </c>
      <c r="I561" t="s">
        <v>820</v>
      </c>
      <c r="J561">
        <v>2015</v>
      </c>
      <c r="K561" t="b">
        <v>0</v>
      </c>
      <c r="X561">
        <v>81.55</v>
      </c>
      <c r="AD561">
        <v>82</v>
      </c>
      <c r="AG561" t="s">
        <v>884</v>
      </c>
      <c r="AH561" t="s">
        <v>885</v>
      </c>
    </row>
    <row r="562" spans="1:34" x14ac:dyDescent="0.35">
      <c r="A562" t="s">
        <v>880</v>
      </c>
      <c r="B562" t="s">
        <v>881</v>
      </c>
      <c r="C562" t="s">
        <v>882</v>
      </c>
      <c r="D562" t="s">
        <v>20</v>
      </c>
      <c r="E562" t="s">
        <v>789</v>
      </c>
      <c r="F562" t="s">
        <v>545</v>
      </c>
      <c r="G562" t="s">
        <v>202</v>
      </c>
      <c r="H562" t="s">
        <v>201</v>
      </c>
      <c r="I562" t="s">
        <v>820</v>
      </c>
      <c r="J562">
        <v>2015</v>
      </c>
      <c r="K562" t="b">
        <v>0</v>
      </c>
      <c r="X562">
        <v>82.49</v>
      </c>
      <c r="AD562">
        <v>82</v>
      </c>
      <c r="AG562" t="s">
        <v>884</v>
      </c>
      <c r="AH562" t="s">
        <v>885</v>
      </c>
    </row>
    <row r="563" spans="1:34" x14ac:dyDescent="0.35">
      <c r="A563" t="s">
        <v>880</v>
      </c>
      <c r="B563" t="s">
        <v>881</v>
      </c>
      <c r="C563" t="s">
        <v>882</v>
      </c>
      <c r="D563" t="s">
        <v>20</v>
      </c>
      <c r="E563" t="s">
        <v>789</v>
      </c>
      <c r="F563" t="s">
        <v>545</v>
      </c>
      <c r="G563" t="s">
        <v>144</v>
      </c>
      <c r="H563" t="s">
        <v>143</v>
      </c>
      <c r="I563" t="s">
        <v>820</v>
      </c>
      <c r="J563">
        <v>2015</v>
      </c>
      <c r="K563" t="b">
        <v>0</v>
      </c>
      <c r="X563">
        <v>82.66</v>
      </c>
      <c r="AD563">
        <v>83</v>
      </c>
      <c r="AG563" t="s">
        <v>884</v>
      </c>
      <c r="AH563" t="s">
        <v>885</v>
      </c>
    </row>
    <row r="564" spans="1:34" x14ac:dyDescent="0.35">
      <c r="A564" t="s">
        <v>880</v>
      </c>
      <c r="B564" t="s">
        <v>881</v>
      </c>
      <c r="C564" t="s">
        <v>882</v>
      </c>
      <c r="D564" t="s">
        <v>20</v>
      </c>
      <c r="E564" t="s">
        <v>789</v>
      </c>
      <c r="F564" t="s">
        <v>545</v>
      </c>
      <c r="G564" t="s">
        <v>86</v>
      </c>
      <c r="H564" t="s">
        <v>85</v>
      </c>
      <c r="I564" t="s">
        <v>820</v>
      </c>
      <c r="J564">
        <v>2015</v>
      </c>
      <c r="K564" t="b">
        <v>0</v>
      </c>
      <c r="X564">
        <v>83.32</v>
      </c>
      <c r="AD564">
        <v>83</v>
      </c>
      <c r="AG564" t="s">
        <v>884</v>
      </c>
      <c r="AH564" t="s">
        <v>885</v>
      </c>
    </row>
    <row r="565" spans="1:34" x14ac:dyDescent="0.35">
      <c r="A565" t="s">
        <v>880</v>
      </c>
      <c r="B565" t="s">
        <v>881</v>
      </c>
      <c r="C565" t="s">
        <v>882</v>
      </c>
      <c r="D565" t="s">
        <v>20</v>
      </c>
      <c r="E565" t="s">
        <v>789</v>
      </c>
      <c r="F565" t="s">
        <v>545</v>
      </c>
      <c r="G565" t="s">
        <v>503</v>
      </c>
      <c r="H565" t="s">
        <v>502</v>
      </c>
      <c r="I565" t="s">
        <v>820</v>
      </c>
      <c r="J565">
        <v>2015</v>
      </c>
      <c r="K565" t="b">
        <v>0</v>
      </c>
      <c r="X565">
        <v>82.98</v>
      </c>
      <c r="AD565">
        <v>83</v>
      </c>
      <c r="AG565" t="s">
        <v>884</v>
      </c>
      <c r="AH565" t="s">
        <v>885</v>
      </c>
    </row>
    <row r="566" spans="1:34" x14ac:dyDescent="0.35">
      <c r="A566" t="s">
        <v>880</v>
      </c>
      <c r="B566" t="s">
        <v>881</v>
      </c>
      <c r="C566" t="s">
        <v>882</v>
      </c>
      <c r="D566" t="s">
        <v>0</v>
      </c>
      <c r="E566" t="s">
        <v>887</v>
      </c>
      <c r="F566" t="s">
        <v>545</v>
      </c>
      <c r="G566" t="s">
        <v>127</v>
      </c>
      <c r="H566" t="s">
        <v>126</v>
      </c>
      <c r="I566" t="s">
        <v>820</v>
      </c>
      <c r="J566">
        <v>2015</v>
      </c>
      <c r="K566" t="b">
        <v>0</v>
      </c>
      <c r="X566">
        <v>82.56</v>
      </c>
      <c r="AD566">
        <v>83</v>
      </c>
      <c r="AG566" t="s">
        <v>884</v>
      </c>
      <c r="AH566" t="s">
        <v>885</v>
      </c>
    </row>
    <row r="567" spans="1:34" x14ac:dyDescent="0.35">
      <c r="A567" t="s">
        <v>880</v>
      </c>
      <c r="B567" t="s">
        <v>881</v>
      </c>
      <c r="C567" t="s">
        <v>882</v>
      </c>
      <c r="D567" t="s">
        <v>20</v>
      </c>
      <c r="E567" t="s">
        <v>789</v>
      </c>
      <c r="F567" t="s">
        <v>545</v>
      </c>
      <c r="G567" t="s">
        <v>94</v>
      </c>
      <c r="H567" t="s">
        <v>93</v>
      </c>
      <c r="I567" t="s">
        <v>820</v>
      </c>
      <c r="J567">
        <v>2015</v>
      </c>
      <c r="K567" t="b">
        <v>0</v>
      </c>
      <c r="X567">
        <v>82.69</v>
      </c>
      <c r="AD567">
        <v>83</v>
      </c>
      <c r="AG567" t="s">
        <v>884</v>
      </c>
      <c r="AH567" t="s">
        <v>885</v>
      </c>
    </row>
    <row r="568" spans="1:34" x14ac:dyDescent="0.35">
      <c r="A568" t="s">
        <v>880</v>
      </c>
      <c r="B568" t="s">
        <v>881</v>
      </c>
      <c r="C568" t="s">
        <v>882</v>
      </c>
      <c r="D568" t="s">
        <v>20</v>
      </c>
      <c r="E568" t="s">
        <v>789</v>
      </c>
      <c r="F568" t="s">
        <v>545</v>
      </c>
      <c r="G568" t="s">
        <v>208</v>
      </c>
      <c r="H568" t="s">
        <v>207</v>
      </c>
      <c r="I568" t="s">
        <v>820</v>
      </c>
      <c r="J568">
        <v>2015</v>
      </c>
      <c r="K568" t="b">
        <v>0</v>
      </c>
      <c r="X568">
        <v>83.29</v>
      </c>
      <c r="AD568">
        <v>83</v>
      </c>
      <c r="AG568" t="s">
        <v>884</v>
      </c>
      <c r="AH568" t="s">
        <v>885</v>
      </c>
    </row>
    <row r="569" spans="1:34" x14ac:dyDescent="0.35">
      <c r="A569" t="s">
        <v>880</v>
      </c>
      <c r="B569" t="s">
        <v>881</v>
      </c>
      <c r="C569" t="s">
        <v>882</v>
      </c>
      <c r="D569" t="s">
        <v>20</v>
      </c>
      <c r="E569" t="s">
        <v>789</v>
      </c>
      <c r="F569" t="s">
        <v>545</v>
      </c>
      <c r="G569" t="s">
        <v>135</v>
      </c>
      <c r="H569" t="s">
        <v>134</v>
      </c>
      <c r="I569" t="s">
        <v>820</v>
      </c>
      <c r="J569">
        <v>2015</v>
      </c>
      <c r="K569" t="b">
        <v>0</v>
      </c>
      <c r="X569">
        <v>84.11</v>
      </c>
      <c r="AD569">
        <v>84</v>
      </c>
      <c r="AG569" t="s">
        <v>884</v>
      </c>
      <c r="AH569" t="s">
        <v>885</v>
      </c>
    </row>
    <row r="570" spans="1:34" x14ac:dyDescent="0.35">
      <c r="A570" t="s">
        <v>880</v>
      </c>
      <c r="B570" t="s">
        <v>881</v>
      </c>
      <c r="C570" t="s">
        <v>882</v>
      </c>
      <c r="D570" t="s">
        <v>20</v>
      </c>
      <c r="E570" t="s">
        <v>789</v>
      </c>
      <c r="F570" t="s">
        <v>545</v>
      </c>
      <c r="G570" t="s">
        <v>289</v>
      </c>
      <c r="H570" t="s">
        <v>288</v>
      </c>
      <c r="I570" t="s">
        <v>820</v>
      </c>
      <c r="J570">
        <v>2015</v>
      </c>
      <c r="K570" t="b">
        <v>0</v>
      </c>
      <c r="X570">
        <v>83.54</v>
      </c>
      <c r="AD570">
        <v>84</v>
      </c>
      <c r="AG570" t="s">
        <v>884</v>
      </c>
      <c r="AH570" t="s">
        <v>885</v>
      </c>
    </row>
    <row r="571" spans="1:34" x14ac:dyDescent="0.35">
      <c r="A571" t="s">
        <v>880</v>
      </c>
      <c r="B571" t="s">
        <v>881</v>
      </c>
      <c r="C571" t="s">
        <v>882</v>
      </c>
      <c r="D571" t="s">
        <v>20</v>
      </c>
      <c r="E571" t="s">
        <v>789</v>
      </c>
      <c r="F571" t="s">
        <v>545</v>
      </c>
      <c r="G571" t="s">
        <v>71</v>
      </c>
      <c r="H571" t="s">
        <v>70</v>
      </c>
      <c r="I571" t="s">
        <v>820</v>
      </c>
      <c r="J571">
        <v>2015</v>
      </c>
      <c r="K571" t="b">
        <v>0</v>
      </c>
      <c r="X571">
        <v>84.44</v>
      </c>
      <c r="AD571">
        <v>84</v>
      </c>
      <c r="AG571" t="s">
        <v>884</v>
      </c>
      <c r="AH571" t="s">
        <v>885</v>
      </c>
    </row>
    <row r="572" spans="1:34" x14ac:dyDescent="0.35">
      <c r="A572" t="s">
        <v>880</v>
      </c>
      <c r="B572" t="s">
        <v>881</v>
      </c>
      <c r="C572" t="s">
        <v>882</v>
      </c>
      <c r="D572" t="s">
        <v>0</v>
      </c>
      <c r="E572" t="s">
        <v>887</v>
      </c>
      <c r="F572" t="s">
        <v>545</v>
      </c>
      <c r="G572" t="s">
        <v>187</v>
      </c>
      <c r="H572" t="s">
        <v>186</v>
      </c>
      <c r="I572" t="s">
        <v>820</v>
      </c>
      <c r="J572">
        <v>2015</v>
      </c>
      <c r="K572" t="b">
        <v>0</v>
      </c>
      <c r="X572">
        <v>84.14</v>
      </c>
      <c r="AD572">
        <v>84</v>
      </c>
      <c r="AG572" t="s">
        <v>884</v>
      </c>
      <c r="AH572" t="s">
        <v>885</v>
      </c>
    </row>
    <row r="573" spans="1:34" x14ac:dyDescent="0.35">
      <c r="A573" t="s">
        <v>880</v>
      </c>
      <c r="B573" t="s">
        <v>881</v>
      </c>
      <c r="C573" t="s">
        <v>882</v>
      </c>
      <c r="D573" t="s">
        <v>20</v>
      </c>
      <c r="E573" t="s">
        <v>789</v>
      </c>
      <c r="F573" t="s">
        <v>545</v>
      </c>
      <c r="G573" t="s">
        <v>156</v>
      </c>
      <c r="H573" t="s">
        <v>155</v>
      </c>
      <c r="I573" t="s">
        <v>820</v>
      </c>
      <c r="J573">
        <v>2015</v>
      </c>
      <c r="K573" t="b">
        <v>0</v>
      </c>
      <c r="X573">
        <v>83.87</v>
      </c>
      <c r="AD573">
        <v>84</v>
      </c>
      <c r="AG573" t="s">
        <v>884</v>
      </c>
      <c r="AH573" t="s">
        <v>885</v>
      </c>
    </row>
    <row r="574" spans="1:34" x14ac:dyDescent="0.35">
      <c r="A574" t="s">
        <v>880</v>
      </c>
      <c r="B574" t="s">
        <v>881</v>
      </c>
      <c r="C574" t="s">
        <v>882</v>
      </c>
      <c r="D574" t="s">
        <v>0</v>
      </c>
      <c r="E574" t="s">
        <v>887</v>
      </c>
      <c r="F574" t="s">
        <v>545</v>
      </c>
      <c r="G574" t="s">
        <v>425</v>
      </c>
      <c r="H574" t="s">
        <v>424</v>
      </c>
      <c r="I574" t="s">
        <v>820</v>
      </c>
      <c r="J574">
        <v>2015</v>
      </c>
      <c r="K574" t="b">
        <v>0</v>
      </c>
      <c r="X574">
        <v>83.65</v>
      </c>
      <c r="AD574">
        <v>84</v>
      </c>
      <c r="AG574" t="s">
        <v>884</v>
      </c>
      <c r="AH574" t="s">
        <v>885</v>
      </c>
    </row>
    <row r="575" spans="1:34" x14ac:dyDescent="0.35">
      <c r="A575" t="s">
        <v>880</v>
      </c>
      <c r="B575" t="s">
        <v>881</v>
      </c>
      <c r="C575" t="s">
        <v>882</v>
      </c>
      <c r="D575" t="s">
        <v>20</v>
      </c>
      <c r="E575" t="s">
        <v>789</v>
      </c>
      <c r="F575" t="s">
        <v>545</v>
      </c>
      <c r="G575" t="s">
        <v>162</v>
      </c>
      <c r="H575" t="s">
        <v>161</v>
      </c>
      <c r="I575" t="s">
        <v>820</v>
      </c>
      <c r="J575">
        <v>2015</v>
      </c>
      <c r="K575" t="b">
        <v>0</v>
      </c>
      <c r="X575">
        <v>83.98</v>
      </c>
      <c r="AD575">
        <v>84</v>
      </c>
      <c r="AG575" t="s">
        <v>884</v>
      </c>
      <c r="AH575" t="s">
        <v>885</v>
      </c>
    </row>
    <row r="576" spans="1:34" x14ac:dyDescent="0.35">
      <c r="A576" t="s">
        <v>880</v>
      </c>
      <c r="B576" t="s">
        <v>881</v>
      </c>
      <c r="C576" t="s">
        <v>882</v>
      </c>
      <c r="D576" t="s">
        <v>20</v>
      </c>
      <c r="E576" t="s">
        <v>789</v>
      </c>
      <c r="F576" t="s">
        <v>545</v>
      </c>
      <c r="G576" t="s">
        <v>518</v>
      </c>
      <c r="H576" t="s">
        <v>517</v>
      </c>
      <c r="I576" t="s">
        <v>820</v>
      </c>
      <c r="J576">
        <v>2015</v>
      </c>
      <c r="K576" t="b">
        <v>0</v>
      </c>
      <c r="X576">
        <v>84.45</v>
      </c>
      <c r="AD576">
        <v>84</v>
      </c>
      <c r="AG576" t="s">
        <v>884</v>
      </c>
      <c r="AH576" t="s">
        <v>885</v>
      </c>
    </row>
    <row r="577" spans="1:34" x14ac:dyDescent="0.35">
      <c r="A577" t="s">
        <v>880</v>
      </c>
      <c r="B577" t="s">
        <v>881</v>
      </c>
      <c r="C577" t="s">
        <v>882</v>
      </c>
      <c r="D577" t="s">
        <v>20</v>
      </c>
      <c r="E577" t="s">
        <v>789</v>
      </c>
      <c r="F577" t="s">
        <v>545</v>
      </c>
      <c r="G577" t="s">
        <v>316</v>
      </c>
      <c r="H577" t="s">
        <v>315</v>
      </c>
      <c r="I577" t="s">
        <v>820</v>
      </c>
      <c r="J577">
        <v>2015</v>
      </c>
      <c r="K577" t="b">
        <v>0</v>
      </c>
      <c r="X577">
        <v>84.6</v>
      </c>
      <c r="AD577">
        <v>85</v>
      </c>
      <c r="AG577" t="s">
        <v>884</v>
      </c>
      <c r="AH577" t="s">
        <v>885</v>
      </c>
    </row>
    <row r="578" spans="1:34" x14ac:dyDescent="0.35">
      <c r="A578" t="s">
        <v>880</v>
      </c>
      <c r="B578" t="s">
        <v>881</v>
      </c>
      <c r="C578" t="s">
        <v>882</v>
      </c>
      <c r="D578" t="s">
        <v>20</v>
      </c>
      <c r="E578" t="s">
        <v>789</v>
      </c>
      <c r="F578" t="s">
        <v>545</v>
      </c>
      <c r="G578" t="s">
        <v>129</v>
      </c>
      <c r="H578" t="s">
        <v>128</v>
      </c>
      <c r="I578" t="s">
        <v>820</v>
      </c>
      <c r="J578">
        <v>2015</v>
      </c>
      <c r="K578" t="b">
        <v>0</v>
      </c>
      <c r="X578">
        <v>84.71</v>
      </c>
      <c r="AD578">
        <v>85</v>
      </c>
      <c r="AG578" t="s">
        <v>884</v>
      </c>
      <c r="AH578" t="s">
        <v>885</v>
      </c>
    </row>
    <row r="579" spans="1:34" x14ac:dyDescent="0.35">
      <c r="A579" t="s">
        <v>880</v>
      </c>
      <c r="B579" t="s">
        <v>881</v>
      </c>
      <c r="C579" t="s">
        <v>882</v>
      </c>
      <c r="D579" t="s">
        <v>0</v>
      </c>
      <c r="E579" t="s">
        <v>887</v>
      </c>
      <c r="F579" t="s">
        <v>545</v>
      </c>
      <c r="G579" t="s">
        <v>339</v>
      </c>
      <c r="H579" t="s">
        <v>338</v>
      </c>
      <c r="I579" t="s">
        <v>820</v>
      </c>
      <c r="J579">
        <v>2015</v>
      </c>
      <c r="K579" t="b">
        <v>0</v>
      </c>
      <c r="X579">
        <v>85.27</v>
      </c>
      <c r="AD579">
        <v>85</v>
      </c>
      <c r="AG579" t="s">
        <v>884</v>
      </c>
      <c r="AH579" t="s">
        <v>885</v>
      </c>
    </row>
    <row r="580" spans="1:34" x14ac:dyDescent="0.35">
      <c r="A580" t="s">
        <v>880</v>
      </c>
      <c r="B580" t="s">
        <v>881</v>
      </c>
      <c r="C580" t="s">
        <v>882</v>
      </c>
      <c r="D580" t="s">
        <v>0</v>
      </c>
      <c r="E580" t="s">
        <v>887</v>
      </c>
      <c r="F580" t="s">
        <v>545</v>
      </c>
      <c r="G580" t="s">
        <v>12</v>
      </c>
      <c r="H580" t="s">
        <v>11</v>
      </c>
      <c r="I580" t="s">
        <v>820</v>
      </c>
      <c r="J580">
        <v>2015</v>
      </c>
      <c r="K580" t="b">
        <v>0</v>
      </c>
      <c r="X580">
        <v>86.09</v>
      </c>
      <c r="AD580">
        <v>86</v>
      </c>
      <c r="AG580" t="s">
        <v>884</v>
      </c>
      <c r="AH580" t="s">
        <v>885</v>
      </c>
    </row>
    <row r="581" spans="1:34" x14ac:dyDescent="0.35">
      <c r="A581" t="s">
        <v>880</v>
      </c>
      <c r="B581" t="s">
        <v>881</v>
      </c>
      <c r="C581" t="s">
        <v>882</v>
      </c>
      <c r="D581" t="s">
        <v>20</v>
      </c>
      <c r="E581" t="s">
        <v>789</v>
      </c>
      <c r="F581" t="s">
        <v>545</v>
      </c>
      <c r="G581" t="s">
        <v>165</v>
      </c>
      <c r="H581" t="s">
        <v>164</v>
      </c>
      <c r="I581" t="s">
        <v>820</v>
      </c>
      <c r="J581">
        <v>2015</v>
      </c>
      <c r="K581" t="b">
        <v>0</v>
      </c>
      <c r="X581">
        <v>85.54</v>
      </c>
      <c r="AD581">
        <v>86</v>
      </c>
      <c r="AG581" t="s">
        <v>884</v>
      </c>
      <c r="AH581" t="s">
        <v>885</v>
      </c>
    </row>
    <row r="582" spans="1:34" x14ac:dyDescent="0.35">
      <c r="A582" t="s">
        <v>880</v>
      </c>
      <c r="B582" t="s">
        <v>881</v>
      </c>
      <c r="C582" t="s">
        <v>882</v>
      </c>
      <c r="D582" t="s">
        <v>20</v>
      </c>
      <c r="E582" t="s">
        <v>789</v>
      </c>
      <c r="F582" t="s">
        <v>545</v>
      </c>
      <c r="G582" t="s">
        <v>536</v>
      </c>
      <c r="H582" t="s">
        <v>535</v>
      </c>
      <c r="I582" t="s">
        <v>820</v>
      </c>
      <c r="J582">
        <v>2015</v>
      </c>
      <c r="K582" t="b">
        <v>0</v>
      </c>
      <c r="X582">
        <v>86.56</v>
      </c>
      <c r="AD582">
        <v>87</v>
      </c>
      <c r="AG582" t="s">
        <v>884</v>
      </c>
      <c r="AH582" t="s">
        <v>885</v>
      </c>
    </row>
    <row r="583" spans="1:34" x14ac:dyDescent="0.35">
      <c r="A583" t="s">
        <v>880</v>
      </c>
      <c r="B583" t="s">
        <v>881</v>
      </c>
      <c r="C583" t="s">
        <v>882</v>
      </c>
      <c r="D583" t="s">
        <v>1</v>
      </c>
      <c r="E583" t="s">
        <v>889</v>
      </c>
      <c r="F583" t="s">
        <v>545</v>
      </c>
      <c r="G583" t="s">
        <v>29</v>
      </c>
      <c r="H583" t="s">
        <v>28</v>
      </c>
      <c r="I583" t="s">
        <v>820</v>
      </c>
      <c r="J583">
        <v>2015</v>
      </c>
      <c r="K583" t="b">
        <v>0</v>
      </c>
      <c r="X583">
        <v>88.61</v>
      </c>
      <c r="AD583">
        <v>89</v>
      </c>
      <c r="AG583" t="s">
        <v>884</v>
      </c>
      <c r="AH583" t="s">
        <v>885</v>
      </c>
    </row>
    <row r="584" spans="1:34" x14ac:dyDescent="0.35">
      <c r="A584" t="s">
        <v>880</v>
      </c>
      <c r="B584" t="s">
        <v>881</v>
      </c>
      <c r="C584" t="s">
        <v>882</v>
      </c>
      <c r="D584" t="s">
        <v>4</v>
      </c>
      <c r="E584" t="s">
        <v>883</v>
      </c>
      <c r="F584" t="s">
        <v>545</v>
      </c>
      <c r="G584" t="s">
        <v>77</v>
      </c>
      <c r="H584" t="s">
        <v>76</v>
      </c>
      <c r="I584" t="s">
        <v>820</v>
      </c>
      <c r="J584">
        <v>2010</v>
      </c>
      <c r="K584" t="b">
        <v>0</v>
      </c>
      <c r="X584">
        <v>20.239999999999998</v>
      </c>
      <c r="AD584">
        <v>20</v>
      </c>
      <c r="AG584" t="s">
        <v>884</v>
      </c>
      <c r="AH584" t="s">
        <v>885</v>
      </c>
    </row>
    <row r="585" spans="1:34" x14ac:dyDescent="0.35">
      <c r="A585" t="s">
        <v>880</v>
      </c>
      <c r="B585" t="s">
        <v>881</v>
      </c>
      <c r="C585" t="s">
        <v>882</v>
      </c>
      <c r="D585" t="s">
        <v>25</v>
      </c>
      <c r="E585" t="s">
        <v>886</v>
      </c>
      <c r="F585" t="s">
        <v>545</v>
      </c>
      <c r="G585" t="s">
        <v>249</v>
      </c>
      <c r="H585" t="s">
        <v>248</v>
      </c>
      <c r="I585" t="s">
        <v>820</v>
      </c>
      <c r="J585">
        <v>2010</v>
      </c>
      <c r="K585" t="b">
        <v>0</v>
      </c>
      <c r="X585">
        <v>23.53</v>
      </c>
      <c r="AD585">
        <v>24</v>
      </c>
      <c r="AG585" t="s">
        <v>884</v>
      </c>
      <c r="AH585" t="s">
        <v>885</v>
      </c>
    </row>
    <row r="586" spans="1:34" x14ac:dyDescent="0.35">
      <c r="A586" t="s">
        <v>880</v>
      </c>
      <c r="B586" t="s">
        <v>881</v>
      </c>
      <c r="C586" t="s">
        <v>882</v>
      </c>
      <c r="D586" t="s">
        <v>25</v>
      </c>
      <c r="E586" t="s">
        <v>886</v>
      </c>
      <c r="F586" t="s">
        <v>545</v>
      </c>
      <c r="G586" t="s">
        <v>434</v>
      </c>
      <c r="H586" t="s">
        <v>433</v>
      </c>
      <c r="I586" t="s">
        <v>820</v>
      </c>
      <c r="J586">
        <v>2010</v>
      </c>
      <c r="K586" t="b">
        <v>0</v>
      </c>
      <c r="X586">
        <v>23.83</v>
      </c>
      <c r="AD586">
        <v>24</v>
      </c>
      <c r="AG586" t="s">
        <v>884</v>
      </c>
      <c r="AH586" t="s">
        <v>885</v>
      </c>
    </row>
    <row r="587" spans="1:34" x14ac:dyDescent="0.35">
      <c r="A587" t="s">
        <v>880</v>
      </c>
      <c r="B587" t="s">
        <v>881</v>
      </c>
      <c r="C587" t="s">
        <v>882</v>
      </c>
      <c r="D587" t="s">
        <v>25</v>
      </c>
      <c r="E587" t="s">
        <v>886</v>
      </c>
      <c r="F587" t="s">
        <v>545</v>
      </c>
      <c r="G587" t="s">
        <v>31</v>
      </c>
      <c r="H587" t="s">
        <v>30</v>
      </c>
      <c r="I587" t="s">
        <v>820</v>
      </c>
      <c r="J587">
        <v>2010</v>
      </c>
      <c r="K587" t="b">
        <v>0</v>
      </c>
      <c r="X587">
        <v>26.6</v>
      </c>
      <c r="AD587">
        <v>27</v>
      </c>
      <c r="AG587" t="s">
        <v>884</v>
      </c>
      <c r="AH587" t="s">
        <v>885</v>
      </c>
    </row>
    <row r="588" spans="1:34" x14ac:dyDescent="0.35">
      <c r="A588" t="s">
        <v>880</v>
      </c>
      <c r="B588" t="s">
        <v>881</v>
      </c>
      <c r="C588" t="s">
        <v>882</v>
      </c>
      <c r="D588" t="s">
        <v>4</v>
      </c>
      <c r="E588" t="s">
        <v>883</v>
      </c>
      <c r="F588" t="s">
        <v>545</v>
      </c>
      <c r="G588" t="s">
        <v>114</v>
      </c>
      <c r="H588" t="s">
        <v>113</v>
      </c>
      <c r="I588" t="s">
        <v>820</v>
      </c>
      <c r="J588">
        <v>2010</v>
      </c>
      <c r="K588" t="b">
        <v>0</v>
      </c>
      <c r="X588">
        <v>27.51</v>
      </c>
      <c r="AD588">
        <v>28</v>
      </c>
      <c r="AG588" t="s">
        <v>884</v>
      </c>
      <c r="AH588" t="s">
        <v>885</v>
      </c>
    </row>
    <row r="589" spans="1:34" x14ac:dyDescent="0.35">
      <c r="A589" t="s">
        <v>880</v>
      </c>
      <c r="B589" t="s">
        <v>881</v>
      </c>
      <c r="C589" t="s">
        <v>882</v>
      </c>
      <c r="D589" t="s">
        <v>25</v>
      </c>
      <c r="E589" t="s">
        <v>886</v>
      </c>
      <c r="F589" t="s">
        <v>545</v>
      </c>
      <c r="G589" t="s">
        <v>351</v>
      </c>
      <c r="H589" t="s">
        <v>350</v>
      </c>
      <c r="I589" t="s">
        <v>820</v>
      </c>
      <c r="J589">
        <v>2010</v>
      </c>
      <c r="K589" t="b">
        <v>0</v>
      </c>
      <c r="X589">
        <v>28.01</v>
      </c>
      <c r="AD589">
        <v>28</v>
      </c>
      <c r="AG589" t="s">
        <v>884</v>
      </c>
      <c r="AH589" t="s">
        <v>885</v>
      </c>
    </row>
    <row r="590" spans="1:34" x14ac:dyDescent="0.35">
      <c r="A590" t="s">
        <v>880</v>
      </c>
      <c r="B590" t="s">
        <v>881</v>
      </c>
      <c r="C590" t="s">
        <v>882</v>
      </c>
      <c r="D590" t="s">
        <v>25</v>
      </c>
      <c r="E590" t="s">
        <v>886</v>
      </c>
      <c r="F590" t="s">
        <v>545</v>
      </c>
      <c r="G590" t="s">
        <v>301</v>
      </c>
      <c r="H590" t="s">
        <v>300</v>
      </c>
      <c r="I590" t="s">
        <v>820</v>
      </c>
      <c r="J590">
        <v>2010</v>
      </c>
      <c r="K590" t="b">
        <v>0</v>
      </c>
      <c r="X590">
        <v>28.78</v>
      </c>
      <c r="AD590">
        <v>29</v>
      </c>
      <c r="AG590" t="s">
        <v>884</v>
      </c>
      <c r="AH590" t="s">
        <v>885</v>
      </c>
    </row>
    <row r="591" spans="1:34" x14ac:dyDescent="0.35">
      <c r="A591" t="s">
        <v>880</v>
      </c>
      <c r="B591" t="s">
        <v>881</v>
      </c>
      <c r="C591" t="s">
        <v>882</v>
      </c>
      <c r="D591" t="s">
        <v>25</v>
      </c>
      <c r="E591" t="s">
        <v>886</v>
      </c>
      <c r="F591" t="s">
        <v>545</v>
      </c>
      <c r="G591" t="s">
        <v>304</v>
      </c>
      <c r="H591" t="s">
        <v>303</v>
      </c>
      <c r="I591" t="s">
        <v>820</v>
      </c>
      <c r="J591">
        <v>2010</v>
      </c>
      <c r="K591" t="b">
        <v>0</v>
      </c>
      <c r="X591">
        <v>30.32</v>
      </c>
      <c r="AD591">
        <v>30</v>
      </c>
      <c r="AG591" t="s">
        <v>884</v>
      </c>
      <c r="AH591" t="s">
        <v>885</v>
      </c>
    </row>
    <row r="592" spans="1:34" x14ac:dyDescent="0.35">
      <c r="A592" t="s">
        <v>880</v>
      </c>
      <c r="B592" t="s">
        <v>881</v>
      </c>
      <c r="C592" t="s">
        <v>882</v>
      </c>
      <c r="D592" t="s">
        <v>25</v>
      </c>
      <c r="E592" t="s">
        <v>886</v>
      </c>
      <c r="F592" t="s">
        <v>545</v>
      </c>
      <c r="G592" t="s">
        <v>422</v>
      </c>
      <c r="H592" t="s">
        <v>421</v>
      </c>
      <c r="I592" t="s">
        <v>820</v>
      </c>
      <c r="J592">
        <v>2010</v>
      </c>
      <c r="K592" t="b">
        <v>0</v>
      </c>
      <c r="X592">
        <v>30.36</v>
      </c>
      <c r="AD592">
        <v>30</v>
      </c>
      <c r="AG592" t="s">
        <v>884</v>
      </c>
      <c r="AH592" t="s">
        <v>885</v>
      </c>
    </row>
    <row r="593" spans="1:34" x14ac:dyDescent="0.35">
      <c r="A593" t="s">
        <v>880</v>
      </c>
      <c r="B593" t="s">
        <v>881</v>
      </c>
      <c r="C593" t="s">
        <v>882</v>
      </c>
      <c r="D593" t="s">
        <v>25</v>
      </c>
      <c r="E593" t="s">
        <v>886</v>
      </c>
      <c r="F593" t="s">
        <v>545</v>
      </c>
      <c r="G593" t="s">
        <v>50</v>
      </c>
      <c r="H593" t="s">
        <v>49</v>
      </c>
      <c r="I593" t="s">
        <v>820</v>
      </c>
      <c r="J593">
        <v>2010</v>
      </c>
      <c r="K593" t="b">
        <v>0</v>
      </c>
      <c r="X593">
        <v>30.81</v>
      </c>
      <c r="AD593">
        <v>31</v>
      </c>
      <c r="AG593" t="s">
        <v>884</v>
      </c>
      <c r="AH593" t="s">
        <v>885</v>
      </c>
    </row>
    <row r="594" spans="1:34" x14ac:dyDescent="0.35">
      <c r="A594" t="s">
        <v>880</v>
      </c>
      <c r="B594" t="s">
        <v>881</v>
      </c>
      <c r="C594" t="s">
        <v>882</v>
      </c>
      <c r="D594" t="s">
        <v>25</v>
      </c>
      <c r="E594" t="s">
        <v>886</v>
      </c>
      <c r="F594" t="s">
        <v>545</v>
      </c>
      <c r="G594" t="s">
        <v>65</v>
      </c>
      <c r="H594" t="s">
        <v>64</v>
      </c>
      <c r="I594" t="s">
        <v>820</v>
      </c>
      <c r="J594">
        <v>2010</v>
      </c>
      <c r="K594" t="b">
        <v>0</v>
      </c>
      <c r="X594">
        <v>30.61</v>
      </c>
      <c r="AD594">
        <v>31</v>
      </c>
      <c r="AG594" t="s">
        <v>884</v>
      </c>
      <c r="AH594" t="s">
        <v>885</v>
      </c>
    </row>
    <row r="595" spans="1:34" x14ac:dyDescent="0.35">
      <c r="A595" t="s">
        <v>880</v>
      </c>
      <c r="B595" t="s">
        <v>881</v>
      </c>
      <c r="C595" t="s">
        <v>882</v>
      </c>
      <c r="D595" t="s">
        <v>25</v>
      </c>
      <c r="E595" t="s">
        <v>886</v>
      </c>
      <c r="F595" t="s">
        <v>545</v>
      </c>
      <c r="G595" t="s">
        <v>216</v>
      </c>
      <c r="H595" t="s">
        <v>215</v>
      </c>
      <c r="I595" t="s">
        <v>820</v>
      </c>
      <c r="J595">
        <v>2010</v>
      </c>
      <c r="K595" t="b">
        <v>0</v>
      </c>
      <c r="X595">
        <v>31.95</v>
      </c>
      <c r="AD595">
        <v>32</v>
      </c>
      <c r="AG595" t="s">
        <v>884</v>
      </c>
      <c r="AH595" t="s">
        <v>885</v>
      </c>
    </row>
    <row r="596" spans="1:34" x14ac:dyDescent="0.35">
      <c r="A596" t="s">
        <v>880</v>
      </c>
      <c r="B596" t="s">
        <v>881</v>
      </c>
      <c r="C596" t="s">
        <v>882</v>
      </c>
      <c r="D596" t="s">
        <v>25</v>
      </c>
      <c r="E596" t="s">
        <v>886</v>
      </c>
      <c r="F596" t="s">
        <v>545</v>
      </c>
      <c r="G596" t="s">
        <v>446</v>
      </c>
      <c r="H596" t="s">
        <v>445</v>
      </c>
      <c r="I596" t="s">
        <v>820</v>
      </c>
      <c r="J596">
        <v>2010</v>
      </c>
      <c r="K596" t="b">
        <v>0</v>
      </c>
      <c r="X596">
        <v>31.8</v>
      </c>
      <c r="AD596">
        <v>32</v>
      </c>
      <c r="AG596" t="s">
        <v>884</v>
      </c>
      <c r="AH596" t="s">
        <v>885</v>
      </c>
    </row>
    <row r="597" spans="1:34" x14ac:dyDescent="0.35">
      <c r="A597" t="s">
        <v>880</v>
      </c>
      <c r="B597" t="s">
        <v>881</v>
      </c>
      <c r="C597" t="s">
        <v>882</v>
      </c>
      <c r="D597" t="s">
        <v>25</v>
      </c>
      <c r="E597" t="s">
        <v>886</v>
      </c>
      <c r="F597" t="s">
        <v>545</v>
      </c>
      <c r="G597" t="s">
        <v>27</v>
      </c>
      <c r="H597" t="s">
        <v>26</v>
      </c>
      <c r="I597" t="s">
        <v>820</v>
      </c>
      <c r="J597">
        <v>2010</v>
      </c>
      <c r="K597" t="b">
        <v>0</v>
      </c>
      <c r="X597">
        <v>33.43</v>
      </c>
      <c r="AD597">
        <v>33</v>
      </c>
      <c r="AG597" t="s">
        <v>884</v>
      </c>
      <c r="AH597" t="s">
        <v>885</v>
      </c>
    </row>
    <row r="598" spans="1:34" x14ac:dyDescent="0.35">
      <c r="A598" t="s">
        <v>880</v>
      </c>
      <c r="B598" t="s">
        <v>881</v>
      </c>
      <c r="C598" t="s">
        <v>882</v>
      </c>
      <c r="D598" t="s">
        <v>25</v>
      </c>
      <c r="E598" t="s">
        <v>886</v>
      </c>
      <c r="F598" t="s">
        <v>545</v>
      </c>
      <c r="G598" t="s">
        <v>120</v>
      </c>
      <c r="H598" t="s">
        <v>119</v>
      </c>
      <c r="I598" t="s">
        <v>820</v>
      </c>
      <c r="J598">
        <v>2010</v>
      </c>
      <c r="K598" t="b">
        <v>0</v>
      </c>
      <c r="X598">
        <v>32.979999999999997</v>
      </c>
      <c r="AD598">
        <v>33</v>
      </c>
      <c r="AG598" t="s">
        <v>884</v>
      </c>
      <c r="AH598" t="s">
        <v>885</v>
      </c>
    </row>
    <row r="599" spans="1:34" x14ac:dyDescent="0.35">
      <c r="A599" t="s">
        <v>880</v>
      </c>
      <c r="B599" t="s">
        <v>881</v>
      </c>
      <c r="C599" t="s">
        <v>882</v>
      </c>
      <c r="D599" t="s">
        <v>25</v>
      </c>
      <c r="E599" t="s">
        <v>886</v>
      </c>
      <c r="F599" t="s">
        <v>545</v>
      </c>
      <c r="G599" t="s">
        <v>246</v>
      </c>
      <c r="H599" t="s">
        <v>245</v>
      </c>
      <c r="I599" t="s">
        <v>820</v>
      </c>
      <c r="J599">
        <v>2010</v>
      </c>
      <c r="K599" t="b">
        <v>0</v>
      </c>
      <c r="X599">
        <v>34.21</v>
      </c>
      <c r="AD599">
        <v>34</v>
      </c>
      <c r="AG599" t="s">
        <v>884</v>
      </c>
      <c r="AH599" t="s">
        <v>885</v>
      </c>
    </row>
    <row r="600" spans="1:34" x14ac:dyDescent="0.35">
      <c r="A600" t="s">
        <v>880</v>
      </c>
      <c r="B600" t="s">
        <v>881</v>
      </c>
      <c r="C600" t="s">
        <v>882</v>
      </c>
      <c r="D600" t="s">
        <v>25</v>
      </c>
      <c r="E600" t="s">
        <v>886</v>
      </c>
      <c r="F600" t="s">
        <v>545</v>
      </c>
      <c r="G600" t="s">
        <v>443</v>
      </c>
      <c r="H600" t="s">
        <v>442</v>
      </c>
      <c r="I600" t="s">
        <v>820</v>
      </c>
      <c r="J600">
        <v>2010</v>
      </c>
      <c r="K600" t="b">
        <v>0</v>
      </c>
      <c r="X600">
        <v>34.42</v>
      </c>
      <c r="AD600">
        <v>34</v>
      </c>
      <c r="AG600" t="s">
        <v>884</v>
      </c>
      <c r="AH600" t="s">
        <v>885</v>
      </c>
    </row>
    <row r="601" spans="1:34" x14ac:dyDescent="0.35">
      <c r="A601" t="s">
        <v>880</v>
      </c>
      <c r="B601" t="s">
        <v>881</v>
      </c>
      <c r="C601" t="s">
        <v>882</v>
      </c>
      <c r="D601" t="s">
        <v>25</v>
      </c>
      <c r="E601" t="s">
        <v>886</v>
      </c>
      <c r="F601" t="s">
        <v>545</v>
      </c>
      <c r="G601" t="s">
        <v>295</v>
      </c>
      <c r="H601" t="s">
        <v>294</v>
      </c>
      <c r="I601" t="s">
        <v>820</v>
      </c>
      <c r="J601">
        <v>2010</v>
      </c>
      <c r="K601" t="b">
        <v>0</v>
      </c>
      <c r="X601">
        <v>33.89</v>
      </c>
      <c r="AD601">
        <v>34</v>
      </c>
      <c r="AG601" t="s">
        <v>884</v>
      </c>
      <c r="AH601" t="s">
        <v>885</v>
      </c>
    </row>
    <row r="602" spans="1:34" x14ac:dyDescent="0.35">
      <c r="A602" t="s">
        <v>880</v>
      </c>
      <c r="B602" t="s">
        <v>881</v>
      </c>
      <c r="C602" t="s">
        <v>882</v>
      </c>
      <c r="D602" t="s">
        <v>25</v>
      </c>
      <c r="E602" t="s">
        <v>886</v>
      </c>
      <c r="F602" t="s">
        <v>545</v>
      </c>
      <c r="G602" t="s">
        <v>231</v>
      </c>
      <c r="H602" t="s">
        <v>230</v>
      </c>
      <c r="I602" t="s">
        <v>820</v>
      </c>
      <c r="J602">
        <v>2010</v>
      </c>
      <c r="K602" t="b">
        <v>0</v>
      </c>
      <c r="X602">
        <v>35.07</v>
      </c>
      <c r="AD602">
        <v>35</v>
      </c>
      <c r="AG602" t="s">
        <v>884</v>
      </c>
      <c r="AH602" t="s">
        <v>885</v>
      </c>
    </row>
    <row r="603" spans="1:34" x14ac:dyDescent="0.35">
      <c r="A603" t="s">
        <v>880</v>
      </c>
      <c r="B603" t="s">
        <v>881</v>
      </c>
      <c r="C603" t="s">
        <v>882</v>
      </c>
      <c r="D603" t="s">
        <v>25</v>
      </c>
      <c r="E603" t="s">
        <v>886</v>
      </c>
      <c r="F603" t="s">
        <v>545</v>
      </c>
      <c r="G603" t="s">
        <v>268</v>
      </c>
      <c r="H603" t="s">
        <v>888</v>
      </c>
      <c r="I603" t="s">
        <v>820</v>
      </c>
      <c r="J603">
        <v>2010</v>
      </c>
      <c r="K603" t="b">
        <v>0</v>
      </c>
      <c r="X603">
        <v>35.25</v>
      </c>
      <c r="AD603">
        <v>35</v>
      </c>
      <c r="AG603" t="s">
        <v>884</v>
      </c>
      <c r="AH603" t="s">
        <v>885</v>
      </c>
    </row>
    <row r="604" spans="1:34" x14ac:dyDescent="0.35">
      <c r="A604" t="s">
        <v>880</v>
      </c>
      <c r="B604" t="s">
        <v>881</v>
      </c>
      <c r="C604" t="s">
        <v>882</v>
      </c>
      <c r="D604" t="s">
        <v>25</v>
      </c>
      <c r="E604" t="s">
        <v>886</v>
      </c>
      <c r="F604" t="s">
        <v>545</v>
      </c>
      <c r="G604" t="s">
        <v>345</v>
      </c>
      <c r="H604" t="s">
        <v>344</v>
      </c>
      <c r="I604" t="s">
        <v>820</v>
      </c>
      <c r="J604">
        <v>2010</v>
      </c>
      <c r="K604" t="b">
        <v>0</v>
      </c>
      <c r="X604">
        <v>35.090000000000003</v>
      </c>
      <c r="AD604">
        <v>35</v>
      </c>
      <c r="AG604" t="s">
        <v>884</v>
      </c>
      <c r="AH604" t="s">
        <v>885</v>
      </c>
    </row>
    <row r="605" spans="1:34" x14ac:dyDescent="0.35">
      <c r="A605" t="s">
        <v>880</v>
      </c>
      <c r="B605" t="s">
        <v>881</v>
      </c>
      <c r="C605" t="s">
        <v>882</v>
      </c>
      <c r="D605" t="s">
        <v>25</v>
      </c>
      <c r="E605" t="s">
        <v>886</v>
      </c>
      <c r="F605" t="s">
        <v>545</v>
      </c>
      <c r="G605" t="s">
        <v>371</v>
      </c>
      <c r="H605" t="s">
        <v>370</v>
      </c>
      <c r="I605" t="s">
        <v>820</v>
      </c>
      <c r="J605">
        <v>2010</v>
      </c>
      <c r="K605" t="b">
        <v>0</v>
      </c>
      <c r="X605">
        <v>34.89</v>
      </c>
      <c r="AD605">
        <v>35</v>
      </c>
      <c r="AG605" t="s">
        <v>884</v>
      </c>
      <c r="AH605" t="s">
        <v>885</v>
      </c>
    </row>
    <row r="606" spans="1:34" x14ac:dyDescent="0.35">
      <c r="A606" t="s">
        <v>880</v>
      </c>
      <c r="B606" t="s">
        <v>881</v>
      </c>
      <c r="C606" t="s">
        <v>882</v>
      </c>
      <c r="D606" t="s">
        <v>25</v>
      </c>
      <c r="E606" t="s">
        <v>886</v>
      </c>
      <c r="F606" t="s">
        <v>545</v>
      </c>
      <c r="G606" t="s">
        <v>523</v>
      </c>
      <c r="H606" t="s">
        <v>522</v>
      </c>
      <c r="I606" t="s">
        <v>820</v>
      </c>
      <c r="J606">
        <v>2010</v>
      </c>
      <c r="K606" t="b">
        <v>0</v>
      </c>
      <c r="X606">
        <v>35.32</v>
      </c>
      <c r="AD606">
        <v>35</v>
      </c>
      <c r="AG606" t="s">
        <v>884</v>
      </c>
      <c r="AH606" t="s">
        <v>885</v>
      </c>
    </row>
    <row r="607" spans="1:34" x14ac:dyDescent="0.35">
      <c r="A607" t="s">
        <v>880</v>
      </c>
      <c r="B607" t="s">
        <v>881</v>
      </c>
      <c r="C607" t="s">
        <v>882</v>
      </c>
      <c r="D607" t="s">
        <v>25</v>
      </c>
      <c r="E607" t="s">
        <v>886</v>
      </c>
      <c r="F607" t="s">
        <v>545</v>
      </c>
      <c r="G607" t="s">
        <v>240</v>
      </c>
      <c r="H607" t="s">
        <v>239</v>
      </c>
      <c r="I607" t="s">
        <v>820</v>
      </c>
      <c r="J607">
        <v>2010</v>
      </c>
      <c r="K607" t="b">
        <v>0</v>
      </c>
      <c r="X607">
        <v>36.340000000000003</v>
      </c>
      <c r="AD607">
        <v>36</v>
      </c>
      <c r="AG607" t="s">
        <v>884</v>
      </c>
      <c r="AH607" t="s">
        <v>885</v>
      </c>
    </row>
    <row r="608" spans="1:34" x14ac:dyDescent="0.35">
      <c r="A608" t="s">
        <v>880</v>
      </c>
      <c r="B608" t="s">
        <v>881</v>
      </c>
      <c r="C608" t="s">
        <v>882</v>
      </c>
      <c r="D608" t="s">
        <v>25</v>
      </c>
      <c r="E608" t="s">
        <v>886</v>
      </c>
      <c r="F608" t="s">
        <v>545</v>
      </c>
      <c r="G608" t="s">
        <v>360</v>
      </c>
      <c r="H608" t="s">
        <v>359</v>
      </c>
      <c r="I608" t="s">
        <v>820</v>
      </c>
      <c r="J608">
        <v>2010</v>
      </c>
      <c r="K608" t="b">
        <v>0</v>
      </c>
      <c r="X608">
        <v>36.22</v>
      </c>
      <c r="AD608">
        <v>36</v>
      </c>
      <c r="AG608" t="s">
        <v>884</v>
      </c>
      <c r="AH608" t="s">
        <v>885</v>
      </c>
    </row>
    <row r="609" spans="1:34" x14ac:dyDescent="0.35">
      <c r="A609" t="s">
        <v>880</v>
      </c>
      <c r="B609" t="s">
        <v>881</v>
      </c>
      <c r="C609" t="s">
        <v>882</v>
      </c>
      <c r="D609" t="s">
        <v>4</v>
      </c>
      <c r="E609" t="s">
        <v>883</v>
      </c>
      <c r="F609" t="s">
        <v>545</v>
      </c>
      <c r="G609" t="s">
        <v>123</v>
      </c>
      <c r="H609" t="s">
        <v>122</v>
      </c>
      <c r="I609" t="s">
        <v>820</v>
      </c>
      <c r="J609">
        <v>2010</v>
      </c>
      <c r="K609" t="b">
        <v>0</v>
      </c>
      <c r="X609">
        <v>36.049999999999997</v>
      </c>
      <c r="AD609">
        <v>36</v>
      </c>
      <c r="AG609" t="s">
        <v>884</v>
      </c>
      <c r="AH609" t="s">
        <v>885</v>
      </c>
    </row>
    <row r="610" spans="1:34" x14ac:dyDescent="0.35">
      <c r="A610" t="s">
        <v>880</v>
      </c>
      <c r="B610" t="s">
        <v>881</v>
      </c>
      <c r="C610" t="s">
        <v>882</v>
      </c>
      <c r="D610" t="s">
        <v>0</v>
      </c>
      <c r="E610" t="s">
        <v>887</v>
      </c>
      <c r="F610" t="s">
        <v>545</v>
      </c>
      <c r="G610" t="s">
        <v>107</v>
      </c>
      <c r="H610" t="s">
        <v>106</v>
      </c>
      <c r="I610" t="s">
        <v>820</v>
      </c>
      <c r="J610">
        <v>2010</v>
      </c>
      <c r="K610" t="b">
        <v>0</v>
      </c>
      <c r="X610">
        <v>36.4</v>
      </c>
      <c r="AD610">
        <v>36</v>
      </c>
      <c r="AG610" t="s">
        <v>884</v>
      </c>
      <c r="AH610" t="s">
        <v>885</v>
      </c>
    </row>
    <row r="611" spans="1:34" x14ac:dyDescent="0.35">
      <c r="A611" t="s">
        <v>880</v>
      </c>
      <c r="B611" t="s">
        <v>881</v>
      </c>
      <c r="C611" t="s">
        <v>882</v>
      </c>
      <c r="D611" t="s">
        <v>43</v>
      </c>
      <c r="E611" t="s">
        <v>890</v>
      </c>
      <c r="F611" t="s">
        <v>545</v>
      </c>
      <c r="G611" t="s">
        <v>193</v>
      </c>
      <c r="H611" t="s">
        <v>192</v>
      </c>
      <c r="I611" t="s">
        <v>820</v>
      </c>
      <c r="J611">
        <v>2010</v>
      </c>
      <c r="K611" t="b">
        <v>0</v>
      </c>
      <c r="X611">
        <v>36.57</v>
      </c>
      <c r="AD611">
        <v>37</v>
      </c>
      <c r="AG611" t="s">
        <v>884</v>
      </c>
      <c r="AH611" t="s">
        <v>885</v>
      </c>
    </row>
    <row r="612" spans="1:34" x14ac:dyDescent="0.35">
      <c r="A612" t="s">
        <v>880</v>
      </c>
      <c r="B612" t="s">
        <v>881</v>
      </c>
      <c r="C612" t="s">
        <v>882</v>
      </c>
      <c r="D612" t="s">
        <v>25</v>
      </c>
      <c r="E612" t="s">
        <v>886</v>
      </c>
      <c r="F612" t="s">
        <v>545</v>
      </c>
      <c r="G612" t="s">
        <v>280</v>
      </c>
      <c r="H612" t="s">
        <v>279</v>
      </c>
      <c r="I612" t="s">
        <v>820</v>
      </c>
      <c r="J612">
        <v>2010</v>
      </c>
      <c r="K612" t="b">
        <v>0</v>
      </c>
      <c r="X612">
        <v>37.18</v>
      </c>
      <c r="AD612">
        <v>37</v>
      </c>
      <c r="AG612" t="s">
        <v>884</v>
      </c>
      <c r="AH612" t="s">
        <v>885</v>
      </c>
    </row>
    <row r="613" spans="1:34" x14ac:dyDescent="0.35">
      <c r="A613" t="s">
        <v>880</v>
      </c>
      <c r="B613" t="s">
        <v>881</v>
      </c>
      <c r="C613" t="s">
        <v>882</v>
      </c>
      <c r="D613" t="s">
        <v>43</v>
      </c>
      <c r="E613" t="s">
        <v>890</v>
      </c>
      <c r="F613" t="s">
        <v>545</v>
      </c>
      <c r="G613" t="s">
        <v>68</v>
      </c>
      <c r="H613" t="s">
        <v>67</v>
      </c>
      <c r="I613" t="s">
        <v>820</v>
      </c>
      <c r="J613">
        <v>2010</v>
      </c>
      <c r="K613" t="b">
        <v>0</v>
      </c>
      <c r="X613">
        <v>36.979999999999997</v>
      </c>
      <c r="AD613">
        <v>37</v>
      </c>
      <c r="AG613" t="s">
        <v>884</v>
      </c>
      <c r="AH613" t="s">
        <v>885</v>
      </c>
    </row>
    <row r="614" spans="1:34" x14ac:dyDescent="0.35">
      <c r="A614" t="s">
        <v>880</v>
      </c>
      <c r="B614" t="s">
        <v>881</v>
      </c>
      <c r="C614" t="s">
        <v>882</v>
      </c>
      <c r="D614" t="s">
        <v>4</v>
      </c>
      <c r="E614" t="s">
        <v>883</v>
      </c>
      <c r="F614" t="s">
        <v>545</v>
      </c>
      <c r="G614" t="s">
        <v>449</v>
      </c>
      <c r="H614" t="s">
        <v>448</v>
      </c>
      <c r="I614" t="s">
        <v>820</v>
      </c>
      <c r="J614">
        <v>2010</v>
      </c>
      <c r="K614" t="b">
        <v>0</v>
      </c>
      <c r="X614">
        <v>36.909999999999997</v>
      </c>
      <c r="AD614">
        <v>37</v>
      </c>
      <c r="AG614" t="s">
        <v>884</v>
      </c>
      <c r="AH614" t="s">
        <v>885</v>
      </c>
    </row>
    <row r="615" spans="1:34" x14ac:dyDescent="0.35">
      <c r="A615" t="s">
        <v>880</v>
      </c>
      <c r="B615" t="s">
        <v>881</v>
      </c>
      <c r="C615" t="s">
        <v>882</v>
      </c>
      <c r="D615" t="s">
        <v>25</v>
      </c>
      <c r="E615" t="s">
        <v>886</v>
      </c>
      <c r="F615" t="s">
        <v>545</v>
      </c>
      <c r="G615" t="s">
        <v>541</v>
      </c>
      <c r="H615" t="s">
        <v>540</v>
      </c>
      <c r="I615" t="s">
        <v>820</v>
      </c>
      <c r="J615">
        <v>2010</v>
      </c>
      <c r="K615" t="b">
        <v>0</v>
      </c>
      <c r="X615">
        <v>37</v>
      </c>
      <c r="AD615">
        <v>37</v>
      </c>
      <c r="AG615" t="s">
        <v>884</v>
      </c>
      <c r="AH615" t="s">
        <v>885</v>
      </c>
    </row>
    <row r="616" spans="1:34" x14ac:dyDescent="0.35">
      <c r="A616" t="s">
        <v>880</v>
      </c>
      <c r="B616" t="s">
        <v>881</v>
      </c>
      <c r="C616" t="s">
        <v>882</v>
      </c>
      <c r="D616" t="s">
        <v>25</v>
      </c>
      <c r="E616" t="s">
        <v>886</v>
      </c>
      <c r="F616" t="s">
        <v>545</v>
      </c>
      <c r="G616" t="s">
        <v>532</v>
      </c>
      <c r="H616" t="s">
        <v>531</v>
      </c>
      <c r="I616" t="s">
        <v>820</v>
      </c>
      <c r="J616">
        <v>2010</v>
      </c>
      <c r="K616" t="b">
        <v>0</v>
      </c>
      <c r="X616">
        <v>37.89</v>
      </c>
      <c r="AD616">
        <v>38</v>
      </c>
      <c r="AG616" t="s">
        <v>884</v>
      </c>
      <c r="AH616" t="s">
        <v>885</v>
      </c>
    </row>
    <row r="617" spans="1:34" x14ac:dyDescent="0.35">
      <c r="A617" t="s">
        <v>880</v>
      </c>
      <c r="B617" t="s">
        <v>881</v>
      </c>
      <c r="C617" t="s">
        <v>882</v>
      </c>
      <c r="D617" t="s">
        <v>25</v>
      </c>
      <c r="E617" t="s">
        <v>886</v>
      </c>
      <c r="F617" t="s">
        <v>545</v>
      </c>
      <c r="G617" t="s">
        <v>74</v>
      </c>
      <c r="H617" t="s">
        <v>73</v>
      </c>
      <c r="I617" t="s">
        <v>820</v>
      </c>
      <c r="J617">
        <v>2010</v>
      </c>
      <c r="K617" t="b">
        <v>0</v>
      </c>
      <c r="X617">
        <v>37.950000000000003</v>
      </c>
      <c r="AD617">
        <v>38</v>
      </c>
      <c r="AG617" t="s">
        <v>884</v>
      </c>
      <c r="AH617" t="s">
        <v>885</v>
      </c>
    </row>
    <row r="618" spans="1:34" x14ac:dyDescent="0.35">
      <c r="A618" t="s">
        <v>880</v>
      </c>
      <c r="B618" t="s">
        <v>881</v>
      </c>
      <c r="C618" t="s">
        <v>882</v>
      </c>
      <c r="D618" t="s">
        <v>0</v>
      </c>
      <c r="E618" t="s">
        <v>887</v>
      </c>
      <c r="F618" t="s">
        <v>545</v>
      </c>
      <c r="G618" t="s">
        <v>176</v>
      </c>
      <c r="H618" t="s">
        <v>175</v>
      </c>
      <c r="I618" t="s">
        <v>820</v>
      </c>
      <c r="J618">
        <v>2010</v>
      </c>
      <c r="K618" t="b">
        <v>0</v>
      </c>
      <c r="X618">
        <v>39.22</v>
      </c>
      <c r="AD618">
        <v>39</v>
      </c>
      <c r="AG618" t="s">
        <v>884</v>
      </c>
      <c r="AH618" t="s">
        <v>885</v>
      </c>
    </row>
    <row r="619" spans="1:34" x14ac:dyDescent="0.35">
      <c r="A619" t="s">
        <v>880</v>
      </c>
      <c r="B619" t="s">
        <v>881</v>
      </c>
      <c r="C619" t="s">
        <v>882</v>
      </c>
      <c r="D619" t="s">
        <v>4</v>
      </c>
      <c r="E619" t="s">
        <v>883</v>
      </c>
      <c r="F619" t="s">
        <v>545</v>
      </c>
      <c r="G619" t="s">
        <v>271</v>
      </c>
      <c r="H619" t="s">
        <v>270</v>
      </c>
      <c r="I619" t="s">
        <v>820</v>
      </c>
      <c r="J619">
        <v>2010</v>
      </c>
      <c r="K619" t="b">
        <v>0</v>
      </c>
      <c r="X619">
        <v>40.43</v>
      </c>
      <c r="AD619">
        <v>40</v>
      </c>
      <c r="AG619" t="s">
        <v>884</v>
      </c>
      <c r="AH619" t="s">
        <v>885</v>
      </c>
    </row>
    <row r="620" spans="1:34" x14ac:dyDescent="0.35">
      <c r="A620" t="s">
        <v>880</v>
      </c>
      <c r="B620" t="s">
        <v>881</v>
      </c>
      <c r="C620" t="s">
        <v>882</v>
      </c>
      <c r="D620" t="s">
        <v>25</v>
      </c>
      <c r="E620" t="s">
        <v>886</v>
      </c>
      <c r="F620" t="s">
        <v>545</v>
      </c>
      <c r="G620" t="s">
        <v>354</v>
      </c>
      <c r="H620" t="s">
        <v>353</v>
      </c>
      <c r="I620" t="s">
        <v>820</v>
      </c>
      <c r="J620">
        <v>2010</v>
      </c>
      <c r="K620" t="b">
        <v>0</v>
      </c>
      <c r="X620">
        <v>39.57</v>
      </c>
      <c r="AD620">
        <v>40</v>
      </c>
      <c r="AG620" t="s">
        <v>884</v>
      </c>
      <c r="AH620" t="s">
        <v>885</v>
      </c>
    </row>
    <row r="621" spans="1:34" x14ac:dyDescent="0.35">
      <c r="A621" t="s">
        <v>880</v>
      </c>
      <c r="B621" t="s">
        <v>881</v>
      </c>
      <c r="C621" t="s">
        <v>882</v>
      </c>
      <c r="D621" t="s">
        <v>25</v>
      </c>
      <c r="E621" t="s">
        <v>886</v>
      </c>
      <c r="F621" t="s">
        <v>545</v>
      </c>
      <c r="G621" t="s">
        <v>464</v>
      </c>
      <c r="H621" t="s">
        <v>463</v>
      </c>
      <c r="I621" t="s">
        <v>820</v>
      </c>
      <c r="J621">
        <v>2010</v>
      </c>
      <c r="K621" t="b">
        <v>0</v>
      </c>
      <c r="X621">
        <v>40.42</v>
      </c>
      <c r="AD621">
        <v>40</v>
      </c>
      <c r="AG621" t="s">
        <v>884</v>
      </c>
      <c r="AH621" t="s">
        <v>885</v>
      </c>
    </row>
    <row r="622" spans="1:34" x14ac:dyDescent="0.35">
      <c r="A622" t="s">
        <v>880</v>
      </c>
      <c r="B622" t="s">
        <v>881</v>
      </c>
      <c r="C622" t="s">
        <v>882</v>
      </c>
      <c r="D622" t="s">
        <v>25</v>
      </c>
      <c r="E622" t="s">
        <v>886</v>
      </c>
      <c r="F622" t="s">
        <v>545</v>
      </c>
      <c r="G622" t="s">
        <v>292</v>
      </c>
      <c r="H622" t="s">
        <v>291</v>
      </c>
      <c r="I622" t="s">
        <v>820</v>
      </c>
      <c r="J622">
        <v>2010</v>
      </c>
      <c r="K622" t="b">
        <v>0</v>
      </c>
      <c r="X622">
        <v>41.43</v>
      </c>
      <c r="AD622">
        <v>41</v>
      </c>
      <c r="AG622" t="s">
        <v>884</v>
      </c>
      <c r="AH622" t="s">
        <v>885</v>
      </c>
    </row>
    <row r="623" spans="1:34" x14ac:dyDescent="0.35">
      <c r="A623" t="s">
        <v>880</v>
      </c>
      <c r="B623" t="s">
        <v>881</v>
      </c>
      <c r="C623" t="s">
        <v>882</v>
      </c>
      <c r="D623" t="s">
        <v>4</v>
      </c>
      <c r="E623" t="s">
        <v>883</v>
      </c>
      <c r="F623" t="s">
        <v>545</v>
      </c>
      <c r="G623" t="s">
        <v>473</v>
      </c>
      <c r="H623" t="s">
        <v>472</v>
      </c>
      <c r="I623" t="s">
        <v>820</v>
      </c>
      <c r="J623">
        <v>2010</v>
      </c>
      <c r="K623" t="b">
        <v>0</v>
      </c>
      <c r="X623">
        <v>41.17</v>
      </c>
      <c r="AD623">
        <v>41</v>
      </c>
      <c r="AG623" t="s">
        <v>884</v>
      </c>
      <c r="AH623" t="s">
        <v>885</v>
      </c>
    </row>
    <row r="624" spans="1:34" x14ac:dyDescent="0.35">
      <c r="A624" t="s">
        <v>880</v>
      </c>
      <c r="B624" t="s">
        <v>881</v>
      </c>
      <c r="C624" t="s">
        <v>882</v>
      </c>
      <c r="D624" t="s">
        <v>1</v>
      </c>
      <c r="E624" t="s">
        <v>889</v>
      </c>
      <c r="F624" t="s">
        <v>545</v>
      </c>
      <c r="G624" t="s">
        <v>310</v>
      </c>
      <c r="H624" t="s">
        <v>309</v>
      </c>
      <c r="I624" t="s">
        <v>820</v>
      </c>
      <c r="J624">
        <v>2010</v>
      </c>
      <c r="K624" t="b">
        <v>0</v>
      </c>
      <c r="X624">
        <v>41.54</v>
      </c>
      <c r="AD624">
        <v>42</v>
      </c>
      <c r="AG624" t="s">
        <v>884</v>
      </c>
      <c r="AH624" t="s">
        <v>885</v>
      </c>
    </row>
    <row r="625" spans="1:34" x14ac:dyDescent="0.35">
      <c r="A625" t="s">
        <v>880</v>
      </c>
      <c r="B625" t="s">
        <v>881</v>
      </c>
      <c r="C625" t="s">
        <v>882</v>
      </c>
      <c r="D625" t="s">
        <v>25</v>
      </c>
      <c r="E625" t="s">
        <v>886</v>
      </c>
      <c r="F625" t="s">
        <v>545</v>
      </c>
      <c r="G625" t="s">
        <v>413</v>
      </c>
      <c r="H625" t="s">
        <v>412</v>
      </c>
      <c r="I625" t="s">
        <v>820</v>
      </c>
      <c r="J625">
        <v>2010</v>
      </c>
      <c r="K625" t="b">
        <v>0</v>
      </c>
      <c r="X625">
        <v>41.66</v>
      </c>
      <c r="AD625">
        <v>42</v>
      </c>
      <c r="AG625" t="s">
        <v>884</v>
      </c>
      <c r="AH625" t="s">
        <v>885</v>
      </c>
    </row>
    <row r="626" spans="1:34" x14ac:dyDescent="0.35">
      <c r="A626" t="s">
        <v>880</v>
      </c>
      <c r="B626" t="s">
        <v>881</v>
      </c>
      <c r="C626" t="s">
        <v>882</v>
      </c>
      <c r="D626" t="s">
        <v>25</v>
      </c>
      <c r="E626" t="s">
        <v>886</v>
      </c>
      <c r="F626" t="s">
        <v>545</v>
      </c>
      <c r="G626" t="s">
        <v>150</v>
      </c>
      <c r="H626" t="s">
        <v>149</v>
      </c>
      <c r="I626" t="s">
        <v>820</v>
      </c>
      <c r="J626">
        <v>2010</v>
      </c>
      <c r="K626" t="b">
        <v>0</v>
      </c>
      <c r="X626">
        <v>42.85</v>
      </c>
      <c r="AD626">
        <v>43</v>
      </c>
      <c r="AG626" t="s">
        <v>884</v>
      </c>
      <c r="AH626" t="s">
        <v>885</v>
      </c>
    </row>
    <row r="627" spans="1:34" x14ac:dyDescent="0.35">
      <c r="A627" t="s">
        <v>880</v>
      </c>
      <c r="B627" t="s">
        <v>881</v>
      </c>
      <c r="C627" t="s">
        <v>882</v>
      </c>
      <c r="D627" t="s">
        <v>0</v>
      </c>
      <c r="E627" t="s">
        <v>887</v>
      </c>
      <c r="F627" t="s">
        <v>545</v>
      </c>
      <c r="G627" t="s">
        <v>401</v>
      </c>
      <c r="H627" t="s">
        <v>400</v>
      </c>
      <c r="I627" t="s">
        <v>820</v>
      </c>
      <c r="J627">
        <v>2010</v>
      </c>
      <c r="K627" t="b">
        <v>0</v>
      </c>
      <c r="X627">
        <v>42.9</v>
      </c>
      <c r="AD627">
        <v>43</v>
      </c>
      <c r="AG627" t="s">
        <v>884</v>
      </c>
      <c r="AH627" t="s">
        <v>885</v>
      </c>
    </row>
    <row r="628" spans="1:34" x14ac:dyDescent="0.35">
      <c r="A628" t="s">
        <v>880</v>
      </c>
      <c r="B628" t="s">
        <v>881</v>
      </c>
      <c r="C628" t="s">
        <v>882</v>
      </c>
      <c r="D628" t="s">
        <v>25</v>
      </c>
      <c r="E628" t="s">
        <v>886</v>
      </c>
      <c r="F628" t="s">
        <v>545</v>
      </c>
      <c r="G628" t="s">
        <v>500</v>
      </c>
      <c r="H628" t="s">
        <v>499</v>
      </c>
      <c r="I628" t="s">
        <v>820</v>
      </c>
      <c r="J628">
        <v>2010</v>
      </c>
      <c r="K628" t="b">
        <v>0</v>
      </c>
      <c r="X628">
        <v>43.57</v>
      </c>
      <c r="AD628">
        <v>44</v>
      </c>
      <c r="AG628" t="s">
        <v>884</v>
      </c>
      <c r="AH628" t="s">
        <v>885</v>
      </c>
    </row>
    <row r="629" spans="1:34" x14ac:dyDescent="0.35">
      <c r="A629" t="s">
        <v>880</v>
      </c>
      <c r="B629" t="s">
        <v>881</v>
      </c>
      <c r="C629" t="s">
        <v>882</v>
      </c>
      <c r="D629" t="s">
        <v>0</v>
      </c>
      <c r="E629" t="s">
        <v>887</v>
      </c>
      <c r="F629" t="s">
        <v>545</v>
      </c>
      <c r="G629" t="s">
        <v>337</v>
      </c>
      <c r="H629" t="s">
        <v>336</v>
      </c>
      <c r="I629" t="s">
        <v>820</v>
      </c>
      <c r="J629">
        <v>2010</v>
      </c>
      <c r="K629" t="b">
        <v>0</v>
      </c>
      <c r="X629">
        <v>44.12</v>
      </c>
      <c r="AD629">
        <v>44</v>
      </c>
      <c r="AG629" t="s">
        <v>884</v>
      </c>
      <c r="AH629" t="s">
        <v>885</v>
      </c>
    </row>
    <row r="630" spans="1:34" x14ac:dyDescent="0.35">
      <c r="A630" t="s">
        <v>880</v>
      </c>
      <c r="B630" t="s">
        <v>881</v>
      </c>
      <c r="C630" t="s">
        <v>882</v>
      </c>
      <c r="D630" t="s">
        <v>43</v>
      </c>
      <c r="E630" t="s">
        <v>890</v>
      </c>
      <c r="F630" t="s">
        <v>545</v>
      </c>
      <c r="G630" t="s">
        <v>322</v>
      </c>
      <c r="H630" t="s">
        <v>321</v>
      </c>
      <c r="I630" t="s">
        <v>820</v>
      </c>
      <c r="J630">
        <v>2010</v>
      </c>
      <c r="K630" t="b">
        <v>0</v>
      </c>
      <c r="X630">
        <v>44.54</v>
      </c>
      <c r="AD630">
        <v>45</v>
      </c>
      <c r="AG630" t="s">
        <v>884</v>
      </c>
      <c r="AH630" t="s">
        <v>885</v>
      </c>
    </row>
    <row r="631" spans="1:34" x14ac:dyDescent="0.35">
      <c r="A631" t="s">
        <v>880</v>
      </c>
      <c r="B631" t="s">
        <v>881</v>
      </c>
      <c r="C631" t="s">
        <v>882</v>
      </c>
      <c r="D631" t="s">
        <v>43</v>
      </c>
      <c r="E631" t="s">
        <v>890</v>
      </c>
      <c r="F631" t="s">
        <v>545</v>
      </c>
      <c r="G631" t="s">
        <v>452</v>
      </c>
      <c r="H631" t="s">
        <v>451</v>
      </c>
      <c r="I631" t="s">
        <v>820</v>
      </c>
      <c r="J631">
        <v>2010</v>
      </c>
      <c r="K631" t="b">
        <v>0</v>
      </c>
      <c r="X631">
        <v>45.04</v>
      </c>
      <c r="AD631">
        <v>45</v>
      </c>
      <c r="AG631" t="s">
        <v>884</v>
      </c>
      <c r="AH631" t="s">
        <v>885</v>
      </c>
    </row>
    <row r="632" spans="1:34" x14ac:dyDescent="0.35">
      <c r="A632" t="s">
        <v>880</v>
      </c>
      <c r="B632" t="s">
        <v>881</v>
      </c>
      <c r="C632" t="s">
        <v>882</v>
      </c>
      <c r="D632" t="s">
        <v>25</v>
      </c>
      <c r="E632" t="s">
        <v>886</v>
      </c>
      <c r="F632" t="s">
        <v>545</v>
      </c>
      <c r="G632" t="s">
        <v>407</v>
      </c>
      <c r="H632" t="s">
        <v>406</v>
      </c>
      <c r="I632" t="s">
        <v>820</v>
      </c>
      <c r="J632">
        <v>2010</v>
      </c>
      <c r="K632" t="b">
        <v>0</v>
      </c>
      <c r="X632">
        <v>45.31</v>
      </c>
      <c r="AD632">
        <v>45</v>
      </c>
      <c r="AG632" t="s">
        <v>884</v>
      </c>
      <c r="AH632" t="s">
        <v>885</v>
      </c>
    </row>
    <row r="633" spans="1:34" x14ac:dyDescent="0.35">
      <c r="A633" t="s">
        <v>880</v>
      </c>
      <c r="B633" t="s">
        <v>881</v>
      </c>
      <c r="C633" t="s">
        <v>882</v>
      </c>
      <c r="D633" t="s">
        <v>0</v>
      </c>
      <c r="E633" t="s">
        <v>887</v>
      </c>
      <c r="F633" t="s">
        <v>545</v>
      </c>
      <c r="G633" t="s">
        <v>497</v>
      </c>
      <c r="H633" t="s">
        <v>496</v>
      </c>
      <c r="I633" t="s">
        <v>820</v>
      </c>
      <c r="J633">
        <v>2010</v>
      </c>
      <c r="K633" t="b">
        <v>0</v>
      </c>
      <c r="X633">
        <v>44.68</v>
      </c>
      <c r="AD633">
        <v>45</v>
      </c>
      <c r="AG633" t="s">
        <v>884</v>
      </c>
      <c r="AH633" t="s">
        <v>885</v>
      </c>
    </row>
    <row r="634" spans="1:34" x14ac:dyDescent="0.35">
      <c r="A634" t="s">
        <v>880</v>
      </c>
      <c r="B634" t="s">
        <v>881</v>
      </c>
      <c r="C634" t="s">
        <v>882</v>
      </c>
      <c r="D634" t="s">
        <v>25</v>
      </c>
      <c r="E634" t="s">
        <v>886</v>
      </c>
      <c r="F634" t="s">
        <v>545</v>
      </c>
      <c r="G634" t="s">
        <v>476</v>
      </c>
      <c r="H634" t="s">
        <v>475</v>
      </c>
      <c r="I634" t="s">
        <v>820</v>
      </c>
      <c r="J634">
        <v>2010</v>
      </c>
      <c r="K634" t="b">
        <v>0</v>
      </c>
      <c r="X634">
        <v>45.06</v>
      </c>
      <c r="AD634">
        <v>45</v>
      </c>
      <c r="AG634" t="s">
        <v>884</v>
      </c>
      <c r="AH634" t="s">
        <v>885</v>
      </c>
    </row>
    <row r="635" spans="1:34" x14ac:dyDescent="0.35">
      <c r="A635" t="s">
        <v>880</v>
      </c>
      <c r="B635" t="s">
        <v>881</v>
      </c>
      <c r="C635" t="s">
        <v>882</v>
      </c>
      <c r="D635" t="s">
        <v>25</v>
      </c>
      <c r="E635" t="s">
        <v>886</v>
      </c>
      <c r="F635" t="s">
        <v>545</v>
      </c>
      <c r="G635" t="s">
        <v>89</v>
      </c>
      <c r="H635" t="s">
        <v>88</v>
      </c>
      <c r="I635" t="s">
        <v>820</v>
      </c>
      <c r="J635">
        <v>2010</v>
      </c>
      <c r="K635" t="b">
        <v>0</v>
      </c>
      <c r="X635">
        <v>45.69</v>
      </c>
      <c r="AD635">
        <v>46</v>
      </c>
      <c r="AG635" t="s">
        <v>884</v>
      </c>
      <c r="AH635" t="s">
        <v>885</v>
      </c>
    </row>
    <row r="636" spans="1:34" x14ac:dyDescent="0.35">
      <c r="A636" t="s">
        <v>880</v>
      </c>
      <c r="B636" t="s">
        <v>881</v>
      </c>
      <c r="C636" t="s">
        <v>882</v>
      </c>
      <c r="D636" t="s">
        <v>43</v>
      </c>
      <c r="E636" t="s">
        <v>890</v>
      </c>
      <c r="F636" t="s">
        <v>545</v>
      </c>
      <c r="G636" t="s">
        <v>53</v>
      </c>
      <c r="H636" t="s">
        <v>52</v>
      </c>
      <c r="I636" t="s">
        <v>820</v>
      </c>
      <c r="J636">
        <v>2010</v>
      </c>
      <c r="K636" t="b">
        <v>0</v>
      </c>
      <c r="X636">
        <v>45.96</v>
      </c>
      <c r="AD636">
        <v>46</v>
      </c>
      <c r="AG636" t="s">
        <v>884</v>
      </c>
      <c r="AH636" t="s">
        <v>885</v>
      </c>
    </row>
    <row r="637" spans="1:34" x14ac:dyDescent="0.35">
      <c r="A637" t="s">
        <v>880</v>
      </c>
      <c r="B637" t="s">
        <v>881</v>
      </c>
      <c r="C637" t="s">
        <v>882</v>
      </c>
      <c r="D637" t="s">
        <v>4</v>
      </c>
      <c r="E637" t="s">
        <v>883</v>
      </c>
      <c r="F637" t="s">
        <v>545</v>
      </c>
      <c r="G637" t="s">
        <v>325</v>
      </c>
      <c r="H637" t="s">
        <v>324</v>
      </c>
      <c r="I637" t="s">
        <v>820</v>
      </c>
      <c r="J637">
        <v>2010</v>
      </c>
      <c r="K637" t="b">
        <v>0</v>
      </c>
      <c r="X637">
        <v>47.02</v>
      </c>
      <c r="AD637">
        <v>47</v>
      </c>
      <c r="AG637" t="s">
        <v>884</v>
      </c>
      <c r="AH637" t="s">
        <v>885</v>
      </c>
    </row>
    <row r="638" spans="1:34" x14ac:dyDescent="0.35">
      <c r="A638" t="s">
        <v>880</v>
      </c>
      <c r="B638" t="s">
        <v>881</v>
      </c>
      <c r="C638" t="s">
        <v>882</v>
      </c>
      <c r="D638" t="s">
        <v>25</v>
      </c>
      <c r="E638" t="s">
        <v>886</v>
      </c>
      <c r="F638" t="s">
        <v>545</v>
      </c>
      <c r="G638" t="s">
        <v>334</v>
      </c>
      <c r="H638" t="s">
        <v>333</v>
      </c>
      <c r="I638" t="s">
        <v>820</v>
      </c>
      <c r="J638">
        <v>2010</v>
      </c>
      <c r="K638" t="b">
        <v>0</v>
      </c>
      <c r="X638">
        <v>46.95</v>
      </c>
      <c r="AD638">
        <v>47</v>
      </c>
      <c r="AG638" t="s">
        <v>884</v>
      </c>
      <c r="AH638" t="s">
        <v>885</v>
      </c>
    </row>
    <row r="639" spans="1:34" x14ac:dyDescent="0.35">
      <c r="A639" t="s">
        <v>880</v>
      </c>
      <c r="B639" t="s">
        <v>881</v>
      </c>
      <c r="C639" t="s">
        <v>882</v>
      </c>
      <c r="D639" t="s">
        <v>0</v>
      </c>
      <c r="E639" t="s">
        <v>887</v>
      </c>
      <c r="F639" t="s">
        <v>545</v>
      </c>
      <c r="G639" t="s">
        <v>377</v>
      </c>
      <c r="H639" t="s">
        <v>376</v>
      </c>
      <c r="I639" t="s">
        <v>820</v>
      </c>
      <c r="J639">
        <v>2010</v>
      </c>
      <c r="K639" t="b">
        <v>0</v>
      </c>
      <c r="X639">
        <v>46.93</v>
      </c>
      <c r="AD639">
        <v>47</v>
      </c>
      <c r="AG639" t="s">
        <v>884</v>
      </c>
      <c r="AH639" t="s">
        <v>885</v>
      </c>
    </row>
    <row r="640" spans="1:34" x14ac:dyDescent="0.35">
      <c r="A640" t="s">
        <v>880</v>
      </c>
      <c r="B640" t="s">
        <v>881</v>
      </c>
      <c r="C640" t="s">
        <v>882</v>
      </c>
      <c r="D640" t="s">
        <v>0</v>
      </c>
      <c r="E640" t="s">
        <v>887</v>
      </c>
      <c r="F640" t="s">
        <v>545</v>
      </c>
      <c r="G640" t="s">
        <v>527</v>
      </c>
      <c r="H640" t="s">
        <v>526</v>
      </c>
      <c r="I640" t="s">
        <v>820</v>
      </c>
      <c r="J640">
        <v>2010</v>
      </c>
      <c r="K640" t="b">
        <v>0</v>
      </c>
      <c r="X640">
        <v>47.41</v>
      </c>
      <c r="AD640">
        <v>47</v>
      </c>
      <c r="AG640" t="s">
        <v>884</v>
      </c>
      <c r="AH640" t="s">
        <v>885</v>
      </c>
    </row>
    <row r="641" spans="1:34" x14ac:dyDescent="0.35">
      <c r="A641" t="s">
        <v>880</v>
      </c>
      <c r="B641" t="s">
        <v>881</v>
      </c>
      <c r="C641" t="s">
        <v>882</v>
      </c>
      <c r="D641" t="s">
        <v>25</v>
      </c>
      <c r="E641" t="s">
        <v>886</v>
      </c>
      <c r="F641" t="s">
        <v>545</v>
      </c>
      <c r="G641" t="s">
        <v>479</v>
      </c>
      <c r="H641" t="s">
        <v>478</v>
      </c>
      <c r="I641" t="s">
        <v>820</v>
      </c>
      <c r="J641">
        <v>2010</v>
      </c>
      <c r="K641" t="b">
        <v>0</v>
      </c>
      <c r="X641">
        <v>46.89</v>
      </c>
      <c r="AD641">
        <v>47</v>
      </c>
      <c r="AG641" t="s">
        <v>884</v>
      </c>
      <c r="AH641" t="s">
        <v>885</v>
      </c>
    </row>
    <row r="642" spans="1:34" x14ac:dyDescent="0.35">
      <c r="A642" t="s">
        <v>880</v>
      </c>
      <c r="B642" t="s">
        <v>881</v>
      </c>
      <c r="C642" t="s">
        <v>882</v>
      </c>
      <c r="D642" t="s">
        <v>43</v>
      </c>
      <c r="E642" t="s">
        <v>890</v>
      </c>
      <c r="F642" t="s">
        <v>545</v>
      </c>
      <c r="G642" t="s">
        <v>45</v>
      </c>
      <c r="H642" t="s">
        <v>44</v>
      </c>
      <c r="I642" t="s">
        <v>820</v>
      </c>
      <c r="J642">
        <v>2010</v>
      </c>
      <c r="K642" t="b">
        <v>0</v>
      </c>
      <c r="X642">
        <v>48.49</v>
      </c>
      <c r="AD642">
        <v>48</v>
      </c>
      <c r="AG642" t="s">
        <v>884</v>
      </c>
      <c r="AH642" t="s">
        <v>885</v>
      </c>
    </row>
    <row r="643" spans="1:34" x14ac:dyDescent="0.35">
      <c r="A643" t="s">
        <v>880</v>
      </c>
      <c r="B643" t="s">
        <v>881</v>
      </c>
      <c r="C643" t="s">
        <v>882</v>
      </c>
      <c r="D643" t="s">
        <v>43</v>
      </c>
      <c r="E643" t="s">
        <v>890</v>
      </c>
      <c r="F643" t="s">
        <v>545</v>
      </c>
      <c r="G643" t="s">
        <v>319</v>
      </c>
      <c r="H643" t="s">
        <v>318</v>
      </c>
      <c r="I643" t="s">
        <v>820</v>
      </c>
      <c r="J643">
        <v>2010</v>
      </c>
      <c r="K643" t="b">
        <v>0</v>
      </c>
      <c r="X643">
        <v>47.66</v>
      </c>
      <c r="AD643">
        <v>48</v>
      </c>
      <c r="AG643" t="s">
        <v>884</v>
      </c>
      <c r="AH643" t="s">
        <v>885</v>
      </c>
    </row>
    <row r="644" spans="1:34" x14ac:dyDescent="0.35">
      <c r="A644" t="s">
        <v>880</v>
      </c>
      <c r="B644" t="s">
        <v>881</v>
      </c>
      <c r="C644" t="s">
        <v>882</v>
      </c>
      <c r="D644" t="s">
        <v>0</v>
      </c>
      <c r="E644" t="s">
        <v>887</v>
      </c>
      <c r="F644" t="s">
        <v>545</v>
      </c>
      <c r="G644" t="s">
        <v>470</v>
      </c>
      <c r="H644" t="s">
        <v>469</v>
      </c>
      <c r="I644" t="s">
        <v>820</v>
      </c>
      <c r="J644">
        <v>2010</v>
      </c>
      <c r="K644" t="b">
        <v>0</v>
      </c>
      <c r="X644">
        <v>47.58</v>
      </c>
      <c r="AD644">
        <v>48</v>
      </c>
      <c r="AG644" t="s">
        <v>884</v>
      </c>
      <c r="AH644" t="s">
        <v>885</v>
      </c>
    </row>
    <row r="645" spans="1:34" x14ac:dyDescent="0.35">
      <c r="A645" t="s">
        <v>880</v>
      </c>
      <c r="B645" t="s">
        <v>881</v>
      </c>
      <c r="C645" t="s">
        <v>882</v>
      </c>
      <c r="D645" t="s">
        <v>43</v>
      </c>
      <c r="E645" t="s">
        <v>890</v>
      </c>
      <c r="F645" t="s">
        <v>545</v>
      </c>
      <c r="G645" t="s">
        <v>138</v>
      </c>
      <c r="H645" t="s">
        <v>137</v>
      </c>
      <c r="I645" t="s">
        <v>820</v>
      </c>
      <c r="J645">
        <v>2010</v>
      </c>
      <c r="K645" t="b">
        <v>0</v>
      </c>
      <c r="X645">
        <v>49.27</v>
      </c>
      <c r="AD645">
        <v>49</v>
      </c>
      <c r="AG645" t="s">
        <v>884</v>
      </c>
      <c r="AH645" t="s">
        <v>885</v>
      </c>
    </row>
    <row r="646" spans="1:34" x14ac:dyDescent="0.35">
      <c r="A646" t="s">
        <v>880</v>
      </c>
      <c r="B646" t="s">
        <v>881</v>
      </c>
      <c r="C646" t="s">
        <v>882</v>
      </c>
      <c r="D646" t="s">
        <v>0</v>
      </c>
      <c r="E646" t="s">
        <v>887</v>
      </c>
      <c r="F646" t="s">
        <v>545</v>
      </c>
      <c r="G646" t="s">
        <v>80</v>
      </c>
      <c r="H646" t="s">
        <v>79</v>
      </c>
      <c r="I646" t="s">
        <v>820</v>
      </c>
      <c r="J646">
        <v>2010</v>
      </c>
      <c r="K646" t="b">
        <v>0</v>
      </c>
      <c r="X646">
        <v>49.34</v>
      </c>
      <c r="AD646">
        <v>49</v>
      </c>
      <c r="AG646" t="s">
        <v>884</v>
      </c>
      <c r="AH646" t="s">
        <v>885</v>
      </c>
    </row>
    <row r="647" spans="1:34" x14ac:dyDescent="0.35">
      <c r="A647" t="s">
        <v>880</v>
      </c>
      <c r="B647" t="s">
        <v>881</v>
      </c>
      <c r="C647" t="s">
        <v>882</v>
      </c>
      <c r="D647" t="s">
        <v>0</v>
      </c>
      <c r="E647" t="s">
        <v>887</v>
      </c>
      <c r="F647" t="s">
        <v>545</v>
      </c>
      <c r="G647" t="s">
        <v>383</v>
      </c>
      <c r="H647" t="s">
        <v>382</v>
      </c>
      <c r="I647" t="s">
        <v>820</v>
      </c>
      <c r="J647">
        <v>2010</v>
      </c>
      <c r="K647" t="b">
        <v>0</v>
      </c>
      <c r="X647">
        <v>50.18</v>
      </c>
      <c r="AD647">
        <v>50</v>
      </c>
      <c r="AG647" t="s">
        <v>884</v>
      </c>
      <c r="AH647" t="s">
        <v>885</v>
      </c>
    </row>
    <row r="648" spans="1:34" x14ac:dyDescent="0.35">
      <c r="A648" t="s">
        <v>880</v>
      </c>
      <c r="B648" t="s">
        <v>881</v>
      </c>
      <c r="C648" t="s">
        <v>882</v>
      </c>
      <c r="D648" t="s">
        <v>4</v>
      </c>
      <c r="E648" t="s">
        <v>883</v>
      </c>
      <c r="F648" t="s">
        <v>545</v>
      </c>
      <c r="G648" t="s">
        <v>512</v>
      </c>
      <c r="H648" t="s">
        <v>511</v>
      </c>
      <c r="I648" t="s">
        <v>820</v>
      </c>
      <c r="J648">
        <v>2010</v>
      </c>
      <c r="K648" t="b">
        <v>0</v>
      </c>
      <c r="X648">
        <v>50.29</v>
      </c>
      <c r="AD648">
        <v>50</v>
      </c>
      <c r="AG648" t="s">
        <v>884</v>
      </c>
      <c r="AH648" t="s">
        <v>885</v>
      </c>
    </row>
    <row r="649" spans="1:34" x14ac:dyDescent="0.35">
      <c r="A649" t="s">
        <v>880</v>
      </c>
      <c r="B649" t="s">
        <v>881</v>
      </c>
      <c r="C649" t="s">
        <v>882</v>
      </c>
      <c r="D649" t="s">
        <v>0</v>
      </c>
      <c r="E649" t="s">
        <v>887</v>
      </c>
      <c r="F649" t="s">
        <v>545</v>
      </c>
      <c r="G649" t="s">
        <v>110</v>
      </c>
      <c r="H649" t="s">
        <v>109</v>
      </c>
      <c r="I649" t="s">
        <v>820</v>
      </c>
      <c r="J649">
        <v>2010</v>
      </c>
      <c r="K649" t="b">
        <v>0</v>
      </c>
      <c r="X649">
        <v>49.55</v>
      </c>
      <c r="AD649">
        <v>50</v>
      </c>
      <c r="AG649" t="s">
        <v>884</v>
      </c>
      <c r="AH649" t="s">
        <v>885</v>
      </c>
    </row>
    <row r="650" spans="1:34" x14ac:dyDescent="0.35">
      <c r="A650" t="s">
        <v>880</v>
      </c>
      <c r="B650" t="s">
        <v>881</v>
      </c>
      <c r="C650" t="s">
        <v>882</v>
      </c>
      <c r="D650" t="s">
        <v>25</v>
      </c>
      <c r="E650" t="s">
        <v>886</v>
      </c>
      <c r="F650" t="s">
        <v>545</v>
      </c>
      <c r="G650" t="s">
        <v>234</v>
      </c>
      <c r="H650" t="s">
        <v>233</v>
      </c>
      <c r="I650" t="s">
        <v>820</v>
      </c>
      <c r="J650">
        <v>2010</v>
      </c>
      <c r="K650" t="b">
        <v>0</v>
      </c>
      <c r="X650">
        <v>50.65</v>
      </c>
      <c r="AD650">
        <v>51</v>
      </c>
      <c r="AG650" t="s">
        <v>884</v>
      </c>
      <c r="AH650" t="s">
        <v>885</v>
      </c>
    </row>
    <row r="651" spans="1:34" x14ac:dyDescent="0.35">
      <c r="A651" t="s">
        <v>880</v>
      </c>
      <c r="B651" t="s">
        <v>881</v>
      </c>
      <c r="C651" t="s">
        <v>882</v>
      </c>
      <c r="D651" t="s">
        <v>25</v>
      </c>
      <c r="E651" t="s">
        <v>886</v>
      </c>
      <c r="F651" t="s">
        <v>545</v>
      </c>
      <c r="G651" t="s">
        <v>147</v>
      </c>
      <c r="H651" t="s">
        <v>146</v>
      </c>
      <c r="I651" t="s">
        <v>820</v>
      </c>
      <c r="J651">
        <v>2010</v>
      </c>
      <c r="K651" t="b">
        <v>0</v>
      </c>
      <c r="X651">
        <v>52.11</v>
      </c>
      <c r="AD651">
        <v>52</v>
      </c>
      <c r="AG651" t="s">
        <v>884</v>
      </c>
      <c r="AH651" t="s">
        <v>885</v>
      </c>
    </row>
    <row r="652" spans="1:34" x14ac:dyDescent="0.35">
      <c r="A652" t="s">
        <v>880</v>
      </c>
      <c r="B652" t="s">
        <v>881</v>
      </c>
      <c r="C652" t="s">
        <v>882</v>
      </c>
      <c r="D652" t="s">
        <v>0</v>
      </c>
      <c r="E652" t="s">
        <v>887</v>
      </c>
      <c r="F652" t="s">
        <v>545</v>
      </c>
      <c r="G652" t="s">
        <v>389</v>
      </c>
      <c r="H652" t="s">
        <v>388</v>
      </c>
      <c r="I652" t="s">
        <v>820</v>
      </c>
      <c r="J652">
        <v>2010</v>
      </c>
      <c r="K652" t="b">
        <v>0</v>
      </c>
      <c r="X652">
        <v>51.79</v>
      </c>
      <c r="AD652">
        <v>52</v>
      </c>
      <c r="AG652" t="s">
        <v>884</v>
      </c>
      <c r="AH652" t="s">
        <v>885</v>
      </c>
    </row>
    <row r="653" spans="1:34" x14ac:dyDescent="0.35">
      <c r="A653" t="s">
        <v>880</v>
      </c>
      <c r="B653" t="s">
        <v>881</v>
      </c>
      <c r="C653" t="s">
        <v>882</v>
      </c>
      <c r="D653" t="s">
        <v>25</v>
      </c>
      <c r="E653" t="s">
        <v>886</v>
      </c>
      <c r="F653" t="s">
        <v>545</v>
      </c>
      <c r="G653" t="s">
        <v>48</v>
      </c>
      <c r="H653" t="s">
        <v>47</v>
      </c>
      <c r="I653" t="s">
        <v>820</v>
      </c>
      <c r="J653">
        <v>2010</v>
      </c>
      <c r="K653" t="b">
        <v>0</v>
      </c>
      <c r="X653">
        <v>52.08</v>
      </c>
      <c r="AD653">
        <v>52</v>
      </c>
      <c r="AG653" t="s">
        <v>884</v>
      </c>
      <c r="AH653" t="s">
        <v>885</v>
      </c>
    </row>
    <row r="654" spans="1:34" x14ac:dyDescent="0.35">
      <c r="A654" t="s">
        <v>880</v>
      </c>
      <c r="B654" t="s">
        <v>881</v>
      </c>
      <c r="C654" t="s">
        <v>882</v>
      </c>
      <c r="D654" t="s">
        <v>20</v>
      </c>
      <c r="E654" t="s">
        <v>789</v>
      </c>
      <c r="F654" t="s">
        <v>545</v>
      </c>
      <c r="G654" t="s">
        <v>225</v>
      </c>
      <c r="H654" t="s">
        <v>224</v>
      </c>
      <c r="I654" t="s">
        <v>820</v>
      </c>
      <c r="J654">
        <v>2010</v>
      </c>
      <c r="K654" t="b">
        <v>0</v>
      </c>
      <c r="X654">
        <v>53.19</v>
      </c>
      <c r="AD654">
        <v>53</v>
      </c>
      <c r="AG654" t="s">
        <v>884</v>
      </c>
      <c r="AH654" t="s">
        <v>885</v>
      </c>
    </row>
    <row r="655" spans="1:34" x14ac:dyDescent="0.35">
      <c r="A655" t="s">
        <v>880</v>
      </c>
      <c r="B655" t="s">
        <v>881</v>
      </c>
      <c r="C655" t="s">
        <v>882</v>
      </c>
      <c r="D655" t="s">
        <v>0</v>
      </c>
      <c r="E655" t="s">
        <v>887</v>
      </c>
      <c r="F655" t="s">
        <v>545</v>
      </c>
      <c r="G655" t="s">
        <v>141</v>
      </c>
      <c r="H655" t="s">
        <v>140</v>
      </c>
      <c r="I655" t="s">
        <v>820</v>
      </c>
      <c r="J655">
        <v>2010</v>
      </c>
      <c r="K655" t="b">
        <v>0</v>
      </c>
      <c r="X655">
        <v>53.31</v>
      </c>
      <c r="AD655">
        <v>53</v>
      </c>
      <c r="AG655" t="s">
        <v>884</v>
      </c>
      <c r="AH655" t="s">
        <v>885</v>
      </c>
    </row>
    <row r="656" spans="1:34" x14ac:dyDescent="0.35">
      <c r="A656" t="s">
        <v>880</v>
      </c>
      <c r="B656" t="s">
        <v>881</v>
      </c>
      <c r="C656" t="s">
        <v>882</v>
      </c>
      <c r="D656" t="s">
        <v>0</v>
      </c>
      <c r="E656" t="s">
        <v>887</v>
      </c>
      <c r="F656" t="s">
        <v>545</v>
      </c>
      <c r="G656" t="s">
        <v>183</v>
      </c>
      <c r="H656" t="s">
        <v>182</v>
      </c>
      <c r="I656" t="s">
        <v>820</v>
      </c>
      <c r="J656">
        <v>2010</v>
      </c>
      <c r="K656" t="b">
        <v>0</v>
      </c>
      <c r="X656">
        <v>54.16</v>
      </c>
      <c r="AD656">
        <v>54</v>
      </c>
      <c r="AG656" t="s">
        <v>884</v>
      </c>
      <c r="AH656" t="s">
        <v>885</v>
      </c>
    </row>
    <row r="657" spans="1:34" x14ac:dyDescent="0.35">
      <c r="A657" t="s">
        <v>880</v>
      </c>
      <c r="B657" t="s">
        <v>881</v>
      </c>
      <c r="C657" t="s">
        <v>882</v>
      </c>
      <c r="D657" t="s">
        <v>25</v>
      </c>
      <c r="E657" t="s">
        <v>886</v>
      </c>
      <c r="F657" t="s">
        <v>545</v>
      </c>
      <c r="G657" t="s">
        <v>374</v>
      </c>
      <c r="H657" t="s">
        <v>373</v>
      </c>
      <c r="I657" t="s">
        <v>820</v>
      </c>
      <c r="J657">
        <v>2010</v>
      </c>
      <c r="K657" t="b">
        <v>0</v>
      </c>
      <c r="X657">
        <v>54.11</v>
      </c>
      <c r="AD657">
        <v>54</v>
      </c>
      <c r="AG657" t="s">
        <v>884</v>
      </c>
      <c r="AH657" t="s">
        <v>885</v>
      </c>
    </row>
    <row r="658" spans="1:34" x14ac:dyDescent="0.35">
      <c r="A658" t="s">
        <v>880</v>
      </c>
      <c r="B658" t="s">
        <v>881</v>
      </c>
      <c r="C658" t="s">
        <v>882</v>
      </c>
      <c r="D658" t="s">
        <v>0</v>
      </c>
      <c r="E658" t="s">
        <v>887</v>
      </c>
      <c r="F658" t="s">
        <v>545</v>
      </c>
      <c r="G658" t="s">
        <v>171</v>
      </c>
      <c r="H658" t="s">
        <v>170</v>
      </c>
      <c r="I658" t="s">
        <v>820</v>
      </c>
      <c r="J658">
        <v>2010</v>
      </c>
      <c r="K658" t="b">
        <v>0</v>
      </c>
      <c r="X658">
        <v>54.48</v>
      </c>
      <c r="AD658">
        <v>54</v>
      </c>
      <c r="AG658" t="s">
        <v>884</v>
      </c>
      <c r="AH658" t="s">
        <v>885</v>
      </c>
    </row>
    <row r="659" spans="1:34" x14ac:dyDescent="0.35">
      <c r="A659" t="s">
        <v>880</v>
      </c>
      <c r="B659" t="s">
        <v>881</v>
      </c>
      <c r="C659" t="s">
        <v>882</v>
      </c>
      <c r="D659" t="s">
        <v>1</v>
      </c>
      <c r="E659" t="s">
        <v>889</v>
      </c>
      <c r="F659" t="s">
        <v>545</v>
      </c>
      <c r="G659" t="s">
        <v>395</v>
      </c>
      <c r="H659" t="s">
        <v>394</v>
      </c>
      <c r="I659" t="s">
        <v>820</v>
      </c>
      <c r="J659">
        <v>2010</v>
      </c>
      <c r="K659" t="b">
        <v>0</v>
      </c>
      <c r="X659">
        <v>55.06</v>
      </c>
      <c r="AD659">
        <v>55</v>
      </c>
      <c r="AG659" t="s">
        <v>884</v>
      </c>
      <c r="AH659" t="s">
        <v>885</v>
      </c>
    </row>
    <row r="660" spans="1:34" x14ac:dyDescent="0.35">
      <c r="A660" t="s">
        <v>880</v>
      </c>
      <c r="B660" t="s">
        <v>881</v>
      </c>
      <c r="C660" t="s">
        <v>882</v>
      </c>
      <c r="D660" t="s">
        <v>43</v>
      </c>
      <c r="E660" t="s">
        <v>890</v>
      </c>
      <c r="F660" t="s">
        <v>545</v>
      </c>
      <c r="G660" t="s">
        <v>56</v>
      </c>
      <c r="H660" t="s">
        <v>55</v>
      </c>
      <c r="I660" t="s">
        <v>820</v>
      </c>
      <c r="J660">
        <v>2010</v>
      </c>
      <c r="K660" t="b">
        <v>0</v>
      </c>
      <c r="X660">
        <v>54.81</v>
      </c>
      <c r="AD660">
        <v>55</v>
      </c>
      <c r="AG660" t="s">
        <v>884</v>
      </c>
      <c r="AH660" t="s">
        <v>885</v>
      </c>
    </row>
    <row r="661" spans="1:34" x14ac:dyDescent="0.35">
      <c r="A661" t="s">
        <v>880</v>
      </c>
      <c r="B661" t="s">
        <v>881</v>
      </c>
      <c r="C661" t="s">
        <v>882</v>
      </c>
      <c r="D661" t="s">
        <v>4</v>
      </c>
      <c r="E661" t="s">
        <v>883</v>
      </c>
      <c r="F661" t="s">
        <v>545</v>
      </c>
      <c r="G661" t="s">
        <v>520</v>
      </c>
      <c r="H661" t="s">
        <v>519</v>
      </c>
      <c r="I661" t="s">
        <v>820</v>
      </c>
      <c r="J661">
        <v>2010</v>
      </c>
      <c r="K661" t="b">
        <v>0</v>
      </c>
      <c r="X661">
        <v>54.89</v>
      </c>
      <c r="AD661">
        <v>55</v>
      </c>
      <c r="AG661" t="s">
        <v>884</v>
      </c>
      <c r="AH661" t="s">
        <v>885</v>
      </c>
    </row>
    <row r="662" spans="1:34" x14ac:dyDescent="0.35">
      <c r="A662" t="s">
        <v>880</v>
      </c>
      <c r="B662" t="s">
        <v>881</v>
      </c>
      <c r="C662" t="s">
        <v>882</v>
      </c>
      <c r="D662" t="s">
        <v>20</v>
      </c>
      <c r="E662" t="s">
        <v>789</v>
      </c>
      <c r="F662" t="s">
        <v>545</v>
      </c>
      <c r="G662" t="s">
        <v>440</v>
      </c>
      <c r="H662" t="s">
        <v>439</v>
      </c>
      <c r="I662" t="s">
        <v>820</v>
      </c>
      <c r="J662">
        <v>2010</v>
      </c>
      <c r="K662" t="b">
        <v>0</v>
      </c>
      <c r="X662">
        <v>55.37</v>
      </c>
      <c r="AD662">
        <v>55</v>
      </c>
      <c r="AG662" t="s">
        <v>884</v>
      </c>
      <c r="AH662" t="s">
        <v>885</v>
      </c>
    </row>
    <row r="663" spans="1:34" x14ac:dyDescent="0.35">
      <c r="A663" t="s">
        <v>880</v>
      </c>
      <c r="B663" t="s">
        <v>881</v>
      </c>
      <c r="C663" t="s">
        <v>882</v>
      </c>
      <c r="D663" t="s">
        <v>0</v>
      </c>
      <c r="E663" t="s">
        <v>887</v>
      </c>
      <c r="F663" t="s">
        <v>545</v>
      </c>
      <c r="G663" t="s">
        <v>286</v>
      </c>
      <c r="H663" t="s">
        <v>285</v>
      </c>
      <c r="I663" t="s">
        <v>820</v>
      </c>
      <c r="J663">
        <v>2010</v>
      </c>
      <c r="K663" t="b">
        <v>0</v>
      </c>
      <c r="X663">
        <v>55.63</v>
      </c>
      <c r="AD663">
        <v>56</v>
      </c>
      <c r="AG663" t="s">
        <v>884</v>
      </c>
      <c r="AH663" t="s">
        <v>885</v>
      </c>
    </row>
    <row r="664" spans="1:34" x14ac:dyDescent="0.35">
      <c r="A664" t="s">
        <v>880</v>
      </c>
      <c r="B664" t="s">
        <v>881</v>
      </c>
      <c r="C664" t="s">
        <v>882</v>
      </c>
      <c r="D664" t="s">
        <v>0</v>
      </c>
      <c r="E664" t="s">
        <v>887</v>
      </c>
      <c r="F664" t="s">
        <v>545</v>
      </c>
      <c r="G664" t="s">
        <v>210</v>
      </c>
      <c r="H664" t="s">
        <v>209</v>
      </c>
      <c r="I664" t="s">
        <v>820</v>
      </c>
      <c r="J664">
        <v>2010</v>
      </c>
      <c r="K664" t="b">
        <v>0</v>
      </c>
      <c r="X664">
        <v>56.26</v>
      </c>
      <c r="AD664">
        <v>56</v>
      </c>
      <c r="AG664" t="s">
        <v>884</v>
      </c>
      <c r="AH664" t="s">
        <v>885</v>
      </c>
    </row>
    <row r="665" spans="1:34" x14ac:dyDescent="0.35">
      <c r="A665" t="s">
        <v>880</v>
      </c>
      <c r="B665" t="s">
        <v>881</v>
      </c>
      <c r="C665" t="s">
        <v>882</v>
      </c>
      <c r="D665" t="s">
        <v>20</v>
      </c>
      <c r="E665" t="s">
        <v>789</v>
      </c>
      <c r="F665" t="s">
        <v>545</v>
      </c>
      <c r="G665" t="s">
        <v>219</v>
      </c>
      <c r="H665" t="s">
        <v>218</v>
      </c>
      <c r="I665" t="s">
        <v>820</v>
      </c>
      <c r="J665">
        <v>2010</v>
      </c>
      <c r="K665" t="b">
        <v>0</v>
      </c>
      <c r="X665">
        <v>56.59</v>
      </c>
      <c r="AD665">
        <v>57</v>
      </c>
      <c r="AG665" t="s">
        <v>884</v>
      </c>
      <c r="AH665" t="s">
        <v>885</v>
      </c>
    </row>
    <row r="666" spans="1:34" x14ac:dyDescent="0.35">
      <c r="A666" t="s">
        <v>880</v>
      </c>
      <c r="B666" t="s">
        <v>881</v>
      </c>
      <c r="C666" t="s">
        <v>882</v>
      </c>
      <c r="D666" t="s">
        <v>1</v>
      </c>
      <c r="E666" t="s">
        <v>889</v>
      </c>
      <c r="F666" t="s">
        <v>545</v>
      </c>
      <c r="G666" t="s">
        <v>199</v>
      </c>
      <c r="H666" t="s">
        <v>198</v>
      </c>
      <c r="I666" t="s">
        <v>820</v>
      </c>
      <c r="J666">
        <v>2010</v>
      </c>
      <c r="K666" t="b">
        <v>0</v>
      </c>
      <c r="X666">
        <v>57.09</v>
      </c>
      <c r="AD666">
        <v>57</v>
      </c>
      <c r="AG666" t="s">
        <v>884</v>
      </c>
      <c r="AH666" t="s">
        <v>885</v>
      </c>
    </row>
    <row r="667" spans="1:34" x14ac:dyDescent="0.35">
      <c r="A667" t="s">
        <v>880</v>
      </c>
      <c r="B667" t="s">
        <v>881</v>
      </c>
      <c r="C667" t="s">
        <v>882</v>
      </c>
      <c r="D667" t="s">
        <v>1</v>
      </c>
      <c r="E667" t="s">
        <v>889</v>
      </c>
      <c r="F667" t="s">
        <v>545</v>
      </c>
      <c r="G667" t="s">
        <v>313</v>
      </c>
      <c r="H667" t="s">
        <v>312</v>
      </c>
      <c r="I667" t="s">
        <v>820</v>
      </c>
      <c r="J667">
        <v>2010</v>
      </c>
      <c r="K667" t="b">
        <v>0</v>
      </c>
      <c r="X667">
        <v>57.09</v>
      </c>
      <c r="AD667">
        <v>57</v>
      </c>
      <c r="AG667" t="s">
        <v>884</v>
      </c>
      <c r="AH667" t="s">
        <v>885</v>
      </c>
    </row>
    <row r="668" spans="1:34" x14ac:dyDescent="0.35">
      <c r="A668" t="s">
        <v>880</v>
      </c>
      <c r="B668" t="s">
        <v>881</v>
      </c>
      <c r="C668" t="s">
        <v>882</v>
      </c>
      <c r="D668" t="s">
        <v>4</v>
      </c>
      <c r="E668" t="s">
        <v>883</v>
      </c>
      <c r="F668" t="s">
        <v>545</v>
      </c>
      <c r="G668" t="s">
        <v>117</v>
      </c>
      <c r="H668" t="s">
        <v>116</v>
      </c>
      <c r="I668" t="s">
        <v>820</v>
      </c>
      <c r="J668">
        <v>2010</v>
      </c>
      <c r="K668" t="b">
        <v>0</v>
      </c>
      <c r="X668">
        <v>57.16</v>
      </c>
      <c r="AD668">
        <v>57</v>
      </c>
      <c r="AG668" t="s">
        <v>884</v>
      </c>
      <c r="AH668" t="s">
        <v>885</v>
      </c>
    </row>
    <row r="669" spans="1:34" x14ac:dyDescent="0.35">
      <c r="A669" t="s">
        <v>880</v>
      </c>
      <c r="B669" t="s">
        <v>881</v>
      </c>
      <c r="C669" t="s">
        <v>882</v>
      </c>
      <c r="D669" t="s">
        <v>25</v>
      </c>
      <c r="E669" t="s">
        <v>886</v>
      </c>
      <c r="F669" t="s">
        <v>545</v>
      </c>
      <c r="G669" t="s">
        <v>366</v>
      </c>
      <c r="H669" t="s">
        <v>365</v>
      </c>
      <c r="I669" t="s">
        <v>820</v>
      </c>
      <c r="J669">
        <v>2010</v>
      </c>
      <c r="K669" t="b">
        <v>0</v>
      </c>
      <c r="X669">
        <v>56.99</v>
      </c>
      <c r="AD669">
        <v>57</v>
      </c>
      <c r="AG669" t="s">
        <v>884</v>
      </c>
      <c r="AH669" t="s">
        <v>885</v>
      </c>
    </row>
    <row r="670" spans="1:34" x14ac:dyDescent="0.35">
      <c r="A670" t="s">
        <v>880</v>
      </c>
      <c r="B670" t="s">
        <v>881</v>
      </c>
      <c r="C670" t="s">
        <v>882</v>
      </c>
      <c r="D670" t="s">
        <v>0</v>
      </c>
      <c r="E670" t="s">
        <v>887</v>
      </c>
      <c r="F670" t="s">
        <v>545</v>
      </c>
      <c r="G670" t="s">
        <v>39</v>
      </c>
      <c r="H670" t="s">
        <v>38</v>
      </c>
      <c r="I670" t="s">
        <v>820</v>
      </c>
      <c r="J670">
        <v>2010</v>
      </c>
      <c r="K670" t="b">
        <v>0</v>
      </c>
      <c r="X670">
        <v>57.83</v>
      </c>
      <c r="AD670">
        <v>58</v>
      </c>
      <c r="AG670" t="s">
        <v>884</v>
      </c>
      <c r="AH670" t="s">
        <v>885</v>
      </c>
    </row>
    <row r="671" spans="1:34" x14ac:dyDescent="0.35">
      <c r="A671" t="s">
        <v>880</v>
      </c>
      <c r="B671" t="s">
        <v>881</v>
      </c>
      <c r="C671" t="s">
        <v>882</v>
      </c>
      <c r="D671" t="s">
        <v>4</v>
      </c>
      <c r="E671" t="s">
        <v>883</v>
      </c>
      <c r="F671" t="s">
        <v>545</v>
      </c>
      <c r="G671" t="s">
        <v>509</v>
      </c>
      <c r="H671" t="s">
        <v>508</v>
      </c>
      <c r="I671" t="s">
        <v>820</v>
      </c>
      <c r="J671">
        <v>2010</v>
      </c>
      <c r="K671" t="b">
        <v>0</v>
      </c>
      <c r="X671">
        <v>57.56</v>
      </c>
      <c r="AD671">
        <v>58</v>
      </c>
      <c r="AG671" t="s">
        <v>884</v>
      </c>
      <c r="AH671" t="s">
        <v>885</v>
      </c>
    </row>
    <row r="672" spans="1:34" x14ac:dyDescent="0.35">
      <c r="A672" t="s">
        <v>880</v>
      </c>
      <c r="B672" t="s">
        <v>881</v>
      </c>
      <c r="C672" t="s">
        <v>882</v>
      </c>
      <c r="D672" t="s">
        <v>20</v>
      </c>
      <c r="E672" t="s">
        <v>789</v>
      </c>
      <c r="F672" t="s">
        <v>545</v>
      </c>
      <c r="G672" t="s">
        <v>348</v>
      </c>
      <c r="H672" t="s">
        <v>347</v>
      </c>
      <c r="I672" t="s">
        <v>820</v>
      </c>
      <c r="J672">
        <v>2010</v>
      </c>
      <c r="K672" t="b">
        <v>0</v>
      </c>
      <c r="X672">
        <v>58.08</v>
      </c>
      <c r="AD672">
        <v>58</v>
      </c>
      <c r="AG672" t="s">
        <v>884</v>
      </c>
      <c r="AH672" t="s">
        <v>885</v>
      </c>
    </row>
    <row r="673" spans="1:34" x14ac:dyDescent="0.35">
      <c r="A673" t="s">
        <v>880</v>
      </c>
      <c r="B673" t="s">
        <v>881</v>
      </c>
      <c r="C673" t="s">
        <v>882</v>
      </c>
      <c r="D673" t="s">
        <v>20</v>
      </c>
      <c r="E673" t="s">
        <v>789</v>
      </c>
      <c r="F673" t="s">
        <v>545</v>
      </c>
      <c r="G673" t="s">
        <v>368</v>
      </c>
      <c r="H673" t="s">
        <v>367</v>
      </c>
      <c r="I673" t="s">
        <v>820</v>
      </c>
      <c r="J673">
        <v>2010</v>
      </c>
      <c r="K673" t="b">
        <v>0</v>
      </c>
      <c r="X673">
        <v>58.04</v>
      </c>
      <c r="AD673">
        <v>58</v>
      </c>
      <c r="AG673" t="s">
        <v>884</v>
      </c>
      <c r="AH673" t="s">
        <v>885</v>
      </c>
    </row>
    <row r="674" spans="1:34" x14ac:dyDescent="0.35">
      <c r="A674" t="s">
        <v>880</v>
      </c>
      <c r="B674" t="s">
        <v>881</v>
      </c>
      <c r="C674" t="s">
        <v>882</v>
      </c>
      <c r="D674" t="s">
        <v>25</v>
      </c>
      <c r="E674" t="s">
        <v>886</v>
      </c>
      <c r="F674" t="s">
        <v>545</v>
      </c>
      <c r="G674" t="s">
        <v>431</v>
      </c>
      <c r="H674" t="s">
        <v>430</v>
      </c>
      <c r="I674" t="s">
        <v>820</v>
      </c>
      <c r="J674">
        <v>2010</v>
      </c>
      <c r="K674" t="b">
        <v>0</v>
      </c>
      <c r="X674">
        <v>57.89</v>
      </c>
      <c r="AD674">
        <v>58</v>
      </c>
      <c r="AG674" t="s">
        <v>884</v>
      </c>
      <c r="AH674" t="s">
        <v>885</v>
      </c>
    </row>
    <row r="675" spans="1:34" x14ac:dyDescent="0.35">
      <c r="A675" t="s">
        <v>880</v>
      </c>
      <c r="B675" t="s">
        <v>881</v>
      </c>
      <c r="C675" t="s">
        <v>882</v>
      </c>
      <c r="D675" t="s">
        <v>20</v>
      </c>
      <c r="E675" t="s">
        <v>789</v>
      </c>
      <c r="F675" t="s">
        <v>545</v>
      </c>
      <c r="G675" t="s">
        <v>213</v>
      </c>
      <c r="H675" t="s">
        <v>212</v>
      </c>
      <c r="I675" t="s">
        <v>820</v>
      </c>
      <c r="J675">
        <v>2010</v>
      </c>
      <c r="K675" t="b">
        <v>0</v>
      </c>
      <c r="X675">
        <v>59.33</v>
      </c>
      <c r="AD675">
        <v>59</v>
      </c>
      <c r="AG675" t="s">
        <v>884</v>
      </c>
      <c r="AH675" t="s">
        <v>885</v>
      </c>
    </row>
    <row r="676" spans="1:34" x14ac:dyDescent="0.35">
      <c r="A676" t="s">
        <v>880</v>
      </c>
      <c r="B676" t="s">
        <v>881</v>
      </c>
      <c r="C676" t="s">
        <v>882</v>
      </c>
      <c r="D676" t="s">
        <v>20</v>
      </c>
      <c r="E676" t="s">
        <v>789</v>
      </c>
      <c r="F676" t="s">
        <v>545</v>
      </c>
      <c r="G676" t="s">
        <v>22</v>
      </c>
      <c r="H676" t="s">
        <v>21</v>
      </c>
      <c r="I676" t="s">
        <v>820</v>
      </c>
      <c r="J676">
        <v>2010</v>
      </c>
      <c r="K676" t="b">
        <v>0</v>
      </c>
      <c r="X676">
        <v>59.28</v>
      </c>
      <c r="AD676">
        <v>59</v>
      </c>
      <c r="AG676" t="s">
        <v>884</v>
      </c>
      <c r="AH676" t="s">
        <v>885</v>
      </c>
    </row>
    <row r="677" spans="1:34" x14ac:dyDescent="0.35">
      <c r="A677" t="s">
        <v>880</v>
      </c>
      <c r="B677" t="s">
        <v>881</v>
      </c>
      <c r="C677" t="s">
        <v>882</v>
      </c>
      <c r="D677" t="s">
        <v>4</v>
      </c>
      <c r="E677" t="s">
        <v>883</v>
      </c>
      <c r="F677" t="s">
        <v>545</v>
      </c>
      <c r="G677" t="s">
        <v>7</v>
      </c>
      <c r="H677" t="s">
        <v>6</v>
      </c>
      <c r="I677" t="s">
        <v>820</v>
      </c>
      <c r="J677">
        <v>2010</v>
      </c>
      <c r="K677" t="b">
        <v>0</v>
      </c>
      <c r="X677">
        <v>59.4</v>
      </c>
      <c r="AD677">
        <v>59</v>
      </c>
      <c r="AG677" t="s">
        <v>884</v>
      </c>
      <c r="AH677" t="s">
        <v>885</v>
      </c>
    </row>
    <row r="678" spans="1:34" x14ac:dyDescent="0.35">
      <c r="A678" t="s">
        <v>880</v>
      </c>
      <c r="B678" t="s">
        <v>881</v>
      </c>
      <c r="C678" t="s">
        <v>882</v>
      </c>
      <c r="D678" t="s">
        <v>1</v>
      </c>
      <c r="E678" t="s">
        <v>889</v>
      </c>
      <c r="F678" t="s">
        <v>545</v>
      </c>
      <c r="G678" t="s">
        <v>298</v>
      </c>
      <c r="H678" t="s">
        <v>297</v>
      </c>
      <c r="I678" t="s">
        <v>820</v>
      </c>
      <c r="J678">
        <v>2010</v>
      </c>
      <c r="K678" t="b">
        <v>0</v>
      </c>
      <c r="X678">
        <v>59</v>
      </c>
      <c r="AD678">
        <v>59</v>
      </c>
      <c r="AG678" t="s">
        <v>884</v>
      </c>
      <c r="AH678" t="s">
        <v>885</v>
      </c>
    </row>
    <row r="679" spans="1:34" x14ac:dyDescent="0.35">
      <c r="A679" t="s">
        <v>880</v>
      </c>
      <c r="B679" t="s">
        <v>881</v>
      </c>
      <c r="C679" t="s">
        <v>882</v>
      </c>
      <c r="D679" t="s">
        <v>20</v>
      </c>
      <c r="E679" t="s">
        <v>789</v>
      </c>
      <c r="F679" t="s">
        <v>545</v>
      </c>
      <c r="G679" t="s">
        <v>529</v>
      </c>
      <c r="H679" t="s">
        <v>528</v>
      </c>
      <c r="I679" t="s">
        <v>820</v>
      </c>
      <c r="J679">
        <v>2010</v>
      </c>
      <c r="K679" t="b">
        <v>0</v>
      </c>
      <c r="X679">
        <v>59.07</v>
      </c>
      <c r="AD679">
        <v>59</v>
      </c>
      <c r="AG679" t="s">
        <v>884</v>
      </c>
      <c r="AH679" t="s">
        <v>885</v>
      </c>
    </row>
    <row r="680" spans="1:34" x14ac:dyDescent="0.35">
      <c r="A680" t="s">
        <v>880</v>
      </c>
      <c r="B680" t="s">
        <v>881</v>
      </c>
      <c r="C680" t="s">
        <v>882</v>
      </c>
      <c r="D680" t="s">
        <v>0</v>
      </c>
      <c r="E680" t="s">
        <v>887</v>
      </c>
      <c r="F680" t="s">
        <v>545</v>
      </c>
      <c r="G680" t="s">
        <v>495</v>
      </c>
      <c r="H680" t="s">
        <v>494</v>
      </c>
      <c r="I680" t="s">
        <v>820</v>
      </c>
      <c r="J680">
        <v>2010</v>
      </c>
      <c r="K680" t="b">
        <v>0</v>
      </c>
      <c r="X680">
        <v>59.2</v>
      </c>
      <c r="AD680">
        <v>59</v>
      </c>
      <c r="AG680" t="s">
        <v>884</v>
      </c>
      <c r="AH680" t="s">
        <v>885</v>
      </c>
    </row>
    <row r="681" spans="1:34" x14ac:dyDescent="0.35">
      <c r="A681" t="s">
        <v>880</v>
      </c>
      <c r="B681" t="s">
        <v>881</v>
      </c>
      <c r="C681" t="s">
        <v>882</v>
      </c>
      <c r="D681" t="s">
        <v>1</v>
      </c>
      <c r="E681" t="s">
        <v>889</v>
      </c>
      <c r="F681" t="s">
        <v>545</v>
      </c>
      <c r="G681" t="s">
        <v>58</v>
      </c>
      <c r="H681" t="s">
        <v>57</v>
      </c>
      <c r="I681" t="s">
        <v>820</v>
      </c>
      <c r="J681">
        <v>2010</v>
      </c>
      <c r="K681" t="b">
        <v>0</v>
      </c>
      <c r="X681">
        <v>59.85</v>
      </c>
      <c r="AD681">
        <v>60</v>
      </c>
      <c r="AG681" t="s">
        <v>884</v>
      </c>
      <c r="AH681" t="s">
        <v>885</v>
      </c>
    </row>
    <row r="682" spans="1:34" x14ac:dyDescent="0.35">
      <c r="A682" t="s">
        <v>880</v>
      </c>
      <c r="B682" t="s">
        <v>881</v>
      </c>
      <c r="C682" t="s">
        <v>882</v>
      </c>
      <c r="D682" t="s">
        <v>25</v>
      </c>
      <c r="E682" t="s">
        <v>886</v>
      </c>
      <c r="F682" t="s">
        <v>545</v>
      </c>
      <c r="G682" t="s">
        <v>419</v>
      </c>
      <c r="H682" t="s">
        <v>418</v>
      </c>
      <c r="I682" t="s">
        <v>820</v>
      </c>
      <c r="J682">
        <v>2010</v>
      </c>
      <c r="K682" t="b">
        <v>0</v>
      </c>
      <c r="X682">
        <v>60.46</v>
      </c>
      <c r="AD682">
        <v>60</v>
      </c>
      <c r="AG682" t="s">
        <v>884</v>
      </c>
      <c r="AH682" t="s">
        <v>885</v>
      </c>
    </row>
    <row r="683" spans="1:34" x14ac:dyDescent="0.35">
      <c r="A683" t="s">
        <v>880</v>
      </c>
      <c r="B683" t="s">
        <v>881</v>
      </c>
      <c r="C683" t="s">
        <v>882</v>
      </c>
      <c r="D683" t="s">
        <v>4</v>
      </c>
      <c r="E683" t="s">
        <v>883</v>
      </c>
      <c r="F683" t="s">
        <v>545</v>
      </c>
      <c r="G683" t="s">
        <v>99</v>
      </c>
      <c r="H683" t="s">
        <v>98</v>
      </c>
      <c r="I683" t="s">
        <v>820</v>
      </c>
      <c r="J683">
        <v>2010</v>
      </c>
      <c r="K683" t="b">
        <v>0</v>
      </c>
      <c r="X683">
        <v>60.59</v>
      </c>
      <c r="AD683">
        <v>61</v>
      </c>
      <c r="AG683" t="s">
        <v>884</v>
      </c>
      <c r="AH683" t="s">
        <v>885</v>
      </c>
    </row>
    <row r="684" spans="1:34" x14ac:dyDescent="0.35">
      <c r="A684" t="s">
        <v>880</v>
      </c>
      <c r="B684" t="s">
        <v>881</v>
      </c>
      <c r="C684" t="s">
        <v>882</v>
      </c>
      <c r="D684" t="s">
        <v>20</v>
      </c>
      <c r="E684" t="s">
        <v>789</v>
      </c>
      <c r="F684" t="s">
        <v>545</v>
      </c>
      <c r="G684" t="s">
        <v>174</v>
      </c>
      <c r="H684" t="s">
        <v>173</v>
      </c>
      <c r="I684" t="s">
        <v>820</v>
      </c>
      <c r="J684">
        <v>2010</v>
      </c>
      <c r="K684" t="b">
        <v>0</v>
      </c>
      <c r="X684">
        <v>60.93</v>
      </c>
      <c r="AD684">
        <v>61</v>
      </c>
      <c r="AG684" t="s">
        <v>884</v>
      </c>
      <c r="AH684" t="s">
        <v>885</v>
      </c>
    </row>
    <row r="685" spans="1:34" x14ac:dyDescent="0.35">
      <c r="A685" t="s">
        <v>880</v>
      </c>
      <c r="B685" t="s">
        <v>881</v>
      </c>
      <c r="C685" t="s">
        <v>882</v>
      </c>
      <c r="D685" t="s">
        <v>25</v>
      </c>
      <c r="E685" t="s">
        <v>886</v>
      </c>
      <c r="F685" t="s">
        <v>545</v>
      </c>
      <c r="G685" t="s">
        <v>243</v>
      </c>
      <c r="H685" t="s">
        <v>242</v>
      </c>
      <c r="I685" t="s">
        <v>820</v>
      </c>
      <c r="J685">
        <v>2010</v>
      </c>
      <c r="K685" t="b">
        <v>0</v>
      </c>
      <c r="X685">
        <v>62.25</v>
      </c>
      <c r="AD685">
        <v>62</v>
      </c>
      <c r="AG685" t="s">
        <v>884</v>
      </c>
      <c r="AH685" t="s">
        <v>885</v>
      </c>
    </row>
    <row r="686" spans="1:34" x14ac:dyDescent="0.35">
      <c r="A686" t="s">
        <v>880</v>
      </c>
      <c r="B686" t="s">
        <v>881</v>
      </c>
      <c r="C686" t="s">
        <v>882</v>
      </c>
      <c r="D686" t="s">
        <v>43</v>
      </c>
      <c r="E686" t="s">
        <v>890</v>
      </c>
      <c r="F686" t="s">
        <v>545</v>
      </c>
      <c r="G686" t="s">
        <v>357</v>
      </c>
      <c r="H686" t="s">
        <v>356</v>
      </c>
      <c r="I686" t="s">
        <v>820</v>
      </c>
      <c r="J686">
        <v>2010</v>
      </c>
      <c r="K686" t="b">
        <v>0</v>
      </c>
      <c r="X686">
        <v>62.39</v>
      </c>
      <c r="AD686">
        <v>62</v>
      </c>
      <c r="AG686" t="s">
        <v>884</v>
      </c>
      <c r="AH686" t="s">
        <v>885</v>
      </c>
    </row>
    <row r="687" spans="1:34" x14ac:dyDescent="0.35">
      <c r="A687" t="s">
        <v>880</v>
      </c>
      <c r="B687" t="s">
        <v>881</v>
      </c>
      <c r="C687" t="s">
        <v>882</v>
      </c>
      <c r="D687" t="s">
        <v>20</v>
      </c>
      <c r="E687" t="s">
        <v>789</v>
      </c>
      <c r="F687" t="s">
        <v>545</v>
      </c>
      <c r="G687" t="s">
        <v>386</v>
      </c>
      <c r="H687" t="s">
        <v>676</v>
      </c>
      <c r="I687" t="s">
        <v>820</v>
      </c>
      <c r="J687">
        <v>2010</v>
      </c>
      <c r="K687" t="b">
        <v>0</v>
      </c>
      <c r="X687">
        <v>62.09</v>
      </c>
      <c r="AD687">
        <v>62</v>
      </c>
      <c r="AG687" t="s">
        <v>884</v>
      </c>
      <c r="AH687" t="s">
        <v>885</v>
      </c>
    </row>
    <row r="688" spans="1:34" x14ac:dyDescent="0.35">
      <c r="A688" t="s">
        <v>880</v>
      </c>
      <c r="B688" t="s">
        <v>881</v>
      </c>
      <c r="C688" t="s">
        <v>882</v>
      </c>
      <c r="D688" t="s">
        <v>20</v>
      </c>
      <c r="E688" t="s">
        <v>789</v>
      </c>
      <c r="F688" t="s">
        <v>545</v>
      </c>
      <c r="G688" t="s">
        <v>237</v>
      </c>
      <c r="H688" t="s">
        <v>236</v>
      </c>
      <c r="I688" t="s">
        <v>820</v>
      </c>
      <c r="J688">
        <v>2010</v>
      </c>
      <c r="K688" t="b">
        <v>0</v>
      </c>
      <c r="X688">
        <v>63.47</v>
      </c>
      <c r="AD688">
        <v>63</v>
      </c>
      <c r="AG688" t="s">
        <v>884</v>
      </c>
      <c r="AH688" t="s">
        <v>885</v>
      </c>
    </row>
    <row r="689" spans="1:34" x14ac:dyDescent="0.35">
      <c r="A689" t="s">
        <v>880</v>
      </c>
      <c r="B689" t="s">
        <v>881</v>
      </c>
      <c r="C689" t="s">
        <v>882</v>
      </c>
      <c r="D689" t="s">
        <v>20</v>
      </c>
      <c r="E689" t="s">
        <v>789</v>
      </c>
      <c r="F689" t="s">
        <v>545</v>
      </c>
      <c r="G689" t="s">
        <v>91</v>
      </c>
      <c r="H689" t="s">
        <v>90</v>
      </c>
      <c r="I689" t="s">
        <v>820</v>
      </c>
      <c r="J689">
        <v>2010</v>
      </c>
      <c r="K689" t="b">
        <v>0</v>
      </c>
      <c r="X689">
        <v>62.97</v>
      </c>
      <c r="AD689">
        <v>63</v>
      </c>
      <c r="AG689" t="s">
        <v>884</v>
      </c>
      <c r="AH689" t="s">
        <v>885</v>
      </c>
    </row>
    <row r="690" spans="1:34" x14ac:dyDescent="0.35">
      <c r="A690" t="s">
        <v>880</v>
      </c>
      <c r="B690" t="s">
        <v>881</v>
      </c>
      <c r="C690" t="s">
        <v>882</v>
      </c>
      <c r="D690" t="s">
        <v>20</v>
      </c>
      <c r="E690" t="s">
        <v>789</v>
      </c>
      <c r="F690" t="s">
        <v>545</v>
      </c>
      <c r="G690" t="s">
        <v>342</v>
      </c>
      <c r="H690" t="s">
        <v>341</v>
      </c>
      <c r="I690" t="s">
        <v>820</v>
      </c>
      <c r="J690">
        <v>2010</v>
      </c>
      <c r="K690" t="b">
        <v>0</v>
      </c>
      <c r="X690">
        <v>62.92</v>
      </c>
      <c r="AD690">
        <v>63</v>
      </c>
      <c r="AG690" t="s">
        <v>884</v>
      </c>
      <c r="AH690" t="s">
        <v>885</v>
      </c>
    </row>
    <row r="691" spans="1:34" x14ac:dyDescent="0.35">
      <c r="A691" t="s">
        <v>880</v>
      </c>
      <c r="B691" t="s">
        <v>881</v>
      </c>
      <c r="C691" t="s">
        <v>882</v>
      </c>
      <c r="D691" t="s">
        <v>20</v>
      </c>
      <c r="E691" t="s">
        <v>789</v>
      </c>
      <c r="F691" t="s">
        <v>545</v>
      </c>
      <c r="G691" t="s">
        <v>185</v>
      </c>
      <c r="H691" t="s">
        <v>184</v>
      </c>
      <c r="I691" t="s">
        <v>820</v>
      </c>
      <c r="J691">
        <v>2010</v>
      </c>
      <c r="K691" t="b">
        <v>0</v>
      </c>
      <c r="X691">
        <v>62.67</v>
      </c>
      <c r="AD691">
        <v>63</v>
      </c>
      <c r="AG691" t="s">
        <v>884</v>
      </c>
      <c r="AH691" t="s">
        <v>885</v>
      </c>
    </row>
    <row r="692" spans="1:34" x14ac:dyDescent="0.35">
      <c r="A692" t="s">
        <v>880</v>
      </c>
      <c r="B692" t="s">
        <v>881</v>
      </c>
      <c r="C692" t="s">
        <v>882</v>
      </c>
      <c r="D692" t="s">
        <v>4</v>
      </c>
      <c r="E692" t="s">
        <v>883</v>
      </c>
      <c r="F692" t="s">
        <v>545</v>
      </c>
      <c r="G692" t="s">
        <v>153</v>
      </c>
      <c r="H692" t="s">
        <v>152</v>
      </c>
      <c r="I692" t="s">
        <v>820</v>
      </c>
      <c r="J692">
        <v>2010</v>
      </c>
      <c r="K692" t="b">
        <v>0</v>
      </c>
      <c r="X692">
        <v>63.43</v>
      </c>
      <c r="AD692">
        <v>63</v>
      </c>
      <c r="AG692" t="s">
        <v>884</v>
      </c>
      <c r="AH692" t="s">
        <v>885</v>
      </c>
    </row>
    <row r="693" spans="1:34" x14ac:dyDescent="0.35">
      <c r="A693" t="s">
        <v>880</v>
      </c>
      <c r="B693" t="s">
        <v>881</v>
      </c>
      <c r="C693" t="s">
        <v>882</v>
      </c>
      <c r="D693" t="s">
        <v>1</v>
      </c>
      <c r="E693" t="s">
        <v>889</v>
      </c>
      <c r="F693" t="s">
        <v>545</v>
      </c>
      <c r="G693" t="s">
        <v>380</v>
      </c>
      <c r="H693" t="s">
        <v>379</v>
      </c>
      <c r="I693" t="s">
        <v>820</v>
      </c>
      <c r="J693">
        <v>2010</v>
      </c>
      <c r="K693" t="b">
        <v>0</v>
      </c>
      <c r="X693">
        <v>63.17</v>
      </c>
      <c r="AD693">
        <v>63</v>
      </c>
      <c r="AG693" t="s">
        <v>884</v>
      </c>
      <c r="AH693" t="s">
        <v>885</v>
      </c>
    </row>
    <row r="694" spans="1:34" x14ac:dyDescent="0.35">
      <c r="A694" t="s">
        <v>880</v>
      </c>
      <c r="B694" t="s">
        <v>881</v>
      </c>
      <c r="C694" t="s">
        <v>882</v>
      </c>
      <c r="D694" t="s">
        <v>1</v>
      </c>
      <c r="E694" t="s">
        <v>889</v>
      </c>
      <c r="F694" t="s">
        <v>545</v>
      </c>
      <c r="G694" t="s">
        <v>437</v>
      </c>
      <c r="H694" t="s">
        <v>436</v>
      </c>
      <c r="I694" t="s">
        <v>820</v>
      </c>
      <c r="J694">
        <v>2010</v>
      </c>
      <c r="K694" t="b">
        <v>0</v>
      </c>
      <c r="X694">
        <v>63.07</v>
      </c>
      <c r="AD694">
        <v>63</v>
      </c>
      <c r="AG694" t="s">
        <v>884</v>
      </c>
      <c r="AH694" t="s">
        <v>885</v>
      </c>
    </row>
    <row r="695" spans="1:34" x14ac:dyDescent="0.35">
      <c r="A695" t="s">
        <v>880</v>
      </c>
      <c r="B695" t="s">
        <v>881</v>
      </c>
      <c r="C695" t="s">
        <v>882</v>
      </c>
      <c r="D695" t="s">
        <v>4</v>
      </c>
      <c r="E695" t="s">
        <v>883</v>
      </c>
      <c r="F695" t="s">
        <v>545</v>
      </c>
      <c r="G695" t="s">
        <v>458</v>
      </c>
      <c r="H695" t="s">
        <v>457</v>
      </c>
      <c r="I695" t="s">
        <v>820</v>
      </c>
      <c r="J695">
        <v>2010</v>
      </c>
      <c r="K695" t="b">
        <v>0</v>
      </c>
      <c r="X695">
        <v>62.89</v>
      </c>
      <c r="AD695">
        <v>63</v>
      </c>
      <c r="AG695" t="s">
        <v>884</v>
      </c>
      <c r="AH695" t="s">
        <v>885</v>
      </c>
    </row>
    <row r="696" spans="1:34" x14ac:dyDescent="0.35">
      <c r="A696" t="s">
        <v>880</v>
      </c>
      <c r="B696" t="s">
        <v>881</v>
      </c>
      <c r="C696" t="s">
        <v>882</v>
      </c>
      <c r="D696" t="s">
        <v>20</v>
      </c>
      <c r="E696" t="s">
        <v>789</v>
      </c>
      <c r="F696" t="s">
        <v>545</v>
      </c>
      <c r="G696" t="s">
        <v>467</v>
      </c>
      <c r="H696" t="s">
        <v>466</v>
      </c>
      <c r="I696" t="s">
        <v>820</v>
      </c>
      <c r="J696">
        <v>2010</v>
      </c>
      <c r="K696" t="b">
        <v>0</v>
      </c>
      <c r="X696">
        <v>63.04</v>
      </c>
      <c r="AD696">
        <v>63</v>
      </c>
      <c r="AG696" t="s">
        <v>884</v>
      </c>
      <c r="AH696" t="s">
        <v>885</v>
      </c>
    </row>
    <row r="697" spans="1:34" x14ac:dyDescent="0.35">
      <c r="A697" t="s">
        <v>880</v>
      </c>
      <c r="B697" t="s">
        <v>881</v>
      </c>
      <c r="C697" t="s">
        <v>882</v>
      </c>
      <c r="D697" t="s">
        <v>1</v>
      </c>
      <c r="E697" t="s">
        <v>889</v>
      </c>
      <c r="F697" t="s">
        <v>545</v>
      </c>
      <c r="G697" t="s">
        <v>37</v>
      </c>
      <c r="H697" t="s">
        <v>36</v>
      </c>
      <c r="I697" t="s">
        <v>820</v>
      </c>
      <c r="J697">
        <v>2010</v>
      </c>
      <c r="K697" t="b">
        <v>0</v>
      </c>
      <c r="X697">
        <v>64.19</v>
      </c>
      <c r="AD697">
        <v>64</v>
      </c>
      <c r="AG697" t="s">
        <v>884</v>
      </c>
      <c r="AH697" t="s">
        <v>885</v>
      </c>
    </row>
    <row r="698" spans="1:34" x14ac:dyDescent="0.35">
      <c r="A698" t="s">
        <v>880</v>
      </c>
      <c r="B698" t="s">
        <v>881</v>
      </c>
      <c r="C698" t="s">
        <v>882</v>
      </c>
      <c r="D698" t="s">
        <v>1</v>
      </c>
      <c r="E698" t="s">
        <v>889</v>
      </c>
      <c r="F698" t="s">
        <v>545</v>
      </c>
      <c r="G698" t="s">
        <v>16</v>
      </c>
      <c r="H698" t="s">
        <v>15</v>
      </c>
      <c r="I698" t="s">
        <v>820</v>
      </c>
      <c r="J698">
        <v>2010</v>
      </c>
      <c r="K698" t="b">
        <v>0</v>
      </c>
      <c r="X698">
        <v>64.290000000000006</v>
      </c>
      <c r="AD698">
        <v>64</v>
      </c>
      <c r="AG698" t="s">
        <v>884</v>
      </c>
      <c r="AH698" t="s">
        <v>885</v>
      </c>
    </row>
    <row r="699" spans="1:34" x14ac:dyDescent="0.35">
      <c r="A699" t="s">
        <v>880</v>
      </c>
      <c r="B699" t="s">
        <v>881</v>
      </c>
      <c r="C699" t="s">
        <v>882</v>
      </c>
      <c r="D699" t="s">
        <v>1</v>
      </c>
      <c r="E699" t="s">
        <v>889</v>
      </c>
      <c r="F699" t="s">
        <v>545</v>
      </c>
      <c r="G699" t="s">
        <v>34</v>
      </c>
      <c r="H699" t="s">
        <v>33</v>
      </c>
      <c r="I699" t="s">
        <v>820</v>
      </c>
      <c r="J699">
        <v>2010</v>
      </c>
      <c r="K699" t="b">
        <v>0</v>
      </c>
      <c r="X699">
        <v>63.62</v>
      </c>
      <c r="AD699">
        <v>64</v>
      </c>
      <c r="AG699" t="s">
        <v>884</v>
      </c>
      <c r="AH699" t="s">
        <v>885</v>
      </c>
    </row>
    <row r="700" spans="1:34" x14ac:dyDescent="0.35">
      <c r="A700" t="s">
        <v>880</v>
      </c>
      <c r="B700" t="s">
        <v>881</v>
      </c>
      <c r="C700" t="s">
        <v>882</v>
      </c>
      <c r="D700" t="s">
        <v>20</v>
      </c>
      <c r="E700" t="s">
        <v>789</v>
      </c>
      <c r="F700" t="s">
        <v>545</v>
      </c>
      <c r="G700" t="s">
        <v>331</v>
      </c>
      <c r="H700" t="s">
        <v>330</v>
      </c>
      <c r="I700" t="s">
        <v>820</v>
      </c>
      <c r="J700">
        <v>2010</v>
      </c>
      <c r="K700" t="b">
        <v>0</v>
      </c>
      <c r="X700">
        <v>63.6</v>
      </c>
      <c r="AD700">
        <v>64</v>
      </c>
      <c r="AG700" t="s">
        <v>884</v>
      </c>
      <c r="AH700" t="s">
        <v>885</v>
      </c>
    </row>
    <row r="701" spans="1:34" x14ac:dyDescent="0.35">
      <c r="A701" t="s">
        <v>880</v>
      </c>
      <c r="B701" t="s">
        <v>881</v>
      </c>
      <c r="C701" t="s">
        <v>882</v>
      </c>
      <c r="D701" t="s">
        <v>20</v>
      </c>
      <c r="E701" t="s">
        <v>789</v>
      </c>
      <c r="F701" t="s">
        <v>545</v>
      </c>
      <c r="G701" t="s">
        <v>228</v>
      </c>
      <c r="H701" t="s">
        <v>227</v>
      </c>
      <c r="I701" t="s">
        <v>820</v>
      </c>
      <c r="J701">
        <v>2010</v>
      </c>
      <c r="K701" t="b">
        <v>0</v>
      </c>
      <c r="X701">
        <v>64.849999999999994</v>
      </c>
      <c r="AD701">
        <v>65</v>
      </c>
      <c r="AG701" t="s">
        <v>884</v>
      </c>
      <c r="AH701" t="s">
        <v>885</v>
      </c>
    </row>
    <row r="702" spans="1:34" x14ac:dyDescent="0.35">
      <c r="A702" t="s">
        <v>880</v>
      </c>
      <c r="B702" t="s">
        <v>881</v>
      </c>
      <c r="C702" t="s">
        <v>882</v>
      </c>
      <c r="D702" t="s">
        <v>1</v>
      </c>
      <c r="E702" t="s">
        <v>889</v>
      </c>
      <c r="F702" t="s">
        <v>545</v>
      </c>
      <c r="G702" t="s">
        <v>96</v>
      </c>
      <c r="H702" t="s">
        <v>95</v>
      </c>
      <c r="I702" t="s">
        <v>820</v>
      </c>
      <c r="J702">
        <v>2010</v>
      </c>
      <c r="K702" t="b">
        <v>0</v>
      </c>
      <c r="X702">
        <v>65.349999999999994</v>
      </c>
      <c r="AD702">
        <v>65</v>
      </c>
      <c r="AG702" t="s">
        <v>884</v>
      </c>
      <c r="AH702" t="s">
        <v>885</v>
      </c>
    </row>
    <row r="703" spans="1:34" x14ac:dyDescent="0.35">
      <c r="A703" t="s">
        <v>880</v>
      </c>
      <c r="B703" t="s">
        <v>881</v>
      </c>
      <c r="C703" t="s">
        <v>882</v>
      </c>
      <c r="D703" t="s">
        <v>1</v>
      </c>
      <c r="E703" t="s">
        <v>889</v>
      </c>
      <c r="F703" t="s">
        <v>545</v>
      </c>
      <c r="G703" t="s">
        <v>125</v>
      </c>
      <c r="H703" t="s">
        <v>124</v>
      </c>
      <c r="I703" t="s">
        <v>820</v>
      </c>
      <c r="J703">
        <v>2010</v>
      </c>
      <c r="K703" t="b">
        <v>0</v>
      </c>
      <c r="X703">
        <v>66.05</v>
      </c>
      <c r="AD703">
        <v>66</v>
      </c>
      <c r="AG703" t="s">
        <v>884</v>
      </c>
      <c r="AH703" t="s">
        <v>885</v>
      </c>
    </row>
    <row r="704" spans="1:34" x14ac:dyDescent="0.35">
      <c r="A704" t="s">
        <v>880</v>
      </c>
      <c r="B704" t="s">
        <v>881</v>
      </c>
      <c r="C704" t="s">
        <v>882</v>
      </c>
      <c r="D704" t="s">
        <v>4</v>
      </c>
      <c r="E704" t="s">
        <v>883</v>
      </c>
      <c r="F704" t="s">
        <v>545</v>
      </c>
      <c r="G704" t="s">
        <v>506</v>
      </c>
      <c r="H704" t="s">
        <v>505</v>
      </c>
      <c r="I704" t="s">
        <v>820</v>
      </c>
      <c r="J704">
        <v>2010</v>
      </c>
      <c r="K704" t="b">
        <v>0</v>
      </c>
      <c r="X704">
        <v>66.05</v>
      </c>
      <c r="AD704">
        <v>66</v>
      </c>
      <c r="AG704" t="s">
        <v>884</v>
      </c>
      <c r="AH704" t="s">
        <v>885</v>
      </c>
    </row>
    <row r="705" spans="1:34" x14ac:dyDescent="0.35">
      <c r="A705" t="s">
        <v>880</v>
      </c>
      <c r="B705" t="s">
        <v>881</v>
      </c>
      <c r="C705" t="s">
        <v>882</v>
      </c>
      <c r="D705" t="s">
        <v>4</v>
      </c>
      <c r="E705" t="s">
        <v>883</v>
      </c>
      <c r="F705" t="s">
        <v>545</v>
      </c>
      <c r="G705" t="s">
        <v>179</v>
      </c>
      <c r="H705" t="s">
        <v>178</v>
      </c>
      <c r="I705" t="s">
        <v>820</v>
      </c>
      <c r="J705">
        <v>2010</v>
      </c>
      <c r="K705" t="b">
        <v>0</v>
      </c>
      <c r="X705">
        <v>65.88</v>
      </c>
      <c r="AD705">
        <v>66</v>
      </c>
      <c r="AG705" t="s">
        <v>884</v>
      </c>
      <c r="AH705" t="s">
        <v>885</v>
      </c>
    </row>
    <row r="706" spans="1:34" x14ac:dyDescent="0.35">
      <c r="A706" t="s">
        <v>880</v>
      </c>
      <c r="B706" t="s">
        <v>881</v>
      </c>
      <c r="C706" t="s">
        <v>882</v>
      </c>
      <c r="D706" t="s">
        <v>4</v>
      </c>
      <c r="E706" t="s">
        <v>883</v>
      </c>
      <c r="F706" t="s">
        <v>545</v>
      </c>
      <c r="G706" t="s">
        <v>515</v>
      </c>
      <c r="H706" t="s">
        <v>514</v>
      </c>
      <c r="I706" t="s">
        <v>820</v>
      </c>
      <c r="J706">
        <v>2010</v>
      </c>
      <c r="K706" t="b">
        <v>0</v>
      </c>
      <c r="X706">
        <v>66.459999999999994</v>
      </c>
      <c r="AD706">
        <v>66</v>
      </c>
      <c r="AG706" t="s">
        <v>884</v>
      </c>
      <c r="AH706" t="s">
        <v>885</v>
      </c>
    </row>
    <row r="707" spans="1:34" x14ac:dyDescent="0.35">
      <c r="A707" t="s">
        <v>880</v>
      </c>
      <c r="B707" t="s">
        <v>881</v>
      </c>
      <c r="C707" t="s">
        <v>882</v>
      </c>
      <c r="D707" t="s">
        <v>20</v>
      </c>
      <c r="E707" t="s">
        <v>789</v>
      </c>
      <c r="F707" t="s">
        <v>545</v>
      </c>
      <c r="G707" t="s">
        <v>483</v>
      </c>
      <c r="H707" t="s">
        <v>482</v>
      </c>
      <c r="I707" t="s">
        <v>820</v>
      </c>
      <c r="J707">
        <v>2010</v>
      </c>
      <c r="K707" t="b">
        <v>0</v>
      </c>
      <c r="X707">
        <v>66.290000000000006</v>
      </c>
      <c r="AD707">
        <v>66</v>
      </c>
      <c r="AG707" t="s">
        <v>884</v>
      </c>
      <c r="AH707" t="s">
        <v>885</v>
      </c>
    </row>
    <row r="708" spans="1:34" x14ac:dyDescent="0.35">
      <c r="A708" t="s">
        <v>880</v>
      </c>
      <c r="B708" t="s">
        <v>881</v>
      </c>
      <c r="C708" t="s">
        <v>882</v>
      </c>
      <c r="D708" t="s">
        <v>20</v>
      </c>
      <c r="E708" t="s">
        <v>789</v>
      </c>
      <c r="F708" t="s">
        <v>545</v>
      </c>
      <c r="G708" t="s">
        <v>461</v>
      </c>
      <c r="H708" t="s">
        <v>460</v>
      </c>
      <c r="I708" t="s">
        <v>820</v>
      </c>
      <c r="J708">
        <v>2010</v>
      </c>
      <c r="K708" t="b">
        <v>0</v>
      </c>
      <c r="X708">
        <v>66.16</v>
      </c>
      <c r="AD708">
        <v>66</v>
      </c>
      <c r="AG708" t="s">
        <v>884</v>
      </c>
      <c r="AH708" t="s">
        <v>885</v>
      </c>
    </row>
    <row r="709" spans="1:34" x14ac:dyDescent="0.35">
      <c r="A709" t="s">
        <v>880</v>
      </c>
      <c r="B709" t="s">
        <v>881</v>
      </c>
      <c r="C709" t="s">
        <v>882</v>
      </c>
      <c r="D709" t="s">
        <v>20</v>
      </c>
      <c r="E709" t="s">
        <v>789</v>
      </c>
      <c r="F709" t="s">
        <v>545</v>
      </c>
      <c r="G709" t="s">
        <v>525</v>
      </c>
      <c r="H709" t="s">
        <v>524</v>
      </c>
      <c r="I709" t="s">
        <v>820</v>
      </c>
      <c r="J709">
        <v>2010</v>
      </c>
      <c r="K709" t="b">
        <v>0</v>
      </c>
      <c r="X709">
        <v>66.47</v>
      </c>
      <c r="AD709">
        <v>66</v>
      </c>
      <c r="AG709" t="s">
        <v>884</v>
      </c>
      <c r="AH709" t="s">
        <v>885</v>
      </c>
    </row>
    <row r="710" spans="1:34" x14ac:dyDescent="0.35">
      <c r="A710" t="s">
        <v>880</v>
      </c>
      <c r="B710" t="s">
        <v>881</v>
      </c>
      <c r="C710" t="s">
        <v>882</v>
      </c>
      <c r="D710" t="s">
        <v>1</v>
      </c>
      <c r="E710" t="s">
        <v>889</v>
      </c>
      <c r="F710" t="s">
        <v>545</v>
      </c>
      <c r="G710" t="s">
        <v>19</v>
      </c>
      <c r="H710" t="s">
        <v>18</v>
      </c>
      <c r="I710" t="s">
        <v>820</v>
      </c>
      <c r="J710">
        <v>2010</v>
      </c>
      <c r="K710" t="b">
        <v>0</v>
      </c>
      <c r="X710">
        <v>66.38</v>
      </c>
      <c r="AD710">
        <v>66</v>
      </c>
      <c r="AG710" t="s">
        <v>884</v>
      </c>
      <c r="AH710" t="s">
        <v>885</v>
      </c>
    </row>
    <row r="711" spans="1:34" x14ac:dyDescent="0.35">
      <c r="A711" t="s">
        <v>880</v>
      </c>
      <c r="B711" t="s">
        <v>881</v>
      </c>
      <c r="C711" t="s">
        <v>882</v>
      </c>
      <c r="D711" t="s">
        <v>20</v>
      </c>
      <c r="E711" t="s">
        <v>789</v>
      </c>
      <c r="F711" t="s">
        <v>545</v>
      </c>
      <c r="G711" t="s">
        <v>104</v>
      </c>
      <c r="H711" t="s">
        <v>103</v>
      </c>
      <c r="I711" t="s">
        <v>820</v>
      </c>
      <c r="J711">
        <v>2010</v>
      </c>
      <c r="K711" t="b">
        <v>0</v>
      </c>
      <c r="X711">
        <v>67.37</v>
      </c>
      <c r="AD711">
        <v>67</v>
      </c>
      <c r="AG711" t="s">
        <v>884</v>
      </c>
      <c r="AH711" t="s">
        <v>885</v>
      </c>
    </row>
    <row r="712" spans="1:34" x14ac:dyDescent="0.35">
      <c r="A712" t="s">
        <v>880</v>
      </c>
      <c r="B712" t="s">
        <v>881</v>
      </c>
      <c r="C712" t="s">
        <v>882</v>
      </c>
      <c r="D712" t="s">
        <v>0</v>
      </c>
      <c r="E712" t="s">
        <v>887</v>
      </c>
      <c r="F712" t="s">
        <v>545</v>
      </c>
      <c r="G712" t="s">
        <v>196</v>
      </c>
      <c r="H712" t="s">
        <v>195</v>
      </c>
      <c r="I712" t="s">
        <v>820</v>
      </c>
      <c r="J712">
        <v>2010</v>
      </c>
      <c r="K712" t="b">
        <v>0</v>
      </c>
      <c r="X712">
        <v>68.22</v>
      </c>
      <c r="AD712">
        <v>68</v>
      </c>
      <c r="AG712" t="s">
        <v>884</v>
      </c>
      <c r="AH712" t="s">
        <v>885</v>
      </c>
    </row>
    <row r="713" spans="1:34" x14ac:dyDescent="0.35">
      <c r="A713" t="s">
        <v>880</v>
      </c>
      <c r="B713" t="s">
        <v>881</v>
      </c>
      <c r="C713" t="s">
        <v>882</v>
      </c>
      <c r="D713" t="s">
        <v>0</v>
      </c>
      <c r="E713" t="s">
        <v>887</v>
      </c>
      <c r="F713" t="s">
        <v>545</v>
      </c>
      <c r="G713" t="s">
        <v>181</v>
      </c>
      <c r="H713" t="s">
        <v>180</v>
      </c>
      <c r="I713" t="s">
        <v>820</v>
      </c>
      <c r="J713">
        <v>2010</v>
      </c>
      <c r="K713" t="b">
        <v>0</v>
      </c>
      <c r="X713">
        <v>68.03</v>
      </c>
      <c r="AD713">
        <v>68</v>
      </c>
      <c r="AG713" t="s">
        <v>884</v>
      </c>
      <c r="AH713" t="s">
        <v>885</v>
      </c>
    </row>
    <row r="714" spans="1:34" x14ac:dyDescent="0.35">
      <c r="A714" t="s">
        <v>880</v>
      </c>
      <c r="B714" t="s">
        <v>881</v>
      </c>
      <c r="C714" t="s">
        <v>882</v>
      </c>
      <c r="D714" t="s">
        <v>1</v>
      </c>
      <c r="E714" t="s">
        <v>889</v>
      </c>
      <c r="F714" t="s">
        <v>545</v>
      </c>
      <c r="G714" t="s">
        <v>485</v>
      </c>
      <c r="H714" t="s">
        <v>484</v>
      </c>
      <c r="I714" t="s">
        <v>820</v>
      </c>
      <c r="J714">
        <v>2010</v>
      </c>
      <c r="K714" t="b">
        <v>0</v>
      </c>
      <c r="X714">
        <v>67.510000000000005</v>
      </c>
      <c r="AD714">
        <v>68</v>
      </c>
      <c r="AG714" t="s">
        <v>884</v>
      </c>
      <c r="AH714" t="s">
        <v>885</v>
      </c>
    </row>
    <row r="715" spans="1:34" x14ac:dyDescent="0.35">
      <c r="A715" t="s">
        <v>880</v>
      </c>
      <c r="B715" t="s">
        <v>881</v>
      </c>
      <c r="C715" t="s">
        <v>882</v>
      </c>
      <c r="D715" t="s">
        <v>1</v>
      </c>
      <c r="E715" t="s">
        <v>889</v>
      </c>
      <c r="F715" t="s">
        <v>545</v>
      </c>
      <c r="G715" t="s">
        <v>489</v>
      </c>
      <c r="H715" t="s">
        <v>488</v>
      </c>
      <c r="I715" t="s">
        <v>820</v>
      </c>
      <c r="J715">
        <v>2010</v>
      </c>
      <c r="K715" t="b">
        <v>0</v>
      </c>
      <c r="X715">
        <v>67.67</v>
      </c>
      <c r="AD715">
        <v>68</v>
      </c>
      <c r="AG715" t="s">
        <v>884</v>
      </c>
      <c r="AH715" t="s">
        <v>885</v>
      </c>
    </row>
    <row r="716" spans="1:34" x14ac:dyDescent="0.35">
      <c r="A716" t="s">
        <v>880</v>
      </c>
      <c r="B716" t="s">
        <v>881</v>
      </c>
      <c r="C716" t="s">
        <v>882</v>
      </c>
      <c r="D716" t="s">
        <v>20</v>
      </c>
      <c r="E716" t="s">
        <v>789</v>
      </c>
      <c r="F716" t="s">
        <v>545</v>
      </c>
      <c r="G716" t="s">
        <v>416</v>
      </c>
      <c r="H716" t="s">
        <v>415</v>
      </c>
      <c r="I716" t="s">
        <v>820</v>
      </c>
      <c r="J716">
        <v>2010</v>
      </c>
      <c r="K716" t="b">
        <v>0</v>
      </c>
      <c r="X716">
        <v>68.11</v>
      </c>
      <c r="AD716">
        <v>68</v>
      </c>
      <c r="AG716" t="s">
        <v>884</v>
      </c>
      <c r="AH716" t="s">
        <v>885</v>
      </c>
    </row>
    <row r="717" spans="1:34" x14ac:dyDescent="0.35">
      <c r="A717" t="s">
        <v>880</v>
      </c>
      <c r="B717" t="s">
        <v>881</v>
      </c>
      <c r="C717" t="s">
        <v>882</v>
      </c>
      <c r="D717" t="s">
        <v>1</v>
      </c>
      <c r="E717" t="s">
        <v>889</v>
      </c>
      <c r="F717" t="s">
        <v>545</v>
      </c>
      <c r="G717" t="s">
        <v>3</v>
      </c>
      <c r="H717" t="s">
        <v>2</v>
      </c>
      <c r="I717" t="s">
        <v>820</v>
      </c>
      <c r="J717">
        <v>2010</v>
      </c>
      <c r="K717" t="b">
        <v>0</v>
      </c>
      <c r="X717">
        <v>69.400000000000006</v>
      </c>
      <c r="AD717">
        <v>69</v>
      </c>
      <c r="AG717" t="s">
        <v>884</v>
      </c>
      <c r="AH717" t="s">
        <v>885</v>
      </c>
    </row>
    <row r="718" spans="1:34" x14ac:dyDescent="0.35">
      <c r="A718" t="s">
        <v>880</v>
      </c>
      <c r="B718" t="s">
        <v>881</v>
      </c>
      <c r="C718" t="s">
        <v>882</v>
      </c>
      <c r="D718" t="s">
        <v>4</v>
      </c>
      <c r="E718" t="s">
        <v>883</v>
      </c>
      <c r="F718" t="s">
        <v>545</v>
      </c>
      <c r="G718" t="s">
        <v>132</v>
      </c>
      <c r="H718" t="s">
        <v>131</v>
      </c>
      <c r="I718" t="s">
        <v>820</v>
      </c>
      <c r="J718">
        <v>2010</v>
      </c>
      <c r="K718" t="b">
        <v>0</v>
      </c>
      <c r="X718">
        <v>68.88</v>
      </c>
      <c r="AD718">
        <v>69</v>
      </c>
      <c r="AG718" t="s">
        <v>884</v>
      </c>
      <c r="AH718" t="s">
        <v>885</v>
      </c>
    </row>
    <row r="719" spans="1:34" x14ac:dyDescent="0.35">
      <c r="A719" t="s">
        <v>880</v>
      </c>
      <c r="B719" t="s">
        <v>881</v>
      </c>
      <c r="C719" t="s">
        <v>882</v>
      </c>
      <c r="D719" t="s">
        <v>1</v>
      </c>
      <c r="E719" t="s">
        <v>889</v>
      </c>
      <c r="F719" t="s">
        <v>545</v>
      </c>
      <c r="G719" t="s">
        <v>255</v>
      </c>
      <c r="H719" t="s">
        <v>254</v>
      </c>
      <c r="I719" t="s">
        <v>820</v>
      </c>
      <c r="J719">
        <v>2010</v>
      </c>
      <c r="K719" t="b">
        <v>0</v>
      </c>
      <c r="X719">
        <v>69.349999999999994</v>
      </c>
      <c r="AD719">
        <v>69</v>
      </c>
      <c r="AG719" t="s">
        <v>884</v>
      </c>
      <c r="AH719" t="s">
        <v>885</v>
      </c>
    </row>
    <row r="720" spans="1:34" x14ac:dyDescent="0.35">
      <c r="A720" t="s">
        <v>880</v>
      </c>
      <c r="B720" t="s">
        <v>881</v>
      </c>
      <c r="C720" t="s">
        <v>882</v>
      </c>
      <c r="D720" t="s">
        <v>1</v>
      </c>
      <c r="E720" t="s">
        <v>889</v>
      </c>
      <c r="F720" t="s">
        <v>545</v>
      </c>
      <c r="G720" t="s">
        <v>277</v>
      </c>
      <c r="H720" t="s">
        <v>276</v>
      </c>
      <c r="I720" t="s">
        <v>820</v>
      </c>
      <c r="J720">
        <v>2010</v>
      </c>
      <c r="K720" t="b">
        <v>0</v>
      </c>
      <c r="X720">
        <v>69.069999999999993</v>
      </c>
      <c r="AD720">
        <v>69</v>
      </c>
      <c r="AG720" t="s">
        <v>884</v>
      </c>
      <c r="AH720" t="s">
        <v>885</v>
      </c>
    </row>
    <row r="721" spans="1:34" x14ac:dyDescent="0.35">
      <c r="A721" t="s">
        <v>880</v>
      </c>
      <c r="B721" t="s">
        <v>881</v>
      </c>
      <c r="C721" t="s">
        <v>882</v>
      </c>
      <c r="D721" t="s">
        <v>1</v>
      </c>
      <c r="E721" t="s">
        <v>889</v>
      </c>
      <c r="F721" t="s">
        <v>545</v>
      </c>
      <c r="G721" t="s">
        <v>307</v>
      </c>
      <c r="H721" t="s">
        <v>306</v>
      </c>
      <c r="I721" t="s">
        <v>820</v>
      </c>
      <c r="J721">
        <v>2010</v>
      </c>
      <c r="K721" t="b">
        <v>0</v>
      </c>
      <c r="X721">
        <v>68.7</v>
      </c>
      <c r="AD721">
        <v>69</v>
      </c>
      <c r="AG721" t="s">
        <v>884</v>
      </c>
      <c r="AH721" t="s">
        <v>885</v>
      </c>
    </row>
    <row r="722" spans="1:34" x14ac:dyDescent="0.35">
      <c r="A722" t="s">
        <v>880</v>
      </c>
      <c r="B722" t="s">
        <v>881</v>
      </c>
      <c r="C722" t="s">
        <v>882</v>
      </c>
      <c r="D722" t="s">
        <v>20</v>
      </c>
      <c r="E722" t="s">
        <v>789</v>
      </c>
      <c r="F722" t="s">
        <v>545</v>
      </c>
      <c r="G722" t="s">
        <v>481</v>
      </c>
      <c r="H722" t="s">
        <v>480</v>
      </c>
      <c r="I722" t="s">
        <v>820</v>
      </c>
      <c r="J722">
        <v>2010</v>
      </c>
      <c r="K722" t="b">
        <v>0</v>
      </c>
      <c r="X722">
        <v>68.94</v>
      </c>
      <c r="AD722">
        <v>69</v>
      </c>
      <c r="AG722" t="s">
        <v>884</v>
      </c>
      <c r="AH722" t="s">
        <v>885</v>
      </c>
    </row>
    <row r="723" spans="1:34" x14ac:dyDescent="0.35">
      <c r="A723" t="s">
        <v>880</v>
      </c>
      <c r="B723" t="s">
        <v>881</v>
      </c>
      <c r="C723" t="s">
        <v>882</v>
      </c>
      <c r="D723" t="s">
        <v>1</v>
      </c>
      <c r="E723" t="s">
        <v>889</v>
      </c>
      <c r="F723" t="s">
        <v>545</v>
      </c>
      <c r="G723" t="s">
        <v>487</v>
      </c>
      <c r="H723" t="s">
        <v>486</v>
      </c>
      <c r="I723" t="s">
        <v>820</v>
      </c>
      <c r="J723">
        <v>2010</v>
      </c>
      <c r="K723" t="b">
        <v>0</v>
      </c>
      <c r="X723">
        <v>69.209999999999994</v>
      </c>
      <c r="AD723">
        <v>69</v>
      </c>
      <c r="AG723" t="s">
        <v>884</v>
      </c>
      <c r="AH723" t="s">
        <v>885</v>
      </c>
    </row>
    <row r="724" spans="1:34" x14ac:dyDescent="0.35">
      <c r="A724" t="s">
        <v>880</v>
      </c>
      <c r="B724" t="s">
        <v>881</v>
      </c>
      <c r="C724" t="s">
        <v>882</v>
      </c>
      <c r="D724" t="s">
        <v>1</v>
      </c>
      <c r="E724" t="s">
        <v>889</v>
      </c>
      <c r="F724" t="s">
        <v>545</v>
      </c>
      <c r="G724" t="s">
        <v>455</v>
      </c>
      <c r="H724" t="s">
        <v>454</v>
      </c>
      <c r="I724" t="s">
        <v>820</v>
      </c>
      <c r="J724">
        <v>2010</v>
      </c>
      <c r="K724" t="b">
        <v>0</v>
      </c>
      <c r="X724">
        <v>68.66</v>
      </c>
      <c r="AD724">
        <v>69</v>
      </c>
      <c r="AG724" t="s">
        <v>884</v>
      </c>
      <c r="AH724" t="s">
        <v>885</v>
      </c>
    </row>
    <row r="725" spans="1:34" x14ac:dyDescent="0.35">
      <c r="A725" t="s">
        <v>880</v>
      </c>
      <c r="B725" t="s">
        <v>881</v>
      </c>
      <c r="C725" t="s">
        <v>882</v>
      </c>
      <c r="D725" t="s">
        <v>25</v>
      </c>
      <c r="E725" t="s">
        <v>886</v>
      </c>
      <c r="F725" t="s">
        <v>545</v>
      </c>
      <c r="G725" t="s">
        <v>190</v>
      </c>
      <c r="H725" t="s">
        <v>189</v>
      </c>
      <c r="I725" t="s">
        <v>820</v>
      </c>
      <c r="J725">
        <v>2010</v>
      </c>
      <c r="K725" t="b">
        <v>0</v>
      </c>
      <c r="X725">
        <v>70.38</v>
      </c>
      <c r="AD725">
        <v>70</v>
      </c>
      <c r="AG725" t="s">
        <v>884</v>
      </c>
      <c r="AH725" t="s">
        <v>885</v>
      </c>
    </row>
    <row r="726" spans="1:34" x14ac:dyDescent="0.35">
      <c r="A726" t="s">
        <v>880</v>
      </c>
      <c r="B726" t="s">
        <v>881</v>
      </c>
      <c r="C726" t="s">
        <v>882</v>
      </c>
      <c r="D726" t="s">
        <v>1</v>
      </c>
      <c r="E726" t="s">
        <v>889</v>
      </c>
      <c r="F726" t="s">
        <v>545</v>
      </c>
      <c r="G726" t="s">
        <v>14</v>
      </c>
      <c r="H726" t="s">
        <v>13</v>
      </c>
      <c r="I726" t="s">
        <v>820</v>
      </c>
      <c r="J726">
        <v>2010</v>
      </c>
      <c r="K726" t="b">
        <v>0</v>
      </c>
      <c r="X726">
        <v>70.47</v>
      </c>
      <c r="AD726">
        <v>70</v>
      </c>
      <c r="AG726" t="s">
        <v>884</v>
      </c>
      <c r="AH726" t="s">
        <v>885</v>
      </c>
    </row>
    <row r="727" spans="1:34" x14ac:dyDescent="0.35">
      <c r="A727" t="s">
        <v>880</v>
      </c>
      <c r="B727" t="s">
        <v>881</v>
      </c>
      <c r="C727" t="s">
        <v>882</v>
      </c>
      <c r="D727" t="s">
        <v>20</v>
      </c>
      <c r="E727" t="s">
        <v>789</v>
      </c>
      <c r="F727" t="s">
        <v>545</v>
      </c>
      <c r="G727" t="s">
        <v>261</v>
      </c>
      <c r="H727" t="s">
        <v>260</v>
      </c>
      <c r="I727" t="s">
        <v>820</v>
      </c>
      <c r="J727">
        <v>2010</v>
      </c>
      <c r="K727" t="b">
        <v>0</v>
      </c>
      <c r="X727">
        <v>69.78</v>
      </c>
      <c r="AD727">
        <v>70</v>
      </c>
      <c r="AG727" t="s">
        <v>884</v>
      </c>
      <c r="AH727" t="s">
        <v>885</v>
      </c>
    </row>
    <row r="728" spans="1:34" x14ac:dyDescent="0.35">
      <c r="A728" t="s">
        <v>880</v>
      </c>
      <c r="B728" t="s">
        <v>881</v>
      </c>
      <c r="C728" t="s">
        <v>882</v>
      </c>
      <c r="D728" t="s">
        <v>1</v>
      </c>
      <c r="E728" t="s">
        <v>889</v>
      </c>
      <c r="F728" t="s">
        <v>545</v>
      </c>
      <c r="G728" t="s">
        <v>539</v>
      </c>
      <c r="H728" t="s">
        <v>538</v>
      </c>
      <c r="I728" t="s">
        <v>820</v>
      </c>
      <c r="J728">
        <v>2010</v>
      </c>
      <c r="K728" t="b">
        <v>0</v>
      </c>
      <c r="X728">
        <v>69.72</v>
      </c>
      <c r="AD728">
        <v>70</v>
      </c>
      <c r="AG728" t="s">
        <v>884</v>
      </c>
      <c r="AH728" t="s">
        <v>885</v>
      </c>
    </row>
    <row r="729" spans="1:34" x14ac:dyDescent="0.35">
      <c r="A729" t="s">
        <v>880</v>
      </c>
      <c r="B729" t="s">
        <v>881</v>
      </c>
      <c r="C729" t="s">
        <v>882</v>
      </c>
      <c r="D729" t="s">
        <v>20</v>
      </c>
      <c r="E729" t="s">
        <v>789</v>
      </c>
      <c r="F729" t="s">
        <v>545</v>
      </c>
      <c r="G729" t="s">
        <v>404</v>
      </c>
      <c r="H729" t="s">
        <v>403</v>
      </c>
      <c r="I729" t="s">
        <v>820</v>
      </c>
      <c r="J729">
        <v>2010</v>
      </c>
      <c r="K729" t="b">
        <v>0</v>
      </c>
      <c r="X729">
        <v>70.2</v>
      </c>
      <c r="AD729">
        <v>70</v>
      </c>
      <c r="AG729" t="s">
        <v>884</v>
      </c>
      <c r="AH729" t="s">
        <v>885</v>
      </c>
    </row>
    <row r="730" spans="1:34" x14ac:dyDescent="0.35">
      <c r="A730" t="s">
        <v>880</v>
      </c>
      <c r="B730" t="s">
        <v>881</v>
      </c>
      <c r="C730" t="s">
        <v>882</v>
      </c>
      <c r="D730" t="s">
        <v>43</v>
      </c>
      <c r="E730" t="s">
        <v>890</v>
      </c>
      <c r="F730" t="s">
        <v>545</v>
      </c>
      <c r="G730" t="s">
        <v>168</v>
      </c>
      <c r="H730" t="s">
        <v>167</v>
      </c>
      <c r="I730" t="s">
        <v>820</v>
      </c>
      <c r="J730">
        <v>2010</v>
      </c>
      <c r="K730" t="b">
        <v>0</v>
      </c>
      <c r="X730">
        <v>70.34</v>
      </c>
      <c r="AD730">
        <v>70</v>
      </c>
      <c r="AG730" t="s">
        <v>884</v>
      </c>
      <c r="AH730" t="s">
        <v>885</v>
      </c>
    </row>
    <row r="731" spans="1:34" x14ac:dyDescent="0.35">
      <c r="A731" t="s">
        <v>880</v>
      </c>
      <c r="B731" t="s">
        <v>881</v>
      </c>
      <c r="C731" t="s">
        <v>882</v>
      </c>
      <c r="D731" t="s">
        <v>20</v>
      </c>
      <c r="E731" t="s">
        <v>789</v>
      </c>
      <c r="F731" t="s">
        <v>545</v>
      </c>
      <c r="G731" t="s">
        <v>283</v>
      </c>
      <c r="H731" t="s">
        <v>282</v>
      </c>
      <c r="I731" t="s">
        <v>820</v>
      </c>
      <c r="J731">
        <v>2010</v>
      </c>
      <c r="K731" t="b">
        <v>0</v>
      </c>
      <c r="X731">
        <v>71.349999999999994</v>
      </c>
      <c r="AD731">
        <v>71</v>
      </c>
      <c r="AG731" t="s">
        <v>884</v>
      </c>
      <c r="AH731" t="s">
        <v>885</v>
      </c>
    </row>
    <row r="732" spans="1:34" x14ac:dyDescent="0.35">
      <c r="A732" t="s">
        <v>880</v>
      </c>
      <c r="B732" t="s">
        <v>881</v>
      </c>
      <c r="C732" t="s">
        <v>882</v>
      </c>
      <c r="D732" t="s">
        <v>20</v>
      </c>
      <c r="E732" t="s">
        <v>789</v>
      </c>
      <c r="F732" t="s">
        <v>545</v>
      </c>
      <c r="G732" t="s">
        <v>267</v>
      </c>
      <c r="H732" t="s">
        <v>266</v>
      </c>
      <c r="I732" t="s">
        <v>820</v>
      </c>
      <c r="J732">
        <v>2010</v>
      </c>
      <c r="K732" t="b">
        <v>0</v>
      </c>
      <c r="X732">
        <v>71.510000000000005</v>
      </c>
      <c r="AD732">
        <v>72</v>
      </c>
      <c r="AG732" t="s">
        <v>884</v>
      </c>
      <c r="AH732" t="s">
        <v>885</v>
      </c>
    </row>
    <row r="733" spans="1:34" x14ac:dyDescent="0.35">
      <c r="A733" t="s">
        <v>880</v>
      </c>
      <c r="B733" t="s">
        <v>881</v>
      </c>
      <c r="C733" t="s">
        <v>882</v>
      </c>
      <c r="D733" t="s">
        <v>20</v>
      </c>
      <c r="E733" t="s">
        <v>789</v>
      </c>
      <c r="F733" t="s">
        <v>545</v>
      </c>
      <c r="G733" t="s">
        <v>102</v>
      </c>
      <c r="H733" t="s">
        <v>101</v>
      </c>
      <c r="I733" t="s">
        <v>820</v>
      </c>
      <c r="J733">
        <v>2010</v>
      </c>
      <c r="K733" t="b">
        <v>0</v>
      </c>
      <c r="X733">
        <v>71.58</v>
      </c>
      <c r="AD733">
        <v>72</v>
      </c>
      <c r="AG733" t="s">
        <v>884</v>
      </c>
      <c r="AH733" t="s">
        <v>885</v>
      </c>
    </row>
    <row r="734" spans="1:34" x14ac:dyDescent="0.35">
      <c r="A734" t="s">
        <v>880</v>
      </c>
      <c r="B734" t="s">
        <v>881</v>
      </c>
      <c r="C734" t="s">
        <v>882</v>
      </c>
      <c r="D734" t="s">
        <v>1</v>
      </c>
      <c r="E734" t="s">
        <v>889</v>
      </c>
      <c r="F734" t="s">
        <v>545</v>
      </c>
      <c r="G734" t="s">
        <v>392</v>
      </c>
      <c r="H734" t="s">
        <v>391</v>
      </c>
      <c r="I734" t="s">
        <v>820</v>
      </c>
      <c r="J734">
        <v>2010</v>
      </c>
      <c r="K734" t="b">
        <v>0</v>
      </c>
      <c r="X734">
        <v>71.88</v>
      </c>
      <c r="AD734">
        <v>72</v>
      </c>
      <c r="AG734" t="s">
        <v>884</v>
      </c>
      <c r="AH734" t="s">
        <v>885</v>
      </c>
    </row>
    <row r="735" spans="1:34" x14ac:dyDescent="0.35">
      <c r="A735" t="s">
        <v>880</v>
      </c>
      <c r="B735" t="s">
        <v>881</v>
      </c>
      <c r="C735" t="s">
        <v>882</v>
      </c>
      <c r="D735" t="s">
        <v>1</v>
      </c>
      <c r="E735" t="s">
        <v>889</v>
      </c>
      <c r="F735" t="s">
        <v>545</v>
      </c>
      <c r="G735" t="s">
        <v>398</v>
      </c>
      <c r="H735" t="s">
        <v>397</v>
      </c>
      <c r="I735" t="s">
        <v>820</v>
      </c>
      <c r="J735">
        <v>2010</v>
      </c>
      <c r="K735" t="b">
        <v>0</v>
      </c>
      <c r="X735">
        <v>71.67</v>
      </c>
      <c r="AD735">
        <v>72</v>
      </c>
      <c r="AG735" t="s">
        <v>884</v>
      </c>
      <c r="AH735" t="s">
        <v>885</v>
      </c>
    </row>
    <row r="736" spans="1:34" x14ac:dyDescent="0.35">
      <c r="A736" t="s">
        <v>880</v>
      </c>
      <c r="B736" t="s">
        <v>881</v>
      </c>
      <c r="C736" t="s">
        <v>882</v>
      </c>
      <c r="D736" t="s">
        <v>20</v>
      </c>
      <c r="E736" t="s">
        <v>789</v>
      </c>
      <c r="F736" t="s">
        <v>545</v>
      </c>
      <c r="G736" t="s">
        <v>492</v>
      </c>
      <c r="H736" t="s">
        <v>491</v>
      </c>
      <c r="I736" t="s">
        <v>820</v>
      </c>
      <c r="J736">
        <v>2010</v>
      </c>
      <c r="K736" t="b">
        <v>0</v>
      </c>
      <c r="X736">
        <v>71.650000000000006</v>
      </c>
      <c r="AD736">
        <v>72</v>
      </c>
      <c r="AG736" t="s">
        <v>884</v>
      </c>
      <c r="AH736" t="s">
        <v>885</v>
      </c>
    </row>
    <row r="737" spans="1:34" x14ac:dyDescent="0.35">
      <c r="A737" t="s">
        <v>880</v>
      </c>
      <c r="B737" t="s">
        <v>881</v>
      </c>
      <c r="C737" t="s">
        <v>882</v>
      </c>
      <c r="D737" t="s">
        <v>20</v>
      </c>
      <c r="E737" t="s">
        <v>789</v>
      </c>
      <c r="F737" t="s">
        <v>545</v>
      </c>
      <c r="G737" t="s">
        <v>205</v>
      </c>
      <c r="H737" t="s">
        <v>204</v>
      </c>
      <c r="I737" t="s">
        <v>820</v>
      </c>
      <c r="J737">
        <v>2010</v>
      </c>
      <c r="K737" t="b">
        <v>0</v>
      </c>
      <c r="X737">
        <v>73.12</v>
      </c>
      <c r="AD737">
        <v>73</v>
      </c>
      <c r="AG737" t="s">
        <v>884</v>
      </c>
      <c r="AH737" t="s">
        <v>885</v>
      </c>
    </row>
    <row r="738" spans="1:34" x14ac:dyDescent="0.35">
      <c r="A738" t="s">
        <v>880</v>
      </c>
      <c r="B738" t="s">
        <v>881</v>
      </c>
      <c r="C738" t="s">
        <v>882</v>
      </c>
      <c r="D738" t="s">
        <v>1</v>
      </c>
      <c r="E738" t="s">
        <v>889</v>
      </c>
      <c r="F738" t="s">
        <v>545</v>
      </c>
      <c r="G738" t="s">
        <v>10</v>
      </c>
      <c r="H738" t="s">
        <v>9</v>
      </c>
      <c r="I738" t="s">
        <v>820</v>
      </c>
      <c r="J738">
        <v>2010</v>
      </c>
      <c r="K738" t="b">
        <v>0</v>
      </c>
      <c r="X738">
        <v>73.040000000000006</v>
      </c>
      <c r="AD738">
        <v>73</v>
      </c>
      <c r="AG738" t="s">
        <v>884</v>
      </c>
      <c r="AH738" t="s">
        <v>885</v>
      </c>
    </row>
    <row r="739" spans="1:34" x14ac:dyDescent="0.35">
      <c r="A739" t="s">
        <v>880</v>
      </c>
      <c r="B739" t="s">
        <v>881</v>
      </c>
      <c r="C739" t="s">
        <v>882</v>
      </c>
      <c r="D739" t="s">
        <v>0</v>
      </c>
      <c r="E739" t="s">
        <v>887</v>
      </c>
      <c r="F739" t="s">
        <v>545</v>
      </c>
      <c r="G739" t="s">
        <v>24</v>
      </c>
      <c r="H739" t="s">
        <v>23</v>
      </c>
      <c r="I739" t="s">
        <v>820</v>
      </c>
      <c r="J739">
        <v>2010</v>
      </c>
      <c r="K739" t="b">
        <v>0</v>
      </c>
      <c r="X739">
        <v>72.66</v>
      </c>
      <c r="AD739">
        <v>73</v>
      </c>
      <c r="AG739" t="s">
        <v>884</v>
      </c>
      <c r="AH739" t="s">
        <v>885</v>
      </c>
    </row>
    <row r="740" spans="1:34" x14ac:dyDescent="0.35">
      <c r="A740" t="s">
        <v>880</v>
      </c>
      <c r="B740" t="s">
        <v>881</v>
      </c>
      <c r="C740" t="s">
        <v>882</v>
      </c>
      <c r="D740" t="s">
        <v>1</v>
      </c>
      <c r="E740" t="s">
        <v>889</v>
      </c>
      <c r="F740" t="s">
        <v>545</v>
      </c>
      <c r="G740" t="s">
        <v>252</v>
      </c>
      <c r="H740" t="s">
        <v>251</v>
      </c>
      <c r="I740" t="s">
        <v>820</v>
      </c>
      <c r="J740">
        <v>2010</v>
      </c>
      <c r="K740" t="b">
        <v>0</v>
      </c>
      <c r="X740">
        <v>73.37</v>
      </c>
      <c r="AD740">
        <v>73</v>
      </c>
      <c r="AG740" t="s">
        <v>884</v>
      </c>
      <c r="AH740" t="s">
        <v>885</v>
      </c>
    </row>
    <row r="741" spans="1:34" x14ac:dyDescent="0.35">
      <c r="A741" t="s">
        <v>880</v>
      </c>
      <c r="B741" t="s">
        <v>881</v>
      </c>
      <c r="C741" t="s">
        <v>882</v>
      </c>
      <c r="D741" t="s">
        <v>1</v>
      </c>
      <c r="E741" t="s">
        <v>889</v>
      </c>
      <c r="F741" t="s">
        <v>545</v>
      </c>
      <c r="G741" t="s">
        <v>258</v>
      </c>
      <c r="H741" t="s">
        <v>257</v>
      </c>
      <c r="I741" t="s">
        <v>820</v>
      </c>
      <c r="J741">
        <v>2010</v>
      </c>
      <c r="K741" t="b">
        <v>0</v>
      </c>
      <c r="X741">
        <v>72.56</v>
      </c>
      <c r="AD741">
        <v>73</v>
      </c>
      <c r="AG741" t="s">
        <v>884</v>
      </c>
      <c r="AH741" t="s">
        <v>885</v>
      </c>
    </row>
    <row r="742" spans="1:34" x14ac:dyDescent="0.35">
      <c r="A742" t="s">
        <v>880</v>
      </c>
      <c r="B742" t="s">
        <v>881</v>
      </c>
      <c r="C742" t="s">
        <v>882</v>
      </c>
      <c r="D742" t="s">
        <v>20</v>
      </c>
      <c r="E742" t="s">
        <v>789</v>
      </c>
      <c r="F742" t="s">
        <v>545</v>
      </c>
      <c r="G742" t="s">
        <v>42</v>
      </c>
      <c r="H742" t="s">
        <v>41</v>
      </c>
      <c r="I742" t="s">
        <v>820</v>
      </c>
      <c r="J742">
        <v>2010</v>
      </c>
      <c r="K742" t="b">
        <v>0</v>
      </c>
      <c r="X742">
        <v>73.430000000000007</v>
      </c>
      <c r="AD742">
        <v>73</v>
      </c>
      <c r="AG742" t="s">
        <v>884</v>
      </c>
      <c r="AH742" t="s">
        <v>885</v>
      </c>
    </row>
    <row r="743" spans="1:34" x14ac:dyDescent="0.35">
      <c r="A743" t="s">
        <v>880</v>
      </c>
      <c r="B743" t="s">
        <v>881</v>
      </c>
      <c r="C743" t="s">
        <v>882</v>
      </c>
      <c r="D743" t="s">
        <v>1</v>
      </c>
      <c r="E743" t="s">
        <v>889</v>
      </c>
      <c r="F743" t="s">
        <v>545</v>
      </c>
      <c r="G743" t="s">
        <v>274</v>
      </c>
      <c r="H743" t="s">
        <v>273</v>
      </c>
      <c r="I743" t="s">
        <v>820</v>
      </c>
      <c r="J743">
        <v>2010</v>
      </c>
      <c r="K743" t="b">
        <v>0</v>
      </c>
      <c r="X743">
        <v>72.819999999999993</v>
      </c>
      <c r="AD743">
        <v>73</v>
      </c>
      <c r="AG743" t="s">
        <v>884</v>
      </c>
      <c r="AH743" t="s">
        <v>885</v>
      </c>
    </row>
    <row r="744" spans="1:34" x14ac:dyDescent="0.35">
      <c r="A744" t="s">
        <v>880</v>
      </c>
      <c r="B744" t="s">
        <v>881</v>
      </c>
      <c r="C744" t="s">
        <v>882</v>
      </c>
      <c r="D744" t="s">
        <v>4</v>
      </c>
      <c r="E744" t="s">
        <v>883</v>
      </c>
      <c r="F744" t="s">
        <v>545</v>
      </c>
      <c r="G744" t="s">
        <v>159</v>
      </c>
      <c r="H744" t="s">
        <v>158</v>
      </c>
      <c r="I744" t="s">
        <v>820</v>
      </c>
      <c r="J744">
        <v>2010</v>
      </c>
      <c r="K744" t="b">
        <v>0</v>
      </c>
      <c r="X744">
        <v>72.67</v>
      </c>
      <c r="AD744">
        <v>73</v>
      </c>
      <c r="AG744" t="s">
        <v>884</v>
      </c>
      <c r="AH744" t="s">
        <v>885</v>
      </c>
    </row>
    <row r="745" spans="1:34" x14ac:dyDescent="0.35">
      <c r="A745" t="s">
        <v>880</v>
      </c>
      <c r="B745" t="s">
        <v>881</v>
      </c>
      <c r="C745" t="s">
        <v>882</v>
      </c>
      <c r="D745" t="s">
        <v>1</v>
      </c>
      <c r="E745" t="s">
        <v>889</v>
      </c>
      <c r="F745" t="s">
        <v>545</v>
      </c>
      <c r="G745" t="s">
        <v>83</v>
      </c>
      <c r="H745" t="s">
        <v>82</v>
      </c>
      <c r="I745" t="s">
        <v>820</v>
      </c>
      <c r="J745">
        <v>2010</v>
      </c>
      <c r="K745" t="b">
        <v>0</v>
      </c>
      <c r="X745">
        <v>73.62</v>
      </c>
      <c r="AD745">
        <v>74</v>
      </c>
      <c r="AG745" t="s">
        <v>884</v>
      </c>
      <c r="AH745" t="s">
        <v>885</v>
      </c>
    </row>
    <row r="746" spans="1:34" x14ac:dyDescent="0.35">
      <c r="A746" t="s">
        <v>880</v>
      </c>
      <c r="B746" t="s">
        <v>881</v>
      </c>
      <c r="C746" t="s">
        <v>882</v>
      </c>
      <c r="D746" t="s">
        <v>20</v>
      </c>
      <c r="E746" t="s">
        <v>789</v>
      </c>
      <c r="F746" t="s">
        <v>545</v>
      </c>
      <c r="G746" t="s">
        <v>363</v>
      </c>
      <c r="H746" t="s">
        <v>362</v>
      </c>
      <c r="I746" t="s">
        <v>820</v>
      </c>
      <c r="J746">
        <v>2010</v>
      </c>
      <c r="K746" t="b">
        <v>0</v>
      </c>
      <c r="X746">
        <v>74.28</v>
      </c>
      <c r="AD746">
        <v>74</v>
      </c>
      <c r="AG746" t="s">
        <v>884</v>
      </c>
      <c r="AH746" t="s">
        <v>885</v>
      </c>
    </row>
    <row r="747" spans="1:34" x14ac:dyDescent="0.35">
      <c r="A747" t="s">
        <v>880</v>
      </c>
      <c r="B747" t="s">
        <v>881</v>
      </c>
      <c r="C747" t="s">
        <v>882</v>
      </c>
      <c r="D747" t="s">
        <v>4</v>
      </c>
      <c r="E747" t="s">
        <v>883</v>
      </c>
      <c r="F747" t="s">
        <v>545</v>
      </c>
      <c r="G747" t="s">
        <v>534</v>
      </c>
      <c r="H747" t="s">
        <v>533</v>
      </c>
      <c r="I747" t="s">
        <v>820</v>
      </c>
      <c r="J747">
        <v>2010</v>
      </c>
      <c r="K747" t="b">
        <v>0</v>
      </c>
      <c r="X747">
        <v>73.849999999999994</v>
      </c>
      <c r="AD747">
        <v>74</v>
      </c>
      <c r="AG747" t="s">
        <v>884</v>
      </c>
      <c r="AH747" t="s">
        <v>885</v>
      </c>
    </row>
    <row r="748" spans="1:34" x14ac:dyDescent="0.35">
      <c r="A748" t="s">
        <v>880</v>
      </c>
      <c r="B748" t="s">
        <v>881</v>
      </c>
      <c r="C748" t="s">
        <v>882</v>
      </c>
      <c r="D748" t="s">
        <v>1</v>
      </c>
      <c r="E748" t="s">
        <v>889</v>
      </c>
      <c r="F748" t="s">
        <v>545</v>
      </c>
      <c r="G748" t="s">
        <v>61</v>
      </c>
      <c r="H748" t="s">
        <v>60</v>
      </c>
      <c r="I748" t="s">
        <v>820</v>
      </c>
      <c r="J748">
        <v>2010</v>
      </c>
      <c r="K748" t="b">
        <v>0</v>
      </c>
      <c r="X748">
        <v>74.430000000000007</v>
      </c>
      <c r="AD748">
        <v>74</v>
      </c>
      <c r="AG748" t="s">
        <v>884</v>
      </c>
      <c r="AH748" t="s">
        <v>885</v>
      </c>
    </row>
    <row r="749" spans="1:34" x14ac:dyDescent="0.35">
      <c r="A749" t="s">
        <v>880</v>
      </c>
      <c r="B749" t="s">
        <v>881</v>
      </c>
      <c r="C749" t="s">
        <v>882</v>
      </c>
      <c r="D749" t="s">
        <v>20</v>
      </c>
      <c r="E749" t="s">
        <v>789</v>
      </c>
      <c r="F749" t="s">
        <v>545</v>
      </c>
      <c r="G749" t="s">
        <v>428</v>
      </c>
      <c r="H749" t="s">
        <v>427</v>
      </c>
      <c r="I749" t="s">
        <v>820</v>
      </c>
      <c r="J749">
        <v>2010</v>
      </c>
      <c r="K749" t="b">
        <v>0</v>
      </c>
      <c r="X749">
        <v>74.56</v>
      </c>
      <c r="AD749">
        <v>75</v>
      </c>
      <c r="AG749" t="s">
        <v>884</v>
      </c>
      <c r="AH749" t="s">
        <v>885</v>
      </c>
    </row>
    <row r="750" spans="1:34" x14ac:dyDescent="0.35">
      <c r="A750" t="s">
        <v>880</v>
      </c>
      <c r="B750" t="s">
        <v>881</v>
      </c>
      <c r="C750" t="s">
        <v>882</v>
      </c>
      <c r="D750" t="s">
        <v>20</v>
      </c>
      <c r="E750" t="s">
        <v>789</v>
      </c>
      <c r="F750" t="s">
        <v>545</v>
      </c>
      <c r="G750" t="s">
        <v>222</v>
      </c>
      <c r="H750" t="s">
        <v>221</v>
      </c>
      <c r="I750" t="s">
        <v>820</v>
      </c>
      <c r="J750">
        <v>2010</v>
      </c>
      <c r="K750" t="b">
        <v>0</v>
      </c>
      <c r="X750">
        <v>75.900000000000006</v>
      </c>
      <c r="AD750">
        <v>76</v>
      </c>
      <c r="AG750" t="s">
        <v>884</v>
      </c>
      <c r="AH750" t="s">
        <v>885</v>
      </c>
    </row>
    <row r="751" spans="1:34" x14ac:dyDescent="0.35">
      <c r="A751" t="s">
        <v>880</v>
      </c>
      <c r="B751" t="s">
        <v>881</v>
      </c>
      <c r="C751" t="s">
        <v>882</v>
      </c>
      <c r="D751" t="s">
        <v>1</v>
      </c>
      <c r="E751" t="s">
        <v>889</v>
      </c>
      <c r="F751" t="s">
        <v>545</v>
      </c>
      <c r="G751" t="s">
        <v>264</v>
      </c>
      <c r="H751" t="s">
        <v>263</v>
      </c>
      <c r="I751" t="s">
        <v>820</v>
      </c>
      <c r="J751">
        <v>2010</v>
      </c>
      <c r="K751" t="b">
        <v>0</v>
      </c>
      <c r="X751">
        <v>76.62</v>
      </c>
      <c r="AD751">
        <v>77</v>
      </c>
      <c r="AG751" t="s">
        <v>884</v>
      </c>
      <c r="AH751" t="s">
        <v>885</v>
      </c>
    </row>
    <row r="752" spans="1:34" x14ac:dyDescent="0.35">
      <c r="A752" t="s">
        <v>880</v>
      </c>
      <c r="B752" t="s">
        <v>881</v>
      </c>
      <c r="C752" t="s">
        <v>882</v>
      </c>
      <c r="D752" t="s">
        <v>20</v>
      </c>
      <c r="E752" t="s">
        <v>789</v>
      </c>
      <c r="F752" t="s">
        <v>545</v>
      </c>
      <c r="G752" t="s">
        <v>410</v>
      </c>
      <c r="H752" t="s">
        <v>409</v>
      </c>
      <c r="I752" t="s">
        <v>820</v>
      </c>
      <c r="J752">
        <v>2010</v>
      </c>
      <c r="K752" t="b">
        <v>0</v>
      </c>
      <c r="X752">
        <v>77.95</v>
      </c>
      <c r="AD752">
        <v>78</v>
      </c>
      <c r="AG752" t="s">
        <v>884</v>
      </c>
      <c r="AH752" t="s">
        <v>885</v>
      </c>
    </row>
    <row r="753" spans="1:34" x14ac:dyDescent="0.35">
      <c r="A753" t="s">
        <v>880</v>
      </c>
      <c r="B753" t="s">
        <v>881</v>
      </c>
      <c r="C753" t="s">
        <v>882</v>
      </c>
      <c r="D753" t="s">
        <v>0</v>
      </c>
      <c r="E753" t="s">
        <v>887</v>
      </c>
      <c r="F753" t="s">
        <v>545</v>
      </c>
      <c r="G753" t="s">
        <v>425</v>
      </c>
      <c r="H753" t="s">
        <v>424</v>
      </c>
      <c r="I753" t="s">
        <v>820</v>
      </c>
      <c r="J753">
        <v>2010</v>
      </c>
      <c r="K753" t="b">
        <v>0</v>
      </c>
      <c r="X753">
        <v>77.989999999999995</v>
      </c>
      <c r="AD753">
        <v>78</v>
      </c>
      <c r="AG753" t="s">
        <v>884</v>
      </c>
      <c r="AH753" t="s">
        <v>885</v>
      </c>
    </row>
    <row r="754" spans="1:34" x14ac:dyDescent="0.35">
      <c r="A754" t="s">
        <v>880</v>
      </c>
      <c r="B754" t="s">
        <v>881</v>
      </c>
      <c r="C754" t="s">
        <v>882</v>
      </c>
      <c r="D754" t="s">
        <v>20</v>
      </c>
      <c r="E754" t="s">
        <v>789</v>
      </c>
      <c r="F754" t="s">
        <v>545</v>
      </c>
      <c r="G754" t="s">
        <v>112</v>
      </c>
      <c r="H754" t="s">
        <v>111</v>
      </c>
      <c r="I754" t="s">
        <v>820</v>
      </c>
      <c r="J754">
        <v>2010</v>
      </c>
      <c r="K754" t="b">
        <v>0</v>
      </c>
      <c r="X754">
        <v>79.430000000000007</v>
      </c>
      <c r="AD754">
        <v>79</v>
      </c>
      <c r="AG754" t="s">
        <v>884</v>
      </c>
      <c r="AH754" t="s">
        <v>885</v>
      </c>
    </row>
    <row r="755" spans="1:34" x14ac:dyDescent="0.35">
      <c r="A755" t="s">
        <v>880</v>
      </c>
      <c r="B755" t="s">
        <v>881</v>
      </c>
      <c r="C755" t="s">
        <v>882</v>
      </c>
      <c r="D755" t="s">
        <v>20</v>
      </c>
      <c r="E755" t="s">
        <v>789</v>
      </c>
      <c r="F755" t="s">
        <v>545</v>
      </c>
      <c r="G755" t="s">
        <v>328</v>
      </c>
      <c r="H755" t="s">
        <v>327</v>
      </c>
      <c r="I755" t="s">
        <v>820</v>
      </c>
      <c r="J755">
        <v>2010</v>
      </c>
      <c r="K755" t="b">
        <v>0</v>
      </c>
      <c r="X755">
        <v>79.05</v>
      </c>
      <c r="AD755">
        <v>79</v>
      </c>
      <c r="AG755" t="s">
        <v>884</v>
      </c>
      <c r="AH755" t="s">
        <v>885</v>
      </c>
    </row>
    <row r="756" spans="1:34" x14ac:dyDescent="0.35">
      <c r="A756" t="s">
        <v>880</v>
      </c>
      <c r="B756" t="s">
        <v>881</v>
      </c>
      <c r="C756" t="s">
        <v>882</v>
      </c>
      <c r="D756" t="s">
        <v>20</v>
      </c>
      <c r="E756" t="s">
        <v>789</v>
      </c>
      <c r="F756" t="s">
        <v>545</v>
      </c>
      <c r="G756" t="s">
        <v>144</v>
      </c>
      <c r="H756" t="s">
        <v>143</v>
      </c>
      <c r="I756" t="s">
        <v>820</v>
      </c>
      <c r="J756">
        <v>2010</v>
      </c>
      <c r="K756" t="b">
        <v>0</v>
      </c>
      <c r="X756">
        <v>80.010000000000005</v>
      </c>
      <c r="AD756">
        <v>80</v>
      </c>
      <c r="AG756" t="s">
        <v>884</v>
      </c>
      <c r="AH756" t="s">
        <v>885</v>
      </c>
    </row>
    <row r="757" spans="1:34" x14ac:dyDescent="0.35">
      <c r="A757" t="s">
        <v>880</v>
      </c>
      <c r="B757" t="s">
        <v>881</v>
      </c>
      <c r="C757" t="s">
        <v>882</v>
      </c>
      <c r="D757" t="s">
        <v>0</v>
      </c>
      <c r="E757" t="s">
        <v>887</v>
      </c>
      <c r="F757" t="s">
        <v>545</v>
      </c>
      <c r="G757" t="s">
        <v>127</v>
      </c>
      <c r="H757" t="s">
        <v>126</v>
      </c>
      <c r="I757" t="s">
        <v>820</v>
      </c>
      <c r="J757">
        <v>2010</v>
      </c>
      <c r="K757" t="b">
        <v>0</v>
      </c>
      <c r="X757">
        <v>79.680000000000007</v>
      </c>
      <c r="AD757">
        <v>80</v>
      </c>
      <c r="AG757" t="s">
        <v>884</v>
      </c>
      <c r="AH757" t="s">
        <v>885</v>
      </c>
    </row>
    <row r="758" spans="1:34" x14ac:dyDescent="0.35">
      <c r="A758" t="s">
        <v>880</v>
      </c>
      <c r="B758" t="s">
        <v>881</v>
      </c>
      <c r="C758" t="s">
        <v>882</v>
      </c>
      <c r="D758" t="s">
        <v>20</v>
      </c>
      <c r="E758" t="s">
        <v>789</v>
      </c>
      <c r="F758" t="s">
        <v>545</v>
      </c>
      <c r="G758" t="s">
        <v>94</v>
      </c>
      <c r="H758" t="s">
        <v>93</v>
      </c>
      <c r="I758" t="s">
        <v>820</v>
      </c>
      <c r="J758">
        <v>2010</v>
      </c>
      <c r="K758" t="b">
        <v>0</v>
      </c>
      <c r="X758">
        <v>80.209999999999994</v>
      </c>
      <c r="AD758">
        <v>80</v>
      </c>
      <c r="AG758" t="s">
        <v>884</v>
      </c>
      <c r="AH758" t="s">
        <v>885</v>
      </c>
    </row>
    <row r="759" spans="1:34" x14ac:dyDescent="0.35">
      <c r="A759" t="s">
        <v>880</v>
      </c>
      <c r="B759" t="s">
        <v>881</v>
      </c>
      <c r="C759" t="s">
        <v>882</v>
      </c>
      <c r="D759" t="s">
        <v>20</v>
      </c>
      <c r="E759" t="s">
        <v>789</v>
      </c>
      <c r="F759" t="s">
        <v>545</v>
      </c>
      <c r="G759" t="s">
        <v>202</v>
      </c>
      <c r="H759" t="s">
        <v>201</v>
      </c>
      <c r="I759" t="s">
        <v>820</v>
      </c>
      <c r="J759">
        <v>2010</v>
      </c>
      <c r="K759" t="b">
        <v>0</v>
      </c>
      <c r="X759">
        <v>79.59</v>
      </c>
      <c r="AD759">
        <v>80</v>
      </c>
      <c r="AG759" t="s">
        <v>884</v>
      </c>
      <c r="AH759" t="s">
        <v>885</v>
      </c>
    </row>
    <row r="760" spans="1:34" x14ac:dyDescent="0.35">
      <c r="A760" t="s">
        <v>880</v>
      </c>
      <c r="B760" t="s">
        <v>881</v>
      </c>
      <c r="C760" t="s">
        <v>882</v>
      </c>
      <c r="D760" t="s">
        <v>1</v>
      </c>
      <c r="E760" t="s">
        <v>889</v>
      </c>
      <c r="F760" t="s">
        <v>545</v>
      </c>
      <c r="G760" t="s">
        <v>543</v>
      </c>
      <c r="H760" t="s">
        <v>542</v>
      </c>
      <c r="I760" t="s">
        <v>820</v>
      </c>
      <c r="J760">
        <v>2010</v>
      </c>
      <c r="K760" t="b">
        <v>0</v>
      </c>
      <c r="X760">
        <v>80.040000000000006</v>
      </c>
      <c r="AD760">
        <v>80</v>
      </c>
      <c r="AG760" t="s">
        <v>884</v>
      </c>
      <c r="AH760" t="s">
        <v>885</v>
      </c>
    </row>
    <row r="761" spans="1:34" x14ac:dyDescent="0.35">
      <c r="A761" t="s">
        <v>880</v>
      </c>
      <c r="B761" t="s">
        <v>881</v>
      </c>
      <c r="C761" t="s">
        <v>882</v>
      </c>
      <c r="D761" t="s">
        <v>20</v>
      </c>
      <c r="E761" t="s">
        <v>789</v>
      </c>
      <c r="F761" t="s">
        <v>545</v>
      </c>
      <c r="G761" t="s">
        <v>208</v>
      </c>
      <c r="H761" t="s">
        <v>207</v>
      </c>
      <c r="I761" t="s">
        <v>820</v>
      </c>
      <c r="J761">
        <v>2010</v>
      </c>
      <c r="K761" t="b">
        <v>0</v>
      </c>
      <c r="X761">
        <v>80.92</v>
      </c>
      <c r="AD761">
        <v>81</v>
      </c>
      <c r="AG761" t="s">
        <v>884</v>
      </c>
      <c r="AH761" t="s">
        <v>885</v>
      </c>
    </row>
    <row r="762" spans="1:34" x14ac:dyDescent="0.35">
      <c r="A762" t="s">
        <v>880</v>
      </c>
      <c r="B762" t="s">
        <v>881</v>
      </c>
      <c r="C762" t="s">
        <v>882</v>
      </c>
      <c r="D762" t="s">
        <v>20</v>
      </c>
      <c r="E762" t="s">
        <v>789</v>
      </c>
      <c r="F762" t="s">
        <v>545</v>
      </c>
      <c r="G762" t="s">
        <v>135</v>
      </c>
      <c r="H762" t="s">
        <v>134</v>
      </c>
      <c r="I762" t="s">
        <v>820</v>
      </c>
      <c r="J762">
        <v>2010</v>
      </c>
      <c r="K762" t="b">
        <v>0</v>
      </c>
      <c r="X762">
        <v>81.84</v>
      </c>
      <c r="AD762">
        <v>82</v>
      </c>
      <c r="AG762" t="s">
        <v>884</v>
      </c>
      <c r="AH762" t="s">
        <v>885</v>
      </c>
    </row>
    <row r="763" spans="1:34" x14ac:dyDescent="0.35">
      <c r="A763" t="s">
        <v>880</v>
      </c>
      <c r="B763" t="s">
        <v>881</v>
      </c>
      <c r="C763" t="s">
        <v>882</v>
      </c>
      <c r="D763" t="s">
        <v>20</v>
      </c>
      <c r="E763" t="s">
        <v>789</v>
      </c>
      <c r="F763" t="s">
        <v>545</v>
      </c>
      <c r="G763" t="s">
        <v>289</v>
      </c>
      <c r="H763" t="s">
        <v>288</v>
      </c>
      <c r="I763" t="s">
        <v>820</v>
      </c>
      <c r="J763">
        <v>2010</v>
      </c>
      <c r="K763" t="b">
        <v>0</v>
      </c>
      <c r="X763">
        <v>82.41</v>
      </c>
      <c r="AD763">
        <v>82</v>
      </c>
      <c r="AG763" t="s">
        <v>884</v>
      </c>
      <c r="AH763" t="s">
        <v>885</v>
      </c>
    </row>
    <row r="764" spans="1:34" x14ac:dyDescent="0.35">
      <c r="A764" t="s">
        <v>880</v>
      </c>
      <c r="B764" t="s">
        <v>881</v>
      </c>
      <c r="C764" t="s">
        <v>882</v>
      </c>
      <c r="D764" t="s">
        <v>20</v>
      </c>
      <c r="E764" t="s">
        <v>789</v>
      </c>
      <c r="F764" t="s">
        <v>545</v>
      </c>
      <c r="G764" t="s">
        <v>71</v>
      </c>
      <c r="H764" t="s">
        <v>70</v>
      </c>
      <c r="I764" t="s">
        <v>820</v>
      </c>
      <c r="J764">
        <v>2010</v>
      </c>
      <c r="K764" t="b">
        <v>0</v>
      </c>
      <c r="X764">
        <v>82.32</v>
      </c>
      <c r="AD764">
        <v>82</v>
      </c>
      <c r="AG764" t="s">
        <v>884</v>
      </c>
      <c r="AH764" t="s">
        <v>885</v>
      </c>
    </row>
    <row r="765" spans="1:34" x14ac:dyDescent="0.35">
      <c r="A765" t="s">
        <v>880</v>
      </c>
      <c r="B765" t="s">
        <v>881</v>
      </c>
      <c r="C765" t="s">
        <v>882</v>
      </c>
      <c r="D765" t="s">
        <v>20</v>
      </c>
      <c r="E765" t="s">
        <v>789</v>
      </c>
      <c r="F765" t="s">
        <v>545</v>
      </c>
      <c r="G765" t="s">
        <v>503</v>
      </c>
      <c r="H765" t="s">
        <v>502</v>
      </c>
      <c r="I765" t="s">
        <v>820</v>
      </c>
      <c r="J765">
        <v>2010</v>
      </c>
      <c r="K765" t="b">
        <v>0</v>
      </c>
      <c r="X765">
        <v>81.53</v>
      </c>
      <c r="AD765">
        <v>82</v>
      </c>
      <c r="AG765" t="s">
        <v>884</v>
      </c>
      <c r="AH765" t="s">
        <v>885</v>
      </c>
    </row>
    <row r="766" spans="1:34" x14ac:dyDescent="0.35">
      <c r="A766" t="s">
        <v>880</v>
      </c>
      <c r="B766" t="s">
        <v>881</v>
      </c>
      <c r="C766" t="s">
        <v>882</v>
      </c>
      <c r="D766" t="s">
        <v>20</v>
      </c>
      <c r="E766" t="s">
        <v>789</v>
      </c>
      <c r="F766" t="s">
        <v>545</v>
      </c>
      <c r="G766" t="s">
        <v>129</v>
      </c>
      <c r="H766" t="s">
        <v>128</v>
      </c>
      <c r="I766" t="s">
        <v>820</v>
      </c>
      <c r="J766">
        <v>2010</v>
      </c>
      <c r="K766" t="b">
        <v>0</v>
      </c>
      <c r="X766">
        <v>82.36</v>
      </c>
      <c r="AD766">
        <v>82</v>
      </c>
      <c r="AG766" t="s">
        <v>884</v>
      </c>
      <c r="AH766" t="s">
        <v>885</v>
      </c>
    </row>
    <row r="767" spans="1:34" x14ac:dyDescent="0.35">
      <c r="A767" t="s">
        <v>880</v>
      </c>
      <c r="B767" t="s">
        <v>881</v>
      </c>
      <c r="C767" t="s">
        <v>882</v>
      </c>
      <c r="D767" t="s">
        <v>0</v>
      </c>
      <c r="E767" t="s">
        <v>887</v>
      </c>
      <c r="F767" t="s">
        <v>545</v>
      </c>
      <c r="G767" t="s">
        <v>187</v>
      </c>
      <c r="H767" t="s">
        <v>186</v>
      </c>
      <c r="I767" t="s">
        <v>820</v>
      </c>
      <c r="J767">
        <v>2010</v>
      </c>
      <c r="K767" t="b">
        <v>0</v>
      </c>
      <c r="X767">
        <v>82.2</v>
      </c>
      <c r="AD767">
        <v>82</v>
      </c>
      <c r="AG767" t="s">
        <v>884</v>
      </c>
      <c r="AH767" t="s">
        <v>885</v>
      </c>
    </row>
    <row r="768" spans="1:34" x14ac:dyDescent="0.35">
      <c r="A768" t="s">
        <v>880</v>
      </c>
      <c r="B768" t="s">
        <v>881</v>
      </c>
      <c r="C768" t="s">
        <v>882</v>
      </c>
      <c r="D768" t="s">
        <v>20</v>
      </c>
      <c r="E768" t="s">
        <v>789</v>
      </c>
      <c r="F768" t="s">
        <v>545</v>
      </c>
      <c r="G768" t="s">
        <v>156</v>
      </c>
      <c r="H768" t="s">
        <v>155</v>
      </c>
      <c r="I768" t="s">
        <v>820</v>
      </c>
      <c r="J768">
        <v>2010</v>
      </c>
      <c r="K768" t="b">
        <v>0</v>
      </c>
      <c r="X768">
        <v>82.06</v>
      </c>
      <c r="AD768">
        <v>82</v>
      </c>
      <c r="AG768" t="s">
        <v>884</v>
      </c>
      <c r="AH768" t="s">
        <v>885</v>
      </c>
    </row>
    <row r="769" spans="1:34" x14ac:dyDescent="0.35">
      <c r="A769" t="s">
        <v>880</v>
      </c>
      <c r="B769" t="s">
        <v>881</v>
      </c>
      <c r="C769" t="s">
        <v>882</v>
      </c>
      <c r="D769" t="s">
        <v>20</v>
      </c>
      <c r="E769" t="s">
        <v>789</v>
      </c>
      <c r="F769" t="s">
        <v>545</v>
      </c>
      <c r="G769" t="s">
        <v>162</v>
      </c>
      <c r="H769" t="s">
        <v>161</v>
      </c>
      <c r="I769" t="s">
        <v>820</v>
      </c>
      <c r="J769">
        <v>2010</v>
      </c>
      <c r="K769" t="b">
        <v>0</v>
      </c>
      <c r="X769">
        <v>81.55</v>
      </c>
      <c r="AD769">
        <v>82</v>
      </c>
      <c r="AG769" t="s">
        <v>884</v>
      </c>
      <c r="AH769" t="s">
        <v>885</v>
      </c>
    </row>
    <row r="770" spans="1:34" x14ac:dyDescent="0.35">
      <c r="A770" t="s">
        <v>880</v>
      </c>
      <c r="B770" t="s">
        <v>881</v>
      </c>
      <c r="C770" t="s">
        <v>882</v>
      </c>
      <c r="D770" t="s">
        <v>20</v>
      </c>
      <c r="E770" t="s">
        <v>789</v>
      </c>
      <c r="F770" t="s">
        <v>545</v>
      </c>
      <c r="G770" t="s">
        <v>165</v>
      </c>
      <c r="H770" t="s">
        <v>164</v>
      </c>
      <c r="I770" t="s">
        <v>820</v>
      </c>
      <c r="J770">
        <v>2010</v>
      </c>
      <c r="K770" t="b">
        <v>0</v>
      </c>
      <c r="X770">
        <v>81.7</v>
      </c>
      <c r="AD770">
        <v>82</v>
      </c>
      <c r="AG770" t="s">
        <v>884</v>
      </c>
      <c r="AH770" t="s">
        <v>885</v>
      </c>
    </row>
    <row r="771" spans="1:34" x14ac:dyDescent="0.35">
      <c r="A771" t="s">
        <v>880</v>
      </c>
      <c r="B771" t="s">
        <v>881</v>
      </c>
      <c r="C771" t="s">
        <v>882</v>
      </c>
      <c r="D771" t="s">
        <v>0</v>
      </c>
      <c r="E771" t="s">
        <v>887</v>
      </c>
      <c r="F771" t="s">
        <v>545</v>
      </c>
      <c r="G771" t="s">
        <v>12</v>
      </c>
      <c r="H771" t="s">
        <v>11</v>
      </c>
      <c r="I771" t="s">
        <v>820</v>
      </c>
      <c r="J771">
        <v>2010</v>
      </c>
      <c r="K771" t="b">
        <v>0</v>
      </c>
      <c r="X771">
        <v>83.27</v>
      </c>
      <c r="AD771">
        <v>83</v>
      </c>
      <c r="AG771" t="s">
        <v>884</v>
      </c>
      <c r="AH771" t="s">
        <v>885</v>
      </c>
    </row>
    <row r="772" spans="1:34" x14ac:dyDescent="0.35">
      <c r="A772" t="s">
        <v>880</v>
      </c>
      <c r="B772" t="s">
        <v>881</v>
      </c>
      <c r="C772" t="s">
        <v>882</v>
      </c>
      <c r="D772" t="s">
        <v>20</v>
      </c>
      <c r="E772" t="s">
        <v>789</v>
      </c>
      <c r="F772" t="s">
        <v>545</v>
      </c>
      <c r="G772" t="s">
        <v>86</v>
      </c>
      <c r="H772" t="s">
        <v>85</v>
      </c>
      <c r="I772" t="s">
        <v>820</v>
      </c>
      <c r="J772">
        <v>2010</v>
      </c>
      <c r="K772" t="b">
        <v>0</v>
      </c>
      <c r="X772">
        <v>82.55</v>
      </c>
      <c r="AD772">
        <v>83</v>
      </c>
      <c r="AG772" t="s">
        <v>884</v>
      </c>
      <c r="AH772" t="s">
        <v>885</v>
      </c>
    </row>
    <row r="773" spans="1:34" x14ac:dyDescent="0.35">
      <c r="A773" t="s">
        <v>880</v>
      </c>
      <c r="B773" t="s">
        <v>881</v>
      </c>
      <c r="C773" t="s">
        <v>882</v>
      </c>
      <c r="D773" t="s">
        <v>20</v>
      </c>
      <c r="E773" t="s">
        <v>789</v>
      </c>
      <c r="F773" t="s">
        <v>545</v>
      </c>
      <c r="G773" t="s">
        <v>316</v>
      </c>
      <c r="H773" t="s">
        <v>315</v>
      </c>
      <c r="I773" t="s">
        <v>820</v>
      </c>
      <c r="J773">
        <v>2010</v>
      </c>
      <c r="K773" t="b">
        <v>0</v>
      </c>
      <c r="X773">
        <v>82.94</v>
      </c>
      <c r="AD773">
        <v>83</v>
      </c>
      <c r="AG773" t="s">
        <v>884</v>
      </c>
      <c r="AH773" t="s">
        <v>885</v>
      </c>
    </row>
    <row r="774" spans="1:34" x14ac:dyDescent="0.35">
      <c r="A774" t="s">
        <v>880</v>
      </c>
      <c r="B774" t="s">
        <v>881</v>
      </c>
      <c r="C774" t="s">
        <v>882</v>
      </c>
      <c r="D774" t="s">
        <v>0</v>
      </c>
      <c r="E774" t="s">
        <v>887</v>
      </c>
      <c r="F774" t="s">
        <v>545</v>
      </c>
      <c r="G774" t="s">
        <v>339</v>
      </c>
      <c r="H774" t="s">
        <v>338</v>
      </c>
      <c r="I774" t="s">
        <v>820</v>
      </c>
      <c r="J774">
        <v>2010</v>
      </c>
      <c r="K774" t="b">
        <v>0</v>
      </c>
      <c r="X774">
        <v>82.75</v>
      </c>
      <c r="AD774">
        <v>83</v>
      </c>
      <c r="AG774" t="s">
        <v>884</v>
      </c>
      <c r="AH774" t="s">
        <v>885</v>
      </c>
    </row>
    <row r="775" spans="1:34" x14ac:dyDescent="0.35">
      <c r="A775" t="s">
        <v>880</v>
      </c>
      <c r="B775" t="s">
        <v>881</v>
      </c>
      <c r="C775" t="s">
        <v>882</v>
      </c>
      <c r="D775" t="s">
        <v>20</v>
      </c>
      <c r="E775" t="s">
        <v>789</v>
      </c>
      <c r="F775" t="s">
        <v>545</v>
      </c>
      <c r="G775" t="s">
        <v>518</v>
      </c>
      <c r="H775" t="s">
        <v>517</v>
      </c>
      <c r="I775" t="s">
        <v>820</v>
      </c>
      <c r="J775">
        <v>2010</v>
      </c>
      <c r="K775" t="b">
        <v>0</v>
      </c>
      <c r="X775">
        <v>82.83</v>
      </c>
      <c r="AD775">
        <v>83</v>
      </c>
      <c r="AG775" t="s">
        <v>884</v>
      </c>
      <c r="AH775" t="s">
        <v>885</v>
      </c>
    </row>
    <row r="776" spans="1:34" x14ac:dyDescent="0.35">
      <c r="A776" t="s">
        <v>880</v>
      </c>
      <c r="B776" t="s">
        <v>881</v>
      </c>
      <c r="C776" t="s">
        <v>882</v>
      </c>
      <c r="D776" t="s">
        <v>1</v>
      </c>
      <c r="E776" t="s">
        <v>889</v>
      </c>
      <c r="F776" t="s">
        <v>545</v>
      </c>
      <c r="G776" t="s">
        <v>29</v>
      </c>
      <c r="H776" t="s">
        <v>28</v>
      </c>
      <c r="I776" t="s">
        <v>820</v>
      </c>
      <c r="J776">
        <v>2010</v>
      </c>
      <c r="K776" t="b">
        <v>0</v>
      </c>
      <c r="X776">
        <v>84.07</v>
      </c>
      <c r="AD776">
        <v>84</v>
      </c>
      <c r="AG776" t="s">
        <v>884</v>
      </c>
      <c r="AH776" t="s">
        <v>885</v>
      </c>
    </row>
    <row r="777" spans="1:34" x14ac:dyDescent="0.35">
      <c r="A777" t="s">
        <v>880</v>
      </c>
      <c r="B777" t="s">
        <v>881</v>
      </c>
      <c r="C777" t="s">
        <v>882</v>
      </c>
      <c r="D777" t="s">
        <v>20</v>
      </c>
      <c r="E777" t="s">
        <v>789</v>
      </c>
      <c r="F777" t="s">
        <v>545</v>
      </c>
      <c r="G777" t="s">
        <v>536</v>
      </c>
      <c r="H777" t="s">
        <v>535</v>
      </c>
      <c r="I777" t="s">
        <v>820</v>
      </c>
      <c r="J777">
        <v>2010</v>
      </c>
      <c r="K777" t="b">
        <v>0</v>
      </c>
      <c r="X777">
        <v>84.08</v>
      </c>
      <c r="AD777">
        <v>84</v>
      </c>
      <c r="AG777" t="s">
        <v>884</v>
      </c>
      <c r="AH777" t="s">
        <v>885</v>
      </c>
    </row>
    <row r="778" spans="1:34" x14ac:dyDescent="0.35">
      <c r="A778" t="s">
        <v>880</v>
      </c>
      <c r="B778" t="s">
        <v>881</v>
      </c>
      <c r="C778" t="s">
        <v>882</v>
      </c>
      <c r="D778" t="s">
        <v>4</v>
      </c>
      <c r="E778" t="s">
        <v>883</v>
      </c>
      <c r="F778" t="s">
        <v>545</v>
      </c>
      <c r="G778" t="s">
        <v>77</v>
      </c>
      <c r="H778" t="s">
        <v>76</v>
      </c>
      <c r="I778" t="s">
        <v>820</v>
      </c>
      <c r="J778">
        <v>2005</v>
      </c>
      <c r="K778" t="b">
        <v>0</v>
      </c>
      <c r="X778">
        <v>14.22</v>
      </c>
      <c r="AD778">
        <v>14</v>
      </c>
      <c r="AG778" t="s">
        <v>884</v>
      </c>
      <c r="AH778" t="s">
        <v>885</v>
      </c>
    </row>
    <row r="779" spans="1:34" x14ac:dyDescent="0.35">
      <c r="A779" t="s">
        <v>880</v>
      </c>
      <c r="B779" t="s">
        <v>881</v>
      </c>
      <c r="C779" t="s">
        <v>882</v>
      </c>
      <c r="D779" t="s">
        <v>25</v>
      </c>
      <c r="E779" t="s">
        <v>886</v>
      </c>
      <c r="F779" t="s">
        <v>545</v>
      </c>
      <c r="G779" t="s">
        <v>249</v>
      </c>
      <c r="H779" t="s">
        <v>248</v>
      </c>
      <c r="I779" t="s">
        <v>820</v>
      </c>
      <c r="J779">
        <v>2005</v>
      </c>
      <c r="K779" t="b">
        <v>0</v>
      </c>
      <c r="X779">
        <v>16.399999999999999</v>
      </c>
      <c r="AD779">
        <v>16</v>
      </c>
      <c r="AG779" t="s">
        <v>884</v>
      </c>
      <c r="AH779" t="s">
        <v>885</v>
      </c>
    </row>
    <row r="780" spans="1:34" x14ac:dyDescent="0.35">
      <c r="A780" t="s">
        <v>880</v>
      </c>
      <c r="B780" t="s">
        <v>881</v>
      </c>
      <c r="C780" t="s">
        <v>882</v>
      </c>
      <c r="D780" t="s">
        <v>25</v>
      </c>
      <c r="E780" t="s">
        <v>886</v>
      </c>
      <c r="F780" t="s">
        <v>545</v>
      </c>
      <c r="G780" t="s">
        <v>422</v>
      </c>
      <c r="H780" t="s">
        <v>421</v>
      </c>
      <c r="I780" t="s">
        <v>820</v>
      </c>
      <c r="J780">
        <v>2005</v>
      </c>
      <c r="K780" t="b">
        <v>0</v>
      </c>
      <c r="X780">
        <v>18.54</v>
      </c>
      <c r="AD780">
        <v>19</v>
      </c>
      <c r="AG780" t="s">
        <v>884</v>
      </c>
      <c r="AH780" t="s">
        <v>885</v>
      </c>
    </row>
    <row r="781" spans="1:34" x14ac:dyDescent="0.35">
      <c r="A781" t="s">
        <v>880</v>
      </c>
      <c r="B781" t="s">
        <v>881</v>
      </c>
      <c r="C781" t="s">
        <v>882</v>
      </c>
      <c r="D781" t="s">
        <v>25</v>
      </c>
      <c r="E781" t="s">
        <v>886</v>
      </c>
      <c r="F781" t="s">
        <v>545</v>
      </c>
      <c r="G781" t="s">
        <v>31</v>
      </c>
      <c r="H781" t="s">
        <v>30</v>
      </c>
      <c r="I781" t="s">
        <v>820</v>
      </c>
      <c r="J781">
        <v>2005</v>
      </c>
      <c r="K781" t="b">
        <v>0</v>
      </c>
      <c r="X781">
        <v>19.82</v>
      </c>
      <c r="AD781">
        <v>20</v>
      </c>
      <c r="AG781" t="s">
        <v>884</v>
      </c>
      <c r="AH781" t="s">
        <v>885</v>
      </c>
    </row>
    <row r="782" spans="1:34" x14ac:dyDescent="0.35">
      <c r="A782" t="s">
        <v>880</v>
      </c>
      <c r="B782" t="s">
        <v>881</v>
      </c>
      <c r="C782" t="s">
        <v>882</v>
      </c>
      <c r="D782" t="s">
        <v>25</v>
      </c>
      <c r="E782" t="s">
        <v>886</v>
      </c>
      <c r="F782" t="s">
        <v>545</v>
      </c>
      <c r="G782" t="s">
        <v>65</v>
      </c>
      <c r="H782" t="s">
        <v>64</v>
      </c>
      <c r="I782" t="s">
        <v>820</v>
      </c>
      <c r="J782">
        <v>2005</v>
      </c>
      <c r="K782" t="b">
        <v>0</v>
      </c>
      <c r="X782">
        <v>19.53</v>
      </c>
      <c r="AD782">
        <v>20</v>
      </c>
      <c r="AG782" t="s">
        <v>884</v>
      </c>
      <c r="AH782" t="s">
        <v>885</v>
      </c>
    </row>
    <row r="783" spans="1:34" x14ac:dyDescent="0.35">
      <c r="A783" t="s">
        <v>880</v>
      </c>
      <c r="B783" t="s">
        <v>881</v>
      </c>
      <c r="C783" t="s">
        <v>882</v>
      </c>
      <c r="D783" t="s">
        <v>25</v>
      </c>
      <c r="E783" t="s">
        <v>886</v>
      </c>
      <c r="F783" t="s">
        <v>545</v>
      </c>
      <c r="G783" t="s">
        <v>446</v>
      </c>
      <c r="H783" t="s">
        <v>445</v>
      </c>
      <c r="I783" t="s">
        <v>820</v>
      </c>
      <c r="J783">
        <v>2005</v>
      </c>
      <c r="K783" t="b">
        <v>0</v>
      </c>
      <c r="X783">
        <v>20.55</v>
      </c>
      <c r="AD783">
        <v>21</v>
      </c>
      <c r="AG783" t="s">
        <v>884</v>
      </c>
      <c r="AH783" t="s">
        <v>885</v>
      </c>
    </row>
    <row r="784" spans="1:34" x14ac:dyDescent="0.35">
      <c r="A784" t="s">
        <v>880</v>
      </c>
      <c r="B784" t="s">
        <v>881</v>
      </c>
      <c r="C784" t="s">
        <v>882</v>
      </c>
      <c r="D784" t="s">
        <v>25</v>
      </c>
      <c r="E784" t="s">
        <v>886</v>
      </c>
      <c r="F784" t="s">
        <v>545</v>
      </c>
      <c r="G784" t="s">
        <v>434</v>
      </c>
      <c r="H784" t="s">
        <v>433</v>
      </c>
      <c r="I784" t="s">
        <v>820</v>
      </c>
      <c r="J784">
        <v>2005</v>
      </c>
      <c r="K784" t="b">
        <v>0</v>
      </c>
      <c r="X784">
        <v>20.69</v>
      </c>
      <c r="AD784">
        <v>21</v>
      </c>
      <c r="AG784" t="s">
        <v>884</v>
      </c>
      <c r="AH784" t="s">
        <v>885</v>
      </c>
    </row>
    <row r="785" spans="1:34" x14ac:dyDescent="0.35">
      <c r="A785" t="s">
        <v>880</v>
      </c>
      <c r="B785" t="s">
        <v>881</v>
      </c>
      <c r="C785" t="s">
        <v>882</v>
      </c>
      <c r="D785" t="s">
        <v>25</v>
      </c>
      <c r="E785" t="s">
        <v>886</v>
      </c>
      <c r="F785" t="s">
        <v>545</v>
      </c>
      <c r="G785" t="s">
        <v>301</v>
      </c>
      <c r="H785" t="s">
        <v>300</v>
      </c>
      <c r="I785" t="s">
        <v>820</v>
      </c>
      <c r="J785">
        <v>2005</v>
      </c>
      <c r="K785" t="b">
        <v>0</v>
      </c>
      <c r="X785">
        <v>21.67</v>
      </c>
      <c r="AD785">
        <v>22</v>
      </c>
      <c r="AG785" t="s">
        <v>884</v>
      </c>
      <c r="AH785" t="s">
        <v>885</v>
      </c>
    </row>
    <row r="786" spans="1:34" x14ac:dyDescent="0.35">
      <c r="A786" t="s">
        <v>880</v>
      </c>
      <c r="B786" t="s">
        <v>881</v>
      </c>
      <c r="C786" t="s">
        <v>882</v>
      </c>
      <c r="D786" t="s">
        <v>25</v>
      </c>
      <c r="E786" t="s">
        <v>886</v>
      </c>
      <c r="F786" t="s">
        <v>545</v>
      </c>
      <c r="G786" t="s">
        <v>304</v>
      </c>
      <c r="H786" t="s">
        <v>303</v>
      </c>
      <c r="I786" t="s">
        <v>820</v>
      </c>
      <c r="J786">
        <v>2005</v>
      </c>
      <c r="K786" t="b">
        <v>0</v>
      </c>
      <c r="X786">
        <v>22.3</v>
      </c>
      <c r="AD786">
        <v>22</v>
      </c>
      <c r="AG786" t="s">
        <v>884</v>
      </c>
      <c r="AH786" t="s">
        <v>885</v>
      </c>
    </row>
    <row r="787" spans="1:34" x14ac:dyDescent="0.35">
      <c r="A787" t="s">
        <v>880</v>
      </c>
      <c r="B787" t="s">
        <v>881</v>
      </c>
      <c r="C787" t="s">
        <v>882</v>
      </c>
      <c r="D787" t="s">
        <v>25</v>
      </c>
      <c r="E787" t="s">
        <v>886</v>
      </c>
      <c r="F787" t="s">
        <v>545</v>
      </c>
      <c r="G787" t="s">
        <v>216</v>
      </c>
      <c r="H787" t="s">
        <v>215</v>
      </c>
      <c r="I787" t="s">
        <v>820</v>
      </c>
      <c r="J787">
        <v>2005</v>
      </c>
      <c r="K787" t="b">
        <v>0</v>
      </c>
      <c r="X787">
        <v>23.13</v>
      </c>
      <c r="AD787">
        <v>23</v>
      </c>
      <c r="AG787" t="s">
        <v>884</v>
      </c>
      <c r="AH787" t="s">
        <v>885</v>
      </c>
    </row>
    <row r="788" spans="1:34" x14ac:dyDescent="0.35">
      <c r="A788" t="s">
        <v>880</v>
      </c>
      <c r="B788" t="s">
        <v>881</v>
      </c>
      <c r="C788" t="s">
        <v>882</v>
      </c>
      <c r="D788" t="s">
        <v>25</v>
      </c>
      <c r="E788" t="s">
        <v>886</v>
      </c>
      <c r="F788" t="s">
        <v>545</v>
      </c>
      <c r="G788" t="s">
        <v>351</v>
      </c>
      <c r="H788" t="s">
        <v>350</v>
      </c>
      <c r="I788" t="s">
        <v>820</v>
      </c>
      <c r="J788">
        <v>2005</v>
      </c>
      <c r="K788" t="b">
        <v>0</v>
      </c>
      <c r="X788">
        <v>22.54</v>
      </c>
      <c r="AD788">
        <v>23</v>
      </c>
      <c r="AG788" t="s">
        <v>884</v>
      </c>
      <c r="AH788" t="s">
        <v>885</v>
      </c>
    </row>
    <row r="789" spans="1:34" x14ac:dyDescent="0.35">
      <c r="A789" t="s">
        <v>880</v>
      </c>
      <c r="B789" t="s">
        <v>881</v>
      </c>
      <c r="C789" t="s">
        <v>882</v>
      </c>
      <c r="D789" t="s">
        <v>25</v>
      </c>
      <c r="E789" t="s">
        <v>886</v>
      </c>
      <c r="F789" t="s">
        <v>545</v>
      </c>
      <c r="G789" t="s">
        <v>231</v>
      </c>
      <c r="H789" t="s">
        <v>230</v>
      </c>
      <c r="I789" t="s">
        <v>820</v>
      </c>
      <c r="J789">
        <v>2005</v>
      </c>
      <c r="K789" t="b">
        <v>0</v>
      </c>
      <c r="X789">
        <v>23.96</v>
      </c>
      <c r="AD789">
        <v>24</v>
      </c>
      <c r="AG789" t="s">
        <v>884</v>
      </c>
      <c r="AH789" t="s">
        <v>885</v>
      </c>
    </row>
    <row r="790" spans="1:34" x14ac:dyDescent="0.35">
      <c r="A790" t="s">
        <v>880</v>
      </c>
      <c r="B790" t="s">
        <v>881</v>
      </c>
      <c r="C790" t="s">
        <v>882</v>
      </c>
      <c r="D790" t="s">
        <v>25</v>
      </c>
      <c r="E790" t="s">
        <v>886</v>
      </c>
      <c r="F790" t="s">
        <v>545</v>
      </c>
      <c r="G790" t="s">
        <v>345</v>
      </c>
      <c r="H790" t="s">
        <v>344</v>
      </c>
      <c r="I790" t="s">
        <v>820</v>
      </c>
      <c r="J790">
        <v>2005</v>
      </c>
      <c r="K790" t="b">
        <v>0</v>
      </c>
      <c r="X790">
        <v>24.44</v>
      </c>
      <c r="AD790">
        <v>24</v>
      </c>
      <c r="AG790" t="s">
        <v>884</v>
      </c>
      <c r="AH790" t="s">
        <v>885</v>
      </c>
    </row>
    <row r="791" spans="1:34" x14ac:dyDescent="0.35">
      <c r="A791" t="s">
        <v>880</v>
      </c>
      <c r="B791" t="s">
        <v>881</v>
      </c>
      <c r="C791" t="s">
        <v>882</v>
      </c>
      <c r="D791" t="s">
        <v>43</v>
      </c>
      <c r="E791" t="s">
        <v>890</v>
      </c>
      <c r="F791" t="s">
        <v>545</v>
      </c>
      <c r="G791" t="s">
        <v>68</v>
      </c>
      <c r="H791" t="s">
        <v>67</v>
      </c>
      <c r="I791" t="s">
        <v>820</v>
      </c>
      <c r="J791">
        <v>2005</v>
      </c>
      <c r="K791" t="b">
        <v>0</v>
      </c>
      <c r="X791">
        <v>24.35</v>
      </c>
      <c r="AD791">
        <v>24</v>
      </c>
      <c r="AG791" t="s">
        <v>884</v>
      </c>
      <c r="AH791" t="s">
        <v>885</v>
      </c>
    </row>
    <row r="792" spans="1:34" x14ac:dyDescent="0.35">
      <c r="A792" t="s">
        <v>880</v>
      </c>
      <c r="B792" t="s">
        <v>881</v>
      </c>
      <c r="C792" t="s">
        <v>882</v>
      </c>
      <c r="D792" t="s">
        <v>25</v>
      </c>
      <c r="E792" t="s">
        <v>886</v>
      </c>
      <c r="F792" t="s">
        <v>545</v>
      </c>
      <c r="G792" t="s">
        <v>240</v>
      </c>
      <c r="H792" t="s">
        <v>239</v>
      </c>
      <c r="I792" t="s">
        <v>820</v>
      </c>
      <c r="J792">
        <v>2005</v>
      </c>
      <c r="K792" t="b">
        <v>0</v>
      </c>
      <c r="X792">
        <v>25.23</v>
      </c>
      <c r="AD792">
        <v>25</v>
      </c>
      <c r="AG792" t="s">
        <v>884</v>
      </c>
      <c r="AH792" t="s">
        <v>885</v>
      </c>
    </row>
    <row r="793" spans="1:34" x14ac:dyDescent="0.35">
      <c r="A793" t="s">
        <v>880</v>
      </c>
      <c r="B793" t="s">
        <v>881</v>
      </c>
      <c r="C793" t="s">
        <v>882</v>
      </c>
      <c r="D793" t="s">
        <v>25</v>
      </c>
      <c r="E793" t="s">
        <v>886</v>
      </c>
      <c r="F793" t="s">
        <v>545</v>
      </c>
      <c r="G793" t="s">
        <v>50</v>
      </c>
      <c r="H793" t="s">
        <v>49</v>
      </c>
      <c r="I793" t="s">
        <v>820</v>
      </c>
      <c r="J793">
        <v>2005</v>
      </c>
      <c r="K793" t="b">
        <v>0</v>
      </c>
      <c r="X793">
        <v>24.79</v>
      </c>
      <c r="AD793">
        <v>25</v>
      </c>
      <c r="AG793" t="s">
        <v>884</v>
      </c>
      <c r="AH793" t="s">
        <v>885</v>
      </c>
    </row>
    <row r="794" spans="1:34" x14ac:dyDescent="0.35">
      <c r="A794" t="s">
        <v>880</v>
      </c>
      <c r="B794" t="s">
        <v>881</v>
      </c>
      <c r="C794" t="s">
        <v>882</v>
      </c>
      <c r="D794" t="s">
        <v>25</v>
      </c>
      <c r="E794" t="s">
        <v>886</v>
      </c>
      <c r="F794" t="s">
        <v>545</v>
      </c>
      <c r="G794" t="s">
        <v>295</v>
      </c>
      <c r="H794" t="s">
        <v>294</v>
      </c>
      <c r="I794" t="s">
        <v>820</v>
      </c>
      <c r="J794">
        <v>2005</v>
      </c>
      <c r="K794" t="b">
        <v>0</v>
      </c>
      <c r="X794">
        <v>25.38</v>
      </c>
      <c r="AD794">
        <v>25</v>
      </c>
      <c r="AG794" t="s">
        <v>884</v>
      </c>
      <c r="AH794" t="s">
        <v>885</v>
      </c>
    </row>
    <row r="795" spans="1:34" x14ac:dyDescent="0.35">
      <c r="A795" t="s">
        <v>880</v>
      </c>
      <c r="B795" t="s">
        <v>881</v>
      </c>
      <c r="C795" t="s">
        <v>882</v>
      </c>
      <c r="D795" t="s">
        <v>25</v>
      </c>
      <c r="E795" t="s">
        <v>886</v>
      </c>
      <c r="F795" t="s">
        <v>545</v>
      </c>
      <c r="G795" t="s">
        <v>360</v>
      </c>
      <c r="H795" t="s">
        <v>359</v>
      </c>
      <c r="I795" t="s">
        <v>820</v>
      </c>
      <c r="J795">
        <v>2005</v>
      </c>
      <c r="K795" t="b">
        <v>0</v>
      </c>
      <c r="X795">
        <v>25.47</v>
      </c>
      <c r="AD795">
        <v>25</v>
      </c>
      <c r="AG795" t="s">
        <v>884</v>
      </c>
      <c r="AH795" t="s">
        <v>885</v>
      </c>
    </row>
    <row r="796" spans="1:34" x14ac:dyDescent="0.35">
      <c r="A796" t="s">
        <v>880</v>
      </c>
      <c r="B796" t="s">
        <v>881</v>
      </c>
      <c r="C796" t="s">
        <v>882</v>
      </c>
      <c r="D796" t="s">
        <v>4</v>
      </c>
      <c r="E796" t="s">
        <v>883</v>
      </c>
      <c r="F796" t="s">
        <v>545</v>
      </c>
      <c r="G796" t="s">
        <v>114</v>
      </c>
      <c r="H796" t="s">
        <v>113</v>
      </c>
      <c r="I796" t="s">
        <v>820</v>
      </c>
      <c r="J796">
        <v>2005</v>
      </c>
      <c r="K796" t="b">
        <v>0</v>
      </c>
      <c r="X796">
        <v>25.53</v>
      </c>
      <c r="AD796">
        <v>26</v>
      </c>
      <c r="AG796" t="s">
        <v>884</v>
      </c>
      <c r="AH796" t="s">
        <v>885</v>
      </c>
    </row>
    <row r="797" spans="1:34" x14ac:dyDescent="0.35">
      <c r="A797" t="s">
        <v>880</v>
      </c>
      <c r="B797" t="s">
        <v>881</v>
      </c>
      <c r="C797" t="s">
        <v>882</v>
      </c>
      <c r="D797" t="s">
        <v>43</v>
      </c>
      <c r="E797" t="s">
        <v>890</v>
      </c>
      <c r="F797" t="s">
        <v>545</v>
      </c>
      <c r="G797" t="s">
        <v>193</v>
      </c>
      <c r="H797" t="s">
        <v>192</v>
      </c>
      <c r="I797" t="s">
        <v>820</v>
      </c>
      <c r="J797">
        <v>2005</v>
      </c>
      <c r="K797" t="b">
        <v>0</v>
      </c>
      <c r="X797">
        <v>26.15</v>
      </c>
      <c r="AD797">
        <v>26</v>
      </c>
      <c r="AG797" t="s">
        <v>884</v>
      </c>
      <c r="AH797" t="s">
        <v>885</v>
      </c>
    </row>
    <row r="798" spans="1:34" x14ac:dyDescent="0.35">
      <c r="A798" t="s">
        <v>880</v>
      </c>
      <c r="B798" t="s">
        <v>881</v>
      </c>
      <c r="C798" t="s">
        <v>882</v>
      </c>
      <c r="D798" t="s">
        <v>25</v>
      </c>
      <c r="E798" t="s">
        <v>886</v>
      </c>
      <c r="F798" t="s">
        <v>545</v>
      </c>
      <c r="G798" t="s">
        <v>27</v>
      </c>
      <c r="H798" t="s">
        <v>26</v>
      </c>
      <c r="I798" t="s">
        <v>820</v>
      </c>
      <c r="J798">
        <v>2005</v>
      </c>
      <c r="K798" t="b">
        <v>0</v>
      </c>
      <c r="X798">
        <v>25.96</v>
      </c>
      <c r="AD798">
        <v>26</v>
      </c>
      <c r="AG798" t="s">
        <v>884</v>
      </c>
      <c r="AH798" t="s">
        <v>885</v>
      </c>
    </row>
    <row r="799" spans="1:34" x14ac:dyDescent="0.35">
      <c r="A799" t="s">
        <v>880</v>
      </c>
      <c r="B799" t="s">
        <v>881</v>
      </c>
      <c r="C799" t="s">
        <v>882</v>
      </c>
      <c r="D799" t="s">
        <v>25</v>
      </c>
      <c r="E799" t="s">
        <v>886</v>
      </c>
      <c r="F799" t="s">
        <v>545</v>
      </c>
      <c r="G799" t="s">
        <v>120</v>
      </c>
      <c r="H799" t="s">
        <v>119</v>
      </c>
      <c r="I799" t="s">
        <v>820</v>
      </c>
      <c r="J799">
        <v>2005</v>
      </c>
      <c r="K799" t="b">
        <v>0</v>
      </c>
      <c r="X799">
        <v>25.67</v>
      </c>
      <c r="AD799">
        <v>26</v>
      </c>
      <c r="AG799" t="s">
        <v>884</v>
      </c>
      <c r="AH799" t="s">
        <v>885</v>
      </c>
    </row>
    <row r="800" spans="1:34" x14ac:dyDescent="0.35">
      <c r="A800" t="s">
        <v>880</v>
      </c>
      <c r="B800" t="s">
        <v>881</v>
      </c>
      <c r="C800" t="s">
        <v>882</v>
      </c>
      <c r="D800" t="s">
        <v>25</v>
      </c>
      <c r="E800" t="s">
        <v>886</v>
      </c>
      <c r="F800" t="s">
        <v>545</v>
      </c>
      <c r="G800" t="s">
        <v>268</v>
      </c>
      <c r="H800" t="s">
        <v>888</v>
      </c>
      <c r="I800" t="s">
        <v>820</v>
      </c>
      <c r="J800">
        <v>2005</v>
      </c>
      <c r="K800" t="b">
        <v>0</v>
      </c>
      <c r="X800">
        <v>26.84</v>
      </c>
      <c r="AD800">
        <v>27</v>
      </c>
      <c r="AG800" t="s">
        <v>884</v>
      </c>
      <c r="AH800" t="s">
        <v>885</v>
      </c>
    </row>
    <row r="801" spans="1:34" x14ac:dyDescent="0.35">
      <c r="A801" t="s">
        <v>880</v>
      </c>
      <c r="B801" t="s">
        <v>881</v>
      </c>
      <c r="C801" t="s">
        <v>882</v>
      </c>
      <c r="D801" t="s">
        <v>25</v>
      </c>
      <c r="E801" t="s">
        <v>886</v>
      </c>
      <c r="F801" t="s">
        <v>545</v>
      </c>
      <c r="G801" t="s">
        <v>371</v>
      </c>
      <c r="H801" t="s">
        <v>370</v>
      </c>
      <c r="I801" t="s">
        <v>820</v>
      </c>
      <c r="J801">
        <v>2005</v>
      </c>
      <c r="K801" t="b">
        <v>0</v>
      </c>
      <c r="X801">
        <v>26.92</v>
      </c>
      <c r="AD801">
        <v>27</v>
      </c>
      <c r="AG801" t="s">
        <v>884</v>
      </c>
      <c r="AH801" t="s">
        <v>885</v>
      </c>
    </row>
    <row r="802" spans="1:34" x14ac:dyDescent="0.35">
      <c r="A802" t="s">
        <v>880</v>
      </c>
      <c r="B802" t="s">
        <v>881</v>
      </c>
      <c r="C802" t="s">
        <v>882</v>
      </c>
      <c r="D802" t="s">
        <v>25</v>
      </c>
      <c r="E802" t="s">
        <v>886</v>
      </c>
      <c r="F802" t="s">
        <v>545</v>
      </c>
      <c r="G802" t="s">
        <v>413</v>
      </c>
      <c r="H802" t="s">
        <v>412</v>
      </c>
      <c r="I802" t="s">
        <v>820</v>
      </c>
      <c r="J802">
        <v>2005</v>
      </c>
      <c r="K802" t="b">
        <v>0</v>
      </c>
      <c r="X802">
        <v>27.04</v>
      </c>
      <c r="AD802">
        <v>27</v>
      </c>
      <c r="AG802" t="s">
        <v>884</v>
      </c>
      <c r="AH802" t="s">
        <v>885</v>
      </c>
    </row>
    <row r="803" spans="1:34" x14ac:dyDescent="0.35">
      <c r="A803" t="s">
        <v>880</v>
      </c>
      <c r="B803" t="s">
        <v>881</v>
      </c>
      <c r="C803" t="s">
        <v>882</v>
      </c>
      <c r="D803" t="s">
        <v>25</v>
      </c>
      <c r="E803" t="s">
        <v>886</v>
      </c>
      <c r="F803" t="s">
        <v>545</v>
      </c>
      <c r="G803" t="s">
        <v>541</v>
      </c>
      <c r="H803" t="s">
        <v>540</v>
      </c>
      <c r="I803" t="s">
        <v>820</v>
      </c>
      <c r="J803">
        <v>2005</v>
      </c>
      <c r="K803" t="b">
        <v>0</v>
      </c>
      <c r="X803">
        <v>27.07</v>
      </c>
      <c r="AD803">
        <v>27</v>
      </c>
      <c r="AG803" t="s">
        <v>884</v>
      </c>
      <c r="AH803" t="s">
        <v>885</v>
      </c>
    </row>
    <row r="804" spans="1:34" x14ac:dyDescent="0.35">
      <c r="A804" t="s">
        <v>880</v>
      </c>
      <c r="B804" t="s">
        <v>881</v>
      </c>
      <c r="C804" t="s">
        <v>882</v>
      </c>
      <c r="D804" t="s">
        <v>25</v>
      </c>
      <c r="E804" t="s">
        <v>886</v>
      </c>
      <c r="F804" t="s">
        <v>545</v>
      </c>
      <c r="G804" t="s">
        <v>74</v>
      </c>
      <c r="H804" t="s">
        <v>73</v>
      </c>
      <c r="I804" t="s">
        <v>820</v>
      </c>
      <c r="J804">
        <v>2005</v>
      </c>
      <c r="K804" t="b">
        <v>0</v>
      </c>
      <c r="X804">
        <v>28.26</v>
      </c>
      <c r="AD804">
        <v>28</v>
      </c>
      <c r="AG804" t="s">
        <v>884</v>
      </c>
      <c r="AH804" t="s">
        <v>885</v>
      </c>
    </row>
    <row r="805" spans="1:34" x14ac:dyDescent="0.35">
      <c r="A805" t="s">
        <v>880</v>
      </c>
      <c r="B805" t="s">
        <v>881</v>
      </c>
      <c r="C805" t="s">
        <v>882</v>
      </c>
      <c r="D805" t="s">
        <v>25</v>
      </c>
      <c r="E805" t="s">
        <v>886</v>
      </c>
      <c r="F805" t="s">
        <v>545</v>
      </c>
      <c r="G805" t="s">
        <v>443</v>
      </c>
      <c r="H805" t="s">
        <v>442</v>
      </c>
      <c r="I805" t="s">
        <v>820</v>
      </c>
      <c r="J805">
        <v>2005</v>
      </c>
      <c r="K805" t="b">
        <v>0</v>
      </c>
      <c r="X805">
        <v>29.17</v>
      </c>
      <c r="AD805">
        <v>29</v>
      </c>
      <c r="AG805" t="s">
        <v>884</v>
      </c>
      <c r="AH805" t="s">
        <v>885</v>
      </c>
    </row>
    <row r="806" spans="1:34" x14ac:dyDescent="0.35">
      <c r="A806" t="s">
        <v>880</v>
      </c>
      <c r="B806" t="s">
        <v>881</v>
      </c>
      <c r="C806" t="s">
        <v>882</v>
      </c>
      <c r="D806" t="s">
        <v>0</v>
      </c>
      <c r="E806" t="s">
        <v>887</v>
      </c>
      <c r="F806" t="s">
        <v>545</v>
      </c>
      <c r="G806" t="s">
        <v>107</v>
      </c>
      <c r="H806" t="s">
        <v>106</v>
      </c>
      <c r="I806" t="s">
        <v>820</v>
      </c>
      <c r="J806">
        <v>2005</v>
      </c>
      <c r="K806" t="b">
        <v>0</v>
      </c>
      <c r="X806">
        <v>28.84</v>
      </c>
      <c r="AD806">
        <v>29</v>
      </c>
      <c r="AG806" t="s">
        <v>884</v>
      </c>
      <c r="AH806" t="s">
        <v>885</v>
      </c>
    </row>
    <row r="807" spans="1:34" x14ac:dyDescent="0.35">
      <c r="A807" t="s">
        <v>880</v>
      </c>
      <c r="B807" t="s">
        <v>881</v>
      </c>
      <c r="C807" t="s">
        <v>882</v>
      </c>
      <c r="D807" t="s">
        <v>4</v>
      </c>
      <c r="E807" t="s">
        <v>883</v>
      </c>
      <c r="F807" t="s">
        <v>545</v>
      </c>
      <c r="G807" t="s">
        <v>449</v>
      </c>
      <c r="H807" t="s">
        <v>448</v>
      </c>
      <c r="I807" t="s">
        <v>820</v>
      </c>
      <c r="J807">
        <v>2005</v>
      </c>
      <c r="K807" t="b">
        <v>0</v>
      </c>
      <c r="X807">
        <v>28.78</v>
      </c>
      <c r="AD807">
        <v>29</v>
      </c>
      <c r="AG807" t="s">
        <v>884</v>
      </c>
      <c r="AH807" t="s">
        <v>885</v>
      </c>
    </row>
    <row r="808" spans="1:34" x14ac:dyDescent="0.35">
      <c r="A808" t="s">
        <v>880</v>
      </c>
      <c r="B808" t="s">
        <v>881</v>
      </c>
      <c r="C808" t="s">
        <v>882</v>
      </c>
      <c r="D808" t="s">
        <v>25</v>
      </c>
      <c r="E808" t="s">
        <v>886</v>
      </c>
      <c r="F808" t="s">
        <v>545</v>
      </c>
      <c r="G808" t="s">
        <v>246</v>
      </c>
      <c r="H808" t="s">
        <v>245</v>
      </c>
      <c r="I808" t="s">
        <v>820</v>
      </c>
      <c r="J808">
        <v>2005</v>
      </c>
      <c r="K808" t="b">
        <v>0</v>
      </c>
      <c r="X808">
        <v>30.31</v>
      </c>
      <c r="AD808">
        <v>30</v>
      </c>
      <c r="AG808" t="s">
        <v>884</v>
      </c>
      <c r="AH808" t="s">
        <v>885</v>
      </c>
    </row>
    <row r="809" spans="1:34" x14ac:dyDescent="0.35">
      <c r="A809" t="s">
        <v>880</v>
      </c>
      <c r="B809" t="s">
        <v>881</v>
      </c>
      <c r="C809" t="s">
        <v>882</v>
      </c>
      <c r="D809" t="s">
        <v>25</v>
      </c>
      <c r="E809" t="s">
        <v>886</v>
      </c>
      <c r="F809" t="s">
        <v>545</v>
      </c>
      <c r="G809" t="s">
        <v>280</v>
      </c>
      <c r="H809" t="s">
        <v>279</v>
      </c>
      <c r="I809" t="s">
        <v>820</v>
      </c>
      <c r="J809">
        <v>2005</v>
      </c>
      <c r="K809" t="b">
        <v>0</v>
      </c>
      <c r="X809">
        <v>29.67</v>
      </c>
      <c r="AD809">
        <v>30</v>
      </c>
      <c r="AG809" t="s">
        <v>884</v>
      </c>
      <c r="AH809" t="s">
        <v>885</v>
      </c>
    </row>
    <row r="810" spans="1:34" x14ac:dyDescent="0.35">
      <c r="A810" t="s">
        <v>880</v>
      </c>
      <c r="B810" t="s">
        <v>881</v>
      </c>
      <c r="C810" t="s">
        <v>882</v>
      </c>
      <c r="D810" t="s">
        <v>25</v>
      </c>
      <c r="E810" t="s">
        <v>886</v>
      </c>
      <c r="F810" t="s">
        <v>545</v>
      </c>
      <c r="G810" t="s">
        <v>523</v>
      </c>
      <c r="H810" t="s">
        <v>522</v>
      </c>
      <c r="I810" t="s">
        <v>820</v>
      </c>
      <c r="J810">
        <v>2005</v>
      </c>
      <c r="K810" t="b">
        <v>0</v>
      </c>
      <c r="X810">
        <v>30.43</v>
      </c>
      <c r="AD810">
        <v>30</v>
      </c>
      <c r="AG810" t="s">
        <v>884</v>
      </c>
      <c r="AH810" t="s">
        <v>885</v>
      </c>
    </row>
    <row r="811" spans="1:34" x14ac:dyDescent="0.35">
      <c r="A811" t="s">
        <v>880</v>
      </c>
      <c r="B811" t="s">
        <v>881</v>
      </c>
      <c r="C811" t="s">
        <v>882</v>
      </c>
      <c r="D811" t="s">
        <v>25</v>
      </c>
      <c r="E811" t="s">
        <v>886</v>
      </c>
      <c r="F811" t="s">
        <v>545</v>
      </c>
      <c r="G811" t="s">
        <v>532</v>
      </c>
      <c r="H811" t="s">
        <v>531</v>
      </c>
      <c r="I811" t="s">
        <v>820</v>
      </c>
      <c r="J811">
        <v>2005</v>
      </c>
      <c r="K811" t="b">
        <v>0</v>
      </c>
      <c r="X811">
        <v>31.47</v>
      </c>
      <c r="AD811">
        <v>31</v>
      </c>
      <c r="AG811" t="s">
        <v>884</v>
      </c>
      <c r="AH811" t="s">
        <v>885</v>
      </c>
    </row>
    <row r="812" spans="1:34" x14ac:dyDescent="0.35">
      <c r="A812" t="s">
        <v>880</v>
      </c>
      <c r="B812" t="s">
        <v>881</v>
      </c>
      <c r="C812" t="s">
        <v>882</v>
      </c>
      <c r="D812" t="s">
        <v>25</v>
      </c>
      <c r="E812" t="s">
        <v>886</v>
      </c>
      <c r="F812" t="s">
        <v>545</v>
      </c>
      <c r="G812" t="s">
        <v>354</v>
      </c>
      <c r="H812" t="s">
        <v>353</v>
      </c>
      <c r="I812" t="s">
        <v>820</v>
      </c>
      <c r="J812">
        <v>2005</v>
      </c>
      <c r="K812" t="b">
        <v>0</v>
      </c>
      <c r="X812">
        <v>30.64</v>
      </c>
      <c r="AD812">
        <v>31</v>
      </c>
      <c r="AG812" t="s">
        <v>884</v>
      </c>
      <c r="AH812" t="s">
        <v>885</v>
      </c>
    </row>
    <row r="813" spans="1:34" x14ac:dyDescent="0.35">
      <c r="A813" t="s">
        <v>880</v>
      </c>
      <c r="B813" t="s">
        <v>881</v>
      </c>
      <c r="C813" t="s">
        <v>882</v>
      </c>
      <c r="D813" t="s">
        <v>25</v>
      </c>
      <c r="E813" t="s">
        <v>886</v>
      </c>
      <c r="F813" t="s">
        <v>545</v>
      </c>
      <c r="G813" t="s">
        <v>407</v>
      </c>
      <c r="H813" t="s">
        <v>406</v>
      </c>
      <c r="I813" t="s">
        <v>820</v>
      </c>
      <c r="J813">
        <v>2005</v>
      </c>
      <c r="K813" t="b">
        <v>0</v>
      </c>
      <c r="X813">
        <v>30.7</v>
      </c>
      <c r="AD813">
        <v>31</v>
      </c>
      <c r="AG813" t="s">
        <v>884</v>
      </c>
      <c r="AH813" t="s">
        <v>885</v>
      </c>
    </row>
    <row r="814" spans="1:34" x14ac:dyDescent="0.35">
      <c r="A814" t="s">
        <v>880</v>
      </c>
      <c r="B814" t="s">
        <v>881</v>
      </c>
      <c r="C814" t="s">
        <v>882</v>
      </c>
      <c r="D814" t="s">
        <v>25</v>
      </c>
      <c r="E814" t="s">
        <v>886</v>
      </c>
      <c r="F814" t="s">
        <v>545</v>
      </c>
      <c r="G814" t="s">
        <v>464</v>
      </c>
      <c r="H814" t="s">
        <v>463</v>
      </c>
      <c r="I814" t="s">
        <v>820</v>
      </c>
      <c r="J814">
        <v>2005</v>
      </c>
      <c r="K814" t="b">
        <v>0</v>
      </c>
      <c r="X814">
        <v>31.47</v>
      </c>
      <c r="AD814">
        <v>31</v>
      </c>
      <c r="AG814" t="s">
        <v>884</v>
      </c>
      <c r="AH814" t="s">
        <v>885</v>
      </c>
    </row>
    <row r="815" spans="1:34" x14ac:dyDescent="0.35">
      <c r="A815" t="s">
        <v>880</v>
      </c>
      <c r="B815" t="s">
        <v>881</v>
      </c>
      <c r="C815" t="s">
        <v>882</v>
      </c>
      <c r="D815" t="s">
        <v>4</v>
      </c>
      <c r="E815" t="s">
        <v>883</v>
      </c>
      <c r="F815" t="s">
        <v>545</v>
      </c>
      <c r="G815" t="s">
        <v>271</v>
      </c>
      <c r="H815" t="s">
        <v>270</v>
      </c>
      <c r="I815" t="s">
        <v>820</v>
      </c>
      <c r="J815">
        <v>2005</v>
      </c>
      <c r="K815" t="b">
        <v>0</v>
      </c>
      <c r="X815">
        <v>32.07</v>
      </c>
      <c r="AD815">
        <v>32</v>
      </c>
      <c r="AG815" t="s">
        <v>884</v>
      </c>
      <c r="AH815" t="s">
        <v>885</v>
      </c>
    </row>
    <row r="816" spans="1:34" x14ac:dyDescent="0.35">
      <c r="A816" t="s">
        <v>880</v>
      </c>
      <c r="B816" t="s">
        <v>881</v>
      </c>
      <c r="C816" t="s">
        <v>882</v>
      </c>
      <c r="D816" t="s">
        <v>4</v>
      </c>
      <c r="E816" t="s">
        <v>883</v>
      </c>
      <c r="F816" t="s">
        <v>545</v>
      </c>
      <c r="G816" t="s">
        <v>123</v>
      </c>
      <c r="H816" t="s">
        <v>122</v>
      </c>
      <c r="I816" t="s">
        <v>820</v>
      </c>
      <c r="J816">
        <v>2005</v>
      </c>
      <c r="K816" t="b">
        <v>0</v>
      </c>
      <c r="X816">
        <v>31.64</v>
      </c>
      <c r="AD816">
        <v>32</v>
      </c>
      <c r="AG816" t="s">
        <v>884</v>
      </c>
      <c r="AH816" t="s">
        <v>885</v>
      </c>
    </row>
    <row r="817" spans="1:34" x14ac:dyDescent="0.35">
      <c r="A817" t="s">
        <v>880</v>
      </c>
      <c r="B817" t="s">
        <v>881</v>
      </c>
      <c r="C817" t="s">
        <v>882</v>
      </c>
      <c r="D817" t="s">
        <v>43</v>
      </c>
      <c r="E817" t="s">
        <v>890</v>
      </c>
      <c r="F817" t="s">
        <v>545</v>
      </c>
      <c r="G817" t="s">
        <v>53</v>
      </c>
      <c r="H817" t="s">
        <v>52</v>
      </c>
      <c r="I817" t="s">
        <v>820</v>
      </c>
      <c r="J817">
        <v>2005</v>
      </c>
      <c r="K817" t="b">
        <v>0</v>
      </c>
      <c r="X817">
        <v>31.74</v>
      </c>
      <c r="AD817">
        <v>32</v>
      </c>
      <c r="AG817" t="s">
        <v>884</v>
      </c>
      <c r="AH817" t="s">
        <v>885</v>
      </c>
    </row>
    <row r="818" spans="1:34" x14ac:dyDescent="0.35">
      <c r="A818" t="s">
        <v>880</v>
      </c>
      <c r="B818" t="s">
        <v>881</v>
      </c>
      <c r="C818" t="s">
        <v>882</v>
      </c>
      <c r="D818" t="s">
        <v>4</v>
      </c>
      <c r="E818" t="s">
        <v>883</v>
      </c>
      <c r="F818" t="s">
        <v>545</v>
      </c>
      <c r="G818" t="s">
        <v>473</v>
      </c>
      <c r="H818" t="s">
        <v>472</v>
      </c>
      <c r="I818" t="s">
        <v>820</v>
      </c>
      <c r="J818">
        <v>2005</v>
      </c>
      <c r="K818" t="b">
        <v>0</v>
      </c>
      <c r="X818">
        <v>31.83</v>
      </c>
      <c r="AD818">
        <v>32</v>
      </c>
      <c r="AG818" t="s">
        <v>884</v>
      </c>
      <c r="AH818" t="s">
        <v>885</v>
      </c>
    </row>
    <row r="819" spans="1:34" x14ac:dyDescent="0.35">
      <c r="A819" t="s">
        <v>880</v>
      </c>
      <c r="B819" t="s">
        <v>881</v>
      </c>
      <c r="C819" t="s">
        <v>882</v>
      </c>
      <c r="D819" t="s">
        <v>1</v>
      </c>
      <c r="E819" t="s">
        <v>889</v>
      </c>
      <c r="F819" t="s">
        <v>545</v>
      </c>
      <c r="G819" t="s">
        <v>310</v>
      </c>
      <c r="H819" t="s">
        <v>309</v>
      </c>
      <c r="I819" t="s">
        <v>820</v>
      </c>
      <c r="J819">
        <v>2005</v>
      </c>
      <c r="K819" t="b">
        <v>0</v>
      </c>
      <c r="X819">
        <v>33.369999999999997</v>
      </c>
      <c r="AD819">
        <v>33</v>
      </c>
      <c r="AG819" t="s">
        <v>884</v>
      </c>
      <c r="AH819" t="s">
        <v>885</v>
      </c>
    </row>
    <row r="820" spans="1:34" x14ac:dyDescent="0.35">
      <c r="A820" t="s">
        <v>880</v>
      </c>
      <c r="B820" t="s">
        <v>881</v>
      </c>
      <c r="C820" t="s">
        <v>882</v>
      </c>
      <c r="D820" t="s">
        <v>43</v>
      </c>
      <c r="E820" t="s">
        <v>890</v>
      </c>
      <c r="F820" t="s">
        <v>545</v>
      </c>
      <c r="G820" t="s">
        <v>319</v>
      </c>
      <c r="H820" t="s">
        <v>318</v>
      </c>
      <c r="I820" t="s">
        <v>820</v>
      </c>
      <c r="J820">
        <v>2005</v>
      </c>
      <c r="K820" t="b">
        <v>0</v>
      </c>
      <c r="X820">
        <v>33.31</v>
      </c>
      <c r="AD820">
        <v>33</v>
      </c>
      <c r="AG820" t="s">
        <v>884</v>
      </c>
      <c r="AH820" t="s">
        <v>885</v>
      </c>
    </row>
    <row r="821" spans="1:34" x14ac:dyDescent="0.35">
      <c r="A821" t="s">
        <v>880</v>
      </c>
      <c r="B821" t="s">
        <v>881</v>
      </c>
      <c r="C821" t="s">
        <v>882</v>
      </c>
      <c r="D821" t="s">
        <v>43</v>
      </c>
      <c r="E821" t="s">
        <v>890</v>
      </c>
      <c r="F821" t="s">
        <v>545</v>
      </c>
      <c r="G821" t="s">
        <v>322</v>
      </c>
      <c r="H821" t="s">
        <v>321</v>
      </c>
      <c r="I821" t="s">
        <v>820</v>
      </c>
      <c r="J821">
        <v>2005</v>
      </c>
      <c r="K821" t="b">
        <v>0</v>
      </c>
      <c r="X821">
        <v>33.15</v>
      </c>
      <c r="AD821">
        <v>33</v>
      </c>
      <c r="AG821" t="s">
        <v>884</v>
      </c>
      <c r="AH821" t="s">
        <v>885</v>
      </c>
    </row>
    <row r="822" spans="1:34" x14ac:dyDescent="0.35">
      <c r="A822" t="s">
        <v>880</v>
      </c>
      <c r="B822" t="s">
        <v>881</v>
      </c>
      <c r="C822" t="s">
        <v>882</v>
      </c>
      <c r="D822" t="s">
        <v>25</v>
      </c>
      <c r="E822" t="s">
        <v>886</v>
      </c>
      <c r="F822" t="s">
        <v>545</v>
      </c>
      <c r="G822" t="s">
        <v>150</v>
      </c>
      <c r="H822" t="s">
        <v>149</v>
      </c>
      <c r="I822" t="s">
        <v>820</v>
      </c>
      <c r="J822">
        <v>2005</v>
      </c>
      <c r="K822" t="b">
        <v>0</v>
      </c>
      <c r="X822">
        <v>32.56</v>
      </c>
      <c r="AD822">
        <v>33</v>
      </c>
      <c r="AG822" t="s">
        <v>884</v>
      </c>
      <c r="AH822" t="s">
        <v>885</v>
      </c>
    </row>
    <row r="823" spans="1:34" x14ac:dyDescent="0.35">
      <c r="A823" t="s">
        <v>880</v>
      </c>
      <c r="B823" t="s">
        <v>881</v>
      </c>
      <c r="C823" t="s">
        <v>882</v>
      </c>
      <c r="D823" t="s">
        <v>25</v>
      </c>
      <c r="E823" t="s">
        <v>886</v>
      </c>
      <c r="F823" t="s">
        <v>545</v>
      </c>
      <c r="G823" t="s">
        <v>479</v>
      </c>
      <c r="H823" t="s">
        <v>478</v>
      </c>
      <c r="I823" t="s">
        <v>820</v>
      </c>
      <c r="J823">
        <v>2005</v>
      </c>
      <c r="K823" t="b">
        <v>0</v>
      </c>
      <c r="X823">
        <v>33.03</v>
      </c>
      <c r="AD823">
        <v>33</v>
      </c>
      <c r="AG823" t="s">
        <v>884</v>
      </c>
      <c r="AH823" t="s">
        <v>885</v>
      </c>
    </row>
    <row r="824" spans="1:34" x14ac:dyDescent="0.35">
      <c r="A824" t="s">
        <v>880</v>
      </c>
      <c r="B824" t="s">
        <v>881</v>
      </c>
      <c r="C824" t="s">
        <v>882</v>
      </c>
      <c r="D824" t="s">
        <v>0</v>
      </c>
      <c r="E824" t="s">
        <v>887</v>
      </c>
      <c r="F824" t="s">
        <v>545</v>
      </c>
      <c r="G824" t="s">
        <v>176</v>
      </c>
      <c r="H824" t="s">
        <v>175</v>
      </c>
      <c r="I824" t="s">
        <v>820</v>
      </c>
      <c r="J824">
        <v>2005</v>
      </c>
      <c r="K824" t="b">
        <v>0</v>
      </c>
      <c r="X824">
        <v>33.619999999999997</v>
      </c>
      <c r="AD824">
        <v>34</v>
      </c>
      <c r="AG824" t="s">
        <v>884</v>
      </c>
      <c r="AH824" t="s">
        <v>885</v>
      </c>
    </row>
    <row r="825" spans="1:34" x14ac:dyDescent="0.35">
      <c r="A825" t="s">
        <v>880</v>
      </c>
      <c r="B825" t="s">
        <v>881</v>
      </c>
      <c r="C825" t="s">
        <v>882</v>
      </c>
      <c r="D825" t="s">
        <v>43</v>
      </c>
      <c r="E825" t="s">
        <v>890</v>
      </c>
      <c r="F825" t="s">
        <v>545</v>
      </c>
      <c r="G825" t="s">
        <v>452</v>
      </c>
      <c r="H825" t="s">
        <v>451</v>
      </c>
      <c r="I825" t="s">
        <v>820</v>
      </c>
      <c r="J825">
        <v>2005</v>
      </c>
      <c r="K825" t="b">
        <v>0</v>
      </c>
      <c r="X825">
        <v>33.54</v>
      </c>
      <c r="AD825">
        <v>34</v>
      </c>
      <c r="AG825" t="s">
        <v>884</v>
      </c>
      <c r="AH825" t="s">
        <v>885</v>
      </c>
    </row>
    <row r="826" spans="1:34" x14ac:dyDescent="0.35">
      <c r="A826" t="s">
        <v>880</v>
      </c>
      <c r="B826" t="s">
        <v>881</v>
      </c>
      <c r="C826" t="s">
        <v>882</v>
      </c>
      <c r="D826" t="s">
        <v>0</v>
      </c>
      <c r="E826" t="s">
        <v>887</v>
      </c>
      <c r="F826" t="s">
        <v>545</v>
      </c>
      <c r="G826" t="s">
        <v>337</v>
      </c>
      <c r="H826" t="s">
        <v>336</v>
      </c>
      <c r="I826" t="s">
        <v>820</v>
      </c>
      <c r="J826">
        <v>2005</v>
      </c>
      <c r="K826" t="b">
        <v>0</v>
      </c>
      <c r="X826">
        <v>34.71</v>
      </c>
      <c r="AD826">
        <v>35</v>
      </c>
      <c r="AG826" t="s">
        <v>884</v>
      </c>
      <c r="AH826" t="s">
        <v>885</v>
      </c>
    </row>
    <row r="827" spans="1:34" x14ac:dyDescent="0.35">
      <c r="A827" t="s">
        <v>880</v>
      </c>
      <c r="B827" t="s">
        <v>881</v>
      </c>
      <c r="C827" t="s">
        <v>882</v>
      </c>
      <c r="D827" t="s">
        <v>25</v>
      </c>
      <c r="E827" t="s">
        <v>886</v>
      </c>
      <c r="F827" t="s">
        <v>545</v>
      </c>
      <c r="G827" t="s">
        <v>476</v>
      </c>
      <c r="H827" t="s">
        <v>475</v>
      </c>
      <c r="I827" t="s">
        <v>820</v>
      </c>
      <c r="J827">
        <v>2005</v>
      </c>
      <c r="K827" t="b">
        <v>0</v>
      </c>
      <c r="X827">
        <v>34.99</v>
      </c>
      <c r="AD827">
        <v>35</v>
      </c>
      <c r="AG827" t="s">
        <v>884</v>
      </c>
      <c r="AH827" t="s">
        <v>885</v>
      </c>
    </row>
    <row r="828" spans="1:34" x14ac:dyDescent="0.35">
      <c r="A828" t="s">
        <v>880</v>
      </c>
      <c r="B828" t="s">
        <v>881</v>
      </c>
      <c r="C828" t="s">
        <v>882</v>
      </c>
      <c r="D828" t="s">
        <v>25</v>
      </c>
      <c r="E828" t="s">
        <v>886</v>
      </c>
      <c r="F828" t="s">
        <v>545</v>
      </c>
      <c r="G828" t="s">
        <v>500</v>
      </c>
      <c r="H828" t="s">
        <v>499</v>
      </c>
      <c r="I828" t="s">
        <v>820</v>
      </c>
      <c r="J828">
        <v>2005</v>
      </c>
      <c r="K828" t="b">
        <v>0</v>
      </c>
      <c r="X828">
        <v>35.619999999999997</v>
      </c>
      <c r="AD828">
        <v>36</v>
      </c>
      <c r="AG828" t="s">
        <v>884</v>
      </c>
      <c r="AH828" t="s">
        <v>885</v>
      </c>
    </row>
    <row r="829" spans="1:34" x14ac:dyDescent="0.35">
      <c r="A829" t="s">
        <v>880</v>
      </c>
      <c r="B829" t="s">
        <v>881</v>
      </c>
      <c r="C829" t="s">
        <v>882</v>
      </c>
      <c r="D829" t="s">
        <v>0</v>
      </c>
      <c r="E829" t="s">
        <v>887</v>
      </c>
      <c r="F829" t="s">
        <v>545</v>
      </c>
      <c r="G829" t="s">
        <v>497</v>
      </c>
      <c r="H829" t="s">
        <v>496</v>
      </c>
      <c r="I829" t="s">
        <v>820</v>
      </c>
      <c r="J829">
        <v>2005</v>
      </c>
      <c r="K829" t="b">
        <v>0</v>
      </c>
      <c r="X829">
        <v>36.28</v>
      </c>
      <c r="AD829">
        <v>36</v>
      </c>
      <c r="AG829" t="s">
        <v>884</v>
      </c>
      <c r="AH829" t="s">
        <v>885</v>
      </c>
    </row>
    <row r="830" spans="1:34" x14ac:dyDescent="0.35">
      <c r="A830" t="s">
        <v>880</v>
      </c>
      <c r="B830" t="s">
        <v>881</v>
      </c>
      <c r="C830" t="s">
        <v>882</v>
      </c>
      <c r="D830" t="s">
        <v>25</v>
      </c>
      <c r="E830" t="s">
        <v>886</v>
      </c>
      <c r="F830" t="s">
        <v>545</v>
      </c>
      <c r="G830" t="s">
        <v>292</v>
      </c>
      <c r="H830" t="s">
        <v>291</v>
      </c>
      <c r="I830" t="s">
        <v>820</v>
      </c>
      <c r="J830">
        <v>2005</v>
      </c>
      <c r="K830" t="b">
        <v>0</v>
      </c>
      <c r="X830">
        <v>36.69</v>
      </c>
      <c r="AD830">
        <v>37</v>
      </c>
      <c r="AG830" t="s">
        <v>884</v>
      </c>
      <c r="AH830" t="s">
        <v>885</v>
      </c>
    </row>
    <row r="831" spans="1:34" x14ac:dyDescent="0.35">
      <c r="A831" t="s">
        <v>880</v>
      </c>
      <c r="B831" t="s">
        <v>881</v>
      </c>
      <c r="C831" t="s">
        <v>882</v>
      </c>
      <c r="D831" t="s">
        <v>25</v>
      </c>
      <c r="E831" t="s">
        <v>886</v>
      </c>
      <c r="F831" t="s">
        <v>545</v>
      </c>
      <c r="G831" t="s">
        <v>334</v>
      </c>
      <c r="H831" t="s">
        <v>333</v>
      </c>
      <c r="I831" t="s">
        <v>820</v>
      </c>
      <c r="J831">
        <v>2005</v>
      </c>
      <c r="K831" t="b">
        <v>0</v>
      </c>
      <c r="X831">
        <v>36.86</v>
      </c>
      <c r="AD831">
        <v>37</v>
      </c>
      <c r="AG831" t="s">
        <v>884</v>
      </c>
      <c r="AH831" t="s">
        <v>885</v>
      </c>
    </row>
    <row r="832" spans="1:34" x14ac:dyDescent="0.35">
      <c r="A832" t="s">
        <v>880</v>
      </c>
      <c r="B832" t="s">
        <v>881</v>
      </c>
      <c r="C832" t="s">
        <v>882</v>
      </c>
      <c r="D832" t="s">
        <v>0</v>
      </c>
      <c r="E832" t="s">
        <v>887</v>
      </c>
      <c r="F832" t="s">
        <v>545</v>
      </c>
      <c r="G832" t="s">
        <v>377</v>
      </c>
      <c r="H832" t="s">
        <v>376</v>
      </c>
      <c r="I832" t="s">
        <v>820</v>
      </c>
      <c r="J832">
        <v>2005</v>
      </c>
      <c r="K832" t="b">
        <v>0</v>
      </c>
      <c r="X832">
        <v>36.99</v>
      </c>
      <c r="AD832">
        <v>37</v>
      </c>
      <c r="AG832" t="s">
        <v>884</v>
      </c>
      <c r="AH832" t="s">
        <v>885</v>
      </c>
    </row>
    <row r="833" spans="1:34" x14ac:dyDescent="0.35">
      <c r="A833" t="s">
        <v>880</v>
      </c>
      <c r="B833" t="s">
        <v>881</v>
      </c>
      <c r="C833" t="s">
        <v>882</v>
      </c>
      <c r="D833" t="s">
        <v>0</v>
      </c>
      <c r="E833" t="s">
        <v>887</v>
      </c>
      <c r="F833" t="s">
        <v>545</v>
      </c>
      <c r="G833" t="s">
        <v>401</v>
      </c>
      <c r="H833" t="s">
        <v>400</v>
      </c>
      <c r="I833" t="s">
        <v>820</v>
      </c>
      <c r="J833">
        <v>2005</v>
      </c>
      <c r="K833" t="b">
        <v>0</v>
      </c>
      <c r="X833">
        <v>36.72</v>
      </c>
      <c r="AD833">
        <v>37</v>
      </c>
      <c r="AG833" t="s">
        <v>884</v>
      </c>
      <c r="AH833" t="s">
        <v>885</v>
      </c>
    </row>
    <row r="834" spans="1:34" x14ac:dyDescent="0.35">
      <c r="A834" t="s">
        <v>880</v>
      </c>
      <c r="B834" t="s">
        <v>881</v>
      </c>
      <c r="C834" t="s">
        <v>882</v>
      </c>
      <c r="D834" t="s">
        <v>43</v>
      </c>
      <c r="E834" t="s">
        <v>890</v>
      </c>
      <c r="F834" t="s">
        <v>545</v>
      </c>
      <c r="G834" t="s">
        <v>138</v>
      </c>
      <c r="H834" t="s">
        <v>137</v>
      </c>
      <c r="I834" t="s">
        <v>820</v>
      </c>
      <c r="J834">
        <v>2005</v>
      </c>
      <c r="K834" t="b">
        <v>0</v>
      </c>
      <c r="X834">
        <v>38.32</v>
      </c>
      <c r="AD834">
        <v>38</v>
      </c>
      <c r="AG834" t="s">
        <v>884</v>
      </c>
      <c r="AH834" t="s">
        <v>885</v>
      </c>
    </row>
    <row r="835" spans="1:34" x14ac:dyDescent="0.35">
      <c r="A835" t="s">
        <v>880</v>
      </c>
      <c r="B835" t="s">
        <v>881</v>
      </c>
      <c r="C835" t="s">
        <v>882</v>
      </c>
      <c r="D835" t="s">
        <v>20</v>
      </c>
      <c r="E835" t="s">
        <v>789</v>
      </c>
      <c r="F835" t="s">
        <v>545</v>
      </c>
      <c r="G835" t="s">
        <v>225</v>
      </c>
      <c r="H835" t="s">
        <v>224</v>
      </c>
      <c r="I835" t="s">
        <v>820</v>
      </c>
      <c r="J835">
        <v>2005</v>
      </c>
      <c r="K835" t="b">
        <v>0</v>
      </c>
      <c r="X835">
        <v>39.39</v>
      </c>
      <c r="AD835">
        <v>39</v>
      </c>
      <c r="AG835" t="s">
        <v>884</v>
      </c>
      <c r="AH835" t="s">
        <v>885</v>
      </c>
    </row>
    <row r="836" spans="1:34" x14ac:dyDescent="0.35">
      <c r="A836" t="s">
        <v>880</v>
      </c>
      <c r="B836" t="s">
        <v>881</v>
      </c>
      <c r="C836" t="s">
        <v>882</v>
      </c>
      <c r="D836" t="s">
        <v>25</v>
      </c>
      <c r="E836" t="s">
        <v>886</v>
      </c>
      <c r="F836" t="s">
        <v>545</v>
      </c>
      <c r="G836" t="s">
        <v>89</v>
      </c>
      <c r="H836" t="s">
        <v>88</v>
      </c>
      <c r="I836" t="s">
        <v>820</v>
      </c>
      <c r="J836">
        <v>2005</v>
      </c>
      <c r="K836" t="b">
        <v>0</v>
      </c>
      <c r="X836">
        <v>38.64</v>
      </c>
      <c r="AD836">
        <v>39</v>
      </c>
      <c r="AG836" t="s">
        <v>884</v>
      </c>
      <c r="AH836" t="s">
        <v>885</v>
      </c>
    </row>
    <row r="837" spans="1:34" x14ac:dyDescent="0.35">
      <c r="A837" t="s">
        <v>880</v>
      </c>
      <c r="B837" t="s">
        <v>881</v>
      </c>
      <c r="C837" t="s">
        <v>882</v>
      </c>
      <c r="D837" t="s">
        <v>0</v>
      </c>
      <c r="E837" t="s">
        <v>887</v>
      </c>
      <c r="F837" t="s">
        <v>545</v>
      </c>
      <c r="G837" t="s">
        <v>527</v>
      </c>
      <c r="H837" t="s">
        <v>526</v>
      </c>
      <c r="I837" t="s">
        <v>820</v>
      </c>
      <c r="J837">
        <v>2005</v>
      </c>
      <c r="K837" t="b">
        <v>0</v>
      </c>
      <c r="X837">
        <v>39.39</v>
      </c>
      <c r="AD837">
        <v>39</v>
      </c>
      <c r="AG837" t="s">
        <v>884</v>
      </c>
      <c r="AH837" t="s">
        <v>885</v>
      </c>
    </row>
    <row r="838" spans="1:34" x14ac:dyDescent="0.35">
      <c r="A838" t="s">
        <v>880</v>
      </c>
      <c r="B838" t="s">
        <v>881</v>
      </c>
      <c r="C838" t="s">
        <v>882</v>
      </c>
      <c r="D838" t="s">
        <v>0</v>
      </c>
      <c r="E838" t="s">
        <v>887</v>
      </c>
      <c r="F838" t="s">
        <v>545</v>
      </c>
      <c r="G838" t="s">
        <v>470</v>
      </c>
      <c r="H838" t="s">
        <v>469</v>
      </c>
      <c r="I838" t="s">
        <v>820</v>
      </c>
      <c r="J838">
        <v>2005</v>
      </c>
      <c r="K838" t="b">
        <v>0</v>
      </c>
      <c r="X838">
        <v>38.729999999999997</v>
      </c>
      <c r="AD838">
        <v>39</v>
      </c>
      <c r="AG838" t="s">
        <v>884</v>
      </c>
      <c r="AH838" t="s">
        <v>885</v>
      </c>
    </row>
    <row r="839" spans="1:34" x14ac:dyDescent="0.35">
      <c r="A839" t="s">
        <v>880</v>
      </c>
      <c r="B839" t="s">
        <v>881</v>
      </c>
      <c r="C839" t="s">
        <v>882</v>
      </c>
      <c r="D839" t="s">
        <v>0</v>
      </c>
      <c r="E839" t="s">
        <v>887</v>
      </c>
      <c r="F839" t="s">
        <v>545</v>
      </c>
      <c r="G839" t="s">
        <v>110</v>
      </c>
      <c r="H839" t="s">
        <v>109</v>
      </c>
      <c r="I839" t="s">
        <v>820</v>
      </c>
      <c r="J839">
        <v>2005</v>
      </c>
      <c r="K839" t="b">
        <v>0</v>
      </c>
      <c r="X839">
        <v>40.479999999999997</v>
      </c>
      <c r="AD839">
        <v>40</v>
      </c>
      <c r="AG839" t="s">
        <v>884</v>
      </c>
      <c r="AH839" t="s">
        <v>885</v>
      </c>
    </row>
    <row r="840" spans="1:34" x14ac:dyDescent="0.35">
      <c r="A840" t="s">
        <v>880</v>
      </c>
      <c r="B840" t="s">
        <v>881</v>
      </c>
      <c r="C840" t="s">
        <v>882</v>
      </c>
      <c r="D840" t="s">
        <v>0</v>
      </c>
      <c r="E840" t="s">
        <v>887</v>
      </c>
      <c r="F840" t="s">
        <v>545</v>
      </c>
      <c r="G840" t="s">
        <v>141</v>
      </c>
      <c r="H840" t="s">
        <v>140</v>
      </c>
      <c r="I840" t="s">
        <v>820</v>
      </c>
      <c r="J840">
        <v>2005</v>
      </c>
      <c r="K840" t="b">
        <v>0</v>
      </c>
      <c r="X840">
        <v>41.1</v>
      </c>
      <c r="AD840">
        <v>41</v>
      </c>
      <c r="AG840" t="s">
        <v>884</v>
      </c>
      <c r="AH840" t="s">
        <v>885</v>
      </c>
    </row>
    <row r="841" spans="1:34" x14ac:dyDescent="0.35">
      <c r="A841" t="s">
        <v>880</v>
      </c>
      <c r="B841" t="s">
        <v>881</v>
      </c>
      <c r="C841" t="s">
        <v>882</v>
      </c>
      <c r="D841" t="s">
        <v>0</v>
      </c>
      <c r="E841" t="s">
        <v>887</v>
      </c>
      <c r="F841" t="s">
        <v>545</v>
      </c>
      <c r="G841" t="s">
        <v>383</v>
      </c>
      <c r="H841" t="s">
        <v>382</v>
      </c>
      <c r="I841" t="s">
        <v>820</v>
      </c>
      <c r="J841">
        <v>2005</v>
      </c>
      <c r="K841" t="b">
        <v>0</v>
      </c>
      <c r="X841">
        <v>41.52</v>
      </c>
      <c r="AD841">
        <v>42</v>
      </c>
      <c r="AG841" t="s">
        <v>884</v>
      </c>
      <c r="AH841" t="s">
        <v>885</v>
      </c>
    </row>
    <row r="842" spans="1:34" x14ac:dyDescent="0.35">
      <c r="A842" t="s">
        <v>880</v>
      </c>
      <c r="B842" t="s">
        <v>881</v>
      </c>
      <c r="C842" t="s">
        <v>882</v>
      </c>
      <c r="D842" t="s">
        <v>25</v>
      </c>
      <c r="E842" t="s">
        <v>886</v>
      </c>
      <c r="F842" t="s">
        <v>545</v>
      </c>
      <c r="G842" t="s">
        <v>48</v>
      </c>
      <c r="H842" t="s">
        <v>47</v>
      </c>
      <c r="I842" t="s">
        <v>820</v>
      </c>
      <c r="J842">
        <v>2005</v>
      </c>
      <c r="K842" t="b">
        <v>0</v>
      </c>
      <c r="X842">
        <v>42.39</v>
      </c>
      <c r="AD842">
        <v>42</v>
      </c>
      <c r="AG842" t="s">
        <v>884</v>
      </c>
      <c r="AH842" t="s">
        <v>885</v>
      </c>
    </row>
    <row r="843" spans="1:34" x14ac:dyDescent="0.35">
      <c r="A843" t="s">
        <v>880</v>
      </c>
      <c r="B843" t="s">
        <v>881</v>
      </c>
      <c r="C843" t="s">
        <v>882</v>
      </c>
      <c r="D843" t="s">
        <v>0</v>
      </c>
      <c r="E843" t="s">
        <v>887</v>
      </c>
      <c r="F843" t="s">
        <v>545</v>
      </c>
      <c r="G843" t="s">
        <v>80</v>
      </c>
      <c r="H843" t="s">
        <v>79</v>
      </c>
      <c r="I843" t="s">
        <v>820</v>
      </c>
      <c r="J843">
        <v>2005</v>
      </c>
      <c r="K843" t="b">
        <v>0</v>
      </c>
      <c r="X843">
        <v>43.39</v>
      </c>
      <c r="AD843">
        <v>43</v>
      </c>
      <c r="AG843" t="s">
        <v>884</v>
      </c>
      <c r="AH843" t="s">
        <v>885</v>
      </c>
    </row>
    <row r="844" spans="1:34" x14ac:dyDescent="0.35">
      <c r="A844" t="s">
        <v>880</v>
      </c>
      <c r="B844" t="s">
        <v>881</v>
      </c>
      <c r="C844" t="s">
        <v>882</v>
      </c>
      <c r="D844" t="s">
        <v>0</v>
      </c>
      <c r="E844" t="s">
        <v>887</v>
      </c>
      <c r="F844" t="s">
        <v>545</v>
      </c>
      <c r="G844" t="s">
        <v>183</v>
      </c>
      <c r="H844" t="s">
        <v>182</v>
      </c>
      <c r="I844" t="s">
        <v>820</v>
      </c>
      <c r="J844">
        <v>2005</v>
      </c>
      <c r="K844" t="b">
        <v>0</v>
      </c>
      <c r="X844">
        <v>42.79</v>
      </c>
      <c r="AD844">
        <v>43</v>
      </c>
      <c r="AG844" t="s">
        <v>884</v>
      </c>
      <c r="AH844" t="s">
        <v>885</v>
      </c>
    </row>
    <row r="845" spans="1:34" x14ac:dyDescent="0.35">
      <c r="A845" t="s">
        <v>880</v>
      </c>
      <c r="B845" t="s">
        <v>881</v>
      </c>
      <c r="C845" t="s">
        <v>882</v>
      </c>
      <c r="D845" t="s">
        <v>20</v>
      </c>
      <c r="E845" t="s">
        <v>789</v>
      </c>
      <c r="F845" t="s">
        <v>545</v>
      </c>
      <c r="G845" t="s">
        <v>440</v>
      </c>
      <c r="H845" t="s">
        <v>439</v>
      </c>
      <c r="I845" t="s">
        <v>820</v>
      </c>
      <c r="J845">
        <v>2005</v>
      </c>
      <c r="K845" t="b">
        <v>0</v>
      </c>
      <c r="X845">
        <v>44.29</v>
      </c>
      <c r="AD845">
        <v>44</v>
      </c>
      <c r="AG845" t="s">
        <v>884</v>
      </c>
      <c r="AH845" t="s">
        <v>885</v>
      </c>
    </row>
    <row r="846" spans="1:34" x14ac:dyDescent="0.35">
      <c r="A846" t="s">
        <v>880</v>
      </c>
      <c r="B846" t="s">
        <v>881</v>
      </c>
      <c r="C846" t="s">
        <v>882</v>
      </c>
      <c r="D846" t="s">
        <v>0</v>
      </c>
      <c r="E846" t="s">
        <v>887</v>
      </c>
      <c r="F846" t="s">
        <v>545</v>
      </c>
      <c r="G846" t="s">
        <v>495</v>
      </c>
      <c r="H846" t="s">
        <v>494</v>
      </c>
      <c r="I846" t="s">
        <v>820</v>
      </c>
      <c r="J846">
        <v>2005</v>
      </c>
      <c r="K846" t="b">
        <v>0</v>
      </c>
      <c r="X846">
        <v>44.5</v>
      </c>
      <c r="AD846">
        <v>44</v>
      </c>
      <c r="AG846" t="s">
        <v>884</v>
      </c>
      <c r="AH846" t="s">
        <v>885</v>
      </c>
    </row>
    <row r="847" spans="1:34" x14ac:dyDescent="0.35">
      <c r="A847" t="s">
        <v>880</v>
      </c>
      <c r="B847" t="s">
        <v>881</v>
      </c>
      <c r="C847" t="s">
        <v>882</v>
      </c>
      <c r="D847" t="s">
        <v>43</v>
      </c>
      <c r="E847" t="s">
        <v>890</v>
      </c>
      <c r="F847" t="s">
        <v>545</v>
      </c>
      <c r="G847" t="s">
        <v>45</v>
      </c>
      <c r="H847" t="s">
        <v>44</v>
      </c>
      <c r="I847" t="s">
        <v>820</v>
      </c>
      <c r="J847">
        <v>2005</v>
      </c>
      <c r="K847" t="b">
        <v>0</v>
      </c>
      <c r="X847">
        <v>45.18</v>
      </c>
      <c r="AD847">
        <v>45</v>
      </c>
      <c r="AG847" t="s">
        <v>884</v>
      </c>
      <c r="AH847" t="s">
        <v>885</v>
      </c>
    </row>
    <row r="848" spans="1:34" x14ac:dyDescent="0.35">
      <c r="A848" t="s">
        <v>880</v>
      </c>
      <c r="B848" t="s">
        <v>881</v>
      </c>
      <c r="C848" t="s">
        <v>882</v>
      </c>
      <c r="D848" t="s">
        <v>0</v>
      </c>
      <c r="E848" t="s">
        <v>887</v>
      </c>
      <c r="F848" t="s">
        <v>545</v>
      </c>
      <c r="G848" t="s">
        <v>210</v>
      </c>
      <c r="H848" t="s">
        <v>209</v>
      </c>
      <c r="I848" t="s">
        <v>820</v>
      </c>
      <c r="J848">
        <v>2005</v>
      </c>
      <c r="K848" t="b">
        <v>0</v>
      </c>
      <c r="X848">
        <v>45.43</v>
      </c>
      <c r="AD848">
        <v>45</v>
      </c>
      <c r="AG848" t="s">
        <v>884</v>
      </c>
      <c r="AH848" t="s">
        <v>885</v>
      </c>
    </row>
    <row r="849" spans="1:34" x14ac:dyDescent="0.35">
      <c r="A849" t="s">
        <v>880</v>
      </c>
      <c r="B849" t="s">
        <v>881</v>
      </c>
      <c r="C849" t="s">
        <v>882</v>
      </c>
      <c r="D849" t="s">
        <v>0</v>
      </c>
      <c r="E849" t="s">
        <v>887</v>
      </c>
      <c r="F849" t="s">
        <v>545</v>
      </c>
      <c r="G849" t="s">
        <v>389</v>
      </c>
      <c r="H849" t="s">
        <v>388</v>
      </c>
      <c r="I849" t="s">
        <v>820</v>
      </c>
      <c r="J849">
        <v>2005</v>
      </c>
      <c r="K849" t="b">
        <v>0</v>
      </c>
      <c r="X849">
        <v>44.76</v>
      </c>
      <c r="AD849">
        <v>45</v>
      </c>
      <c r="AG849" t="s">
        <v>884</v>
      </c>
      <c r="AH849" t="s">
        <v>885</v>
      </c>
    </row>
    <row r="850" spans="1:34" x14ac:dyDescent="0.35">
      <c r="A850" t="s">
        <v>880</v>
      </c>
      <c r="B850" t="s">
        <v>881</v>
      </c>
      <c r="C850" t="s">
        <v>882</v>
      </c>
      <c r="D850" t="s">
        <v>20</v>
      </c>
      <c r="E850" t="s">
        <v>789</v>
      </c>
      <c r="F850" t="s">
        <v>545</v>
      </c>
      <c r="G850" t="s">
        <v>483</v>
      </c>
      <c r="H850" t="s">
        <v>482</v>
      </c>
      <c r="I850" t="s">
        <v>820</v>
      </c>
      <c r="J850">
        <v>2005</v>
      </c>
      <c r="K850" t="b">
        <v>0</v>
      </c>
      <c r="X850">
        <v>45.36</v>
      </c>
      <c r="AD850">
        <v>45</v>
      </c>
      <c r="AG850" t="s">
        <v>884</v>
      </c>
      <c r="AH850" t="s">
        <v>885</v>
      </c>
    </row>
    <row r="851" spans="1:34" x14ac:dyDescent="0.35">
      <c r="A851" t="s">
        <v>880</v>
      </c>
      <c r="B851" t="s">
        <v>881</v>
      </c>
      <c r="C851" t="s">
        <v>882</v>
      </c>
      <c r="D851" t="s">
        <v>20</v>
      </c>
      <c r="E851" t="s">
        <v>789</v>
      </c>
      <c r="F851" t="s">
        <v>545</v>
      </c>
      <c r="G851" t="s">
        <v>219</v>
      </c>
      <c r="H851" t="s">
        <v>218</v>
      </c>
      <c r="I851" t="s">
        <v>820</v>
      </c>
      <c r="J851">
        <v>2005</v>
      </c>
      <c r="K851" t="b">
        <v>0</v>
      </c>
      <c r="X851">
        <v>45.68</v>
      </c>
      <c r="AD851">
        <v>46</v>
      </c>
      <c r="AG851" t="s">
        <v>884</v>
      </c>
      <c r="AH851" t="s">
        <v>885</v>
      </c>
    </row>
    <row r="852" spans="1:34" x14ac:dyDescent="0.35">
      <c r="A852" t="s">
        <v>880</v>
      </c>
      <c r="B852" t="s">
        <v>881</v>
      </c>
      <c r="C852" t="s">
        <v>882</v>
      </c>
      <c r="D852" t="s">
        <v>25</v>
      </c>
      <c r="E852" t="s">
        <v>886</v>
      </c>
      <c r="F852" t="s">
        <v>545</v>
      </c>
      <c r="G852" t="s">
        <v>234</v>
      </c>
      <c r="H852" t="s">
        <v>233</v>
      </c>
      <c r="I852" t="s">
        <v>820</v>
      </c>
      <c r="J852">
        <v>2005</v>
      </c>
      <c r="K852" t="b">
        <v>0</v>
      </c>
      <c r="X852">
        <v>46.08</v>
      </c>
      <c r="AD852">
        <v>46</v>
      </c>
      <c r="AG852" t="s">
        <v>884</v>
      </c>
      <c r="AH852" t="s">
        <v>885</v>
      </c>
    </row>
    <row r="853" spans="1:34" x14ac:dyDescent="0.35">
      <c r="A853" t="s">
        <v>880</v>
      </c>
      <c r="B853" t="s">
        <v>881</v>
      </c>
      <c r="C853" t="s">
        <v>882</v>
      </c>
      <c r="D853" t="s">
        <v>4</v>
      </c>
      <c r="E853" t="s">
        <v>883</v>
      </c>
      <c r="F853" t="s">
        <v>545</v>
      </c>
      <c r="G853" t="s">
        <v>7</v>
      </c>
      <c r="H853" t="s">
        <v>6</v>
      </c>
      <c r="I853" t="s">
        <v>820</v>
      </c>
      <c r="J853">
        <v>2005</v>
      </c>
      <c r="K853" t="b">
        <v>0</v>
      </c>
      <c r="X853">
        <v>46.21</v>
      </c>
      <c r="AD853">
        <v>46</v>
      </c>
      <c r="AG853" t="s">
        <v>884</v>
      </c>
      <c r="AH853" t="s">
        <v>885</v>
      </c>
    </row>
    <row r="854" spans="1:34" x14ac:dyDescent="0.35">
      <c r="A854" t="s">
        <v>880</v>
      </c>
      <c r="B854" t="s">
        <v>881</v>
      </c>
      <c r="C854" t="s">
        <v>882</v>
      </c>
      <c r="D854" t="s">
        <v>25</v>
      </c>
      <c r="E854" t="s">
        <v>886</v>
      </c>
      <c r="F854" t="s">
        <v>545</v>
      </c>
      <c r="G854" t="s">
        <v>147</v>
      </c>
      <c r="H854" t="s">
        <v>146</v>
      </c>
      <c r="I854" t="s">
        <v>820</v>
      </c>
      <c r="J854">
        <v>2005</v>
      </c>
      <c r="K854" t="b">
        <v>0</v>
      </c>
      <c r="X854">
        <v>45.72</v>
      </c>
      <c r="AD854">
        <v>46</v>
      </c>
      <c r="AG854" t="s">
        <v>884</v>
      </c>
      <c r="AH854" t="s">
        <v>885</v>
      </c>
    </row>
    <row r="855" spans="1:34" x14ac:dyDescent="0.35">
      <c r="A855" t="s">
        <v>880</v>
      </c>
      <c r="B855" t="s">
        <v>881</v>
      </c>
      <c r="C855" t="s">
        <v>882</v>
      </c>
      <c r="D855" t="s">
        <v>4</v>
      </c>
      <c r="E855" t="s">
        <v>883</v>
      </c>
      <c r="F855" t="s">
        <v>545</v>
      </c>
      <c r="G855" t="s">
        <v>325</v>
      </c>
      <c r="H855" t="s">
        <v>324</v>
      </c>
      <c r="I855" t="s">
        <v>820</v>
      </c>
      <c r="J855">
        <v>2005</v>
      </c>
      <c r="K855" t="b">
        <v>0</v>
      </c>
      <c r="X855">
        <v>46.18</v>
      </c>
      <c r="AD855">
        <v>46</v>
      </c>
      <c r="AG855" t="s">
        <v>884</v>
      </c>
      <c r="AH855" t="s">
        <v>885</v>
      </c>
    </row>
    <row r="856" spans="1:34" x14ac:dyDescent="0.35">
      <c r="A856" t="s">
        <v>880</v>
      </c>
      <c r="B856" t="s">
        <v>881</v>
      </c>
      <c r="C856" t="s">
        <v>882</v>
      </c>
      <c r="D856" t="s">
        <v>25</v>
      </c>
      <c r="E856" t="s">
        <v>886</v>
      </c>
      <c r="F856" t="s">
        <v>545</v>
      </c>
      <c r="G856" t="s">
        <v>374</v>
      </c>
      <c r="H856" t="s">
        <v>373</v>
      </c>
      <c r="I856" t="s">
        <v>820</v>
      </c>
      <c r="J856">
        <v>2005</v>
      </c>
      <c r="K856" t="b">
        <v>0</v>
      </c>
      <c r="X856">
        <v>46.84</v>
      </c>
      <c r="AD856">
        <v>47</v>
      </c>
      <c r="AG856" t="s">
        <v>884</v>
      </c>
      <c r="AH856" t="s">
        <v>885</v>
      </c>
    </row>
    <row r="857" spans="1:34" x14ac:dyDescent="0.35">
      <c r="A857" t="s">
        <v>880</v>
      </c>
      <c r="B857" t="s">
        <v>881</v>
      </c>
      <c r="C857" t="s">
        <v>882</v>
      </c>
      <c r="D857" t="s">
        <v>25</v>
      </c>
      <c r="E857" t="s">
        <v>886</v>
      </c>
      <c r="F857" t="s">
        <v>545</v>
      </c>
      <c r="G857" t="s">
        <v>431</v>
      </c>
      <c r="H857" t="s">
        <v>430</v>
      </c>
      <c r="I857" t="s">
        <v>820</v>
      </c>
      <c r="J857">
        <v>2005</v>
      </c>
      <c r="K857" t="b">
        <v>0</v>
      </c>
      <c r="X857">
        <v>47.37</v>
      </c>
      <c r="AD857">
        <v>47</v>
      </c>
      <c r="AG857" t="s">
        <v>884</v>
      </c>
      <c r="AH857" t="s">
        <v>885</v>
      </c>
    </row>
    <row r="858" spans="1:34" x14ac:dyDescent="0.35">
      <c r="A858" t="s">
        <v>880</v>
      </c>
      <c r="B858" t="s">
        <v>881</v>
      </c>
      <c r="C858" t="s">
        <v>882</v>
      </c>
      <c r="D858" t="s">
        <v>0</v>
      </c>
      <c r="E858" t="s">
        <v>887</v>
      </c>
      <c r="F858" t="s">
        <v>545</v>
      </c>
      <c r="G858" t="s">
        <v>171</v>
      </c>
      <c r="H858" t="s">
        <v>170</v>
      </c>
      <c r="I858" t="s">
        <v>820</v>
      </c>
      <c r="J858">
        <v>2005</v>
      </c>
      <c r="K858" t="b">
        <v>0</v>
      </c>
      <c r="X858">
        <v>46.82</v>
      </c>
      <c r="AD858">
        <v>47</v>
      </c>
      <c r="AG858" t="s">
        <v>884</v>
      </c>
      <c r="AH858" t="s">
        <v>885</v>
      </c>
    </row>
    <row r="859" spans="1:34" x14ac:dyDescent="0.35">
      <c r="A859" t="s">
        <v>880</v>
      </c>
      <c r="B859" t="s">
        <v>881</v>
      </c>
      <c r="C859" t="s">
        <v>882</v>
      </c>
      <c r="D859" t="s">
        <v>0</v>
      </c>
      <c r="E859" t="s">
        <v>887</v>
      </c>
      <c r="F859" t="s">
        <v>545</v>
      </c>
      <c r="G859" t="s">
        <v>39</v>
      </c>
      <c r="H859" t="s">
        <v>38</v>
      </c>
      <c r="I859" t="s">
        <v>820</v>
      </c>
      <c r="J859">
        <v>2005</v>
      </c>
      <c r="K859" t="b">
        <v>0</v>
      </c>
      <c r="X859">
        <v>47.92</v>
      </c>
      <c r="AD859">
        <v>48</v>
      </c>
      <c r="AG859" t="s">
        <v>884</v>
      </c>
      <c r="AH859" t="s">
        <v>885</v>
      </c>
    </row>
    <row r="860" spans="1:34" x14ac:dyDescent="0.35">
      <c r="A860" t="s">
        <v>880</v>
      </c>
      <c r="B860" t="s">
        <v>881</v>
      </c>
      <c r="C860" t="s">
        <v>882</v>
      </c>
      <c r="D860" t="s">
        <v>43</v>
      </c>
      <c r="E860" t="s">
        <v>890</v>
      </c>
      <c r="F860" t="s">
        <v>545</v>
      </c>
      <c r="G860" t="s">
        <v>56</v>
      </c>
      <c r="H860" t="s">
        <v>55</v>
      </c>
      <c r="I860" t="s">
        <v>820</v>
      </c>
      <c r="J860">
        <v>2005</v>
      </c>
      <c r="K860" t="b">
        <v>0</v>
      </c>
      <c r="X860">
        <v>47.98</v>
      </c>
      <c r="AD860">
        <v>48</v>
      </c>
      <c r="AG860" t="s">
        <v>884</v>
      </c>
      <c r="AH860" t="s">
        <v>885</v>
      </c>
    </row>
    <row r="861" spans="1:34" x14ac:dyDescent="0.35">
      <c r="A861" t="s">
        <v>880</v>
      </c>
      <c r="B861" t="s">
        <v>881</v>
      </c>
      <c r="C861" t="s">
        <v>882</v>
      </c>
      <c r="D861" t="s">
        <v>1</v>
      </c>
      <c r="E861" t="s">
        <v>889</v>
      </c>
      <c r="F861" t="s">
        <v>545</v>
      </c>
      <c r="G861" t="s">
        <v>199</v>
      </c>
      <c r="H861" t="s">
        <v>198</v>
      </c>
      <c r="I861" t="s">
        <v>820</v>
      </c>
      <c r="J861">
        <v>2005</v>
      </c>
      <c r="K861" t="b">
        <v>0</v>
      </c>
      <c r="X861">
        <v>48.84</v>
      </c>
      <c r="AD861">
        <v>49</v>
      </c>
      <c r="AG861" t="s">
        <v>884</v>
      </c>
      <c r="AH861" t="s">
        <v>885</v>
      </c>
    </row>
    <row r="862" spans="1:34" x14ac:dyDescent="0.35">
      <c r="A862" t="s">
        <v>880</v>
      </c>
      <c r="B862" t="s">
        <v>881</v>
      </c>
      <c r="C862" t="s">
        <v>882</v>
      </c>
      <c r="D862" t="s">
        <v>1</v>
      </c>
      <c r="E862" t="s">
        <v>889</v>
      </c>
      <c r="F862" t="s">
        <v>545</v>
      </c>
      <c r="G862" t="s">
        <v>58</v>
      </c>
      <c r="H862" t="s">
        <v>57</v>
      </c>
      <c r="I862" t="s">
        <v>820</v>
      </c>
      <c r="J862">
        <v>2005</v>
      </c>
      <c r="K862" t="b">
        <v>0</v>
      </c>
      <c r="X862">
        <v>49.45</v>
      </c>
      <c r="AD862">
        <v>49</v>
      </c>
      <c r="AG862" t="s">
        <v>884</v>
      </c>
      <c r="AH862" t="s">
        <v>885</v>
      </c>
    </row>
    <row r="863" spans="1:34" x14ac:dyDescent="0.35">
      <c r="A863" t="s">
        <v>880</v>
      </c>
      <c r="B863" t="s">
        <v>881</v>
      </c>
      <c r="C863" t="s">
        <v>882</v>
      </c>
      <c r="D863" t="s">
        <v>4</v>
      </c>
      <c r="E863" t="s">
        <v>883</v>
      </c>
      <c r="F863" t="s">
        <v>545</v>
      </c>
      <c r="G863" t="s">
        <v>117</v>
      </c>
      <c r="H863" t="s">
        <v>116</v>
      </c>
      <c r="I863" t="s">
        <v>820</v>
      </c>
      <c r="J863">
        <v>2005</v>
      </c>
      <c r="K863" t="b">
        <v>0</v>
      </c>
      <c r="X863">
        <v>49.1</v>
      </c>
      <c r="AD863">
        <v>49</v>
      </c>
      <c r="AG863" t="s">
        <v>884</v>
      </c>
      <c r="AH863" t="s">
        <v>885</v>
      </c>
    </row>
    <row r="864" spans="1:34" x14ac:dyDescent="0.35">
      <c r="A864" t="s">
        <v>880</v>
      </c>
      <c r="B864" t="s">
        <v>881</v>
      </c>
      <c r="C864" t="s">
        <v>882</v>
      </c>
      <c r="D864" t="s">
        <v>43</v>
      </c>
      <c r="E864" t="s">
        <v>890</v>
      </c>
      <c r="F864" t="s">
        <v>545</v>
      </c>
      <c r="G864" t="s">
        <v>357</v>
      </c>
      <c r="H864" t="s">
        <v>356</v>
      </c>
      <c r="I864" t="s">
        <v>820</v>
      </c>
      <c r="J864">
        <v>2005</v>
      </c>
      <c r="K864" t="b">
        <v>0</v>
      </c>
      <c r="X864">
        <v>49.12</v>
      </c>
      <c r="AD864">
        <v>49</v>
      </c>
      <c r="AG864" t="s">
        <v>884</v>
      </c>
      <c r="AH864" t="s">
        <v>885</v>
      </c>
    </row>
    <row r="865" spans="1:34" x14ac:dyDescent="0.35">
      <c r="A865" t="s">
        <v>880</v>
      </c>
      <c r="B865" t="s">
        <v>881</v>
      </c>
      <c r="C865" t="s">
        <v>882</v>
      </c>
      <c r="D865" t="s">
        <v>1</v>
      </c>
      <c r="E865" t="s">
        <v>889</v>
      </c>
      <c r="F865" t="s">
        <v>545</v>
      </c>
      <c r="G865" t="s">
        <v>395</v>
      </c>
      <c r="H865" t="s">
        <v>394</v>
      </c>
      <c r="I865" t="s">
        <v>820</v>
      </c>
      <c r="J865">
        <v>2005</v>
      </c>
      <c r="K865" t="b">
        <v>0</v>
      </c>
      <c r="X865">
        <v>48.56</v>
      </c>
      <c r="AD865">
        <v>49</v>
      </c>
      <c r="AG865" t="s">
        <v>884</v>
      </c>
      <c r="AH865" t="s">
        <v>885</v>
      </c>
    </row>
    <row r="866" spans="1:34" x14ac:dyDescent="0.35">
      <c r="A866" t="s">
        <v>880</v>
      </c>
      <c r="B866" t="s">
        <v>881</v>
      </c>
      <c r="C866" t="s">
        <v>882</v>
      </c>
      <c r="D866" t="s">
        <v>20</v>
      </c>
      <c r="E866" t="s">
        <v>789</v>
      </c>
      <c r="F866" t="s">
        <v>545</v>
      </c>
      <c r="G866" t="s">
        <v>368</v>
      </c>
      <c r="H866" t="s">
        <v>367</v>
      </c>
      <c r="I866" t="s">
        <v>820</v>
      </c>
      <c r="J866">
        <v>2005</v>
      </c>
      <c r="K866" t="b">
        <v>0</v>
      </c>
      <c r="X866">
        <v>49.46</v>
      </c>
      <c r="AD866">
        <v>49</v>
      </c>
      <c r="AG866" t="s">
        <v>884</v>
      </c>
      <c r="AH866" t="s">
        <v>885</v>
      </c>
    </row>
    <row r="867" spans="1:34" x14ac:dyDescent="0.35">
      <c r="A867" t="s">
        <v>880</v>
      </c>
      <c r="B867" t="s">
        <v>881</v>
      </c>
      <c r="C867" t="s">
        <v>882</v>
      </c>
      <c r="D867" t="s">
        <v>25</v>
      </c>
      <c r="E867" t="s">
        <v>886</v>
      </c>
      <c r="F867" t="s">
        <v>545</v>
      </c>
      <c r="G867" t="s">
        <v>419</v>
      </c>
      <c r="H867" t="s">
        <v>418</v>
      </c>
      <c r="I867" t="s">
        <v>820</v>
      </c>
      <c r="J867">
        <v>2005</v>
      </c>
      <c r="K867" t="b">
        <v>0</v>
      </c>
      <c r="X867">
        <v>49.55</v>
      </c>
      <c r="AD867">
        <v>50</v>
      </c>
      <c r="AG867" t="s">
        <v>884</v>
      </c>
      <c r="AH867" t="s">
        <v>885</v>
      </c>
    </row>
    <row r="868" spans="1:34" x14ac:dyDescent="0.35">
      <c r="A868" t="s">
        <v>880</v>
      </c>
      <c r="B868" t="s">
        <v>881</v>
      </c>
      <c r="C868" t="s">
        <v>882</v>
      </c>
      <c r="D868" t="s">
        <v>4</v>
      </c>
      <c r="E868" t="s">
        <v>883</v>
      </c>
      <c r="F868" t="s">
        <v>545</v>
      </c>
      <c r="G868" t="s">
        <v>520</v>
      </c>
      <c r="H868" t="s">
        <v>519</v>
      </c>
      <c r="I868" t="s">
        <v>820</v>
      </c>
      <c r="J868">
        <v>2005</v>
      </c>
      <c r="K868" t="b">
        <v>0</v>
      </c>
      <c r="X868">
        <v>50.53</v>
      </c>
      <c r="AD868">
        <v>51</v>
      </c>
      <c r="AG868" t="s">
        <v>884</v>
      </c>
      <c r="AH868" t="s">
        <v>885</v>
      </c>
    </row>
    <row r="869" spans="1:34" x14ac:dyDescent="0.35">
      <c r="A869" t="s">
        <v>880</v>
      </c>
      <c r="B869" t="s">
        <v>881</v>
      </c>
      <c r="C869" t="s">
        <v>882</v>
      </c>
      <c r="D869" t="s">
        <v>20</v>
      </c>
      <c r="E869" t="s">
        <v>789</v>
      </c>
      <c r="F869" t="s">
        <v>545</v>
      </c>
      <c r="G869" t="s">
        <v>529</v>
      </c>
      <c r="H869" t="s">
        <v>528</v>
      </c>
      <c r="I869" t="s">
        <v>820</v>
      </c>
      <c r="J869">
        <v>2005</v>
      </c>
      <c r="K869" t="b">
        <v>0</v>
      </c>
      <c r="X869">
        <v>50.53</v>
      </c>
      <c r="AD869">
        <v>51</v>
      </c>
      <c r="AG869" t="s">
        <v>884</v>
      </c>
      <c r="AH869" t="s">
        <v>885</v>
      </c>
    </row>
    <row r="870" spans="1:34" x14ac:dyDescent="0.35">
      <c r="A870" t="s">
        <v>880</v>
      </c>
      <c r="B870" t="s">
        <v>881</v>
      </c>
      <c r="C870" t="s">
        <v>882</v>
      </c>
      <c r="D870" t="s">
        <v>1</v>
      </c>
      <c r="E870" t="s">
        <v>889</v>
      </c>
      <c r="F870" t="s">
        <v>545</v>
      </c>
      <c r="G870" t="s">
        <v>313</v>
      </c>
      <c r="H870" t="s">
        <v>312</v>
      </c>
      <c r="I870" t="s">
        <v>820</v>
      </c>
      <c r="J870">
        <v>2005</v>
      </c>
      <c r="K870" t="b">
        <v>0</v>
      </c>
      <c r="X870">
        <v>52.09</v>
      </c>
      <c r="AD870">
        <v>52</v>
      </c>
      <c r="AG870" t="s">
        <v>884</v>
      </c>
      <c r="AH870" t="s">
        <v>885</v>
      </c>
    </row>
    <row r="871" spans="1:34" x14ac:dyDescent="0.35">
      <c r="A871" t="s">
        <v>880</v>
      </c>
      <c r="B871" t="s">
        <v>881</v>
      </c>
      <c r="C871" t="s">
        <v>882</v>
      </c>
      <c r="D871" t="s">
        <v>25</v>
      </c>
      <c r="E871" t="s">
        <v>886</v>
      </c>
      <c r="F871" t="s">
        <v>545</v>
      </c>
      <c r="G871" t="s">
        <v>366</v>
      </c>
      <c r="H871" t="s">
        <v>365</v>
      </c>
      <c r="I871" t="s">
        <v>820</v>
      </c>
      <c r="J871">
        <v>2005</v>
      </c>
      <c r="K871" t="b">
        <v>0</v>
      </c>
      <c r="X871">
        <v>51.85</v>
      </c>
      <c r="AD871">
        <v>52</v>
      </c>
      <c r="AG871" t="s">
        <v>884</v>
      </c>
      <c r="AH871" t="s">
        <v>885</v>
      </c>
    </row>
    <row r="872" spans="1:34" x14ac:dyDescent="0.35">
      <c r="A872" t="s">
        <v>880</v>
      </c>
      <c r="B872" t="s">
        <v>881</v>
      </c>
      <c r="C872" t="s">
        <v>882</v>
      </c>
      <c r="D872" t="s">
        <v>1</v>
      </c>
      <c r="E872" t="s">
        <v>889</v>
      </c>
      <c r="F872" t="s">
        <v>545</v>
      </c>
      <c r="G872" t="s">
        <v>380</v>
      </c>
      <c r="H872" t="s">
        <v>379</v>
      </c>
      <c r="I872" t="s">
        <v>820</v>
      </c>
      <c r="J872">
        <v>2005</v>
      </c>
      <c r="K872" t="b">
        <v>0</v>
      </c>
      <c r="X872">
        <v>52.15</v>
      </c>
      <c r="AD872">
        <v>52</v>
      </c>
      <c r="AG872" t="s">
        <v>884</v>
      </c>
      <c r="AH872" t="s">
        <v>885</v>
      </c>
    </row>
    <row r="873" spans="1:34" x14ac:dyDescent="0.35">
      <c r="A873" t="s">
        <v>880</v>
      </c>
      <c r="B873" t="s">
        <v>881</v>
      </c>
      <c r="C873" t="s">
        <v>882</v>
      </c>
      <c r="D873" t="s">
        <v>4</v>
      </c>
      <c r="E873" t="s">
        <v>883</v>
      </c>
      <c r="F873" t="s">
        <v>545</v>
      </c>
      <c r="G873" t="s">
        <v>512</v>
      </c>
      <c r="H873" t="s">
        <v>511</v>
      </c>
      <c r="I873" t="s">
        <v>820</v>
      </c>
      <c r="J873">
        <v>2005</v>
      </c>
      <c r="K873" t="b">
        <v>0</v>
      </c>
      <c r="X873">
        <v>51.65</v>
      </c>
      <c r="AD873">
        <v>52</v>
      </c>
      <c r="AG873" t="s">
        <v>884</v>
      </c>
      <c r="AH873" t="s">
        <v>885</v>
      </c>
    </row>
    <row r="874" spans="1:34" x14ac:dyDescent="0.35">
      <c r="A874" t="s">
        <v>880</v>
      </c>
      <c r="B874" t="s">
        <v>881</v>
      </c>
      <c r="C874" t="s">
        <v>882</v>
      </c>
      <c r="D874" t="s">
        <v>20</v>
      </c>
      <c r="E874" t="s">
        <v>789</v>
      </c>
      <c r="F874" t="s">
        <v>545</v>
      </c>
      <c r="G874" t="s">
        <v>467</v>
      </c>
      <c r="H874" t="s">
        <v>466</v>
      </c>
      <c r="I874" t="s">
        <v>820</v>
      </c>
      <c r="J874">
        <v>2005</v>
      </c>
      <c r="K874" t="b">
        <v>0</v>
      </c>
      <c r="X874">
        <v>52.13</v>
      </c>
      <c r="AD874">
        <v>52</v>
      </c>
      <c r="AG874" t="s">
        <v>884</v>
      </c>
      <c r="AH874" t="s">
        <v>885</v>
      </c>
    </row>
    <row r="875" spans="1:34" x14ac:dyDescent="0.35">
      <c r="A875" t="s">
        <v>880</v>
      </c>
      <c r="B875" t="s">
        <v>881</v>
      </c>
      <c r="C875" t="s">
        <v>882</v>
      </c>
      <c r="D875" t="s">
        <v>0</v>
      </c>
      <c r="E875" t="s">
        <v>887</v>
      </c>
      <c r="F875" t="s">
        <v>545</v>
      </c>
      <c r="G875" t="s">
        <v>286</v>
      </c>
      <c r="H875" t="s">
        <v>285</v>
      </c>
      <c r="I875" t="s">
        <v>820</v>
      </c>
      <c r="J875">
        <v>2005</v>
      </c>
      <c r="K875" t="b">
        <v>0</v>
      </c>
      <c r="X875">
        <v>53.19</v>
      </c>
      <c r="AD875">
        <v>53</v>
      </c>
      <c r="AG875" t="s">
        <v>884</v>
      </c>
      <c r="AH875" t="s">
        <v>885</v>
      </c>
    </row>
    <row r="876" spans="1:34" x14ac:dyDescent="0.35">
      <c r="A876" t="s">
        <v>880</v>
      </c>
      <c r="B876" t="s">
        <v>881</v>
      </c>
      <c r="C876" t="s">
        <v>882</v>
      </c>
      <c r="D876" t="s">
        <v>1</v>
      </c>
      <c r="E876" t="s">
        <v>889</v>
      </c>
      <c r="F876" t="s">
        <v>545</v>
      </c>
      <c r="G876" t="s">
        <v>298</v>
      </c>
      <c r="H876" t="s">
        <v>297</v>
      </c>
      <c r="I876" t="s">
        <v>820</v>
      </c>
      <c r="J876">
        <v>2005</v>
      </c>
      <c r="K876" t="b">
        <v>0</v>
      </c>
      <c r="X876">
        <v>53.42</v>
      </c>
      <c r="AD876">
        <v>53</v>
      </c>
      <c r="AG876" t="s">
        <v>884</v>
      </c>
      <c r="AH876" t="s">
        <v>885</v>
      </c>
    </row>
    <row r="877" spans="1:34" x14ac:dyDescent="0.35">
      <c r="A877" t="s">
        <v>880</v>
      </c>
      <c r="B877" t="s">
        <v>881</v>
      </c>
      <c r="C877" t="s">
        <v>882</v>
      </c>
      <c r="D877" t="s">
        <v>20</v>
      </c>
      <c r="E877" t="s">
        <v>789</v>
      </c>
      <c r="F877" t="s">
        <v>545</v>
      </c>
      <c r="G877" t="s">
        <v>348</v>
      </c>
      <c r="H877" t="s">
        <v>347</v>
      </c>
      <c r="I877" t="s">
        <v>820</v>
      </c>
      <c r="J877">
        <v>2005</v>
      </c>
      <c r="K877" t="b">
        <v>0</v>
      </c>
      <c r="X877">
        <v>53.3</v>
      </c>
      <c r="AD877">
        <v>53</v>
      </c>
      <c r="AG877" t="s">
        <v>884</v>
      </c>
      <c r="AH877" t="s">
        <v>885</v>
      </c>
    </row>
    <row r="878" spans="1:34" x14ac:dyDescent="0.35">
      <c r="A878" t="s">
        <v>880</v>
      </c>
      <c r="B878" t="s">
        <v>881</v>
      </c>
      <c r="C878" t="s">
        <v>882</v>
      </c>
      <c r="D878" t="s">
        <v>25</v>
      </c>
      <c r="E878" t="s">
        <v>886</v>
      </c>
      <c r="F878" t="s">
        <v>545</v>
      </c>
      <c r="G878" t="s">
        <v>243</v>
      </c>
      <c r="H878" t="s">
        <v>242</v>
      </c>
      <c r="I878" t="s">
        <v>820</v>
      </c>
      <c r="J878">
        <v>2005</v>
      </c>
      <c r="K878" t="b">
        <v>0</v>
      </c>
      <c r="X878">
        <v>54.14</v>
      </c>
      <c r="AD878">
        <v>54</v>
      </c>
      <c r="AG878" t="s">
        <v>884</v>
      </c>
      <c r="AH878" t="s">
        <v>885</v>
      </c>
    </row>
    <row r="879" spans="1:34" x14ac:dyDescent="0.35">
      <c r="A879" t="s">
        <v>880</v>
      </c>
      <c r="B879" t="s">
        <v>881</v>
      </c>
      <c r="C879" t="s">
        <v>882</v>
      </c>
      <c r="D879" t="s">
        <v>20</v>
      </c>
      <c r="E879" t="s">
        <v>789</v>
      </c>
      <c r="F879" t="s">
        <v>545</v>
      </c>
      <c r="G879" t="s">
        <v>213</v>
      </c>
      <c r="H879" t="s">
        <v>212</v>
      </c>
      <c r="I879" t="s">
        <v>820</v>
      </c>
      <c r="J879">
        <v>2005</v>
      </c>
      <c r="K879" t="b">
        <v>0</v>
      </c>
      <c r="X879">
        <v>55.26</v>
      </c>
      <c r="AD879">
        <v>55</v>
      </c>
      <c r="AG879" t="s">
        <v>884</v>
      </c>
      <c r="AH879" t="s">
        <v>885</v>
      </c>
    </row>
    <row r="880" spans="1:34" x14ac:dyDescent="0.35">
      <c r="A880" t="s">
        <v>880</v>
      </c>
      <c r="B880" t="s">
        <v>881</v>
      </c>
      <c r="C880" t="s">
        <v>882</v>
      </c>
      <c r="D880" t="s">
        <v>20</v>
      </c>
      <c r="E880" t="s">
        <v>789</v>
      </c>
      <c r="F880" t="s">
        <v>545</v>
      </c>
      <c r="G880" t="s">
        <v>228</v>
      </c>
      <c r="H880" t="s">
        <v>227</v>
      </c>
      <c r="I880" t="s">
        <v>820</v>
      </c>
      <c r="J880">
        <v>2005</v>
      </c>
      <c r="K880" t="b">
        <v>0</v>
      </c>
      <c r="X880">
        <v>54.66</v>
      </c>
      <c r="AD880">
        <v>55</v>
      </c>
      <c r="AG880" t="s">
        <v>884</v>
      </c>
      <c r="AH880" t="s">
        <v>885</v>
      </c>
    </row>
    <row r="881" spans="1:34" x14ac:dyDescent="0.35">
      <c r="A881" t="s">
        <v>880</v>
      </c>
      <c r="B881" t="s">
        <v>881</v>
      </c>
      <c r="C881" t="s">
        <v>882</v>
      </c>
      <c r="D881" t="s">
        <v>4</v>
      </c>
      <c r="E881" t="s">
        <v>883</v>
      </c>
      <c r="F881" t="s">
        <v>545</v>
      </c>
      <c r="G881" t="s">
        <v>509</v>
      </c>
      <c r="H881" t="s">
        <v>508</v>
      </c>
      <c r="I881" t="s">
        <v>820</v>
      </c>
      <c r="J881">
        <v>2005</v>
      </c>
      <c r="K881" t="b">
        <v>0</v>
      </c>
      <c r="X881">
        <v>54.91</v>
      </c>
      <c r="AD881">
        <v>55</v>
      </c>
      <c r="AG881" t="s">
        <v>884</v>
      </c>
      <c r="AH881" t="s">
        <v>885</v>
      </c>
    </row>
    <row r="882" spans="1:34" x14ac:dyDescent="0.35">
      <c r="A882" t="s">
        <v>880</v>
      </c>
      <c r="B882" t="s">
        <v>881</v>
      </c>
      <c r="C882" t="s">
        <v>882</v>
      </c>
      <c r="D882" t="s">
        <v>4</v>
      </c>
      <c r="E882" t="s">
        <v>883</v>
      </c>
      <c r="F882" t="s">
        <v>545</v>
      </c>
      <c r="G882" t="s">
        <v>153</v>
      </c>
      <c r="H882" t="s">
        <v>152</v>
      </c>
      <c r="I882" t="s">
        <v>820</v>
      </c>
      <c r="J882">
        <v>2005</v>
      </c>
      <c r="K882" t="b">
        <v>0</v>
      </c>
      <c r="X882">
        <v>54.82</v>
      </c>
      <c r="AD882">
        <v>55</v>
      </c>
      <c r="AG882" t="s">
        <v>884</v>
      </c>
      <c r="AH882" t="s">
        <v>885</v>
      </c>
    </row>
    <row r="883" spans="1:34" x14ac:dyDescent="0.35">
      <c r="A883" t="s">
        <v>880</v>
      </c>
      <c r="B883" t="s">
        <v>881</v>
      </c>
      <c r="C883" t="s">
        <v>882</v>
      </c>
      <c r="D883" t="s">
        <v>20</v>
      </c>
      <c r="E883" t="s">
        <v>789</v>
      </c>
      <c r="F883" t="s">
        <v>545</v>
      </c>
      <c r="G883" t="s">
        <v>342</v>
      </c>
      <c r="H883" t="s">
        <v>341</v>
      </c>
      <c r="I883" t="s">
        <v>820</v>
      </c>
      <c r="J883">
        <v>2005</v>
      </c>
      <c r="K883" t="b">
        <v>0</v>
      </c>
      <c r="X883">
        <v>56.15</v>
      </c>
      <c r="AD883">
        <v>56</v>
      </c>
      <c r="AG883" t="s">
        <v>884</v>
      </c>
      <c r="AH883" t="s">
        <v>885</v>
      </c>
    </row>
    <row r="884" spans="1:34" x14ac:dyDescent="0.35">
      <c r="A884" t="s">
        <v>880</v>
      </c>
      <c r="B884" t="s">
        <v>881</v>
      </c>
      <c r="C884" t="s">
        <v>882</v>
      </c>
      <c r="D884" t="s">
        <v>20</v>
      </c>
      <c r="E884" t="s">
        <v>789</v>
      </c>
      <c r="F884" t="s">
        <v>545</v>
      </c>
      <c r="G884" t="s">
        <v>91</v>
      </c>
      <c r="H884" t="s">
        <v>90</v>
      </c>
      <c r="I884" t="s">
        <v>820</v>
      </c>
      <c r="J884">
        <v>2005</v>
      </c>
      <c r="K884" t="b">
        <v>0</v>
      </c>
      <c r="X884">
        <v>57.19</v>
      </c>
      <c r="AD884">
        <v>57</v>
      </c>
      <c r="AG884" t="s">
        <v>884</v>
      </c>
      <c r="AH884" t="s">
        <v>885</v>
      </c>
    </row>
    <row r="885" spans="1:34" x14ac:dyDescent="0.35">
      <c r="A885" t="s">
        <v>880</v>
      </c>
      <c r="B885" t="s">
        <v>881</v>
      </c>
      <c r="C885" t="s">
        <v>882</v>
      </c>
      <c r="D885" t="s">
        <v>20</v>
      </c>
      <c r="E885" t="s">
        <v>789</v>
      </c>
      <c r="F885" t="s">
        <v>545</v>
      </c>
      <c r="G885" t="s">
        <v>331</v>
      </c>
      <c r="H885" t="s">
        <v>330</v>
      </c>
      <c r="I885" t="s">
        <v>820</v>
      </c>
      <c r="J885">
        <v>2005</v>
      </c>
      <c r="K885" t="b">
        <v>0</v>
      </c>
      <c r="X885">
        <v>56.74</v>
      </c>
      <c r="AD885">
        <v>57</v>
      </c>
      <c r="AG885" t="s">
        <v>884</v>
      </c>
      <c r="AH885" t="s">
        <v>885</v>
      </c>
    </row>
    <row r="886" spans="1:34" x14ac:dyDescent="0.35">
      <c r="A886" t="s">
        <v>880</v>
      </c>
      <c r="B886" t="s">
        <v>881</v>
      </c>
      <c r="C886" t="s">
        <v>882</v>
      </c>
      <c r="D886" t="s">
        <v>20</v>
      </c>
      <c r="E886" t="s">
        <v>789</v>
      </c>
      <c r="F886" t="s">
        <v>545</v>
      </c>
      <c r="G886" t="s">
        <v>174</v>
      </c>
      <c r="H886" t="s">
        <v>173</v>
      </c>
      <c r="I886" t="s">
        <v>820</v>
      </c>
      <c r="J886">
        <v>2005</v>
      </c>
      <c r="K886" t="b">
        <v>0</v>
      </c>
      <c r="X886">
        <v>57.21</v>
      </c>
      <c r="AD886">
        <v>57</v>
      </c>
      <c r="AG886" t="s">
        <v>884</v>
      </c>
      <c r="AH886" t="s">
        <v>885</v>
      </c>
    </row>
    <row r="887" spans="1:34" x14ac:dyDescent="0.35">
      <c r="A887" t="s">
        <v>880</v>
      </c>
      <c r="B887" t="s">
        <v>881</v>
      </c>
      <c r="C887" t="s">
        <v>882</v>
      </c>
      <c r="D887" t="s">
        <v>20</v>
      </c>
      <c r="E887" t="s">
        <v>789</v>
      </c>
      <c r="F887" t="s">
        <v>545</v>
      </c>
      <c r="G887" t="s">
        <v>386</v>
      </c>
      <c r="H887" t="s">
        <v>676</v>
      </c>
      <c r="I887" t="s">
        <v>820</v>
      </c>
      <c r="J887">
        <v>2005</v>
      </c>
      <c r="K887" t="b">
        <v>0</v>
      </c>
      <c r="X887">
        <v>56.96</v>
      </c>
      <c r="AD887">
        <v>57</v>
      </c>
      <c r="AG887" t="s">
        <v>884</v>
      </c>
      <c r="AH887" t="s">
        <v>885</v>
      </c>
    </row>
    <row r="888" spans="1:34" x14ac:dyDescent="0.35">
      <c r="A888" t="s">
        <v>880</v>
      </c>
      <c r="B888" t="s">
        <v>881</v>
      </c>
      <c r="C888" t="s">
        <v>882</v>
      </c>
      <c r="D888" t="s">
        <v>1</v>
      </c>
      <c r="E888" t="s">
        <v>889</v>
      </c>
      <c r="F888" t="s">
        <v>545</v>
      </c>
      <c r="G888" t="s">
        <v>437</v>
      </c>
      <c r="H888" t="s">
        <v>436</v>
      </c>
      <c r="I888" t="s">
        <v>820</v>
      </c>
      <c r="J888">
        <v>2005</v>
      </c>
      <c r="K888" t="b">
        <v>0</v>
      </c>
      <c r="X888">
        <v>57.33</v>
      </c>
      <c r="AD888">
        <v>57</v>
      </c>
      <c r="AG888" t="s">
        <v>884</v>
      </c>
      <c r="AH888" t="s">
        <v>885</v>
      </c>
    </row>
    <row r="889" spans="1:34" x14ac:dyDescent="0.35">
      <c r="A889" t="s">
        <v>880</v>
      </c>
      <c r="B889" t="s">
        <v>881</v>
      </c>
      <c r="C889" t="s">
        <v>882</v>
      </c>
      <c r="D889" t="s">
        <v>4</v>
      </c>
      <c r="E889" t="s">
        <v>883</v>
      </c>
      <c r="F889" t="s">
        <v>545</v>
      </c>
      <c r="G889" t="s">
        <v>458</v>
      </c>
      <c r="H889" t="s">
        <v>457</v>
      </c>
      <c r="I889" t="s">
        <v>820</v>
      </c>
      <c r="J889">
        <v>2005</v>
      </c>
      <c r="K889" t="b">
        <v>0</v>
      </c>
      <c r="X889">
        <v>57.45</v>
      </c>
      <c r="AD889">
        <v>57</v>
      </c>
      <c r="AG889" t="s">
        <v>884</v>
      </c>
      <c r="AH889" t="s">
        <v>885</v>
      </c>
    </row>
    <row r="890" spans="1:34" x14ac:dyDescent="0.35">
      <c r="A890" t="s">
        <v>880</v>
      </c>
      <c r="B890" t="s">
        <v>881</v>
      </c>
      <c r="C890" t="s">
        <v>882</v>
      </c>
      <c r="D890" t="s">
        <v>1</v>
      </c>
      <c r="E890" t="s">
        <v>889</v>
      </c>
      <c r="F890" t="s">
        <v>545</v>
      </c>
      <c r="G890" t="s">
        <v>16</v>
      </c>
      <c r="H890" t="s">
        <v>15</v>
      </c>
      <c r="I890" t="s">
        <v>820</v>
      </c>
      <c r="J890">
        <v>2005</v>
      </c>
      <c r="K890" t="b">
        <v>0</v>
      </c>
      <c r="X890">
        <v>59.42</v>
      </c>
      <c r="AD890">
        <v>59</v>
      </c>
      <c r="AG890" t="s">
        <v>884</v>
      </c>
      <c r="AH890" t="s">
        <v>885</v>
      </c>
    </row>
    <row r="891" spans="1:34" x14ac:dyDescent="0.35">
      <c r="A891" t="s">
        <v>880</v>
      </c>
      <c r="B891" t="s">
        <v>881</v>
      </c>
      <c r="C891" t="s">
        <v>882</v>
      </c>
      <c r="D891" t="s">
        <v>20</v>
      </c>
      <c r="E891" t="s">
        <v>789</v>
      </c>
      <c r="F891" t="s">
        <v>545</v>
      </c>
      <c r="G891" t="s">
        <v>22</v>
      </c>
      <c r="H891" t="s">
        <v>21</v>
      </c>
      <c r="I891" t="s">
        <v>820</v>
      </c>
      <c r="J891">
        <v>2005</v>
      </c>
      <c r="K891" t="b">
        <v>0</v>
      </c>
      <c r="X891">
        <v>58.61</v>
      </c>
      <c r="AD891">
        <v>59</v>
      </c>
      <c r="AG891" t="s">
        <v>884</v>
      </c>
      <c r="AH891" t="s">
        <v>885</v>
      </c>
    </row>
    <row r="892" spans="1:34" x14ac:dyDescent="0.35">
      <c r="A892" t="s">
        <v>880</v>
      </c>
      <c r="B892" t="s">
        <v>881</v>
      </c>
      <c r="C892" t="s">
        <v>882</v>
      </c>
      <c r="D892" t="s">
        <v>0</v>
      </c>
      <c r="E892" t="s">
        <v>887</v>
      </c>
      <c r="F892" t="s">
        <v>545</v>
      </c>
      <c r="G892" t="s">
        <v>196</v>
      </c>
      <c r="H892" t="s">
        <v>195</v>
      </c>
      <c r="I892" t="s">
        <v>820</v>
      </c>
      <c r="J892">
        <v>2005</v>
      </c>
      <c r="K892" t="b">
        <v>0</v>
      </c>
      <c r="X892">
        <v>59.48</v>
      </c>
      <c r="AD892">
        <v>59</v>
      </c>
      <c r="AG892" t="s">
        <v>884</v>
      </c>
      <c r="AH892" t="s">
        <v>885</v>
      </c>
    </row>
    <row r="893" spans="1:34" x14ac:dyDescent="0.35">
      <c r="A893" t="s">
        <v>880</v>
      </c>
      <c r="B893" t="s">
        <v>881</v>
      </c>
      <c r="C893" t="s">
        <v>882</v>
      </c>
      <c r="D893" t="s">
        <v>4</v>
      </c>
      <c r="E893" t="s">
        <v>883</v>
      </c>
      <c r="F893" t="s">
        <v>545</v>
      </c>
      <c r="G893" t="s">
        <v>99</v>
      </c>
      <c r="H893" t="s">
        <v>98</v>
      </c>
      <c r="I893" t="s">
        <v>820</v>
      </c>
      <c r="J893">
        <v>2005</v>
      </c>
      <c r="K893" t="b">
        <v>0</v>
      </c>
      <c r="X893">
        <v>59.08</v>
      </c>
      <c r="AD893">
        <v>59</v>
      </c>
      <c r="AG893" t="s">
        <v>884</v>
      </c>
      <c r="AH893" t="s">
        <v>885</v>
      </c>
    </row>
    <row r="894" spans="1:34" x14ac:dyDescent="0.35">
      <c r="A894" t="s">
        <v>880</v>
      </c>
      <c r="B894" t="s">
        <v>881</v>
      </c>
      <c r="C894" t="s">
        <v>882</v>
      </c>
      <c r="D894" t="s">
        <v>1</v>
      </c>
      <c r="E894" t="s">
        <v>889</v>
      </c>
      <c r="F894" t="s">
        <v>545</v>
      </c>
      <c r="G894" t="s">
        <v>34</v>
      </c>
      <c r="H894" t="s">
        <v>33</v>
      </c>
      <c r="I894" t="s">
        <v>820</v>
      </c>
      <c r="J894">
        <v>2005</v>
      </c>
      <c r="K894" t="b">
        <v>0</v>
      </c>
      <c r="X894">
        <v>59.78</v>
      </c>
      <c r="AD894">
        <v>60</v>
      </c>
      <c r="AG894" t="s">
        <v>884</v>
      </c>
      <c r="AH894" t="s">
        <v>885</v>
      </c>
    </row>
    <row r="895" spans="1:34" x14ac:dyDescent="0.35">
      <c r="A895" t="s">
        <v>880</v>
      </c>
      <c r="B895" t="s">
        <v>881</v>
      </c>
      <c r="C895" t="s">
        <v>882</v>
      </c>
      <c r="D895" t="s">
        <v>1</v>
      </c>
      <c r="E895" t="s">
        <v>889</v>
      </c>
      <c r="F895" t="s">
        <v>545</v>
      </c>
      <c r="G895" t="s">
        <v>398</v>
      </c>
      <c r="H895" t="s">
        <v>397</v>
      </c>
      <c r="I895" t="s">
        <v>820</v>
      </c>
      <c r="J895">
        <v>2005</v>
      </c>
      <c r="K895" t="b">
        <v>0</v>
      </c>
      <c r="X895">
        <v>60.22</v>
      </c>
      <c r="AD895">
        <v>60</v>
      </c>
      <c r="AG895" t="s">
        <v>884</v>
      </c>
      <c r="AH895" t="s">
        <v>885</v>
      </c>
    </row>
    <row r="896" spans="1:34" x14ac:dyDescent="0.35">
      <c r="A896" t="s">
        <v>880</v>
      </c>
      <c r="B896" t="s">
        <v>881</v>
      </c>
      <c r="C896" t="s">
        <v>882</v>
      </c>
      <c r="D896" t="s">
        <v>20</v>
      </c>
      <c r="E896" t="s">
        <v>789</v>
      </c>
      <c r="F896" t="s">
        <v>545</v>
      </c>
      <c r="G896" t="s">
        <v>525</v>
      </c>
      <c r="H896" t="s">
        <v>524</v>
      </c>
      <c r="I896" t="s">
        <v>820</v>
      </c>
      <c r="J896">
        <v>2005</v>
      </c>
      <c r="K896" t="b">
        <v>0</v>
      </c>
      <c r="X896">
        <v>59.57</v>
      </c>
      <c r="AD896">
        <v>60</v>
      </c>
      <c r="AG896" t="s">
        <v>884</v>
      </c>
      <c r="AH896" t="s">
        <v>885</v>
      </c>
    </row>
    <row r="897" spans="1:34" x14ac:dyDescent="0.35">
      <c r="A897" t="s">
        <v>880</v>
      </c>
      <c r="B897" t="s">
        <v>881</v>
      </c>
      <c r="C897" t="s">
        <v>882</v>
      </c>
      <c r="D897" t="s">
        <v>20</v>
      </c>
      <c r="E897" t="s">
        <v>789</v>
      </c>
      <c r="F897" t="s">
        <v>545</v>
      </c>
      <c r="G897" t="s">
        <v>283</v>
      </c>
      <c r="H897" t="s">
        <v>282</v>
      </c>
      <c r="I897" t="s">
        <v>820</v>
      </c>
      <c r="J897">
        <v>2005</v>
      </c>
      <c r="K897" t="b">
        <v>0</v>
      </c>
      <c r="X897">
        <v>61.07</v>
      </c>
      <c r="AD897">
        <v>61</v>
      </c>
      <c r="AG897" t="s">
        <v>884</v>
      </c>
      <c r="AH897" t="s">
        <v>885</v>
      </c>
    </row>
    <row r="898" spans="1:34" x14ac:dyDescent="0.35">
      <c r="A898" t="s">
        <v>880</v>
      </c>
      <c r="B898" t="s">
        <v>881</v>
      </c>
      <c r="C898" t="s">
        <v>882</v>
      </c>
      <c r="D898" t="s">
        <v>1</v>
      </c>
      <c r="E898" t="s">
        <v>889</v>
      </c>
      <c r="F898" t="s">
        <v>545</v>
      </c>
      <c r="G898" t="s">
        <v>96</v>
      </c>
      <c r="H898" t="s">
        <v>95</v>
      </c>
      <c r="I898" t="s">
        <v>820</v>
      </c>
      <c r="J898">
        <v>2005</v>
      </c>
      <c r="K898" t="b">
        <v>0</v>
      </c>
      <c r="X898">
        <v>60.7</v>
      </c>
      <c r="AD898">
        <v>61</v>
      </c>
      <c r="AG898" t="s">
        <v>884</v>
      </c>
      <c r="AH898" t="s">
        <v>885</v>
      </c>
    </row>
    <row r="899" spans="1:34" x14ac:dyDescent="0.35">
      <c r="A899" t="s">
        <v>880</v>
      </c>
      <c r="B899" t="s">
        <v>881</v>
      </c>
      <c r="C899" t="s">
        <v>882</v>
      </c>
      <c r="D899" t="s">
        <v>1</v>
      </c>
      <c r="E899" t="s">
        <v>889</v>
      </c>
      <c r="F899" t="s">
        <v>545</v>
      </c>
      <c r="G899" t="s">
        <v>125</v>
      </c>
      <c r="H899" t="s">
        <v>124</v>
      </c>
      <c r="I899" t="s">
        <v>820</v>
      </c>
      <c r="J899">
        <v>2005</v>
      </c>
      <c r="K899" t="b">
        <v>0</v>
      </c>
      <c r="X899">
        <v>61.09</v>
      </c>
      <c r="AD899">
        <v>61</v>
      </c>
      <c r="AG899" t="s">
        <v>884</v>
      </c>
      <c r="AH899" t="s">
        <v>885</v>
      </c>
    </row>
    <row r="900" spans="1:34" x14ac:dyDescent="0.35">
      <c r="A900" t="s">
        <v>880</v>
      </c>
      <c r="B900" t="s">
        <v>881</v>
      </c>
      <c r="C900" t="s">
        <v>882</v>
      </c>
      <c r="D900" t="s">
        <v>20</v>
      </c>
      <c r="E900" t="s">
        <v>789</v>
      </c>
      <c r="F900" t="s">
        <v>545</v>
      </c>
      <c r="G900" t="s">
        <v>185</v>
      </c>
      <c r="H900" t="s">
        <v>184</v>
      </c>
      <c r="I900" t="s">
        <v>820</v>
      </c>
      <c r="J900">
        <v>2005</v>
      </c>
      <c r="K900" t="b">
        <v>0</v>
      </c>
      <c r="X900">
        <v>61.09</v>
      </c>
      <c r="AD900">
        <v>61</v>
      </c>
      <c r="AG900" t="s">
        <v>884</v>
      </c>
      <c r="AH900" t="s">
        <v>885</v>
      </c>
    </row>
    <row r="901" spans="1:34" x14ac:dyDescent="0.35">
      <c r="A901" t="s">
        <v>880</v>
      </c>
      <c r="B901" t="s">
        <v>881</v>
      </c>
      <c r="C901" t="s">
        <v>882</v>
      </c>
      <c r="D901" t="s">
        <v>1</v>
      </c>
      <c r="E901" t="s">
        <v>889</v>
      </c>
      <c r="F901" t="s">
        <v>545</v>
      </c>
      <c r="G901" t="s">
        <v>19</v>
      </c>
      <c r="H901" t="s">
        <v>18</v>
      </c>
      <c r="I901" t="s">
        <v>820</v>
      </c>
      <c r="J901">
        <v>2005</v>
      </c>
      <c r="K901" t="b">
        <v>0</v>
      </c>
      <c r="X901">
        <v>61.06</v>
      </c>
      <c r="AD901">
        <v>61</v>
      </c>
      <c r="AG901" t="s">
        <v>884</v>
      </c>
      <c r="AH901" t="s">
        <v>885</v>
      </c>
    </row>
    <row r="902" spans="1:34" x14ac:dyDescent="0.35">
      <c r="A902" t="s">
        <v>880</v>
      </c>
      <c r="B902" t="s">
        <v>881</v>
      </c>
      <c r="C902" t="s">
        <v>882</v>
      </c>
      <c r="D902" t="s">
        <v>1</v>
      </c>
      <c r="E902" t="s">
        <v>889</v>
      </c>
      <c r="F902" t="s">
        <v>545</v>
      </c>
      <c r="G902" t="s">
        <v>274</v>
      </c>
      <c r="H902" t="s">
        <v>273</v>
      </c>
      <c r="I902" t="s">
        <v>820</v>
      </c>
      <c r="J902">
        <v>2005</v>
      </c>
      <c r="K902" t="b">
        <v>0</v>
      </c>
      <c r="X902">
        <v>62.39</v>
      </c>
      <c r="AD902">
        <v>62</v>
      </c>
      <c r="AG902" t="s">
        <v>884</v>
      </c>
      <c r="AH902" t="s">
        <v>885</v>
      </c>
    </row>
    <row r="903" spans="1:34" x14ac:dyDescent="0.35">
      <c r="A903" t="s">
        <v>880</v>
      </c>
      <c r="B903" t="s">
        <v>881</v>
      </c>
      <c r="C903" t="s">
        <v>882</v>
      </c>
      <c r="D903" t="s">
        <v>4</v>
      </c>
      <c r="E903" t="s">
        <v>883</v>
      </c>
      <c r="F903" t="s">
        <v>545</v>
      </c>
      <c r="G903" t="s">
        <v>179</v>
      </c>
      <c r="H903" t="s">
        <v>178</v>
      </c>
      <c r="I903" t="s">
        <v>820</v>
      </c>
      <c r="J903">
        <v>2005</v>
      </c>
      <c r="K903" t="b">
        <v>0</v>
      </c>
      <c r="X903">
        <v>62.22</v>
      </c>
      <c r="AD903">
        <v>62</v>
      </c>
      <c r="AG903" t="s">
        <v>884</v>
      </c>
      <c r="AH903" t="s">
        <v>885</v>
      </c>
    </row>
    <row r="904" spans="1:34" x14ac:dyDescent="0.35">
      <c r="A904" t="s">
        <v>880</v>
      </c>
      <c r="B904" t="s">
        <v>881</v>
      </c>
      <c r="C904" t="s">
        <v>882</v>
      </c>
      <c r="D904" t="s">
        <v>20</v>
      </c>
      <c r="E904" t="s">
        <v>789</v>
      </c>
      <c r="F904" t="s">
        <v>545</v>
      </c>
      <c r="G904" t="s">
        <v>237</v>
      </c>
      <c r="H904" t="s">
        <v>236</v>
      </c>
      <c r="I904" t="s">
        <v>820</v>
      </c>
      <c r="J904">
        <v>2005</v>
      </c>
      <c r="K904" t="b">
        <v>0</v>
      </c>
      <c r="X904">
        <v>62.99</v>
      </c>
      <c r="AD904">
        <v>63</v>
      </c>
      <c r="AG904" t="s">
        <v>884</v>
      </c>
      <c r="AH904" t="s">
        <v>885</v>
      </c>
    </row>
    <row r="905" spans="1:34" x14ac:dyDescent="0.35">
      <c r="A905" t="s">
        <v>880</v>
      </c>
      <c r="B905" t="s">
        <v>881</v>
      </c>
      <c r="C905" t="s">
        <v>882</v>
      </c>
      <c r="D905" t="s">
        <v>1</v>
      </c>
      <c r="E905" t="s">
        <v>889</v>
      </c>
      <c r="F905" t="s">
        <v>545</v>
      </c>
      <c r="G905" t="s">
        <v>277</v>
      </c>
      <c r="H905" t="s">
        <v>276</v>
      </c>
      <c r="I905" t="s">
        <v>820</v>
      </c>
      <c r="J905">
        <v>2005</v>
      </c>
      <c r="K905" t="b">
        <v>0</v>
      </c>
      <c r="X905">
        <v>62.76</v>
      </c>
      <c r="AD905">
        <v>63</v>
      </c>
      <c r="AG905" t="s">
        <v>884</v>
      </c>
      <c r="AH905" t="s">
        <v>885</v>
      </c>
    </row>
    <row r="906" spans="1:34" x14ac:dyDescent="0.35">
      <c r="A906" t="s">
        <v>880</v>
      </c>
      <c r="B906" t="s">
        <v>881</v>
      </c>
      <c r="C906" t="s">
        <v>882</v>
      </c>
      <c r="D906" t="s">
        <v>1</v>
      </c>
      <c r="E906" t="s">
        <v>889</v>
      </c>
      <c r="F906" t="s">
        <v>545</v>
      </c>
      <c r="G906" t="s">
        <v>307</v>
      </c>
      <c r="H906" t="s">
        <v>306</v>
      </c>
      <c r="I906" t="s">
        <v>820</v>
      </c>
      <c r="J906">
        <v>2005</v>
      </c>
      <c r="K906" t="b">
        <v>0</v>
      </c>
      <c r="X906">
        <v>63.16</v>
      </c>
      <c r="AD906">
        <v>63</v>
      </c>
      <c r="AG906" t="s">
        <v>884</v>
      </c>
      <c r="AH906" t="s">
        <v>885</v>
      </c>
    </row>
    <row r="907" spans="1:34" x14ac:dyDescent="0.35">
      <c r="A907" t="s">
        <v>880</v>
      </c>
      <c r="B907" t="s">
        <v>881</v>
      </c>
      <c r="C907" t="s">
        <v>882</v>
      </c>
      <c r="D907" t="s">
        <v>1</v>
      </c>
      <c r="E907" t="s">
        <v>889</v>
      </c>
      <c r="F907" t="s">
        <v>545</v>
      </c>
      <c r="G907" t="s">
        <v>485</v>
      </c>
      <c r="H907" t="s">
        <v>484</v>
      </c>
      <c r="I907" t="s">
        <v>820</v>
      </c>
      <c r="J907">
        <v>2005</v>
      </c>
      <c r="K907" t="b">
        <v>0</v>
      </c>
      <c r="X907">
        <v>63.03</v>
      </c>
      <c r="AD907">
        <v>63</v>
      </c>
      <c r="AG907" t="s">
        <v>884</v>
      </c>
      <c r="AH907" t="s">
        <v>885</v>
      </c>
    </row>
    <row r="908" spans="1:34" x14ac:dyDescent="0.35">
      <c r="A908" t="s">
        <v>880</v>
      </c>
      <c r="B908" t="s">
        <v>881</v>
      </c>
      <c r="C908" t="s">
        <v>882</v>
      </c>
      <c r="D908" t="s">
        <v>1</v>
      </c>
      <c r="E908" t="s">
        <v>889</v>
      </c>
      <c r="F908" t="s">
        <v>545</v>
      </c>
      <c r="G908" t="s">
        <v>489</v>
      </c>
      <c r="H908" t="s">
        <v>488</v>
      </c>
      <c r="I908" t="s">
        <v>820</v>
      </c>
      <c r="J908">
        <v>2005</v>
      </c>
      <c r="K908" t="b">
        <v>0</v>
      </c>
      <c r="X908">
        <v>62.55</v>
      </c>
      <c r="AD908">
        <v>63</v>
      </c>
      <c r="AG908" t="s">
        <v>884</v>
      </c>
      <c r="AH908" t="s">
        <v>885</v>
      </c>
    </row>
    <row r="909" spans="1:34" x14ac:dyDescent="0.35">
      <c r="A909" t="s">
        <v>880</v>
      </c>
      <c r="B909" t="s">
        <v>881</v>
      </c>
      <c r="C909" t="s">
        <v>882</v>
      </c>
      <c r="D909" t="s">
        <v>43</v>
      </c>
      <c r="E909" t="s">
        <v>890</v>
      </c>
      <c r="F909" t="s">
        <v>545</v>
      </c>
      <c r="G909" t="s">
        <v>168</v>
      </c>
      <c r="H909" t="s">
        <v>167</v>
      </c>
      <c r="I909" t="s">
        <v>820</v>
      </c>
      <c r="J909">
        <v>2005</v>
      </c>
      <c r="K909" t="b">
        <v>0</v>
      </c>
      <c r="X909">
        <v>62.77</v>
      </c>
      <c r="AD909">
        <v>63</v>
      </c>
      <c r="AG909" t="s">
        <v>884</v>
      </c>
      <c r="AH909" t="s">
        <v>885</v>
      </c>
    </row>
    <row r="910" spans="1:34" x14ac:dyDescent="0.35">
      <c r="A910" t="s">
        <v>880</v>
      </c>
      <c r="B910" t="s">
        <v>881</v>
      </c>
      <c r="C910" t="s">
        <v>882</v>
      </c>
      <c r="D910" t="s">
        <v>1</v>
      </c>
      <c r="E910" t="s">
        <v>889</v>
      </c>
      <c r="F910" t="s">
        <v>545</v>
      </c>
      <c r="G910" t="s">
        <v>37</v>
      </c>
      <c r="H910" t="s">
        <v>36</v>
      </c>
      <c r="I910" t="s">
        <v>820</v>
      </c>
      <c r="J910">
        <v>2005</v>
      </c>
      <c r="K910" t="b">
        <v>0</v>
      </c>
      <c r="X910">
        <v>63.7</v>
      </c>
      <c r="AD910">
        <v>64</v>
      </c>
      <c r="AG910" t="s">
        <v>884</v>
      </c>
      <c r="AH910" t="s">
        <v>885</v>
      </c>
    </row>
    <row r="911" spans="1:34" x14ac:dyDescent="0.35">
      <c r="A911" t="s">
        <v>880</v>
      </c>
      <c r="B911" t="s">
        <v>881</v>
      </c>
      <c r="C911" t="s">
        <v>882</v>
      </c>
      <c r="D911" t="s">
        <v>1</v>
      </c>
      <c r="E911" t="s">
        <v>889</v>
      </c>
      <c r="F911" t="s">
        <v>545</v>
      </c>
      <c r="G911" t="s">
        <v>255</v>
      </c>
      <c r="H911" t="s">
        <v>254</v>
      </c>
      <c r="I911" t="s">
        <v>820</v>
      </c>
      <c r="J911">
        <v>2005</v>
      </c>
      <c r="K911" t="b">
        <v>0</v>
      </c>
      <c r="X911">
        <v>63.67</v>
      </c>
      <c r="AD911">
        <v>64</v>
      </c>
      <c r="AG911" t="s">
        <v>884</v>
      </c>
      <c r="AH911" t="s">
        <v>885</v>
      </c>
    </row>
    <row r="912" spans="1:34" x14ac:dyDescent="0.35">
      <c r="A912" t="s">
        <v>880</v>
      </c>
      <c r="B912" t="s">
        <v>881</v>
      </c>
      <c r="C912" t="s">
        <v>882</v>
      </c>
      <c r="D912" t="s">
        <v>0</v>
      </c>
      <c r="E912" t="s">
        <v>887</v>
      </c>
      <c r="F912" t="s">
        <v>545</v>
      </c>
      <c r="G912" t="s">
        <v>181</v>
      </c>
      <c r="H912" t="s">
        <v>180</v>
      </c>
      <c r="I912" t="s">
        <v>820</v>
      </c>
      <c r="J912">
        <v>2005</v>
      </c>
      <c r="K912" t="b">
        <v>0</v>
      </c>
      <c r="X912">
        <v>64.27</v>
      </c>
      <c r="AD912">
        <v>64</v>
      </c>
      <c r="AG912" t="s">
        <v>884</v>
      </c>
      <c r="AH912" t="s">
        <v>885</v>
      </c>
    </row>
    <row r="913" spans="1:34" x14ac:dyDescent="0.35">
      <c r="A913" t="s">
        <v>880</v>
      </c>
      <c r="B913" t="s">
        <v>881</v>
      </c>
      <c r="C913" t="s">
        <v>882</v>
      </c>
      <c r="D913" t="s">
        <v>4</v>
      </c>
      <c r="E913" t="s">
        <v>883</v>
      </c>
      <c r="F913" t="s">
        <v>545</v>
      </c>
      <c r="G913" t="s">
        <v>515</v>
      </c>
      <c r="H913" t="s">
        <v>514</v>
      </c>
      <c r="I913" t="s">
        <v>820</v>
      </c>
      <c r="J913">
        <v>2005</v>
      </c>
      <c r="K913" t="b">
        <v>0</v>
      </c>
      <c r="X913">
        <v>63.59</v>
      </c>
      <c r="AD913">
        <v>64</v>
      </c>
      <c r="AG913" t="s">
        <v>884</v>
      </c>
      <c r="AH913" t="s">
        <v>885</v>
      </c>
    </row>
    <row r="914" spans="1:34" x14ac:dyDescent="0.35">
      <c r="A914" t="s">
        <v>880</v>
      </c>
      <c r="B914" t="s">
        <v>881</v>
      </c>
      <c r="C914" t="s">
        <v>882</v>
      </c>
      <c r="D914" t="s">
        <v>1</v>
      </c>
      <c r="E914" t="s">
        <v>889</v>
      </c>
      <c r="F914" t="s">
        <v>545</v>
      </c>
      <c r="G914" t="s">
        <v>487</v>
      </c>
      <c r="H914" t="s">
        <v>486</v>
      </c>
      <c r="I914" t="s">
        <v>820</v>
      </c>
      <c r="J914">
        <v>2005</v>
      </c>
      <c r="K914" t="b">
        <v>0</v>
      </c>
      <c r="X914">
        <v>63.88</v>
      </c>
      <c r="AD914">
        <v>64</v>
      </c>
      <c r="AG914" t="s">
        <v>884</v>
      </c>
      <c r="AH914" t="s">
        <v>885</v>
      </c>
    </row>
    <row r="915" spans="1:34" x14ac:dyDescent="0.35">
      <c r="A915" t="s">
        <v>880</v>
      </c>
      <c r="B915" t="s">
        <v>881</v>
      </c>
      <c r="C915" t="s">
        <v>882</v>
      </c>
      <c r="D915" t="s">
        <v>1</v>
      </c>
      <c r="E915" t="s">
        <v>889</v>
      </c>
      <c r="F915" t="s">
        <v>545</v>
      </c>
      <c r="G915" t="s">
        <v>455</v>
      </c>
      <c r="H915" t="s">
        <v>454</v>
      </c>
      <c r="I915" t="s">
        <v>820</v>
      </c>
      <c r="J915">
        <v>2005</v>
      </c>
      <c r="K915" t="b">
        <v>0</v>
      </c>
      <c r="X915">
        <v>64.319999999999993</v>
      </c>
      <c r="AD915">
        <v>64</v>
      </c>
      <c r="AG915" t="s">
        <v>884</v>
      </c>
      <c r="AH915" t="s">
        <v>885</v>
      </c>
    </row>
    <row r="916" spans="1:34" x14ac:dyDescent="0.35">
      <c r="A916" t="s">
        <v>880</v>
      </c>
      <c r="B916" t="s">
        <v>881</v>
      </c>
      <c r="C916" t="s">
        <v>882</v>
      </c>
      <c r="D916" t="s">
        <v>25</v>
      </c>
      <c r="E916" t="s">
        <v>886</v>
      </c>
      <c r="F916" t="s">
        <v>545</v>
      </c>
      <c r="G916" t="s">
        <v>190</v>
      </c>
      <c r="H916" t="s">
        <v>189</v>
      </c>
      <c r="I916" t="s">
        <v>820</v>
      </c>
      <c r="J916">
        <v>2005</v>
      </c>
      <c r="K916" t="b">
        <v>0</v>
      </c>
      <c r="X916">
        <v>64.739999999999995</v>
      </c>
      <c r="AD916">
        <v>65</v>
      </c>
      <c r="AG916" t="s">
        <v>884</v>
      </c>
      <c r="AH916" t="s">
        <v>885</v>
      </c>
    </row>
    <row r="917" spans="1:34" x14ac:dyDescent="0.35">
      <c r="A917" t="s">
        <v>880</v>
      </c>
      <c r="B917" t="s">
        <v>881</v>
      </c>
      <c r="C917" t="s">
        <v>882</v>
      </c>
      <c r="D917" t="s">
        <v>1</v>
      </c>
      <c r="E917" t="s">
        <v>889</v>
      </c>
      <c r="F917" t="s">
        <v>545</v>
      </c>
      <c r="G917" t="s">
        <v>3</v>
      </c>
      <c r="H917" t="s">
        <v>2</v>
      </c>
      <c r="I917" t="s">
        <v>820</v>
      </c>
      <c r="J917">
        <v>2005</v>
      </c>
      <c r="K917" t="b">
        <v>0</v>
      </c>
      <c r="X917">
        <v>64.75</v>
      </c>
      <c r="AD917">
        <v>65</v>
      </c>
      <c r="AG917" t="s">
        <v>884</v>
      </c>
      <c r="AH917" t="s">
        <v>885</v>
      </c>
    </row>
    <row r="918" spans="1:34" x14ac:dyDescent="0.35">
      <c r="A918" t="s">
        <v>880</v>
      </c>
      <c r="B918" t="s">
        <v>881</v>
      </c>
      <c r="C918" t="s">
        <v>882</v>
      </c>
      <c r="D918" t="s">
        <v>1</v>
      </c>
      <c r="E918" t="s">
        <v>889</v>
      </c>
      <c r="F918" t="s">
        <v>545</v>
      </c>
      <c r="G918" t="s">
        <v>539</v>
      </c>
      <c r="H918" t="s">
        <v>538</v>
      </c>
      <c r="I918" t="s">
        <v>820</v>
      </c>
      <c r="J918">
        <v>2005</v>
      </c>
      <c r="K918" t="b">
        <v>0</v>
      </c>
      <c r="X918">
        <v>64.959999999999994</v>
      </c>
      <c r="AD918">
        <v>65</v>
      </c>
      <c r="AG918" t="s">
        <v>884</v>
      </c>
      <c r="AH918" t="s">
        <v>885</v>
      </c>
    </row>
    <row r="919" spans="1:34" x14ac:dyDescent="0.35">
      <c r="A919" t="s">
        <v>880</v>
      </c>
      <c r="B919" t="s">
        <v>881</v>
      </c>
      <c r="C919" t="s">
        <v>882</v>
      </c>
      <c r="D919" t="s">
        <v>20</v>
      </c>
      <c r="E919" t="s">
        <v>789</v>
      </c>
      <c r="F919" t="s">
        <v>545</v>
      </c>
      <c r="G919" t="s">
        <v>461</v>
      </c>
      <c r="H919" t="s">
        <v>460</v>
      </c>
      <c r="I919" t="s">
        <v>820</v>
      </c>
      <c r="J919">
        <v>2005</v>
      </c>
      <c r="K919" t="b">
        <v>0</v>
      </c>
      <c r="X919">
        <v>65.11</v>
      </c>
      <c r="AD919">
        <v>65</v>
      </c>
      <c r="AG919" t="s">
        <v>884</v>
      </c>
      <c r="AH919" t="s">
        <v>885</v>
      </c>
    </row>
    <row r="920" spans="1:34" x14ac:dyDescent="0.35">
      <c r="A920" t="s">
        <v>880</v>
      </c>
      <c r="B920" t="s">
        <v>881</v>
      </c>
      <c r="C920" t="s">
        <v>882</v>
      </c>
      <c r="D920" t="s">
        <v>4</v>
      </c>
      <c r="E920" t="s">
        <v>883</v>
      </c>
      <c r="F920" t="s">
        <v>545</v>
      </c>
      <c r="G920" t="s">
        <v>132</v>
      </c>
      <c r="H920" t="s">
        <v>131</v>
      </c>
      <c r="I920" t="s">
        <v>820</v>
      </c>
      <c r="J920">
        <v>2005</v>
      </c>
      <c r="K920" t="b">
        <v>0</v>
      </c>
      <c r="X920">
        <v>66.489999999999995</v>
      </c>
      <c r="AD920">
        <v>66</v>
      </c>
      <c r="AG920" t="s">
        <v>884</v>
      </c>
      <c r="AH920" t="s">
        <v>885</v>
      </c>
    </row>
    <row r="921" spans="1:34" x14ac:dyDescent="0.35">
      <c r="A921" t="s">
        <v>880</v>
      </c>
      <c r="B921" t="s">
        <v>881</v>
      </c>
      <c r="C921" t="s">
        <v>882</v>
      </c>
      <c r="D921" t="s">
        <v>0</v>
      </c>
      <c r="E921" t="s">
        <v>887</v>
      </c>
      <c r="F921" t="s">
        <v>545</v>
      </c>
      <c r="G921" t="s">
        <v>24</v>
      </c>
      <c r="H921" t="s">
        <v>23</v>
      </c>
      <c r="I921" t="s">
        <v>820</v>
      </c>
      <c r="J921">
        <v>2005</v>
      </c>
      <c r="K921" t="b">
        <v>0</v>
      </c>
      <c r="X921">
        <v>67.150000000000006</v>
      </c>
      <c r="AD921">
        <v>67</v>
      </c>
      <c r="AG921" t="s">
        <v>884</v>
      </c>
      <c r="AH921" t="s">
        <v>885</v>
      </c>
    </row>
    <row r="922" spans="1:34" x14ac:dyDescent="0.35">
      <c r="A922" t="s">
        <v>880</v>
      </c>
      <c r="B922" t="s">
        <v>881</v>
      </c>
      <c r="C922" t="s">
        <v>882</v>
      </c>
      <c r="D922" t="s">
        <v>20</v>
      </c>
      <c r="E922" t="s">
        <v>789</v>
      </c>
      <c r="F922" t="s">
        <v>545</v>
      </c>
      <c r="G922" t="s">
        <v>104</v>
      </c>
      <c r="H922" t="s">
        <v>103</v>
      </c>
      <c r="I922" t="s">
        <v>820</v>
      </c>
      <c r="J922">
        <v>2005</v>
      </c>
      <c r="K922" t="b">
        <v>0</v>
      </c>
      <c r="X922">
        <v>66.88</v>
      </c>
      <c r="AD922">
        <v>67</v>
      </c>
      <c r="AG922" t="s">
        <v>884</v>
      </c>
      <c r="AH922" t="s">
        <v>885</v>
      </c>
    </row>
    <row r="923" spans="1:34" x14ac:dyDescent="0.35">
      <c r="A923" t="s">
        <v>880</v>
      </c>
      <c r="B923" t="s">
        <v>881</v>
      </c>
      <c r="C923" t="s">
        <v>882</v>
      </c>
      <c r="D923" t="s">
        <v>1</v>
      </c>
      <c r="E923" t="s">
        <v>889</v>
      </c>
      <c r="F923" t="s">
        <v>545</v>
      </c>
      <c r="G923" t="s">
        <v>14</v>
      </c>
      <c r="H923" t="s">
        <v>13</v>
      </c>
      <c r="I923" t="s">
        <v>820</v>
      </c>
      <c r="J923">
        <v>2005</v>
      </c>
      <c r="K923" t="b">
        <v>0</v>
      </c>
      <c r="X923">
        <v>67.78</v>
      </c>
      <c r="AD923">
        <v>68</v>
      </c>
      <c r="AG923" t="s">
        <v>884</v>
      </c>
      <c r="AH923" t="s">
        <v>885</v>
      </c>
    </row>
    <row r="924" spans="1:34" x14ac:dyDescent="0.35">
      <c r="A924" t="s">
        <v>880</v>
      </c>
      <c r="B924" t="s">
        <v>881</v>
      </c>
      <c r="C924" t="s">
        <v>882</v>
      </c>
      <c r="D924" t="s">
        <v>20</v>
      </c>
      <c r="E924" t="s">
        <v>789</v>
      </c>
      <c r="F924" t="s">
        <v>545</v>
      </c>
      <c r="G924" t="s">
        <v>267</v>
      </c>
      <c r="H924" t="s">
        <v>266</v>
      </c>
      <c r="I924" t="s">
        <v>820</v>
      </c>
      <c r="J924">
        <v>2005</v>
      </c>
      <c r="K924" t="b">
        <v>0</v>
      </c>
      <c r="X924">
        <v>68.239999999999995</v>
      </c>
      <c r="AD924">
        <v>68</v>
      </c>
      <c r="AG924" t="s">
        <v>884</v>
      </c>
      <c r="AH924" t="s">
        <v>885</v>
      </c>
    </row>
    <row r="925" spans="1:34" x14ac:dyDescent="0.35">
      <c r="A925" t="s">
        <v>880</v>
      </c>
      <c r="B925" t="s">
        <v>881</v>
      </c>
      <c r="C925" t="s">
        <v>882</v>
      </c>
      <c r="D925" t="s">
        <v>4</v>
      </c>
      <c r="E925" t="s">
        <v>883</v>
      </c>
      <c r="F925" t="s">
        <v>545</v>
      </c>
      <c r="G925" t="s">
        <v>506</v>
      </c>
      <c r="H925" t="s">
        <v>505</v>
      </c>
      <c r="I925" t="s">
        <v>820</v>
      </c>
      <c r="J925">
        <v>2005</v>
      </c>
      <c r="K925" t="b">
        <v>0</v>
      </c>
      <c r="X925">
        <v>67.989999999999995</v>
      </c>
      <c r="AD925">
        <v>68</v>
      </c>
      <c r="AG925" t="s">
        <v>884</v>
      </c>
      <c r="AH925" t="s">
        <v>885</v>
      </c>
    </row>
    <row r="926" spans="1:34" x14ac:dyDescent="0.35">
      <c r="A926" t="s">
        <v>880</v>
      </c>
      <c r="B926" t="s">
        <v>881</v>
      </c>
      <c r="C926" t="s">
        <v>882</v>
      </c>
      <c r="D926" t="s">
        <v>1</v>
      </c>
      <c r="E926" t="s">
        <v>889</v>
      </c>
      <c r="F926" t="s">
        <v>545</v>
      </c>
      <c r="G926" t="s">
        <v>392</v>
      </c>
      <c r="H926" t="s">
        <v>391</v>
      </c>
      <c r="I926" t="s">
        <v>820</v>
      </c>
      <c r="J926">
        <v>2005</v>
      </c>
      <c r="K926" t="b">
        <v>0</v>
      </c>
      <c r="X926">
        <v>68.489999999999995</v>
      </c>
      <c r="AD926">
        <v>68</v>
      </c>
      <c r="AG926" t="s">
        <v>884</v>
      </c>
      <c r="AH926" t="s">
        <v>885</v>
      </c>
    </row>
    <row r="927" spans="1:34" x14ac:dyDescent="0.35">
      <c r="A927" t="s">
        <v>880</v>
      </c>
      <c r="B927" t="s">
        <v>881</v>
      </c>
      <c r="C927" t="s">
        <v>882</v>
      </c>
      <c r="D927" t="s">
        <v>20</v>
      </c>
      <c r="E927" t="s">
        <v>789</v>
      </c>
      <c r="F927" t="s">
        <v>545</v>
      </c>
      <c r="G927" t="s">
        <v>404</v>
      </c>
      <c r="H927" t="s">
        <v>403</v>
      </c>
      <c r="I927" t="s">
        <v>820</v>
      </c>
      <c r="J927">
        <v>2005</v>
      </c>
      <c r="K927" t="b">
        <v>0</v>
      </c>
      <c r="X927">
        <v>67.62</v>
      </c>
      <c r="AD927">
        <v>68</v>
      </c>
      <c r="AG927" t="s">
        <v>884</v>
      </c>
      <c r="AH927" t="s">
        <v>885</v>
      </c>
    </row>
    <row r="928" spans="1:34" x14ac:dyDescent="0.35">
      <c r="A928" t="s">
        <v>880</v>
      </c>
      <c r="B928" t="s">
        <v>881</v>
      </c>
      <c r="C928" t="s">
        <v>882</v>
      </c>
      <c r="D928" t="s">
        <v>20</v>
      </c>
      <c r="E928" t="s">
        <v>789</v>
      </c>
      <c r="F928" t="s">
        <v>545</v>
      </c>
      <c r="G928" t="s">
        <v>416</v>
      </c>
      <c r="H928" t="s">
        <v>415</v>
      </c>
      <c r="I928" t="s">
        <v>820</v>
      </c>
      <c r="J928">
        <v>2005</v>
      </c>
      <c r="K928" t="b">
        <v>0</v>
      </c>
      <c r="X928">
        <v>68.319999999999993</v>
      </c>
      <c r="AD928">
        <v>68</v>
      </c>
      <c r="AG928" t="s">
        <v>884</v>
      </c>
      <c r="AH928" t="s">
        <v>885</v>
      </c>
    </row>
    <row r="929" spans="1:34" x14ac:dyDescent="0.35">
      <c r="A929" t="s">
        <v>880</v>
      </c>
      <c r="B929" t="s">
        <v>881</v>
      </c>
      <c r="C929" t="s">
        <v>882</v>
      </c>
      <c r="D929" t="s">
        <v>0</v>
      </c>
      <c r="E929" t="s">
        <v>887</v>
      </c>
      <c r="F929" t="s">
        <v>545</v>
      </c>
      <c r="G929" t="s">
        <v>425</v>
      </c>
      <c r="H929" t="s">
        <v>424</v>
      </c>
      <c r="I929" t="s">
        <v>820</v>
      </c>
      <c r="J929">
        <v>2005</v>
      </c>
      <c r="K929" t="b">
        <v>0</v>
      </c>
      <c r="X929">
        <v>67.94</v>
      </c>
      <c r="AD929">
        <v>68</v>
      </c>
      <c r="AG929" t="s">
        <v>884</v>
      </c>
      <c r="AH929" t="s">
        <v>885</v>
      </c>
    </row>
    <row r="930" spans="1:34" x14ac:dyDescent="0.35">
      <c r="A930" t="s">
        <v>880</v>
      </c>
      <c r="B930" t="s">
        <v>881</v>
      </c>
      <c r="C930" t="s">
        <v>882</v>
      </c>
      <c r="D930" t="s">
        <v>1</v>
      </c>
      <c r="E930" t="s">
        <v>889</v>
      </c>
      <c r="F930" t="s">
        <v>545</v>
      </c>
      <c r="G930" t="s">
        <v>61</v>
      </c>
      <c r="H930" t="s">
        <v>60</v>
      </c>
      <c r="I930" t="s">
        <v>820</v>
      </c>
      <c r="J930">
        <v>2005</v>
      </c>
      <c r="K930" t="b">
        <v>0</v>
      </c>
      <c r="X930">
        <v>68.14</v>
      </c>
      <c r="AD930">
        <v>68</v>
      </c>
      <c r="AG930" t="s">
        <v>884</v>
      </c>
      <c r="AH930" t="s">
        <v>885</v>
      </c>
    </row>
    <row r="931" spans="1:34" x14ac:dyDescent="0.35">
      <c r="A931" t="s">
        <v>880</v>
      </c>
      <c r="B931" t="s">
        <v>881</v>
      </c>
      <c r="C931" t="s">
        <v>882</v>
      </c>
      <c r="D931" t="s">
        <v>1</v>
      </c>
      <c r="E931" t="s">
        <v>889</v>
      </c>
      <c r="F931" t="s">
        <v>545</v>
      </c>
      <c r="G931" t="s">
        <v>258</v>
      </c>
      <c r="H931" t="s">
        <v>257</v>
      </c>
      <c r="I931" t="s">
        <v>820</v>
      </c>
      <c r="J931">
        <v>2005</v>
      </c>
      <c r="K931" t="b">
        <v>0</v>
      </c>
      <c r="X931">
        <v>68.98</v>
      </c>
      <c r="AD931">
        <v>69</v>
      </c>
      <c r="AG931" t="s">
        <v>884</v>
      </c>
      <c r="AH931" t="s">
        <v>885</v>
      </c>
    </row>
    <row r="932" spans="1:34" x14ac:dyDescent="0.35">
      <c r="A932" t="s">
        <v>880</v>
      </c>
      <c r="B932" t="s">
        <v>881</v>
      </c>
      <c r="C932" t="s">
        <v>882</v>
      </c>
      <c r="D932" t="s">
        <v>20</v>
      </c>
      <c r="E932" t="s">
        <v>789</v>
      </c>
      <c r="F932" t="s">
        <v>545</v>
      </c>
      <c r="G932" t="s">
        <v>261</v>
      </c>
      <c r="H932" t="s">
        <v>260</v>
      </c>
      <c r="I932" t="s">
        <v>820</v>
      </c>
      <c r="J932">
        <v>2005</v>
      </c>
      <c r="K932" t="b">
        <v>0</v>
      </c>
      <c r="X932">
        <v>68.510000000000005</v>
      </c>
      <c r="AD932">
        <v>69</v>
      </c>
      <c r="AG932" t="s">
        <v>884</v>
      </c>
      <c r="AH932" t="s">
        <v>885</v>
      </c>
    </row>
    <row r="933" spans="1:34" x14ac:dyDescent="0.35">
      <c r="A933" t="s">
        <v>880</v>
      </c>
      <c r="B933" t="s">
        <v>881</v>
      </c>
      <c r="C933" t="s">
        <v>882</v>
      </c>
      <c r="D933" t="s">
        <v>20</v>
      </c>
      <c r="E933" t="s">
        <v>789</v>
      </c>
      <c r="F933" t="s">
        <v>545</v>
      </c>
      <c r="G933" t="s">
        <v>481</v>
      </c>
      <c r="H933" t="s">
        <v>480</v>
      </c>
      <c r="I933" t="s">
        <v>820</v>
      </c>
      <c r="J933">
        <v>2005</v>
      </c>
      <c r="K933" t="b">
        <v>0</v>
      </c>
      <c r="X933">
        <v>68.56</v>
      </c>
      <c r="AD933">
        <v>69</v>
      </c>
      <c r="AG933" t="s">
        <v>884</v>
      </c>
      <c r="AH933" t="s">
        <v>885</v>
      </c>
    </row>
    <row r="934" spans="1:34" x14ac:dyDescent="0.35">
      <c r="A934" t="s">
        <v>880</v>
      </c>
      <c r="B934" t="s">
        <v>881</v>
      </c>
      <c r="C934" t="s">
        <v>882</v>
      </c>
      <c r="D934" t="s">
        <v>20</v>
      </c>
      <c r="E934" t="s">
        <v>789</v>
      </c>
      <c r="F934" t="s">
        <v>545</v>
      </c>
      <c r="G934" t="s">
        <v>102</v>
      </c>
      <c r="H934" t="s">
        <v>101</v>
      </c>
      <c r="I934" t="s">
        <v>820</v>
      </c>
      <c r="J934">
        <v>2005</v>
      </c>
      <c r="K934" t="b">
        <v>0</v>
      </c>
      <c r="X934">
        <v>69.510000000000005</v>
      </c>
      <c r="AD934">
        <v>70</v>
      </c>
      <c r="AG934" t="s">
        <v>884</v>
      </c>
      <c r="AH934" t="s">
        <v>885</v>
      </c>
    </row>
    <row r="935" spans="1:34" x14ac:dyDescent="0.35">
      <c r="A935" t="s">
        <v>880</v>
      </c>
      <c r="B935" t="s">
        <v>881</v>
      </c>
      <c r="C935" t="s">
        <v>882</v>
      </c>
      <c r="D935" t="s">
        <v>20</v>
      </c>
      <c r="E935" t="s">
        <v>789</v>
      </c>
      <c r="F935" t="s">
        <v>545</v>
      </c>
      <c r="G935" t="s">
        <v>205</v>
      </c>
      <c r="H935" t="s">
        <v>204</v>
      </c>
      <c r="I935" t="s">
        <v>820</v>
      </c>
      <c r="J935">
        <v>2005</v>
      </c>
      <c r="K935" t="b">
        <v>0</v>
      </c>
      <c r="X935">
        <v>70.72</v>
      </c>
      <c r="AD935">
        <v>71</v>
      </c>
      <c r="AG935" t="s">
        <v>884</v>
      </c>
      <c r="AH935" t="s">
        <v>885</v>
      </c>
    </row>
    <row r="936" spans="1:34" x14ac:dyDescent="0.35">
      <c r="A936" t="s">
        <v>880</v>
      </c>
      <c r="B936" t="s">
        <v>881</v>
      </c>
      <c r="C936" t="s">
        <v>882</v>
      </c>
      <c r="D936" t="s">
        <v>1</v>
      </c>
      <c r="E936" t="s">
        <v>889</v>
      </c>
      <c r="F936" t="s">
        <v>545</v>
      </c>
      <c r="G936" t="s">
        <v>252</v>
      </c>
      <c r="H936" t="s">
        <v>251</v>
      </c>
      <c r="I936" t="s">
        <v>820</v>
      </c>
      <c r="J936">
        <v>2005</v>
      </c>
      <c r="K936" t="b">
        <v>0</v>
      </c>
      <c r="X936">
        <v>70.61</v>
      </c>
      <c r="AD936">
        <v>71</v>
      </c>
      <c r="AG936" t="s">
        <v>884</v>
      </c>
      <c r="AH936" t="s">
        <v>885</v>
      </c>
    </row>
    <row r="937" spans="1:34" x14ac:dyDescent="0.35">
      <c r="A937" t="s">
        <v>880</v>
      </c>
      <c r="B937" t="s">
        <v>881</v>
      </c>
      <c r="C937" t="s">
        <v>882</v>
      </c>
      <c r="D937" t="s">
        <v>20</v>
      </c>
      <c r="E937" t="s">
        <v>789</v>
      </c>
      <c r="F937" t="s">
        <v>545</v>
      </c>
      <c r="G937" t="s">
        <v>42</v>
      </c>
      <c r="H937" t="s">
        <v>41</v>
      </c>
      <c r="I937" t="s">
        <v>820</v>
      </c>
      <c r="J937">
        <v>2005</v>
      </c>
      <c r="K937" t="b">
        <v>0</v>
      </c>
      <c r="X937">
        <v>71.14</v>
      </c>
      <c r="AD937">
        <v>71</v>
      </c>
      <c r="AG937" t="s">
        <v>884</v>
      </c>
      <c r="AH937" t="s">
        <v>885</v>
      </c>
    </row>
    <row r="938" spans="1:34" x14ac:dyDescent="0.35">
      <c r="A938" t="s">
        <v>880</v>
      </c>
      <c r="B938" t="s">
        <v>881</v>
      </c>
      <c r="C938" t="s">
        <v>882</v>
      </c>
      <c r="D938" t="s">
        <v>20</v>
      </c>
      <c r="E938" t="s">
        <v>789</v>
      </c>
      <c r="F938" t="s">
        <v>545</v>
      </c>
      <c r="G938" t="s">
        <v>492</v>
      </c>
      <c r="H938" t="s">
        <v>491</v>
      </c>
      <c r="I938" t="s">
        <v>820</v>
      </c>
      <c r="J938">
        <v>2005</v>
      </c>
      <c r="K938" t="b">
        <v>0</v>
      </c>
      <c r="X938">
        <v>70.599999999999994</v>
      </c>
      <c r="AD938">
        <v>71</v>
      </c>
      <c r="AG938" t="s">
        <v>884</v>
      </c>
      <c r="AH938" t="s">
        <v>885</v>
      </c>
    </row>
    <row r="939" spans="1:34" x14ac:dyDescent="0.35">
      <c r="A939" t="s">
        <v>880</v>
      </c>
      <c r="B939" t="s">
        <v>881</v>
      </c>
      <c r="C939" t="s">
        <v>882</v>
      </c>
      <c r="D939" t="s">
        <v>20</v>
      </c>
      <c r="E939" t="s">
        <v>789</v>
      </c>
      <c r="F939" t="s">
        <v>545</v>
      </c>
      <c r="G939" t="s">
        <v>428</v>
      </c>
      <c r="H939" t="s">
        <v>427</v>
      </c>
      <c r="I939" t="s">
        <v>820</v>
      </c>
      <c r="J939">
        <v>2005</v>
      </c>
      <c r="K939" t="b">
        <v>0</v>
      </c>
      <c r="X939">
        <v>71.45</v>
      </c>
      <c r="AD939">
        <v>71</v>
      </c>
      <c r="AG939" t="s">
        <v>884</v>
      </c>
      <c r="AH939" t="s">
        <v>885</v>
      </c>
    </row>
    <row r="940" spans="1:34" x14ac:dyDescent="0.35">
      <c r="A940" t="s">
        <v>880</v>
      </c>
      <c r="B940" t="s">
        <v>881</v>
      </c>
      <c r="C940" t="s">
        <v>882</v>
      </c>
      <c r="D940" t="s">
        <v>1</v>
      </c>
      <c r="E940" t="s">
        <v>889</v>
      </c>
      <c r="F940" t="s">
        <v>545</v>
      </c>
      <c r="G940" t="s">
        <v>10</v>
      </c>
      <c r="H940" t="s">
        <v>9</v>
      </c>
      <c r="I940" t="s">
        <v>820</v>
      </c>
      <c r="J940">
        <v>2005</v>
      </c>
      <c r="K940" t="b">
        <v>0</v>
      </c>
      <c r="X940">
        <v>71.77</v>
      </c>
      <c r="AD940">
        <v>72</v>
      </c>
      <c r="AG940" t="s">
        <v>884</v>
      </c>
      <c r="AH940" t="s">
        <v>885</v>
      </c>
    </row>
    <row r="941" spans="1:34" x14ac:dyDescent="0.35">
      <c r="A941" t="s">
        <v>880</v>
      </c>
      <c r="B941" t="s">
        <v>881</v>
      </c>
      <c r="C941" t="s">
        <v>882</v>
      </c>
      <c r="D941" t="s">
        <v>20</v>
      </c>
      <c r="E941" t="s">
        <v>789</v>
      </c>
      <c r="F941" t="s">
        <v>545</v>
      </c>
      <c r="G941" t="s">
        <v>222</v>
      </c>
      <c r="H941" t="s">
        <v>221</v>
      </c>
      <c r="I941" t="s">
        <v>820</v>
      </c>
      <c r="J941">
        <v>2005</v>
      </c>
      <c r="K941" t="b">
        <v>0</v>
      </c>
      <c r="X941">
        <v>72.39</v>
      </c>
      <c r="AD941">
        <v>72</v>
      </c>
      <c r="AG941" t="s">
        <v>884</v>
      </c>
      <c r="AH941" t="s">
        <v>885</v>
      </c>
    </row>
    <row r="942" spans="1:34" x14ac:dyDescent="0.35">
      <c r="A942" t="s">
        <v>880</v>
      </c>
      <c r="B942" t="s">
        <v>881</v>
      </c>
      <c r="C942" t="s">
        <v>882</v>
      </c>
      <c r="D942" t="s">
        <v>1</v>
      </c>
      <c r="E942" t="s">
        <v>889</v>
      </c>
      <c r="F942" t="s">
        <v>545</v>
      </c>
      <c r="G942" t="s">
        <v>83</v>
      </c>
      <c r="H942" t="s">
        <v>82</v>
      </c>
      <c r="I942" t="s">
        <v>820</v>
      </c>
      <c r="J942">
        <v>2005</v>
      </c>
      <c r="K942" t="b">
        <v>0</v>
      </c>
      <c r="X942">
        <v>72.08</v>
      </c>
      <c r="AD942">
        <v>72</v>
      </c>
      <c r="AG942" t="s">
        <v>884</v>
      </c>
      <c r="AH942" t="s">
        <v>885</v>
      </c>
    </row>
    <row r="943" spans="1:34" x14ac:dyDescent="0.35">
      <c r="A943" t="s">
        <v>880</v>
      </c>
      <c r="B943" t="s">
        <v>881</v>
      </c>
      <c r="C943" t="s">
        <v>882</v>
      </c>
      <c r="D943" t="s">
        <v>1</v>
      </c>
      <c r="E943" t="s">
        <v>889</v>
      </c>
      <c r="F943" t="s">
        <v>545</v>
      </c>
      <c r="G943" t="s">
        <v>264</v>
      </c>
      <c r="H943" t="s">
        <v>263</v>
      </c>
      <c r="I943" t="s">
        <v>820</v>
      </c>
      <c r="J943">
        <v>2005</v>
      </c>
      <c r="K943" t="b">
        <v>0</v>
      </c>
      <c r="X943">
        <v>72.400000000000006</v>
      </c>
      <c r="AD943">
        <v>72</v>
      </c>
      <c r="AG943" t="s">
        <v>884</v>
      </c>
      <c r="AH943" t="s">
        <v>885</v>
      </c>
    </row>
    <row r="944" spans="1:34" x14ac:dyDescent="0.35">
      <c r="A944" t="s">
        <v>880</v>
      </c>
      <c r="B944" t="s">
        <v>881</v>
      </c>
      <c r="C944" t="s">
        <v>882</v>
      </c>
      <c r="D944" t="s">
        <v>20</v>
      </c>
      <c r="E944" t="s">
        <v>789</v>
      </c>
      <c r="F944" t="s">
        <v>545</v>
      </c>
      <c r="G944" t="s">
        <v>363</v>
      </c>
      <c r="H944" t="s">
        <v>362</v>
      </c>
      <c r="I944" t="s">
        <v>820</v>
      </c>
      <c r="J944">
        <v>2005</v>
      </c>
      <c r="K944" t="b">
        <v>0</v>
      </c>
      <c r="X944">
        <v>72</v>
      </c>
      <c r="AD944">
        <v>72</v>
      </c>
      <c r="AG944" t="s">
        <v>884</v>
      </c>
      <c r="AH944" t="s">
        <v>885</v>
      </c>
    </row>
    <row r="945" spans="1:34" x14ac:dyDescent="0.35">
      <c r="A945" t="s">
        <v>880</v>
      </c>
      <c r="B945" t="s">
        <v>881</v>
      </c>
      <c r="C945" t="s">
        <v>882</v>
      </c>
      <c r="D945" t="s">
        <v>4</v>
      </c>
      <c r="E945" t="s">
        <v>883</v>
      </c>
      <c r="F945" t="s">
        <v>545</v>
      </c>
      <c r="G945" t="s">
        <v>159</v>
      </c>
      <c r="H945" t="s">
        <v>158</v>
      </c>
      <c r="I945" t="s">
        <v>820</v>
      </c>
      <c r="J945">
        <v>2005</v>
      </c>
      <c r="K945" t="b">
        <v>0</v>
      </c>
      <c r="X945">
        <v>72.83</v>
      </c>
      <c r="AD945">
        <v>73</v>
      </c>
      <c r="AG945" t="s">
        <v>884</v>
      </c>
      <c r="AH945" t="s">
        <v>885</v>
      </c>
    </row>
    <row r="946" spans="1:34" x14ac:dyDescent="0.35">
      <c r="A946" t="s">
        <v>880</v>
      </c>
      <c r="B946" t="s">
        <v>881</v>
      </c>
      <c r="C946" t="s">
        <v>882</v>
      </c>
      <c r="D946" t="s">
        <v>20</v>
      </c>
      <c r="E946" t="s">
        <v>789</v>
      </c>
      <c r="F946" t="s">
        <v>545</v>
      </c>
      <c r="G946" t="s">
        <v>328</v>
      </c>
      <c r="H946" t="s">
        <v>327</v>
      </c>
      <c r="I946" t="s">
        <v>820</v>
      </c>
      <c r="J946">
        <v>2005</v>
      </c>
      <c r="K946" t="b">
        <v>0</v>
      </c>
      <c r="X946">
        <v>75.95</v>
      </c>
      <c r="AD946">
        <v>76</v>
      </c>
      <c r="AG946" t="s">
        <v>884</v>
      </c>
      <c r="AH946" t="s">
        <v>885</v>
      </c>
    </row>
    <row r="947" spans="1:34" x14ac:dyDescent="0.35">
      <c r="A947" t="s">
        <v>880</v>
      </c>
      <c r="B947" t="s">
        <v>881</v>
      </c>
      <c r="C947" t="s">
        <v>882</v>
      </c>
      <c r="D947" t="s">
        <v>20</v>
      </c>
      <c r="E947" t="s">
        <v>789</v>
      </c>
      <c r="F947" t="s">
        <v>545</v>
      </c>
      <c r="G947" t="s">
        <v>202</v>
      </c>
      <c r="H947" t="s">
        <v>201</v>
      </c>
      <c r="I947" t="s">
        <v>820</v>
      </c>
      <c r="J947">
        <v>2005</v>
      </c>
      <c r="K947" t="b">
        <v>0</v>
      </c>
      <c r="X947">
        <v>76.290000000000006</v>
      </c>
      <c r="AD947">
        <v>76</v>
      </c>
      <c r="AG947" t="s">
        <v>884</v>
      </c>
      <c r="AH947" t="s">
        <v>885</v>
      </c>
    </row>
    <row r="948" spans="1:34" x14ac:dyDescent="0.35">
      <c r="A948" t="s">
        <v>880</v>
      </c>
      <c r="B948" t="s">
        <v>881</v>
      </c>
      <c r="C948" t="s">
        <v>882</v>
      </c>
      <c r="D948" t="s">
        <v>20</v>
      </c>
      <c r="E948" t="s">
        <v>789</v>
      </c>
      <c r="F948" t="s">
        <v>545</v>
      </c>
      <c r="G948" t="s">
        <v>410</v>
      </c>
      <c r="H948" t="s">
        <v>409</v>
      </c>
      <c r="I948" t="s">
        <v>820</v>
      </c>
      <c r="J948">
        <v>2005</v>
      </c>
      <c r="K948" t="b">
        <v>0</v>
      </c>
      <c r="X948">
        <v>76.23</v>
      </c>
      <c r="AD948">
        <v>76</v>
      </c>
      <c r="AG948" t="s">
        <v>884</v>
      </c>
      <c r="AH948" t="s">
        <v>885</v>
      </c>
    </row>
    <row r="949" spans="1:34" x14ac:dyDescent="0.35">
      <c r="A949" t="s">
        <v>880</v>
      </c>
      <c r="B949" t="s">
        <v>881</v>
      </c>
      <c r="C949" t="s">
        <v>882</v>
      </c>
      <c r="D949" t="s">
        <v>4</v>
      </c>
      <c r="E949" t="s">
        <v>883</v>
      </c>
      <c r="F949" t="s">
        <v>545</v>
      </c>
      <c r="G949" t="s">
        <v>534</v>
      </c>
      <c r="H949" t="s">
        <v>533</v>
      </c>
      <c r="I949" t="s">
        <v>820</v>
      </c>
      <c r="J949">
        <v>2005</v>
      </c>
      <c r="K949" t="b">
        <v>0</v>
      </c>
      <c r="X949">
        <v>76.17</v>
      </c>
      <c r="AD949">
        <v>76</v>
      </c>
      <c r="AG949" t="s">
        <v>884</v>
      </c>
      <c r="AH949" t="s">
        <v>885</v>
      </c>
    </row>
    <row r="950" spans="1:34" x14ac:dyDescent="0.35">
      <c r="A950" t="s">
        <v>880</v>
      </c>
      <c r="B950" t="s">
        <v>881</v>
      </c>
      <c r="C950" t="s">
        <v>882</v>
      </c>
      <c r="D950" t="s">
        <v>0</v>
      </c>
      <c r="E950" t="s">
        <v>887</v>
      </c>
      <c r="F950" t="s">
        <v>545</v>
      </c>
      <c r="G950" t="s">
        <v>127</v>
      </c>
      <c r="H950" t="s">
        <v>126</v>
      </c>
      <c r="I950" t="s">
        <v>820</v>
      </c>
      <c r="J950">
        <v>2005</v>
      </c>
      <c r="K950" t="b">
        <v>0</v>
      </c>
      <c r="X950">
        <v>77.150000000000006</v>
      </c>
      <c r="AD950">
        <v>77</v>
      </c>
      <c r="AG950" t="s">
        <v>884</v>
      </c>
      <c r="AH950" t="s">
        <v>885</v>
      </c>
    </row>
    <row r="951" spans="1:34" x14ac:dyDescent="0.35">
      <c r="A951" t="s">
        <v>880</v>
      </c>
      <c r="B951" t="s">
        <v>881</v>
      </c>
      <c r="C951" t="s">
        <v>882</v>
      </c>
      <c r="D951" t="s">
        <v>20</v>
      </c>
      <c r="E951" t="s">
        <v>789</v>
      </c>
      <c r="F951" t="s">
        <v>545</v>
      </c>
      <c r="G951" t="s">
        <v>144</v>
      </c>
      <c r="H951" t="s">
        <v>143</v>
      </c>
      <c r="I951" t="s">
        <v>820</v>
      </c>
      <c r="J951">
        <v>2005</v>
      </c>
      <c r="K951" t="b">
        <v>0</v>
      </c>
      <c r="X951">
        <v>77.819999999999993</v>
      </c>
      <c r="AD951">
        <v>78</v>
      </c>
      <c r="AG951" t="s">
        <v>884</v>
      </c>
      <c r="AH951" t="s">
        <v>885</v>
      </c>
    </row>
    <row r="952" spans="1:34" x14ac:dyDescent="0.35">
      <c r="A952" t="s">
        <v>880</v>
      </c>
      <c r="B952" t="s">
        <v>881</v>
      </c>
      <c r="C952" t="s">
        <v>882</v>
      </c>
      <c r="D952" t="s">
        <v>20</v>
      </c>
      <c r="E952" t="s">
        <v>789</v>
      </c>
      <c r="F952" t="s">
        <v>545</v>
      </c>
      <c r="G952" t="s">
        <v>112</v>
      </c>
      <c r="H952" t="s">
        <v>111</v>
      </c>
      <c r="I952" t="s">
        <v>820</v>
      </c>
      <c r="J952">
        <v>2005</v>
      </c>
      <c r="K952" t="b">
        <v>0</v>
      </c>
      <c r="X952">
        <v>77.88</v>
      </c>
      <c r="AD952">
        <v>78</v>
      </c>
      <c r="AG952" t="s">
        <v>884</v>
      </c>
      <c r="AH952" t="s">
        <v>885</v>
      </c>
    </row>
    <row r="953" spans="1:34" x14ac:dyDescent="0.35">
      <c r="A953" t="s">
        <v>880</v>
      </c>
      <c r="B953" t="s">
        <v>881</v>
      </c>
      <c r="C953" t="s">
        <v>882</v>
      </c>
      <c r="D953" t="s">
        <v>20</v>
      </c>
      <c r="E953" t="s">
        <v>789</v>
      </c>
      <c r="F953" t="s">
        <v>545</v>
      </c>
      <c r="G953" t="s">
        <v>162</v>
      </c>
      <c r="H953" t="s">
        <v>161</v>
      </c>
      <c r="I953" t="s">
        <v>820</v>
      </c>
      <c r="J953">
        <v>2005</v>
      </c>
      <c r="K953" t="b">
        <v>0</v>
      </c>
      <c r="X953">
        <v>77.92</v>
      </c>
      <c r="AD953">
        <v>78</v>
      </c>
      <c r="AG953" t="s">
        <v>884</v>
      </c>
      <c r="AH953" t="s">
        <v>885</v>
      </c>
    </row>
    <row r="954" spans="1:34" x14ac:dyDescent="0.35">
      <c r="A954" t="s">
        <v>880</v>
      </c>
      <c r="B954" t="s">
        <v>881</v>
      </c>
      <c r="C954" t="s">
        <v>882</v>
      </c>
      <c r="D954" t="s">
        <v>20</v>
      </c>
      <c r="E954" t="s">
        <v>789</v>
      </c>
      <c r="F954" t="s">
        <v>545</v>
      </c>
      <c r="G954" t="s">
        <v>165</v>
      </c>
      <c r="H954" t="s">
        <v>164</v>
      </c>
      <c r="I954" t="s">
        <v>820</v>
      </c>
      <c r="J954">
        <v>2005</v>
      </c>
      <c r="K954" t="b">
        <v>0</v>
      </c>
      <c r="X954">
        <v>77.81</v>
      </c>
      <c r="AD954">
        <v>78</v>
      </c>
      <c r="AG954" t="s">
        <v>884</v>
      </c>
      <c r="AH954" t="s">
        <v>885</v>
      </c>
    </row>
    <row r="955" spans="1:34" x14ac:dyDescent="0.35">
      <c r="A955" t="s">
        <v>880</v>
      </c>
      <c r="B955" t="s">
        <v>881</v>
      </c>
      <c r="C955" t="s">
        <v>882</v>
      </c>
      <c r="D955" t="s">
        <v>20</v>
      </c>
      <c r="E955" t="s">
        <v>789</v>
      </c>
      <c r="F955" t="s">
        <v>545</v>
      </c>
      <c r="G955" t="s">
        <v>135</v>
      </c>
      <c r="H955" t="s">
        <v>134</v>
      </c>
      <c r="I955" t="s">
        <v>820</v>
      </c>
      <c r="J955">
        <v>2005</v>
      </c>
      <c r="K955" t="b">
        <v>0</v>
      </c>
      <c r="X955">
        <v>79.17</v>
      </c>
      <c r="AD955">
        <v>79</v>
      </c>
      <c r="AG955" t="s">
        <v>884</v>
      </c>
      <c r="AH955" t="s">
        <v>885</v>
      </c>
    </row>
    <row r="956" spans="1:34" x14ac:dyDescent="0.35">
      <c r="A956" t="s">
        <v>880</v>
      </c>
      <c r="B956" t="s">
        <v>881</v>
      </c>
      <c r="C956" t="s">
        <v>882</v>
      </c>
      <c r="D956" t="s">
        <v>20</v>
      </c>
      <c r="E956" t="s">
        <v>789</v>
      </c>
      <c r="F956" t="s">
        <v>545</v>
      </c>
      <c r="G956" t="s">
        <v>94</v>
      </c>
      <c r="H956" t="s">
        <v>93</v>
      </c>
      <c r="I956" t="s">
        <v>820</v>
      </c>
      <c r="J956">
        <v>2005</v>
      </c>
      <c r="K956" t="b">
        <v>0</v>
      </c>
      <c r="X956">
        <v>78.64</v>
      </c>
      <c r="AD956">
        <v>79</v>
      </c>
      <c r="AG956" t="s">
        <v>884</v>
      </c>
      <c r="AH956" t="s">
        <v>885</v>
      </c>
    </row>
    <row r="957" spans="1:34" x14ac:dyDescent="0.35">
      <c r="A957" t="s">
        <v>880</v>
      </c>
      <c r="B957" t="s">
        <v>881</v>
      </c>
      <c r="C957" t="s">
        <v>882</v>
      </c>
      <c r="D957" t="s">
        <v>20</v>
      </c>
      <c r="E957" t="s">
        <v>789</v>
      </c>
      <c r="F957" t="s">
        <v>545</v>
      </c>
      <c r="G957" t="s">
        <v>208</v>
      </c>
      <c r="H957" t="s">
        <v>207</v>
      </c>
      <c r="I957" t="s">
        <v>820</v>
      </c>
      <c r="J957">
        <v>2005</v>
      </c>
      <c r="K957" t="b">
        <v>0</v>
      </c>
      <c r="X957">
        <v>78.73</v>
      </c>
      <c r="AD957">
        <v>79</v>
      </c>
      <c r="AG957" t="s">
        <v>884</v>
      </c>
      <c r="AH957" t="s">
        <v>885</v>
      </c>
    </row>
    <row r="958" spans="1:34" x14ac:dyDescent="0.35">
      <c r="A958" t="s">
        <v>880</v>
      </c>
      <c r="B958" t="s">
        <v>881</v>
      </c>
      <c r="C958" t="s">
        <v>882</v>
      </c>
      <c r="D958" t="s">
        <v>1</v>
      </c>
      <c r="E958" t="s">
        <v>889</v>
      </c>
      <c r="F958" t="s">
        <v>545</v>
      </c>
      <c r="G958" t="s">
        <v>543</v>
      </c>
      <c r="H958" t="s">
        <v>542</v>
      </c>
      <c r="I958" t="s">
        <v>820</v>
      </c>
      <c r="J958">
        <v>2005</v>
      </c>
      <c r="K958" t="b">
        <v>0</v>
      </c>
      <c r="X958">
        <v>78.56</v>
      </c>
      <c r="AD958">
        <v>79</v>
      </c>
      <c r="AG958" t="s">
        <v>884</v>
      </c>
      <c r="AH958" t="s">
        <v>885</v>
      </c>
    </row>
    <row r="959" spans="1:34" x14ac:dyDescent="0.35">
      <c r="A959" t="s">
        <v>880</v>
      </c>
      <c r="B959" t="s">
        <v>881</v>
      </c>
      <c r="C959" t="s">
        <v>882</v>
      </c>
      <c r="D959" t="s">
        <v>20</v>
      </c>
      <c r="E959" t="s">
        <v>789</v>
      </c>
      <c r="F959" t="s">
        <v>545</v>
      </c>
      <c r="G959" t="s">
        <v>289</v>
      </c>
      <c r="H959" t="s">
        <v>288</v>
      </c>
      <c r="I959" t="s">
        <v>820</v>
      </c>
      <c r="J959">
        <v>2005</v>
      </c>
      <c r="K959" t="b">
        <v>0</v>
      </c>
      <c r="X959">
        <v>80.28</v>
      </c>
      <c r="AD959">
        <v>80</v>
      </c>
      <c r="AG959" t="s">
        <v>884</v>
      </c>
      <c r="AH959" t="s">
        <v>885</v>
      </c>
    </row>
    <row r="960" spans="1:34" x14ac:dyDescent="0.35">
      <c r="A960" t="s">
        <v>880</v>
      </c>
      <c r="B960" t="s">
        <v>881</v>
      </c>
      <c r="C960" t="s">
        <v>882</v>
      </c>
      <c r="D960" t="s">
        <v>20</v>
      </c>
      <c r="E960" t="s">
        <v>789</v>
      </c>
      <c r="F960" t="s">
        <v>545</v>
      </c>
      <c r="G960" t="s">
        <v>71</v>
      </c>
      <c r="H960" t="s">
        <v>70</v>
      </c>
      <c r="I960" t="s">
        <v>820</v>
      </c>
      <c r="J960">
        <v>2005</v>
      </c>
      <c r="K960" t="b">
        <v>0</v>
      </c>
      <c r="X960">
        <v>79.739999999999995</v>
      </c>
      <c r="AD960">
        <v>80</v>
      </c>
      <c r="AG960" t="s">
        <v>884</v>
      </c>
      <c r="AH960" t="s">
        <v>885</v>
      </c>
    </row>
    <row r="961" spans="1:34" x14ac:dyDescent="0.35">
      <c r="A961" t="s">
        <v>880</v>
      </c>
      <c r="B961" t="s">
        <v>881</v>
      </c>
      <c r="C961" t="s">
        <v>882</v>
      </c>
      <c r="D961" t="s">
        <v>20</v>
      </c>
      <c r="E961" t="s">
        <v>789</v>
      </c>
      <c r="F961" t="s">
        <v>545</v>
      </c>
      <c r="G961" t="s">
        <v>503</v>
      </c>
      <c r="H961" t="s">
        <v>502</v>
      </c>
      <c r="I961" t="s">
        <v>820</v>
      </c>
      <c r="J961">
        <v>2005</v>
      </c>
      <c r="K961" t="b">
        <v>0</v>
      </c>
      <c r="X961">
        <v>79.599999999999994</v>
      </c>
      <c r="AD961">
        <v>80</v>
      </c>
      <c r="AG961" t="s">
        <v>884</v>
      </c>
      <c r="AH961" t="s">
        <v>885</v>
      </c>
    </row>
    <row r="962" spans="1:34" x14ac:dyDescent="0.35">
      <c r="A962" t="s">
        <v>880</v>
      </c>
      <c r="B962" t="s">
        <v>881</v>
      </c>
      <c r="C962" t="s">
        <v>882</v>
      </c>
      <c r="D962" t="s">
        <v>20</v>
      </c>
      <c r="E962" t="s">
        <v>789</v>
      </c>
      <c r="F962" t="s">
        <v>545</v>
      </c>
      <c r="G962" t="s">
        <v>129</v>
      </c>
      <c r="H962" t="s">
        <v>128</v>
      </c>
      <c r="I962" t="s">
        <v>820</v>
      </c>
      <c r="J962">
        <v>2005</v>
      </c>
      <c r="K962" t="b">
        <v>0</v>
      </c>
      <c r="X962">
        <v>80.38</v>
      </c>
      <c r="AD962">
        <v>80</v>
      </c>
      <c r="AG962" t="s">
        <v>884</v>
      </c>
      <c r="AH962" t="s">
        <v>885</v>
      </c>
    </row>
    <row r="963" spans="1:34" x14ac:dyDescent="0.35">
      <c r="A963" t="s">
        <v>880</v>
      </c>
      <c r="B963" t="s">
        <v>881</v>
      </c>
      <c r="C963" t="s">
        <v>882</v>
      </c>
      <c r="D963" t="s">
        <v>20</v>
      </c>
      <c r="E963" t="s">
        <v>789</v>
      </c>
      <c r="F963" t="s">
        <v>545</v>
      </c>
      <c r="G963" t="s">
        <v>156</v>
      </c>
      <c r="H963" t="s">
        <v>155</v>
      </c>
      <c r="I963" t="s">
        <v>820</v>
      </c>
      <c r="J963">
        <v>2005</v>
      </c>
      <c r="K963" t="b">
        <v>0</v>
      </c>
      <c r="X963">
        <v>79.849999999999994</v>
      </c>
      <c r="AD963">
        <v>80</v>
      </c>
      <c r="AG963" t="s">
        <v>884</v>
      </c>
      <c r="AH963" t="s">
        <v>885</v>
      </c>
    </row>
    <row r="964" spans="1:34" x14ac:dyDescent="0.35">
      <c r="A964" t="s">
        <v>880</v>
      </c>
      <c r="B964" t="s">
        <v>881</v>
      </c>
      <c r="C964" t="s">
        <v>882</v>
      </c>
      <c r="D964" t="s">
        <v>20</v>
      </c>
      <c r="E964" t="s">
        <v>789</v>
      </c>
      <c r="F964" t="s">
        <v>545</v>
      </c>
      <c r="G964" t="s">
        <v>536</v>
      </c>
      <c r="H964" t="s">
        <v>535</v>
      </c>
      <c r="I964" t="s">
        <v>820</v>
      </c>
      <c r="J964">
        <v>2005</v>
      </c>
      <c r="K964" t="b">
        <v>0</v>
      </c>
      <c r="X964">
        <v>80.069999999999993</v>
      </c>
      <c r="AD964">
        <v>80</v>
      </c>
      <c r="AG964" t="s">
        <v>884</v>
      </c>
      <c r="AH964" t="s">
        <v>885</v>
      </c>
    </row>
    <row r="965" spans="1:34" x14ac:dyDescent="0.35">
      <c r="A965" t="s">
        <v>880</v>
      </c>
      <c r="B965" t="s">
        <v>881</v>
      </c>
      <c r="C965" t="s">
        <v>882</v>
      </c>
      <c r="D965" t="s">
        <v>1</v>
      </c>
      <c r="E965" t="s">
        <v>889</v>
      </c>
      <c r="F965" t="s">
        <v>545</v>
      </c>
      <c r="G965" t="s">
        <v>29</v>
      </c>
      <c r="H965" t="s">
        <v>28</v>
      </c>
      <c r="I965" t="s">
        <v>820</v>
      </c>
      <c r="J965">
        <v>2005</v>
      </c>
      <c r="K965" t="b">
        <v>0</v>
      </c>
      <c r="X965">
        <v>80.77</v>
      </c>
      <c r="AD965">
        <v>81</v>
      </c>
      <c r="AG965" t="s">
        <v>884</v>
      </c>
      <c r="AH965" t="s">
        <v>885</v>
      </c>
    </row>
    <row r="966" spans="1:34" x14ac:dyDescent="0.35">
      <c r="A966" t="s">
        <v>880</v>
      </c>
      <c r="B966" t="s">
        <v>881</v>
      </c>
      <c r="C966" t="s">
        <v>882</v>
      </c>
      <c r="D966" t="s">
        <v>20</v>
      </c>
      <c r="E966" t="s">
        <v>789</v>
      </c>
      <c r="F966" t="s">
        <v>545</v>
      </c>
      <c r="G966" t="s">
        <v>316</v>
      </c>
      <c r="H966" t="s">
        <v>315</v>
      </c>
      <c r="I966" t="s">
        <v>820</v>
      </c>
      <c r="J966">
        <v>2005</v>
      </c>
      <c r="K966" t="b">
        <v>0</v>
      </c>
      <c r="X966">
        <v>80.819999999999993</v>
      </c>
      <c r="AD966">
        <v>81</v>
      </c>
      <c r="AG966" t="s">
        <v>884</v>
      </c>
      <c r="AH966" t="s">
        <v>885</v>
      </c>
    </row>
    <row r="967" spans="1:34" x14ac:dyDescent="0.35">
      <c r="A967" t="s">
        <v>880</v>
      </c>
      <c r="B967" t="s">
        <v>881</v>
      </c>
      <c r="C967" t="s">
        <v>882</v>
      </c>
      <c r="D967" t="s">
        <v>0</v>
      </c>
      <c r="E967" t="s">
        <v>887</v>
      </c>
      <c r="F967" t="s">
        <v>545</v>
      </c>
      <c r="G967" t="s">
        <v>187</v>
      </c>
      <c r="H967" t="s">
        <v>186</v>
      </c>
      <c r="I967" t="s">
        <v>820</v>
      </c>
      <c r="J967">
        <v>2005</v>
      </c>
      <c r="K967" t="b">
        <v>0</v>
      </c>
      <c r="X967">
        <v>80.540000000000006</v>
      </c>
      <c r="AD967">
        <v>81</v>
      </c>
      <c r="AG967" t="s">
        <v>884</v>
      </c>
      <c r="AH967" t="s">
        <v>885</v>
      </c>
    </row>
    <row r="968" spans="1:34" x14ac:dyDescent="0.35">
      <c r="A968" t="s">
        <v>880</v>
      </c>
      <c r="B968" t="s">
        <v>881</v>
      </c>
      <c r="C968" t="s">
        <v>882</v>
      </c>
      <c r="D968" t="s">
        <v>0</v>
      </c>
      <c r="E968" t="s">
        <v>887</v>
      </c>
      <c r="F968" t="s">
        <v>545</v>
      </c>
      <c r="G968" t="s">
        <v>339</v>
      </c>
      <c r="H968" t="s">
        <v>338</v>
      </c>
      <c r="I968" t="s">
        <v>820</v>
      </c>
      <c r="J968">
        <v>2005</v>
      </c>
      <c r="K968" t="b">
        <v>0</v>
      </c>
      <c r="X968">
        <v>80.72</v>
      </c>
      <c r="AD968">
        <v>81</v>
      </c>
      <c r="AG968" t="s">
        <v>884</v>
      </c>
      <c r="AH968" t="s">
        <v>885</v>
      </c>
    </row>
    <row r="969" spans="1:34" x14ac:dyDescent="0.35">
      <c r="A969" t="s">
        <v>880</v>
      </c>
      <c r="B969" t="s">
        <v>881</v>
      </c>
      <c r="C969" t="s">
        <v>882</v>
      </c>
      <c r="D969" t="s">
        <v>20</v>
      </c>
      <c r="E969" t="s">
        <v>789</v>
      </c>
      <c r="F969" t="s">
        <v>545</v>
      </c>
      <c r="G969" t="s">
        <v>518</v>
      </c>
      <c r="H969" t="s">
        <v>517</v>
      </c>
      <c r="I969" t="s">
        <v>820</v>
      </c>
      <c r="J969">
        <v>2005</v>
      </c>
      <c r="K969" t="b">
        <v>0</v>
      </c>
      <c r="X969">
        <v>80.56</v>
      </c>
      <c r="AD969">
        <v>81</v>
      </c>
      <c r="AG969" t="s">
        <v>884</v>
      </c>
      <c r="AH969" t="s">
        <v>885</v>
      </c>
    </row>
    <row r="970" spans="1:34" x14ac:dyDescent="0.35">
      <c r="A970" t="s">
        <v>880</v>
      </c>
      <c r="B970" t="s">
        <v>881</v>
      </c>
      <c r="C970" t="s">
        <v>882</v>
      </c>
      <c r="D970" t="s">
        <v>0</v>
      </c>
      <c r="E970" t="s">
        <v>887</v>
      </c>
      <c r="F970" t="s">
        <v>545</v>
      </c>
      <c r="G970" t="s">
        <v>12</v>
      </c>
      <c r="H970" t="s">
        <v>11</v>
      </c>
      <c r="I970" t="s">
        <v>820</v>
      </c>
      <c r="J970">
        <v>2005</v>
      </c>
      <c r="K970" t="b">
        <v>0</v>
      </c>
      <c r="X970">
        <v>81.58</v>
      </c>
      <c r="AD970">
        <v>82</v>
      </c>
      <c r="AG970" t="s">
        <v>884</v>
      </c>
      <c r="AH970" t="s">
        <v>885</v>
      </c>
    </row>
    <row r="971" spans="1:34" x14ac:dyDescent="0.35">
      <c r="A971" t="s">
        <v>880</v>
      </c>
      <c r="B971" t="s">
        <v>881</v>
      </c>
      <c r="C971" t="s">
        <v>882</v>
      </c>
      <c r="D971" t="s">
        <v>20</v>
      </c>
      <c r="E971" t="s">
        <v>789</v>
      </c>
      <c r="F971" t="s">
        <v>545</v>
      </c>
      <c r="G971" t="s">
        <v>86</v>
      </c>
      <c r="H971" t="s">
        <v>85</v>
      </c>
      <c r="I971" t="s">
        <v>820</v>
      </c>
      <c r="J971">
        <v>2005</v>
      </c>
      <c r="K971" t="b">
        <v>0</v>
      </c>
      <c r="X971">
        <v>81.61</v>
      </c>
      <c r="AD971">
        <v>82</v>
      </c>
      <c r="AG971" t="s">
        <v>884</v>
      </c>
      <c r="AH971" t="s">
        <v>885</v>
      </c>
    </row>
    <row r="972" spans="1:34" x14ac:dyDescent="0.35">
      <c r="A972" t="s">
        <v>880</v>
      </c>
      <c r="B972" t="s">
        <v>881</v>
      </c>
      <c r="C972" t="s">
        <v>882</v>
      </c>
      <c r="D972" t="s">
        <v>4</v>
      </c>
      <c r="E972" t="s">
        <v>883</v>
      </c>
      <c r="F972" t="s">
        <v>545</v>
      </c>
      <c r="G972" t="s">
        <v>77</v>
      </c>
      <c r="H972" t="s">
        <v>76</v>
      </c>
      <c r="I972" t="s">
        <v>820</v>
      </c>
      <c r="J972">
        <v>2000</v>
      </c>
      <c r="K972" t="b">
        <v>0</v>
      </c>
      <c r="X972">
        <v>13.66</v>
      </c>
      <c r="AD972">
        <v>14</v>
      </c>
      <c r="AG972" t="s">
        <v>884</v>
      </c>
      <c r="AH972" t="s">
        <v>885</v>
      </c>
    </row>
    <row r="973" spans="1:34" x14ac:dyDescent="0.35">
      <c r="A973" t="s">
        <v>880</v>
      </c>
      <c r="B973" t="s">
        <v>881</v>
      </c>
      <c r="C973" t="s">
        <v>882</v>
      </c>
      <c r="D973" t="s">
        <v>25</v>
      </c>
      <c r="E973" t="s">
        <v>886</v>
      </c>
      <c r="F973" t="s">
        <v>545</v>
      </c>
      <c r="G973" t="s">
        <v>31</v>
      </c>
      <c r="H973" t="s">
        <v>30</v>
      </c>
      <c r="I973" t="s">
        <v>820</v>
      </c>
      <c r="J973">
        <v>2000</v>
      </c>
      <c r="K973" t="b">
        <v>0</v>
      </c>
      <c r="X973">
        <v>15.29</v>
      </c>
      <c r="AD973">
        <v>15</v>
      </c>
      <c r="AG973" t="s">
        <v>884</v>
      </c>
      <c r="AH973" t="s">
        <v>885</v>
      </c>
    </row>
    <row r="974" spans="1:34" x14ac:dyDescent="0.35">
      <c r="A974" t="s">
        <v>880</v>
      </c>
      <c r="B974" t="s">
        <v>881</v>
      </c>
      <c r="C974" t="s">
        <v>882</v>
      </c>
      <c r="D974" t="s">
        <v>25</v>
      </c>
      <c r="E974" t="s">
        <v>886</v>
      </c>
      <c r="F974" t="s">
        <v>545</v>
      </c>
      <c r="G974" t="s">
        <v>249</v>
      </c>
      <c r="H974" t="s">
        <v>248</v>
      </c>
      <c r="I974" t="s">
        <v>820</v>
      </c>
      <c r="J974">
        <v>2000</v>
      </c>
      <c r="K974" t="b">
        <v>0</v>
      </c>
      <c r="X974">
        <v>15.96</v>
      </c>
      <c r="AD974">
        <v>16</v>
      </c>
      <c r="AG974" t="s">
        <v>884</v>
      </c>
      <c r="AH974" t="s">
        <v>885</v>
      </c>
    </row>
    <row r="975" spans="1:34" x14ac:dyDescent="0.35">
      <c r="A975" t="s">
        <v>880</v>
      </c>
      <c r="B975" t="s">
        <v>881</v>
      </c>
      <c r="C975" t="s">
        <v>882</v>
      </c>
      <c r="D975" t="s">
        <v>25</v>
      </c>
      <c r="E975" t="s">
        <v>886</v>
      </c>
      <c r="F975" t="s">
        <v>545</v>
      </c>
      <c r="G975" t="s">
        <v>65</v>
      </c>
      <c r="H975" t="s">
        <v>64</v>
      </c>
      <c r="I975" t="s">
        <v>820</v>
      </c>
      <c r="J975">
        <v>2000</v>
      </c>
      <c r="K975" t="b">
        <v>0</v>
      </c>
      <c r="X975">
        <v>16</v>
      </c>
      <c r="AD975">
        <v>16</v>
      </c>
      <c r="AG975" t="s">
        <v>884</v>
      </c>
      <c r="AH975" t="s">
        <v>885</v>
      </c>
    </row>
    <row r="976" spans="1:34" x14ac:dyDescent="0.35">
      <c r="A976" t="s">
        <v>880</v>
      </c>
      <c r="B976" t="s">
        <v>881</v>
      </c>
      <c r="C976" t="s">
        <v>882</v>
      </c>
      <c r="D976" t="s">
        <v>25</v>
      </c>
      <c r="E976" t="s">
        <v>886</v>
      </c>
      <c r="F976" t="s">
        <v>545</v>
      </c>
      <c r="G976" t="s">
        <v>301</v>
      </c>
      <c r="H976" t="s">
        <v>300</v>
      </c>
      <c r="I976" t="s">
        <v>820</v>
      </c>
      <c r="J976">
        <v>2000</v>
      </c>
      <c r="K976" t="b">
        <v>0</v>
      </c>
      <c r="X976">
        <v>15.74</v>
      </c>
      <c r="AD976">
        <v>16</v>
      </c>
      <c r="AG976" t="s">
        <v>884</v>
      </c>
      <c r="AH976" t="s">
        <v>885</v>
      </c>
    </row>
    <row r="977" spans="1:34" x14ac:dyDescent="0.35">
      <c r="A977" t="s">
        <v>880</v>
      </c>
      <c r="B977" t="s">
        <v>881</v>
      </c>
      <c r="C977" t="s">
        <v>882</v>
      </c>
      <c r="D977" t="s">
        <v>25</v>
      </c>
      <c r="E977" t="s">
        <v>886</v>
      </c>
      <c r="F977" t="s">
        <v>545</v>
      </c>
      <c r="G977" t="s">
        <v>240</v>
      </c>
      <c r="H977" t="s">
        <v>239</v>
      </c>
      <c r="I977" t="s">
        <v>820</v>
      </c>
      <c r="J977">
        <v>2000</v>
      </c>
      <c r="K977" t="b">
        <v>0</v>
      </c>
      <c r="X977">
        <v>16.89</v>
      </c>
      <c r="AD977">
        <v>17</v>
      </c>
      <c r="AG977" t="s">
        <v>884</v>
      </c>
      <c r="AH977" t="s">
        <v>885</v>
      </c>
    </row>
    <row r="978" spans="1:34" x14ac:dyDescent="0.35">
      <c r="A978" t="s">
        <v>880</v>
      </c>
      <c r="B978" t="s">
        <v>881</v>
      </c>
      <c r="C978" t="s">
        <v>882</v>
      </c>
      <c r="D978" t="s">
        <v>25</v>
      </c>
      <c r="E978" t="s">
        <v>886</v>
      </c>
      <c r="F978" t="s">
        <v>545</v>
      </c>
      <c r="G978" t="s">
        <v>304</v>
      </c>
      <c r="H978" t="s">
        <v>303</v>
      </c>
      <c r="I978" t="s">
        <v>820</v>
      </c>
      <c r="J978">
        <v>2000</v>
      </c>
      <c r="K978" t="b">
        <v>0</v>
      </c>
      <c r="X978">
        <v>16.95</v>
      </c>
      <c r="AD978">
        <v>17</v>
      </c>
      <c r="AG978" t="s">
        <v>884</v>
      </c>
      <c r="AH978" t="s">
        <v>885</v>
      </c>
    </row>
    <row r="979" spans="1:34" x14ac:dyDescent="0.35">
      <c r="A979" t="s">
        <v>880</v>
      </c>
      <c r="B979" t="s">
        <v>881</v>
      </c>
      <c r="C979" t="s">
        <v>882</v>
      </c>
      <c r="D979" t="s">
        <v>25</v>
      </c>
      <c r="E979" t="s">
        <v>886</v>
      </c>
      <c r="F979" t="s">
        <v>545</v>
      </c>
      <c r="G979" t="s">
        <v>446</v>
      </c>
      <c r="H979" t="s">
        <v>445</v>
      </c>
      <c r="I979" t="s">
        <v>820</v>
      </c>
      <c r="J979">
        <v>2000</v>
      </c>
      <c r="K979" t="b">
        <v>0</v>
      </c>
      <c r="X979">
        <v>16.73</v>
      </c>
      <c r="AD979">
        <v>17</v>
      </c>
      <c r="AG979" t="s">
        <v>884</v>
      </c>
      <c r="AH979" t="s">
        <v>885</v>
      </c>
    </row>
    <row r="980" spans="1:34" x14ac:dyDescent="0.35">
      <c r="A980" t="s">
        <v>880</v>
      </c>
      <c r="B980" t="s">
        <v>881</v>
      </c>
      <c r="C980" t="s">
        <v>882</v>
      </c>
      <c r="D980" t="s">
        <v>25</v>
      </c>
      <c r="E980" t="s">
        <v>886</v>
      </c>
      <c r="F980" t="s">
        <v>545</v>
      </c>
      <c r="G980" t="s">
        <v>422</v>
      </c>
      <c r="H980" t="s">
        <v>421</v>
      </c>
      <c r="I980" t="s">
        <v>820</v>
      </c>
      <c r="J980">
        <v>2000</v>
      </c>
      <c r="K980" t="b">
        <v>0</v>
      </c>
      <c r="X980">
        <v>17.440000000000001</v>
      </c>
      <c r="AD980">
        <v>17</v>
      </c>
      <c r="AG980" t="s">
        <v>884</v>
      </c>
      <c r="AH980" t="s">
        <v>885</v>
      </c>
    </row>
    <row r="981" spans="1:34" x14ac:dyDescent="0.35">
      <c r="A981" t="s">
        <v>880</v>
      </c>
      <c r="B981" t="s">
        <v>881</v>
      </c>
      <c r="C981" t="s">
        <v>882</v>
      </c>
      <c r="D981" t="s">
        <v>25</v>
      </c>
      <c r="E981" t="s">
        <v>886</v>
      </c>
      <c r="F981" t="s">
        <v>545</v>
      </c>
      <c r="G981" t="s">
        <v>120</v>
      </c>
      <c r="H981" t="s">
        <v>119</v>
      </c>
      <c r="I981" t="s">
        <v>820</v>
      </c>
      <c r="J981">
        <v>2000</v>
      </c>
      <c r="K981" t="b">
        <v>0</v>
      </c>
      <c r="X981">
        <v>17.68</v>
      </c>
      <c r="AD981">
        <v>18</v>
      </c>
      <c r="AG981" t="s">
        <v>884</v>
      </c>
      <c r="AH981" t="s">
        <v>885</v>
      </c>
    </row>
    <row r="982" spans="1:34" x14ac:dyDescent="0.35">
      <c r="A982" t="s">
        <v>880</v>
      </c>
      <c r="B982" t="s">
        <v>881</v>
      </c>
      <c r="C982" t="s">
        <v>882</v>
      </c>
      <c r="D982" t="s">
        <v>25</v>
      </c>
      <c r="E982" t="s">
        <v>886</v>
      </c>
      <c r="F982" t="s">
        <v>545</v>
      </c>
      <c r="G982" t="s">
        <v>27</v>
      </c>
      <c r="H982" t="s">
        <v>26</v>
      </c>
      <c r="I982" t="s">
        <v>820</v>
      </c>
      <c r="J982">
        <v>2000</v>
      </c>
      <c r="K982" t="b">
        <v>0</v>
      </c>
      <c r="X982">
        <v>19.350000000000001</v>
      </c>
      <c r="AD982">
        <v>19</v>
      </c>
      <c r="AG982" t="s">
        <v>884</v>
      </c>
      <c r="AH982" t="s">
        <v>885</v>
      </c>
    </row>
    <row r="983" spans="1:34" x14ac:dyDescent="0.35">
      <c r="A983" t="s">
        <v>880</v>
      </c>
      <c r="B983" t="s">
        <v>881</v>
      </c>
      <c r="C983" t="s">
        <v>882</v>
      </c>
      <c r="D983" t="s">
        <v>0</v>
      </c>
      <c r="E983" t="s">
        <v>887</v>
      </c>
      <c r="F983" t="s">
        <v>545</v>
      </c>
      <c r="G983" t="s">
        <v>141</v>
      </c>
      <c r="H983" t="s">
        <v>140</v>
      </c>
      <c r="I983" t="s">
        <v>820</v>
      </c>
      <c r="J983">
        <v>2000</v>
      </c>
      <c r="K983" t="b">
        <v>0</v>
      </c>
      <c r="X983">
        <v>19.37</v>
      </c>
      <c r="AD983">
        <v>19</v>
      </c>
      <c r="AG983" t="s">
        <v>884</v>
      </c>
      <c r="AH983" t="s">
        <v>885</v>
      </c>
    </row>
    <row r="984" spans="1:34" x14ac:dyDescent="0.35">
      <c r="A984" t="s">
        <v>880</v>
      </c>
      <c r="B984" t="s">
        <v>881</v>
      </c>
      <c r="C984" t="s">
        <v>882</v>
      </c>
      <c r="D984" t="s">
        <v>25</v>
      </c>
      <c r="E984" t="s">
        <v>886</v>
      </c>
      <c r="F984" t="s">
        <v>545</v>
      </c>
      <c r="G984" t="s">
        <v>268</v>
      </c>
      <c r="H984" t="s">
        <v>888</v>
      </c>
      <c r="I984" t="s">
        <v>820</v>
      </c>
      <c r="J984">
        <v>2000</v>
      </c>
      <c r="K984" t="b">
        <v>0</v>
      </c>
      <c r="X984">
        <v>19.329999999999998</v>
      </c>
      <c r="AD984">
        <v>19</v>
      </c>
      <c r="AG984" t="s">
        <v>884</v>
      </c>
      <c r="AH984" t="s">
        <v>885</v>
      </c>
    </row>
    <row r="985" spans="1:34" x14ac:dyDescent="0.35">
      <c r="A985" t="s">
        <v>880</v>
      </c>
      <c r="B985" t="s">
        <v>881</v>
      </c>
      <c r="C985" t="s">
        <v>882</v>
      </c>
      <c r="D985" t="s">
        <v>25</v>
      </c>
      <c r="E985" t="s">
        <v>886</v>
      </c>
      <c r="F985" t="s">
        <v>545</v>
      </c>
      <c r="G985" t="s">
        <v>351</v>
      </c>
      <c r="H985" t="s">
        <v>350</v>
      </c>
      <c r="I985" t="s">
        <v>820</v>
      </c>
      <c r="J985">
        <v>2000</v>
      </c>
      <c r="K985" t="b">
        <v>0</v>
      </c>
      <c r="X985">
        <v>19.13</v>
      </c>
      <c r="AD985">
        <v>19</v>
      </c>
      <c r="AG985" t="s">
        <v>884</v>
      </c>
      <c r="AH985" t="s">
        <v>885</v>
      </c>
    </row>
    <row r="986" spans="1:34" x14ac:dyDescent="0.35">
      <c r="A986" t="s">
        <v>880</v>
      </c>
      <c r="B986" t="s">
        <v>881</v>
      </c>
      <c r="C986" t="s">
        <v>882</v>
      </c>
      <c r="D986" t="s">
        <v>25</v>
      </c>
      <c r="E986" t="s">
        <v>886</v>
      </c>
      <c r="F986" t="s">
        <v>545</v>
      </c>
      <c r="G986" t="s">
        <v>541</v>
      </c>
      <c r="H986" t="s">
        <v>540</v>
      </c>
      <c r="I986" t="s">
        <v>820</v>
      </c>
      <c r="J986">
        <v>2000</v>
      </c>
      <c r="K986" t="b">
        <v>0</v>
      </c>
      <c r="X986">
        <v>19.489999999999998</v>
      </c>
      <c r="AD986">
        <v>19</v>
      </c>
      <c r="AG986" t="s">
        <v>884</v>
      </c>
      <c r="AH986" t="s">
        <v>885</v>
      </c>
    </row>
    <row r="987" spans="1:34" x14ac:dyDescent="0.35">
      <c r="A987" t="s">
        <v>880</v>
      </c>
      <c r="B987" t="s">
        <v>881</v>
      </c>
      <c r="C987" t="s">
        <v>882</v>
      </c>
      <c r="D987" t="s">
        <v>25</v>
      </c>
      <c r="E987" t="s">
        <v>886</v>
      </c>
      <c r="F987" t="s">
        <v>545</v>
      </c>
      <c r="G987" t="s">
        <v>246</v>
      </c>
      <c r="H987" t="s">
        <v>245</v>
      </c>
      <c r="I987" t="s">
        <v>820</v>
      </c>
      <c r="J987">
        <v>2000</v>
      </c>
      <c r="K987" t="b">
        <v>0</v>
      </c>
      <c r="X987">
        <v>20.41</v>
      </c>
      <c r="AD987">
        <v>20</v>
      </c>
      <c r="AG987" t="s">
        <v>884</v>
      </c>
      <c r="AH987" t="s">
        <v>885</v>
      </c>
    </row>
    <row r="988" spans="1:34" x14ac:dyDescent="0.35">
      <c r="A988" t="s">
        <v>880</v>
      </c>
      <c r="B988" t="s">
        <v>881</v>
      </c>
      <c r="C988" t="s">
        <v>882</v>
      </c>
      <c r="D988" t="s">
        <v>43</v>
      </c>
      <c r="E988" t="s">
        <v>890</v>
      </c>
      <c r="F988" t="s">
        <v>545</v>
      </c>
      <c r="G988" t="s">
        <v>68</v>
      </c>
      <c r="H988" t="s">
        <v>67</v>
      </c>
      <c r="I988" t="s">
        <v>820</v>
      </c>
      <c r="J988">
        <v>2000</v>
      </c>
      <c r="K988" t="b">
        <v>0</v>
      </c>
      <c r="X988">
        <v>20.45</v>
      </c>
      <c r="AD988">
        <v>20</v>
      </c>
      <c r="AG988" t="s">
        <v>884</v>
      </c>
      <c r="AH988" t="s">
        <v>885</v>
      </c>
    </row>
    <row r="989" spans="1:34" x14ac:dyDescent="0.35">
      <c r="A989" t="s">
        <v>880</v>
      </c>
      <c r="B989" t="s">
        <v>881</v>
      </c>
      <c r="C989" t="s">
        <v>882</v>
      </c>
      <c r="D989" t="s">
        <v>25</v>
      </c>
      <c r="E989" t="s">
        <v>886</v>
      </c>
      <c r="F989" t="s">
        <v>545</v>
      </c>
      <c r="G989" t="s">
        <v>74</v>
      </c>
      <c r="H989" t="s">
        <v>73</v>
      </c>
      <c r="I989" t="s">
        <v>820</v>
      </c>
      <c r="J989">
        <v>2000</v>
      </c>
      <c r="K989" t="b">
        <v>0</v>
      </c>
      <c r="X989">
        <v>20.399999999999999</v>
      </c>
      <c r="AD989">
        <v>20</v>
      </c>
      <c r="AG989" t="s">
        <v>884</v>
      </c>
      <c r="AH989" t="s">
        <v>885</v>
      </c>
    </row>
    <row r="990" spans="1:34" x14ac:dyDescent="0.35">
      <c r="A990" t="s">
        <v>880</v>
      </c>
      <c r="B990" t="s">
        <v>881</v>
      </c>
      <c r="C990" t="s">
        <v>882</v>
      </c>
      <c r="D990" t="s">
        <v>25</v>
      </c>
      <c r="E990" t="s">
        <v>886</v>
      </c>
      <c r="F990" t="s">
        <v>545</v>
      </c>
      <c r="G990" t="s">
        <v>434</v>
      </c>
      <c r="H990" t="s">
        <v>433</v>
      </c>
      <c r="I990" t="s">
        <v>820</v>
      </c>
      <c r="J990">
        <v>2000</v>
      </c>
      <c r="K990" t="b">
        <v>0</v>
      </c>
      <c r="X990">
        <v>19.96</v>
      </c>
      <c r="AD990">
        <v>20</v>
      </c>
      <c r="AG990" t="s">
        <v>884</v>
      </c>
      <c r="AH990" t="s">
        <v>885</v>
      </c>
    </row>
    <row r="991" spans="1:34" x14ac:dyDescent="0.35">
      <c r="A991" t="s">
        <v>880</v>
      </c>
      <c r="B991" t="s">
        <v>881</v>
      </c>
      <c r="C991" t="s">
        <v>882</v>
      </c>
      <c r="D991" t="s">
        <v>4</v>
      </c>
      <c r="E991" t="s">
        <v>883</v>
      </c>
      <c r="F991" t="s">
        <v>545</v>
      </c>
      <c r="G991" t="s">
        <v>114</v>
      </c>
      <c r="H991" t="s">
        <v>113</v>
      </c>
      <c r="I991" t="s">
        <v>820</v>
      </c>
      <c r="J991">
        <v>2000</v>
      </c>
      <c r="K991" t="b">
        <v>0</v>
      </c>
      <c r="X991">
        <v>20.76</v>
      </c>
      <c r="AD991">
        <v>21</v>
      </c>
      <c r="AG991" t="s">
        <v>884</v>
      </c>
      <c r="AH991" t="s">
        <v>885</v>
      </c>
    </row>
    <row r="992" spans="1:34" x14ac:dyDescent="0.35">
      <c r="A992" t="s">
        <v>880</v>
      </c>
      <c r="B992" t="s">
        <v>881</v>
      </c>
      <c r="C992" t="s">
        <v>882</v>
      </c>
      <c r="D992" t="s">
        <v>25</v>
      </c>
      <c r="E992" t="s">
        <v>886</v>
      </c>
      <c r="F992" t="s">
        <v>545</v>
      </c>
      <c r="G992" t="s">
        <v>443</v>
      </c>
      <c r="H992" t="s">
        <v>442</v>
      </c>
      <c r="I992" t="s">
        <v>820</v>
      </c>
      <c r="J992">
        <v>2000</v>
      </c>
      <c r="K992" t="b">
        <v>0</v>
      </c>
      <c r="X992">
        <v>21.33</v>
      </c>
      <c r="AD992">
        <v>21</v>
      </c>
      <c r="AG992" t="s">
        <v>884</v>
      </c>
      <c r="AH992" t="s">
        <v>885</v>
      </c>
    </row>
    <row r="993" spans="1:34" x14ac:dyDescent="0.35">
      <c r="A993" t="s">
        <v>880</v>
      </c>
      <c r="B993" t="s">
        <v>881</v>
      </c>
      <c r="C993" t="s">
        <v>882</v>
      </c>
      <c r="D993" t="s">
        <v>25</v>
      </c>
      <c r="E993" t="s">
        <v>886</v>
      </c>
      <c r="F993" t="s">
        <v>545</v>
      </c>
      <c r="G993" t="s">
        <v>360</v>
      </c>
      <c r="H993" t="s">
        <v>359</v>
      </c>
      <c r="I993" t="s">
        <v>820</v>
      </c>
      <c r="J993">
        <v>2000</v>
      </c>
      <c r="K993" t="b">
        <v>0</v>
      </c>
      <c r="X993">
        <v>21.16</v>
      </c>
      <c r="AD993">
        <v>21</v>
      </c>
      <c r="AG993" t="s">
        <v>884</v>
      </c>
      <c r="AH993" t="s">
        <v>885</v>
      </c>
    </row>
    <row r="994" spans="1:34" x14ac:dyDescent="0.35">
      <c r="A994" t="s">
        <v>880</v>
      </c>
      <c r="B994" t="s">
        <v>881</v>
      </c>
      <c r="C994" t="s">
        <v>882</v>
      </c>
      <c r="D994" t="s">
        <v>25</v>
      </c>
      <c r="E994" t="s">
        <v>886</v>
      </c>
      <c r="F994" t="s">
        <v>545</v>
      </c>
      <c r="G994" t="s">
        <v>413</v>
      </c>
      <c r="H994" t="s">
        <v>412</v>
      </c>
      <c r="I994" t="s">
        <v>820</v>
      </c>
      <c r="J994">
        <v>2000</v>
      </c>
      <c r="K994" t="b">
        <v>0</v>
      </c>
      <c r="X994">
        <v>20.9</v>
      </c>
      <c r="AD994">
        <v>21</v>
      </c>
      <c r="AG994" t="s">
        <v>884</v>
      </c>
      <c r="AH994" t="s">
        <v>885</v>
      </c>
    </row>
    <row r="995" spans="1:34" x14ac:dyDescent="0.35">
      <c r="A995" t="s">
        <v>880</v>
      </c>
      <c r="B995" t="s">
        <v>881</v>
      </c>
      <c r="C995" t="s">
        <v>882</v>
      </c>
      <c r="D995" t="s">
        <v>25</v>
      </c>
      <c r="E995" t="s">
        <v>886</v>
      </c>
      <c r="F995" t="s">
        <v>545</v>
      </c>
      <c r="G995" t="s">
        <v>216</v>
      </c>
      <c r="H995" t="s">
        <v>215</v>
      </c>
      <c r="I995" t="s">
        <v>820</v>
      </c>
      <c r="J995">
        <v>2000</v>
      </c>
      <c r="K995" t="b">
        <v>0</v>
      </c>
      <c r="X995">
        <v>21.99</v>
      </c>
      <c r="AD995">
        <v>22</v>
      </c>
      <c r="AG995" t="s">
        <v>884</v>
      </c>
      <c r="AH995" t="s">
        <v>885</v>
      </c>
    </row>
    <row r="996" spans="1:34" x14ac:dyDescent="0.35">
      <c r="A996" t="s">
        <v>880</v>
      </c>
      <c r="B996" t="s">
        <v>881</v>
      </c>
      <c r="C996" t="s">
        <v>882</v>
      </c>
      <c r="D996" t="s">
        <v>25</v>
      </c>
      <c r="E996" t="s">
        <v>886</v>
      </c>
      <c r="F996" t="s">
        <v>545</v>
      </c>
      <c r="G996" t="s">
        <v>50</v>
      </c>
      <c r="H996" t="s">
        <v>49</v>
      </c>
      <c r="I996" t="s">
        <v>820</v>
      </c>
      <c r="J996">
        <v>2000</v>
      </c>
      <c r="K996" t="b">
        <v>0</v>
      </c>
      <c r="X996">
        <v>22.36</v>
      </c>
      <c r="AD996">
        <v>22</v>
      </c>
      <c r="AG996" t="s">
        <v>884</v>
      </c>
      <c r="AH996" t="s">
        <v>885</v>
      </c>
    </row>
    <row r="997" spans="1:34" x14ac:dyDescent="0.35">
      <c r="A997" t="s">
        <v>880</v>
      </c>
      <c r="B997" t="s">
        <v>881</v>
      </c>
      <c r="C997" t="s">
        <v>882</v>
      </c>
      <c r="D997" t="s">
        <v>43</v>
      </c>
      <c r="E997" t="s">
        <v>890</v>
      </c>
      <c r="F997" t="s">
        <v>545</v>
      </c>
      <c r="G997" t="s">
        <v>322</v>
      </c>
      <c r="H997" t="s">
        <v>321</v>
      </c>
      <c r="I997" t="s">
        <v>820</v>
      </c>
      <c r="J997">
        <v>2000</v>
      </c>
      <c r="K997" t="b">
        <v>0</v>
      </c>
      <c r="X997">
        <v>22.35</v>
      </c>
      <c r="AD997">
        <v>22</v>
      </c>
      <c r="AG997" t="s">
        <v>884</v>
      </c>
      <c r="AH997" t="s">
        <v>885</v>
      </c>
    </row>
    <row r="998" spans="1:34" x14ac:dyDescent="0.35">
      <c r="A998" t="s">
        <v>880</v>
      </c>
      <c r="B998" t="s">
        <v>881</v>
      </c>
      <c r="C998" t="s">
        <v>882</v>
      </c>
      <c r="D998" t="s">
        <v>25</v>
      </c>
      <c r="E998" t="s">
        <v>886</v>
      </c>
      <c r="F998" t="s">
        <v>545</v>
      </c>
      <c r="G998" t="s">
        <v>345</v>
      </c>
      <c r="H998" t="s">
        <v>344</v>
      </c>
      <c r="I998" t="s">
        <v>820</v>
      </c>
      <c r="J998">
        <v>2000</v>
      </c>
      <c r="K998" t="b">
        <v>0</v>
      </c>
      <c r="X998">
        <v>22.47</v>
      </c>
      <c r="AD998">
        <v>22</v>
      </c>
      <c r="AG998" t="s">
        <v>884</v>
      </c>
      <c r="AH998" t="s">
        <v>885</v>
      </c>
    </row>
    <row r="999" spans="1:34" x14ac:dyDescent="0.35">
      <c r="A999" t="s">
        <v>880</v>
      </c>
      <c r="B999" t="s">
        <v>881</v>
      </c>
      <c r="C999" t="s">
        <v>882</v>
      </c>
      <c r="D999" t="s">
        <v>25</v>
      </c>
      <c r="E999" t="s">
        <v>886</v>
      </c>
      <c r="F999" t="s">
        <v>545</v>
      </c>
      <c r="G999" t="s">
        <v>464</v>
      </c>
      <c r="H999" t="s">
        <v>463</v>
      </c>
      <c r="I999" t="s">
        <v>820</v>
      </c>
      <c r="J999">
        <v>2000</v>
      </c>
      <c r="K999" t="b">
        <v>0</v>
      </c>
      <c r="X999">
        <v>21.83</v>
      </c>
      <c r="AD999">
        <v>22</v>
      </c>
      <c r="AG999" t="s">
        <v>884</v>
      </c>
      <c r="AH999" t="s">
        <v>885</v>
      </c>
    </row>
    <row r="1000" spans="1:34" x14ac:dyDescent="0.35">
      <c r="A1000" t="s">
        <v>880</v>
      </c>
      <c r="B1000" t="s">
        <v>881</v>
      </c>
      <c r="C1000" t="s">
        <v>882</v>
      </c>
      <c r="D1000" t="s">
        <v>25</v>
      </c>
      <c r="E1000" t="s">
        <v>886</v>
      </c>
      <c r="F1000" t="s">
        <v>545</v>
      </c>
      <c r="G1000" t="s">
        <v>231</v>
      </c>
      <c r="H1000" t="s">
        <v>230</v>
      </c>
      <c r="I1000" t="s">
        <v>820</v>
      </c>
      <c r="J1000">
        <v>2000</v>
      </c>
      <c r="K1000" t="b">
        <v>0</v>
      </c>
      <c r="X1000">
        <v>22.98</v>
      </c>
      <c r="AD1000">
        <v>23</v>
      </c>
      <c r="AG1000" t="s">
        <v>884</v>
      </c>
      <c r="AH1000" t="s">
        <v>885</v>
      </c>
    </row>
    <row r="1001" spans="1:34" x14ac:dyDescent="0.35">
      <c r="A1001" t="s">
        <v>880</v>
      </c>
      <c r="B1001" t="s">
        <v>881</v>
      </c>
      <c r="C1001" t="s">
        <v>882</v>
      </c>
      <c r="D1001" t="s">
        <v>1</v>
      </c>
      <c r="E1001" t="s">
        <v>889</v>
      </c>
      <c r="F1001" t="s">
        <v>545</v>
      </c>
      <c r="G1001" t="s">
        <v>310</v>
      </c>
      <c r="H1001" t="s">
        <v>309</v>
      </c>
      <c r="I1001" t="s">
        <v>820</v>
      </c>
      <c r="J1001">
        <v>2000</v>
      </c>
      <c r="K1001" t="b">
        <v>0</v>
      </c>
      <c r="X1001">
        <v>22.83</v>
      </c>
      <c r="AD1001">
        <v>23</v>
      </c>
      <c r="AG1001" t="s">
        <v>884</v>
      </c>
      <c r="AH1001" t="s">
        <v>885</v>
      </c>
    </row>
    <row r="1002" spans="1:34" x14ac:dyDescent="0.35">
      <c r="A1002" t="s">
        <v>880</v>
      </c>
      <c r="B1002" t="s">
        <v>881</v>
      </c>
      <c r="C1002" t="s">
        <v>882</v>
      </c>
      <c r="D1002" t="s">
        <v>25</v>
      </c>
      <c r="E1002" t="s">
        <v>886</v>
      </c>
      <c r="F1002" t="s">
        <v>545</v>
      </c>
      <c r="G1002" t="s">
        <v>371</v>
      </c>
      <c r="H1002" t="s">
        <v>370</v>
      </c>
      <c r="I1002" t="s">
        <v>820</v>
      </c>
      <c r="J1002">
        <v>2000</v>
      </c>
      <c r="K1002" t="b">
        <v>0</v>
      </c>
      <c r="X1002">
        <v>23.09</v>
      </c>
      <c r="AD1002">
        <v>23</v>
      </c>
      <c r="AG1002" t="s">
        <v>884</v>
      </c>
      <c r="AH1002" t="s">
        <v>885</v>
      </c>
    </row>
    <row r="1003" spans="1:34" x14ac:dyDescent="0.35">
      <c r="A1003" t="s">
        <v>880</v>
      </c>
      <c r="B1003" t="s">
        <v>881</v>
      </c>
      <c r="C1003" t="s">
        <v>882</v>
      </c>
      <c r="D1003" t="s">
        <v>4</v>
      </c>
      <c r="E1003" t="s">
        <v>883</v>
      </c>
      <c r="F1003" t="s">
        <v>545</v>
      </c>
      <c r="G1003" t="s">
        <v>123</v>
      </c>
      <c r="H1003" t="s">
        <v>122</v>
      </c>
      <c r="I1003" t="s">
        <v>820</v>
      </c>
      <c r="J1003">
        <v>2000</v>
      </c>
      <c r="K1003" t="b">
        <v>0</v>
      </c>
      <c r="X1003">
        <v>22.78</v>
      </c>
      <c r="AD1003">
        <v>23</v>
      </c>
      <c r="AG1003" t="s">
        <v>884</v>
      </c>
      <c r="AH1003" t="s">
        <v>885</v>
      </c>
    </row>
    <row r="1004" spans="1:34" x14ac:dyDescent="0.35">
      <c r="A1004" t="s">
        <v>880</v>
      </c>
      <c r="B1004" t="s">
        <v>881</v>
      </c>
      <c r="C1004" t="s">
        <v>882</v>
      </c>
      <c r="D1004" t="s">
        <v>25</v>
      </c>
      <c r="E1004" t="s">
        <v>886</v>
      </c>
      <c r="F1004" t="s">
        <v>545</v>
      </c>
      <c r="G1004" t="s">
        <v>407</v>
      </c>
      <c r="H1004" t="s">
        <v>406</v>
      </c>
      <c r="I1004" t="s">
        <v>820</v>
      </c>
      <c r="J1004">
        <v>2000</v>
      </c>
      <c r="K1004" t="b">
        <v>0</v>
      </c>
      <c r="X1004">
        <v>22.52</v>
      </c>
      <c r="AD1004">
        <v>23</v>
      </c>
      <c r="AG1004" t="s">
        <v>884</v>
      </c>
      <c r="AH1004" t="s">
        <v>885</v>
      </c>
    </row>
    <row r="1005" spans="1:34" x14ac:dyDescent="0.35">
      <c r="A1005" t="s">
        <v>880</v>
      </c>
      <c r="B1005" t="s">
        <v>881</v>
      </c>
      <c r="C1005" t="s">
        <v>882</v>
      </c>
      <c r="D1005" t="s">
        <v>25</v>
      </c>
      <c r="E1005" t="s">
        <v>886</v>
      </c>
      <c r="F1005" t="s">
        <v>545</v>
      </c>
      <c r="G1005" t="s">
        <v>523</v>
      </c>
      <c r="H1005" t="s">
        <v>522</v>
      </c>
      <c r="I1005" t="s">
        <v>820</v>
      </c>
      <c r="J1005">
        <v>2000</v>
      </c>
      <c r="K1005" t="b">
        <v>0</v>
      </c>
      <c r="X1005">
        <v>23.22</v>
      </c>
      <c r="AD1005">
        <v>23</v>
      </c>
      <c r="AG1005" t="s">
        <v>884</v>
      </c>
      <c r="AH1005" t="s">
        <v>885</v>
      </c>
    </row>
    <row r="1006" spans="1:34" x14ac:dyDescent="0.35">
      <c r="A1006" t="s">
        <v>880</v>
      </c>
      <c r="B1006" t="s">
        <v>881</v>
      </c>
      <c r="C1006" t="s">
        <v>882</v>
      </c>
      <c r="D1006" t="s">
        <v>43</v>
      </c>
      <c r="E1006" t="s">
        <v>890</v>
      </c>
      <c r="F1006" t="s">
        <v>545</v>
      </c>
      <c r="G1006" t="s">
        <v>193</v>
      </c>
      <c r="H1006" t="s">
        <v>192</v>
      </c>
      <c r="I1006" t="s">
        <v>820</v>
      </c>
      <c r="J1006">
        <v>2000</v>
      </c>
      <c r="K1006" t="b">
        <v>0</v>
      </c>
      <c r="X1006">
        <v>24.09</v>
      </c>
      <c r="AD1006">
        <v>24</v>
      </c>
      <c r="AG1006" t="s">
        <v>884</v>
      </c>
      <c r="AH1006" t="s">
        <v>885</v>
      </c>
    </row>
    <row r="1007" spans="1:34" x14ac:dyDescent="0.35">
      <c r="A1007" t="s">
        <v>880</v>
      </c>
      <c r="B1007" t="s">
        <v>881</v>
      </c>
      <c r="C1007" t="s">
        <v>882</v>
      </c>
      <c r="D1007" t="s">
        <v>25</v>
      </c>
      <c r="E1007" t="s">
        <v>886</v>
      </c>
      <c r="F1007" t="s">
        <v>545</v>
      </c>
      <c r="G1007" t="s">
        <v>295</v>
      </c>
      <c r="H1007" t="s">
        <v>294</v>
      </c>
      <c r="I1007" t="s">
        <v>820</v>
      </c>
      <c r="J1007">
        <v>2000</v>
      </c>
      <c r="K1007" t="b">
        <v>0</v>
      </c>
      <c r="X1007">
        <v>23.71</v>
      </c>
      <c r="AD1007">
        <v>24</v>
      </c>
      <c r="AG1007" t="s">
        <v>884</v>
      </c>
      <c r="AH1007" t="s">
        <v>885</v>
      </c>
    </row>
    <row r="1008" spans="1:34" x14ac:dyDescent="0.35">
      <c r="A1008" t="s">
        <v>880</v>
      </c>
      <c r="B1008" t="s">
        <v>881</v>
      </c>
      <c r="C1008" t="s">
        <v>882</v>
      </c>
      <c r="D1008" t="s">
        <v>25</v>
      </c>
      <c r="E1008" t="s">
        <v>886</v>
      </c>
      <c r="F1008" t="s">
        <v>545</v>
      </c>
      <c r="G1008" t="s">
        <v>354</v>
      </c>
      <c r="H1008" t="s">
        <v>353</v>
      </c>
      <c r="I1008" t="s">
        <v>820</v>
      </c>
      <c r="J1008">
        <v>2000</v>
      </c>
      <c r="K1008" t="b">
        <v>0</v>
      </c>
      <c r="X1008">
        <v>24.75</v>
      </c>
      <c r="AD1008">
        <v>25</v>
      </c>
      <c r="AG1008" t="s">
        <v>884</v>
      </c>
      <c r="AH1008" t="s">
        <v>885</v>
      </c>
    </row>
    <row r="1009" spans="1:34" x14ac:dyDescent="0.35">
      <c r="A1009" t="s">
        <v>880</v>
      </c>
      <c r="B1009" t="s">
        <v>881</v>
      </c>
      <c r="C1009" t="s">
        <v>882</v>
      </c>
      <c r="D1009" t="s">
        <v>25</v>
      </c>
      <c r="E1009" t="s">
        <v>886</v>
      </c>
      <c r="F1009" t="s">
        <v>545</v>
      </c>
      <c r="G1009" t="s">
        <v>532</v>
      </c>
      <c r="H1009" t="s">
        <v>531</v>
      </c>
      <c r="I1009" t="s">
        <v>820</v>
      </c>
      <c r="J1009">
        <v>2000</v>
      </c>
      <c r="K1009" t="b">
        <v>0</v>
      </c>
      <c r="X1009">
        <v>25.94</v>
      </c>
      <c r="AD1009">
        <v>26</v>
      </c>
      <c r="AG1009" t="s">
        <v>884</v>
      </c>
      <c r="AH1009" t="s">
        <v>885</v>
      </c>
    </row>
    <row r="1010" spans="1:34" x14ac:dyDescent="0.35">
      <c r="A1010" t="s">
        <v>880</v>
      </c>
      <c r="B1010" t="s">
        <v>881</v>
      </c>
      <c r="C1010" t="s">
        <v>882</v>
      </c>
      <c r="D1010" t="s">
        <v>0</v>
      </c>
      <c r="E1010" t="s">
        <v>887</v>
      </c>
      <c r="F1010" t="s">
        <v>545</v>
      </c>
      <c r="G1010" t="s">
        <v>176</v>
      </c>
      <c r="H1010" t="s">
        <v>175</v>
      </c>
      <c r="I1010" t="s">
        <v>820</v>
      </c>
      <c r="J1010">
        <v>2000</v>
      </c>
      <c r="K1010" t="b">
        <v>0</v>
      </c>
      <c r="X1010">
        <v>26.11</v>
      </c>
      <c r="AD1010">
        <v>26</v>
      </c>
      <c r="AG1010" t="s">
        <v>884</v>
      </c>
      <c r="AH1010" t="s">
        <v>885</v>
      </c>
    </row>
    <row r="1011" spans="1:34" x14ac:dyDescent="0.35">
      <c r="A1011" t="s">
        <v>880</v>
      </c>
      <c r="B1011" t="s">
        <v>881</v>
      </c>
      <c r="C1011" t="s">
        <v>882</v>
      </c>
      <c r="D1011" t="s">
        <v>4</v>
      </c>
      <c r="E1011" t="s">
        <v>883</v>
      </c>
      <c r="F1011" t="s">
        <v>545</v>
      </c>
      <c r="G1011" t="s">
        <v>271</v>
      </c>
      <c r="H1011" t="s">
        <v>270</v>
      </c>
      <c r="I1011" t="s">
        <v>820</v>
      </c>
      <c r="J1011">
        <v>2000</v>
      </c>
      <c r="K1011" t="b">
        <v>0</v>
      </c>
      <c r="X1011">
        <v>27.18</v>
      </c>
      <c r="AD1011">
        <v>27</v>
      </c>
      <c r="AG1011" t="s">
        <v>884</v>
      </c>
      <c r="AH1011" t="s">
        <v>885</v>
      </c>
    </row>
    <row r="1012" spans="1:34" x14ac:dyDescent="0.35">
      <c r="A1012" t="s">
        <v>880</v>
      </c>
      <c r="B1012" t="s">
        <v>881</v>
      </c>
      <c r="C1012" t="s">
        <v>882</v>
      </c>
      <c r="D1012" t="s">
        <v>25</v>
      </c>
      <c r="E1012" t="s">
        <v>886</v>
      </c>
      <c r="F1012" t="s">
        <v>545</v>
      </c>
      <c r="G1012" t="s">
        <v>280</v>
      </c>
      <c r="H1012" t="s">
        <v>279</v>
      </c>
      <c r="I1012" t="s">
        <v>820</v>
      </c>
      <c r="J1012">
        <v>2000</v>
      </c>
      <c r="K1012" t="b">
        <v>0</v>
      </c>
      <c r="X1012">
        <v>26.61</v>
      </c>
      <c r="AD1012">
        <v>27</v>
      </c>
      <c r="AG1012" t="s">
        <v>884</v>
      </c>
      <c r="AH1012" t="s">
        <v>885</v>
      </c>
    </row>
    <row r="1013" spans="1:34" x14ac:dyDescent="0.35">
      <c r="A1013" t="s">
        <v>880</v>
      </c>
      <c r="B1013" t="s">
        <v>881</v>
      </c>
      <c r="C1013" t="s">
        <v>882</v>
      </c>
      <c r="D1013" t="s">
        <v>25</v>
      </c>
      <c r="E1013" t="s">
        <v>886</v>
      </c>
      <c r="F1013" t="s">
        <v>545</v>
      </c>
      <c r="G1013" t="s">
        <v>150</v>
      </c>
      <c r="H1013" t="s">
        <v>149</v>
      </c>
      <c r="I1013" t="s">
        <v>820</v>
      </c>
      <c r="J1013">
        <v>2000</v>
      </c>
      <c r="K1013" t="b">
        <v>0</v>
      </c>
      <c r="X1013">
        <v>27.02</v>
      </c>
      <c r="AD1013">
        <v>27</v>
      </c>
      <c r="AG1013" t="s">
        <v>884</v>
      </c>
      <c r="AH1013" t="s">
        <v>885</v>
      </c>
    </row>
    <row r="1014" spans="1:34" x14ac:dyDescent="0.35">
      <c r="A1014" t="s">
        <v>880</v>
      </c>
      <c r="B1014" t="s">
        <v>881</v>
      </c>
      <c r="C1014" t="s">
        <v>882</v>
      </c>
      <c r="D1014" t="s">
        <v>43</v>
      </c>
      <c r="E1014" t="s">
        <v>890</v>
      </c>
      <c r="F1014" t="s">
        <v>545</v>
      </c>
      <c r="G1014" t="s">
        <v>452</v>
      </c>
      <c r="H1014" t="s">
        <v>451</v>
      </c>
      <c r="I1014" t="s">
        <v>820</v>
      </c>
      <c r="J1014">
        <v>2000</v>
      </c>
      <c r="K1014" t="b">
        <v>0</v>
      </c>
      <c r="X1014">
        <v>26.82</v>
      </c>
      <c r="AD1014">
        <v>27</v>
      </c>
      <c r="AG1014" t="s">
        <v>884</v>
      </c>
      <c r="AH1014" t="s">
        <v>885</v>
      </c>
    </row>
    <row r="1015" spans="1:34" x14ac:dyDescent="0.35">
      <c r="A1015" t="s">
        <v>880</v>
      </c>
      <c r="B1015" t="s">
        <v>881</v>
      </c>
      <c r="C1015" t="s">
        <v>882</v>
      </c>
      <c r="D1015" t="s">
        <v>0</v>
      </c>
      <c r="E1015" t="s">
        <v>887</v>
      </c>
      <c r="F1015" t="s">
        <v>545</v>
      </c>
      <c r="G1015" t="s">
        <v>107</v>
      </c>
      <c r="H1015" t="s">
        <v>106</v>
      </c>
      <c r="I1015" t="s">
        <v>820</v>
      </c>
      <c r="J1015">
        <v>2000</v>
      </c>
      <c r="K1015" t="b">
        <v>0</v>
      </c>
      <c r="X1015">
        <v>27.44</v>
      </c>
      <c r="AD1015">
        <v>27</v>
      </c>
      <c r="AG1015" t="s">
        <v>884</v>
      </c>
      <c r="AH1015" t="s">
        <v>885</v>
      </c>
    </row>
    <row r="1016" spans="1:34" x14ac:dyDescent="0.35">
      <c r="A1016" t="s">
        <v>880</v>
      </c>
      <c r="B1016" t="s">
        <v>881</v>
      </c>
      <c r="C1016" t="s">
        <v>882</v>
      </c>
      <c r="D1016" t="s">
        <v>4</v>
      </c>
      <c r="E1016" t="s">
        <v>883</v>
      </c>
      <c r="F1016" t="s">
        <v>545</v>
      </c>
      <c r="G1016" t="s">
        <v>449</v>
      </c>
      <c r="H1016" t="s">
        <v>448</v>
      </c>
      <c r="I1016" t="s">
        <v>820</v>
      </c>
      <c r="J1016">
        <v>2000</v>
      </c>
      <c r="K1016" t="b">
        <v>0</v>
      </c>
      <c r="X1016">
        <v>26.94</v>
      </c>
      <c r="AD1016">
        <v>27</v>
      </c>
      <c r="AG1016" t="s">
        <v>884</v>
      </c>
      <c r="AH1016" t="s">
        <v>885</v>
      </c>
    </row>
    <row r="1017" spans="1:34" x14ac:dyDescent="0.35">
      <c r="A1017" t="s">
        <v>880</v>
      </c>
      <c r="B1017" t="s">
        <v>881</v>
      </c>
      <c r="C1017" t="s">
        <v>882</v>
      </c>
      <c r="D1017" t="s">
        <v>25</v>
      </c>
      <c r="E1017" t="s">
        <v>886</v>
      </c>
      <c r="F1017" t="s">
        <v>545</v>
      </c>
      <c r="G1017" t="s">
        <v>500</v>
      </c>
      <c r="H1017" t="s">
        <v>499</v>
      </c>
      <c r="I1017" t="s">
        <v>820</v>
      </c>
      <c r="J1017">
        <v>2000</v>
      </c>
      <c r="K1017" t="b">
        <v>0</v>
      </c>
      <c r="X1017">
        <v>29.41</v>
      </c>
      <c r="AD1017">
        <v>29</v>
      </c>
      <c r="AG1017" t="s">
        <v>884</v>
      </c>
      <c r="AH1017" t="s">
        <v>885</v>
      </c>
    </row>
    <row r="1018" spans="1:34" x14ac:dyDescent="0.35">
      <c r="A1018" t="s">
        <v>880</v>
      </c>
      <c r="B1018" t="s">
        <v>881</v>
      </c>
      <c r="C1018" t="s">
        <v>882</v>
      </c>
      <c r="D1018" t="s">
        <v>25</v>
      </c>
      <c r="E1018" t="s">
        <v>886</v>
      </c>
      <c r="F1018" t="s">
        <v>545</v>
      </c>
      <c r="G1018" t="s">
        <v>89</v>
      </c>
      <c r="H1018" t="s">
        <v>88</v>
      </c>
      <c r="I1018" t="s">
        <v>820</v>
      </c>
      <c r="J1018">
        <v>2000</v>
      </c>
      <c r="K1018" t="b">
        <v>0</v>
      </c>
      <c r="X1018">
        <v>30.16</v>
      </c>
      <c r="AD1018">
        <v>30</v>
      </c>
      <c r="AG1018" t="s">
        <v>884</v>
      </c>
      <c r="AH1018" t="s">
        <v>885</v>
      </c>
    </row>
    <row r="1019" spans="1:34" x14ac:dyDescent="0.35">
      <c r="A1019" t="s">
        <v>880</v>
      </c>
      <c r="B1019" t="s">
        <v>881</v>
      </c>
      <c r="C1019" t="s">
        <v>882</v>
      </c>
      <c r="D1019" t="s">
        <v>25</v>
      </c>
      <c r="E1019" t="s">
        <v>886</v>
      </c>
      <c r="F1019" t="s">
        <v>545</v>
      </c>
      <c r="G1019" t="s">
        <v>334</v>
      </c>
      <c r="H1019" t="s">
        <v>333</v>
      </c>
      <c r="I1019" t="s">
        <v>820</v>
      </c>
      <c r="J1019">
        <v>2000</v>
      </c>
      <c r="K1019" t="b">
        <v>0</v>
      </c>
      <c r="X1019">
        <v>30.49</v>
      </c>
      <c r="AD1019">
        <v>30</v>
      </c>
      <c r="AG1019" t="s">
        <v>884</v>
      </c>
      <c r="AH1019" t="s">
        <v>885</v>
      </c>
    </row>
    <row r="1020" spans="1:34" x14ac:dyDescent="0.35">
      <c r="A1020" t="s">
        <v>880</v>
      </c>
      <c r="B1020" t="s">
        <v>881</v>
      </c>
      <c r="C1020" t="s">
        <v>882</v>
      </c>
      <c r="D1020" t="s">
        <v>0</v>
      </c>
      <c r="E1020" t="s">
        <v>887</v>
      </c>
      <c r="F1020" t="s">
        <v>545</v>
      </c>
      <c r="G1020" t="s">
        <v>337</v>
      </c>
      <c r="H1020" t="s">
        <v>336</v>
      </c>
      <c r="I1020" t="s">
        <v>820</v>
      </c>
      <c r="J1020">
        <v>2000</v>
      </c>
      <c r="K1020" t="b">
        <v>0</v>
      </c>
      <c r="X1020">
        <v>29.62</v>
      </c>
      <c r="AD1020">
        <v>30</v>
      </c>
      <c r="AG1020" t="s">
        <v>884</v>
      </c>
      <c r="AH1020" t="s">
        <v>885</v>
      </c>
    </row>
    <row r="1021" spans="1:34" x14ac:dyDescent="0.35">
      <c r="A1021" t="s">
        <v>880</v>
      </c>
      <c r="B1021" t="s">
        <v>881</v>
      </c>
      <c r="C1021" t="s">
        <v>882</v>
      </c>
      <c r="D1021" t="s">
        <v>25</v>
      </c>
      <c r="E1021" t="s">
        <v>886</v>
      </c>
      <c r="F1021" t="s">
        <v>545</v>
      </c>
      <c r="G1021" t="s">
        <v>476</v>
      </c>
      <c r="H1021" t="s">
        <v>475</v>
      </c>
      <c r="I1021" t="s">
        <v>820</v>
      </c>
      <c r="J1021">
        <v>2000</v>
      </c>
      <c r="K1021" t="b">
        <v>0</v>
      </c>
      <c r="X1021">
        <v>29.58</v>
      </c>
      <c r="AD1021">
        <v>30</v>
      </c>
      <c r="AG1021" t="s">
        <v>884</v>
      </c>
      <c r="AH1021" t="s">
        <v>885</v>
      </c>
    </row>
    <row r="1022" spans="1:34" x14ac:dyDescent="0.35">
      <c r="A1022" t="s">
        <v>880</v>
      </c>
      <c r="B1022" t="s">
        <v>881</v>
      </c>
      <c r="C1022" t="s">
        <v>882</v>
      </c>
      <c r="D1022" t="s">
        <v>25</v>
      </c>
      <c r="E1022" t="s">
        <v>886</v>
      </c>
      <c r="F1022" t="s">
        <v>545</v>
      </c>
      <c r="G1022" t="s">
        <v>292</v>
      </c>
      <c r="H1022" t="s">
        <v>291</v>
      </c>
      <c r="I1022" t="s">
        <v>820</v>
      </c>
      <c r="J1022">
        <v>2000</v>
      </c>
      <c r="K1022" t="b">
        <v>0</v>
      </c>
      <c r="X1022">
        <v>30.6</v>
      </c>
      <c r="AD1022">
        <v>31</v>
      </c>
      <c r="AG1022" t="s">
        <v>884</v>
      </c>
      <c r="AH1022" t="s">
        <v>885</v>
      </c>
    </row>
    <row r="1023" spans="1:34" x14ac:dyDescent="0.35">
      <c r="A1023" t="s">
        <v>880</v>
      </c>
      <c r="B1023" t="s">
        <v>881</v>
      </c>
      <c r="C1023" t="s">
        <v>882</v>
      </c>
      <c r="D1023" t="s">
        <v>43</v>
      </c>
      <c r="E1023" t="s">
        <v>890</v>
      </c>
      <c r="F1023" t="s">
        <v>545</v>
      </c>
      <c r="G1023" t="s">
        <v>319</v>
      </c>
      <c r="H1023" t="s">
        <v>318</v>
      </c>
      <c r="I1023" t="s">
        <v>820</v>
      </c>
      <c r="J1023">
        <v>2000</v>
      </c>
      <c r="K1023" t="b">
        <v>0</v>
      </c>
      <c r="X1023">
        <v>31.08</v>
      </c>
      <c r="AD1023">
        <v>31</v>
      </c>
      <c r="AG1023" t="s">
        <v>884</v>
      </c>
      <c r="AH1023" t="s">
        <v>885</v>
      </c>
    </row>
    <row r="1024" spans="1:34" x14ac:dyDescent="0.35">
      <c r="A1024" t="s">
        <v>880</v>
      </c>
      <c r="B1024" t="s">
        <v>881</v>
      </c>
      <c r="C1024" t="s">
        <v>882</v>
      </c>
      <c r="D1024" t="s">
        <v>4</v>
      </c>
      <c r="E1024" t="s">
        <v>883</v>
      </c>
      <c r="F1024" t="s">
        <v>545</v>
      </c>
      <c r="G1024" t="s">
        <v>473</v>
      </c>
      <c r="H1024" t="s">
        <v>472</v>
      </c>
      <c r="I1024" t="s">
        <v>820</v>
      </c>
      <c r="J1024">
        <v>2000</v>
      </c>
      <c r="K1024" t="b">
        <v>0</v>
      </c>
      <c r="X1024">
        <v>30.61</v>
      </c>
      <c r="AD1024">
        <v>31</v>
      </c>
      <c r="AG1024" t="s">
        <v>884</v>
      </c>
      <c r="AH1024" t="s">
        <v>885</v>
      </c>
    </row>
    <row r="1025" spans="1:34" x14ac:dyDescent="0.35">
      <c r="A1025" t="s">
        <v>880</v>
      </c>
      <c r="B1025" t="s">
        <v>881</v>
      </c>
      <c r="C1025" t="s">
        <v>882</v>
      </c>
      <c r="D1025" t="s">
        <v>25</v>
      </c>
      <c r="E1025" t="s">
        <v>886</v>
      </c>
      <c r="F1025" t="s">
        <v>545</v>
      </c>
      <c r="G1025" t="s">
        <v>234</v>
      </c>
      <c r="H1025" t="s">
        <v>233</v>
      </c>
      <c r="I1025" t="s">
        <v>820</v>
      </c>
      <c r="J1025">
        <v>2000</v>
      </c>
      <c r="K1025" t="b">
        <v>0</v>
      </c>
      <c r="X1025">
        <v>32.22</v>
      </c>
      <c r="AD1025">
        <v>32</v>
      </c>
      <c r="AG1025" t="s">
        <v>884</v>
      </c>
      <c r="AH1025" t="s">
        <v>885</v>
      </c>
    </row>
    <row r="1026" spans="1:34" x14ac:dyDescent="0.35">
      <c r="A1026" t="s">
        <v>880</v>
      </c>
      <c r="B1026" t="s">
        <v>881</v>
      </c>
      <c r="C1026" t="s">
        <v>882</v>
      </c>
      <c r="D1026" t="s">
        <v>0</v>
      </c>
      <c r="E1026" t="s">
        <v>887</v>
      </c>
      <c r="F1026" t="s">
        <v>545</v>
      </c>
      <c r="G1026" t="s">
        <v>377</v>
      </c>
      <c r="H1026" t="s">
        <v>376</v>
      </c>
      <c r="I1026" t="s">
        <v>820</v>
      </c>
      <c r="J1026">
        <v>2000</v>
      </c>
      <c r="K1026" t="b">
        <v>0</v>
      </c>
      <c r="X1026">
        <v>32.28</v>
      </c>
      <c r="AD1026">
        <v>32</v>
      </c>
      <c r="AG1026" t="s">
        <v>884</v>
      </c>
      <c r="AH1026" t="s">
        <v>885</v>
      </c>
    </row>
    <row r="1027" spans="1:34" x14ac:dyDescent="0.35">
      <c r="A1027" t="s">
        <v>880</v>
      </c>
      <c r="B1027" t="s">
        <v>881</v>
      </c>
      <c r="C1027" t="s">
        <v>882</v>
      </c>
      <c r="D1027" t="s">
        <v>25</v>
      </c>
      <c r="E1027" t="s">
        <v>886</v>
      </c>
      <c r="F1027" t="s">
        <v>545</v>
      </c>
      <c r="G1027" t="s">
        <v>479</v>
      </c>
      <c r="H1027" t="s">
        <v>478</v>
      </c>
      <c r="I1027" t="s">
        <v>820</v>
      </c>
      <c r="J1027">
        <v>2000</v>
      </c>
      <c r="K1027" t="b">
        <v>0</v>
      </c>
      <c r="X1027">
        <v>31.84</v>
      </c>
      <c r="AD1027">
        <v>32</v>
      </c>
      <c r="AG1027" t="s">
        <v>884</v>
      </c>
      <c r="AH1027" t="s">
        <v>885</v>
      </c>
    </row>
    <row r="1028" spans="1:34" x14ac:dyDescent="0.35">
      <c r="A1028" t="s">
        <v>880</v>
      </c>
      <c r="B1028" t="s">
        <v>881</v>
      </c>
      <c r="C1028" t="s">
        <v>882</v>
      </c>
      <c r="D1028" t="s">
        <v>43</v>
      </c>
      <c r="E1028" t="s">
        <v>890</v>
      </c>
      <c r="F1028" t="s">
        <v>545</v>
      </c>
      <c r="G1028" t="s">
        <v>53</v>
      </c>
      <c r="H1028" t="s">
        <v>52</v>
      </c>
      <c r="I1028" t="s">
        <v>820</v>
      </c>
      <c r="J1028">
        <v>2000</v>
      </c>
      <c r="K1028" t="b">
        <v>0</v>
      </c>
      <c r="X1028">
        <v>32.700000000000003</v>
      </c>
      <c r="AD1028">
        <v>33</v>
      </c>
      <c r="AG1028" t="s">
        <v>884</v>
      </c>
      <c r="AH1028" t="s">
        <v>885</v>
      </c>
    </row>
    <row r="1029" spans="1:34" x14ac:dyDescent="0.35">
      <c r="A1029" t="s">
        <v>880</v>
      </c>
      <c r="B1029" t="s">
        <v>881</v>
      </c>
      <c r="C1029" t="s">
        <v>882</v>
      </c>
      <c r="D1029" t="s">
        <v>25</v>
      </c>
      <c r="E1029" t="s">
        <v>886</v>
      </c>
      <c r="F1029" t="s">
        <v>545</v>
      </c>
      <c r="G1029" t="s">
        <v>147</v>
      </c>
      <c r="H1029" t="s">
        <v>146</v>
      </c>
      <c r="I1029" t="s">
        <v>820</v>
      </c>
      <c r="J1029">
        <v>2000</v>
      </c>
      <c r="K1029" t="b">
        <v>0</v>
      </c>
      <c r="X1029">
        <v>33.630000000000003</v>
      </c>
      <c r="AD1029">
        <v>34</v>
      </c>
      <c r="AG1029" t="s">
        <v>884</v>
      </c>
      <c r="AH1029" t="s">
        <v>885</v>
      </c>
    </row>
    <row r="1030" spans="1:34" x14ac:dyDescent="0.35">
      <c r="A1030" t="s">
        <v>880</v>
      </c>
      <c r="B1030" t="s">
        <v>881</v>
      </c>
      <c r="C1030" t="s">
        <v>882</v>
      </c>
      <c r="D1030" t="s">
        <v>25</v>
      </c>
      <c r="E1030" t="s">
        <v>886</v>
      </c>
      <c r="F1030" t="s">
        <v>545</v>
      </c>
      <c r="G1030" t="s">
        <v>243</v>
      </c>
      <c r="H1030" t="s">
        <v>242</v>
      </c>
      <c r="I1030" t="s">
        <v>820</v>
      </c>
      <c r="J1030">
        <v>2000</v>
      </c>
      <c r="K1030" t="b">
        <v>0</v>
      </c>
      <c r="X1030">
        <v>35.42</v>
      </c>
      <c r="AD1030">
        <v>35</v>
      </c>
      <c r="AG1030" t="s">
        <v>884</v>
      </c>
      <c r="AH1030" t="s">
        <v>885</v>
      </c>
    </row>
    <row r="1031" spans="1:34" x14ac:dyDescent="0.35">
      <c r="A1031" t="s">
        <v>880</v>
      </c>
      <c r="B1031" t="s">
        <v>881</v>
      </c>
      <c r="C1031" t="s">
        <v>882</v>
      </c>
      <c r="D1031" t="s">
        <v>0</v>
      </c>
      <c r="E1031" t="s">
        <v>887</v>
      </c>
      <c r="F1031" t="s">
        <v>545</v>
      </c>
      <c r="G1031" t="s">
        <v>401</v>
      </c>
      <c r="H1031" t="s">
        <v>400</v>
      </c>
      <c r="I1031" t="s">
        <v>820</v>
      </c>
      <c r="J1031">
        <v>2000</v>
      </c>
      <c r="K1031" t="b">
        <v>0</v>
      </c>
      <c r="X1031">
        <v>35.090000000000003</v>
      </c>
      <c r="AD1031">
        <v>35</v>
      </c>
      <c r="AG1031" t="s">
        <v>884</v>
      </c>
      <c r="AH1031" t="s">
        <v>885</v>
      </c>
    </row>
    <row r="1032" spans="1:34" x14ac:dyDescent="0.35">
      <c r="A1032" t="s">
        <v>880</v>
      </c>
      <c r="B1032" t="s">
        <v>881</v>
      </c>
      <c r="C1032" t="s">
        <v>882</v>
      </c>
      <c r="D1032" t="s">
        <v>0</v>
      </c>
      <c r="E1032" t="s">
        <v>887</v>
      </c>
      <c r="F1032" t="s">
        <v>545</v>
      </c>
      <c r="G1032" t="s">
        <v>497</v>
      </c>
      <c r="H1032" t="s">
        <v>496</v>
      </c>
      <c r="I1032" t="s">
        <v>820</v>
      </c>
      <c r="J1032">
        <v>2000</v>
      </c>
      <c r="K1032" t="b">
        <v>0</v>
      </c>
      <c r="X1032">
        <v>35.04</v>
      </c>
      <c r="AD1032">
        <v>35</v>
      </c>
      <c r="AG1032" t="s">
        <v>884</v>
      </c>
      <c r="AH1032" t="s">
        <v>885</v>
      </c>
    </row>
    <row r="1033" spans="1:34" x14ac:dyDescent="0.35">
      <c r="A1033" t="s">
        <v>880</v>
      </c>
      <c r="B1033" t="s">
        <v>881</v>
      </c>
      <c r="C1033" t="s">
        <v>882</v>
      </c>
      <c r="D1033" t="s">
        <v>25</v>
      </c>
      <c r="E1033" t="s">
        <v>886</v>
      </c>
      <c r="F1033" t="s">
        <v>545</v>
      </c>
      <c r="G1033" t="s">
        <v>48</v>
      </c>
      <c r="H1033" t="s">
        <v>47</v>
      </c>
      <c r="I1033" t="s">
        <v>820</v>
      </c>
      <c r="J1033">
        <v>2000</v>
      </c>
      <c r="K1033" t="b">
        <v>0</v>
      </c>
      <c r="X1033">
        <v>35.93</v>
      </c>
      <c r="AD1033">
        <v>36</v>
      </c>
      <c r="AG1033" t="s">
        <v>884</v>
      </c>
      <c r="AH1033" t="s">
        <v>885</v>
      </c>
    </row>
    <row r="1034" spans="1:34" x14ac:dyDescent="0.35">
      <c r="A1034" t="s">
        <v>880</v>
      </c>
      <c r="B1034" t="s">
        <v>881</v>
      </c>
      <c r="C1034" t="s">
        <v>882</v>
      </c>
      <c r="D1034" t="s">
        <v>25</v>
      </c>
      <c r="E1034" t="s">
        <v>886</v>
      </c>
      <c r="F1034" t="s">
        <v>545</v>
      </c>
      <c r="G1034" t="s">
        <v>431</v>
      </c>
      <c r="H1034" t="s">
        <v>430</v>
      </c>
      <c r="I1034" t="s">
        <v>820</v>
      </c>
      <c r="J1034">
        <v>2000</v>
      </c>
      <c r="K1034" t="b">
        <v>0</v>
      </c>
      <c r="X1034">
        <v>36.33</v>
      </c>
      <c r="AD1034">
        <v>36</v>
      </c>
      <c r="AG1034" t="s">
        <v>884</v>
      </c>
      <c r="AH1034" t="s">
        <v>885</v>
      </c>
    </row>
    <row r="1035" spans="1:34" x14ac:dyDescent="0.35">
      <c r="A1035" t="s">
        <v>880</v>
      </c>
      <c r="B1035" t="s">
        <v>881</v>
      </c>
      <c r="C1035" t="s">
        <v>882</v>
      </c>
      <c r="D1035" t="s">
        <v>4</v>
      </c>
      <c r="E1035" t="s">
        <v>883</v>
      </c>
      <c r="F1035" t="s">
        <v>545</v>
      </c>
      <c r="G1035" t="s">
        <v>117</v>
      </c>
      <c r="H1035" t="s">
        <v>116</v>
      </c>
      <c r="I1035" t="s">
        <v>820</v>
      </c>
      <c r="J1035">
        <v>2000</v>
      </c>
      <c r="K1035" t="b">
        <v>0</v>
      </c>
      <c r="X1035">
        <v>36.619999999999997</v>
      </c>
      <c r="AD1035">
        <v>37</v>
      </c>
      <c r="AG1035" t="s">
        <v>884</v>
      </c>
      <c r="AH1035" t="s">
        <v>885</v>
      </c>
    </row>
    <row r="1036" spans="1:34" x14ac:dyDescent="0.35">
      <c r="A1036" t="s">
        <v>880</v>
      </c>
      <c r="B1036" t="s">
        <v>881</v>
      </c>
      <c r="C1036" t="s">
        <v>882</v>
      </c>
      <c r="D1036" t="s">
        <v>1</v>
      </c>
      <c r="E1036" t="s">
        <v>889</v>
      </c>
      <c r="F1036" t="s">
        <v>545</v>
      </c>
      <c r="G1036" t="s">
        <v>125</v>
      </c>
      <c r="H1036" t="s">
        <v>124</v>
      </c>
      <c r="I1036" t="s">
        <v>820</v>
      </c>
      <c r="J1036">
        <v>2000</v>
      </c>
      <c r="K1036" t="b">
        <v>0</v>
      </c>
      <c r="X1036">
        <v>36.96</v>
      </c>
      <c r="AD1036">
        <v>37</v>
      </c>
      <c r="AG1036" t="s">
        <v>884</v>
      </c>
      <c r="AH1036" t="s">
        <v>885</v>
      </c>
    </row>
    <row r="1037" spans="1:34" x14ac:dyDescent="0.35">
      <c r="A1037" t="s">
        <v>880</v>
      </c>
      <c r="B1037" t="s">
        <v>881</v>
      </c>
      <c r="C1037" t="s">
        <v>882</v>
      </c>
      <c r="D1037" t="s">
        <v>0</v>
      </c>
      <c r="E1037" t="s">
        <v>887</v>
      </c>
      <c r="F1037" t="s">
        <v>545</v>
      </c>
      <c r="G1037" t="s">
        <v>527</v>
      </c>
      <c r="H1037" t="s">
        <v>526</v>
      </c>
      <c r="I1037" t="s">
        <v>820</v>
      </c>
      <c r="J1037">
        <v>2000</v>
      </c>
      <c r="K1037" t="b">
        <v>0</v>
      </c>
      <c r="X1037">
        <v>37.35</v>
      </c>
      <c r="AD1037">
        <v>37</v>
      </c>
      <c r="AG1037" t="s">
        <v>884</v>
      </c>
      <c r="AH1037" t="s">
        <v>885</v>
      </c>
    </row>
    <row r="1038" spans="1:34" x14ac:dyDescent="0.35">
      <c r="A1038" t="s">
        <v>880</v>
      </c>
      <c r="B1038" t="s">
        <v>881</v>
      </c>
      <c r="C1038" t="s">
        <v>882</v>
      </c>
      <c r="D1038" t="s">
        <v>25</v>
      </c>
      <c r="E1038" t="s">
        <v>886</v>
      </c>
      <c r="F1038" t="s">
        <v>545</v>
      </c>
      <c r="G1038" t="s">
        <v>374</v>
      </c>
      <c r="H1038" t="s">
        <v>373</v>
      </c>
      <c r="I1038" t="s">
        <v>820</v>
      </c>
      <c r="J1038">
        <v>2000</v>
      </c>
      <c r="K1038" t="b">
        <v>0</v>
      </c>
      <c r="X1038">
        <v>38.22</v>
      </c>
      <c r="AD1038">
        <v>38</v>
      </c>
      <c r="AG1038" t="s">
        <v>884</v>
      </c>
      <c r="AH1038" t="s">
        <v>885</v>
      </c>
    </row>
    <row r="1039" spans="1:34" x14ac:dyDescent="0.35">
      <c r="A1039" t="s">
        <v>880</v>
      </c>
      <c r="B1039" t="s">
        <v>881</v>
      </c>
      <c r="C1039" t="s">
        <v>882</v>
      </c>
      <c r="D1039" t="s">
        <v>20</v>
      </c>
      <c r="E1039" t="s">
        <v>789</v>
      </c>
      <c r="F1039" t="s">
        <v>545</v>
      </c>
      <c r="G1039" t="s">
        <v>331</v>
      </c>
      <c r="H1039" t="s">
        <v>330</v>
      </c>
      <c r="I1039" t="s">
        <v>820</v>
      </c>
      <c r="J1039">
        <v>2000</v>
      </c>
      <c r="K1039" t="b">
        <v>0</v>
      </c>
      <c r="X1039">
        <v>38.700000000000003</v>
      </c>
      <c r="AD1039">
        <v>39</v>
      </c>
      <c r="AG1039" t="s">
        <v>884</v>
      </c>
      <c r="AH1039" t="s">
        <v>885</v>
      </c>
    </row>
    <row r="1040" spans="1:34" x14ac:dyDescent="0.35">
      <c r="A1040" t="s">
        <v>880</v>
      </c>
      <c r="B1040" t="s">
        <v>881</v>
      </c>
      <c r="C1040" t="s">
        <v>882</v>
      </c>
      <c r="D1040" t="s">
        <v>43</v>
      </c>
      <c r="E1040" t="s">
        <v>890</v>
      </c>
      <c r="F1040" t="s">
        <v>545</v>
      </c>
      <c r="G1040" t="s">
        <v>138</v>
      </c>
      <c r="H1040" t="s">
        <v>137</v>
      </c>
      <c r="I1040" t="s">
        <v>820</v>
      </c>
      <c r="J1040">
        <v>2000</v>
      </c>
      <c r="K1040" t="b">
        <v>0</v>
      </c>
      <c r="X1040">
        <v>39.54</v>
      </c>
      <c r="AD1040">
        <v>40</v>
      </c>
      <c r="AG1040" t="s">
        <v>884</v>
      </c>
      <c r="AH1040" t="s">
        <v>885</v>
      </c>
    </row>
    <row r="1041" spans="1:34" x14ac:dyDescent="0.35">
      <c r="A1041" t="s">
        <v>880</v>
      </c>
      <c r="B1041" t="s">
        <v>881</v>
      </c>
      <c r="C1041" t="s">
        <v>882</v>
      </c>
      <c r="D1041" t="s">
        <v>1</v>
      </c>
      <c r="E1041" t="s">
        <v>889</v>
      </c>
      <c r="F1041" t="s">
        <v>545</v>
      </c>
      <c r="G1041" t="s">
        <v>398</v>
      </c>
      <c r="H1041" t="s">
        <v>397</v>
      </c>
      <c r="I1041" t="s">
        <v>820</v>
      </c>
      <c r="J1041">
        <v>2000</v>
      </c>
      <c r="K1041" t="b">
        <v>0</v>
      </c>
      <c r="X1041">
        <v>40.47</v>
      </c>
      <c r="AD1041">
        <v>40</v>
      </c>
      <c r="AG1041" t="s">
        <v>884</v>
      </c>
      <c r="AH1041" t="s">
        <v>885</v>
      </c>
    </row>
    <row r="1042" spans="1:34" x14ac:dyDescent="0.35">
      <c r="A1042" t="s">
        <v>880</v>
      </c>
      <c r="B1042" t="s">
        <v>881</v>
      </c>
      <c r="C1042" t="s">
        <v>882</v>
      </c>
      <c r="D1042" t="s">
        <v>0</v>
      </c>
      <c r="E1042" t="s">
        <v>887</v>
      </c>
      <c r="F1042" t="s">
        <v>545</v>
      </c>
      <c r="G1042" t="s">
        <v>470</v>
      </c>
      <c r="H1042" t="s">
        <v>469</v>
      </c>
      <c r="I1042" t="s">
        <v>820</v>
      </c>
      <c r="J1042">
        <v>2000</v>
      </c>
      <c r="K1042" t="b">
        <v>0</v>
      </c>
      <c r="X1042">
        <v>39.71</v>
      </c>
      <c r="AD1042">
        <v>40</v>
      </c>
      <c r="AG1042" t="s">
        <v>884</v>
      </c>
      <c r="AH1042" t="s">
        <v>885</v>
      </c>
    </row>
    <row r="1043" spans="1:34" x14ac:dyDescent="0.35">
      <c r="A1043" t="s">
        <v>880</v>
      </c>
      <c r="B1043" t="s">
        <v>881</v>
      </c>
      <c r="C1043" t="s">
        <v>882</v>
      </c>
      <c r="D1043" t="s">
        <v>0</v>
      </c>
      <c r="E1043" t="s">
        <v>887</v>
      </c>
      <c r="F1043" t="s">
        <v>545</v>
      </c>
      <c r="G1043" t="s">
        <v>495</v>
      </c>
      <c r="H1043" t="s">
        <v>494</v>
      </c>
      <c r="I1043" t="s">
        <v>820</v>
      </c>
      <c r="J1043">
        <v>2000</v>
      </c>
      <c r="K1043" t="b">
        <v>0</v>
      </c>
      <c r="X1043">
        <v>39.520000000000003</v>
      </c>
      <c r="AD1043">
        <v>40</v>
      </c>
      <c r="AG1043" t="s">
        <v>884</v>
      </c>
      <c r="AH1043" t="s">
        <v>885</v>
      </c>
    </row>
    <row r="1044" spans="1:34" x14ac:dyDescent="0.35">
      <c r="A1044" t="s">
        <v>880</v>
      </c>
      <c r="B1044" t="s">
        <v>881</v>
      </c>
      <c r="C1044" t="s">
        <v>882</v>
      </c>
      <c r="D1044" t="s">
        <v>1</v>
      </c>
      <c r="E1044" t="s">
        <v>889</v>
      </c>
      <c r="F1044" t="s">
        <v>545</v>
      </c>
      <c r="G1044" t="s">
        <v>14</v>
      </c>
      <c r="H1044" t="s">
        <v>13</v>
      </c>
      <c r="I1044" t="s">
        <v>820</v>
      </c>
      <c r="J1044">
        <v>2000</v>
      </c>
      <c r="K1044" t="b">
        <v>0</v>
      </c>
      <c r="X1044">
        <v>40.72</v>
      </c>
      <c r="AD1044">
        <v>41</v>
      </c>
      <c r="AG1044" t="s">
        <v>884</v>
      </c>
      <c r="AH1044" t="s">
        <v>885</v>
      </c>
    </row>
    <row r="1045" spans="1:34" x14ac:dyDescent="0.35">
      <c r="A1045" t="s">
        <v>880</v>
      </c>
      <c r="B1045" t="s">
        <v>881</v>
      </c>
      <c r="C1045" t="s">
        <v>882</v>
      </c>
      <c r="D1045" t="s">
        <v>1</v>
      </c>
      <c r="E1045" t="s">
        <v>889</v>
      </c>
      <c r="F1045" t="s">
        <v>545</v>
      </c>
      <c r="G1045" t="s">
        <v>34</v>
      </c>
      <c r="H1045" t="s">
        <v>33</v>
      </c>
      <c r="I1045" t="s">
        <v>820</v>
      </c>
      <c r="J1045">
        <v>2000</v>
      </c>
      <c r="K1045" t="b">
        <v>0</v>
      </c>
      <c r="X1045">
        <v>40.65</v>
      </c>
      <c r="AD1045">
        <v>41</v>
      </c>
      <c r="AG1045" t="s">
        <v>884</v>
      </c>
      <c r="AH1045" t="s">
        <v>885</v>
      </c>
    </row>
    <row r="1046" spans="1:34" x14ac:dyDescent="0.35">
      <c r="A1046" t="s">
        <v>880</v>
      </c>
      <c r="B1046" t="s">
        <v>881</v>
      </c>
      <c r="C1046" t="s">
        <v>882</v>
      </c>
      <c r="D1046" t="s">
        <v>1</v>
      </c>
      <c r="E1046" t="s">
        <v>889</v>
      </c>
      <c r="F1046" t="s">
        <v>545</v>
      </c>
      <c r="G1046" t="s">
        <v>96</v>
      </c>
      <c r="H1046" t="s">
        <v>95</v>
      </c>
      <c r="I1046" t="s">
        <v>820</v>
      </c>
      <c r="J1046">
        <v>2000</v>
      </c>
      <c r="K1046" t="b">
        <v>0</v>
      </c>
      <c r="X1046">
        <v>40.85</v>
      </c>
      <c r="AD1046">
        <v>41</v>
      </c>
      <c r="AG1046" t="s">
        <v>884</v>
      </c>
      <c r="AH1046" t="s">
        <v>885</v>
      </c>
    </row>
    <row r="1047" spans="1:34" x14ac:dyDescent="0.35">
      <c r="A1047" t="s">
        <v>880</v>
      </c>
      <c r="B1047" t="s">
        <v>881</v>
      </c>
      <c r="C1047" t="s">
        <v>882</v>
      </c>
      <c r="D1047" t="s">
        <v>0</v>
      </c>
      <c r="E1047" t="s">
        <v>887</v>
      </c>
      <c r="F1047" t="s">
        <v>545</v>
      </c>
      <c r="G1047" t="s">
        <v>80</v>
      </c>
      <c r="H1047" t="s">
        <v>79</v>
      </c>
      <c r="I1047" t="s">
        <v>820</v>
      </c>
      <c r="J1047">
        <v>2000</v>
      </c>
      <c r="K1047" t="b">
        <v>0</v>
      </c>
      <c r="X1047">
        <v>40.53</v>
      </c>
      <c r="AD1047">
        <v>41</v>
      </c>
      <c r="AG1047" t="s">
        <v>884</v>
      </c>
      <c r="AH1047" t="s">
        <v>885</v>
      </c>
    </row>
    <row r="1048" spans="1:34" x14ac:dyDescent="0.35">
      <c r="A1048" t="s">
        <v>880</v>
      </c>
      <c r="B1048" t="s">
        <v>881</v>
      </c>
      <c r="C1048" t="s">
        <v>882</v>
      </c>
      <c r="D1048" t="s">
        <v>0</v>
      </c>
      <c r="E1048" t="s">
        <v>887</v>
      </c>
      <c r="F1048" t="s">
        <v>545</v>
      </c>
      <c r="G1048" t="s">
        <v>383</v>
      </c>
      <c r="H1048" t="s">
        <v>382</v>
      </c>
      <c r="I1048" t="s">
        <v>820</v>
      </c>
      <c r="J1048">
        <v>2000</v>
      </c>
      <c r="K1048" t="b">
        <v>0</v>
      </c>
      <c r="X1048">
        <v>40.57</v>
      </c>
      <c r="AD1048">
        <v>41</v>
      </c>
      <c r="AG1048" t="s">
        <v>884</v>
      </c>
      <c r="AH1048" t="s">
        <v>885</v>
      </c>
    </row>
    <row r="1049" spans="1:34" x14ac:dyDescent="0.35">
      <c r="A1049" t="s">
        <v>880</v>
      </c>
      <c r="B1049" t="s">
        <v>881</v>
      </c>
      <c r="C1049" t="s">
        <v>882</v>
      </c>
      <c r="D1049" t="s">
        <v>1</v>
      </c>
      <c r="E1049" t="s">
        <v>889</v>
      </c>
      <c r="F1049" t="s">
        <v>545</v>
      </c>
      <c r="G1049" t="s">
        <v>437</v>
      </c>
      <c r="H1049" t="s">
        <v>436</v>
      </c>
      <c r="I1049" t="s">
        <v>820</v>
      </c>
      <c r="J1049">
        <v>2000</v>
      </c>
      <c r="K1049" t="b">
        <v>0</v>
      </c>
      <c r="X1049">
        <v>40.81</v>
      </c>
      <c r="AD1049">
        <v>41</v>
      </c>
      <c r="AG1049" t="s">
        <v>884</v>
      </c>
      <c r="AH1049" t="s">
        <v>885</v>
      </c>
    </row>
    <row r="1050" spans="1:34" x14ac:dyDescent="0.35">
      <c r="A1050" t="s">
        <v>880</v>
      </c>
      <c r="B1050" t="s">
        <v>881</v>
      </c>
      <c r="C1050" t="s">
        <v>882</v>
      </c>
      <c r="D1050" t="s">
        <v>20</v>
      </c>
      <c r="E1050" t="s">
        <v>789</v>
      </c>
      <c r="F1050" t="s">
        <v>545</v>
      </c>
      <c r="G1050" t="s">
        <v>440</v>
      </c>
      <c r="H1050" t="s">
        <v>439</v>
      </c>
      <c r="I1050" t="s">
        <v>820</v>
      </c>
      <c r="J1050">
        <v>2000</v>
      </c>
      <c r="K1050" t="b">
        <v>0</v>
      </c>
      <c r="X1050">
        <v>41.17</v>
      </c>
      <c r="AD1050">
        <v>41</v>
      </c>
      <c r="AG1050" t="s">
        <v>884</v>
      </c>
      <c r="AH1050" t="s">
        <v>885</v>
      </c>
    </row>
    <row r="1051" spans="1:34" x14ac:dyDescent="0.35">
      <c r="A1051" t="s">
        <v>880</v>
      </c>
      <c r="B1051" t="s">
        <v>881</v>
      </c>
      <c r="C1051" t="s">
        <v>882</v>
      </c>
      <c r="D1051" t="s">
        <v>43</v>
      </c>
      <c r="E1051" t="s">
        <v>890</v>
      </c>
      <c r="F1051" t="s">
        <v>545</v>
      </c>
      <c r="G1051" t="s">
        <v>168</v>
      </c>
      <c r="H1051" t="s">
        <v>167</v>
      </c>
      <c r="I1051" t="s">
        <v>820</v>
      </c>
      <c r="J1051">
        <v>2000</v>
      </c>
      <c r="K1051" t="b">
        <v>0</v>
      </c>
      <c r="X1051">
        <v>41.25</v>
      </c>
      <c r="AD1051">
        <v>41</v>
      </c>
      <c r="AG1051" t="s">
        <v>884</v>
      </c>
      <c r="AH1051" t="s">
        <v>885</v>
      </c>
    </row>
    <row r="1052" spans="1:34" x14ac:dyDescent="0.35">
      <c r="A1052" t="s">
        <v>880</v>
      </c>
      <c r="B1052" t="s">
        <v>881</v>
      </c>
      <c r="C1052" t="s">
        <v>882</v>
      </c>
      <c r="D1052" t="s">
        <v>4</v>
      </c>
      <c r="E1052" t="s">
        <v>883</v>
      </c>
      <c r="F1052" t="s">
        <v>545</v>
      </c>
      <c r="G1052" t="s">
        <v>7</v>
      </c>
      <c r="H1052" t="s">
        <v>6</v>
      </c>
      <c r="I1052" t="s">
        <v>820</v>
      </c>
      <c r="J1052">
        <v>2000</v>
      </c>
      <c r="K1052" t="b">
        <v>0</v>
      </c>
      <c r="X1052">
        <v>41.78</v>
      </c>
      <c r="AD1052">
        <v>42</v>
      </c>
      <c r="AG1052" t="s">
        <v>884</v>
      </c>
      <c r="AH1052" t="s">
        <v>885</v>
      </c>
    </row>
    <row r="1053" spans="1:34" x14ac:dyDescent="0.35">
      <c r="A1053" t="s">
        <v>880</v>
      </c>
      <c r="B1053" t="s">
        <v>881</v>
      </c>
      <c r="C1053" t="s">
        <v>882</v>
      </c>
      <c r="D1053" t="s">
        <v>1</v>
      </c>
      <c r="E1053" t="s">
        <v>889</v>
      </c>
      <c r="F1053" t="s">
        <v>545</v>
      </c>
      <c r="G1053" t="s">
        <v>313</v>
      </c>
      <c r="H1053" t="s">
        <v>312</v>
      </c>
      <c r="I1053" t="s">
        <v>820</v>
      </c>
      <c r="J1053">
        <v>2000</v>
      </c>
      <c r="K1053" t="b">
        <v>0</v>
      </c>
      <c r="X1053">
        <v>41.95</v>
      </c>
      <c r="AD1053">
        <v>42</v>
      </c>
      <c r="AG1053" t="s">
        <v>884</v>
      </c>
      <c r="AH1053" t="s">
        <v>885</v>
      </c>
    </row>
    <row r="1054" spans="1:34" x14ac:dyDescent="0.35">
      <c r="A1054" t="s">
        <v>880</v>
      </c>
      <c r="B1054" t="s">
        <v>881</v>
      </c>
      <c r="C1054" t="s">
        <v>882</v>
      </c>
      <c r="D1054" t="s">
        <v>0</v>
      </c>
      <c r="E1054" t="s">
        <v>887</v>
      </c>
      <c r="F1054" t="s">
        <v>545</v>
      </c>
      <c r="G1054" t="s">
        <v>210</v>
      </c>
      <c r="H1054" t="s">
        <v>209</v>
      </c>
      <c r="I1054" t="s">
        <v>820</v>
      </c>
      <c r="J1054">
        <v>2000</v>
      </c>
      <c r="K1054" t="b">
        <v>0</v>
      </c>
      <c r="X1054">
        <v>42.37</v>
      </c>
      <c r="AD1054">
        <v>42</v>
      </c>
      <c r="AG1054" t="s">
        <v>884</v>
      </c>
      <c r="AH1054" t="s">
        <v>885</v>
      </c>
    </row>
    <row r="1055" spans="1:34" x14ac:dyDescent="0.35">
      <c r="A1055" t="s">
        <v>880</v>
      </c>
      <c r="B1055" t="s">
        <v>881</v>
      </c>
      <c r="C1055" t="s">
        <v>882</v>
      </c>
      <c r="D1055" t="s">
        <v>1</v>
      </c>
      <c r="E1055" t="s">
        <v>889</v>
      </c>
      <c r="F1055" t="s">
        <v>545</v>
      </c>
      <c r="G1055" t="s">
        <v>485</v>
      </c>
      <c r="H1055" t="s">
        <v>484</v>
      </c>
      <c r="I1055" t="s">
        <v>820</v>
      </c>
      <c r="J1055">
        <v>2000</v>
      </c>
      <c r="K1055" t="b">
        <v>0</v>
      </c>
      <c r="X1055">
        <v>42.23</v>
      </c>
      <c r="AD1055">
        <v>42</v>
      </c>
      <c r="AG1055" t="s">
        <v>884</v>
      </c>
      <c r="AH1055" t="s">
        <v>885</v>
      </c>
    </row>
    <row r="1056" spans="1:34" x14ac:dyDescent="0.35">
      <c r="A1056" t="s">
        <v>880</v>
      </c>
      <c r="B1056" t="s">
        <v>881</v>
      </c>
      <c r="C1056" t="s">
        <v>882</v>
      </c>
      <c r="D1056" t="s">
        <v>1</v>
      </c>
      <c r="E1056" t="s">
        <v>889</v>
      </c>
      <c r="F1056" t="s">
        <v>545</v>
      </c>
      <c r="G1056" t="s">
        <v>487</v>
      </c>
      <c r="H1056" t="s">
        <v>486</v>
      </c>
      <c r="I1056" t="s">
        <v>820</v>
      </c>
      <c r="J1056">
        <v>2000</v>
      </c>
      <c r="K1056" t="b">
        <v>0</v>
      </c>
      <c r="X1056">
        <v>42.06</v>
      </c>
      <c r="AD1056">
        <v>42</v>
      </c>
      <c r="AG1056" t="s">
        <v>884</v>
      </c>
      <c r="AH1056" t="s">
        <v>885</v>
      </c>
    </row>
    <row r="1057" spans="1:34" x14ac:dyDescent="0.35">
      <c r="A1057" t="s">
        <v>880</v>
      </c>
      <c r="B1057" t="s">
        <v>881</v>
      </c>
      <c r="C1057" t="s">
        <v>882</v>
      </c>
      <c r="D1057" t="s">
        <v>1</v>
      </c>
      <c r="E1057" t="s">
        <v>889</v>
      </c>
      <c r="F1057" t="s">
        <v>545</v>
      </c>
      <c r="G1057" t="s">
        <v>489</v>
      </c>
      <c r="H1057" t="s">
        <v>488</v>
      </c>
      <c r="I1057" t="s">
        <v>820</v>
      </c>
      <c r="J1057">
        <v>2000</v>
      </c>
      <c r="K1057" t="b">
        <v>0</v>
      </c>
      <c r="X1057">
        <v>41.71</v>
      </c>
      <c r="AD1057">
        <v>42</v>
      </c>
      <c r="AG1057" t="s">
        <v>884</v>
      </c>
      <c r="AH1057" t="s">
        <v>885</v>
      </c>
    </row>
    <row r="1058" spans="1:34" x14ac:dyDescent="0.35">
      <c r="A1058" t="s">
        <v>880</v>
      </c>
      <c r="B1058" t="s">
        <v>881</v>
      </c>
      <c r="C1058" t="s">
        <v>882</v>
      </c>
      <c r="D1058" t="s">
        <v>1</v>
      </c>
      <c r="E1058" t="s">
        <v>889</v>
      </c>
      <c r="F1058" t="s">
        <v>545</v>
      </c>
      <c r="G1058" t="s">
        <v>3</v>
      </c>
      <c r="H1058" t="s">
        <v>2</v>
      </c>
      <c r="I1058" t="s">
        <v>820</v>
      </c>
      <c r="J1058">
        <v>2000</v>
      </c>
      <c r="K1058" t="b">
        <v>0</v>
      </c>
      <c r="X1058">
        <v>43.47</v>
      </c>
      <c r="AD1058">
        <v>43</v>
      </c>
      <c r="AG1058" t="s">
        <v>884</v>
      </c>
      <c r="AH1058" t="s">
        <v>885</v>
      </c>
    </row>
    <row r="1059" spans="1:34" x14ac:dyDescent="0.35">
      <c r="A1059" t="s">
        <v>880</v>
      </c>
      <c r="B1059" t="s">
        <v>881</v>
      </c>
      <c r="C1059" t="s">
        <v>882</v>
      </c>
      <c r="D1059" t="s">
        <v>1</v>
      </c>
      <c r="E1059" t="s">
        <v>889</v>
      </c>
      <c r="F1059" t="s">
        <v>545</v>
      </c>
      <c r="G1059" t="s">
        <v>199</v>
      </c>
      <c r="H1059" t="s">
        <v>198</v>
      </c>
      <c r="I1059" t="s">
        <v>820</v>
      </c>
      <c r="J1059">
        <v>2000</v>
      </c>
      <c r="K1059" t="b">
        <v>0</v>
      </c>
      <c r="X1059">
        <v>43.01</v>
      </c>
      <c r="AD1059">
        <v>43</v>
      </c>
      <c r="AG1059" t="s">
        <v>884</v>
      </c>
      <c r="AH1059" t="s">
        <v>885</v>
      </c>
    </row>
    <row r="1060" spans="1:34" x14ac:dyDescent="0.35">
      <c r="A1060" t="s">
        <v>880</v>
      </c>
      <c r="B1060" t="s">
        <v>881</v>
      </c>
      <c r="C1060" t="s">
        <v>882</v>
      </c>
      <c r="D1060" t="s">
        <v>20</v>
      </c>
      <c r="E1060" t="s">
        <v>789</v>
      </c>
      <c r="F1060" t="s">
        <v>545</v>
      </c>
      <c r="G1060" t="s">
        <v>22</v>
      </c>
      <c r="H1060" t="s">
        <v>21</v>
      </c>
      <c r="I1060" t="s">
        <v>820</v>
      </c>
      <c r="J1060">
        <v>2000</v>
      </c>
      <c r="K1060" t="b">
        <v>0</v>
      </c>
      <c r="X1060">
        <v>43.2</v>
      </c>
      <c r="AD1060">
        <v>43</v>
      </c>
      <c r="AG1060" t="s">
        <v>884</v>
      </c>
      <c r="AH1060" t="s">
        <v>885</v>
      </c>
    </row>
    <row r="1061" spans="1:34" x14ac:dyDescent="0.35">
      <c r="A1061" t="s">
        <v>880</v>
      </c>
      <c r="B1061" t="s">
        <v>881</v>
      </c>
      <c r="C1061" t="s">
        <v>882</v>
      </c>
      <c r="D1061" t="s">
        <v>43</v>
      </c>
      <c r="E1061" t="s">
        <v>890</v>
      </c>
      <c r="F1061" t="s">
        <v>545</v>
      </c>
      <c r="G1061" t="s">
        <v>45</v>
      </c>
      <c r="H1061" t="s">
        <v>44</v>
      </c>
      <c r="I1061" t="s">
        <v>820</v>
      </c>
      <c r="J1061">
        <v>2000</v>
      </c>
      <c r="K1061" t="b">
        <v>0</v>
      </c>
      <c r="X1061">
        <v>43.36</v>
      </c>
      <c r="AD1061">
        <v>43</v>
      </c>
      <c r="AG1061" t="s">
        <v>884</v>
      </c>
      <c r="AH1061" t="s">
        <v>885</v>
      </c>
    </row>
    <row r="1062" spans="1:34" x14ac:dyDescent="0.35">
      <c r="A1062" t="s">
        <v>880</v>
      </c>
      <c r="B1062" t="s">
        <v>881</v>
      </c>
      <c r="C1062" t="s">
        <v>882</v>
      </c>
      <c r="D1062" t="s">
        <v>4</v>
      </c>
      <c r="E1062" t="s">
        <v>883</v>
      </c>
      <c r="F1062" t="s">
        <v>545</v>
      </c>
      <c r="G1062" t="s">
        <v>325</v>
      </c>
      <c r="H1062" t="s">
        <v>324</v>
      </c>
      <c r="I1062" t="s">
        <v>820</v>
      </c>
      <c r="J1062">
        <v>2000</v>
      </c>
      <c r="K1062" t="b">
        <v>0</v>
      </c>
      <c r="X1062">
        <v>42.92</v>
      </c>
      <c r="AD1062">
        <v>43</v>
      </c>
      <c r="AG1062" t="s">
        <v>884</v>
      </c>
      <c r="AH1062" t="s">
        <v>885</v>
      </c>
    </row>
    <row r="1063" spans="1:34" x14ac:dyDescent="0.35">
      <c r="A1063" t="s">
        <v>880</v>
      </c>
      <c r="B1063" t="s">
        <v>881</v>
      </c>
      <c r="C1063" t="s">
        <v>882</v>
      </c>
      <c r="D1063" t="s">
        <v>25</v>
      </c>
      <c r="E1063" t="s">
        <v>886</v>
      </c>
      <c r="F1063" t="s">
        <v>545</v>
      </c>
      <c r="G1063" t="s">
        <v>366</v>
      </c>
      <c r="H1063" t="s">
        <v>365</v>
      </c>
      <c r="I1063" t="s">
        <v>820</v>
      </c>
      <c r="J1063">
        <v>2000</v>
      </c>
      <c r="K1063" t="b">
        <v>0</v>
      </c>
      <c r="X1063">
        <v>42.59</v>
      </c>
      <c r="AD1063">
        <v>43</v>
      </c>
      <c r="AG1063" t="s">
        <v>884</v>
      </c>
      <c r="AH1063" t="s">
        <v>885</v>
      </c>
    </row>
    <row r="1064" spans="1:34" x14ac:dyDescent="0.35">
      <c r="A1064" t="s">
        <v>880</v>
      </c>
      <c r="B1064" t="s">
        <v>881</v>
      </c>
      <c r="C1064" t="s">
        <v>882</v>
      </c>
      <c r="D1064" t="s">
        <v>1</v>
      </c>
      <c r="E1064" t="s">
        <v>889</v>
      </c>
      <c r="F1064" t="s">
        <v>545</v>
      </c>
      <c r="G1064" t="s">
        <v>395</v>
      </c>
      <c r="H1064" t="s">
        <v>394</v>
      </c>
      <c r="I1064" t="s">
        <v>820</v>
      </c>
      <c r="J1064">
        <v>2000</v>
      </c>
      <c r="K1064" t="b">
        <v>0</v>
      </c>
      <c r="X1064">
        <v>43.44</v>
      </c>
      <c r="AD1064">
        <v>43</v>
      </c>
      <c r="AG1064" t="s">
        <v>884</v>
      </c>
      <c r="AH1064" t="s">
        <v>885</v>
      </c>
    </row>
    <row r="1065" spans="1:34" x14ac:dyDescent="0.35">
      <c r="A1065" t="s">
        <v>880</v>
      </c>
      <c r="B1065" t="s">
        <v>881</v>
      </c>
      <c r="C1065" t="s">
        <v>882</v>
      </c>
      <c r="D1065" t="s">
        <v>0</v>
      </c>
      <c r="E1065" t="s">
        <v>887</v>
      </c>
      <c r="F1065" t="s">
        <v>545</v>
      </c>
      <c r="G1065" t="s">
        <v>110</v>
      </c>
      <c r="H1065" t="s">
        <v>109</v>
      </c>
      <c r="I1065" t="s">
        <v>820</v>
      </c>
      <c r="J1065">
        <v>2000</v>
      </c>
      <c r="K1065" t="b">
        <v>0</v>
      </c>
      <c r="X1065">
        <v>42.78</v>
      </c>
      <c r="AD1065">
        <v>43</v>
      </c>
      <c r="AG1065" t="s">
        <v>884</v>
      </c>
      <c r="AH1065" t="s">
        <v>885</v>
      </c>
    </row>
    <row r="1066" spans="1:34" x14ac:dyDescent="0.35">
      <c r="A1066" t="s">
        <v>880</v>
      </c>
      <c r="B1066" t="s">
        <v>881</v>
      </c>
      <c r="C1066" t="s">
        <v>882</v>
      </c>
      <c r="D1066" t="s">
        <v>1</v>
      </c>
      <c r="E1066" t="s">
        <v>889</v>
      </c>
      <c r="F1066" t="s">
        <v>545</v>
      </c>
      <c r="G1066" t="s">
        <v>455</v>
      </c>
      <c r="H1066" t="s">
        <v>454</v>
      </c>
      <c r="I1066" t="s">
        <v>820</v>
      </c>
      <c r="J1066">
        <v>2000</v>
      </c>
      <c r="K1066" t="b">
        <v>0</v>
      </c>
      <c r="X1066">
        <v>43.45</v>
      </c>
      <c r="AD1066">
        <v>43</v>
      </c>
      <c r="AG1066" t="s">
        <v>884</v>
      </c>
      <c r="AH1066" t="s">
        <v>885</v>
      </c>
    </row>
    <row r="1067" spans="1:34" x14ac:dyDescent="0.35">
      <c r="A1067" t="s">
        <v>880</v>
      </c>
      <c r="B1067" t="s">
        <v>881</v>
      </c>
      <c r="C1067" t="s">
        <v>882</v>
      </c>
      <c r="D1067" t="s">
        <v>20</v>
      </c>
      <c r="E1067" t="s">
        <v>789</v>
      </c>
      <c r="F1067" t="s">
        <v>545</v>
      </c>
      <c r="G1067" t="s">
        <v>225</v>
      </c>
      <c r="H1067" t="s">
        <v>224</v>
      </c>
      <c r="I1067" t="s">
        <v>820</v>
      </c>
      <c r="J1067">
        <v>2000</v>
      </c>
      <c r="K1067" t="b">
        <v>0</v>
      </c>
      <c r="X1067">
        <v>44.21</v>
      </c>
      <c r="AD1067">
        <v>44</v>
      </c>
      <c r="AG1067" t="s">
        <v>884</v>
      </c>
      <c r="AH1067" t="s">
        <v>885</v>
      </c>
    </row>
    <row r="1068" spans="1:34" x14ac:dyDescent="0.35">
      <c r="A1068" t="s">
        <v>880</v>
      </c>
      <c r="B1068" t="s">
        <v>881</v>
      </c>
      <c r="C1068" t="s">
        <v>882</v>
      </c>
      <c r="D1068" t="s">
        <v>1</v>
      </c>
      <c r="E1068" t="s">
        <v>889</v>
      </c>
      <c r="F1068" t="s">
        <v>545</v>
      </c>
      <c r="G1068" t="s">
        <v>298</v>
      </c>
      <c r="H1068" t="s">
        <v>297</v>
      </c>
      <c r="I1068" t="s">
        <v>820</v>
      </c>
      <c r="J1068">
        <v>2000</v>
      </c>
      <c r="K1068" t="b">
        <v>0</v>
      </c>
      <c r="X1068">
        <v>43.58</v>
      </c>
      <c r="AD1068">
        <v>44</v>
      </c>
      <c r="AG1068" t="s">
        <v>884</v>
      </c>
      <c r="AH1068" t="s">
        <v>885</v>
      </c>
    </row>
    <row r="1069" spans="1:34" x14ac:dyDescent="0.35">
      <c r="A1069" t="s">
        <v>880</v>
      </c>
      <c r="B1069" t="s">
        <v>881</v>
      </c>
      <c r="C1069" t="s">
        <v>882</v>
      </c>
      <c r="D1069" t="s">
        <v>0</v>
      </c>
      <c r="E1069" t="s">
        <v>887</v>
      </c>
      <c r="F1069" t="s">
        <v>545</v>
      </c>
      <c r="G1069" t="s">
        <v>183</v>
      </c>
      <c r="H1069" t="s">
        <v>182</v>
      </c>
      <c r="I1069" t="s">
        <v>820</v>
      </c>
      <c r="J1069">
        <v>2000</v>
      </c>
      <c r="K1069" t="b">
        <v>0</v>
      </c>
      <c r="X1069">
        <v>44.46</v>
      </c>
      <c r="AD1069">
        <v>44</v>
      </c>
      <c r="AG1069" t="s">
        <v>884</v>
      </c>
      <c r="AH1069" t="s">
        <v>885</v>
      </c>
    </row>
    <row r="1070" spans="1:34" x14ac:dyDescent="0.35">
      <c r="A1070" t="s">
        <v>880</v>
      </c>
      <c r="B1070" t="s">
        <v>881</v>
      </c>
      <c r="C1070" t="s">
        <v>882</v>
      </c>
      <c r="D1070" t="s">
        <v>0</v>
      </c>
      <c r="E1070" t="s">
        <v>887</v>
      </c>
      <c r="F1070" t="s">
        <v>545</v>
      </c>
      <c r="G1070" t="s">
        <v>389</v>
      </c>
      <c r="H1070" t="s">
        <v>388</v>
      </c>
      <c r="I1070" t="s">
        <v>820</v>
      </c>
      <c r="J1070">
        <v>2000</v>
      </c>
      <c r="K1070" t="b">
        <v>0</v>
      </c>
      <c r="X1070">
        <v>43.62</v>
      </c>
      <c r="AD1070">
        <v>44</v>
      </c>
      <c r="AG1070" t="s">
        <v>884</v>
      </c>
      <c r="AH1070" t="s">
        <v>885</v>
      </c>
    </row>
    <row r="1071" spans="1:34" x14ac:dyDescent="0.35">
      <c r="A1071" t="s">
        <v>880</v>
      </c>
      <c r="B1071" t="s">
        <v>881</v>
      </c>
      <c r="C1071" t="s">
        <v>882</v>
      </c>
      <c r="D1071" t="s">
        <v>4</v>
      </c>
      <c r="E1071" t="s">
        <v>883</v>
      </c>
      <c r="F1071" t="s">
        <v>545</v>
      </c>
      <c r="G1071" t="s">
        <v>520</v>
      </c>
      <c r="H1071" t="s">
        <v>519</v>
      </c>
      <c r="I1071" t="s">
        <v>820</v>
      </c>
      <c r="J1071">
        <v>2000</v>
      </c>
      <c r="K1071" t="b">
        <v>0</v>
      </c>
      <c r="X1071">
        <v>44.45</v>
      </c>
      <c r="AD1071">
        <v>44</v>
      </c>
      <c r="AG1071" t="s">
        <v>884</v>
      </c>
      <c r="AH1071" t="s">
        <v>885</v>
      </c>
    </row>
    <row r="1072" spans="1:34" x14ac:dyDescent="0.35">
      <c r="A1072" t="s">
        <v>880</v>
      </c>
      <c r="B1072" t="s">
        <v>881</v>
      </c>
      <c r="C1072" t="s">
        <v>882</v>
      </c>
      <c r="D1072" t="s">
        <v>20</v>
      </c>
      <c r="E1072" t="s">
        <v>789</v>
      </c>
      <c r="F1072" t="s">
        <v>545</v>
      </c>
      <c r="G1072" t="s">
        <v>213</v>
      </c>
      <c r="H1072" t="s">
        <v>212</v>
      </c>
      <c r="I1072" t="s">
        <v>820</v>
      </c>
      <c r="J1072">
        <v>2000</v>
      </c>
      <c r="K1072" t="b">
        <v>0</v>
      </c>
      <c r="X1072">
        <v>45</v>
      </c>
      <c r="AD1072">
        <v>45</v>
      </c>
      <c r="AG1072" t="s">
        <v>884</v>
      </c>
      <c r="AH1072" t="s">
        <v>885</v>
      </c>
    </row>
    <row r="1073" spans="1:34" x14ac:dyDescent="0.35">
      <c r="A1073" t="s">
        <v>880</v>
      </c>
      <c r="B1073" t="s">
        <v>881</v>
      </c>
      <c r="C1073" t="s">
        <v>882</v>
      </c>
      <c r="D1073" t="s">
        <v>0</v>
      </c>
      <c r="E1073" t="s">
        <v>887</v>
      </c>
      <c r="F1073" t="s">
        <v>545</v>
      </c>
      <c r="G1073" t="s">
        <v>39</v>
      </c>
      <c r="H1073" t="s">
        <v>38</v>
      </c>
      <c r="I1073" t="s">
        <v>820</v>
      </c>
      <c r="J1073">
        <v>2000</v>
      </c>
      <c r="K1073" t="b">
        <v>0</v>
      </c>
      <c r="X1073">
        <v>45.49</v>
      </c>
      <c r="AD1073">
        <v>45</v>
      </c>
      <c r="AG1073" t="s">
        <v>884</v>
      </c>
      <c r="AH1073" t="s">
        <v>885</v>
      </c>
    </row>
    <row r="1074" spans="1:34" x14ac:dyDescent="0.35">
      <c r="A1074" t="s">
        <v>880</v>
      </c>
      <c r="B1074" t="s">
        <v>881</v>
      </c>
      <c r="C1074" t="s">
        <v>882</v>
      </c>
      <c r="D1074" t="s">
        <v>1</v>
      </c>
      <c r="E1074" t="s">
        <v>889</v>
      </c>
      <c r="F1074" t="s">
        <v>545</v>
      </c>
      <c r="G1074" t="s">
        <v>58</v>
      </c>
      <c r="H1074" t="s">
        <v>57</v>
      </c>
      <c r="I1074" t="s">
        <v>820</v>
      </c>
      <c r="J1074">
        <v>2000</v>
      </c>
      <c r="K1074" t="b">
        <v>0</v>
      </c>
      <c r="X1074">
        <v>45.46</v>
      </c>
      <c r="AD1074">
        <v>45</v>
      </c>
      <c r="AG1074" t="s">
        <v>884</v>
      </c>
      <c r="AH1074" t="s">
        <v>885</v>
      </c>
    </row>
    <row r="1075" spans="1:34" x14ac:dyDescent="0.35">
      <c r="A1075" t="s">
        <v>880</v>
      </c>
      <c r="B1075" t="s">
        <v>881</v>
      </c>
      <c r="C1075" t="s">
        <v>882</v>
      </c>
      <c r="D1075" t="s">
        <v>0</v>
      </c>
      <c r="E1075" t="s">
        <v>887</v>
      </c>
      <c r="F1075" t="s">
        <v>545</v>
      </c>
      <c r="G1075" t="s">
        <v>286</v>
      </c>
      <c r="H1075" t="s">
        <v>285</v>
      </c>
      <c r="I1075" t="s">
        <v>820</v>
      </c>
      <c r="J1075">
        <v>2000</v>
      </c>
      <c r="K1075" t="b">
        <v>0</v>
      </c>
      <c r="X1075">
        <v>45.07</v>
      </c>
      <c r="AD1075">
        <v>45</v>
      </c>
      <c r="AG1075" t="s">
        <v>884</v>
      </c>
      <c r="AH1075" t="s">
        <v>885</v>
      </c>
    </row>
    <row r="1076" spans="1:34" x14ac:dyDescent="0.35">
      <c r="A1076" t="s">
        <v>880</v>
      </c>
      <c r="B1076" t="s">
        <v>881</v>
      </c>
      <c r="C1076" t="s">
        <v>882</v>
      </c>
      <c r="D1076" t="s">
        <v>20</v>
      </c>
      <c r="E1076" t="s">
        <v>789</v>
      </c>
      <c r="F1076" t="s">
        <v>545</v>
      </c>
      <c r="G1076" t="s">
        <v>91</v>
      </c>
      <c r="H1076" t="s">
        <v>90</v>
      </c>
      <c r="I1076" t="s">
        <v>820</v>
      </c>
      <c r="J1076">
        <v>2000</v>
      </c>
      <c r="K1076" t="b">
        <v>0</v>
      </c>
      <c r="X1076">
        <v>44.8</v>
      </c>
      <c r="AD1076">
        <v>45</v>
      </c>
      <c r="AG1076" t="s">
        <v>884</v>
      </c>
      <c r="AH1076" t="s">
        <v>885</v>
      </c>
    </row>
    <row r="1077" spans="1:34" x14ac:dyDescent="0.35">
      <c r="A1077" t="s">
        <v>880</v>
      </c>
      <c r="B1077" t="s">
        <v>881</v>
      </c>
      <c r="C1077" t="s">
        <v>882</v>
      </c>
      <c r="D1077" t="s">
        <v>4</v>
      </c>
      <c r="E1077" t="s">
        <v>883</v>
      </c>
      <c r="F1077" t="s">
        <v>545</v>
      </c>
      <c r="G1077" t="s">
        <v>153</v>
      </c>
      <c r="H1077" t="s">
        <v>152</v>
      </c>
      <c r="I1077" t="s">
        <v>820</v>
      </c>
      <c r="J1077">
        <v>2000</v>
      </c>
      <c r="K1077" t="b">
        <v>0</v>
      </c>
      <c r="X1077">
        <v>45.3</v>
      </c>
      <c r="AD1077">
        <v>45</v>
      </c>
      <c r="AG1077" t="s">
        <v>884</v>
      </c>
      <c r="AH1077" t="s">
        <v>885</v>
      </c>
    </row>
    <row r="1078" spans="1:34" x14ac:dyDescent="0.35">
      <c r="A1078" t="s">
        <v>880</v>
      </c>
      <c r="B1078" t="s">
        <v>881</v>
      </c>
      <c r="C1078" t="s">
        <v>882</v>
      </c>
      <c r="D1078" t="s">
        <v>43</v>
      </c>
      <c r="E1078" t="s">
        <v>890</v>
      </c>
      <c r="F1078" t="s">
        <v>545</v>
      </c>
      <c r="G1078" t="s">
        <v>56</v>
      </c>
      <c r="H1078" t="s">
        <v>55</v>
      </c>
      <c r="I1078" t="s">
        <v>820</v>
      </c>
      <c r="J1078">
        <v>2000</v>
      </c>
      <c r="K1078" t="b">
        <v>0</v>
      </c>
      <c r="X1078">
        <v>45.33</v>
      </c>
      <c r="AD1078">
        <v>45</v>
      </c>
      <c r="AG1078" t="s">
        <v>884</v>
      </c>
      <c r="AH1078" t="s">
        <v>885</v>
      </c>
    </row>
    <row r="1079" spans="1:34" x14ac:dyDescent="0.35">
      <c r="A1079" t="s">
        <v>880</v>
      </c>
      <c r="B1079" t="s">
        <v>881</v>
      </c>
      <c r="C1079" t="s">
        <v>882</v>
      </c>
      <c r="D1079" t="s">
        <v>20</v>
      </c>
      <c r="E1079" t="s">
        <v>789</v>
      </c>
      <c r="F1079" t="s">
        <v>545</v>
      </c>
      <c r="G1079" t="s">
        <v>219</v>
      </c>
      <c r="H1079" t="s">
        <v>218</v>
      </c>
      <c r="I1079" t="s">
        <v>820</v>
      </c>
      <c r="J1079">
        <v>2000</v>
      </c>
      <c r="K1079" t="b">
        <v>0</v>
      </c>
      <c r="X1079">
        <v>45.51</v>
      </c>
      <c r="AD1079">
        <v>46</v>
      </c>
      <c r="AG1079" t="s">
        <v>884</v>
      </c>
      <c r="AH1079" t="s">
        <v>885</v>
      </c>
    </row>
    <row r="1080" spans="1:34" x14ac:dyDescent="0.35">
      <c r="A1080" t="s">
        <v>880</v>
      </c>
      <c r="B1080" t="s">
        <v>881</v>
      </c>
      <c r="C1080" t="s">
        <v>882</v>
      </c>
      <c r="D1080" t="s">
        <v>1</v>
      </c>
      <c r="E1080" t="s">
        <v>889</v>
      </c>
      <c r="F1080" t="s">
        <v>545</v>
      </c>
      <c r="G1080" t="s">
        <v>16</v>
      </c>
      <c r="H1080" t="s">
        <v>15</v>
      </c>
      <c r="I1080" t="s">
        <v>820</v>
      </c>
      <c r="J1080">
        <v>2000</v>
      </c>
      <c r="K1080" t="b">
        <v>0</v>
      </c>
      <c r="X1080">
        <v>46.33</v>
      </c>
      <c r="AD1080">
        <v>46</v>
      </c>
      <c r="AG1080" t="s">
        <v>884</v>
      </c>
      <c r="AH1080" t="s">
        <v>885</v>
      </c>
    </row>
    <row r="1081" spans="1:34" x14ac:dyDescent="0.35">
      <c r="A1081" t="s">
        <v>880</v>
      </c>
      <c r="B1081" t="s">
        <v>881</v>
      </c>
      <c r="C1081" t="s">
        <v>882</v>
      </c>
      <c r="D1081" t="s">
        <v>43</v>
      </c>
      <c r="E1081" t="s">
        <v>890</v>
      </c>
      <c r="F1081" t="s">
        <v>545</v>
      </c>
      <c r="G1081" t="s">
        <v>357</v>
      </c>
      <c r="H1081" t="s">
        <v>356</v>
      </c>
      <c r="I1081" t="s">
        <v>820</v>
      </c>
      <c r="J1081">
        <v>2000</v>
      </c>
      <c r="K1081" t="b">
        <v>0</v>
      </c>
      <c r="X1081">
        <v>45.93</v>
      </c>
      <c r="AD1081">
        <v>46</v>
      </c>
      <c r="AG1081" t="s">
        <v>884</v>
      </c>
      <c r="AH1081" t="s">
        <v>885</v>
      </c>
    </row>
    <row r="1082" spans="1:34" x14ac:dyDescent="0.35">
      <c r="A1082" t="s">
        <v>880</v>
      </c>
      <c r="B1082" t="s">
        <v>881</v>
      </c>
      <c r="C1082" t="s">
        <v>882</v>
      </c>
      <c r="D1082" t="s">
        <v>25</v>
      </c>
      <c r="E1082" t="s">
        <v>886</v>
      </c>
      <c r="F1082" t="s">
        <v>545</v>
      </c>
      <c r="G1082" t="s">
        <v>419</v>
      </c>
      <c r="H1082" t="s">
        <v>418</v>
      </c>
      <c r="I1082" t="s">
        <v>820</v>
      </c>
      <c r="J1082">
        <v>2000</v>
      </c>
      <c r="K1082" t="b">
        <v>0</v>
      </c>
      <c r="X1082">
        <v>45.77</v>
      </c>
      <c r="AD1082">
        <v>46</v>
      </c>
      <c r="AG1082" t="s">
        <v>884</v>
      </c>
      <c r="AH1082" t="s">
        <v>885</v>
      </c>
    </row>
    <row r="1083" spans="1:34" x14ac:dyDescent="0.35">
      <c r="A1083" t="s">
        <v>880</v>
      </c>
      <c r="B1083" t="s">
        <v>881</v>
      </c>
      <c r="C1083" t="s">
        <v>882</v>
      </c>
      <c r="D1083" t="s">
        <v>0</v>
      </c>
      <c r="E1083" t="s">
        <v>887</v>
      </c>
      <c r="F1083" t="s">
        <v>545</v>
      </c>
      <c r="G1083" t="s">
        <v>171</v>
      </c>
      <c r="H1083" t="s">
        <v>170</v>
      </c>
      <c r="I1083" t="s">
        <v>820</v>
      </c>
      <c r="J1083">
        <v>2000</v>
      </c>
      <c r="K1083" t="b">
        <v>0</v>
      </c>
      <c r="X1083">
        <v>45.9</v>
      </c>
      <c r="AD1083">
        <v>46</v>
      </c>
      <c r="AG1083" t="s">
        <v>884</v>
      </c>
      <c r="AH1083" t="s">
        <v>885</v>
      </c>
    </row>
    <row r="1084" spans="1:34" x14ac:dyDescent="0.35">
      <c r="A1084" t="s">
        <v>880</v>
      </c>
      <c r="B1084" t="s">
        <v>881</v>
      </c>
      <c r="C1084" t="s">
        <v>882</v>
      </c>
      <c r="D1084" t="s">
        <v>20</v>
      </c>
      <c r="E1084" t="s">
        <v>789</v>
      </c>
      <c r="F1084" t="s">
        <v>545</v>
      </c>
      <c r="G1084" t="s">
        <v>348</v>
      </c>
      <c r="H1084" t="s">
        <v>347</v>
      </c>
      <c r="I1084" t="s">
        <v>820</v>
      </c>
      <c r="J1084">
        <v>2000</v>
      </c>
      <c r="K1084" t="b">
        <v>0</v>
      </c>
      <c r="X1084">
        <v>47</v>
      </c>
      <c r="AD1084">
        <v>47</v>
      </c>
      <c r="AG1084" t="s">
        <v>884</v>
      </c>
      <c r="AH1084" t="s">
        <v>885</v>
      </c>
    </row>
    <row r="1085" spans="1:34" x14ac:dyDescent="0.35">
      <c r="A1085" t="s">
        <v>880</v>
      </c>
      <c r="B1085" t="s">
        <v>881</v>
      </c>
      <c r="C1085" t="s">
        <v>882</v>
      </c>
      <c r="D1085" t="s">
        <v>1</v>
      </c>
      <c r="E1085" t="s">
        <v>889</v>
      </c>
      <c r="F1085" t="s">
        <v>545</v>
      </c>
      <c r="G1085" t="s">
        <v>380</v>
      </c>
      <c r="H1085" t="s">
        <v>379</v>
      </c>
      <c r="I1085" t="s">
        <v>820</v>
      </c>
      <c r="J1085">
        <v>2000</v>
      </c>
      <c r="K1085" t="b">
        <v>0</v>
      </c>
      <c r="X1085">
        <v>46.66</v>
      </c>
      <c r="AD1085">
        <v>47</v>
      </c>
      <c r="AG1085" t="s">
        <v>884</v>
      </c>
      <c r="AH1085" t="s">
        <v>885</v>
      </c>
    </row>
    <row r="1086" spans="1:34" x14ac:dyDescent="0.35">
      <c r="A1086" t="s">
        <v>880</v>
      </c>
      <c r="B1086" t="s">
        <v>881</v>
      </c>
      <c r="C1086" t="s">
        <v>882</v>
      </c>
      <c r="D1086" t="s">
        <v>4</v>
      </c>
      <c r="E1086" t="s">
        <v>883</v>
      </c>
      <c r="F1086" t="s">
        <v>545</v>
      </c>
      <c r="G1086" t="s">
        <v>458</v>
      </c>
      <c r="H1086" t="s">
        <v>457</v>
      </c>
      <c r="I1086" t="s">
        <v>820</v>
      </c>
      <c r="J1086">
        <v>2000</v>
      </c>
      <c r="K1086" t="b">
        <v>0</v>
      </c>
      <c r="X1086">
        <v>46.87</v>
      </c>
      <c r="AD1086">
        <v>47</v>
      </c>
      <c r="AG1086" t="s">
        <v>884</v>
      </c>
      <c r="AH1086" t="s">
        <v>885</v>
      </c>
    </row>
    <row r="1087" spans="1:34" x14ac:dyDescent="0.35">
      <c r="A1087" t="s">
        <v>880</v>
      </c>
      <c r="B1087" t="s">
        <v>881</v>
      </c>
      <c r="C1087" t="s">
        <v>882</v>
      </c>
      <c r="D1087" t="s">
        <v>0</v>
      </c>
      <c r="E1087" t="s">
        <v>887</v>
      </c>
      <c r="F1087" t="s">
        <v>545</v>
      </c>
      <c r="G1087" t="s">
        <v>181</v>
      </c>
      <c r="H1087" t="s">
        <v>180</v>
      </c>
      <c r="I1087" t="s">
        <v>820</v>
      </c>
      <c r="J1087">
        <v>2000</v>
      </c>
      <c r="K1087" t="b">
        <v>0</v>
      </c>
      <c r="X1087">
        <v>47.84</v>
      </c>
      <c r="AD1087">
        <v>48</v>
      </c>
      <c r="AG1087" t="s">
        <v>884</v>
      </c>
      <c r="AH1087" t="s">
        <v>885</v>
      </c>
    </row>
    <row r="1088" spans="1:34" x14ac:dyDescent="0.35">
      <c r="A1088" t="s">
        <v>880</v>
      </c>
      <c r="B1088" t="s">
        <v>881</v>
      </c>
      <c r="C1088" t="s">
        <v>882</v>
      </c>
      <c r="D1088" t="s">
        <v>20</v>
      </c>
      <c r="E1088" t="s">
        <v>789</v>
      </c>
      <c r="F1088" t="s">
        <v>545</v>
      </c>
      <c r="G1088" t="s">
        <v>529</v>
      </c>
      <c r="H1088" t="s">
        <v>528</v>
      </c>
      <c r="I1088" t="s">
        <v>820</v>
      </c>
      <c r="J1088">
        <v>2000</v>
      </c>
      <c r="K1088" t="b">
        <v>0</v>
      </c>
      <c r="X1088">
        <v>48.26</v>
      </c>
      <c r="AD1088">
        <v>48</v>
      </c>
      <c r="AG1088" t="s">
        <v>884</v>
      </c>
      <c r="AH1088" t="s">
        <v>885</v>
      </c>
    </row>
    <row r="1089" spans="1:34" x14ac:dyDescent="0.35">
      <c r="A1089" t="s">
        <v>880</v>
      </c>
      <c r="B1089" t="s">
        <v>881</v>
      </c>
      <c r="C1089" t="s">
        <v>882</v>
      </c>
      <c r="D1089" t="s">
        <v>1</v>
      </c>
      <c r="E1089" t="s">
        <v>889</v>
      </c>
      <c r="F1089" t="s">
        <v>545</v>
      </c>
      <c r="G1089" t="s">
        <v>307</v>
      </c>
      <c r="H1089" t="s">
        <v>306</v>
      </c>
      <c r="I1089" t="s">
        <v>820</v>
      </c>
      <c r="J1089">
        <v>2000</v>
      </c>
      <c r="K1089" t="b">
        <v>0</v>
      </c>
      <c r="X1089">
        <v>49.17</v>
      </c>
      <c r="AD1089">
        <v>49</v>
      </c>
      <c r="AG1089" t="s">
        <v>884</v>
      </c>
      <c r="AH1089" t="s">
        <v>885</v>
      </c>
    </row>
    <row r="1090" spans="1:34" x14ac:dyDescent="0.35">
      <c r="A1090" t="s">
        <v>880</v>
      </c>
      <c r="B1090" t="s">
        <v>881</v>
      </c>
      <c r="C1090" t="s">
        <v>882</v>
      </c>
      <c r="D1090" t="s">
        <v>20</v>
      </c>
      <c r="E1090" t="s">
        <v>789</v>
      </c>
      <c r="F1090" t="s">
        <v>545</v>
      </c>
      <c r="G1090" t="s">
        <v>368</v>
      </c>
      <c r="H1090" t="s">
        <v>367</v>
      </c>
      <c r="I1090" t="s">
        <v>820</v>
      </c>
      <c r="J1090">
        <v>2000</v>
      </c>
      <c r="K1090" t="b">
        <v>0</v>
      </c>
      <c r="X1090">
        <v>48.69</v>
      </c>
      <c r="AD1090">
        <v>49</v>
      </c>
      <c r="AG1090" t="s">
        <v>884</v>
      </c>
      <c r="AH1090" t="s">
        <v>885</v>
      </c>
    </row>
    <row r="1091" spans="1:34" x14ac:dyDescent="0.35">
      <c r="A1091" t="s">
        <v>880</v>
      </c>
      <c r="B1091" t="s">
        <v>881</v>
      </c>
      <c r="C1091" t="s">
        <v>882</v>
      </c>
      <c r="D1091" t="s">
        <v>20</v>
      </c>
      <c r="E1091" t="s">
        <v>789</v>
      </c>
      <c r="F1091" t="s">
        <v>545</v>
      </c>
      <c r="G1091" t="s">
        <v>416</v>
      </c>
      <c r="H1091" t="s">
        <v>415</v>
      </c>
      <c r="I1091" t="s">
        <v>820</v>
      </c>
      <c r="J1091">
        <v>2000</v>
      </c>
      <c r="K1091" t="b">
        <v>0</v>
      </c>
      <c r="X1091">
        <v>48.83</v>
      </c>
      <c r="AD1091">
        <v>49</v>
      </c>
      <c r="AG1091" t="s">
        <v>884</v>
      </c>
      <c r="AH1091" t="s">
        <v>885</v>
      </c>
    </row>
    <row r="1092" spans="1:34" x14ac:dyDescent="0.35">
      <c r="A1092" t="s">
        <v>880</v>
      </c>
      <c r="B1092" t="s">
        <v>881</v>
      </c>
      <c r="C1092" t="s">
        <v>882</v>
      </c>
      <c r="D1092" t="s">
        <v>1</v>
      </c>
      <c r="E1092" t="s">
        <v>889</v>
      </c>
      <c r="F1092" t="s">
        <v>545</v>
      </c>
      <c r="G1092" t="s">
        <v>37</v>
      </c>
      <c r="H1092" t="s">
        <v>36</v>
      </c>
      <c r="I1092" t="s">
        <v>820</v>
      </c>
      <c r="J1092">
        <v>2000</v>
      </c>
      <c r="K1092" t="b">
        <v>0</v>
      </c>
      <c r="X1092">
        <v>49.92</v>
      </c>
      <c r="AD1092">
        <v>50</v>
      </c>
      <c r="AG1092" t="s">
        <v>884</v>
      </c>
      <c r="AH1092" t="s">
        <v>885</v>
      </c>
    </row>
    <row r="1093" spans="1:34" x14ac:dyDescent="0.35">
      <c r="A1093" t="s">
        <v>880</v>
      </c>
      <c r="B1093" t="s">
        <v>881</v>
      </c>
      <c r="C1093" t="s">
        <v>882</v>
      </c>
      <c r="D1093" t="s">
        <v>20</v>
      </c>
      <c r="E1093" t="s">
        <v>789</v>
      </c>
      <c r="F1093" t="s">
        <v>545</v>
      </c>
      <c r="G1093" t="s">
        <v>228</v>
      </c>
      <c r="H1093" t="s">
        <v>227</v>
      </c>
      <c r="I1093" t="s">
        <v>820</v>
      </c>
      <c r="J1093">
        <v>2000</v>
      </c>
      <c r="K1093" t="b">
        <v>0</v>
      </c>
      <c r="X1093">
        <v>49.69</v>
      </c>
      <c r="AD1093">
        <v>50</v>
      </c>
      <c r="AG1093" t="s">
        <v>884</v>
      </c>
      <c r="AH1093" t="s">
        <v>885</v>
      </c>
    </row>
    <row r="1094" spans="1:34" x14ac:dyDescent="0.35">
      <c r="A1094" t="s">
        <v>880</v>
      </c>
      <c r="B1094" t="s">
        <v>881</v>
      </c>
      <c r="C1094" t="s">
        <v>882</v>
      </c>
      <c r="D1094" t="s">
        <v>0</v>
      </c>
      <c r="E1094" t="s">
        <v>887</v>
      </c>
      <c r="F1094" t="s">
        <v>545</v>
      </c>
      <c r="G1094" t="s">
        <v>196</v>
      </c>
      <c r="H1094" t="s">
        <v>195</v>
      </c>
      <c r="I1094" t="s">
        <v>820</v>
      </c>
      <c r="J1094">
        <v>2000</v>
      </c>
      <c r="K1094" t="b">
        <v>0</v>
      </c>
      <c r="X1094">
        <v>50.32</v>
      </c>
      <c r="AD1094">
        <v>50</v>
      </c>
      <c r="AG1094" t="s">
        <v>884</v>
      </c>
      <c r="AH1094" t="s">
        <v>885</v>
      </c>
    </row>
    <row r="1095" spans="1:34" x14ac:dyDescent="0.35">
      <c r="A1095" t="s">
        <v>880</v>
      </c>
      <c r="B1095" t="s">
        <v>881</v>
      </c>
      <c r="C1095" t="s">
        <v>882</v>
      </c>
      <c r="D1095" t="s">
        <v>1</v>
      </c>
      <c r="E1095" t="s">
        <v>889</v>
      </c>
      <c r="F1095" t="s">
        <v>545</v>
      </c>
      <c r="G1095" t="s">
        <v>277</v>
      </c>
      <c r="H1095" t="s">
        <v>276</v>
      </c>
      <c r="I1095" t="s">
        <v>820</v>
      </c>
      <c r="J1095">
        <v>2000</v>
      </c>
      <c r="K1095" t="b">
        <v>0</v>
      </c>
      <c r="X1095">
        <v>49.89</v>
      </c>
      <c r="AD1095">
        <v>50</v>
      </c>
      <c r="AG1095" t="s">
        <v>884</v>
      </c>
      <c r="AH1095" t="s">
        <v>885</v>
      </c>
    </row>
    <row r="1096" spans="1:34" x14ac:dyDescent="0.35">
      <c r="A1096" t="s">
        <v>880</v>
      </c>
      <c r="B1096" t="s">
        <v>881</v>
      </c>
      <c r="C1096" t="s">
        <v>882</v>
      </c>
      <c r="D1096" t="s">
        <v>1</v>
      </c>
      <c r="E1096" t="s">
        <v>889</v>
      </c>
      <c r="F1096" t="s">
        <v>545</v>
      </c>
      <c r="G1096" t="s">
        <v>255</v>
      </c>
      <c r="H1096" t="s">
        <v>254</v>
      </c>
      <c r="I1096" t="s">
        <v>820</v>
      </c>
      <c r="J1096">
        <v>2000</v>
      </c>
      <c r="K1096" t="b">
        <v>0</v>
      </c>
      <c r="X1096">
        <v>50.54</v>
      </c>
      <c r="AD1096">
        <v>51</v>
      </c>
      <c r="AG1096" t="s">
        <v>884</v>
      </c>
      <c r="AH1096" t="s">
        <v>885</v>
      </c>
    </row>
    <row r="1097" spans="1:34" x14ac:dyDescent="0.35">
      <c r="A1097" t="s">
        <v>880</v>
      </c>
      <c r="B1097" t="s">
        <v>881</v>
      </c>
      <c r="C1097" t="s">
        <v>882</v>
      </c>
      <c r="D1097" t="s">
        <v>20</v>
      </c>
      <c r="E1097" t="s">
        <v>789</v>
      </c>
      <c r="F1097" t="s">
        <v>545</v>
      </c>
      <c r="G1097" t="s">
        <v>342</v>
      </c>
      <c r="H1097" t="s">
        <v>341</v>
      </c>
      <c r="I1097" t="s">
        <v>820</v>
      </c>
      <c r="J1097">
        <v>2000</v>
      </c>
      <c r="K1097" t="b">
        <v>0</v>
      </c>
      <c r="X1097">
        <v>51.01</v>
      </c>
      <c r="AD1097">
        <v>51</v>
      </c>
      <c r="AG1097" t="s">
        <v>884</v>
      </c>
      <c r="AH1097" t="s">
        <v>885</v>
      </c>
    </row>
    <row r="1098" spans="1:34" x14ac:dyDescent="0.35">
      <c r="A1098" t="s">
        <v>880</v>
      </c>
      <c r="B1098" t="s">
        <v>881</v>
      </c>
      <c r="C1098" t="s">
        <v>882</v>
      </c>
      <c r="D1098" t="s">
        <v>4</v>
      </c>
      <c r="E1098" t="s">
        <v>883</v>
      </c>
      <c r="F1098" t="s">
        <v>545</v>
      </c>
      <c r="G1098" t="s">
        <v>512</v>
      </c>
      <c r="H1098" t="s">
        <v>511</v>
      </c>
      <c r="I1098" t="s">
        <v>820</v>
      </c>
      <c r="J1098">
        <v>2000</v>
      </c>
      <c r="K1098" t="b">
        <v>0</v>
      </c>
      <c r="X1098">
        <v>51.07</v>
      </c>
      <c r="AD1098">
        <v>51</v>
      </c>
      <c r="AG1098" t="s">
        <v>884</v>
      </c>
      <c r="AH1098" t="s">
        <v>885</v>
      </c>
    </row>
    <row r="1099" spans="1:34" x14ac:dyDescent="0.35">
      <c r="A1099" t="s">
        <v>880</v>
      </c>
      <c r="B1099" t="s">
        <v>881</v>
      </c>
      <c r="C1099" t="s">
        <v>882</v>
      </c>
      <c r="D1099" t="s">
        <v>20</v>
      </c>
      <c r="E1099" t="s">
        <v>789</v>
      </c>
      <c r="F1099" t="s">
        <v>545</v>
      </c>
      <c r="G1099" t="s">
        <v>483</v>
      </c>
      <c r="H1099" t="s">
        <v>482</v>
      </c>
      <c r="I1099" t="s">
        <v>820</v>
      </c>
      <c r="J1099">
        <v>2000</v>
      </c>
      <c r="K1099" t="b">
        <v>0</v>
      </c>
      <c r="X1099">
        <v>50.91</v>
      </c>
      <c r="AD1099">
        <v>51</v>
      </c>
      <c r="AG1099" t="s">
        <v>884</v>
      </c>
      <c r="AH1099" t="s">
        <v>885</v>
      </c>
    </row>
    <row r="1100" spans="1:34" x14ac:dyDescent="0.35">
      <c r="A1100" t="s">
        <v>880</v>
      </c>
      <c r="B1100" t="s">
        <v>881</v>
      </c>
      <c r="C1100" t="s">
        <v>882</v>
      </c>
      <c r="D1100" t="s">
        <v>4</v>
      </c>
      <c r="E1100" t="s">
        <v>883</v>
      </c>
      <c r="F1100" t="s">
        <v>545</v>
      </c>
      <c r="G1100" t="s">
        <v>534</v>
      </c>
      <c r="H1100" t="s">
        <v>533</v>
      </c>
      <c r="I1100" t="s">
        <v>820</v>
      </c>
      <c r="J1100">
        <v>2000</v>
      </c>
      <c r="K1100" t="b">
        <v>0</v>
      </c>
      <c r="X1100">
        <v>51.35</v>
      </c>
      <c r="AD1100">
        <v>51</v>
      </c>
      <c r="AG1100" t="s">
        <v>884</v>
      </c>
      <c r="AH1100" t="s">
        <v>885</v>
      </c>
    </row>
    <row r="1101" spans="1:34" x14ac:dyDescent="0.35">
      <c r="A1101" t="s">
        <v>880</v>
      </c>
      <c r="B1101" t="s">
        <v>881</v>
      </c>
      <c r="C1101" t="s">
        <v>882</v>
      </c>
      <c r="D1101" t="s">
        <v>20</v>
      </c>
      <c r="E1101" t="s">
        <v>789</v>
      </c>
      <c r="F1101" t="s">
        <v>545</v>
      </c>
      <c r="G1101" t="s">
        <v>174</v>
      </c>
      <c r="H1101" t="s">
        <v>173</v>
      </c>
      <c r="I1101" t="s">
        <v>820</v>
      </c>
      <c r="J1101">
        <v>2000</v>
      </c>
      <c r="K1101" t="b">
        <v>0</v>
      </c>
      <c r="X1101">
        <v>52.31</v>
      </c>
      <c r="AD1101">
        <v>52</v>
      </c>
      <c r="AG1101" t="s">
        <v>884</v>
      </c>
      <c r="AH1101" t="s">
        <v>885</v>
      </c>
    </row>
    <row r="1102" spans="1:34" x14ac:dyDescent="0.35">
      <c r="A1102" t="s">
        <v>880</v>
      </c>
      <c r="B1102" t="s">
        <v>881</v>
      </c>
      <c r="C1102" t="s">
        <v>882</v>
      </c>
      <c r="D1102" t="s">
        <v>20</v>
      </c>
      <c r="E1102" t="s">
        <v>789</v>
      </c>
      <c r="F1102" t="s">
        <v>545</v>
      </c>
      <c r="G1102" t="s">
        <v>467</v>
      </c>
      <c r="H1102" t="s">
        <v>466</v>
      </c>
      <c r="I1102" t="s">
        <v>820</v>
      </c>
      <c r="J1102">
        <v>2000</v>
      </c>
      <c r="K1102" t="b">
        <v>0</v>
      </c>
      <c r="X1102">
        <v>52.03</v>
      </c>
      <c r="AD1102">
        <v>52</v>
      </c>
      <c r="AG1102" t="s">
        <v>884</v>
      </c>
      <c r="AH1102" t="s">
        <v>885</v>
      </c>
    </row>
    <row r="1103" spans="1:34" x14ac:dyDescent="0.35">
      <c r="A1103" t="s">
        <v>880</v>
      </c>
      <c r="B1103" t="s">
        <v>881</v>
      </c>
      <c r="C1103" t="s">
        <v>882</v>
      </c>
      <c r="D1103" t="s">
        <v>1</v>
      </c>
      <c r="E1103" t="s">
        <v>889</v>
      </c>
      <c r="F1103" t="s">
        <v>545</v>
      </c>
      <c r="G1103" t="s">
        <v>19</v>
      </c>
      <c r="H1103" t="s">
        <v>18</v>
      </c>
      <c r="I1103" t="s">
        <v>820</v>
      </c>
      <c r="J1103">
        <v>2000</v>
      </c>
      <c r="K1103" t="b">
        <v>0</v>
      </c>
      <c r="X1103">
        <v>51.62</v>
      </c>
      <c r="AD1103">
        <v>52</v>
      </c>
      <c r="AG1103" t="s">
        <v>884</v>
      </c>
      <c r="AH1103" t="s">
        <v>885</v>
      </c>
    </row>
    <row r="1104" spans="1:34" x14ac:dyDescent="0.35">
      <c r="A1104" t="s">
        <v>880</v>
      </c>
      <c r="B1104" t="s">
        <v>881</v>
      </c>
      <c r="C1104" t="s">
        <v>882</v>
      </c>
      <c r="D1104" t="s">
        <v>20</v>
      </c>
      <c r="E1104" t="s">
        <v>789</v>
      </c>
      <c r="F1104" t="s">
        <v>545</v>
      </c>
      <c r="G1104" t="s">
        <v>267</v>
      </c>
      <c r="H1104" t="s">
        <v>266</v>
      </c>
      <c r="I1104" t="s">
        <v>820</v>
      </c>
      <c r="J1104">
        <v>2000</v>
      </c>
      <c r="K1104" t="b">
        <v>0</v>
      </c>
      <c r="X1104">
        <v>52.73</v>
      </c>
      <c r="AD1104">
        <v>53</v>
      </c>
      <c r="AG1104" t="s">
        <v>884</v>
      </c>
      <c r="AH1104" t="s">
        <v>885</v>
      </c>
    </row>
    <row r="1105" spans="1:34" x14ac:dyDescent="0.35">
      <c r="A1105" t="s">
        <v>880</v>
      </c>
      <c r="B1105" t="s">
        <v>881</v>
      </c>
      <c r="C1105" t="s">
        <v>882</v>
      </c>
      <c r="D1105" t="s">
        <v>4</v>
      </c>
      <c r="E1105" t="s">
        <v>883</v>
      </c>
      <c r="F1105" t="s">
        <v>545</v>
      </c>
      <c r="G1105" t="s">
        <v>509</v>
      </c>
      <c r="H1105" t="s">
        <v>508</v>
      </c>
      <c r="I1105" t="s">
        <v>820</v>
      </c>
      <c r="J1105">
        <v>2000</v>
      </c>
      <c r="K1105" t="b">
        <v>0</v>
      </c>
      <c r="X1105">
        <v>52.78</v>
      </c>
      <c r="AD1105">
        <v>53</v>
      </c>
      <c r="AG1105" t="s">
        <v>884</v>
      </c>
      <c r="AH1105" t="s">
        <v>885</v>
      </c>
    </row>
    <row r="1106" spans="1:34" x14ac:dyDescent="0.35">
      <c r="A1106" t="s">
        <v>880</v>
      </c>
      <c r="B1106" t="s">
        <v>881</v>
      </c>
      <c r="C1106" t="s">
        <v>882</v>
      </c>
      <c r="D1106" t="s">
        <v>4</v>
      </c>
      <c r="E1106" t="s">
        <v>883</v>
      </c>
      <c r="F1106" t="s">
        <v>545</v>
      </c>
      <c r="G1106" t="s">
        <v>179</v>
      </c>
      <c r="H1106" t="s">
        <v>178</v>
      </c>
      <c r="I1106" t="s">
        <v>820</v>
      </c>
      <c r="J1106">
        <v>2000</v>
      </c>
      <c r="K1106" t="b">
        <v>0</v>
      </c>
      <c r="X1106">
        <v>53.6</v>
      </c>
      <c r="AD1106">
        <v>54</v>
      </c>
      <c r="AG1106" t="s">
        <v>884</v>
      </c>
      <c r="AH1106" t="s">
        <v>885</v>
      </c>
    </row>
    <row r="1107" spans="1:34" x14ac:dyDescent="0.35">
      <c r="A1107" t="s">
        <v>880</v>
      </c>
      <c r="B1107" t="s">
        <v>881</v>
      </c>
      <c r="C1107" t="s">
        <v>882</v>
      </c>
      <c r="D1107" t="s">
        <v>20</v>
      </c>
      <c r="E1107" t="s">
        <v>789</v>
      </c>
      <c r="F1107" t="s">
        <v>545</v>
      </c>
      <c r="G1107" t="s">
        <v>525</v>
      </c>
      <c r="H1107" t="s">
        <v>524</v>
      </c>
      <c r="I1107" t="s">
        <v>820</v>
      </c>
      <c r="J1107">
        <v>2000</v>
      </c>
      <c r="K1107" t="b">
        <v>0</v>
      </c>
      <c r="X1107">
        <v>53.75</v>
      </c>
      <c r="AD1107">
        <v>54</v>
      </c>
      <c r="AG1107" t="s">
        <v>884</v>
      </c>
      <c r="AH1107" t="s">
        <v>885</v>
      </c>
    </row>
    <row r="1108" spans="1:34" x14ac:dyDescent="0.35">
      <c r="A1108" t="s">
        <v>880</v>
      </c>
      <c r="B1108" t="s">
        <v>881</v>
      </c>
      <c r="C1108" t="s">
        <v>882</v>
      </c>
      <c r="D1108" t="s">
        <v>0</v>
      </c>
      <c r="E1108" t="s">
        <v>887</v>
      </c>
      <c r="F1108" t="s">
        <v>545</v>
      </c>
      <c r="G1108" t="s">
        <v>24</v>
      </c>
      <c r="H1108" t="s">
        <v>23</v>
      </c>
      <c r="I1108" t="s">
        <v>820</v>
      </c>
      <c r="J1108">
        <v>2000</v>
      </c>
      <c r="K1108" t="b">
        <v>0</v>
      </c>
      <c r="X1108">
        <v>54.97</v>
      </c>
      <c r="AD1108">
        <v>55</v>
      </c>
      <c r="AG1108" t="s">
        <v>884</v>
      </c>
      <c r="AH1108" t="s">
        <v>885</v>
      </c>
    </row>
    <row r="1109" spans="1:34" x14ac:dyDescent="0.35">
      <c r="A1109" t="s">
        <v>880</v>
      </c>
      <c r="B1109" t="s">
        <v>881</v>
      </c>
      <c r="C1109" t="s">
        <v>882</v>
      </c>
      <c r="D1109" t="s">
        <v>1</v>
      </c>
      <c r="E1109" t="s">
        <v>889</v>
      </c>
      <c r="F1109" t="s">
        <v>545</v>
      </c>
      <c r="G1109" t="s">
        <v>274</v>
      </c>
      <c r="H1109" t="s">
        <v>273</v>
      </c>
      <c r="I1109" t="s">
        <v>820</v>
      </c>
      <c r="J1109">
        <v>2000</v>
      </c>
      <c r="K1109" t="b">
        <v>0</v>
      </c>
      <c r="X1109">
        <v>56.23</v>
      </c>
      <c r="AD1109">
        <v>56</v>
      </c>
      <c r="AG1109" t="s">
        <v>884</v>
      </c>
      <c r="AH1109" t="s">
        <v>885</v>
      </c>
    </row>
    <row r="1110" spans="1:34" x14ac:dyDescent="0.35">
      <c r="A1110" t="s">
        <v>880</v>
      </c>
      <c r="B1110" t="s">
        <v>881</v>
      </c>
      <c r="C1110" t="s">
        <v>882</v>
      </c>
      <c r="D1110" t="s">
        <v>1</v>
      </c>
      <c r="E1110" t="s">
        <v>889</v>
      </c>
      <c r="F1110" t="s">
        <v>545</v>
      </c>
      <c r="G1110" t="s">
        <v>264</v>
      </c>
      <c r="H1110" t="s">
        <v>263</v>
      </c>
      <c r="I1110" t="s">
        <v>820</v>
      </c>
      <c r="J1110">
        <v>2000</v>
      </c>
      <c r="K1110" t="b">
        <v>0</v>
      </c>
      <c r="X1110">
        <v>57.31</v>
      </c>
      <c r="AD1110">
        <v>57</v>
      </c>
      <c r="AG1110" t="s">
        <v>884</v>
      </c>
      <c r="AH1110" t="s">
        <v>885</v>
      </c>
    </row>
    <row r="1111" spans="1:34" x14ac:dyDescent="0.35">
      <c r="A1111" t="s">
        <v>880</v>
      </c>
      <c r="B1111" t="s">
        <v>881</v>
      </c>
      <c r="C1111" t="s">
        <v>882</v>
      </c>
      <c r="D1111" t="s">
        <v>4</v>
      </c>
      <c r="E1111" t="s">
        <v>883</v>
      </c>
      <c r="F1111" t="s">
        <v>545</v>
      </c>
      <c r="G1111" t="s">
        <v>99</v>
      </c>
      <c r="H1111" t="s">
        <v>98</v>
      </c>
      <c r="I1111" t="s">
        <v>820</v>
      </c>
      <c r="J1111">
        <v>2000</v>
      </c>
      <c r="K1111" t="b">
        <v>0</v>
      </c>
      <c r="X1111">
        <v>57.41</v>
      </c>
      <c r="AD1111">
        <v>57</v>
      </c>
      <c r="AG1111" t="s">
        <v>884</v>
      </c>
      <c r="AH1111" t="s">
        <v>885</v>
      </c>
    </row>
    <row r="1112" spans="1:34" x14ac:dyDescent="0.35">
      <c r="A1112" t="s">
        <v>880</v>
      </c>
      <c r="B1112" t="s">
        <v>881</v>
      </c>
      <c r="C1112" t="s">
        <v>882</v>
      </c>
      <c r="D1112" t="s">
        <v>20</v>
      </c>
      <c r="E1112" t="s">
        <v>789</v>
      </c>
      <c r="F1112" t="s">
        <v>545</v>
      </c>
      <c r="G1112" t="s">
        <v>185</v>
      </c>
      <c r="H1112" t="s">
        <v>184</v>
      </c>
      <c r="I1112" t="s">
        <v>820</v>
      </c>
      <c r="J1112">
        <v>2000</v>
      </c>
      <c r="K1112" t="b">
        <v>0</v>
      </c>
      <c r="X1112">
        <v>57.34</v>
      </c>
      <c r="AD1112">
        <v>57</v>
      </c>
      <c r="AG1112" t="s">
        <v>884</v>
      </c>
      <c r="AH1112" t="s">
        <v>885</v>
      </c>
    </row>
    <row r="1113" spans="1:34" x14ac:dyDescent="0.35">
      <c r="A1113" t="s">
        <v>880</v>
      </c>
      <c r="B1113" t="s">
        <v>881</v>
      </c>
      <c r="C1113" t="s">
        <v>882</v>
      </c>
      <c r="D1113" t="s">
        <v>20</v>
      </c>
      <c r="E1113" t="s">
        <v>789</v>
      </c>
      <c r="F1113" t="s">
        <v>545</v>
      </c>
      <c r="G1113" t="s">
        <v>386</v>
      </c>
      <c r="H1113" t="s">
        <v>676</v>
      </c>
      <c r="I1113" t="s">
        <v>820</v>
      </c>
      <c r="J1113">
        <v>2000</v>
      </c>
      <c r="K1113" t="b">
        <v>0</v>
      </c>
      <c r="X1113">
        <v>57.14</v>
      </c>
      <c r="AD1113">
        <v>57</v>
      </c>
      <c r="AG1113" t="s">
        <v>884</v>
      </c>
      <c r="AH1113" t="s">
        <v>885</v>
      </c>
    </row>
    <row r="1114" spans="1:34" x14ac:dyDescent="0.35">
      <c r="A1114" t="s">
        <v>880</v>
      </c>
      <c r="B1114" t="s">
        <v>881</v>
      </c>
      <c r="C1114" t="s">
        <v>882</v>
      </c>
      <c r="D1114" t="s">
        <v>20</v>
      </c>
      <c r="E1114" t="s">
        <v>789</v>
      </c>
      <c r="F1114" t="s">
        <v>545</v>
      </c>
      <c r="G1114" t="s">
        <v>283</v>
      </c>
      <c r="H1114" t="s">
        <v>282</v>
      </c>
      <c r="I1114" t="s">
        <v>820</v>
      </c>
      <c r="J1114">
        <v>2000</v>
      </c>
      <c r="K1114" t="b">
        <v>0</v>
      </c>
      <c r="X1114">
        <v>59.59</v>
      </c>
      <c r="AD1114">
        <v>60</v>
      </c>
      <c r="AG1114" t="s">
        <v>884</v>
      </c>
      <c r="AH1114" t="s">
        <v>885</v>
      </c>
    </row>
    <row r="1115" spans="1:34" x14ac:dyDescent="0.35">
      <c r="A1115" t="s">
        <v>880</v>
      </c>
      <c r="B1115" t="s">
        <v>881</v>
      </c>
      <c r="C1115" t="s">
        <v>882</v>
      </c>
      <c r="D1115" t="s">
        <v>1</v>
      </c>
      <c r="E1115" t="s">
        <v>889</v>
      </c>
      <c r="F1115" t="s">
        <v>545</v>
      </c>
      <c r="G1115" t="s">
        <v>539</v>
      </c>
      <c r="H1115" t="s">
        <v>538</v>
      </c>
      <c r="I1115" t="s">
        <v>820</v>
      </c>
      <c r="J1115">
        <v>2000</v>
      </c>
      <c r="K1115" t="b">
        <v>0</v>
      </c>
      <c r="X1115">
        <v>60.41</v>
      </c>
      <c r="AD1115">
        <v>60</v>
      </c>
      <c r="AG1115" t="s">
        <v>884</v>
      </c>
      <c r="AH1115" t="s">
        <v>885</v>
      </c>
    </row>
    <row r="1116" spans="1:34" x14ac:dyDescent="0.35">
      <c r="A1116" t="s">
        <v>880</v>
      </c>
      <c r="B1116" t="s">
        <v>881</v>
      </c>
      <c r="C1116" t="s">
        <v>882</v>
      </c>
      <c r="D1116" t="s">
        <v>25</v>
      </c>
      <c r="E1116" t="s">
        <v>886</v>
      </c>
      <c r="F1116" t="s">
        <v>545</v>
      </c>
      <c r="G1116" t="s">
        <v>190</v>
      </c>
      <c r="H1116" t="s">
        <v>189</v>
      </c>
      <c r="I1116" t="s">
        <v>820</v>
      </c>
      <c r="J1116">
        <v>2000</v>
      </c>
      <c r="K1116" t="b">
        <v>0</v>
      </c>
      <c r="X1116">
        <v>60.91</v>
      </c>
      <c r="AD1116">
        <v>61</v>
      </c>
      <c r="AG1116" t="s">
        <v>884</v>
      </c>
      <c r="AH1116" t="s">
        <v>885</v>
      </c>
    </row>
    <row r="1117" spans="1:34" x14ac:dyDescent="0.35">
      <c r="A1117" t="s">
        <v>880</v>
      </c>
      <c r="B1117" t="s">
        <v>881</v>
      </c>
      <c r="C1117" t="s">
        <v>882</v>
      </c>
      <c r="D1117" t="s">
        <v>20</v>
      </c>
      <c r="E1117" t="s">
        <v>789</v>
      </c>
      <c r="F1117" t="s">
        <v>545</v>
      </c>
      <c r="G1117" t="s">
        <v>461</v>
      </c>
      <c r="H1117" t="s">
        <v>460</v>
      </c>
      <c r="I1117" t="s">
        <v>820</v>
      </c>
      <c r="J1117">
        <v>2000</v>
      </c>
      <c r="K1117" t="b">
        <v>0</v>
      </c>
      <c r="X1117">
        <v>60.57</v>
      </c>
      <c r="AD1117">
        <v>61</v>
      </c>
      <c r="AG1117" t="s">
        <v>884</v>
      </c>
      <c r="AH1117" t="s">
        <v>885</v>
      </c>
    </row>
    <row r="1118" spans="1:34" x14ac:dyDescent="0.35">
      <c r="A1118" t="s">
        <v>880</v>
      </c>
      <c r="B1118" t="s">
        <v>881</v>
      </c>
      <c r="C1118" t="s">
        <v>882</v>
      </c>
      <c r="D1118" t="s">
        <v>0</v>
      </c>
      <c r="E1118" t="s">
        <v>887</v>
      </c>
      <c r="F1118" t="s">
        <v>545</v>
      </c>
      <c r="G1118" t="s">
        <v>425</v>
      </c>
      <c r="H1118" t="s">
        <v>424</v>
      </c>
      <c r="I1118" t="s">
        <v>820</v>
      </c>
      <c r="J1118">
        <v>2000</v>
      </c>
      <c r="K1118" t="b">
        <v>0</v>
      </c>
      <c r="X1118">
        <v>61.97</v>
      </c>
      <c r="AD1118">
        <v>62</v>
      </c>
      <c r="AG1118" t="s">
        <v>884</v>
      </c>
      <c r="AH1118" t="s">
        <v>885</v>
      </c>
    </row>
    <row r="1119" spans="1:34" x14ac:dyDescent="0.35">
      <c r="A1119" t="s">
        <v>880</v>
      </c>
      <c r="B1119" t="s">
        <v>881</v>
      </c>
      <c r="C1119" t="s">
        <v>882</v>
      </c>
      <c r="D1119" t="s">
        <v>20</v>
      </c>
      <c r="E1119" t="s">
        <v>789</v>
      </c>
      <c r="F1119" t="s">
        <v>545</v>
      </c>
      <c r="G1119" t="s">
        <v>492</v>
      </c>
      <c r="H1119" t="s">
        <v>491</v>
      </c>
      <c r="I1119" t="s">
        <v>820</v>
      </c>
      <c r="J1119">
        <v>2000</v>
      </c>
      <c r="K1119" t="b">
        <v>0</v>
      </c>
      <c r="X1119">
        <v>62.44</v>
      </c>
      <c r="AD1119">
        <v>62</v>
      </c>
      <c r="AG1119" t="s">
        <v>884</v>
      </c>
      <c r="AH1119" t="s">
        <v>885</v>
      </c>
    </row>
    <row r="1120" spans="1:34" x14ac:dyDescent="0.35">
      <c r="A1120" t="s">
        <v>880</v>
      </c>
      <c r="B1120" t="s">
        <v>881</v>
      </c>
      <c r="C1120" t="s">
        <v>882</v>
      </c>
      <c r="D1120" t="s">
        <v>1</v>
      </c>
      <c r="E1120" t="s">
        <v>889</v>
      </c>
      <c r="F1120" t="s">
        <v>545</v>
      </c>
      <c r="G1120" t="s">
        <v>252</v>
      </c>
      <c r="H1120" t="s">
        <v>251</v>
      </c>
      <c r="I1120" t="s">
        <v>820</v>
      </c>
      <c r="J1120">
        <v>2000</v>
      </c>
      <c r="K1120" t="b">
        <v>0</v>
      </c>
      <c r="X1120">
        <v>62.93</v>
      </c>
      <c r="AD1120">
        <v>63</v>
      </c>
      <c r="AG1120" t="s">
        <v>884</v>
      </c>
      <c r="AH1120" t="s">
        <v>885</v>
      </c>
    </row>
    <row r="1121" spans="1:34" x14ac:dyDescent="0.35">
      <c r="A1121" t="s">
        <v>880</v>
      </c>
      <c r="B1121" t="s">
        <v>881</v>
      </c>
      <c r="C1121" t="s">
        <v>882</v>
      </c>
      <c r="D1121" t="s">
        <v>4</v>
      </c>
      <c r="E1121" t="s">
        <v>883</v>
      </c>
      <c r="F1121" t="s">
        <v>545</v>
      </c>
      <c r="G1121" t="s">
        <v>515</v>
      </c>
      <c r="H1121" t="s">
        <v>514</v>
      </c>
      <c r="I1121" t="s">
        <v>820</v>
      </c>
      <c r="J1121">
        <v>2000</v>
      </c>
      <c r="K1121" t="b">
        <v>0</v>
      </c>
      <c r="X1121">
        <v>63.42</v>
      </c>
      <c r="AD1121">
        <v>63</v>
      </c>
      <c r="AG1121" t="s">
        <v>884</v>
      </c>
      <c r="AH1121" t="s">
        <v>885</v>
      </c>
    </row>
    <row r="1122" spans="1:34" x14ac:dyDescent="0.35">
      <c r="A1122" t="s">
        <v>880</v>
      </c>
      <c r="B1122" t="s">
        <v>881</v>
      </c>
      <c r="C1122" t="s">
        <v>882</v>
      </c>
      <c r="D1122" t="s">
        <v>20</v>
      </c>
      <c r="E1122" t="s">
        <v>789</v>
      </c>
      <c r="F1122" t="s">
        <v>545</v>
      </c>
      <c r="G1122" t="s">
        <v>404</v>
      </c>
      <c r="H1122" t="s">
        <v>403</v>
      </c>
      <c r="I1122" t="s">
        <v>820</v>
      </c>
      <c r="J1122">
        <v>2000</v>
      </c>
      <c r="K1122" t="b">
        <v>0</v>
      </c>
      <c r="X1122">
        <v>63.13</v>
      </c>
      <c r="AD1122">
        <v>63</v>
      </c>
      <c r="AG1122" t="s">
        <v>884</v>
      </c>
      <c r="AH1122" t="s">
        <v>885</v>
      </c>
    </row>
    <row r="1123" spans="1:34" x14ac:dyDescent="0.35">
      <c r="A1123" t="s">
        <v>880</v>
      </c>
      <c r="B1123" t="s">
        <v>881</v>
      </c>
      <c r="C1123" t="s">
        <v>882</v>
      </c>
      <c r="D1123" t="s">
        <v>4</v>
      </c>
      <c r="E1123" t="s">
        <v>883</v>
      </c>
      <c r="F1123" t="s">
        <v>545</v>
      </c>
      <c r="G1123" t="s">
        <v>132</v>
      </c>
      <c r="H1123" t="s">
        <v>131</v>
      </c>
      <c r="I1123" t="s">
        <v>820</v>
      </c>
      <c r="J1123">
        <v>2000</v>
      </c>
      <c r="K1123" t="b">
        <v>0</v>
      </c>
      <c r="X1123">
        <v>63.85</v>
      </c>
      <c r="AD1123">
        <v>64</v>
      </c>
      <c r="AG1123" t="s">
        <v>884</v>
      </c>
      <c r="AH1123" t="s">
        <v>885</v>
      </c>
    </row>
    <row r="1124" spans="1:34" x14ac:dyDescent="0.35">
      <c r="A1124" t="s">
        <v>880</v>
      </c>
      <c r="B1124" t="s">
        <v>881</v>
      </c>
      <c r="C1124" t="s">
        <v>882</v>
      </c>
      <c r="D1124" t="s">
        <v>1</v>
      </c>
      <c r="E1124" t="s">
        <v>889</v>
      </c>
      <c r="F1124" t="s">
        <v>545</v>
      </c>
      <c r="G1124" t="s">
        <v>392</v>
      </c>
      <c r="H1124" t="s">
        <v>391</v>
      </c>
      <c r="I1124" t="s">
        <v>820</v>
      </c>
      <c r="J1124">
        <v>2000</v>
      </c>
      <c r="K1124" t="b">
        <v>0</v>
      </c>
      <c r="X1124">
        <v>63.64</v>
      </c>
      <c r="AD1124">
        <v>64</v>
      </c>
      <c r="AG1124" t="s">
        <v>884</v>
      </c>
      <c r="AH1124" t="s">
        <v>885</v>
      </c>
    </row>
    <row r="1125" spans="1:34" x14ac:dyDescent="0.35">
      <c r="A1125" t="s">
        <v>880</v>
      </c>
      <c r="B1125" t="s">
        <v>881</v>
      </c>
      <c r="C1125" t="s">
        <v>882</v>
      </c>
      <c r="D1125" t="s">
        <v>1</v>
      </c>
      <c r="E1125" t="s">
        <v>889</v>
      </c>
      <c r="F1125" t="s">
        <v>545</v>
      </c>
      <c r="G1125" t="s">
        <v>258</v>
      </c>
      <c r="H1125" t="s">
        <v>257</v>
      </c>
      <c r="I1125" t="s">
        <v>820</v>
      </c>
      <c r="J1125">
        <v>2000</v>
      </c>
      <c r="K1125" t="b">
        <v>0</v>
      </c>
      <c r="X1125">
        <v>65.040000000000006</v>
      </c>
      <c r="AD1125">
        <v>65</v>
      </c>
      <c r="AG1125" t="s">
        <v>884</v>
      </c>
      <c r="AH1125" t="s">
        <v>885</v>
      </c>
    </row>
    <row r="1126" spans="1:34" x14ac:dyDescent="0.35">
      <c r="A1126" t="s">
        <v>880</v>
      </c>
      <c r="B1126" t="s">
        <v>881</v>
      </c>
      <c r="C1126" t="s">
        <v>882</v>
      </c>
      <c r="D1126" t="s">
        <v>1</v>
      </c>
      <c r="E1126" t="s">
        <v>889</v>
      </c>
      <c r="F1126" t="s">
        <v>545</v>
      </c>
      <c r="G1126" t="s">
        <v>61</v>
      </c>
      <c r="H1126" t="s">
        <v>60</v>
      </c>
      <c r="I1126" t="s">
        <v>820</v>
      </c>
      <c r="J1126">
        <v>2000</v>
      </c>
      <c r="K1126" t="b">
        <v>0</v>
      </c>
      <c r="X1126">
        <v>65.11</v>
      </c>
      <c r="AD1126">
        <v>65</v>
      </c>
      <c r="AG1126" t="s">
        <v>884</v>
      </c>
      <c r="AH1126" t="s">
        <v>885</v>
      </c>
    </row>
    <row r="1127" spans="1:34" x14ac:dyDescent="0.35">
      <c r="A1127" t="s">
        <v>880</v>
      </c>
      <c r="B1127" t="s">
        <v>881</v>
      </c>
      <c r="C1127" t="s">
        <v>882</v>
      </c>
      <c r="D1127" t="s">
        <v>20</v>
      </c>
      <c r="E1127" t="s">
        <v>789</v>
      </c>
      <c r="F1127" t="s">
        <v>545</v>
      </c>
      <c r="G1127" t="s">
        <v>205</v>
      </c>
      <c r="H1127" t="s">
        <v>204</v>
      </c>
      <c r="I1127" t="s">
        <v>820</v>
      </c>
      <c r="J1127">
        <v>2000</v>
      </c>
      <c r="K1127" t="b">
        <v>0</v>
      </c>
      <c r="X1127">
        <v>65.58</v>
      </c>
      <c r="AD1127">
        <v>66</v>
      </c>
      <c r="AG1127" t="s">
        <v>884</v>
      </c>
      <c r="AH1127" t="s">
        <v>885</v>
      </c>
    </row>
    <row r="1128" spans="1:34" x14ac:dyDescent="0.35">
      <c r="A1128" t="s">
        <v>880</v>
      </c>
      <c r="B1128" t="s">
        <v>881</v>
      </c>
      <c r="C1128" t="s">
        <v>882</v>
      </c>
      <c r="D1128" t="s">
        <v>20</v>
      </c>
      <c r="E1128" t="s">
        <v>789</v>
      </c>
      <c r="F1128" t="s">
        <v>545</v>
      </c>
      <c r="G1128" t="s">
        <v>222</v>
      </c>
      <c r="H1128" t="s">
        <v>221</v>
      </c>
      <c r="I1128" t="s">
        <v>820</v>
      </c>
      <c r="J1128">
        <v>2000</v>
      </c>
      <c r="K1128" t="b">
        <v>0</v>
      </c>
      <c r="X1128">
        <v>65.92</v>
      </c>
      <c r="AD1128">
        <v>66</v>
      </c>
      <c r="AG1128" t="s">
        <v>884</v>
      </c>
      <c r="AH1128" t="s">
        <v>885</v>
      </c>
    </row>
    <row r="1129" spans="1:34" x14ac:dyDescent="0.35">
      <c r="A1129" t="s">
        <v>880</v>
      </c>
      <c r="B1129" t="s">
        <v>881</v>
      </c>
      <c r="C1129" t="s">
        <v>882</v>
      </c>
      <c r="D1129" t="s">
        <v>20</v>
      </c>
      <c r="E1129" t="s">
        <v>789</v>
      </c>
      <c r="F1129" t="s">
        <v>545</v>
      </c>
      <c r="G1129" t="s">
        <v>102</v>
      </c>
      <c r="H1129" t="s">
        <v>101</v>
      </c>
      <c r="I1129" t="s">
        <v>820</v>
      </c>
      <c r="J1129">
        <v>2000</v>
      </c>
      <c r="K1129" t="b">
        <v>0</v>
      </c>
      <c r="X1129">
        <v>66.33</v>
      </c>
      <c r="AD1129">
        <v>66</v>
      </c>
      <c r="AG1129" t="s">
        <v>884</v>
      </c>
      <c r="AH1129" t="s">
        <v>885</v>
      </c>
    </row>
    <row r="1130" spans="1:34" x14ac:dyDescent="0.35">
      <c r="A1130" t="s">
        <v>880</v>
      </c>
      <c r="B1130" t="s">
        <v>881</v>
      </c>
      <c r="C1130" t="s">
        <v>882</v>
      </c>
      <c r="D1130" t="s">
        <v>20</v>
      </c>
      <c r="E1130" t="s">
        <v>789</v>
      </c>
      <c r="F1130" t="s">
        <v>545</v>
      </c>
      <c r="G1130" t="s">
        <v>237</v>
      </c>
      <c r="H1130" t="s">
        <v>236</v>
      </c>
      <c r="I1130" t="s">
        <v>820</v>
      </c>
      <c r="J1130">
        <v>2000</v>
      </c>
      <c r="K1130" t="b">
        <v>0</v>
      </c>
      <c r="X1130">
        <v>67.25</v>
      </c>
      <c r="AD1130">
        <v>67</v>
      </c>
      <c r="AG1130" t="s">
        <v>884</v>
      </c>
      <c r="AH1130" t="s">
        <v>885</v>
      </c>
    </row>
    <row r="1131" spans="1:34" x14ac:dyDescent="0.35">
      <c r="A1131" t="s">
        <v>880</v>
      </c>
      <c r="B1131" t="s">
        <v>881</v>
      </c>
      <c r="C1131" t="s">
        <v>882</v>
      </c>
      <c r="D1131" t="s">
        <v>20</v>
      </c>
      <c r="E1131" t="s">
        <v>789</v>
      </c>
      <c r="F1131" t="s">
        <v>545</v>
      </c>
      <c r="G1131" t="s">
        <v>261</v>
      </c>
      <c r="H1131" t="s">
        <v>260</v>
      </c>
      <c r="I1131" t="s">
        <v>820</v>
      </c>
      <c r="J1131">
        <v>2000</v>
      </c>
      <c r="K1131" t="b">
        <v>0</v>
      </c>
      <c r="X1131">
        <v>66.760000000000005</v>
      </c>
      <c r="AD1131">
        <v>67</v>
      </c>
      <c r="AG1131" t="s">
        <v>884</v>
      </c>
      <c r="AH1131" t="s">
        <v>885</v>
      </c>
    </row>
    <row r="1132" spans="1:34" x14ac:dyDescent="0.35">
      <c r="A1132" t="s">
        <v>880</v>
      </c>
      <c r="B1132" t="s">
        <v>881</v>
      </c>
      <c r="C1132" t="s">
        <v>882</v>
      </c>
      <c r="D1132" t="s">
        <v>20</v>
      </c>
      <c r="E1132" t="s">
        <v>789</v>
      </c>
      <c r="F1132" t="s">
        <v>545</v>
      </c>
      <c r="G1132" t="s">
        <v>104</v>
      </c>
      <c r="H1132" t="s">
        <v>103</v>
      </c>
      <c r="I1132" t="s">
        <v>820</v>
      </c>
      <c r="J1132">
        <v>2000</v>
      </c>
      <c r="K1132" t="b">
        <v>0</v>
      </c>
      <c r="X1132">
        <v>66.94</v>
      </c>
      <c r="AD1132">
        <v>67</v>
      </c>
      <c r="AG1132" t="s">
        <v>884</v>
      </c>
      <c r="AH1132" t="s">
        <v>885</v>
      </c>
    </row>
    <row r="1133" spans="1:34" x14ac:dyDescent="0.35">
      <c r="A1133" t="s">
        <v>880</v>
      </c>
      <c r="B1133" t="s">
        <v>881</v>
      </c>
      <c r="C1133" t="s">
        <v>882</v>
      </c>
      <c r="D1133" t="s">
        <v>4</v>
      </c>
      <c r="E1133" t="s">
        <v>883</v>
      </c>
      <c r="F1133" t="s">
        <v>545</v>
      </c>
      <c r="G1133" t="s">
        <v>506</v>
      </c>
      <c r="H1133" t="s">
        <v>505</v>
      </c>
      <c r="I1133" t="s">
        <v>820</v>
      </c>
      <c r="J1133">
        <v>2000</v>
      </c>
      <c r="K1133" t="b">
        <v>0</v>
      </c>
      <c r="X1133">
        <v>67.010000000000005</v>
      </c>
      <c r="AD1133">
        <v>67</v>
      </c>
      <c r="AG1133" t="s">
        <v>884</v>
      </c>
      <c r="AH1133" t="s">
        <v>885</v>
      </c>
    </row>
    <row r="1134" spans="1:34" x14ac:dyDescent="0.35">
      <c r="A1134" t="s">
        <v>880</v>
      </c>
      <c r="B1134" t="s">
        <v>881</v>
      </c>
      <c r="C1134" t="s">
        <v>882</v>
      </c>
      <c r="D1134" t="s">
        <v>20</v>
      </c>
      <c r="E1134" t="s">
        <v>789</v>
      </c>
      <c r="F1134" t="s">
        <v>545</v>
      </c>
      <c r="G1134" t="s">
        <v>481</v>
      </c>
      <c r="H1134" t="s">
        <v>480</v>
      </c>
      <c r="I1134" t="s">
        <v>820</v>
      </c>
      <c r="J1134">
        <v>2000</v>
      </c>
      <c r="K1134" t="b">
        <v>0</v>
      </c>
      <c r="X1134">
        <v>67.2</v>
      </c>
      <c r="AD1134">
        <v>67</v>
      </c>
      <c r="AG1134" t="s">
        <v>884</v>
      </c>
      <c r="AH1134" t="s">
        <v>885</v>
      </c>
    </row>
    <row r="1135" spans="1:34" x14ac:dyDescent="0.35">
      <c r="A1135" t="s">
        <v>880</v>
      </c>
      <c r="B1135" t="s">
        <v>881</v>
      </c>
      <c r="C1135" t="s">
        <v>882</v>
      </c>
      <c r="D1135" t="s">
        <v>1</v>
      </c>
      <c r="E1135" t="s">
        <v>889</v>
      </c>
      <c r="F1135" t="s">
        <v>545</v>
      </c>
      <c r="G1135" t="s">
        <v>10</v>
      </c>
      <c r="H1135" t="s">
        <v>9</v>
      </c>
      <c r="I1135" t="s">
        <v>820</v>
      </c>
      <c r="J1135">
        <v>2000</v>
      </c>
      <c r="K1135" t="b">
        <v>0</v>
      </c>
      <c r="X1135">
        <v>68.05</v>
      </c>
      <c r="AD1135">
        <v>68</v>
      </c>
      <c r="AG1135" t="s">
        <v>884</v>
      </c>
      <c r="AH1135" t="s">
        <v>885</v>
      </c>
    </row>
    <row r="1136" spans="1:34" x14ac:dyDescent="0.35">
      <c r="A1136" t="s">
        <v>880</v>
      </c>
      <c r="B1136" t="s">
        <v>881</v>
      </c>
      <c r="C1136" t="s">
        <v>882</v>
      </c>
      <c r="D1136" t="s">
        <v>1</v>
      </c>
      <c r="E1136" t="s">
        <v>889</v>
      </c>
      <c r="F1136" t="s">
        <v>545</v>
      </c>
      <c r="G1136" t="s">
        <v>83</v>
      </c>
      <c r="H1136" t="s">
        <v>82</v>
      </c>
      <c r="I1136" t="s">
        <v>820</v>
      </c>
      <c r="J1136">
        <v>2000</v>
      </c>
      <c r="K1136" t="b">
        <v>0</v>
      </c>
      <c r="X1136">
        <v>68.459999999999994</v>
      </c>
      <c r="AD1136">
        <v>68</v>
      </c>
      <c r="AG1136" t="s">
        <v>884</v>
      </c>
      <c r="AH1136" t="s">
        <v>885</v>
      </c>
    </row>
    <row r="1137" spans="1:34" x14ac:dyDescent="0.35">
      <c r="A1137" t="s">
        <v>880</v>
      </c>
      <c r="B1137" t="s">
        <v>881</v>
      </c>
      <c r="C1137" t="s">
        <v>882</v>
      </c>
      <c r="D1137" t="s">
        <v>20</v>
      </c>
      <c r="E1137" t="s">
        <v>789</v>
      </c>
      <c r="F1137" t="s">
        <v>545</v>
      </c>
      <c r="G1137" t="s">
        <v>328</v>
      </c>
      <c r="H1137" t="s">
        <v>327</v>
      </c>
      <c r="I1137" t="s">
        <v>820</v>
      </c>
      <c r="J1137">
        <v>2000</v>
      </c>
      <c r="K1137" t="b">
        <v>0</v>
      </c>
      <c r="X1137">
        <v>70.25</v>
      </c>
      <c r="AD1137">
        <v>70</v>
      </c>
      <c r="AG1137" t="s">
        <v>884</v>
      </c>
      <c r="AH1137" t="s">
        <v>885</v>
      </c>
    </row>
    <row r="1138" spans="1:34" x14ac:dyDescent="0.35">
      <c r="A1138" t="s">
        <v>880</v>
      </c>
      <c r="B1138" t="s">
        <v>881</v>
      </c>
      <c r="C1138" t="s">
        <v>882</v>
      </c>
      <c r="D1138" t="s">
        <v>0</v>
      </c>
      <c r="E1138" t="s">
        <v>887</v>
      </c>
      <c r="F1138" t="s">
        <v>545</v>
      </c>
      <c r="G1138" t="s">
        <v>127</v>
      </c>
      <c r="H1138" t="s">
        <v>126</v>
      </c>
      <c r="I1138" t="s">
        <v>820</v>
      </c>
      <c r="J1138">
        <v>2000</v>
      </c>
      <c r="K1138" t="b">
        <v>0</v>
      </c>
      <c r="X1138">
        <v>69.92</v>
      </c>
      <c r="AD1138">
        <v>70</v>
      </c>
      <c r="AG1138" t="s">
        <v>884</v>
      </c>
      <c r="AH1138" t="s">
        <v>885</v>
      </c>
    </row>
    <row r="1139" spans="1:34" x14ac:dyDescent="0.35">
      <c r="A1139" t="s">
        <v>880</v>
      </c>
      <c r="B1139" t="s">
        <v>881</v>
      </c>
      <c r="C1139" t="s">
        <v>882</v>
      </c>
      <c r="D1139" t="s">
        <v>20</v>
      </c>
      <c r="E1139" t="s">
        <v>789</v>
      </c>
      <c r="F1139" t="s">
        <v>545</v>
      </c>
      <c r="G1139" t="s">
        <v>202</v>
      </c>
      <c r="H1139" t="s">
        <v>201</v>
      </c>
      <c r="I1139" t="s">
        <v>820</v>
      </c>
      <c r="J1139">
        <v>2000</v>
      </c>
      <c r="K1139" t="b">
        <v>0</v>
      </c>
      <c r="X1139">
        <v>71.16</v>
      </c>
      <c r="AD1139">
        <v>71</v>
      </c>
      <c r="AG1139" t="s">
        <v>884</v>
      </c>
      <c r="AH1139" t="s">
        <v>885</v>
      </c>
    </row>
    <row r="1140" spans="1:34" x14ac:dyDescent="0.35">
      <c r="A1140" t="s">
        <v>880</v>
      </c>
      <c r="B1140" t="s">
        <v>881</v>
      </c>
      <c r="C1140" t="s">
        <v>882</v>
      </c>
      <c r="D1140" t="s">
        <v>20</v>
      </c>
      <c r="E1140" t="s">
        <v>789</v>
      </c>
      <c r="F1140" t="s">
        <v>545</v>
      </c>
      <c r="G1140" t="s">
        <v>428</v>
      </c>
      <c r="H1140" t="s">
        <v>427</v>
      </c>
      <c r="I1140" t="s">
        <v>820</v>
      </c>
      <c r="J1140">
        <v>2000</v>
      </c>
      <c r="K1140" t="b">
        <v>0</v>
      </c>
      <c r="X1140">
        <v>71.27</v>
      </c>
      <c r="AD1140">
        <v>71</v>
      </c>
      <c r="AG1140" t="s">
        <v>884</v>
      </c>
      <c r="AH1140" t="s">
        <v>885</v>
      </c>
    </row>
    <row r="1141" spans="1:34" x14ac:dyDescent="0.35">
      <c r="A1141" t="s">
        <v>880</v>
      </c>
      <c r="B1141" t="s">
        <v>881</v>
      </c>
      <c r="C1141" t="s">
        <v>882</v>
      </c>
      <c r="D1141" t="s">
        <v>20</v>
      </c>
      <c r="E1141" t="s">
        <v>789</v>
      </c>
      <c r="F1141" t="s">
        <v>545</v>
      </c>
      <c r="G1141" t="s">
        <v>42</v>
      </c>
      <c r="H1141" t="s">
        <v>41</v>
      </c>
      <c r="I1141" t="s">
        <v>820</v>
      </c>
      <c r="J1141">
        <v>2000</v>
      </c>
      <c r="K1141" t="b">
        <v>0</v>
      </c>
      <c r="X1141">
        <v>71.959999999999994</v>
      </c>
      <c r="AD1141">
        <v>72</v>
      </c>
      <c r="AG1141" t="s">
        <v>884</v>
      </c>
      <c r="AH1141" t="s">
        <v>885</v>
      </c>
    </row>
    <row r="1142" spans="1:34" x14ac:dyDescent="0.35">
      <c r="A1142" t="s">
        <v>880</v>
      </c>
      <c r="B1142" t="s">
        <v>881</v>
      </c>
      <c r="C1142" t="s">
        <v>882</v>
      </c>
      <c r="D1142" t="s">
        <v>20</v>
      </c>
      <c r="E1142" t="s">
        <v>789</v>
      </c>
      <c r="F1142" t="s">
        <v>545</v>
      </c>
      <c r="G1142" t="s">
        <v>363</v>
      </c>
      <c r="H1142" t="s">
        <v>362</v>
      </c>
      <c r="I1142" t="s">
        <v>820</v>
      </c>
      <c r="J1142">
        <v>2000</v>
      </c>
      <c r="K1142" t="b">
        <v>0</v>
      </c>
      <c r="X1142">
        <v>71.91</v>
      </c>
      <c r="AD1142">
        <v>72</v>
      </c>
      <c r="AG1142" t="s">
        <v>884</v>
      </c>
      <c r="AH1142" t="s">
        <v>885</v>
      </c>
    </row>
    <row r="1143" spans="1:34" x14ac:dyDescent="0.35">
      <c r="A1143" t="s">
        <v>880</v>
      </c>
      <c r="B1143" t="s">
        <v>881</v>
      </c>
      <c r="C1143" t="s">
        <v>882</v>
      </c>
      <c r="D1143" t="s">
        <v>20</v>
      </c>
      <c r="E1143" t="s">
        <v>789</v>
      </c>
      <c r="F1143" t="s">
        <v>545</v>
      </c>
      <c r="G1143" t="s">
        <v>410</v>
      </c>
      <c r="H1143" t="s">
        <v>409</v>
      </c>
      <c r="I1143" t="s">
        <v>820</v>
      </c>
      <c r="J1143">
        <v>2000</v>
      </c>
      <c r="K1143" t="b">
        <v>0</v>
      </c>
      <c r="X1143">
        <v>72.52</v>
      </c>
      <c r="AD1143">
        <v>73</v>
      </c>
      <c r="AG1143" t="s">
        <v>884</v>
      </c>
      <c r="AH1143" t="s">
        <v>885</v>
      </c>
    </row>
    <row r="1144" spans="1:34" x14ac:dyDescent="0.35">
      <c r="A1144" t="s">
        <v>880</v>
      </c>
      <c r="B1144" t="s">
        <v>881</v>
      </c>
      <c r="C1144" t="s">
        <v>882</v>
      </c>
      <c r="D1144" t="s">
        <v>4</v>
      </c>
      <c r="E1144" t="s">
        <v>883</v>
      </c>
      <c r="F1144" t="s">
        <v>545</v>
      </c>
      <c r="G1144" t="s">
        <v>159</v>
      </c>
      <c r="H1144" t="s">
        <v>158</v>
      </c>
      <c r="I1144" t="s">
        <v>820</v>
      </c>
      <c r="J1144">
        <v>2000</v>
      </c>
      <c r="K1144" t="b">
        <v>0</v>
      </c>
      <c r="X1144">
        <v>73.39</v>
      </c>
      <c r="AD1144">
        <v>73</v>
      </c>
      <c r="AG1144" t="s">
        <v>884</v>
      </c>
      <c r="AH1144" t="s">
        <v>885</v>
      </c>
    </row>
    <row r="1145" spans="1:34" x14ac:dyDescent="0.35">
      <c r="A1145" t="s">
        <v>880</v>
      </c>
      <c r="B1145" t="s">
        <v>881</v>
      </c>
      <c r="C1145" t="s">
        <v>882</v>
      </c>
      <c r="D1145" t="s">
        <v>20</v>
      </c>
      <c r="E1145" t="s">
        <v>789</v>
      </c>
      <c r="F1145" t="s">
        <v>545</v>
      </c>
      <c r="G1145" t="s">
        <v>156</v>
      </c>
      <c r="H1145" t="s">
        <v>155</v>
      </c>
      <c r="I1145" t="s">
        <v>820</v>
      </c>
      <c r="J1145">
        <v>2000</v>
      </c>
      <c r="K1145" t="b">
        <v>0</v>
      </c>
      <c r="X1145">
        <v>74.290000000000006</v>
      </c>
      <c r="AD1145">
        <v>74</v>
      </c>
      <c r="AG1145" t="s">
        <v>884</v>
      </c>
      <c r="AH1145" t="s">
        <v>885</v>
      </c>
    </row>
    <row r="1146" spans="1:34" x14ac:dyDescent="0.35">
      <c r="A1146" t="s">
        <v>880</v>
      </c>
      <c r="B1146" t="s">
        <v>881</v>
      </c>
      <c r="C1146" t="s">
        <v>882</v>
      </c>
      <c r="D1146" t="s">
        <v>20</v>
      </c>
      <c r="E1146" t="s">
        <v>789</v>
      </c>
      <c r="F1146" t="s">
        <v>545</v>
      </c>
      <c r="G1146" t="s">
        <v>162</v>
      </c>
      <c r="H1146" t="s">
        <v>161</v>
      </c>
      <c r="I1146" t="s">
        <v>820</v>
      </c>
      <c r="J1146">
        <v>2000</v>
      </c>
      <c r="K1146" t="b">
        <v>0</v>
      </c>
      <c r="X1146">
        <v>73.66</v>
      </c>
      <c r="AD1146">
        <v>74</v>
      </c>
      <c r="AG1146" t="s">
        <v>884</v>
      </c>
      <c r="AH1146" t="s">
        <v>885</v>
      </c>
    </row>
    <row r="1147" spans="1:34" x14ac:dyDescent="0.35">
      <c r="A1147" t="s">
        <v>880</v>
      </c>
      <c r="B1147" t="s">
        <v>881</v>
      </c>
      <c r="C1147" t="s">
        <v>882</v>
      </c>
      <c r="D1147" t="s">
        <v>20</v>
      </c>
      <c r="E1147" t="s">
        <v>789</v>
      </c>
      <c r="F1147" t="s">
        <v>545</v>
      </c>
      <c r="G1147" t="s">
        <v>536</v>
      </c>
      <c r="H1147" t="s">
        <v>535</v>
      </c>
      <c r="I1147" t="s">
        <v>820</v>
      </c>
      <c r="J1147">
        <v>2000</v>
      </c>
      <c r="K1147" t="b">
        <v>0</v>
      </c>
      <c r="X1147">
        <v>74.17</v>
      </c>
      <c r="AD1147">
        <v>74</v>
      </c>
      <c r="AG1147" t="s">
        <v>884</v>
      </c>
      <c r="AH1147" t="s">
        <v>885</v>
      </c>
    </row>
    <row r="1148" spans="1:34" x14ac:dyDescent="0.35">
      <c r="A1148" t="s">
        <v>880</v>
      </c>
      <c r="B1148" t="s">
        <v>881</v>
      </c>
      <c r="C1148" t="s">
        <v>882</v>
      </c>
      <c r="D1148" t="s">
        <v>20</v>
      </c>
      <c r="E1148" t="s">
        <v>789</v>
      </c>
      <c r="F1148" t="s">
        <v>545</v>
      </c>
      <c r="G1148" t="s">
        <v>289</v>
      </c>
      <c r="H1148" t="s">
        <v>288</v>
      </c>
      <c r="I1148" t="s">
        <v>820</v>
      </c>
      <c r="J1148">
        <v>2000</v>
      </c>
      <c r="K1148" t="b">
        <v>0</v>
      </c>
      <c r="X1148">
        <v>74.75</v>
      </c>
      <c r="AD1148">
        <v>75</v>
      </c>
      <c r="AG1148" t="s">
        <v>884</v>
      </c>
      <c r="AH1148" t="s">
        <v>885</v>
      </c>
    </row>
    <row r="1149" spans="1:34" x14ac:dyDescent="0.35">
      <c r="A1149" t="s">
        <v>880</v>
      </c>
      <c r="B1149" t="s">
        <v>881</v>
      </c>
      <c r="C1149" t="s">
        <v>882</v>
      </c>
      <c r="D1149" t="s">
        <v>20</v>
      </c>
      <c r="E1149" t="s">
        <v>789</v>
      </c>
      <c r="F1149" t="s">
        <v>545</v>
      </c>
      <c r="G1149" t="s">
        <v>112</v>
      </c>
      <c r="H1149" t="s">
        <v>111</v>
      </c>
      <c r="I1149" t="s">
        <v>820</v>
      </c>
      <c r="J1149">
        <v>2000</v>
      </c>
      <c r="K1149" t="b">
        <v>0</v>
      </c>
      <c r="X1149">
        <v>74.540000000000006</v>
      </c>
      <c r="AD1149">
        <v>75</v>
      </c>
      <c r="AG1149" t="s">
        <v>884</v>
      </c>
      <c r="AH1149" t="s">
        <v>885</v>
      </c>
    </row>
    <row r="1150" spans="1:34" x14ac:dyDescent="0.35">
      <c r="A1150" t="s">
        <v>880</v>
      </c>
      <c r="B1150" t="s">
        <v>881</v>
      </c>
      <c r="C1150" t="s">
        <v>882</v>
      </c>
      <c r="D1150" t="s">
        <v>20</v>
      </c>
      <c r="E1150" t="s">
        <v>789</v>
      </c>
      <c r="F1150" t="s">
        <v>545</v>
      </c>
      <c r="G1150" t="s">
        <v>208</v>
      </c>
      <c r="H1150" t="s">
        <v>207</v>
      </c>
      <c r="I1150" t="s">
        <v>820</v>
      </c>
      <c r="J1150">
        <v>2000</v>
      </c>
      <c r="K1150" t="b">
        <v>0</v>
      </c>
      <c r="X1150">
        <v>75.14</v>
      </c>
      <c r="AD1150">
        <v>75</v>
      </c>
      <c r="AG1150" t="s">
        <v>884</v>
      </c>
      <c r="AH1150" t="s">
        <v>885</v>
      </c>
    </row>
    <row r="1151" spans="1:34" x14ac:dyDescent="0.35">
      <c r="A1151" t="s">
        <v>880</v>
      </c>
      <c r="B1151" t="s">
        <v>881</v>
      </c>
      <c r="C1151" t="s">
        <v>882</v>
      </c>
      <c r="D1151" t="s">
        <v>0</v>
      </c>
      <c r="E1151" t="s">
        <v>887</v>
      </c>
      <c r="F1151" t="s">
        <v>545</v>
      </c>
      <c r="G1151" t="s">
        <v>339</v>
      </c>
      <c r="H1151" t="s">
        <v>338</v>
      </c>
      <c r="I1151" t="s">
        <v>820</v>
      </c>
      <c r="J1151">
        <v>2000</v>
      </c>
      <c r="K1151" t="b">
        <v>0</v>
      </c>
      <c r="X1151">
        <v>75.150000000000006</v>
      </c>
      <c r="AD1151">
        <v>75</v>
      </c>
      <c r="AG1151" t="s">
        <v>884</v>
      </c>
      <c r="AH1151" t="s">
        <v>885</v>
      </c>
    </row>
    <row r="1152" spans="1:34" x14ac:dyDescent="0.35">
      <c r="A1152" t="s">
        <v>880</v>
      </c>
      <c r="B1152" t="s">
        <v>881</v>
      </c>
      <c r="C1152" t="s">
        <v>882</v>
      </c>
      <c r="D1152" t="s">
        <v>20</v>
      </c>
      <c r="E1152" t="s">
        <v>789</v>
      </c>
      <c r="F1152" t="s">
        <v>545</v>
      </c>
      <c r="G1152" t="s">
        <v>165</v>
      </c>
      <c r="H1152" t="s">
        <v>164</v>
      </c>
      <c r="I1152" t="s">
        <v>820</v>
      </c>
      <c r="J1152">
        <v>2000</v>
      </c>
      <c r="K1152" t="b">
        <v>0</v>
      </c>
      <c r="X1152">
        <v>74.92</v>
      </c>
      <c r="AD1152">
        <v>75</v>
      </c>
      <c r="AG1152" t="s">
        <v>884</v>
      </c>
      <c r="AH1152" t="s">
        <v>885</v>
      </c>
    </row>
    <row r="1153" spans="1:34" x14ac:dyDescent="0.35">
      <c r="A1153" t="s">
        <v>880</v>
      </c>
      <c r="B1153" t="s">
        <v>881</v>
      </c>
      <c r="C1153" t="s">
        <v>882</v>
      </c>
      <c r="D1153" t="s">
        <v>20</v>
      </c>
      <c r="E1153" t="s">
        <v>789</v>
      </c>
      <c r="F1153" t="s">
        <v>545</v>
      </c>
      <c r="G1153" t="s">
        <v>135</v>
      </c>
      <c r="H1153" t="s">
        <v>134</v>
      </c>
      <c r="I1153" t="s">
        <v>820</v>
      </c>
      <c r="J1153">
        <v>2000</v>
      </c>
      <c r="K1153" t="b">
        <v>0</v>
      </c>
      <c r="X1153">
        <v>76.099999999999994</v>
      </c>
      <c r="AD1153">
        <v>76</v>
      </c>
      <c r="AG1153" t="s">
        <v>884</v>
      </c>
      <c r="AH1153" t="s">
        <v>885</v>
      </c>
    </row>
    <row r="1154" spans="1:34" x14ac:dyDescent="0.35">
      <c r="A1154" t="s">
        <v>880</v>
      </c>
      <c r="B1154" t="s">
        <v>881</v>
      </c>
      <c r="C1154" t="s">
        <v>882</v>
      </c>
      <c r="D1154" t="s">
        <v>1</v>
      </c>
      <c r="E1154" t="s">
        <v>889</v>
      </c>
      <c r="F1154" t="s">
        <v>545</v>
      </c>
      <c r="G1154" t="s">
        <v>29</v>
      </c>
      <c r="H1154" t="s">
        <v>28</v>
      </c>
      <c r="I1154" t="s">
        <v>820</v>
      </c>
      <c r="J1154">
        <v>2000</v>
      </c>
      <c r="K1154" t="b">
        <v>0</v>
      </c>
      <c r="X1154">
        <v>76.040000000000006</v>
      </c>
      <c r="AD1154">
        <v>76</v>
      </c>
      <c r="AG1154" t="s">
        <v>884</v>
      </c>
      <c r="AH1154" t="s">
        <v>885</v>
      </c>
    </row>
    <row r="1155" spans="1:34" x14ac:dyDescent="0.35">
      <c r="A1155" t="s">
        <v>880</v>
      </c>
      <c r="B1155" t="s">
        <v>881</v>
      </c>
      <c r="C1155" t="s">
        <v>882</v>
      </c>
      <c r="D1155" t="s">
        <v>20</v>
      </c>
      <c r="E1155" t="s">
        <v>789</v>
      </c>
      <c r="F1155" t="s">
        <v>545</v>
      </c>
      <c r="G1155" t="s">
        <v>71</v>
      </c>
      <c r="H1155" t="s">
        <v>70</v>
      </c>
      <c r="I1155" t="s">
        <v>820</v>
      </c>
      <c r="J1155">
        <v>2000</v>
      </c>
      <c r="K1155" t="b">
        <v>0</v>
      </c>
      <c r="X1155">
        <v>76.08</v>
      </c>
      <c r="AD1155">
        <v>76</v>
      </c>
      <c r="AG1155" t="s">
        <v>884</v>
      </c>
      <c r="AH1155" t="s">
        <v>885</v>
      </c>
    </row>
    <row r="1156" spans="1:34" x14ac:dyDescent="0.35">
      <c r="A1156" t="s">
        <v>880</v>
      </c>
      <c r="B1156" t="s">
        <v>881</v>
      </c>
      <c r="C1156" t="s">
        <v>882</v>
      </c>
      <c r="D1156" t="s">
        <v>1</v>
      </c>
      <c r="E1156" t="s">
        <v>889</v>
      </c>
      <c r="F1156" t="s">
        <v>545</v>
      </c>
      <c r="G1156" t="s">
        <v>543</v>
      </c>
      <c r="H1156" t="s">
        <v>542</v>
      </c>
      <c r="I1156" t="s">
        <v>820</v>
      </c>
      <c r="J1156">
        <v>2000</v>
      </c>
      <c r="K1156" t="b">
        <v>0</v>
      </c>
      <c r="X1156">
        <v>76.02</v>
      </c>
      <c r="AD1156">
        <v>76</v>
      </c>
      <c r="AG1156" t="s">
        <v>884</v>
      </c>
      <c r="AH1156" t="s">
        <v>885</v>
      </c>
    </row>
    <row r="1157" spans="1:34" x14ac:dyDescent="0.35">
      <c r="A1157" t="s">
        <v>880</v>
      </c>
      <c r="B1157" t="s">
        <v>881</v>
      </c>
      <c r="C1157" t="s">
        <v>882</v>
      </c>
      <c r="D1157" t="s">
        <v>20</v>
      </c>
      <c r="E1157" t="s">
        <v>789</v>
      </c>
      <c r="F1157" t="s">
        <v>545</v>
      </c>
      <c r="G1157" t="s">
        <v>144</v>
      </c>
      <c r="H1157" t="s">
        <v>143</v>
      </c>
      <c r="I1157" t="s">
        <v>820</v>
      </c>
      <c r="J1157">
        <v>2000</v>
      </c>
      <c r="K1157" t="b">
        <v>0</v>
      </c>
      <c r="X1157">
        <v>76.63</v>
      </c>
      <c r="AD1157">
        <v>77</v>
      </c>
      <c r="AG1157" t="s">
        <v>884</v>
      </c>
      <c r="AH1157" t="s">
        <v>885</v>
      </c>
    </row>
    <row r="1158" spans="1:34" x14ac:dyDescent="0.35">
      <c r="A1158" t="s">
        <v>880</v>
      </c>
      <c r="B1158" t="s">
        <v>881</v>
      </c>
      <c r="C1158" t="s">
        <v>882</v>
      </c>
      <c r="D1158" t="s">
        <v>20</v>
      </c>
      <c r="E1158" t="s">
        <v>789</v>
      </c>
      <c r="F1158" t="s">
        <v>545</v>
      </c>
      <c r="G1158" t="s">
        <v>316</v>
      </c>
      <c r="H1158" t="s">
        <v>315</v>
      </c>
      <c r="I1158" t="s">
        <v>820</v>
      </c>
      <c r="J1158">
        <v>2000</v>
      </c>
      <c r="K1158" t="b">
        <v>0</v>
      </c>
      <c r="X1158">
        <v>76.510000000000005</v>
      </c>
      <c r="AD1158">
        <v>77</v>
      </c>
      <c r="AG1158" t="s">
        <v>884</v>
      </c>
      <c r="AH1158" t="s">
        <v>885</v>
      </c>
    </row>
    <row r="1159" spans="1:34" x14ac:dyDescent="0.35">
      <c r="A1159" t="s">
        <v>880</v>
      </c>
      <c r="B1159" t="s">
        <v>881</v>
      </c>
      <c r="C1159" t="s">
        <v>882</v>
      </c>
      <c r="D1159" t="s">
        <v>20</v>
      </c>
      <c r="E1159" t="s">
        <v>789</v>
      </c>
      <c r="F1159" t="s">
        <v>545</v>
      </c>
      <c r="G1159" t="s">
        <v>503</v>
      </c>
      <c r="H1159" t="s">
        <v>502</v>
      </c>
      <c r="I1159" t="s">
        <v>820</v>
      </c>
      <c r="J1159">
        <v>2000</v>
      </c>
      <c r="K1159" t="b">
        <v>0</v>
      </c>
      <c r="X1159">
        <v>76.680000000000007</v>
      </c>
      <c r="AD1159">
        <v>77</v>
      </c>
      <c r="AG1159" t="s">
        <v>884</v>
      </c>
      <c r="AH1159" t="s">
        <v>885</v>
      </c>
    </row>
    <row r="1160" spans="1:34" x14ac:dyDescent="0.35">
      <c r="A1160" t="s">
        <v>880</v>
      </c>
      <c r="B1160" t="s">
        <v>881</v>
      </c>
      <c r="C1160" t="s">
        <v>882</v>
      </c>
      <c r="D1160" t="s">
        <v>20</v>
      </c>
      <c r="E1160" t="s">
        <v>789</v>
      </c>
      <c r="F1160" t="s">
        <v>545</v>
      </c>
      <c r="G1160" t="s">
        <v>94</v>
      </c>
      <c r="H1160" t="s">
        <v>93</v>
      </c>
      <c r="I1160" t="s">
        <v>820</v>
      </c>
      <c r="J1160">
        <v>2000</v>
      </c>
      <c r="K1160" t="b">
        <v>0</v>
      </c>
      <c r="X1160">
        <v>77.38</v>
      </c>
      <c r="AD1160">
        <v>77</v>
      </c>
      <c r="AG1160" t="s">
        <v>884</v>
      </c>
      <c r="AH1160" t="s">
        <v>885</v>
      </c>
    </row>
    <row r="1161" spans="1:34" x14ac:dyDescent="0.35">
      <c r="A1161" t="s">
        <v>880</v>
      </c>
      <c r="B1161" t="s">
        <v>881</v>
      </c>
      <c r="C1161" t="s">
        <v>882</v>
      </c>
      <c r="D1161" t="s">
        <v>0</v>
      </c>
      <c r="E1161" t="s">
        <v>887</v>
      </c>
      <c r="F1161" t="s">
        <v>545</v>
      </c>
      <c r="G1161" t="s">
        <v>187</v>
      </c>
      <c r="H1161" t="s">
        <v>186</v>
      </c>
      <c r="I1161" t="s">
        <v>820</v>
      </c>
      <c r="J1161">
        <v>2000</v>
      </c>
      <c r="K1161" t="b">
        <v>0</v>
      </c>
      <c r="X1161">
        <v>77.48</v>
      </c>
      <c r="AD1161">
        <v>77</v>
      </c>
      <c r="AG1161" t="s">
        <v>884</v>
      </c>
      <c r="AH1161" t="s">
        <v>885</v>
      </c>
    </row>
    <row r="1162" spans="1:34" x14ac:dyDescent="0.35">
      <c r="A1162" t="s">
        <v>880</v>
      </c>
      <c r="B1162" t="s">
        <v>881</v>
      </c>
      <c r="C1162" t="s">
        <v>882</v>
      </c>
      <c r="D1162" t="s">
        <v>20</v>
      </c>
      <c r="E1162" t="s">
        <v>789</v>
      </c>
      <c r="F1162" t="s">
        <v>545</v>
      </c>
      <c r="G1162" t="s">
        <v>518</v>
      </c>
      <c r="H1162" t="s">
        <v>517</v>
      </c>
      <c r="I1162" t="s">
        <v>820</v>
      </c>
      <c r="J1162">
        <v>2000</v>
      </c>
      <c r="K1162" t="b">
        <v>0</v>
      </c>
      <c r="X1162">
        <v>76.84</v>
      </c>
      <c r="AD1162">
        <v>77</v>
      </c>
      <c r="AG1162" t="s">
        <v>884</v>
      </c>
      <c r="AH1162" t="s">
        <v>885</v>
      </c>
    </row>
    <row r="1163" spans="1:34" x14ac:dyDescent="0.35">
      <c r="A1163" t="s">
        <v>880</v>
      </c>
      <c r="B1163" t="s">
        <v>881</v>
      </c>
      <c r="C1163" t="s">
        <v>882</v>
      </c>
      <c r="D1163" t="s">
        <v>20</v>
      </c>
      <c r="E1163" t="s">
        <v>789</v>
      </c>
      <c r="F1163" t="s">
        <v>545</v>
      </c>
      <c r="G1163" t="s">
        <v>129</v>
      </c>
      <c r="H1163" t="s">
        <v>128</v>
      </c>
      <c r="I1163" t="s">
        <v>820</v>
      </c>
      <c r="J1163">
        <v>2000</v>
      </c>
      <c r="K1163" t="b">
        <v>0</v>
      </c>
      <c r="X1163">
        <v>79.349999999999994</v>
      </c>
      <c r="AD1163">
        <v>79</v>
      </c>
      <c r="AG1163" t="s">
        <v>884</v>
      </c>
      <c r="AH1163" t="s">
        <v>885</v>
      </c>
    </row>
    <row r="1164" spans="1:34" x14ac:dyDescent="0.35">
      <c r="A1164" t="s">
        <v>880</v>
      </c>
      <c r="B1164" t="s">
        <v>881</v>
      </c>
      <c r="C1164" t="s">
        <v>882</v>
      </c>
      <c r="D1164" t="s">
        <v>0</v>
      </c>
      <c r="E1164" t="s">
        <v>887</v>
      </c>
      <c r="F1164" t="s">
        <v>545</v>
      </c>
      <c r="G1164" t="s">
        <v>12</v>
      </c>
      <c r="H1164" t="s">
        <v>11</v>
      </c>
      <c r="I1164" t="s">
        <v>820</v>
      </c>
      <c r="J1164">
        <v>2000</v>
      </c>
      <c r="K1164" t="b">
        <v>0</v>
      </c>
      <c r="X1164">
        <v>79.930000000000007</v>
      </c>
      <c r="AD1164">
        <v>80</v>
      </c>
      <c r="AG1164" t="s">
        <v>884</v>
      </c>
      <c r="AH1164" t="s">
        <v>885</v>
      </c>
    </row>
    <row r="1165" spans="1:34" x14ac:dyDescent="0.35">
      <c r="A1165" t="s">
        <v>880</v>
      </c>
      <c r="B1165" t="s">
        <v>881</v>
      </c>
      <c r="C1165" t="s">
        <v>882</v>
      </c>
      <c r="D1165" t="s">
        <v>20</v>
      </c>
      <c r="E1165" t="s">
        <v>789</v>
      </c>
      <c r="F1165" t="s">
        <v>545</v>
      </c>
      <c r="G1165" t="s">
        <v>86</v>
      </c>
      <c r="H1165" t="s">
        <v>85</v>
      </c>
      <c r="I1165" t="s">
        <v>820</v>
      </c>
      <c r="J1165">
        <v>2000</v>
      </c>
      <c r="K1165" t="b">
        <v>0</v>
      </c>
      <c r="X1165">
        <v>81.06</v>
      </c>
      <c r="AD1165">
        <v>81</v>
      </c>
      <c r="AG1165" t="s">
        <v>884</v>
      </c>
      <c r="AH1165" t="s">
        <v>885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A1DC-EA0B-4D2D-AD5D-43A0EFD97422}">
  <dimension ref="A1:K195"/>
  <sheetViews>
    <sheetView topLeftCell="A170" workbookViewId="0">
      <selection activeCell="G1" sqref="G1"/>
    </sheetView>
  </sheetViews>
  <sheetFormatPr defaultRowHeight="14.5" x14ac:dyDescent="0.35"/>
  <sheetData>
    <row r="1" spans="1:11" x14ac:dyDescent="0.35">
      <c r="A1" t="s">
        <v>545</v>
      </c>
      <c r="B1" t="s">
        <v>546</v>
      </c>
      <c r="C1" t="s">
        <v>544</v>
      </c>
      <c r="D1" t="s">
        <v>547</v>
      </c>
      <c r="E1" t="s">
        <v>548</v>
      </c>
      <c r="F1" t="s">
        <v>549</v>
      </c>
      <c r="G1" t="s">
        <v>550</v>
      </c>
      <c r="J1" t="s">
        <v>544</v>
      </c>
      <c r="K1" t="s">
        <v>545</v>
      </c>
    </row>
    <row r="2" spans="1:11" x14ac:dyDescent="0.35">
      <c r="A2" t="s">
        <v>204</v>
      </c>
      <c r="B2" t="s">
        <v>551</v>
      </c>
      <c r="C2" t="s">
        <v>205</v>
      </c>
      <c r="D2" t="s">
        <v>20</v>
      </c>
      <c r="E2" t="s">
        <v>552</v>
      </c>
      <c r="F2" t="s">
        <v>553</v>
      </c>
      <c r="G2">
        <v>20</v>
      </c>
      <c r="J2" t="s">
        <v>205</v>
      </c>
      <c r="K2" t="s">
        <v>204</v>
      </c>
    </row>
    <row r="3" spans="1:11" x14ac:dyDescent="0.35">
      <c r="A3" t="s">
        <v>533</v>
      </c>
      <c r="B3" t="s">
        <v>554</v>
      </c>
      <c r="C3" t="s">
        <v>534</v>
      </c>
      <c r="D3" t="s">
        <v>4</v>
      </c>
      <c r="E3" t="s">
        <v>552</v>
      </c>
      <c r="F3" t="s">
        <v>553</v>
      </c>
      <c r="G3">
        <v>784</v>
      </c>
      <c r="J3" t="s">
        <v>534</v>
      </c>
      <c r="K3" t="s">
        <v>533</v>
      </c>
    </row>
    <row r="4" spans="1:11" x14ac:dyDescent="0.35">
      <c r="A4" t="s">
        <v>113</v>
      </c>
      <c r="B4" t="s">
        <v>555</v>
      </c>
      <c r="C4" t="s">
        <v>114</v>
      </c>
      <c r="D4" t="s">
        <v>4</v>
      </c>
      <c r="E4" t="s">
        <v>556</v>
      </c>
      <c r="F4" t="s">
        <v>553</v>
      </c>
      <c r="G4">
        <v>4</v>
      </c>
      <c r="J4" t="s">
        <v>114</v>
      </c>
      <c r="K4" t="s">
        <v>113</v>
      </c>
    </row>
    <row r="5" spans="1:11" x14ac:dyDescent="0.35">
      <c r="A5" t="s">
        <v>2</v>
      </c>
      <c r="B5" t="s">
        <v>557</v>
      </c>
      <c r="C5" t="s">
        <v>3</v>
      </c>
      <c r="D5" t="s">
        <v>1</v>
      </c>
      <c r="E5" t="s">
        <v>558</v>
      </c>
      <c r="F5" t="s">
        <v>553</v>
      </c>
      <c r="G5">
        <v>28</v>
      </c>
      <c r="J5" t="s">
        <v>3</v>
      </c>
      <c r="K5" t="s">
        <v>2</v>
      </c>
    </row>
    <row r="6" spans="1:11" x14ac:dyDescent="0.35">
      <c r="A6" t="s">
        <v>212</v>
      </c>
      <c r="B6" t="s">
        <v>559</v>
      </c>
      <c r="C6" t="s">
        <v>213</v>
      </c>
      <c r="D6" t="s">
        <v>20</v>
      </c>
      <c r="E6" t="s">
        <v>560</v>
      </c>
      <c r="F6" t="s">
        <v>553</v>
      </c>
      <c r="G6">
        <v>8</v>
      </c>
      <c r="J6" t="s">
        <v>213</v>
      </c>
      <c r="K6" t="s">
        <v>212</v>
      </c>
    </row>
    <row r="7" spans="1:11" x14ac:dyDescent="0.35">
      <c r="A7" t="s">
        <v>218</v>
      </c>
      <c r="B7" t="s">
        <v>561</v>
      </c>
      <c r="C7" t="s">
        <v>219</v>
      </c>
      <c r="D7" t="s">
        <v>20</v>
      </c>
      <c r="E7" t="s">
        <v>560</v>
      </c>
      <c r="F7" t="s">
        <v>553</v>
      </c>
      <c r="G7">
        <v>51</v>
      </c>
      <c r="J7" t="s">
        <v>219</v>
      </c>
      <c r="K7" t="s">
        <v>218</v>
      </c>
    </row>
    <row r="8" spans="1:11" x14ac:dyDescent="0.35">
      <c r="A8" t="s">
        <v>215</v>
      </c>
      <c r="B8" t="s">
        <v>562</v>
      </c>
      <c r="C8" t="s">
        <v>216</v>
      </c>
      <c r="D8" t="s">
        <v>25</v>
      </c>
      <c r="E8" t="s">
        <v>560</v>
      </c>
      <c r="F8" t="s">
        <v>553</v>
      </c>
      <c r="G8">
        <v>24</v>
      </c>
      <c r="J8" t="s">
        <v>216</v>
      </c>
      <c r="K8" t="s">
        <v>215</v>
      </c>
    </row>
    <row r="9" spans="1:11" x14ac:dyDescent="0.35">
      <c r="A9" t="s">
        <v>9</v>
      </c>
      <c r="B9" t="s">
        <v>563</v>
      </c>
      <c r="C9" t="s">
        <v>10</v>
      </c>
      <c r="D9" t="s">
        <v>1</v>
      </c>
      <c r="E9" t="s">
        <v>558</v>
      </c>
      <c r="F9" t="s">
        <v>553</v>
      </c>
      <c r="G9">
        <v>32</v>
      </c>
      <c r="J9" t="s">
        <v>10</v>
      </c>
      <c r="K9" t="s">
        <v>9</v>
      </c>
    </row>
    <row r="10" spans="1:11" x14ac:dyDescent="0.35">
      <c r="A10" t="s">
        <v>221</v>
      </c>
      <c r="B10" t="s">
        <v>564</v>
      </c>
      <c r="C10" t="s">
        <v>222</v>
      </c>
      <c r="D10" t="s">
        <v>20</v>
      </c>
      <c r="E10" t="s">
        <v>552</v>
      </c>
      <c r="F10" t="s">
        <v>553</v>
      </c>
      <c r="G10">
        <v>40</v>
      </c>
      <c r="J10" t="s">
        <v>222</v>
      </c>
      <c r="K10" t="s">
        <v>221</v>
      </c>
    </row>
    <row r="11" spans="1:11" x14ac:dyDescent="0.35">
      <c r="A11" t="s">
        <v>11</v>
      </c>
      <c r="B11" t="s">
        <v>565</v>
      </c>
      <c r="C11" t="s">
        <v>12</v>
      </c>
      <c r="D11" t="s">
        <v>0</v>
      </c>
      <c r="E11" t="s">
        <v>552</v>
      </c>
      <c r="F11" t="s">
        <v>553</v>
      </c>
      <c r="G11">
        <v>36</v>
      </c>
      <c r="J11" t="s">
        <v>12</v>
      </c>
      <c r="K11" t="s">
        <v>11</v>
      </c>
    </row>
    <row r="12" spans="1:11" x14ac:dyDescent="0.35">
      <c r="A12" t="s">
        <v>224</v>
      </c>
      <c r="B12" t="s">
        <v>566</v>
      </c>
      <c r="C12" t="s">
        <v>225</v>
      </c>
      <c r="D12" t="s">
        <v>20</v>
      </c>
      <c r="E12" t="s">
        <v>560</v>
      </c>
      <c r="F12" t="s">
        <v>553</v>
      </c>
      <c r="G12">
        <v>31</v>
      </c>
      <c r="J12" t="s">
        <v>225</v>
      </c>
      <c r="K12" t="s">
        <v>224</v>
      </c>
    </row>
    <row r="13" spans="1:11" x14ac:dyDescent="0.35">
      <c r="A13" t="s">
        <v>21</v>
      </c>
      <c r="B13" t="s">
        <v>567</v>
      </c>
      <c r="C13" t="s">
        <v>22</v>
      </c>
      <c r="D13" t="s">
        <v>20</v>
      </c>
      <c r="E13" t="s">
        <v>560</v>
      </c>
      <c r="F13" t="s">
        <v>553</v>
      </c>
      <c r="G13">
        <v>70</v>
      </c>
      <c r="J13" t="s">
        <v>22</v>
      </c>
      <c r="K13" t="s">
        <v>21</v>
      </c>
    </row>
    <row r="14" spans="1:11" x14ac:dyDescent="0.35">
      <c r="A14" t="s">
        <v>13</v>
      </c>
      <c r="B14" t="s">
        <v>568</v>
      </c>
      <c r="C14" t="s">
        <v>14</v>
      </c>
      <c r="D14" t="s">
        <v>1</v>
      </c>
      <c r="E14" t="s">
        <v>558</v>
      </c>
      <c r="F14" t="s">
        <v>553</v>
      </c>
      <c r="G14">
        <v>52</v>
      </c>
      <c r="J14" t="s">
        <v>14</v>
      </c>
      <c r="K14" t="s">
        <v>13</v>
      </c>
    </row>
    <row r="15" spans="1:11" x14ac:dyDescent="0.35">
      <c r="A15" t="s">
        <v>192</v>
      </c>
      <c r="B15" t="s">
        <v>569</v>
      </c>
      <c r="C15" t="s">
        <v>193</v>
      </c>
      <c r="D15" t="s">
        <v>43</v>
      </c>
      <c r="E15" t="s">
        <v>556</v>
      </c>
      <c r="F15" t="s">
        <v>553</v>
      </c>
      <c r="G15">
        <v>50</v>
      </c>
      <c r="J15" t="s">
        <v>193</v>
      </c>
      <c r="K15" t="s">
        <v>192</v>
      </c>
    </row>
    <row r="16" spans="1:11" x14ac:dyDescent="0.35">
      <c r="A16" t="s">
        <v>134</v>
      </c>
      <c r="B16" t="s">
        <v>570</v>
      </c>
      <c r="C16" t="s">
        <v>135</v>
      </c>
      <c r="D16" t="s">
        <v>20</v>
      </c>
      <c r="E16" t="s">
        <v>552</v>
      </c>
      <c r="F16" t="s">
        <v>553</v>
      </c>
      <c r="G16">
        <v>56</v>
      </c>
      <c r="J16" t="s">
        <v>135</v>
      </c>
      <c r="K16" t="s">
        <v>134</v>
      </c>
    </row>
    <row r="17" spans="1:11" x14ac:dyDescent="0.35">
      <c r="A17" t="s">
        <v>26</v>
      </c>
      <c r="B17" t="s">
        <v>571</v>
      </c>
      <c r="C17" t="s">
        <v>27</v>
      </c>
      <c r="D17" t="s">
        <v>25</v>
      </c>
      <c r="E17" t="s">
        <v>556</v>
      </c>
      <c r="F17" t="s">
        <v>553</v>
      </c>
      <c r="G17">
        <v>854</v>
      </c>
      <c r="J17" t="s">
        <v>27</v>
      </c>
      <c r="K17" t="s">
        <v>26</v>
      </c>
    </row>
    <row r="18" spans="1:11" x14ac:dyDescent="0.35">
      <c r="A18" t="s">
        <v>236</v>
      </c>
      <c r="B18" t="s">
        <v>572</v>
      </c>
      <c r="C18" t="s">
        <v>237</v>
      </c>
      <c r="D18" t="s">
        <v>20</v>
      </c>
      <c r="E18" t="s">
        <v>560</v>
      </c>
      <c r="F18" t="s">
        <v>553</v>
      </c>
      <c r="G18">
        <v>100</v>
      </c>
      <c r="J18" t="s">
        <v>237</v>
      </c>
      <c r="K18" t="s">
        <v>236</v>
      </c>
    </row>
    <row r="19" spans="1:11" x14ac:dyDescent="0.35">
      <c r="A19" t="s">
        <v>131</v>
      </c>
      <c r="B19" t="s">
        <v>573</v>
      </c>
      <c r="C19" t="s">
        <v>132</v>
      </c>
      <c r="D19" t="s">
        <v>4</v>
      </c>
      <c r="E19" t="s">
        <v>552</v>
      </c>
      <c r="F19" t="s">
        <v>553</v>
      </c>
      <c r="G19">
        <v>48</v>
      </c>
      <c r="J19" t="s">
        <v>132</v>
      </c>
      <c r="K19" t="s">
        <v>131</v>
      </c>
    </row>
    <row r="20" spans="1:11" x14ac:dyDescent="0.35">
      <c r="A20" t="s">
        <v>239</v>
      </c>
      <c r="B20" t="s">
        <v>574</v>
      </c>
      <c r="C20" t="s">
        <v>240</v>
      </c>
      <c r="D20" t="s">
        <v>25</v>
      </c>
      <c r="E20" t="s">
        <v>556</v>
      </c>
      <c r="F20" t="s">
        <v>553</v>
      </c>
      <c r="G20">
        <v>108</v>
      </c>
      <c r="J20" t="s">
        <v>240</v>
      </c>
      <c r="K20" t="s">
        <v>239</v>
      </c>
    </row>
    <row r="21" spans="1:11" x14ac:dyDescent="0.35">
      <c r="A21" t="s">
        <v>230</v>
      </c>
      <c r="B21" t="s">
        <v>575</v>
      </c>
      <c r="C21" t="s">
        <v>231</v>
      </c>
      <c r="D21" t="s">
        <v>25</v>
      </c>
      <c r="E21" t="s">
        <v>556</v>
      </c>
      <c r="F21" t="s">
        <v>553</v>
      </c>
      <c r="G21">
        <v>204</v>
      </c>
      <c r="J21" t="s">
        <v>231</v>
      </c>
      <c r="K21" t="s">
        <v>230</v>
      </c>
    </row>
    <row r="22" spans="1:11" x14ac:dyDescent="0.35">
      <c r="A22" t="s">
        <v>23</v>
      </c>
      <c r="B22" t="s">
        <v>576</v>
      </c>
      <c r="C22" t="s">
        <v>24</v>
      </c>
      <c r="D22" t="s">
        <v>0</v>
      </c>
      <c r="E22" t="s">
        <v>552</v>
      </c>
      <c r="F22" t="s">
        <v>553</v>
      </c>
      <c r="G22">
        <v>96</v>
      </c>
      <c r="J22" t="s">
        <v>24</v>
      </c>
      <c r="K22" t="s">
        <v>23</v>
      </c>
    </row>
    <row r="23" spans="1:11" x14ac:dyDescent="0.35">
      <c r="A23" t="s">
        <v>577</v>
      </c>
      <c r="B23" t="s">
        <v>578</v>
      </c>
      <c r="C23" t="s">
        <v>199</v>
      </c>
      <c r="D23" t="s">
        <v>1</v>
      </c>
      <c r="E23" t="s">
        <v>560</v>
      </c>
      <c r="F23" t="s">
        <v>553</v>
      </c>
      <c r="G23">
        <v>68</v>
      </c>
      <c r="J23" t="s">
        <v>199</v>
      </c>
      <c r="K23" t="s">
        <v>577</v>
      </c>
    </row>
    <row r="24" spans="1:11" x14ac:dyDescent="0.35">
      <c r="A24" t="s">
        <v>82</v>
      </c>
      <c r="B24" t="s">
        <v>579</v>
      </c>
      <c r="C24" t="s">
        <v>83</v>
      </c>
      <c r="D24" t="s">
        <v>1</v>
      </c>
      <c r="E24" t="s">
        <v>560</v>
      </c>
      <c r="F24" t="s">
        <v>553</v>
      </c>
      <c r="G24">
        <v>76</v>
      </c>
      <c r="J24" t="s">
        <v>83</v>
      </c>
      <c r="K24" t="s">
        <v>82</v>
      </c>
    </row>
    <row r="25" spans="1:11" x14ac:dyDescent="0.35">
      <c r="A25" t="s">
        <v>36</v>
      </c>
      <c r="B25" t="s">
        <v>580</v>
      </c>
      <c r="C25" t="s">
        <v>37</v>
      </c>
      <c r="D25" t="s">
        <v>1</v>
      </c>
      <c r="E25" t="s">
        <v>552</v>
      </c>
      <c r="F25" t="s">
        <v>553</v>
      </c>
      <c r="G25">
        <v>44</v>
      </c>
      <c r="J25" t="s">
        <v>37</v>
      </c>
      <c r="K25" t="s">
        <v>36</v>
      </c>
    </row>
    <row r="26" spans="1:11" x14ac:dyDescent="0.35">
      <c r="A26" t="s">
        <v>137</v>
      </c>
      <c r="B26" t="s">
        <v>581</v>
      </c>
      <c r="C26" t="s">
        <v>138</v>
      </c>
      <c r="D26" t="s">
        <v>43</v>
      </c>
      <c r="E26" t="s">
        <v>556</v>
      </c>
      <c r="F26" t="s">
        <v>553</v>
      </c>
      <c r="G26">
        <v>64</v>
      </c>
      <c r="J26" t="s">
        <v>138</v>
      </c>
      <c r="K26" t="s">
        <v>137</v>
      </c>
    </row>
    <row r="27" spans="1:11" x14ac:dyDescent="0.35">
      <c r="A27" t="s">
        <v>233</v>
      </c>
      <c r="B27" t="s">
        <v>582</v>
      </c>
      <c r="C27" t="s">
        <v>234</v>
      </c>
      <c r="D27" t="s">
        <v>25</v>
      </c>
      <c r="E27" t="s">
        <v>558</v>
      </c>
      <c r="F27" t="s">
        <v>553</v>
      </c>
      <c r="G27">
        <v>72</v>
      </c>
      <c r="J27" t="s">
        <v>234</v>
      </c>
      <c r="K27" t="s">
        <v>233</v>
      </c>
    </row>
    <row r="28" spans="1:11" x14ac:dyDescent="0.35">
      <c r="A28" t="s">
        <v>227</v>
      </c>
      <c r="B28" t="s">
        <v>583</v>
      </c>
      <c r="C28" t="s">
        <v>228</v>
      </c>
      <c r="D28" t="s">
        <v>20</v>
      </c>
      <c r="E28" t="s">
        <v>560</v>
      </c>
      <c r="F28" t="s">
        <v>553</v>
      </c>
      <c r="G28">
        <v>112</v>
      </c>
      <c r="J28" t="s">
        <v>228</v>
      </c>
      <c r="K28" t="s">
        <v>227</v>
      </c>
    </row>
    <row r="29" spans="1:11" x14ac:dyDescent="0.35">
      <c r="A29" t="s">
        <v>15</v>
      </c>
      <c r="B29" t="s">
        <v>584</v>
      </c>
      <c r="C29" t="s">
        <v>16</v>
      </c>
      <c r="D29" t="s">
        <v>1</v>
      </c>
      <c r="E29" t="s">
        <v>558</v>
      </c>
      <c r="F29" t="s">
        <v>553</v>
      </c>
      <c r="G29">
        <v>84</v>
      </c>
      <c r="J29" t="s">
        <v>16</v>
      </c>
      <c r="K29" t="s">
        <v>15</v>
      </c>
    </row>
    <row r="30" spans="1:11" x14ac:dyDescent="0.35">
      <c r="A30" t="s">
        <v>28</v>
      </c>
      <c r="B30" t="s">
        <v>585</v>
      </c>
      <c r="C30" t="s">
        <v>29</v>
      </c>
      <c r="D30" t="s">
        <v>1</v>
      </c>
      <c r="E30" t="s">
        <v>552</v>
      </c>
      <c r="F30" t="s">
        <v>553</v>
      </c>
      <c r="G30">
        <v>124</v>
      </c>
      <c r="J30" t="s">
        <v>29</v>
      </c>
      <c r="K30" t="s">
        <v>28</v>
      </c>
    </row>
    <row r="31" spans="1:11" x14ac:dyDescent="0.35">
      <c r="A31" t="s">
        <v>49</v>
      </c>
      <c r="B31" t="s">
        <v>586</v>
      </c>
      <c r="C31" t="s">
        <v>50</v>
      </c>
      <c r="D31" t="s">
        <v>25</v>
      </c>
      <c r="E31" t="s">
        <v>556</v>
      </c>
      <c r="F31" t="s">
        <v>553</v>
      </c>
      <c r="G31">
        <v>180</v>
      </c>
      <c r="J31" t="s">
        <v>50</v>
      </c>
      <c r="K31" t="s">
        <v>49</v>
      </c>
    </row>
    <row r="32" spans="1:11" x14ac:dyDescent="0.35">
      <c r="A32" t="s">
        <v>30</v>
      </c>
      <c r="B32" t="s">
        <v>587</v>
      </c>
      <c r="C32" t="s">
        <v>31</v>
      </c>
      <c r="D32" t="s">
        <v>25</v>
      </c>
      <c r="E32" t="s">
        <v>556</v>
      </c>
      <c r="F32" t="s">
        <v>553</v>
      </c>
      <c r="G32">
        <v>140</v>
      </c>
      <c r="J32" t="s">
        <v>31</v>
      </c>
      <c r="K32" t="s">
        <v>30</v>
      </c>
    </row>
    <row r="33" spans="1:11" x14ac:dyDescent="0.35">
      <c r="A33" t="s">
        <v>442</v>
      </c>
      <c r="B33" t="s">
        <v>588</v>
      </c>
      <c r="C33" t="s">
        <v>443</v>
      </c>
      <c r="D33" t="s">
        <v>25</v>
      </c>
      <c r="E33" t="s">
        <v>556</v>
      </c>
      <c r="F33" t="s">
        <v>553</v>
      </c>
      <c r="G33">
        <v>178</v>
      </c>
      <c r="J33" t="s">
        <v>443</v>
      </c>
      <c r="K33" t="s">
        <v>442</v>
      </c>
    </row>
    <row r="34" spans="1:11" x14ac:dyDescent="0.35">
      <c r="A34" t="s">
        <v>517</v>
      </c>
      <c r="B34" t="s">
        <v>589</v>
      </c>
      <c r="C34" t="s">
        <v>518</v>
      </c>
      <c r="D34" t="s">
        <v>20</v>
      </c>
      <c r="E34" t="s">
        <v>552</v>
      </c>
      <c r="F34" t="s">
        <v>553</v>
      </c>
      <c r="G34">
        <v>756</v>
      </c>
      <c r="J34" t="s">
        <v>518</v>
      </c>
      <c r="K34" t="s">
        <v>517</v>
      </c>
    </row>
    <row r="35" spans="1:11" x14ac:dyDescent="0.35">
      <c r="A35" t="s">
        <v>590</v>
      </c>
      <c r="B35" t="s">
        <v>591</v>
      </c>
      <c r="C35" t="s">
        <v>268</v>
      </c>
      <c r="D35" t="s">
        <v>25</v>
      </c>
      <c r="E35" t="s">
        <v>556</v>
      </c>
      <c r="F35" t="s">
        <v>553</v>
      </c>
      <c r="G35">
        <v>384</v>
      </c>
      <c r="J35" t="s">
        <v>268</v>
      </c>
      <c r="K35" t="s">
        <v>590</v>
      </c>
    </row>
    <row r="36" spans="1:11" x14ac:dyDescent="0.35">
      <c r="A36" t="s">
        <v>38</v>
      </c>
      <c r="B36" t="s">
        <v>592</v>
      </c>
      <c r="C36" t="s">
        <v>39</v>
      </c>
      <c r="D36" t="s">
        <v>0</v>
      </c>
      <c r="E36" t="s">
        <v>558</v>
      </c>
      <c r="F36" t="s">
        <v>553</v>
      </c>
      <c r="G36">
        <v>184</v>
      </c>
      <c r="J36" t="s">
        <v>39</v>
      </c>
      <c r="K36" t="s">
        <v>38</v>
      </c>
    </row>
    <row r="37" spans="1:11" x14ac:dyDescent="0.35">
      <c r="A37" t="s">
        <v>251</v>
      </c>
      <c r="B37" t="s">
        <v>593</v>
      </c>
      <c r="C37" t="s">
        <v>252</v>
      </c>
      <c r="D37" t="s">
        <v>1</v>
      </c>
      <c r="E37" t="s">
        <v>558</v>
      </c>
      <c r="F37" t="s">
        <v>553</v>
      </c>
      <c r="G37">
        <v>152</v>
      </c>
      <c r="J37" t="s">
        <v>252</v>
      </c>
      <c r="K37" t="s">
        <v>251</v>
      </c>
    </row>
    <row r="38" spans="1:11" x14ac:dyDescent="0.35">
      <c r="A38" t="s">
        <v>245</v>
      </c>
      <c r="B38" t="s">
        <v>594</v>
      </c>
      <c r="C38" t="s">
        <v>246</v>
      </c>
      <c r="D38" t="s">
        <v>25</v>
      </c>
      <c r="E38" t="s">
        <v>556</v>
      </c>
      <c r="F38" t="s">
        <v>553</v>
      </c>
      <c r="G38">
        <v>120</v>
      </c>
      <c r="J38" t="s">
        <v>246</v>
      </c>
      <c r="K38" t="s">
        <v>245</v>
      </c>
    </row>
    <row r="39" spans="1:11" x14ac:dyDescent="0.35">
      <c r="A39" t="s">
        <v>195</v>
      </c>
      <c r="B39" t="s">
        <v>595</v>
      </c>
      <c r="C39" t="s">
        <v>196</v>
      </c>
      <c r="D39" t="s">
        <v>0</v>
      </c>
      <c r="E39" t="s">
        <v>560</v>
      </c>
      <c r="F39" t="s">
        <v>553</v>
      </c>
      <c r="G39">
        <v>156</v>
      </c>
      <c r="J39" t="s">
        <v>196</v>
      </c>
      <c r="K39" t="s">
        <v>195</v>
      </c>
    </row>
    <row r="40" spans="1:11" x14ac:dyDescent="0.35">
      <c r="A40" t="s">
        <v>254</v>
      </c>
      <c r="B40" t="s">
        <v>596</v>
      </c>
      <c r="C40" t="s">
        <v>255</v>
      </c>
      <c r="D40" t="s">
        <v>1</v>
      </c>
      <c r="E40" t="s">
        <v>560</v>
      </c>
      <c r="F40" t="s">
        <v>553</v>
      </c>
      <c r="G40">
        <v>170</v>
      </c>
      <c r="J40" t="s">
        <v>255</v>
      </c>
      <c r="K40" t="s">
        <v>254</v>
      </c>
    </row>
    <row r="41" spans="1:11" x14ac:dyDescent="0.35">
      <c r="A41" t="s">
        <v>257</v>
      </c>
      <c r="B41" t="s">
        <v>597</v>
      </c>
      <c r="C41" t="s">
        <v>258</v>
      </c>
      <c r="D41" t="s">
        <v>1</v>
      </c>
      <c r="E41" t="s">
        <v>558</v>
      </c>
      <c r="F41" t="s">
        <v>553</v>
      </c>
      <c r="G41">
        <v>188</v>
      </c>
      <c r="J41" t="s">
        <v>258</v>
      </c>
      <c r="K41" t="s">
        <v>257</v>
      </c>
    </row>
    <row r="42" spans="1:11" x14ac:dyDescent="0.35">
      <c r="A42" t="s">
        <v>263</v>
      </c>
      <c r="B42" t="s">
        <v>598</v>
      </c>
      <c r="C42" t="s">
        <v>264</v>
      </c>
      <c r="D42" t="s">
        <v>1</v>
      </c>
      <c r="E42" t="s">
        <v>560</v>
      </c>
      <c r="F42" t="s">
        <v>553</v>
      </c>
      <c r="G42">
        <v>192</v>
      </c>
      <c r="J42" t="s">
        <v>264</v>
      </c>
      <c r="K42" t="s">
        <v>263</v>
      </c>
    </row>
    <row r="43" spans="1:11" x14ac:dyDescent="0.35">
      <c r="A43" t="s">
        <v>599</v>
      </c>
      <c r="B43" t="s">
        <v>600</v>
      </c>
      <c r="C43" t="s">
        <v>243</v>
      </c>
      <c r="D43" t="s">
        <v>25</v>
      </c>
      <c r="E43" t="s">
        <v>560</v>
      </c>
      <c r="F43" t="s">
        <v>553</v>
      </c>
      <c r="G43">
        <v>132</v>
      </c>
      <c r="J43" t="s">
        <v>243</v>
      </c>
      <c r="K43" t="s">
        <v>599</v>
      </c>
    </row>
    <row r="44" spans="1:11" x14ac:dyDescent="0.35">
      <c r="A44" t="s">
        <v>266</v>
      </c>
      <c r="B44" t="s">
        <v>601</v>
      </c>
      <c r="C44" t="s">
        <v>267</v>
      </c>
      <c r="D44" t="s">
        <v>20</v>
      </c>
      <c r="E44" t="s">
        <v>552</v>
      </c>
      <c r="F44" t="s">
        <v>553</v>
      </c>
      <c r="G44">
        <v>196</v>
      </c>
      <c r="J44" t="s">
        <v>267</v>
      </c>
      <c r="K44" t="s">
        <v>266</v>
      </c>
    </row>
    <row r="45" spans="1:11" x14ac:dyDescent="0.35">
      <c r="A45" t="s">
        <v>40</v>
      </c>
      <c r="B45" t="s">
        <v>602</v>
      </c>
      <c r="C45" t="s">
        <v>42</v>
      </c>
      <c r="D45" t="s">
        <v>20</v>
      </c>
      <c r="E45" t="s">
        <v>558</v>
      </c>
      <c r="F45" t="s">
        <v>553</v>
      </c>
      <c r="G45">
        <v>203</v>
      </c>
      <c r="J45" t="s">
        <v>42</v>
      </c>
      <c r="K45" t="s">
        <v>40</v>
      </c>
    </row>
    <row r="46" spans="1:11" x14ac:dyDescent="0.35">
      <c r="A46" t="s">
        <v>70</v>
      </c>
      <c r="B46" t="s">
        <v>603</v>
      </c>
      <c r="C46" t="s">
        <v>71</v>
      </c>
      <c r="D46" t="s">
        <v>20</v>
      </c>
      <c r="E46" t="s">
        <v>552</v>
      </c>
      <c r="F46" t="s">
        <v>553</v>
      </c>
      <c r="G46">
        <v>276</v>
      </c>
      <c r="J46" t="s">
        <v>71</v>
      </c>
      <c r="K46" t="s">
        <v>70</v>
      </c>
    </row>
    <row r="47" spans="1:11" x14ac:dyDescent="0.35">
      <c r="A47" t="s">
        <v>270</v>
      </c>
      <c r="B47" t="s">
        <v>604</v>
      </c>
      <c r="C47" t="s">
        <v>271</v>
      </c>
      <c r="D47" t="s">
        <v>4</v>
      </c>
      <c r="E47" t="s">
        <v>560</v>
      </c>
      <c r="F47" t="s">
        <v>553</v>
      </c>
      <c r="G47">
        <v>262</v>
      </c>
      <c r="J47" t="s">
        <v>271</v>
      </c>
      <c r="K47" t="s">
        <v>270</v>
      </c>
    </row>
    <row r="48" spans="1:11" x14ac:dyDescent="0.35">
      <c r="A48" t="s">
        <v>143</v>
      </c>
      <c r="B48" t="s">
        <v>605</v>
      </c>
      <c r="C48" t="s">
        <v>144</v>
      </c>
      <c r="D48" t="s">
        <v>20</v>
      </c>
      <c r="E48" t="s">
        <v>552</v>
      </c>
      <c r="F48" t="s">
        <v>553</v>
      </c>
      <c r="G48">
        <v>208</v>
      </c>
      <c r="J48" t="s">
        <v>144</v>
      </c>
      <c r="K48" t="s">
        <v>143</v>
      </c>
    </row>
    <row r="49" spans="1:11" x14ac:dyDescent="0.35">
      <c r="A49" t="s">
        <v>33</v>
      </c>
      <c r="B49" t="s">
        <v>606</v>
      </c>
      <c r="C49" t="s">
        <v>34</v>
      </c>
      <c r="D49" t="s">
        <v>1</v>
      </c>
      <c r="E49" t="s">
        <v>558</v>
      </c>
      <c r="F49" t="s">
        <v>553</v>
      </c>
      <c r="G49">
        <v>212</v>
      </c>
      <c r="J49" t="s">
        <v>34</v>
      </c>
      <c r="K49" t="s">
        <v>33</v>
      </c>
    </row>
    <row r="50" spans="1:11" x14ac:dyDescent="0.35">
      <c r="A50" t="s">
        <v>57</v>
      </c>
      <c r="B50" t="s">
        <v>607</v>
      </c>
      <c r="C50" t="s">
        <v>58</v>
      </c>
      <c r="D50" t="s">
        <v>1</v>
      </c>
      <c r="E50" t="s">
        <v>560</v>
      </c>
      <c r="F50" t="s">
        <v>553</v>
      </c>
      <c r="G50">
        <v>214</v>
      </c>
      <c r="J50" t="s">
        <v>58</v>
      </c>
      <c r="K50" t="s">
        <v>57</v>
      </c>
    </row>
    <row r="51" spans="1:11" x14ac:dyDescent="0.35">
      <c r="A51" t="s">
        <v>189</v>
      </c>
      <c r="B51" t="s">
        <v>608</v>
      </c>
      <c r="C51" t="s">
        <v>190</v>
      </c>
      <c r="D51" t="s">
        <v>25</v>
      </c>
      <c r="E51" t="s">
        <v>560</v>
      </c>
      <c r="F51" t="s">
        <v>553</v>
      </c>
      <c r="G51">
        <v>12</v>
      </c>
      <c r="J51" t="s">
        <v>190</v>
      </c>
      <c r="K51" t="s">
        <v>189</v>
      </c>
    </row>
    <row r="52" spans="1:11" x14ac:dyDescent="0.35">
      <c r="A52" t="s">
        <v>273</v>
      </c>
      <c r="B52" t="s">
        <v>609</v>
      </c>
      <c r="C52" t="s">
        <v>274</v>
      </c>
      <c r="D52" t="s">
        <v>1</v>
      </c>
      <c r="E52" t="s">
        <v>560</v>
      </c>
      <c r="F52" t="s">
        <v>553</v>
      </c>
      <c r="G52">
        <v>218</v>
      </c>
      <c r="J52" t="s">
        <v>274</v>
      </c>
      <c r="K52" t="s">
        <v>273</v>
      </c>
    </row>
    <row r="53" spans="1:11" x14ac:dyDescent="0.35">
      <c r="A53" t="s">
        <v>282</v>
      </c>
      <c r="B53" t="s">
        <v>610</v>
      </c>
      <c r="C53" t="s">
        <v>283</v>
      </c>
      <c r="D53" t="s">
        <v>20</v>
      </c>
      <c r="E53" t="s">
        <v>558</v>
      </c>
      <c r="F53" t="s">
        <v>553</v>
      </c>
      <c r="G53">
        <v>233</v>
      </c>
      <c r="J53" t="s">
        <v>283</v>
      </c>
      <c r="K53" t="s">
        <v>282</v>
      </c>
    </row>
    <row r="54" spans="1:11" x14ac:dyDescent="0.35">
      <c r="A54" t="s">
        <v>6</v>
      </c>
      <c r="B54" t="s">
        <v>611</v>
      </c>
      <c r="C54" t="s">
        <v>7</v>
      </c>
      <c r="D54" t="s">
        <v>4</v>
      </c>
      <c r="E54" t="s">
        <v>560</v>
      </c>
      <c r="F54" t="s">
        <v>553</v>
      </c>
      <c r="G54">
        <v>818</v>
      </c>
      <c r="J54" t="s">
        <v>7</v>
      </c>
      <c r="K54" t="s">
        <v>6</v>
      </c>
    </row>
    <row r="55" spans="1:11" x14ac:dyDescent="0.35">
      <c r="A55" t="s">
        <v>499</v>
      </c>
      <c r="B55" t="s">
        <v>612</v>
      </c>
      <c r="C55" t="s">
        <v>500</v>
      </c>
      <c r="D55" t="s">
        <v>25</v>
      </c>
      <c r="E55" t="s">
        <v>556</v>
      </c>
      <c r="F55" t="s">
        <v>553</v>
      </c>
      <c r="G55">
        <v>232</v>
      </c>
      <c r="J55" t="s">
        <v>500</v>
      </c>
      <c r="K55" t="s">
        <v>499</v>
      </c>
    </row>
    <row r="56" spans="1:11" x14ac:dyDescent="0.35">
      <c r="A56" t="s">
        <v>161</v>
      </c>
      <c r="B56" t="s">
        <v>613</v>
      </c>
      <c r="C56" t="s">
        <v>162</v>
      </c>
      <c r="D56" t="s">
        <v>20</v>
      </c>
      <c r="E56" t="s">
        <v>552</v>
      </c>
      <c r="F56" t="s">
        <v>553</v>
      </c>
      <c r="G56">
        <v>724</v>
      </c>
      <c r="J56" t="s">
        <v>162</v>
      </c>
      <c r="K56" t="s">
        <v>161</v>
      </c>
    </row>
    <row r="57" spans="1:11" x14ac:dyDescent="0.35">
      <c r="A57" t="s">
        <v>64</v>
      </c>
      <c r="B57" t="s">
        <v>614</v>
      </c>
      <c r="C57" t="s">
        <v>65</v>
      </c>
      <c r="D57" t="s">
        <v>25</v>
      </c>
      <c r="E57" t="s">
        <v>556</v>
      </c>
      <c r="F57" t="s">
        <v>553</v>
      </c>
      <c r="G57">
        <v>231</v>
      </c>
      <c r="J57" t="s">
        <v>65</v>
      </c>
      <c r="K57" t="s">
        <v>64</v>
      </c>
    </row>
    <row r="58" spans="1:11" x14ac:dyDescent="0.35">
      <c r="A58" t="s">
        <v>288</v>
      </c>
      <c r="B58" t="s">
        <v>615</v>
      </c>
      <c r="C58" t="s">
        <v>289</v>
      </c>
      <c r="D58" t="s">
        <v>20</v>
      </c>
      <c r="E58" t="s">
        <v>552</v>
      </c>
      <c r="F58" t="s">
        <v>553</v>
      </c>
      <c r="G58">
        <v>246</v>
      </c>
      <c r="J58" t="s">
        <v>289</v>
      </c>
      <c r="K58" t="s">
        <v>288</v>
      </c>
    </row>
    <row r="59" spans="1:11" x14ac:dyDescent="0.35">
      <c r="A59" t="s">
        <v>285</v>
      </c>
      <c r="B59" t="s">
        <v>616</v>
      </c>
      <c r="C59" t="s">
        <v>286</v>
      </c>
      <c r="D59" t="s">
        <v>0</v>
      </c>
      <c r="E59" t="s">
        <v>560</v>
      </c>
      <c r="F59" t="s">
        <v>553</v>
      </c>
      <c r="G59">
        <v>242</v>
      </c>
      <c r="J59" t="s">
        <v>286</v>
      </c>
      <c r="K59" t="s">
        <v>285</v>
      </c>
    </row>
    <row r="60" spans="1:11" x14ac:dyDescent="0.35">
      <c r="A60" t="s">
        <v>617</v>
      </c>
      <c r="B60" t="s">
        <v>618</v>
      </c>
      <c r="C60" t="s">
        <v>80</v>
      </c>
      <c r="D60" t="s">
        <v>0</v>
      </c>
      <c r="E60" t="s">
        <v>560</v>
      </c>
      <c r="F60" t="s">
        <v>553</v>
      </c>
      <c r="G60">
        <v>583</v>
      </c>
      <c r="J60" t="s">
        <v>80</v>
      </c>
      <c r="K60" t="s">
        <v>617</v>
      </c>
    </row>
    <row r="61" spans="1:11" x14ac:dyDescent="0.35">
      <c r="A61" t="s">
        <v>85</v>
      </c>
      <c r="B61" t="s">
        <v>619</v>
      </c>
      <c r="C61" t="s">
        <v>86</v>
      </c>
      <c r="D61" t="s">
        <v>20</v>
      </c>
      <c r="E61" t="s">
        <v>552</v>
      </c>
      <c r="F61" t="s">
        <v>553</v>
      </c>
      <c r="G61">
        <v>250</v>
      </c>
      <c r="J61" t="s">
        <v>86</v>
      </c>
      <c r="K61" t="s">
        <v>85</v>
      </c>
    </row>
    <row r="62" spans="1:11" x14ac:dyDescent="0.35">
      <c r="A62" t="s">
        <v>88</v>
      </c>
      <c r="B62" t="s">
        <v>620</v>
      </c>
      <c r="C62" t="s">
        <v>89</v>
      </c>
      <c r="D62" t="s">
        <v>25</v>
      </c>
      <c r="E62" t="s">
        <v>558</v>
      </c>
      <c r="F62" t="s">
        <v>553</v>
      </c>
      <c r="G62">
        <v>266</v>
      </c>
      <c r="J62" t="s">
        <v>89</v>
      </c>
      <c r="K62" t="s">
        <v>88</v>
      </c>
    </row>
    <row r="63" spans="1:11" x14ac:dyDescent="0.35">
      <c r="A63" t="s">
        <v>621</v>
      </c>
      <c r="B63" t="s">
        <v>622</v>
      </c>
      <c r="C63" t="s">
        <v>536</v>
      </c>
      <c r="D63" t="s">
        <v>20</v>
      </c>
      <c r="E63" t="s">
        <v>552</v>
      </c>
      <c r="F63" t="s">
        <v>553</v>
      </c>
      <c r="G63">
        <v>826</v>
      </c>
      <c r="J63" t="s">
        <v>536</v>
      </c>
      <c r="K63" t="s">
        <v>621</v>
      </c>
    </row>
    <row r="64" spans="1:11" x14ac:dyDescent="0.35">
      <c r="A64" t="s">
        <v>95</v>
      </c>
      <c r="B64" t="s">
        <v>623</v>
      </c>
      <c r="C64" t="s">
        <v>96</v>
      </c>
      <c r="D64" t="s">
        <v>1</v>
      </c>
      <c r="E64" t="s">
        <v>558</v>
      </c>
      <c r="F64" t="s">
        <v>553</v>
      </c>
      <c r="G64">
        <v>308</v>
      </c>
      <c r="J64" t="s">
        <v>96</v>
      </c>
      <c r="K64" t="s">
        <v>95</v>
      </c>
    </row>
    <row r="65" spans="1:11" x14ac:dyDescent="0.35">
      <c r="A65" t="s">
        <v>90</v>
      </c>
      <c r="B65" t="s">
        <v>624</v>
      </c>
      <c r="C65" t="s">
        <v>91</v>
      </c>
      <c r="D65" t="s">
        <v>20</v>
      </c>
      <c r="E65" t="s">
        <v>560</v>
      </c>
      <c r="F65" t="s">
        <v>553</v>
      </c>
      <c r="G65">
        <v>268</v>
      </c>
      <c r="J65" t="s">
        <v>91</v>
      </c>
      <c r="K65" t="s">
        <v>90</v>
      </c>
    </row>
    <row r="66" spans="1:11" x14ac:dyDescent="0.35">
      <c r="A66" t="s">
        <v>294</v>
      </c>
      <c r="B66" t="s">
        <v>625</v>
      </c>
      <c r="C66" t="s">
        <v>295</v>
      </c>
      <c r="D66" t="s">
        <v>25</v>
      </c>
      <c r="E66" t="s">
        <v>556</v>
      </c>
      <c r="F66" t="s">
        <v>553</v>
      </c>
      <c r="G66">
        <v>288</v>
      </c>
      <c r="J66" t="s">
        <v>295</v>
      </c>
      <c r="K66" t="s">
        <v>294</v>
      </c>
    </row>
    <row r="67" spans="1:11" x14ac:dyDescent="0.35">
      <c r="A67" t="s">
        <v>291</v>
      </c>
      <c r="B67" t="s">
        <v>626</v>
      </c>
      <c r="C67" t="s">
        <v>292</v>
      </c>
      <c r="D67" t="s">
        <v>25</v>
      </c>
      <c r="E67" t="s">
        <v>556</v>
      </c>
      <c r="F67" t="s">
        <v>553</v>
      </c>
      <c r="G67">
        <v>270</v>
      </c>
      <c r="J67" t="s">
        <v>292</v>
      </c>
      <c r="K67" t="s">
        <v>291</v>
      </c>
    </row>
    <row r="68" spans="1:11" x14ac:dyDescent="0.35">
      <c r="A68" t="s">
        <v>300</v>
      </c>
      <c r="B68" t="s">
        <v>627</v>
      </c>
      <c r="C68" t="s">
        <v>301</v>
      </c>
      <c r="D68" t="s">
        <v>25</v>
      </c>
      <c r="E68" t="s">
        <v>556</v>
      </c>
      <c r="F68" t="s">
        <v>553</v>
      </c>
      <c r="G68">
        <v>324</v>
      </c>
      <c r="J68" t="s">
        <v>301</v>
      </c>
      <c r="K68" t="s">
        <v>300</v>
      </c>
    </row>
    <row r="69" spans="1:11" x14ac:dyDescent="0.35">
      <c r="A69" t="s">
        <v>279</v>
      </c>
      <c r="B69" t="s">
        <v>628</v>
      </c>
      <c r="C69" t="s">
        <v>280</v>
      </c>
      <c r="D69" t="s">
        <v>25</v>
      </c>
      <c r="E69" t="s">
        <v>558</v>
      </c>
      <c r="F69" t="s">
        <v>553</v>
      </c>
      <c r="G69">
        <v>226</v>
      </c>
      <c r="J69" t="s">
        <v>280</v>
      </c>
      <c r="K69" t="s">
        <v>279</v>
      </c>
    </row>
    <row r="70" spans="1:11" x14ac:dyDescent="0.35">
      <c r="A70" t="s">
        <v>101</v>
      </c>
      <c r="B70" t="s">
        <v>629</v>
      </c>
      <c r="C70" t="s">
        <v>102</v>
      </c>
      <c r="D70" t="s">
        <v>20</v>
      </c>
      <c r="E70" t="s">
        <v>552</v>
      </c>
      <c r="F70" t="s">
        <v>553</v>
      </c>
      <c r="G70">
        <v>300</v>
      </c>
      <c r="J70" t="s">
        <v>102</v>
      </c>
      <c r="K70" t="s">
        <v>101</v>
      </c>
    </row>
    <row r="71" spans="1:11" x14ac:dyDescent="0.35">
      <c r="A71" t="s">
        <v>297</v>
      </c>
      <c r="B71" t="s">
        <v>630</v>
      </c>
      <c r="C71" t="s">
        <v>298</v>
      </c>
      <c r="D71" t="s">
        <v>1</v>
      </c>
      <c r="E71" t="s">
        <v>560</v>
      </c>
      <c r="F71" t="s">
        <v>553</v>
      </c>
      <c r="G71">
        <v>320</v>
      </c>
      <c r="J71" t="s">
        <v>298</v>
      </c>
      <c r="K71" t="s">
        <v>297</v>
      </c>
    </row>
    <row r="72" spans="1:11" x14ac:dyDescent="0.35">
      <c r="A72" t="s">
        <v>303</v>
      </c>
      <c r="B72" t="s">
        <v>631</v>
      </c>
      <c r="C72" t="s">
        <v>304</v>
      </c>
      <c r="D72" t="s">
        <v>25</v>
      </c>
      <c r="E72" t="s">
        <v>556</v>
      </c>
      <c r="F72" t="s">
        <v>553</v>
      </c>
      <c r="G72">
        <v>624</v>
      </c>
      <c r="J72" t="s">
        <v>304</v>
      </c>
      <c r="K72" t="s">
        <v>303</v>
      </c>
    </row>
    <row r="73" spans="1:11" x14ac:dyDescent="0.35">
      <c r="A73" t="s">
        <v>306</v>
      </c>
      <c r="B73" t="s">
        <v>632</v>
      </c>
      <c r="C73" t="s">
        <v>307</v>
      </c>
      <c r="D73" t="s">
        <v>1</v>
      </c>
      <c r="E73" t="s">
        <v>560</v>
      </c>
      <c r="F73" t="s">
        <v>553</v>
      </c>
      <c r="G73">
        <v>328</v>
      </c>
      <c r="J73" t="s">
        <v>307</v>
      </c>
      <c r="K73" t="s">
        <v>306</v>
      </c>
    </row>
    <row r="74" spans="1:11" x14ac:dyDescent="0.35">
      <c r="A74" t="s">
        <v>312</v>
      </c>
      <c r="B74" t="s">
        <v>633</v>
      </c>
      <c r="C74" t="s">
        <v>313</v>
      </c>
      <c r="D74" t="s">
        <v>1</v>
      </c>
      <c r="E74" t="s">
        <v>560</v>
      </c>
      <c r="F74" t="s">
        <v>553</v>
      </c>
      <c r="G74">
        <v>340</v>
      </c>
      <c r="J74" t="s">
        <v>313</v>
      </c>
      <c r="K74" t="s">
        <v>312</v>
      </c>
    </row>
    <row r="75" spans="1:11" x14ac:dyDescent="0.35">
      <c r="A75" t="s">
        <v>260</v>
      </c>
      <c r="B75" t="s">
        <v>634</v>
      </c>
      <c r="C75" t="s">
        <v>261</v>
      </c>
      <c r="D75" t="s">
        <v>20</v>
      </c>
      <c r="E75" t="s">
        <v>558</v>
      </c>
      <c r="F75" t="s">
        <v>553</v>
      </c>
      <c r="G75">
        <v>191</v>
      </c>
      <c r="J75" t="s">
        <v>261</v>
      </c>
      <c r="K75" t="s">
        <v>260</v>
      </c>
    </row>
    <row r="76" spans="1:11" x14ac:dyDescent="0.35">
      <c r="A76" t="s">
        <v>309</v>
      </c>
      <c r="B76" t="s">
        <v>635</v>
      </c>
      <c r="C76" t="s">
        <v>310</v>
      </c>
      <c r="D76" t="s">
        <v>1</v>
      </c>
      <c r="E76" t="s">
        <v>556</v>
      </c>
      <c r="F76" t="s">
        <v>553</v>
      </c>
      <c r="G76">
        <v>332</v>
      </c>
      <c r="J76" t="s">
        <v>310</v>
      </c>
      <c r="K76" t="s">
        <v>309</v>
      </c>
    </row>
    <row r="77" spans="1:11" x14ac:dyDescent="0.35">
      <c r="A77" t="s">
        <v>103</v>
      </c>
      <c r="B77" t="s">
        <v>636</v>
      </c>
      <c r="C77" t="s">
        <v>104</v>
      </c>
      <c r="D77" t="s">
        <v>20</v>
      </c>
      <c r="E77" t="s">
        <v>558</v>
      </c>
      <c r="F77" t="s">
        <v>553</v>
      </c>
      <c r="G77">
        <v>348</v>
      </c>
      <c r="J77" t="s">
        <v>104</v>
      </c>
      <c r="K77" t="s">
        <v>103</v>
      </c>
    </row>
    <row r="78" spans="1:11" x14ac:dyDescent="0.35">
      <c r="A78" t="s">
        <v>321</v>
      </c>
      <c r="B78" t="s">
        <v>637</v>
      </c>
      <c r="C78" t="s">
        <v>322</v>
      </c>
      <c r="D78" t="s">
        <v>43</v>
      </c>
      <c r="E78" t="s">
        <v>560</v>
      </c>
      <c r="F78" t="s">
        <v>553</v>
      </c>
      <c r="G78">
        <v>360</v>
      </c>
      <c r="J78" t="s">
        <v>322</v>
      </c>
      <c r="K78" t="s">
        <v>321</v>
      </c>
    </row>
    <row r="79" spans="1:11" x14ac:dyDescent="0.35">
      <c r="A79" t="s">
        <v>111</v>
      </c>
      <c r="B79" t="s">
        <v>638</v>
      </c>
      <c r="C79" t="s">
        <v>112</v>
      </c>
      <c r="D79" t="s">
        <v>20</v>
      </c>
      <c r="E79" t="s">
        <v>552</v>
      </c>
      <c r="F79" t="s">
        <v>553</v>
      </c>
      <c r="G79">
        <v>372</v>
      </c>
      <c r="J79" t="s">
        <v>112</v>
      </c>
      <c r="K79" t="s">
        <v>111</v>
      </c>
    </row>
    <row r="80" spans="1:11" x14ac:dyDescent="0.35">
      <c r="A80" t="s">
        <v>502</v>
      </c>
      <c r="B80" t="s">
        <v>639</v>
      </c>
      <c r="C80" t="s">
        <v>503</v>
      </c>
      <c r="D80" t="s">
        <v>20</v>
      </c>
      <c r="E80" t="s">
        <v>552</v>
      </c>
      <c r="F80" t="s">
        <v>553</v>
      </c>
      <c r="G80">
        <v>376</v>
      </c>
      <c r="J80" t="s">
        <v>503</v>
      </c>
      <c r="K80" t="s">
        <v>502</v>
      </c>
    </row>
    <row r="81" spans="1:11" x14ac:dyDescent="0.35">
      <c r="A81" t="s">
        <v>318</v>
      </c>
      <c r="B81" t="s">
        <v>640</v>
      </c>
      <c r="C81" t="s">
        <v>319</v>
      </c>
      <c r="D81" t="s">
        <v>43</v>
      </c>
      <c r="E81" t="s">
        <v>556</v>
      </c>
      <c r="F81" t="s">
        <v>553</v>
      </c>
      <c r="G81">
        <v>356</v>
      </c>
      <c r="J81" t="s">
        <v>319</v>
      </c>
      <c r="K81" t="s">
        <v>318</v>
      </c>
    </row>
    <row r="82" spans="1:11" x14ac:dyDescent="0.35">
      <c r="A82" t="s">
        <v>324</v>
      </c>
      <c r="B82" t="s">
        <v>641</v>
      </c>
      <c r="C82" t="s">
        <v>325</v>
      </c>
      <c r="D82" t="s">
        <v>4</v>
      </c>
      <c r="E82" t="s">
        <v>560</v>
      </c>
      <c r="F82" t="s">
        <v>553</v>
      </c>
      <c r="G82">
        <v>368</v>
      </c>
      <c r="J82" t="s">
        <v>325</v>
      </c>
      <c r="K82" t="s">
        <v>324</v>
      </c>
    </row>
    <row r="83" spans="1:11" x14ac:dyDescent="0.35">
      <c r="A83" t="s">
        <v>642</v>
      </c>
      <c r="B83" t="s">
        <v>643</v>
      </c>
      <c r="C83" t="s">
        <v>117</v>
      </c>
      <c r="D83" t="s">
        <v>4</v>
      </c>
      <c r="E83" t="s">
        <v>560</v>
      </c>
      <c r="F83" t="s">
        <v>553</v>
      </c>
      <c r="G83">
        <v>364</v>
      </c>
      <c r="J83" t="s">
        <v>117</v>
      </c>
      <c r="K83" t="s">
        <v>642</v>
      </c>
    </row>
    <row r="84" spans="1:11" x14ac:dyDescent="0.35">
      <c r="A84" t="s">
        <v>315</v>
      </c>
      <c r="B84" t="s">
        <v>644</v>
      </c>
      <c r="C84" t="s">
        <v>316</v>
      </c>
      <c r="D84" t="s">
        <v>20</v>
      </c>
      <c r="E84" t="s">
        <v>552</v>
      </c>
      <c r="F84" t="s">
        <v>553</v>
      </c>
      <c r="G84">
        <v>352</v>
      </c>
      <c r="J84" t="s">
        <v>316</v>
      </c>
      <c r="K84" t="s">
        <v>315</v>
      </c>
    </row>
    <row r="85" spans="1:11" x14ac:dyDescent="0.35">
      <c r="A85" t="s">
        <v>327</v>
      </c>
      <c r="B85" t="s">
        <v>645</v>
      </c>
      <c r="C85" t="s">
        <v>328</v>
      </c>
      <c r="D85" t="s">
        <v>20</v>
      </c>
      <c r="E85" t="s">
        <v>552</v>
      </c>
      <c r="F85" t="s">
        <v>553</v>
      </c>
      <c r="G85">
        <v>380</v>
      </c>
      <c r="J85" t="s">
        <v>328</v>
      </c>
      <c r="K85" t="s">
        <v>327</v>
      </c>
    </row>
    <row r="86" spans="1:11" x14ac:dyDescent="0.35">
      <c r="A86" t="s">
        <v>124</v>
      </c>
      <c r="B86" t="s">
        <v>646</v>
      </c>
      <c r="C86" t="s">
        <v>125</v>
      </c>
      <c r="D86" t="s">
        <v>1</v>
      </c>
      <c r="E86" t="s">
        <v>560</v>
      </c>
      <c r="F86" t="s">
        <v>553</v>
      </c>
      <c r="G86">
        <v>388</v>
      </c>
      <c r="J86" t="s">
        <v>125</v>
      </c>
      <c r="K86" t="s">
        <v>124</v>
      </c>
    </row>
    <row r="87" spans="1:11" x14ac:dyDescent="0.35">
      <c r="A87" t="s">
        <v>98</v>
      </c>
      <c r="B87" t="s">
        <v>647</v>
      </c>
      <c r="C87" t="s">
        <v>99</v>
      </c>
      <c r="D87" t="s">
        <v>4</v>
      </c>
      <c r="E87" t="s">
        <v>560</v>
      </c>
      <c r="F87" t="s">
        <v>553</v>
      </c>
      <c r="G87">
        <v>400</v>
      </c>
      <c r="J87" t="s">
        <v>99</v>
      </c>
      <c r="K87" t="s">
        <v>98</v>
      </c>
    </row>
    <row r="88" spans="1:11" x14ac:dyDescent="0.35">
      <c r="A88" t="s">
        <v>126</v>
      </c>
      <c r="B88" t="s">
        <v>648</v>
      </c>
      <c r="C88" t="s">
        <v>127</v>
      </c>
      <c r="D88" t="s">
        <v>0</v>
      </c>
      <c r="E88" t="s">
        <v>552</v>
      </c>
      <c r="F88" t="s">
        <v>553</v>
      </c>
      <c r="G88">
        <v>392</v>
      </c>
      <c r="J88" t="s">
        <v>127</v>
      </c>
      <c r="K88" t="s">
        <v>126</v>
      </c>
    </row>
    <row r="89" spans="1:11" x14ac:dyDescent="0.35">
      <c r="A89" t="s">
        <v>333</v>
      </c>
      <c r="B89" t="s">
        <v>649</v>
      </c>
      <c r="C89" t="s">
        <v>334</v>
      </c>
      <c r="D89" t="s">
        <v>25</v>
      </c>
      <c r="E89" t="s">
        <v>556</v>
      </c>
      <c r="F89" t="s">
        <v>553</v>
      </c>
      <c r="G89">
        <v>404</v>
      </c>
      <c r="J89" t="s">
        <v>334</v>
      </c>
      <c r="K89" t="s">
        <v>333</v>
      </c>
    </row>
    <row r="90" spans="1:11" x14ac:dyDescent="0.35">
      <c r="A90" t="s">
        <v>173</v>
      </c>
      <c r="B90" t="s">
        <v>650</v>
      </c>
      <c r="C90" t="s">
        <v>174</v>
      </c>
      <c r="D90" t="s">
        <v>20</v>
      </c>
      <c r="E90" t="s">
        <v>556</v>
      </c>
      <c r="F90" t="s">
        <v>553</v>
      </c>
      <c r="G90">
        <v>417</v>
      </c>
      <c r="J90" t="s">
        <v>174</v>
      </c>
      <c r="K90" t="s">
        <v>173</v>
      </c>
    </row>
    <row r="91" spans="1:11" x14ac:dyDescent="0.35">
      <c r="A91" t="s">
        <v>140</v>
      </c>
      <c r="B91" t="s">
        <v>651</v>
      </c>
      <c r="C91" t="s">
        <v>141</v>
      </c>
      <c r="D91" t="s">
        <v>0</v>
      </c>
      <c r="E91" t="s">
        <v>556</v>
      </c>
      <c r="F91" t="s">
        <v>553</v>
      </c>
      <c r="G91">
        <v>116</v>
      </c>
      <c r="J91" t="s">
        <v>141</v>
      </c>
      <c r="K91" t="s">
        <v>140</v>
      </c>
    </row>
    <row r="92" spans="1:11" x14ac:dyDescent="0.35">
      <c r="A92" t="s">
        <v>336</v>
      </c>
      <c r="B92" t="s">
        <v>652</v>
      </c>
      <c r="C92" t="s">
        <v>337</v>
      </c>
      <c r="D92" t="s">
        <v>0</v>
      </c>
      <c r="E92" t="s">
        <v>560</v>
      </c>
      <c r="F92" t="s">
        <v>553</v>
      </c>
      <c r="G92">
        <v>296</v>
      </c>
      <c r="J92" t="s">
        <v>337</v>
      </c>
      <c r="K92" t="s">
        <v>336</v>
      </c>
    </row>
    <row r="93" spans="1:11" x14ac:dyDescent="0.35">
      <c r="A93" t="s">
        <v>531</v>
      </c>
      <c r="B93" t="s">
        <v>653</v>
      </c>
      <c r="C93" t="s">
        <v>532</v>
      </c>
      <c r="D93" t="s">
        <v>25</v>
      </c>
      <c r="E93" t="s">
        <v>556</v>
      </c>
      <c r="F93" t="s">
        <v>553</v>
      </c>
      <c r="G93">
        <v>174</v>
      </c>
      <c r="J93" t="s">
        <v>532</v>
      </c>
      <c r="K93" t="s">
        <v>531</v>
      </c>
    </row>
    <row r="94" spans="1:11" x14ac:dyDescent="0.35">
      <c r="A94" t="s">
        <v>484</v>
      </c>
      <c r="B94" t="s">
        <v>654</v>
      </c>
      <c r="C94" t="s">
        <v>485</v>
      </c>
      <c r="D94" t="s">
        <v>1</v>
      </c>
      <c r="E94" t="s">
        <v>558</v>
      </c>
      <c r="F94" t="s">
        <v>553</v>
      </c>
      <c r="G94">
        <v>659</v>
      </c>
      <c r="J94" t="s">
        <v>485</v>
      </c>
      <c r="K94" t="s">
        <v>484</v>
      </c>
    </row>
    <row r="95" spans="1:11" x14ac:dyDescent="0.35">
      <c r="A95" t="s">
        <v>44</v>
      </c>
      <c r="B95" t="s">
        <v>655</v>
      </c>
      <c r="C95" t="s">
        <v>45</v>
      </c>
      <c r="D95" t="s">
        <v>43</v>
      </c>
      <c r="E95" t="s">
        <v>556</v>
      </c>
      <c r="F95" t="s">
        <v>553</v>
      </c>
      <c r="G95">
        <v>408</v>
      </c>
      <c r="J95" t="s">
        <v>45</v>
      </c>
      <c r="K95" t="s">
        <v>44</v>
      </c>
    </row>
    <row r="96" spans="1:11" x14ac:dyDescent="0.35">
      <c r="A96" t="s">
        <v>338</v>
      </c>
      <c r="B96" t="s">
        <v>656</v>
      </c>
      <c r="C96" t="s">
        <v>339</v>
      </c>
      <c r="D96" t="s">
        <v>0</v>
      </c>
      <c r="E96" t="s">
        <v>552</v>
      </c>
      <c r="F96" t="s">
        <v>553</v>
      </c>
      <c r="G96">
        <v>410</v>
      </c>
      <c r="J96" t="s">
        <v>339</v>
      </c>
      <c r="K96" t="s">
        <v>338</v>
      </c>
    </row>
    <row r="97" spans="1:11" x14ac:dyDescent="0.35">
      <c r="A97" t="s">
        <v>505</v>
      </c>
      <c r="B97" t="s">
        <v>657</v>
      </c>
      <c r="C97" t="s">
        <v>506</v>
      </c>
      <c r="D97" t="s">
        <v>4</v>
      </c>
      <c r="E97" t="s">
        <v>552</v>
      </c>
      <c r="F97" t="s">
        <v>553</v>
      </c>
      <c r="G97">
        <v>414</v>
      </c>
      <c r="J97" t="s">
        <v>506</v>
      </c>
      <c r="K97" t="s">
        <v>505</v>
      </c>
    </row>
    <row r="98" spans="1:11" x14ac:dyDescent="0.35">
      <c r="A98" t="s">
        <v>330</v>
      </c>
      <c r="B98" t="s">
        <v>658</v>
      </c>
      <c r="C98" t="s">
        <v>331</v>
      </c>
      <c r="D98" t="s">
        <v>20</v>
      </c>
      <c r="E98" t="s">
        <v>560</v>
      </c>
      <c r="F98" t="s">
        <v>553</v>
      </c>
      <c r="G98">
        <v>398</v>
      </c>
      <c r="J98" t="s">
        <v>331</v>
      </c>
      <c r="K98" t="s">
        <v>330</v>
      </c>
    </row>
    <row r="99" spans="1:11" x14ac:dyDescent="0.35">
      <c r="A99" t="s">
        <v>175</v>
      </c>
      <c r="B99" t="s">
        <v>659</v>
      </c>
      <c r="C99" t="s">
        <v>176</v>
      </c>
      <c r="D99" t="s">
        <v>0</v>
      </c>
      <c r="E99" t="s">
        <v>556</v>
      </c>
      <c r="F99" t="s">
        <v>553</v>
      </c>
      <c r="G99">
        <v>418</v>
      </c>
      <c r="J99" t="s">
        <v>176</v>
      </c>
      <c r="K99" t="s">
        <v>175</v>
      </c>
    </row>
    <row r="100" spans="1:11" x14ac:dyDescent="0.35">
      <c r="A100" t="s">
        <v>178</v>
      </c>
      <c r="B100" t="s">
        <v>660</v>
      </c>
      <c r="C100" t="s">
        <v>179</v>
      </c>
      <c r="D100" t="s">
        <v>4</v>
      </c>
      <c r="E100" t="s">
        <v>558</v>
      </c>
      <c r="F100" t="s">
        <v>553</v>
      </c>
      <c r="G100">
        <v>422</v>
      </c>
      <c r="J100" t="s">
        <v>179</v>
      </c>
      <c r="K100" t="s">
        <v>178</v>
      </c>
    </row>
    <row r="101" spans="1:11" x14ac:dyDescent="0.35">
      <c r="A101" t="s">
        <v>486</v>
      </c>
      <c r="B101" t="s">
        <v>661</v>
      </c>
      <c r="C101" t="s">
        <v>487</v>
      </c>
      <c r="D101" t="s">
        <v>1</v>
      </c>
      <c r="E101" t="s">
        <v>558</v>
      </c>
      <c r="F101" t="s">
        <v>553</v>
      </c>
      <c r="G101">
        <v>662</v>
      </c>
      <c r="J101" t="s">
        <v>487</v>
      </c>
      <c r="K101" t="s">
        <v>486</v>
      </c>
    </row>
    <row r="102" spans="1:11" x14ac:dyDescent="0.35">
      <c r="A102" t="s">
        <v>55</v>
      </c>
      <c r="B102" t="s">
        <v>662</v>
      </c>
      <c r="C102" t="s">
        <v>56</v>
      </c>
      <c r="D102" t="s">
        <v>43</v>
      </c>
      <c r="E102" t="s">
        <v>560</v>
      </c>
      <c r="F102" t="s">
        <v>553</v>
      </c>
      <c r="G102">
        <v>144</v>
      </c>
      <c r="J102" t="s">
        <v>56</v>
      </c>
      <c r="K102" t="s">
        <v>55</v>
      </c>
    </row>
    <row r="103" spans="1:11" x14ac:dyDescent="0.35">
      <c r="A103" t="s">
        <v>344</v>
      </c>
      <c r="B103" t="s">
        <v>663</v>
      </c>
      <c r="C103" t="s">
        <v>345</v>
      </c>
      <c r="D103" t="s">
        <v>25</v>
      </c>
      <c r="E103" t="s">
        <v>556</v>
      </c>
      <c r="F103" t="s">
        <v>553</v>
      </c>
      <c r="G103">
        <v>430</v>
      </c>
      <c r="J103" t="s">
        <v>345</v>
      </c>
      <c r="K103" t="s">
        <v>344</v>
      </c>
    </row>
    <row r="104" spans="1:11" x14ac:dyDescent="0.35">
      <c r="A104" t="s">
        <v>149</v>
      </c>
      <c r="B104" t="s">
        <v>664</v>
      </c>
      <c r="C104" t="s">
        <v>150</v>
      </c>
      <c r="D104" t="s">
        <v>25</v>
      </c>
      <c r="E104" t="s">
        <v>556</v>
      </c>
      <c r="F104" t="s">
        <v>553</v>
      </c>
      <c r="G104">
        <v>426</v>
      </c>
      <c r="J104" t="s">
        <v>150</v>
      </c>
      <c r="K104" t="s">
        <v>149</v>
      </c>
    </row>
    <row r="105" spans="1:11" x14ac:dyDescent="0.35">
      <c r="A105" t="s">
        <v>347</v>
      </c>
      <c r="B105" t="s">
        <v>665</v>
      </c>
      <c r="C105" t="s">
        <v>348</v>
      </c>
      <c r="D105" t="s">
        <v>20</v>
      </c>
      <c r="E105" t="s">
        <v>558</v>
      </c>
      <c r="F105" t="s">
        <v>553</v>
      </c>
      <c r="G105">
        <v>440</v>
      </c>
      <c r="J105" t="s">
        <v>348</v>
      </c>
      <c r="K105" t="s">
        <v>347</v>
      </c>
    </row>
    <row r="106" spans="1:11" x14ac:dyDescent="0.35">
      <c r="A106" t="s">
        <v>93</v>
      </c>
      <c r="B106" t="s">
        <v>666</v>
      </c>
      <c r="C106" t="s">
        <v>94</v>
      </c>
      <c r="D106" t="s">
        <v>20</v>
      </c>
      <c r="E106" t="s">
        <v>552</v>
      </c>
      <c r="F106" t="s">
        <v>553</v>
      </c>
      <c r="G106">
        <v>442</v>
      </c>
      <c r="J106" t="s">
        <v>94</v>
      </c>
      <c r="K106" t="s">
        <v>93</v>
      </c>
    </row>
    <row r="107" spans="1:11" x14ac:dyDescent="0.35">
      <c r="A107" t="s">
        <v>341</v>
      </c>
      <c r="B107" t="s">
        <v>667</v>
      </c>
      <c r="C107" t="s">
        <v>342</v>
      </c>
      <c r="D107" t="s">
        <v>20</v>
      </c>
      <c r="E107" t="s">
        <v>558</v>
      </c>
      <c r="F107" t="s">
        <v>553</v>
      </c>
      <c r="G107">
        <v>428</v>
      </c>
      <c r="J107" t="s">
        <v>342</v>
      </c>
      <c r="K107" t="s">
        <v>341</v>
      </c>
    </row>
    <row r="108" spans="1:11" x14ac:dyDescent="0.35">
      <c r="A108" t="s">
        <v>668</v>
      </c>
      <c r="B108" t="s">
        <v>669</v>
      </c>
      <c r="C108" t="s">
        <v>509</v>
      </c>
      <c r="D108" t="s">
        <v>4</v>
      </c>
      <c r="E108" t="s">
        <v>558</v>
      </c>
      <c r="F108" t="s">
        <v>553</v>
      </c>
      <c r="G108">
        <v>434</v>
      </c>
      <c r="J108" t="s">
        <v>509</v>
      </c>
      <c r="K108" t="s">
        <v>668</v>
      </c>
    </row>
    <row r="109" spans="1:11" x14ac:dyDescent="0.35">
      <c r="A109" t="s">
        <v>152</v>
      </c>
      <c r="B109" t="s">
        <v>670</v>
      </c>
      <c r="C109" t="s">
        <v>153</v>
      </c>
      <c r="D109" t="s">
        <v>4</v>
      </c>
      <c r="E109" t="s">
        <v>560</v>
      </c>
      <c r="F109" t="s">
        <v>553</v>
      </c>
      <c r="G109">
        <v>504</v>
      </c>
      <c r="J109" t="s">
        <v>153</v>
      </c>
      <c r="K109" t="s">
        <v>152</v>
      </c>
    </row>
    <row r="110" spans="1:11" x14ac:dyDescent="0.35">
      <c r="A110" t="s">
        <v>207</v>
      </c>
      <c r="B110" t="s">
        <v>671</v>
      </c>
      <c r="C110" t="s">
        <v>208</v>
      </c>
      <c r="D110" t="s">
        <v>20</v>
      </c>
      <c r="E110" t="s">
        <v>552</v>
      </c>
      <c r="F110" t="s">
        <v>553</v>
      </c>
      <c r="G110">
        <v>492</v>
      </c>
      <c r="J110" t="s">
        <v>208</v>
      </c>
      <c r="K110" t="s">
        <v>207</v>
      </c>
    </row>
    <row r="111" spans="1:11" x14ac:dyDescent="0.35">
      <c r="A111" t="s">
        <v>367</v>
      </c>
      <c r="B111" t="s">
        <v>672</v>
      </c>
      <c r="C111" t="s">
        <v>368</v>
      </c>
      <c r="D111" t="s">
        <v>20</v>
      </c>
      <c r="E111" t="s">
        <v>556</v>
      </c>
      <c r="F111" t="s">
        <v>553</v>
      </c>
      <c r="G111">
        <v>498</v>
      </c>
      <c r="J111" t="s">
        <v>368</v>
      </c>
      <c r="K111" t="s">
        <v>367</v>
      </c>
    </row>
    <row r="112" spans="1:11" x14ac:dyDescent="0.35">
      <c r="A112" t="s">
        <v>184</v>
      </c>
      <c r="B112" t="s">
        <v>673</v>
      </c>
      <c r="C112" t="s">
        <v>185</v>
      </c>
      <c r="D112" t="s">
        <v>20</v>
      </c>
      <c r="E112" t="s">
        <v>560</v>
      </c>
      <c r="F112" t="s">
        <v>553</v>
      </c>
      <c r="G112">
        <v>499</v>
      </c>
      <c r="J112" t="s">
        <v>185</v>
      </c>
      <c r="K112" t="s">
        <v>184</v>
      </c>
    </row>
    <row r="113" spans="1:11" x14ac:dyDescent="0.35">
      <c r="A113" t="s">
        <v>350</v>
      </c>
      <c r="B113" t="s">
        <v>674</v>
      </c>
      <c r="C113" t="s">
        <v>351</v>
      </c>
      <c r="D113" t="s">
        <v>25</v>
      </c>
      <c r="E113" t="s">
        <v>556</v>
      </c>
      <c r="F113" t="s">
        <v>553</v>
      </c>
      <c r="G113">
        <v>450</v>
      </c>
      <c r="J113" t="s">
        <v>351</v>
      </c>
      <c r="K113" t="s">
        <v>350</v>
      </c>
    </row>
    <row r="114" spans="1:11" x14ac:dyDescent="0.35">
      <c r="A114" t="s">
        <v>209</v>
      </c>
      <c r="B114" t="s">
        <v>675</v>
      </c>
      <c r="C114" t="s">
        <v>210</v>
      </c>
      <c r="D114" t="s">
        <v>0</v>
      </c>
      <c r="E114" t="s">
        <v>560</v>
      </c>
      <c r="F114" t="s">
        <v>553</v>
      </c>
      <c r="G114">
        <v>584</v>
      </c>
      <c r="J114" t="s">
        <v>210</v>
      </c>
      <c r="K114" t="s">
        <v>209</v>
      </c>
    </row>
    <row r="115" spans="1:11" x14ac:dyDescent="0.35">
      <c r="A115" t="s">
        <v>676</v>
      </c>
      <c r="B115" t="s">
        <v>677</v>
      </c>
      <c r="C115" t="s">
        <v>386</v>
      </c>
      <c r="D115" t="s">
        <v>20</v>
      </c>
      <c r="E115" t="s">
        <v>560</v>
      </c>
      <c r="F115" t="s">
        <v>553</v>
      </c>
      <c r="G115">
        <v>807</v>
      </c>
      <c r="J115" t="s">
        <v>386</v>
      </c>
      <c r="K115" t="s">
        <v>676</v>
      </c>
    </row>
    <row r="116" spans="1:11" x14ac:dyDescent="0.35">
      <c r="A116" t="s">
        <v>359</v>
      </c>
      <c r="B116" t="s">
        <v>678</v>
      </c>
      <c r="C116" t="s">
        <v>360</v>
      </c>
      <c r="D116" t="s">
        <v>25</v>
      </c>
      <c r="E116" t="s">
        <v>556</v>
      </c>
      <c r="F116" t="s">
        <v>553</v>
      </c>
      <c r="G116">
        <v>466</v>
      </c>
      <c r="J116" t="s">
        <v>360</v>
      </c>
      <c r="K116" t="s">
        <v>359</v>
      </c>
    </row>
    <row r="117" spans="1:11" x14ac:dyDescent="0.35">
      <c r="A117" t="s">
        <v>451</v>
      </c>
      <c r="B117" t="s">
        <v>679</v>
      </c>
      <c r="C117" t="s">
        <v>452</v>
      </c>
      <c r="D117" t="s">
        <v>43</v>
      </c>
      <c r="E117" t="s">
        <v>556</v>
      </c>
      <c r="F117" t="s">
        <v>553</v>
      </c>
      <c r="G117">
        <v>104</v>
      </c>
      <c r="J117" t="s">
        <v>452</v>
      </c>
      <c r="K117" t="s">
        <v>451</v>
      </c>
    </row>
    <row r="118" spans="1:11" x14ac:dyDescent="0.35">
      <c r="A118" t="s">
        <v>182</v>
      </c>
      <c r="B118" t="s">
        <v>680</v>
      </c>
      <c r="C118" t="s">
        <v>183</v>
      </c>
      <c r="D118" t="s">
        <v>0</v>
      </c>
      <c r="E118" t="s">
        <v>556</v>
      </c>
      <c r="F118" t="s">
        <v>553</v>
      </c>
      <c r="G118">
        <v>496</v>
      </c>
      <c r="J118" t="s">
        <v>183</v>
      </c>
      <c r="K118" t="s">
        <v>182</v>
      </c>
    </row>
    <row r="119" spans="1:11" x14ac:dyDescent="0.35">
      <c r="A119" t="s">
        <v>119</v>
      </c>
      <c r="B119" t="s">
        <v>681</v>
      </c>
      <c r="C119" t="s">
        <v>120</v>
      </c>
      <c r="D119" t="s">
        <v>25</v>
      </c>
      <c r="E119" t="s">
        <v>556</v>
      </c>
      <c r="F119" t="s">
        <v>553</v>
      </c>
      <c r="G119">
        <v>478</v>
      </c>
      <c r="J119" t="s">
        <v>120</v>
      </c>
      <c r="K119" t="s">
        <v>119</v>
      </c>
    </row>
    <row r="120" spans="1:11" x14ac:dyDescent="0.35">
      <c r="A120" t="s">
        <v>362</v>
      </c>
      <c r="B120" t="s">
        <v>682</v>
      </c>
      <c r="C120" t="s">
        <v>363</v>
      </c>
      <c r="D120" t="s">
        <v>20</v>
      </c>
      <c r="E120" t="s">
        <v>552</v>
      </c>
      <c r="F120" t="s">
        <v>553</v>
      </c>
      <c r="G120">
        <v>470</v>
      </c>
      <c r="J120" t="s">
        <v>363</v>
      </c>
      <c r="K120" t="s">
        <v>362</v>
      </c>
    </row>
    <row r="121" spans="1:11" x14ac:dyDescent="0.35">
      <c r="A121" t="s">
        <v>365</v>
      </c>
      <c r="B121" t="s">
        <v>683</v>
      </c>
      <c r="C121" t="s">
        <v>366</v>
      </c>
      <c r="D121" t="s">
        <v>25</v>
      </c>
      <c r="E121" t="s">
        <v>558</v>
      </c>
      <c r="F121" t="s">
        <v>553</v>
      </c>
      <c r="G121">
        <v>480</v>
      </c>
      <c r="J121" t="s">
        <v>366</v>
      </c>
      <c r="K121" t="s">
        <v>365</v>
      </c>
    </row>
    <row r="122" spans="1:11" x14ac:dyDescent="0.35">
      <c r="A122" t="s">
        <v>356</v>
      </c>
      <c r="B122" t="s">
        <v>684</v>
      </c>
      <c r="C122" t="s">
        <v>357</v>
      </c>
      <c r="D122" t="s">
        <v>43</v>
      </c>
      <c r="E122" t="s">
        <v>560</v>
      </c>
      <c r="F122" t="s">
        <v>553</v>
      </c>
      <c r="G122">
        <v>462</v>
      </c>
      <c r="J122" t="s">
        <v>357</v>
      </c>
      <c r="K122" t="s">
        <v>356</v>
      </c>
    </row>
    <row r="123" spans="1:11" x14ac:dyDescent="0.35">
      <c r="A123" t="s">
        <v>353</v>
      </c>
      <c r="B123" t="s">
        <v>685</v>
      </c>
      <c r="C123" t="s">
        <v>354</v>
      </c>
      <c r="D123" t="s">
        <v>25</v>
      </c>
      <c r="E123" t="s">
        <v>556</v>
      </c>
      <c r="F123" t="s">
        <v>553</v>
      </c>
      <c r="G123">
        <v>454</v>
      </c>
      <c r="J123" t="s">
        <v>354</v>
      </c>
      <c r="K123" t="s">
        <v>353</v>
      </c>
    </row>
    <row r="124" spans="1:11" x14ac:dyDescent="0.35">
      <c r="A124" t="s">
        <v>538</v>
      </c>
      <c r="B124" t="s">
        <v>686</v>
      </c>
      <c r="C124" t="s">
        <v>539</v>
      </c>
      <c r="D124" t="s">
        <v>1</v>
      </c>
      <c r="E124" t="s">
        <v>558</v>
      </c>
      <c r="F124" t="s">
        <v>553</v>
      </c>
      <c r="G124">
        <v>484</v>
      </c>
      <c r="J124" t="s">
        <v>539</v>
      </c>
      <c r="K124" t="s">
        <v>538</v>
      </c>
    </row>
    <row r="125" spans="1:11" x14ac:dyDescent="0.35">
      <c r="A125" t="s">
        <v>180</v>
      </c>
      <c r="B125" t="s">
        <v>687</v>
      </c>
      <c r="C125" t="s">
        <v>181</v>
      </c>
      <c r="D125" t="s">
        <v>0</v>
      </c>
      <c r="E125" t="s">
        <v>558</v>
      </c>
      <c r="F125" t="s">
        <v>553</v>
      </c>
      <c r="G125">
        <v>458</v>
      </c>
      <c r="J125" t="s">
        <v>181</v>
      </c>
      <c r="K125" t="s">
        <v>180</v>
      </c>
    </row>
    <row r="126" spans="1:11" x14ac:dyDescent="0.35">
      <c r="A126" t="s">
        <v>370</v>
      </c>
      <c r="B126" t="s">
        <v>688</v>
      </c>
      <c r="C126" t="s">
        <v>371</v>
      </c>
      <c r="D126" t="s">
        <v>25</v>
      </c>
      <c r="E126" t="s">
        <v>556</v>
      </c>
      <c r="F126" t="s">
        <v>553</v>
      </c>
      <c r="G126">
        <v>508</v>
      </c>
      <c r="J126" t="s">
        <v>371</v>
      </c>
      <c r="K126" t="s">
        <v>370</v>
      </c>
    </row>
    <row r="127" spans="1:11" x14ac:dyDescent="0.35">
      <c r="A127" t="s">
        <v>373</v>
      </c>
      <c r="B127" t="s">
        <v>62</v>
      </c>
      <c r="C127" t="s">
        <v>374</v>
      </c>
      <c r="D127" t="s">
        <v>25</v>
      </c>
      <c r="E127" t="s">
        <v>560</v>
      </c>
      <c r="F127" t="s">
        <v>553</v>
      </c>
      <c r="G127">
        <v>516</v>
      </c>
      <c r="J127" t="s">
        <v>374</v>
      </c>
      <c r="K127" t="s">
        <v>373</v>
      </c>
    </row>
    <row r="128" spans="1:11" x14ac:dyDescent="0.35">
      <c r="A128" t="s">
        <v>445</v>
      </c>
      <c r="B128" t="s">
        <v>689</v>
      </c>
      <c r="C128" t="s">
        <v>446</v>
      </c>
      <c r="D128" t="s">
        <v>25</v>
      </c>
      <c r="E128" t="s">
        <v>556</v>
      </c>
      <c r="F128" t="s">
        <v>553</v>
      </c>
      <c r="G128">
        <v>562</v>
      </c>
      <c r="J128" t="s">
        <v>446</v>
      </c>
      <c r="K128" t="s">
        <v>445</v>
      </c>
    </row>
    <row r="129" spans="1:11" x14ac:dyDescent="0.35">
      <c r="A129" t="s">
        <v>73</v>
      </c>
      <c r="B129" t="s">
        <v>690</v>
      </c>
      <c r="C129" t="s">
        <v>74</v>
      </c>
      <c r="D129" t="s">
        <v>25</v>
      </c>
      <c r="E129" t="s">
        <v>556</v>
      </c>
      <c r="F129" t="s">
        <v>553</v>
      </c>
      <c r="G129">
        <v>566</v>
      </c>
      <c r="J129" t="s">
        <v>74</v>
      </c>
      <c r="K129" t="s">
        <v>73</v>
      </c>
    </row>
    <row r="130" spans="1:11" x14ac:dyDescent="0.35">
      <c r="A130" t="s">
        <v>379</v>
      </c>
      <c r="B130" t="s">
        <v>691</v>
      </c>
      <c r="C130" t="s">
        <v>380</v>
      </c>
      <c r="D130" t="s">
        <v>1</v>
      </c>
      <c r="E130" t="s">
        <v>556</v>
      </c>
      <c r="F130" t="s">
        <v>553</v>
      </c>
      <c r="G130">
        <v>558</v>
      </c>
      <c r="J130" t="s">
        <v>380</v>
      </c>
      <c r="K130" t="s">
        <v>379</v>
      </c>
    </row>
    <row r="131" spans="1:11" x14ac:dyDescent="0.35">
      <c r="A131" t="s">
        <v>128</v>
      </c>
      <c r="B131" t="s">
        <v>692</v>
      </c>
      <c r="C131" t="s">
        <v>129</v>
      </c>
      <c r="D131" t="s">
        <v>20</v>
      </c>
      <c r="E131" t="s">
        <v>552</v>
      </c>
      <c r="F131" t="s">
        <v>553</v>
      </c>
      <c r="G131">
        <v>528</v>
      </c>
      <c r="J131" t="s">
        <v>129</v>
      </c>
      <c r="K131" t="s">
        <v>128</v>
      </c>
    </row>
    <row r="132" spans="1:11" x14ac:dyDescent="0.35">
      <c r="A132" t="s">
        <v>155</v>
      </c>
      <c r="B132" t="s">
        <v>693</v>
      </c>
      <c r="C132" t="s">
        <v>156</v>
      </c>
      <c r="D132" t="s">
        <v>20</v>
      </c>
      <c r="E132" t="s">
        <v>552</v>
      </c>
      <c r="F132" t="s">
        <v>553</v>
      </c>
      <c r="G132">
        <v>578</v>
      </c>
      <c r="J132" t="s">
        <v>156</v>
      </c>
      <c r="K132" t="s">
        <v>155</v>
      </c>
    </row>
    <row r="133" spans="1:11" x14ac:dyDescent="0.35">
      <c r="A133" t="s">
        <v>67</v>
      </c>
      <c r="B133" t="s">
        <v>694</v>
      </c>
      <c r="C133" t="s">
        <v>68</v>
      </c>
      <c r="D133" t="s">
        <v>43</v>
      </c>
      <c r="E133" t="s">
        <v>556</v>
      </c>
      <c r="F133" t="s">
        <v>553</v>
      </c>
      <c r="G133">
        <v>524</v>
      </c>
      <c r="J133" t="s">
        <v>68</v>
      </c>
      <c r="K133" t="s">
        <v>67</v>
      </c>
    </row>
    <row r="134" spans="1:11" x14ac:dyDescent="0.35">
      <c r="A134" t="s">
        <v>376</v>
      </c>
      <c r="B134" t="s">
        <v>695</v>
      </c>
      <c r="C134" t="s">
        <v>377</v>
      </c>
      <c r="D134" t="s">
        <v>0</v>
      </c>
      <c r="E134" t="s">
        <v>558</v>
      </c>
      <c r="F134" t="s">
        <v>553</v>
      </c>
      <c r="G134">
        <v>520</v>
      </c>
      <c r="J134" t="s">
        <v>377</v>
      </c>
      <c r="K134" t="s">
        <v>376</v>
      </c>
    </row>
    <row r="135" spans="1:11" x14ac:dyDescent="0.35">
      <c r="A135" t="s">
        <v>382</v>
      </c>
      <c r="B135" t="s">
        <v>696</v>
      </c>
      <c r="C135" t="s">
        <v>383</v>
      </c>
      <c r="D135" t="s">
        <v>0</v>
      </c>
      <c r="E135" t="s">
        <v>556</v>
      </c>
      <c r="F135" t="s">
        <v>553</v>
      </c>
      <c r="G135">
        <v>570</v>
      </c>
      <c r="J135" t="s">
        <v>383</v>
      </c>
      <c r="K135" t="s">
        <v>382</v>
      </c>
    </row>
    <row r="136" spans="1:11" x14ac:dyDescent="0.35">
      <c r="A136" t="s">
        <v>186</v>
      </c>
      <c r="B136" t="s">
        <v>697</v>
      </c>
      <c r="C136" t="s">
        <v>187</v>
      </c>
      <c r="D136" t="s">
        <v>0</v>
      </c>
      <c r="E136" t="s">
        <v>552</v>
      </c>
      <c r="F136" t="s">
        <v>553</v>
      </c>
      <c r="G136">
        <v>554</v>
      </c>
      <c r="J136" t="s">
        <v>187</v>
      </c>
      <c r="K136" t="s">
        <v>186</v>
      </c>
    </row>
    <row r="137" spans="1:11" x14ac:dyDescent="0.35">
      <c r="A137" t="s">
        <v>514</v>
      </c>
      <c r="B137" t="s">
        <v>698</v>
      </c>
      <c r="C137" t="s">
        <v>515</v>
      </c>
      <c r="D137" t="s">
        <v>4</v>
      </c>
      <c r="E137" t="s">
        <v>558</v>
      </c>
      <c r="F137" t="s">
        <v>553</v>
      </c>
      <c r="G137">
        <v>512</v>
      </c>
      <c r="J137" t="s">
        <v>515</v>
      </c>
      <c r="K137" t="s">
        <v>514</v>
      </c>
    </row>
    <row r="138" spans="1:11" x14ac:dyDescent="0.35">
      <c r="A138" t="s">
        <v>391</v>
      </c>
      <c r="B138" t="s">
        <v>699</v>
      </c>
      <c r="C138" t="s">
        <v>392</v>
      </c>
      <c r="D138" t="s">
        <v>1</v>
      </c>
      <c r="E138" t="s">
        <v>558</v>
      </c>
      <c r="F138" t="s">
        <v>553</v>
      </c>
      <c r="G138">
        <v>591</v>
      </c>
      <c r="J138" t="s">
        <v>392</v>
      </c>
      <c r="K138" t="s">
        <v>391</v>
      </c>
    </row>
    <row r="139" spans="1:11" x14ac:dyDescent="0.35">
      <c r="A139" t="s">
        <v>397</v>
      </c>
      <c r="B139" t="s">
        <v>700</v>
      </c>
      <c r="C139" t="s">
        <v>398</v>
      </c>
      <c r="D139" t="s">
        <v>1</v>
      </c>
      <c r="E139" t="s">
        <v>560</v>
      </c>
      <c r="F139" t="s">
        <v>553</v>
      </c>
      <c r="G139">
        <v>604</v>
      </c>
      <c r="J139" t="s">
        <v>398</v>
      </c>
      <c r="K139" t="s">
        <v>397</v>
      </c>
    </row>
    <row r="140" spans="1:11" x14ac:dyDescent="0.35">
      <c r="A140" t="s">
        <v>106</v>
      </c>
      <c r="B140" t="s">
        <v>701</v>
      </c>
      <c r="C140" t="s">
        <v>107</v>
      </c>
      <c r="D140" t="s">
        <v>0</v>
      </c>
      <c r="E140" t="s">
        <v>556</v>
      </c>
      <c r="F140" t="s">
        <v>553</v>
      </c>
      <c r="G140">
        <v>598</v>
      </c>
      <c r="J140" t="s">
        <v>107</v>
      </c>
      <c r="K140" t="s">
        <v>106</v>
      </c>
    </row>
    <row r="141" spans="1:11" x14ac:dyDescent="0.35">
      <c r="A141" t="s">
        <v>400</v>
      </c>
      <c r="B141" t="s">
        <v>702</v>
      </c>
      <c r="C141" t="s">
        <v>401</v>
      </c>
      <c r="D141" t="s">
        <v>0</v>
      </c>
      <c r="E141" t="s">
        <v>560</v>
      </c>
      <c r="F141" t="s">
        <v>553</v>
      </c>
      <c r="G141">
        <v>608</v>
      </c>
      <c r="J141" t="s">
        <v>401</v>
      </c>
      <c r="K141" t="s">
        <v>400</v>
      </c>
    </row>
    <row r="142" spans="1:11" x14ac:dyDescent="0.35">
      <c r="A142" t="s">
        <v>122</v>
      </c>
      <c r="B142" t="s">
        <v>703</v>
      </c>
      <c r="C142" t="s">
        <v>123</v>
      </c>
      <c r="D142" t="s">
        <v>4</v>
      </c>
      <c r="E142" t="s">
        <v>556</v>
      </c>
      <c r="F142" t="s">
        <v>553</v>
      </c>
      <c r="G142">
        <v>586</v>
      </c>
      <c r="J142" t="s">
        <v>123</v>
      </c>
      <c r="K142" t="s">
        <v>122</v>
      </c>
    </row>
    <row r="143" spans="1:11" x14ac:dyDescent="0.35">
      <c r="A143" t="s">
        <v>403</v>
      </c>
      <c r="B143" t="s">
        <v>704</v>
      </c>
      <c r="C143" t="s">
        <v>404</v>
      </c>
      <c r="D143" t="s">
        <v>20</v>
      </c>
      <c r="E143" t="s">
        <v>558</v>
      </c>
      <c r="F143" t="s">
        <v>553</v>
      </c>
      <c r="G143">
        <v>616</v>
      </c>
      <c r="J143" t="s">
        <v>404</v>
      </c>
      <c r="K143" t="s">
        <v>403</v>
      </c>
    </row>
    <row r="144" spans="1:11" x14ac:dyDescent="0.35">
      <c r="A144" t="s">
        <v>201</v>
      </c>
      <c r="B144" t="s">
        <v>705</v>
      </c>
      <c r="C144" t="s">
        <v>202</v>
      </c>
      <c r="D144" t="s">
        <v>20</v>
      </c>
      <c r="E144" t="s">
        <v>552</v>
      </c>
      <c r="F144" t="s">
        <v>553</v>
      </c>
      <c r="G144">
        <v>620</v>
      </c>
      <c r="J144" t="s">
        <v>202</v>
      </c>
      <c r="K144" t="s">
        <v>201</v>
      </c>
    </row>
    <row r="145" spans="1:11" x14ac:dyDescent="0.35">
      <c r="A145" t="s">
        <v>388</v>
      </c>
      <c r="B145" t="s">
        <v>706</v>
      </c>
      <c r="C145" t="s">
        <v>389</v>
      </c>
      <c r="D145" t="s">
        <v>0</v>
      </c>
      <c r="E145" t="s">
        <v>558</v>
      </c>
      <c r="F145" t="s">
        <v>553</v>
      </c>
      <c r="G145">
        <v>585</v>
      </c>
      <c r="J145" t="s">
        <v>389</v>
      </c>
      <c r="K145" t="s">
        <v>388</v>
      </c>
    </row>
    <row r="146" spans="1:11" x14ac:dyDescent="0.35">
      <c r="A146" t="s">
        <v>394</v>
      </c>
      <c r="B146" t="s">
        <v>707</v>
      </c>
      <c r="C146" t="s">
        <v>395</v>
      </c>
      <c r="D146" t="s">
        <v>1</v>
      </c>
      <c r="E146" t="s">
        <v>560</v>
      </c>
      <c r="F146" t="s">
        <v>553</v>
      </c>
      <c r="G146">
        <v>600</v>
      </c>
      <c r="J146" t="s">
        <v>395</v>
      </c>
      <c r="K146" t="s">
        <v>394</v>
      </c>
    </row>
    <row r="147" spans="1:11" x14ac:dyDescent="0.35">
      <c r="A147" t="s">
        <v>511</v>
      </c>
      <c r="B147" t="s">
        <v>708</v>
      </c>
      <c r="C147" t="s">
        <v>512</v>
      </c>
      <c r="D147" t="s">
        <v>4</v>
      </c>
      <c r="E147" t="s">
        <v>552</v>
      </c>
      <c r="F147" t="s">
        <v>553</v>
      </c>
      <c r="G147">
        <v>634</v>
      </c>
      <c r="J147" t="s">
        <v>512</v>
      </c>
      <c r="K147" t="s">
        <v>511</v>
      </c>
    </row>
    <row r="148" spans="1:11" x14ac:dyDescent="0.35">
      <c r="A148" t="s">
        <v>480</v>
      </c>
      <c r="B148" t="s">
        <v>709</v>
      </c>
      <c r="C148" t="s">
        <v>481</v>
      </c>
      <c r="D148" t="s">
        <v>20</v>
      </c>
      <c r="E148" t="s">
        <v>560</v>
      </c>
      <c r="F148" t="s">
        <v>553</v>
      </c>
      <c r="G148">
        <v>642</v>
      </c>
      <c r="J148" t="s">
        <v>481</v>
      </c>
      <c r="K148" t="s">
        <v>480</v>
      </c>
    </row>
    <row r="149" spans="1:11" x14ac:dyDescent="0.35">
      <c r="A149" t="s">
        <v>415</v>
      </c>
      <c r="B149" t="s">
        <v>710</v>
      </c>
      <c r="C149" t="s">
        <v>416</v>
      </c>
      <c r="D149" t="s">
        <v>20</v>
      </c>
      <c r="E149" t="s">
        <v>560</v>
      </c>
      <c r="F149" t="s">
        <v>553</v>
      </c>
      <c r="G149">
        <v>688</v>
      </c>
      <c r="J149" t="s">
        <v>416</v>
      </c>
      <c r="K149" t="s">
        <v>415</v>
      </c>
    </row>
    <row r="150" spans="1:11" x14ac:dyDescent="0.35">
      <c r="A150" t="s">
        <v>482</v>
      </c>
      <c r="B150" t="s">
        <v>711</v>
      </c>
      <c r="C150" t="s">
        <v>483</v>
      </c>
      <c r="D150" t="s">
        <v>20</v>
      </c>
      <c r="E150" t="s">
        <v>558</v>
      </c>
      <c r="F150" t="s">
        <v>553</v>
      </c>
      <c r="G150">
        <v>643</v>
      </c>
      <c r="J150" t="s">
        <v>483</v>
      </c>
      <c r="K150" t="s">
        <v>482</v>
      </c>
    </row>
    <row r="151" spans="1:11" x14ac:dyDescent="0.35">
      <c r="A151" t="s">
        <v>406</v>
      </c>
      <c r="B151" t="s">
        <v>712</v>
      </c>
      <c r="C151" t="s">
        <v>407</v>
      </c>
      <c r="D151" t="s">
        <v>25</v>
      </c>
      <c r="E151" t="s">
        <v>556</v>
      </c>
      <c r="F151" t="s">
        <v>553</v>
      </c>
      <c r="G151">
        <v>646</v>
      </c>
      <c r="J151" t="s">
        <v>407</v>
      </c>
      <c r="K151" t="s">
        <v>406</v>
      </c>
    </row>
    <row r="152" spans="1:11" x14ac:dyDescent="0.35">
      <c r="A152" t="s">
        <v>158</v>
      </c>
      <c r="B152" t="s">
        <v>713</v>
      </c>
      <c r="C152" t="s">
        <v>159</v>
      </c>
      <c r="D152" t="s">
        <v>4</v>
      </c>
      <c r="E152" t="s">
        <v>552</v>
      </c>
      <c r="F152" t="s">
        <v>553</v>
      </c>
      <c r="G152">
        <v>682</v>
      </c>
      <c r="J152" t="s">
        <v>159</v>
      </c>
      <c r="K152" t="s">
        <v>158</v>
      </c>
    </row>
    <row r="153" spans="1:11" x14ac:dyDescent="0.35">
      <c r="A153" t="s">
        <v>496</v>
      </c>
      <c r="B153" t="s">
        <v>714</v>
      </c>
      <c r="C153" t="s">
        <v>497</v>
      </c>
      <c r="D153" t="s">
        <v>0</v>
      </c>
      <c r="E153" t="s">
        <v>556</v>
      </c>
      <c r="F153" t="s">
        <v>553</v>
      </c>
      <c r="G153">
        <v>90</v>
      </c>
      <c r="J153" t="s">
        <v>497</v>
      </c>
      <c r="K153" t="s">
        <v>496</v>
      </c>
    </row>
    <row r="154" spans="1:11" x14ac:dyDescent="0.35">
      <c r="A154" t="s">
        <v>418</v>
      </c>
      <c r="B154" t="s">
        <v>715</v>
      </c>
      <c r="C154" t="s">
        <v>419</v>
      </c>
      <c r="D154" t="s">
        <v>25</v>
      </c>
      <c r="E154" t="s">
        <v>558</v>
      </c>
      <c r="F154" t="s">
        <v>553</v>
      </c>
      <c r="G154">
        <v>690</v>
      </c>
      <c r="J154" t="s">
        <v>419</v>
      </c>
      <c r="K154" t="s">
        <v>418</v>
      </c>
    </row>
    <row r="155" spans="1:11" x14ac:dyDescent="0.35">
      <c r="A155" t="s">
        <v>448</v>
      </c>
      <c r="B155" t="s">
        <v>716</v>
      </c>
      <c r="C155" t="s">
        <v>449</v>
      </c>
      <c r="D155" t="s">
        <v>4</v>
      </c>
      <c r="E155" t="s">
        <v>556</v>
      </c>
      <c r="F155" t="s">
        <v>553</v>
      </c>
      <c r="G155">
        <v>729</v>
      </c>
      <c r="J155" t="s">
        <v>449</v>
      </c>
      <c r="K155" t="s">
        <v>448</v>
      </c>
    </row>
    <row r="156" spans="1:11" x14ac:dyDescent="0.35">
      <c r="A156" t="s">
        <v>164</v>
      </c>
      <c r="B156" t="s">
        <v>717</v>
      </c>
      <c r="C156" t="s">
        <v>165</v>
      </c>
      <c r="D156" t="s">
        <v>20</v>
      </c>
      <c r="E156" t="s">
        <v>552</v>
      </c>
      <c r="F156" t="s">
        <v>553</v>
      </c>
      <c r="G156">
        <v>752</v>
      </c>
      <c r="J156" t="s">
        <v>165</v>
      </c>
      <c r="K156" t="s">
        <v>164</v>
      </c>
    </row>
    <row r="157" spans="1:11" x14ac:dyDescent="0.35">
      <c r="A157" t="s">
        <v>424</v>
      </c>
      <c r="B157" t="s">
        <v>718</v>
      </c>
      <c r="C157" t="s">
        <v>425</v>
      </c>
      <c r="D157" t="s">
        <v>0</v>
      </c>
      <c r="E157" t="s">
        <v>552</v>
      </c>
      <c r="F157" t="s">
        <v>553</v>
      </c>
      <c r="G157">
        <v>702</v>
      </c>
      <c r="J157" t="s">
        <v>425</v>
      </c>
      <c r="K157" t="s">
        <v>424</v>
      </c>
    </row>
    <row r="158" spans="1:11" x14ac:dyDescent="0.35">
      <c r="A158" t="s">
        <v>427</v>
      </c>
      <c r="B158" t="s">
        <v>719</v>
      </c>
      <c r="C158" t="s">
        <v>428</v>
      </c>
      <c r="D158" t="s">
        <v>20</v>
      </c>
      <c r="E158" t="s">
        <v>552</v>
      </c>
      <c r="F158" t="s">
        <v>553</v>
      </c>
      <c r="G158">
        <v>705</v>
      </c>
      <c r="J158" t="s">
        <v>428</v>
      </c>
      <c r="K158" t="s">
        <v>427</v>
      </c>
    </row>
    <row r="159" spans="1:11" x14ac:dyDescent="0.35">
      <c r="A159" t="s">
        <v>491</v>
      </c>
      <c r="B159" t="s">
        <v>720</v>
      </c>
      <c r="C159" t="s">
        <v>492</v>
      </c>
      <c r="D159" t="s">
        <v>20</v>
      </c>
      <c r="E159" t="s">
        <v>558</v>
      </c>
      <c r="F159" t="s">
        <v>553</v>
      </c>
      <c r="G159">
        <v>703</v>
      </c>
      <c r="J159" t="s">
        <v>492</v>
      </c>
      <c r="K159" t="s">
        <v>491</v>
      </c>
    </row>
    <row r="160" spans="1:11" x14ac:dyDescent="0.35">
      <c r="A160" t="s">
        <v>421</v>
      </c>
      <c r="B160" t="s">
        <v>721</v>
      </c>
      <c r="C160" t="s">
        <v>422</v>
      </c>
      <c r="D160" t="s">
        <v>25</v>
      </c>
      <c r="E160" t="s">
        <v>556</v>
      </c>
      <c r="F160" t="s">
        <v>553</v>
      </c>
      <c r="G160">
        <v>694</v>
      </c>
      <c r="J160" t="s">
        <v>422</v>
      </c>
      <c r="K160" t="s">
        <v>421</v>
      </c>
    </row>
    <row r="161" spans="1:11" x14ac:dyDescent="0.35">
      <c r="A161" t="s">
        <v>409</v>
      </c>
      <c r="B161" t="s">
        <v>722</v>
      </c>
      <c r="C161" t="s">
        <v>410</v>
      </c>
      <c r="D161" t="s">
        <v>20</v>
      </c>
      <c r="E161" t="s">
        <v>552</v>
      </c>
      <c r="F161" t="s">
        <v>553</v>
      </c>
      <c r="G161">
        <v>674</v>
      </c>
      <c r="J161" t="s">
        <v>410</v>
      </c>
      <c r="K161" t="s">
        <v>409</v>
      </c>
    </row>
    <row r="162" spans="1:11" x14ac:dyDescent="0.35">
      <c r="A162" t="s">
        <v>412</v>
      </c>
      <c r="B162" t="s">
        <v>723</v>
      </c>
      <c r="C162" t="s">
        <v>413</v>
      </c>
      <c r="D162" t="s">
        <v>25</v>
      </c>
      <c r="E162" t="s">
        <v>556</v>
      </c>
      <c r="F162" t="s">
        <v>553</v>
      </c>
      <c r="G162">
        <v>686</v>
      </c>
      <c r="J162" t="s">
        <v>413</v>
      </c>
      <c r="K162" t="s">
        <v>412</v>
      </c>
    </row>
    <row r="163" spans="1:11" x14ac:dyDescent="0.35">
      <c r="A163" t="s">
        <v>76</v>
      </c>
      <c r="B163" t="s">
        <v>724</v>
      </c>
      <c r="C163" t="s">
        <v>77</v>
      </c>
      <c r="D163" t="s">
        <v>4</v>
      </c>
      <c r="E163" t="s">
        <v>556</v>
      </c>
      <c r="F163" t="s">
        <v>553</v>
      </c>
      <c r="G163">
        <v>706</v>
      </c>
      <c r="J163" t="s">
        <v>77</v>
      </c>
      <c r="K163" t="s">
        <v>76</v>
      </c>
    </row>
    <row r="164" spans="1:11" x14ac:dyDescent="0.35">
      <c r="A164" t="s">
        <v>436</v>
      </c>
      <c r="B164" t="s">
        <v>725</v>
      </c>
      <c r="C164" t="s">
        <v>437</v>
      </c>
      <c r="D164" t="s">
        <v>1</v>
      </c>
      <c r="E164" t="s">
        <v>560</v>
      </c>
      <c r="F164" t="s">
        <v>553</v>
      </c>
      <c r="G164">
        <v>740</v>
      </c>
      <c r="J164" t="s">
        <v>437</v>
      </c>
      <c r="K164" t="s">
        <v>436</v>
      </c>
    </row>
    <row r="165" spans="1:11" x14ac:dyDescent="0.35">
      <c r="A165" t="s">
        <v>433</v>
      </c>
      <c r="B165" t="s">
        <v>434</v>
      </c>
      <c r="C165" t="s">
        <v>434</v>
      </c>
      <c r="D165" t="s">
        <v>25</v>
      </c>
      <c r="E165" t="s">
        <v>556</v>
      </c>
      <c r="F165" t="s">
        <v>726</v>
      </c>
      <c r="G165">
        <v>728</v>
      </c>
      <c r="J165" t="s">
        <v>434</v>
      </c>
      <c r="K165" t="s">
        <v>433</v>
      </c>
    </row>
    <row r="166" spans="1:11" x14ac:dyDescent="0.35">
      <c r="A166" t="s">
        <v>47</v>
      </c>
      <c r="B166" t="s">
        <v>727</v>
      </c>
      <c r="C166" t="s">
        <v>48</v>
      </c>
      <c r="D166" t="s">
        <v>25</v>
      </c>
      <c r="E166" t="s">
        <v>556</v>
      </c>
      <c r="F166" t="s">
        <v>553</v>
      </c>
      <c r="G166">
        <v>678</v>
      </c>
      <c r="J166" t="s">
        <v>48</v>
      </c>
      <c r="K166" t="s">
        <v>47</v>
      </c>
    </row>
    <row r="167" spans="1:11" x14ac:dyDescent="0.35">
      <c r="A167" t="s">
        <v>276</v>
      </c>
      <c r="B167" t="s">
        <v>728</v>
      </c>
      <c r="C167" t="s">
        <v>277</v>
      </c>
      <c r="D167" t="s">
        <v>1</v>
      </c>
      <c r="E167" t="s">
        <v>560</v>
      </c>
      <c r="F167" t="s">
        <v>553</v>
      </c>
      <c r="G167">
        <v>222</v>
      </c>
      <c r="J167" t="s">
        <v>277</v>
      </c>
      <c r="K167" t="s">
        <v>276</v>
      </c>
    </row>
    <row r="168" spans="1:11" x14ac:dyDescent="0.35">
      <c r="A168" t="s">
        <v>519</v>
      </c>
      <c r="B168" t="s">
        <v>729</v>
      </c>
      <c r="C168" t="s">
        <v>520</v>
      </c>
      <c r="D168" t="s">
        <v>4</v>
      </c>
      <c r="E168" t="s">
        <v>560</v>
      </c>
      <c r="F168" t="s">
        <v>553</v>
      </c>
      <c r="G168">
        <v>760</v>
      </c>
      <c r="J168" t="s">
        <v>520</v>
      </c>
      <c r="K168" t="s">
        <v>519</v>
      </c>
    </row>
    <row r="169" spans="1:11" x14ac:dyDescent="0.35">
      <c r="A169" t="s">
        <v>146</v>
      </c>
      <c r="B169" t="s">
        <v>730</v>
      </c>
      <c r="C169" t="s">
        <v>147</v>
      </c>
      <c r="D169" t="s">
        <v>25</v>
      </c>
      <c r="E169" t="s">
        <v>560</v>
      </c>
      <c r="F169" t="s">
        <v>553</v>
      </c>
      <c r="G169">
        <v>748</v>
      </c>
      <c r="J169" t="s">
        <v>147</v>
      </c>
      <c r="K169" t="s">
        <v>146</v>
      </c>
    </row>
    <row r="170" spans="1:11" x14ac:dyDescent="0.35">
      <c r="A170" t="s">
        <v>248</v>
      </c>
      <c r="B170" t="s">
        <v>731</v>
      </c>
      <c r="C170" t="s">
        <v>249</v>
      </c>
      <c r="D170" t="s">
        <v>25</v>
      </c>
      <c r="E170" t="s">
        <v>556</v>
      </c>
      <c r="F170" t="s">
        <v>553</v>
      </c>
      <c r="G170">
        <v>148</v>
      </c>
      <c r="J170" t="s">
        <v>249</v>
      </c>
      <c r="K170" t="s">
        <v>248</v>
      </c>
    </row>
    <row r="171" spans="1:11" x14ac:dyDescent="0.35">
      <c r="A171" t="s">
        <v>522</v>
      </c>
      <c r="B171" t="s">
        <v>732</v>
      </c>
      <c r="C171" t="s">
        <v>523</v>
      </c>
      <c r="D171" t="s">
        <v>25</v>
      </c>
      <c r="E171" t="s">
        <v>556</v>
      </c>
      <c r="F171" t="s">
        <v>553</v>
      </c>
      <c r="G171">
        <v>768</v>
      </c>
      <c r="J171" t="s">
        <v>523</v>
      </c>
      <c r="K171" t="s">
        <v>522</v>
      </c>
    </row>
    <row r="172" spans="1:11" x14ac:dyDescent="0.35">
      <c r="A172" t="s">
        <v>167</v>
      </c>
      <c r="B172" t="s">
        <v>733</v>
      </c>
      <c r="C172" t="s">
        <v>168</v>
      </c>
      <c r="D172" t="s">
        <v>43</v>
      </c>
      <c r="E172" t="s">
        <v>560</v>
      </c>
      <c r="F172" t="s">
        <v>553</v>
      </c>
      <c r="G172">
        <v>764</v>
      </c>
      <c r="J172" t="s">
        <v>168</v>
      </c>
      <c r="K172" t="s">
        <v>167</v>
      </c>
    </row>
    <row r="173" spans="1:11" x14ac:dyDescent="0.35">
      <c r="A173" t="s">
        <v>439</v>
      </c>
      <c r="B173" t="s">
        <v>734</v>
      </c>
      <c r="C173" t="s">
        <v>440</v>
      </c>
      <c r="D173" t="s">
        <v>20</v>
      </c>
      <c r="E173" t="s">
        <v>556</v>
      </c>
      <c r="F173" t="s">
        <v>553</v>
      </c>
      <c r="G173">
        <v>762</v>
      </c>
      <c r="J173" t="s">
        <v>440</v>
      </c>
      <c r="K173" t="s">
        <v>439</v>
      </c>
    </row>
    <row r="174" spans="1:11" x14ac:dyDescent="0.35">
      <c r="A174" t="s">
        <v>52</v>
      </c>
      <c r="B174" t="s">
        <v>735</v>
      </c>
      <c r="C174" t="s">
        <v>53</v>
      </c>
      <c r="D174" t="s">
        <v>43</v>
      </c>
      <c r="E174" t="s">
        <v>556</v>
      </c>
      <c r="F174" t="s">
        <v>553</v>
      </c>
      <c r="G174">
        <v>626</v>
      </c>
      <c r="J174" t="s">
        <v>53</v>
      </c>
      <c r="K174" t="s">
        <v>52</v>
      </c>
    </row>
    <row r="175" spans="1:11" x14ac:dyDescent="0.35">
      <c r="A175" t="s">
        <v>524</v>
      </c>
      <c r="B175" t="s">
        <v>736</v>
      </c>
      <c r="C175" t="s">
        <v>525</v>
      </c>
      <c r="D175" t="s">
        <v>20</v>
      </c>
      <c r="E175" t="s">
        <v>560</v>
      </c>
      <c r="F175" t="s">
        <v>553</v>
      </c>
      <c r="G175">
        <v>795</v>
      </c>
      <c r="J175" t="s">
        <v>525</v>
      </c>
      <c r="K175" t="s">
        <v>524</v>
      </c>
    </row>
    <row r="176" spans="1:11" x14ac:dyDescent="0.35">
      <c r="A176" t="s">
        <v>457</v>
      </c>
      <c r="B176" t="s">
        <v>737</v>
      </c>
      <c r="C176" t="s">
        <v>458</v>
      </c>
      <c r="D176" t="s">
        <v>4</v>
      </c>
      <c r="E176" t="s">
        <v>560</v>
      </c>
      <c r="F176" t="s">
        <v>553</v>
      </c>
      <c r="G176">
        <v>788</v>
      </c>
      <c r="J176" t="s">
        <v>458</v>
      </c>
      <c r="K176" t="s">
        <v>457</v>
      </c>
    </row>
    <row r="177" spans="1:11" x14ac:dyDescent="0.35">
      <c r="A177" t="s">
        <v>170</v>
      </c>
      <c r="B177" t="s">
        <v>738</v>
      </c>
      <c r="C177" t="s">
        <v>171</v>
      </c>
      <c r="D177" t="s">
        <v>0</v>
      </c>
      <c r="E177" t="s">
        <v>560</v>
      </c>
      <c r="F177" t="s">
        <v>553</v>
      </c>
      <c r="G177">
        <v>776</v>
      </c>
      <c r="J177" t="s">
        <v>171</v>
      </c>
      <c r="K177" t="s">
        <v>170</v>
      </c>
    </row>
    <row r="178" spans="1:11" x14ac:dyDescent="0.35">
      <c r="A178" t="s">
        <v>460</v>
      </c>
      <c r="B178" t="s">
        <v>739</v>
      </c>
      <c r="C178" t="s">
        <v>461</v>
      </c>
      <c r="D178" t="s">
        <v>20</v>
      </c>
      <c r="E178" t="s">
        <v>558</v>
      </c>
      <c r="F178" t="s">
        <v>553</v>
      </c>
      <c r="G178">
        <v>792</v>
      </c>
      <c r="J178" t="s">
        <v>461</v>
      </c>
      <c r="K178" t="s">
        <v>460</v>
      </c>
    </row>
    <row r="179" spans="1:11" x14ac:dyDescent="0.35">
      <c r="A179" t="s">
        <v>454</v>
      </c>
      <c r="B179" t="s">
        <v>740</v>
      </c>
      <c r="C179" t="s">
        <v>455</v>
      </c>
      <c r="D179" t="s">
        <v>1</v>
      </c>
      <c r="E179" t="s">
        <v>558</v>
      </c>
      <c r="F179" t="s">
        <v>553</v>
      </c>
      <c r="G179">
        <v>780</v>
      </c>
      <c r="J179" t="s">
        <v>455</v>
      </c>
      <c r="K179" t="s">
        <v>454</v>
      </c>
    </row>
    <row r="180" spans="1:11" x14ac:dyDescent="0.35">
      <c r="A180" t="s">
        <v>526</v>
      </c>
      <c r="B180" t="s">
        <v>741</v>
      </c>
      <c r="C180" t="s">
        <v>527</v>
      </c>
      <c r="D180" t="s">
        <v>0</v>
      </c>
      <c r="E180" t="s">
        <v>556</v>
      </c>
      <c r="F180" t="s">
        <v>553</v>
      </c>
      <c r="G180">
        <v>798</v>
      </c>
      <c r="J180" t="s">
        <v>527</v>
      </c>
      <c r="K180" t="s">
        <v>526</v>
      </c>
    </row>
    <row r="181" spans="1:11" x14ac:dyDescent="0.35">
      <c r="A181" t="s">
        <v>540</v>
      </c>
      <c r="B181" t="s">
        <v>742</v>
      </c>
      <c r="C181" t="s">
        <v>541</v>
      </c>
      <c r="D181" t="s">
        <v>25</v>
      </c>
      <c r="E181" t="s">
        <v>556</v>
      </c>
      <c r="F181" t="s">
        <v>553</v>
      </c>
      <c r="G181">
        <v>834</v>
      </c>
      <c r="J181" t="s">
        <v>541</v>
      </c>
      <c r="K181" t="s">
        <v>540</v>
      </c>
    </row>
    <row r="182" spans="1:11" x14ac:dyDescent="0.35">
      <c r="A182" t="s">
        <v>528</v>
      </c>
      <c r="B182" t="s">
        <v>743</v>
      </c>
      <c r="C182" t="s">
        <v>529</v>
      </c>
      <c r="D182" t="s">
        <v>20</v>
      </c>
      <c r="E182" t="s">
        <v>560</v>
      </c>
      <c r="F182" t="s">
        <v>553</v>
      </c>
      <c r="G182">
        <v>804</v>
      </c>
      <c r="J182" t="s">
        <v>529</v>
      </c>
      <c r="K182" t="s">
        <v>528</v>
      </c>
    </row>
    <row r="183" spans="1:11" x14ac:dyDescent="0.35">
      <c r="A183" t="s">
        <v>463</v>
      </c>
      <c r="B183" t="s">
        <v>744</v>
      </c>
      <c r="C183" t="s">
        <v>464</v>
      </c>
      <c r="D183" t="s">
        <v>25</v>
      </c>
      <c r="E183" t="s">
        <v>556</v>
      </c>
      <c r="F183" t="s">
        <v>553</v>
      </c>
      <c r="G183">
        <v>800</v>
      </c>
      <c r="J183" t="s">
        <v>464</v>
      </c>
      <c r="K183" t="s">
        <v>463</v>
      </c>
    </row>
    <row r="184" spans="1:11" x14ac:dyDescent="0.35">
      <c r="A184" t="s">
        <v>542</v>
      </c>
      <c r="B184" t="s">
        <v>745</v>
      </c>
      <c r="C184" t="s">
        <v>543</v>
      </c>
      <c r="D184" t="s">
        <v>1</v>
      </c>
      <c r="E184" t="s">
        <v>552</v>
      </c>
      <c r="F184" t="s">
        <v>553</v>
      </c>
      <c r="G184">
        <v>840</v>
      </c>
      <c r="J184" t="s">
        <v>543</v>
      </c>
      <c r="K184" t="s">
        <v>542</v>
      </c>
    </row>
    <row r="185" spans="1:11" x14ac:dyDescent="0.35">
      <c r="A185" t="s">
        <v>60</v>
      </c>
      <c r="B185" t="s">
        <v>746</v>
      </c>
      <c r="C185" t="s">
        <v>61</v>
      </c>
      <c r="D185" t="s">
        <v>1</v>
      </c>
      <c r="E185" t="s">
        <v>558</v>
      </c>
      <c r="F185" t="s">
        <v>553</v>
      </c>
      <c r="G185">
        <v>858</v>
      </c>
      <c r="J185" t="s">
        <v>61</v>
      </c>
      <c r="K185" t="s">
        <v>60</v>
      </c>
    </row>
    <row r="186" spans="1:11" x14ac:dyDescent="0.35">
      <c r="A186" t="s">
        <v>466</v>
      </c>
      <c r="B186" t="s">
        <v>747</v>
      </c>
      <c r="C186" t="s">
        <v>467</v>
      </c>
      <c r="D186" t="s">
        <v>20</v>
      </c>
      <c r="E186" t="s">
        <v>556</v>
      </c>
      <c r="F186" t="s">
        <v>553</v>
      </c>
      <c r="G186">
        <v>860</v>
      </c>
      <c r="J186" t="s">
        <v>467</v>
      </c>
      <c r="K186" t="s">
        <v>466</v>
      </c>
    </row>
    <row r="187" spans="1:11" x14ac:dyDescent="0.35">
      <c r="A187" t="s">
        <v>488</v>
      </c>
      <c r="B187" t="s">
        <v>748</v>
      </c>
      <c r="C187" t="s">
        <v>489</v>
      </c>
      <c r="D187" t="s">
        <v>1</v>
      </c>
      <c r="E187" t="s">
        <v>558</v>
      </c>
      <c r="F187" t="s">
        <v>553</v>
      </c>
      <c r="G187">
        <v>670</v>
      </c>
      <c r="J187" t="s">
        <v>489</v>
      </c>
      <c r="K187" t="s">
        <v>488</v>
      </c>
    </row>
    <row r="188" spans="1:11" x14ac:dyDescent="0.35">
      <c r="A188" t="s">
        <v>749</v>
      </c>
      <c r="B188" t="s">
        <v>750</v>
      </c>
      <c r="C188" t="s">
        <v>19</v>
      </c>
      <c r="D188" t="s">
        <v>1</v>
      </c>
      <c r="E188" t="s">
        <v>558</v>
      </c>
      <c r="F188" t="s">
        <v>553</v>
      </c>
      <c r="G188">
        <v>862</v>
      </c>
      <c r="J188" t="s">
        <v>19</v>
      </c>
      <c r="K188" t="s">
        <v>749</v>
      </c>
    </row>
    <row r="189" spans="1:11" x14ac:dyDescent="0.35">
      <c r="A189" t="s">
        <v>494</v>
      </c>
      <c r="B189" t="s">
        <v>751</v>
      </c>
      <c r="C189" t="s">
        <v>495</v>
      </c>
      <c r="D189" t="s">
        <v>0</v>
      </c>
      <c r="E189" t="s">
        <v>556</v>
      </c>
      <c r="F189" t="s">
        <v>553</v>
      </c>
      <c r="G189">
        <v>704</v>
      </c>
      <c r="J189" t="s">
        <v>495</v>
      </c>
      <c r="K189" t="s">
        <v>494</v>
      </c>
    </row>
    <row r="190" spans="1:11" x14ac:dyDescent="0.35">
      <c r="A190" t="s">
        <v>469</v>
      </c>
      <c r="B190" t="s">
        <v>752</v>
      </c>
      <c r="C190" t="s">
        <v>470</v>
      </c>
      <c r="D190" t="s">
        <v>0</v>
      </c>
      <c r="E190" t="s">
        <v>560</v>
      </c>
      <c r="F190" t="s">
        <v>553</v>
      </c>
      <c r="G190">
        <v>548</v>
      </c>
      <c r="J190" t="s">
        <v>470</v>
      </c>
      <c r="K190" t="s">
        <v>469</v>
      </c>
    </row>
    <row r="191" spans="1:11" x14ac:dyDescent="0.35">
      <c r="A191" t="s">
        <v>109</v>
      </c>
      <c r="B191" t="s">
        <v>753</v>
      </c>
      <c r="C191" t="s">
        <v>110</v>
      </c>
      <c r="D191" t="s">
        <v>0</v>
      </c>
      <c r="E191" t="s">
        <v>560</v>
      </c>
      <c r="F191" t="s">
        <v>553</v>
      </c>
      <c r="G191">
        <v>882</v>
      </c>
      <c r="J191" t="s">
        <v>110</v>
      </c>
      <c r="K191" t="s">
        <v>109</v>
      </c>
    </row>
    <row r="192" spans="1:11" x14ac:dyDescent="0.35">
      <c r="A192" t="s">
        <v>472</v>
      </c>
      <c r="B192" t="s">
        <v>754</v>
      </c>
      <c r="C192" t="s">
        <v>473</v>
      </c>
      <c r="D192" t="s">
        <v>4</v>
      </c>
      <c r="E192" t="s">
        <v>556</v>
      </c>
      <c r="F192" t="s">
        <v>553</v>
      </c>
      <c r="G192">
        <v>887</v>
      </c>
      <c r="J192" t="s">
        <v>473</v>
      </c>
      <c r="K192" t="s">
        <v>472</v>
      </c>
    </row>
    <row r="193" spans="1:11" x14ac:dyDescent="0.35">
      <c r="A193" t="s">
        <v>430</v>
      </c>
      <c r="B193" t="s">
        <v>755</v>
      </c>
      <c r="C193" t="s">
        <v>431</v>
      </c>
      <c r="D193" t="s">
        <v>25</v>
      </c>
      <c r="E193" t="s">
        <v>558</v>
      </c>
      <c r="F193" t="s">
        <v>553</v>
      </c>
      <c r="G193">
        <v>710</v>
      </c>
      <c r="J193" t="s">
        <v>431</v>
      </c>
      <c r="K193" t="s">
        <v>430</v>
      </c>
    </row>
    <row r="194" spans="1:11" x14ac:dyDescent="0.35">
      <c r="A194" t="s">
        <v>475</v>
      </c>
      <c r="B194" t="s">
        <v>756</v>
      </c>
      <c r="C194" t="s">
        <v>476</v>
      </c>
      <c r="D194" t="s">
        <v>25</v>
      </c>
      <c r="E194" t="s">
        <v>556</v>
      </c>
      <c r="F194" t="s">
        <v>553</v>
      </c>
      <c r="G194">
        <v>894</v>
      </c>
      <c r="J194" t="s">
        <v>476</v>
      </c>
      <c r="K194" t="s">
        <v>475</v>
      </c>
    </row>
    <row r="195" spans="1:11" x14ac:dyDescent="0.35">
      <c r="A195" t="s">
        <v>478</v>
      </c>
      <c r="B195" t="s">
        <v>757</v>
      </c>
      <c r="C195" t="s">
        <v>479</v>
      </c>
      <c r="D195" t="s">
        <v>25</v>
      </c>
      <c r="E195" t="s">
        <v>556</v>
      </c>
      <c r="F195" t="s">
        <v>553</v>
      </c>
      <c r="G195">
        <v>716</v>
      </c>
      <c r="J195" t="s">
        <v>479</v>
      </c>
      <c r="K195" t="s">
        <v>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FFCF-24B6-4258-BC8E-1540BC86064C}">
  <dimension ref="A1:D195"/>
  <sheetViews>
    <sheetView topLeftCell="A158" workbookViewId="0">
      <selection activeCell="D1" sqref="D1"/>
    </sheetView>
  </sheetViews>
  <sheetFormatPr defaultRowHeight="14.5" x14ac:dyDescent="0.35"/>
  <sheetData>
    <row r="1" spans="1:4" x14ac:dyDescent="0.35">
      <c r="A1" t="s">
        <v>801</v>
      </c>
      <c r="B1" t="s">
        <v>544</v>
      </c>
      <c r="C1" t="s">
        <v>802</v>
      </c>
      <c r="D1" t="s">
        <v>803</v>
      </c>
    </row>
    <row r="2" spans="1:4" x14ac:dyDescent="0.35">
      <c r="A2" t="s">
        <v>215</v>
      </c>
      <c r="B2" t="s">
        <v>216</v>
      </c>
      <c r="C2">
        <v>0.13110339986232694</v>
      </c>
      <c r="D2">
        <v>0.35992832995539742</v>
      </c>
    </row>
    <row r="3" spans="1:4" x14ac:dyDescent="0.35">
      <c r="A3" t="s">
        <v>239</v>
      </c>
      <c r="B3" t="s">
        <v>240</v>
      </c>
      <c r="C3">
        <v>5.0593804411887386E-4</v>
      </c>
      <c r="D3">
        <v>0.31022861969043514</v>
      </c>
    </row>
    <row r="4" spans="1:4" x14ac:dyDescent="0.35">
      <c r="A4" t="s">
        <v>230</v>
      </c>
      <c r="B4" t="s">
        <v>231</v>
      </c>
      <c r="C4">
        <v>0.11724973604328891</v>
      </c>
      <c r="D4">
        <v>0.58968531624673692</v>
      </c>
    </row>
    <row r="5" spans="1:4" x14ac:dyDescent="0.35">
      <c r="A5" t="s">
        <v>26</v>
      </c>
      <c r="B5" t="s">
        <v>27</v>
      </c>
      <c r="C5">
        <v>3.6926992246620903E-2</v>
      </c>
      <c r="D5">
        <v>0.2468457185667472</v>
      </c>
    </row>
    <row r="6" spans="1:4" x14ac:dyDescent="0.35">
      <c r="A6" t="s">
        <v>233</v>
      </c>
      <c r="B6" t="s">
        <v>234</v>
      </c>
      <c r="C6">
        <v>0.43968324908669615</v>
      </c>
      <c r="D6">
        <v>1.9312147901459142E-2</v>
      </c>
    </row>
    <row r="7" spans="1:4" x14ac:dyDescent="0.35">
      <c r="A7" t="s">
        <v>30</v>
      </c>
      <c r="B7" t="s">
        <v>31</v>
      </c>
      <c r="C7">
        <v>9.5804828680141299E-2</v>
      </c>
      <c r="D7">
        <v>1.1143201744639815</v>
      </c>
    </row>
    <row r="8" spans="1:4" x14ac:dyDescent="0.35">
      <c r="A8" t="s">
        <v>590</v>
      </c>
      <c r="B8" t="s">
        <v>268</v>
      </c>
      <c r="C8">
        <v>8.1978752665924998E-2</v>
      </c>
      <c r="D8">
        <v>0.3004258490747832</v>
      </c>
    </row>
    <row r="9" spans="1:4" x14ac:dyDescent="0.35">
      <c r="A9" t="s">
        <v>245</v>
      </c>
      <c r="B9" t="s">
        <v>246</v>
      </c>
      <c r="C9">
        <v>2.4987584694458793E-2</v>
      </c>
      <c r="D9">
        <v>0.29735680829183797</v>
      </c>
    </row>
    <row r="10" spans="1:4" x14ac:dyDescent="0.35">
      <c r="A10" t="s">
        <v>49</v>
      </c>
      <c r="B10" t="s">
        <v>50</v>
      </c>
      <c r="C10">
        <v>1.7901349758891116E-3</v>
      </c>
      <c r="D10">
        <v>0.2357905310021492</v>
      </c>
    </row>
    <row r="11" spans="1:4" x14ac:dyDescent="0.35">
      <c r="A11" t="s">
        <v>442</v>
      </c>
      <c r="B11" t="s">
        <v>443</v>
      </c>
      <c r="C11">
        <v>0.10576292109928677</v>
      </c>
      <c r="D11">
        <v>0.23998787626348012</v>
      </c>
    </row>
    <row r="12" spans="1:4" x14ac:dyDescent="0.35">
      <c r="A12" t="s">
        <v>531</v>
      </c>
      <c r="B12" t="s">
        <v>532</v>
      </c>
      <c r="C12">
        <v>0.2830482025664644</v>
      </c>
      <c r="D12">
        <v>9.5956497775495225E-2</v>
      </c>
    </row>
    <row r="13" spans="1:4" x14ac:dyDescent="0.35">
      <c r="A13" t="s">
        <v>599</v>
      </c>
      <c r="B13" t="s">
        <v>243</v>
      </c>
      <c r="C13">
        <v>0.48210839462073751</v>
      </c>
      <c r="D13">
        <v>5.560963945582224E-3</v>
      </c>
    </row>
    <row r="14" spans="1:4" x14ac:dyDescent="0.35">
      <c r="A14" t="s">
        <v>189</v>
      </c>
      <c r="B14" t="s">
        <v>190</v>
      </c>
      <c r="C14">
        <v>0.13142460188633137</v>
      </c>
      <c r="D14">
        <v>3.5642571148685187E-2</v>
      </c>
    </row>
    <row r="15" spans="1:4" x14ac:dyDescent="0.35">
      <c r="A15" t="s">
        <v>499</v>
      </c>
      <c r="B15" t="s">
        <v>500</v>
      </c>
      <c r="C15">
        <v>0</v>
      </c>
      <c r="D15">
        <v>0.16781226127386709</v>
      </c>
    </row>
    <row r="16" spans="1:4" x14ac:dyDescent="0.35">
      <c r="A16" t="s">
        <v>64</v>
      </c>
      <c r="B16" t="s">
        <v>65</v>
      </c>
      <c r="C16">
        <v>3.5029517345961748E-2</v>
      </c>
      <c r="D16">
        <v>0.34166192377691718</v>
      </c>
    </row>
    <row r="17" spans="1:4" x14ac:dyDescent="0.35">
      <c r="A17" t="s">
        <v>88</v>
      </c>
      <c r="B17" t="s">
        <v>89</v>
      </c>
      <c r="C17">
        <v>9.6110316866256248E-2</v>
      </c>
      <c r="D17">
        <v>5.0126477865096809E-2</v>
      </c>
    </row>
    <row r="18" spans="1:4" x14ac:dyDescent="0.35">
      <c r="A18" t="s">
        <v>294</v>
      </c>
      <c r="B18" t="s">
        <v>295</v>
      </c>
      <c r="C18">
        <v>9.392725632012934E-2</v>
      </c>
      <c r="D18">
        <v>0</v>
      </c>
    </row>
    <row r="19" spans="1:4" x14ac:dyDescent="0.35">
      <c r="A19" t="s">
        <v>300</v>
      </c>
      <c r="B19" t="s">
        <v>301</v>
      </c>
      <c r="C19">
        <v>9.8448350103690796E-2</v>
      </c>
      <c r="D19">
        <v>1.3103982756381358</v>
      </c>
    </row>
    <row r="20" spans="1:4" x14ac:dyDescent="0.35">
      <c r="A20" t="s">
        <v>291</v>
      </c>
      <c r="B20" t="s">
        <v>292</v>
      </c>
      <c r="C20">
        <v>9.750325654992742E-2</v>
      </c>
      <c r="D20">
        <v>0.33909066306118779</v>
      </c>
    </row>
    <row r="21" spans="1:4" x14ac:dyDescent="0.35">
      <c r="A21" t="s">
        <v>303</v>
      </c>
      <c r="B21" t="s">
        <v>304</v>
      </c>
      <c r="C21">
        <v>1.1958327256947532E-2</v>
      </c>
      <c r="D21">
        <v>0.31022087610656246</v>
      </c>
    </row>
    <row r="22" spans="1:4" x14ac:dyDescent="0.35">
      <c r="A22" t="s">
        <v>279</v>
      </c>
      <c r="B22" t="s">
        <v>280</v>
      </c>
      <c r="C22">
        <v>0.14494595451840184</v>
      </c>
      <c r="D22">
        <v>0.27741183836761191</v>
      </c>
    </row>
    <row r="23" spans="1:4" x14ac:dyDescent="0.35">
      <c r="A23" t="s">
        <v>333</v>
      </c>
      <c r="B23" t="s">
        <v>334</v>
      </c>
      <c r="C23">
        <v>8.5246950343171937E-2</v>
      </c>
      <c r="D23">
        <v>0.15836785691039898</v>
      </c>
    </row>
    <row r="24" spans="1:4" x14ac:dyDescent="0.35">
      <c r="A24" t="s">
        <v>344</v>
      </c>
      <c r="B24" t="s">
        <v>345</v>
      </c>
      <c r="C24">
        <v>0.19514378229864635</v>
      </c>
      <c r="D24">
        <v>0.45797280321014378</v>
      </c>
    </row>
    <row r="25" spans="1:4" x14ac:dyDescent="0.35">
      <c r="A25" t="s">
        <v>149</v>
      </c>
      <c r="B25" t="s">
        <v>150</v>
      </c>
      <c r="C25">
        <v>0.34338211851190037</v>
      </c>
      <c r="D25">
        <v>4.4565688547818449E-2</v>
      </c>
    </row>
    <row r="26" spans="1:4" x14ac:dyDescent="0.35">
      <c r="A26" t="s">
        <v>350</v>
      </c>
      <c r="B26" t="s">
        <v>351</v>
      </c>
      <c r="C26">
        <v>2.7702592949092733E-2</v>
      </c>
      <c r="D26">
        <v>0.90312232647532464</v>
      </c>
    </row>
    <row r="27" spans="1:4" x14ac:dyDescent="0.35">
      <c r="A27" t="s">
        <v>359</v>
      </c>
      <c r="B27" t="s">
        <v>360</v>
      </c>
      <c r="C27">
        <v>2.8333599906729762E-2</v>
      </c>
      <c r="D27">
        <v>0.53093402802419354</v>
      </c>
    </row>
    <row r="28" spans="1:4" x14ac:dyDescent="0.35">
      <c r="A28" t="s">
        <v>370</v>
      </c>
      <c r="B28" t="s">
        <v>371</v>
      </c>
      <c r="C28">
        <v>0.23637719327854501</v>
      </c>
      <c r="D28">
        <v>0.2527933629163478</v>
      </c>
    </row>
    <row r="29" spans="1:4" x14ac:dyDescent="0.35">
      <c r="A29" t="s">
        <v>119</v>
      </c>
      <c r="B29" t="s">
        <v>120</v>
      </c>
      <c r="C29">
        <v>0.19887763788218402</v>
      </c>
      <c r="D29">
        <v>0.12951282489809973</v>
      </c>
    </row>
    <row r="30" spans="1:4" x14ac:dyDescent="0.35">
      <c r="A30" t="s">
        <v>365</v>
      </c>
      <c r="B30" t="s">
        <v>366</v>
      </c>
      <c r="C30">
        <v>0.71546068150794795</v>
      </c>
      <c r="D30">
        <v>0</v>
      </c>
    </row>
    <row r="31" spans="1:4" x14ac:dyDescent="0.35">
      <c r="A31" t="s">
        <v>353</v>
      </c>
      <c r="B31" t="s">
        <v>354</v>
      </c>
      <c r="C31">
        <v>3.5927638501131627E-2</v>
      </c>
      <c r="D31">
        <v>0.56693548935310334</v>
      </c>
    </row>
    <row r="32" spans="1:4" x14ac:dyDescent="0.35">
      <c r="A32" t="s">
        <v>373</v>
      </c>
      <c r="B32" t="s">
        <v>374</v>
      </c>
      <c r="C32">
        <v>0.1353871947199915</v>
      </c>
      <c r="D32">
        <v>5.9537573130763591E-2</v>
      </c>
    </row>
    <row r="33" spans="1:4" x14ac:dyDescent="0.35">
      <c r="A33" t="s">
        <v>445</v>
      </c>
      <c r="B33" t="s">
        <v>446</v>
      </c>
      <c r="C33">
        <v>4.1730361300806505E-2</v>
      </c>
      <c r="D33">
        <v>1.0381661527698054</v>
      </c>
    </row>
    <row r="34" spans="1:4" x14ac:dyDescent="0.35">
      <c r="A34" t="s">
        <v>73</v>
      </c>
      <c r="B34" t="s">
        <v>74</v>
      </c>
      <c r="C34">
        <v>2.3937265150945849E-2</v>
      </c>
      <c r="D34">
        <v>0.1766830834958236</v>
      </c>
    </row>
    <row r="35" spans="1:4" x14ac:dyDescent="0.35">
      <c r="A35" t="s">
        <v>406</v>
      </c>
      <c r="B35" t="s">
        <v>407</v>
      </c>
      <c r="C35">
        <v>0.41963314700231263</v>
      </c>
      <c r="D35">
        <v>3.1275318133521697E-2</v>
      </c>
    </row>
    <row r="36" spans="1:4" x14ac:dyDescent="0.35">
      <c r="A36" t="s">
        <v>412</v>
      </c>
      <c r="B36" t="s">
        <v>413</v>
      </c>
      <c r="C36">
        <v>5.7542594398554171E-2</v>
      </c>
      <c r="D36">
        <v>0.78242880019359007</v>
      </c>
    </row>
    <row r="37" spans="1:4" x14ac:dyDescent="0.35">
      <c r="A37" t="s">
        <v>421</v>
      </c>
      <c r="B37" t="s">
        <v>422</v>
      </c>
      <c r="C37">
        <v>4.8292944838919674E-2</v>
      </c>
      <c r="D37">
        <v>0.36030541469496452</v>
      </c>
    </row>
    <row r="38" spans="1:4" x14ac:dyDescent="0.35">
      <c r="A38" t="s">
        <v>433</v>
      </c>
      <c r="B38" t="s">
        <v>434</v>
      </c>
      <c r="C38">
        <v>1.784392594958336E-2</v>
      </c>
      <c r="D38">
        <v>8.8764640224674382E-2</v>
      </c>
    </row>
    <row r="39" spans="1:4" x14ac:dyDescent="0.35">
      <c r="A39" t="s">
        <v>47</v>
      </c>
      <c r="B39" t="s">
        <v>48</v>
      </c>
      <c r="C39">
        <v>0.23369334592692975</v>
      </c>
      <c r="D39">
        <v>1.8026566566336881E-2</v>
      </c>
    </row>
    <row r="40" spans="1:4" x14ac:dyDescent="0.35">
      <c r="A40" t="s">
        <v>146</v>
      </c>
      <c r="B40" t="s">
        <v>147</v>
      </c>
      <c r="C40">
        <v>0.27217186535696675</v>
      </c>
      <c r="D40">
        <v>1.7226914406094987E-2</v>
      </c>
    </row>
    <row r="41" spans="1:4" x14ac:dyDescent="0.35">
      <c r="A41" t="s">
        <v>418</v>
      </c>
      <c r="B41" t="s">
        <v>419</v>
      </c>
      <c r="C41">
        <v>0.79578431472236066</v>
      </c>
      <c r="D41">
        <v>0</v>
      </c>
    </row>
    <row r="42" spans="1:4" x14ac:dyDescent="0.35">
      <c r="A42" t="s">
        <v>248</v>
      </c>
      <c r="B42" t="s">
        <v>249</v>
      </c>
      <c r="C42">
        <v>6.6964514012778868E-3</v>
      </c>
      <c r="D42">
        <v>1.2251856306298743</v>
      </c>
    </row>
    <row r="43" spans="1:4" x14ac:dyDescent="0.35">
      <c r="A43" t="s">
        <v>522</v>
      </c>
      <c r="B43" t="s">
        <v>523</v>
      </c>
      <c r="C43">
        <v>0.12570463757458275</v>
      </c>
      <c r="D43">
        <v>0.48940076477214989</v>
      </c>
    </row>
    <row r="44" spans="1:4" x14ac:dyDescent="0.35">
      <c r="A44" t="s">
        <v>540</v>
      </c>
      <c r="B44" t="s">
        <v>541</v>
      </c>
      <c r="C44">
        <v>2.2754545811581563E-2</v>
      </c>
      <c r="D44">
        <v>0.51196290603339367</v>
      </c>
    </row>
    <row r="45" spans="1:4" x14ac:dyDescent="0.35">
      <c r="A45" t="s">
        <v>463</v>
      </c>
      <c r="B45" t="s">
        <v>464</v>
      </c>
      <c r="C45">
        <v>3.9562465251366238E-2</v>
      </c>
      <c r="D45">
        <v>9.091854135650046E-2</v>
      </c>
    </row>
    <row r="46" spans="1:4" x14ac:dyDescent="0.35">
      <c r="A46" t="s">
        <v>430</v>
      </c>
      <c r="B46" t="s">
        <v>431</v>
      </c>
      <c r="C46">
        <v>0.26762467692339859</v>
      </c>
      <c r="D46">
        <v>4.1232964944560843E-2</v>
      </c>
    </row>
    <row r="47" spans="1:4" x14ac:dyDescent="0.35">
      <c r="A47" t="s">
        <v>475</v>
      </c>
      <c r="B47" t="s">
        <v>476</v>
      </c>
      <c r="C47">
        <v>3.5463805258444114E-2</v>
      </c>
      <c r="D47">
        <v>7.5162517062857245E-2</v>
      </c>
    </row>
    <row r="48" spans="1:4" x14ac:dyDescent="0.35">
      <c r="A48" t="s">
        <v>478</v>
      </c>
      <c r="B48" t="s">
        <v>479</v>
      </c>
      <c r="C48">
        <v>0.21057922384585967</v>
      </c>
      <c r="D48">
        <v>8.3665705192728326E-2</v>
      </c>
    </row>
    <row r="49" spans="1:4" x14ac:dyDescent="0.35">
      <c r="A49" t="s">
        <v>9</v>
      </c>
      <c r="B49" t="s">
        <v>10</v>
      </c>
      <c r="C49">
        <v>0.73420592376623528</v>
      </c>
      <c r="D49">
        <v>0</v>
      </c>
    </row>
    <row r="50" spans="1:4" x14ac:dyDescent="0.35">
      <c r="A50" t="s">
        <v>2</v>
      </c>
      <c r="B50" t="s">
        <v>3</v>
      </c>
      <c r="C50">
        <v>0.60302872489252413</v>
      </c>
      <c r="D50">
        <v>6.5069573052676201E-3</v>
      </c>
    </row>
    <row r="51" spans="1:4" x14ac:dyDescent="0.35">
      <c r="A51" t="s">
        <v>36</v>
      </c>
      <c r="B51" t="s">
        <v>37</v>
      </c>
      <c r="C51">
        <v>0.37989899400880878</v>
      </c>
      <c r="D51">
        <v>1.7187225197471942E-2</v>
      </c>
    </row>
    <row r="52" spans="1:4" x14ac:dyDescent="0.35">
      <c r="A52" t="s">
        <v>15</v>
      </c>
      <c r="B52" t="s">
        <v>16</v>
      </c>
      <c r="C52">
        <v>0.50362147534881851</v>
      </c>
      <c r="D52">
        <v>7.4955077362221668E-3</v>
      </c>
    </row>
    <row r="53" spans="1:4" x14ac:dyDescent="0.35">
      <c r="A53" t="s">
        <v>577</v>
      </c>
      <c r="B53" t="s">
        <v>199</v>
      </c>
      <c r="C53">
        <v>0.40640267844973466</v>
      </c>
      <c r="D53">
        <v>6.1753037030181177E-3</v>
      </c>
    </row>
    <row r="54" spans="1:4" x14ac:dyDescent="0.35">
      <c r="A54" t="s">
        <v>82</v>
      </c>
      <c r="B54" t="s">
        <v>83</v>
      </c>
      <c r="C54">
        <v>0.67275306838087534</v>
      </c>
      <c r="D54">
        <v>0</v>
      </c>
    </row>
    <row r="55" spans="1:4" x14ac:dyDescent="0.35">
      <c r="A55" t="s">
        <v>13</v>
      </c>
      <c r="B55" t="s">
        <v>14</v>
      </c>
      <c r="C55">
        <v>0.50062461939973901</v>
      </c>
      <c r="D55">
        <v>1.4246771512406801E-2</v>
      </c>
    </row>
    <row r="56" spans="1:4" x14ac:dyDescent="0.35">
      <c r="A56" t="s">
        <v>28</v>
      </c>
      <c r="B56" t="s">
        <v>29</v>
      </c>
      <c r="C56">
        <v>0.77779029252013543</v>
      </c>
      <c r="D56">
        <v>0</v>
      </c>
    </row>
    <row r="57" spans="1:4" x14ac:dyDescent="0.35">
      <c r="A57" t="s">
        <v>251</v>
      </c>
      <c r="B57" t="s">
        <v>252</v>
      </c>
      <c r="C57">
        <v>0.8671112529105548</v>
      </c>
      <c r="D57">
        <v>0</v>
      </c>
    </row>
    <row r="58" spans="1:4" x14ac:dyDescent="0.35">
      <c r="A58" t="s">
        <v>254</v>
      </c>
      <c r="B58" t="s">
        <v>255</v>
      </c>
      <c r="C58">
        <v>0.56485171017503699</v>
      </c>
      <c r="D58">
        <v>2.5772718951128631E-3</v>
      </c>
    </row>
    <row r="59" spans="1:4" x14ac:dyDescent="0.35">
      <c r="A59" t="s">
        <v>257</v>
      </c>
      <c r="B59" t="s">
        <v>258</v>
      </c>
      <c r="C59">
        <v>0.69617154529989289</v>
      </c>
      <c r="D59">
        <v>0</v>
      </c>
    </row>
    <row r="60" spans="1:4" x14ac:dyDescent="0.35">
      <c r="A60" t="s">
        <v>263</v>
      </c>
      <c r="B60" t="s">
        <v>264</v>
      </c>
      <c r="C60">
        <v>0.85605594821966247</v>
      </c>
      <c r="D60">
        <v>0</v>
      </c>
    </row>
    <row r="61" spans="1:4" x14ac:dyDescent="0.35">
      <c r="A61" t="s">
        <v>33</v>
      </c>
      <c r="B61" t="s">
        <v>34</v>
      </c>
      <c r="C61">
        <v>0.39624397494131208</v>
      </c>
      <c r="D61">
        <v>3.5309389593662456E-2</v>
      </c>
    </row>
    <row r="62" spans="1:4" x14ac:dyDescent="0.35">
      <c r="A62" t="s">
        <v>57</v>
      </c>
      <c r="B62" t="s">
        <v>58</v>
      </c>
      <c r="C62">
        <v>0.52706014338245799</v>
      </c>
      <c r="D62">
        <v>5.7669407425843047E-3</v>
      </c>
    </row>
    <row r="63" spans="1:4" x14ac:dyDescent="0.35">
      <c r="A63" t="s">
        <v>273</v>
      </c>
      <c r="B63" t="s">
        <v>274</v>
      </c>
      <c r="C63">
        <v>0.72450994028584847</v>
      </c>
      <c r="D63">
        <v>0</v>
      </c>
    </row>
    <row r="64" spans="1:4" x14ac:dyDescent="0.35">
      <c r="A64" t="s">
        <v>95</v>
      </c>
      <c r="B64" t="s">
        <v>96</v>
      </c>
      <c r="C64">
        <v>0.32043226718093187</v>
      </c>
      <c r="D64">
        <v>1.9606928395004036E-2</v>
      </c>
    </row>
    <row r="65" spans="1:4" x14ac:dyDescent="0.35">
      <c r="A65" t="s">
        <v>297</v>
      </c>
      <c r="B65" t="s">
        <v>298</v>
      </c>
      <c r="C65">
        <v>0.26561340394008159</v>
      </c>
      <c r="D65">
        <v>8.391213842112473E-2</v>
      </c>
    </row>
    <row r="66" spans="1:4" x14ac:dyDescent="0.35">
      <c r="A66" t="s">
        <v>306</v>
      </c>
      <c r="B66" t="s">
        <v>307</v>
      </c>
      <c r="C66">
        <v>0.37796102482734772</v>
      </c>
      <c r="D66">
        <v>7.037379438857014E-3</v>
      </c>
    </row>
    <row r="67" spans="1:4" x14ac:dyDescent="0.35">
      <c r="A67" t="s">
        <v>312</v>
      </c>
      <c r="B67" t="s">
        <v>313</v>
      </c>
      <c r="C67">
        <v>0.43916371442097601</v>
      </c>
      <c r="D67">
        <v>5.1139386942621406E-2</v>
      </c>
    </row>
    <row r="68" spans="1:4" x14ac:dyDescent="0.35">
      <c r="A68" t="s">
        <v>309</v>
      </c>
      <c r="B68" t="s">
        <v>310</v>
      </c>
      <c r="C68">
        <v>6.4529549938399629E-3</v>
      </c>
      <c r="D68">
        <v>0.47659772604269346</v>
      </c>
    </row>
    <row r="69" spans="1:4" x14ac:dyDescent="0.35">
      <c r="A69" t="s">
        <v>124</v>
      </c>
      <c r="B69" t="s">
        <v>125</v>
      </c>
      <c r="C69">
        <v>0.19326400706208058</v>
      </c>
      <c r="D69">
        <v>2.4426290362794457E-2</v>
      </c>
    </row>
    <row r="70" spans="1:4" x14ac:dyDescent="0.35">
      <c r="A70" t="s">
        <v>484</v>
      </c>
      <c r="B70" t="s">
        <v>485</v>
      </c>
      <c r="C70">
        <v>0.48482854564596178</v>
      </c>
      <c r="D70">
        <v>9.0686219392020727E-3</v>
      </c>
    </row>
    <row r="71" spans="1:4" x14ac:dyDescent="0.35">
      <c r="A71" t="s">
        <v>486</v>
      </c>
      <c r="B71" t="s">
        <v>487</v>
      </c>
      <c r="C71">
        <v>0.26988405844456426</v>
      </c>
      <c r="D71">
        <v>1.7238920822208261E-2</v>
      </c>
    </row>
    <row r="72" spans="1:4" x14ac:dyDescent="0.35">
      <c r="A72" t="s">
        <v>538</v>
      </c>
      <c r="B72" t="s">
        <v>539</v>
      </c>
      <c r="C72">
        <v>0.56888202022646639</v>
      </c>
      <c r="D72">
        <v>7.6744578497526831E-3</v>
      </c>
    </row>
    <row r="73" spans="1:4" x14ac:dyDescent="0.35">
      <c r="A73" t="s">
        <v>379</v>
      </c>
      <c r="B73" t="s">
        <v>380</v>
      </c>
      <c r="C73">
        <v>0.45870710692372652</v>
      </c>
      <c r="D73">
        <v>4.6015914156625091E-3</v>
      </c>
    </row>
    <row r="74" spans="1:4" x14ac:dyDescent="0.35">
      <c r="A74" t="s">
        <v>391</v>
      </c>
      <c r="B74" t="s">
        <v>392</v>
      </c>
      <c r="C74">
        <v>0.65379567425077645</v>
      </c>
      <c r="D74">
        <v>0</v>
      </c>
    </row>
    <row r="75" spans="1:4" x14ac:dyDescent="0.35">
      <c r="A75" t="s">
        <v>397</v>
      </c>
      <c r="B75" t="s">
        <v>398</v>
      </c>
      <c r="C75">
        <v>0.66882332428137037</v>
      </c>
      <c r="D75">
        <v>0</v>
      </c>
    </row>
    <row r="76" spans="1:4" x14ac:dyDescent="0.35">
      <c r="A76" t="s">
        <v>394</v>
      </c>
      <c r="B76" t="s">
        <v>395</v>
      </c>
      <c r="C76">
        <v>0.42100623929378295</v>
      </c>
      <c r="D76">
        <v>6.8270989414828511E-3</v>
      </c>
    </row>
    <row r="77" spans="1:4" x14ac:dyDescent="0.35">
      <c r="A77" t="s">
        <v>276</v>
      </c>
      <c r="B77" t="s">
        <v>277</v>
      </c>
      <c r="C77">
        <v>0.640535875754775</v>
      </c>
      <c r="D77">
        <v>0</v>
      </c>
    </row>
    <row r="78" spans="1:4" x14ac:dyDescent="0.35">
      <c r="A78" t="s">
        <v>436</v>
      </c>
      <c r="B78" t="s">
        <v>437</v>
      </c>
      <c r="C78">
        <v>0.39130494074649863</v>
      </c>
      <c r="D78">
        <v>8.4956538359314913E-3</v>
      </c>
    </row>
    <row r="79" spans="1:4" x14ac:dyDescent="0.35">
      <c r="A79" t="s">
        <v>454</v>
      </c>
      <c r="B79" t="s">
        <v>455</v>
      </c>
      <c r="C79">
        <v>0.4804264130882151</v>
      </c>
      <c r="D79">
        <v>9.6241709019446332E-3</v>
      </c>
    </row>
    <row r="80" spans="1:4" x14ac:dyDescent="0.35">
      <c r="A80" t="s">
        <v>60</v>
      </c>
      <c r="B80" t="s">
        <v>61</v>
      </c>
      <c r="C80">
        <v>0.77057687269879926</v>
      </c>
      <c r="D80">
        <v>0</v>
      </c>
    </row>
    <row r="81" spans="1:4" x14ac:dyDescent="0.35">
      <c r="A81" t="s">
        <v>542</v>
      </c>
      <c r="B81" t="s">
        <v>543</v>
      </c>
      <c r="C81">
        <v>0.61079225012007532</v>
      </c>
      <c r="D81">
        <v>0</v>
      </c>
    </row>
    <row r="82" spans="1:4" x14ac:dyDescent="0.35">
      <c r="A82" t="s">
        <v>488</v>
      </c>
      <c r="B82" t="s">
        <v>489</v>
      </c>
      <c r="C82">
        <v>0.24240129799891832</v>
      </c>
      <c r="D82">
        <v>1.942922522231131E-2</v>
      </c>
    </row>
    <row r="83" spans="1:4" x14ac:dyDescent="0.35">
      <c r="A83" t="s">
        <v>749</v>
      </c>
      <c r="B83" t="s">
        <v>19</v>
      </c>
      <c r="C83">
        <v>0.40822652600898723</v>
      </c>
      <c r="D83">
        <v>1.0149444452042813E-2</v>
      </c>
    </row>
    <row r="84" spans="1:4" x14ac:dyDescent="0.35">
      <c r="A84" t="s">
        <v>113</v>
      </c>
      <c r="B84" t="s">
        <v>114</v>
      </c>
      <c r="C84">
        <v>9.8226264224018145E-2</v>
      </c>
      <c r="D84">
        <v>0.2947177746389591</v>
      </c>
    </row>
    <row r="85" spans="1:4" x14ac:dyDescent="0.35">
      <c r="A85" t="s">
        <v>533</v>
      </c>
      <c r="B85" t="s">
        <v>534</v>
      </c>
      <c r="C85">
        <v>0</v>
      </c>
      <c r="D85">
        <v>0</v>
      </c>
    </row>
    <row r="86" spans="1:4" x14ac:dyDescent="0.35">
      <c r="A86" t="s">
        <v>131</v>
      </c>
      <c r="B86" t="s">
        <v>132</v>
      </c>
      <c r="C86">
        <v>0.69681618500506881</v>
      </c>
      <c r="D86">
        <v>0</v>
      </c>
    </row>
    <row r="87" spans="1:4" x14ac:dyDescent="0.35">
      <c r="A87" t="s">
        <v>270</v>
      </c>
      <c r="B87" t="s">
        <v>271</v>
      </c>
      <c r="C87">
        <v>8.1762145748987852E-2</v>
      </c>
      <c r="D87">
        <v>0.22109116769950643</v>
      </c>
    </row>
    <row r="88" spans="1:4" x14ac:dyDescent="0.35">
      <c r="A88" t="s">
        <v>6</v>
      </c>
      <c r="B88" t="s">
        <v>7</v>
      </c>
      <c r="C88">
        <v>0.23020329507171411</v>
      </c>
      <c r="D88">
        <v>3.5751066361615298E-2</v>
      </c>
    </row>
    <row r="89" spans="1:4" x14ac:dyDescent="0.35">
      <c r="A89" t="s">
        <v>642</v>
      </c>
      <c r="B89" t="s">
        <v>117</v>
      </c>
      <c r="C89">
        <v>0.62542128387467377</v>
      </c>
      <c r="D89">
        <v>0</v>
      </c>
    </row>
    <row r="90" spans="1:4" x14ac:dyDescent="0.35">
      <c r="A90" t="s">
        <v>324</v>
      </c>
      <c r="B90" t="s">
        <v>325</v>
      </c>
      <c r="C90">
        <v>0.14935036473248936</v>
      </c>
      <c r="D90">
        <v>5.515688467744544E-3</v>
      </c>
    </row>
    <row r="91" spans="1:4" x14ac:dyDescent="0.35">
      <c r="A91" t="s">
        <v>98</v>
      </c>
      <c r="B91" t="s">
        <v>99</v>
      </c>
      <c r="C91">
        <v>0.40092308892542233</v>
      </c>
      <c r="D91">
        <v>1.2832695323987396E-2</v>
      </c>
    </row>
    <row r="92" spans="1:4" x14ac:dyDescent="0.35">
      <c r="A92" t="s">
        <v>505</v>
      </c>
      <c r="B92" t="s">
        <v>506</v>
      </c>
      <c r="C92">
        <v>0.75738443407216505</v>
      </c>
      <c r="D92">
        <v>0</v>
      </c>
    </row>
    <row r="93" spans="1:4" x14ac:dyDescent="0.35">
      <c r="A93" t="s">
        <v>178</v>
      </c>
      <c r="B93" t="s">
        <v>179</v>
      </c>
      <c r="C93">
        <v>0.29145616146639525</v>
      </c>
      <c r="D93">
        <v>9.0497274801726191E-3</v>
      </c>
    </row>
    <row r="94" spans="1:4" x14ac:dyDescent="0.35">
      <c r="A94" t="s">
        <v>668</v>
      </c>
      <c r="B94" t="s">
        <v>509</v>
      </c>
      <c r="C94">
        <v>0.13480667100161076</v>
      </c>
      <c r="D94">
        <v>1.8107825605870029E-2</v>
      </c>
    </row>
    <row r="95" spans="1:4" x14ac:dyDescent="0.35">
      <c r="A95" t="s">
        <v>152</v>
      </c>
      <c r="B95" t="s">
        <v>153</v>
      </c>
      <c r="C95">
        <v>0.62553857215929531</v>
      </c>
      <c r="D95">
        <v>1.0709127608698084E-3</v>
      </c>
    </row>
    <row r="96" spans="1:4" x14ac:dyDescent="0.35">
      <c r="A96" t="s">
        <v>514</v>
      </c>
      <c r="B96" t="s">
        <v>515</v>
      </c>
      <c r="C96">
        <v>0.56833102717919814</v>
      </c>
      <c r="D96">
        <v>7.8827519057292489E-3</v>
      </c>
    </row>
    <row r="97" spans="1:4" x14ac:dyDescent="0.35">
      <c r="A97" t="s">
        <v>122</v>
      </c>
      <c r="B97" t="s">
        <v>123</v>
      </c>
      <c r="C97">
        <v>0.34558510720652424</v>
      </c>
      <c r="D97">
        <v>3.392241677577254E-2</v>
      </c>
    </row>
    <row r="98" spans="1:4" x14ac:dyDescent="0.35">
      <c r="A98" t="s">
        <v>511</v>
      </c>
      <c r="B98" t="s">
        <v>512</v>
      </c>
      <c r="C98">
        <v>0</v>
      </c>
      <c r="D98">
        <v>0</v>
      </c>
    </row>
    <row r="99" spans="1:4" x14ac:dyDescent="0.35">
      <c r="A99" t="s">
        <v>158</v>
      </c>
      <c r="B99" t="s">
        <v>159</v>
      </c>
      <c r="C99">
        <v>0.67271364336358919</v>
      </c>
      <c r="D99">
        <v>0</v>
      </c>
    </row>
    <row r="100" spans="1:4" x14ac:dyDescent="0.35">
      <c r="A100" t="s">
        <v>448</v>
      </c>
      <c r="B100" t="s">
        <v>449</v>
      </c>
      <c r="C100">
        <v>3.03647541600474E-2</v>
      </c>
      <c r="D100">
        <v>0.17028206616442304</v>
      </c>
    </row>
    <row r="101" spans="1:4" x14ac:dyDescent="0.35">
      <c r="A101" t="s">
        <v>76</v>
      </c>
      <c r="B101" t="s">
        <v>77</v>
      </c>
      <c r="C101">
        <v>5.0965751312100217E-2</v>
      </c>
      <c r="D101">
        <v>1.4856536872557362</v>
      </c>
    </row>
    <row r="102" spans="1:4" x14ac:dyDescent="0.35">
      <c r="A102" t="s">
        <v>519</v>
      </c>
      <c r="B102" t="s">
        <v>520</v>
      </c>
      <c r="C102">
        <v>5.0482558998638793E-2</v>
      </c>
      <c r="D102">
        <v>5.3786556630908984E-2</v>
      </c>
    </row>
    <row r="103" spans="1:4" x14ac:dyDescent="0.35">
      <c r="A103" t="s">
        <v>457</v>
      </c>
      <c r="B103" t="s">
        <v>458</v>
      </c>
      <c r="C103">
        <v>0.51073522211012978</v>
      </c>
      <c r="D103">
        <v>8.7926587676104579E-3</v>
      </c>
    </row>
    <row r="104" spans="1:4" x14ac:dyDescent="0.35">
      <c r="A104" t="s">
        <v>472</v>
      </c>
      <c r="B104" t="s">
        <v>473</v>
      </c>
      <c r="C104">
        <v>1.2290868452734671E-2</v>
      </c>
      <c r="D104">
        <v>0.18776157384990672</v>
      </c>
    </row>
    <row r="105" spans="1:4" x14ac:dyDescent="0.35">
      <c r="A105" t="s">
        <v>212</v>
      </c>
      <c r="B105" t="s">
        <v>213</v>
      </c>
      <c r="C105">
        <v>0.36799569115296404</v>
      </c>
      <c r="D105">
        <v>1.2851644174109948E-2</v>
      </c>
    </row>
    <row r="106" spans="1:4" x14ac:dyDescent="0.35">
      <c r="A106" t="s">
        <v>204</v>
      </c>
      <c r="B106" t="s">
        <v>205</v>
      </c>
      <c r="C106">
        <v>0.6651394551219828</v>
      </c>
      <c r="D106">
        <v>0</v>
      </c>
    </row>
    <row r="107" spans="1:4" x14ac:dyDescent="0.35">
      <c r="A107" t="s">
        <v>218</v>
      </c>
      <c r="B107" t="s">
        <v>219</v>
      </c>
      <c r="C107">
        <v>0.23971377218268958</v>
      </c>
      <c r="D107">
        <v>1.9861468093974918E-2</v>
      </c>
    </row>
    <row r="108" spans="1:4" x14ac:dyDescent="0.35">
      <c r="A108" t="s">
        <v>221</v>
      </c>
      <c r="B108" t="s">
        <v>222</v>
      </c>
      <c r="C108">
        <v>0.67008000391863265</v>
      </c>
      <c r="D108">
        <v>0</v>
      </c>
    </row>
    <row r="109" spans="1:4" x14ac:dyDescent="0.35">
      <c r="A109" t="s">
        <v>224</v>
      </c>
      <c r="B109" t="s">
        <v>225</v>
      </c>
      <c r="C109">
        <v>0.4463986468327058</v>
      </c>
      <c r="D109">
        <v>8.3271478073171593E-3</v>
      </c>
    </row>
    <row r="110" spans="1:4" x14ac:dyDescent="0.35">
      <c r="A110" t="s">
        <v>134</v>
      </c>
      <c r="B110" t="s">
        <v>135</v>
      </c>
      <c r="C110">
        <v>0.7281663432397999</v>
      </c>
      <c r="D110">
        <v>0</v>
      </c>
    </row>
    <row r="111" spans="1:4" x14ac:dyDescent="0.35">
      <c r="A111" t="s">
        <v>236</v>
      </c>
      <c r="B111" t="s">
        <v>237</v>
      </c>
      <c r="C111">
        <v>0.21231443884915477</v>
      </c>
      <c r="D111">
        <v>1.9478347171175834E-2</v>
      </c>
    </row>
    <row r="112" spans="1:4" x14ac:dyDescent="0.35">
      <c r="A112" t="s">
        <v>21</v>
      </c>
      <c r="B112" t="s">
        <v>22</v>
      </c>
      <c r="C112">
        <v>0.21964999550416589</v>
      </c>
      <c r="D112">
        <v>1.5805506574958272E-2</v>
      </c>
    </row>
    <row r="113" spans="1:4" x14ac:dyDescent="0.35">
      <c r="A113" t="s">
        <v>227</v>
      </c>
      <c r="B113" t="s">
        <v>228</v>
      </c>
      <c r="C113">
        <v>0.37786005999796174</v>
      </c>
      <c r="D113">
        <v>7.7025404995930092E-3</v>
      </c>
    </row>
    <row r="114" spans="1:4" x14ac:dyDescent="0.35">
      <c r="A114" t="s">
        <v>517</v>
      </c>
      <c r="B114" t="s">
        <v>518</v>
      </c>
      <c r="C114">
        <v>0.63957357794416803</v>
      </c>
      <c r="D114">
        <v>8.1170620801151712E-4</v>
      </c>
    </row>
    <row r="115" spans="1:4" x14ac:dyDescent="0.35">
      <c r="A115" t="s">
        <v>266</v>
      </c>
      <c r="B115" t="s">
        <v>267</v>
      </c>
      <c r="C115">
        <v>0.69261546950749153</v>
      </c>
      <c r="D115">
        <v>0</v>
      </c>
    </row>
    <row r="116" spans="1:4" x14ac:dyDescent="0.35">
      <c r="A116" t="s">
        <v>40</v>
      </c>
      <c r="B116" t="s">
        <v>42</v>
      </c>
      <c r="C116">
        <v>0.58860556432947675</v>
      </c>
      <c r="D116">
        <v>0</v>
      </c>
    </row>
    <row r="117" spans="1:4" x14ac:dyDescent="0.35">
      <c r="A117" t="s">
        <v>70</v>
      </c>
      <c r="B117" t="s">
        <v>71</v>
      </c>
      <c r="C117">
        <v>0.6761269902810032</v>
      </c>
      <c r="D117">
        <v>0</v>
      </c>
    </row>
    <row r="118" spans="1:4" x14ac:dyDescent="0.35">
      <c r="A118" t="s">
        <v>143</v>
      </c>
      <c r="B118" t="s">
        <v>144</v>
      </c>
      <c r="C118">
        <v>0.86542986551230061</v>
      </c>
      <c r="D118">
        <v>0</v>
      </c>
    </row>
    <row r="119" spans="1:4" x14ac:dyDescent="0.35">
      <c r="A119" t="s">
        <v>161</v>
      </c>
      <c r="B119" t="s">
        <v>162</v>
      </c>
      <c r="C119">
        <v>0.71192619955449743</v>
      </c>
      <c r="D119">
        <v>0</v>
      </c>
    </row>
    <row r="120" spans="1:4" x14ac:dyDescent="0.35">
      <c r="A120" t="s">
        <v>282</v>
      </c>
      <c r="B120" t="s">
        <v>283</v>
      </c>
      <c r="C120">
        <v>0.54592859464730736</v>
      </c>
      <c r="D120">
        <v>0</v>
      </c>
    </row>
    <row r="121" spans="1:4" x14ac:dyDescent="0.35">
      <c r="A121" t="s">
        <v>288</v>
      </c>
      <c r="B121" t="s">
        <v>289</v>
      </c>
      <c r="C121">
        <v>0.75246810485310101</v>
      </c>
      <c r="D121">
        <v>0</v>
      </c>
    </row>
    <row r="122" spans="1:4" x14ac:dyDescent="0.35">
      <c r="A122" t="s">
        <v>85</v>
      </c>
      <c r="B122" t="s">
        <v>86</v>
      </c>
      <c r="C122">
        <v>0.75706703997497882</v>
      </c>
      <c r="D122">
        <v>0</v>
      </c>
    </row>
    <row r="123" spans="1:4" x14ac:dyDescent="0.35">
      <c r="A123" t="s">
        <v>621</v>
      </c>
      <c r="B123" t="s">
        <v>536</v>
      </c>
      <c r="C123">
        <v>0.70112998549745242</v>
      </c>
      <c r="D123">
        <v>0</v>
      </c>
    </row>
    <row r="124" spans="1:4" x14ac:dyDescent="0.35">
      <c r="A124" t="s">
        <v>90</v>
      </c>
      <c r="B124" t="s">
        <v>91</v>
      </c>
      <c r="C124">
        <v>0.25725469551975033</v>
      </c>
      <c r="D124">
        <v>1.8232413692907172E-2</v>
      </c>
    </row>
    <row r="125" spans="1:4" x14ac:dyDescent="0.35">
      <c r="A125" t="s">
        <v>101</v>
      </c>
      <c r="B125" t="s">
        <v>102</v>
      </c>
      <c r="C125">
        <v>0.61297104603088193</v>
      </c>
      <c r="D125">
        <v>0</v>
      </c>
    </row>
    <row r="126" spans="1:4" x14ac:dyDescent="0.35">
      <c r="A126" t="s">
        <v>260</v>
      </c>
      <c r="B126" t="s">
        <v>261</v>
      </c>
      <c r="C126">
        <v>0.4863434581886148</v>
      </c>
      <c r="D126">
        <v>4.5876366876188585E-3</v>
      </c>
    </row>
    <row r="127" spans="1:4" x14ac:dyDescent="0.35">
      <c r="A127" t="s">
        <v>103</v>
      </c>
      <c r="B127" t="s">
        <v>104</v>
      </c>
      <c r="C127">
        <v>0.58979227856090455</v>
      </c>
      <c r="D127">
        <v>0</v>
      </c>
    </row>
    <row r="128" spans="1:4" x14ac:dyDescent="0.35">
      <c r="A128" t="s">
        <v>111</v>
      </c>
      <c r="B128" t="s">
        <v>112</v>
      </c>
      <c r="C128">
        <v>0.72701553448123046</v>
      </c>
      <c r="D128">
        <v>0</v>
      </c>
    </row>
    <row r="129" spans="1:4" x14ac:dyDescent="0.35">
      <c r="A129" t="s">
        <v>315</v>
      </c>
      <c r="B129" t="s">
        <v>316</v>
      </c>
      <c r="C129">
        <v>0.62512975992354458</v>
      </c>
      <c r="D129">
        <v>0</v>
      </c>
    </row>
    <row r="130" spans="1:4" x14ac:dyDescent="0.35">
      <c r="A130" t="s">
        <v>502</v>
      </c>
      <c r="B130" t="s">
        <v>503</v>
      </c>
      <c r="C130">
        <v>0.69239831455942502</v>
      </c>
      <c r="D130">
        <v>0</v>
      </c>
    </row>
    <row r="131" spans="1:4" x14ac:dyDescent="0.35">
      <c r="A131" t="s">
        <v>327</v>
      </c>
      <c r="B131" t="s">
        <v>328</v>
      </c>
      <c r="C131">
        <v>0.71819968676837842</v>
      </c>
      <c r="D131">
        <v>0</v>
      </c>
    </row>
    <row r="132" spans="1:4" x14ac:dyDescent="0.35">
      <c r="A132" t="s">
        <v>330</v>
      </c>
      <c r="B132" t="s">
        <v>331</v>
      </c>
      <c r="C132">
        <v>0.46652493432421349</v>
      </c>
      <c r="D132">
        <v>9.6501548231140051E-3</v>
      </c>
    </row>
    <row r="133" spans="1:4" x14ac:dyDescent="0.35">
      <c r="A133" t="s">
        <v>173</v>
      </c>
      <c r="B133" t="s">
        <v>174</v>
      </c>
      <c r="C133">
        <v>0.15245507067466296</v>
      </c>
      <c r="D133">
        <v>1.8740876588231568E-2</v>
      </c>
    </row>
    <row r="134" spans="1:4" x14ac:dyDescent="0.35">
      <c r="A134" t="s">
        <v>347</v>
      </c>
      <c r="B134" t="s">
        <v>348</v>
      </c>
      <c r="C134">
        <v>0.56503512771600051</v>
      </c>
      <c r="D134">
        <v>0</v>
      </c>
    </row>
    <row r="135" spans="1:4" x14ac:dyDescent="0.35">
      <c r="A135" t="s">
        <v>93</v>
      </c>
      <c r="B135" t="s">
        <v>94</v>
      </c>
      <c r="C135">
        <v>0.57499345160898763</v>
      </c>
      <c r="D135">
        <v>0</v>
      </c>
    </row>
    <row r="136" spans="1:4" x14ac:dyDescent="0.35">
      <c r="A136" t="s">
        <v>341</v>
      </c>
      <c r="B136" t="s">
        <v>342</v>
      </c>
      <c r="C136">
        <v>0.50168031766417231</v>
      </c>
      <c r="D136">
        <v>2.3118979097922735E-3</v>
      </c>
    </row>
    <row r="137" spans="1:4" x14ac:dyDescent="0.35">
      <c r="A137" t="s">
        <v>207</v>
      </c>
      <c r="B137" t="s">
        <v>208</v>
      </c>
      <c r="C137">
        <v>0.59392518601569666</v>
      </c>
      <c r="D137">
        <v>2.5247081395075957E-3</v>
      </c>
    </row>
    <row r="138" spans="1:4" x14ac:dyDescent="0.35">
      <c r="A138" t="s">
        <v>367</v>
      </c>
      <c r="B138" t="s">
        <v>368</v>
      </c>
      <c r="C138">
        <v>0.16885157350228547</v>
      </c>
      <c r="D138">
        <v>1.8411166150422886E-2</v>
      </c>
    </row>
    <row r="139" spans="1:4" x14ac:dyDescent="0.35">
      <c r="A139" t="s">
        <v>676</v>
      </c>
      <c r="B139" t="s">
        <v>386</v>
      </c>
      <c r="C139">
        <v>0.3920441782104081</v>
      </c>
      <c r="D139">
        <v>1.6638096726652361E-2</v>
      </c>
    </row>
    <row r="140" spans="1:4" x14ac:dyDescent="0.35">
      <c r="A140" t="s">
        <v>362</v>
      </c>
      <c r="B140" t="s">
        <v>363</v>
      </c>
      <c r="C140">
        <v>0.7623910728305906</v>
      </c>
      <c r="D140">
        <v>0</v>
      </c>
    </row>
    <row r="141" spans="1:4" x14ac:dyDescent="0.35">
      <c r="A141" t="s">
        <v>184</v>
      </c>
      <c r="B141" t="s">
        <v>185</v>
      </c>
      <c r="C141">
        <v>0.39406300651846476</v>
      </c>
      <c r="D141">
        <v>1.7820302904417485E-2</v>
      </c>
    </row>
    <row r="142" spans="1:4" x14ac:dyDescent="0.35">
      <c r="A142" t="s">
        <v>128</v>
      </c>
      <c r="B142" t="s">
        <v>129</v>
      </c>
      <c r="C142">
        <v>0.62973468174936387</v>
      </c>
      <c r="D142">
        <v>0</v>
      </c>
    </row>
    <row r="143" spans="1:4" x14ac:dyDescent="0.35">
      <c r="A143" t="s">
        <v>155</v>
      </c>
      <c r="B143" t="s">
        <v>156</v>
      </c>
      <c r="C143">
        <v>0.7338072278382437</v>
      </c>
      <c r="D143">
        <v>0</v>
      </c>
    </row>
    <row r="144" spans="1:4" x14ac:dyDescent="0.35">
      <c r="A144" t="s">
        <v>403</v>
      </c>
      <c r="B144" t="s">
        <v>404</v>
      </c>
      <c r="C144">
        <v>0.4913605351242466</v>
      </c>
      <c r="D144">
        <v>3.3066506139425265E-3</v>
      </c>
    </row>
    <row r="145" spans="1:4" x14ac:dyDescent="0.35">
      <c r="A145" t="s">
        <v>201</v>
      </c>
      <c r="B145" t="s">
        <v>202</v>
      </c>
      <c r="C145">
        <v>0.71748312849307427</v>
      </c>
      <c r="D145">
        <v>0</v>
      </c>
    </row>
    <row r="146" spans="1:4" x14ac:dyDescent="0.35">
      <c r="A146" t="s">
        <v>480</v>
      </c>
      <c r="B146" t="s">
        <v>481</v>
      </c>
      <c r="C146">
        <v>0.30733430535244799</v>
      </c>
      <c r="D146">
        <v>1.4378077006364162E-2</v>
      </c>
    </row>
    <row r="147" spans="1:4" x14ac:dyDescent="0.35">
      <c r="A147" t="s">
        <v>482</v>
      </c>
      <c r="B147" t="s">
        <v>483</v>
      </c>
      <c r="C147">
        <v>0.43575999801554754</v>
      </c>
      <c r="D147">
        <v>1.284936718608916E-2</v>
      </c>
    </row>
    <row r="148" spans="1:4" x14ac:dyDescent="0.35">
      <c r="A148" t="s">
        <v>409</v>
      </c>
      <c r="B148" t="s">
        <v>410</v>
      </c>
      <c r="C148">
        <v>0.63895927868466029</v>
      </c>
      <c r="D148">
        <v>0</v>
      </c>
    </row>
    <row r="149" spans="1:4" x14ac:dyDescent="0.35">
      <c r="A149" t="s">
        <v>415</v>
      </c>
      <c r="B149" t="s">
        <v>416</v>
      </c>
      <c r="C149">
        <v>0.46476860209868903</v>
      </c>
      <c r="D149">
        <v>9.4677266223448086E-3</v>
      </c>
    </row>
    <row r="150" spans="1:4" x14ac:dyDescent="0.35">
      <c r="A150" t="s">
        <v>491</v>
      </c>
      <c r="B150" t="s">
        <v>492</v>
      </c>
      <c r="C150">
        <v>0.45302996240476828</v>
      </c>
      <c r="D150">
        <v>5.9748126382060006E-3</v>
      </c>
    </row>
    <row r="151" spans="1:4" x14ac:dyDescent="0.35">
      <c r="A151" t="s">
        <v>427</v>
      </c>
      <c r="B151" t="s">
        <v>428</v>
      </c>
      <c r="C151">
        <v>0.50551300873483496</v>
      </c>
      <c r="D151">
        <v>1.1256060035681659E-3</v>
      </c>
    </row>
    <row r="152" spans="1:4" x14ac:dyDescent="0.35">
      <c r="A152" t="s">
        <v>164</v>
      </c>
      <c r="B152" t="s">
        <v>165</v>
      </c>
      <c r="C152">
        <v>0.69642111048377309</v>
      </c>
      <c r="D152">
        <v>0</v>
      </c>
    </row>
    <row r="153" spans="1:4" x14ac:dyDescent="0.35">
      <c r="A153" t="s">
        <v>439</v>
      </c>
      <c r="B153" t="s">
        <v>440</v>
      </c>
      <c r="C153">
        <v>0.30359023750314806</v>
      </c>
      <c r="D153">
        <v>1.5300604847586186E-2</v>
      </c>
    </row>
    <row r="154" spans="1:4" x14ac:dyDescent="0.35">
      <c r="A154" t="s">
        <v>524</v>
      </c>
      <c r="B154" t="s">
        <v>525</v>
      </c>
      <c r="C154">
        <v>0.53161707637319155</v>
      </c>
      <c r="D154">
        <v>5.5418836264224842E-3</v>
      </c>
    </row>
    <row r="155" spans="1:4" x14ac:dyDescent="0.35">
      <c r="A155" t="s">
        <v>460</v>
      </c>
      <c r="B155" t="s">
        <v>461</v>
      </c>
      <c r="C155">
        <v>0.61525999570282175</v>
      </c>
      <c r="D155">
        <v>0</v>
      </c>
    </row>
    <row r="156" spans="1:4" x14ac:dyDescent="0.35">
      <c r="A156" t="s">
        <v>528</v>
      </c>
      <c r="B156" t="s">
        <v>529</v>
      </c>
      <c r="C156">
        <v>0.31267755877101716</v>
      </c>
      <c r="D156">
        <v>2.0355964885518427E-2</v>
      </c>
    </row>
    <row r="157" spans="1:4" x14ac:dyDescent="0.35">
      <c r="A157" t="s">
        <v>466</v>
      </c>
      <c r="B157" t="s">
        <v>467</v>
      </c>
      <c r="C157">
        <v>0.37172485066045352</v>
      </c>
      <c r="D157">
        <v>6.2754264020826031E-3</v>
      </c>
    </row>
    <row r="158" spans="1:4" x14ac:dyDescent="0.35">
      <c r="A158" t="s">
        <v>192</v>
      </c>
      <c r="B158" t="s">
        <v>193</v>
      </c>
      <c r="C158">
        <v>0.32535576382601422</v>
      </c>
      <c r="D158">
        <v>8.3567522570831318E-2</v>
      </c>
    </row>
    <row r="159" spans="1:4" x14ac:dyDescent="0.35">
      <c r="A159" t="s">
        <v>137</v>
      </c>
      <c r="B159" t="s">
        <v>138</v>
      </c>
      <c r="C159">
        <v>0.73609527117396401</v>
      </c>
      <c r="D159">
        <v>0</v>
      </c>
    </row>
    <row r="160" spans="1:4" x14ac:dyDescent="0.35">
      <c r="A160" t="s">
        <v>321</v>
      </c>
      <c r="B160" t="s">
        <v>322</v>
      </c>
      <c r="C160">
        <v>0.41931625903671976</v>
      </c>
      <c r="D160">
        <v>7.6185265478203252E-3</v>
      </c>
    </row>
    <row r="161" spans="1:4" x14ac:dyDescent="0.35">
      <c r="A161" t="s">
        <v>318</v>
      </c>
      <c r="B161" t="s">
        <v>319</v>
      </c>
      <c r="C161">
        <v>0.44726423677269694</v>
      </c>
      <c r="D161">
        <v>4.3637963404949635E-3</v>
      </c>
    </row>
    <row r="162" spans="1:4" x14ac:dyDescent="0.35">
      <c r="A162" t="s">
        <v>55</v>
      </c>
      <c r="B162" t="s">
        <v>56</v>
      </c>
      <c r="C162">
        <v>0.64683523738037141</v>
      </c>
      <c r="D162">
        <v>5.139215421766756E-4</v>
      </c>
    </row>
    <row r="163" spans="1:4" x14ac:dyDescent="0.35">
      <c r="A163" t="s">
        <v>356</v>
      </c>
      <c r="B163" t="s">
        <v>357</v>
      </c>
      <c r="C163">
        <v>0.68018884679138059</v>
      </c>
      <c r="D163">
        <v>0</v>
      </c>
    </row>
    <row r="164" spans="1:4" x14ac:dyDescent="0.35">
      <c r="A164" t="s">
        <v>451</v>
      </c>
      <c r="B164" t="s">
        <v>452</v>
      </c>
      <c r="C164">
        <v>0.28619691673191228</v>
      </c>
      <c r="D164">
        <v>6.0651104095694706E-2</v>
      </c>
    </row>
    <row r="165" spans="1:4" x14ac:dyDescent="0.35">
      <c r="A165" t="s">
        <v>67</v>
      </c>
      <c r="B165" t="s">
        <v>68</v>
      </c>
      <c r="C165">
        <v>0.36760104263994875</v>
      </c>
      <c r="D165">
        <v>0</v>
      </c>
    </row>
    <row r="166" spans="1:4" x14ac:dyDescent="0.35">
      <c r="A166" t="s">
        <v>44</v>
      </c>
      <c r="B166" t="s">
        <v>45</v>
      </c>
      <c r="C166">
        <v>0</v>
      </c>
      <c r="D166">
        <v>1.8971916421749765E-2</v>
      </c>
    </row>
    <row r="167" spans="1:4" x14ac:dyDescent="0.35">
      <c r="A167" t="s">
        <v>167</v>
      </c>
      <c r="B167" t="s">
        <v>168</v>
      </c>
      <c r="C167">
        <v>0.66149967840964075</v>
      </c>
      <c r="D167">
        <v>2.1912240400777643E-4</v>
      </c>
    </row>
    <row r="168" spans="1:4" x14ac:dyDescent="0.35">
      <c r="A168" t="s">
        <v>52</v>
      </c>
      <c r="B168" t="s">
        <v>53</v>
      </c>
      <c r="C168">
        <v>0.41297285817762591</v>
      </c>
      <c r="D168">
        <v>1.6464787911539346E-2</v>
      </c>
    </row>
    <row r="169" spans="1:4" x14ac:dyDescent="0.35">
      <c r="A169" t="s">
        <v>11</v>
      </c>
      <c r="B169" t="s">
        <v>12</v>
      </c>
      <c r="C169">
        <v>0.78025276507140184</v>
      </c>
      <c r="D169">
        <v>0</v>
      </c>
    </row>
    <row r="170" spans="1:4" x14ac:dyDescent="0.35">
      <c r="A170" t="s">
        <v>23</v>
      </c>
      <c r="B170" t="s">
        <v>24</v>
      </c>
      <c r="C170">
        <v>0.91834579488386869</v>
      </c>
      <c r="D170">
        <v>0</v>
      </c>
    </row>
    <row r="171" spans="1:4" x14ac:dyDescent="0.35">
      <c r="A171" t="s">
        <v>195</v>
      </c>
      <c r="B171" t="s">
        <v>196</v>
      </c>
      <c r="C171">
        <v>0.82590592381677863</v>
      </c>
      <c r="D171">
        <v>0</v>
      </c>
    </row>
    <row r="172" spans="1:4" x14ac:dyDescent="0.35">
      <c r="A172" t="s">
        <v>38</v>
      </c>
      <c r="B172" t="s">
        <v>39</v>
      </c>
      <c r="C172">
        <v>0.71908449100432703</v>
      </c>
      <c r="D172">
        <v>0</v>
      </c>
    </row>
    <row r="173" spans="1:4" x14ac:dyDescent="0.35">
      <c r="A173" t="s">
        <v>285</v>
      </c>
      <c r="B173" t="s">
        <v>286</v>
      </c>
      <c r="C173">
        <v>0.68222144136003882</v>
      </c>
      <c r="D173">
        <v>0</v>
      </c>
    </row>
    <row r="174" spans="1:4" x14ac:dyDescent="0.35">
      <c r="A174" t="s">
        <v>617</v>
      </c>
      <c r="B174" t="s">
        <v>80</v>
      </c>
      <c r="C174">
        <v>0.37587265155664518</v>
      </c>
      <c r="D174">
        <v>2.6394692686773146E-2</v>
      </c>
    </row>
    <row r="175" spans="1:4" x14ac:dyDescent="0.35">
      <c r="A175" t="s">
        <v>126</v>
      </c>
      <c r="B175" t="s">
        <v>127</v>
      </c>
      <c r="C175">
        <v>0.78546706805782618</v>
      </c>
      <c r="D175">
        <v>0</v>
      </c>
    </row>
    <row r="176" spans="1:4" x14ac:dyDescent="0.35">
      <c r="A176" t="s">
        <v>140</v>
      </c>
      <c r="B176" t="s">
        <v>141</v>
      </c>
      <c r="C176">
        <v>0.8183530499645163</v>
      </c>
      <c r="D176">
        <v>0</v>
      </c>
    </row>
    <row r="177" spans="1:4" x14ac:dyDescent="0.35">
      <c r="A177" t="s">
        <v>336</v>
      </c>
      <c r="B177" t="s">
        <v>337</v>
      </c>
      <c r="C177">
        <v>0.33934147627857913</v>
      </c>
      <c r="D177">
        <v>0</v>
      </c>
    </row>
    <row r="178" spans="1:4" x14ac:dyDescent="0.35">
      <c r="A178" t="s">
        <v>338</v>
      </c>
      <c r="B178" t="s">
        <v>339</v>
      </c>
      <c r="C178">
        <v>0.83930435016667415</v>
      </c>
      <c r="D178">
        <v>0</v>
      </c>
    </row>
    <row r="179" spans="1:4" x14ac:dyDescent="0.35">
      <c r="A179" t="s">
        <v>175</v>
      </c>
      <c r="B179" t="s">
        <v>176</v>
      </c>
      <c r="C179">
        <v>0.42594700614110803</v>
      </c>
      <c r="D179">
        <v>3.4647437347070459E-2</v>
      </c>
    </row>
    <row r="180" spans="1:4" x14ac:dyDescent="0.35">
      <c r="A180" t="s">
        <v>209</v>
      </c>
      <c r="B180" t="s">
        <v>210</v>
      </c>
      <c r="C180">
        <v>0.37887285873568266</v>
      </c>
      <c r="D180">
        <v>8.7019436100049235E-3</v>
      </c>
    </row>
    <row r="181" spans="1:4" x14ac:dyDescent="0.35">
      <c r="A181" t="s">
        <v>182</v>
      </c>
      <c r="B181" t="s">
        <v>183</v>
      </c>
      <c r="C181">
        <v>0.66073593245258966</v>
      </c>
      <c r="D181">
        <v>0</v>
      </c>
    </row>
    <row r="182" spans="1:4" x14ac:dyDescent="0.35">
      <c r="A182" t="s">
        <v>180</v>
      </c>
      <c r="B182" t="s">
        <v>181</v>
      </c>
      <c r="C182">
        <v>0.78307355814971136</v>
      </c>
      <c r="D182">
        <v>0</v>
      </c>
    </row>
    <row r="183" spans="1:4" x14ac:dyDescent="0.35">
      <c r="A183" t="s">
        <v>382</v>
      </c>
      <c r="B183" t="s">
        <v>383</v>
      </c>
      <c r="C183">
        <v>0.71075401730531518</v>
      </c>
      <c r="D183">
        <v>0</v>
      </c>
    </row>
    <row r="184" spans="1:4" x14ac:dyDescent="0.35">
      <c r="A184" t="s">
        <v>376</v>
      </c>
      <c r="B184" t="s">
        <v>377</v>
      </c>
      <c r="C184">
        <v>0.67971201772198631</v>
      </c>
      <c r="D184">
        <v>1.9620025899414004E-2</v>
      </c>
    </row>
    <row r="185" spans="1:4" x14ac:dyDescent="0.35">
      <c r="A185" t="s">
        <v>186</v>
      </c>
      <c r="B185" t="s">
        <v>187</v>
      </c>
      <c r="C185">
        <v>0.80276025650357419</v>
      </c>
      <c r="D185">
        <v>0</v>
      </c>
    </row>
    <row r="186" spans="1:4" x14ac:dyDescent="0.35">
      <c r="A186" t="s">
        <v>400</v>
      </c>
      <c r="B186" t="s">
        <v>401</v>
      </c>
      <c r="C186">
        <v>0.47139205000337742</v>
      </c>
      <c r="D186">
        <v>1.1051628075258063E-2</v>
      </c>
    </row>
    <row r="187" spans="1:4" x14ac:dyDescent="0.35">
      <c r="A187" t="s">
        <v>388</v>
      </c>
      <c r="B187" t="s">
        <v>389</v>
      </c>
      <c r="C187">
        <v>0.87043997346893653</v>
      </c>
      <c r="D187">
        <v>0</v>
      </c>
    </row>
    <row r="188" spans="1:4" x14ac:dyDescent="0.35">
      <c r="A188" t="s">
        <v>106</v>
      </c>
      <c r="B188" t="s">
        <v>107</v>
      </c>
      <c r="C188">
        <v>2.5484116282687964E-2</v>
      </c>
      <c r="D188">
        <v>0.50200103102524329</v>
      </c>
    </row>
    <row r="189" spans="1:4" x14ac:dyDescent="0.35">
      <c r="A189" t="s">
        <v>424</v>
      </c>
      <c r="B189" t="s">
        <v>425</v>
      </c>
      <c r="C189">
        <v>0.80719486142861396</v>
      </c>
      <c r="D189">
        <v>0</v>
      </c>
    </row>
    <row r="190" spans="1:4" x14ac:dyDescent="0.35">
      <c r="A190" t="s">
        <v>496</v>
      </c>
      <c r="B190" t="s">
        <v>497</v>
      </c>
      <c r="C190">
        <v>9.6036594242987175E-2</v>
      </c>
      <c r="D190">
        <v>3.895940753687082E-2</v>
      </c>
    </row>
    <row r="191" spans="1:4" x14ac:dyDescent="0.35">
      <c r="A191" t="s">
        <v>170</v>
      </c>
      <c r="B191" t="s">
        <v>171</v>
      </c>
      <c r="C191">
        <v>0.60249775296844699</v>
      </c>
      <c r="D191">
        <v>7.9895719733678369E-3</v>
      </c>
    </row>
    <row r="192" spans="1:4" x14ac:dyDescent="0.35">
      <c r="A192" t="s">
        <v>526</v>
      </c>
      <c r="B192" t="s">
        <v>527</v>
      </c>
      <c r="C192">
        <v>0.49898236092265941</v>
      </c>
      <c r="D192">
        <v>1.3004897501324272E-2</v>
      </c>
    </row>
    <row r="193" spans="1:4" x14ac:dyDescent="0.35">
      <c r="A193" t="s">
        <v>494</v>
      </c>
      <c r="B193" t="s">
        <v>495</v>
      </c>
      <c r="C193">
        <v>0.72457775452012707</v>
      </c>
      <c r="D193">
        <v>0</v>
      </c>
    </row>
    <row r="194" spans="1:4" x14ac:dyDescent="0.35">
      <c r="A194" t="s">
        <v>469</v>
      </c>
      <c r="B194" t="s">
        <v>470</v>
      </c>
      <c r="C194">
        <v>0.16410164580247114</v>
      </c>
      <c r="D194">
        <v>8.7772988857406475E-2</v>
      </c>
    </row>
    <row r="195" spans="1:4" x14ac:dyDescent="0.35">
      <c r="A195" t="s">
        <v>109</v>
      </c>
      <c r="B195" t="s">
        <v>110</v>
      </c>
      <c r="C195">
        <v>0.61847450280726157</v>
      </c>
      <c r="D195">
        <v>5.3918894974420845E-3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3C46-1A6B-4C6E-B0F9-E7A7321541D1}">
  <dimension ref="A1:E202"/>
  <sheetViews>
    <sheetView topLeftCell="A165" workbookViewId="0">
      <selection activeCell="D1" sqref="D1"/>
    </sheetView>
  </sheetViews>
  <sheetFormatPr defaultRowHeight="14.5" x14ac:dyDescent="0.35"/>
  <sheetData>
    <row r="1" spans="1:5" x14ac:dyDescent="0.35">
      <c r="A1" t="s">
        <v>545</v>
      </c>
      <c r="B1" t="s">
        <v>819</v>
      </c>
      <c r="C1" t="s">
        <v>820</v>
      </c>
      <c r="D1" t="s">
        <v>760</v>
      </c>
      <c r="E1" t="s">
        <v>841</v>
      </c>
    </row>
    <row r="2" spans="1:5" x14ac:dyDescent="0.35">
      <c r="A2" t="s">
        <v>113</v>
      </c>
      <c r="B2">
        <v>4</v>
      </c>
      <c r="C2">
        <v>2020</v>
      </c>
      <c r="D2" t="str">
        <f>VLOOKUP(B2,'Reference table'!$G$2:$J$195,4,FALSE)</f>
        <v>AFG</v>
      </c>
      <c r="E2">
        <v>38928346</v>
      </c>
    </row>
    <row r="3" spans="1:5" x14ac:dyDescent="0.35">
      <c r="A3" t="s">
        <v>212</v>
      </c>
      <c r="B3">
        <v>8</v>
      </c>
      <c r="C3">
        <v>2020</v>
      </c>
      <c r="D3" t="str">
        <f>VLOOKUP(B3,'Reference table'!$G$2:$J$195,4,FALSE)</f>
        <v>ALB</v>
      </c>
      <c r="E3">
        <v>2877797</v>
      </c>
    </row>
    <row r="4" spans="1:5" x14ac:dyDescent="0.35">
      <c r="A4" t="s">
        <v>189</v>
      </c>
      <c r="B4">
        <v>12</v>
      </c>
      <c r="C4">
        <v>2020</v>
      </c>
      <c r="D4" t="str">
        <f>VLOOKUP(B4,'Reference table'!$G$2:$J$195,4,FALSE)</f>
        <v>DZA</v>
      </c>
      <c r="E4">
        <v>43851043.999999993</v>
      </c>
    </row>
    <row r="5" spans="1:5" x14ac:dyDescent="0.35">
      <c r="A5" t="s">
        <v>215</v>
      </c>
      <c r="B5">
        <v>24</v>
      </c>
      <c r="C5">
        <v>2020</v>
      </c>
      <c r="D5" t="str">
        <f>VLOOKUP(B5,'Reference table'!$G$2:$J$195,4,FALSE)</f>
        <v>AGO</v>
      </c>
      <c r="E5">
        <v>32866272.000000004</v>
      </c>
    </row>
    <row r="6" spans="1:5" x14ac:dyDescent="0.35">
      <c r="A6" t="s">
        <v>2</v>
      </c>
      <c r="B6">
        <v>28</v>
      </c>
      <c r="C6">
        <v>2020</v>
      </c>
      <c r="D6" t="str">
        <f>VLOOKUP(B6,'Reference table'!$G$2:$J$195,4,FALSE)</f>
        <v>ATG</v>
      </c>
      <c r="E6">
        <v>97929.000000000029</v>
      </c>
    </row>
    <row r="7" spans="1:5" x14ac:dyDescent="0.35">
      <c r="A7" t="s">
        <v>9</v>
      </c>
      <c r="B7">
        <v>32</v>
      </c>
      <c r="C7">
        <v>2020</v>
      </c>
      <c r="D7" t="str">
        <f>VLOOKUP(B7,'Reference table'!$G$2:$J$195,4,FALSE)</f>
        <v>ARG</v>
      </c>
      <c r="E7">
        <v>45195774</v>
      </c>
    </row>
    <row r="8" spans="1:5" x14ac:dyDescent="0.35">
      <c r="A8" t="s">
        <v>218</v>
      </c>
      <c r="B8">
        <v>51</v>
      </c>
      <c r="C8">
        <v>2020</v>
      </c>
      <c r="D8" t="str">
        <f>VLOOKUP(B8,'Reference table'!$G$2:$J$195,4,FALSE)</f>
        <v>ARM</v>
      </c>
      <c r="E8">
        <v>2963243</v>
      </c>
    </row>
    <row r="9" spans="1:5" x14ac:dyDescent="0.35">
      <c r="A9" t="s">
        <v>821</v>
      </c>
      <c r="B9">
        <v>533</v>
      </c>
      <c r="C9">
        <v>2020</v>
      </c>
      <c r="D9" t="e">
        <f>VLOOKUP(B9,'Reference table'!$G$2:$J$195,4,FALSE)</f>
        <v>#N/A</v>
      </c>
      <c r="E9">
        <v>106766.00000000001</v>
      </c>
    </row>
    <row r="10" spans="1:5" x14ac:dyDescent="0.35">
      <c r="A10" t="s">
        <v>11</v>
      </c>
      <c r="B10">
        <v>36</v>
      </c>
      <c r="C10">
        <v>2020</v>
      </c>
      <c r="D10" t="str">
        <f>VLOOKUP(B10,'Reference table'!$G$2:$J$195,4,FALSE)</f>
        <v>AUS</v>
      </c>
      <c r="E10">
        <v>25499883.999999996</v>
      </c>
    </row>
    <row r="11" spans="1:5" x14ac:dyDescent="0.35">
      <c r="A11" t="s">
        <v>221</v>
      </c>
      <c r="B11">
        <v>40</v>
      </c>
      <c r="C11">
        <v>2020</v>
      </c>
      <c r="D11" t="str">
        <f>VLOOKUP(B11,'Reference table'!$G$2:$J$195,4,FALSE)</f>
        <v>AUT</v>
      </c>
      <c r="E11">
        <v>9006397.9999999981</v>
      </c>
    </row>
    <row r="12" spans="1:5" x14ac:dyDescent="0.35">
      <c r="A12" t="s">
        <v>224</v>
      </c>
      <c r="B12">
        <v>31</v>
      </c>
      <c r="C12">
        <v>2020</v>
      </c>
      <c r="D12" t="str">
        <f>VLOOKUP(B12,'Reference table'!$G$2:$J$195,4,FALSE)</f>
        <v>AZE</v>
      </c>
      <c r="E12">
        <v>10139177.000000002</v>
      </c>
    </row>
    <row r="13" spans="1:5" x14ac:dyDescent="0.35">
      <c r="A13" t="s">
        <v>36</v>
      </c>
      <c r="B13">
        <v>44</v>
      </c>
      <c r="C13">
        <v>2020</v>
      </c>
      <c r="D13" t="str">
        <f>VLOOKUP(B13,'Reference table'!$G$2:$J$195,4,FALSE)</f>
        <v>BHS</v>
      </c>
      <c r="E13">
        <v>393244</v>
      </c>
    </row>
    <row r="14" spans="1:5" x14ac:dyDescent="0.35">
      <c r="A14" t="s">
        <v>131</v>
      </c>
      <c r="B14">
        <v>48</v>
      </c>
      <c r="C14">
        <v>2020</v>
      </c>
      <c r="D14" t="str">
        <f>VLOOKUP(B14,'Reference table'!$G$2:$J$195,4,FALSE)</f>
        <v>BHR</v>
      </c>
      <c r="E14">
        <v>1701575.0000000002</v>
      </c>
    </row>
    <row r="15" spans="1:5" x14ac:dyDescent="0.35">
      <c r="A15" t="s">
        <v>192</v>
      </c>
      <c r="B15">
        <v>50</v>
      </c>
      <c r="C15">
        <v>2020</v>
      </c>
      <c r="D15" t="str">
        <f>VLOOKUP(B15,'Reference table'!$G$2:$J$195,4,FALSE)</f>
        <v>BGD</v>
      </c>
      <c r="E15">
        <v>164689383.00000003</v>
      </c>
    </row>
    <row r="16" spans="1:5" x14ac:dyDescent="0.35">
      <c r="A16" t="s">
        <v>13</v>
      </c>
      <c r="B16">
        <v>52</v>
      </c>
      <c r="C16">
        <v>2020</v>
      </c>
      <c r="D16" t="str">
        <f>VLOOKUP(B16,'Reference table'!$G$2:$J$195,4,FALSE)</f>
        <v>BRB</v>
      </c>
      <c r="E16">
        <v>287375</v>
      </c>
    </row>
    <row r="17" spans="1:5" x14ac:dyDescent="0.35">
      <c r="A17" t="s">
        <v>227</v>
      </c>
      <c r="B17">
        <v>112</v>
      </c>
      <c r="C17">
        <v>2020</v>
      </c>
      <c r="D17" t="str">
        <f>VLOOKUP(B17,'Reference table'!$G$2:$J$195,4,FALSE)</f>
        <v>BLR</v>
      </c>
      <c r="E17">
        <v>9449323</v>
      </c>
    </row>
    <row r="18" spans="1:5" x14ac:dyDescent="0.35">
      <c r="A18" t="s">
        <v>134</v>
      </c>
      <c r="B18">
        <v>56</v>
      </c>
      <c r="C18">
        <v>2020</v>
      </c>
      <c r="D18" t="str">
        <f>VLOOKUP(B18,'Reference table'!$G$2:$J$195,4,FALSE)</f>
        <v>BEL</v>
      </c>
      <c r="E18">
        <v>11589623.000000002</v>
      </c>
    </row>
    <row r="19" spans="1:5" x14ac:dyDescent="0.35">
      <c r="A19" t="s">
        <v>15</v>
      </c>
      <c r="B19">
        <v>84</v>
      </c>
      <c r="C19">
        <v>2020</v>
      </c>
      <c r="D19" t="str">
        <f>VLOOKUP(B19,'Reference table'!$G$2:$J$195,4,FALSE)</f>
        <v>BLZ</v>
      </c>
      <c r="E19">
        <v>397627.99999999994</v>
      </c>
    </row>
    <row r="20" spans="1:5" x14ac:dyDescent="0.35">
      <c r="A20" t="s">
        <v>230</v>
      </c>
      <c r="B20">
        <v>204</v>
      </c>
      <c r="C20">
        <v>2020</v>
      </c>
      <c r="D20" t="str">
        <f>VLOOKUP(B20,'Reference table'!$G$2:$J$195,4,FALSE)</f>
        <v>BEN</v>
      </c>
      <c r="E20">
        <v>12123199.999999996</v>
      </c>
    </row>
    <row r="21" spans="1:5" x14ac:dyDescent="0.35">
      <c r="A21" t="s">
        <v>137</v>
      </c>
      <c r="B21">
        <v>64</v>
      </c>
      <c r="C21">
        <v>2020</v>
      </c>
      <c r="D21" t="str">
        <f>VLOOKUP(B21,'Reference table'!$G$2:$J$195,4,FALSE)</f>
        <v>BTN</v>
      </c>
      <c r="E21">
        <v>771608.00000000023</v>
      </c>
    </row>
    <row r="22" spans="1:5" x14ac:dyDescent="0.35">
      <c r="A22" t="s">
        <v>198</v>
      </c>
      <c r="B22">
        <v>68</v>
      </c>
      <c r="C22">
        <v>2020</v>
      </c>
      <c r="D22" t="str">
        <f>VLOOKUP(B22,'Reference table'!$G$2:$J$195,4,FALSE)</f>
        <v>BOL</v>
      </c>
      <c r="E22">
        <v>11673021.000000004</v>
      </c>
    </row>
    <row r="23" spans="1:5" x14ac:dyDescent="0.35">
      <c r="A23" t="s">
        <v>21</v>
      </c>
      <c r="B23">
        <v>70</v>
      </c>
      <c r="C23">
        <v>2020</v>
      </c>
      <c r="D23" t="str">
        <f>VLOOKUP(B23,'Reference table'!$G$2:$J$195,4,FALSE)</f>
        <v>BIH</v>
      </c>
      <c r="E23">
        <v>3280819.0000000005</v>
      </c>
    </row>
    <row r="24" spans="1:5" x14ac:dyDescent="0.35">
      <c r="A24" t="s">
        <v>233</v>
      </c>
      <c r="B24">
        <v>72</v>
      </c>
      <c r="C24">
        <v>2020</v>
      </c>
      <c r="D24" t="str">
        <f>VLOOKUP(B24,'Reference table'!$G$2:$J$195,4,FALSE)</f>
        <v>BWA</v>
      </c>
      <c r="E24">
        <v>2351627.0000000005</v>
      </c>
    </row>
    <row r="25" spans="1:5" x14ac:dyDescent="0.35">
      <c r="A25" t="s">
        <v>82</v>
      </c>
      <c r="B25">
        <v>76</v>
      </c>
      <c r="C25">
        <v>2020</v>
      </c>
      <c r="D25" t="str">
        <f>VLOOKUP(B25,'Reference table'!$G$2:$J$195,4,FALSE)</f>
        <v>BRA</v>
      </c>
      <c r="E25">
        <v>212559417</v>
      </c>
    </row>
    <row r="26" spans="1:5" x14ac:dyDescent="0.35">
      <c r="A26" t="s">
        <v>23</v>
      </c>
      <c r="B26">
        <v>96</v>
      </c>
      <c r="C26">
        <v>2020</v>
      </c>
      <c r="D26" t="str">
        <f>VLOOKUP(B26,'Reference table'!$G$2:$J$195,4,FALSE)</f>
        <v>BRN</v>
      </c>
      <c r="E26">
        <v>437478.99999999994</v>
      </c>
    </row>
    <row r="27" spans="1:5" x14ac:dyDescent="0.35">
      <c r="A27" t="s">
        <v>236</v>
      </c>
      <c r="B27">
        <v>100</v>
      </c>
      <c r="C27">
        <v>2020</v>
      </c>
      <c r="D27" t="str">
        <f>VLOOKUP(B27,'Reference table'!$G$2:$J$195,4,FALSE)</f>
        <v>BGR</v>
      </c>
      <c r="E27">
        <v>6948445.0000000009</v>
      </c>
    </row>
    <row r="28" spans="1:5" x14ac:dyDescent="0.35">
      <c r="A28" t="s">
        <v>26</v>
      </c>
      <c r="B28">
        <v>854</v>
      </c>
      <c r="C28">
        <v>2020</v>
      </c>
      <c r="D28" t="str">
        <f>VLOOKUP(B28,'Reference table'!$G$2:$J$195,4,FALSE)</f>
        <v>BFA</v>
      </c>
      <c r="E28">
        <v>20903273.000000004</v>
      </c>
    </row>
    <row r="29" spans="1:5" x14ac:dyDescent="0.35">
      <c r="A29" t="s">
        <v>239</v>
      </c>
      <c r="B29">
        <v>108</v>
      </c>
      <c r="C29">
        <v>2020</v>
      </c>
      <c r="D29" t="str">
        <f>VLOOKUP(B29,'Reference table'!$G$2:$J$195,4,FALSE)</f>
        <v>BDI</v>
      </c>
      <c r="E29">
        <v>11890783.999999998</v>
      </c>
    </row>
    <row r="30" spans="1:5" x14ac:dyDescent="0.35">
      <c r="A30" t="s">
        <v>242</v>
      </c>
      <c r="B30">
        <v>132</v>
      </c>
      <c r="C30">
        <v>2020</v>
      </c>
      <c r="D30" t="str">
        <f>VLOOKUP(B30,'Reference table'!$G$2:$J$195,4,FALSE)</f>
        <v>CPV</v>
      </c>
      <c r="E30">
        <v>555986.99999999988</v>
      </c>
    </row>
    <row r="31" spans="1:5" x14ac:dyDescent="0.35">
      <c r="A31" t="s">
        <v>140</v>
      </c>
      <c r="B31">
        <v>116</v>
      </c>
      <c r="C31">
        <v>2020</v>
      </c>
      <c r="D31" t="str">
        <f>VLOOKUP(B31,'Reference table'!$G$2:$J$195,4,FALSE)</f>
        <v>KHM</v>
      </c>
      <c r="E31">
        <v>16718964.999999996</v>
      </c>
    </row>
    <row r="32" spans="1:5" x14ac:dyDescent="0.35">
      <c r="A32" t="s">
        <v>245</v>
      </c>
      <c r="B32">
        <v>120</v>
      </c>
      <c r="C32">
        <v>2020</v>
      </c>
      <c r="D32" t="str">
        <f>VLOOKUP(B32,'Reference table'!$G$2:$J$195,4,FALSE)</f>
        <v>CMR</v>
      </c>
      <c r="E32">
        <v>26545863.000000007</v>
      </c>
    </row>
    <row r="33" spans="1:5" x14ac:dyDescent="0.35">
      <c r="A33" t="s">
        <v>28</v>
      </c>
      <c r="B33">
        <v>124</v>
      </c>
      <c r="C33">
        <v>2020</v>
      </c>
      <c r="D33" t="str">
        <f>VLOOKUP(B33,'Reference table'!$G$2:$J$195,4,FALSE)</f>
        <v>CAN</v>
      </c>
      <c r="E33">
        <v>37742154</v>
      </c>
    </row>
    <row r="34" spans="1:5" x14ac:dyDescent="0.35">
      <c r="A34" t="s">
        <v>30</v>
      </c>
      <c r="B34">
        <v>140</v>
      </c>
      <c r="C34">
        <v>2020</v>
      </c>
      <c r="D34" t="str">
        <f>VLOOKUP(B34,'Reference table'!$G$2:$J$195,4,FALSE)</f>
        <v>CAF</v>
      </c>
      <c r="E34">
        <v>4829767.0000000019</v>
      </c>
    </row>
    <row r="35" spans="1:5" x14ac:dyDescent="0.35">
      <c r="A35" t="s">
        <v>248</v>
      </c>
      <c r="B35">
        <v>148</v>
      </c>
      <c r="C35">
        <v>2020</v>
      </c>
      <c r="D35" t="str">
        <f>VLOOKUP(B35,'Reference table'!$G$2:$J$195,4,FALSE)</f>
        <v>TCD</v>
      </c>
      <c r="E35">
        <v>16425864.000000002</v>
      </c>
    </row>
    <row r="36" spans="1:5" x14ac:dyDescent="0.35">
      <c r="A36" t="s">
        <v>822</v>
      </c>
      <c r="B36">
        <v>830</v>
      </c>
      <c r="C36">
        <v>2020</v>
      </c>
      <c r="D36" t="e">
        <f>VLOOKUP(B36,'Reference table'!$G$2:$J$195,4,FALSE)</f>
        <v>#N/A</v>
      </c>
      <c r="E36">
        <v>173862.99999999997</v>
      </c>
    </row>
    <row r="37" spans="1:5" x14ac:dyDescent="0.35">
      <c r="A37" t="s">
        <v>251</v>
      </c>
      <c r="B37">
        <v>152</v>
      </c>
      <c r="C37">
        <v>2020</v>
      </c>
      <c r="D37" t="str">
        <f>VLOOKUP(B37,'Reference table'!$G$2:$J$195,4,FALSE)</f>
        <v>CHL</v>
      </c>
      <c r="E37">
        <v>19116200.999999996</v>
      </c>
    </row>
    <row r="38" spans="1:5" x14ac:dyDescent="0.35">
      <c r="A38" t="s">
        <v>195</v>
      </c>
      <c r="B38">
        <v>156</v>
      </c>
      <c r="C38">
        <v>2020</v>
      </c>
      <c r="D38" t="str">
        <f>VLOOKUP(B38,'Reference table'!$G$2:$J$195,4,FALSE)</f>
        <v>CHN</v>
      </c>
      <c r="E38">
        <v>1439323775.9999998</v>
      </c>
    </row>
    <row r="39" spans="1:5" x14ac:dyDescent="0.35">
      <c r="A39" t="s">
        <v>823</v>
      </c>
      <c r="B39">
        <v>344</v>
      </c>
      <c r="C39">
        <v>2020</v>
      </c>
      <c r="D39" t="e">
        <f>VLOOKUP(B39,'Reference table'!$G$2:$J$195,4,FALSE)</f>
        <v>#N/A</v>
      </c>
      <c r="E39">
        <v>7496981</v>
      </c>
    </row>
    <row r="40" spans="1:5" x14ac:dyDescent="0.35">
      <c r="A40" t="s">
        <v>824</v>
      </c>
      <c r="B40">
        <v>446</v>
      </c>
      <c r="C40">
        <v>2020</v>
      </c>
      <c r="D40" t="e">
        <f>VLOOKUP(B40,'Reference table'!$G$2:$J$195,4,FALSE)</f>
        <v>#N/A</v>
      </c>
      <c r="E40">
        <v>649334.99999999988</v>
      </c>
    </row>
    <row r="41" spans="1:5" x14ac:dyDescent="0.35">
      <c r="A41" t="s">
        <v>825</v>
      </c>
      <c r="B41">
        <v>158</v>
      </c>
      <c r="C41">
        <v>2020</v>
      </c>
      <c r="D41" t="e">
        <f>VLOOKUP(B41,'Reference table'!$G$2:$J$195,4,FALSE)</f>
        <v>#N/A</v>
      </c>
      <c r="E41">
        <v>23816774.999999993</v>
      </c>
    </row>
    <row r="42" spans="1:5" x14ac:dyDescent="0.35">
      <c r="A42" t="s">
        <v>254</v>
      </c>
      <c r="B42">
        <v>170</v>
      </c>
      <c r="C42">
        <v>2020</v>
      </c>
      <c r="D42" t="str">
        <f>VLOOKUP(B42,'Reference table'!$G$2:$J$195,4,FALSE)</f>
        <v>COL</v>
      </c>
      <c r="E42">
        <v>50882890.999999993</v>
      </c>
    </row>
    <row r="43" spans="1:5" x14ac:dyDescent="0.35">
      <c r="A43" t="s">
        <v>531</v>
      </c>
      <c r="B43">
        <v>174</v>
      </c>
      <c r="C43">
        <v>2020</v>
      </c>
      <c r="D43" t="str">
        <f>VLOOKUP(B43,'Reference table'!$G$2:$J$195,4,FALSE)</f>
        <v>COM</v>
      </c>
      <c r="E43">
        <v>869601.00000000012</v>
      </c>
    </row>
    <row r="44" spans="1:5" x14ac:dyDescent="0.35">
      <c r="A44" t="s">
        <v>442</v>
      </c>
      <c r="B44">
        <v>178</v>
      </c>
      <c r="C44">
        <v>2020</v>
      </c>
      <c r="D44" t="str">
        <f>VLOOKUP(B44,'Reference table'!$G$2:$J$195,4,FALSE)</f>
        <v>COG</v>
      </c>
      <c r="E44">
        <v>5518087</v>
      </c>
    </row>
    <row r="45" spans="1:5" x14ac:dyDescent="0.35">
      <c r="A45" t="s">
        <v>257</v>
      </c>
      <c r="B45">
        <v>188</v>
      </c>
      <c r="C45">
        <v>2020</v>
      </c>
      <c r="D45" t="str">
        <f>VLOOKUP(B45,'Reference table'!$G$2:$J$195,4,FALSE)</f>
        <v>CRI</v>
      </c>
      <c r="E45">
        <v>5094118.0000000009</v>
      </c>
    </row>
    <row r="46" spans="1:5" x14ac:dyDescent="0.35">
      <c r="A46" t="s">
        <v>788</v>
      </c>
      <c r="B46">
        <v>384</v>
      </c>
      <c r="C46">
        <v>2020</v>
      </c>
      <c r="D46" t="str">
        <f>VLOOKUP(B46,'Reference table'!$G$2:$J$195,4,FALSE)</f>
        <v>CIV</v>
      </c>
      <c r="E46">
        <v>26378273.999999993</v>
      </c>
    </row>
    <row r="47" spans="1:5" x14ac:dyDescent="0.35">
      <c r="A47" t="s">
        <v>260</v>
      </c>
      <c r="B47">
        <v>191</v>
      </c>
      <c r="C47">
        <v>2020</v>
      </c>
      <c r="D47" t="str">
        <f>VLOOKUP(B47,'Reference table'!$G$2:$J$195,4,FALSE)</f>
        <v>HRV</v>
      </c>
      <c r="E47">
        <v>4105267</v>
      </c>
    </row>
    <row r="48" spans="1:5" x14ac:dyDescent="0.35">
      <c r="A48" t="s">
        <v>263</v>
      </c>
      <c r="B48">
        <v>192</v>
      </c>
      <c r="C48">
        <v>2020</v>
      </c>
      <c r="D48" t="str">
        <f>VLOOKUP(B48,'Reference table'!$G$2:$J$195,4,FALSE)</f>
        <v>CUB</v>
      </c>
      <c r="E48">
        <v>11326616.000000002</v>
      </c>
    </row>
    <row r="49" spans="1:5" x14ac:dyDescent="0.35">
      <c r="A49" t="s">
        <v>826</v>
      </c>
      <c r="B49">
        <v>531</v>
      </c>
      <c r="C49">
        <v>2020</v>
      </c>
      <c r="D49" t="e">
        <f>VLOOKUP(B49,'Reference table'!$G$2:$J$195,4,FALSE)</f>
        <v>#N/A</v>
      </c>
      <c r="E49">
        <v>164093</v>
      </c>
    </row>
    <row r="50" spans="1:5" x14ac:dyDescent="0.35">
      <c r="A50" t="s">
        <v>266</v>
      </c>
      <c r="B50">
        <v>196</v>
      </c>
      <c r="C50">
        <v>2020</v>
      </c>
      <c r="D50" t="str">
        <f>VLOOKUP(B50,'Reference table'!$G$2:$J$195,4,FALSE)</f>
        <v>CYP</v>
      </c>
      <c r="E50">
        <v>1207359</v>
      </c>
    </row>
    <row r="51" spans="1:5" x14ac:dyDescent="0.35">
      <c r="A51" t="s">
        <v>41</v>
      </c>
      <c r="B51">
        <v>203</v>
      </c>
      <c r="C51">
        <v>2020</v>
      </c>
      <c r="D51" t="str">
        <f>VLOOKUP(B51,'Reference table'!$G$2:$J$195,4,FALSE)</f>
        <v>CZE</v>
      </c>
      <c r="E51">
        <v>10708981.000000002</v>
      </c>
    </row>
    <row r="52" spans="1:5" x14ac:dyDescent="0.35">
      <c r="A52" t="s">
        <v>827</v>
      </c>
      <c r="B52">
        <v>408</v>
      </c>
      <c r="C52">
        <v>2020</v>
      </c>
      <c r="D52" t="str">
        <f>VLOOKUP(B52,'Reference table'!$G$2:$J$195,4,FALSE)</f>
        <v>PRK</v>
      </c>
      <c r="E52">
        <v>25778816</v>
      </c>
    </row>
    <row r="53" spans="1:5" x14ac:dyDescent="0.35">
      <c r="A53" t="s">
        <v>49</v>
      </c>
      <c r="B53">
        <v>180</v>
      </c>
      <c r="C53">
        <v>2020</v>
      </c>
      <c r="D53" t="str">
        <f>VLOOKUP(B53,'Reference table'!$G$2:$J$195,4,FALSE)</f>
        <v>COD</v>
      </c>
      <c r="E53">
        <v>89561402.99999997</v>
      </c>
    </row>
    <row r="54" spans="1:5" x14ac:dyDescent="0.35">
      <c r="A54" t="s">
        <v>143</v>
      </c>
      <c r="B54">
        <v>208</v>
      </c>
      <c r="C54">
        <v>2020</v>
      </c>
      <c r="D54" t="str">
        <f>VLOOKUP(B54,'Reference table'!$G$2:$J$195,4,FALSE)</f>
        <v>DNK</v>
      </c>
      <c r="E54">
        <v>5792201.9999999991</v>
      </c>
    </row>
    <row r="55" spans="1:5" x14ac:dyDescent="0.35">
      <c r="A55" t="s">
        <v>270</v>
      </c>
      <c r="B55">
        <v>262</v>
      </c>
      <c r="C55">
        <v>2020</v>
      </c>
      <c r="D55" t="str">
        <f>VLOOKUP(B55,'Reference table'!$G$2:$J$195,4,FALSE)</f>
        <v>DJI</v>
      </c>
      <c r="E55">
        <v>988000.00000000012</v>
      </c>
    </row>
    <row r="56" spans="1:5" x14ac:dyDescent="0.35">
      <c r="A56" t="s">
        <v>57</v>
      </c>
      <c r="B56">
        <v>214</v>
      </c>
      <c r="C56">
        <v>2020</v>
      </c>
      <c r="D56" t="str">
        <f>VLOOKUP(B56,'Reference table'!$G$2:$J$195,4,FALSE)</f>
        <v>DOM</v>
      </c>
      <c r="E56">
        <v>10847909.999999998</v>
      </c>
    </row>
    <row r="57" spans="1:5" x14ac:dyDescent="0.35">
      <c r="A57" t="s">
        <v>273</v>
      </c>
      <c r="B57">
        <v>218</v>
      </c>
      <c r="C57">
        <v>2020</v>
      </c>
      <c r="D57" t="str">
        <f>VLOOKUP(B57,'Reference table'!$G$2:$J$195,4,FALSE)</f>
        <v>ECU</v>
      </c>
      <c r="E57">
        <v>17643054</v>
      </c>
    </row>
    <row r="58" spans="1:5" x14ac:dyDescent="0.35">
      <c r="A58" t="s">
        <v>6</v>
      </c>
      <c r="B58">
        <v>818</v>
      </c>
      <c r="C58">
        <v>2020</v>
      </c>
      <c r="D58" t="str">
        <f>VLOOKUP(B58,'Reference table'!$G$2:$J$195,4,FALSE)</f>
        <v>EGY</v>
      </c>
      <c r="E58">
        <v>102334403.99999999</v>
      </c>
    </row>
    <row r="59" spans="1:5" x14ac:dyDescent="0.35">
      <c r="A59" t="s">
        <v>276</v>
      </c>
      <c r="B59">
        <v>222</v>
      </c>
      <c r="C59">
        <v>2020</v>
      </c>
      <c r="D59" t="str">
        <f>VLOOKUP(B59,'Reference table'!$G$2:$J$195,4,FALSE)</f>
        <v>SLV</v>
      </c>
      <c r="E59">
        <v>6486204.9999999991</v>
      </c>
    </row>
    <row r="60" spans="1:5" x14ac:dyDescent="0.35">
      <c r="A60" t="s">
        <v>279</v>
      </c>
      <c r="B60">
        <v>226</v>
      </c>
      <c r="C60">
        <v>2020</v>
      </c>
      <c r="D60" t="str">
        <f>VLOOKUP(B60,'Reference table'!$G$2:$J$195,4,FALSE)</f>
        <v>GNQ</v>
      </c>
      <c r="E60">
        <v>1402985.0000000002</v>
      </c>
    </row>
    <row r="61" spans="1:5" x14ac:dyDescent="0.35">
      <c r="A61" t="s">
        <v>499</v>
      </c>
      <c r="B61">
        <v>232</v>
      </c>
      <c r="C61">
        <v>2020</v>
      </c>
      <c r="D61" t="str">
        <f>VLOOKUP(B61,'Reference table'!$G$2:$J$195,4,FALSE)</f>
        <v>ERI</v>
      </c>
      <c r="E61">
        <v>3546421.0000000005</v>
      </c>
    </row>
    <row r="62" spans="1:5" x14ac:dyDescent="0.35">
      <c r="A62" t="s">
        <v>282</v>
      </c>
      <c r="B62">
        <v>233</v>
      </c>
      <c r="C62">
        <v>2020</v>
      </c>
      <c r="D62" t="str">
        <f>VLOOKUP(B62,'Reference table'!$G$2:$J$195,4,FALSE)</f>
        <v>EST</v>
      </c>
      <c r="E62">
        <v>1326534.9999999998</v>
      </c>
    </row>
    <row r="63" spans="1:5" x14ac:dyDescent="0.35">
      <c r="A63" t="s">
        <v>146</v>
      </c>
      <c r="B63">
        <v>748</v>
      </c>
      <c r="C63">
        <v>2020</v>
      </c>
      <c r="D63" t="str">
        <f>VLOOKUP(B63,'Reference table'!$G$2:$J$195,4,FALSE)</f>
        <v>SWZ</v>
      </c>
      <c r="E63">
        <v>1160163.9999999998</v>
      </c>
    </row>
    <row r="64" spans="1:5" x14ac:dyDescent="0.35">
      <c r="A64" t="s">
        <v>64</v>
      </c>
      <c r="B64">
        <v>231</v>
      </c>
      <c r="C64">
        <v>2020</v>
      </c>
      <c r="D64" t="str">
        <f>VLOOKUP(B64,'Reference table'!$G$2:$J$195,4,FALSE)</f>
        <v>ETH</v>
      </c>
      <c r="E64">
        <v>114963587.99999999</v>
      </c>
    </row>
    <row r="65" spans="1:5" x14ac:dyDescent="0.35">
      <c r="A65" t="s">
        <v>285</v>
      </c>
      <c r="B65">
        <v>242</v>
      </c>
      <c r="C65">
        <v>2020</v>
      </c>
      <c r="D65" t="str">
        <f>VLOOKUP(B65,'Reference table'!$G$2:$J$195,4,FALSE)</f>
        <v>FJI</v>
      </c>
      <c r="E65">
        <v>896444.99999999988</v>
      </c>
    </row>
    <row r="66" spans="1:5" x14ac:dyDescent="0.35">
      <c r="A66" t="s">
        <v>288</v>
      </c>
      <c r="B66">
        <v>246</v>
      </c>
      <c r="C66">
        <v>2020</v>
      </c>
      <c r="D66" t="str">
        <f>VLOOKUP(B66,'Reference table'!$G$2:$J$195,4,FALSE)</f>
        <v>FIN</v>
      </c>
      <c r="E66">
        <v>5540719.9999999991</v>
      </c>
    </row>
    <row r="67" spans="1:5" x14ac:dyDescent="0.35">
      <c r="A67" t="s">
        <v>85</v>
      </c>
      <c r="B67">
        <v>250</v>
      </c>
      <c r="C67">
        <v>2020</v>
      </c>
      <c r="D67" t="str">
        <f>VLOOKUP(B67,'Reference table'!$G$2:$J$195,4,FALSE)</f>
        <v>FRA</v>
      </c>
      <c r="E67">
        <v>65273511</v>
      </c>
    </row>
    <row r="68" spans="1:5" x14ac:dyDescent="0.35">
      <c r="A68" t="s">
        <v>828</v>
      </c>
      <c r="B68">
        <v>254</v>
      </c>
      <c r="C68">
        <v>2020</v>
      </c>
      <c r="D68" t="e">
        <f>VLOOKUP(B68,'Reference table'!$G$2:$J$195,4,FALSE)</f>
        <v>#N/A</v>
      </c>
      <c r="E68">
        <v>298682.00000000006</v>
      </c>
    </row>
    <row r="69" spans="1:5" x14ac:dyDescent="0.35">
      <c r="A69" t="s">
        <v>829</v>
      </c>
      <c r="B69">
        <v>258</v>
      </c>
      <c r="C69">
        <v>2020</v>
      </c>
      <c r="D69" t="e">
        <f>VLOOKUP(B69,'Reference table'!$G$2:$J$195,4,FALSE)</f>
        <v>#N/A</v>
      </c>
      <c r="E69">
        <v>280908</v>
      </c>
    </row>
    <row r="70" spans="1:5" x14ac:dyDescent="0.35">
      <c r="A70" t="s">
        <v>88</v>
      </c>
      <c r="B70">
        <v>266</v>
      </c>
      <c r="C70">
        <v>2020</v>
      </c>
      <c r="D70" t="str">
        <f>VLOOKUP(B70,'Reference table'!$G$2:$J$195,4,FALSE)</f>
        <v>GAB</v>
      </c>
      <c r="E70">
        <v>2225734</v>
      </c>
    </row>
    <row r="71" spans="1:5" x14ac:dyDescent="0.35">
      <c r="A71" t="s">
        <v>291</v>
      </c>
      <c r="B71">
        <v>270</v>
      </c>
      <c r="C71">
        <v>2020</v>
      </c>
      <c r="D71" t="str">
        <f>VLOOKUP(B71,'Reference table'!$G$2:$J$195,4,FALSE)</f>
        <v>GMB</v>
      </c>
      <c r="E71">
        <v>2416668.0000000005</v>
      </c>
    </row>
    <row r="72" spans="1:5" x14ac:dyDescent="0.35">
      <c r="A72" t="s">
        <v>90</v>
      </c>
      <c r="B72">
        <v>268</v>
      </c>
      <c r="C72">
        <v>2020</v>
      </c>
      <c r="D72" t="str">
        <f>VLOOKUP(B72,'Reference table'!$G$2:$J$195,4,FALSE)</f>
        <v>GEO</v>
      </c>
      <c r="E72">
        <v>3989166.9999999995</v>
      </c>
    </row>
    <row r="73" spans="1:5" x14ac:dyDescent="0.35">
      <c r="A73" t="s">
        <v>70</v>
      </c>
      <c r="B73">
        <v>276</v>
      </c>
      <c r="C73">
        <v>2020</v>
      </c>
      <c r="D73" t="str">
        <f>VLOOKUP(B73,'Reference table'!$G$2:$J$195,4,FALSE)</f>
        <v>DEU</v>
      </c>
      <c r="E73">
        <v>83783942.000000015</v>
      </c>
    </row>
    <row r="74" spans="1:5" x14ac:dyDescent="0.35">
      <c r="A74" t="s">
        <v>294</v>
      </c>
      <c r="B74">
        <v>288</v>
      </c>
      <c r="C74">
        <v>2020</v>
      </c>
      <c r="D74" t="str">
        <f>VLOOKUP(B74,'Reference table'!$G$2:$J$195,4,FALSE)</f>
        <v>GHA</v>
      </c>
      <c r="E74">
        <v>31072940</v>
      </c>
    </row>
    <row r="75" spans="1:5" x14ac:dyDescent="0.35">
      <c r="A75" t="s">
        <v>101</v>
      </c>
      <c r="B75">
        <v>300</v>
      </c>
      <c r="C75">
        <v>2020</v>
      </c>
      <c r="D75" t="str">
        <f>VLOOKUP(B75,'Reference table'!$G$2:$J$195,4,FALSE)</f>
        <v>GRC</v>
      </c>
      <c r="E75">
        <v>10423053.999999998</v>
      </c>
    </row>
    <row r="76" spans="1:5" x14ac:dyDescent="0.35">
      <c r="A76" t="s">
        <v>95</v>
      </c>
      <c r="B76">
        <v>308</v>
      </c>
      <c r="C76">
        <v>2020</v>
      </c>
      <c r="D76" t="str">
        <f>VLOOKUP(B76,'Reference table'!$G$2:$J$195,4,FALSE)</f>
        <v>GRD</v>
      </c>
      <c r="E76">
        <v>112522.99999999999</v>
      </c>
    </row>
    <row r="77" spans="1:5" x14ac:dyDescent="0.35">
      <c r="A77" t="s">
        <v>830</v>
      </c>
      <c r="B77">
        <v>312</v>
      </c>
      <c r="C77">
        <v>2020</v>
      </c>
      <c r="D77" t="e">
        <f>VLOOKUP(B77,'Reference table'!$G$2:$J$195,4,FALSE)</f>
        <v>#N/A</v>
      </c>
      <c r="E77">
        <v>400123.99999999988</v>
      </c>
    </row>
    <row r="78" spans="1:5" x14ac:dyDescent="0.35">
      <c r="A78" t="s">
        <v>831</v>
      </c>
      <c r="B78">
        <v>316</v>
      </c>
      <c r="C78">
        <v>2020</v>
      </c>
      <c r="D78" t="e">
        <f>VLOOKUP(B78,'Reference table'!$G$2:$J$195,4,FALSE)</f>
        <v>#N/A</v>
      </c>
      <c r="E78">
        <v>168774.99999999994</v>
      </c>
    </row>
    <row r="79" spans="1:5" x14ac:dyDescent="0.35">
      <c r="A79" t="s">
        <v>297</v>
      </c>
      <c r="B79">
        <v>320</v>
      </c>
      <c r="C79">
        <v>2020</v>
      </c>
      <c r="D79" t="str">
        <f>VLOOKUP(B79,'Reference table'!$G$2:$J$195,4,FALSE)</f>
        <v>GTM</v>
      </c>
      <c r="E79">
        <v>17915568</v>
      </c>
    </row>
    <row r="80" spans="1:5" x14ac:dyDescent="0.35">
      <c r="A80" t="s">
        <v>300</v>
      </c>
      <c r="B80">
        <v>324</v>
      </c>
      <c r="C80">
        <v>2020</v>
      </c>
      <c r="D80" t="str">
        <f>VLOOKUP(B80,'Reference table'!$G$2:$J$195,4,FALSE)</f>
        <v>GIN</v>
      </c>
      <c r="E80">
        <v>13132795.000000002</v>
      </c>
    </row>
    <row r="81" spans="1:5" x14ac:dyDescent="0.35">
      <c r="A81" t="s">
        <v>303</v>
      </c>
      <c r="B81">
        <v>624</v>
      </c>
      <c r="C81">
        <v>2020</v>
      </c>
      <c r="D81" t="str">
        <f>VLOOKUP(B81,'Reference table'!$G$2:$J$195,4,FALSE)</f>
        <v>GNB</v>
      </c>
      <c r="E81">
        <v>1968001</v>
      </c>
    </row>
    <row r="82" spans="1:5" x14ac:dyDescent="0.35">
      <c r="A82" t="s">
        <v>306</v>
      </c>
      <c r="B82">
        <v>328</v>
      </c>
      <c r="C82">
        <v>2020</v>
      </c>
      <c r="D82" t="str">
        <f>VLOOKUP(B82,'Reference table'!$G$2:$J$195,4,FALSE)</f>
        <v>GUY</v>
      </c>
      <c r="E82">
        <v>786552.00000000012</v>
      </c>
    </row>
    <row r="83" spans="1:5" x14ac:dyDescent="0.35">
      <c r="A83" t="s">
        <v>309</v>
      </c>
      <c r="B83">
        <v>332</v>
      </c>
      <c r="C83">
        <v>2020</v>
      </c>
      <c r="D83" t="str">
        <f>VLOOKUP(B83,'Reference table'!$G$2:$J$195,4,FALSE)</f>
        <v>HTI</v>
      </c>
      <c r="E83">
        <v>11402528.000000002</v>
      </c>
    </row>
    <row r="84" spans="1:5" x14ac:dyDescent="0.35">
      <c r="A84" t="s">
        <v>312</v>
      </c>
      <c r="B84">
        <v>340</v>
      </c>
      <c r="C84">
        <v>2020</v>
      </c>
      <c r="D84" t="str">
        <f>VLOOKUP(B84,'Reference table'!$G$2:$J$195,4,FALSE)</f>
        <v>HND</v>
      </c>
      <c r="E84">
        <v>9904606.9999999981</v>
      </c>
    </row>
    <row r="85" spans="1:5" x14ac:dyDescent="0.35">
      <c r="A85" t="s">
        <v>103</v>
      </c>
      <c r="B85">
        <v>348</v>
      </c>
      <c r="C85">
        <v>2020</v>
      </c>
      <c r="D85" t="str">
        <f>VLOOKUP(B85,'Reference table'!$G$2:$J$195,4,FALSE)</f>
        <v>HUN</v>
      </c>
      <c r="E85">
        <v>9660351.0000000037</v>
      </c>
    </row>
    <row r="86" spans="1:5" x14ac:dyDescent="0.35">
      <c r="A86" t="s">
        <v>315</v>
      </c>
      <c r="B86">
        <v>352</v>
      </c>
      <c r="C86">
        <v>2020</v>
      </c>
      <c r="D86" t="str">
        <f>VLOOKUP(B86,'Reference table'!$G$2:$J$195,4,FALSE)</f>
        <v>ISL</v>
      </c>
      <c r="E86">
        <v>341243.00000000006</v>
      </c>
    </row>
    <row r="87" spans="1:5" x14ac:dyDescent="0.35">
      <c r="A87" t="s">
        <v>318</v>
      </c>
      <c r="B87">
        <v>356</v>
      </c>
      <c r="C87">
        <v>2020</v>
      </c>
      <c r="D87" t="str">
        <f>VLOOKUP(B87,'Reference table'!$G$2:$J$195,4,FALSE)</f>
        <v>IND</v>
      </c>
      <c r="E87">
        <v>1380004385</v>
      </c>
    </row>
    <row r="88" spans="1:5" x14ac:dyDescent="0.35">
      <c r="A88" t="s">
        <v>321</v>
      </c>
      <c r="B88">
        <v>360</v>
      </c>
      <c r="C88">
        <v>2020</v>
      </c>
      <c r="D88" t="str">
        <f>VLOOKUP(B88,'Reference table'!$G$2:$J$195,4,FALSE)</f>
        <v>IDN</v>
      </c>
      <c r="E88">
        <v>273523615.00000006</v>
      </c>
    </row>
    <row r="89" spans="1:5" x14ac:dyDescent="0.35">
      <c r="A89" t="s">
        <v>116</v>
      </c>
      <c r="B89">
        <v>364</v>
      </c>
      <c r="C89">
        <v>2020</v>
      </c>
      <c r="D89" t="str">
        <f>VLOOKUP(B89,'Reference table'!$G$2:$J$195,4,FALSE)</f>
        <v>IRN</v>
      </c>
      <c r="E89">
        <v>83992949.000000015</v>
      </c>
    </row>
    <row r="90" spans="1:5" x14ac:dyDescent="0.35">
      <c r="A90" t="s">
        <v>324</v>
      </c>
      <c r="B90">
        <v>368</v>
      </c>
      <c r="C90">
        <v>2020</v>
      </c>
      <c r="D90" t="str">
        <f>VLOOKUP(B90,'Reference table'!$G$2:$J$195,4,FALSE)</f>
        <v>IRQ</v>
      </c>
      <c r="E90">
        <v>40222493.000000015</v>
      </c>
    </row>
    <row r="91" spans="1:5" x14ac:dyDescent="0.35">
      <c r="A91" t="s">
        <v>111</v>
      </c>
      <c r="B91">
        <v>372</v>
      </c>
      <c r="C91">
        <v>2020</v>
      </c>
      <c r="D91" t="str">
        <f>VLOOKUP(B91,'Reference table'!$G$2:$J$195,4,FALSE)</f>
        <v>IRL</v>
      </c>
      <c r="E91">
        <v>4937786.0000000009</v>
      </c>
    </row>
    <row r="92" spans="1:5" x14ac:dyDescent="0.35">
      <c r="A92" t="s">
        <v>502</v>
      </c>
      <c r="B92">
        <v>376</v>
      </c>
      <c r="C92">
        <v>2020</v>
      </c>
      <c r="D92" t="str">
        <f>VLOOKUP(B92,'Reference table'!$G$2:$J$195,4,FALSE)</f>
        <v>ISR</v>
      </c>
      <c r="E92">
        <v>8655535</v>
      </c>
    </row>
    <row r="93" spans="1:5" x14ac:dyDescent="0.35">
      <c r="A93" t="s">
        <v>327</v>
      </c>
      <c r="B93">
        <v>380</v>
      </c>
      <c r="C93">
        <v>2020</v>
      </c>
      <c r="D93" t="str">
        <f>VLOOKUP(B93,'Reference table'!$G$2:$J$195,4,FALSE)</f>
        <v>ITA</v>
      </c>
      <c r="E93">
        <v>60461826.000000007</v>
      </c>
    </row>
    <row r="94" spans="1:5" x14ac:dyDescent="0.35">
      <c r="A94" t="s">
        <v>124</v>
      </c>
      <c r="B94">
        <v>388</v>
      </c>
      <c r="C94">
        <v>2020</v>
      </c>
      <c r="D94" t="str">
        <f>VLOOKUP(B94,'Reference table'!$G$2:$J$195,4,FALSE)</f>
        <v>JAM</v>
      </c>
      <c r="E94">
        <v>2961166.9999999995</v>
      </c>
    </row>
    <row r="95" spans="1:5" x14ac:dyDescent="0.35">
      <c r="A95" t="s">
        <v>126</v>
      </c>
      <c r="B95">
        <v>392</v>
      </c>
      <c r="C95">
        <v>2020</v>
      </c>
      <c r="D95" t="str">
        <f>VLOOKUP(B95,'Reference table'!$G$2:$J$195,4,FALSE)</f>
        <v>JPN</v>
      </c>
      <c r="E95">
        <v>126476461.00000001</v>
      </c>
    </row>
    <row r="96" spans="1:5" x14ac:dyDescent="0.35">
      <c r="A96" t="s">
        <v>98</v>
      </c>
      <c r="B96">
        <v>400</v>
      </c>
      <c r="C96">
        <v>2020</v>
      </c>
      <c r="D96" t="str">
        <f>VLOOKUP(B96,'Reference table'!$G$2:$J$195,4,FALSE)</f>
        <v>JOR</v>
      </c>
      <c r="E96">
        <v>10203134</v>
      </c>
    </row>
    <row r="97" spans="1:5" x14ac:dyDescent="0.35">
      <c r="A97" t="s">
        <v>330</v>
      </c>
      <c r="B97">
        <v>398</v>
      </c>
      <c r="C97">
        <v>2020</v>
      </c>
      <c r="D97" t="str">
        <f>VLOOKUP(B97,'Reference table'!$G$2:$J$195,4,FALSE)</f>
        <v>KAZ</v>
      </c>
      <c r="E97">
        <v>18776707</v>
      </c>
    </row>
    <row r="98" spans="1:5" x14ac:dyDescent="0.35">
      <c r="A98" t="s">
        <v>333</v>
      </c>
      <c r="B98">
        <v>404</v>
      </c>
      <c r="C98">
        <v>2020</v>
      </c>
      <c r="D98" t="str">
        <f>VLOOKUP(B98,'Reference table'!$G$2:$J$195,4,FALSE)</f>
        <v>KEN</v>
      </c>
      <c r="E98">
        <v>53771295.999999993</v>
      </c>
    </row>
    <row r="99" spans="1:5" x14ac:dyDescent="0.35">
      <c r="A99" t="s">
        <v>336</v>
      </c>
      <c r="B99">
        <v>296</v>
      </c>
      <c r="C99">
        <v>2020</v>
      </c>
      <c r="D99" t="str">
        <f>VLOOKUP(B99,'Reference table'!$G$2:$J$195,4,FALSE)</f>
        <v>KIR</v>
      </c>
      <c r="E99">
        <v>119449</v>
      </c>
    </row>
    <row r="100" spans="1:5" x14ac:dyDescent="0.35">
      <c r="A100" t="s">
        <v>505</v>
      </c>
      <c r="B100">
        <v>414</v>
      </c>
      <c r="C100">
        <v>2020</v>
      </c>
      <c r="D100" t="str">
        <f>VLOOKUP(B100,'Reference table'!$G$2:$J$195,4,FALSE)</f>
        <v>KWT</v>
      </c>
      <c r="E100">
        <v>4270571</v>
      </c>
    </row>
    <row r="101" spans="1:5" x14ac:dyDescent="0.35">
      <c r="A101" t="s">
        <v>173</v>
      </c>
      <c r="B101">
        <v>417</v>
      </c>
      <c r="C101">
        <v>2020</v>
      </c>
      <c r="D101" t="str">
        <f>VLOOKUP(B101,'Reference table'!$G$2:$J$195,4,FALSE)</f>
        <v>KGZ</v>
      </c>
      <c r="E101">
        <v>6524195</v>
      </c>
    </row>
    <row r="102" spans="1:5" x14ac:dyDescent="0.35">
      <c r="A102" t="s">
        <v>175</v>
      </c>
      <c r="B102">
        <v>418</v>
      </c>
      <c r="C102">
        <v>2020</v>
      </c>
      <c r="D102" t="str">
        <f>VLOOKUP(B102,'Reference table'!$G$2:$J$195,4,FALSE)</f>
        <v>LAO</v>
      </c>
      <c r="E102">
        <v>7275559.9999999991</v>
      </c>
    </row>
    <row r="103" spans="1:5" x14ac:dyDescent="0.35">
      <c r="A103" t="s">
        <v>341</v>
      </c>
      <c r="B103">
        <v>428</v>
      </c>
      <c r="C103">
        <v>2020</v>
      </c>
      <c r="D103" t="str">
        <f>VLOOKUP(B103,'Reference table'!$G$2:$J$195,4,FALSE)</f>
        <v>LVA</v>
      </c>
      <c r="E103">
        <v>1886198</v>
      </c>
    </row>
    <row r="104" spans="1:5" x14ac:dyDescent="0.35">
      <c r="A104" t="s">
        <v>178</v>
      </c>
      <c r="B104">
        <v>422</v>
      </c>
      <c r="C104">
        <v>2020</v>
      </c>
      <c r="D104" t="str">
        <f>VLOOKUP(B104,'Reference table'!$G$2:$J$195,4,FALSE)</f>
        <v>LBN</v>
      </c>
      <c r="E104">
        <v>6825444.9999999991</v>
      </c>
    </row>
    <row r="105" spans="1:5" x14ac:dyDescent="0.35">
      <c r="A105" t="s">
        <v>149</v>
      </c>
      <c r="B105">
        <v>426</v>
      </c>
      <c r="C105">
        <v>2020</v>
      </c>
      <c r="D105" t="str">
        <f>VLOOKUP(B105,'Reference table'!$G$2:$J$195,4,FALSE)</f>
        <v>LSO</v>
      </c>
      <c r="E105">
        <v>2142248.9999999995</v>
      </c>
    </row>
    <row r="106" spans="1:5" x14ac:dyDescent="0.35">
      <c r="A106" t="s">
        <v>344</v>
      </c>
      <c r="B106">
        <v>430</v>
      </c>
      <c r="C106">
        <v>2020</v>
      </c>
      <c r="D106" t="str">
        <f>VLOOKUP(B106,'Reference table'!$G$2:$J$195,4,FALSE)</f>
        <v>LBR</v>
      </c>
      <c r="E106">
        <v>5057681</v>
      </c>
    </row>
    <row r="107" spans="1:5" x14ac:dyDescent="0.35">
      <c r="A107" t="s">
        <v>508</v>
      </c>
      <c r="B107">
        <v>434</v>
      </c>
      <c r="C107">
        <v>2020</v>
      </c>
      <c r="D107" t="str">
        <f>VLOOKUP(B107,'Reference table'!$G$2:$J$195,4,FALSE)</f>
        <v>LBY</v>
      </c>
      <c r="E107">
        <v>6871292.0000000009</v>
      </c>
    </row>
    <row r="108" spans="1:5" x14ac:dyDescent="0.35">
      <c r="A108" t="s">
        <v>347</v>
      </c>
      <c r="B108">
        <v>440</v>
      </c>
      <c r="C108">
        <v>2020</v>
      </c>
      <c r="D108" t="str">
        <f>VLOOKUP(B108,'Reference table'!$G$2:$J$195,4,FALSE)</f>
        <v>LTU</v>
      </c>
      <c r="E108">
        <v>2722289</v>
      </c>
    </row>
    <row r="109" spans="1:5" x14ac:dyDescent="0.35">
      <c r="A109" t="s">
        <v>93</v>
      </c>
      <c r="B109">
        <v>442</v>
      </c>
      <c r="C109">
        <v>2020</v>
      </c>
      <c r="D109" t="str">
        <f>VLOOKUP(B109,'Reference table'!$G$2:$J$195,4,FALSE)</f>
        <v>LUX</v>
      </c>
      <c r="E109">
        <v>625977.99999999988</v>
      </c>
    </row>
    <row r="110" spans="1:5" x14ac:dyDescent="0.35">
      <c r="A110" t="s">
        <v>350</v>
      </c>
      <c r="B110">
        <v>450</v>
      </c>
      <c r="C110">
        <v>2020</v>
      </c>
      <c r="D110" t="str">
        <f>VLOOKUP(B110,'Reference table'!$G$2:$J$195,4,FALSE)</f>
        <v>MDG</v>
      </c>
      <c r="E110">
        <v>27691017.999999996</v>
      </c>
    </row>
    <row r="111" spans="1:5" x14ac:dyDescent="0.35">
      <c r="A111" t="s">
        <v>353</v>
      </c>
      <c r="B111">
        <v>454</v>
      </c>
      <c r="C111">
        <v>2020</v>
      </c>
      <c r="D111" t="str">
        <f>VLOOKUP(B111,'Reference table'!$G$2:$J$195,4,FALSE)</f>
        <v>MWI</v>
      </c>
      <c r="E111">
        <v>19129951.999999996</v>
      </c>
    </row>
    <row r="112" spans="1:5" x14ac:dyDescent="0.35">
      <c r="A112" t="s">
        <v>180</v>
      </c>
      <c r="B112">
        <v>458</v>
      </c>
      <c r="C112">
        <v>2020</v>
      </c>
      <c r="D112" t="str">
        <f>VLOOKUP(B112,'Reference table'!$G$2:$J$195,4,FALSE)</f>
        <v>MYS</v>
      </c>
      <c r="E112">
        <v>32365998.999999993</v>
      </c>
    </row>
    <row r="113" spans="1:5" x14ac:dyDescent="0.35">
      <c r="A113" t="s">
        <v>356</v>
      </c>
      <c r="B113">
        <v>462</v>
      </c>
      <c r="C113">
        <v>2020</v>
      </c>
      <c r="D113" t="str">
        <f>VLOOKUP(B113,'Reference table'!$G$2:$J$195,4,FALSE)</f>
        <v>MDV</v>
      </c>
      <c r="E113">
        <v>540544</v>
      </c>
    </row>
    <row r="114" spans="1:5" x14ac:dyDescent="0.35">
      <c r="A114" t="s">
        <v>359</v>
      </c>
      <c r="B114">
        <v>466</v>
      </c>
      <c r="C114">
        <v>2020</v>
      </c>
      <c r="D114" t="str">
        <f>VLOOKUP(B114,'Reference table'!$G$2:$J$195,4,FALSE)</f>
        <v>MLI</v>
      </c>
      <c r="E114">
        <v>20250833</v>
      </c>
    </row>
    <row r="115" spans="1:5" x14ac:dyDescent="0.35">
      <c r="A115" t="s">
        <v>362</v>
      </c>
      <c r="B115">
        <v>470</v>
      </c>
      <c r="C115">
        <v>2020</v>
      </c>
      <c r="D115" t="str">
        <f>VLOOKUP(B115,'Reference table'!$G$2:$J$195,4,FALSE)</f>
        <v>MLT</v>
      </c>
      <c r="E115">
        <v>441543.00000000006</v>
      </c>
    </row>
    <row r="116" spans="1:5" x14ac:dyDescent="0.35">
      <c r="A116" t="s">
        <v>832</v>
      </c>
      <c r="B116">
        <v>474</v>
      </c>
      <c r="C116">
        <v>2020</v>
      </c>
      <c r="D116" t="e">
        <f>VLOOKUP(B116,'Reference table'!$G$2:$J$195,4,FALSE)</f>
        <v>#N/A</v>
      </c>
      <c r="E116">
        <v>375265</v>
      </c>
    </row>
    <row r="117" spans="1:5" x14ac:dyDescent="0.35">
      <c r="A117" t="s">
        <v>119</v>
      </c>
      <c r="B117">
        <v>478</v>
      </c>
      <c r="C117">
        <v>2020</v>
      </c>
      <c r="D117" t="str">
        <f>VLOOKUP(B117,'Reference table'!$G$2:$J$195,4,FALSE)</f>
        <v>MRT</v>
      </c>
      <c r="E117">
        <v>4649657.9999999991</v>
      </c>
    </row>
    <row r="118" spans="1:5" x14ac:dyDescent="0.35">
      <c r="A118" t="s">
        <v>365</v>
      </c>
      <c r="B118">
        <v>480</v>
      </c>
      <c r="C118">
        <v>2020</v>
      </c>
      <c r="D118" t="str">
        <f>VLOOKUP(B118,'Reference table'!$G$2:$J$195,4,FALSE)</f>
        <v>MUS</v>
      </c>
      <c r="E118">
        <v>1271767.9999999998</v>
      </c>
    </row>
    <row r="119" spans="1:5" x14ac:dyDescent="0.35">
      <c r="A119" t="s">
        <v>833</v>
      </c>
      <c r="B119">
        <v>175</v>
      </c>
      <c r="C119">
        <v>2020</v>
      </c>
      <c r="D119" t="e">
        <f>VLOOKUP(B119,'Reference table'!$G$2:$J$195,4,FALSE)</f>
        <v>#N/A</v>
      </c>
      <c r="E119">
        <v>272815.00000000006</v>
      </c>
    </row>
    <row r="120" spans="1:5" x14ac:dyDescent="0.35">
      <c r="A120" t="s">
        <v>538</v>
      </c>
      <c r="B120">
        <v>484</v>
      </c>
      <c r="C120">
        <v>2020</v>
      </c>
      <c r="D120" t="str">
        <f>VLOOKUP(B120,'Reference table'!$G$2:$J$195,4,FALSE)</f>
        <v>MEX</v>
      </c>
      <c r="E120">
        <v>128932752.99999999</v>
      </c>
    </row>
    <row r="121" spans="1:5" x14ac:dyDescent="0.35">
      <c r="A121" t="s">
        <v>834</v>
      </c>
      <c r="B121">
        <v>583</v>
      </c>
      <c r="C121">
        <v>2020</v>
      </c>
      <c r="D121" t="str">
        <f>VLOOKUP(B121,'Reference table'!$G$2:$J$195,4,FALSE)</f>
        <v>FSM</v>
      </c>
      <c r="E121">
        <v>115023</v>
      </c>
    </row>
    <row r="122" spans="1:5" x14ac:dyDescent="0.35">
      <c r="A122" t="s">
        <v>182</v>
      </c>
      <c r="B122">
        <v>496</v>
      </c>
      <c r="C122">
        <v>2020</v>
      </c>
      <c r="D122" t="str">
        <f>VLOOKUP(B122,'Reference table'!$G$2:$J$195,4,FALSE)</f>
        <v>MNG</v>
      </c>
      <c r="E122">
        <v>3278290.0000000005</v>
      </c>
    </row>
    <row r="123" spans="1:5" x14ac:dyDescent="0.35">
      <c r="A123" t="s">
        <v>184</v>
      </c>
      <c r="B123">
        <v>499</v>
      </c>
      <c r="C123">
        <v>2020</v>
      </c>
      <c r="D123" t="str">
        <f>VLOOKUP(B123,'Reference table'!$G$2:$J$195,4,FALSE)</f>
        <v>MNE</v>
      </c>
      <c r="E123">
        <v>628065.99999999988</v>
      </c>
    </row>
    <row r="124" spans="1:5" x14ac:dyDescent="0.35">
      <c r="A124" t="s">
        <v>152</v>
      </c>
      <c r="B124">
        <v>504</v>
      </c>
      <c r="C124">
        <v>2020</v>
      </c>
      <c r="D124" t="str">
        <f>VLOOKUP(B124,'Reference table'!$G$2:$J$195,4,FALSE)</f>
        <v>MAR</v>
      </c>
      <c r="E124">
        <v>36910560.000000007</v>
      </c>
    </row>
    <row r="125" spans="1:5" x14ac:dyDescent="0.35">
      <c r="A125" t="s">
        <v>370</v>
      </c>
      <c r="B125">
        <v>508</v>
      </c>
      <c r="C125">
        <v>2020</v>
      </c>
      <c r="D125" t="str">
        <f>VLOOKUP(B125,'Reference table'!$G$2:$J$195,4,FALSE)</f>
        <v>MOZ</v>
      </c>
      <c r="E125">
        <v>31255435</v>
      </c>
    </row>
    <row r="126" spans="1:5" x14ac:dyDescent="0.35">
      <c r="A126" t="s">
        <v>451</v>
      </c>
      <c r="B126">
        <v>104</v>
      </c>
      <c r="C126">
        <v>2020</v>
      </c>
      <c r="D126" t="str">
        <f>VLOOKUP(B126,'Reference table'!$G$2:$J$195,4,FALSE)</f>
        <v>MMR</v>
      </c>
      <c r="E126">
        <v>54409799.999999985</v>
      </c>
    </row>
    <row r="127" spans="1:5" x14ac:dyDescent="0.35">
      <c r="A127" t="s">
        <v>373</v>
      </c>
      <c r="B127">
        <v>516</v>
      </c>
      <c r="C127">
        <v>2020</v>
      </c>
      <c r="D127" t="str">
        <f>VLOOKUP(B127,'Reference table'!$G$2:$J$195,4,FALSE)</f>
        <v>NAM</v>
      </c>
      <c r="E127">
        <v>2540905</v>
      </c>
    </row>
    <row r="128" spans="1:5" x14ac:dyDescent="0.35">
      <c r="A128" t="s">
        <v>67</v>
      </c>
      <c r="B128">
        <v>524</v>
      </c>
      <c r="C128">
        <v>2020</v>
      </c>
      <c r="D128" t="str">
        <f>VLOOKUP(B128,'Reference table'!$G$2:$J$195,4,FALSE)</f>
        <v>NPL</v>
      </c>
      <c r="E128">
        <v>29136808</v>
      </c>
    </row>
    <row r="129" spans="1:5" x14ac:dyDescent="0.35">
      <c r="A129" t="s">
        <v>128</v>
      </c>
      <c r="B129">
        <v>528</v>
      </c>
      <c r="C129">
        <v>2020</v>
      </c>
      <c r="D129" t="str">
        <f>VLOOKUP(B129,'Reference table'!$G$2:$J$195,4,FALSE)</f>
        <v>NLD</v>
      </c>
      <c r="E129">
        <v>17134872.000000004</v>
      </c>
    </row>
    <row r="130" spans="1:5" x14ac:dyDescent="0.35">
      <c r="A130" t="s">
        <v>835</v>
      </c>
      <c r="B130">
        <v>540</v>
      </c>
      <c r="C130">
        <v>2020</v>
      </c>
      <c r="D130" t="e">
        <f>VLOOKUP(B130,'Reference table'!$G$2:$J$195,4,FALSE)</f>
        <v>#N/A</v>
      </c>
      <c r="E130">
        <v>285498.00000000006</v>
      </c>
    </row>
    <row r="131" spans="1:5" x14ac:dyDescent="0.35">
      <c r="A131" t="s">
        <v>186</v>
      </c>
      <c r="B131">
        <v>554</v>
      </c>
      <c r="C131">
        <v>2020</v>
      </c>
      <c r="D131" t="str">
        <f>VLOOKUP(B131,'Reference table'!$G$2:$J$195,4,FALSE)</f>
        <v>NZL</v>
      </c>
      <c r="E131">
        <v>4822233</v>
      </c>
    </row>
    <row r="132" spans="1:5" x14ac:dyDescent="0.35">
      <c r="A132" t="s">
        <v>379</v>
      </c>
      <c r="B132">
        <v>558</v>
      </c>
      <c r="C132">
        <v>2020</v>
      </c>
      <c r="D132" t="str">
        <f>VLOOKUP(B132,'Reference table'!$G$2:$J$195,4,FALSE)</f>
        <v>NIC</v>
      </c>
      <c r="E132">
        <v>6624553.9999999981</v>
      </c>
    </row>
    <row r="133" spans="1:5" x14ac:dyDescent="0.35">
      <c r="A133" t="s">
        <v>445</v>
      </c>
      <c r="B133">
        <v>562</v>
      </c>
      <c r="C133">
        <v>2020</v>
      </c>
      <c r="D133" t="str">
        <f>VLOOKUP(B133,'Reference table'!$G$2:$J$195,4,FALSE)</f>
        <v>NER</v>
      </c>
      <c r="E133">
        <v>24206643.999999996</v>
      </c>
    </row>
    <row r="134" spans="1:5" x14ac:dyDescent="0.35">
      <c r="A134" t="s">
        <v>73</v>
      </c>
      <c r="B134">
        <v>566</v>
      </c>
      <c r="C134">
        <v>2020</v>
      </c>
      <c r="D134" t="str">
        <f>VLOOKUP(B134,'Reference table'!$G$2:$J$195,4,FALSE)</f>
        <v>NGA</v>
      </c>
      <c r="E134">
        <v>206139588.99999997</v>
      </c>
    </row>
    <row r="135" spans="1:5" x14ac:dyDescent="0.35">
      <c r="A135" t="s">
        <v>385</v>
      </c>
      <c r="B135">
        <v>807</v>
      </c>
      <c r="C135">
        <v>2020</v>
      </c>
      <c r="D135" t="str">
        <f>VLOOKUP(B135,'Reference table'!$G$2:$J$195,4,FALSE)</f>
        <v>MKD</v>
      </c>
      <c r="E135">
        <v>2083373.9999999998</v>
      </c>
    </row>
    <row r="136" spans="1:5" x14ac:dyDescent="0.35">
      <c r="A136" t="s">
        <v>155</v>
      </c>
      <c r="B136">
        <v>578</v>
      </c>
      <c r="C136">
        <v>2020</v>
      </c>
      <c r="D136" t="str">
        <f>VLOOKUP(B136,'Reference table'!$G$2:$J$195,4,FALSE)</f>
        <v>NOR</v>
      </c>
      <c r="E136">
        <v>5421241.0000000009</v>
      </c>
    </row>
    <row r="137" spans="1:5" x14ac:dyDescent="0.35">
      <c r="A137" t="s">
        <v>514</v>
      </c>
      <c r="B137">
        <v>512</v>
      </c>
      <c r="C137">
        <v>2020</v>
      </c>
      <c r="D137" t="str">
        <f>VLOOKUP(B137,'Reference table'!$G$2:$J$195,4,FALSE)</f>
        <v>OMN</v>
      </c>
      <c r="E137">
        <v>5106626.0000000009</v>
      </c>
    </row>
    <row r="138" spans="1:5" x14ac:dyDescent="0.35">
      <c r="A138" t="s">
        <v>122</v>
      </c>
      <c r="B138">
        <v>586</v>
      </c>
      <c r="C138">
        <v>2020</v>
      </c>
      <c r="D138" t="str">
        <f>VLOOKUP(B138,'Reference table'!$G$2:$J$195,4,FALSE)</f>
        <v>PAK</v>
      </c>
      <c r="E138">
        <v>220892340</v>
      </c>
    </row>
    <row r="139" spans="1:5" x14ac:dyDescent="0.35">
      <c r="A139" t="s">
        <v>391</v>
      </c>
      <c r="B139">
        <v>591</v>
      </c>
      <c r="C139">
        <v>2020</v>
      </c>
      <c r="D139" t="str">
        <f>VLOOKUP(B139,'Reference table'!$G$2:$J$195,4,FALSE)</f>
        <v>PAN</v>
      </c>
      <c r="E139">
        <v>4314767.0000000009</v>
      </c>
    </row>
    <row r="140" spans="1:5" x14ac:dyDescent="0.35">
      <c r="A140" t="s">
        <v>106</v>
      </c>
      <c r="B140">
        <v>598</v>
      </c>
      <c r="C140">
        <v>2020</v>
      </c>
      <c r="D140" t="str">
        <f>VLOOKUP(B140,'Reference table'!$G$2:$J$195,4,FALSE)</f>
        <v>PNG</v>
      </c>
      <c r="E140">
        <v>8947024.0000000056</v>
      </c>
    </row>
    <row r="141" spans="1:5" x14ac:dyDescent="0.35">
      <c r="A141" t="s">
        <v>394</v>
      </c>
      <c r="B141">
        <v>600</v>
      </c>
      <c r="C141">
        <v>2020</v>
      </c>
      <c r="D141" t="str">
        <f>VLOOKUP(B141,'Reference table'!$G$2:$J$195,4,FALSE)</f>
        <v>PRY</v>
      </c>
      <c r="E141">
        <v>7132537.9999999991</v>
      </c>
    </row>
    <row r="142" spans="1:5" x14ac:dyDescent="0.35">
      <c r="A142" t="s">
        <v>397</v>
      </c>
      <c r="B142">
        <v>604</v>
      </c>
      <c r="C142">
        <v>2020</v>
      </c>
      <c r="D142" t="str">
        <f>VLOOKUP(B142,'Reference table'!$G$2:$J$195,4,FALSE)</f>
        <v>PER</v>
      </c>
      <c r="E142">
        <v>32971853.999999993</v>
      </c>
    </row>
    <row r="143" spans="1:5" x14ac:dyDescent="0.35">
      <c r="A143" t="s">
        <v>400</v>
      </c>
      <c r="B143">
        <v>608</v>
      </c>
      <c r="C143">
        <v>2020</v>
      </c>
      <c r="D143" t="str">
        <f>VLOOKUP(B143,'Reference table'!$G$2:$J$195,4,FALSE)</f>
        <v>PHL</v>
      </c>
      <c r="E143">
        <v>109581077.99999999</v>
      </c>
    </row>
    <row r="144" spans="1:5" x14ac:dyDescent="0.35">
      <c r="A144" t="s">
        <v>403</v>
      </c>
      <c r="B144">
        <v>616</v>
      </c>
      <c r="C144">
        <v>2020</v>
      </c>
      <c r="D144" t="str">
        <f>VLOOKUP(B144,'Reference table'!$G$2:$J$195,4,FALSE)</f>
        <v>POL</v>
      </c>
      <c r="E144">
        <v>37846610.999999993</v>
      </c>
    </row>
    <row r="145" spans="1:5" x14ac:dyDescent="0.35">
      <c r="A145" t="s">
        <v>201</v>
      </c>
      <c r="B145">
        <v>620</v>
      </c>
      <c r="C145">
        <v>2020</v>
      </c>
      <c r="D145" t="str">
        <f>VLOOKUP(B145,'Reference table'!$G$2:$J$195,4,FALSE)</f>
        <v>PRT</v>
      </c>
      <c r="E145">
        <v>10196708.999999998</v>
      </c>
    </row>
    <row r="146" spans="1:5" x14ac:dyDescent="0.35">
      <c r="A146" t="s">
        <v>836</v>
      </c>
      <c r="B146">
        <v>630</v>
      </c>
      <c r="C146">
        <v>2020</v>
      </c>
      <c r="D146" t="e">
        <f>VLOOKUP(B146,'Reference table'!$G$2:$J$195,4,FALSE)</f>
        <v>#N/A</v>
      </c>
      <c r="E146">
        <v>2860852.9999999991</v>
      </c>
    </row>
    <row r="147" spans="1:5" x14ac:dyDescent="0.35">
      <c r="A147" t="s">
        <v>511</v>
      </c>
      <c r="B147">
        <v>634</v>
      </c>
      <c r="C147">
        <v>2020</v>
      </c>
      <c r="D147" t="str">
        <f>VLOOKUP(B147,'Reference table'!$G$2:$J$195,4,FALSE)</f>
        <v>QAT</v>
      </c>
      <c r="E147">
        <v>2881052.9999999995</v>
      </c>
    </row>
    <row r="148" spans="1:5" x14ac:dyDescent="0.35">
      <c r="A148" t="s">
        <v>338</v>
      </c>
      <c r="B148">
        <v>410</v>
      </c>
      <c r="C148">
        <v>2020</v>
      </c>
      <c r="D148" t="str">
        <f>VLOOKUP(B148,'Reference table'!$G$2:$J$195,4,FALSE)</f>
        <v>KOR</v>
      </c>
      <c r="E148">
        <v>51269185</v>
      </c>
    </row>
    <row r="149" spans="1:5" x14ac:dyDescent="0.35">
      <c r="A149" t="s">
        <v>367</v>
      </c>
      <c r="B149">
        <v>498</v>
      </c>
      <c r="C149">
        <v>2020</v>
      </c>
      <c r="D149" t="str">
        <f>VLOOKUP(B149,'Reference table'!$G$2:$J$195,4,FALSE)</f>
        <v>MDA</v>
      </c>
      <c r="E149">
        <v>4033963</v>
      </c>
    </row>
    <row r="150" spans="1:5" x14ac:dyDescent="0.35">
      <c r="A150" t="s">
        <v>837</v>
      </c>
      <c r="B150">
        <v>638</v>
      </c>
      <c r="C150">
        <v>2020</v>
      </c>
      <c r="D150" t="e">
        <f>VLOOKUP(B150,'Reference table'!$G$2:$J$195,4,FALSE)</f>
        <v>#N/A</v>
      </c>
      <c r="E150">
        <v>895311.99999999988</v>
      </c>
    </row>
    <row r="151" spans="1:5" x14ac:dyDescent="0.35">
      <c r="A151" t="s">
        <v>480</v>
      </c>
      <c r="B151">
        <v>642</v>
      </c>
      <c r="C151">
        <v>2020</v>
      </c>
      <c r="D151" t="str">
        <f>VLOOKUP(B151,'Reference table'!$G$2:$J$195,4,FALSE)</f>
        <v>ROU</v>
      </c>
      <c r="E151">
        <v>19237691</v>
      </c>
    </row>
    <row r="152" spans="1:5" x14ac:dyDescent="0.35">
      <c r="A152" t="s">
        <v>482</v>
      </c>
      <c r="B152">
        <v>643</v>
      </c>
      <c r="C152">
        <v>2020</v>
      </c>
      <c r="D152" t="str">
        <f>VLOOKUP(B152,'Reference table'!$G$2:$J$195,4,FALSE)</f>
        <v>RUS</v>
      </c>
      <c r="E152">
        <v>145934462</v>
      </c>
    </row>
    <row r="153" spans="1:5" x14ac:dyDescent="0.35">
      <c r="A153" t="s">
        <v>406</v>
      </c>
      <c r="B153">
        <v>646</v>
      </c>
      <c r="C153">
        <v>2020</v>
      </c>
      <c r="D153" t="str">
        <f>VLOOKUP(B153,'Reference table'!$G$2:$J$195,4,FALSE)</f>
        <v>RWA</v>
      </c>
      <c r="E153">
        <v>12952217.999999996</v>
      </c>
    </row>
    <row r="154" spans="1:5" x14ac:dyDescent="0.35">
      <c r="A154" t="s">
        <v>486</v>
      </c>
      <c r="B154">
        <v>662</v>
      </c>
      <c r="C154">
        <v>2020</v>
      </c>
      <c r="D154" t="str">
        <f>VLOOKUP(B154,'Reference table'!$G$2:$J$195,4,FALSE)</f>
        <v>LCA</v>
      </c>
      <c r="E154">
        <v>183627</v>
      </c>
    </row>
    <row r="155" spans="1:5" x14ac:dyDescent="0.35">
      <c r="A155" t="s">
        <v>488</v>
      </c>
      <c r="B155">
        <v>670</v>
      </c>
      <c r="C155">
        <v>2020</v>
      </c>
      <c r="D155" t="str">
        <f>VLOOKUP(B155,'Reference table'!$G$2:$J$195,4,FALSE)</f>
        <v>VCT</v>
      </c>
      <c r="E155">
        <v>110940.00000000001</v>
      </c>
    </row>
    <row r="156" spans="1:5" x14ac:dyDescent="0.35">
      <c r="A156" t="s">
        <v>109</v>
      </c>
      <c r="B156">
        <v>882</v>
      </c>
      <c r="C156">
        <v>2020</v>
      </c>
      <c r="D156" t="str">
        <f>VLOOKUP(B156,'Reference table'!$G$2:$J$195,4,FALSE)</f>
        <v>WSM</v>
      </c>
      <c r="E156">
        <v>198414</v>
      </c>
    </row>
    <row r="157" spans="1:5" x14ac:dyDescent="0.35">
      <c r="A157" t="s">
        <v>47</v>
      </c>
      <c r="B157">
        <v>678</v>
      </c>
      <c r="C157">
        <v>2020</v>
      </c>
      <c r="D157" t="str">
        <f>VLOOKUP(B157,'Reference table'!$G$2:$J$195,4,FALSE)</f>
        <v>STP</v>
      </c>
      <c r="E157">
        <v>219159</v>
      </c>
    </row>
    <row r="158" spans="1:5" x14ac:dyDescent="0.35">
      <c r="A158" t="s">
        <v>158</v>
      </c>
      <c r="B158">
        <v>682</v>
      </c>
      <c r="C158">
        <v>2020</v>
      </c>
      <c r="D158" t="str">
        <f>VLOOKUP(B158,'Reference table'!$G$2:$J$195,4,FALSE)</f>
        <v>SAU</v>
      </c>
      <c r="E158">
        <v>34813871</v>
      </c>
    </row>
    <row r="159" spans="1:5" x14ac:dyDescent="0.35">
      <c r="A159" t="s">
        <v>412</v>
      </c>
      <c r="B159">
        <v>686</v>
      </c>
      <c r="C159">
        <v>2020</v>
      </c>
      <c r="D159" t="str">
        <f>VLOOKUP(B159,'Reference table'!$G$2:$J$195,4,FALSE)</f>
        <v>SEN</v>
      </c>
      <c r="E159">
        <v>16743927</v>
      </c>
    </row>
    <row r="160" spans="1:5" x14ac:dyDescent="0.35">
      <c r="A160" t="s">
        <v>415</v>
      </c>
      <c r="B160">
        <v>688</v>
      </c>
      <c r="C160">
        <v>2020</v>
      </c>
      <c r="D160" t="str">
        <f>VLOOKUP(B160,'Reference table'!$G$2:$J$195,4,FALSE)</f>
        <v>SRB</v>
      </c>
      <c r="E160">
        <v>8737371.0000000019</v>
      </c>
    </row>
    <row r="161" spans="1:5" x14ac:dyDescent="0.35">
      <c r="A161" t="s">
        <v>418</v>
      </c>
      <c r="B161">
        <v>690</v>
      </c>
      <c r="C161">
        <v>2020</v>
      </c>
      <c r="D161" t="str">
        <f>VLOOKUP(B161,'Reference table'!$G$2:$J$195,4,FALSE)</f>
        <v>SYC</v>
      </c>
      <c r="E161">
        <v>98347</v>
      </c>
    </row>
    <row r="162" spans="1:5" x14ac:dyDescent="0.35">
      <c r="A162" t="s">
        <v>421</v>
      </c>
      <c r="B162">
        <v>694</v>
      </c>
      <c r="C162">
        <v>2020</v>
      </c>
      <c r="D162" t="str">
        <f>VLOOKUP(B162,'Reference table'!$G$2:$J$195,4,FALSE)</f>
        <v>SLE</v>
      </c>
      <c r="E162">
        <v>7976983.0000000009</v>
      </c>
    </row>
    <row r="163" spans="1:5" x14ac:dyDescent="0.35">
      <c r="A163" t="s">
        <v>424</v>
      </c>
      <c r="B163">
        <v>702</v>
      </c>
      <c r="C163">
        <v>2020</v>
      </c>
      <c r="D163" t="str">
        <f>VLOOKUP(B163,'Reference table'!$G$2:$J$195,4,FALSE)</f>
        <v>SGP</v>
      </c>
      <c r="E163">
        <v>5850342.0000000009</v>
      </c>
    </row>
    <row r="164" spans="1:5" x14ac:dyDescent="0.35">
      <c r="A164" t="s">
        <v>491</v>
      </c>
      <c r="B164">
        <v>703</v>
      </c>
      <c r="C164">
        <v>2020</v>
      </c>
      <c r="D164" t="str">
        <f>VLOOKUP(B164,'Reference table'!$G$2:$J$195,4,FALSE)</f>
        <v>SVK</v>
      </c>
      <c r="E164">
        <v>5459642</v>
      </c>
    </row>
    <row r="165" spans="1:5" x14ac:dyDescent="0.35">
      <c r="A165" t="s">
        <v>427</v>
      </c>
      <c r="B165">
        <v>705</v>
      </c>
      <c r="C165">
        <v>2020</v>
      </c>
      <c r="D165" t="str">
        <f>VLOOKUP(B165,'Reference table'!$G$2:$J$195,4,FALSE)</f>
        <v>SVN</v>
      </c>
      <c r="E165">
        <v>2078938</v>
      </c>
    </row>
    <row r="166" spans="1:5" x14ac:dyDescent="0.35">
      <c r="A166" t="s">
        <v>496</v>
      </c>
      <c r="B166">
        <v>90</v>
      </c>
      <c r="C166">
        <v>2020</v>
      </c>
      <c r="D166" t="str">
        <f>VLOOKUP(B166,'Reference table'!$G$2:$J$195,4,FALSE)</f>
        <v>SLB</v>
      </c>
      <c r="E166">
        <v>686884.00000000012</v>
      </c>
    </row>
    <row r="167" spans="1:5" x14ac:dyDescent="0.35">
      <c r="A167" t="s">
        <v>76</v>
      </c>
      <c r="B167">
        <v>706</v>
      </c>
      <c r="C167">
        <v>2020</v>
      </c>
      <c r="D167" t="str">
        <f>VLOOKUP(B167,'Reference table'!$G$2:$J$195,4,FALSE)</f>
        <v>SOM</v>
      </c>
      <c r="E167">
        <v>15893222.000000002</v>
      </c>
    </row>
    <row r="168" spans="1:5" x14ac:dyDescent="0.35">
      <c r="A168" t="s">
        <v>430</v>
      </c>
      <c r="B168">
        <v>710</v>
      </c>
      <c r="C168">
        <v>2020</v>
      </c>
      <c r="D168" t="str">
        <f>VLOOKUP(B168,'Reference table'!$G$2:$J$195,4,FALSE)</f>
        <v>ZAF</v>
      </c>
      <c r="E168">
        <v>59308689.999999993</v>
      </c>
    </row>
    <row r="169" spans="1:5" x14ac:dyDescent="0.35">
      <c r="A169" t="s">
        <v>433</v>
      </c>
      <c r="B169">
        <v>728</v>
      </c>
      <c r="C169">
        <v>2020</v>
      </c>
      <c r="D169" t="str">
        <f>VLOOKUP(B169,'Reference table'!$G$2:$J$195,4,FALSE)</f>
        <v>SSD</v>
      </c>
      <c r="E169">
        <v>11193724.999999998</v>
      </c>
    </row>
    <row r="170" spans="1:5" x14ac:dyDescent="0.35">
      <c r="A170" t="s">
        <v>161</v>
      </c>
      <c r="B170">
        <v>724</v>
      </c>
      <c r="C170">
        <v>2020</v>
      </c>
      <c r="D170" t="str">
        <f>VLOOKUP(B170,'Reference table'!$G$2:$J$195,4,FALSE)</f>
        <v>ESP</v>
      </c>
      <c r="E170">
        <v>46754778.000000007</v>
      </c>
    </row>
    <row r="171" spans="1:5" x14ac:dyDescent="0.35">
      <c r="A171" t="s">
        <v>55</v>
      </c>
      <c r="B171">
        <v>144</v>
      </c>
      <c r="C171">
        <v>2020</v>
      </c>
      <c r="D171" t="str">
        <f>VLOOKUP(B171,'Reference table'!$G$2:$J$195,4,FALSE)</f>
        <v>LKA</v>
      </c>
      <c r="E171">
        <v>21413249</v>
      </c>
    </row>
    <row r="172" spans="1:5" x14ac:dyDescent="0.35">
      <c r="A172" t="s">
        <v>838</v>
      </c>
      <c r="B172">
        <v>275</v>
      </c>
      <c r="C172">
        <v>2020</v>
      </c>
      <c r="D172" t="e">
        <f>VLOOKUP(B172,'Reference table'!$G$2:$J$195,4,FALSE)</f>
        <v>#N/A</v>
      </c>
      <c r="E172">
        <v>5101414</v>
      </c>
    </row>
    <row r="173" spans="1:5" x14ac:dyDescent="0.35">
      <c r="A173" t="s">
        <v>448</v>
      </c>
      <c r="B173">
        <v>729</v>
      </c>
      <c r="C173">
        <v>2020</v>
      </c>
      <c r="D173" t="str">
        <f>VLOOKUP(B173,'Reference table'!$G$2:$J$195,4,FALSE)</f>
        <v>SDN</v>
      </c>
      <c r="E173">
        <v>43849259.999999985</v>
      </c>
    </row>
    <row r="174" spans="1:5" x14ac:dyDescent="0.35">
      <c r="A174" t="s">
        <v>436</v>
      </c>
      <c r="B174">
        <v>740</v>
      </c>
      <c r="C174">
        <v>2020</v>
      </c>
      <c r="D174" t="str">
        <f>VLOOKUP(B174,'Reference table'!$G$2:$J$195,4,FALSE)</f>
        <v>SUR</v>
      </c>
      <c r="E174">
        <v>586632.00000000012</v>
      </c>
    </row>
    <row r="175" spans="1:5" x14ac:dyDescent="0.35">
      <c r="A175" t="s">
        <v>164</v>
      </c>
      <c r="B175">
        <v>752</v>
      </c>
      <c r="C175">
        <v>2020</v>
      </c>
      <c r="D175" t="str">
        <f>VLOOKUP(B175,'Reference table'!$G$2:$J$195,4,FALSE)</f>
        <v>SWE</v>
      </c>
      <c r="E175">
        <v>10099265.000000002</v>
      </c>
    </row>
    <row r="176" spans="1:5" x14ac:dyDescent="0.35">
      <c r="A176" t="s">
        <v>517</v>
      </c>
      <c r="B176">
        <v>756</v>
      </c>
      <c r="C176">
        <v>2020</v>
      </c>
      <c r="D176" t="str">
        <f>VLOOKUP(B176,'Reference table'!$G$2:$J$195,4,FALSE)</f>
        <v>CHE</v>
      </c>
      <c r="E176">
        <v>8654622</v>
      </c>
    </row>
    <row r="177" spans="1:5" x14ac:dyDescent="0.35">
      <c r="A177" t="s">
        <v>519</v>
      </c>
      <c r="B177">
        <v>760</v>
      </c>
      <c r="C177">
        <v>2020</v>
      </c>
      <c r="D177" t="str">
        <f>VLOOKUP(B177,'Reference table'!$G$2:$J$195,4,FALSE)</f>
        <v>SYR</v>
      </c>
      <c r="E177">
        <v>17500657.999999996</v>
      </c>
    </row>
    <row r="178" spans="1:5" x14ac:dyDescent="0.35">
      <c r="A178" t="s">
        <v>439</v>
      </c>
      <c r="B178">
        <v>762</v>
      </c>
      <c r="C178">
        <v>2020</v>
      </c>
      <c r="D178" t="str">
        <f>VLOOKUP(B178,'Reference table'!$G$2:$J$195,4,FALSE)</f>
        <v>TJK</v>
      </c>
      <c r="E178">
        <v>9537645</v>
      </c>
    </row>
    <row r="179" spans="1:5" x14ac:dyDescent="0.35">
      <c r="A179" t="s">
        <v>167</v>
      </c>
      <c r="B179">
        <v>764</v>
      </c>
      <c r="C179">
        <v>2020</v>
      </c>
      <c r="D179" t="str">
        <f>VLOOKUP(B179,'Reference table'!$G$2:$J$195,4,FALSE)</f>
        <v>THA</v>
      </c>
      <c r="E179">
        <v>69799977.999999985</v>
      </c>
    </row>
    <row r="180" spans="1:5" x14ac:dyDescent="0.35">
      <c r="A180" t="s">
        <v>52</v>
      </c>
      <c r="B180">
        <v>626</v>
      </c>
      <c r="C180">
        <v>2020</v>
      </c>
      <c r="D180" t="str">
        <f>VLOOKUP(B180,'Reference table'!$G$2:$J$195,4,FALSE)</f>
        <v>TLS</v>
      </c>
      <c r="E180">
        <v>1318444.9999999998</v>
      </c>
    </row>
    <row r="181" spans="1:5" x14ac:dyDescent="0.35">
      <c r="A181" t="s">
        <v>522</v>
      </c>
      <c r="B181">
        <v>768</v>
      </c>
      <c r="C181">
        <v>2020</v>
      </c>
      <c r="D181" t="str">
        <f>VLOOKUP(B181,'Reference table'!$G$2:$J$195,4,FALSE)</f>
        <v>TGO</v>
      </c>
      <c r="E181">
        <v>8278724</v>
      </c>
    </row>
    <row r="182" spans="1:5" x14ac:dyDescent="0.35">
      <c r="A182" t="s">
        <v>170</v>
      </c>
      <c r="B182">
        <v>776</v>
      </c>
      <c r="C182">
        <v>2020</v>
      </c>
      <c r="D182" t="str">
        <f>VLOOKUP(B182,'Reference table'!$G$2:$J$195,4,FALSE)</f>
        <v>TON</v>
      </c>
      <c r="E182">
        <v>105694.99999999999</v>
      </c>
    </row>
    <row r="183" spans="1:5" x14ac:dyDescent="0.35">
      <c r="A183" t="s">
        <v>454</v>
      </c>
      <c r="B183">
        <v>780</v>
      </c>
      <c r="C183">
        <v>2020</v>
      </c>
      <c r="D183" t="str">
        <f>VLOOKUP(B183,'Reference table'!$G$2:$J$195,4,FALSE)</f>
        <v>TTO</v>
      </c>
      <c r="E183">
        <v>1399487.9999999998</v>
      </c>
    </row>
    <row r="184" spans="1:5" x14ac:dyDescent="0.35">
      <c r="A184" t="s">
        <v>457</v>
      </c>
      <c r="B184">
        <v>788</v>
      </c>
      <c r="C184">
        <v>2020</v>
      </c>
      <c r="D184" t="str">
        <f>VLOOKUP(B184,'Reference table'!$G$2:$J$195,4,FALSE)</f>
        <v>TUN</v>
      </c>
      <c r="E184">
        <v>11818618.999999998</v>
      </c>
    </row>
    <row r="185" spans="1:5" x14ac:dyDescent="0.35">
      <c r="A185" t="s">
        <v>460</v>
      </c>
      <c r="B185">
        <v>792</v>
      </c>
      <c r="C185">
        <v>2020</v>
      </c>
      <c r="D185" t="str">
        <f>VLOOKUP(B185,'Reference table'!$G$2:$J$195,4,FALSE)</f>
        <v>TUR</v>
      </c>
      <c r="E185">
        <v>84339066.999999985</v>
      </c>
    </row>
    <row r="186" spans="1:5" x14ac:dyDescent="0.35">
      <c r="A186" t="s">
        <v>524</v>
      </c>
      <c r="B186">
        <v>795</v>
      </c>
      <c r="C186">
        <v>2020</v>
      </c>
      <c r="D186" t="str">
        <f>VLOOKUP(B186,'Reference table'!$G$2:$J$195,4,FALSE)</f>
        <v>TKM</v>
      </c>
      <c r="E186">
        <v>6031200.0000000009</v>
      </c>
    </row>
    <row r="187" spans="1:5" x14ac:dyDescent="0.35">
      <c r="A187" t="s">
        <v>463</v>
      </c>
      <c r="B187">
        <v>800</v>
      </c>
      <c r="C187">
        <v>2020</v>
      </c>
      <c r="D187" t="str">
        <f>VLOOKUP(B187,'Reference table'!$G$2:$J$195,4,FALSE)</f>
        <v>UGA</v>
      </c>
      <c r="E187">
        <v>45741007</v>
      </c>
    </row>
    <row r="188" spans="1:5" x14ac:dyDescent="0.35">
      <c r="A188" t="s">
        <v>528</v>
      </c>
      <c r="B188">
        <v>804</v>
      </c>
      <c r="C188">
        <v>2020</v>
      </c>
      <c r="D188" t="str">
        <f>VLOOKUP(B188,'Reference table'!$G$2:$J$195,4,FALSE)</f>
        <v>UKR</v>
      </c>
      <c r="E188">
        <v>43733762</v>
      </c>
    </row>
    <row r="189" spans="1:5" x14ac:dyDescent="0.35">
      <c r="A189" t="s">
        <v>533</v>
      </c>
      <c r="B189">
        <v>784</v>
      </c>
      <c r="C189">
        <v>2020</v>
      </c>
      <c r="D189" t="str">
        <f>VLOOKUP(B189,'Reference table'!$G$2:$J$195,4,FALSE)</f>
        <v>ARE</v>
      </c>
      <c r="E189">
        <v>9890402</v>
      </c>
    </row>
    <row r="190" spans="1:5" x14ac:dyDescent="0.35">
      <c r="A190" t="s">
        <v>621</v>
      </c>
      <c r="B190">
        <v>826</v>
      </c>
      <c r="C190">
        <v>2020</v>
      </c>
      <c r="D190" t="str">
        <f>VLOOKUP(B190,'Reference table'!$G$2:$J$195,4,FALSE)</f>
        <v>GBR</v>
      </c>
      <c r="E190">
        <v>67886011</v>
      </c>
    </row>
    <row r="191" spans="1:5" x14ac:dyDescent="0.35">
      <c r="A191" t="s">
        <v>540</v>
      </c>
      <c r="B191">
        <v>834</v>
      </c>
      <c r="C191">
        <v>2020</v>
      </c>
      <c r="D191" t="str">
        <f>VLOOKUP(B191,'Reference table'!$G$2:$J$195,4,FALSE)</f>
        <v>TZA</v>
      </c>
      <c r="E191">
        <v>59734218.000000015</v>
      </c>
    </row>
    <row r="192" spans="1:5" x14ac:dyDescent="0.35">
      <c r="A192" t="s">
        <v>542</v>
      </c>
      <c r="B192">
        <v>840</v>
      </c>
      <c r="C192">
        <v>2020</v>
      </c>
      <c r="D192" t="str">
        <f>VLOOKUP(B192,'Reference table'!$G$2:$J$195,4,FALSE)</f>
        <v>USA</v>
      </c>
      <c r="E192">
        <v>331002650.99999994</v>
      </c>
    </row>
    <row r="193" spans="1:5" x14ac:dyDescent="0.35">
      <c r="A193" t="s">
        <v>839</v>
      </c>
      <c r="B193">
        <v>850</v>
      </c>
      <c r="C193">
        <v>2020</v>
      </c>
      <c r="D193" t="e">
        <f>VLOOKUP(B193,'Reference table'!$G$2:$J$195,4,FALSE)</f>
        <v>#N/A</v>
      </c>
      <c r="E193">
        <v>104424.99999999999</v>
      </c>
    </row>
    <row r="194" spans="1:5" x14ac:dyDescent="0.35">
      <c r="A194" t="s">
        <v>60</v>
      </c>
      <c r="B194">
        <v>858</v>
      </c>
      <c r="C194">
        <v>2020</v>
      </c>
      <c r="D194" t="str">
        <f>VLOOKUP(B194,'Reference table'!$G$2:$J$195,4,FALSE)</f>
        <v>URY</v>
      </c>
      <c r="E194">
        <v>3473730.0000000009</v>
      </c>
    </row>
    <row r="195" spans="1:5" x14ac:dyDescent="0.35">
      <c r="A195" t="s">
        <v>466</v>
      </c>
      <c r="B195">
        <v>860</v>
      </c>
      <c r="C195">
        <v>2020</v>
      </c>
      <c r="D195" t="str">
        <f>VLOOKUP(B195,'Reference table'!$G$2:$J$195,4,FALSE)</f>
        <v>UZB</v>
      </c>
      <c r="E195">
        <v>33469203</v>
      </c>
    </row>
    <row r="196" spans="1:5" x14ac:dyDescent="0.35">
      <c r="A196" t="s">
        <v>469</v>
      </c>
      <c r="B196">
        <v>548</v>
      </c>
      <c r="C196">
        <v>2020</v>
      </c>
      <c r="D196" t="str">
        <f>VLOOKUP(B196,'Reference table'!$G$2:$J$195,4,FALSE)</f>
        <v>VUT</v>
      </c>
      <c r="E196">
        <v>307145.00000000012</v>
      </c>
    </row>
    <row r="197" spans="1:5" x14ac:dyDescent="0.35">
      <c r="A197" t="s">
        <v>18</v>
      </c>
      <c r="B197">
        <v>862</v>
      </c>
      <c r="C197">
        <v>2020</v>
      </c>
      <c r="D197" t="str">
        <f>VLOOKUP(B197,'Reference table'!$G$2:$J$195,4,FALSE)</f>
        <v>VEN</v>
      </c>
      <c r="E197">
        <v>28435940.000000007</v>
      </c>
    </row>
    <row r="198" spans="1:5" x14ac:dyDescent="0.35">
      <c r="A198" t="s">
        <v>494</v>
      </c>
      <c r="B198">
        <v>704</v>
      </c>
      <c r="C198">
        <v>2020</v>
      </c>
      <c r="D198" t="str">
        <f>VLOOKUP(B198,'Reference table'!$G$2:$J$195,4,FALSE)</f>
        <v>VNM</v>
      </c>
      <c r="E198">
        <v>97338579</v>
      </c>
    </row>
    <row r="199" spans="1:5" x14ac:dyDescent="0.35">
      <c r="A199" t="s">
        <v>840</v>
      </c>
      <c r="B199">
        <v>732</v>
      </c>
      <c r="C199">
        <v>2020</v>
      </c>
      <c r="D199" t="e">
        <f>VLOOKUP(B199,'Reference table'!$G$2:$J$195,4,FALSE)</f>
        <v>#N/A</v>
      </c>
      <c r="E199">
        <v>597339</v>
      </c>
    </row>
    <row r="200" spans="1:5" x14ac:dyDescent="0.35">
      <c r="A200" t="s">
        <v>472</v>
      </c>
      <c r="B200">
        <v>887</v>
      </c>
      <c r="C200">
        <v>2020</v>
      </c>
      <c r="D200" t="str">
        <f>VLOOKUP(B200,'Reference table'!$G$2:$J$195,4,FALSE)</f>
        <v>YEM</v>
      </c>
      <c r="E200">
        <v>29825963.999999996</v>
      </c>
    </row>
    <row r="201" spans="1:5" x14ac:dyDescent="0.35">
      <c r="A201" t="s">
        <v>475</v>
      </c>
      <c r="B201">
        <v>894</v>
      </c>
      <c r="C201">
        <v>2020</v>
      </c>
      <c r="D201" t="str">
        <f>VLOOKUP(B201,'Reference table'!$G$2:$J$195,4,FALSE)</f>
        <v>ZMB</v>
      </c>
      <c r="E201">
        <v>18383955</v>
      </c>
    </row>
    <row r="202" spans="1:5" x14ac:dyDescent="0.35">
      <c r="A202" t="s">
        <v>478</v>
      </c>
      <c r="B202">
        <v>716</v>
      </c>
      <c r="C202">
        <v>2020</v>
      </c>
      <c r="D202" t="str">
        <f>VLOOKUP(B202,'Reference table'!$G$2:$J$195,4,FALSE)</f>
        <v>ZWE</v>
      </c>
      <c r="E202">
        <v>14862924</v>
      </c>
    </row>
  </sheetData>
  <sortState xmlns:xlrd2="http://schemas.microsoft.com/office/spreadsheetml/2017/richdata2" ref="A2:E202">
    <sortCondition ref="C2:C20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E428AC39C2174AA60E2B24655F8CA0" ma:contentTypeVersion="13" ma:contentTypeDescription="Create a new document." ma:contentTypeScope="" ma:versionID="b6c8b27ed07cb4b594302d83798f618e">
  <xsd:schema xmlns:xsd="http://www.w3.org/2001/XMLSchema" xmlns:xs="http://www.w3.org/2001/XMLSchema" xmlns:p="http://schemas.microsoft.com/office/2006/metadata/properties" xmlns:ns3="cdf6d0ad-cdd5-4030-b89e-97d3a33d71ec" xmlns:ns4="95bab860-2d6b-4602-b166-24da51455eee" targetNamespace="http://schemas.microsoft.com/office/2006/metadata/properties" ma:root="true" ma:fieldsID="2c0d2d0aa55d28dbb32f1de483d4f2b2" ns3:_="" ns4:_="">
    <xsd:import namespace="cdf6d0ad-cdd5-4030-b89e-97d3a33d71ec"/>
    <xsd:import namespace="95bab860-2d6b-4602-b166-24da51455ee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f6d0ad-cdd5-4030-b89e-97d3a33d71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bab860-2d6b-4602-b166-24da51455e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85F9EB-D78D-4BC4-BF92-D8EBBFAC8F92}">
  <ds:schemaRefs>
    <ds:schemaRef ds:uri="cdf6d0ad-cdd5-4030-b89e-97d3a33d71e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5bab860-2d6b-4602-b166-24da51455eee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8C900FE-F52D-4289-AC9C-B45A30B7BD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f6d0ad-cdd5-4030-b89e-97d3a33d71ec"/>
    <ds:schemaRef ds:uri="95bab860-2d6b-4602-b166-24da51455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927531-8193-4811-B154-7B7C8E062E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</vt:vector>
  </HeadingPairs>
  <TitlesOfParts>
    <vt:vector size="10" baseType="lpstr">
      <vt:lpstr>Results</vt:lpstr>
      <vt:lpstr>Indice</vt:lpstr>
      <vt:lpstr>Migration</vt:lpstr>
      <vt:lpstr>Raw HWF</vt:lpstr>
      <vt:lpstr>Processed HWF</vt:lpstr>
      <vt:lpstr>UHC</vt:lpstr>
      <vt:lpstr>Reference table</vt:lpstr>
      <vt:lpstr>Covid-19 impact - vaccination</vt:lpstr>
      <vt:lpstr>Pop2020</vt:lpstr>
      <vt:lpstr>UHCxDensity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2024-02-22T12:48:53Z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0x010100EBE428AC39C2174AA60E2B24655F8CA0</vt:lpwstr>
  </property>
</Properties>
</file>