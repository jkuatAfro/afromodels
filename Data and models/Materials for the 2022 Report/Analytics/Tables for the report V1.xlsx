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razzaville\HRH 24\Analytics\"/>
    </mc:Choice>
  </mc:AlternateContent>
  <xr:revisionPtr revIDLastSave="0" documentId="13_ncr:1_{C4B40870-FFF1-4E41-A486-3EAE52323938}" xr6:coauthVersionLast="47" xr6:coauthVersionMax="47" xr10:uidLastSave="{00000000-0000-0000-0000-000000000000}"/>
  <bookViews>
    <workbookView xWindow="-110" yWindow="-110" windowWidth="19420" windowHeight="10300" tabRatio="718" activeTab="3" xr2:uid="{D78587C6-DCB8-485A-9F95-FF1E000DD2E8}"/>
  </bookViews>
  <sheets>
    <sheet name="Medical doctors" sheetId="1" r:id="rId1"/>
    <sheet name="Nurses" sheetId="2" r:id="rId2"/>
    <sheet name="Midwives" sheetId="3" r:id="rId3"/>
    <sheet name="Nurses and midwifrey" sheetId="4" r:id="rId4"/>
    <sheet name="Dentists" sheetId="5" r:id="rId5"/>
    <sheet name=" Pharmacists" sheetId="6" r:id="rId6"/>
    <sheet name="Sheet1" sheetId="28" r:id="rId7"/>
    <sheet name="Community workers" sheetId="7" r:id="rId8"/>
    <sheet name=" Psychologists " sheetId="8" r:id="rId9"/>
    <sheet name="Speech therapist" sheetId="9" r:id="rId10"/>
    <sheet name="Dieticians" sheetId="10" r:id="rId11"/>
    <sheet name="Environ &amp; occupat health &amp; hyge" sheetId="11" r:id="rId12"/>
    <sheet name="Managerial staff" sheetId="12" r:id="rId13"/>
    <sheet name="Prosthetic technicians" sheetId="13" r:id="rId14"/>
    <sheet name="Pathology lab scie" sheetId="14" r:id="rId15"/>
    <sheet name="Pathology lab tech" sheetId="15" r:id="rId16"/>
    <sheet name="Med assistants" sheetId="16" r:id="rId17"/>
    <sheet name="Imaging equip technicians" sheetId="17" r:id="rId18"/>
    <sheet name="Records and Health inf technici" sheetId="18" r:id="rId19"/>
    <sheet name="Opticians" sheetId="19" r:id="rId20"/>
    <sheet name="other non-med prof staff" sheetId="20" r:id="rId21"/>
    <sheet name="other non-med supp staff" sheetId="21" r:id="rId22"/>
    <sheet name="Paramedical pract" sheetId="22" r:id="rId23"/>
    <sheet name="Personal care workers" sheetId="23" r:id="rId24"/>
    <sheet name="Physiotherapists" sheetId="24" r:id="rId25"/>
    <sheet name="Social workers" sheetId="25" r:id="rId26"/>
    <sheet name="Trad and complementary med" sheetId="26" r:id="rId27"/>
    <sheet name="Core Vs others" sheetId="27" r:id="rId28"/>
    <sheet name="25% countries" sheetId="29" r:id="rId29"/>
    <sheet name="Doctors Nurse midwives" sheetId="30" r:id="rId30"/>
    <sheet name="Sheet3" sheetId="31" r:id="rId31"/>
    <sheet name="Sheet2" sheetId="32" r:id="rId32"/>
    <sheet name="Sheet4" sheetId="33" r:id="rId33"/>
    <sheet name="Sheet5" sheetId="34" r:id="rId34"/>
    <sheet name="Unemployment" sheetId="35" r:id="rId35"/>
    <sheet name="Densities perc change" sheetId="37" r:id="rId36"/>
  </sheets>
  <definedNames>
    <definedName name="_xlnm._FilterDatabase" localSheetId="5" hidden="1">' Pharmacists'!$A$1:$T$50</definedName>
    <definedName name="_xlnm._FilterDatabase" localSheetId="28" hidden="1">'25% countries'!$AC$2:$AD$14</definedName>
    <definedName name="_xlnm._FilterDatabase" localSheetId="7" hidden="1">'Community workers'!$A$1:$H$50</definedName>
    <definedName name="_xlnm._FilterDatabase" localSheetId="27" hidden="1">'Core Vs others'!$S$3:$AD$51</definedName>
    <definedName name="_xlnm._FilterDatabase" localSheetId="4" hidden="1">Dentists!$A$1:$S$50</definedName>
    <definedName name="_xlnm._FilterDatabase" localSheetId="0" hidden="1">'Medical doctors'!$N$2:$AA$50</definedName>
    <definedName name="_xlnm._FilterDatabase" localSheetId="2" hidden="1">Midwives!$N$2:$Y$50</definedName>
    <definedName name="_xlnm._FilterDatabase" localSheetId="1" hidden="1">Nurses!$P$2:$AB$50</definedName>
    <definedName name="_xlnm._FilterDatabase" localSheetId="3" hidden="1">'Nurses and midwifrey'!$A$1:$J$50</definedName>
    <definedName name="_xlnm._FilterDatabase" localSheetId="31" hidden="1">Sheet2!$A$1:$D$48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1" i="27" l="1"/>
  <c r="Q3" i="6"/>
  <c r="Q3" i="5"/>
  <c r="B14" i="37" l="1"/>
  <c r="AN50" i="1"/>
  <c r="AM50" i="1"/>
  <c r="AL50" i="1"/>
  <c r="AJ50" i="1"/>
  <c r="AI50" i="1"/>
  <c r="AK24" i="1"/>
  <c r="AK50" i="1" s="1"/>
  <c r="C14" i="37"/>
  <c r="C15" i="37"/>
  <c r="C16" i="37"/>
  <c r="C17" i="37"/>
  <c r="C18" i="37"/>
  <c r="C13" i="37"/>
  <c r="B15" i="37"/>
  <c r="B16" i="37"/>
  <c r="B17" i="37"/>
  <c r="B18" i="37"/>
  <c r="B13" i="37"/>
  <c r="W59" i="27"/>
  <c r="W57" i="27"/>
  <c r="I39" i="35"/>
  <c r="I40" i="35"/>
  <c r="I42" i="35"/>
  <c r="H35" i="35"/>
  <c r="I35" i="35" s="1"/>
  <c r="H36" i="35"/>
  <c r="I36" i="35" s="1"/>
  <c r="H37" i="35"/>
  <c r="I37" i="35" s="1"/>
  <c r="H38" i="35"/>
  <c r="I38" i="35" s="1"/>
  <c r="H39" i="35"/>
  <c r="H40" i="35"/>
  <c r="H41" i="35"/>
  <c r="I41" i="35" s="1"/>
  <c r="H42" i="35"/>
  <c r="H43" i="35"/>
  <c r="I43" i="35" s="1"/>
  <c r="H34" i="35"/>
  <c r="I34" i="35" s="1"/>
  <c r="G44" i="35"/>
  <c r="H44" i="35" s="1"/>
  <c r="D44" i="35"/>
  <c r="I44" i="35" s="1"/>
  <c r="L24" i="35"/>
  <c r="L26" i="35"/>
  <c r="K21" i="35"/>
  <c r="L21" i="35" s="1"/>
  <c r="K22" i="35"/>
  <c r="L22" i="35" s="1"/>
  <c r="K23" i="35"/>
  <c r="L23" i="35" s="1"/>
  <c r="K24" i="35"/>
  <c r="K25" i="35"/>
  <c r="L25" i="35" s="1"/>
  <c r="K26" i="35"/>
  <c r="K27" i="35"/>
  <c r="L27" i="35" s="1"/>
  <c r="K28" i="35"/>
  <c r="L28" i="35" s="1"/>
  <c r="K19" i="35"/>
  <c r="L19" i="35" s="1"/>
  <c r="K20" i="35"/>
  <c r="L20" i="35" s="1"/>
  <c r="I19" i="35"/>
  <c r="I32" i="35" s="1"/>
  <c r="J20" i="35"/>
  <c r="J21" i="35"/>
  <c r="J22" i="35"/>
  <c r="J23" i="35"/>
  <c r="J24" i="35"/>
  <c r="J25" i="35"/>
  <c r="J26" i="35"/>
  <c r="J27" i="35"/>
  <c r="J28" i="35"/>
  <c r="J19" i="35"/>
  <c r="I20" i="35"/>
  <c r="I21" i="35"/>
  <c r="I22" i="35"/>
  <c r="I23" i="35"/>
  <c r="I24" i="35"/>
  <c r="I25" i="35"/>
  <c r="I26" i="35"/>
  <c r="I27" i="35"/>
  <c r="I28" i="35"/>
  <c r="H20" i="35"/>
  <c r="H21" i="35"/>
  <c r="H22" i="35"/>
  <c r="H23" i="35"/>
  <c r="H24" i="35"/>
  <c r="H25" i="35"/>
  <c r="H26" i="35"/>
  <c r="H27" i="35"/>
  <c r="H28" i="35"/>
  <c r="H19" i="35"/>
  <c r="H32" i="35" s="1"/>
  <c r="E29" i="35"/>
  <c r="F29" i="35"/>
  <c r="G29" i="35"/>
  <c r="D29" i="35"/>
  <c r="K29" i="35" s="1"/>
  <c r="G56" i="27"/>
  <c r="I29" i="35" l="1"/>
  <c r="J29" i="35"/>
  <c r="L29" i="35"/>
  <c r="H29" i="3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3" i="4"/>
  <c r="J5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3" i="6"/>
  <c r="O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3" i="5"/>
  <c r="F59" i="27"/>
  <c r="G57" i="27"/>
  <c r="D54" i="7" l="1"/>
  <c r="E54" i="7"/>
  <c r="C54" i="7"/>
  <c r="D53" i="7"/>
  <c r="C53" i="7"/>
  <c r="AC25" i="27" l="1"/>
  <c r="K51" i="27" l="1"/>
  <c r="K25" i="27"/>
  <c r="E24" i="1" l="1"/>
  <c r="H50" i="30" l="1"/>
  <c r="I50" i="30"/>
  <c r="G50" i="30"/>
  <c r="E50" i="30"/>
  <c r="F50" i="30"/>
  <c r="D50" i="30"/>
  <c r="V51" i="27"/>
  <c r="W51" i="27"/>
  <c r="X51" i="27"/>
  <c r="Z51" i="27"/>
  <c r="AA51" i="27"/>
  <c r="AB51" i="27"/>
  <c r="AC51" i="27"/>
  <c r="D51" i="27"/>
  <c r="E51" i="27"/>
  <c r="F51" i="27"/>
  <c r="G51" i="27"/>
  <c r="H51" i="27"/>
  <c r="I51" i="27"/>
  <c r="J51" i="27"/>
  <c r="J50" i="6"/>
  <c r="K50" i="6"/>
  <c r="L50" i="6"/>
  <c r="M50" i="6"/>
  <c r="N50" i="6"/>
  <c r="D50" i="6"/>
  <c r="E50" i="6"/>
  <c r="F50" i="6"/>
  <c r="G50" i="6"/>
  <c r="H50" i="6"/>
  <c r="J50" i="5"/>
  <c r="K50" i="5"/>
  <c r="L50" i="5"/>
  <c r="M50" i="5"/>
  <c r="N50" i="5"/>
  <c r="F50" i="5"/>
  <c r="G50" i="5"/>
  <c r="H50" i="5"/>
  <c r="D50" i="5"/>
  <c r="E50" i="5"/>
  <c r="C50" i="5"/>
  <c r="G50" i="4"/>
  <c r="H50" i="4"/>
  <c r="D50" i="4"/>
  <c r="E50" i="4"/>
  <c r="C50" i="4"/>
  <c r="AO50" i="3"/>
  <c r="AP50" i="3"/>
  <c r="AN50" i="3"/>
  <c r="AS50" i="3"/>
  <c r="AR50" i="3"/>
  <c r="AQ50" i="3"/>
  <c r="AM50" i="2"/>
  <c r="AL50" i="2"/>
  <c r="AK50" i="2"/>
  <c r="AJ50" i="2"/>
  <c r="AI50" i="2"/>
  <c r="AH50" i="2"/>
  <c r="S50" i="2"/>
  <c r="T50" i="2"/>
  <c r="U50" i="2"/>
  <c r="V50" i="2"/>
  <c r="W50" i="2"/>
  <c r="D50" i="2"/>
  <c r="E50" i="2"/>
  <c r="F50" i="2"/>
  <c r="G50" i="2"/>
  <c r="H50" i="2"/>
  <c r="I50" i="2"/>
  <c r="J50" i="2"/>
  <c r="K50" i="2"/>
  <c r="C50" i="2"/>
  <c r="Q50" i="1"/>
  <c r="R50" i="1"/>
  <c r="S50" i="1"/>
  <c r="T50" i="1"/>
  <c r="U50" i="1"/>
  <c r="V50" i="1"/>
  <c r="W50" i="1"/>
  <c r="X50" i="1"/>
  <c r="D50" i="1"/>
  <c r="E50" i="1"/>
  <c r="F50" i="1"/>
  <c r="G50" i="1"/>
  <c r="H50" i="1"/>
  <c r="I50" i="1"/>
  <c r="J50" i="1"/>
  <c r="K50" i="1"/>
  <c r="I3" i="33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2" i="33"/>
  <c r="D49" i="33"/>
  <c r="C49" i="33"/>
  <c r="B49" i="33"/>
  <c r="E55" i="4" l="1"/>
  <c r="D54" i="6"/>
  <c r="D55" i="5"/>
  <c r="D55" i="2"/>
  <c r="E54" i="1"/>
  <c r="R54" i="1"/>
  <c r="W58" i="27"/>
  <c r="Q50" i="3"/>
  <c r="R50" i="3"/>
  <c r="O4" i="27" l="1"/>
  <c r="Q54" i="27"/>
  <c r="AD4" i="27"/>
  <c r="W53" i="27"/>
  <c r="Z56" i="27" l="1"/>
  <c r="W56" i="27" l="1"/>
  <c r="AC56" i="27"/>
  <c r="E56" i="27"/>
  <c r="C51" i="27" l="1"/>
  <c r="C50" i="6"/>
  <c r="D53" i="6" s="1"/>
  <c r="Z3" i="1"/>
  <c r="AI6" i="3" l="1"/>
  <c r="AI3" i="3"/>
  <c r="AI4" i="3"/>
  <c r="AI5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E54" i="4" l="1"/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3" i="2"/>
  <c r="E52" i="2"/>
  <c r="F56" i="2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3" i="2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2" i="1"/>
  <c r="L3" i="1"/>
  <c r="C51" i="1" l="1"/>
  <c r="D51" i="1"/>
  <c r="K55" i="1"/>
  <c r="C50" i="1"/>
  <c r="C54" i="1" s="1"/>
  <c r="E51" i="1" l="1"/>
  <c r="H55" i="1"/>
  <c r="E55" i="1"/>
  <c r="P4" i="27" l="1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AD5" i="27"/>
  <c r="P5" i="27" s="1"/>
  <c r="P51" i="27"/>
  <c r="AD6" i="27"/>
  <c r="P6" i="27" s="1"/>
  <c r="Q6" i="27" s="1"/>
  <c r="AD7" i="27"/>
  <c r="P7" i="27" s="1"/>
  <c r="Q7" i="27" s="1"/>
  <c r="AD8" i="27"/>
  <c r="P8" i="27" s="1"/>
  <c r="AD9" i="27"/>
  <c r="P9" i="27" s="1"/>
  <c r="AD10" i="27"/>
  <c r="P10" i="27" s="1"/>
  <c r="AD11" i="27"/>
  <c r="P11" i="27" s="1"/>
  <c r="AD12" i="27"/>
  <c r="P12" i="27" s="1"/>
  <c r="AD13" i="27"/>
  <c r="P13" i="27" s="1"/>
  <c r="AD14" i="27"/>
  <c r="P14" i="27" s="1"/>
  <c r="Q14" i="27" s="1"/>
  <c r="AD15" i="27"/>
  <c r="P15" i="27" s="1"/>
  <c r="Q15" i="27" s="1"/>
  <c r="AD16" i="27"/>
  <c r="P16" i="27" s="1"/>
  <c r="AD17" i="27"/>
  <c r="P17" i="27" s="1"/>
  <c r="AD18" i="27"/>
  <c r="P18" i="27" s="1"/>
  <c r="AD19" i="27"/>
  <c r="P19" i="27" s="1"/>
  <c r="AD20" i="27"/>
  <c r="P20" i="27" s="1"/>
  <c r="AD21" i="27"/>
  <c r="P21" i="27" s="1"/>
  <c r="AD22" i="27"/>
  <c r="P22" i="27" s="1"/>
  <c r="Q22" i="27" s="1"/>
  <c r="AD23" i="27"/>
  <c r="P23" i="27" s="1"/>
  <c r="AD24" i="27"/>
  <c r="P24" i="27" s="1"/>
  <c r="AD25" i="27"/>
  <c r="P25" i="27" s="1"/>
  <c r="AD26" i="27"/>
  <c r="P26" i="27" s="1"/>
  <c r="AD27" i="27"/>
  <c r="P27" i="27" s="1"/>
  <c r="AD28" i="27"/>
  <c r="P28" i="27" s="1"/>
  <c r="AD29" i="27"/>
  <c r="P29" i="27" s="1"/>
  <c r="AD30" i="27"/>
  <c r="P30" i="27" s="1"/>
  <c r="Q30" i="27" s="1"/>
  <c r="AD31" i="27"/>
  <c r="P31" i="27" s="1"/>
  <c r="Q31" i="27" s="1"/>
  <c r="AD32" i="27"/>
  <c r="P32" i="27" s="1"/>
  <c r="AD33" i="27"/>
  <c r="P33" i="27" s="1"/>
  <c r="AD34" i="27"/>
  <c r="P34" i="27" s="1"/>
  <c r="AD35" i="27"/>
  <c r="P35" i="27" s="1"/>
  <c r="AD36" i="27"/>
  <c r="P36" i="27" s="1"/>
  <c r="AD37" i="27"/>
  <c r="P37" i="27" s="1"/>
  <c r="AD38" i="27"/>
  <c r="P38" i="27" s="1"/>
  <c r="Q38" i="27" s="1"/>
  <c r="AD39" i="27"/>
  <c r="P39" i="27" s="1"/>
  <c r="Q39" i="27" s="1"/>
  <c r="AD40" i="27"/>
  <c r="P40" i="27" s="1"/>
  <c r="AD41" i="27"/>
  <c r="P41" i="27" s="1"/>
  <c r="AD42" i="27"/>
  <c r="P42" i="27" s="1"/>
  <c r="AD43" i="27"/>
  <c r="P43" i="27" s="1"/>
  <c r="AD44" i="27"/>
  <c r="P44" i="27" s="1"/>
  <c r="AD45" i="27"/>
  <c r="P45" i="27" s="1"/>
  <c r="AD46" i="27"/>
  <c r="P46" i="27" s="1"/>
  <c r="Q46" i="27" s="1"/>
  <c r="AD47" i="27"/>
  <c r="P47" i="27" s="1"/>
  <c r="Q47" i="27" s="1"/>
  <c r="AD48" i="27"/>
  <c r="P48" i="27" s="1"/>
  <c r="AD49" i="27"/>
  <c r="P49" i="27" s="1"/>
  <c r="AD50" i="27"/>
  <c r="P50" i="27" s="1"/>
  <c r="E4" i="29"/>
  <c r="E5" i="29"/>
  <c r="E6" i="29"/>
  <c r="E7" i="29"/>
  <c r="E8" i="29"/>
  <c r="E9" i="29"/>
  <c r="E10" i="29"/>
  <c r="E11" i="29"/>
  <c r="E12" i="29"/>
  <c r="E13" i="29"/>
  <c r="E14" i="29"/>
  <c r="E3" i="29"/>
  <c r="M4" i="29"/>
  <c r="M5" i="29"/>
  <c r="M6" i="29"/>
  <c r="M7" i="29"/>
  <c r="M8" i="29"/>
  <c r="M9" i="29"/>
  <c r="M10" i="29"/>
  <c r="M11" i="29"/>
  <c r="M12" i="29"/>
  <c r="M13" i="29"/>
  <c r="M14" i="29"/>
  <c r="M3" i="29"/>
  <c r="V54" i="27"/>
  <c r="V53" i="27"/>
  <c r="W54" i="27"/>
  <c r="H56" i="27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3" i="4"/>
  <c r="D53" i="5"/>
  <c r="P3" i="5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3" i="3"/>
  <c r="D55" i="3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3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3" i="1"/>
  <c r="O4" i="6"/>
  <c r="P4" i="6"/>
  <c r="Q4" i="6"/>
  <c r="O5" i="6"/>
  <c r="P5" i="6"/>
  <c r="Q5" i="6"/>
  <c r="O6" i="6"/>
  <c r="P6" i="6"/>
  <c r="Q6" i="6"/>
  <c r="O7" i="6"/>
  <c r="P7" i="6"/>
  <c r="Q7" i="6"/>
  <c r="O8" i="6"/>
  <c r="P8" i="6"/>
  <c r="Q8" i="6"/>
  <c r="O9" i="6"/>
  <c r="P9" i="6"/>
  <c r="Q9" i="6"/>
  <c r="O10" i="6"/>
  <c r="P10" i="6"/>
  <c r="Q10" i="6"/>
  <c r="O11" i="6"/>
  <c r="P11" i="6"/>
  <c r="Q11" i="6"/>
  <c r="O12" i="6"/>
  <c r="P12" i="6"/>
  <c r="Q12" i="6"/>
  <c r="O13" i="6"/>
  <c r="P13" i="6"/>
  <c r="Q13" i="6"/>
  <c r="O14" i="6"/>
  <c r="P14" i="6"/>
  <c r="Q14" i="6"/>
  <c r="O15" i="6"/>
  <c r="P15" i="6"/>
  <c r="Q15" i="6"/>
  <c r="O16" i="6"/>
  <c r="P16" i="6"/>
  <c r="Q16" i="6"/>
  <c r="O17" i="6"/>
  <c r="P17" i="6"/>
  <c r="Q17" i="6"/>
  <c r="O18" i="6"/>
  <c r="P18" i="6"/>
  <c r="Q18" i="6"/>
  <c r="O19" i="6"/>
  <c r="P19" i="6"/>
  <c r="Q19" i="6"/>
  <c r="O20" i="6"/>
  <c r="P20" i="6"/>
  <c r="Q20" i="6"/>
  <c r="O21" i="6"/>
  <c r="P21" i="6"/>
  <c r="Q21" i="6"/>
  <c r="O22" i="6"/>
  <c r="P22" i="6"/>
  <c r="Q22" i="6"/>
  <c r="O23" i="6"/>
  <c r="P23" i="6"/>
  <c r="Q23" i="6"/>
  <c r="O24" i="6"/>
  <c r="P24" i="6"/>
  <c r="Q24" i="6"/>
  <c r="O25" i="6"/>
  <c r="P25" i="6"/>
  <c r="Q25" i="6"/>
  <c r="O26" i="6"/>
  <c r="P26" i="6"/>
  <c r="Q26" i="6"/>
  <c r="O27" i="6"/>
  <c r="P27" i="6"/>
  <c r="Q27" i="6"/>
  <c r="O28" i="6"/>
  <c r="P28" i="6"/>
  <c r="Q28" i="6"/>
  <c r="O29" i="6"/>
  <c r="P29" i="6"/>
  <c r="Q29" i="6"/>
  <c r="O30" i="6"/>
  <c r="P30" i="6"/>
  <c r="Q30" i="6"/>
  <c r="O31" i="6"/>
  <c r="P31" i="6"/>
  <c r="Q31" i="6"/>
  <c r="O32" i="6"/>
  <c r="P32" i="6"/>
  <c r="Q32" i="6"/>
  <c r="O33" i="6"/>
  <c r="P33" i="6"/>
  <c r="Q33" i="6"/>
  <c r="O34" i="6"/>
  <c r="P34" i="6"/>
  <c r="Q34" i="6"/>
  <c r="O35" i="6"/>
  <c r="P35" i="6"/>
  <c r="Q35" i="6"/>
  <c r="O36" i="6"/>
  <c r="P36" i="6"/>
  <c r="Q36" i="6"/>
  <c r="O37" i="6"/>
  <c r="P37" i="6"/>
  <c r="Q37" i="6"/>
  <c r="O38" i="6"/>
  <c r="P38" i="6"/>
  <c r="Q38" i="6"/>
  <c r="O39" i="6"/>
  <c r="P39" i="6"/>
  <c r="Q39" i="6"/>
  <c r="O40" i="6"/>
  <c r="P40" i="6"/>
  <c r="Q40" i="6"/>
  <c r="O41" i="6"/>
  <c r="P41" i="6"/>
  <c r="Q41" i="6"/>
  <c r="O42" i="6"/>
  <c r="P42" i="6"/>
  <c r="Q42" i="6"/>
  <c r="O43" i="6"/>
  <c r="P43" i="6"/>
  <c r="Q43" i="6"/>
  <c r="O44" i="6"/>
  <c r="P44" i="6"/>
  <c r="Q44" i="6"/>
  <c r="O45" i="6"/>
  <c r="P45" i="6"/>
  <c r="Q45" i="6"/>
  <c r="O46" i="6"/>
  <c r="P46" i="6"/>
  <c r="Q46" i="6"/>
  <c r="O47" i="6"/>
  <c r="P47" i="6"/>
  <c r="Q47" i="6"/>
  <c r="O48" i="6"/>
  <c r="P48" i="6"/>
  <c r="Q48" i="6"/>
  <c r="O49" i="6"/>
  <c r="P49" i="6"/>
  <c r="Q49" i="6"/>
  <c r="P3" i="6"/>
  <c r="O3" i="6"/>
  <c r="O4" i="5"/>
  <c r="P4" i="5"/>
  <c r="Q4" i="5"/>
  <c r="O5" i="5"/>
  <c r="P5" i="5"/>
  <c r="Q5" i="5"/>
  <c r="O6" i="5"/>
  <c r="P6" i="5"/>
  <c r="Q6" i="5"/>
  <c r="O7" i="5"/>
  <c r="P7" i="5"/>
  <c r="Q7" i="5"/>
  <c r="O8" i="5"/>
  <c r="P8" i="5"/>
  <c r="Q8" i="5"/>
  <c r="O9" i="5"/>
  <c r="P9" i="5"/>
  <c r="Q9" i="5"/>
  <c r="O10" i="5"/>
  <c r="P10" i="5"/>
  <c r="Q10" i="5"/>
  <c r="O11" i="5"/>
  <c r="P11" i="5"/>
  <c r="Q11" i="5"/>
  <c r="O12" i="5"/>
  <c r="P12" i="5"/>
  <c r="Q12" i="5"/>
  <c r="O13" i="5"/>
  <c r="P13" i="5"/>
  <c r="Q13" i="5"/>
  <c r="O14" i="5"/>
  <c r="P14" i="5"/>
  <c r="Q14" i="5"/>
  <c r="O15" i="5"/>
  <c r="P15" i="5"/>
  <c r="Q15" i="5"/>
  <c r="O16" i="5"/>
  <c r="P16" i="5"/>
  <c r="Q16" i="5"/>
  <c r="O17" i="5"/>
  <c r="P17" i="5"/>
  <c r="Q17" i="5"/>
  <c r="O18" i="5"/>
  <c r="P18" i="5"/>
  <c r="Q18" i="5"/>
  <c r="O19" i="5"/>
  <c r="P19" i="5"/>
  <c r="Q19" i="5"/>
  <c r="O20" i="5"/>
  <c r="P20" i="5"/>
  <c r="Q20" i="5"/>
  <c r="O21" i="5"/>
  <c r="P21" i="5"/>
  <c r="Q21" i="5"/>
  <c r="O22" i="5"/>
  <c r="P22" i="5"/>
  <c r="Q22" i="5"/>
  <c r="O23" i="5"/>
  <c r="P23" i="5"/>
  <c r="Q23" i="5"/>
  <c r="O24" i="5"/>
  <c r="P24" i="5"/>
  <c r="Q24" i="5"/>
  <c r="O25" i="5"/>
  <c r="P25" i="5"/>
  <c r="Q25" i="5"/>
  <c r="O26" i="5"/>
  <c r="P26" i="5"/>
  <c r="Q26" i="5"/>
  <c r="O27" i="5"/>
  <c r="P27" i="5"/>
  <c r="Q27" i="5"/>
  <c r="O28" i="5"/>
  <c r="P28" i="5"/>
  <c r="Q28" i="5"/>
  <c r="O29" i="5"/>
  <c r="P29" i="5"/>
  <c r="Q29" i="5"/>
  <c r="O30" i="5"/>
  <c r="P30" i="5"/>
  <c r="Q30" i="5"/>
  <c r="O31" i="5"/>
  <c r="P31" i="5"/>
  <c r="Q31" i="5"/>
  <c r="O32" i="5"/>
  <c r="P32" i="5"/>
  <c r="Q32" i="5"/>
  <c r="O33" i="5"/>
  <c r="P33" i="5"/>
  <c r="Q33" i="5"/>
  <c r="O34" i="5"/>
  <c r="P34" i="5"/>
  <c r="Q34" i="5"/>
  <c r="O35" i="5"/>
  <c r="P35" i="5"/>
  <c r="Q35" i="5"/>
  <c r="O36" i="5"/>
  <c r="P36" i="5"/>
  <c r="Q36" i="5"/>
  <c r="O37" i="5"/>
  <c r="P37" i="5"/>
  <c r="Q37" i="5"/>
  <c r="O38" i="5"/>
  <c r="P38" i="5"/>
  <c r="Q38" i="5"/>
  <c r="O39" i="5"/>
  <c r="P39" i="5"/>
  <c r="Q39" i="5"/>
  <c r="O40" i="5"/>
  <c r="P40" i="5"/>
  <c r="Q40" i="5"/>
  <c r="O41" i="5"/>
  <c r="P41" i="5"/>
  <c r="Q41" i="5"/>
  <c r="O42" i="5"/>
  <c r="P42" i="5"/>
  <c r="Q42" i="5"/>
  <c r="O43" i="5"/>
  <c r="P43" i="5"/>
  <c r="Q43" i="5"/>
  <c r="O44" i="5"/>
  <c r="P44" i="5"/>
  <c r="Q44" i="5"/>
  <c r="O45" i="5"/>
  <c r="P45" i="5"/>
  <c r="Q45" i="5"/>
  <c r="O46" i="5"/>
  <c r="P46" i="5"/>
  <c r="Q46" i="5"/>
  <c r="O47" i="5"/>
  <c r="P47" i="5"/>
  <c r="Q47" i="5"/>
  <c r="O48" i="5"/>
  <c r="P48" i="5"/>
  <c r="Q48" i="5"/>
  <c r="O49" i="5"/>
  <c r="P49" i="5"/>
  <c r="Q49" i="5"/>
  <c r="R3" i="5"/>
  <c r="U51" i="27"/>
  <c r="G51" i="26"/>
  <c r="H51" i="26"/>
  <c r="F51" i="26"/>
  <c r="G51" i="25"/>
  <c r="H51" i="25"/>
  <c r="F51" i="25"/>
  <c r="G51" i="24"/>
  <c r="H51" i="24"/>
  <c r="F51" i="24"/>
  <c r="G51" i="23"/>
  <c r="H51" i="23"/>
  <c r="F51" i="23"/>
  <c r="G51" i="22"/>
  <c r="H51" i="22"/>
  <c r="F51" i="22"/>
  <c r="G51" i="21"/>
  <c r="H51" i="21"/>
  <c r="F51" i="21"/>
  <c r="G51" i="20"/>
  <c r="H51" i="20"/>
  <c r="F51" i="20"/>
  <c r="G51" i="19"/>
  <c r="H51" i="19"/>
  <c r="F51" i="19"/>
  <c r="G50" i="18"/>
  <c r="H50" i="18"/>
  <c r="F50" i="18"/>
  <c r="G51" i="17"/>
  <c r="H51" i="17"/>
  <c r="F51" i="17"/>
  <c r="G50" i="16"/>
  <c r="H50" i="16"/>
  <c r="F50" i="16"/>
  <c r="G50" i="15"/>
  <c r="H50" i="15"/>
  <c r="F50" i="15"/>
  <c r="G51" i="14"/>
  <c r="H51" i="14"/>
  <c r="F51" i="14"/>
  <c r="G50" i="13"/>
  <c r="H50" i="13"/>
  <c r="F50" i="13"/>
  <c r="G50" i="12"/>
  <c r="H50" i="12"/>
  <c r="F50" i="12"/>
  <c r="G50" i="11"/>
  <c r="H50" i="11"/>
  <c r="F50" i="11"/>
  <c r="G50" i="10"/>
  <c r="H50" i="10"/>
  <c r="F50" i="10"/>
  <c r="G50" i="8"/>
  <c r="H50" i="8"/>
  <c r="F50" i="8"/>
  <c r="G50" i="7"/>
  <c r="H50" i="7"/>
  <c r="F50" i="7"/>
  <c r="I50" i="6"/>
  <c r="I50" i="5"/>
  <c r="J55" i="5" s="1"/>
  <c r="F50" i="4"/>
  <c r="Q55" i="3"/>
  <c r="S50" i="3"/>
  <c r="T50" i="3"/>
  <c r="U50" i="3"/>
  <c r="V50" i="3"/>
  <c r="W50" i="3"/>
  <c r="X50" i="3"/>
  <c r="P50" i="3"/>
  <c r="X50" i="2"/>
  <c r="Y50" i="2"/>
  <c r="Z50" i="2"/>
  <c r="R50" i="2"/>
  <c r="S55" i="2" s="1"/>
  <c r="P50" i="1"/>
  <c r="P54" i="1" s="1"/>
  <c r="I5" i="27"/>
  <c r="L5" i="27" s="1"/>
  <c r="J5" i="27"/>
  <c r="M5" i="27" s="1"/>
  <c r="K5" i="27"/>
  <c r="I6" i="27"/>
  <c r="L6" i="27" s="1"/>
  <c r="J6" i="27"/>
  <c r="M6" i="27" s="1"/>
  <c r="K6" i="27"/>
  <c r="N6" i="27" s="1"/>
  <c r="I7" i="27"/>
  <c r="L7" i="27" s="1"/>
  <c r="J7" i="27"/>
  <c r="M7" i="27" s="1"/>
  <c r="K7" i="27"/>
  <c r="N7" i="27" s="1"/>
  <c r="I8" i="27"/>
  <c r="L8" i="27" s="1"/>
  <c r="J8" i="27"/>
  <c r="M8" i="27" s="1"/>
  <c r="K8" i="27"/>
  <c r="N8" i="27" s="1"/>
  <c r="I9" i="27"/>
  <c r="L9" i="27" s="1"/>
  <c r="J9" i="27"/>
  <c r="M9" i="27" s="1"/>
  <c r="K9" i="27"/>
  <c r="N9" i="27" s="1"/>
  <c r="I10" i="27"/>
  <c r="L10" i="27" s="1"/>
  <c r="J10" i="27"/>
  <c r="M10" i="27" s="1"/>
  <c r="K10" i="27"/>
  <c r="N10" i="27" s="1"/>
  <c r="I11" i="27"/>
  <c r="L11" i="27" s="1"/>
  <c r="J11" i="27"/>
  <c r="M11" i="27" s="1"/>
  <c r="K11" i="27"/>
  <c r="N11" i="27" s="1"/>
  <c r="I12" i="27"/>
  <c r="L12" i="27" s="1"/>
  <c r="J12" i="27"/>
  <c r="M12" i="27" s="1"/>
  <c r="K12" i="27"/>
  <c r="N12" i="27" s="1"/>
  <c r="I13" i="27"/>
  <c r="L13" i="27" s="1"/>
  <c r="J13" i="27"/>
  <c r="M13" i="27" s="1"/>
  <c r="K13" i="27"/>
  <c r="N13" i="27" s="1"/>
  <c r="I14" i="27"/>
  <c r="L14" i="27" s="1"/>
  <c r="J14" i="27"/>
  <c r="M14" i="27" s="1"/>
  <c r="K14" i="27"/>
  <c r="N14" i="27" s="1"/>
  <c r="I15" i="27"/>
  <c r="L15" i="27" s="1"/>
  <c r="J15" i="27"/>
  <c r="M15" i="27" s="1"/>
  <c r="K15" i="27"/>
  <c r="N15" i="27" s="1"/>
  <c r="I16" i="27"/>
  <c r="L16" i="27" s="1"/>
  <c r="J16" i="27"/>
  <c r="M16" i="27" s="1"/>
  <c r="K16" i="27"/>
  <c r="N16" i="27" s="1"/>
  <c r="I17" i="27"/>
  <c r="L17" i="27" s="1"/>
  <c r="J17" i="27"/>
  <c r="M17" i="27" s="1"/>
  <c r="K17" i="27"/>
  <c r="N17" i="27" s="1"/>
  <c r="I18" i="27"/>
  <c r="L18" i="27" s="1"/>
  <c r="J18" i="27"/>
  <c r="M18" i="27" s="1"/>
  <c r="K18" i="27"/>
  <c r="N18" i="27" s="1"/>
  <c r="I19" i="27"/>
  <c r="L19" i="27" s="1"/>
  <c r="J19" i="27"/>
  <c r="M19" i="27" s="1"/>
  <c r="K19" i="27"/>
  <c r="N19" i="27" s="1"/>
  <c r="I20" i="27"/>
  <c r="L20" i="27" s="1"/>
  <c r="J20" i="27"/>
  <c r="M20" i="27" s="1"/>
  <c r="K20" i="27"/>
  <c r="N20" i="27" s="1"/>
  <c r="I21" i="27"/>
  <c r="L21" i="27" s="1"/>
  <c r="J21" i="27"/>
  <c r="M21" i="27" s="1"/>
  <c r="K21" i="27"/>
  <c r="N21" i="27" s="1"/>
  <c r="I22" i="27"/>
  <c r="L22" i="27" s="1"/>
  <c r="J22" i="27"/>
  <c r="M22" i="27" s="1"/>
  <c r="K22" i="27"/>
  <c r="N22" i="27" s="1"/>
  <c r="I23" i="27"/>
  <c r="L23" i="27" s="1"/>
  <c r="J23" i="27"/>
  <c r="M23" i="27" s="1"/>
  <c r="K23" i="27"/>
  <c r="N23" i="27" s="1"/>
  <c r="I24" i="27"/>
  <c r="L24" i="27" s="1"/>
  <c r="J24" i="27"/>
  <c r="M24" i="27" s="1"/>
  <c r="K24" i="27"/>
  <c r="N24" i="27" s="1"/>
  <c r="I25" i="27"/>
  <c r="L25" i="27" s="1"/>
  <c r="J25" i="27"/>
  <c r="M25" i="27" s="1"/>
  <c r="I26" i="27"/>
  <c r="L26" i="27" s="1"/>
  <c r="J26" i="27"/>
  <c r="M26" i="27" s="1"/>
  <c r="K26" i="27"/>
  <c r="N26" i="27" s="1"/>
  <c r="I27" i="27"/>
  <c r="L27" i="27" s="1"/>
  <c r="J27" i="27"/>
  <c r="M27" i="27" s="1"/>
  <c r="K27" i="27"/>
  <c r="N27" i="27" s="1"/>
  <c r="I28" i="27"/>
  <c r="L28" i="27" s="1"/>
  <c r="J28" i="27"/>
  <c r="M28" i="27" s="1"/>
  <c r="K28" i="27"/>
  <c r="N28" i="27" s="1"/>
  <c r="I29" i="27"/>
  <c r="L29" i="27" s="1"/>
  <c r="J29" i="27"/>
  <c r="M29" i="27" s="1"/>
  <c r="K29" i="27"/>
  <c r="N29" i="27" s="1"/>
  <c r="I30" i="27"/>
  <c r="L30" i="27" s="1"/>
  <c r="J30" i="27"/>
  <c r="M30" i="27" s="1"/>
  <c r="K30" i="27"/>
  <c r="N30" i="27" s="1"/>
  <c r="I31" i="27"/>
  <c r="L31" i="27" s="1"/>
  <c r="J31" i="27"/>
  <c r="M31" i="27" s="1"/>
  <c r="K31" i="27"/>
  <c r="N31" i="27" s="1"/>
  <c r="I32" i="27"/>
  <c r="L32" i="27" s="1"/>
  <c r="J32" i="27"/>
  <c r="M32" i="27" s="1"/>
  <c r="K32" i="27"/>
  <c r="N32" i="27" s="1"/>
  <c r="I33" i="27"/>
  <c r="L33" i="27" s="1"/>
  <c r="J33" i="27"/>
  <c r="M33" i="27" s="1"/>
  <c r="K33" i="27"/>
  <c r="N33" i="27" s="1"/>
  <c r="I34" i="27"/>
  <c r="L34" i="27" s="1"/>
  <c r="J34" i="27"/>
  <c r="M34" i="27" s="1"/>
  <c r="K34" i="27"/>
  <c r="N34" i="27" s="1"/>
  <c r="I35" i="27"/>
  <c r="L35" i="27" s="1"/>
  <c r="J35" i="27"/>
  <c r="M35" i="27" s="1"/>
  <c r="K35" i="27"/>
  <c r="N35" i="27" s="1"/>
  <c r="I36" i="27"/>
  <c r="L36" i="27" s="1"/>
  <c r="J36" i="27"/>
  <c r="M36" i="27" s="1"/>
  <c r="K36" i="27"/>
  <c r="N36" i="27" s="1"/>
  <c r="I37" i="27"/>
  <c r="L37" i="27" s="1"/>
  <c r="J37" i="27"/>
  <c r="M37" i="27" s="1"/>
  <c r="K37" i="27"/>
  <c r="N37" i="27" s="1"/>
  <c r="I38" i="27"/>
  <c r="L38" i="27" s="1"/>
  <c r="J38" i="27"/>
  <c r="M38" i="27" s="1"/>
  <c r="K38" i="27"/>
  <c r="N38" i="27" s="1"/>
  <c r="I39" i="27"/>
  <c r="L39" i="27" s="1"/>
  <c r="J39" i="27"/>
  <c r="M39" i="27" s="1"/>
  <c r="K39" i="27"/>
  <c r="N39" i="27" s="1"/>
  <c r="I40" i="27"/>
  <c r="L40" i="27" s="1"/>
  <c r="J40" i="27"/>
  <c r="M40" i="27" s="1"/>
  <c r="K40" i="27"/>
  <c r="N40" i="27" s="1"/>
  <c r="I41" i="27"/>
  <c r="L41" i="27" s="1"/>
  <c r="J41" i="27"/>
  <c r="M41" i="27" s="1"/>
  <c r="K41" i="27"/>
  <c r="N41" i="27" s="1"/>
  <c r="I42" i="27"/>
  <c r="L42" i="27" s="1"/>
  <c r="J42" i="27"/>
  <c r="M42" i="27" s="1"/>
  <c r="K42" i="27"/>
  <c r="N42" i="27" s="1"/>
  <c r="I43" i="27"/>
  <c r="L43" i="27" s="1"/>
  <c r="J43" i="27"/>
  <c r="M43" i="27" s="1"/>
  <c r="K43" i="27"/>
  <c r="N43" i="27" s="1"/>
  <c r="I44" i="27"/>
  <c r="L44" i="27" s="1"/>
  <c r="J44" i="27"/>
  <c r="M44" i="27" s="1"/>
  <c r="K44" i="27"/>
  <c r="N44" i="27" s="1"/>
  <c r="I45" i="27"/>
  <c r="J45" i="27"/>
  <c r="M45" i="27" s="1"/>
  <c r="K45" i="27"/>
  <c r="N45" i="27" s="1"/>
  <c r="I46" i="27"/>
  <c r="L46" i="27" s="1"/>
  <c r="J46" i="27"/>
  <c r="M46" i="27" s="1"/>
  <c r="K46" i="27"/>
  <c r="N46" i="27" s="1"/>
  <c r="I47" i="27"/>
  <c r="L47" i="27" s="1"/>
  <c r="J47" i="27"/>
  <c r="M47" i="27" s="1"/>
  <c r="K47" i="27"/>
  <c r="N47" i="27" s="1"/>
  <c r="I48" i="27"/>
  <c r="L48" i="27" s="1"/>
  <c r="J48" i="27"/>
  <c r="M48" i="27" s="1"/>
  <c r="K48" i="27"/>
  <c r="N48" i="27" s="1"/>
  <c r="I49" i="27"/>
  <c r="L49" i="27" s="1"/>
  <c r="J49" i="27"/>
  <c r="M49" i="27" s="1"/>
  <c r="K49" i="27"/>
  <c r="N49" i="27" s="1"/>
  <c r="I50" i="27"/>
  <c r="L50" i="27" s="1"/>
  <c r="J50" i="27"/>
  <c r="M50" i="27" s="1"/>
  <c r="K50" i="27"/>
  <c r="N50" i="27" s="1"/>
  <c r="J4" i="27"/>
  <c r="N4" i="27"/>
  <c r="I4" i="27"/>
  <c r="R46" i="5" l="1"/>
  <c r="R38" i="5"/>
  <c r="R30" i="5"/>
  <c r="R22" i="5"/>
  <c r="R14" i="5"/>
  <c r="R8" i="6"/>
  <c r="R44" i="6"/>
  <c r="R36" i="6"/>
  <c r="R49" i="6"/>
  <c r="R41" i="6"/>
  <c r="R33" i="6"/>
  <c r="R25" i="6"/>
  <c r="R9" i="6"/>
  <c r="R46" i="6"/>
  <c r="R38" i="6"/>
  <c r="R30" i="6"/>
  <c r="R22" i="6"/>
  <c r="R14" i="6"/>
  <c r="R6" i="6"/>
  <c r="R43" i="6"/>
  <c r="R35" i="6"/>
  <c r="R27" i="6"/>
  <c r="R19" i="6"/>
  <c r="R5" i="6"/>
  <c r="R49" i="5"/>
  <c r="R9" i="5"/>
  <c r="R5" i="5"/>
  <c r="R4" i="5"/>
  <c r="R45" i="5"/>
  <c r="R37" i="5"/>
  <c r="R29" i="5"/>
  <c r="R42" i="5"/>
  <c r="R34" i="5"/>
  <c r="R26" i="5"/>
  <c r="R18" i="5"/>
  <c r="R10" i="5"/>
  <c r="R47" i="5"/>
  <c r="R39" i="5"/>
  <c r="R15" i="5"/>
  <c r="R7" i="5"/>
  <c r="N25" i="27"/>
  <c r="Q23" i="27"/>
  <c r="Q5" i="27"/>
  <c r="L4" i="27"/>
  <c r="L51" i="27"/>
  <c r="M4" i="27"/>
  <c r="M51" i="27"/>
  <c r="N5" i="27"/>
  <c r="R17" i="6"/>
  <c r="R11" i="6"/>
  <c r="R42" i="6"/>
  <c r="R34" i="6"/>
  <c r="R3" i="6"/>
  <c r="R23" i="5"/>
  <c r="R44" i="5"/>
  <c r="R36" i="5"/>
  <c r="R28" i="5"/>
  <c r="R20" i="5"/>
  <c r="R12" i="5"/>
  <c r="R41" i="5"/>
  <c r="R33" i="5"/>
  <c r="R31" i="5"/>
  <c r="R25" i="5"/>
  <c r="R17" i="5"/>
  <c r="R6" i="5"/>
  <c r="R43" i="5"/>
  <c r="R35" i="5"/>
  <c r="R27" i="5"/>
  <c r="R19" i="5"/>
  <c r="R11" i="5"/>
  <c r="Q45" i="27"/>
  <c r="Q37" i="27"/>
  <c r="Q29" i="27"/>
  <c r="Q21" i="27"/>
  <c r="Q13" i="27"/>
  <c r="Q44" i="27"/>
  <c r="Q28" i="27"/>
  <c r="Q20" i="27"/>
  <c r="Q43" i="27"/>
  <c r="Q35" i="27"/>
  <c r="Q27" i="27"/>
  <c r="Q19" i="27"/>
  <c r="Q11" i="27"/>
  <c r="Q48" i="27"/>
  <c r="Q40" i="27"/>
  <c r="Q32" i="27"/>
  <c r="Q24" i="27"/>
  <c r="Q16" i="27"/>
  <c r="Q8" i="27"/>
  <c r="Q50" i="27"/>
  <c r="Q18" i="27"/>
  <c r="Q42" i="27"/>
  <c r="Q34" i="27"/>
  <c r="Q26" i="27"/>
  <c r="Q10" i="27"/>
  <c r="Q49" i="27"/>
  <c r="Q41" i="27"/>
  <c r="Q33" i="27"/>
  <c r="Q25" i="27"/>
  <c r="Q17" i="27"/>
  <c r="Q9" i="27"/>
  <c r="Q36" i="27"/>
  <c r="Q12" i="27"/>
  <c r="O54" i="27"/>
  <c r="P54" i="27" s="1"/>
  <c r="Q4" i="27"/>
  <c r="AD53" i="27"/>
  <c r="AE53" i="27" s="1"/>
  <c r="AE54" i="27" s="1"/>
  <c r="O53" i="27"/>
  <c r="P53" i="27" s="1"/>
  <c r="AD54" i="27"/>
  <c r="R48" i="6"/>
  <c r="R40" i="6"/>
  <c r="R32" i="6"/>
  <c r="R24" i="6"/>
  <c r="R16" i="6"/>
  <c r="R45" i="6"/>
  <c r="R37" i="6"/>
  <c r="R29" i="6"/>
  <c r="R21" i="6"/>
  <c r="R13" i="6"/>
  <c r="R26" i="6"/>
  <c r="R18" i="6"/>
  <c r="R10" i="6"/>
  <c r="R47" i="6"/>
  <c r="R39" i="6"/>
  <c r="R31" i="6"/>
  <c r="R23" i="6"/>
  <c r="R15" i="6"/>
  <c r="R7" i="6"/>
  <c r="R28" i="6"/>
  <c r="R20" i="6"/>
  <c r="R12" i="6"/>
  <c r="R4" i="6"/>
  <c r="R48" i="5"/>
  <c r="R40" i="5"/>
  <c r="R32" i="5"/>
  <c r="R24" i="5"/>
  <c r="R16" i="5"/>
  <c r="R8" i="5"/>
  <c r="R21" i="5"/>
  <c r="R13" i="5"/>
  <c r="E53" i="5"/>
  <c r="C53" i="5"/>
  <c r="Q53" i="27" l="1"/>
  <c r="K56" i="27"/>
  <c r="J56" i="27"/>
  <c r="J58" i="27"/>
  <c r="N51" i="27"/>
  <c r="O55" i="27"/>
  <c r="P55" i="27" s="1"/>
  <c r="D58" i="5"/>
</calcChain>
</file>

<file path=xl/sharedStrings.xml><?xml version="1.0" encoding="utf-8"?>
<sst xmlns="http://schemas.openxmlformats.org/spreadsheetml/2006/main" count="3528" uniqueCount="547">
  <si>
    <t>Algeria</t>
  </si>
  <si>
    <t>Angola</t>
  </si>
  <si>
    <t>Benin</t>
  </si>
  <si>
    <t>Botswana</t>
  </si>
  <si>
    <t>Burkina Faso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</si>
  <si>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</si>
  <si>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</si>
  <si>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</si>
  <si>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</si>
  <si>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</si>
  <si>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</si>
  <si>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</si>
  <si>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</si>
  <si>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</si>
  <si>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</si>
  <si>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</si>
  <si>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</si>
  <si>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</si>
  <si>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</si>
  <si>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</si>
  <si>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</si>
  <si>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</si>
  <si>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</si>
  <si>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</si>
  <si>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</si>
  <si>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</si>
  <si>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</si>
  <si>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</si>
  <si>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</si>
  <si>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</si>
  <si>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</si>
  <si>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</si>
  <si>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</si>
  <si>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</si>
  <si>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</si>
  <si>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</si>
  <si>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</si>
  <si>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</si>
  <si>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</si>
  <si>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</si>
  <si>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</si>
  <si>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</si>
  <si>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</si>
  <si>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</si>
  <si>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</si>
  <si>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</si>
  <si>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</si>
  <si>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AFRO</t>
  </si>
  <si>
    <t>Country</t>
  </si>
  <si>
    <t xml:space="preserve"> Generalist Medical Practitioners </t>
  </si>
  <si>
    <t xml:space="preserve"> Specialist Medical Practitioners</t>
  </si>
  <si>
    <t>Adjusted 2022</t>
  </si>
  <si>
    <t>S No</t>
  </si>
  <si>
    <t>Medical Doctors*</t>
  </si>
  <si>
    <t>Medical Doctors* - Generalists, Specialists and the undifined</t>
  </si>
  <si>
    <t xml:space="preserve"> Nursing Professionals </t>
  </si>
  <si>
    <t xml:space="preserve"> Nursing Associate Professionals </t>
  </si>
  <si>
    <t xml:space="preserve"> Nursing Personnel* </t>
  </si>
  <si>
    <t>Nursing Personnel* - nursing professionals, associate professionals and the undifined</t>
  </si>
  <si>
    <t xml:space="preserve"> Midwifery Associate Professionals </t>
  </si>
  <si>
    <t xml:space="preserve"> Midwifery Professionals </t>
  </si>
  <si>
    <t xml:space="preserve"> Dental Assistants and Therapists </t>
  </si>
  <si>
    <t>Dentists</t>
  </si>
  <si>
    <t>Total</t>
  </si>
  <si>
    <t>Total (Dentists and Assistants)</t>
  </si>
  <si>
    <t xml:space="preserve"> Pharmacists</t>
  </si>
  <si>
    <t xml:space="preserve"> Pharmaceutical Technicians and Assistants</t>
  </si>
  <si>
    <t>Community health workers</t>
  </si>
  <si>
    <t xml:space="preserve"> Psychologists </t>
  </si>
  <si>
    <t xml:space="preserve">Audiologists and Speech Therapists </t>
  </si>
  <si>
    <t>Dieticians and nutritionists</t>
  </si>
  <si>
    <t>Environmental and occupational health &amp; hygiene workers</t>
  </si>
  <si>
    <t>The numbers are erratic</t>
  </si>
  <si>
    <t>Managerial staff</t>
  </si>
  <si>
    <t xml:space="preserve">Medical and dental Prosthetic Technicians </t>
  </si>
  <si>
    <t xml:space="preserve">Medical and Pathology Laboratory scientists </t>
  </si>
  <si>
    <t xml:space="preserve">Medical and Pathology Laboratory Technicians </t>
  </si>
  <si>
    <t xml:space="preserve">Medical Assistants </t>
  </si>
  <si>
    <t xml:space="preserve">Medical Imaging and Therapeutic Equipment Technicians </t>
  </si>
  <si>
    <t xml:space="preserve">Medical Records and Health Information Technicians </t>
  </si>
  <si>
    <t>Optometrists and Ophthalmic Opticians</t>
  </si>
  <si>
    <t xml:space="preserve">Other non-medical professional staff </t>
  </si>
  <si>
    <t xml:space="preserve">Other non-medical support staff </t>
  </si>
  <si>
    <t xml:space="preserve">Paramedical Practitioners </t>
  </si>
  <si>
    <t>Personal care workers in health service</t>
  </si>
  <si>
    <t>Physiotherapists and physiotherapy assistants</t>
  </si>
  <si>
    <t>Social workers</t>
  </si>
  <si>
    <t>Traditional and complementary medicine practitioners</t>
  </si>
  <si>
    <t>Core* - Doctors, Nurses, midwives, pharmacists and Dentists</t>
  </si>
  <si>
    <t>Other workers</t>
  </si>
  <si>
    <t xml:space="preserve">Percentage of core health workforce </t>
  </si>
  <si>
    <t xml:space="preserve"> Density per 10,000 (2013)</t>
  </si>
  <si>
    <t xml:space="preserve"> Density per 10,000 (2018)</t>
  </si>
  <si>
    <t xml:space="preserve"> Density per 10,000 (2022)</t>
  </si>
  <si>
    <t xml:space="preserve"> Midwifery personnel*</t>
  </si>
  <si>
    <t xml:space="preserve"> Midwifery personnel* - professional and associate professionals</t>
  </si>
  <si>
    <t>Midwives and nurses</t>
  </si>
  <si>
    <t>Correlations</t>
  </si>
  <si>
    <t>che_gdp</t>
  </si>
  <si>
    <t>che_pc_usd</t>
  </si>
  <si>
    <t>dom_che</t>
  </si>
  <si>
    <t>gghed_che</t>
  </si>
  <si>
    <t>pvtd_che</t>
  </si>
  <si>
    <t>oops_che</t>
  </si>
  <si>
    <t>ext_che</t>
  </si>
  <si>
    <t>gghed_gdp</t>
  </si>
  <si>
    <t>gghed_gge</t>
  </si>
  <si>
    <t>gghed_pc_usd</t>
  </si>
  <si>
    <t>pvtd_pc_usd</t>
  </si>
  <si>
    <t>oop_pc_usd</t>
  </si>
  <si>
    <t>ext_pc_usd</t>
  </si>
  <si>
    <t>Core health workforce density</t>
  </si>
  <si>
    <t>Other workers density</t>
  </si>
  <si>
    <t>Total Workforce density</t>
  </si>
  <si>
    <t>Service capacity and access</t>
  </si>
  <si>
    <t>NCDs</t>
  </si>
  <si>
    <t>Infectious diseases</t>
  </si>
  <si>
    <t>RMNCAH</t>
  </si>
  <si>
    <t>HALE</t>
  </si>
  <si>
    <t>Doctors</t>
  </si>
  <si>
    <t>Nurses</t>
  </si>
  <si>
    <t>Midwives</t>
  </si>
  <si>
    <t>Pharmacists</t>
  </si>
  <si>
    <t>Spearman's rho</t>
  </si>
  <si>
    <t>Correlation Coefficient</t>
  </si>
  <si>
    <t>Sig. (2-tailed)</t>
  </si>
  <si>
    <t>N</t>
  </si>
  <si>
    <t>*. Correlation is significant at the 0.05 level (2-tailed).</t>
  </si>
  <si>
    <t>**. Correlation is significant at the 0.01 level (2-tailed).</t>
  </si>
  <si>
    <r>
      <t>-.357</t>
    </r>
    <r>
      <rPr>
        <vertAlign val="superscript"/>
        <sz val="9"/>
        <color indexed="8"/>
        <rFont val="Arial"/>
      </rPr>
      <t>*</t>
    </r>
  </si>
  <si>
    <r>
      <t>-.359</t>
    </r>
    <r>
      <rPr>
        <vertAlign val="superscript"/>
        <sz val="9"/>
        <color indexed="8"/>
        <rFont val="Arial"/>
      </rPr>
      <t>*</t>
    </r>
  </si>
  <si>
    <r>
      <t>.530</t>
    </r>
    <r>
      <rPr>
        <vertAlign val="superscript"/>
        <sz val="9"/>
        <color indexed="8"/>
        <rFont val="Arial"/>
      </rPr>
      <t>**</t>
    </r>
  </si>
  <si>
    <r>
      <t>.335</t>
    </r>
    <r>
      <rPr>
        <vertAlign val="superscript"/>
        <sz val="9"/>
        <color indexed="8"/>
        <rFont val="Arial"/>
      </rPr>
      <t>*</t>
    </r>
  </si>
  <si>
    <r>
      <t>.514</t>
    </r>
    <r>
      <rPr>
        <vertAlign val="superscript"/>
        <sz val="9"/>
        <color indexed="8"/>
        <rFont val="Arial"/>
      </rPr>
      <t>**</t>
    </r>
  </si>
  <si>
    <r>
      <t>.413</t>
    </r>
    <r>
      <rPr>
        <vertAlign val="superscript"/>
        <sz val="9"/>
        <color indexed="8"/>
        <rFont val="Arial"/>
      </rPr>
      <t>**</t>
    </r>
  </si>
  <si>
    <r>
      <t>.298</t>
    </r>
    <r>
      <rPr>
        <vertAlign val="superscript"/>
        <sz val="9"/>
        <color indexed="8"/>
        <rFont val="Arial"/>
      </rPr>
      <t>*</t>
    </r>
  </si>
  <si>
    <r>
      <t>.312</t>
    </r>
    <r>
      <rPr>
        <vertAlign val="superscript"/>
        <sz val="9"/>
        <color indexed="8"/>
        <rFont val="Arial"/>
      </rPr>
      <t>*</t>
    </r>
  </si>
  <si>
    <r>
      <t>.405</t>
    </r>
    <r>
      <rPr>
        <vertAlign val="superscript"/>
        <sz val="9"/>
        <color indexed="8"/>
        <rFont val="Arial"/>
      </rPr>
      <t>**</t>
    </r>
  </si>
  <si>
    <r>
      <t>.627</t>
    </r>
    <r>
      <rPr>
        <vertAlign val="superscript"/>
        <sz val="9"/>
        <color indexed="8"/>
        <rFont val="Arial"/>
      </rPr>
      <t>**</t>
    </r>
  </si>
  <si>
    <r>
      <t>.620</t>
    </r>
    <r>
      <rPr>
        <vertAlign val="superscript"/>
        <sz val="9"/>
        <color indexed="8"/>
        <rFont val="Arial"/>
      </rPr>
      <t>**</t>
    </r>
  </si>
  <si>
    <r>
      <t>-.627</t>
    </r>
    <r>
      <rPr>
        <vertAlign val="superscript"/>
        <sz val="9"/>
        <color indexed="8"/>
        <rFont val="Arial"/>
      </rPr>
      <t>**</t>
    </r>
  </si>
  <si>
    <r>
      <t>.539</t>
    </r>
    <r>
      <rPr>
        <vertAlign val="superscript"/>
        <sz val="9"/>
        <color indexed="8"/>
        <rFont val="Arial"/>
      </rPr>
      <t>**</t>
    </r>
  </si>
  <si>
    <r>
      <t>.479</t>
    </r>
    <r>
      <rPr>
        <vertAlign val="superscript"/>
        <sz val="9"/>
        <color indexed="8"/>
        <rFont val="Arial"/>
      </rPr>
      <t>**</t>
    </r>
  </si>
  <si>
    <r>
      <t>.877</t>
    </r>
    <r>
      <rPr>
        <vertAlign val="superscript"/>
        <sz val="9"/>
        <color indexed="8"/>
        <rFont val="Arial"/>
      </rPr>
      <t>**</t>
    </r>
  </si>
  <si>
    <r>
      <t>.848</t>
    </r>
    <r>
      <rPr>
        <vertAlign val="superscript"/>
        <sz val="9"/>
        <color indexed="8"/>
        <rFont val="Arial"/>
      </rPr>
      <t>**</t>
    </r>
  </si>
  <si>
    <r>
      <t>.716</t>
    </r>
    <r>
      <rPr>
        <vertAlign val="superscript"/>
        <sz val="9"/>
        <color indexed="8"/>
        <rFont val="Arial"/>
      </rPr>
      <t>**</t>
    </r>
  </si>
  <si>
    <r>
      <t>.742</t>
    </r>
    <r>
      <rPr>
        <vertAlign val="superscript"/>
        <sz val="9"/>
        <color indexed="8"/>
        <rFont val="Arial"/>
      </rPr>
      <t>**</t>
    </r>
  </si>
  <si>
    <r>
      <t>.564</t>
    </r>
    <r>
      <rPr>
        <vertAlign val="superscript"/>
        <sz val="9"/>
        <color indexed="8"/>
        <rFont val="Arial"/>
      </rPr>
      <t>**</t>
    </r>
  </si>
  <si>
    <r>
      <t>.698</t>
    </r>
    <r>
      <rPr>
        <vertAlign val="superscript"/>
        <sz val="9"/>
        <color indexed="8"/>
        <rFont val="Arial"/>
      </rPr>
      <t>**</t>
    </r>
  </si>
  <si>
    <r>
      <t>.730</t>
    </r>
    <r>
      <rPr>
        <vertAlign val="superscript"/>
        <sz val="9"/>
        <color indexed="8"/>
        <rFont val="Arial"/>
      </rPr>
      <t>**</t>
    </r>
  </si>
  <si>
    <r>
      <t>.387</t>
    </r>
    <r>
      <rPr>
        <vertAlign val="superscript"/>
        <sz val="9"/>
        <color indexed="8"/>
        <rFont val="Arial"/>
      </rPr>
      <t>**</t>
    </r>
  </si>
  <si>
    <r>
      <t>.538</t>
    </r>
    <r>
      <rPr>
        <vertAlign val="superscript"/>
        <sz val="9"/>
        <color indexed="8"/>
        <rFont val="Arial"/>
      </rPr>
      <t>**</t>
    </r>
  </si>
  <si>
    <r>
      <t>.710</t>
    </r>
    <r>
      <rPr>
        <vertAlign val="superscript"/>
        <sz val="9"/>
        <color indexed="8"/>
        <rFont val="Arial"/>
      </rPr>
      <t>**</t>
    </r>
  </si>
  <si>
    <r>
      <t>.652</t>
    </r>
    <r>
      <rPr>
        <vertAlign val="superscript"/>
        <sz val="9"/>
        <color indexed="8"/>
        <rFont val="Arial"/>
      </rPr>
      <t>**</t>
    </r>
  </si>
  <si>
    <r>
      <t>.589</t>
    </r>
    <r>
      <rPr>
        <vertAlign val="superscript"/>
        <sz val="9"/>
        <color indexed="8"/>
        <rFont val="Arial"/>
      </rPr>
      <t>**</t>
    </r>
  </si>
  <si>
    <r>
      <t>.418</t>
    </r>
    <r>
      <rPr>
        <vertAlign val="superscript"/>
        <sz val="9"/>
        <color indexed="8"/>
        <rFont val="Arial"/>
      </rPr>
      <t>**</t>
    </r>
  </si>
  <si>
    <r>
      <t>.487</t>
    </r>
    <r>
      <rPr>
        <vertAlign val="superscript"/>
        <sz val="9"/>
        <color indexed="8"/>
        <rFont val="Arial"/>
      </rPr>
      <t>**</t>
    </r>
  </si>
  <si>
    <r>
      <t>-1.000</t>
    </r>
    <r>
      <rPr>
        <vertAlign val="superscript"/>
        <sz val="9"/>
        <color indexed="8"/>
        <rFont val="Arial"/>
      </rPr>
      <t>**</t>
    </r>
  </si>
  <si>
    <r>
      <t>.602</t>
    </r>
    <r>
      <rPr>
        <vertAlign val="superscript"/>
        <sz val="9"/>
        <color indexed="8"/>
        <rFont val="Arial"/>
      </rPr>
      <t>**</t>
    </r>
  </si>
  <si>
    <r>
      <t>.850</t>
    </r>
    <r>
      <rPr>
        <vertAlign val="superscript"/>
        <sz val="9"/>
        <color indexed="8"/>
        <rFont val="Arial"/>
      </rPr>
      <t>**</t>
    </r>
  </si>
  <si>
    <r>
      <t>.832</t>
    </r>
    <r>
      <rPr>
        <vertAlign val="superscript"/>
        <sz val="9"/>
        <color indexed="8"/>
        <rFont val="Arial"/>
      </rPr>
      <t>**</t>
    </r>
  </si>
  <si>
    <r>
      <t>-.636</t>
    </r>
    <r>
      <rPr>
        <vertAlign val="superscript"/>
        <sz val="9"/>
        <color indexed="8"/>
        <rFont val="Arial"/>
      </rPr>
      <t>**</t>
    </r>
  </si>
  <si>
    <r>
      <t>.407</t>
    </r>
    <r>
      <rPr>
        <vertAlign val="superscript"/>
        <sz val="9"/>
        <color indexed="8"/>
        <rFont val="Arial"/>
      </rPr>
      <t>**</t>
    </r>
  </si>
  <si>
    <r>
      <t>.366</t>
    </r>
    <r>
      <rPr>
        <vertAlign val="superscript"/>
        <sz val="9"/>
        <color indexed="8"/>
        <rFont val="Arial"/>
      </rPr>
      <t>*</t>
    </r>
  </si>
  <si>
    <r>
      <t>.361</t>
    </r>
    <r>
      <rPr>
        <vertAlign val="superscript"/>
        <sz val="9"/>
        <color indexed="8"/>
        <rFont val="Arial"/>
      </rPr>
      <t>*</t>
    </r>
  </si>
  <si>
    <r>
      <t>.392</t>
    </r>
    <r>
      <rPr>
        <vertAlign val="superscript"/>
        <sz val="9"/>
        <color indexed="8"/>
        <rFont val="Arial"/>
      </rPr>
      <t>**</t>
    </r>
  </si>
  <si>
    <r>
      <t>.318</t>
    </r>
    <r>
      <rPr>
        <vertAlign val="superscript"/>
        <sz val="9"/>
        <color indexed="8"/>
        <rFont val="Arial"/>
      </rPr>
      <t>*</t>
    </r>
  </si>
  <si>
    <r>
      <t>-.534</t>
    </r>
    <r>
      <rPr>
        <vertAlign val="superscript"/>
        <sz val="9"/>
        <color indexed="8"/>
        <rFont val="Arial"/>
      </rPr>
      <t>**</t>
    </r>
  </si>
  <si>
    <r>
      <t>-.635</t>
    </r>
    <r>
      <rPr>
        <vertAlign val="superscript"/>
        <sz val="9"/>
        <color indexed="8"/>
        <rFont val="Arial"/>
      </rPr>
      <t>**</t>
    </r>
  </si>
  <si>
    <r>
      <t>-.418</t>
    </r>
    <r>
      <rPr>
        <vertAlign val="superscript"/>
        <sz val="9"/>
        <color indexed="8"/>
        <rFont val="Arial"/>
      </rPr>
      <t>**</t>
    </r>
  </si>
  <si>
    <r>
      <t>.835</t>
    </r>
    <r>
      <rPr>
        <vertAlign val="superscript"/>
        <sz val="9"/>
        <color indexed="8"/>
        <rFont val="Arial"/>
      </rPr>
      <t>**</t>
    </r>
  </si>
  <si>
    <r>
      <t>.868</t>
    </r>
    <r>
      <rPr>
        <vertAlign val="superscript"/>
        <sz val="9"/>
        <color indexed="8"/>
        <rFont val="Arial"/>
      </rPr>
      <t>**</t>
    </r>
  </si>
  <si>
    <r>
      <t>.881</t>
    </r>
    <r>
      <rPr>
        <vertAlign val="superscript"/>
        <sz val="9"/>
        <color indexed="8"/>
        <rFont val="Arial"/>
      </rPr>
      <t>**</t>
    </r>
  </si>
  <si>
    <r>
      <t>.341</t>
    </r>
    <r>
      <rPr>
        <vertAlign val="superscript"/>
        <sz val="9"/>
        <color indexed="8"/>
        <rFont val="Arial"/>
      </rPr>
      <t>*</t>
    </r>
  </si>
  <si>
    <r>
      <t>.632</t>
    </r>
    <r>
      <rPr>
        <vertAlign val="superscript"/>
        <sz val="9"/>
        <color indexed="8"/>
        <rFont val="Arial"/>
      </rPr>
      <t>**</t>
    </r>
  </si>
  <si>
    <r>
      <t>.497</t>
    </r>
    <r>
      <rPr>
        <vertAlign val="superscript"/>
        <sz val="9"/>
        <color indexed="8"/>
        <rFont val="Arial"/>
      </rPr>
      <t>**</t>
    </r>
  </si>
  <si>
    <r>
      <t>.622</t>
    </r>
    <r>
      <rPr>
        <vertAlign val="superscript"/>
        <sz val="9"/>
        <color indexed="8"/>
        <rFont val="Arial"/>
      </rPr>
      <t>**</t>
    </r>
  </si>
  <si>
    <r>
      <t>.612</t>
    </r>
    <r>
      <rPr>
        <vertAlign val="superscript"/>
        <sz val="9"/>
        <color indexed="8"/>
        <rFont val="Arial"/>
      </rPr>
      <t>**</t>
    </r>
  </si>
  <si>
    <r>
      <t>.408</t>
    </r>
    <r>
      <rPr>
        <vertAlign val="superscript"/>
        <sz val="9"/>
        <color indexed="8"/>
        <rFont val="Arial"/>
      </rPr>
      <t>**</t>
    </r>
  </si>
  <si>
    <r>
      <t>.656</t>
    </r>
    <r>
      <rPr>
        <vertAlign val="superscript"/>
        <sz val="9"/>
        <color indexed="8"/>
        <rFont val="Arial"/>
      </rPr>
      <t>**</t>
    </r>
  </si>
  <si>
    <r>
      <t>.452</t>
    </r>
    <r>
      <rPr>
        <vertAlign val="superscript"/>
        <sz val="9"/>
        <color indexed="8"/>
        <rFont val="Arial"/>
      </rPr>
      <t>**</t>
    </r>
  </si>
  <si>
    <r>
      <t>.603</t>
    </r>
    <r>
      <rPr>
        <vertAlign val="superscript"/>
        <sz val="9"/>
        <color indexed="8"/>
        <rFont val="Arial"/>
      </rPr>
      <t>**</t>
    </r>
  </si>
  <si>
    <r>
      <t>.650</t>
    </r>
    <r>
      <rPr>
        <vertAlign val="superscript"/>
        <sz val="9"/>
        <color indexed="8"/>
        <rFont val="Arial"/>
      </rPr>
      <t>**</t>
    </r>
  </si>
  <si>
    <r>
      <t>.623</t>
    </r>
    <r>
      <rPr>
        <vertAlign val="superscript"/>
        <sz val="9"/>
        <color indexed="8"/>
        <rFont val="Arial"/>
      </rPr>
      <t>**</t>
    </r>
  </si>
  <si>
    <r>
      <t>.884</t>
    </r>
    <r>
      <rPr>
        <vertAlign val="superscript"/>
        <sz val="9"/>
        <color indexed="8"/>
        <rFont val="Arial"/>
      </rPr>
      <t>**</t>
    </r>
  </si>
  <si>
    <r>
      <t>-.487</t>
    </r>
    <r>
      <rPr>
        <vertAlign val="superscript"/>
        <sz val="9"/>
        <color indexed="8"/>
        <rFont val="Arial"/>
      </rPr>
      <t>**</t>
    </r>
  </si>
  <si>
    <r>
      <t>-.671</t>
    </r>
    <r>
      <rPr>
        <vertAlign val="superscript"/>
        <sz val="9"/>
        <color indexed="8"/>
        <rFont val="Arial"/>
      </rPr>
      <t>**</t>
    </r>
  </si>
  <si>
    <r>
      <t>-.594</t>
    </r>
    <r>
      <rPr>
        <vertAlign val="superscript"/>
        <sz val="9"/>
        <color indexed="8"/>
        <rFont val="Arial"/>
      </rPr>
      <t>**</t>
    </r>
  </si>
  <si>
    <r>
      <t>.389</t>
    </r>
    <r>
      <rPr>
        <vertAlign val="superscript"/>
        <sz val="9"/>
        <color indexed="8"/>
        <rFont val="Arial"/>
      </rPr>
      <t>**</t>
    </r>
  </si>
  <si>
    <r>
      <t>.534</t>
    </r>
    <r>
      <rPr>
        <vertAlign val="superscript"/>
        <sz val="9"/>
        <color indexed="8"/>
        <rFont val="Arial"/>
      </rPr>
      <t>**</t>
    </r>
  </si>
  <si>
    <r>
      <t>-.556</t>
    </r>
    <r>
      <rPr>
        <vertAlign val="superscript"/>
        <sz val="9"/>
        <color indexed="8"/>
        <rFont val="Arial"/>
      </rPr>
      <t>**</t>
    </r>
  </si>
  <si>
    <r>
      <t>-.384</t>
    </r>
    <r>
      <rPr>
        <vertAlign val="superscript"/>
        <sz val="9"/>
        <color indexed="8"/>
        <rFont val="Arial"/>
      </rPr>
      <t>**</t>
    </r>
  </si>
  <si>
    <r>
      <t>-.370</t>
    </r>
    <r>
      <rPr>
        <vertAlign val="superscript"/>
        <sz val="9"/>
        <color indexed="8"/>
        <rFont val="Arial"/>
      </rPr>
      <t>*</t>
    </r>
  </si>
  <si>
    <r>
      <t>-.289</t>
    </r>
    <r>
      <rPr>
        <vertAlign val="superscript"/>
        <sz val="9"/>
        <color indexed="8"/>
        <rFont val="Arial"/>
      </rPr>
      <t>*</t>
    </r>
  </si>
  <si>
    <r>
      <t>-.387</t>
    </r>
    <r>
      <rPr>
        <vertAlign val="superscript"/>
        <sz val="9"/>
        <color indexed="8"/>
        <rFont val="Arial"/>
      </rPr>
      <t>**</t>
    </r>
  </si>
  <si>
    <r>
      <t>-.511</t>
    </r>
    <r>
      <rPr>
        <vertAlign val="superscript"/>
        <sz val="9"/>
        <color indexed="8"/>
        <rFont val="Arial"/>
      </rPr>
      <t>**</t>
    </r>
  </si>
  <si>
    <r>
      <t>-.312</t>
    </r>
    <r>
      <rPr>
        <vertAlign val="superscript"/>
        <sz val="9"/>
        <color indexed="8"/>
        <rFont val="Arial"/>
      </rPr>
      <t>*</t>
    </r>
  </si>
  <si>
    <r>
      <t>-.743</t>
    </r>
    <r>
      <rPr>
        <vertAlign val="superscript"/>
        <sz val="9"/>
        <color indexed="8"/>
        <rFont val="Arial"/>
      </rPr>
      <t>**</t>
    </r>
  </si>
  <si>
    <r>
      <t>-.698</t>
    </r>
    <r>
      <rPr>
        <vertAlign val="superscript"/>
        <sz val="9"/>
        <color indexed="8"/>
        <rFont val="Arial"/>
      </rPr>
      <t>**</t>
    </r>
  </si>
  <si>
    <r>
      <t>-.460</t>
    </r>
    <r>
      <rPr>
        <vertAlign val="superscript"/>
        <sz val="9"/>
        <color indexed="8"/>
        <rFont val="Arial"/>
      </rPr>
      <t>**</t>
    </r>
  </si>
  <si>
    <r>
      <t>.406</t>
    </r>
    <r>
      <rPr>
        <vertAlign val="superscript"/>
        <sz val="9"/>
        <color indexed="8"/>
        <rFont val="Arial"/>
      </rPr>
      <t>**</t>
    </r>
  </si>
  <si>
    <r>
      <t>-.549</t>
    </r>
    <r>
      <rPr>
        <vertAlign val="superscript"/>
        <sz val="9"/>
        <color indexed="8"/>
        <rFont val="Arial"/>
      </rPr>
      <t>**</t>
    </r>
  </si>
  <si>
    <r>
      <t>-.398</t>
    </r>
    <r>
      <rPr>
        <vertAlign val="superscript"/>
        <sz val="9"/>
        <color indexed="8"/>
        <rFont val="Arial"/>
      </rPr>
      <t>**</t>
    </r>
  </si>
  <si>
    <r>
      <t>-.424</t>
    </r>
    <r>
      <rPr>
        <vertAlign val="superscript"/>
        <sz val="9"/>
        <color indexed="8"/>
        <rFont val="Arial"/>
      </rPr>
      <t>**</t>
    </r>
  </si>
  <si>
    <r>
      <t>-.471</t>
    </r>
    <r>
      <rPr>
        <vertAlign val="superscript"/>
        <sz val="9"/>
        <color indexed="8"/>
        <rFont val="Arial"/>
      </rPr>
      <t>**</t>
    </r>
  </si>
  <si>
    <r>
      <t>-.420</t>
    </r>
    <r>
      <rPr>
        <vertAlign val="superscript"/>
        <sz val="9"/>
        <color indexed="8"/>
        <rFont val="Arial"/>
      </rPr>
      <t>**</t>
    </r>
  </si>
  <si>
    <r>
      <t>-.407</t>
    </r>
    <r>
      <rPr>
        <vertAlign val="superscript"/>
        <sz val="9"/>
        <color indexed="8"/>
        <rFont val="Arial"/>
      </rPr>
      <t>**</t>
    </r>
  </si>
  <si>
    <r>
      <t>-.585</t>
    </r>
    <r>
      <rPr>
        <vertAlign val="superscript"/>
        <sz val="9"/>
        <color indexed="8"/>
        <rFont val="Arial"/>
      </rPr>
      <t>**</t>
    </r>
  </si>
  <si>
    <r>
      <t>-.362</t>
    </r>
    <r>
      <rPr>
        <vertAlign val="superscript"/>
        <sz val="9"/>
        <color indexed="8"/>
        <rFont val="Arial"/>
      </rPr>
      <t>*</t>
    </r>
  </si>
  <si>
    <r>
      <t>-.602</t>
    </r>
    <r>
      <rPr>
        <vertAlign val="superscript"/>
        <sz val="9"/>
        <color indexed="8"/>
        <rFont val="Arial"/>
      </rPr>
      <t>**</t>
    </r>
  </si>
  <si>
    <r>
      <t>-.850</t>
    </r>
    <r>
      <rPr>
        <vertAlign val="superscript"/>
        <sz val="9"/>
        <color indexed="8"/>
        <rFont val="Arial"/>
      </rPr>
      <t>**</t>
    </r>
  </si>
  <si>
    <r>
      <t>-.832</t>
    </r>
    <r>
      <rPr>
        <vertAlign val="superscript"/>
        <sz val="9"/>
        <color indexed="8"/>
        <rFont val="Arial"/>
      </rPr>
      <t>**</t>
    </r>
  </si>
  <si>
    <r>
      <t>.636</t>
    </r>
    <r>
      <rPr>
        <vertAlign val="superscript"/>
        <sz val="9"/>
        <color indexed="8"/>
        <rFont val="Arial"/>
      </rPr>
      <t>**</t>
    </r>
  </si>
  <si>
    <r>
      <t>-.366</t>
    </r>
    <r>
      <rPr>
        <vertAlign val="superscript"/>
        <sz val="9"/>
        <color indexed="8"/>
        <rFont val="Arial"/>
      </rPr>
      <t>*</t>
    </r>
  </si>
  <si>
    <r>
      <t>-.361</t>
    </r>
    <r>
      <rPr>
        <vertAlign val="superscript"/>
        <sz val="9"/>
        <color indexed="8"/>
        <rFont val="Arial"/>
      </rPr>
      <t>*</t>
    </r>
  </si>
  <si>
    <r>
      <t>-.392</t>
    </r>
    <r>
      <rPr>
        <vertAlign val="superscript"/>
        <sz val="9"/>
        <color indexed="8"/>
        <rFont val="Arial"/>
      </rPr>
      <t>**</t>
    </r>
  </si>
  <si>
    <r>
      <t>-.318</t>
    </r>
    <r>
      <rPr>
        <vertAlign val="superscript"/>
        <sz val="9"/>
        <color indexed="8"/>
        <rFont val="Arial"/>
      </rPr>
      <t>*</t>
    </r>
  </si>
  <si>
    <r>
      <t>.903</t>
    </r>
    <r>
      <rPr>
        <vertAlign val="superscript"/>
        <sz val="9"/>
        <color indexed="8"/>
        <rFont val="Arial"/>
      </rPr>
      <t>**</t>
    </r>
  </si>
  <si>
    <r>
      <t>.733</t>
    </r>
    <r>
      <rPr>
        <vertAlign val="superscript"/>
        <sz val="9"/>
        <color indexed="8"/>
        <rFont val="Arial"/>
      </rPr>
      <t>**</t>
    </r>
  </si>
  <si>
    <r>
      <t>.553</t>
    </r>
    <r>
      <rPr>
        <vertAlign val="superscript"/>
        <sz val="9"/>
        <color indexed="8"/>
        <rFont val="Arial"/>
      </rPr>
      <t>**</t>
    </r>
  </si>
  <si>
    <r>
      <t>.647</t>
    </r>
    <r>
      <rPr>
        <vertAlign val="superscript"/>
        <sz val="9"/>
        <color indexed="8"/>
        <rFont val="Arial"/>
      </rPr>
      <t>**</t>
    </r>
  </si>
  <si>
    <r>
      <t>.518</t>
    </r>
    <r>
      <rPr>
        <vertAlign val="superscript"/>
        <sz val="9"/>
        <color indexed="8"/>
        <rFont val="Arial"/>
      </rPr>
      <t>**</t>
    </r>
  </si>
  <si>
    <r>
      <t>.557</t>
    </r>
    <r>
      <rPr>
        <vertAlign val="superscript"/>
        <sz val="9"/>
        <color indexed="8"/>
        <rFont val="Arial"/>
      </rPr>
      <t>**</t>
    </r>
  </si>
  <si>
    <r>
      <t>.290</t>
    </r>
    <r>
      <rPr>
        <vertAlign val="superscript"/>
        <sz val="9"/>
        <color indexed="8"/>
        <rFont val="Arial"/>
      </rPr>
      <t>*</t>
    </r>
  </si>
  <si>
    <r>
      <t>.523</t>
    </r>
    <r>
      <rPr>
        <vertAlign val="superscript"/>
        <sz val="9"/>
        <color indexed="8"/>
        <rFont val="Arial"/>
      </rPr>
      <t>**</t>
    </r>
  </si>
  <si>
    <r>
      <t>.512</t>
    </r>
    <r>
      <rPr>
        <vertAlign val="superscript"/>
        <sz val="9"/>
        <color indexed="8"/>
        <rFont val="Arial"/>
      </rPr>
      <t>**</t>
    </r>
  </si>
  <si>
    <r>
      <t>.519</t>
    </r>
    <r>
      <rPr>
        <vertAlign val="superscript"/>
        <sz val="9"/>
        <color indexed="8"/>
        <rFont val="Arial"/>
      </rPr>
      <t>**</t>
    </r>
  </si>
  <si>
    <r>
      <t>.725</t>
    </r>
    <r>
      <rPr>
        <vertAlign val="superscript"/>
        <sz val="9"/>
        <color indexed="8"/>
        <rFont val="Arial"/>
      </rPr>
      <t>**</t>
    </r>
  </si>
  <si>
    <r>
      <t>.470</t>
    </r>
    <r>
      <rPr>
        <vertAlign val="superscript"/>
        <sz val="9"/>
        <color indexed="8"/>
        <rFont val="Arial"/>
      </rPr>
      <t>**</t>
    </r>
  </si>
  <si>
    <r>
      <t>.528</t>
    </r>
    <r>
      <rPr>
        <vertAlign val="superscript"/>
        <sz val="9"/>
        <color indexed="8"/>
        <rFont val="Arial"/>
      </rPr>
      <t>**</t>
    </r>
  </si>
  <si>
    <r>
      <t>.562</t>
    </r>
    <r>
      <rPr>
        <vertAlign val="superscript"/>
        <sz val="9"/>
        <color indexed="8"/>
        <rFont val="Arial"/>
      </rPr>
      <t>**</t>
    </r>
  </si>
  <si>
    <r>
      <t>.444</t>
    </r>
    <r>
      <rPr>
        <vertAlign val="superscript"/>
        <sz val="9"/>
        <color indexed="8"/>
        <rFont val="Arial"/>
      </rPr>
      <t>**</t>
    </r>
  </si>
  <si>
    <r>
      <t>.466</t>
    </r>
    <r>
      <rPr>
        <vertAlign val="superscript"/>
        <sz val="9"/>
        <color indexed="8"/>
        <rFont val="Arial"/>
      </rPr>
      <t>**</t>
    </r>
  </si>
  <si>
    <r>
      <t>.659</t>
    </r>
    <r>
      <rPr>
        <vertAlign val="superscript"/>
        <sz val="9"/>
        <color indexed="8"/>
        <rFont val="Arial"/>
      </rPr>
      <t>**</t>
    </r>
  </si>
  <si>
    <r>
      <t>.377</t>
    </r>
    <r>
      <rPr>
        <vertAlign val="superscript"/>
        <sz val="9"/>
        <color indexed="8"/>
        <rFont val="Arial"/>
      </rPr>
      <t>**</t>
    </r>
  </si>
  <si>
    <r>
      <t>.442</t>
    </r>
    <r>
      <rPr>
        <vertAlign val="superscript"/>
        <sz val="9"/>
        <color indexed="8"/>
        <rFont val="Arial"/>
      </rPr>
      <t>**</t>
    </r>
  </si>
  <si>
    <r>
      <t>.515</t>
    </r>
    <r>
      <rPr>
        <vertAlign val="superscript"/>
        <sz val="9"/>
        <color indexed="8"/>
        <rFont val="Arial"/>
      </rPr>
      <t>**</t>
    </r>
  </si>
  <si>
    <r>
      <t>.471</t>
    </r>
    <r>
      <rPr>
        <vertAlign val="superscript"/>
        <sz val="9"/>
        <color indexed="8"/>
        <rFont val="Arial"/>
      </rPr>
      <t>**</t>
    </r>
  </si>
  <si>
    <r>
      <t>.485</t>
    </r>
    <r>
      <rPr>
        <vertAlign val="superscript"/>
        <sz val="9"/>
        <color indexed="8"/>
        <rFont val="Arial"/>
      </rPr>
      <t>**</t>
    </r>
  </si>
  <si>
    <r>
      <t>.706</t>
    </r>
    <r>
      <rPr>
        <vertAlign val="superscript"/>
        <sz val="9"/>
        <color indexed="8"/>
        <rFont val="Arial"/>
      </rPr>
      <t>**</t>
    </r>
  </si>
  <si>
    <r>
      <t>.540</t>
    </r>
    <r>
      <rPr>
        <vertAlign val="superscript"/>
        <sz val="9"/>
        <color indexed="8"/>
        <rFont val="Arial"/>
      </rPr>
      <t>**</t>
    </r>
  </si>
  <si>
    <r>
      <t>.672</t>
    </r>
    <r>
      <rPr>
        <vertAlign val="superscript"/>
        <sz val="9"/>
        <color indexed="8"/>
        <rFont val="Arial"/>
      </rPr>
      <t>**</t>
    </r>
  </si>
  <si>
    <r>
      <t>.723</t>
    </r>
    <r>
      <rPr>
        <vertAlign val="superscript"/>
        <sz val="9"/>
        <color indexed="8"/>
        <rFont val="Arial"/>
      </rPr>
      <t>**</t>
    </r>
  </si>
  <si>
    <r>
      <t>.453</t>
    </r>
    <r>
      <rPr>
        <vertAlign val="superscript"/>
        <sz val="9"/>
        <color indexed="8"/>
        <rFont val="Arial"/>
      </rPr>
      <t>**</t>
    </r>
  </si>
  <si>
    <r>
      <t>.605</t>
    </r>
    <r>
      <rPr>
        <vertAlign val="superscript"/>
        <sz val="9"/>
        <color indexed="8"/>
        <rFont val="Arial"/>
      </rPr>
      <t>**</t>
    </r>
  </si>
  <si>
    <r>
      <t>.339</t>
    </r>
    <r>
      <rPr>
        <vertAlign val="superscript"/>
        <sz val="9"/>
        <color indexed="8"/>
        <rFont val="Arial"/>
      </rPr>
      <t>*</t>
    </r>
  </si>
  <si>
    <r>
      <t>.674</t>
    </r>
    <r>
      <rPr>
        <vertAlign val="superscript"/>
        <sz val="9"/>
        <color indexed="8"/>
        <rFont val="Arial"/>
      </rPr>
      <t>**</t>
    </r>
  </si>
  <si>
    <r>
      <t>.669</t>
    </r>
    <r>
      <rPr>
        <vertAlign val="superscript"/>
        <sz val="9"/>
        <color indexed="8"/>
        <rFont val="Arial"/>
      </rPr>
      <t>**</t>
    </r>
  </si>
  <si>
    <r>
      <t>.917</t>
    </r>
    <r>
      <rPr>
        <vertAlign val="superscript"/>
        <sz val="9"/>
        <color indexed="8"/>
        <rFont val="Arial"/>
      </rPr>
      <t>**</t>
    </r>
  </si>
  <si>
    <r>
      <t>.574</t>
    </r>
    <r>
      <rPr>
        <vertAlign val="superscript"/>
        <sz val="9"/>
        <color indexed="8"/>
        <rFont val="Arial"/>
      </rPr>
      <t>**</t>
    </r>
  </si>
  <si>
    <r>
      <t>.344</t>
    </r>
    <r>
      <rPr>
        <vertAlign val="superscript"/>
        <sz val="9"/>
        <color indexed="8"/>
        <rFont val="Arial"/>
      </rPr>
      <t>*</t>
    </r>
  </si>
  <si>
    <r>
      <t>.469</t>
    </r>
    <r>
      <rPr>
        <vertAlign val="superscript"/>
        <sz val="9"/>
        <color indexed="8"/>
        <rFont val="Arial"/>
      </rPr>
      <t>**</t>
    </r>
  </si>
  <si>
    <r>
      <t>.537</t>
    </r>
    <r>
      <rPr>
        <vertAlign val="superscript"/>
        <sz val="9"/>
        <color indexed="8"/>
        <rFont val="Arial"/>
      </rPr>
      <t>**</t>
    </r>
  </si>
  <si>
    <r>
      <t>.533</t>
    </r>
    <r>
      <rPr>
        <vertAlign val="superscript"/>
        <sz val="9"/>
        <color indexed="8"/>
        <rFont val="Arial"/>
      </rPr>
      <t>**</t>
    </r>
  </si>
  <si>
    <r>
      <t>.504</t>
    </r>
    <r>
      <rPr>
        <vertAlign val="superscript"/>
        <sz val="9"/>
        <color indexed="8"/>
        <rFont val="Arial"/>
      </rPr>
      <t>**</t>
    </r>
  </si>
  <si>
    <r>
      <t>.450</t>
    </r>
    <r>
      <rPr>
        <vertAlign val="superscript"/>
        <sz val="9"/>
        <color indexed="8"/>
        <rFont val="Arial"/>
      </rPr>
      <t>**</t>
    </r>
  </si>
  <si>
    <r>
      <t>-.389</t>
    </r>
    <r>
      <rPr>
        <vertAlign val="superscript"/>
        <sz val="9"/>
        <color indexed="8"/>
        <rFont val="Arial"/>
      </rPr>
      <t>**</t>
    </r>
  </si>
  <si>
    <r>
      <t>.430</t>
    </r>
    <r>
      <rPr>
        <vertAlign val="superscript"/>
        <sz val="9"/>
        <color indexed="8"/>
        <rFont val="Arial"/>
      </rPr>
      <t>**</t>
    </r>
  </si>
  <si>
    <r>
      <t>.349</t>
    </r>
    <r>
      <rPr>
        <vertAlign val="superscript"/>
        <sz val="9"/>
        <color indexed="8"/>
        <rFont val="Arial"/>
      </rPr>
      <t>*</t>
    </r>
  </si>
  <si>
    <r>
      <t>.400</t>
    </r>
    <r>
      <rPr>
        <vertAlign val="superscript"/>
        <sz val="9"/>
        <color indexed="8"/>
        <rFont val="Arial"/>
      </rPr>
      <t>**</t>
    </r>
  </si>
  <si>
    <r>
      <t>.505</t>
    </r>
    <r>
      <rPr>
        <vertAlign val="superscript"/>
        <sz val="9"/>
        <color indexed="8"/>
        <rFont val="Arial"/>
      </rPr>
      <t>**</t>
    </r>
  </si>
  <si>
    <r>
      <t>.354</t>
    </r>
    <r>
      <rPr>
        <vertAlign val="superscript"/>
        <sz val="9"/>
        <color indexed="8"/>
        <rFont val="Arial"/>
      </rPr>
      <t>*</t>
    </r>
  </si>
  <si>
    <r>
      <t>.395</t>
    </r>
    <r>
      <rPr>
        <vertAlign val="superscript"/>
        <sz val="9"/>
        <color indexed="8"/>
        <rFont val="Arial"/>
      </rPr>
      <t>**</t>
    </r>
  </si>
  <si>
    <r>
      <t>.326</t>
    </r>
    <r>
      <rPr>
        <vertAlign val="superscript"/>
        <sz val="9"/>
        <color indexed="8"/>
        <rFont val="Arial"/>
      </rPr>
      <t>*</t>
    </r>
  </si>
  <si>
    <r>
      <t>.319</t>
    </r>
    <r>
      <rPr>
        <vertAlign val="superscript"/>
        <sz val="9"/>
        <color indexed="8"/>
        <rFont val="Arial"/>
      </rPr>
      <t>*</t>
    </r>
  </si>
  <si>
    <r>
      <t>.682</t>
    </r>
    <r>
      <rPr>
        <vertAlign val="superscript"/>
        <sz val="9"/>
        <color indexed="8"/>
        <rFont val="Arial"/>
      </rPr>
      <t>**</t>
    </r>
  </si>
  <si>
    <r>
      <t>.902</t>
    </r>
    <r>
      <rPr>
        <vertAlign val="superscript"/>
        <sz val="9"/>
        <color indexed="8"/>
        <rFont val="Arial"/>
      </rPr>
      <t>**</t>
    </r>
  </si>
  <si>
    <r>
      <t>.721</t>
    </r>
    <r>
      <rPr>
        <vertAlign val="superscript"/>
        <sz val="9"/>
        <color indexed="8"/>
        <rFont val="Arial"/>
      </rPr>
      <t>**</t>
    </r>
  </si>
  <si>
    <r>
      <t>.664</t>
    </r>
    <r>
      <rPr>
        <vertAlign val="superscript"/>
        <sz val="9"/>
        <color indexed="8"/>
        <rFont val="Arial"/>
      </rPr>
      <t>**</t>
    </r>
  </si>
  <si>
    <r>
      <t>.768</t>
    </r>
    <r>
      <rPr>
        <vertAlign val="superscript"/>
        <sz val="9"/>
        <color indexed="8"/>
        <rFont val="Arial"/>
      </rPr>
      <t>**</t>
    </r>
  </si>
  <si>
    <r>
      <t>.960</t>
    </r>
    <r>
      <rPr>
        <vertAlign val="superscript"/>
        <sz val="9"/>
        <color indexed="8"/>
        <rFont val="Arial"/>
      </rPr>
      <t>**</t>
    </r>
  </si>
  <si>
    <r>
      <t>.324</t>
    </r>
    <r>
      <rPr>
        <vertAlign val="superscript"/>
        <sz val="9"/>
        <color indexed="8"/>
        <rFont val="Arial"/>
      </rPr>
      <t>*</t>
    </r>
  </si>
  <si>
    <r>
      <t>.761</t>
    </r>
    <r>
      <rPr>
        <vertAlign val="superscript"/>
        <sz val="9"/>
        <color indexed="8"/>
        <rFont val="Arial"/>
      </rPr>
      <t>**</t>
    </r>
  </si>
  <si>
    <r>
      <t>.776</t>
    </r>
    <r>
      <rPr>
        <vertAlign val="superscript"/>
        <sz val="9"/>
        <color indexed="8"/>
        <rFont val="Arial"/>
      </rPr>
      <t>**</t>
    </r>
  </si>
  <si>
    <r>
      <t>.550</t>
    </r>
    <r>
      <rPr>
        <vertAlign val="superscript"/>
        <sz val="9"/>
        <color indexed="8"/>
        <rFont val="Arial"/>
      </rPr>
      <t>**</t>
    </r>
  </si>
  <si>
    <r>
      <t>.327</t>
    </r>
    <r>
      <rPr>
        <vertAlign val="superscript"/>
        <sz val="9"/>
        <color indexed="8"/>
        <rFont val="Arial"/>
      </rPr>
      <t>*</t>
    </r>
  </si>
  <si>
    <r>
      <t>.472</t>
    </r>
    <r>
      <rPr>
        <vertAlign val="superscript"/>
        <sz val="9"/>
        <color indexed="8"/>
        <rFont val="Arial"/>
      </rPr>
      <t>**</t>
    </r>
  </si>
  <si>
    <r>
      <t>.675</t>
    </r>
    <r>
      <rPr>
        <vertAlign val="superscript"/>
        <sz val="9"/>
        <color indexed="8"/>
        <rFont val="Arial"/>
      </rPr>
      <t>**</t>
    </r>
  </si>
  <si>
    <r>
      <t>.543</t>
    </r>
    <r>
      <rPr>
        <vertAlign val="superscript"/>
        <sz val="9"/>
        <color indexed="8"/>
        <rFont val="Arial"/>
      </rPr>
      <t>**</t>
    </r>
  </si>
  <si>
    <r>
      <t>.618</t>
    </r>
    <r>
      <rPr>
        <vertAlign val="superscript"/>
        <sz val="9"/>
        <color indexed="8"/>
        <rFont val="Arial"/>
      </rPr>
      <t>**</t>
    </r>
  </si>
  <si>
    <r>
      <t>.681</t>
    </r>
    <r>
      <rPr>
        <vertAlign val="superscript"/>
        <sz val="9"/>
        <color indexed="8"/>
        <rFont val="Arial"/>
      </rPr>
      <t>**</t>
    </r>
  </si>
  <si>
    <r>
      <t>.390</t>
    </r>
    <r>
      <rPr>
        <vertAlign val="superscript"/>
        <sz val="9"/>
        <color indexed="8"/>
        <rFont val="Arial"/>
      </rPr>
      <t>**</t>
    </r>
  </si>
  <si>
    <r>
      <t>.411</t>
    </r>
    <r>
      <rPr>
        <vertAlign val="superscript"/>
        <sz val="9"/>
        <color indexed="8"/>
        <rFont val="Arial"/>
      </rPr>
      <t>**</t>
    </r>
  </si>
  <si>
    <r>
      <t>.726</t>
    </r>
    <r>
      <rPr>
        <vertAlign val="superscript"/>
        <sz val="9"/>
        <color indexed="8"/>
        <rFont val="Arial"/>
      </rPr>
      <t>**</t>
    </r>
  </si>
  <si>
    <r>
      <t>.689</t>
    </r>
    <r>
      <rPr>
        <vertAlign val="superscript"/>
        <sz val="9"/>
        <color indexed="8"/>
        <rFont val="Arial"/>
      </rPr>
      <t>**</t>
    </r>
  </si>
  <si>
    <r>
      <t>.852</t>
    </r>
    <r>
      <rPr>
        <vertAlign val="superscript"/>
        <sz val="9"/>
        <color indexed="8"/>
        <rFont val="Arial"/>
      </rPr>
      <t>**</t>
    </r>
  </si>
  <si>
    <r>
      <t>.707</t>
    </r>
    <r>
      <rPr>
        <vertAlign val="superscript"/>
        <sz val="9"/>
        <color indexed="8"/>
        <rFont val="Arial"/>
      </rPr>
      <t>**</t>
    </r>
  </si>
  <si>
    <r>
      <t>.694</t>
    </r>
    <r>
      <rPr>
        <vertAlign val="superscript"/>
        <sz val="9"/>
        <color indexed="8"/>
        <rFont val="Arial"/>
      </rPr>
      <t>**</t>
    </r>
  </si>
  <si>
    <r>
      <t>.410</t>
    </r>
    <r>
      <rPr>
        <vertAlign val="superscript"/>
        <sz val="9"/>
        <color indexed="8"/>
        <rFont val="Arial"/>
      </rPr>
      <t>**</t>
    </r>
  </si>
  <si>
    <r>
      <t>.678</t>
    </r>
    <r>
      <rPr>
        <vertAlign val="superscript"/>
        <sz val="9"/>
        <color indexed="8"/>
        <rFont val="Arial"/>
      </rPr>
      <t>**</t>
    </r>
  </si>
  <si>
    <r>
      <t>.607</t>
    </r>
    <r>
      <rPr>
        <vertAlign val="superscript"/>
        <sz val="9"/>
        <color indexed="8"/>
        <rFont val="Arial"/>
      </rPr>
      <t>**</t>
    </r>
  </si>
  <si>
    <r>
      <t>.309</t>
    </r>
    <r>
      <rPr>
        <vertAlign val="superscript"/>
        <sz val="9"/>
        <color indexed="8"/>
        <rFont val="Arial"/>
      </rPr>
      <t>*</t>
    </r>
  </si>
  <si>
    <r>
      <t>.461</t>
    </r>
    <r>
      <rPr>
        <vertAlign val="superscript"/>
        <sz val="9"/>
        <color indexed="8"/>
        <rFont val="Arial"/>
      </rPr>
      <t>**</t>
    </r>
  </si>
  <si>
    <r>
      <t>.477</t>
    </r>
    <r>
      <rPr>
        <vertAlign val="superscript"/>
        <sz val="9"/>
        <color indexed="8"/>
        <rFont val="Arial"/>
      </rPr>
      <t>**</t>
    </r>
  </si>
  <si>
    <r>
      <t>.333</t>
    </r>
    <r>
      <rPr>
        <vertAlign val="superscript"/>
        <sz val="9"/>
        <color indexed="8"/>
        <rFont val="Arial"/>
      </rPr>
      <t>*</t>
    </r>
  </si>
  <si>
    <r>
      <t>.345</t>
    </r>
    <r>
      <rPr>
        <vertAlign val="superscript"/>
        <sz val="9"/>
        <color indexed="8"/>
        <rFont val="Arial"/>
      </rPr>
      <t>*</t>
    </r>
  </si>
  <si>
    <r>
      <t>.464</t>
    </r>
    <r>
      <rPr>
        <vertAlign val="superscript"/>
        <sz val="9"/>
        <color indexed="8"/>
        <rFont val="Arial"/>
      </rPr>
      <t>**</t>
    </r>
  </si>
  <si>
    <r>
      <t>.646</t>
    </r>
    <r>
      <rPr>
        <vertAlign val="superscript"/>
        <sz val="9"/>
        <color indexed="8"/>
        <rFont val="Arial"/>
      </rPr>
      <t>**</t>
    </r>
  </si>
  <si>
    <r>
      <t>.445</t>
    </r>
    <r>
      <rPr>
        <vertAlign val="superscript"/>
        <sz val="9"/>
        <color indexed="8"/>
        <rFont val="Arial"/>
      </rPr>
      <t>**</t>
    </r>
  </si>
  <si>
    <r>
      <t>.383</t>
    </r>
    <r>
      <rPr>
        <vertAlign val="superscript"/>
        <sz val="9"/>
        <color indexed="8"/>
        <rFont val="Arial"/>
      </rPr>
      <t>**</t>
    </r>
  </si>
  <si>
    <r>
      <t>.610</t>
    </r>
    <r>
      <rPr>
        <vertAlign val="superscript"/>
        <sz val="9"/>
        <color indexed="8"/>
        <rFont val="Arial"/>
      </rPr>
      <t>**</t>
    </r>
  </si>
  <si>
    <r>
      <t>.693</t>
    </r>
    <r>
      <rPr>
        <vertAlign val="superscript"/>
        <sz val="9"/>
        <color indexed="8"/>
        <rFont val="Arial"/>
      </rPr>
      <t>**</t>
    </r>
  </si>
  <si>
    <r>
      <t>.705</t>
    </r>
    <r>
      <rPr>
        <vertAlign val="superscript"/>
        <sz val="9"/>
        <color indexed="8"/>
        <rFont val="Arial"/>
      </rPr>
      <t>**</t>
    </r>
  </si>
  <si>
    <r>
      <t>.295</t>
    </r>
    <r>
      <rPr>
        <vertAlign val="superscript"/>
        <sz val="9"/>
        <color indexed="8"/>
        <rFont val="Arial"/>
      </rPr>
      <t>*</t>
    </r>
  </si>
  <si>
    <r>
      <t>.772</t>
    </r>
    <r>
      <rPr>
        <vertAlign val="superscript"/>
        <sz val="9"/>
        <color indexed="8"/>
        <rFont val="Arial"/>
      </rPr>
      <t>**</t>
    </r>
  </si>
  <si>
    <r>
      <t>.588</t>
    </r>
    <r>
      <rPr>
        <vertAlign val="superscript"/>
        <sz val="9"/>
        <color indexed="8"/>
        <rFont val="Arial"/>
      </rPr>
      <t>**</t>
    </r>
  </si>
  <si>
    <r>
      <t>-.472</t>
    </r>
    <r>
      <rPr>
        <vertAlign val="superscript"/>
        <sz val="9"/>
        <color indexed="8"/>
        <rFont val="Arial"/>
      </rPr>
      <t>**</t>
    </r>
  </si>
  <si>
    <r>
      <t>.467</t>
    </r>
    <r>
      <rPr>
        <vertAlign val="superscript"/>
        <sz val="9"/>
        <color indexed="8"/>
        <rFont val="Arial"/>
      </rPr>
      <t>**</t>
    </r>
  </si>
  <si>
    <r>
      <t>.579</t>
    </r>
    <r>
      <rPr>
        <vertAlign val="superscript"/>
        <sz val="9"/>
        <color indexed="8"/>
        <rFont val="Arial"/>
      </rPr>
      <t>**</t>
    </r>
  </si>
  <si>
    <r>
      <t>.608</t>
    </r>
    <r>
      <rPr>
        <vertAlign val="superscript"/>
        <sz val="9"/>
        <color indexed="8"/>
        <rFont val="Arial"/>
      </rPr>
      <t>**</t>
    </r>
  </si>
  <si>
    <r>
      <t>.412</t>
    </r>
    <r>
      <rPr>
        <vertAlign val="superscript"/>
        <sz val="9"/>
        <color indexed="8"/>
        <rFont val="Arial"/>
      </rPr>
      <t>**</t>
    </r>
  </si>
  <si>
    <r>
      <t>.348</t>
    </r>
    <r>
      <rPr>
        <vertAlign val="superscript"/>
        <sz val="9"/>
        <color indexed="8"/>
        <rFont val="Arial"/>
      </rPr>
      <t>*</t>
    </r>
  </si>
  <si>
    <r>
      <t>.662</t>
    </r>
    <r>
      <rPr>
        <vertAlign val="superscript"/>
        <sz val="9"/>
        <color indexed="8"/>
        <rFont val="Arial"/>
      </rPr>
      <t>**</t>
    </r>
  </si>
  <si>
    <r>
      <t>.748</t>
    </r>
    <r>
      <rPr>
        <vertAlign val="superscript"/>
        <sz val="9"/>
        <color indexed="8"/>
        <rFont val="Arial"/>
      </rPr>
      <t>**</t>
    </r>
  </si>
  <si>
    <t>condition</t>
  </si>
  <si>
    <t>Density increase</t>
  </si>
  <si>
    <t>stock increase</t>
  </si>
  <si>
    <t>cond</t>
  </si>
  <si>
    <t>Density change</t>
  </si>
  <si>
    <t>density increase</t>
  </si>
  <si>
    <t>Change</t>
  </si>
  <si>
    <t>change</t>
  </si>
  <si>
    <t>lower 25%</t>
  </si>
  <si>
    <t>Upper 25%</t>
  </si>
  <si>
    <t>Lower 25%</t>
  </si>
  <si>
    <t>Trajectory</t>
  </si>
  <si>
    <t>Increased</t>
  </si>
  <si>
    <t>Decreased</t>
  </si>
  <si>
    <t>No change</t>
  </si>
  <si>
    <t>Density</t>
  </si>
  <si>
    <t>Adjustment</t>
  </si>
  <si>
    <t>Difference</t>
  </si>
  <si>
    <t>Nurses personnel</t>
  </si>
  <si>
    <t>Midwives to Nurses</t>
  </si>
  <si>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</si>
  <si>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</si>
  <si>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</si>
  <si>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</si>
  <si>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</si>
  <si>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</si>
  <si>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</si>
  <si>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</si>
  <si>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</si>
  <si>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</si>
  <si>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</si>
  <si>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</si>
  <si>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</si>
  <si>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</si>
  <si>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</si>
  <si>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</si>
  <si>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</si>
  <si>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</si>
  <si>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</si>
  <si>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</si>
  <si>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</si>
  <si>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</si>
  <si>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</si>
  <si>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</si>
  <si>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</si>
  <si>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</si>
  <si>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</si>
  <si>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</si>
  <si>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</si>
  <si>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</si>
  <si>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</si>
  <si>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</si>
  <si>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</si>
  <si>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</si>
  <si>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</si>
  <si>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</si>
  <si>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</si>
  <si>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</si>
  <si>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</si>
  <si>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</si>
  <si>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</si>
  <si>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</si>
  <si>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</si>
  <si>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</si>
  <si>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</si>
  <si>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</si>
  <si>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</si>
  <si>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 xml:space="preserve"> Adjusted 2022</t>
  </si>
  <si>
    <t>Density per 10,000 (2013)</t>
  </si>
  <si>
    <t>Density per 10,000 (2018)</t>
  </si>
  <si>
    <t>Density per 10,000 (2022)</t>
  </si>
  <si>
    <t>Country code</t>
  </si>
  <si>
    <t>iso codes</t>
  </si>
  <si>
    <t>Cabo Verde</t>
  </si>
  <si>
    <t>Democratic Republic of the Congo</t>
  </si>
  <si>
    <t>From 13</t>
  </si>
  <si>
    <t>From 18</t>
  </si>
  <si>
    <t>From 13 annual</t>
  </si>
  <si>
    <t>Country_ISCO</t>
  </si>
  <si>
    <t>Quadrant [Ratio Stock to graduates VS Doctor, Nurse, Midwife Density per 10,000 (2022)]</t>
  </si>
  <si>
    <t>Quadrant [% of health budget spent on HWF VS GGHE-D as % GGE]</t>
  </si>
  <si>
    <t>Q3</t>
  </si>
  <si>
    <t>Q4</t>
  </si>
  <si>
    <t>Q1</t>
  </si>
  <si>
    <t>Q2</t>
  </si>
  <si>
    <t>Côte d'Ivoire</t>
  </si>
  <si>
    <t>Republic of Congo</t>
  </si>
  <si>
    <t>São Tomé and Príncipe</t>
  </si>
  <si>
    <t>The Gambia</t>
  </si>
  <si>
    <t>Doctors and nurses</t>
  </si>
  <si>
    <t>SDG 3c occupations workforce*</t>
  </si>
  <si>
    <t>Doctors Nurses and Midwives</t>
  </si>
  <si>
    <t>Sno</t>
  </si>
  <si>
    <t>Stock trajectory</t>
  </si>
  <si>
    <t>Stock change</t>
  </si>
  <si>
    <t>Stock increase</t>
  </si>
  <si>
    <r>
      <t>S/N</t>
    </r>
    <r>
      <rPr>
        <sz val="11"/>
        <color rgb="FF000000"/>
        <rFont val="Arial Narrow"/>
        <family val="2"/>
      </rPr>
      <t> </t>
    </r>
  </si>
  <si>
    <r>
      <t>Country</t>
    </r>
    <r>
      <rPr>
        <sz val="11"/>
        <color rgb="FF000000"/>
        <rFont val="Arial Narrow"/>
        <family val="2"/>
      </rPr>
      <t> </t>
    </r>
  </si>
  <si>
    <r>
      <t>Year </t>
    </r>
    <r>
      <rPr>
        <sz val="11"/>
        <color rgb="FF000000"/>
        <rFont val="Arial Narrow"/>
        <family val="2"/>
      </rPr>
      <t> </t>
    </r>
  </si>
  <si>
    <r>
      <t>Total Unemployed Health Workers</t>
    </r>
    <r>
      <rPr>
        <sz val="11"/>
        <color rgb="FF000000"/>
        <rFont val="Arial Narrow"/>
        <family val="2"/>
      </rPr>
      <t> </t>
    </r>
  </si>
  <si>
    <r>
      <t>Doctors</t>
    </r>
    <r>
      <rPr>
        <sz val="11"/>
        <color rgb="FF000000"/>
        <rFont val="Arial Narrow"/>
        <family val="2"/>
      </rPr>
      <t> </t>
    </r>
  </si>
  <si>
    <r>
      <t>Nurses and Midwives</t>
    </r>
    <r>
      <rPr>
        <sz val="11"/>
        <color rgb="FF000000"/>
        <rFont val="Arial Narrow"/>
        <family val="2"/>
      </rPr>
      <t> </t>
    </r>
  </si>
  <si>
    <r>
      <t>Pharmacists</t>
    </r>
    <r>
      <rPr>
        <sz val="11"/>
        <color rgb="FF000000"/>
        <rFont val="Arial Narrow"/>
        <family val="2"/>
      </rPr>
      <t> </t>
    </r>
  </si>
  <si>
    <r>
      <t>Others Health Workers</t>
    </r>
    <r>
      <rPr>
        <sz val="11"/>
        <color rgb="FF000000"/>
        <rFont val="Arial Narrow"/>
        <family val="2"/>
      </rPr>
      <t> </t>
    </r>
  </si>
  <si>
    <r>
      <t>Overall Stock of all health workers</t>
    </r>
    <r>
      <rPr>
        <sz val="11"/>
        <color rgb="FF000000"/>
        <rFont val="Arial Narrow"/>
        <family val="2"/>
      </rPr>
      <t> </t>
    </r>
  </si>
  <si>
    <r>
      <t>Estimated Unemployment Rate</t>
    </r>
    <r>
      <rPr>
        <sz val="11"/>
        <color rgb="FF000000"/>
        <rFont val="Arial Narrow"/>
        <family val="2"/>
      </rPr>
      <t> </t>
    </r>
  </si>
  <si>
    <r>
      <t>Source</t>
    </r>
    <r>
      <rPr>
        <sz val="11"/>
        <color rgb="FF000000"/>
        <rFont val="Arial Narrow"/>
        <family val="2"/>
      </rPr>
      <t> </t>
    </r>
  </si>
  <si>
    <t>1 </t>
  </si>
  <si>
    <t>Ghana </t>
  </si>
  <si>
    <t>2023 </t>
  </si>
  <si>
    <t>118,488 </t>
  </si>
  <si>
    <t>83,308 </t>
  </si>
  <si>
    <t>4,189 </t>
  </si>
  <si>
    <t>30,991 </t>
  </si>
  <si>
    <t>298,382 </t>
  </si>
  <si>
    <t>39.7% </t>
  </si>
  <si>
    <t>Draft HLMA report (2023) </t>
  </si>
  <si>
    <t>2 </t>
  </si>
  <si>
    <t>Uganda </t>
  </si>
  <si>
    <t>75,577 </t>
  </si>
  <si>
    <t>2,765 </t>
  </si>
  <si>
    <t>48,557 </t>
  </si>
  <si>
    <t>1,526 </t>
  </si>
  <si>
    <t>22,729 </t>
  </si>
  <si>
    <t>158,932 </t>
  </si>
  <si>
    <t>47.6% </t>
  </si>
  <si>
    <t>3 </t>
  </si>
  <si>
    <t>Zambia </t>
  </si>
  <si>
    <t>46,713 </t>
  </si>
  <si>
    <t>27,466 </t>
  </si>
  <si>
    <t>898 </t>
  </si>
  <si>
    <t>18,349 </t>
  </si>
  <si>
    <t>82,577 </t>
  </si>
  <si>
    <t>56.6% </t>
  </si>
  <si>
    <t>4 </t>
  </si>
  <si>
    <t>South Africa </t>
  </si>
  <si>
    <t>2019 </t>
  </si>
  <si>
    <t>45,000 </t>
  </si>
  <si>
    <t>406,000 </t>
  </si>
  <si>
    <t>11.1% </t>
  </si>
  <si>
    <t>HRH Strategy Paper (2020) </t>
  </si>
  <si>
    <t>5 </t>
  </si>
  <si>
    <t>Kenya </t>
  </si>
  <si>
    <t>2021 </t>
  </si>
  <si>
    <t>27,243 </t>
  </si>
  <si>
    <t>1,831 </t>
  </si>
  <si>
    <t>9,309 </t>
  </si>
  <si>
    <t>161 </t>
  </si>
  <si>
    <t>6,683 </t>
  </si>
  <si>
    <t>189,932 </t>
  </si>
  <si>
    <t>14.3% </t>
  </si>
  <si>
    <t>HLMA report (2023) </t>
  </si>
  <si>
    <t>6 </t>
  </si>
  <si>
    <t>Mozambique </t>
  </si>
  <si>
    <t>10,622 </t>
  </si>
  <si>
    <t>10,613 </t>
  </si>
  <si>
    <t>9 </t>
  </si>
  <si>
    <t>60,588 </t>
  </si>
  <si>
    <t>17.5% </t>
  </si>
  <si>
    <t>7 </t>
  </si>
  <si>
    <t>Sierra Leone </t>
  </si>
  <si>
    <t>4,899 </t>
  </si>
  <si>
    <t>3,713 </t>
  </si>
  <si>
    <t>1,176 </t>
  </si>
  <si>
    <t>14,470 </t>
  </si>
  <si>
    <t>33.9% </t>
  </si>
  <si>
    <t>HLMA report (2019) </t>
  </si>
  <si>
    <t>8 </t>
  </si>
  <si>
    <t>Rwanda </t>
  </si>
  <si>
    <t>2,891 </t>
  </si>
  <si>
    <t>0 </t>
  </si>
  <si>
    <t>988 </t>
  </si>
  <si>
    <t>29 </t>
  </si>
  <si>
    <t>1,874 </t>
  </si>
  <si>
    <t>21,552 </t>
  </si>
  <si>
    <t>13.4% </t>
  </si>
  <si>
    <t>Lesotho </t>
  </si>
  <si>
    <t>1,096 </t>
  </si>
  <si>
    <t>982 </t>
  </si>
  <si>
    <t>114 </t>
  </si>
  <si>
    <t>15,316 </t>
  </si>
  <si>
    <t>7.2% </t>
  </si>
  <si>
    <t>HLMA report (2021) </t>
  </si>
  <si>
    <t>10 </t>
  </si>
  <si>
    <t>Eswatini </t>
  </si>
  <si>
    <t>907 </t>
  </si>
  <si>
    <t>300 </t>
  </si>
  <si>
    <t>605 </t>
  </si>
  <si>
    <t>7,159 </t>
  </si>
  <si>
    <t>12.7% </t>
  </si>
  <si>
    <t>Overall </t>
  </si>
  <si>
    <t>333,436 </t>
  </si>
  <si>
    <t>4,902 </t>
  </si>
  <si>
    <t>185,541 </t>
  </si>
  <si>
    <t>6,807 </t>
  </si>
  <si>
    <t>81,927 </t>
  </si>
  <si>
    <t>1,254,908 </t>
  </si>
  <si>
    <t>26.6% </t>
  </si>
  <si>
    <t>S/N </t>
  </si>
  <si>
    <t>Country </t>
  </si>
  <si>
    <t>Year  </t>
  </si>
  <si>
    <t>Total Unemployed Health Workers </t>
  </si>
  <si>
    <t>Doctors </t>
  </si>
  <si>
    <t>Nurses and Midwives </t>
  </si>
  <si>
    <t>Pharmacists </t>
  </si>
  <si>
    <t>Others Health Workers </t>
  </si>
  <si>
    <t>Overall Stock of all health workers </t>
  </si>
  <si>
    <t>Estimated Unemployment Rate </t>
  </si>
  <si>
    <t>Source </t>
  </si>
  <si>
    <t>Overall Stock of all health workers (HLMA)</t>
  </si>
  <si>
    <t>All</t>
  </si>
  <si>
    <t>All workers (Report)</t>
  </si>
  <si>
    <t>Unemployed proportion (HLMA)</t>
  </si>
  <si>
    <t>Unemployed proportion (report SDG 3c)</t>
  </si>
  <si>
    <t>Unemployed proportion (report all)</t>
  </si>
  <si>
    <t>Overall Stock of all health workers (Report SDG 3c)</t>
  </si>
  <si>
    <t>New total (Stock + Unemployed)</t>
  </si>
  <si>
    <t>New proportion</t>
  </si>
  <si>
    <t>Source</t>
  </si>
  <si>
    <t>Total manpower (Active Stock + Unemployed)</t>
  </si>
  <si>
    <t>Active Stock of all health workers (SDG 3c occupations)</t>
  </si>
  <si>
    <t>Estimated Unemployment Rate (standardised)</t>
  </si>
  <si>
    <t>95% CI</t>
  </si>
  <si>
    <t>(14.03%, 39.11%)</t>
  </si>
  <si>
    <t>(15.32%, 33.01%)</t>
  </si>
  <si>
    <t>Densities</t>
  </si>
  <si>
    <t>Medical Doctors</t>
  </si>
  <si>
    <t>SDG 3 Occupations</t>
  </si>
  <si>
    <t>Percentage change in Density</t>
  </si>
  <si>
    <t>Overall percentage change (2013 - 2022)</t>
  </si>
  <si>
    <t>Annual growth (2013 - 2022)</t>
  </si>
  <si>
    <t>Medical Doctors* stock</t>
  </si>
  <si>
    <t>Medical Doctors*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</si>
</sst>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##0.000"/>
    <numFmt numFmtId="167" formatCode="####.000"/>
    <numFmt numFmtId="168" formatCode="#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b/>
      <sz val="11"/>
      <color rgb="FFFF0000"/>
      <name val="Arial Narrow"/>
      <family val="2"/>
    </font>
    <font>
      <sz val="11"/>
      <color rgb="FF00B050"/>
      <name val="Arial Narrow"/>
      <family val="2"/>
    </font>
    <font>
      <sz val="11"/>
      <color rgb="FFFF000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6E0B4"/>
      </left>
      <right style="medium">
        <color rgb="FFC6E0B4"/>
      </right>
      <top style="double">
        <color rgb="FFC6E0B4"/>
      </top>
      <bottom/>
      <diagonal/>
    </border>
    <border>
      <left style="medium">
        <color rgb="FFC6E0B4"/>
      </left>
      <right style="medium">
        <color rgb="FFC6E0B4"/>
      </right>
      <top style="medium">
        <color rgb="FFC6E0B4"/>
      </top>
      <bottom style="medium">
        <color rgb="FFC6E0B4"/>
      </bottom>
      <diagonal/>
    </border>
    <border>
      <left style="medium">
        <color rgb="FFC6E0B4"/>
      </left>
      <right style="medium">
        <color rgb="FFC6E0B4"/>
      </right>
      <top/>
      <bottom style="medium">
        <color rgb="FFC6E0B4"/>
      </bottom>
      <diagonal/>
    </border>
    <border>
      <left/>
      <right style="medium">
        <color rgb="FFC6E0B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</cellStyleXfs>
  <cellXfs count="236">
    <xf numFmtId="0" fontId="0" fillId="0" borderId="0" xfId="0"/>
    <xf numFmtId="164" fontId="0" fillId="0" borderId="0" xfId="0" applyNumberForma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/>
    <xf numFmtId="164" fontId="3" fillId="3" borderId="1" xfId="0" applyNumberFormat="1" applyFont="1" applyFill="1" applyBorder="1"/>
    <xf numFmtId="164" fontId="4" fillId="4" borderId="1" xfId="0" applyNumberFormat="1" applyFont="1" applyFill="1" applyBorder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164" fontId="3" fillId="5" borderId="1" xfId="0" applyNumberFormat="1" applyFont="1" applyFill="1" applyBorder="1"/>
    <xf numFmtId="164" fontId="4" fillId="6" borderId="1" xfId="0" applyNumberFormat="1" applyFont="1" applyFill="1" applyBorder="1"/>
    <xf numFmtId="0" fontId="2" fillId="0" borderId="1" xfId="0" applyFont="1" applyBorder="1"/>
    <xf numFmtId="0" fontId="3" fillId="0" borderId="0" xfId="0" applyFont="1"/>
    <xf numFmtId="164" fontId="3" fillId="7" borderId="1" xfId="0" applyNumberFormat="1" applyFont="1" applyFill="1" applyBorder="1"/>
    <xf numFmtId="0" fontId="4" fillId="0" borderId="1" xfId="0" applyFont="1" applyBorder="1" applyAlignment="1">
      <alignment wrapText="1"/>
    </xf>
    <xf numFmtId="0" fontId="4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43" fontId="3" fillId="3" borderId="1" xfId="0" applyNumberFormat="1" applyFont="1" applyFill="1" applyBorder="1"/>
    <xf numFmtId="43" fontId="4" fillId="4" borderId="1" xfId="0" applyNumberFormat="1" applyFont="1" applyFill="1" applyBorder="1"/>
    <xf numFmtId="43" fontId="3" fillId="0" borderId="1" xfId="0" applyNumberFormat="1" applyFont="1" applyBorder="1"/>
    <xf numFmtId="43" fontId="5" fillId="0" borderId="1" xfId="0" applyNumberFormat="1" applyFont="1" applyBorder="1"/>
    <xf numFmtId="43" fontId="4" fillId="2" borderId="1" xfId="0" applyNumberFormat="1" applyFont="1" applyFill="1" applyBorder="1"/>
    <xf numFmtId="43" fontId="3" fillId="5" borderId="1" xfId="0" applyNumberFormat="1" applyFont="1" applyFill="1" applyBorder="1"/>
    <xf numFmtId="43" fontId="4" fillId="6" borderId="1" xfId="0" applyNumberFormat="1" applyFont="1" applyFill="1" applyBorder="1"/>
    <xf numFmtId="43" fontId="0" fillId="0" borderId="1" xfId="0" applyNumberFormat="1" applyBorder="1"/>
    <xf numFmtId="43" fontId="2" fillId="2" borderId="1" xfId="0" applyNumberFormat="1" applyFont="1" applyFill="1" applyBorder="1"/>
    <xf numFmtId="164" fontId="5" fillId="0" borderId="1" xfId="0" applyNumberFormat="1" applyFont="1" applyBorder="1"/>
    <xf numFmtId="0" fontId="3" fillId="0" borderId="0" xfId="0" applyFont="1" applyAlignment="1">
      <alignment wrapText="1"/>
    </xf>
    <xf numFmtId="164" fontId="5" fillId="3" borderId="1" xfId="0" applyNumberFormat="1" applyFont="1" applyFill="1" applyBorder="1"/>
    <xf numFmtId="164" fontId="6" fillId="3" borderId="1" xfId="0" applyNumberFormat="1" applyFont="1" applyFill="1" applyBorder="1"/>
    <xf numFmtId="43" fontId="6" fillId="3" borderId="1" xfId="0" applyNumberFormat="1" applyFont="1" applyFill="1" applyBorder="1"/>
    <xf numFmtId="43" fontId="7" fillId="4" borderId="1" xfId="0" applyNumberFormat="1" applyFont="1" applyFill="1" applyBorder="1"/>
    <xf numFmtId="43" fontId="6" fillId="5" borderId="1" xfId="0" applyNumberFormat="1" applyFont="1" applyFill="1" applyBorder="1"/>
    <xf numFmtId="0" fontId="0" fillId="0" borderId="1" xfId="0" applyBorder="1"/>
    <xf numFmtId="43" fontId="6" fillId="0" borderId="1" xfId="0" applyNumberFormat="1" applyFont="1" applyBorder="1"/>
    <xf numFmtId="43" fontId="7" fillId="2" borderId="1" xfId="0" applyNumberFormat="1" applyFont="1" applyFill="1" applyBorder="1"/>
    <xf numFmtId="0" fontId="7" fillId="4" borderId="1" xfId="0" applyFont="1" applyFill="1" applyBorder="1" applyAlignment="1">
      <alignment wrapText="1"/>
    </xf>
    <xf numFmtId="0" fontId="10" fillId="0" borderId="10" xfId="2" applyFont="1" applyBorder="1" applyAlignment="1">
      <alignment horizontal="center" wrapText="1"/>
    </xf>
    <xf numFmtId="0" fontId="10" fillId="0" borderId="11" xfId="2" applyFont="1" applyBorder="1" applyAlignment="1">
      <alignment horizontal="center" wrapText="1"/>
    </xf>
    <xf numFmtId="0" fontId="10" fillId="0" borderId="12" xfId="2" applyFont="1" applyBorder="1" applyAlignment="1">
      <alignment horizontal="center" wrapText="1"/>
    </xf>
    <xf numFmtId="0" fontId="10" fillId="0" borderId="15" xfId="2" applyFont="1" applyBorder="1" applyAlignment="1">
      <alignment horizontal="left" vertical="top" wrapText="1"/>
    </xf>
    <xf numFmtId="166" fontId="10" fillId="0" borderId="16" xfId="2" applyNumberFormat="1" applyFont="1" applyBorder="1" applyAlignment="1">
      <alignment horizontal="right" vertical="top"/>
    </xf>
    <xf numFmtId="167" fontId="10" fillId="0" borderId="17" xfId="2" applyNumberFormat="1" applyFont="1" applyBorder="1" applyAlignment="1">
      <alignment horizontal="right" vertical="top"/>
    </xf>
    <xf numFmtId="0" fontId="10" fillId="0" borderId="17" xfId="2" applyFont="1" applyBorder="1" applyAlignment="1">
      <alignment horizontal="right" vertical="top"/>
    </xf>
    <xf numFmtId="167" fontId="10" fillId="0" borderId="18" xfId="2" applyNumberFormat="1" applyFont="1" applyBorder="1" applyAlignment="1">
      <alignment horizontal="right" vertical="top"/>
    </xf>
    <xf numFmtId="0" fontId="10" fillId="0" borderId="20" xfId="2" applyFont="1" applyBorder="1" applyAlignment="1">
      <alignment horizontal="left" vertical="top" wrapText="1"/>
    </xf>
    <xf numFmtId="0" fontId="10" fillId="0" borderId="21" xfId="2" applyFont="1" applyBorder="1" applyAlignment="1">
      <alignment horizontal="right" vertical="top"/>
    </xf>
    <xf numFmtId="167" fontId="10" fillId="0" borderId="22" xfId="2" applyNumberFormat="1" applyFont="1" applyBorder="1" applyAlignment="1">
      <alignment horizontal="right" vertical="top"/>
    </xf>
    <xf numFmtId="167" fontId="10" fillId="0" borderId="23" xfId="2" applyNumberFormat="1" applyFont="1" applyBorder="1" applyAlignment="1">
      <alignment horizontal="right" vertical="top"/>
    </xf>
    <xf numFmtId="168" fontId="10" fillId="0" borderId="21" xfId="2" applyNumberFormat="1" applyFont="1" applyBorder="1" applyAlignment="1">
      <alignment horizontal="right" vertical="top"/>
    </xf>
    <xf numFmtId="168" fontId="10" fillId="0" borderId="22" xfId="2" applyNumberFormat="1" applyFont="1" applyBorder="1" applyAlignment="1">
      <alignment horizontal="right" vertical="top"/>
    </xf>
    <xf numFmtId="168" fontId="10" fillId="0" borderId="23" xfId="2" applyNumberFormat="1" applyFont="1" applyBorder="1" applyAlignment="1">
      <alignment horizontal="right" vertical="top"/>
    </xf>
    <xf numFmtId="167" fontId="10" fillId="0" borderId="21" xfId="2" applyNumberFormat="1" applyFont="1" applyBorder="1" applyAlignment="1">
      <alignment horizontal="right" vertical="top"/>
    </xf>
    <xf numFmtId="166" fontId="10" fillId="0" borderId="22" xfId="2" applyNumberFormat="1" applyFont="1" applyBorder="1" applyAlignment="1">
      <alignment horizontal="right" vertical="top"/>
    </xf>
    <xf numFmtId="0" fontId="10" fillId="0" borderId="22" xfId="2" applyFont="1" applyBorder="1" applyAlignment="1">
      <alignment horizontal="right" vertical="top"/>
    </xf>
    <xf numFmtId="0" fontId="10" fillId="0" borderId="23" xfId="2" applyFont="1" applyBorder="1" applyAlignment="1">
      <alignment horizontal="right" vertical="top"/>
    </xf>
    <xf numFmtId="166" fontId="10" fillId="0" borderId="23" xfId="2" applyNumberFormat="1" applyFont="1" applyBorder="1" applyAlignment="1">
      <alignment horizontal="right" vertical="top"/>
    </xf>
    <xf numFmtId="0" fontId="10" fillId="0" borderId="26" xfId="2" applyFont="1" applyBorder="1" applyAlignment="1">
      <alignment horizontal="left" vertical="top" wrapText="1"/>
    </xf>
    <xf numFmtId="168" fontId="10" fillId="0" borderId="27" xfId="2" applyNumberFormat="1" applyFont="1" applyBorder="1" applyAlignment="1">
      <alignment horizontal="right" vertical="top"/>
    </xf>
    <xf numFmtId="168" fontId="10" fillId="0" borderId="28" xfId="2" applyNumberFormat="1" applyFont="1" applyBorder="1" applyAlignment="1">
      <alignment horizontal="right" vertical="top"/>
    </xf>
    <xf numFmtId="168" fontId="10" fillId="0" borderId="29" xfId="2" applyNumberFormat="1" applyFont="1" applyBorder="1" applyAlignment="1">
      <alignment horizontal="right" vertical="top"/>
    </xf>
    <xf numFmtId="0" fontId="10" fillId="12" borderId="11" xfId="2" applyFont="1" applyFill="1" applyBorder="1" applyAlignment="1">
      <alignment horizontal="center" wrapText="1"/>
    </xf>
    <xf numFmtId="167" fontId="10" fillId="12" borderId="17" xfId="2" applyNumberFormat="1" applyFont="1" applyFill="1" applyBorder="1" applyAlignment="1">
      <alignment horizontal="right" vertical="top"/>
    </xf>
    <xf numFmtId="167" fontId="10" fillId="12" borderId="22" xfId="2" applyNumberFormat="1" applyFont="1" applyFill="1" applyBorder="1" applyAlignment="1">
      <alignment horizontal="right" vertical="top"/>
    </xf>
    <xf numFmtId="168" fontId="10" fillId="12" borderId="22" xfId="2" applyNumberFormat="1" applyFont="1" applyFill="1" applyBorder="1" applyAlignment="1">
      <alignment horizontal="right" vertical="top"/>
    </xf>
    <xf numFmtId="0" fontId="10" fillId="12" borderId="22" xfId="2" applyFont="1" applyFill="1" applyBorder="1" applyAlignment="1">
      <alignment horizontal="right" vertical="top"/>
    </xf>
    <xf numFmtId="166" fontId="10" fillId="12" borderId="22" xfId="2" applyNumberFormat="1" applyFont="1" applyFill="1" applyBorder="1" applyAlignment="1">
      <alignment horizontal="right" vertical="top"/>
    </xf>
    <xf numFmtId="168" fontId="10" fillId="12" borderId="28" xfId="2" applyNumberFormat="1" applyFont="1" applyFill="1" applyBorder="1" applyAlignment="1">
      <alignment horizontal="right" vertical="top"/>
    </xf>
    <xf numFmtId="0" fontId="0" fillId="12" borderId="0" xfId="0" applyFill="1"/>
    <xf numFmtId="43" fontId="0" fillId="0" borderId="0" xfId="0" applyNumberFormat="1"/>
    <xf numFmtId="165" fontId="3" fillId="0" borderId="0" xfId="1" applyNumberFormat="1" applyFont="1"/>
    <xf numFmtId="43" fontId="3" fillId="0" borderId="0" xfId="0" applyNumberFormat="1" applyFont="1"/>
    <xf numFmtId="164" fontId="3" fillId="0" borderId="0" xfId="0" applyNumberFormat="1" applyFont="1"/>
    <xf numFmtId="0" fontId="4" fillId="6" borderId="30" xfId="0" applyFont="1" applyFill="1" applyBorder="1" applyAlignment="1">
      <alignment wrapText="1"/>
    </xf>
    <xf numFmtId="165" fontId="0" fillId="0" borderId="0" xfId="1" applyNumberFormat="1" applyFont="1"/>
    <xf numFmtId="0" fontId="12" fillId="4" borderId="1" xfId="0" applyFont="1" applyFill="1" applyBorder="1" applyAlignment="1">
      <alignment wrapText="1"/>
    </xf>
    <xf numFmtId="0" fontId="12" fillId="4" borderId="0" xfId="0" applyFont="1" applyFill="1" applyAlignment="1">
      <alignment wrapText="1"/>
    </xf>
    <xf numFmtId="0" fontId="3" fillId="12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10" fontId="3" fillId="0" borderId="0" xfId="1" applyNumberFormat="1" applyFont="1"/>
    <xf numFmtId="3" fontId="3" fillId="0" borderId="0" xfId="0" applyNumberFormat="1" applyFont="1"/>
    <xf numFmtId="0" fontId="4" fillId="6" borderId="3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43" fontId="5" fillId="3" borderId="1" xfId="0" applyNumberFormat="1" applyFont="1" applyFill="1" applyBorder="1"/>
    <xf numFmtId="0" fontId="0" fillId="0" borderId="0" xfId="0" applyAlignment="1">
      <alignment wrapText="1"/>
    </xf>
    <xf numFmtId="43" fontId="14" fillId="0" borderId="0" xfId="0" applyNumberFormat="1" applyFont="1"/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5" fillId="14" borderId="32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6" fillId="15" borderId="33" xfId="0" applyFont="1" applyFill="1" applyBorder="1" applyAlignment="1">
      <alignment horizontal="right" vertical="center" wrapText="1"/>
    </xf>
    <xf numFmtId="0" fontId="16" fillId="15" borderId="0" xfId="0" applyFont="1" applyFill="1" applyAlignment="1">
      <alignment horizontal="right" vertical="center" wrapText="1"/>
    </xf>
    <xf numFmtId="0" fontId="16" fillId="16" borderId="0" xfId="0" applyFont="1" applyFill="1" applyAlignment="1">
      <alignment horizontal="center" vertical="center" wrapText="1"/>
    </xf>
    <xf numFmtId="0" fontId="16" fillId="17" borderId="0" xfId="0" applyFont="1" applyFill="1" applyAlignment="1">
      <alignment horizontal="center" vertical="center" wrapText="1"/>
    </xf>
    <xf numFmtId="0" fontId="16" fillId="15" borderId="34" xfId="0" applyFont="1" applyFill="1" applyBorder="1" applyAlignment="1">
      <alignment horizontal="right" vertical="center" wrapText="1"/>
    </xf>
    <xf numFmtId="0" fontId="16" fillId="18" borderId="0" xfId="0" applyFont="1" applyFill="1" applyAlignment="1">
      <alignment horizontal="center" vertical="center" wrapText="1"/>
    </xf>
    <xf numFmtId="0" fontId="16" fillId="19" borderId="0" xfId="0" applyFont="1" applyFill="1" applyAlignment="1">
      <alignment horizontal="center" vertical="center" wrapText="1"/>
    </xf>
    <xf numFmtId="0" fontId="16" fillId="15" borderId="35" xfId="0" applyFont="1" applyFill="1" applyBorder="1" applyAlignment="1">
      <alignment horizontal="right" vertical="center" wrapText="1"/>
    </xf>
    <xf numFmtId="0" fontId="4" fillId="4" borderId="30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164" fontId="6" fillId="0" borderId="1" xfId="0" applyNumberFormat="1" applyFont="1" applyBorder="1"/>
    <xf numFmtId="0" fontId="6" fillId="0" borderId="1" xfId="0" applyFont="1" applyBorder="1"/>
    <xf numFmtId="0" fontId="17" fillId="0" borderId="0" xfId="0" applyFont="1"/>
    <xf numFmtId="0" fontId="7" fillId="0" borderId="1" xfId="0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43" fontId="6" fillId="9" borderId="1" xfId="0" applyNumberFormat="1" applyFont="1" applyFill="1" applyBorder="1"/>
    <xf numFmtId="43" fontId="17" fillId="0" borderId="0" xfId="0" applyNumberFormat="1" applyFont="1"/>
    <xf numFmtId="0" fontId="7" fillId="2" borderId="1" xfId="0" applyFont="1" applyFill="1" applyBorder="1" applyAlignment="1">
      <alignment horizontal="left"/>
    </xf>
    <xf numFmtId="164" fontId="7" fillId="2" borderId="1" xfId="0" applyNumberFormat="1" applyFont="1" applyFill="1" applyBorder="1"/>
    <xf numFmtId="0" fontId="18" fillId="0" borderId="0" xfId="0" applyFont="1"/>
    <xf numFmtId="164" fontId="18" fillId="0" borderId="0" xfId="0" applyNumberFormat="1" applyFont="1"/>
    <xf numFmtId="164" fontId="17" fillId="0" borderId="0" xfId="0" applyNumberFormat="1" applyFont="1"/>
    <xf numFmtId="165" fontId="17" fillId="0" borderId="0" xfId="1" applyNumberFormat="1" applyFont="1"/>
    <xf numFmtId="0" fontId="18" fillId="0" borderId="1" xfId="0" applyFont="1" applyBorder="1"/>
    <xf numFmtId="0" fontId="7" fillId="6" borderId="1" xfId="0" applyFont="1" applyFill="1" applyBorder="1" applyAlignment="1">
      <alignment wrapText="1"/>
    </xf>
    <xf numFmtId="164" fontId="6" fillId="5" borderId="1" xfId="0" applyNumberFormat="1" applyFont="1" applyFill="1" applyBorder="1"/>
    <xf numFmtId="0" fontId="6" fillId="7" borderId="1" xfId="0" applyFont="1" applyFill="1" applyBorder="1"/>
    <xf numFmtId="0" fontId="17" fillId="7" borderId="0" xfId="0" applyFont="1" applyFill="1"/>
    <xf numFmtId="0" fontId="7" fillId="0" borderId="1" xfId="0" applyFont="1" applyBorder="1"/>
    <xf numFmtId="0" fontId="7" fillId="0" borderId="0" xfId="0" applyFont="1"/>
    <xf numFmtId="0" fontId="7" fillId="10" borderId="1" xfId="0" applyFont="1" applyFill="1" applyBorder="1" applyAlignment="1">
      <alignment wrapText="1"/>
    </xf>
    <xf numFmtId="0" fontId="6" fillId="0" borderId="0" xfId="0" applyFont="1"/>
    <xf numFmtId="165" fontId="6" fillId="11" borderId="1" xfId="1" applyNumberFormat="1" applyFont="1" applyFill="1" applyBorder="1"/>
    <xf numFmtId="0" fontId="7" fillId="7" borderId="1" xfId="0" applyFont="1" applyFill="1" applyBorder="1"/>
    <xf numFmtId="165" fontId="7" fillId="7" borderId="1" xfId="1" applyNumberFormat="1" applyFont="1" applyFill="1" applyBorder="1"/>
    <xf numFmtId="0" fontId="7" fillId="7" borderId="0" xfId="0" applyFont="1" applyFill="1"/>
    <xf numFmtId="9" fontId="6" fillId="0" borderId="0" xfId="1" applyFont="1"/>
    <xf numFmtId="1" fontId="6" fillId="0" borderId="0" xfId="1" applyNumberFormat="1" applyFont="1"/>
    <xf numFmtId="165" fontId="6" fillId="0" borderId="0" xfId="1" applyNumberFormat="1" applyFont="1"/>
    <xf numFmtId="164" fontId="6" fillId="0" borderId="0" xfId="0" applyNumberFormat="1" applyFont="1"/>
    <xf numFmtId="2" fontId="3" fillId="0" borderId="1" xfId="0" applyNumberFormat="1" applyFont="1" applyBorder="1"/>
    <xf numFmtId="0" fontId="3" fillId="7" borderId="1" xfId="0" applyFont="1" applyFill="1" applyBorder="1" applyAlignment="1">
      <alignment wrapText="1"/>
    </xf>
    <xf numFmtId="43" fontId="3" fillId="0" borderId="1" xfId="3" applyFont="1" applyBorder="1"/>
    <xf numFmtId="164" fontId="3" fillId="7" borderId="1" xfId="3" applyNumberFormat="1" applyFont="1" applyFill="1" applyBorder="1"/>
    <xf numFmtId="1" fontId="0" fillId="0" borderId="0" xfId="0" applyNumberFormat="1"/>
    <xf numFmtId="0" fontId="4" fillId="0" borderId="1" xfId="0" applyFont="1" applyBorder="1" applyAlignment="1">
      <alignment horizontal="center"/>
    </xf>
    <xf numFmtId="0" fontId="2" fillId="0" borderId="0" xfId="0" applyFont="1"/>
    <xf numFmtId="0" fontId="4" fillId="0" borderId="1" xfId="0" applyFont="1" applyBorder="1"/>
    <xf numFmtId="164" fontId="4" fillId="7" borderId="1" xfId="3" applyNumberFormat="1" applyFont="1" applyFill="1" applyBorder="1"/>
    <xf numFmtId="2" fontId="4" fillId="0" borderId="1" xfId="0" applyNumberFormat="1" applyFont="1" applyBorder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left" vertical="center" wrapText="1"/>
    </xf>
    <xf numFmtId="0" fontId="20" fillId="20" borderId="46" xfId="0" applyFont="1" applyFill="1" applyBorder="1" applyAlignment="1">
      <alignment horizontal="center" vertical="center" wrapText="1"/>
    </xf>
    <xf numFmtId="0" fontId="20" fillId="20" borderId="47" xfId="0" applyFont="1" applyFill="1" applyBorder="1" applyAlignment="1">
      <alignment horizontal="left" vertical="center" wrapText="1"/>
    </xf>
    <xf numFmtId="0" fontId="20" fillId="20" borderId="47" xfId="0" applyFont="1" applyFill="1" applyBorder="1" applyAlignment="1">
      <alignment horizontal="center" vertical="center" wrapText="1"/>
    </xf>
    <xf numFmtId="0" fontId="20" fillId="20" borderId="48" xfId="0" applyFont="1" applyFill="1" applyBorder="1" applyAlignment="1">
      <alignment horizontal="left" vertical="center" wrapText="1"/>
    </xf>
    <xf numFmtId="2" fontId="2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right"/>
    </xf>
    <xf numFmtId="165" fontId="2" fillId="0" borderId="0" xfId="1" applyNumberFormat="1" applyFont="1"/>
    <xf numFmtId="3" fontId="0" fillId="0" borderId="0" xfId="0" applyNumberFormat="1"/>
    <xf numFmtId="3" fontId="2" fillId="0" borderId="0" xfId="0" applyNumberFormat="1" applyFont="1"/>
    <xf numFmtId="0" fontId="0" fillId="21" borderId="0" xfId="0" applyFill="1" applyAlignment="1">
      <alignment wrapText="1"/>
    </xf>
    <xf numFmtId="0" fontId="2" fillId="0" borderId="0" xfId="0" applyFont="1" applyAlignment="1">
      <alignment wrapText="1"/>
    </xf>
    <xf numFmtId="3" fontId="3" fillId="0" borderId="1" xfId="0" applyNumberFormat="1" applyFont="1" applyBorder="1"/>
    <xf numFmtId="10" fontId="3" fillId="0" borderId="1" xfId="1" applyNumberFormat="1" applyFont="1" applyBorder="1"/>
    <xf numFmtId="3" fontId="4" fillId="0" borderId="1" xfId="0" applyNumberFormat="1" applyFont="1" applyBorder="1"/>
    <xf numFmtId="10" fontId="4" fillId="0" borderId="1" xfId="1" applyNumberFormat="1" applyFont="1" applyBorder="1"/>
    <xf numFmtId="9" fontId="0" fillId="0" borderId="0" xfId="1" applyFont="1"/>
    <xf numFmtId="1" fontId="17" fillId="0" borderId="0" xfId="0" applyNumberFormat="1" applyFont="1"/>
    <xf numFmtId="164" fontId="4" fillId="22" borderId="1" xfId="0" applyNumberFormat="1" applyFont="1" applyFill="1" applyBorder="1"/>
    <xf numFmtId="43" fontId="4" fillId="22" borderId="1" xfId="0" applyNumberFormat="1" applyFont="1" applyFill="1" applyBorder="1"/>
    <xf numFmtId="0" fontId="7" fillId="23" borderId="1" xfId="0" applyFont="1" applyFill="1" applyBorder="1" applyAlignment="1">
      <alignment wrapText="1"/>
    </xf>
    <xf numFmtId="43" fontId="6" fillId="24" borderId="1" xfId="0" applyNumberFormat="1" applyFont="1" applyFill="1" applyBorder="1"/>
    <xf numFmtId="43" fontId="3" fillId="24" borderId="1" xfId="0" applyNumberFormat="1" applyFont="1" applyFill="1" applyBorder="1"/>
    <xf numFmtId="0" fontId="7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5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0" fillId="0" borderId="0" xfId="2" applyFont="1" applyAlignment="1">
      <alignment horizontal="left" vertical="top" wrapText="1"/>
    </xf>
    <xf numFmtId="0" fontId="10" fillId="0" borderId="25" xfId="2" applyFont="1" applyBorder="1" applyAlignment="1">
      <alignment horizontal="left" vertical="top" wrapText="1"/>
    </xf>
    <xf numFmtId="0" fontId="9" fillId="0" borderId="0" xfId="2" applyFont="1" applyAlignment="1">
      <alignment horizontal="center" vertical="center" wrapText="1"/>
    </xf>
    <xf numFmtId="0" fontId="10" fillId="0" borderId="7" xfId="2" applyFont="1" applyBorder="1" applyAlignment="1">
      <alignment horizontal="left" wrapText="1"/>
    </xf>
    <xf numFmtId="0" fontId="10" fillId="0" borderId="8" xfId="2" applyFont="1" applyBorder="1" applyAlignment="1">
      <alignment horizontal="left" wrapText="1"/>
    </xf>
    <xf numFmtId="0" fontId="10" fillId="0" borderId="9" xfId="2" applyFont="1" applyBorder="1" applyAlignment="1">
      <alignment horizontal="left" wrapText="1"/>
    </xf>
    <xf numFmtId="0" fontId="10" fillId="0" borderId="13" xfId="2" applyFont="1" applyBorder="1" applyAlignment="1">
      <alignment horizontal="left" vertical="top" wrapText="1"/>
    </xf>
    <xf numFmtId="0" fontId="10" fillId="0" borderId="19" xfId="2" applyFont="1" applyBorder="1" applyAlignment="1">
      <alignment horizontal="left" vertical="top" wrapText="1"/>
    </xf>
    <xf numFmtId="0" fontId="10" fillId="0" borderId="24" xfId="2" applyFont="1" applyBorder="1" applyAlignment="1">
      <alignment horizontal="left" vertical="top" wrapText="1"/>
    </xf>
    <xf numFmtId="0" fontId="10" fillId="0" borderId="14" xfId="2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9" fillId="20" borderId="40" xfId="0" applyFont="1" applyFill="1" applyBorder="1" applyAlignment="1">
      <alignment horizontal="center" vertical="center" wrapText="1"/>
    </xf>
    <xf numFmtId="0" fontId="19" fillId="20" borderId="38" xfId="0" applyFont="1" applyFill="1" applyBorder="1" applyAlignment="1">
      <alignment horizontal="center" vertical="center" wrapText="1"/>
    </xf>
    <xf numFmtId="0" fontId="19" fillId="20" borderId="39" xfId="0" applyFont="1" applyFill="1" applyBorder="1" applyAlignment="1">
      <alignment horizontal="center" vertical="center" wrapText="1"/>
    </xf>
    <xf numFmtId="0" fontId="19" fillId="20" borderId="42" xfId="0" applyFont="1" applyFill="1" applyBorder="1" applyAlignment="1">
      <alignment horizontal="center" vertical="center" wrapText="1"/>
    </xf>
    <xf numFmtId="0" fontId="19" fillId="20" borderId="40" xfId="0" applyFont="1" applyFill="1" applyBorder="1" applyAlignment="1">
      <alignment horizontal="left" vertical="center" wrapText="1"/>
    </xf>
    <xf numFmtId="0" fontId="19" fillId="20" borderId="38" xfId="0" applyFont="1" applyFill="1" applyBorder="1" applyAlignment="1">
      <alignment horizontal="left" vertical="center" wrapText="1"/>
    </xf>
    <xf numFmtId="0" fontId="19" fillId="20" borderId="41" xfId="0" applyFont="1" applyFill="1" applyBorder="1" applyAlignment="1">
      <alignment horizontal="left" vertical="center" wrapText="1"/>
    </xf>
    <xf numFmtId="0" fontId="19" fillId="20" borderId="43" xfId="0" applyFont="1" applyFill="1" applyBorder="1" applyAlignment="1">
      <alignment horizontal="left" vertical="center" wrapText="1"/>
    </xf>
  </cellXfs>
  <cellStyles count="4">
    <cellStyle name="Comma" xfId="3" builtinId="3"/>
    <cellStyle name="Normal" xfId="0" builtinId="0"/>
    <cellStyle name="Normal_Sheet1" xfId="2" xr:uid="{A039692F-6D00-4174-BA93-A63F602EF07A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'Densities perc change'!$C$12</c:f>
              <c:strCache>
                <c:ptCount val="1"/>
                <c:pt idx="0">
                  <c:v>Overall percentage change (2013 - 2022)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CB-4388-AA6E-608480E3E9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'Densities perc change'!$A$13:$A$18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SDG 3 Occupations</c:v>
                </c:pt>
              </c:strCache>
            </c:strRef>
          </c:cat>
          <c:val>
            <c:numRef>
              <c:f>'Densities perc change'!$C$13:$C$18</c:f>
              <c:numCache>
                <c:formatCode>0%</c:formatCode>
                <c:ptCount val="6"/>
                <c:pt idx="0">
                  <c:v>2.7096280968940287</c:v>
                </c:pt>
                <c:pt idx="1">
                  <c:v>1.1314129265983115</c:v>
                </c:pt>
                <c:pt idx="2">
                  <c:v>1.0706572763589257</c:v>
                </c:pt>
                <c:pt idx="3">
                  <c:v>1.4242790224050306</c:v>
                </c:pt>
                <c:pt idx="4">
                  <c:v>1.756159603746442</c:v>
                </c:pt>
                <c:pt idx="5">
                  <c:v>1.4086856535108927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B-4388-AA6E-608480E3E9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553507744"/>
        <c:axId val="553494304"/>
      </c:barChart>
      <c:scatterChart>
        <c:scatterStyle val="lineMarker"/>
        <c:varyColors val="0"/>
        <c:ser>
          <c:idx val="0"/>
          <c:order val="0"/>
          <c:tx>
            <c:strRef>
              <c:f>'Densities perc change'!$B$12</c:f>
              <c:strCache>
                <c:ptCount val="1"/>
                <c:pt idx="0">
                  <c:v>Annual growth (2013 - 2022)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CB-4388-AA6E-608480E3E999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7CB-4388-AA6E-608480E3E999}"/>
                </c:ext>
              </c:extLst>
            </c:dLbl>
            <c:dLbl>
              <c:idx val="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CB-4388-AA6E-608480E3E999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CB-4388-AA6E-608480E3E999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CB-4388-AA6E-608480E3E999}"/>
                </c:ext>
              </c:extLst>
            </c:dLbl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CB-4388-AA6E-608480E3E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'Densities perc change'!$A$13:$A$18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SDG 3 Occupations</c:v>
                </c:pt>
              </c:strCache>
            </c:strRef>
          </c:xVal>
          <c:yVal>
            <c:numRef>
              <c:f>'Densities perc change'!$B$13:$B$18</c:f>
              <c:numCache>
                <c:formatCode>0%</c:formatCode>
                <c:ptCount val="6"/>
                <c:pt idx="0">
                  <c:v>0.15680173216387128</c:v>
                </c:pt>
                <c:pt idx="1">
                  <c:v>8.7723776120916419E-2</c:v>
                </c:pt>
                <c:pt idx="2">
                  <c:v>8.4234284282161953E-2</c:v>
                </c:pt>
                <c:pt idx="3">
                  <c:v>0.10339598769300617</c:v>
                </c:pt>
                <c:pt idx="4">
                  <c:v>0.11923867071013161</c:v>
                </c:pt>
                <c:pt idx="5">
                  <c:v>0.10260514329612369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CB-4388-AA6E-608480E3E9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897072784"/>
        <c:axId val="897077104"/>
      </c:scatterChart>
      <c:catAx>
        <c:axId val="553507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Occupations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553494304"/>
        <c:crosses val="autoZero"/>
        <c:auto val="1"/>
        <c:lblAlgn val="ctr"/>
        <c:lblOffset val="100"/>
        <c:noMultiLvlLbl val="0"/>
      </c:catAx>
      <c:valAx>
        <c:axId val="553494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Percentage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553507744"/>
        <c:crosses val="autoZero"/>
        <c:crossBetween val="between"/>
      </c:valAx>
      <c:valAx>
        <c:axId val="8970771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Annual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897072784"/>
        <c:crosses val="max"/>
        <c:crossBetween val="midCat"/>
      </c:valAx>
      <c:valAx>
        <c:axId val="897072784"/>
        <c:scaling>
          <c:orientation val="minMax"/>
        </c:scaling>
        <c:delete val="1"/>
        <c:axPos val="t"/>
        <c:majorTickMark val="out"/>
        <c:minorTickMark val="none"/>
        <c:tickLblPos val="nextTo"/>
        <c:crossAx val="897077104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142874</xdr:colOff>
      <xdr:row>3</xdr:row>
      <xdr:rowOff>174624</xdr:rowOff>
    </xdr:from>
    <xdr:to>
      <xdr:col>18</xdr:col>
      <xdr:colOff>57150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EEEA5-D8A8-8A10-8927-2CD2F826E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F9D5-CE1F-4304-B415-7A509725D33C}">
  <dimension ref="A1:AN56"/>
  <sheetViews>
    <sheetView topLeftCell="A2" zoomScaleNormal="100" workbookViewId="0">
      <selection activeCell="J5" sqref="J5"/>
    </sheetView>
  </sheetViews>
  <sheetFormatPr defaultRowHeight="14" x14ac:dyDescent="0.3"/>
  <cols>
    <col min="1" max="1" width="4.54296875" style="16" bestFit="1" customWidth="1"/>
    <col min="2" max="2" width="20.90625" style="16" bestFit="1" customWidth="1"/>
    <col min="3" max="3" width="11.54296875" style="16" customWidth="1"/>
    <col min="4" max="4" width="8.7265625" style="16"/>
    <col min="5" max="5" width="11.6328125" style="16" bestFit="1" customWidth="1"/>
    <col min="6" max="7" width="8.7265625" style="16"/>
    <col min="8" max="8" width="10.81640625" style="16" customWidth="1"/>
    <col min="9" max="13" width="8.7265625" style="16"/>
    <col min="14" max="14" width="4.453125" style="2" bestFit="1" customWidth="1"/>
    <col min="15" max="15" width="20.90625" style="2" bestFit="1" customWidth="1"/>
    <col min="16" max="24" width="8.7265625" style="2"/>
    <col min="25" max="33" width="8.7265625" style="16"/>
    <col min="34" max="34" width="18.54296875" style="16" bestFit="1" customWidth="1"/>
    <col min="35" max="16384" width="8.7265625" style="16"/>
  </cols>
  <sheetData>
    <row r="1" spans="1:40" x14ac:dyDescent="0.3">
      <c r="A1" s="2"/>
      <c r="B1" s="2"/>
      <c r="C1" s="182" t="s">
        <v>53</v>
      </c>
      <c r="D1" s="183"/>
      <c r="E1" s="183"/>
      <c r="F1" s="184" t="s">
        <v>49</v>
      </c>
      <c r="G1" s="185"/>
      <c r="H1" s="185"/>
      <c r="I1" s="186" t="s">
        <v>50</v>
      </c>
      <c r="J1" s="187"/>
      <c r="K1" s="187"/>
      <c r="L1" s="19"/>
      <c r="P1" s="188" t="s">
        <v>53</v>
      </c>
      <c r="Q1" s="188"/>
      <c r="R1" s="188"/>
      <c r="S1" s="189" t="s">
        <v>49</v>
      </c>
      <c r="T1" s="189"/>
      <c r="U1" s="189"/>
      <c r="V1" s="181" t="s">
        <v>50</v>
      </c>
      <c r="W1" s="181"/>
      <c r="X1" s="181"/>
      <c r="AG1" s="2"/>
      <c r="AH1" s="111"/>
      <c r="AI1" s="180" t="s">
        <v>545</v>
      </c>
      <c r="AJ1" s="180"/>
      <c r="AK1" s="180"/>
      <c r="AL1" s="180" t="s">
        <v>546</v>
      </c>
      <c r="AM1" s="180"/>
      <c r="AN1" s="180"/>
    </row>
    <row r="2" spans="1:40" s="34" customFormat="1" ht="56" x14ac:dyDescent="0.3">
      <c r="A2" s="9" t="s">
        <v>52</v>
      </c>
      <c r="B2" s="10" t="s">
        <v>48</v>
      </c>
      <c r="C2" s="11">
        <v>2013</v>
      </c>
      <c r="D2" s="11">
        <v>2018</v>
      </c>
      <c r="E2" s="11" t="s">
        <v>51</v>
      </c>
      <c r="F2" s="10">
        <v>2013</v>
      </c>
      <c r="G2" s="10">
        <v>2018</v>
      </c>
      <c r="H2" s="10" t="s">
        <v>51</v>
      </c>
      <c r="I2" s="12">
        <v>2013</v>
      </c>
      <c r="J2" s="12">
        <v>2018</v>
      </c>
      <c r="K2" s="12" t="s">
        <v>51</v>
      </c>
      <c r="L2" s="34" t="s">
        <v>325</v>
      </c>
      <c r="N2" s="9" t="s">
        <v>52</v>
      </c>
      <c r="O2" s="10" t="s">
        <v>48</v>
      </c>
      <c r="P2" s="11" t="s">
        <v>91</v>
      </c>
      <c r="Q2" s="11" t="s">
        <v>92</v>
      </c>
      <c r="R2" s="11" t="s">
        <v>93</v>
      </c>
      <c r="S2" s="10" t="s">
        <v>91</v>
      </c>
      <c r="T2" s="10" t="s">
        <v>92</v>
      </c>
      <c r="U2" s="10" t="s">
        <v>93</v>
      </c>
      <c r="V2" s="12" t="s">
        <v>91</v>
      </c>
      <c r="W2" s="12" t="s">
        <v>92</v>
      </c>
      <c r="X2" s="12" t="s">
        <v>93</v>
      </c>
      <c r="Y2" s="34" t="s">
        <v>314</v>
      </c>
      <c r="Z2" s="34" t="s">
        <v>315</v>
      </c>
      <c r="AA2" s="34" t="s">
        <v>316</v>
      </c>
      <c r="AG2" s="9" t="s">
        <v>52</v>
      </c>
      <c r="AH2" s="114" t="s">
        <v>48</v>
      </c>
      <c r="AI2" s="43">
        <v>2013</v>
      </c>
      <c r="AJ2" s="43">
        <v>2018</v>
      </c>
      <c r="AK2" s="43" t="s">
        <v>51</v>
      </c>
      <c r="AL2" s="177" t="s">
        <v>91</v>
      </c>
      <c r="AM2" s="177" t="s">
        <v>92</v>
      </c>
      <c r="AN2" s="177" t="s">
        <v>93</v>
      </c>
    </row>
    <row r="3" spans="1:40" x14ac:dyDescent="0.3">
      <c r="A3" s="2">
        <v>1</v>
      </c>
      <c r="B3" s="3" t="s">
        <v>0</v>
      </c>
      <c r="C3" s="7">
        <v>0</v>
      </c>
      <c r="D3" s="7">
        <v>73168</v>
      </c>
      <c r="E3" s="36">
        <v>75512</v>
      </c>
      <c r="F3" s="4">
        <v>0</v>
      </c>
      <c r="G3" s="4">
        <v>34077</v>
      </c>
      <c r="H3" s="4">
        <v>37679</v>
      </c>
      <c r="I3" s="13">
        <v>0</v>
      </c>
      <c r="J3" s="13">
        <v>39830</v>
      </c>
      <c r="K3" s="13">
        <v>37833</v>
      </c>
      <c r="L3" s="16" t="str">
        <f>IF(E3&lt;D3, "Decreased", "Increased")</f>
        <v>Increased</v>
      </c>
      <c r="N3" s="2">
        <v>1</v>
      </c>
      <c r="O3" s="3" t="s">
        <v>0</v>
      </c>
      <c r="P3" s="24">
        <v>0</v>
      </c>
      <c r="Q3" s="24">
        <v>17.451281461612556</v>
      </c>
      <c r="R3" s="93">
        <v>16.816609497424736</v>
      </c>
      <c r="S3" s="26">
        <v>0</v>
      </c>
      <c r="T3" s="26">
        <v>8.1276967850340451</v>
      </c>
      <c r="U3" s="27">
        <v>8.3911567598986476</v>
      </c>
      <c r="V3" s="29">
        <v>0</v>
      </c>
      <c r="W3" s="29">
        <v>9.499843382572001</v>
      </c>
      <c r="X3" s="27">
        <v>8.4254527375260899</v>
      </c>
      <c r="Y3" s="16" t="b">
        <f>R3&gt;15</f>
        <v>1</v>
      </c>
      <c r="Z3" s="78">
        <f>R3-P3</f>
        <v>16.816609497424736</v>
      </c>
      <c r="AA3" s="79">
        <f>E3-C3</f>
        <v>75512</v>
      </c>
      <c r="AG3" s="2">
        <v>1</v>
      </c>
      <c r="AH3" s="96" t="s">
        <v>0</v>
      </c>
      <c r="AI3" s="36">
        <v>0</v>
      </c>
      <c r="AJ3" s="36">
        <v>73168</v>
      </c>
      <c r="AK3" s="36">
        <v>75512</v>
      </c>
      <c r="AL3" s="178">
        <v>0</v>
      </c>
      <c r="AM3" s="178">
        <v>17.451281461612556</v>
      </c>
      <c r="AN3" s="178">
        <v>16.816609497424736</v>
      </c>
    </row>
    <row r="4" spans="1:40" x14ac:dyDescent="0.3">
      <c r="A4" s="2">
        <v>2</v>
      </c>
      <c r="B4" s="3" t="s">
        <v>1</v>
      </c>
      <c r="C4" s="7">
        <v>0</v>
      </c>
      <c r="D4" s="7">
        <v>6593</v>
      </c>
      <c r="E4" s="7">
        <v>8693</v>
      </c>
      <c r="F4" s="4">
        <v>0</v>
      </c>
      <c r="G4" s="4">
        <v>3043</v>
      </c>
      <c r="H4" s="4">
        <v>4778</v>
      </c>
      <c r="I4" s="13">
        <v>0</v>
      </c>
      <c r="J4" s="13">
        <v>3550</v>
      </c>
      <c r="K4" s="13">
        <v>3915</v>
      </c>
      <c r="L4" s="16" t="str">
        <f t="shared" ref="L4:L52" si="0">IF(E4&lt;D4, "Decreased", "Increased")</f>
        <v>Increased</v>
      </c>
      <c r="N4" s="2">
        <v>2</v>
      </c>
      <c r="O4" s="3" t="s">
        <v>1</v>
      </c>
      <c r="P4" s="24">
        <v>0</v>
      </c>
      <c r="Q4" s="24">
        <v>2.1081724281039813</v>
      </c>
      <c r="R4" s="37">
        <v>2.4426095634584915</v>
      </c>
      <c r="S4" s="26">
        <v>0</v>
      </c>
      <c r="T4" s="26">
        <v>0.97302725598671558</v>
      </c>
      <c r="U4" s="26">
        <v>1.3425501546306997</v>
      </c>
      <c r="V4" s="29">
        <v>0</v>
      </c>
      <c r="W4" s="29">
        <v>1.1351451721172658</v>
      </c>
      <c r="X4" s="39">
        <v>1.1000594088277917</v>
      </c>
      <c r="Y4" s="16" t="b">
        <f t="shared" ref="Y4:Y49" si="1">R4&gt;15</f>
        <v>0</v>
      </c>
      <c r="Z4" s="78">
        <f t="shared" ref="Z4:Z49" si="2">R4-P4</f>
        <v>2.4426095634584915</v>
      </c>
      <c r="AA4" s="79">
        <f t="shared" ref="AA4:AA49" si="3">E4-C4</f>
        <v>8693</v>
      </c>
      <c r="AG4" s="2">
        <v>2</v>
      </c>
      <c r="AH4" s="96" t="s">
        <v>1</v>
      </c>
      <c r="AI4" s="36">
        <v>0</v>
      </c>
      <c r="AJ4" s="36">
        <v>6593</v>
      </c>
      <c r="AK4" s="36">
        <v>8693</v>
      </c>
      <c r="AL4" s="178">
        <v>0</v>
      </c>
      <c r="AM4" s="178">
        <v>2.1081724281039813</v>
      </c>
      <c r="AN4" s="178">
        <v>2.4426095634584915</v>
      </c>
    </row>
    <row r="5" spans="1:40" x14ac:dyDescent="0.3">
      <c r="A5" s="2">
        <v>3</v>
      </c>
      <c r="B5" s="3" t="s">
        <v>2</v>
      </c>
      <c r="C5" s="7">
        <v>0</v>
      </c>
      <c r="D5" s="7">
        <v>908</v>
      </c>
      <c r="E5" s="7">
        <v>2608</v>
      </c>
      <c r="F5" s="4">
        <v>0</v>
      </c>
      <c r="G5" s="4">
        <v>391</v>
      </c>
      <c r="H5" s="4">
        <v>1753</v>
      </c>
      <c r="I5" s="13">
        <v>0</v>
      </c>
      <c r="J5" s="13">
        <v>562</v>
      </c>
      <c r="K5" s="13">
        <v>855</v>
      </c>
      <c r="L5" s="16" t="str">
        <f t="shared" si="0"/>
        <v>Increased</v>
      </c>
      <c r="N5" s="2">
        <v>3</v>
      </c>
      <c r="O5" s="3" t="s">
        <v>2</v>
      </c>
      <c r="P5" s="24">
        <v>0</v>
      </c>
      <c r="Q5" s="24">
        <v>0.76042548150614686</v>
      </c>
      <c r="R5" s="37">
        <v>1.953139041931379</v>
      </c>
      <c r="S5" s="26">
        <v>0</v>
      </c>
      <c r="T5" s="26">
        <v>0.32745194192610511</v>
      </c>
      <c r="U5" s="26">
        <v>1.3128269710528018</v>
      </c>
      <c r="V5" s="29">
        <v>0</v>
      </c>
      <c r="W5" s="29">
        <v>0.47065982445644772</v>
      </c>
      <c r="X5" s="39">
        <v>0.64031207087857711</v>
      </c>
      <c r="Y5" s="16" t="b">
        <f t="shared" si="1"/>
        <v>0</v>
      </c>
      <c r="Z5" s="78">
        <f t="shared" si="2"/>
        <v>1.953139041931379</v>
      </c>
      <c r="AA5" s="79">
        <f t="shared" si="3"/>
        <v>2608</v>
      </c>
      <c r="AG5" s="2">
        <v>3</v>
      </c>
      <c r="AH5" s="96" t="s">
        <v>2</v>
      </c>
      <c r="AI5" s="36">
        <v>0</v>
      </c>
      <c r="AJ5" s="36">
        <v>908</v>
      </c>
      <c r="AK5" s="36">
        <v>2608</v>
      </c>
      <c r="AL5" s="178">
        <v>0</v>
      </c>
      <c r="AM5" s="178">
        <v>0.76042548150614686</v>
      </c>
      <c r="AN5" s="178">
        <v>1.953139041931379</v>
      </c>
    </row>
    <row r="6" spans="1:40" x14ac:dyDescent="0.3">
      <c r="A6" s="2">
        <v>4</v>
      </c>
      <c r="B6" s="3" t="s">
        <v>3</v>
      </c>
      <c r="C6" s="7">
        <v>819</v>
      </c>
      <c r="D6" s="7">
        <v>925</v>
      </c>
      <c r="E6" s="7">
        <v>992</v>
      </c>
      <c r="F6" s="4">
        <v>0</v>
      </c>
      <c r="G6" s="4">
        <v>815</v>
      </c>
      <c r="H6" s="4">
        <v>898</v>
      </c>
      <c r="I6" s="13">
        <v>0</v>
      </c>
      <c r="J6" s="13">
        <v>118</v>
      </c>
      <c r="K6" s="13">
        <v>108.03407256611902</v>
      </c>
      <c r="L6" s="16" t="str">
        <f t="shared" si="0"/>
        <v>Increased</v>
      </c>
      <c r="N6" s="2">
        <v>4</v>
      </c>
      <c r="O6" s="3" t="s">
        <v>3</v>
      </c>
      <c r="P6" s="24">
        <v>3.6937181535197645</v>
      </c>
      <c r="Q6" s="24">
        <v>3.77334091808852</v>
      </c>
      <c r="R6" s="37">
        <v>3.7714386517715091</v>
      </c>
      <c r="S6" s="26">
        <v>0</v>
      </c>
      <c r="T6" s="26">
        <v>3.324619295396912</v>
      </c>
      <c r="U6" s="26">
        <v>3.4140644246883216</v>
      </c>
      <c r="V6" s="29">
        <v>0</v>
      </c>
      <c r="W6" s="29">
        <v>0.48135592252372472</v>
      </c>
      <c r="X6" s="39">
        <v>0.41072971470176339</v>
      </c>
      <c r="Y6" s="16" t="b">
        <f t="shared" si="1"/>
        <v>0</v>
      </c>
      <c r="Z6" s="78">
        <f t="shared" si="2"/>
        <v>7.7720498251744541E-2</v>
      </c>
      <c r="AA6" s="79">
        <f t="shared" si="3"/>
        <v>173</v>
      </c>
      <c r="AG6" s="2">
        <v>4</v>
      </c>
      <c r="AH6" s="96" t="s">
        <v>3</v>
      </c>
      <c r="AI6" s="36">
        <v>819</v>
      </c>
      <c r="AJ6" s="36">
        <v>925</v>
      </c>
      <c r="AK6" s="36">
        <v>992</v>
      </c>
      <c r="AL6" s="178">
        <v>3.6937181535197645</v>
      </c>
      <c r="AM6" s="178">
        <v>3.77334091808852</v>
      </c>
      <c r="AN6" s="178">
        <v>3.7714386517715091</v>
      </c>
    </row>
    <row r="7" spans="1:40" x14ac:dyDescent="0.3">
      <c r="A7" s="2">
        <v>5</v>
      </c>
      <c r="B7" s="3" t="s">
        <v>4</v>
      </c>
      <c r="C7" s="7">
        <v>803</v>
      </c>
      <c r="D7" s="7">
        <v>1684</v>
      </c>
      <c r="E7" s="7">
        <v>3323</v>
      </c>
      <c r="F7" s="4">
        <v>0</v>
      </c>
      <c r="G7" s="4">
        <v>888</v>
      </c>
      <c r="H7" s="4">
        <v>2372</v>
      </c>
      <c r="I7" s="13">
        <v>0</v>
      </c>
      <c r="J7" s="13">
        <v>952</v>
      </c>
      <c r="K7" s="13">
        <v>976.99387949059121</v>
      </c>
      <c r="L7" s="16" t="str">
        <f t="shared" si="0"/>
        <v>Increased</v>
      </c>
      <c r="N7" s="2">
        <v>5</v>
      </c>
      <c r="O7" s="3" t="s">
        <v>4</v>
      </c>
      <c r="P7" s="24">
        <v>0.45530814594752361</v>
      </c>
      <c r="Q7" s="24">
        <v>0.82578476645811349</v>
      </c>
      <c r="R7" s="37">
        <v>1.4655706450477866</v>
      </c>
      <c r="S7" s="26">
        <v>0</v>
      </c>
      <c r="T7" s="26">
        <v>0.43544944929620238</v>
      </c>
      <c r="U7" s="26">
        <v>1.0461431146714864</v>
      </c>
      <c r="V7" s="29">
        <v>0</v>
      </c>
      <c r="W7" s="29">
        <v>0.46683319338962237</v>
      </c>
      <c r="X7" s="39">
        <v>0.43089182972397383</v>
      </c>
      <c r="Y7" s="16" t="b">
        <f t="shared" si="1"/>
        <v>0</v>
      </c>
      <c r="Z7" s="78">
        <f t="shared" si="2"/>
        <v>1.0102624991002629</v>
      </c>
      <c r="AA7" s="79">
        <f t="shared" si="3"/>
        <v>2520</v>
      </c>
      <c r="AG7" s="2">
        <v>5</v>
      </c>
      <c r="AH7" s="96" t="s">
        <v>4</v>
      </c>
      <c r="AI7" s="36">
        <v>803</v>
      </c>
      <c r="AJ7" s="36">
        <v>1684</v>
      </c>
      <c r="AK7" s="36">
        <v>3323</v>
      </c>
      <c r="AL7" s="178">
        <v>0.45530814594752361</v>
      </c>
      <c r="AM7" s="178">
        <v>0.82578476645811349</v>
      </c>
      <c r="AN7" s="178">
        <v>1.4655706450477866</v>
      </c>
    </row>
    <row r="8" spans="1:40" x14ac:dyDescent="0.3">
      <c r="A8" s="2">
        <v>6</v>
      </c>
      <c r="B8" s="3" t="s">
        <v>5</v>
      </c>
      <c r="C8" s="7">
        <v>554</v>
      </c>
      <c r="D8" s="7">
        <v>1084</v>
      </c>
      <c r="E8" s="7">
        <v>1014.8610394397346</v>
      </c>
      <c r="F8" s="4">
        <v>486</v>
      </c>
      <c r="G8" s="4">
        <v>889</v>
      </c>
      <c r="H8" s="4">
        <v>906.12592807119154</v>
      </c>
      <c r="I8" s="13">
        <v>68</v>
      </c>
      <c r="J8" s="13">
        <v>195</v>
      </c>
      <c r="K8" s="13">
        <v>108.73511136854299</v>
      </c>
      <c r="L8" s="16" t="str">
        <f t="shared" si="0"/>
        <v>Decreased</v>
      </c>
      <c r="N8" s="2">
        <v>6</v>
      </c>
      <c r="O8" s="3" t="s">
        <v>5</v>
      </c>
      <c r="P8" s="24">
        <v>0.54583552862175777</v>
      </c>
      <c r="Q8" s="24">
        <v>0.9431440324062208</v>
      </c>
      <c r="R8" s="37">
        <v>0.78735018131878509</v>
      </c>
      <c r="S8" s="26">
        <v>0.47883766590284166</v>
      </c>
      <c r="T8" s="26">
        <v>0.77348251366155929</v>
      </c>
      <c r="U8" s="26">
        <v>0.70299123332034374</v>
      </c>
      <c r="V8" s="29">
        <v>6.6997862718916126E-2</v>
      </c>
      <c r="W8" s="29">
        <v>0.16966151874466148</v>
      </c>
      <c r="X8" s="39">
        <v>8.4358947998441236E-2</v>
      </c>
      <c r="Y8" s="16" t="b">
        <f t="shared" si="1"/>
        <v>0</v>
      </c>
      <c r="Z8" s="78">
        <f t="shared" si="2"/>
        <v>0.24151465269702732</v>
      </c>
      <c r="AA8" s="79">
        <f t="shared" si="3"/>
        <v>460.86103943973455</v>
      </c>
      <c r="AG8" s="2">
        <v>6</v>
      </c>
      <c r="AH8" s="96" t="s">
        <v>5</v>
      </c>
      <c r="AI8" s="36">
        <v>554</v>
      </c>
      <c r="AJ8" s="36">
        <v>1084</v>
      </c>
      <c r="AK8" s="36">
        <v>1014.8610394397346</v>
      </c>
      <c r="AL8" s="178">
        <v>0.54583552862175777</v>
      </c>
      <c r="AM8" s="178">
        <v>0.9431440324062208</v>
      </c>
      <c r="AN8" s="178">
        <v>0.78735018131878509</v>
      </c>
    </row>
    <row r="9" spans="1:40" x14ac:dyDescent="0.3">
      <c r="A9" s="2">
        <v>7</v>
      </c>
      <c r="B9" s="3" t="s">
        <v>6</v>
      </c>
      <c r="C9" s="7">
        <v>1842</v>
      </c>
      <c r="D9" s="7">
        <v>3259</v>
      </c>
      <c r="E9" s="7">
        <v>3759</v>
      </c>
      <c r="F9" s="4">
        <v>0</v>
      </c>
      <c r="G9" s="4">
        <v>2400</v>
      </c>
      <c r="H9" s="4">
        <v>2467</v>
      </c>
      <c r="I9" s="13">
        <v>0</v>
      </c>
      <c r="J9" s="13">
        <v>859</v>
      </c>
      <c r="K9" s="13">
        <v>1289</v>
      </c>
      <c r="L9" s="16" t="str">
        <f t="shared" si="0"/>
        <v>Increased</v>
      </c>
      <c r="N9" s="2">
        <v>7</v>
      </c>
      <c r="O9" s="3" t="s">
        <v>6</v>
      </c>
      <c r="P9" s="24">
        <v>0.85148281433098261</v>
      </c>
      <c r="Q9" s="24">
        <v>1.2996103780847321</v>
      </c>
      <c r="R9" s="37">
        <v>1.3466102150755759</v>
      </c>
      <c r="S9" s="26">
        <v>0</v>
      </c>
      <c r="T9" s="26">
        <v>0.95706195379053605</v>
      </c>
      <c r="U9" s="26">
        <v>0.88376892806369933</v>
      </c>
      <c r="V9" s="29">
        <v>0</v>
      </c>
      <c r="W9" s="29">
        <v>0.34254842429419602</v>
      </c>
      <c r="X9" s="39">
        <v>0.461766578141106</v>
      </c>
      <c r="Y9" s="16" t="b">
        <f t="shared" si="1"/>
        <v>0</v>
      </c>
      <c r="Z9" s="78">
        <f t="shared" si="2"/>
        <v>0.49512740074459327</v>
      </c>
      <c r="AA9" s="79">
        <f t="shared" si="3"/>
        <v>1917</v>
      </c>
      <c r="AG9" s="2">
        <v>7</v>
      </c>
      <c r="AH9" s="96" t="s">
        <v>6</v>
      </c>
      <c r="AI9" s="36">
        <v>1842</v>
      </c>
      <c r="AJ9" s="36">
        <v>3259</v>
      </c>
      <c r="AK9" s="36">
        <v>3759</v>
      </c>
      <c r="AL9" s="178">
        <v>0.85148281433098261</v>
      </c>
      <c r="AM9" s="178">
        <v>1.2996103780847321</v>
      </c>
      <c r="AN9" s="178">
        <v>1.3466102150755759</v>
      </c>
    </row>
    <row r="10" spans="1:40" x14ac:dyDescent="0.3">
      <c r="A10" s="2">
        <v>8</v>
      </c>
      <c r="B10" s="3" t="s">
        <v>7</v>
      </c>
      <c r="C10" s="7">
        <v>308</v>
      </c>
      <c r="D10" s="7">
        <v>452</v>
      </c>
      <c r="E10" s="7">
        <v>2644</v>
      </c>
      <c r="F10" s="4">
        <v>0</v>
      </c>
      <c r="G10" s="4">
        <v>165</v>
      </c>
      <c r="H10" s="4">
        <v>187</v>
      </c>
      <c r="I10" s="13">
        <v>0</v>
      </c>
      <c r="J10" s="13">
        <v>287</v>
      </c>
      <c r="K10" s="13">
        <v>134.29007633587787</v>
      </c>
      <c r="L10" s="16" t="str">
        <f t="shared" si="0"/>
        <v>Increased</v>
      </c>
      <c r="N10" s="2">
        <v>8</v>
      </c>
      <c r="O10" s="3" t="s">
        <v>7</v>
      </c>
      <c r="P10" s="24">
        <v>5.7043375189835919</v>
      </c>
      <c r="Q10" s="24">
        <v>7.913144485790041</v>
      </c>
      <c r="R10" s="37">
        <v>44.57560867875636</v>
      </c>
      <c r="S10" s="26">
        <v>0</v>
      </c>
      <c r="T10" s="26">
        <v>2.8886478764499044</v>
      </c>
      <c r="U10" s="26">
        <v>3.1526621871888953</v>
      </c>
      <c r="V10" s="29">
        <v>0</v>
      </c>
      <c r="W10" s="29">
        <v>5.0244966093401366</v>
      </c>
      <c r="X10" s="39">
        <v>2.2640173571060558</v>
      </c>
      <c r="Y10" s="16" t="b">
        <f t="shared" si="1"/>
        <v>1</v>
      </c>
      <c r="Z10" s="78">
        <f t="shared" si="2"/>
        <v>38.871271159772768</v>
      </c>
      <c r="AA10" s="79">
        <f t="shared" si="3"/>
        <v>2336</v>
      </c>
      <c r="AG10" s="2">
        <v>8</v>
      </c>
      <c r="AH10" s="96" t="s">
        <v>7</v>
      </c>
      <c r="AI10" s="36">
        <v>308</v>
      </c>
      <c r="AJ10" s="36">
        <v>452</v>
      </c>
      <c r="AK10" s="36">
        <v>2644</v>
      </c>
      <c r="AL10" s="178">
        <v>5.7043375189835919</v>
      </c>
      <c r="AM10" s="178">
        <v>7.913144485790041</v>
      </c>
      <c r="AN10" s="178">
        <v>44.57560867875636</v>
      </c>
    </row>
    <row r="11" spans="1:40" x14ac:dyDescent="0.3">
      <c r="A11" s="2">
        <v>9</v>
      </c>
      <c r="B11" s="3" t="s">
        <v>8</v>
      </c>
      <c r="C11" s="7">
        <v>324</v>
      </c>
      <c r="D11" s="7">
        <v>335</v>
      </c>
      <c r="E11" s="35">
        <v>146.38957816377172</v>
      </c>
      <c r="F11" s="4">
        <v>0</v>
      </c>
      <c r="G11" s="4">
        <v>263</v>
      </c>
      <c r="H11" s="4">
        <v>138.6848635235732</v>
      </c>
      <c r="I11" s="13">
        <v>38</v>
      </c>
      <c r="J11" s="13">
        <v>72</v>
      </c>
      <c r="K11" s="13">
        <v>5.1364764267990077</v>
      </c>
      <c r="L11" s="16" t="str">
        <f t="shared" si="0"/>
        <v>Decreased</v>
      </c>
      <c r="N11" s="2">
        <v>9</v>
      </c>
      <c r="O11" s="3" t="s">
        <v>8</v>
      </c>
      <c r="P11" s="24">
        <v>0.67465866488173498</v>
      </c>
      <c r="Q11" s="24">
        <v>0.65753575227978456</v>
      </c>
      <c r="R11" s="37">
        <v>0.2623871892948651</v>
      </c>
      <c r="S11" s="26">
        <v>0</v>
      </c>
      <c r="T11" s="26">
        <v>0.5162146353718905</v>
      </c>
      <c r="U11" s="26">
        <v>0.24857733722671424</v>
      </c>
      <c r="V11" s="29">
        <v>7.9126633535512123E-2</v>
      </c>
      <c r="W11" s="29">
        <v>0.14132111690789398</v>
      </c>
      <c r="X11" s="39">
        <v>9.2065680454338616E-3</v>
      </c>
      <c r="Y11" s="16" t="b">
        <f t="shared" si="1"/>
        <v>0</v>
      </c>
      <c r="Z11" s="78">
        <f t="shared" si="2"/>
        <v>-0.41227147558686988</v>
      </c>
      <c r="AA11" s="79">
        <f t="shared" si="3"/>
        <v>-177.61042183622828</v>
      </c>
      <c r="AG11" s="2">
        <v>9</v>
      </c>
      <c r="AH11" s="96" t="s">
        <v>8</v>
      </c>
      <c r="AI11" s="36">
        <v>324</v>
      </c>
      <c r="AJ11" s="36">
        <v>335</v>
      </c>
      <c r="AK11" s="36">
        <v>146.38957816377172</v>
      </c>
      <c r="AL11" s="178">
        <v>0.67465866488173498</v>
      </c>
      <c r="AM11" s="178">
        <v>0.65753575227978456</v>
      </c>
      <c r="AN11" s="178">
        <v>0.2623871892948651</v>
      </c>
    </row>
    <row r="12" spans="1:40" x14ac:dyDescent="0.3">
      <c r="A12" s="2">
        <v>10</v>
      </c>
      <c r="B12" s="3" t="s">
        <v>9</v>
      </c>
      <c r="C12" s="7">
        <v>573</v>
      </c>
      <c r="D12" s="7">
        <v>803</v>
      </c>
      <c r="E12" s="7">
        <v>1507</v>
      </c>
      <c r="F12" s="4">
        <v>0</v>
      </c>
      <c r="G12" s="4">
        <v>646</v>
      </c>
      <c r="H12" s="4">
        <v>1197</v>
      </c>
      <c r="I12" s="13">
        <v>0</v>
      </c>
      <c r="J12" s="13">
        <v>157</v>
      </c>
      <c r="K12" s="13">
        <v>310</v>
      </c>
      <c r="L12" s="16" t="str">
        <f t="shared" si="0"/>
        <v>Increased</v>
      </c>
      <c r="N12" s="2">
        <v>10</v>
      </c>
      <c r="O12" s="3" t="s">
        <v>9</v>
      </c>
      <c r="P12" s="24">
        <v>0.43354023088778937</v>
      </c>
      <c r="Q12" s="24">
        <v>0.51460471244619244</v>
      </c>
      <c r="R12" s="37">
        <v>0.85029242131882254</v>
      </c>
      <c r="S12" s="26">
        <v>0</v>
      </c>
      <c r="T12" s="26">
        <v>0.41399083965160682</v>
      </c>
      <c r="U12" s="26">
        <v>0.67538157154520939</v>
      </c>
      <c r="V12" s="29">
        <v>0</v>
      </c>
      <c r="W12" s="29">
        <v>0.10061387279458556</v>
      </c>
      <c r="X12" s="39">
        <v>0.17491084977361313</v>
      </c>
      <c r="Y12" s="16" t="b">
        <f t="shared" si="1"/>
        <v>0</v>
      </c>
      <c r="Z12" s="78">
        <f t="shared" si="2"/>
        <v>0.41675219043103318</v>
      </c>
      <c r="AA12" s="79">
        <f t="shared" si="3"/>
        <v>934</v>
      </c>
      <c r="AG12" s="2">
        <v>10</v>
      </c>
      <c r="AH12" s="96" t="s">
        <v>9</v>
      </c>
      <c r="AI12" s="36">
        <v>573</v>
      </c>
      <c r="AJ12" s="36">
        <v>803</v>
      </c>
      <c r="AK12" s="36">
        <v>1507</v>
      </c>
      <c r="AL12" s="178">
        <v>0.43354023088778937</v>
      </c>
      <c r="AM12" s="178">
        <v>0.51460471244619244</v>
      </c>
      <c r="AN12" s="178">
        <v>0.85029242131882254</v>
      </c>
    </row>
    <row r="13" spans="1:40" x14ac:dyDescent="0.3">
      <c r="A13" s="2">
        <v>11</v>
      </c>
      <c r="B13" s="3" t="s">
        <v>10</v>
      </c>
      <c r="C13" s="7">
        <v>123</v>
      </c>
      <c r="D13" s="7">
        <v>220</v>
      </c>
      <c r="E13" s="7">
        <v>354</v>
      </c>
      <c r="F13" s="4">
        <v>0</v>
      </c>
      <c r="G13" s="4">
        <v>130</v>
      </c>
      <c r="H13" s="4">
        <v>241</v>
      </c>
      <c r="I13" s="13">
        <v>0</v>
      </c>
      <c r="J13" s="13">
        <v>90</v>
      </c>
      <c r="K13" s="13">
        <v>113</v>
      </c>
      <c r="L13" s="16" t="str">
        <f t="shared" si="0"/>
        <v>Increased</v>
      </c>
      <c r="N13" s="2">
        <v>11</v>
      </c>
      <c r="O13" s="3" t="s">
        <v>10</v>
      </c>
      <c r="P13" s="24">
        <v>1.7586691307098652</v>
      </c>
      <c r="Q13" s="24">
        <v>2.8339066627077822</v>
      </c>
      <c r="R13" s="37">
        <v>4.2305355033351333</v>
      </c>
      <c r="S13" s="26">
        <v>0</v>
      </c>
      <c r="T13" s="26">
        <v>1.6745812097818713</v>
      </c>
      <c r="U13" s="26">
        <v>2.8801103285417149</v>
      </c>
      <c r="V13" s="29">
        <v>0</v>
      </c>
      <c r="W13" s="29">
        <v>1.1593254529259109</v>
      </c>
      <c r="X13" s="39">
        <v>1.3504251747934182</v>
      </c>
      <c r="Y13" s="16" t="b">
        <f t="shared" si="1"/>
        <v>0</v>
      </c>
      <c r="Z13" s="78">
        <f t="shared" si="2"/>
        <v>2.4718663726252679</v>
      </c>
      <c r="AA13" s="79">
        <f t="shared" si="3"/>
        <v>231</v>
      </c>
      <c r="AG13" s="2">
        <v>11</v>
      </c>
      <c r="AH13" s="96" t="s">
        <v>10</v>
      </c>
      <c r="AI13" s="36">
        <v>123</v>
      </c>
      <c r="AJ13" s="36">
        <v>220</v>
      </c>
      <c r="AK13" s="36">
        <v>354</v>
      </c>
      <c r="AL13" s="178">
        <v>1.7586691307098652</v>
      </c>
      <c r="AM13" s="178">
        <v>2.8339066627077822</v>
      </c>
      <c r="AN13" s="178">
        <v>4.2305355033351333</v>
      </c>
    </row>
    <row r="14" spans="1:40" x14ac:dyDescent="0.3">
      <c r="A14" s="2">
        <v>12</v>
      </c>
      <c r="B14" s="3" t="s">
        <v>11</v>
      </c>
      <c r="C14" s="7">
        <v>0</v>
      </c>
      <c r="D14" s="7">
        <v>544</v>
      </c>
      <c r="E14" s="7">
        <v>1042</v>
      </c>
      <c r="F14" s="4">
        <v>0</v>
      </c>
      <c r="G14" s="4">
        <v>269</v>
      </c>
      <c r="H14" s="4">
        <v>787</v>
      </c>
      <c r="I14" s="13">
        <v>0</v>
      </c>
      <c r="J14" s="13">
        <v>275</v>
      </c>
      <c r="K14" s="13">
        <v>293.07115430170586</v>
      </c>
      <c r="L14" s="16" t="str">
        <f t="shared" si="0"/>
        <v>Increased</v>
      </c>
      <c r="N14" s="2">
        <v>12</v>
      </c>
      <c r="O14" s="3" t="s">
        <v>11</v>
      </c>
      <c r="P14" s="24">
        <v>0</v>
      </c>
      <c r="Q14" s="24">
        <v>0.99980481751540462</v>
      </c>
      <c r="R14" s="37">
        <v>1.7452696826892025</v>
      </c>
      <c r="S14" s="26">
        <v>0</v>
      </c>
      <c r="T14" s="26">
        <v>0.49438877924934532</v>
      </c>
      <c r="U14" s="26">
        <v>1.3181643380771615</v>
      </c>
      <c r="V14" s="29">
        <v>0</v>
      </c>
      <c r="W14" s="29">
        <v>0.5054160382660593</v>
      </c>
      <c r="X14" s="39">
        <v>0.49087159354462234</v>
      </c>
      <c r="Y14" s="16" t="b">
        <f t="shared" si="1"/>
        <v>0</v>
      </c>
      <c r="Z14" s="78">
        <f t="shared" si="2"/>
        <v>1.7452696826892025</v>
      </c>
      <c r="AA14" s="79">
        <f t="shared" si="3"/>
        <v>1042</v>
      </c>
      <c r="AG14" s="2">
        <v>12</v>
      </c>
      <c r="AH14" s="96" t="s">
        <v>11</v>
      </c>
      <c r="AI14" s="36">
        <v>0</v>
      </c>
      <c r="AJ14" s="36">
        <v>544</v>
      </c>
      <c r="AK14" s="36">
        <v>1042</v>
      </c>
      <c r="AL14" s="178">
        <v>0</v>
      </c>
      <c r="AM14" s="178">
        <v>0.99980481751540462</v>
      </c>
      <c r="AN14" s="178">
        <v>1.7452696826892025</v>
      </c>
    </row>
    <row r="15" spans="1:40" x14ac:dyDescent="0.3">
      <c r="A15" s="2">
        <v>13</v>
      </c>
      <c r="B15" s="3" t="s">
        <v>12</v>
      </c>
      <c r="C15" s="7">
        <v>5240</v>
      </c>
      <c r="D15" s="7">
        <v>5602</v>
      </c>
      <c r="E15" s="7">
        <v>6327.5519796794806</v>
      </c>
      <c r="F15" s="4">
        <v>0</v>
      </c>
      <c r="G15" s="4">
        <v>4246</v>
      </c>
      <c r="H15" s="4">
        <v>4412</v>
      </c>
      <c r="I15" s="13">
        <v>0</v>
      </c>
      <c r="J15" s="13">
        <v>1356</v>
      </c>
      <c r="K15" s="13">
        <v>664.84217555252962</v>
      </c>
      <c r="L15" s="16" t="str">
        <f t="shared" si="0"/>
        <v>Increased</v>
      </c>
      <c r="N15" s="2">
        <v>13</v>
      </c>
      <c r="O15" s="3" t="s">
        <v>12</v>
      </c>
      <c r="P15" s="24">
        <v>2.3320742431857204</v>
      </c>
      <c r="Q15" s="24">
        <v>2.1973807668423482</v>
      </c>
      <c r="R15" s="37">
        <v>2.2469567053544797</v>
      </c>
      <c r="S15" s="26">
        <v>0</v>
      </c>
      <c r="T15" s="26">
        <v>1.6654906704770815</v>
      </c>
      <c r="U15" s="26">
        <v>1.5667311806936957</v>
      </c>
      <c r="V15" s="29">
        <v>0</v>
      </c>
      <c r="W15" s="29">
        <v>0.53189009636526674</v>
      </c>
      <c r="X15" s="39">
        <v>0.23608997431513601</v>
      </c>
      <c r="Y15" s="16" t="b">
        <f t="shared" si="1"/>
        <v>0</v>
      </c>
      <c r="Z15" s="78">
        <f t="shared" si="2"/>
        <v>-8.5117537831240764E-2</v>
      </c>
      <c r="AA15" s="79">
        <f t="shared" si="3"/>
        <v>1087.5519796794806</v>
      </c>
      <c r="AG15" s="2">
        <v>13</v>
      </c>
      <c r="AH15" s="96" t="s">
        <v>12</v>
      </c>
      <c r="AI15" s="36">
        <v>5240</v>
      </c>
      <c r="AJ15" s="36">
        <v>5602</v>
      </c>
      <c r="AK15" s="36">
        <v>6327.5519796794806</v>
      </c>
      <c r="AL15" s="178">
        <v>2.3320742431857204</v>
      </c>
      <c r="AM15" s="178">
        <v>2.1973807668423482</v>
      </c>
      <c r="AN15" s="178">
        <v>2.2469567053544797</v>
      </c>
    </row>
    <row r="16" spans="1:40" x14ac:dyDescent="0.3">
      <c r="A16" s="2">
        <v>14</v>
      </c>
      <c r="B16" s="3" t="s">
        <v>13</v>
      </c>
      <c r="C16" s="7">
        <v>6418</v>
      </c>
      <c r="D16" s="7">
        <v>31546</v>
      </c>
      <c r="E16" s="7">
        <v>21289.958719118578</v>
      </c>
      <c r="F16" s="4">
        <v>0</v>
      </c>
      <c r="G16" s="4">
        <v>30768</v>
      </c>
      <c r="H16" s="4">
        <v>21289.958719118578</v>
      </c>
      <c r="I16" s="13">
        <v>0</v>
      </c>
      <c r="J16" s="13">
        <v>778</v>
      </c>
      <c r="K16" s="13">
        <v>778</v>
      </c>
      <c r="L16" s="16" t="str">
        <f t="shared" si="0"/>
        <v>Decreased</v>
      </c>
      <c r="N16" s="2">
        <v>14</v>
      </c>
      <c r="O16" s="3" t="s">
        <v>13</v>
      </c>
      <c r="P16" s="24">
        <v>0.87367249731660168</v>
      </c>
      <c r="Q16" s="24">
        <v>3.6223398907912641</v>
      </c>
      <c r="R16" s="37">
        <v>2.1502790761743422</v>
      </c>
      <c r="S16" s="26">
        <v>0</v>
      </c>
      <c r="T16" s="26">
        <v>3.5330043035524508</v>
      </c>
      <c r="U16" s="26">
        <v>2.1502790761743422</v>
      </c>
      <c r="V16" s="29">
        <v>0</v>
      </c>
      <c r="W16" s="29">
        <v>8.9335587238813269E-2</v>
      </c>
      <c r="X16" s="39">
        <v>7.8577753171561737E-2</v>
      </c>
      <c r="Y16" s="16" t="b">
        <f t="shared" si="1"/>
        <v>0</v>
      </c>
      <c r="Z16" s="78">
        <f t="shared" si="2"/>
        <v>1.2766065788577405</v>
      </c>
      <c r="AA16" s="79">
        <f t="shared" si="3"/>
        <v>14871.958719118578</v>
      </c>
      <c r="AG16" s="2">
        <v>14</v>
      </c>
      <c r="AH16" s="96" t="s">
        <v>13</v>
      </c>
      <c r="AI16" s="36">
        <v>6418</v>
      </c>
      <c r="AJ16" s="36">
        <v>31546</v>
      </c>
      <c r="AK16" s="36">
        <v>21289.958719118578</v>
      </c>
      <c r="AL16" s="178">
        <v>0.87367249731660168</v>
      </c>
      <c r="AM16" s="178">
        <v>3.6223398907912641</v>
      </c>
      <c r="AN16" s="178">
        <v>2.1502790761743422</v>
      </c>
    </row>
    <row r="17" spans="1:40" x14ac:dyDescent="0.3">
      <c r="A17" s="2">
        <v>15</v>
      </c>
      <c r="B17" s="3" t="s">
        <v>14</v>
      </c>
      <c r="C17" s="7">
        <v>0</v>
      </c>
      <c r="D17" s="7">
        <v>246</v>
      </c>
      <c r="E17" s="7">
        <v>274.68237599257924</v>
      </c>
      <c r="F17" s="4">
        <v>0</v>
      </c>
      <c r="G17" s="4">
        <v>246</v>
      </c>
      <c r="H17" s="4">
        <v>209.17235326631555</v>
      </c>
      <c r="I17" s="13">
        <v>0</v>
      </c>
      <c r="J17" s="13">
        <v>0</v>
      </c>
      <c r="K17" s="13">
        <v>57</v>
      </c>
      <c r="L17" s="16" t="str">
        <f t="shared" si="0"/>
        <v>Increased</v>
      </c>
      <c r="N17" s="2">
        <v>15</v>
      </c>
      <c r="O17" s="3" t="s">
        <v>14</v>
      </c>
      <c r="P17" s="24">
        <v>0</v>
      </c>
      <c r="Q17" s="24">
        <v>1.637716477325116</v>
      </c>
      <c r="R17" s="37">
        <v>1.6399848588255548</v>
      </c>
      <c r="S17" s="26">
        <v>0</v>
      </c>
      <c r="T17" s="26">
        <v>1.637716477325116</v>
      </c>
      <c r="U17" s="26">
        <v>1.2488587627876608</v>
      </c>
      <c r="V17" s="29">
        <v>0</v>
      </c>
      <c r="W17" s="29">
        <v>0</v>
      </c>
      <c r="X17" s="39">
        <v>0.3403171995118538</v>
      </c>
      <c r="Y17" s="16" t="b">
        <f t="shared" si="1"/>
        <v>0</v>
      </c>
      <c r="Z17" s="78">
        <f t="shared" si="2"/>
        <v>1.6399848588255548</v>
      </c>
      <c r="AA17" s="79">
        <f t="shared" si="3"/>
        <v>274.68237599257924</v>
      </c>
      <c r="AG17" s="2">
        <v>15</v>
      </c>
      <c r="AH17" s="3" t="s">
        <v>14</v>
      </c>
      <c r="AI17" s="7">
        <v>0</v>
      </c>
      <c r="AJ17" s="7">
        <v>246</v>
      </c>
      <c r="AK17" s="7">
        <v>274.68237599257924</v>
      </c>
      <c r="AL17" s="179">
        <v>0</v>
      </c>
      <c r="AM17" s="179">
        <v>1.637716477325116</v>
      </c>
      <c r="AN17" s="178">
        <v>1.6399848588255548</v>
      </c>
    </row>
    <row r="18" spans="1:40" x14ac:dyDescent="0.3">
      <c r="A18" s="2">
        <v>16</v>
      </c>
      <c r="B18" s="3" t="s">
        <v>15</v>
      </c>
      <c r="C18" s="7">
        <v>172</v>
      </c>
      <c r="D18" s="7">
        <v>280</v>
      </c>
      <c r="E18" s="7">
        <v>298.81764752330793</v>
      </c>
      <c r="F18" s="4">
        <v>0</v>
      </c>
      <c r="G18" s="4">
        <v>160</v>
      </c>
      <c r="H18" s="4">
        <v>260</v>
      </c>
      <c r="I18" s="13">
        <v>0</v>
      </c>
      <c r="J18" s="13">
        <v>120</v>
      </c>
      <c r="K18" s="13">
        <v>11.492986443204153</v>
      </c>
      <c r="L18" s="16" t="str">
        <f t="shared" si="0"/>
        <v>Increased</v>
      </c>
      <c r="N18" s="2">
        <v>16</v>
      </c>
      <c r="O18" s="3" t="s">
        <v>15</v>
      </c>
      <c r="P18" s="24">
        <v>0.52178656078039853</v>
      </c>
      <c r="Q18" s="24">
        <v>0.81268378807586839</v>
      </c>
      <c r="R18" s="37">
        <v>0.81111588628736697</v>
      </c>
      <c r="S18" s="26">
        <v>0</v>
      </c>
      <c r="T18" s="26">
        <v>0.4643907360433534</v>
      </c>
      <c r="U18" s="26">
        <v>0.7057485800542147</v>
      </c>
      <c r="V18" s="29">
        <v>0</v>
      </c>
      <c r="W18" s="29">
        <v>0.34829305203251504</v>
      </c>
      <c r="X18" s="39">
        <v>3.1196764857206426E-2</v>
      </c>
      <c r="Y18" s="16" t="b">
        <f t="shared" si="1"/>
        <v>0</v>
      </c>
      <c r="Z18" s="78">
        <f t="shared" si="2"/>
        <v>0.28932932550696844</v>
      </c>
      <c r="AA18" s="79">
        <f t="shared" si="3"/>
        <v>126.81764752330793</v>
      </c>
      <c r="AG18" s="2">
        <v>16</v>
      </c>
      <c r="AH18" s="3" t="s">
        <v>15</v>
      </c>
      <c r="AI18" s="7">
        <v>172</v>
      </c>
      <c r="AJ18" s="7">
        <v>280</v>
      </c>
      <c r="AK18" s="7">
        <v>298.81764752330793</v>
      </c>
      <c r="AL18" s="179">
        <v>0.52178656078039853</v>
      </c>
      <c r="AM18" s="179">
        <v>0.81268378807586839</v>
      </c>
      <c r="AN18" s="178">
        <v>0.81111588628736697</v>
      </c>
    </row>
    <row r="19" spans="1:40" x14ac:dyDescent="0.3">
      <c r="A19" s="2">
        <v>17</v>
      </c>
      <c r="B19" s="3" t="s">
        <v>16</v>
      </c>
      <c r="C19" s="7">
        <v>0</v>
      </c>
      <c r="D19" s="7">
        <v>278</v>
      </c>
      <c r="E19" s="7">
        <v>687</v>
      </c>
      <c r="F19" s="4">
        <v>0</v>
      </c>
      <c r="G19" s="4">
        <v>211</v>
      </c>
      <c r="H19" s="4">
        <v>623</v>
      </c>
      <c r="I19" s="13">
        <v>0</v>
      </c>
      <c r="J19" s="13">
        <v>67</v>
      </c>
      <c r="K19" s="13">
        <v>41.564529501174519</v>
      </c>
      <c r="L19" s="16" t="str">
        <f t="shared" si="0"/>
        <v>Increased</v>
      </c>
      <c r="N19" s="2">
        <v>17</v>
      </c>
      <c r="O19" s="3" t="s">
        <v>16</v>
      </c>
      <c r="P19" s="24">
        <v>0</v>
      </c>
      <c r="Q19" s="24">
        <v>2.395668837562019</v>
      </c>
      <c r="R19" s="37">
        <v>5.7170414019483733</v>
      </c>
      <c r="S19" s="26">
        <v>0</v>
      </c>
      <c r="T19" s="26">
        <v>1.8182954126819642</v>
      </c>
      <c r="U19" s="26">
        <v>5.1844494809517272</v>
      </c>
      <c r="V19" s="29">
        <v>0</v>
      </c>
      <c r="W19" s="29">
        <v>0.57737342488005494</v>
      </c>
      <c r="X19" s="39">
        <v>0.3458895720680048</v>
      </c>
      <c r="Y19" s="16" t="b">
        <f t="shared" si="1"/>
        <v>0</v>
      </c>
      <c r="Z19" s="78">
        <f t="shared" si="2"/>
        <v>5.7170414019483733</v>
      </c>
      <c r="AA19" s="79">
        <f t="shared" si="3"/>
        <v>687</v>
      </c>
      <c r="AG19" s="2">
        <v>17</v>
      </c>
      <c r="AH19" s="3" t="s">
        <v>16</v>
      </c>
      <c r="AI19" s="7">
        <v>0</v>
      </c>
      <c r="AJ19" s="7">
        <v>278</v>
      </c>
      <c r="AK19" s="7">
        <v>687</v>
      </c>
      <c r="AL19" s="179">
        <v>0</v>
      </c>
      <c r="AM19" s="179">
        <v>2.395668837562019</v>
      </c>
      <c r="AN19" s="178">
        <v>5.7170414019483733</v>
      </c>
    </row>
    <row r="20" spans="1:40" x14ac:dyDescent="0.3">
      <c r="A20" s="2">
        <v>18</v>
      </c>
      <c r="B20" s="3" t="s">
        <v>17</v>
      </c>
      <c r="C20" s="7">
        <v>0</v>
      </c>
      <c r="D20" s="7">
        <v>11263</v>
      </c>
      <c r="E20" s="7">
        <v>23741</v>
      </c>
      <c r="F20" s="4">
        <v>0</v>
      </c>
      <c r="G20" s="4">
        <v>5867</v>
      </c>
      <c r="H20" s="4">
        <v>8860</v>
      </c>
      <c r="I20" s="13">
        <v>0</v>
      </c>
      <c r="J20" s="13">
        <v>5396</v>
      </c>
      <c r="K20" s="13">
        <v>4560.2238523992301</v>
      </c>
      <c r="L20" s="16" t="str">
        <f t="shared" si="0"/>
        <v>Increased</v>
      </c>
      <c r="N20" s="2">
        <v>18</v>
      </c>
      <c r="O20" s="3" t="s">
        <v>17</v>
      </c>
      <c r="P20" s="24">
        <v>0</v>
      </c>
      <c r="Q20" s="24">
        <v>1.0135028308160794</v>
      </c>
      <c r="R20" s="37">
        <v>1.9242190409996556</v>
      </c>
      <c r="S20" s="26">
        <v>0</v>
      </c>
      <c r="T20" s="26">
        <v>0.52794292003888288</v>
      </c>
      <c r="U20" s="26">
        <v>0.71810710177570236</v>
      </c>
      <c r="V20" s="29">
        <v>0</v>
      </c>
      <c r="W20" s="29">
        <v>0.48555991077719651</v>
      </c>
      <c r="X20" s="39">
        <v>0.36960825441251005</v>
      </c>
      <c r="Y20" s="16" t="b">
        <f t="shared" si="1"/>
        <v>0</v>
      </c>
      <c r="Z20" s="78">
        <f t="shared" si="2"/>
        <v>1.9242190409996556</v>
      </c>
      <c r="AA20" s="79">
        <f t="shared" si="3"/>
        <v>23741</v>
      </c>
      <c r="AG20" s="2">
        <v>18</v>
      </c>
      <c r="AH20" s="3" t="s">
        <v>17</v>
      </c>
      <c r="AI20" s="7">
        <v>0</v>
      </c>
      <c r="AJ20" s="7">
        <v>11263</v>
      </c>
      <c r="AK20" s="7">
        <v>23741</v>
      </c>
      <c r="AL20" s="179">
        <v>0</v>
      </c>
      <c r="AM20" s="179">
        <v>1.0135028308160794</v>
      </c>
      <c r="AN20" s="178">
        <v>1.9242190409996556</v>
      </c>
    </row>
    <row r="21" spans="1:40" x14ac:dyDescent="0.3">
      <c r="A21" s="2">
        <v>19</v>
      </c>
      <c r="B21" s="3" t="s">
        <v>18</v>
      </c>
      <c r="C21" s="7">
        <v>0</v>
      </c>
      <c r="D21" s="7">
        <v>1368</v>
      </c>
      <c r="E21" s="7">
        <v>1265.3898201501661</v>
      </c>
      <c r="F21" s="4">
        <v>0</v>
      </c>
      <c r="G21" s="4">
        <v>570</v>
      </c>
      <c r="H21" s="4">
        <v>612</v>
      </c>
      <c r="I21" s="13">
        <v>0</v>
      </c>
      <c r="J21" s="13">
        <v>798</v>
      </c>
      <c r="K21" s="13">
        <v>585.47887200977834</v>
      </c>
      <c r="L21" s="16" t="str">
        <f t="shared" si="0"/>
        <v>Decreased</v>
      </c>
      <c r="N21" s="2">
        <v>19</v>
      </c>
      <c r="O21" s="3" t="s">
        <v>18</v>
      </c>
      <c r="P21" s="24">
        <v>0</v>
      </c>
      <c r="Q21" s="24">
        <v>6.2408431707589127</v>
      </c>
      <c r="R21" s="37">
        <v>5.2967509113158195</v>
      </c>
      <c r="S21" s="26">
        <v>0</v>
      </c>
      <c r="T21" s="26">
        <v>2.6003513211495468</v>
      </c>
      <c r="U21" s="26">
        <v>2.5617493566848784</v>
      </c>
      <c r="V21" s="29">
        <v>0</v>
      </c>
      <c r="W21" s="29">
        <v>3.6404918496093654</v>
      </c>
      <c r="X21" s="39">
        <v>2.450735496280454</v>
      </c>
      <c r="Y21" s="16" t="b">
        <f t="shared" si="1"/>
        <v>0</v>
      </c>
      <c r="Z21" s="78">
        <f t="shared" si="2"/>
        <v>5.2967509113158195</v>
      </c>
      <c r="AA21" s="79">
        <f t="shared" si="3"/>
        <v>1265.3898201501661</v>
      </c>
      <c r="AG21" s="2">
        <v>19</v>
      </c>
      <c r="AH21" s="3" t="s">
        <v>18</v>
      </c>
      <c r="AI21" s="7">
        <v>0</v>
      </c>
      <c r="AJ21" s="7">
        <v>1368</v>
      </c>
      <c r="AK21" s="7">
        <v>1265.3898201501661</v>
      </c>
      <c r="AL21" s="179">
        <v>0</v>
      </c>
      <c r="AM21" s="179">
        <v>6.2408431707589127</v>
      </c>
      <c r="AN21" s="178">
        <v>5.2967509113158195</v>
      </c>
    </row>
    <row r="22" spans="1:40" x14ac:dyDescent="0.3">
      <c r="A22" s="2">
        <v>20</v>
      </c>
      <c r="B22" s="3" t="s">
        <v>19</v>
      </c>
      <c r="C22" s="7">
        <v>213</v>
      </c>
      <c r="D22" s="7">
        <v>298</v>
      </c>
      <c r="E22" s="7">
        <v>273.86722731906218</v>
      </c>
      <c r="F22" s="4">
        <v>0</v>
      </c>
      <c r="G22" s="4">
        <v>181</v>
      </c>
      <c r="H22" s="4">
        <v>158.82262996941895</v>
      </c>
      <c r="I22" s="13">
        <v>0</v>
      </c>
      <c r="J22" s="13">
        <v>117</v>
      </c>
      <c r="K22" s="13">
        <v>115.04459734964323</v>
      </c>
      <c r="L22" s="16" t="str">
        <f t="shared" si="0"/>
        <v>Decreased</v>
      </c>
      <c r="N22" s="2">
        <v>20</v>
      </c>
      <c r="O22" s="3" t="s">
        <v>19</v>
      </c>
      <c r="P22" s="24">
        <v>1.0024145012199572</v>
      </c>
      <c r="Q22" s="24">
        <v>1.2188560299936739</v>
      </c>
      <c r="R22" s="37">
        <v>1.0120770028849391</v>
      </c>
      <c r="S22" s="26">
        <v>0</v>
      </c>
      <c r="T22" s="26">
        <v>0.74031188398944625</v>
      </c>
      <c r="U22" s="26">
        <v>0.58692941431245538</v>
      </c>
      <c r="V22" s="29">
        <v>0</v>
      </c>
      <c r="W22" s="29">
        <v>0.47854414600422768</v>
      </c>
      <c r="X22" s="39">
        <v>0.42514758857248375</v>
      </c>
      <c r="Y22" s="16" t="b">
        <f t="shared" si="1"/>
        <v>0</v>
      </c>
      <c r="Z22" s="78">
        <f t="shared" si="2"/>
        <v>9.6625016649818374E-3</v>
      </c>
      <c r="AA22" s="79">
        <f t="shared" si="3"/>
        <v>60.867227319062181</v>
      </c>
      <c r="AG22" s="2">
        <v>20</v>
      </c>
      <c r="AH22" s="3" t="s">
        <v>19</v>
      </c>
      <c r="AI22" s="7">
        <v>213</v>
      </c>
      <c r="AJ22" s="7">
        <v>298</v>
      </c>
      <c r="AK22" s="7">
        <v>273.86722731906218</v>
      </c>
      <c r="AL22" s="179">
        <v>1.0024145012199572</v>
      </c>
      <c r="AM22" s="179">
        <v>1.2188560299936739</v>
      </c>
      <c r="AN22" s="178">
        <v>1.0120770028849391</v>
      </c>
    </row>
    <row r="23" spans="1:40" x14ac:dyDescent="0.3">
      <c r="A23" s="2">
        <v>21</v>
      </c>
      <c r="B23" s="3" t="s">
        <v>20</v>
      </c>
      <c r="C23" s="7">
        <v>2730</v>
      </c>
      <c r="D23" s="7">
        <v>4406</v>
      </c>
      <c r="E23" s="7">
        <v>4726</v>
      </c>
      <c r="F23" s="4">
        <v>0</v>
      </c>
      <c r="G23" s="4">
        <v>3316</v>
      </c>
      <c r="H23" s="4">
        <v>3344</v>
      </c>
      <c r="I23" s="13">
        <v>0</v>
      </c>
      <c r="J23" s="13">
        <v>1090</v>
      </c>
      <c r="K23" s="13">
        <v>1382</v>
      </c>
      <c r="L23" s="16" t="str">
        <f t="shared" si="0"/>
        <v>Increased</v>
      </c>
      <c r="N23" s="2">
        <v>21</v>
      </c>
      <c r="O23" s="3" t="s">
        <v>20</v>
      </c>
      <c r="P23" s="24">
        <v>0.99180410146962517</v>
      </c>
      <c r="Q23" s="24">
        <v>1.4272460592451912</v>
      </c>
      <c r="R23" s="37">
        <v>1.411763138467153</v>
      </c>
      <c r="S23" s="26">
        <v>0</v>
      </c>
      <c r="T23" s="26">
        <v>1.074159766785532</v>
      </c>
      <c r="U23" s="26">
        <v>0.99892846699834104</v>
      </c>
      <c r="V23" s="29">
        <v>0</v>
      </c>
      <c r="W23" s="29">
        <v>0.35308629245965922</v>
      </c>
      <c r="X23" s="39">
        <v>0.41283467146881198</v>
      </c>
      <c r="Y23" s="16" t="b">
        <f t="shared" si="1"/>
        <v>0</v>
      </c>
      <c r="Z23" s="78">
        <f t="shared" si="2"/>
        <v>0.41995903699752779</v>
      </c>
      <c r="AA23" s="79">
        <f t="shared" si="3"/>
        <v>1996</v>
      </c>
      <c r="AG23" s="2">
        <v>21</v>
      </c>
      <c r="AH23" s="3" t="s">
        <v>20</v>
      </c>
      <c r="AI23" s="7">
        <v>2730</v>
      </c>
      <c r="AJ23" s="7">
        <v>4406</v>
      </c>
      <c r="AK23" s="7">
        <v>4726</v>
      </c>
      <c r="AL23" s="179">
        <v>0.99180410146962517</v>
      </c>
      <c r="AM23" s="179">
        <v>1.4272460592451912</v>
      </c>
      <c r="AN23" s="178">
        <v>1.411763138467153</v>
      </c>
    </row>
    <row r="24" spans="1:40" x14ac:dyDescent="0.3">
      <c r="A24" s="2">
        <v>22</v>
      </c>
      <c r="B24" s="3" t="s">
        <v>21</v>
      </c>
      <c r="C24" s="7">
        <v>1844</v>
      </c>
      <c r="D24" s="7">
        <v>2787</v>
      </c>
      <c r="E24" s="35">
        <f>H24+K24</f>
        <v>2945</v>
      </c>
      <c r="F24" s="4">
        <v>0</v>
      </c>
      <c r="G24" s="4">
        <v>2649</v>
      </c>
      <c r="H24" s="4">
        <v>2649</v>
      </c>
      <c r="I24" s="13">
        <v>0</v>
      </c>
      <c r="J24" s="13">
        <v>138</v>
      </c>
      <c r="K24" s="13">
        <v>296</v>
      </c>
      <c r="L24" s="16" t="str">
        <f t="shared" si="0"/>
        <v>Increased</v>
      </c>
      <c r="N24" s="2">
        <v>22</v>
      </c>
      <c r="O24" s="3" t="s">
        <v>21</v>
      </c>
      <c r="P24" s="24">
        <v>1.667958641138336</v>
      </c>
      <c r="Q24" s="24">
        <v>2.2198566937938682</v>
      </c>
      <c r="R24" s="93">
        <v>2.1249207348646921</v>
      </c>
      <c r="S24" s="26">
        <v>0</v>
      </c>
      <c r="T24" s="26">
        <v>2.1099391395263569</v>
      </c>
      <c r="U24" s="26">
        <v>1.9113463587967976</v>
      </c>
      <c r="V24" s="29">
        <v>0</v>
      </c>
      <c r="W24" s="29">
        <v>0.10991755426751122</v>
      </c>
      <c r="X24" s="39">
        <v>0.21357437606789434</v>
      </c>
      <c r="Y24" s="16" t="b">
        <f t="shared" si="1"/>
        <v>0</v>
      </c>
      <c r="Z24" s="78">
        <f t="shared" si="2"/>
        <v>0.4569620937263561</v>
      </c>
      <c r="AA24" s="79">
        <f t="shared" si="3"/>
        <v>1101</v>
      </c>
      <c r="AG24" s="2">
        <v>22</v>
      </c>
      <c r="AH24" s="3" t="s">
        <v>21</v>
      </c>
      <c r="AI24" s="7">
        <v>1844</v>
      </c>
      <c r="AJ24" s="7">
        <v>2787</v>
      </c>
      <c r="AK24" s="36">
        <f>AN25+AQ25</f>
        <v>2.5212882917133439</v>
      </c>
      <c r="AL24" s="178">
        <v>1.667958641138336</v>
      </c>
      <c r="AM24" s="178">
        <v>2.2198566937938682</v>
      </c>
      <c r="AN24" s="178">
        <v>2.1249207348646921</v>
      </c>
    </row>
    <row r="25" spans="1:40" x14ac:dyDescent="0.3">
      <c r="A25" s="2">
        <v>23</v>
      </c>
      <c r="B25" s="3" t="s">
        <v>22</v>
      </c>
      <c r="C25" s="7">
        <v>354</v>
      </c>
      <c r="D25" s="7">
        <v>578</v>
      </c>
      <c r="E25" s="7">
        <v>530.87376425855507</v>
      </c>
      <c r="F25" s="4">
        <v>0</v>
      </c>
      <c r="G25" s="4">
        <v>544</v>
      </c>
      <c r="H25" s="4">
        <v>518.75335868187574</v>
      </c>
      <c r="I25" s="13">
        <v>0</v>
      </c>
      <c r="J25" s="13">
        <v>34</v>
      </c>
      <c r="K25" s="13">
        <v>12.120405576679341</v>
      </c>
      <c r="L25" s="16" t="str">
        <f t="shared" si="0"/>
        <v>Decreased</v>
      </c>
      <c r="N25" s="2">
        <v>23</v>
      </c>
      <c r="O25" s="3" t="s">
        <v>22</v>
      </c>
      <c r="P25" s="24">
        <v>2.0851095786930078</v>
      </c>
      <c r="Q25" s="24">
        <v>3.0026683747589895</v>
      </c>
      <c r="R25" s="37">
        <v>2.5212882917133439</v>
      </c>
      <c r="S25" s="26">
        <v>0</v>
      </c>
      <c r="T25" s="26">
        <v>2.8260408233025784</v>
      </c>
      <c r="U25" s="26">
        <v>2.4637246320851856</v>
      </c>
      <c r="V25" s="29">
        <v>0</v>
      </c>
      <c r="W25" s="29">
        <v>0.17662755145641115</v>
      </c>
      <c r="X25" s="39">
        <v>5.7563659628158542E-2</v>
      </c>
      <c r="Y25" s="16" t="b">
        <f t="shared" si="1"/>
        <v>0</v>
      </c>
      <c r="Z25" s="78">
        <f t="shared" si="2"/>
        <v>0.43617871302033606</v>
      </c>
      <c r="AA25" s="79">
        <f t="shared" si="3"/>
        <v>176.87376425855507</v>
      </c>
      <c r="AG25" s="2">
        <v>23</v>
      </c>
      <c r="AH25" s="3" t="s">
        <v>22</v>
      </c>
      <c r="AI25" s="7">
        <v>354</v>
      </c>
      <c r="AJ25" s="7">
        <v>578</v>
      </c>
      <c r="AK25" s="7">
        <v>530.87376425855507</v>
      </c>
      <c r="AL25" s="179">
        <v>2.0851095786930078</v>
      </c>
      <c r="AM25" s="179">
        <v>3.0026683747589895</v>
      </c>
      <c r="AN25" s="178">
        <v>2.5212882917133439</v>
      </c>
    </row>
    <row r="26" spans="1:40" x14ac:dyDescent="0.3">
      <c r="A26" s="2">
        <v>24</v>
      </c>
      <c r="B26" s="3" t="s">
        <v>23</v>
      </c>
      <c r="C26" s="7">
        <v>8682</v>
      </c>
      <c r="D26" s="7">
        <v>8042</v>
      </c>
      <c r="E26" s="7">
        <v>12792</v>
      </c>
      <c r="F26" s="4">
        <v>0</v>
      </c>
      <c r="G26" s="4">
        <v>5602</v>
      </c>
      <c r="H26" s="4">
        <v>4073.1143954715512</v>
      </c>
      <c r="I26" s="13">
        <v>0</v>
      </c>
      <c r="J26" s="13">
        <v>2440</v>
      </c>
      <c r="K26" s="13">
        <v>2267.5662252441793</v>
      </c>
      <c r="L26" s="16" t="str">
        <f t="shared" si="0"/>
        <v>Increased</v>
      </c>
      <c r="N26" s="2">
        <v>24</v>
      </c>
      <c r="O26" s="3" t="s">
        <v>23</v>
      </c>
      <c r="P26" s="24">
        <v>1.9382766278398138</v>
      </c>
      <c r="Q26" s="24">
        <v>1.6099035210964225</v>
      </c>
      <c r="R26" s="37">
        <v>2.3676836940426274</v>
      </c>
      <c r="S26" s="26">
        <v>0</v>
      </c>
      <c r="T26" s="26">
        <v>1.1214473421017359</v>
      </c>
      <c r="U26" s="26">
        <v>0.75389669622641386</v>
      </c>
      <c r="V26" s="29">
        <v>0</v>
      </c>
      <c r="W26" s="29">
        <v>0.4884561789946868</v>
      </c>
      <c r="X26" s="39">
        <v>0.41970603319828292</v>
      </c>
      <c r="Y26" s="16" t="b">
        <f t="shared" si="1"/>
        <v>0</v>
      </c>
      <c r="Z26" s="78">
        <f t="shared" si="2"/>
        <v>0.42940706620281355</v>
      </c>
      <c r="AA26" s="79">
        <f t="shared" si="3"/>
        <v>4110</v>
      </c>
      <c r="AG26" s="2">
        <v>24</v>
      </c>
      <c r="AH26" s="3" t="s">
        <v>23</v>
      </c>
      <c r="AI26" s="7">
        <v>8682</v>
      </c>
      <c r="AJ26" s="7">
        <v>8042</v>
      </c>
      <c r="AK26" s="7">
        <v>12792</v>
      </c>
      <c r="AL26" s="179">
        <v>1.9382766278398138</v>
      </c>
      <c r="AM26" s="179">
        <v>1.6099035210964225</v>
      </c>
      <c r="AN26" s="178">
        <v>2.3676836940426274</v>
      </c>
    </row>
    <row r="27" spans="1:40" x14ac:dyDescent="0.3">
      <c r="A27" s="2">
        <v>25</v>
      </c>
      <c r="B27" s="3" t="s">
        <v>24</v>
      </c>
      <c r="C27" s="7">
        <v>0</v>
      </c>
      <c r="D27" s="7">
        <v>998</v>
      </c>
      <c r="E27" s="7">
        <v>536.60977859778598</v>
      </c>
      <c r="F27" s="4">
        <v>0</v>
      </c>
      <c r="G27" s="4">
        <v>815</v>
      </c>
      <c r="H27" s="4">
        <v>359.01749472851873</v>
      </c>
      <c r="I27" s="13">
        <v>0</v>
      </c>
      <c r="J27" s="13">
        <v>183</v>
      </c>
      <c r="K27" s="13">
        <v>84.324393779652084</v>
      </c>
      <c r="L27" s="16" t="str">
        <f t="shared" si="0"/>
        <v>Decreased</v>
      </c>
      <c r="N27" s="2">
        <v>25</v>
      </c>
      <c r="O27" s="3" t="s">
        <v>24</v>
      </c>
      <c r="P27" s="24">
        <v>0</v>
      </c>
      <c r="Q27" s="24">
        <v>4.5404562385095293</v>
      </c>
      <c r="R27" s="37">
        <v>2.3271916222532258</v>
      </c>
      <c r="S27" s="26">
        <v>0</v>
      </c>
      <c r="T27" s="26">
        <v>3.7078876096044753</v>
      </c>
      <c r="U27" s="26">
        <v>1.5570020139360869</v>
      </c>
      <c r="V27" s="29">
        <v>0</v>
      </c>
      <c r="W27" s="29">
        <v>0.83256862890505401</v>
      </c>
      <c r="X27" s="39">
        <v>0.36570154063979265</v>
      </c>
      <c r="Y27" s="16" t="b">
        <f t="shared" si="1"/>
        <v>0</v>
      </c>
      <c r="Z27" s="78">
        <f t="shared" si="2"/>
        <v>2.3271916222532258</v>
      </c>
      <c r="AA27" s="79">
        <f t="shared" si="3"/>
        <v>536.60977859778598</v>
      </c>
      <c r="AG27" s="2">
        <v>25</v>
      </c>
      <c r="AH27" s="3" t="s">
        <v>24</v>
      </c>
      <c r="AI27" s="7">
        <v>0</v>
      </c>
      <c r="AJ27" s="7">
        <v>998</v>
      </c>
      <c r="AK27" s="7">
        <v>536.60977859778598</v>
      </c>
      <c r="AL27" s="179">
        <v>0</v>
      </c>
      <c r="AM27" s="179">
        <v>4.5404562385095293</v>
      </c>
      <c r="AN27" s="178">
        <v>2.3271916222532258</v>
      </c>
    </row>
    <row r="28" spans="1:40" x14ac:dyDescent="0.3">
      <c r="A28" s="2">
        <v>26</v>
      </c>
      <c r="B28" s="3" t="s">
        <v>25</v>
      </c>
      <c r="C28" s="7">
        <v>168</v>
      </c>
      <c r="D28" s="7">
        <v>693</v>
      </c>
      <c r="E28" s="7">
        <v>954</v>
      </c>
      <c r="F28" s="4">
        <v>0</v>
      </c>
      <c r="G28" s="4">
        <v>672</v>
      </c>
      <c r="H28" s="4">
        <v>840</v>
      </c>
      <c r="I28" s="13">
        <v>0</v>
      </c>
      <c r="J28" s="13">
        <v>21</v>
      </c>
      <c r="K28" s="13">
        <v>114</v>
      </c>
      <c r="L28" s="16" t="str">
        <f t="shared" si="0"/>
        <v>Increased</v>
      </c>
      <c r="N28" s="2">
        <v>26</v>
      </c>
      <c r="O28" s="3" t="s">
        <v>25</v>
      </c>
      <c r="P28" s="24">
        <v>0.37946271016559152</v>
      </c>
      <c r="Q28" s="24">
        <v>1.4173544312573898</v>
      </c>
      <c r="R28" s="37">
        <v>1.7990899320551237</v>
      </c>
      <c r="S28" s="26">
        <v>0</v>
      </c>
      <c r="T28" s="26">
        <v>1.3744042969768628</v>
      </c>
      <c r="U28" s="26">
        <v>1.5841043426900459</v>
      </c>
      <c r="V28" s="29">
        <v>0</v>
      </c>
      <c r="W28" s="29">
        <v>4.2950134280526964E-2</v>
      </c>
      <c r="X28" s="39">
        <v>0.21498558936507767</v>
      </c>
      <c r="Y28" s="16" t="b">
        <f t="shared" si="1"/>
        <v>0</v>
      </c>
      <c r="Z28" s="78">
        <f t="shared" si="2"/>
        <v>1.4196272218895323</v>
      </c>
      <c r="AA28" s="79">
        <f t="shared" si="3"/>
        <v>786</v>
      </c>
      <c r="AG28" s="2">
        <v>26</v>
      </c>
      <c r="AH28" s="3" t="s">
        <v>25</v>
      </c>
      <c r="AI28" s="7">
        <v>168</v>
      </c>
      <c r="AJ28" s="7">
        <v>693</v>
      </c>
      <c r="AK28" s="7">
        <v>954</v>
      </c>
      <c r="AL28" s="179">
        <v>0.37946271016559152</v>
      </c>
      <c r="AM28" s="179">
        <v>1.4173544312573898</v>
      </c>
      <c r="AN28" s="178">
        <v>1.7990899320551237</v>
      </c>
    </row>
    <row r="29" spans="1:40" x14ac:dyDescent="0.3">
      <c r="A29" s="2">
        <v>27</v>
      </c>
      <c r="B29" s="3" t="s">
        <v>26</v>
      </c>
      <c r="C29" s="7">
        <v>3523</v>
      </c>
      <c r="D29" s="7">
        <v>5230</v>
      </c>
      <c r="E29" s="7">
        <v>5230</v>
      </c>
      <c r="F29" s="4">
        <v>3028</v>
      </c>
      <c r="G29" s="4">
        <v>4593</v>
      </c>
      <c r="H29" s="4">
        <v>4593</v>
      </c>
      <c r="I29" s="13">
        <v>495</v>
      </c>
      <c r="J29" s="13">
        <v>637</v>
      </c>
      <c r="K29" s="13">
        <v>637</v>
      </c>
      <c r="L29" s="16" t="str">
        <f t="shared" si="0"/>
        <v>Increased</v>
      </c>
      <c r="N29" s="2">
        <v>27</v>
      </c>
      <c r="O29" s="3" t="s">
        <v>26</v>
      </c>
      <c r="P29" s="24">
        <v>1.4935513915538714</v>
      </c>
      <c r="Q29" s="24">
        <v>1.9481094417340394</v>
      </c>
      <c r="R29" s="37">
        <v>1.766192932972404</v>
      </c>
      <c r="S29" s="26">
        <v>1.2836995780939888</v>
      </c>
      <c r="T29" s="26">
        <v>1.7108349265553429</v>
      </c>
      <c r="U29" s="26">
        <v>1.5510753615950768</v>
      </c>
      <c r="V29" s="29">
        <v>0.2098518134598826</v>
      </c>
      <c r="W29" s="29">
        <v>0.23727451517869658</v>
      </c>
      <c r="X29" s="39">
        <v>0.2151175713773272</v>
      </c>
      <c r="Y29" s="16" t="b">
        <f t="shared" si="1"/>
        <v>0</v>
      </c>
      <c r="Z29" s="78">
        <f t="shared" si="2"/>
        <v>0.27264154141853258</v>
      </c>
      <c r="AA29" s="79">
        <f t="shared" si="3"/>
        <v>1707</v>
      </c>
      <c r="AG29" s="2">
        <v>27</v>
      </c>
      <c r="AH29" s="3" t="s">
        <v>26</v>
      </c>
      <c r="AI29" s="7">
        <v>3523</v>
      </c>
      <c r="AJ29" s="7">
        <v>5230</v>
      </c>
      <c r="AK29" s="7">
        <v>5230</v>
      </c>
      <c r="AL29" s="179">
        <v>1.4935513915538714</v>
      </c>
      <c r="AM29" s="179">
        <v>1.9481094417340394</v>
      </c>
      <c r="AN29" s="178">
        <v>1.766192932972404</v>
      </c>
    </row>
    <row r="30" spans="1:40" x14ac:dyDescent="0.3">
      <c r="A30" s="2">
        <v>28</v>
      </c>
      <c r="B30" s="3" t="s">
        <v>27</v>
      </c>
      <c r="C30" s="7">
        <v>200</v>
      </c>
      <c r="D30" s="7">
        <v>2760</v>
      </c>
      <c r="E30" s="7">
        <v>1103.5637751855782</v>
      </c>
      <c r="F30" s="4">
        <v>0</v>
      </c>
      <c r="G30" s="4">
        <v>2582</v>
      </c>
      <c r="H30" s="4">
        <v>934.04042417815492</v>
      </c>
      <c r="I30" s="13">
        <v>32</v>
      </c>
      <c r="J30" s="13">
        <v>178</v>
      </c>
      <c r="K30" s="13">
        <v>156.22740190880171</v>
      </c>
      <c r="L30" s="16" t="str">
        <f t="shared" si="0"/>
        <v>Decreased</v>
      </c>
      <c r="N30" s="2">
        <v>28</v>
      </c>
      <c r="O30" s="3" t="s">
        <v>27</v>
      </c>
      <c r="P30" s="24">
        <v>0.12480674066229511</v>
      </c>
      <c r="Q30" s="24">
        <v>1.5026228117851155</v>
      </c>
      <c r="R30" s="37">
        <v>0.54082168986968526</v>
      </c>
      <c r="S30" s="26">
        <v>0</v>
      </c>
      <c r="T30" s="26">
        <v>1.4057145289960755</v>
      </c>
      <c r="U30" s="26">
        <v>0.45774365919693238</v>
      </c>
      <c r="V30" s="29">
        <v>1.9969078505967217E-2</v>
      </c>
      <c r="W30" s="29">
        <v>9.6908282789040054E-2</v>
      </c>
      <c r="X30" s="39">
        <v>7.6562106698419286E-2</v>
      </c>
      <c r="Y30" s="16" t="b">
        <f t="shared" si="1"/>
        <v>0</v>
      </c>
      <c r="Z30" s="78">
        <f t="shared" si="2"/>
        <v>0.41601494920739013</v>
      </c>
      <c r="AA30" s="79">
        <f t="shared" si="3"/>
        <v>903.56377518557815</v>
      </c>
      <c r="AG30" s="2">
        <v>28</v>
      </c>
      <c r="AH30" s="3" t="s">
        <v>27</v>
      </c>
      <c r="AI30" s="7">
        <v>200</v>
      </c>
      <c r="AJ30" s="7">
        <v>2760</v>
      </c>
      <c r="AK30" s="7">
        <v>1103.5637751855782</v>
      </c>
      <c r="AL30" s="179">
        <v>0.12480674066229511</v>
      </c>
      <c r="AM30" s="179">
        <v>1.5026228117851155</v>
      </c>
      <c r="AN30" s="178">
        <v>0.54082168986968526</v>
      </c>
    </row>
    <row r="31" spans="1:40" x14ac:dyDescent="0.3">
      <c r="A31" s="2">
        <v>29</v>
      </c>
      <c r="B31" s="3" t="s">
        <v>28</v>
      </c>
      <c r="C31" s="7">
        <v>1971</v>
      </c>
      <c r="D31" s="7">
        <v>2866</v>
      </c>
      <c r="E31" s="7">
        <v>4402</v>
      </c>
      <c r="F31" s="4">
        <v>0</v>
      </c>
      <c r="G31" s="4">
        <v>2151</v>
      </c>
      <c r="H31" s="4">
        <v>3557</v>
      </c>
      <c r="I31" s="13">
        <v>0</v>
      </c>
      <c r="J31" s="13">
        <v>1037</v>
      </c>
      <c r="K31" s="13">
        <v>995.95103054567016</v>
      </c>
      <c r="L31" s="16" t="str">
        <f t="shared" si="0"/>
        <v>Increased</v>
      </c>
      <c r="N31" s="2">
        <v>29</v>
      </c>
      <c r="O31" s="3" t="s">
        <v>28</v>
      </c>
      <c r="P31" s="24">
        <v>1.1591368106359479</v>
      </c>
      <c r="Q31" s="24">
        <v>1.4377230640376699</v>
      </c>
      <c r="R31" s="37">
        <v>1.9483401719615994</v>
      </c>
      <c r="S31" s="26">
        <v>0</v>
      </c>
      <c r="T31" s="26">
        <v>1.0790447699738408</v>
      </c>
      <c r="U31" s="26">
        <v>1.5743402979707879</v>
      </c>
      <c r="V31" s="29">
        <v>0</v>
      </c>
      <c r="W31" s="29">
        <v>0.52020893838348348</v>
      </c>
      <c r="X31" s="39">
        <v>0.44081131352082759</v>
      </c>
      <c r="Y31" s="16" t="b">
        <f t="shared" si="1"/>
        <v>0</v>
      </c>
      <c r="Z31" s="78">
        <f t="shared" si="2"/>
        <v>0.7892033613256515</v>
      </c>
      <c r="AA31" s="79">
        <f t="shared" si="3"/>
        <v>2431</v>
      </c>
      <c r="AG31" s="2">
        <v>29</v>
      </c>
      <c r="AH31" s="3" t="s">
        <v>28</v>
      </c>
      <c r="AI31" s="7">
        <v>1971</v>
      </c>
      <c r="AJ31" s="7">
        <v>2866</v>
      </c>
      <c r="AK31" s="7">
        <v>4402</v>
      </c>
      <c r="AL31" s="179">
        <v>1.1591368106359479</v>
      </c>
      <c r="AM31" s="179">
        <v>1.4377230640376699</v>
      </c>
      <c r="AN31" s="178">
        <v>1.9483401719615994</v>
      </c>
    </row>
    <row r="32" spans="1:40" x14ac:dyDescent="0.3">
      <c r="A32" s="2">
        <v>30</v>
      </c>
      <c r="B32" s="3" t="s">
        <v>29</v>
      </c>
      <c r="C32" s="7">
        <v>622</v>
      </c>
      <c r="D32" s="7">
        <v>1626</v>
      </c>
      <c r="E32" s="7">
        <v>1273.0346943092873</v>
      </c>
      <c r="F32" s="4">
        <v>0</v>
      </c>
      <c r="G32" s="4">
        <v>808</v>
      </c>
      <c r="H32" s="4">
        <v>701.42162047810461</v>
      </c>
      <c r="I32" s="13">
        <v>0</v>
      </c>
      <c r="J32" s="13">
        <v>818</v>
      </c>
      <c r="K32" s="13">
        <v>571.61307383118265</v>
      </c>
      <c r="L32" s="16" t="str">
        <f t="shared" si="0"/>
        <v>Decreased</v>
      </c>
      <c r="N32" s="2">
        <v>30</v>
      </c>
      <c r="O32" s="3" t="s">
        <v>29</v>
      </c>
      <c r="P32" s="24">
        <v>1.6617868376330072</v>
      </c>
      <c r="Q32" s="24">
        <v>3.8073281231944631</v>
      </c>
      <c r="R32" s="37">
        <v>2.6879166644164951</v>
      </c>
      <c r="S32" s="26">
        <v>0</v>
      </c>
      <c r="T32" s="26">
        <v>1.891956410541898</v>
      </c>
      <c r="U32" s="26">
        <v>1.480998806154348</v>
      </c>
      <c r="V32" s="29">
        <v>0</v>
      </c>
      <c r="W32" s="29">
        <v>1.9153717126525651</v>
      </c>
      <c r="X32" s="39">
        <v>1.2069178582621471</v>
      </c>
      <c r="Y32" s="16" t="b">
        <f t="shared" si="1"/>
        <v>0</v>
      </c>
      <c r="Z32" s="78">
        <f t="shared" si="2"/>
        <v>1.026129826783488</v>
      </c>
      <c r="AA32" s="79">
        <f t="shared" si="3"/>
        <v>651.03469430928726</v>
      </c>
      <c r="AG32" s="2">
        <v>30</v>
      </c>
      <c r="AH32" s="3" t="s">
        <v>29</v>
      </c>
      <c r="AI32" s="7">
        <v>622</v>
      </c>
      <c r="AJ32" s="7">
        <v>1626</v>
      </c>
      <c r="AK32" s="7">
        <v>1273.0346943092873</v>
      </c>
      <c r="AL32" s="179">
        <v>1.6617868376330072</v>
      </c>
      <c r="AM32" s="179">
        <v>3.8073281231944631</v>
      </c>
      <c r="AN32" s="178">
        <v>2.6879166644164951</v>
      </c>
    </row>
    <row r="33" spans="1:40" x14ac:dyDescent="0.3">
      <c r="A33" s="2">
        <v>31</v>
      </c>
      <c r="B33" s="3" t="s">
        <v>30</v>
      </c>
      <c r="C33" s="7">
        <v>2046</v>
      </c>
      <c r="D33" s="7">
        <v>2395</v>
      </c>
      <c r="E33" s="7">
        <v>1833.6554988586008</v>
      </c>
      <c r="F33" s="4">
        <v>0</v>
      </c>
      <c r="G33" s="4">
        <v>1188</v>
      </c>
      <c r="H33" s="4">
        <v>1207</v>
      </c>
      <c r="I33" s="13">
        <v>0</v>
      </c>
      <c r="J33" s="13">
        <v>1207</v>
      </c>
      <c r="K33" s="13">
        <v>410.36148784745535</v>
      </c>
      <c r="L33" s="16" t="str">
        <f t="shared" si="0"/>
        <v>Decreased</v>
      </c>
      <c r="N33" s="2">
        <v>31</v>
      </c>
      <c r="O33" s="3" t="s">
        <v>30</v>
      </c>
      <c r="P33" s="24">
        <v>15.851967724278035</v>
      </c>
      <c r="Q33" s="24">
        <v>18.48876180492001</v>
      </c>
      <c r="R33" s="37">
        <v>14.110806020448374</v>
      </c>
      <c r="S33" s="26">
        <v>0</v>
      </c>
      <c r="T33" s="26">
        <v>9.171043433922744</v>
      </c>
      <c r="U33" s="26">
        <v>9.2884093425853269</v>
      </c>
      <c r="V33" s="29">
        <v>0</v>
      </c>
      <c r="W33" s="29">
        <v>9.317718370997266</v>
      </c>
      <c r="X33" s="39">
        <v>3.1579167171164206</v>
      </c>
      <c r="Y33" s="16" t="b">
        <f t="shared" si="1"/>
        <v>0</v>
      </c>
      <c r="Z33" s="78">
        <f t="shared" si="2"/>
        <v>-1.7411617038296612</v>
      </c>
      <c r="AA33" s="79">
        <f t="shared" si="3"/>
        <v>-212.34450114139918</v>
      </c>
      <c r="AG33" s="2">
        <v>31</v>
      </c>
      <c r="AH33" s="3" t="s">
        <v>30</v>
      </c>
      <c r="AI33" s="7">
        <v>2046</v>
      </c>
      <c r="AJ33" s="7">
        <v>2395</v>
      </c>
      <c r="AK33" s="7">
        <v>1833.6554988586008</v>
      </c>
      <c r="AL33" s="179">
        <v>15.851967724278035</v>
      </c>
      <c r="AM33" s="179">
        <v>18.48876180492001</v>
      </c>
      <c r="AN33" s="178">
        <v>14.110806020448374</v>
      </c>
    </row>
    <row r="34" spans="1:40" x14ac:dyDescent="0.3">
      <c r="A34" s="2">
        <v>32</v>
      </c>
      <c r="B34" s="3" t="s">
        <v>31</v>
      </c>
      <c r="C34" s="7">
        <v>1452</v>
      </c>
      <c r="D34" s="7">
        <v>2473</v>
      </c>
      <c r="E34" s="7">
        <v>5719</v>
      </c>
      <c r="F34" s="4">
        <v>0</v>
      </c>
      <c r="G34" s="4">
        <v>1695</v>
      </c>
      <c r="H34" s="4">
        <v>1933</v>
      </c>
      <c r="I34" s="13">
        <v>0</v>
      </c>
      <c r="J34" s="13">
        <v>778</v>
      </c>
      <c r="K34" s="13">
        <v>868.86977510623387</v>
      </c>
      <c r="L34" s="16" t="str">
        <f t="shared" si="0"/>
        <v>Increased</v>
      </c>
      <c r="N34" s="2">
        <v>32</v>
      </c>
      <c r="O34" s="3" t="s">
        <v>31</v>
      </c>
      <c r="P34" s="24">
        <v>0.57501008544721166</v>
      </c>
      <c r="Q34" s="24">
        <v>0.84047383488210115</v>
      </c>
      <c r="R34" s="37">
        <v>1.734632551579423</v>
      </c>
      <c r="S34" s="26">
        <v>0</v>
      </c>
      <c r="T34" s="26">
        <v>0.57606273761632087</v>
      </c>
      <c r="U34" s="26">
        <v>0.58629912960360631</v>
      </c>
      <c r="V34" s="29">
        <v>0</v>
      </c>
      <c r="W34" s="29">
        <v>0.26441109726578033</v>
      </c>
      <c r="X34" s="39">
        <v>0.26353729585290536</v>
      </c>
      <c r="Y34" s="16" t="b">
        <f t="shared" si="1"/>
        <v>0</v>
      </c>
      <c r="Z34" s="78">
        <f t="shared" si="2"/>
        <v>1.1596224661322112</v>
      </c>
      <c r="AA34" s="79">
        <f t="shared" si="3"/>
        <v>4267</v>
      </c>
      <c r="AG34" s="2">
        <v>32</v>
      </c>
      <c r="AH34" s="3" t="s">
        <v>31</v>
      </c>
      <c r="AI34" s="7">
        <v>1452</v>
      </c>
      <c r="AJ34" s="7">
        <v>2473</v>
      </c>
      <c r="AK34" s="7">
        <v>5719</v>
      </c>
      <c r="AL34" s="179">
        <v>0.57501008544721166</v>
      </c>
      <c r="AM34" s="179">
        <v>0.84047383488210115</v>
      </c>
      <c r="AN34" s="178">
        <v>1.734632551579423</v>
      </c>
    </row>
    <row r="35" spans="1:40" x14ac:dyDescent="0.3">
      <c r="A35" s="2">
        <v>33</v>
      </c>
      <c r="B35" s="3" t="s">
        <v>32</v>
      </c>
      <c r="C35" s="7">
        <v>0</v>
      </c>
      <c r="D35" s="7">
        <v>1445</v>
      </c>
      <c r="E35" s="7">
        <v>1597</v>
      </c>
      <c r="F35" s="4">
        <v>0</v>
      </c>
      <c r="G35" s="4">
        <v>1044</v>
      </c>
      <c r="H35" s="4">
        <v>1336</v>
      </c>
      <c r="I35" s="13">
        <v>0</v>
      </c>
      <c r="J35" s="13">
        <v>401</v>
      </c>
      <c r="K35" s="13">
        <v>87.857332293291734</v>
      </c>
      <c r="L35" s="16" t="str">
        <f t="shared" si="0"/>
        <v>Increased</v>
      </c>
      <c r="N35" s="2">
        <v>33</v>
      </c>
      <c r="O35" s="3" t="s">
        <v>32</v>
      </c>
      <c r="P35" s="24">
        <v>0</v>
      </c>
      <c r="Q35" s="24">
        <v>6.0066164230869381</v>
      </c>
      <c r="R35" s="37">
        <v>6.2212396706287967</v>
      </c>
      <c r="S35" s="26">
        <v>0</v>
      </c>
      <c r="T35" s="26">
        <v>4.3397284053306322</v>
      </c>
      <c r="U35" s="26">
        <v>5.2044935503820113</v>
      </c>
      <c r="V35" s="29">
        <v>0</v>
      </c>
      <c r="W35" s="29">
        <v>1.6668880177563061</v>
      </c>
      <c r="X35" s="39">
        <v>0.34225517909745962</v>
      </c>
      <c r="Y35" s="16" t="b">
        <f t="shared" si="1"/>
        <v>0</v>
      </c>
      <c r="Z35" s="78">
        <f t="shared" si="2"/>
        <v>6.2212396706287967</v>
      </c>
      <c r="AA35" s="79">
        <f t="shared" si="3"/>
        <v>1597</v>
      </c>
      <c r="AG35" s="2">
        <v>33</v>
      </c>
      <c r="AH35" s="3" t="s">
        <v>32</v>
      </c>
      <c r="AI35" s="7">
        <v>0</v>
      </c>
      <c r="AJ35" s="7">
        <v>1445</v>
      </c>
      <c r="AK35" s="7">
        <v>1597</v>
      </c>
      <c r="AL35" s="179">
        <v>0</v>
      </c>
      <c r="AM35" s="179">
        <v>6.0066164230869381</v>
      </c>
      <c r="AN35" s="178">
        <v>6.2212396706287967</v>
      </c>
    </row>
    <row r="36" spans="1:40" x14ac:dyDescent="0.3">
      <c r="A36" s="2">
        <v>34</v>
      </c>
      <c r="B36" s="3" t="s">
        <v>33</v>
      </c>
      <c r="C36" s="7">
        <v>946</v>
      </c>
      <c r="D36" s="7">
        <v>1065</v>
      </c>
      <c r="E36" s="36">
        <v>705.66936761273496</v>
      </c>
      <c r="F36" s="4">
        <v>0</v>
      </c>
      <c r="G36" s="4">
        <v>1065</v>
      </c>
      <c r="H36" s="4">
        <v>363.17837160525119</v>
      </c>
      <c r="I36" s="13">
        <v>0</v>
      </c>
      <c r="J36" s="13">
        <v>0</v>
      </c>
      <c r="K36" s="13">
        <v>298</v>
      </c>
      <c r="L36" s="16" t="str">
        <f t="shared" si="0"/>
        <v>Decreased</v>
      </c>
      <c r="N36" s="2">
        <v>34</v>
      </c>
      <c r="O36" s="3" t="s">
        <v>33</v>
      </c>
      <c r="P36" s="24">
        <v>0.50715161511974438</v>
      </c>
      <c r="Q36" s="24">
        <v>0.47171779423164883</v>
      </c>
      <c r="R36" s="37">
        <v>0.2692574787728213</v>
      </c>
      <c r="S36" s="26">
        <v>0</v>
      </c>
      <c r="T36" s="26">
        <v>0.47171779423164883</v>
      </c>
      <c r="U36" s="26">
        <v>0.13857551024790149</v>
      </c>
      <c r="V36" s="29">
        <v>0</v>
      </c>
      <c r="W36" s="29">
        <v>0</v>
      </c>
      <c r="X36" s="39">
        <v>0.11370584066267</v>
      </c>
      <c r="Y36" s="16" t="b">
        <f t="shared" si="1"/>
        <v>0</v>
      </c>
      <c r="Z36" s="78">
        <f t="shared" si="2"/>
        <v>-0.23789413634692308</v>
      </c>
      <c r="AA36" s="79">
        <f t="shared" si="3"/>
        <v>-240.33063238726504</v>
      </c>
      <c r="AG36" s="2">
        <v>34</v>
      </c>
      <c r="AH36" s="3" t="s">
        <v>33</v>
      </c>
      <c r="AI36" s="7">
        <v>946</v>
      </c>
      <c r="AJ36" s="7">
        <v>1065</v>
      </c>
      <c r="AK36" s="36">
        <v>705.66936761273496</v>
      </c>
      <c r="AL36" s="179">
        <v>0.50715161511974438</v>
      </c>
      <c r="AM36" s="179">
        <v>0.47171779423164883</v>
      </c>
      <c r="AN36" s="178">
        <v>0.2692574787728213</v>
      </c>
    </row>
    <row r="37" spans="1:40" x14ac:dyDescent="0.3">
      <c r="A37" s="2">
        <v>35</v>
      </c>
      <c r="B37" s="3" t="s">
        <v>34</v>
      </c>
      <c r="C37" s="7">
        <v>65759</v>
      </c>
      <c r="D37" s="7">
        <v>83907</v>
      </c>
      <c r="E37" s="7">
        <v>86181</v>
      </c>
      <c r="F37" s="4">
        <v>0</v>
      </c>
      <c r="G37" s="4">
        <v>74543</v>
      </c>
      <c r="H37" s="4">
        <v>85719</v>
      </c>
      <c r="I37" s="13">
        <v>0</v>
      </c>
      <c r="J37" s="13">
        <v>9364</v>
      </c>
      <c r="K37" s="13">
        <v>530.9759736760318</v>
      </c>
      <c r="L37" s="16" t="str">
        <f t="shared" si="0"/>
        <v>Increased</v>
      </c>
      <c r="N37" s="2">
        <v>35</v>
      </c>
      <c r="O37" s="3" t="s">
        <v>34</v>
      </c>
      <c r="P37" s="24">
        <v>3.7635471263688842</v>
      </c>
      <c r="Q37" s="24">
        <v>4.229447307230835</v>
      </c>
      <c r="R37" s="37">
        <v>3.943466745172683</v>
      </c>
      <c r="S37" s="26">
        <v>0</v>
      </c>
      <c r="T37" s="26">
        <v>3.757442056358923</v>
      </c>
      <c r="U37" s="26">
        <v>3.9223265676826355</v>
      </c>
      <c r="V37" s="29">
        <v>0</v>
      </c>
      <c r="W37" s="29">
        <v>0.47200525087191225</v>
      </c>
      <c r="X37" s="39">
        <v>2.4296377330004493E-2</v>
      </c>
      <c r="Y37" s="16" t="b">
        <f t="shared" si="1"/>
        <v>0</v>
      </c>
      <c r="Z37" s="78">
        <f t="shared" si="2"/>
        <v>0.17991961880379881</v>
      </c>
      <c r="AA37" s="79">
        <f t="shared" si="3"/>
        <v>20422</v>
      </c>
      <c r="AG37" s="2">
        <v>35</v>
      </c>
      <c r="AH37" s="3" t="s">
        <v>34</v>
      </c>
      <c r="AI37" s="7">
        <v>65759</v>
      </c>
      <c r="AJ37" s="7">
        <v>83907</v>
      </c>
      <c r="AK37" s="7">
        <v>86181</v>
      </c>
      <c r="AL37" s="179">
        <v>3.7635471263688842</v>
      </c>
      <c r="AM37" s="179">
        <v>4.229447307230835</v>
      </c>
      <c r="AN37" s="178">
        <v>3.943466745172683</v>
      </c>
    </row>
    <row r="38" spans="1:40" x14ac:dyDescent="0.3">
      <c r="A38" s="2">
        <v>36</v>
      </c>
      <c r="B38" s="3" t="s">
        <v>35</v>
      </c>
      <c r="C38" s="7">
        <v>1104</v>
      </c>
      <c r="D38" s="7">
        <v>1648</v>
      </c>
      <c r="E38" s="7">
        <v>1648</v>
      </c>
      <c r="F38" s="4">
        <v>609</v>
      </c>
      <c r="G38" s="4">
        <v>1114</v>
      </c>
      <c r="H38" s="4">
        <v>1114</v>
      </c>
      <c r="I38" s="13">
        <v>495</v>
      </c>
      <c r="J38" s="13">
        <v>567</v>
      </c>
      <c r="K38" s="13">
        <v>567</v>
      </c>
      <c r="L38" s="16" t="str">
        <f t="shared" si="0"/>
        <v>Increased</v>
      </c>
      <c r="N38" s="2">
        <v>36</v>
      </c>
      <c r="O38" s="3" t="s">
        <v>35</v>
      </c>
      <c r="P38" s="24">
        <v>0.99447368988788287</v>
      </c>
      <c r="Q38" s="24">
        <v>1.3150537143185452</v>
      </c>
      <c r="R38" s="37">
        <v>1.1962228248097926</v>
      </c>
      <c r="S38" s="26">
        <v>0.54858195393271802</v>
      </c>
      <c r="T38" s="26">
        <v>0.88893800834396808</v>
      </c>
      <c r="U38" s="26">
        <v>0.80861178812992041</v>
      </c>
      <c r="V38" s="29">
        <v>0.4458917359551649</v>
      </c>
      <c r="W38" s="29">
        <v>0.45244869904042179</v>
      </c>
      <c r="X38" s="39">
        <v>0.41156452771065072</v>
      </c>
      <c r="Y38" s="16" t="b">
        <f t="shared" si="1"/>
        <v>0</v>
      </c>
      <c r="Z38" s="78">
        <f t="shared" si="2"/>
        <v>0.20174913492190971</v>
      </c>
      <c r="AA38" s="79">
        <f t="shared" si="3"/>
        <v>544</v>
      </c>
      <c r="AG38" s="2">
        <v>36</v>
      </c>
      <c r="AH38" s="3" t="s">
        <v>35</v>
      </c>
      <c r="AI38" s="7">
        <v>1104</v>
      </c>
      <c r="AJ38" s="7">
        <v>1648</v>
      </c>
      <c r="AK38" s="7">
        <v>1648</v>
      </c>
      <c r="AL38" s="179">
        <v>0.99447368988788287</v>
      </c>
      <c r="AM38" s="179">
        <v>1.3150537143185452</v>
      </c>
      <c r="AN38" s="178">
        <v>1.1962228248097926</v>
      </c>
    </row>
    <row r="39" spans="1:40" x14ac:dyDescent="0.3">
      <c r="A39" s="2">
        <v>37</v>
      </c>
      <c r="B39" s="3" t="s">
        <v>36</v>
      </c>
      <c r="C39" s="7">
        <v>63</v>
      </c>
      <c r="D39" s="7">
        <v>60</v>
      </c>
      <c r="E39" s="7">
        <v>105</v>
      </c>
      <c r="F39" s="4">
        <v>0</v>
      </c>
      <c r="G39" s="4">
        <v>40</v>
      </c>
      <c r="H39" s="4">
        <v>40</v>
      </c>
      <c r="I39" s="13">
        <v>0</v>
      </c>
      <c r="J39" s="13">
        <v>20</v>
      </c>
      <c r="K39" s="13">
        <v>20</v>
      </c>
      <c r="L39" s="16" t="str">
        <f t="shared" si="0"/>
        <v>Increased</v>
      </c>
      <c r="N39" s="2">
        <v>37</v>
      </c>
      <c r="O39" s="3" t="s">
        <v>36</v>
      </c>
      <c r="P39" s="24">
        <v>3.2514954298425351</v>
      </c>
      <c r="Q39" s="24">
        <v>2.8389734272087215</v>
      </c>
      <c r="R39" s="37">
        <v>4.6178305432107996</v>
      </c>
      <c r="S39" s="26">
        <v>0</v>
      </c>
      <c r="T39" s="26">
        <v>1.8926489514724809</v>
      </c>
      <c r="U39" s="26">
        <v>1.7591735402707809</v>
      </c>
      <c r="V39" s="29">
        <v>0</v>
      </c>
      <c r="W39" s="29">
        <v>0.94632447573624046</v>
      </c>
      <c r="X39" s="39">
        <v>0.87958677013539044</v>
      </c>
      <c r="Y39" s="16" t="b">
        <f t="shared" si="1"/>
        <v>0</v>
      </c>
      <c r="Z39" s="78">
        <f t="shared" si="2"/>
        <v>1.3663351133682644</v>
      </c>
      <c r="AA39" s="79">
        <f t="shared" si="3"/>
        <v>42</v>
      </c>
      <c r="AG39" s="2">
        <v>37</v>
      </c>
      <c r="AH39" s="3" t="s">
        <v>36</v>
      </c>
      <c r="AI39" s="7">
        <v>63</v>
      </c>
      <c r="AJ39" s="7">
        <v>60</v>
      </c>
      <c r="AK39" s="7">
        <v>105</v>
      </c>
      <c r="AL39" s="179">
        <v>3.2514954298425351</v>
      </c>
      <c r="AM39" s="179">
        <v>2.8389734272087215</v>
      </c>
      <c r="AN39" s="178">
        <v>4.6178305432107996</v>
      </c>
    </row>
    <row r="40" spans="1:40" x14ac:dyDescent="0.3">
      <c r="A40" s="2">
        <v>38</v>
      </c>
      <c r="B40" s="3" t="s">
        <v>37</v>
      </c>
      <c r="C40" s="7">
        <v>0</v>
      </c>
      <c r="D40" s="7">
        <v>2883</v>
      </c>
      <c r="E40" s="7">
        <v>2560.8623058327948</v>
      </c>
      <c r="F40" s="4">
        <v>0</v>
      </c>
      <c r="G40" s="4">
        <v>676</v>
      </c>
      <c r="H40" s="4">
        <v>703</v>
      </c>
      <c r="I40" s="13">
        <v>0</v>
      </c>
      <c r="J40" s="13">
        <v>2207</v>
      </c>
      <c r="K40" s="13">
        <v>1738.0623967832269</v>
      </c>
      <c r="L40" s="16" t="str">
        <f t="shared" si="0"/>
        <v>Decreased</v>
      </c>
      <c r="N40" s="2">
        <v>38</v>
      </c>
      <c r="O40" s="3" t="s">
        <v>37</v>
      </c>
      <c r="P40" s="24">
        <v>0</v>
      </c>
      <c r="Q40" s="24">
        <v>1.8510541538316534</v>
      </c>
      <c r="R40" s="37">
        <v>1.4788611139805827</v>
      </c>
      <c r="S40" s="26">
        <v>0</v>
      </c>
      <c r="T40" s="26">
        <v>0.43403142836982234</v>
      </c>
      <c r="U40" s="26">
        <v>0.40597237921007939</v>
      </c>
      <c r="V40" s="29">
        <v>0</v>
      </c>
      <c r="W40" s="29">
        <v>1.4170227254618311</v>
      </c>
      <c r="X40" s="39">
        <v>1.0037060120023606</v>
      </c>
      <c r="Y40" s="16" t="b">
        <f t="shared" si="1"/>
        <v>0</v>
      </c>
      <c r="Z40" s="78">
        <f t="shared" si="2"/>
        <v>1.4788611139805827</v>
      </c>
      <c r="AA40" s="79">
        <f t="shared" si="3"/>
        <v>2560.8623058327948</v>
      </c>
      <c r="AG40" s="2">
        <v>38</v>
      </c>
      <c r="AH40" s="3" t="s">
        <v>37</v>
      </c>
      <c r="AI40" s="7">
        <v>0</v>
      </c>
      <c r="AJ40" s="7">
        <v>2883</v>
      </c>
      <c r="AK40" s="7">
        <v>2560.8623058327948</v>
      </c>
      <c r="AL40" s="179">
        <v>0</v>
      </c>
      <c r="AM40" s="179">
        <v>1.8510541538316534</v>
      </c>
      <c r="AN40" s="178">
        <v>1.4788611139805827</v>
      </c>
    </row>
    <row r="41" spans="1:40" x14ac:dyDescent="0.3">
      <c r="A41" s="2">
        <v>39</v>
      </c>
      <c r="B41" s="3" t="s">
        <v>38</v>
      </c>
      <c r="C41" s="7">
        <v>93</v>
      </c>
      <c r="D41" s="7">
        <v>240</v>
      </c>
      <c r="E41" s="7">
        <v>828</v>
      </c>
      <c r="F41" s="4">
        <v>0</v>
      </c>
      <c r="G41" s="4">
        <v>125</v>
      </c>
      <c r="H41" s="4">
        <v>125</v>
      </c>
      <c r="I41" s="13">
        <v>0</v>
      </c>
      <c r="J41" s="13">
        <v>115</v>
      </c>
      <c r="K41" s="13">
        <v>346</v>
      </c>
      <c r="L41" s="16" t="str">
        <f t="shared" si="0"/>
        <v>Increased</v>
      </c>
      <c r="N41" s="2">
        <v>39</v>
      </c>
      <c r="O41" s="3" t="s">
        <v>38</v>
      </c>
      <c r="P41" s="24">
        <v>9.6159811402692483</v>
      </c>
      <c r="Q41" s="24">
        <v>23.278144731864863</v>
      </c>
      <c r="R41" s="37">
        <v>77.297572314772893</v>
      </c>
      <c r="S41" s="26">
        <v>0</v>
      </c>
      <c r="T41" s="26">
        <v>12.124033714512949</v>
      </c>
      <c r="U41" s="26">
        <v>11.669319491964506</v>
      </c>
      <c r="V41" s="29">
        <v>0</v>
      </c>
      <c r="W41" s="29">
        <v>11.154111017351914</v>
      </c>
      <c r="X41" s="39">
        <v>32.300676353757751</v>
      </c>
      <c r="Y41" s="16" t="b">
        <f t="shared" si="1"/>
        <v>1</v>
      </c>
      <c r="Z41" s="78">
        <f t="shared" si="2"/>
        <v>67.681591174503637</v>
      </c>
      <c r="AA41" s="79">
        <f t="shared" si="3"/>
        <v>735</v>
      </c>
      <c r="AG41" s="2">
        <v>39</v>
      </c>
      <c r="AH41" s="3" t="s">
        <v>38</v>
      </c>
      <c r="AI41" s="7">
        <v>93</v>
      </c>
      <c r="AJ41" s="7">
        <v>240</v>
      </c>
      <c r="AK41" s="7">
        <v>828</v>
      </c>
      <c r="AL41" s="179">
        <v>9.6159811402692483</v>
      </c>
      <c r="AM41" s="179">
        <v>23.278144731864863</v>
      </c>
      <c r="AN41" s="178">
        <v>77.297572314772893</v>
      </c>
    </row>
    <row r="42" spans="1:40" x14ac:dyDescent="0.3">
      <c r="A42" s="2">
        <v>40</v>
      </c>
      <c r="B42" s="3" t="s">
        <v>39</v>
      </c>
      <c r="C42" s="7">
        <v>0</v>
      </c>
      <c r="D42" s="7">
        <v>566</v>
      </c>
      <c r="E42" s="7">
        <v>1106</v>
      </c>
      <c r="F42" s="4">
        <v>0</v>
      </c>
      <c r="G42" s="4">
        <v>500</v>
      </c>
      <c r="H42" s="4">
        <v>388.46294178030035</v>
      </c>
      <c r="I42" s="13">
        <v>0</v>
      </c>
      <c r="J42" s="13">
        <v>66</v>
      </c>
      <c r="K42" s="13">
        <v>32.180362040971623</v>
      </c>
      <c r="L42" s="16" t="str">
        <f t="shared" si="0"/>
        <v>Increased</v>
      </c>
      <c r="N42" s="2">
        <v>40</v>
      </c>
      <c r="O42" s="3" t="s">
        <v>39</v>
      </c>
      <c r="P42" s="24">
        <v>0</v>
      </c>
      <c r="Q42" s="24">
        <v>0.71998444019492502</v>
      </c>
      <c r="R42" s="37">
        <v>1.2851920083832624</v>
      </c>
      <c r="S42" s="26">
        <v>0</v>
      </c>
      <c r="T42" s="26">
        <v>0.63602865741601144</v>
      </c>
      <c r="U42" s="26">
        <v>0.45140096593950685</v>
      </c>
      <c r="V42" s="29">
        <v>0</v>
      </c>
      <c r="W42" s="29">
        <v>8.395578277891351E-2</v>
      </c>
      <c r="X42" s="39">
        <v>3.7394162858894055E-2</v>
      </c>
      <c r="Y42" s="16" t="b">
        <f t="shared" si="1"/>
        <v>0</v>
      </c>
      <c r="Z42" s="78">
        <f t="shared" si="2"/>
        <v>1.2851920083832624</v>
      </c>
      <c r="AA42" s="79">
        <f t="shared" si="3"/>
        <v>1106</v>
      </c>
      <c r="AG42" s="2">
        <v>40</v>
      </c>
      <c r="AH42" s="3" t="s">
        <v>39</v>
      </c>
      <c r="AI42" s="7">
        <v>0</v>
      </c>
      <c r="AJ42" s="7">
        <v>566</v>
      </c>
      <c r="AK42" s="7">
        <v>1106</v>
      </c>
      <c r="AL42" s="179">
        <v>0</v>
      </c>
      <c r="AM42" s="179">
        <v>0.71998444019492502</v>
      </c>
      <c r="AN42" s="178">
        <v>1.2851920083832624</v>
      </c>
    </row>
    <row r="43" spans="1:40" x14ac:dyDescent="0.3">
      <c r="A43" s="2">
        <v>41</v>
      </c>
      <c r="B43" s="3" t="s">
        <v>40</v>
      </c>
      <c r="C43" s="7">
        <v>0</v>
      </c>
      <c r="D43" s="7">
        <v>43503</v>
      </c>
      <c r="E43" s="7">
        <v>48021</v>
      </c>
      <c r="F43" s="4">
        <v>0</v>
      </c>
      <c r="G43" s="4">
        <v>29311</v>
      </c>
      <c r="H43" s="4">
        <v>29311</v>
      </c>
      <c r="I43" s="13">
        <v>0</v>
      </c>
      <c r="J43" s="13">
        <v>14192</v>
      </c>
      <c r="K43" s="13">
        <v>14192</v>
      </c>
      <c r="L43" s="16" t="str">
        <f t="shared" si="0"/>
        <v>Increased</v>
      </c>
      <c r="N43" s="2">
        <v>41</v>
      </c>
      <c r="O43" s="3" t="s">
        <v>40</v>
      </c>
      <c r="P43" s="24">
        <v>0</v>
      </c>
      <c r="Q43" s="24">
        <v>7.5868986609349687</v>
      </c>
      <c r="R43" s="37">
        <v>8.0176798681728538</v>
      </c>
      <c r="S43" s="26">
        <v>0</v>
      </c>
      <c r="T43" s="26">
        <v>5.1118218663233543</v>
      </c>
      <c r="U43" s="26">
        <v>4.8938217574814047</v>
      </c>
      <c r="V43" s="29">
        <v>0</v>
      </c>
      <c r="W43" s="29">
        <v>2.4750767946116148</v>
      </c>
      <c r="X43" s="39">
        <v>2.3695240142668652</v>
      </c>
      <c r="Y43" s="16" t="b">
        <f t="shared" si="1"/>
        <v>0</v>
      </c>
      <c r="Z43" s="78">
        <f t="shared" si="2"/>
        <v>8.0176798681728538</v>
      </c>
      <c r="AA43" s="79">
        <f t="shared" si="3"/>
        <v>48021</v>
      </c>
      <c r="AG43" s="2">
        <v>41</v>
      </c>
      <c r="AH43" s="3" t="s">
        <v>40</v>
      </c>
      <c r="AI43" s="7">
        <v>0</v>
      </c>
      <c r="AJ43" s="7">
        <v>43503</v>
      </c>
      <c r="AK43" s="7">
        <v>48021</v>
      </c>
      <c r="AL43" s="179">
        <v>0</v>
      </c>
      <c r="AM43" s="179">
        <v>7.5868986609349687</v>
      </c>
      <c r="AN43" s="178">
        <v>8.0176798681728538</v>
      </c>
    </row>
    <row r="44" spans="1:40" x14ac:dyDescent="0.3">
      <c r="A44" s="2">
        <v>42</v>
      </c>
      <c r="B44" s="3" t="s">
        <v>41</v>
      </c>
      <c r="C44" s="7">
        <v>0</v>
      </c>
      <c r="D44" s="7">
        <v>411</v>
      </c>
      <c r="E44" s="7">
        <v>456</v>
      </c>
      <c r="F44" s="4">
        <v>0</v>
      </c>
      <c r="G44" s="4">
        <v>338</v>
      </c>
      <c r="H44" s="4">
        <v>383</v>
      </c>
      <c r="I44" s="13">
        <v>0</v>
      </c>
      <c r="J44" s="13">
        <v>73</v>
      </c>
      <c r="K44" s="13">
        <v>73</v>
      </c>
      <c r="L44" s="16" t="str">
        <f t="shared" si="0"/>
        <v>Increased</v>
      </c>
      <c r="N44" s="2">
        <v>42</v>
      </c>
      <c r="O44" s="3" t="s">
        <v>41</v>
      </c>
      <c r="P44" s="24">
        <v>0</v>
      </c>
      <c r="Q44" s="24">
        <v>0.39536986297548338</v>
      </c>
      <c r="R44" s="37">
        <v>0.41784401012593642</v>
      </c>
      <c r="S44" s="26">
        <v>0</v>
      </c>
      <c r="T44" s="26">
        <v>0.32514601870003257</v>
      </c>
      <c r="U44" s="26">
        <v>0.35095231552244222</v>
      </c>
      <c r="V44" s="29">
        <v>0</v>
      </c>
      <c r="W44" s="29">
        <v>7.0223844275450822E-2</v>
      </c>
      <c r="X44" s="39">
        <v>6.6891694603494214E-2</v>
      </c>
      <c r="Y44" s="16" t="b">
        <f t="shared" si="1"/>
        <v>0</v>
      </c>
      <c r="Z44" s="78">
        <f t="shared" si="2"/>
        <v>0.41784401012593642</v>
      </c>
      <c r="AA44" s="79">
        <f t="shared" si="3"/>
        <v>456</v>
      </c>
      <c r="AG44" s="2">
        <v>42</v>
      </c>
      <c r="AH44" s="3" t="s">
        <v>41</v>
      </c>
      <c r="AI44" s="7">
        <v>0</v>
      </c>
      <c r="AJ44" s="7">
        <v>411</v>
      </c>
      <c r="AK44" s="7">
        <v>456</v>
      </c>
      <c r="AL44" s="179">
        <v>0</v>
      </c>
      <c r="AM44" s="179">
        <v>0.39536986297548338</v>
      </c>
      <c r="AN44" s="178">
        <v>0.41784401012593642</v>
      </c>
    </row>
    <row r="45" spans="1:40" x14ac:dyDescent="0.3">
      <c r="A45" s="2">
        <v>43</v>
      </c>
      <c r="B45" s="3" t="s">
        <v>42</v>
      </c>
      <c r="C45" s="7">
        <v>1481</v>
      </c>
      <c r="D45" s="7">
        <v>2885</v>
      </c>
      <c r="E45" s="7">
        <v>8693</v>
      </c>
      <c r="F45" s="4">
        <v>0</v>
      </c>
      <c r="G45" s="4">
        <v>2434</v>
      </c>
      <c r="H45" s="4">
        <v>6701</v>
      </c>
      <c r="I45" s="13">
        <v>929</v>
      </c>
      <c r="J45" s="13">
        <v>451</v>
      </c>
      <c r="K45" s="13">
        <v>1992</v>
      </c>
      <c r="L45" s="16" t="str">
        <f t="shared" si="0"/>
        <v>Increased</v>
      </c>
      <c r="N45" s="2">
        <v>43</v>
      </c>
      <c r="O45" s="3" t="s">
        <v>42</v>
      </c>
      <c r="P45" s="24">
        <v>0.30068841506111116</v>
      </c>
      <c r="Q45" s="24">
        <v>0.49663935253514929</v>
      </c>
      <c r="R45" s="37">
        <v>1.3272212046130187</v>
      </c>
      <c r="S45" s="26">
        <v>0</v>
      </c>
      <c r="T45" s="26">
        <v>0.41900179690487122</v>
      </c>
      <c r="U45" s="26">
        <v>1.0230886106191004</v>
      </c>
      <c r="V45" s="29">
        <v>0.18861548790801638</v>
      </c>
      <c r="W45" s="29">
        <v>7.7637555630278104E-2</v>
      </c>
      <c r="X45" s="39">
        <v>0.30413259399391851</v>
      </c>
      <c r="Y45" s="16" t="b">
        <f t="shared" si="1"/>
        <v>0</v>
      </c>
      <c r="Z45" s="78">
        <f t="shared" si="2"/>
        <v>1.0265327895519076</v>
      </c>
      <c r="AA45" s="79">
        <f t="shared" si="3"/>
        <v>7212</v>
      </c>
      <c r="AG45" s="2">
        <v>43</v>
      </c>
      <c r="AH45" s="3" t="s">
        <v>42</v>
      </c>
      <c r="AI45" s="7">
        <v>1481</v>
      </c>
      <c r="AJ45" s="7">
        <v>2885</v>
      </c>
      <c r="AK45" s="7">
        <v>8693</v>
      </c>
      <c r="AL45" s="179">
        <v>0.30068841506111116</v>
      </c>
      <c r="AM45" s="179">
        <v>0.49663935253514929</v>
      </c>
      <c r="AN45" s="178">
        <v>1.3272212046130187</v>
      </c>
    </row>
    <row r="46" spans="1:40" x14ac:dyDescent="0.3">
      <c r="A46" s="2">
        <v>44</v>
      </c>
      <c r="B46" s="3" t="s">
        <v>43</v>
      </c>
      <c r="C46" s="7">
        <v>361</v>
      </c>
      <c r="D46" s="7">
        <v>611</v>
      </c>
      <c r="E46" s="7">
        <v>730</v>
      </c>
      <c r="F46" s="4">
        <v>97</v>
      </c>
      <c r="G46" s="4">
        <v>230</v>
      </c>
      <c r="H46" s="4">
        <v>331</v>
      </c>
      <c r="I46" s="13">
        <v>264</v>
      </c>
      <c r="J46" s="13">
        <v>392</v>
      </c>
      <c r="K46" s="13">
        <v>399</v>
      </c>
      <c r="L46" s="16" t="str">
        <f t="shared" si="0"/>
        <v>Increased</v>
      </c>
      <c r="N46" s="2">
        <v>44</v>
      </c>
      <c r="O46" s="3" t="s">
        <v>43</v>
      </c>
      <c r="P46" s="24">
        <v>0.5080050192584562</v>
      </c>
      <c r="Q46" s="24">
        <v>0.75931946583180465</v>
      </c>
      <c r="R46" s="37">
        <v>0.82498008040391457</v>
      </c>
      <c r="S46" s="26">
        <v>0.13649996362346331</v>
      </c>
      <c r="T46" s="26">
        <v>0.28583220481393629</v>
      </c>
      <c r="U46" s="26">
        <v>0.37406631042972016</v>
      </c>
      <c r="V46" s="29">
        <v>0.37150505563499292</v>
      </c>
      <c r="W46" s="29">
        <v>0.48715749690027399</v>
      </c>
      <c r="X46" s="39">
        <v>0.45091376997419441</v>
      </c>
      <c r="Y46" s="16" t="b">
        <f t="shared" si="1"/>
        <v>0</v>
      </c>
      <c r="Z46" s="78">
        <f t="shared" si="2"/>
        <v>0.31697506114545837</v>
      </c>
      <c r="AA46" s="79">
        <f t="shared" si="3"/>
        <v>369</v>
      </c>
      <c r="AG46" s="2">
        <v>44</v>
      </c>
      <c r="AH46" s="3" t="s">
        <v>43</v>
      </c>
      <c r="AI46" s="7">
        <v>361</v>
      </c>
      <c r="AJ46" s="7">
        <v>611</v>
      </c>
      <c r="AK46" s="7">
        <v>730</v>
      </c>
      <c r="AL46" s="179">
        <v>0.5080050192584562</v>
      </c>
      <c r="AM46" s="179">
        <v>0.75931946583180465</v>
      </c>
      <c r="AN46" s="178">
        <v>0.82498008040391457</v>
      </c>
    </row>
    <row r="47" spans="1:40" x14ac:dyDescent="0.3">
      <c r="A47" s="2">
        <v>45</v>
      </c>
      <c r="B47" s="3" t="s">
        <v>44</v>
      </c>
      <c r="C47" s="7">
        <v>3370</v>
      </c>
      <c r="D47" s="7">
        <v>17186</v>
      </c>
      <c r="E47" s="7">
        <v>9051.7813279678066</v>
      </c>
      <c r="F47" s="4">
        <v>0</v>
      </c>
      <c r="G47" s="4">
        <v>17007</v>
      </c>
      <c r="H47" s="4">
        <v>7259.8911066398387</v>
      </c>
      <c r="I47" s="13">
        <v>0</v>
      </c>
      <c r="J47" s="13">
        <v>179</v>
      </c>
      <c r="K47" s="13">
        <v>1572</v>
      </c>
      <c r="L47" s="16" t="str">
        <f t="shared" si="0"/>
        <v>Decreased</v>
      </c>
      <c r="N47" s="2">
        <v>45</v>
      </c>
      <c r="O47" s="3" t="s">
        <v>44</v>
      </c>
      <c r="P47" s="24">
        <v>0.95538954520339181</v>
      </c>
      <c r="Q47" s="24">
        <v>4.139669151648441</v>
      </c>
      <c r="R47" s="37">
        <v>1.9157377420283819</v>
      </c>
      <c r="S47" s="26">
        <v>0</v>
      </c>
      <c r="T47" s="26">
        <v>4.0965526162041801</v>
      </c>
      <c r="U47" s="26">
        <v>1.5364983854651511</v>
      </c>
      <c r="V47" s="29">
        <v>0</v>
      </c>
      <c r="W47" s="29">
        <v>4.3116535444261084E-2</v>
      </c>
      <c r="X47" s="39">
        <v>0.33270133483712094</v>
      </c>
      <c r="Y47" s="16" t="b">
        <f t="shared" si="1"/>
        <v>0</v>
      </c>
      <c r="Z47" s="78">
        <f t="shared" si="2"/>
        <v>0.96034819682499006</v>
      </c>
      <c r="AA47" s="79">
        <f t="shared" si="3"/>
        <v>5681.7813279678066</v>
      </c>
      <c r="AG47" s="2">
        <v>45</v>
      </c>
      <c r="AH47" s="3" t="s">
        <v>44</v>
      </c>
      <c r="AI47" s="7">
        <v>3370</v>
      </c>
      <c r="AJ47" s="7">
        <v>17186</v>
      </c>
      <c r="AK47" s="7">
        <v>9051.7813279678066</v>
      </c>
      <c r="AL47" s="179">
        <v>0.95538954520339181</v>
      </c>
      <c r="AM47" s="179">
        <v>4.139669151648441</v>
      </c>
      <c r="AN47" s="178">
        <v>1.9157377420283819</v>
      </c>
    </row>
    <row r="48" spans="1:40" x14ac:dyDescent="0.3">
      <c r="A48" s="2">
        <v>46</v>
      </c>
      <c r="B48" s="3" t="s">
        <v>45</v>
      </c>
      <c r="C48" s="7">
        <v>0</v>
      </c>
      <c r="D48" s="7">
        <v>4021</v>
      </c>
      <c r="E48" s="7">
        <v>6531</v>
      </c>
      <c r="F48" s="4">
        <v>0</v>
      </c>
      <c r="G48" s="4">
        <v>1701</v>
      </c>
      <c r="H48" s="4">
        <v>4709</v>
      </c>
      <c r="I48" s="13">
        <v>0</v>
      </c>
      <c r="J48" s="13">
        <v>325</v>
      </c>
      <c r="K48" s="13">
        <v>534</v>
      </c>
      <c r="L48" s="16" t="str">
        <f t="shared" si="0"/>
        <v>Increased</v>
      </c>
      <c r="N48" s="2">
        <v>46</v>
      </c>
      <c r="O48" s="3" t="s">
        <v>45</v>
      </c>
      <c r="P48" s="24">
        <v>0</v>
      </c>
      <c r="Q48" s="24">
        <v>2.2544427688594029</v>
      </c>
      <c r="R48" s="37">
        <v>3.2626166625244934</v>
      </c>
      <c r="S48" s="26">
        <v>0</v>
      </c>
      <c r="T48" s="26">
        <v>0.95369488928869539</v>
      </c>
      <c r="U48" s="26">
        <v>2.3524210478989187</v>
      </c>
      <c r="V48" s="29">
        <v>0</v>
      </c>
      <c r="W48" s="29">
        <v>0.18221683657779308</v>
      </c>
      <c r="X48" s="39">
        <v>0.26676424709662833</v>
      </c>
      <c r="Y48" s="16" t="b">
        <f t="shared" si="1"/>
        <v>0</v>
      </c>
      <c r="Z48" s="78">
        <f t="shared" si="2"/>
        <v>3.2626166625244934</v>
      </c>
      <c r="AA48" s="79">
        <f t="shared" si="3"/>
        <v>6531</v>
      </c>
      <c r="AG48" s="2">
        <v>46</v>
      </c>
      <c r="AH48" s="3" t="s">
        <v>45</v>
      </c>
      <c r="AI48" s="7">
        <v>0</v>
      </c>
      <c r="AJ48" s="7">
        <v>4021</v>
      </c>
      <c r="AK48" s="7">
        <v>6531</v>
      </c>
      <c r="AL48" s="179">
        <v>0</v>
      </c>
      <c r="AM48" s="179">
        <v>2.2544427688594029</v>
      </c>
      <c r="AN48" s="178">
        <v>3.2626166625244934</v>
      </c>
    </row>
    <row r="49" spans="1:40" x14ac:dyDescent="0.3">
      <c r="A49" s="2">
        <v>47</v>
      </c>
      <c r="B49" s="3" t="s">
        <v>46</v>
      </c>
      <c r="C49" s="7">
        <v>1114</v>
      </c>
      <c r="D49" s="7">
        <v>3026</v>
      </c>
      <c r="E49" s="7">
        <v>3131.5983655333839</v>
      </c>
      <c r="F49" s="4">
        <v>1458</v>
      </c>
      <c r="G49" s="4">
        <v>1863</v>
      </c>
      <c r="H49" s="4">
        <v>2032</v>
      </c>
      <c r="I49" s="13">
        <v>227</v>
      </c>
      <c r="J49" s="13">
        <v>619</v>
      </c>
      <c r="K49" s="13">
        <v>676</v>
      </c>
      <c r="L49" s="16" t="str">
        <f t="shared" si="0"/>
        <v>Increased</v>
      </c>
      <c r="N49" s="2">
        <v>47</v>
      </c>
      <c r="O49" s="3" t="s">
        <v>46</v>
      </c>
      <c r="P49" s="24">
        <v>0.82181140586443524</v>
      </c>
      <c r="Q49" s="24">
        <v>2.010339496248517</v>
      </c>
      <c r="R49" s="37">
        <v>1.9188084102461731</v>
      </c>
      <c r="S49" s="26">
        <v>1.0755844073162895</v>
      </c>
      <c r="T49" s="26">
        <v>1.2376941445839349</v>
      </c>
      <c r="U49" s="26">
        <v>1.2450570713451405</v>
      </c>
      <c r="V49" s="29">
        <v>0.16746067246968294</v>
      </c>
      <c r="W49" s="29">
        <v>0.41123600402439919</v>
      </c>
      <c r="X49" s="39">
        <v>0.41420205719946601</v>
      </c>
      <c r="Y49" s="16" t="b">
        <f t="shared" si="1"/>
        <v>0</v>
      </c>
      <c r="Z49" s="78">
        <f t="shared" si="2"/>
        <v>1.0969970043817379</v>
      </c>
      <c r="AA49" s="79">
        <f t="shared" si="3"/>
        <v>2017.5983655333839</v>
      </c>
      <c r="AG49" s="2">
        <v>47</v>
      </c>
      <c r="AH49" s="3" t="s">
        <v>46</v>
      </c>
      <c r="AI49" s="7">
        <v>1114</v>
      </c>
      <c r="AJ49" s="7">
        <v>3026</v>
      </c>
      <c r="AK49" s="7">
        <v>3131.5983655333839</v>
      </c>
      <c r="AL49" s="179">
        <v>0.82181140586443524</v>
      </c>
      <c r="AM49" s="179">
        <v>2.010339496248517</v>
      </c>
      <c r="AN49" s="178">
        <v>1.9188084102461731</v>
      </c>
    </row>
    <row r="50" spans="1:40" x14ac:dyDescent="0.3">
      <c r="A50" s="2">
        <v>48</v>
      </c>
      <c r="B50" s="5" t="s">
        <v>47</v>
      </c>
      <c r="C50" s="8">
        <f>SUM(C3:C49)</f>
        <v>115272</v>
      </c>
      <c r="D50" s="8">
        <f t="shared" ref="D50:K50" si="4">SUM(D3:D49)</f>
        <v>339167</v>
      </c>
      <c r="E50" s="8">
        <f t="shared" si="4"/>
        <v>369145.16726554319</v>
      </c>
      <c r="F50" s="8">
        <f t="shared" si="4"/>
        <v>5678</v>
      </c>
      <c r="G50" s="8">
        <f t="shared" si="4"/>
        <v>244831</v>
      </c>
      <c r="H50" s="8">
        <f t="shared" si="4"/>
        <v>255053.64420751267</v>
      </c>
      <c r="I50" s="8">
        <f t="shared" si="4"/>
        <v>2548</v>
      </c>
      <c r="J50" s="8">
        <f t="shared" si="4"/>
        <v>93111</v>
      </c>
      <c r="K50" s="8">
        <f t="shared" si="4"/>
        <v>83609.017642378574</v>
      </c>
      <c r="O50" s="5" t="s">
        <v>47</v>
      </c>
      <c r="P50" s="25">
        <f>AVERAGE(P3:P49)</f>
        <v>1.4360619707825135</v>
      </c>
      <c r="Q50" s="25">
        <f t="shared" ref="Q50:X50" si="5">AVERAGE(Q3:Q49)</f>
        <v>3.4003387838166272</v>
      </c>
      <c r="R50" s="25">
        <f t="shared" si="5"/>
        <v>5.3272558356958237</v>
      </c>
      <c r="S50" s="25">
        <f t="shared" si="5"/>
        <v>7.4961778061048964E-2</v>
      </c>
      <c r="T50" s="25">
        <f t="shared" si="5"/>
        <v>2.1046162680768887</v>
      </c>
      <c r="U50" s="25">
        <f t="shared" si="5"/>
        <v>2.1369127383567776</v>
      </c>
      <c r="V50" s="25">
        <f t="shared" si="5"/>
        <v>3.2966347663577346E-2</v>
      </c>
      <c r="W50" s="25">
        <f t="shared" si="5"/>
        <v>1.2753963593474946</v>
      </c>
      <c r="X50" s="25">
        <f t="shared" si="5"/>
        <v>1.4145555128292135</v>
      </c>
      <c r="AG50" s="2">
        <v>48</v>
      </c>
      <c r="AH50" s="5" t="s">
        <v>47</v>
      </c>
      <c r="AI50" s="175">
        <f>SUM(AI3:AI49)</f>
        <v>115272</v>
      </c>
      <c r="AJ50" s="175">
        <f t="shared" ref="AJ50:AK50" si="6">SUM(AJ3:AJ49)</f>
        <v>339167</v>
      </c>
      <c r="AK50" s="175">
        <f t="shared" si="6"/>
        <v>366202.68855383497</v>
      </c>
      <c r="AL50" s="176">
        <f>AVERAGE(AL3:AL49)</f>
        <v>1.4360619707825135</v>
      </c>
      <c r="AM50" s="176">
        <f t="shared" ref="AM50:AN50" si="7">AVERAGE(AM3:AM49)</f>
        <v>3.4003387838166272</v>
      </c>
      <c r="AN50" s="176">
        <f t="shared" si="7"/>
        <v>5.3272558356958237</v>
      </c>
    </row>
    <row r="51" spans="1:40" x14ac:dyDescent="0.3">
      <c r="C51" s="79">
        <f t="shared" ref="C51" si="8">F50+I50</f>
        <v>8226</v>
      </c>
      <c r="D51" s="79">
        <f>G50+J50</f>
        <v>337942</v>
      </c>
      <c r="E51" s="79">
        <f>H50+K50</f>
        <v>338662.66184989124</v>
      </c>
    </row>
    <row r="52" spans="1:40" x14ac:dyDescent="0.3">
      <c r="C52" s="16" t="s">
        <v>54</v>
      </c>
      <c r="J52" s="79"/>
      <c r="L52" s="16" t="str">
        <f t="shared" si="0"/>
        <v>Increased</v>
      </c>
    </row>
    <row r="54" spans="1:40" x14ac:dyDescent="0.3">
      <c r="C54" s="77">
        <f>((E50/C50)^(1/9))-1</f>
        <v>0.13805619323927143</v>
      </c>
      <c r="E54" s="89">
        <f>(E50/D50)^(1/4)-1</f>
        <v>2.1400107636445842E-2</v>
      </c>
      <c r="P54" s="77">
        <f>((R50/P50)^(1/9))-1</f>
        <v>0.15680173216387128</v>
      </c>
      <c r="R54" s="89">
        <f>((R50/Q50)^(1/4))-1</f>
        <v>0.11878166712026195</v>
      </c>
    </row>
    <row r="55" spans="1:40" x14ac:dyDescent="0.3">
      <c r="E55" s="79">
        <f>E50-D50</f>
        <v>29978.16726554319</v>
      </c>
      <c r="H55" s="79">
        <f>H50-G50</f>
        <v>10222.644207512669</v>
      </c>
      <c r="K55" s="79">
        <f>K50-J50</f>
        <v>-9501.9823576214258</v>
      </c>
    </row>
    <row r="56" spans="1:40" x14ac:dyDescent="0.3">
      <c r="D56" s="16" t="s">
        <v>330</v>
      </c>
      <c r="E56" s="90">
        <v>13323</v>
      </c>
    </row>
  </sheetData>
  <autoFilter ref="N2:AA50" xr:uid="{30CBF9D5-CE1F-4304-B415-7A509725D33C}"/>
  <mergeCells count="8">
    <mergeCell ref="AI1:AK1"/>
    <mergeCell ref="AL1:AN1"/>
    <mergeCell ref="V1:X1"/>
    <mergeCell ref="C1:E1"/>
    <mergeCell ref="F1:H1"/>
    <mergeCell ref="I1:K1"/>
    <mergeCell ref="P1:R1"/>
    <mergeCell ref="S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565-367C-4FE2-B443-EE3B2D209CD8}">
  <dimension ref="A1:AM56"/>
  <sheetViews>
    <sheetView topLeftCell="O1" zoomScaleNormal="100" workbookViewId="0">
      <selection activeCell="X2" sqref="X2"/>
    </sheetView>
  </sheetViews>
  <sheetFormatPr defaultRowHeight="14.5" x14ac:dyDescent="0.35"/>
  <cols>
    <col min="1" max="1" width="4.6328125" bestFit="1" customWidth="1"/>
    <col min="2" max="2" width="20.90625" bestFit="1" customWidth="1"/>
    <col min="4" max="4" width="12.08984375" customWidth="1"/>
    <col min="5" max="5" width="11.08984375" customWidth="1"/>
    <col min="6" max="6" width="11.08984375" bestFit="1" customWidth="1"/>
    <col min="16" max="16" width="4.6328125" bestFit="1" customWidth="1"/>
    <col min="17" max="17" width="20.90625" bestFit="1" customWidth="1"/>
    <col min="32" max="32" width="8.7265625" style="20"/>
    <col min="33" max="33" width="18.54296875" bestFit="1" customWidth="1"/>
    <col min="35" max="36" width="9.1796875" bestFit="1" customWidth="1"/>
  </cols>
  <sheetData>
    <row r="1" spans="1:39" x14ac:dyDescent="0.35">
      <c r="A1" s="15"/>
      <c r="B1" s="15"/>
      <c r="C1" s="193" t="s">
        <v>57</v>
      </c>
      <c r="D1" s="193"/>
      <c r="E1" s="193"/>
      <c r="F1" s="193" t="s">
        <v>55</v>
      </c>
      <c r="G1" s="193"/>
      <c r="H1" s="193"/>
      <c r="I1" s="193" t="s">
        <v>56</v>
      </c>
      <c r="J1" s="193"/>
      <c r="K1" s="193"/>
      <c r="P1" s="40"/>
      <c r="Q1" s="40"/>
      <c r="R1" s="193" t="s">
        <v>57</v>
      </c>
      <c r="S1" s="193"/>
      <c r="T1" s="193"/>
      <c r="U1" s="193" t="s">
        <v>55</v>
      </c>
      <c r="V1" s="193"/>
      <c r="W1" s="193"/>
      <c r="X1" s="193" t="s">
        <v>56</v>
      </c>
      <c r="Y1" s="193"/>
      <c r="Z1" s="193"/>
      <c r="AF1" s="97"/>
      <c r="AG1" s="15"/>
      <c r="AH1" s="190" t="s">
        <v>57</v>
      </c>
      <c r="AI1" s="191"/>
      <c r="AJ1" s="191"/>
      <c r="AK1" s="191"/>
      <c r="AL1" s="191"/>
      <c r="AM1" s="192"/>
    </row>
    <row r="2" spans="1:39" ht="56.5" x14ac:dyDescent="0.35">
      <c r="A2" s="9" t="s">
        <v>52</v>
      </c>
      <c r="B2" s="10" t="s">
        <v>48</v>
      </c>
      <c r="C2" s="11">
        <v>2013</v>
      </c>
      <c r="D2" s="11">
        <v>2018</v>
      </c>
      <c r="E2" s="11" t="s">
        <v>51</v>
      </c>
      <c r="F2" s="10">
        <v>2013</v>
      </c>
      <c r="G2" s="10">
        <v>2018</v>
      </c>
      <c r="H2" s="10" t="s">
        <v>51</v>
      </c>
      <c r="I2" s="12">
        <v>2013</v>
      </c>
      <c r="J2" s="12">
        <v>2018</v>
      </c>
      <c r="K2" s="12" t="s">
        <v>51</v>
      </c>
      <c r="L2" t="s">
        <v>325</v>
      </c>
      <c r="M2" s="91" t="s">
        <v>331</v>
      </c>
      <c r="P2" s="9" t="s">
        <v>52</v>
      </c>
      <c r="Q2" s="10" t="s">
        <v>48</v>
      </c>
      <c r="R2" s="11" t="s">
        <v>91</v>
      </c>
      <c r="S2" s="11" t="s">
        <v>92</v>
      </c>
      <c r="T2" s="11" t="s">
        <v>93</v>
      </c>
      <c r="U2" s="10" t="s">
        <v>91</v>
      </c>
      <c r="V2" s="10" t="s">
        <v>92</v>
      </c>
      <c r="W2" s="10" t="s">
        <v>93</v>
      </c>
      <c r="X2" s="12" t="s">
        <v>91</v>
      </c>
      <c r="Y2" s="12" t="s">
        <v>92</v>
      </c>
      <c r="Z2" s="12" t="s">
        <v>93</v>
      </c>
      <c r="AA2" s="80" t="s">
        <v>317</v>
      </c>
      <c r="AB2" s="80" t="s">
        <v>318</v>
      </c>
      <c r="AF2" s="109" t="s">
        <v>52</v>
      </c>
      <c r="AG2" s="10" t="s">
        <v>48</v>
      </c>
      <c r="AH2" s="11">
        <v>2013</v>
      </c>
      <c r="AI2" s="11">
        <v>2018</v>
      </c>
      <c r="AJ2" s="11" t="s">
        <v>51</v>
      </c>
      <c r="AK2" s="12" t="s">
        <v>91</v>
      </c>
      <c r="AL2" s="12" t="s">
        <v>92</v>
      </c>
      <c r="AM2" s="12" t="s">
        <v>93</v>
      </c>
    </row>
    <row r="3" spans="1:39" x14ac:dyDescent="0.35">
      <c r="A3" s="2">
        <v>1</v>
      </c>
      <c r="B3" s="3" t="s">
        <v>0</v>
      </c>
      <c r="C3" s="7">
        <v>0</v>
      </c>
      <c r="D3" s="7">
        <v>57705</v>
      </c>
      <c r="E3" s="7">
        <v>104776</v>
      </c>
      <c r="F3" s="17">
        <v>0</v>
      </c>
      <c r="G3" s="17">
        <v>47676</v>
      </c>
      <c r="H3" s="17">
        <v>5043.8935155116633</v>
      </c>
      <c r="I3" s="13">
        <v>0</v>
      </c>
      <c r="J3" s="13">
        <v>11238</v>
      </c>
      <c r="K3" s="13">
        <v>11238</v>
      </c>
      <c r="L3" t="str">
        <f>IF(E3&lt;D3,"Decreased","Increased")</f>
        <v>Increased</v>
      </c>
      <c r="M3" s="1">
        <f>E3-D3</f>
        <v>47071</v>
      </c>
      <c r="P3" s="2">
        <v>1</v>
      </c>
      <c r="Q3" s="3" t="s">
        <v>0</v>
      </c>
      <c r="R3" s="24">
        <v>0</v>
      </c>
      <c r="S3" s="24">
        <v>13.763205181805606</v>
      </c>
      <c r="T3" s="24">
        <v>23.333736051252441</v>
      </c>
      <c r="U3" s="26">
        <v>0</v>
      </c>
      <c r="V3" s="26">
        <v>11.371190888965671</v>
      </c>
      <c r="W3" s="95"/>
      <c r="X3" s="29">
        <v>0</v>
      </c>
      <c r="Y3" s="29">
        <v>2.6803725818062802</v>
      </c>
      <c r="Z3" s="29">
        <v>2.5027155621895751</v>
      </c>
      <c r="AA3" t="b">
        <f>T3&gt;30</f>
        <v>0</v>
      </c>
      <c r="AB3" s="76">
        <f>T3-R3</f>
        <v>23.333736051252441</v>
      </c>
      <c r="AF3" s="21">
        <v>1</v>
      </c>
      <c r="AG3" s="3" t="s">
        <v>0</v>
      </c>
      <c r="AH3" s="7">
        <v>0</v>
      </c>
      <c r="AI3" s="7">
        <v>57705</v>
      </c>
      <c r="AJ3" s="7">
        <v>104776</v>
      </c>
      <c r="AK3" s="29">
        <v>0</v>
      </c>
      <c r="AL3" s="29">
        <v>13.763205181805606</v>
      </c>
      <c r="AM3" s="29">
        <v>23.333736051252441</v>
      </c>
    </row>
    <row r="4" spans="1:39" x14ac:dyDescent="0.35">
      <c r="A4" s="2">
        <v>2</v>
      </c>
      <c r="B4" s="3" t="s">
        <v>1</v>
      </c>
      <c r="C4" s="7">
        <v>0</v>
      </c>
      <c r="D4" s="7">
        <v>46082</v>
      </c>
      <c r="E4" s="7">
        <v>66717.353814379763</v>
      </c>
      <c r="F4" s="17">
        <v>0</v>
      </c>
      <c r="G4" s="17">
        <v>9317</v>
      </c>
      <c r="H4" s="17">
        <v>9255.2180567592986</v>
      </c>
      <c r="I4" s="13">
        <v>0</v>
      </c>
      <c r="J4" s="13">
        <v>38861</v>
      </c>
      <c r="K4" s="13">
        <v>55093.832082465102</v>
      </c>
      <c r="L4" t="str">
        <f t="shared" ref="L4:L50" si="0">IF(E4&lt;D4,"Decreased","Increased")</f>
        <v>Increased</v>
      </c>
      <c r="M4" s="1">
        <f t="shared" ref="M4:M50" si="1">E4-D4</f>
        <v>20635.353814379763</v>
      </c>
      <c r="P4" s="2">
        <v>2</v>
      </c>
      <c r="Q4" s="3" t="s">
        <v>1</v>
      </c>
      <c r="R4" s="24">
        <v>0</v>
      </c>
      <c r="S4" s="24">
        <v>14.735143611692351</v>
      </c>
      <c r="T4" s="24">
        <v>18.746629066564807</v>
      </c>
      <c r="U4" s="26">
        <v>0</v>
      </c>
      <c r="V4" s="26">
        <v>2.97919649820185</v>
      </c>
      <c r="W4" s="26">
        <v>2.6005848541739307</v>
      </c>
      <c r="X4" s="29">
        <v>0</v>
      </c>
      <c r="Y4" s="29">
        <v>12.426162403844808</v>
      </c>
      <c r="Z4" s="29">
        <v>15.480584508478719</v>
      </c>
      <c r="AA4" t="b">
        <f t="shared" ref="AA4:AA49" si="2">T4&gt;30</f>
        <v>0</v>
      </c>
      <c r="AB4" s="76">
        <f t="shared" ref="AB4:AB49" si="3">T4-R4</f>
        <v>18.746629066564807</v>
      </c>
      <c r="AF4" s="21">
        <v>2</v>
      </c>
      <c r="AG4" s="3" t="s">
        <v>1</v>
      </c>
      <c r="AH4" s="7">
        <v>0</v>
      </c>
      <c r="AI4" s="7">
        <v>46082</v>
      </c>
      <c r="AJ4" s="7">
        <v>66717.353814379763</v>
      </c>
      <c r="AK4" s="29">
        <v>0</v>
      </c>
      <c r="AL4" s="29">
        <v>14.735143611692351</v>
      </c>
      <c r="AM4" s="29">
        <v>18.746629066564807</v>
      </c>
    </row>
    <row r="5" spans="1:39" x14ac:dyDescent="0.35">
      <c r="A5" s="2">
        <v>3</v>
      </c>
      <c r="B5" s="3" t="s">
        <v>2</v>
      </c>
      <c r="C5" s="7">
        <v>4880</v>
      </c>
      <c r="D5" s="7">
        <v>3410</v>
      </c>
      <c r="E5" s="7">
        <v>5893</v>
      </c>
      <c r="F5" s="17">
        <v>0</v>
      </c>
      <c r="G5" s="17">
        <v>3410</v>
      </c>
      <c r="H5" s="17">
        <v>5893</v>
      </c>
      <c r="I5" s="13">
        <v>0</v>
      </c>
      <c r="J5" s="13">
        <v>1322</v>
      </c>
      <c r="K5" s="13">
        <v>1322</v>
      </c>
      <c r="L5" t="str">
        <f t="shared" si="0"/>
        <v>Increased</v>
      </c>
      <c r="M5" s="1">
        <f t="shared" si="1"/>
        <v>2483</v>
      </c>
      <c r="P5" s="2">
        <v>3</v>
      </c>
      <c r="Q5" s="3" t="s">
        <v>2</v>
      </c>
      <c r="R5" s="24">
        <v>4.7338515639728893</v>
      </c>
      <c r="S5" s="24">
        <v>2.8557829206343182</v>
      </c>
      <c r="T5" s="24">
        <v>4.4132854195174911</v>
      </c>
      <c r="U5" s="26">
        <v>0</v>
      </c>
      <c r="V5" s="26">
        <v>2.8557829206343182</v>
      </c>
      <c r="W5" s="26">
        <v>4.4132854195174911</v>
      </c>
      <c r="X5" s="29">
        <v>0</v>
      </c>
      <c r="Y5" s="29">
        <v>1.1071393023690816</v>
      </c>
      <c r="Z5" s="29">
        <v>0.99004977508944902</v>
      </c>
      <c r="AA5" t="b">
        <f t="shared" si="2"/>
        <v>0</v>
      </c>
      <c r="AB5" s="76">
        <f t="shared" si="3"/>
        <v>-0.32056614445539822</v>
      </c>
      <c r="AF5" s="21">
        <v>3</v>
      </c>
      <c r="AG5" s="3" t="s">
        <v>2</v>
      </c>
      <c r="AH5" s="7">
        <v>4880</v>
      </c>
      <c r="AI5" s="7">
        <v>3410</v>
      </c>
      <c r="AJ5" s="7">
        <v>5893</v>
      </c>
      <c r="AK5" s="29">
        <v>4.7338515639728893</v>
      </c>
      <c r="AL5" s="29">
        <v>2.8557829206343182</v>
      </c>
      <c r="AM5" s="29">
        <v>4.4132854195174911</v>
      </c>
    </row>
    <row r="6" spans="1:39" x14ac:dyDescent="0.35">
      <c r="A6" s="2">
        <v>4</v>
      </c>
      <c r="B6" s="3" t="s">
        <v>3</v>
      </c>
      <c r="C6" s="7">
        <v>5816</v>
      </c>
      <c r="D6" s="7">
        <v>7645</v>
      </c>
      <c r="E6" s="7">
        <v>8028</v>
      </c>
      <c r="F6" s="17">
        <v>0</v>
      </c>
      <c r="G6" s="17">
        <v>7645</v>
      </c>
      <c r="H6" s="17">
        <v>8028</v>
      </c>
      <c r="I6" s="13">
        <v>0</v>
      </c>
      <c r="J6" s="13">
        <v>0</v>
      </c>
      <c r="K6" s="13">
        <v>0</v>
      </c>
      <c r="L6" t="str">
        <f t="shared" si="0"/>
        <v>Increased</v>
      </c>
      <c r="M6" s="1">
        <f t="shared" si="1"/>
        <v>383</v>
      </c>
      <c r="P6" s="2">
        <v>4</v>
      </c>
      <c r="Q6" s="3" t="s">
        <v>3</v>
      </c>
      <c r="R6" s="24">
        <v>26.230359927803359</v>
      </c>
      <c r="S6" s="24">
        <v>31.186152777066741</v>
      </c>
      <c r="T6" s="24">
        <v>30.521279734296041</v>
      </c>
      <c r="U6" s="26">
        <v>0</v>
      </c>
      <c r="V6" s="26">
        <v>31.186152777066741</v>
      </c>
      <c r="W6" s="26">
        <v>30.521279734296041</v>
      </c>
      <c r="X6" s="29">
        <v>0</v>
      </c>
      <c r="Y6" s="29">
        <v>0</v>
      </c>
      <c r="Z6" s="29">
        <v>0</v>
      </c>
      <c r="AA6" t="b">
        <f t="shared" si="2"/>
        <v>1</v>
      </c>
      <c r="AB6" s="76">
        <f t="shared" si="3"/>
        <v>4.2909198064926812</v>
      </c>
      <c r="AF6" s="21">
        <v>4</v>
      </c>
      <c r="AG6" s="3" t="s">
        <v>3</v>
      </c>
      <c r="AH6" s="7">
        <v>5816</v>
      </c>
      <c r="AI6" s="7">
        <v>7645</v>
      </c>
      <c r="AJ6" s="7">
        <v>8028</v>
      </c>
      <c r="AK6" s="29">
        <v>26.230359927803359</v>
      </c>
      <c r="AL6" s="29">
        <v>31.186152777066741</v>
      </c>
      <c r="AM6" s="29">
        <v>30.521279734296041</v>
      </c>
    </row>
    <row r="7" spans="1:39" x14ac:dyDescent="0.35">
      <c r="A7" s="2">
        <v>5</v>
      </c>
      <c r="B7" s="3" t="s">
        <v>4</v>
      </c>
      <c r="C7" s="7">
        <v>6196</v>
      </c>
      <c r="D7" s="7">
        <v>10325</v>
      </c>
      <c r="E7" s="7">
        <v>13961</v>
      </c>
      <c r="F7" s="17">
        <v>3489</v>
      </c>
      <c r="G7" s="17">
        <v>8208</v>
      </c>
      <c r="H7" s="17">
        <v>13894</v>
      </c>
      <c r="I7" s="13">
        <v>2707</v>
      </c>
      <c r="J7" s="13">
        <v>2117</v>
      </c>
      <c r="K7" s="13">
        <v>68.831324843185712</v>
      </c>
      <c r="L7" t="str">
        <f t="shared" si="0"/>
        <v>Increased</v>
      </c>
      <c r="M7" s="1">
        <f t="shared" si="1"/>
        <v>3636</v>
      </c>
      <c r="P7" s="2">
        <v>5</v>
      </c>
      <c r="Q7" s="3" t="s">
        <v>4</v>
      </c>
      <c r="R7" s="24">
        <v>3.5131871385938434</v>
      </c>
      <c r="S7" s="24">
        <v>5.0630805900712721</v>
      </c>
      <c r="T7" s="24">
        <v>6.1573372782161142</v>
      </c>
      <c r="U7" s="26">
        <v>1.978294048830523</v>
      </c>
      <c r="V7" s="26">
        <v>4.0249651799811135</v>
      </c>
      <c r="W7" s="26">
        <v>6.1277877045723574</v>
      </c>
      <c r="X7" s="29">
        <v>1.5348930897633206</v>
      </c>
      <c r="Y7" s="29">
        <v>1.0381154100901582</v>
      </c>
      <c r="Z7" s="29">
        <v>3.0357258245537588E-2</v>
      </c>
      <c r="AA7" t="b">
        <f t="shared" si="2"/>
        <v>0</v>
      </c>
      <c r="AB7" s="76">
        <f t="shared" si="3"/>
        <v>2.6441501396222709</v>
      </c>
      <c r="AF7" s="21">
        <v>5</v>
      </c>
      <c r="AG7" s="3" t="s">
        <v>4</v>
      </c>
      <c r="AH7" s="7">
        <v>6196</v>
      </c>
      <c r="AI7" s="7">
        <v>10325</v>
      </c>
      <c r="AJ7" s="7">
        <v>13961</v>
      </c>
      <c r="AK7" s="29">
        <v>3.5131871385938434</v>
      </c>
      <c r="AL7" s="29">
        <v>5.0630805900712721</v>
      </c>
      <c r="AM7" s="29">
        <v>6.1573372782161142</v>
      </c>
    </row>
    <row r="8" spans="1:39" x14ac:dyDescent="0.35">
      <c r="A8" s="2">
        <v>6</v>
      </c>
      <c r="B8" s="3" t="s">
        <v>5</v>
      </c>
      <c r="C8" s="7">
        <v>6573</v>
      </c>
      <c r="D8" s="7">
        <v>9156</v>
      </c>
      <c r="E8" s="7">
        <v>9372</v>
      </c>
      <c r="F8" s="17">
        <v>2568</v>
      </c>
      <c r="G8" s="17">
        <v>5970</v>
      </c>
      <c r="H8" s="17">
        <v>9372</v>
      </c>
      <c r="I8" s="13">
        <v>4005</v>
      </c>
      <c r="J8" s="13">
        <v>8342</v>
      </c>
      <c r="K8" s="13">
        <v>8342</v>
      </c>
      <c r="L8" t="str">
        <f t="shared" si="0"/>
        <v>Increased</v>
      </c>
      <c r="M8" s="1">
        <f t="shared" si="1"/>
        <v>216</v>
      </c>
      <c r="P8" s="2">
        <v>6</v>
      </c>
      <c r="Q8" s="3" t="s">
        <v>5</v>
      </c>
      <c r="R8" s="24">
        <v>6.4761316419328772</v>
      </c>
      <c r="S8" s="24">
        <v>7.9662608493647209</v>
      </c>
      <c r="T8" s="24">
        <v>7.2709914092212449</v>
      </c>
      <c r="U8" s="26">
        <v>2.5301545803261263</v>
      </c>
      <c r="V8" s="26">
        <v>5.1942526507980977</v>
      </c>
      <c r="W8" s="26">
        <v>7.2709914092212449</v>
      </c>
      <c r="X8" s="29">
        <v>3.9459770616067509</v>
      </c>
      <c r="Y8" s="29">
        <v>7.2580327659895696</v>
      </c>
      <c r="Z8" s="29">
        <v>6.4718961092321408</v>
      </c>
      <c r="AA8" t="b">
        <f t="shared" si="2"/>
        <v>0</v>
      </c>
      <c r="AB8" s="76">
        <f t="shared" si="3"/>
        <v>0.79485976728836771</v>
      </c>
      <c r="AF8" s="21">
        <v>6</v>
      </c>
      <c r="AG8" s="3" t="s">
        <v>5</v>
      </c>
      <c r="AH8" s="7">
        <v>6573</v>
      </c>
      <c r="AI8" s="7">
        <v>9156</v>
      </c>
      <c r="AJ8" s="7">
        <v>9372</v>
      </c>
      <c r="AK8" s="29">
        <v>6.4761316419328772</v>
      </c>
      <c r="AL8" s="29">
        <v>7.9662608493647209</v>
      </c>
      <c r="AM8" s="29">
        <v>7.2709914092212449</v>
      </c>
    </row>
    <row r="9" spans="1:39" x14ac:dyDescent="0.35">
      <c r="A9" s="2">
        <v>7</v>
      </c>
      <c r="B9" s="3" t="s">
        <v>6</v>
      </c>
      <c r="C9" s="7">
        <v>18954</v>
      </c>
      <c r="D9" s="7">
        <v>9925</v>
      </c>
      <c r="E9" s="7">
        <v>16473</v>
      </c>
      <c r="F9" s="17">
        <v>0</v>
      </c>
      <c r="G9" s="17">
        <v>9925</v>
      </c>
      <c r="H9" s="17">
        <v>11485</v>
      </c>
      <c r="I9" s="13">
        <v>0</v>
      </c>
      <c r="J9" s="13">
        <v>0</v>
      </c>
      <c r="K9" s="13">
        <v>4925</v>
      </c>
      <c r="L9" t="str">
        <f t="shared" si="0"/>
        <v>Increased</v>
      </c>
      <c r="M9" s="1">
        <f t="shared" si="1"/>
        <v>6548</v>
      </c>
      <c r="P9" s="2">
        <v>7</v>
      </c>
      <c r="Q9" s="3" t="s">
        <v>6</v>
      </c>
      <c r="R9" s="24">
        <v>8.7616749526761364</v>
      </c>
      <c r="S9" s="24">
        <v>3.957849954737946</v>
      </c>
      <c r="T9" s="24">
        <v>5.9012264094014268</v>
      </c>
      <c r="U9" s="26">
        <v>0</v>
      </c>
      <c r="V9" s="26">
        <v>3.957849954737946</v>
      </c>
      <c r="W9" s="26">
        <v>4.114343793600157</v>
      </c>
      <c r="X9" s="29">
        <v>0</v>
      </c>
      <c r="Y9" s="29">
        <v>0</v>
      </c>
      <c r="Z9" s="29">
        <v>1.7643137295150868</v>
      </c>
      <c r="AA9" t="b">
        <f t="shared" si="2"/>
        <v>0</v>
      </c>
      <c r="AB9" s="76">
        <f t="shared" si="3"/>
        <v>-2.8604485432747095</v>
      </c>
      <c r="AF9" s="21">
        <v>7</v>
      </c>
      <c r="AG9" s="3" t="s">
        <v>6</v>
      </c>
      <c r="AH9" s="7">
        <v>18954</v>
      </c>
      <c r="AI9" s="7">
        <v>9925</v>
      </c>
      <c r="AJ9" s="7">
        <v>16473</v>
      </c>
      <c r="AK9" s="29">
        <v>8.7616749526761364</v>
      </c>
      <c r="AL9" s="29">
        <v>3.957849954737946</v>
      </c>
      <c r="AM9" s="29">
        <v>5.9012264094014268</v>
      </c>
    </row>
    <row r="10" spans="1:39" x14ac:dyDescent="0.35">
      <c r="A10" s="2">
        <v>8</v>
      </c>
      <c r="B10" s="3" t="s">
        <v>7</v>
      </c>
      <c r="C10" s="7">
        <v>403</v>
      </c>
      <c r="D10" s="7">
        <v>768</v>
      </c>
      <c r="E10" s="7">
        <v>941</v>
      </c>
      <c r="F10" s="17">
        <v>0</v>
      </c>
      <c r="G10" s="17">
        <v>243</v>
      </c>
      <c r="H10" s="17">
        <v>846</v>
      </c>
      <c r="I10" s="13">
        <v>0</v>
      </c>
      <c r="J10" s="13">
        <v>525</v>
      </c>
      <c r="K10" s="13">
        <v>118.12553011026294</v>
      </c>
      <c r="L10" t="str">
        <f t="shared" si="0"/>
        <v>Increased</v>
      </c>
      <c r="M10" s="1">
        <f t="shared" si="1"/>
        <v>173</v>
      </c>
      <c r="P10" s="2">
        <v>8</v>
      </c>
      <c r="Q10" s="3" t="s">
        <v>7</v>
      </c>
      <c r="R10" s="24">
        <v>7.4637922732155442</v>
      </c>
      <c r="S10" s="24">
        <v>13.445342843112282</v>
      </c>
      <c r="T10" s="24">
        <v>15.86446587243182</v>
      </c>
      <c r="U10" s="26">
        <v>0</v>
      </c>
      <c r="V10" s="26">
        <v>4.2541905089534957</v>
      </c>
      <c r="W10" s="26">
        <v>14.262846044715538</v>
      </c>
      <c r="X10" s="29">
        <v>0</v>
      </c>
      <c r="Y10" s="29">
        <v>9.1911523341587866</v>
      </c>
      <c r="Z10" s="29">
        <v>1.9914967493062528</v>
      </c>
      <c r="AA10" t="b">
        <f t="shared" si="2"/>
        <v>0</v>
      </c>
      <c r="AB10" s="76">
        <f t="shared" si="3"/>
        <v>8.400673599216276</v>
      </c>
      <c r="AF10" s="21">
        <v>8</v>
      </c>
      <c r="AG10" s="3" t="s">
        <v>7</v>
      </c>
      <c r="AH10" s="7">
        <v>403</v>
      </c>
      <c r="AI10" s="7">
        <v>768</v>
      </c>
      <c r="AJ10" s="7">
        <v>941</v>
      </c>
      <c r="AK10" s="29">
        <v>7.4637922732155442</v>
      </c>
      <c r="AL10" s="29">
        <v>13.445342843112282</v>
      </c>
      <c r="AM10" s="29">
        <v>15.86446587243182</v>
      </c>
    </row>
    <row r="11" spans="1:39" x14ac:dyDescent="0.35">
      <c r="A11" s="2">
        <v>9</v>
      </c>
      <c r="B11" s="3" t="s">
        <v>8</v>
      </c>
      <c r="C11" s="7">
        <v>322</v>
      </c>
      <c r="D11" s="7">
        <v>1195</v>
      </c>
      <c r="E11" s="7">
        <v>648.48014888337468</v>
      </c>
      <c r="F11" s="17">
        <v>0</v>
      </c>
      <c r="G11" s="17">
        <v>426</v>
      </c>
      <c r="H11" s="17">
        <v>319.74565756823824</v>
      </c>
      <c r="I11" s="13">
        <v>0</v>
      </c>
      <c r="J11" s="13">
        <v>325</v>
      </c>
      <c r="K11" s="13">
        <v>1.2841191066997519</v>
      </c>
      <c r="L11" t="str">
        <f t="shared" si="0"/>
        <v>Decreased</v>
      </c>
      <c r="M11" s="1">
        <f t="shared" si="1"/>
        <v>-546.51985111662532</v>
      </c>
      <c r="P11" s="2">
        <v>9</v>
      </c>
      <c r="Q11" s="3" t="s">
        <v>8</v>
      </c>
      <c r="R11" s="24">
        <v>0.67049410522197117</v>
      </c>
      <c r="S11" s="24">
        <v>2.3455379820129627</v>
      </c>
      <c r="T11" s="24">
        <v>1.162329215736025</v>
      </c>
      <c r="U11" s="26">
        <v>0</v>
      </c>
      <c r="V11" s="26">
        <v>0.83614994170503942</v>
      </c>
      <c r="W11" s="26">
        <v>0.57310886082825796</v>
      </c>
      <c r="X11" s="29">
        <v>0</v>
      </c>
      <c r="Y11" s="29">
        <v>0.63790781937591035</v>
      </c>
      <c r="Z11" s="29">
        <v>2.3016420113584654E-3</v>
      </c>
      <c r="AA11" t="b">
        <f t="shared" si="2"/>
        <v>0</v>
      </c>
      <c r="AB11" s="76">
        <f t="shared" si="3"/>
        <v>0.49183511051405382</v>
      </c>
      <c r="AF11" s="21">
        <v>9</v>
      </c>
      <c r="AG11" s="3" t="s">
        <v>8</v>
      </c>
      <c r="AH11" s="7">
        <v>322</v>
      </c>
      <c r="AI11" s="7">
        <v>1195</v>
      </c>
      <c r="AJ11" s="7">
        <v>648.48014888337468</v>
      </c>
      <c r="AK11" s="29">
        <v>0.67049410522197117</v>
      </c>
      <c r="AL11" s="29">
        <v>2.3455379820129627</v>
      </c>
      <c r="AM11" s="29">
        <v>1.162329215736025</v>
      </c>
    </row>
    <row r="12" spans="1:39" x14ac:dyDescent="0.35">
      <c r="A12" s="2">
        <v>10</v>
      </c>
      <c r="B12" s="3" t="s">
        <v>9</v>
      </c>
      <c r="C12" s="7">
        <v>3606</v>
      </c>
      <c r="D12" s="7">
        <v>4799</v>
      </c>
      <c r="E12" s="7">
        <v>3387.151734852408</v>
      </c>
      <c r="F12" s="17">
        <v>0</v>
      </c>
      <c r="G12" s="17">
        <v>1787</v>
      </c>
      <c r="H12" s="17">
        <v>1926.2765406525116</v>
      </c>
      <c r="I12" s="13">
        <v>0</v>
      </c>
      <c r="J12" s="13">
        <v>2076</v>
      </c>
      <c r="K12" s="13">
        <v>1460.8751941998964</v>
      </c>
      <c r="L12" t="str">
        <f t="shared" si="0"/>
        <v>Decreased</v>
      </c>
      <c r="M12" s="1">
        <f t="shared" si="1"/>
        <v>-1411.848265147592</v>
      </c>
      <c r="P12" s="2">
        <v>10</v>
      </c>
      <c r="Q12" s="3" t="s">
        <v>9</v>
      </c>
      <c r="R12" s="24">
        <v>2.7283526572100674</v>
      </c>
      <c r="S12" s="24">
        <v>3.0754520735109305</v>
      </c>
      <c r="T12" s="24">
        <v>1.9111277040490406</v>
      </c>
      <c r="U12" s="26">
        <v>0</v>
      </c>
      <c r="V12" s="26">
        <v>1.1452037623179898</v>
      </c>
      <c r="W12" s="26">
        <v>1.0868602149177633</v>
      </c>
      <c r="X12" s="29">
        <v>0</v>
      </c>
      <c r="Y12" s="29">
        <v>1.3304101905831824</v>
      </c>
      <c r="Z12" s="29">
        <v>0.82426748913127734</v>
      </c>
      <c r="AA12" t="b">
        <f t="shared" si="2"/>
        <v>0</v>
      </c>
      <c r="AB12" s="76">
        <f t="shared" si="3"/>
        <v>-0.81722495316102672</v>
      </c>
      <c r="AF12" s="21">
        <v>10</v>
      </c>
      <c r="AG12" s="3" t="s">
        <v>9</v>
      </c>
      <c r="AH12" s="7">
        <v>3606</v>
      </c>
      <c r="AI12" s="7">
        <v>4799</v>
      </c>
      <c r="AJ12" s="7">
        <v>3387.151734852408</v>
      </c>
      <c r="AK12" s="29">
        <v>2.7283526572100674</v>
      </c>
      <c r="AL12" s="29">
        <v>3.0754520735109305</v>
      </c>
      <c r="AM12" s="29">
        <v>1.9111277040490406</v>
      </c>
    </row>
    <row r="13" spans="1:39" x14ac:dyDescent="0.35">
      <c r="A13" s="2">
        <v>11</v>
      </c>
      <c r="B13" s="3" t="s">
        <v>10</v>
      </c>
      <c r="C13" s="7">
        <v>0</v>
      </c>
      <c r="D13" s="7">
        <v>747</v>
      </c>
      <c r="E13" s="7">
        <v>784.97097407084357</v>
      </c>
      <c r="F13" s="17">
        <v>0</v>
      </c>
      <c r="G13" s="17">
        <v>679</v>
      </c>
      <c r="H13" s="17">
        <v>683</v>
      </c>
      <c r="I13" s="13">
        <v>0</v>
      </c>
      <c r="J13" s="13">
        <v>71</v>
      </c>
      <c r="K13" s="13">
        <v>71</v>
      </c>
      <c r="L13" t="str">
        <f t="shared" si="0"/>
        <v>Increased</v>
      </c>
      <c r="M13" s="1">
        <f t="shared" si="1"/>
        <v>37.970974070843567</v>
      </c>
      <c r="P13" s="2">
        <v>11</v>
      </c>
      <c r="Q13" s="3" t="s">
        <v>10</v>
      </c>
      <c r="R13" s="24">
        <v>0</v>
      </c>
      <c r="S13" s="24">
        <v>9.622401259285061</v>
      </c>
      <c r="T13" s="24">
        <v>9.3809253528086618</v>
      </c>
      <c r="U13" s="26">
        <v>0</v>
      </c>
      <c r="V13" s="26">
        <v>8.7464664726299279</v>
      </c>
      <c r="W13" s="26">
        <v>8.1623043750788025</v>
      </c>
      <c r="X13" s="29">
        <v>0</v>
      </c>
      <c r="Y13" s="29">
        <v>0.91457896841932973</v>
      </c>
      <c r="Z13" s="29">
        <v>0.84849723371975838</v>
      </c>
      <c r="AA13" t="b">
        <f t="shared" si="2"/>
        <v>0</v>
      </c>
      <c r="AB13" s="76">
        <f t="shared" si="3"/>
        <v>9.3809253528086618</v>
      </c>
      <c r="AF13" s="21">
        <v>11</v>
      </c>
      <c r="AG13" s="3" t="s">
        <v>10</v>
      </c>
      <c r="AH13" s="7">
        <v>0</v>
      </c>
      <c r="AI13" s="7">
        <v>747</v>
      </c>
      <c r="AJ13" s="7">
        <v>784.97097407084357</v>
      </c>
      <c r="AK13" s="29">
        <v>0</v>
      </c>
      <c r="AL13" s="29">
        <v>9.622401259285061</v>
      </c>
      <c r="AM13" s="29">
        <v>9.3809253528086618</v>
      </c>
    </row>
    <row r="14" spans="1:39" x14ac:dyDescent="0.35">
      <c r="A14" s="2">
        <v>12</v>
      </c>
      <c r="B14" s="3" t="s">
        <v>11</v>
      </c>
      <c r="C14" s="7">
        <v>3289</v>
      </c>
      <c r="D14" s="7">
        <v>5081</v>
      </c>
      <c r="E14" s="7">
        <v>5573</v>
      </c>
      <c r="F14" s="17">
        <v>1934</v>
      </c>
      <c r="G14" s="17">
        <v>2707</v>
      </c>
      <c r="H14" s="17">
        <v>5573</v>
      </c>
      <c r="I14" s="13">
        <v>1918</v>
      </c>
      <c r="J14" s="13">
        <v>1305</v>
      </c>
      <c r="K14" s="13">
        <v>1305</v>
      </c>
      <c r="L14" t="str">
        <f t="shared" si="0"/>
        <v>Increased</v>
      </c>
      <c r="M14" s="1">
        <f t="shared" si="1"/>
        <v>492</v>
      </c>
      <c r="P14" s="2">
        <v>12</v>
      </c>
      <c r="Q14" s="3" t="s">
        <v>11</v>
      </c>
      <c r="R14" s="24">
        <v>6.8122508254598362</v>
      </c>
      <c r="S14" s="24">
        <v>9.3382505106539906</v>
      </c>
      <c r="T14" s="24">
        <v>9.3343454334231524</v>
      </c>
      <c r="U14" s="26">
        <v>4.0057443285008585</v>
      </c>
      <c r="V14" s="26">
        <v>4.9751316930408098</v>
      </c>
      <c r="W14" s="26">
        <v>9.3343454334231524</v>
      </c>
      <c r="X14" s="29">
        <v>3.9726047683891657</v>
      </c>
      <c r="Y14" s="29">
        <v>2.3984288361352997</v>
      </c>
      <c r="Z14" s="29">
        <v>2.185774410661621</v>
      </c>
      <c r="AA14" t="b">
        <f t="shared" si="2"/>
        <v>0</v>
      </c>
      <c r="AB14" s="76">
        <f t="shared" si="3"/>
        <v>2.5220946079633162</v>
      </c>
      <c r="AF14" s="21">
        <v>12</v>
      </c>
      <c r="AG14" s="3" t="s">
        <v>11</v>
      </c>
      <c r="AH14" s="7">
        <v>3289</v>
      </c>
      <c r="AI14" s="7">
        <v>5081</v>
      </c>
      <c r="AJ14" s="7">
        <v>5573</v>
      </c>
      <c r="AK14" s="29">
        <v>6.8122508254598362</v>
      </c>
      <c r="AL14" s="29">
        <v>9.3382505106539906</v>
      </c>
      <c r="AM14" s="29">
        <v>9.3343454334231524</v>
      </c>
    </row>
    <row r="15" spans="1:39" x14ac:dyDescent="0.35">
      <c r="A15" s="2">
        <v>13</v>
      </c>
      <c r="B15" s="3" t="s">
        <v>12</v>
      </c>
      <c r="C15" s="7">
        <v>8780</v>
      </c>
      <c r="D15" s="7">
        <v>15163</v>
      </c>
      <c r="E15" s="7">
        <v>19225.233489577877</v>
      </c>
      <c r="F15" s="17">
        <v>7172</v>
      </c>
      <c r="G15" s="17">
        <v>11667</v>
      </c>
      <c r="H15" s="17">
        <v>14934</v>
      </c>
      <c r="I15" s="13">
        <v>1608</v>
      </c>
      <c r="J15" s="13">
        <v>3595</v>
      </c>
      <c r="K15" s="13">
        <v>3595</v>
      </c>
      <c r="L15" t="str">
        <f t="shared" si="0"/>
        <v>Increased</v>
      </c>
      <c r="M15" s="1">
        <f t="shared" si="1"/>
        <v>4062.2334895778768</v>
      </c>
      <c r="P15" s="2">
        <v>13</v>
      </c>
      <c r="Q15" s="3" t="s">
        <v>12</v>
      </c>
      <c r="R15" s="24">
        <v>3.9075595143455391</v>
      </c>
      <c r="S15" s="24">
        <v>5.9476766454178023</v>
      </c>
      <c r="T15" s="24">
        <v>6.8270110526378796</v>
      </c>
      <c r="U15" s="26">
        <v>3.1919153572763332</v>
      </c>
      <c r="V15" s="26">
        <v>4.5763729751427489</v>
      </c>
      <c r="W15" s="26">
        <v>5.303164880435097</v>
      </c>
      <c r="X15" s="29">
        <v>0.7156441570692057</v>
      </c>
      <c r="Y15" s="29">
        <v>1.4101363543017211</v>
      </c>
      <c r="Z15" s="29">
        <v>1.276608928965058</v>
      </c>
      <c r="AA15" t="b">
        <f t="shared" si="2"/>
        <v>0</v>
      </c>
      <c r="AB15" s="76">
        <f t="shared" si="3"/>
        <v>2.9194515382923405</v>
      </c>
      <c r="AF15" s="21">
        <v>13</v>
      </c>
      <c r="AG15" s="3" t="s">
        <v>12</v>
      </c>
      <c r="AH15" s="7">
        <v>8780</v>
      </c>
      <c r="AI15" s="7">
        <v>15163</v>
      </c>
      <c r="AJ15" s="7">
        <v>19225.233489577877</v>
      </c>
      <c r="AK15" s="29">
        <v>3.9075595143455391</v>
      </c>
      <c r="AL15" s="29">
        <v>5.9476766454178023</v>
      </c>
      <c r="AM15" s="29">
        <v>6.8270110526378796</v>
      </c>
    </row>
    <row r="16" spans="1:39" x14ac:dyDescent="0.35">
      <c r="A16" s="2">
        <v>14</v>
      </c>
      <c r="B16" s="3" t="s">
        <v>13</v>
      </c>
      <c r="C16" s="7">
        <v>59813</v>
      </c>
      <c r="D16" s="7">
        <v>103785</v>
      </c>
      <c r="E16" s="7">
        <v>115316</v>
      </c>
      <c r="F16" s="17">
        <v>27373</v>
      </c>
      <c r="G16" s="17">
        <v>51019</v>
      </c>
      <c r="H16" s="17">
        <v>115316</v>
      </c>
      <c r="I16" s="13">
        <v>17611</v>
      </c>
      <c r="J16" s="13">
        <v>52766</v>
      </c>
      <c r="K16" s="13">
        <v>52766</v>
      </c>
      <c r="L16" t="str">
        <f t="shared" si="0"/>
        <v>Increased</v>
      </c>
      <c r="M16" s="1">
        <f t="shared" si="1"/>
        <v>11531</v>
      </c>
      <c r="P16" s="2">
        <v>14</v>
      </c>
      <c r="Q16" s="3" t="s">
        <v>13</v>
      </c>
      <c r="R16" s="24">
        <v>8.1422519604234793</v>
      </c>
      <c r="S16" s="24">
        <v>11.917344372211099</v>
      </c>
      <c r="T16" s="24">
        <v>11.646879414822383</v>
      </c>
      <c r="U16" s="26">
        <v>3.7262445106025766</v>
      </c>
      <c r="V16" s="26">
        <v>5.8583705981195555</v>
      </c>
      <c r="W16" s="26">
        <v>11.646879414822383</v>
      </c>
      <c r="X16" s="29">
        <v>2.3973584216644861</v>
      </c>
      <c r="Y16" s="29">
        <v>6.0589737740915437</v>
      </c>
      <c r="Z16" s="29">
        <v>5.3293492594481062</v>
      </c>
      <c r="AA16" t="b">
        <f t="shared" si="2"/>
        <v>0</v>
      </c>
      <c r="AB16" s="76">
        <f t="shared" si="3"/>
        <v>3.5046274543989036</v>
      </c>
      <c r="AF16" s="21">
        <v>14</v>
      </c>
      <c r="AG16" s="3" t="s">
        <v>13</v>
      </c>
      <c r="AH16" s="7">
        <v>59813</v>
      </c>
      <c r="AI16" s="7">
        <v>103785</v>
      </c>
      <c r="AJ16" s="7">
        <v>115316</v>
      </c>
      <c r="AK16" s="29">
        <v>8.1422519604234793</v>
      </c>
      <c r="AL16" s="29">
        <v>11.917344372211099</v>
      </c>
      <c r="AM16" s="29">
        <v>11.646879414822383</v>
      </c>
    </row>
    <row r="17" spans="1:39" x14ac:dyDescent="0.35">
      <c r="A17" s="2">
        <v>15</v>
      </c>
      <c r="B17" s="3" t="s">
        <v>14</v>
      </c>
      <c r="C17" s="7">
        <v>0</v>
      </c>
      <c r="D17" s="7">
        <v>355</v>
      </c>
      <c r="E17" s="7">
        <v>1375</v>
      </c>
      <c r="F17" s="17">
        <v>0</v>
      </c>
      <c r="G17" s="17">
        <v>72</v>
      </c>
      <c r="H17" s="17">
        <v>297</v>
      </c>
      <c r="I17" s="13">
        <v>0</v>
      </c>
      <c r="J17" s="13">
        <v>283</v>
      </c>
      <c r="K17" s="13">
        <v>283</v>
      </c>
      <c r="L17" t="str">
        <f t="shared" si="0"/>
        <v>Increased</v>
      </c>
      <c r="M17" s="1">
        <f t="shared" si="1"/>
        <v>1020</v>
      </c>
      <c r="P17" s="2">
        <v>15</v>
      </c>
      <c r="Q17" s="3" t="s">
        <v>14</v>
      </c>
      <c r="R17" s="24">
        <v>0</v>
      </c>
      <c r="S17" s="24">
        <v>2.3633713392293343</v>
      </c>
      <c r="T17" s="24">
        <v>8.2094061285754201</v>
      </c>
      <c r="U17" s="26">
        <v>0</v>
      </c>
      <c r="V17" s="26">
        <v>0.47933165190003396</v>
      </c>
      <c r="W17" s="26">
        <v>1.7732317237722908</v>
      </c>
      <c r="X17" s="29">
        <v>0</v>
      </c>
      <c r="Y17" s="29">
        <v>1.8840396873293002</v>
      </c>
      <c r="Z17" s="29">
        <v>1.689645043190432</v>
      </c>
      <c r="AA17" t="b">
        <f t="shared" si="2"/>
        <v>0</v>
      </c>
      <c r="AB17" s="76">
        <f t="shared" si="3"/>
        <v>8.2094061285754201</v>
      </c>
      <c r="AF17" s="21">
        <v>15</v>
      </c>
      <c r="AG17" s="3" t="s">
        <v>14</v>
      </c>
      <c r="AH17" s="7">
        <v>0</v>
      </c>
      <c r="AI17" s="7">
        <v>355</v>
      </c>
      <c r="AJ17" s="7">
        <v>1375</v>
      </c>
      <c r="AK17" s="29">
        <v>0</v>
      </c>
      <c r="AL17" s="29">
        <v>2.3633713392293343</v>
      </c>
      <c r="AM17" s="29">
        <v>8.2094061285754201</v>
      </c>
    </row>
    <row r="18" spans="1:39" x14ac:dyDescent="0.35">
      <c r="A18" s="2">
        <v>16</v>
      </c>
      <c r="B18" s="3" t="s">
        <v>15</v>
      </c>
      <c r="C18" s="7">
        <v>4262</v>
      </c>
      <c r="D18" s="7">
        <v>4971</v>
      </c>
      <c r="E18" s="7">
        <v>5007</v>
      </c>
      <c r="F18" s="17">
        <v>1395</v>
      </c>
      <c r="G18" s="17">
        <v>2058</v>
      </c>
      <c r="H18" s="17">
        <v>1663.0351383316408</v>
      </c>
      <c r="I18" s="13">
        <v>2867</v>
      </c>
      <c r="J18" s="13">
        <v>2913</v>
      </c>
      <c r="K18" s="13">
        <v>3372</v>
      </c>
      <c r="L18" t="str">
        <f t="shared" si="0"/>
        <v>Increased</v>
      </c>
      <c r="M18" s="1">
        <f t="shared" si="1"/>
        <v>36</v>
      </c>
      <c r="P18" s="2">
        <v>16</v>
      </c>
      <c r="Q18" s="3" t="s">
        <v>15</v>
      </c>
      <c r="R18" s="24">
        <v>12.929385593291038</v>
      </c>
      <c r="S18" s="24">
        <v>14.428039680446936</v>
      </c>
      <c r="T18" s="24">
        <v>13.591089001274819</v>
      </c>
      <c r="U18" s="26">
        <v>4.2319316993526508</v>
      </c>
      <c r="V18" s="26">
        <v>5.9732258423576328</v>
      </c>
      <c r="W18" s="26">
        <v>4.5141718748377695</v>
      </c>
      <c r="X18" s="29">
        <v>8.6974538939383876</v>
      </c>
      <c r="Y18" s="29">
        <v>8.4548138380893025</v>
      </c>
      <c r="Z18" s="29">
        <v>9.1530161997800459</v>
      </c>
      <c r="AA18" t="b">
        <f t="shared" si="2"/>
        <v>0</v>
      </c>
      <c r="AB18" s="76">
        <f t="shared" si="3"/>
        <v>0.66170340798378113</v>
      </c>
      <c r="AF18" s="21">
        <v>16</v>
      </c>
      <c r="AG18" s="3" t="s">
        <v>15</v>
      </c>
      <c r="AH18" s="7">
        <v>4262</v>
      </c>
      <c r="AI18" s="7">
        <v>4971</v>
      </c>
      <c r="AJ18" s="7">
        <v>5007</v>
      </c>
      <c r="AK18" s="29">
        <v>12.929385593291038</v>
      </c>
      <c r="AL18" s="29">
        <v>14.428039680446936</v>
      </c>
      <c r="AM18" s="29">
        <v>13.591089001274819</v>
      </c>
    </row>
    <row r="19" spans="1:39" x14ac:dyDescent="0.35">
      <c r="A19" s="2">
        <v>17</v>
      </c>
      <c r="B19" s="3" t="s">
        <v>16</v>
      </c>
      <c r="C19" s="7">
        <v>3735</v>
      </c>
      <c r="D19" s="7">
        <v>4706</v>
      </c>
      <c r="E19" s="7">
        <v>5242</v>
      </c>
      <c r="F19" s="17">
        <v>2926</v>
      </c>
      <c r="G19" s="17">
        <v>3677</v>
      </c>
      <c r="H19" s="17">
        <v>4506.1683017825071</v>
      </c>
      <c r="I19" s="13">
        <v>809</v>
      </c>
      <c r="J19" s="13">
        <v>1029</v>
      </c>
      <c r="K19" s="13">
        <v>974.61655382064396</v>
      </c>
      <c r="L19" t="str">
        <f t="shared" si="0"/>
        <v>Increased</v>
      </c>
      <c r="M19" s="1">
        <f t="shared" si="1"/>
        <v>536</v>
      </c>
      <c r="P19" s="2">
        <v>17</v>
      </c>
      <c r="Q19" s="3" t="s">
        <v>16</v>
      </c>
      <c r="R19" s="24">
        <v>33.398341618089297</v>
      </c>
      <c r="S19" s="24">
        <v>40.554019962470726</v>
      </c>
      <c r="T19" s="24">
        <v>43.622607029131544</v>
      </c>
      <c r="U19" s="26">
        <v>26.16426976560356</v>
      </c>
      <c r="V19" s="26">
        <v>31.686598257969585</v>
      </c>
      <c r="W19" s="26">
        <v>37.499200502820941</v>
      </c>
      <c r="X19" s="29">
        <v>7.2340718524857417</v>
      </c>
      <c r="Y19" s="29">
        <v>8.8674217045011421</v>
      </c>
      <c r="Z19" s="29">
        <v>8.1105141036635615</v>
      </c>
      <c r="AA19" t="b">
        <f t="shared" si="2"/>
        <v>1</v>
      </c>
      <c r="AB19" s="76">
        <f t="shared" si="3"/>
        <v>10.224265411042246</v>
      </c>
      <c r="AF19" s="21">
        <v>17</v>
      </c>
      <c r="AG19" s="3" t="s">
        <v>16</v>
      </c>
      <c r="AH19" s="7">
        <v>3735</v>
      </c>
      <c r="AI19" s="7">
        <v>4706</v>
      </c>
      <c r="AJ19" s="7">
        <v>5242</v>
      </c>
      <c r="AK19" s="29">
        <v>33.398341618089297</v>
      </c>
      <c r="AL19" s="29">
        <v>40.554019962470726</v>
      </c>
      <c r="AM19" s="29">
        <v>43.622607029131544</v>
      </c>
    </row>
    <row r="20" spans="1:39" x14ac:dyDescent="0.35">
      <c r="A20" s="2">
        <v>18</v>
      </c>
      <c r="B20" s="3" t="s">
        <v>17</v>
      </c>
      <c r="C20" s="7">
        <v>0</v>
      </c>
      <c r="D20" s="7">
        <v>61772</v>
      </c>
      <c r="E20" s="7">
        <v>131262</v>
      </c>
      <c r="F20" s="17">
        <v>0</v>
      </c>
      <c r="G20" s="17">
        <v>61772</v>
      </c>
      <c r="H20" s="17">
        <v>70246</v>
      </c>
      <c r="I20" s="13">
        <v>0</v>
      </c>
      <c r="J20" s="13">
        <v>0</v>
      </c>
      <c r="K20" s="13">
        <v>0</v>
      </c>
      <c r="L20" t="str">
        <f t="shared" si="0"/>
        <v>Increased</v>
      </c>
      <c r="M20" s="1">
        <f t="shared" si="1"/>
        <v>69490</v>
      </c>
      <c r="P20" s="2">
        <v>18</v>
      </c>
      <c r="Q20" s="3" t="s">
        <v>17</v>
      </c>
      <c r="R20" s="24">
        <v>0</v>
      </c>
      <c r="S20" s="24">
        <v>5.5585631594753488</v>
      </c>
      <c r="T20" s="24">
        <v>10.638845868316279</v>
      </c>
      <c r="U20" s="26">
        <v>0</v>
      </c>
      <c r="V20" s="26">
        <v>5.5585631594753488</v>
      </c>
      <c r="W20" s="26">
        <v>5.6934708206925491</v>
      </c>
      <c r="X20" s="29">
        <v>0</v>
      </c>
      <c r="Y20" s="29">
        <v>0</v>
      </c>
      <c r="Z20" s="29">
        <v>0</v>
      </c>
      <c r="AA20" t="b">
        <f t="shared" si="2"/>
        <v>0</v>
      </c>
      <c r="AB20" s="76">
        <f t="shared" si="3"/>
        <v>10.638845868316279</v>
      </c>
      <c r="AF20" s="21">
        <v>18</v>
      </c>
      <c r="AG20" s="3" t="s">
        <v>17</v>
      </c>
      <c r="AH20" s="7">
        <v>0</v>
      </c>
      <c r="AI20" s="7">
        <v>61772</v>
      </c>
      <c r="AJ20" s="7">
        <v>131262</v>
      </c>
      <c r="AK20" s="29">
        <v>0</v>
      </c>
      <c r="AL20" s="29">
        <v>5.5585631594753488</v>
      </c>
      <c r="AM20" s="29">
        <v>10.638845868316279</v>
      </c>
    </row>
    <row r="21" spans="1:39" x14ac:dyDescent="0.35">
      <c r="A21" s="2">
        <v>19</v>
      </c>
      <c r="B21" s="3" t="s">
        <v>18</v>
      </c>
      <c r="C21" s="7">
        <v>0</v>
      </c>
      <c r="D21" s="7">
        <v>6085</v>
      </c>
      <c r="E21" s="7">
        <v>4751.5998777719578</v>
      </c>
      <c r="F21" s="17">
        <v>0</v>
      </c>
      <c r="G21" s="17">
        <v>1077</v>
      </c>
      <c r="H21" s="17">
        <v>1102.0778767242884</v>
      </c>
      <c r="I21" s="13">
        <v>0</v>
      </c>
      <c r="J21" s="13">
        <v>4275</v>
      </c>
      <c r="K21" s="13">
        <v>3556.2008905185962</v>
      </c>
      <c r="L21" t="str">
        <f t="shared" si="0"/>
        <v>Decreased</v>
      </c>
      <c r="M21" s="1">
        <f t="shared" si="1"/>
        <v>-1333.4001222280422</v>
      </c>
      <c r="P21" s="2">
        <v>19</v>
      </c>
      <c r="Q21" s="3" t="s">
        <v>18</v>
      </c>
      <c r="R21" s="24">
        <v>0</v>
      </c>
      <c r="S21" s="24">
        <v>27.75989085823683</v>
      </c>
      <c r="T21" s="24">
        <v>19.889555441350097</v>
      </c>
      <c r="U21" s="26">
        <v>0</v>
      </c>
      <c r="V21" s="26">
        <v>4.9132953910141435</v>
      </c>
      <c r="W21" s="26">
        <v>4.6131491694690885</v>
      </c>
      <c r="X21" s="29">
        <v>0</v>
      </c>
      <c r="Y21" s="29">
        <v>19.502634908621602</v>
      </c>
      <c r="Z21" s="29">
        <v>14.885776705111445</v>
      </c>
      <c r="AA21" t="b">
        <f t="shared" si="2"/>
        <v>0</v>
      </c>
      <c r="AB21" s="76">
        <f t="shared" si="3"/>
        <v>19.889555441350097</v>
      </c>
      <c r="AF21" s="21">
        <v>19</v>
      </c>
      <c r="AG21" s="3" t="s">
        <v>18</v>
      </c>
      <c r="AH21" s="7">
        <v>0</v>
      </c>
      <c r="AI21" s="7">
        <v>6085</v>
      </c>
      <c r="AJ21" s="7">
        <v>4751.5998777719578</v>
      </c>
      <c r="AK21" s="29">
        <v>0</v>
      </c>
      <c r="AL21" s="29">
        <v>27.75989085823683</v>
      </c>
      <c r="AM21" s="29">
        <v>19.889555441350097</v>
      </c>
    </row>
    <row r="22" spans="1:39" x14ac:dyDescent="0.35">
      <c r="A22" s="2">
        <v>20</v>
      </c>
      <c r="B22" s="3" t="s">
        <v>19</v>
      </c>
      <c r="C22" s="7">
        <v>2386</v>
      </c>
      <c r="D22" s="7">
        <v>1498</v>
      </c>
      <c r="E22" s="7">
        <v>1429.4036697247707</v>
      </c>
      <c r="F22" s="17">
        <v>0</v>
      </c>
      <c r="G22" s="17">
        <v>1178</v>
      </c>
      <c r="H22" s="17">
        <v>924.42915392456678</v>
      </c>
      <c r="I22" s="13">
        <v>0</v>
      </c>
      <c r="J22" s="13">
        <v>879</v>
      </c>
      <c r="K22" s="13">
        <v>457.12410805300715</v>
      </c>
      <c r="L22" t="str">
        <f t="shared" si="0"/>
        <v>Decreased</v>
      </c>
      <c r="M22" s="1">
        <f t="shared" si="1"/>
        <v>-68.59633027522932</v>
      </c>
      <c r="P22" s="2">
        <v>20</v>
      </c>
      <c r="Q22" s="3" t="s">
        <v>19</v>
      </c>
      <c r="R22" s="24">
        <v>11.228924882210414</v>
      </c>
      <c r="S22" s="24">
        <v>6.1270011172165217</v>
      </c>
      <c r="T22" s="24">
        <v>5.282364728812099</v>
      </c>
      <c r="U22" s="26">
        <v>0</v>
      </c>
      <c r="V22" s="26">
        <v>4.8181624272904289</v>
      </c>
      <c r="W22" s="26">
        <v>3.4162301807417275</v>
      </c>
      <c r="X22" s="29">
        <v>0</v>
      </c>
      <c r="Y22" s="29">
        <v>3.5952162763907363</v>
      </c>
      <c r="Z22" s="29">
        <v>1.6893032501685417</v>
      </c>
      <c r="AA22" t="b">
        <f t="shared" si="2"/>
        <v>0</v>
      </c>
      <c r="AB22" s="76">
        <f t="shared" si="3"/>
        <v>-5.9465601533983152</v>
      </c>
      <c r="AF22" s="21">
        <v>20</v>
      </c>
      <c r="AG22" s="3" t="s">
        <v>19</v>
      </c>
      <c r="AH22" s="7">
        <v>2386</v>
      </c>
      <c r="AI22" s="7">
        <v>1498</v>
      </c>
      <c r="AJ22" s="7">
        <v>1429.4036697247707</v>
      </c>
      <c r="AK22" s="29">
        <v>11.228924882210414</v>
      </c>
      <c r="AL22" s="29">
        <v>6.1270011172165217</v>
      </c>
      <c r="AM22" s="29">
        <v>5.282364728812099</v>
      </c>
    </row>
    <row r="23" spans="1:39" x14ac:dyDescent="0.35">
      <c r="A23" s="2">
        <v>21</v>
      </c>
      <c r="B23" s="3" t="s">
        <v>20</v>
      </c>
      <c r="C23" s="7">
        <v>37404</v>
      </c>
      <c r="D23" s="7">
        <v>125024</v>
      </c>
      <c r="E23" s="7">
        <v>124204.27697797566</v>
      </c>
      <c r="F23" s="17">
        <v>15412</v>
      </c>
      <c r="G23" s="17">
        <v>60530</v>
      </c>
      <c r="H23" s="17">
        <v>56054.384505209397</v>
      </c>
      <c r="I23" s="13">
        <v>21992</v>
      </c>
      <c r="J23" s="13">
        <v>64494</v>
      </c>
      <c r="K23" s="13">
        <v>68149.892472766252</v>
      </c>
      <c r="L23" t="str">
        <f t="shared" si="0"/>
        <v>Decreased</v>
      </c>
      <c r="M23" s="1">
        <f t="shared" si="1"/>
        <v>-819.72302202433639</v>
      </c>
      <c r="P23" s="2">
        <v>21</v>
      </c>
      <c r="Q23" s="3" t="s">
        <v>20</v>
      </c>
      <c r="R23" s="24">
        <v>13.588806084750864</v>
      </c>
      <c r="S23" s="24">
        <v>40.499321677501314</v>
      </c>
      <c r="T23" s="24">
        <v>37.102627989308182</v>
      </c>
      <c r="U23" s="26">
        <v>5.5991519457325509</v>
      </c>
      <c r="V23" s="26">
        <v>19.607626864755204</v>
      </c>
      <c r="W23" s="26">
        <v>16.744713032991744</v>
      </c>
      <c r="X23" s="29">
        <v>7.989654139018314</v>
      </c>
      <c r="Y23" s="29">
        <v>20.89169481274611</v>
      </c>
      <c r="Z23" s="29">
        <v>20.357914956316442</v>
      </c>
      <c r="AA23" t="b">
        <f t="shared" si="2"/>
        <v>1</v>
      </c>
      <c r="AB23" s="76">
        <f t="shared" si="3"/>
        <v>23.513821904557318</v>
      </c>
      <c r="AF23" s="21">
        <v>21</v>
      </c>
      <c r="AG23" s="3" t="s">
        <v>20</v>
      </c>
      <c r="AH23" s="7">
        <v>37404</v>
      </c>
      <c r="AI23" s="7">
        <v>125024</v>
      </c>
      <c r="AJ23" s="7">
        <v>124204.27697797566</v>
      </c>
      <c r="AK23" s="29">
        <v>13.588806084750864</v>
      </c>
      <c r="AL23" s="29">
        <v>40.499321677501314</v>
      </c>
      <c r="AM23" s="29">
        <v>37.102627989308182</v>
      </c>
    </row>
    <row r="24" spans="1:39" x14ac:dyDescent="0.35">
      <c r="A24" s="2">
        <v>22</v>
      </c>
      <c r="B24" s="3" t="s">
        <v>21</v>
      </c>
      <c r="C24" s="7">
        <v>5789</v>
      </c>
      <c r="D24" s="7">
        <v>7195</v>
      </c>
      <c r="E24" s="7">
        <v>5018.9871797472533</v>
      </c>
      <c r="F24" s="17">
        <v>1505</v>
      </c>
      <c r="G24" s="17">
        <v>2344</v>
      </c>
      <c r="H24" s="17">
        <v>1938.8668129685404</v>
      </c>
      <c r="I24" s="13">
        <v>4284</v>
      </c>
      <c r="J24" s="13">
        <v>3985</v>
      </c>
      <c r="K24" s="13">
        <v>3080.1203667787127</v>
      </c>
      <c r="L24" t="str">
        <f t="shared" si="0"/>
        <v>Decreased</v>
      </c>
      <c r="M24" s="1">
        <f t="shared" si="1"/>
        <v>-2176.0128202527467</v>
      </c>
      <c r="P24" s="2">
        <v>22</v>
      </c>
      <c r="Q24" s="3" t="s">
        <v>21</v>
      </c>
      <c r="R24" s="24">
        <v>5.2363408750270208</v>
      </c>
      <c r="S24" s="24">
        <v>5.7308463982227771</v>
      </c>
      <c r="T24" s="24">
        <v>3.6213751871867581</v>
      </c>
      <c r="U24" s="26">
        <v>1.3613219929030345</v>
      </c>
      <c r="V24" s="26">
        <v>1.8670054145148283</v>
      </c>
      <c r="W24" s="26">
        <v>1.3989603711435907</v>
      </c>
      <c r="X24" s="29">
        <v>3.8750188821239866</v>
      </c>
      <c r="Y24" s="29">
        <v>3.1740685054784943</v>
      </c>
      <c r="Z24" s="29">
        <v>2.2224148160431669</v>
      </c>
      <c r="AA24" t="b">
        <f t="shared" si="2"/>
        <v>0</v>
      </c>
      <c r="AB24" s="76">
        <f t="shared" si="3"/>
        <v>-1.6149656878402627</v>
      </c>
      <c r="AF24" s="21">
        <v>22</v>
      </c>
      <c r="AG24" s="3" t="s">
        <v>21</v>
      </c>
      <c r="AH24" s="7">
        <v>5789</v>
      </c>
      <c r="AI24" s="7">
        <v>7195</v>
      </c>
      <c r="AJ24" s="7">
        <v>5018.9871797472533</v>
      </c>
      <c r="AK24" s="29">
        <v>5.2363408750270208</v>
      </c>
      <c r="AL24" s="29">
        <v>5.7308463982227771</v>
      </c>
      <c r="AM24" s="29">
        <v>3.6213751871867581</v>
      </c>
    </row>
    <row r="25" spans="1:39" x14ac:dyDescent="0.35">
      <c r="A25" s="2">
        <v>23</v>
      </c>
      <c r="B25" s="3" t="s">
        <v>22</v>
      </c>
      <c r="C25" s="7">
        <v>727</v>
      </c>
      <c r="D25" s="7">
        <v>1264</v>
      </c>
      <c r="E25" s="7">
        <v>1879</v>
      </c>
      <c r="F25" s="17">
        <v>474</v>
      </c>
      <c r="G25" s="17">
        <v>1210</v>
      </c>
      <c r="H25" s="17">
        <v>1196.2840304182509</v>
      </c>
      <c r="I25" s="13">
        <v>253</v>
      </c>
      <c r="J25" s="13">
        <v>54</v>
      </c>
      <c r="K25" s="13">
        <v>889</v>
      </c>
      <c r="L25" t="str">
        <f t="shared" si="0"/>
        <v>Increased</v>
      </c>
      <c r="M25" s="1">
        <f t="shared" si="1"/>
        <v>615</v>
      </c>
      <c r="P25" s="2">
        <v>23</v>
      </c>
      <c r="Q25" s="3" t="s">
        <v>22</v>
      </c>
      <c r="R25" s="24">
        <v>4.2821318183893133</v>
      </c>
      <c r="S25" s="24">
        <v>6.5663889717912856</v>
      </c>
      <c r="T25" s="24">
        <v>8.9239684065872122</v>
      </c>
      <c r="U25" s="26">
        <v>2.7919263850296208</v>
      </c>
      <c r="V25" s="26">
        <v>6.2858628606546318</v>
      </c>
      <c r="W25" s="26">
        <v>5.6815332052992487</v>
      </c>
      <c r="X25" s="29">
        <v>1.4902054333596921</v>
      </c>
      <c r="Y25" s="29">
        <v>0.28052611113665299</v>
      </c>
      <c r="Z25" s="29">
        <v>4.2221436473954403</v>
      </c>
      <c r="AA25" t="b">
        <f t="shared" si="2"/>
        <v>0</v>
      </c>
      <c r="AB25" s="76">
        <f t="shared" si="3"/>
        <v>4.6418365881978989</v>
      </c>
      <c r="AF25" s="21">
        <v>23</v>
      </c>
      <c r="AG25" s="3" t="s">
        <v>22</v>
      </c>
      <c r="AH25" s="7">
        <v>727</v>
      </c>
      <c r="AI25" s="7">
        <v>1264</v>
      </c>
      <c r="AJ25" s="7">
        <v>1879</v>
      </c>
      <c r="AK25" s="29">
        <v>4.2821318183893133</v>
      </c>
      <c r="AL25" s="29">
        <v>6.5663889717912856</v>
      </c>
      <c r="AM25" s="29">
        <v>8.9239684065872122</v>
      </c>
    </row>
    <row r="26" spans="1:39" x14ac:dyDescent="0.35">
      <c r="A26" s="2">
        <v>24</v>
      </c>
      <c r="B26" s="3" t="s">
        <v>23</v>
      </c>
      <c r="C26" s="7">
        <v>40292</v>
      </c>
      <c r="D26" s="7">
        <v>59901</v>
      </c>
      <c r="E26" s="7">
        <v>109659</v>
      </c>
      <c r="F26" s="17">
        <v>28300</v>
      </c>
      <c r="G26" s="17">
        <v>46703</v>
      </c>
      <c r="H26" s="17">
        <v>39804.809247393256</v>
      </c>
      <c r="I26" s="13">
        <v>11992</v>
      </c>
      <c r="J26" s="13">
        <v>13198</v>
      </c>
      <c r="K26" s="13">
        <v>13198</v>
      </c>
      <c r="L26" t="str">
        <f t="shared" si="0"/>
        <v>Increased</v>
      </c>
      <c r="M26" s="1">
        <f t="shared" si="1"/>
        <v>49758</v>
      </c>
      <c r="P26" s="2">
        <v>24</v>
      </c>
      <c r="Q26" s="3" t="s">
        <v>23</v>
      </c>
      <c r="R26" s="24">
        <v>8.9952824106106632</v>
      </c>
      <c r="S26" s="24">
        <v>11.991399007360956</v>
      </c>
      <c r="T26" s="24">
        <v>20.296890728972834</v>
      </c>
      <c r="U26" s="26">
        <v>6.3180406090608994</v>
      </c>
      <c r="V26" s="26">
        <v>9.3493315277003521</v>
      </c>
      <c r="W26" s="26">
        <v>7.3675107723209976</v>
      </c>
      <c r="X26" s="29">
        <v>2.6772418015497634</v>
      </c>
      <c r="Y26" s="29">
        <v>2.642067479660605</v>
      </c>
      <c r="Z26" s="29">
        <v>2.4428306280467948</v>
      </c>
      <c r="AA26" t="b">
        <f t="shared" si="2"/>
        <v>0</v>
      </c>
      <c r="AB26" s="76">
        <f t="shared" si="3"/>
        <v>11.30160831836217</v>
      </c>
      <c r="AF26" s="21">
        <v>24</v>
      </c>
      <c r="AG26" s="3" t="s">
        <v>23</v>
      </c>
      <c r="AH26" s="7">
        <v>40292</v>
      </c>
      <c r="AI26" s="7">
        <v>59901</v>
      </c>
      <c r="AJ26" s="7">
        <v>109659</v>
      </c>
      <c r="AK26" s="29">
        <v>8.9952824106106632</v>
      </c>
      <c r="AL26" s="29">
        <v>11.991399007360956</v>
      </c>
      <c r="AM26" s="29">
        <v>20.296890728972834</v>
      </c>
    </row>
    <row r="27" spans="1:39" x14ac:dyDescent="0.35">
      <c r="A27" s="2">
        <v>25</v>
      </c>
      <c r="B27" s="3" t="s">
        <v>24</v>
      </c>
      <c r="C27" s="7">
        <v>0</v>
      </c>
      <c r="D27" s="35">
        <v>6866</v>
      </c>
      <c r="E27" s="7">
        <v>1235.4801331049025</v>
      </c>
      <c r="F27" s="17">
        <v>0</v>
      </c>
      <c r="G27" s="17">
        <v>4686</v>
      </c>
      <c r="H27" s="17">
        <v>4686</v>
      </c>
      <c r="I27" s="13">
        <v>0</v>
      </c>
      <c r="J27" s="13">
        <v>2180</v>
      </c>
      <c r="K27" s="13">
        <v>2180</v>
      </c>
      <c r="L27" t="str">
        <f t="shared" si="0"/>
        <v>Decreased</v>
      </c>
      <c r="M27" s="1">
        <f t="shared" si="1"/>
        <v>-5630.5198668950979</v>
      </c>
      <c r="P27" s="2">
        <v>25</v>
      </c>
      <c r="Q27" s="3" t="s">
        <v>24</v>
      </c>
      <c r="R27" s="24">
        <v>0</v>
      </c>
      <c r="S27" s="24">
        <v>31.237247027661752</v>
      </c>
      <c r="T27" s="24">
        <v>5.358081663616356</v>
      </c>
      <c r="U27" s="26">
        <v>0</v>
      </c>
      <c r="V27" s="26">
        <v>21.319216366388432</v>
      </c>
      <c r="W27" s="26">
        <v>20.322439837706696</v>
      </c>
      <c r="X27" s="29">
        <v>0</v>
      </c>
      <c r="Y27" s="29">
        <v>9.9180306612733204</v>
      </c>
      <c r="Z27" s="29">
        <v>9.4543147345711898</v>
      </c>
      <c r="AA27" t="b">
        <f t="shared" si="2"/>
        <v>0</v>
      </c>
      <c r="AB27" s="76">
        <f t="shared" si="3"/>
        <v>5.358081663616356</v>
      </c>
      <c r="AF27" s="21">
        <v>25</v>
      </c>
      <c r="AG27" s="3" t="s">
        <v>24</v>
      </c>
      <c r="AH27" s="7">
        <v>0</v>
      </c>
      <c r="AI27" s="35">
        <v>6866</v>
      </c>
      <c r="AJ27" s="7">
        <v>1235.4801331049025</v>
      </c>
      <c r="AK27" s="29">
        <v>0</v>
      </c>
      <c r="AL27" s="29">
        <v>31.237247027661752</v>
      </c>
      <c r="AM27" s="29">
        <v>5.358081663616356</v>
      </c>
    </row>
    <row r="28" spans="1:39" x14ac:dyDescent="0.35">
      <c r="A28" s="2">
        <v>26</v>
      </c>
      <c r="B28" s="3" t="s">
        <v>25</v>
      </c>
      <c r="C28" s="7">
        <v>0</v>
      </c>
      <c r="D28" s="7">
        <v>8488</v>
      </c>
      <c r="E28" s="7">
        <v>4423.7952883834278</v>
      </c>
      <c r="F28" s="17">
        <v>0</v>
      </c>
      <c r="G28" s="17">
        <v>4887</v>
      </c>
      <c r="H28" s="17">
        <v>2593.8357839155155</v>
      </c>
      <c r="I28" s="13">
        <v>0</v>
      </c>
      <c r="J28" s="13">
        <v>3601</v>
      </c>
      <c r="K28" s="13">
        <v>1829.9595044679122</v>
      </c>
      <c r="L28" t="str">
        <f t="shared" si="0"/>
        <v>Decreased</v>
      </c>
      <c r="M28" s="1">
        <f t="shared" si="1"/>
        <v>-4064.2047116165722</v>
      </c>
      <c r="P28" s="2">
        <v>26</v>
      </c>
      <c r="Q28" s="3" t="s">
        <v>25</v>
      </c>
      <c r="R28" s="24">
        <v>0</v>
      </c>
      <c r="S28" s="24">
        <v>17.360035227291089</v>
      </c>
      <c r="T28" s="24">
        <v>8.3425634851189905</v>
      </c>
      <c r="U28" s="26">
        <v>0</v>
      </c>
      <c r="V28" s="26">
        <v>9.9951098204254887</v>
      </c>
      <c r="W28" s="26">
        <v>4.891555392292152</v>
      </c>
      <c r="X28" s="29">
        <v>0</v>
      </c>
      <c r="Y28" s="29">
        <v>7.3649254068655994</v>
      </c>
      <c r="Z28" s="29">
        <v>3.451008092826839</v>
      </c>
      <c r="AA28" t="b">
        <f t="shared" si="2"/>
        <v>0</v>
      </c>
      <c r="AB28" s="76">
        <f t="shared" si="3"/>
        <v>8.3425634851189905</v>
      </c>
      <c r="AF28" s="21">
        <v>26</v>
      </c>
      <c r="AG28" s="3" t="s">
        <v>25</v>
      </c>
      <c r="AH28" s="7">
        <v>0</v>
      </c>
      <c r="AI28" s="7">
        <v>8488</v>
      </c>
      <c r="AJ28" s="7">
        <v>4423.7952883834278</v>
      </c>
      <c r="AK28" s="29">
        <v>0</v>
      </c>
      <c r="AL28" s="29">
        <v>17.360035227291089</v>
      </c>
      <c r="AM28" s="29">
        <v>8.3425634851189905</v>
      </c>
    </row>
    <row r="29" spans="1:39" x14ac:dyDescent="0.35">
      <c r="A29" s="2">
        <v>27</v>
      </c>
      <c r="B29" s="3" t="s">
        <v>26</v>
      </c>
      <c r="C29" s="7">
        <v>3438</v>
      </c>
      <c r="D29" s="7">
        <v>4560</v>
      </c>
      <c r="E29" s="7">
        <v>4560</v>
      </c>
      <c r="F29" s="17">
        <v>0</v>
      </c>
      <c r="G29" s="17">
        <v>4560</v>
      </c>
      <c r="H29" s="17">
        <v>4560</v>
      </c>
      <c r="I29" s="13">
        <v>0</v>
      </c>
      <c r="J29" s="13">
        <v>0</v>
      </c>
      <c r="K29" s="13">
        <v>0</v>
      </c>
      <c r="L29" t="str">
        <f t="shared" si="0"/>
        <v>Increased</v>
      </c>
      <c r="M29" s="1">
        <f t="shared" si="1"/>
        <v>0</v>
      </c>
      <c r="P29" s="2">
        <v>27</v>
      </c>
      <c r="Q29" s="3" t="s">
        <v>26</v>
      </c>
      <c r="R29" s="24">
        <v>1.4575162316668209</v>
      </c>
      <c r="S29" s="24">
        <v>1.6985428402117055</v>
      </c>
      <c r="T29" s="24">
        <v>1.5399311232034727</v>
      </c>
      <c r="U29" s="26">
        <v>0</v>
      </c>
      <c r="V29" s="26">
        <v>1.6985428402117055</v>
      </c>
      <c r="W29" s="26">
        <v>1.5399311232034727</v>
      </c>
      <c r="X29" s="29">
        <v>0</v>
      </c>
      <c r="Y29" s="29">
        <v>0</v>
      </c>
      <c r="Z29" s="29">
        <v>0</v>
      </c>
      <c r="AA29" t="b">
        <f t="shared" si="2"/>
        <v>0</v>
      </c>
      <c r="AB29" s="76">
        <f t="shared" si="3"/>
        <v>8.2414891536651824E-2</v>
      </c>
      <c r="AF29" s="21">
        <v>27</v>
      </c>
      <c r="AG29" s="3" t="s">
        <v>26</v>
      </c>
      <c r="AH29" s="7">
        <v>3438</v>
      </c>
      <c r="AI29" s="7">
        <v>4560</v>
      </c>
      <c r="AJ29" s="7">
        <v>4560</v>
      </c>
      <c r="AK29" s="29">
        <v>1.4575162316668209</v>
      </c>
      <c r="AL29" s="29">
        <v>1.6985428402117055</v>
      </c>
      <c r="AM29" s="29">
        <v>1.5399311232034727</v>
      </c>
    </row>
    <row r="30" spans="1:39" x14ac:dyDescent="0.35">
      <c r="A30" s="2">
        <v>28</v>
      </c>
      <c r="B30" s="3" t="s">
        <v>27</v>
      </c>
      <c r="C30" s="7">
        <v>3545</v>
      </c>
      <c r="D30" s="7">
        <v>7957</v>
      </c>
      <c r="E30" s="7">
        <v>9592</v>
      </c>
      <c r="F30" s="17">
        <v>0</v>
      </c>
      <c r="G30" s="17">
        <v>1633</v>
      </c>
      <c r="H30" s="17">
        <v>2891</v>
      </c>
      <c r="I30" s="13">
        <v>0</v>
      </c>
      <c r="J30" s="13">
        <v>6324</v>
      </c>
      <c r="K30" s="13">
        <v>6474</v>
      </c>
      <c r="L30" t="str">
        <f t="shared" si="0"/>
        <v>Increased</v>
      </c>
      <c r="M30" s="1">
        <f t="shared" si="1"/>
        <v>1635</v>
      </c>
      <c r="P30" s="2">
        <v>28</v>
      </c>
      <c r="Q30" s="3" t="s">
        <v>27</v>
      </c>
      <c r="R30" s="24">
        <v>2.2121994782391807</v>
      </c>
      <c r="S30" s="24">
        <v>4.3320180120920888</v>
      </c>
      <c r="T30" s="24">
        <v>4.7007357126756606</v>
      </c>
      <c r="U30" s="26">
        <v>0</v>
      </c>
      <c r="V30" s="26">
        <v>0.88905183030619328</v>
      </c>
      <c r="W30" s="26">
        <v>1.4167876298316653</v>
      </c>
      <c r="X30" s="29">
        <v>0</v>
      </c>
      <c r="Y30" s="29">
        <v>3.442966181785895</v>
      </c>
      <c r="Z30" s="29">
        <v>3.1727025650398484</v>
      </c>
      <c r="AA30" t="b">
        <f t="shared" si="2"/>
        <v>0</v>
      </c>
      <c r="AB30" s="76">
        <f t="shared" si="3"/>
        <v>2.4885362344364799</v>
      </c>
      <c r="AF30" s="21">
        <v>28</v>
      </c>
      <c r="AG30" s="3" t="s">
        <v>27</v>
      </c>
      <c r="AH30" s="7">
        <v>3545</v>
      </c>
      <c r="AI30" s="7">
        <v>7957</v>
      </c>
      <c r="AJ30" s="7">
        <v>9592</v>
      </c>
      <c r="AK30" s="29">
        <v>2.2121994782391807</v>
      </c>
      <c r="AL30" s="29">
        <v>4.3320180120920888</v>
      </c>
      <c r="AM30" s="29">
        <v>4.7007357126756606</v>
      </c>
    </row>
    <row r="31" spans="1:39" x14ac:dyDescent="0.35">
      <c r="A31" s="2">
        <v>29</v>
      </c>
      <c r="B31" s="3" t="s">
        <v>28</v>
      </c>
      <c r="C31" s="7">
        <v>4257</v>
      </c>
      <c r="D31" s="7">
        <v>5225</v>
      </c>
      <c r="E31" s="7">
        <v>6327</v>
      </c>
      <c r="F31" s="17">
        <v>0</v>
      </c>
      <c r="G31" s="17">
        <v>5174</v>
      </c>
      <c r="H31" s="17">
        <v>5174</v>
      </c>
      <c r="I31" s="13">
        <v>0</v>
      </c>
      <c r="J31" s="13">
        <v>2970</v>
      </c>
      <c r="K31" s="13">
        <v>6327</v>
      </c>
      <c r="L31" t="str">
        <f t="shared" si="0"/>
        <v>Increased</v>
      </c>
      <c r="M31" s="1">
        <f t="shared" si="1"/>
        <v>1102</v>
      </c>
      <c r="P31" s="2">
        <v>29</v>
      </c>
      <c r="Q31" s="3" t="s">
        <v>28</v>
      </c>
      <c r="R31" s="24">
        <v>2.5035237964876864</v>
      </c>
      <c r="S31" s="24">
        <v>2.621110610466443</v>
      </c>
      <c r="T31" s="24">
        <v>2.800351719218773</v>
      </c>
      <c r="U31" s="26">
        <v>0</v>
      </c>
      <c r="V31" s="26">
        <v>2.5955265643164354</v>
      </c>
      <c r="W31" s="26">
        <v>2.2900299976668137</v>
      </c>
      <c r="X31" s="29">
        <v>0</v>
      </c>
      <c r="Y31" s="29">
        <v>1.4898944522651358</v>
      </c>
      <c r="Z31" s="29">
        <v>2.800351719218773</v>
      </c>
      <c r="AA31" t="b">
        <f t="shared" si="2"/>
        <v>0</v>
      </c>
      <c r="AB31" s="76">
        <f t="shared" si="3"/>
        <v>0.2968279227310866</v>
      </c>
      <c r="AF31" s="21">
        <v>29</v>
      </c>
      <c r="AG31" s="3" t="s">
        <v>28</v>
      </c>
      <c r="AH31" s="7">
        <v>4257</v>
      </c>
      <c r="AI31" s="7">
        <v>5225</v>
      </c>
      <c r="AJ31" s="7">
        <v>6327</v>
      </c>
      <c r="AK31" s="29">
        <v>2.5035237964876864</v>
      </c>
      <c r="AL31" s="29">
        <v>2.621110610466443</v>
      </c>
      <c r="AM31" s="29">
        <v>2.800351719218773</v>
      </c>
    </row>
    <row r="32" spans="1:39" x14ac:dyDescent="0.35">
      <c r="A32" s="2">
        <v>30</v>
      </c>
      <c r="B32" s="3" t="s">
        <v>29</v>
      </c>
      <c r="C32" s="7">
        <v>3846</v>
      </c>
      <c r="D32" s="7">
        <v>4066</v>
      </c>
      <c r="E32" s="7">
        <v>6503</v>
      </c>
      <c r="F32" s="17">
        <v>0</v>
      </c>
      <c r="G32" s="17">
        <v>4011</v>
      </c>
      <c r="H32" s="17">
        <v>754.93917918341447</v>
      </c>
      <c r="I32" s="13">
        <v>0</v>
      </c>
      <c r="J32" s="13">
        <v>6</v>
      </c>
      <c r="K32" s="13">
        <v>6</v>
      </c>
      <c r="L32" t="str">
        <f t="shared" si="0"/>
        <v>Increased</v>
      </c>
      <c r="M32" s="1">
        <f t="shared" si="1"/>
        <v>2437</v>
      </c>
      <c r="P32" s="2">
        <v>30</v>
      </c>
      <c r="Q32" s="3" t="s">
        <v>29</v>
      </c>
      <c r="R32" s="24">
        <v>10.275292889930139</v>
      </c>
      <c r="S32" s="24">
        <v>9.5206618381972241</v>
      </c>
      <c r="T32" s="24">
        <v>13.7305936333372</v>
      </c>
      <c r="U32" s="26">
        <v>0</v>
      </c>
      <c r="V32" s="26">
        <v>9.391877676588555</v>
      </c>
      <c r="W32" s="26">
        <v>1.5939970916888517</v>
      </c>
      <c r="X32" s="29">
        <v>0</v>
      </c>
      <c r="Y32" s="29">
        <v>1.4049181266400233E-2</v>
      </c>
      <c r="Z32" s="29">
        <v>1.2668547101341411E-2</v>
      </c>
      <c r="AA32" t="b">
        <f t="shared" si="2"/>
        <v>0</v>
      </c>
      <c r="AB32" s="76">
        <f t="shared" si="3"/>
        <v>3.4553007434070615</v>
      </c>
      <c r="AF32" s="21">
        <v>30</v>
      </c>
      <c r="AG32" s="3" t="s">
        <v>29</v>
      </c>
      <c r="AH32" s="7">
        <v>3846</v>
      </c>
      <c r="AI32" s="7">
        <v>4066</v>
      </c>
      <c r="AJ32" s="7">
        <v>6503</v>
      </c>
      <c r="AK32" s="29">
        <v>10.275292889930139</v>
      </c>
      <c r="AL32" s="29">
        <v>9.5206618381972241</v>
      </c>
      <c r="AM32" s="29">
        <v>13.7305936333372</v>
      </c>
    </row>
    <row r="33" spans="1:39" x14ac:dyDescent="0.35">
      <c r="A33" s="2">
        <v>31</v>
      </c>
      <c r="B33" s="3" t="s">
        <v>30</v>
      </c>
      <c r="C33" s="7">
        <v>3963</v>
      </c>
      <c r="D33" s="7">
        <v>4986</v>
      </c>
      <c r="E33" s="7">
        <v>4598.8787431180344</v>
      </c>
      <c r="F33" s="17">
        <v>0</v>
      </c>
      <c r="G33" s="17">
        <v>4419</v>
      </c>
      <c r="H33" s="17">
        <v>4380.7268027393584</v>
      </c>
      <c r="I33" s="13">
        <v>0</v>
      </c>
      <c r="J33" s="13">
        <v>0</v>
      </c>
      <c r="K33" s="13">
        <v>185</v>
      </c>
      <c r="L33" t="str">
        <f t="shared" si="0"/>
        <v>Decreased</v>
      </c>
      <c r="M33" s="1">
        <f t="shared" si="1"/>
        <v>-387.12125688196556</v>
      </c>
      <c r="P33" s="2">
        <v>31</v>
      </c>
      <c r="Q33" s="3" t="s">
        <v>30</v>
      </c>
      <c r="R33" s="24">
        <v>30.704471207875784</v>
      </c>
      <c r="S33" s="24">
        <v>38.49059138176667</v>
      </c>
      <c r="T33" s="24">
        <v>35.390445967684023</v>
      </c>
      <c r="U33" s="26">
        <v>0</v>
      </c>
      <c r="V33" s="26">
        <v>34.113502470121723</v>
      </c>
      <c r="W33" s="26">
        <v>33.711668402550302</v>
      </c>
      <c r="X33" s="29">
        <v>0</v>
      </c>
      <c r="Y33" s="29">
        <v>0</v>
      </c>
      <c r="Z33" s="29">
        <v>1.4236584327906261</v>
      </c>
      <c r="AA33" t="b">
        <f t="shared" si="2"/>
        <v>1</v>
      </c>
      <c r="AB33" s="76">
        <f t="shared" si="3"/>
        <v>4.6859747598082393</v>
      </c>
      <c r="AF33" s="21">
        <v>31</v>
      </c>
      <c r="AG33" s="3" t="s">
        <v>30</v>
      </c>
      <c r="AH33" s="7">
        <v>3963</v>
      </c>
      <c r="AI33" s="7">
        <v>4986</v>
      </c>
      <c r="AJ33" s="7">
        <v>4598.8787431180344</v>
      </c>
      <c r="AK33" s="29">
        <v>30.704471207875784</v>
      </c>
      <c r="AL33" s="29">
        <v>38.49059138176667</v>
      </c>
      <c r="AM33" s="29">
        <v>35.390445967684023</v>
      </c>
    </row>
    <row r="34" spans="1:39" x14ac:dyDescent="0.35">
      <c r="A34" s="2">
        <v>32</v>
      </c>
      <c r="B34" s="3" t="s">
        <v>31</v>
      </c>
      <c r="C34" s="7">
        <v>6432</v>
      </c>
      <c r="D34" s="7">
        <v>8153</v>
      </c>
      <c r="E34" s="7">
        <v>17168</v>
      </c>
      <c r="F34" s="17">
        <v>0</v>
      </c>
      <c r="G34" s="17">
        <v>7961</v>
      </c>
      <c r="H34" s="17">
        <v>2059.5431706221839</v>
      </c>
      <c r="I34" s="13">
        <v>0</v>
      </c>
      <c r="J34" s="13">
        <v>377</v>
      </c>
      <c r="K34" s="13">
        <v>7983</v>
      </c>
      <c r="L34" t="str">
        <f t="shared" si="0"/>
        <v>Increased</v>
      </c>
      <c r="M34" s="1">
        <f t="shared" si="1"/>
        <v>9015</v>
      </c>
      <c r="P34" s="2">
        <v>32</v>
      </c>
      <c r="Q34" s="3" t="s">
        <v>31</v>
      </c>
      <c r="R34" s="24">
        <v>2.5471521140471527</v>
      </c>
      <c r="S34" s="24">
        <v>2.7708787609356129</v>
      </c>
      <c r="T34" s="24">
        <v>5.2072340698575852</v>
      </c>
      <c r="U34" s="26">
        <v>0</v>
      </c>
      <c r="V34" s="26">
        <v>2.7056256366746489</v>
      </c>
      <c r="W34" s="26">
        <v>0.62468099757725715</v>
      </c>
      <c r="X34" s="29">
        <v>0</v>
      </c>
      <c r="Y34" s="29">
        <v>0.12812722836657991</v>
      </c>
      <c r="Z34" s="29">
        <v>2.4213274452279303</v>
      </c>
      <c r="AA34" t="b">
        <f t="shared" si="2"/>
        <v>0</v>
      </c>
      <c r="AB34" s="76">
        <f t="shared" si="3"/>
        <v>2.6600819558104325</v>
      </c>
      <c r="AF34" s="21">
        <v>32</v>
      </c>
      <c r="AG34" s="3" t="s">
        <v>31</v>
      </c>
      <c r="AH34" s="7">
        <v>6432</v>
      </c>
      <c r="AI34" s="7">
        <v>8153</v>
      </c>
      <c r="AJ34" s="7">
        <v>17168</v>
      </c>
      <c r="AK34" s="29">
        <v>2.5471521140471527</v>
      </c>
      <c r="AL34" s="29">
        <v>2.7708787609356129</v>
      </c>
      <c r="AM34" s="29">
        <v>5.2072340698575852</v>
      </c>
    </row>
    <row r="35" spans="1:39" x14ac:dyDescent="0.35">
      <c r="A35" s="2">
        <v>33</v>
      </c>
      <c r="B35" s="3" t="s">
        <v>32</v>
      </c>
      <c r="C35" s="7">
        <v>4110</v>
      </c>
      <c r="D35" s="7">
        <v>12956</v>
      </c>
      <c r="E35" s="7">
        <v>15558.321723868956</v>
      </c>
      <c r="F35" s="17">
        <v>2042</v>
      </c>
      <c r="G35" s="17">
        <v>8719</v>
      </c>
      <c r="H35" s="17">
        <v>12966.53042121685</v>
      </c>
      <c r="I35" s="13">
        <v>2068</v>
      </c>
      <c r="J35" s="13">
        <v>4237</v>
      </c>
      <c r="K35" s="13">
        <v>68.165171606864277</v>
      </c>
      <c r="L35" t="str">
        <f t="shared" si="0"/>
        <v>Increased</v>
      </c>
      <c r="M35" s="1">
        <f t="shared" si="1"/>
        <v>2602.3217238689558</v>
      </c>
      <c r="P35" s="2">
        <v>33</v>
      </c>
      <c r="Q35" s="3" t="s">
        <v>32</v>
      </c>
      <c r="R35" s="24">
        <v>18.643598804269427</v>
      </c>
      <c r="S35" s="24">
        <v>53.855863237034164</v>
      </c>
      <c r="T35" s="24">
        <v>60.6086714570691</v>
      </c>
      <c r="U35" s="26">
        <v>9.2628293815859291</v>
      </c>
      <c r="V35" s="26">
        <v>36.243383109269907</v>
      </c>
      <c r="W35" s="26">
        <v>50.512143673694041</v>
      </c>
      <c r="X35" s="29">
        <v>9.3807694226834961</v>
      </c>
      <c r="Y35" s="29">
        <v>17.612480127764261</v>
      </c>
      <c r="Z35" s="29">
        <v>0.26554281136871866</v>
      </c>
      <c r="AA35" t="b">
        <f t="shared" si="2"/>
        <v>1</v>
      </c>
      <c r="AB35" s="76">
        <f t="shared" si="3"/>
        <v>41.965072652799677</v>
      </c>
      <c r="AF35" s="21">
        <v>33</v>
      </c>
      <c r="AG35" s="3" t="s">
        <v>32</v>
      </c>
      <c r="AH35" s="7">
        <v>4110</v>
      </c>
      <c r="AI35" s="7">
        <v>12956</v>
      </c>
      <c r="AJ35" s="7">
        <v>15558.321723868956</v>
      </c>
      <c r="AK35" s="29">
        <v>18.643598804269427</v>
      </c>
      <c r="AL35" s="29">
        <v>53.855863237034164</v>
      </c>
      <c r="AM35" s="29">
        <v>60.6086714570691</v>
      </c>
    </row>
    <row r="36" spans="1:39" x14ac:dyDescent="0.35">
      <c r="A36" s="2">
        <v>34</v>
      </c>
      <c r="B36" s="3" t="s">
        <v>33</v>
      </c>
      <c r="C36" s="7">
        <v>3533</v>
      </c>
      <c r="D36" s="7">
        <v>4107</v>
      </c>
      <c r="E36" s="7">
        <v>4565</v>
      </c>
      <c r="F36" s="17">
        <v>0</v>
      </c>
      <c r="G36" s="17">
        <v>2398</v>
      </c>
      <c r="H36" s="17">
        <v>4565</v>
      </c>
      <c r="I36" s="13">
        <v>0</v>
      </c>
      <c r="J36" s="13">
        <v>1709</v>
      </c>
      <c r="K36" s="13">
        <v>1709</v>
      </c>
      <c r="L36" t="str">
        <f t="shared" si="0"/>
        <v>Increased</v>
      </c>
      <c r="M36" s="1">
        <f t="shared" si="1"/>
        <v>458</v>
      </c>
      <c r="P36" s="2">
        <v>34</v>
      </c>
      <c r="Q36" s="3" t="s">
        <v>33</v>
      </c>
      <c r="R36" s="24">
        <v>1.894045091139595</v>
      </c>
      <c r="S36" s="24">
        <v>1.8191032684595134</v>
      </c>
      <c r="T36" s="24">
        <v>1.7418361161915725</v>
      </c>
      <c r="U36" s="26">
        <v>0</v>
      </c>
      <c r="V36" s="26">
        <v>1.0621401601572713</v>
      </c>
      <c r="W36" s="26">
        <v>1.7418361161915725</v>
      </c>
      <c r="X36" s="29">
        <v>0</v>
      </c>
      <c r="Y36" s="29">
        <v>0.75696310830224212</v>
      </c>
      <c r="Z36" s="29">
        <v>0.6520915493037015</v>
      </c>
      <c r="AA36" t="b">
        <f t="shared" si="2"/>
        <v>0</v>
      </c>
      <c r="AB36" s="76">
        <f t="shared" si="3"/>
        <v>-0.15220897494802244</v>
      </c>
      <c r="AF36" s="21">
        <v>34</v>
      </c>
      <c r="AG36" s="3" t="s">
        <v>33</v>
      </c>
      <c r="AH36" s="7">
        <v>3533</v>
      </c>
      <c r="AI36" s="7">
        <v>4107</v>
      </c>
      <c r="AJ36" s="7">
        <v>4565</v>
      </c>
      <c r="AK36" s="29">
        <v>1.894045091139595</v>
      </c>
      <c r="AL36" s="29">
        <v>1.8191032684595134</v>
      </c>
      <c r="AM36" s="29">
        <v>1.7418361161915725</v>
      </c>
    </row>
    <row r="37" spans="1:39" x14ac:dyDescent="0.35">
      <c r="A37" s="2">
        <v>35</v>
      </c>
      <c r="B37" s="3" t="s">
        <v>34</v>
      </c>
      <c r="C37" s="7">
        <v>74920</v>
      </c>
      <c r="D37" s="7">
        <v>180709</v>
      </c>
      <c r="E37" s="7">
        <v>220681</v>
      </c>
      <c r="F37" s="17">
        <v>0</v>
      </c>
      <c r="G37" s="17">
        <v>180709</v>
      </c>
      <c r="H37" s="17">
        <v>220681</v>
      </c>
      <c r="I37" s="13">
        <v>0</v>
      </c>
      <c r="J37" s="13">
        <v>0</v>
      </c>
      <c r="K37" s="13">
        <v>0</v>
      </c>
      <c r="L37" t="str">
        <f t="shared" si="0"/>
        <v>Increased</v>
      </c>
      <c r="M37" s="1">
        <f t="shared" si="1"/>
        <v>39972</v>
      </c>
      <c r="P37" s="2">
        <v>35</v>
      </c>
      <c r="Q37" s="3" t="s">
        <v>34</v>
      </c>
      <c r="R37" s="24">
        <v>4.2878533844425375</v>
      </c>
      <c r="S37" s="24">
        <v>9.1088847586301149</v>
      </c>
      <c r="T37" s="24">
        <v>10.097912356452731</v>
      </c>
      <c r="U37" s="26">
        <v>0</v>
      </c>
      <c r="V37" s="26">
        <v>9.1088847586301149</v>
      </c>
      <c r="W37" s="26">
        <v>10.097912356452731</v>
      </c>
      <c r="X37" s="29">
        <v>0</v>
      </c>
      <c r="Y37" s="29">
        <v>0</v>
      </c>
      <c r="Z37" s="29">
        <v>0</v>
      </c>
      <c r="AA37" t="b">
        <f t="shared" si="2"/>
        <v>0</v>
      </c>
      <c r="AB37" s="76">
        <f t="shared" si="3"/>
        <v>5.8100589720101938</v>
      </c>
      <c r="AF37" s="21">
        <v>35</v>
      </c>
      <c r="AG37" s="3" t="s">
        <v>34</v>
      </c>
      <c r="AH37" s="7">
        <v>74920</v>
      </c>
      <c r="AI37" s="7">
        <v>180709</v>
      </c>
      <c r="AJ37" s="7">
        <v>220681</v>
      </c>
      <c r="AK37" s="29">
        <v>4.2878533844425375</v>
      </c>
      <c r="AL37" s="29">
        <v>9.1088847586301149</v>
      </c>
      <c r="AM37" s="29">
        <v>10.097912356452731</v>
      </c>
    </row>
    <row r="38" spans="1:39" x14ac:dyDescent="0.35">
      <c r="A38" s="2">
        <v>36</v>
      </c>
      <c r="B38" s="3" t="s">
        <v>35</v>
      </c>
      <c r="C38" s="7">
        <v>9625</v>
      </c>
      <c r="D38" s="7">
        <v>13345</v>
      </c>
      <c r="E38" s="7">
        <v>13501.239749316621</v>
      </c>
      <c r="F38" s="17">
        <v>0</v>
      </c>
      <c r="G38" s="17">
        <v>9551</v>
      </c>
      <c r="H38" s="17">
        <v>9551</v>
      </c>
      <c r="I38" s="13">
        <v>0</v>
      </c>
      <c r="J38" s="13">
        <v>0</v>
      </c>
      <c r="K38" s="13">
        <v>0</v>
      </c>
      <c r="L38" t="str">
        <f t="shared" si="0"/>
        <v>Increased</v>
      </c>
      <c r="M38" s="1">
        <f t="shared" si="1"/>
        <v>156.23974931662087</v>
      </c>
      <c r="P38" s="2">
        <v>36</v>
      </c>
      <c r="Q38" s="3" t="s">
        <v>35</v>
      </c>
      <c r="R38" s="24">
        <v>8.6701170880170952</v>
      </c>
      <c r="S38" s="24">
        <v>10.648902801930211</v>
      </c>
      <c r="T38" s="24">
        <v>9.8000553102923451</v>
      </c>
      <c r="U38" s="26">
        <v>0</v>
      </c>
      <c r="V38" s="26">
        <v>7.6214065688449182</v>
      </c>
      <c r="W38" s="26">
        <v>6.9327209949989861</v>
      </c>
      <c r="X38" s="29">
        <v>0</v>
      </c>
      <c r="Y38" s="29">
        <v>0</v>
      </c>
      <c r="Z38" s="29">
        <v>0</v>
      </c>
      <c r="AA38" t="b">
        <f t="shared" si="2"/>
        <v>0</v>
      </c>
      <c r="AB38" s="76">
        <f t="shared" si="3"/>
        <v>1.1299382222752499</v>
      </c>
      <c r="AF38" s="21">
        <v>36</v>
      </c>
      <c r="AG38" s="3" t="s">
        <v>35</v>
      </c>
      <c r="AH38" s="7">
        <v>9625</v>
      </c>
      <c r="AI38" s="7">
        <v>13345</v>
      </c>
      <c r="AJ38" s="7">
        <v>13501.239749316621</v>
      </c>
      <c r="AK38" s="29">
        <v>8.6701170880170952</v>
      </c>
      <c r="AL38" s="29">
        <v>10.648902801930211</v>
      </c>
      <c r="AM38" s="29">
        <v>9.8000553102923451</v>
      </c>
    </row>
    <row r="39" spans="1:39" x14ac:dyDescent="0.35">
      <c r="A39" s="2">
        <v>37</v>
      </c>
      <c r="B39" s="3" t="s">
        <v>36</v>
      </c>
      <c r="C39" s="7">
        <v>442</v>
      </c>
      <c r="D39" s="7">
        <v>406</v>
      </c>
      <c r="E39" s="7">
        <v>440</v>
      </c>
      <c r="F39" s="17">
        <v>0</v>
      </c>
      <c r="G39" s="17">
        <v>206</v>
      </c>
      <c r="H39" s="17">
        <v>206</v>
      </c>
      <c r="I39" s="13">
        <v>0</v>
      </c>
      <c r="J39" s="13">
        <v>0</v>
      </c>
      <c r="K39" s="13">
        <v>0</v>
      </c>
      <c r="L39" t="str">
        <f t="shared" si="0"/>
        <v>Increased</v>
      </c>
      <c r="M39" s="1">
        <f t="shared" si="1"/>
        <v>34</v>
      </c>
      <c r="P39" s="2">
        <v>37</v>
      </c>
      <c r="Q39" s="3" t="s">
        <v>36</v>
      </c>
      <c r="R39" s="24">
        <v>22.812079047466675</v>
      </c>
      <c r="S39" s="24">
        <v>19.21038685744568</v>
      </c>
      <c r="T39" s="24">
        <v>19.350908942978588</v>
      </c>
      <c r="U39" s="26">
        <v>0</v>
      </c>
      <c r="V39" s="26">
        <v>9.747142100083277</v>
      </c>
      <c r="W39" s="26">
        <v>9.0597437323945211</v>
      </c>
      <c r="X39" s="29">
        <v>0</v>
      </c>
      <c r="Y39" s="29">
        <v>0</v>
      </c>
      <c r="Z39" s="29">
        <v>0</v>
      </c>
      <c r="AA39" t="b">
        <f t="shared" si="2"/>
        <v>0</v>
      </c>
      <c r="AB39" s="76">
        <f t="shared" si="3"/>
        <v>-3.4611701044880867</v>
      </c>
      <c r="AF39" s="21">
        <v>37</v>
      </c>
      <c r="AG39" s="3" t="s">
        <v>36</v>
      </c>
      <c r="AH39" s="7">
        <v>442</v>
      </c>
      <c r="AI39" s="7">
        <v>406</v>
      </c>
      <c r="AJ39" s="7">
        <v>440</v>
      </c>
      <c r="AK39" s="29">
        <v>22.812079047466675</v>
      </c>
      <c r="AL39" s="29">
        <v>19.21038685744568</v>
      </c>
      <c r="AM39" s="29">
        <v>19.350908942978588</v>
      </c>
    </row>
    <row r="40" spans="1:39" x14ac:dyDescent="0.35">
      <c r="A40" s="2">
        <v>38</v>
      </c>
      <c r="B40" s="3" t="s">
        <v>37</v>
      </c>
      <c r="C40" s="7">
        <v>1682</v>
      </c>
      <c r="D40" s="7">
        <v>4577</v>
      </c>
      <c r="E40" s="7">
        <v>4737</v>
      </c>
      <c r="F40" s="17">
        <v>1020</v>
      </c>
      <c r="G40" s="17">
        <v>3231</v>
      </c>
      <c r="H40" s="17">
        <v>3240.8719034968049</v>
      </c>
      <c r="I40" s="13">
        <v>662</v>
      </c>
      <c r="J40" s="13">
        <v>1346</v>
      </c>
      <c r="K40" s="13">
        <v>1968</v>
      </c>
      <c r="L40" t="str">
        <f t="shared" si="0"/>
        <v>Increased</v>
      </c>
      <c r="M40" s="1">
        <f t="shared" si="1"/>
        <v>160</v>
      </c>
      <c r="P40" s="2">
        <v>38</v>
      </c>
      <c r="Q40" s="3" t="s">
        <v>37</v>
      </c>
      <c r="R40" s="24">
        <v>1.2371681045558576</v>
      </c>
      <c r="S40" s="24">
        <v>2.9387009580601728</v>
      </c>
      <c r="T40" s="24">
        <v>2.7355493034397527</v>
      </c>
      <c r="U40" s="26">
        <v>0.75024462939772574</v>
      </c>
      <c r="V40" s="26">
        <v>2.074490451276473</v>
      </c>
      <c r="W40" s="26">
        <v>1.8715568668246041</v>
      </c>
      <c r="X40" s="29">
        <v>0.48692347515813178</v>
      </c>
      <c r="Y40" s="29">
        <v>0.86421050678369948</v>
      </c>
      <c r="Z40" s="29">
        <v>1.136491667546851</v>
      </c>
      <c r="AA40" t="b">
        <f t="shared" si="2"/>
        <v>0</v>
      </c>
      <c r="AB40" s="76">
        <f t="shared" si="3"/>
        <v>1.4983811988838951</v>
      </c>
      <c r="AF40" s="21">
        <v>38</v>
      </c>
      <c r="AG40" s="3" t="s">
        <v>37</v>
      </c>
      <c r="AH40" s="7">
        <v>1682</v>
      </c>
      <c r="AI40" s="7">
        <v>4577</v>
      </c>
      <c r="AJ40" s="7">
        <v>4737</v>
      </c>
      <c r="AK40" s="29">
        <v>1.2371681045558576</v>
      </c>
      <c r="AL40" s="29">
        <v>2.9387009580601728</v>
      </c>
      <c r="AM40" s="29">
        <v>2.7355493034397527</v>
      </c>
    </row>
    <row r="41" spans="1:39" x14ac:dyDescent="0.35">
      <c r="A41" s="2">
        <v>39</v>
      </c>
      <c r="B41" s="3" t="s">
        <v>38</v>
      </c>
      <c r="C41" s="7">
        <v>419</v>
      </c>
      <c r="D41" s="7">
        <v>1272</v>
      </c>
      <c r="E41" s="7">
        <v>1277</v>
      </c>
      <c r="F41" s="17">
        <v>0</v>
      </c>
      <c r="G41" s="17">
        <v>1272</v>
      </c>
      <c r="H41" s="17">
        <v>716.01305541161867</v>
      </c>
      <c r="I41" s="13">
        <v>0</v>
      </c>
      <c r="J41" s="13">
        <v>0</v>
      </c>
      <c r="K41" s="13">
        <v>0</v>
      </c>
      <c r="L41" t="str">
        <f t="shared" si="0"/>
        <v>Increased</v>
      </c>
      <c r="M41" s="1">
        <f t="shared" si="1"/>
        <v>5</v>
      </c>
      <c r="P41" s="2">
        <v>39</v>
      </c>
      <c r="Q41" s="3" t="s">
        <v>38</v>
      </c>
      <c r="R41" s="24">
        <v>43.323613954546396</v>
      </c>
      <c r="S41" s="24">
        <v>123.37416707888377</v>
      </c>
      <c r="T41" s="24">
        <v>119.21376792990939</v>
      </c>
      <c r="U41" s="26">
        <v>0</v>
      </c>
      <c r="V41" s="26">
        <v>123.37416707888377</v>
      </c>
      <c r="W41" s="26">
        <v>66.843080832126915</v>
      </c>
      <c r="X41" s="29">
        <v>0</v>
      </c>
      <c r="Y41" s="29">
        <v>0</v>
      </c>
      <c r="Z41" s="29">
        <v>0</v>
      </c>
      <c r="AA41" t="b">
        <f t="shared" si="2"/>
        <v>1</v>
      </c>
      <c r="AB41" s="76">
        <f t="shared" si="3"/>
        <v>75.890153975363006</v>
      </c>
      <c r="AF41" s="21">
        <v>39</v>
      </c>
      <c r="AG41" s="3" t="s">
        <v>38</v>
      </c>
      <c r="AH41" s="7">
        <v>419</v>
      </c>
      <c r="AI41" s="7">
        <v>1272</v>
      </c>
      <c r="AJ41" s="7">
        <v>1277</v>
      </c>
      <c r="AK41" s="29">
        <v>43.323613954546396</v>
      </c>
      <c r="AL41" s="29">
        <v>123.37416707888377</v>
      </c>
      <c r="AM41" s="29">
        <v>119.21376792990939</v>
      </c>
    </row>
    <row r="42" spans="1:39" x14ac:dyDescent="0.35">
      <c r="A42" s="2">
        <v>40</v>
      </c>
      <c r="B42" s="3" t="s">
        <v>39</v>
      </c>
      <c r="C42" s="7">
        <v>6106</v>
      </c>
      <c r="D42" s="7">
        <v>5757</v>
      </c>
      <c r="E42" s="7">
        <v>15666</v>
      </c>
      <c r="F42" s="17">
        <v>634</v>
      </c>
      <c r="G42" s="17">
        <v>868</v>
      </c>
      <c r="H42" s="17">
        <v>1449</v>
      </c>
      <c r="I42" s="13">
        <v>2707</v>
      </c>
      <c r="J42" s="13">
        <v>4722</v>
      </c>
      <c r="K42" s="13">
        <v>5907</v>
      </c>
      <c r="L42" t="str">
        <f t="shared" si="0"/>
        <v>Increased</v>
      </c>
      <c r="M42" s="1">
        <f t="shared" si="1"/>
        <v>9909</v>
      </c>
      <c r="P42" s="2">
        <v>40</v>
      </c>
      <c r="Q42" s="3" t="s">
        <v>39</v>
      </c>
      <c r="R42" s="24">
        <v>8.7668687023577032</v>
      </c>
      <c r="S42" s="24">
        <v>7.323233961487956</v>
      </c>
      <c r="T42" s="24">
        <v>18.204175409884439</v>
      </c>
      <c r="U42" s="26">
        <v>0.91028410699226736</v>
      </c>
      <c r="V42" s="26">
        <v>1.104145749274196</v>
      </c>
      <c r="W42" s="26">
        <v>1.6837642135147806</v>
      </c>
      <c r="X42" s="29">
        <v>3.8866546965742392</v>
      </c>
      <c r="Y42" s="29">
        <v>6.0066546406368122</v>
      </c>
      <c r="Z42" s="29">
        <v>6.8640408621337539</v>
      </c>
      <c r="AA42" t="b">
        <f t="shared" si="2"/>
        <v>0</v>
      </c>
      <c r="AB42" s="76">
        <f t="shared" si="3"/>
        <v>9.4373067075267354</v>
      </c>
      <c r="AF42" s="21">
        <v>40</v>
      </c>
      <c r="AG42" s="3" t="s">
        <v>39</v>
      </c>
      <c r="AH42" s="7">
        <v>6106</v>
      </c>
      <c r="AI42" s="7">
        <v>5757</v>
      </c>
      <c r="AJ42" s="7">
        <v>15666</v>
      </c>
      <c r="AK42" s="29">
        <v>8.7668687023577032</v>
      </c>
      <c r="AL42" s="29">
        <v>7.323233961487956</v>
      </c>
      <c r="AM42" s="29">
        <v>18.204175409884439</v>
      </c>
    </row>
    <row r="43" spans="1:39" x14ac:dyDescent="0.35">
      <c r="A43" s="2">
        <v>41</v>
      </c>
      <c r="B43" s="3" t="s">
        <v>40</v>
      </c>
      <c r="C43" s="7">
        <v>58722</v>
      </c>
      <c r="D43" s="7">
        <v>287458</v>
      </c>
      <c r="E43" s="7">
        <v>397261.24962174537</v>
      </c>
      <c r="F43" s="17">
        <v>0</v>
      </c>
      <c r="G43" s="17">
        <v>140598</v>
      </c>
      <c r="H43" s="17">
        <v>140598</v>
      </c>
      <c r="I43" s="13">
        <v>0</v>
      </c>
      <c r="J43" s="13">
        <v>146860</v>
      </c>
      <c r="K43" s="13">
        <v>146860</v>
      </c>
      <c r="L43" t="str">
        <f t="shared" si="0"/>
        <v>Increased</v>
      </c>
      <c r="M43" s="1">
        <f t="shared" si="1"/>
        <v>109803.24962174537</v>
      </c>
      <c r="P43" s="2">
        <v>41</v>
      </c>
      <c r="Q43" s="3" t="s">
        <v>40</v>
      </c>
      <c r="R43" s="24">
        <v>10.899955183999529</v>
      </c>
      <c r="S43" s="24">
        <v>50.132513051399776</v>
      </c>
      <c r="T43" s="24">
        <v>66.327513452394967</v>
      </c>
      <c r="U43" s="26">
        <v>0</v>
      </c>
      <c r="V43" s="26">
        <v>24.520211891826651</v>
      </c>
      <c r="W43" s="26">
        <v>23.474516442918034</v>
      </c>
      <c r="X43" s="29">
        <v>0</v>
      </c>
      <c r="Y43" s="29">
        <v>25.612301159573121</v>
      </c>
      <c r="Z43" s="29">
        <v>24.520032182583979</v>
      </c>
      <c r="AA43" t="b">
        <f t="shared" si="2"/>
        <v>1</v>
      </c>
      <c r="AB43" s="76">
        <f t="shared" si="3"/>
        <v>55.427558268395437</v>
      </c>
      <c r="AF43" s="21">
        <v>41</v>
      </c>
      <c r="AG43" s="3" t="s">
        <v>40</v>
      </c>
      <c r="AH43" s="7">
        <v>58722</v>
      </c>
      <c r="AI43" s="7">
        <v>287458</v>
      </c>
      <c r="AJ43" s="7">
        <v>397261.24962174537</v>
      </c>
      <c r="AK43" s="29">
        <v>10.899955183999529</v>
      </c>
      <c r="AL43" s="29">
        <v>50.132513051399776</v>
      </c>
      <c r="AM43" s="29">
        <v>66.327513452394967</v>
      </c>
    </row>
    <row r="44" spans="1:39" x14ac:dyDescent="0.35">
      <c r="A44" s="2">
        <v>42</v>
      </c>
      <c r="B44" s="3" t="s">
        <v>41</v>
      </c>
      <c r="C44" s="7">
        <v>0</v>
      </c>
      <c r="D44" s="7">
        <v>3726</v>
      </c>
      <c r="E44" s="7">
        <v>4530</v>
      </c>
      <c r="F44" s="17">
        <v>0</v>
      </c>
      <c r="G44" s="17">
        <v>2014</v>
      </c>
      <c r="H44" s="17">
        <v>684.98199201496743</v>
      </c>
      <c r="I44" s="13">
        <v>0</v>
      </c>
      <c r="J44" s="13">
        <v>3212</v>
      </c>
      <c r="K44" s="13">
        <v>3934</v>
      </c>
      <c r="L44" t="str">
        <f t="shared" si="0"/>
        <v>Increased</v>
      </c>
      <c r="M44" s="1">
        <f t="shared" si="1"/>
        <v>804</v>
      </c>
      <c r="P44" s="2">
        <v>42</v>
      </c>
      <c r="Q44" s="3" t="s">
        <v>41</v>
      </c>
      <c r="R44" s="24">
        <v>0</v>
      </c>
      <c r="S44" s="24">
        <v>3.5843019694565719</v>
      </c>
      <c r="T44" s="24">
        <v>4.150950363751079</v>
      </c>
      <c r="U44" s="26">
        <v>0</v>
      </c>
      <c r="V44" s="26">
        <v>1.9374085256268212</v>
      </c>
      <c r="W44" s="26">
        <v>0.62766583861312764</v>
      </c>
      <c r="X44" s="29">
        <v>0</v>
      </c>
      <c r="Y44" s="29">
        <v>3.089849148119836</v>
      </c>
      <c r="Z44" s="29">
        <v>3.6048209119198114</v>
      </c>
      <c r="AA44" t="b">
        <f t="shared" si="2"/>
        <v>0</v>
      </c>
      <c r="AB44" s="76">
        <f t="shared" si="3"/>
        <v>4.150950363751079</v>
      </c>
      <c r="AF44" s="21">
        <v>42</v>
      </c>
      <c r="AG44" s="3" t="s">
        <v>41</v>
      </c>
      <c r="AH44" s="7">
        <v>0</v>
      </c>
      <c r="AI44" s="7">
        <v>3726</v>
      </c>
      <c r="AJ44" s="7">
        <v>4530</v>
      </c>
      <c r="AK44" s="29">
        <v>0</v>
      </c>
      <c r="AL44" s="29">
        <v>3.5843019694565719</v>
      </c>
      <c r="AM44" s="29">
        <v>4.150950363751079</v>
      </c>
    </row>
    <row r="45" spans="1:39" x14ac:dyDescent="0.35">
      <c r="A45" s="2">
        <v>43</v>
      </c>
      <c r="B45" s="3" t="s">
        <v>42</v>
      </c>
      <c r="C45" s="7">
        <v>20800</v>
      </c>
      <c r="D45" s="7">
        <v>31940</v>
      </c>
      <c r="E45" s="7">
        <v>31940</v>
      </c>
      <c r="F45" s="17">
        <v>0</v>
      </c>
      <c r="G45" s="17">
        <v>10589</v>
      </c>
      <c r="H45" s="17">
        <v>10589</v>
      </c>
      <c r="I45" s="13">
        <v>0</v>
      </c>
      <c r="J45" s="13">
        <v>21351</v>
      </c>
      <c r="K45" s="13">
        <v>21351</v>
      </c>
      <c r="L45" t="str">
        <f t="shared" si="0"/>
        <v>Increased</v>
      </c>
      <c r="M45" s="1">
        <f t="shared" si="1"/>
        <v>0</v>
      </c>
      <c r="P45" s="2">
        <v>43</v>
      </c>
      <c r="Q45" s="3" t="s">
        <v>42</v>
      </c>
      <c r="R45" s="24">
        <v>4.2230378347542956</v>
      </c>
      <c r="S45" s="24">
        <v>5.4983226759004049</v>
      </c>
      <c r="T45" s="24">
        <v>4.8765035402438537</v>
      </c>
      <c r="U45" s="26">
        <v>0</v>
      </c>
      <c r="V45" s="26">
        <v>1.8228471764279708</v>
      </c>
      <c r="W45" s="26">
        <v>1.6166968061253026</v>
      </c>
      <c r="X45" s="29">
        <v>0</v>
      </c>
      <c r="Y45" s="29">
        <v>3.6754754994724341</v>
      </c>
      <c r="Z45" s="29">
        <v>3.259806734118551</v>
      </c>
      <c r="AA45" t="b">
        <f t="shared" si="2"/>
        <v>0</v>
      </c>
      <c r="AB45" s="76">
        <f t="shared" si="3"/>
        <v>0.65346570548955807</v>
      </c>
      <c r="AF45" s="21">
        <v>43</v>
      </c>
      <c r="AG45" s="3" t="s">
        <v>42</v>
      </c>
      <c r="AH45" s="7">
        <v>20800</v>
      </c>
      <c r="AI45" s="7">
        <v>31940</v>
      </c>
      <c r="AJ45" s="7">
        <v>31940</v>
      </c>
      <c r="AK45" s="29">
        <v>4.2230378347542956</v>
      </c>
      <c r="AL45" s="29">
        <v>5.4983226759004049</v>
      </c>
      <c r="AM45" s="29">
        <v>4.8765035402438537</v>
      </c>
    </row>
    <row r="46" spans="1:39" x14ac:dyDescent="0.35">
      <c r="A46" s="2">
        <v>44</v>
      </c>
      <c r="B46" s="3" t="s">
        <v>43</v>
      </c>
      <c r="C46" s="7">
        <v>1341</v>
      </c>
      <c r="D46" s="7">
        <v>1966</v>
      </c>
      <c r="E46" s="7">
        <v>2630</v>
      </c>
      <c r="F46" s="17">
        <v>0</v>
      </c>
      <c r="G46" s="17">
        <v>1204</v>
      </c>
      <c r="H46" s="17">
        <v>1699</v>
      </c>
      <c r="I46" s="13">
        <v>0</v>
      </c>
      <c r="J46" s="13">
        <v>925</v>
      </c>
      <c r="K46" s="13">
        <v>931</v>
      </c>
      <c r="L46" t="str">
        <f t="shared" si="0"/>
        <v>Increased</v>
      </c>
      <c r="M46" s="1">
        <f t="shared" si="1"/>
        <v>664</v>
      </c>
      <c r="P46" s="2">
        <v>44</v>
      </c>
      <c r="Q46" s="3" t="s">
        <v>43</v>
      </c>
      <c r="R46" s="24">
        <v>1.8870768166913845</v>
      </c>
      <c r="S46" s="24">
        <v>2.443243976800864</v>
      </c>
      <c r="T46" s="24">
        <v>2.9721885088524593</v>
      </c>
      <c r="U46" s="26">
        <v>0</v>
      </c>
      <c r="V46" s="26">
        <v>1.4962694547651274</v>
      </c>
      <c r="W46" s="26">
        <v>1.9200563789126726</v>
      </c>
      <c r="X46" s="29">
        <v>0</v>
      </c>
      <c r="Y46" s="29">
        <v>1.1495425628386569</v>
      </c>
      <c r="Z46" s="29">
        <v>1.052132129939787</v>
      </c>
      <c r="AA46" t="b">
        <f t="shared" si="2"/>
        <v>0</v>
      </c>
      <c r="AB46" s="76">
        <f t="shared" si="3"/>
        <v>1.0851116921610748</v>
      </c>
      <c r="AF46" s="21">
        <v>44</v>
      </c>
      <c r="AG46" s="3" t="s">
        <v>43</v>
      </c>
      <c r="AH46" s="7">
        <v>1341</v>
      </c>
      <c r="AI46" s="7">
        <v>1966</v>
      </c>
      <c r="AJ46" s="7">
        <v>2630</v>
      </c>
      <c r="AK46" s="29">
        <v>1.8870768166913845</v>
      </c>
      <c r="AL46" s="29">
        <v>2.443243976800864</v>
      </c>
      <c r="AM46" s="29">
        <v>2.9721885088524593</v>
      </c>
    </row>
    <row r="47" spans="1:39" x14ac:dyDescent="0.35">
      <c r="A47" s="2">
        <v>45</v>
      </c>
      <c r="B47" s="3" t="s">
        <v>44</v>
      </c>
      <c r="C47" s="7">
        <v>40149</v>
      </c>
      <c r="D47" s="7">
        <v>52907</v>
      </c>
      <c r="E47" s="7">
        <v>74197</v>
      </c>
      <c r="F47" s="17">
        <v>14303</v>
      </c>
      <c r="G47" s="17">
        <v>5026</v>
      </c>
      <c r="H47" s="17">
        <v>5026</v>
      </c>
      <c r="I47" s="13">
        <v>25846</v>
      </c>
      <c r="J47" s="13">
        <v>47881</v>
      </c>
      <c r="K47" s="13">
        <v>24421.913480885312</v>
      </c>
      <c r="L47" t="str">
        <f t="shared" si="0"/>
        <v>Increased</v>
      </c>
      <c r="M47" s="1">
        <f t="shared" si="1"/>
        <v>21290</v>
      </c>
      <c r="P47" s="2">
        <v>45</v>
      </c>
      <c r="Q47" s="3" t="s">
        <v>44</v>
      </c>
      <c r="R47" s="24">
        <v>11.382176513463198</v>
      </c>
      <c r="S47" s="24">
        <v>12.743947155025257</v>
      </c>
      <c r="T47" s="24">
        <v>15.703206705413399</v>
      </c>
      <c r="U47" s="26">
        <v>4.0548773486777785</v>
      </c>
      <c r="V47" s="26">
        <v>1.2106352354349508</v>
      </c>
      <c r="W47" s="26">
        <v>1.063713046368556</v>
      </c>
      <c r="X47" s="29">
        <v>7.32729916478542</v>
      </c>
      <c r="Y47" s="29">
        <v>11.533311919590307</v>
      </c>
      <c r="Z47" s="29">
        <v>5.1687043348391999</v>
      </c>
      <c r="AA47" t="b">
        <f t="shared" si="2"/>
        <v>0</v>
      </c>
      <c r="AB47" s="76">
        <f t="shared" si="3"/>
        <v>4.3210301919502001</v>
      </c>
      <c r="AF47" s="21">
        <v>45</v>
      </c>
      <c r="AG47" s="3" t="s">
        <v>44</v>
      </c>
      <c r="AH47" s="7">
        <v>40149</v>
      </c>
      <c r="AI47" s="7">
        <v>52907</v>
      </c>
      <c r="AJ47" s="7">
        <v>74197</v>
      </c>
      <c r="AK47" s="29">
        <v>11.382176513463198</v>
      </c>
      <c r="AL47" s="29">
        <v>12.743947155025257</v>
      </c>
      <c r="AM47" s="29">
        <v>15.703206705413399</v>
      </c>
    </row>
    <row r="48" spans="1:39" x14ac:dyDescent="0.35">
      <c r="A48" s="2">
        <v>46</v>
      </c>
      <c r="B48" s="3" t="s">
        <v>45</v>
      </c>
      <c r="C48" s="7">
        <v>0</v>
      </c>
      <c r="D48" s="7">
        <v>20746</v>
      </c>
      <c r="E48" s="7">
        <v>49975</v>
      </c>
      <c r="F48" s="17">
        <v>0</v>
      </c>
      <c r="G48" s="17">
        <v>20746</v>
      </c>
      <c r="H48" s="17">
        <v>33779</v>
      </c>
      <c r="I48" s="13">
        <v>0</v>
      </c>
      <c r="J48" s="13">
        <v>0</v>
      </c>
      <c r="K48" s="13">
        <v>0</v>
      </c>
      <c r="L48" t="str">
        <f t="shared" si="0"/>
        <v>Increased</v>
      </c>
      <c r="M48" s="1">
        <f t="shared" si="1"/>
        <v>29229</v>
      </c>
      <c r="P48" s="2">
        <v>46</v>
      </c>
      <c r="Q48" s="3" t="s">
        <v>45</v>
      </c>
      <c r="R48" s="24">
        <v>0</v>
      </c>
      <c r="S48" s="24">
        <v>11.63160151274737</v>
      </c>
      <c r="T48" s="24">
        <v>24.965436795232208</v>
      </c>
      <c r="U48" s="26">
        <v>0</v>
      </c>
      <c r="V48" s="26">
        <v>11.63160151274737</v>
      </c>
      <c r="W48" s="26">
        <v>16.874587083664807</v>
      </c>
      <c r="X48" s="29">
        <v>0</v>
      </c>
      <c r="Y48" s="29">
        <v>0</v>
      </c>
      <c r="Z48" s="29">
        <v>0</v>
      </c>
      <c r="AA48" t="b">
        <f t="shared" si="2"/>
        <v>0</v>
      </c>
      <c r="AB48" s="76">
        <f t="shared" si="3"/>
        <v>24.965436795232208</v>
      </c>
      <c r="AF48" s="21">
        <v>46</v>
      </c>
      <c r="AG48" s="3" t="s">
        <v>45</v>
      </c>
      <c r="AH48" s="7">
        <v>0</v>
      </c>
      <c r="AI48" s="7">
        <v>20746</v>
      </c>
      <c r="AJ48" s="7">
        <v>49975</v>
      </c>
      <c r="AK48" s="29">
        <v>0</v>
      </c>
      <c r="AL48" s="29">
        <v>11.63160151274737</v>
      </c>
      <c r="AM48" s="29">
        <v>24.965436795232208</v>
      </c>
    </row>
    <row r="49" spans="1:39" x14ac:dyDescent="0.35">
      <c r="A49" s="2">
        <v>47</v>
      </c>
      <c r="B49" s="3" t="s">
        <v>46</v>
      </c>
      <c r="C49" s="7">
        <v>18722</v>
      </c>
      <c r="D49" s="7">
        <v>27874</v>
      </c>
      <c r="E49" s="7">
        <v>46537</v>
      </c>
      <c r="F49" s="17">
        <v>18315</v>
      </c>
      <c r="G49" s="17">
        <v>19171</v>
      </c>
      <c r="H49" s="17">
        <v>32182</v>
      </c>
      <c r="I49" s="13">
        <v>2570</v>
      </c>
      <c r="J49" s="13">
        <v>13052</v>
      </c>
      <c r="K49" s="13">
        <v>13052</v>
      </c>
      <c r="L49" t="str">
        <f t="shared" si="0"/>
        <v>Increased</v>
      </c>
      <c r="M49" s="1">
        <f t="shared" si="1"/>
        <v>18663</v>
      </c>
      <c r="P49" s="2">
        <v>47</v>
      </c>
      <c r="Q49" s="3" t="s">
        <v>46</v>
      </c>
      <c r="R49" s="24">
        <v>13.811448061574467</v>
      </c>
      <c r="S49" s="24">
        <v>18.518242934048633</v>
      </c>
      <c r="T49" s="24">
        <v>28.514380378537798</v>
      </c>
      <c r="U49" s="26">
        <v>13.511199190670673</v>
      </c>
      <c r="V49" s="26">
        <v>12.736357727224163</v>
      </c>
      <c r="W49" s="26">
        <v>19.718713912416</v>
      </c>
      <c r="X49" s="29">
        <v>1.8959203887536791</v>
      </c>
      <c r="Y49" s="29">
        <v>8.6711669216905616</v>
      </c>
      <c r="Z49" s="29">
        <v>7.9972858736204593</v>
      </c>
      <c r="AA49" t="b">
        <f t="shared" si="2"/>
        <v>0</v>
      </c>
      <c r="AB49" s="76">
        <f t="shared" si="3"/>
        <v>14.702932316963331</v>
      </c>
      <c r="AF49" s="21">
        <v>47</v>
      </c>
      <c r="AG49" s="3" t="s">
        <v>46</v>
      </c>
      <c r="AH49" s="7">
        <v>18722</v>
      </c>
      <c r="AI49" s="7">
        <v>27874</v>
      </c>
      <c r="AJ49" s="7">
        <v>46537</v>
      </c>
      <c r="AK49" s="29">
        <v>13.811448061574467</v>
      </c>
      <c r="AL49" s="29">
        <v>18.518242934048633</v>
      </c>
      <c r="AM49" s="29">
        <v>28.514380378537798</v>
      </c>
    </row>
    <row r="50" spans="1:39" x14ac:dyDescent="0.35">
      <c r="A50" s="2">
        <v>48</v>
      </c>
      <c r="B50" s="5" t="s">
        <v>47</v>
      </c>
      <c r="C50" s="8">
        <f>SUM(C3:C49)</f>
        <v>479279</v>
      </c>
      <c r="D50" s="8">
        <f t="shared" ref="D50:K50" si="4">SUM(D3:D49)</f>
        <v>1248604</v>
      </c>
      <c r="E50" s="8">
        <f t="shared" si="4"/>
        <v>1698828.4231265213</v>
      </c>
      <c r="F50" s="8">
        <f t="shared" si="4"/>
        <v>128862</v>
      </c>
      <c r="G50" s="8">
        <f t="shared" si="4"/>
        <v>784933</v>
      </c>
      <c r="H50" s="8">
        <f t="shared" si="4"/>
        <v>885335.63114584493</v>
      </c>
      <c r="I50" s="8">
        <f t="shared" si="4"/>
        <v>103899</v>
      </c>
      <c r="J50" s="8">
        <f t="shared" si="4"/>
        <v>474406</v>
      </c>
      <c r="K50" s="8">
        <f t="shared" si="4"/>
        <v>479453.94079962245</v>
      </c>
      <c r="L50" t="str">
        <f t="shared" si="0"/>
        <v>Increased</v>
      </c>
      <c r="M50" s="1">
        <f t="shared" si="1"/>
        <v>450224.42312652129</v>
      </c>
      <c r="P50" s="2">
        <v>48</v>
      </c>
      <c r="Q50" s="5" t="s">
        <v>47</v>
      </c>
      <c r="R50" s="25">
        <f>AVERAGE(R3:R49)</f>
        <v>7.8859215776329581</v>
      </c>
      <c r="S50" s="25">
        <f t="shared" ref="S50:W50" si="5">AVERAGE(S3:S49)</f>
        <v>15.694911183818338</v>
      </c>
      <c r="T50" s="25">
        <f t="shared" si="5"/>
        <v>16.808155188707438</v>
      </c>
      <c r="U50" s="25">
        <f t="shared" si="5"/>
        <v>1.9231580825647467</v>
      </c>
      <c r="V50" s="25">
        <f t="shared" si="5"/>
        <v>10.870209040966675</v>
      </c>
      <c r="W50" s="25">
        <f t="shared" si="5"/>
        <v>10.316298968726652</v>
      </c>
      <c r="X50" s="30">
        <f t="shared" ref="X50:Z50" si="6">AVERAGE(X3:X49)</f>
        <v>1.4363338435941231</v>
      </c>
      <c r="Y50" s="30">
        <f t="shared" si="6"/>
        <v>4.6185923993981808</v>
      </c>
      <c r="Z50" s="30">
        <f t="shared" si="6"/>
        <v>3.8665692042523641</v>
      </c>
      <c r="AF50" s="21">
        <v>48</v>
      </c>
      <c r="AG50" s="5" t="s">
        <v>47</v>
      </c>
      <c r="AH50" s="6">
        <f>SUM(AH3:AH49)</f>
        <v>479279</v>
      </c>
      <c r="AI50" s="6">
        <f t="shared" ref="AI50" si="7">SUM(AI3:AI49)</f>
        <v>1248604</v>
      </c>
      <c r="AJ50" s="6">
        <f t="shared" ref="AJ50" si="8">SUM(AJ3:AJ49)</f>
        <v>1698828.4231265213</v>
      </c>
      <c r="AK50" s="28">
        <f>AVERAGE(AK3:AK49)</f>
        <v>7.8859215776329581</v>
      </c>
      <c r="AL50" s="28">
        <f t="shared" ref="AL50" si="9">AVERAGE(AL3:AL49)</f>
        <v>15.694911183818338</v>
      </c>
      <c r="AM50" s="28">
        <f t="shared" ref="AM50" si="10">AVERAGE(AM3:AM49)</f>
        <v>16.808155188707438</v>
      </c>
    </row>
    <row r="51" spans="1:39" x14ac:dyDescent="0.35">
      <c r="E51" s="146">
        <v>1698828.4231265199</v>
      </c>
    </row>
    <row r="52" spans="1:39" x14ac:dyDescent="0.35">
      <c r="E52" s="1">
        <f>E50-D50</f>
        <v>450224.42312652129</v>
      </c>
    </row>
    <row r="53" spans="1:39" x14ac:dyDescent="0.35">
      <c r="C53" t="s">
        <v>58</v>
      </c>
    </row>
    <row r="55" spans="1:39" x14ac:dyDescent="0.35">
      <c r="D55" s="81">
        <f>((E50/C50)^(1/9))-1</f>
        <v>0.15096560743520548</v>
      </c>
      <c r="S55" s="81">
        <f>((T50/R50)^(1/9))-1</f>
        <v>8.7723776120916419E-2</v>
      </c>
    </row>
    <row r="56" spans="1:39" x14ac:dyDescent="0.35">
      <c r="F56" s="76">
        <f>(E52+53000)/4</f>
        <v>125806.10578163032</v>
      </c>
    </row>
  </sheetData>
  <autoFilter ref="P2:AB50" xr:uid="{302CB565-367C-4FE2-B443-EE3B2D209CD8}"/>
  <mergeCells count="7">
    <mergeCell ref="AH1:AM1"/>
    <mergeCell ref="X1:Z1"/>
    <mergeCell ref="C1:E1"/>
    <mergeCell ref="F1:H1"/>
    <mergeCell ref="I1:K1"/>
    <mergeCell ref="R1:T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69B2-F2FF-464B-AE79-463DBAC9884F}">
  <dimension ref="A1:AS55"/>
  <sheetViews>
    <sheetView zoomScale="90" zoomScaleNormal="90" workbookViewId="0">
      <selection activeCell="P50" sqref="P50:R50"/>
    </sheetView>
  </sheetViews>
  <sheetFormatPr defaultRowHeight="14" x14ac:dyDescent="0.3"/>
  <cols>
    <col min="1" max="1" width="4.453125" style="16" bestFit="1" customWidth="1"/>
    <col min="2" max="2" width="18.54296875" style="16" bestFit="1" customWidth="1"/>
    <col min="3" max="13" width="8.7265625" style="16"/>
    <col min="14" max="14" width="4.54296875" style="23" bestFit="1" customWidth="1"/>
    <col min="15" max="15" width="20.90625" style="16" bestFit="1" customWidth="1"/>
    <col min="16" max="31" width="8.7265625" style="16"/>
    <col min="32" max="32" width="8.81640625" style="16" customWidth="1"/>
    <col min="33" max="34" width="9.26953125" style="16" bestFit="1" customWidth="1"/>
    <col min="35" max="16384" width="8.7265625" style="16"/>
  </cols>
  <sheetData>
    <row r="1" spans="1:45" x14ac:dyDescent="0.3">
      <c r="A1" s="2"/>
      <c r="B1" s="2"/>
      <c r="C1" s="189" t="s">
        <v>94</v>
      </c>
      <c r="D1" s="189"/>
      <c r="E1" s="189"/>
      <c r="F1" s="189" t="s">
        <v>60</v>
      </c>
      <c r="G1" s="189"/>
      <c r="H1" s="189"/>
      <c r="I1" s="189" t="s">
        <v>59</v>
      </c>
      <c r="J1" s="189"/>
      <c r="K1" s="189"/>
      <c r="N1" s="21"/>
      <c r="O1" s="2"/>
      <c r="P1" s="189" t="s">
        <v>94</v>
      </c>
      <c r="Q1" s="189"/>
      <c r="R1" s="189"/>
      <c r="S1" s="189" t="s">
        <v>60</v>
      </c>
      <c r="T1" s="189"/>
      <c r="U1" s="189"/>
      <c r="V1" s="189" t="s">
        <v>59</v>
      </c>
      <c r="W1" s="189"/>
      <c r="X1" s="189"/>
      <c r="AF1" s="16" t="s">
        <v>332</v>
      </c>
      <c r="AL1" s="2"/>
      <c r="AM1" s="2"/>
      <c r="AN1" s="194" t="s">
        <v>94</v>
      </c>
      <c r="AO1" s="195"/>
      <c r="AP1" s="195"/>
      <c r="AQ1" s="195"/>
      <c r="AR1" s="195"/>
      <c r="AS1" s="195"/>
    </row>
    <row r="2" spans="1:45" s="19" customFormat="1" ht="56" x14ac:dyDescent="0.3">
      <c r="A2" s="18" t="s">
        <v>52</v>
      </c>
      <c r="B2" s="10" t="s">
        <v>48</v>
      </c>
      <c r="C2" s="11">
        <v>2013</v>
      </c>
      <c r="D2" s="11">
        <v>2018</v>
      </c>
      <c r="E2" s="11" t="s">
        <v>51</v>
      </c>
      <c r="F2" s="10">
        <v>2013</v>
      </c>
      <c r="G2" s="10">
        <v>2018</v>
      </c>
      <c r="H2" s="10" t="s">
        <v>51</v>
      </c>
      <c r="I2" s="12">
        <v>2013</v>
      </c>
      <c r="J2" s="12">
        <v>2018</v>
      </c>
      <c r="K2" s="12" t="s">
        <v>51</v>
      </c>
      <c r="N2" s="22" t="s">
        <v>52</v>
      </c>
      <c r="O2" s="10" t="s">
        <v>48</v>
      </c>
      <c r="P2" s="11" t="s">
        <v>91</v>
      </c>
      <c r="Q2" s="11" t="s">
        <v>92</v>
      </c>
      <c r="R2" s="11" t="s">
        <v>93</v>
      </c>
      <c r="S2" s="10" t="s">
        <v>91</v>
      </c>
      <c r="T2" s="10" t="s">
        <v>92</v>
      </c>
      <c r="U2" s="10" t="s">
        <v>93</v>
      </c>
      <c r="V2" s="12" t="s">
        <v>91</v>
      </c>
      <c r="W2" s="12" t="s">
        <v>92</v>
      </c>
      <c r="X2" s="12" t="s">
        <v>93</v>
      </c>
      <c r="Y2" s="19" t="s">
        <v>319</v>
      </c>
      <c r="AE2" s="10" t="s">
        <v>48</v>
      </c>
      <c r="AF2" s="11">
        <v>2013</v>
      </c>
      <c r="AG2" s="11">
        <v>2018</v>
      </c>
      <c r="AH2" s="11" t="s">
        <v>51</v>
      </c>
      <c r="AI2" s="92" t="s">
        <v>333</v>
      </c>
      <c r="AL2" s="18" t="s">
        <v>52</v>
      </c>
      <c r="AM2" s="10" t="s">
        <v>48</v>
      </c>
      <c r="AN2" s="10">
        <v>2013</v>
      </c>
      <c r="AO2" s="10">
        <v>2018</v>
      </c>
      <c r="AP2" s="10" t="s">
        <v>51</v>
      </c>
      <c r="AQ2" s="10" t="s">
        <v>91</v>
      </c>
      <c r="AR2" s="10" t="s">
        <v>92</v>
      </c>
      <c r="AS2" s="10" t="s">
        <v>93</v>
      </c>
    </row>
    <row r="3" spans="1:45" x14ac:dyDescent="0.3">
      <c r="A3" s="2">
        <v>1</v>
      </c>
      <c r="B3" s="3" t="s">
        <v>0</v>
      </c>
      <c r="C3" s="7">
        <v>11139</v>
      </c>
      <c r="D3" s="7">
        <v>8948</v>
      </c>
      <c r="E3" s="7">
        <v>9070</v>
      </c>
      <c r="F3" s="17">
        <v>9404</v>
      </c>
      <c r="G3" s="17">
        <v>8739</v>
      </c>
      <c r="H3" s="17">
        <v>9070</v>
      </c>
      <c r="I3" s="13">
        <v>1735</v>
      </c>
      <c r="J3" s="13">
        <v>209</v>
      </c>
      <c r="K3" s="13">
        <v>209</v>
      </c>
      <c r="N3" s="21">
        <v>1</v>
      </c>
      <c r="O3" s="3" t="s">
        <v>0</v>
      </c>
      <c r="P3" s="24">
        <v>2.931267462129866</v>
      </c>
      <c r="Q3" s="24">
        <v>2.1341852520023665</v>
      </c>
      <c r="R3" s="24">
        <v>2.019899461564286</v>
      </c>
      <c r="S3" s="26">
        <v>2.4746960421823556</v>
      </c>
      <c r="T3" s="26">
        <v>2.0843367140420965</v>
      </c>
      <c r="U3" s="26">
        <v>2.019899461564286</v>
      </c>
      <c r="V3" s="29">
        <v>0.45657141994751033</v>
      </c>
      <c r="W3" s="29">
        <v>4.9848537960269848E-2</v>
      </c>
      <c r="X3" s="29">
        <v>4.6544541065814307E-2</v>
      </c>
      <c r="Y3" s="78">
        <f>R3-P3</f>
        <v>-0.91136800056557998</v>
      </c>
      <c r="AE3" s="3" t="s">
        <v>0</v>
      </c>
      <c r="AF3" s="7">
        <v>0</v>
      </c>
      <c r="AG3" s="7">
        <v>57705</v>
      </c>
      <c r="AH3" s="35">
        <v>5043.8935155116633</v>
      </c>
      <c r="AI3" s="16">
        <f>E3/AG3</f>
        <v>0.15717875400745168</v>
      </c>
      <c r="AL3" s="2">
        <v>1</v>
      </c>
      <c r="AM3" s="3" t="s">
        <v>0</v>
      </c>
      <c r="AN3" s="7">
        <v>11139</v>
      </c>
      <c r="AO3" s="7">
        <v>8948</v>
      </c>
      <c r="AP3" s="7">
        <v>9070</v>
      </c>
      <c r="AQ3" s="29">
        <v>2.931267462129866</v>
      </c>
      <c r="AR3" s="29">
        <v>2.1341852520023665</v>
      </c>
      <c r="AS3" s="29">
        <v>2.019899461564286</v>
      </c>
    </row>
    <row r="4" spans="1:45" x14ac:dyDescent="0.3">
      <c r="A4" s="2">
        <v>2</v>
      </c>
      <c r="B4" s="3" t="s">
        <v>1</v>
      </c>
      <c r="C4" s="7">
        <v>30</v>
      </c>
      <c r="D4" s="7">
        <v>1438</v>
      </c>
      <c r="E4" s="35">
        <v>32.625348061000572</v>
      </c>
      <c r="F4" s="17">
        <v>30</v>
      </c>
      <c r="G4" s="17">
        <v>769</v>
      </c>
      <c r="H4" s="17">
        <v>2.9659407328182339</v>
      </c>
      <c r="I4" s="13">
        <v>0</v>
      </c>
      <c r="J4" s="13">
        <v>669</v>
      </c>
      <c r="K4" s="13">
        <v>29.65940732818234</v>
      </c>
      <c r="N4" s="21">
        <v>2</v>
      </c>
      <c r="O4" s="3" t="s">
        <v>1</v>
      </c>
      <c r="P4" s="24">
        <v>1.147359073900709E-2</v>
      </c>
      <c r="Q4" s="24">
        <v>0.45981373450834601</v>
      </c>
      <c r="R4" s="24">
        <v>9.1672595404304561E-3</v>
      </c>
      <c r="S4" s="26">
        <v>1.147359073900709E-2</v>
      </c>
      <c r="T4" s="26">
        <v>0.24589482742483873</v>
      </c>
      <c r="U4" s="26">
        <v>8.3338723094822321E-4</v>
      </c>
      <c r="V4" s="29">
        <v>0</v>
      </c>
      <c r="W4" s="29">
        <v>0.2139189070835073</v>
      </c>
      <c r="X4" s="29">
        <v>8.3338723094822341E-3</v>
      </c>
      <c r="Y4" s="78">
        <f t="shared" ref="Y4:Y49" si="0">R4-P4</f>
        <v>-2.3063311985766343E-3</v>
      </c>
      <c r="AE4" s="3" t="s">
        <v>1</v>
      </c>
      <c r="AF4" s="7">
        <v>0</v>
      </c>
      <c r="AG4" s="7">
        <v>46082</v>
      </c>
      <c r="AH4" s="7">
        <v>66717.353814379763</v>
      </c>
      <c r="AI4" s="16">
        <f t="shared" ref="AI4:AI50" si="1">E4/AH4</f>
        <v>4.8900842428149099E-4</v>
      </c>
      <c r="AL4" s="2">
        <v>2</v>
      </c>
      <c r="AM4" s="3" t="s">
        <v>1</v>
      </c>
      <c r="AN4" s="7">
        <v>30</v>
      </c>
      <c r="AO4" s="7">
        <v>1438</v>
      </c>
      <c r="AP4" s="35">
        <v>32.625348061000572</v>
      </c>
      <c r="AQ4" s="29">
        <v>1.147359073900709E-2</v>
      </c>
      <c r="AR4" s="29">
        <v>0.45981373450834601</v>
      </c>
      <c r="AS4" s="29">
        <v>9.1672595404304561E-3</v>
      </c>
    </row>
    <row r="5" spans="1:45" x14ac:dyDescent="0.3">
      <c r="A5" s="2">
        <v>3</v>
      </c>
      <c r="B5" s="3" t="s">
        <v>2</v>
      </c>
      <c r="C5" s="7">
        <v>943</v>
      </c>
      <c r="D5" s="7">
        <v>1055</v>
      </c>
      <c r="E5" s="7">
        <v>2055</v>
      </c>
      <c r="F5" s="17">
        <v>943</v>
      </c>
      <c r="G5" s="17">
        <v>1055</v>
      </c>
      <c r="H5" s="17">
        <v>2055</v>
      </c>
      <c r="I5" s="13">
        <v>0</v>
      </c>
      <c r="J5" s="13">
        <v>6</v>
      </c>
      <c r="K5" s="13">
        <v>6</v>
      </c>
      <c r="N5" s="21">
        <v>3</v>
      </c>
      <c r="O5" s="3" t="s">
        <v>2</v>
      </c>
      <c r="P5" s="24">
        <v>0.91475861164476124</v>
      </c>
      <c r="Q5" s="24">
        <v>0.88353401210240634</v>
      </c>
      <c r="R5" s="24">
        <v>1.5389956791292114</v>
      </c>
      <c r="S5" s="26">
        <v>0.91475861164476124</v>
      </c>
      <c r="T5" s="26">
        <v>0.88353401210240634</v>
      </c>
      <c r="U5" s="26">
        <v>1.5389956791292114</v>
      </c>
      <c r="V5" s="29">
        <v>0</v>
      </c>
      <c r="W5" s="29">
        <v>5.0248379835207942E-3</v>
      </c>
      <c r="X5" s="29">
        <v>4.4934180412531726E-3</v>
      </c>
      <c r="Y5" s="78">
        <f t="shared" si="0"/>
        <v>0.62423706748445018</v>
      </c>
      <c r="AE5" s="3" t="s">
        <v>2</v>
      </c>
      <c r="AF5" s="7">
        <v>4880</v>
      </c>
      <c r="AG5" s="7">
        <v>3410</v>
      </c>
      <c r="AH5" s="7">
        <v>5893</v>
      </c>
      <c r="AI5" s="16">
        <f t="shared" si="1"/>
        <v>0.34871881893772272</v>
      </c>
      <c r="AL5" s="2">
        <v>3</v>
      </c>
      <c r="AM5" s="3" t="s">
        <v>2</v>
      </c>
      <c r="AN5" s="7">
        <v>943</v>
      </c>
      <c r="AO5" s="7">
        <v>1055</v>
      </c>
      <c r="AP5" s="7">
        <v>2055</v>
      </c>
      <c r="AQ5" s="29">
        <v>0.91475861164476124</v>
      </c>
      <c r="AR5" s="29">
        <v>0.88353401210240634</v>
      </c>
      <c r="AS5" s="29">
        <v>1.5389956791292114</v>
      </c>
    </row>
    <row r="6" spans="1:45" x14ac:dyDescent="0.3">
      <c r="A6" s="2">
        <v>4</v>
      </c>
      <c r="B6" s="3" t="s">
        <v>3</v>
      </c>
      <c r="C6" s="7">
        <v>1501</v>
      </c>
      <c r="D6" s="7">
        <v>0</v>
      </c>
      <c r="E6" s="7">
        <v>0</v>
      </c>
      <c r="F6" s="17">
        <v>1501</v>
      </c>
      <c r="G6" s="17">
        <v>0</v>
      </c>
      <c r="H6" s="17">
        <v>0</v>
      </c>
      <c r="I6" s="13">
        <v>0</v>
      </c>
      <c r="J6" s="13">
        <v>0</v>
      </c>
      <c r="K6" s="13">
        <v>0</v>
      </c>
      <c r="N6" s="21">
        <v>4</v>
      </c>
      <c r="O6" s="3" t="s">
        <v>3</v>
      </c>
      <c r="P6" s="24">
        <v>6.7695615975984937</v>
      </c>
      <c r="Q6" s="24">
        <v>0</v>
      </c>
      <c r="R6" s="24">
        <v>0</v>
      </c>
      <c r="S6" s="26">
        <v>6.7695615975984937</v>
      </c>
      <c r="T6" s="26">
        <v>0</v>
      </c>
      <c r="U6" s="26">
        <v>0</v>
      </c>
      <c r="V6" s="29">
        <v>0</v>
      </c>
      <c r="W6" s="29">
        <v>0</v>
      </c>
      <c r="X6" s="29">
        <v>0</v>
      </c>
      <c r="Y6" s="78">
        <f t="shared" si="0"/>
        <v>-6.7695615975984937</v>
      </c>
      <c r="AE6" s="3" t="s">
        <v>3</v>
      </c>
      <c r="AF6" s="7">
        <v>5816</v>
      </c>
      <c r="AG6" s="7">
        <v>7645</v>
      </c>
      <c r="AH6" s="7">
        <v>8028</v>
      </c>
      <c r="AI6" s="16">
        <f>C6/AH6</f>
        <v>0.1869706028898854</v>
      </c>
      <c r="AL6" s="2">
        <v>4</v>
      </c>
      <c r="AM6" s="3" t="s">
        <v>3</v>
      </c>
      <c r="AN6" s="7">
        <v>1501</v>
      </c>
      <c r="AO6" s="7">
        <v>0</v>
      </c>
      <c r="AP6" s="7">
        <v>0</v>
      </c>
      <c r="AQ6" s="29">
        <v>6.7695615975984937</v>
      </c>
      <c r="AR6" s="29">
        <v>0</v>
      </c>
      <c r="AS6" s="29">
        <v>0</v>
      </c>
    </row>
    <row r="7" spans="1:45" x14ac:dyDescent="0.3">
      <c r="A7" s="2">
        <v>5</v>
      </c>
      <c r="B7" s="3" t="s">
        <v>4</v>
      </c>
      <c r="C7" s="7">
        <v>1591</v>
      </c>
      <c r="D7" s="7">
        <v>6569</v>
      </c>
      <c r="E7" s="7">
        <v>9294</v>
      </c>
      <c r="F7" s="17">
        <v>0</v>
      </c>
      <c r="G7" s="17">
        <v>3583</v>
      </c>
      <c r="H7" s="17">
        <v>5686</v>
      </c>
      <c r="I7" s="13">
        <v>0</v>
      </c>
      <c r="J7" s="13">
        <v>2986</v>
      </c>
      <c r="K7" s="13">
        <v>3608</v>
      </c>
      <c r="N7" s="21">
        <v>5</v>
      </c>
      <c r="O7" s="3" t="s">
        <v>4</v>
      </c>
      <c r="P7" s="24">
        <v>0.90211115840910339</v>
      </c>
      <c r="Q7" s="24">
        <v>3.2212471085886865</v>
      </c>
      <c r="R7" s="24">
        <v>4.0990110066428311</v>
      </c>
      <c r="S7" s="26">
        <v>0</v>
      </c>
      <c r="T7" s="26">
        <v>1.7569992982300597</v>
      </c>
      <c r="U7" s="26">
        <v>2.5077444140059324</v>
      </c>
      <c r="V7" s="29">
        <v>0</v>
      </c>
      <c r="W7" s="29">
        <v>1.4642478103586265</v>
      </c>
      <c r="X7" s="29">
        <v>1.5912665926368985</v>
      </c>
      <c r="Y7" s="78">
        <f t="shared" si="0"/>
        <v>3.1968998482337279</v>
      </c>
      <c r="AE7" s="3" t="s">
        <v>4</v>
      </c>
      <c r="AF7" s="7">
        <v>6196</v>
      </c>
      <c r="AG7" s="7">
        <v>10325</v>
      </c>
      <c r="AH7" s="7">
        <v>13961</v>
      </c>
      <c r="AI7" s="16">
        <f t="shared" si="1"/>
        <v>0.66571162524174488</v>
      </c>
      <c r="AL7" s="2">
        <v>5</v>
      </c>
      <c r="AM7" s="3" t="s">
        <v>4</v>
      </c>
      <c r="AN7" s="7">
        <v>1591</v>
      </c>
      <c r="AO7" s="7">
        <v>6569</v>
      </c>
      <c r="AP7" s="7">
        <v>9294</v>
      </c>
      <c r="AQ7" s="29">
        <v>0.90211115840910339</v>
      </c>
      <c r="AR7" s="29">
        <v>3.2212471085886865</v>
      </c>
      <c r="AS7" s="29">
        <v>4.0990110066428311</v>
      </c>
    </row>
    <row r="8" spans="1:45" x14ac:dyDescent="0.3">
      <c r="A8" s="2">
        <v>6</v>
      </c>
      <c r="B8" s="3" t="s">
        <v>5</v>
      </c>
      <c r="C8" s="7">
        <v>35</v>
      </c>
      <c r="D8" s="7">
        <v>160</v>
      </c>
      <c r="E8" s="7">
        <v>178.72552788162812</v>
      </c>
      <c r="F8" s="17">
        <v>35</v>
      </c>
      <c r="G8" s="17">
        <v>41</v>
      </c>
      <c r="H8" s="17">
        <v>143</v>
      </c>
      <c r="I8" s="13">
        <v>0</v>
      </c>
      <c r="J8" s="13">
        <v>119</v>
      </c>
      <c r="K8" s="13">
        <v>119</v>
      </c>
      <c r="N8" s="21">
        <v>6</v>
      </c>
      <c r="O8" s="3" t="s">
        <v>5</v>
      </c>
      <c r="P8" s="24">
        <v>3.4484194046500945E-2</v>
      </c>
      <c r="Q8" s="24">
        <v>0.13920945127767095</v>
      </c>
      <c r="R8" s="24">
        <v>0.13865896050318505</v>
      </c>
      <c r="S8" s="26">
        <v>3.4484194046500945E-2</v>
      </c>
      <c r="T8" s="26">
        <v>3.5672421889903182E-2</v>
      </c>
      <c r="U8" s="26">
        <v>0.11094235718295327</v>
      </c>
      <c r="V8" s="29">
        <v>0</v>
      </c>
      <c r="W8" s="29">
        <v>0.10353702938776778</v>
      </c>
      <c r="X8" s="29">
        <v>9.2322660872527537E-2</v>
      </c>
      <c r="Y8" s="78">
        <f t="shared" si="0"/>
        <v>0.10417476645668411</v>
      </c>
      <c r="AE8" s="3" t="s">
        <v>5</v>
      </c>
      <c r="AF8" s="7">
        <v>6573</v>
      </c>
      <c r="AG8" s="7">
        <v>9156</v>
      </c>
      <c r="AH8" s="7">
        <v>9372</v>
      </c>
      <c r="AI8" s="16">
        <f t="shared" si="1"/>
        <v>1.9070158758176282E-2</v>
      </c>
      <c r="AL8" s="2">
        <v>6</v>
      </c>
      <c r="AM8" s="3" t="s">
        <v>5</v>
      </c>
      <c r="AN8" s="7">
        <v>35</v>
      </c>
      <c r="AO8" s="7">
        <v>160</v>
      </c>
      <c r="AP8" s="7">
        <v>178.72552788162812</v>
      </c>
      <c r="AQ8" s="29">
        <v>3.4484194046500945E-2</v>
      </c>
      <c r="AR8" s="29">
        <v>0.13920945127767095</v>
      </c>
      <c r="AS8" s="29">
        <v>0.13865896050318505</v>
      </c>
    </row>
    <row r="9" spans="1:45" x14ac:dyDescent="0.3">
      <c r="A9" s="2">
        <v>7</v>
      </c>
      <c r="B9" s="3" t="s">
        <v>6</v>
      </c>
      <c r="C9" s="7">
        <v>127</v>
      </c>
      <c r="D9" s="7">
        <v>690</v>
      </c>
      <c r="E9" s="7">
        <v>1674</v>
      </c>
      <c r="F9" s="17">
        <v>127</v>
      </c>
      <c r="G9" s="17">
        <v>690</v>
      </c>
      <c r="H9" s="17">
        <v>1578</v>
      </c>
      <c r="I9" s="13">
        <v>0</v>
      </c>
      <c r="J9" s="13">
        <v>0</v>
      </c>
      <c r="K9" s="13">
        <v>77</v>
      </c>
      <c r="N9" s="21">
        <v>7</v>
      </c>
      <c r="O9" s="3" t="s">
        <v>6</v>
      </c>
      <c r="P9" s="24">
        <v>5.870701271445971E-2</v>
      </c>
      <c r="Q9" s="24">
        <v>0.27515531171477908</v>
      </c>
      <c r="R9" s="24">
        <v>0.59968754989000106</v>
      </c>
      <c r="S9" s="26">
        <v>5.870701271445971E-2</v>
      </c>
      <c r="T9" s="26">
        <v>0.27515531171477908</v>
      </c>
      <c r="U9" s="26">
        <v>0.56529686602534157</v>
      </c>
      <c r="V9" s="29">
        <v>0</v>
      </c>
      <c r="W9" s="29">
        <v>0</v>
      </c>
      <c r="X9" s="29">
        <v>2.7584194349779025E-2</v>
      </c>
      <c r="Y9" s="78">
        <f t="shared" si="0"/>
        <v>0.5409805371755414</v>
      </c>
      <c r="AE9" s="3" t="s">
        <v>6</v>
      </c>
      <c r="AF9" s="7">
        <v>18954</v>
      </c>
      <c r="AG9" s="7">
        <v>9925</v>
      </c>
      <c r="AH9" s="7">
        <v>16473</v>
      </c>
      <c r="AI9" s="16">
        <f t="shared" si="1"/>
        <v>0.10162083409215079</v>
      </c>
      <c r="AL9" s="2">
        <v>7</v>
      </c>
      <c r="AM9" s="3" t="s">
        <v>6</v>
      </c>
      <c r="AN9" s="7">
        <v>127</v>
      </c>
      <c r="AO9" s="7">
        <v>690</v>
      </c>
      <c r="AP9" s="7">
        <v>1674</v>
      </c>
      <c r="AQ9" s="29">
        <v>5.870701271445971E-2</v>
      </c>
      <c r="AR9" s="29">
        <v>0.27515531171477908</v>
      </c>
      <c r="AS9" s="29">
        <v>0.59968754989000106</v>
      </c>
    </row>
    <row r="10" spans="1:45" x14ac:dyDescent="0.3">
      <c r="A10" s="2">
        <v>8</v>
      </c>
      <c r="B10" s="3" t="s">
        <v>7</v>
      </c>
      <c r="C10" s="7">
        <v>0</v>
      </c>
      <c r="D10" s="7">
        <v>27</v>
      </c>
      <c r="E10" s="7">
        <v>27</v>
      </c>
      <c r="F10" s="17">
        <v>0</v>
      </c>
      <c r="G10" s="17">
        <v>7</v>
      </c>
      <c r="H10" s="17">
        <v>7</v>
      </c>
      <c r="I10" s="13">
        <v>0</v>
      </c>
      <c r="J10" s="13">
        <v>20</v>
      </c>
      <c r="K10" s="13">
        <v>20</v>
      </c>
      <c r="N10" s="21">
        <v>8</v>
      </c>
      <c r="O10" s="3" t="s">
        <v>7</v>
      </c>
      <c r="P10" s="24">
        <v>0</v>
      </c>
      <c r="Q10" s="24">
        <v>0.47268783432816613</v>
      </c>
      <c r="R10" s="24">
        <v>0.45519721419304904</v>
      </c>
      <c r="S10" s="26">
        <v>0</v>
      </c>
      <c r="T10" s="26">
        <v>0.12254869778878381</v>
      </c>
      <c r="U10" s="26">
        <v>0.11801409256856828</v>
      </c>
      <c r="V10" s="29">
        <v>0</v>
      </c>
      <c r="W10" s="29">
        <v>0.35013913653938233</v>
      </c>
      <c r="X10" s="29">
        <v>0.33718312162448077</v>
      </c>
      <c r="Y10" s="78">
        <f t="shared" si="0"/>
        <v>0.45519721419304904</v>
      </c>
      <c r="AE10" s="3" t="s">
        <v>7</v>
      </c>
      <c r="AF10" s="7">
        <v>403</v>
      </c>
      <c r="AG10" s="7">
        <v>768</v>
      </c>
      <c r="AH10" s="7">
        <v>941</v>
      </c>
      <c r="AI10" s="16">
        <f t="shared" si="1"/>
        <v>2.8692879914984058E-2</v>
      </c>
      <c r="AL10" s="2">
        <v>8</v>
      </c>
      <c r="AM10" s="3" t="s">
        <v>7</v>
      </c>
      <c r="AN10" s="7">
        <v>0</v>
      </c>
      <c r="AO10" s="7">
        <v>27</v>
      </c>
      <c r="AP10" s="7">
        <v>27</v>
      </c>
      <c r="AQ10" s="29">
        <v>0</v>
      </c>
      <c r="AR10" s="29">
        <v>0.47268783432816613</v>
      </c>
      <c r="AS10" s="29">
        <v>0.45519721419304904</v>
      </c>
    </row>
    <row r="11" spans="1:45" x14ac:dyDescent="0.3">
      <c r="A11" s="2">
        <v>9</v>
      </c>
      <c r="B11" s="3" t="s">
        <v>8</v>
      </c>
      <c r="C11" s="7">
        <v>514</v>
      </c>
      <c r="D11" s="7">
        <v>444</v>
      </c>
      <c r="E11" s="7">
        <v>537</v>
      </c>
      <c r="F11" s="17">
        <v>241</v>
      </c>
      <c r="G11" s="17">
        <v>276</v>
      </c>
      <c r="H11" s="17">
        <v>166.93548387096774</v>
      </c>
      <c r="I11" s="13">
        <v>273</v>
      </c>
      <c r="J11" s="13">
        <v>168</v>
      </c>
      <c r="K11" s="13">
        <v>197</v>
      </c>
      <c r="N11" s="21">
        <v>9</v>
      </c>
      <c r="O11" s="3" t="s">
        <v>8</v>
      </c>
      <c r="P11" s="24">
        <v>1.0702918325592956</v>
      </c>
      <c r="Q11" s="24">
        <v>0.87148022093201294</v>
      </c>
      <c r="R11" s="24">
        <v>0.96251333201951084</v>
      </c>
      <c r="S11" s="26">
        <v>0.50182943900153743</v>
      </c>
      <c r="T11" s="26">
        <v>0.54173094814692691</v>
      </c>
      <c r="U11" s="26">
        <v>0.2992134614766005</v>
      </c>
      <c r="V11" s="29">
        <v>0.56846239355775818</v>
      </c>
      <c r="W11" s="29">
        <v>0.32974927278508598</v>
      </c>
      <c r="X11" s="29">
        <v>0.35310079405557471</v>
      </c>
      <c r="Y11" s="78">
        <f t="shared" si="0"/>
        <v>-0.10777850053978477</v>
      </c>
      <c r="AE11" s="3" t="s">
        <v>8</v>
      </c>
      <c r="AF11" s="7">
        <v>322</v>
      </c>
      <c r="AG11" s="7">
        <v>1195</v>
      </c>
      <c r="AH11" s="7">
        <v>648.48014888337468</v>
      </c>
      <c r="AI11" s="16">
        <f t="shared" si="1"/>
        <v>0.82809011335916205</v>
      </c>
      <c r="AL11" s="2">
        <v>9</v>
      </c>
      <c r="AM11" s="3" t="s">
        <v>8</v>
      </c>
      <c r="AN11" s="7">
        <v>514</v>
      </c>
      <c r="AO11" s="7">
        <v>444</v>
      </c>
      <c r="AP11" s="7">
        <v>537</v>
      </c>
      <c r="AQ11" s="29">
        <v>1.0702918325592956</v>
      </c>
      <c r="AR11" s="29">
        <v>0.87148022093201294</v>
      </c>
      <c r="AS11" s="29">
        <v>0.96251333201951084</v>
      </c>
    </row>
    <row r="12" spans="1:45" x14ac:dyDescent="0.3">
      <c r="A12" s="2">
        <v>10</v>
      </c>
      <c r="B12" s="3" t="s">
        <v>9</v>
      </c>
      <c r="C12" s="7">
        <v>451</v>
      </c>
      <c r="D12" s="7">
        <v>936</v>
      </c>
      <c r="E12" s="7">
        <v>904.24132573795964</v>
      </c>
      <c r="F12" s="17">
        <v>0</v>
      </c>
      <c r="G12" s="17">
        <v>744</v>
      </c>
      <c r="H12" s="17">
        <v>758.73122734334538</v>
      </c>
      <c r="I12" s="13">
        <v>0</v>
      </c>
      <c r="J12" s="13">
        <v>192</v>
      </c>
      <c r="K12" s="13">
        <v>145.5100983946142</v>
      </c>
      <c r="N12" s="21">
        <v>10</v>
      </c>
      <c r="O12" s="3" t="s">
        <v>9</v>
      </c>
      <c r="P12" s="24">
        <v>0.3412332358296562</v>
      </c>
      <c r="Q12" s="24">
        <v>0.5998381206097585</v>
      </c>
      <c r="R12" s="24">
        <v>0.51019876995240343</v>
      </c>
      <c r="S12" s="26">
        <v>0</v>
      </c>
      <c r="T12" s="26">
        <v>0.47679440356160291</v>
      </c>
      <c r="U12" s="26">
        <v>0.42809781846580963</v>
      </c>
      <c r="V12" s="29">
        <v>0</v>
      </c>
      <c r="W12" s="29">
        <v>0.12304371704815559</v>
      </c>
      <c r="X12" s="29">
        <v>8.2100951486593646E-2</v>
      </c>
      <c r="Y12" s="78">
        <f t="shared" si="0"/>
        <v>0.16896553412274723</v>
      </c>
      <c r="AE12" s="3" t="s">
        <v>9</v>
      </c>
      <c r="AF12" s="7">
        <v>3606</v>
      </c>
      <c r="AG12" s="7">
        <v>4799</v>
      </c>
      <c r="AH12" s="7">
        <v>3387.151734852408</v>
      </c>
      <c r="AI12" s="16">
        <f t="shared" si="1"/>
        <v>0.2669621547903171</v>
      </c>
      <c r="AL12" s="2">
        <v>10</v>
      </c>
      <c r="AM12" s="3" t="s">
        <v>9</v>
      </c>
      <c r="AN12" s="7">
        <v>451</v>
      </c>
      <c r="AO12" s="7">
        <v>936</v>
      </c>
      <c r="AP12" s="7">
        <v>904.24132573795964</v>
      </c>
      <c r="AQ12" s="29">
        <v>0.3412332358296562</v>
      </c>
      <c r="AR12" s="29">
        <v>0.5998381206097585</v>
      </c>
      <c r="AS12" s="29">
        <v>0.51019876995240343</v>
      </c>
    </row>
    <row r="13" spans="1:45" x14ac:dyDescent="0.3">
      <c r="A13" s="2">
        <v>11</v>
      </c>
      <c r="B13" s="3" t="s">
        <v>10</v>
      </c>
      <c r="C13" s="7">
        <v>295</v>
      </c>
      <c r="D13" s="7">
        <v>487</v>
      </c>
      <c r="E13" s="7">
        <v>586</v>
      </c>
      <c r="F13" s="17">
        <v>284</v>
      </c>
      <c r="G13" s="17">
        <v>487</v>
      </c>
      <c r="H13" s="17">
        <v>586</v>
      </c>
      <c r="I13" s="13">
        <v>11</v>
      </c>
      <c r="J13" s="13">
        <v>0</v>
      </c>
      <c r="K13" s="13">
        <v>0</v>
      </c>
      <c r="N13" s="21">
        <v>11</v>
      </c>
      <c r="O13" s="3" t="s">
        <v>10</v>
      </c>
      <c r="P13" s="24">
        <v>4.2179462891008965</v>
      </c>
      <c r="Q13" s="24">
        <v>6.2732388397213183</v>
      </c>
      <c r="R13" s="24">
        <v>7.0030898445039211</v>
      </c>
      <c r="S13" s="26">
        <v>4.0606669359479817</v>
      </c>
      <c r="T13" s="26">
        <v>6.2732388397213183</v>
      </c>
      <c r="U13" s="26">
        <v>7.0030898445039211</v>
      </c>
      <c r="V13" s="29">
        <v>0.15727935315291477</v>
      </c>
      <c r="W13" s="29">
        <v>0</v>
      </c>
      <c r="X13" s="29">
        <v>0</v>
      </c>
      <c r="Y13" s="78">
        <f t="shared" si="0"/>
        <v>2.7851435554030246</v>
      </c>
      <c r="AE13" s="3" t="s">
        <v>10</v>
      </c>
      <c r="AF13" s="7">
        <v>0</v>
      </c>
      <c r="AG13" s="7">
        <v>747</v>
      </c>
      <c r="AH13" s="7">
        <v>784.97097407084357</v>
      </c>
      <c r="AI13" s="16">
        <f t="shared" si="1"/>
        <v>0.74652441855399554</v>
      </c>
      <c r="AL13" s="2">
        <v>11</v>
      </c>
      <c r="AM13" s="3" t="s">
        <v>10</v>
      </c>
      <c r="AN13" s="7">
        <v>295</v>
      </c>
      <c r="AO13" s="7">
        <v>487</v>
      </c>
      <c r="AP13" s="7">
        <v>586</v>
      </c>
      <c r="AQ13" s="29">
        <v>4.2179462891008965</v>
      </c>
      <c r="AR13" s="29">
        <v>6.2732388397213183</v>
      </c>
      <c r="AS13" s="29">
        <v>7.0030898445039211</v>
      </c>
    </row>
    <row r="14" spans="1:45" x14ac:dyDescent="0.3">
      <c r="A14" s="2">
        <v>12</v>
      </c>
      <c r="B14" s="3" t="s">
        <v>11</v>
      </c>
      <c r="C14" s="7">
        <v>1282</v>
      </c>
      <c r="D14" s="7">
        <v>1069</v>
      </c>
      <c r="E14" s="7">
        <v>1042.4138703986166</v>
      </c>
      <c r="F14" s="17">
        <v>1215</v>
      </c>
      <c r="G14" s="17">
        <v>921</v>
      </c>
      <c r="H14" s="17">
        <v>1042.4138703986166</v>
      </c>
      <c r="I14" s="13">
        <v>67</v>
      </c>
      <c r="J14" s="13">
        <v>148</v>
      </c>
      <c r="K14" s="13">
        <v>148</v>
      </c>
      <c r="N14" s="21">
        <v>12</v>
      </c>
      <c r="O14" s="3" t="s">
        <v>11</v>
      </c>
      <c r="P14" s="24">
        <v>2.6553072539493798</v>
      </c>
      <c r="Q14" s="24">
        <v>1.9646899814778815</v>
      </c>
      <c r="R14" s="24">
        <v>1.7459628837057743</v>
      </c>
      <c r="S14" s="26">
        <v>2.5165353459816662</v>
      </c>
      <c r="T14" s="26">
        <v>1.6926842590656024</v>
      </c>
      <c r="U14" s="26">
        <v>1.7459628837057743</v>
      </c>
      <c r="V14" s="29">
        <v>0.1387719079677133</v>
      </c>
      <c r="W14" s="29">
        <v>0.27200572241227922</v>
      </c>
      <c r="X14" s="29">
        <v>0.24788859216698844</v>
      </c>
      <c r="Y14" s="78">
        <f t="shared" si="0"/>
        <v>-0.90934437024360548</v>
      </c>
      <c r="AE14" s="3" t="s">
        <v>11</v>
      </c>
      <c r="AF14" s="7">
        <v>3289</v>
      </c>
      <c r="AG14" s="7">
        <v>5081</v>
      </c>
      <c r="AH14" s="7">
        <v>5573</v>
      </c>
      <c r="AI14" s="16">
        <f t="shared" si="1"/>
        <v>0.18704716856246484</v>
      </c>
      <c r="AL14" s="2">
        <v>12</v>
      </c>
      <c r="AM14" s="3" t="s">
        <v>11</v>
      </c>
      <c r="AN14" s="7">
        <v>1282</v>
      </c>
      <c r="AO14" s="7">
        <v>1069</v>
      </c>
      <c r="AP14" s="7">
        <v>1042.4138703986166</v>
      </c>
      <c r="AQ14" s="29">
        <v>2.6553072539493798</v>
      </c>
      <c r="AR14" s="29">
        <v>1.9646899814778815</v>
      </c>
      <c r="AS14" s="29">
        <v>1.7459628837057743</v>
      </c>
    </row>
    <row r="15" spans="1:45" x14ac:dyDescent="0.3">
      <c r="A15" s="2">
        <v>13</v>
      </c>
      <c r="B15" s="3" t="s">
        <v>12</v>
      </c>
      <c r="C15" s="7">
        <v>3851</v>
      </c>
      <c r="D15" s="7">
        <v>5460</v>
      </c>
      <c r="E15" s="7">
        <v>7425</v>
      </c>
      <c r="F15" s="17">
        <v>2627</v>
      </c>
      <c r="G15" s="17">
        <v>5456</v>
      </c>
      <c r="H15" s="17">
        <v>7421</v>
      </c>
      <c r="I15" s="13">
        <v>1224</v>
      </c>
      <c r="J15" s="13">
        <v>4</v>
      </c>
      <c r="K15" s="13">
        <v>4</v>
      </c>
      <c r="N15" s="21">
        <v>13</v>
      </c>
      <c r="O15" s="3" t="s">
        <v>12</v>
      </c>
      <c r="P15" s="24">
        <v>1.7138965478069101</v>
      </c>
      <c r="Q15" s="24">
        <v>2.1416813614707642</v>
      </c>
      <c r="R15" s="24">
        <v>2.6366679548165664</v>
      </c>
      <c r="S15" s="26">
        <v>1.1691524879482609</v>
      </c>
      <c r="T15" s="26">
        <v>2.1401123641363533</v>
      </c>
      <c r="U15" s="26">
        <v>2.6352475276355203</v>
      </c>
      <c r="V15" s="29">
        <v>0.54474405985864915</v>
      </c>
      <c r="W15" s="29">
        <v>1.5689973344108162E-3</v>
      </c>
      <c r="X15" s="29">
        <v>1.4204271810459616E-3</v>
      </c>
      <c r="Y15" s="78">
        <f t="shared" si="0"/>
        <v>0.92277140700965621</v>
      </c>
      <c r="AE15" s="3" t="s">
        <v>12</v>
      </c>
      <c r="AF15" s="7">
        <v>8780</v>
      </c>
      <c r="AG15" s="7">
        <v>15163</v>
      </c>
      <c r="AH15" s="7">
        <v>19225.233489577877</v>
      </c>
      <c r="AI15" s="16">
        <f t="shared" si="1"/>
        <v>0.38621117418548601</v>
      </c>
      <c r="AL15" s="2">
        <v>13</v>
      </c>
      <c r="AM15" s="3" t="s">
        <v>12</v>
      </c>
      <c r="AN15" s="7">
        <v>3851</v>
      </c>
      <c r="AO15" s="7">
        <v>5460</v>
      </c>
      <c r="AP15" s="7">
        <v>7425</v>
      </c>
      <c r="AQ15" s="29">
        <v>1.7138965478069101</v>
      </c>
      <c r="AR15" s="29">
        <v>2.1416813614707642</v>
      </c>
      <c r="AS15" s="29">
        <v>2.6366679548165664</v>
      </c>
    </row>
    <row r="16" spans="1:45" x14ac:dyDescent="0.3">
      <c r="A16" s="2">
        <v>14</v>
      </c>
      <c r="B16" s="3" t="s">
        <v>13</v>
      </c>
      <c r="C16" s="7">
        <v>1555</v>
      </c>
      <c r="D16" s="7">
        <v>3642</v>
      </c>
      <c r="E16" s="7">
        <v>3039.2846492442031</v>
      </c>
      <c r="F16" s="17">
        <v>0</v>
      </c>
      <c r="G16" s="17">
        <v>1990</v>
      </c>
      <c r="H16" s="17">
        <v>2640</v>
      </c>
      <c r="I16" s="13">
        <v>1555</v>
      </c>
      <c r="J16" s="13">
        <v>1652</v>
      </c>
      <c r="K16" s="13">
        <v>1652</v>
      </c>
      <c r="N16" s="21">
        <v>14</v>
      </c>
      <c r="O16" s="3" t="s">
        <v>13</v>
      </c>
      <c r="P16" s="24">
        <v>0.21167976524264812</v>
      </c>
      <c r="Q16" s="24">
        <v>0.41820078242128272</v>
      </c>
      <c r="R16" s="24">
        <v>0.30696678532959842</v>
      </c>
      <c r="S16" s="26">
        <v>0</v>
      </c>
      <c r="T16" s="26">
        <v>0.22850619357999796</v>
      </c>
      <c r="U16" s="26">
        <v>0.26663916243306296</v>
      </c>
      <c r="V16" s="29">
        <v>0.21167976524264812</v>
      </c>
      <c r="W16" s="29">
        <v>0.18969458884128473</v>
      </c>
      <c r="X16" s="29">
        <v>0.16685147588614394</v>
      </c>
      <c r="Y16" s="78">
        <f t="shared" si="0"/>
        <v>9.5287020086950308E-2</v>
      </c>
      <c r="AE16" s="3" t="s">
        <v>13</v>
      </c>
      <c r="AF16" s="7">
        <v>59813</v>
      </c>
      <c r="AG16" s="7">
        <v>103785</v>
      </c>
      <c r="AH16" s="7">
        <v>115316</v>
      </c>
      <c r="AI16" s="16">
        <f t="shared" si="1"/>
        <v>2.635614007808286E-2</v>
      </c>
      <c r="AL16" s="2">
        <v>14</v>
      </c>
      <c r="AM16" s="3" t="s">
        <v>13</v>
      </c>
      <c r="AN16" s="7">
        <v>1555</v>
      </c>
      <c r="AO16" s="7">
        <v>3642</v>
      </c>
      <c r="AP16" s="7">
        <v>3039.2846492442031</v>
      </c>
      <c r="AQ16" s="29">
        <v>0.21167976524264812</v>
      </c>
      <c r="AR16" s="29">
        <v>0.41820078242128272</v>
      </c>
      <c r="AS16" s="29">
        <v>0.30696678532959842</v>
      </c>
    </row>
    <row r="17" spans="1:45" x14ac:dyDescent="0.3">
      <c r="A17" s="2">
        <v>15</v>
      </c>
      <c r="B17" s="3" t="s">
        <v>14</v>
      </c>
      <c r="C17" s="7">
        <v>0</v>
      </c>
      <c r="D17" s="7">
        <v>51</v>
      </c>
      <c r="E17" s="7">
        <v>26.43386881936955</v>
      </c>
      <c r="F17" s="17">
        <v>0</v>
      </c>
      <c r="G17" s="17">
        <v>51</v>
      </c>
      <c r="H17" s="17">
        <v>26.43386881936955</v>
      </c>
      <c r="I17" s="13">
        <v>0</v>
      </c>
      <c r="J17" s="13">
        <v>0</v>
      </c>
      <c r="K17" s="13">
        <v>0</v>
      </c>
      <c r="N17" s="21">
        <v>15</v>
      </c>
      <c r="O17" s="3" t="s">
        <v>14</v>
      </c>
      <c r="P17" s="24">
        <v>0</v>
      </c>
      <c r="Q17" s="24">
        <v>0.33952658676252406</v>
      </c>
      <c r="R17" s="24">
        <v>0.15782281068195717</v>
      </c>
      <c r="S17" s="26">
        <v>0</v>
      </c>
      <c r="T17" s="26">
        <v>0.33952658676252406</v>
      </c>
      <c r="U17" s="26">
        <v>0.15782281068195717</v>
      </c>
      <c r="V17" s="29">
        <v>0</v>
      </c>
      <c r="W17" s="29">
        <v>0</v>
      </c>
      <c r="X17" s="29">
        <v>0</v>
      </c>
      <c r="Y17" s="78">
        <f t="shared" si="0"/>
        <v>0.15782281068195717</v>
      </c>
      <c r="AE17" s="3" t="s">
        <v>14</v>
      </c>
      <c r="AF17" s="7">
        <v>0</v>
      </c>
      <c r="AG17" s="7">
        <v>355</v>
      </c>
      <c r="AH17" s="7">
        <v>1375</v>
      </c>
      <c r="AI17" s="16">
        <f t="shared" si="1"/>
        <v>1.9224631868632401E-2</v>
      </c>
      <c r="AL17" s="2">
        <v>15</v>
      </c>
      <c r="AM17" s="3" t="s">
        <v>14</v>
      </c>
      <c r="AN17" s="7">
        <v>0</v>
      </c>
      <c r="AO17" s="7">
        <v>51</v>
      </c>
      <c r="AP17" s="7">
        <v>26.43386881936955</v>
      </c>
      <c r="AQ17" s="29">
        <v>0</v>
      </c>
      <c r="AR17" s="29">
        <v>0.33952658676252406</v>
      </c>
      <c r="AS17" s="29">
        <v>0.15782281068195717</v>
      </c>
    </row>
    <row r="18" spans="1:45" x14ac:dyDescent="0.3">
      <c r="A18" s="2">
        <v>16</v>
      </c>
      <c r="B18" s="3" t="s">
        <v>15</v>
      </c>
      <c r="C18" s="7">
        <v>0</v>
      </c>
      <c r="D18" s="7">
        <v>45</v>
      </c>
      <c r="E18" s="7">
        <v>67</v>
      </c>
      <c r="F18" s="17">
        <v>0</v>
      </c>
      <c r="G18" s="17">
        <v>45</v>
      </c>
      <c r="H18" s="17">
        <v>67</v>
      </c>
      <c r="I18" s="13">
        <v>0</v>
      </c>
      <c r="J18" s="13">
        <v>0</v>
      </c>
      <c r="K18" s="13">
        <v>0</v>
      </c>
      <c r="N18" s="21">
        <v>16</v>
      </c>
      <c r="O18" s="3" t="s">
        <v>15</v>
      </c>
      <c r="P18" s="24">
        <v>0</v>
      </c>
      <c r="Q18" s="24">
        <v>0.13060989451219315</v>
      </c>
      <c r="R18" s="24">
        <v>0.18186598024473993</v>
      </c>
      <c r="S18" s="26">
        <v>0</v>
      </c>
      <c r="T18" s="26">
        <v>0.13060989451219315</v>
      </c>
      <c r="U18" s="26">
        <v>0.18186598024473993</v>
      </c>
      <c r="V18" s="29">
        <v>0</v>
      </c>
      <c r="W18" s="29">
        <v>0</v>
      </c>
      <c r="X18" s="29">
        <v>0</v>
      </c>
      <c r="Y18" s="78">
        <f t="shared" si="0"/>
        <v>0.18186598024473993</v>
      </c>
      <c r="AE18" s="3" t="s">
        <v>15</v>
      </c>
      <c r="AF18" s="7">
        <v>4262</v>
      </c>
      <c r="AG18" s="7">
        <v>4971</v>
      </c>
      <c r="AH18" s="7">
        <v>5007</v>
      </c>
      <c r="AI18" s="16">
        <f t="shared" si="1"/>
        <v>1.3381266227281806E-2</v>
      </c>
      <c r="AL18" s="2">
        <v>16</v>
      </c>
      <c r="AM18" s="3" t="s">
        <v>15</v>
      </c>
      <c r="AN18" s="7">
        <v>0</v>
      </c>
      <c r="AO18" s="7">
        <v>45</v>
      </c>
      <c r="AP18" s="7">
        <v>67</v>
      </c>
      <c r="AQ18" s="29">
        <v>0</v>
      </c>
      <c r="AR18" s="29">
        <v>0.13060989451219315</v>
      </c>
      <c r="AS18" s="29">
        <v>0.18186598024473993</v>
      </c>
    </row>
    <row r="19" spans="1:45" x14ac:dyDescent="0.3">
      <c r="A19" s="2">
        <v>17</v>
      </c>
      <c r="B19" s="3" t="s">
        <v>16</v>
      </c>
      <c r="C19" s="7">
        <v>0</v>
      </c>
      <c r="D19" s="7">
        <v>14</v>
      </c>
      <c r="E19" s="7">
        <v>14</v>
      </c>
      <c r="F19" s="17">
        <v>0</v>
      </c>
      <c r="G19" s="17">
        <v>14</v>
      </c>
      <c r="H19" s="17">
        <v>14</v>
      </c>
      <c r="I19" s="13">
        <v>0</v>
      </c>
      <c r="J19" s="13">
        <v>0</v>
      </c>
      <c r="K19" s="13">
        <v>0</v>
      </c>
      <c r="N19" s="21">
        <v>17</v>
      </c>
      <c r="O19" s="3" t="s">
        <v>16</v>
      </c>
      <c r="P19" s="24">
        <v>0</v>
      </c>
      <c r="Q19" s="24">
        <v>0.12064519325851895</v>
      </c>
      <c r="R19" s="24">
        <v>0.11650448271801633</v>
      </c>
      <c r="S19" s="26">
        <v>0</v>
      </c>
      <c r="T19" s="26">
        <v>0.12064519325851895</v>
      </c>
      <c r="U19" s="26">
        <v>0.11650448271801633</v>
      </c>
      <c r="V19" s="29">
        <v>0</v>
      </c>
      <c r="W19" s="29">
        <v>0</v>
      </c>
      <c r="X19" s="29">
        <v>0</v>
      </c>
      <c r="Y19" s="78">
        <f t="shared" si="0"/>
        <v>0.11650448271801633</v>
      </c>
      <c r="AE19" s="3" t="s">
        <v>16</v>
      </c>
      <c r="AF19" s="7">
        <v>3735</v>
      </c>
      <c r="AG19" s="7">
        <v>4706</v>
      </c>
      <c r="AH19" s="7">
        <v>5242</v>
      </c>
      <c r="AI19" s="16">
        <f t="shared" si="1"/>
        <v>2.6707363601678751E-3</v>
      </c>
      <c r="AL19" s="2">
        <v>17</v>
      </c>
      <c r="AM19" s="3" t="s">
        <v>16</v>
      </c>
      <c r="AN19" s="7">
        <v>0</v>
      </c>
      <c r="AO19" s="7">
        <v>14</v>
      </c>
      <c r="AP19" s="7">
        <v>14</v>
      </c>
      <c r="AQ19" s="29">
        <v>0</v>
      </c>
      <c r="AR19" s="29">
        <v>0.12064519325851895</v>
      </c>
      <c r="AS19" s="29">
        <v>0.11650448271801633</v>
      </c>
    </row>
    <row r="20" spans="1:45" x14ac:dyDescent="0.3">
      <c r="A20" s="2">
        <v>18</v>
      </c>
      <c r="B20" s="3" t="s">
        <v>17</v>
      </c>
      <c r="C20" s="7">
        <v>6925</v>
      </c>
      <c r="D20" s="7">
        <v>16161</v>
      </c>
      <c r="E20" s="7">
        <v>34541</v>
      </c>
      <c r="F20" s="17">
        <v>6925</v>
      </c>
      <c r="G20" s="17">
        <v>16159</v>
      </c>
      <c r="H20" s="17">
        <v>21993</v>
      </c>
      <c r="I20" s="13">
        <v>0</v>
      </c>
      <c r="J20" s="13">
        <v>2</v>
      </c>
      <c r="K20" s="13">
        <v>2</v>
      </c>
      <c r="N20" s="21">
        <v>18</v>
      </c>
      <c r="O20" s="3" t="s">
        <v>17</v>
      </c>
      <c r="P20" s="24">
        <v>0.71329713375271953</v>
      </c>
      <c r="Q20" s="24">
        <v>1.4542501330745503</v>
      </c>
      <c r="R20" s="24">
        <v>2.7995640409068323</v>
      </c>
      <c r="S20" s="26">
        <v>0.71329713375271953</v>
      </c>
      <c r="T20" s="26">
        <v>1.4540701627592141</v>
      </c>
      <c r="U20" s="26">
        <v>1.7825428317554199</v>
      </c>
      <c r="V20" s="29">
        <v>0</v>
      </c>
      <c r="W20" s="29">
        <v>1.7997031533624778E-4</v>
      </c>
      <c r="X20" s="29">
        <v>1.6210092590873641E-4</v>
      </c>
      <c r="Y20" s="78">
        <f t="shared" si="0"/>
        <v>2.0862669071541129</v>
      </c>
      <c r="AE20" s="3" t="s">
        <v>17</v>
      </c>
      <c r="AF20" s="7">
        <v>0</v>
      </c>
      <c r="AG20" s="7">
        <v>61772</v>
      </c>
      <c r="AH20" s="7">
        <v>131262</v>
      </c>
      <c r="AI20" s="16">
        <f t="shared" si="1"/>
        <v>0.26314546479559964</v>
      </c>
      <c r="AL20" s="2">
        <v>18</v>
      </c>
      <c r="AM20" s="3" t="s">
        <v>17</v>
      </c>
      <c r="AN20" s="7">
        <v>6925</v>
      </c>
      <c r="AO20" s="7">
        <v>16161</v>
      </c>
      <c r="AP20" s="7">
        <v>34541</v>
      </c>
      <c r="AQ20" s="29">
        <v>0.71329713375271953</v>
      </c>
      <c r="AR20" s="29">
        <v>1.4542501330745503</v>
      </c>
      <c r="AS20" s="29">
        <v>2.7995640409068323</v>
      </c>
    </row>
    <row r="21" spans="1:45" x14ac:dyDescent="0.3">
      <c r="A21" s="2">
        <v>19</v>
      </c>
      <c r="B21" s="3" t="s">
        <v>18</v>
      </c>
      <c r="C21" s="7">
        <v>437</v>
      </c>
      <c r="D21" s="7">
        <v>733</v>
      </c>
      <c r="E21" s="7">
        <v>920</v>
      </c>
      <c r="F21" s="17">
        <v>437</v>
      </c>
      <c r="G21" s="17">
        <v>107</v>
      </c>
      <c r="H21" s="17">
        <v>867</v>
      </c>
      <c r="I21" s="13">
        <v>0</v>
      </c>
      <c r="J21" s="13">
        <v>626</v>
      </c>
      <c r="K21" s="13">
        <v>47.77152086607299</v>
      </c>
      <c r="N21" s="21">
        <v>19</v>
      </c>
      <c r="O21" s="3" t="s">
        <v>18</v>
      </c>
      <c r="P21" s="24">
        <v>2.2973079178531046</v>
      </c>
      <c r="Q21" s="24">
        <v>3.3439605586010841</v>
      </c>
      <c r="R21" s="24">
        <v>3.8509957649511239</v>
      </c>
      <c r="S21" s="26">
        <v>2.2973079178531046</v>
      </c>
      <c r="T21" s="26">
        <v>0.48813612519824828</v>
      </c>
      <c r="U21" s="26">
        <v>3.6291449219702439</v>
      </c>
      <c r="V21" s="29">
        <v>0</v>
      </c>
      <c r="W21" s="29">
        <v>2.8558244334028355</v>
      </c>
      <c r="X21" s="29">
        <v>0.19996513537013191</v>
      </c>
      <c r="Y21" s="78">
        <f t="shared" si="0"/>
        <v>1.5536878470980193</v>
      </c>
      <c r="AE21" s="3" t="s">
        <v>18</v>
      </c>
      <c r="AF21" s="7">
        <v>0</v>
      </c>
      <c r="AG21" s="7">
        <v>6085</v>
      </c>
      <c r="AH21" s="7">
        <v>4751.5998777719578</v>
      </c>
      <c r="AI21" s="16">
        <f t="shared" si="1"/>
        <v>0.19361899647816963</v>
      </c>
      <c r="AL21" s="2">
        <v>19</v>
      </c>
      <c r="AM21" s="3" t="s">
        <v>18</v>
      </c>
      <c r="AN21" s="7">
        <v>437</v>
      </c>
      <c r="AO21" s="7">
        <v>733</v>
      </c>
      <c r="AP21" s="7">
        <v>920</v>
      </c>
      <c r="AQ21" s="29">
        <v>2.2973079178531046</v>
      </c>
      <c r="AR21" s="29">
        <v>3.3439605586010841</v>
      </c>
      <c r="AS21" s="29">
        <v>3.8509957649511239</v>
      </c>
    </row>
    <row r="22" spans="1:45" x14ac:dyDescent="0.3">
      <c r="A22" s="2">
        <v>20</v>
      </c>
      <c r="B22" s="3" t="s">
        <v>19</v>
      </c>
      <c r="C22" s="7">
        <v>259</v>
      </c>
      <c r="D22" s="7">
        <v>320</v>
      </c>
      <c r="E22" s="7">
        <v>379</v>
      </c>
      <c r="F22" s="17">
        <v>79</v>
      </c>
      <c r="G22" s="17">
        <v>320</v>
      </c>
      <c r="H22" s="17">
        <v>102.82747196738023</v>
      </c>
      <c r="I22" s="13">
        <v>180</v>
      </c>
      <c r="J22" s="13">
        <v>341</v>
      </c>
      <c r="K22" s="13">
        <v>283.03007135575945</v>
      </c>
      <c r="N22" s="21">
        <v>20</v>
      </c>
      <c r="O22" s="3" t="s">
        <v>19</v>
      </c>
      <c r="P22" s="24">
        <v>1.2188983841125303</v>
      </c>
      <c r="Q22" s="24">
        <v>1.3088386899260929</v>
      </c>
      <c r="R22" s="24">
        <v>1.4005954193508334</v>
      </c>
      <c r="S22" s="26">
        <v>0.37178753801115788</v>
      </c>
      <c r="T22" s="26">
        <v>1.3088386899260929</v>
      </c>
      <c r="U22" s="26">
        <v>0.37999917208691031</v>
      </c>
      <c r="V22" s="29">
        <v>0.84711084610137233</v>
      </c>
      <c r="W22" s="29">
        <v>1.3947312289524927</v>
      </c>
      <c r="X22" s="29">
        <v>1.0459383152491193</v>
      </c>
      <c r="Y22" s="78">
        <f t="shared" si="0"/>
        <v>0.18169703523830316</v>
      </c>
      <c r="AE22" s="3" t="s">
        <v>19</v>
      </c>
      <c r="AF22" s="7">
        <v>2386</v>
      </c>
      <c r="AG22" s="7">
        <v>1498</v>
      </c>
      <c r="AH22" s="7">
        <v>1429.4036697247707</v>
      </c>
      <c r="AI22" s="16">
        <f t="shared" si="1"/>
        <v>0.26514553448220529</v>
      </c>
      <c r="AL22" s="2">
        <v>20</v>
      </c>
      <c r="AM22" s="3" t="s">
        <v>19</v>
      </c>
      <c r="AN22" s="7">
        <v>259</v>
      </c>
      <c r="AO22" s="7">
        <v>320</v>
      </c>
      <c r="AP22" s="7">
        <v>379</v>
      </c>
      <c r="AQ22" s="29">
        <v>1.2188983841125303</v>
      </c>
      <c r="AR22" s="29">
        <v>1.3088386899260929</v>
      </c>
      <c r="AS22" s="29">
        <v>1.4005954193508334</v>
      </c>
    </row>
    <row r="23" spans="1:45" x14ac:dyDescent="0.3">
      <c r="A23" s="2">
        <v>21</v>
      </c>
      <c r="B23" s="3" t="s">
        <v>20</v>
      </c>
      <c r="C23" s="7">
        <v>11287</v>
      </c>
      <c r="D23" s="7">
        <v>10625</v>
      </c>
      <c r="E23" s="7">
        <v>23882</v>
      </c>
      <c r="F23" s="17">
        <v>4185</v>
      </c>
      <c r="G23" s="17">
        <v>10625</v>
      </c>
      <c r="H23" s="17">
        <v>23882</v>
      </c>
      <c r="I23" s="13">
        <v>0</v>
      </c>
      <c r="J23" s="13">
        <v>0</v>
      </c>
      <c r="K23" s="13">
        <v>0</v>
      </c>
      <c r="N23" s="21">
        <v>21</v>
      </c>
      <c r="O23" s="3" t="s">
        <v>20</v>
      </c>
      <c r="P23" s="24">
        <v>4.1005468473581175</v>
      </c>
      <c r="Q23" s="24">
        <v>3.441781520535669</v>
      </c>
      <c r="R23" s="24">
        <v>7.1340937945138698</v>
      </c>
      <c r="S23" s="26">
        <v>1.5204029907144254</v>
      </c>
      <c r="T23" s="26">
        <v>3.441781520535669</v>
      </c>
      <c r="U23" s="26">
        <v>7.1340937945138698</v>
      </c>
      <c r="V23" s="29">
        <v>0</v>
      </c>
      <c r="W23" s="29">
        <v>0</v>
      </c>
      <c r="X23" s="29">
        <v>0</v>
      </c>
      <c r="Y23" s="78">
        <f t="shared" si="0"/>
        <v>3.0335469471557523</v>
      </c>
      <c r="AE23" s="3" t="s">
        <v>20</v>
      </c>
      <c r="AF23" s="7">
        <v>37404</v>
      </c>
      <c r="AG23" s="7">
        <v>125024</v>
      </c>
      <c r="AH23" s="7">
        <v>124204.27697797566</v>
      </c>
      <c r="AI23" s="16">
        <f t="shared" si="1"/>
        <v>0.19228001306456491</v>
      </c>
      <c r="AL23" s="2">
        <v>21</v>
      </c>
      <c r="AM23" s="3" t="s">
        <v>20</v>
      </c>
      <c r="AN23" s="7">
        <v>11287</v>
      </c>
      <c r="AO23" s="7">
        <v>10625</v>
      </c>
      <c r="AP23" s="7">
        <v>23882</v>
      </c>
      <c r="AQ23" s="29">
        <v>4.1005468473581175</v>
      </c>
      <c r="AR23" s="29">
        <v>3.441781520535669</v>
      </c>
      <c r="AS23" s="29">
        <v>7.1340937945138698</v>
      </c>
    </row>
    <row r="24" spans="1:45" x14ac:dyDescent="0.3">
      <c r="A24" s="2">
        <v>22</v>
      </c>
      <c r="B24" s="3" t="s">
        <v>21</v>
      </c>
      <c r="C24" s="7">
        <v>500</v>
      </c>
      <c r="D24" s="7">
        <v>866</v>
      </c>
      <c r="E24" s="7">
        <v>893.00504663696256</v>
      </c>
      <c r="F24" s="17">
        <v>500</v>
      </c>
      <c r="G24" s="17">
        <v>866</v>
      </c>
      <c r="H24" s="17">
        <v>893.00504663696256</v>
      </c>
      <c r="I24" s="13">
        <v>0</v>
      </c>
      <c r="J24" s="13">
        <v>0</v>
      </c>
      <c r="K24" s="13">
        <v>0</v>
      </c>
      <c r="N24" s="21">
        <v>22</v>
      </c>
      <c r="O24" s="3" t="s">
        <v>21</v>
      </c>
      <c r="P24" s="24">
        <v>0.45226644282492839</v>
      </c>
      <c r="Q24" s="24">
        <v>0.68977247822945453</v>
      </c>
      <c r="R24" s="24">
        <v>0.64433444480057489</v>
      </c>
      <c r="S24" s="26">
        <v>0.45226644282492839</v>
      </c>
      <c r="T24" s="26">
        <v>0.68977247822945453</v>
      </c>
      <c r="U24" s="26">
        <v>0.64433444480057489</v>
      </c>
      <c r="V24" s="29">
        <v>0</v>
      </c>
      <c r="W24" s="29">
        <v>0</v>
      </c>
      <c r="X24" s="29">
        <v>0</v>
      </c>
      <c r="Y24" s="78">
        <f t="shared" si="0"/>
        <v>0.1920680019756465</v>
      </c>
      <c r="AE24" s="3" t="s">
        <v>21</v>
      </c>
      <c r="AF24" s="7">
        <v>5789</v>
      </c>
      <c r="AG24" s="7">
        <v>7195</v>
      </c>
      <c r="AH24" s="7">
        <v>5018.9871797472533</v>
      </c>
      <c r="AI24" s="16">
        <f t="shared" si="1"/>
        <v>0.17792534920998396</v>
      </c>
      <c r="AL24" s="2">
        <v>22</v>
      </c>
      <c r="AM24" s="3" t="s">
        <v>21</v>
      </c>
      <c r="AN24" s="7">
        <v>500</v>
      </c>
      <c r="AO24" s="7">
        <v>866</v>
      </c>
      <c r="AP24" s="7">
        <v>893.00504663696256</v>
      </c>
      <c r="AQ24" s="29">
        <v>0.45226644282492839</v>
      </c>
      <c r="AR24" s="29">
        <v>0.68977247822945453</v>
      </c>
      <c r="AS24" s="29">
        <v>0.64433444480057489</v>
      </c>
    </row>
    <row r="25" spans="1:45" x14ac:dyDescent="0.3">
      <c r="A25" s="2">
        <v>23</v>
      </c>
      <c r="B25" s="3" t="s">
        <v>22</v>
      </c>
      <c r="C25" s="7">
        <v>153</v>
      </c>
      <c r="D25" s="7">
        <v>157</v>
      </c>
      <c r="E25" s="7">
        <v>197</v>
      </c>
      <c r="F25" s="17">
        <v>148</v>
      </c>
      <c r="G25" s="17">
        <v>156</v>
      </c>
      <c r="H25" s="17">
        <v>31.513054499366284</v>
      </c>
      <c r="I25" s="13">
        <v>5</v>
      </c>
      <c r="J25" s="13">
        <v>1</v>
      </c>
      <c r="K25" s="13">
        <v>171</v>
      </c>
      <c r="N25" s="21">
        <v>23</v>
      </c>
      <c r="O25" s="3" t="s">
        <v>22</v>
      </c>
      <c r="P25" s="24">
        <v>0.9011914280791814</v>
      </c>
      <c r="Q25" s="24">
        <v>0.81560369348989858</v>
      </c>
      <c r="R25" s="24">
        <v>0.93561563389977698</v>
      </c>
      <c r="S25" s="26">
        <v>0.87174072781515588</v>
      </c>
      <c r="T25" s="26">
        <v>0.81040876550588647</v>
      </c>
      <c r="U25" s="26">
        <v>0.14966551503321221</v>
      </c>
      <c r="V25" s="29">
        <v>2.9450700264025537E-2</v>
      </c>
      <c r="W25" s="29">
        <v>5.1949279840120925E-3</v>
      </c>
      <c r="X25" s="29">
        <v>0.81213336749676068</v>
      </c>
      <c r="Y25" s="78">
        <f t="shared" si="0"/>
        <v>3.4424205820595577E-2</v>
      </c>
      <c r="AE25" s="3" t="s">
        <v>22</v>
      </c>
      <c r="AF25" s="7">
        <v>727</v>
      </c>
      <c r="AG25" s="7">
        <v>1264</v>
      </c>
      <c r="AH25" s="7">
        <v>1879</v>
      </c>
      <c r="AI25" s="16">
        <f t="shared" si="1"/>
        <v>0.10484300159659393</v>
      </c>
      <c r="AL25" s="2">
        <v>23</v>
      </c>
      <c r="AM25" s="3" t="s">
        <v>22</v>
      </c>
      <c r="AN25" s="7">
        <v>153</v>
      </c>
      <c r="AO25" s="7">
        <v>157</v>
      </c>
      <c r="AP25" s="7">
        <v>197</v>
      </c>
      <c r="AQ25" s="29">
        <v>0.9011914280791814</v>
      </c>
      <c r="AR25" s="29">
        <v>0.81560369348989858</v>
      </c>
      <c r="AS25" s="29">
        <v>0.93561563389977698</v>
      </c>
    </row>
    <row r="26" spans="1:45" x14ac:dyDescent="0.3">
      <c r="A26" s="2">
        <v>24</v>
      </c>
      <c r="B26" s="3" t="s">
        <v>23</v>
      </c>
      <c r="C26" s="7">
        <v>0</v>
      </c>
      <c r="D26" s="7">
        <v>0</v>
      </c>
      <c r="E26" s="7">
        <v>137</v>
      </c>
      <c r="F26" s="17">
        <v>0</v>
      </c>
      <c r="G26" s="17">
        <v>0</v>
      </c>
      <c r="H26" s="17">
        <v>137</v>
      </c>
      <c r="I26" s="13">
        <v>0</v>
      </c>
      <c r="J26" s="13">
        <v>0</v>
      </c>
      <c r="K26" s="13">
        <v>0</v>
      </c>
      <c r="N26" s="21">
        <v>24</v>
      </c>
      <c r="O26" s="3" t="s">
        <v>23</v>
      </c>
      <c r="P26" s="24">
        <v>0</v>
      </c>
      <c r="Q26" s="24">
        <v>0</v>
      </c>
      <c r="R26" s="24">
        <v>2.5357462952145089E-2</v>
      </c>
      <c r="S26" s="26">
        <v>0</v>
      </c>
      <c r="T26" s="26">
        <v>0</v>
      </c>
      <c r="U26" s="26">
        <v>2.5357462952145089E-2</v>
      </c>
      <c r="V26" s="29">
        <v>0</v>
      </c>
      <c r="W26" s="29">
        <v>0</v>
      </c>
      <c r="X26" s="29">
        <v>0</v>
      </c>
      <c r="Y26" s="78">
        <f t="shared" si="0"/>
        <v>2.5357462952145089E-2</v>
      </c>
      <c r="AE26" s="3" t="s">
        <v>23</v>
      </c>
      <c r="AF26" s="7">
        <v>40292</v>
      </c>
      <c r="AG26" s="7">
        <v>59901</v>
      </c>
      <c r="AH26" s="7">
        <v>109659</v>
      </c>
      <c r="AI26" s="16">
        <f t="shared" si="1"/>
        <v>1.2493274605823506E-3</v>
      </c>
      <c r="AL26" s="2">
        <v>24</v>
      </c>
      <c r="AM26" s="3" t="s">
        <v>23</v>
      </c>
      <c r="AN26" s="7">
        <v>0</v>
      </c>
      <c r="AO26" s="7">
        <v>0</v>
      </c>
      <c r="AP26" s="7">
        <v>137</v>
      </c>
      <c r="AQ26" s="29">
        <v>0</v>
      </c>
      <c r="AR26" s="29">
        <v>0</v>
      </c>
      <c r="AS26" s="29">
        <v>2.5357462952145089E-2</v>
      </c>
    </row>
    <row r="27" spans="1:45" x14ac:dyDescent="0.3">
      <c r="A27" s="2">
        <v>25</v>
      </c>
      <c r="B27" s="3" t="s">
        <v>24</v>
      </c>
      <c r="C27" s="7">
        <v>0</v>
      </c>
      <c r="D27" s="7">
        <v>2779</v>
      </c>
      <c r="E27" s="7">
        <v>2779</v>
      </c>
      <c r="F27" s="17">
        <v>0</v>
      </c>
      <c r="G27" s="17">
        <v>2779</v>
      </c>
      <c r="H27" s="17">
        <v>2779</v>
      </c>
      <c r="I27" s="13">
        <v>0</v>
      </c>
      <c r="J27" s="13">
        <v>0</v>
      </c>
      <c r="K27" s="13">
        <v>0</v>
      </c>
      <c r="N27" s="21">
        <v>25</v>
      </c>
      <c r="O27" s="3" t="s">
        <v>24</v>
      </c>
      <c r="P27" s="24">
        <v>0</v>
      </c>
      <c r="Q27" s="24">
        <v>12.64321431544888</v>
      </c>
      <c r="R27" s="24">
        <v>12.052082865767586</v>
      </c>
      <c r="S27" s="26">
        <v>0</v>
      </c>
      <c r="T27" s="26">
        <v>12.64321431544888</v>
      </c>
      <c r="U27" s="26">
        <v>12.052082865767586</v>
      </c>
      <c r="V27" s="29">
        <v>0</v>
      </c>
      <c r="W27" s="29">
        <v>0</v>
      </c>
      <c r="X27" s="29">
        <v>0</v>
      </c>
      <c r="Y27" s="78">
        <f t="shared" si="0"/>
        <v>12.052082865767586</v>
      </c>
      <c r="AE27" s="3" t="s">
        <v>24</v>
      </c>
      <c r="AF27" s="7">
        <v>0</v>
      </c>
      <c r="AG27" s="35">
        <v>6866</v>
      </c>
      <c r="AH27" s="7">
        <v>1235.4801331049025</v>
      </c>
      <c r="AI27" s="16">
        <f t="shared" si="1"/>
        <v>2.2493279539963593</v>
      </c>
      <c r="AL27" s="2">
        <v>25</v>
      </c>
      <c r="AM27" s="3" t="s">
        <v>24</v>
      </c>
      <c r="AN27" s="7">
        <v>0</v>
      </c>
      <c r="AO27" s="7">
        <v>2779</v>
      </c>
      <c r="AP27" s="7">
        <v>2779</v>
      </c>
      <c r="AQ27" s="29">
        <v>0</v>
      </c>
      <c r="AR27" s="29">
        <v>12.64321431544888</v>
      </c>
      <c r="AS27" s="29">
        <v>12.052082865767586</v>
      </c>
    </row>
    <row r="28" spans="1:45" x14ac:dyDescent="0.3">
      <c r="A28" s="2">
        <v>26</v>
      </c>
      <c r="B28" s="3" t="s">
        <v>25</v>
      </c>
      <c r="C28" s="7">
        <v>806</v>
      </c>
      <c r="D28" s="7">
        <v>927</v>
      </c>
      <c r="E28" s="7">
        <v>988.92400487408611</v>
      </c>
      <c r="F28" s="17">
        <v>806</v>
      </c>
      <c r="G28" s="17">
        <v>927</v>
      </c>
      <c r="H28" s="17">
        <v>988.92400487408611</v>
      </c>
      <c r="I28" s="13">
        <v>0</v>
      </c>
      <c r="J28" s="13">
        <v>0</v>
      </c>
      <c r="K28" s="13">
        <v>0</v>
      </c>
      <c r="N28" s="21">
        <v>26</v>
      </c>
      <c r="O28" s="3" t="s">
        <v>25</v>
      </c>
      <c r="P28" s="24">
        <v>1.8205175261515878</v>
      </c>
      <c r="Q28" s="24">
        <v>1.8959416418118331</v>
      </c>
      <c r="R28" s="24">
        <v>1.864950965132705</v>
      </c>
      <c r="S28" s="26">
        <v>1.8205175261515878</v>
      </c>
      <c r="T28" s="26">
        <v>1.8959416418118331</v>
      </c>
      <c r="U28" s="26">
        <v>1.864950965132705</v>
      </c>
      <c r="V28" s="29">
        <v>0</v>
      </c>
      <c r="W28" s="29">
        <v>0</v>
      </c>
      <c r="X28" s="29">
        <v>0</v>
      </c>
      <c r="Y28" s="78">
        <f t="shared" si="0"/>
        <v>4.4433438981117179E-2</v>
      </c>
      <c r="AE28" s="3" t="s">
        <v>25</v>
      </c>
      <c r="AF28" s="7">
        <v>0</v>
      </c>
      <c r="AG28" s="7">
        <v>8488</v>
      </c>
      <c r="AH28" s="7">
        <v>4423.7952883834278</v>
      </c>
      <c r="AI28" s="16">
        <f t="shared" si="1"/>
        <v>0.22354651162790701</v>
      </c>
      <c r="AL28" s="2">
        <v>26</v>
      </c>
      <c r="AM28" s="3" t="s">
        <v>25</v>
      </c>
      <c r="AN28" s="7">
        <v>806</v>
      </c>
      <c r="AO28" s="7">
        <v>927</v>
      </c>
      <c r="AP28" s="7">
        <v>988.92400487408611</v>
      </c>
      <c r="AQ28" s="29">
        <v>1.8205175261515878</v>
      </c>
      <c r="AR28" s="29">
        <v>1.8959416418118331</v>
      </c>
      <c r="AS28" s="29">
        <v>1.864950965132705</v>
      </c>
    </row>
    <row r="29" spans="1:45" x14ac:dyDescent="0.3">
      <c r="A29" s="2">
        <v>27</v>
      </c>
      <c r="B29" s="3" t="s">
        <v>26</v>
      </c>
      <c r="C29" s="7">
        <v>3400</v>
      </c>
      <c r="D29" s="7">
        <v>3994</v>
      </c>
      <c r="E29" s="7">
        <v>3994</v>
      </c>
      <c r="F29" s="17">
        <v>3400</v>
      </c>
      <c r="G29" s="17">
        <v>3994</v>
      </c>
      <c r="H29" s="17">
        <v>3994</v>
      </c>
      <c r="I29" s="13">
        <v>0</v>
      </c>
      <c r="J29" s="13">
        <v>0</v>
      </c>
      <c r="K29" s="13">
        <v>0</v>
      </c>
      <c r="N29" s="21">
        <v>27</v>
      </c>
      <c r="O29" s="3" t="s">
        <v>26</v>
      </c>
      <c r="P29" s="24">
        <v>1.441406395482022</v>
      </c>
      <c r="Q29" s="24">
        <v>1.4877149350450771</v>
      </c>
      <c r="R29" s="24">
        <v>1.3487905495777783</v>
      </c>
      <c r="S29" s="26">
        <v>1.441406395482022</v>
      </c>
      <c r="T29" s="26">
        <v>1.4877149350450771</v>
      </c>
      <c r="U29" s="26">
        <v>1.3487905495777783</v>
      </c>
      <c r="V29" s="29">
        <v>0</v>
      </c>
      <c r="W29" s="29">
        <v>0</v>
      </c>
      <c r="X29" s="29">
        <v>0</v>
      </c>
      <c r="Y29" s="78">
        <f t="shared" si="0"/>
        <v>-9.2615845904243654E-2</v>
      </c>
      <c r="AE29" s="3" t="s">
        <v>26</v>
      </c>
      <c r="AF29" s="7">
        <v>3438</v>
      </c>
      <c r="AG29" s="7">
        <v>4560</v>
      </c>
      <c r="AH29" s="7">
        <v>4560</v>
      </c>
      <c r="AI29" s="16">
        <f t="shared" si="1"/>
        <v>0.87587719298245614</v>
      </c>
      <c r="AL29" s="2">
        <v>27</v>
      </c>
      <c r="AM29" s="3" t="s">
        <v>26</v>
      </c>
      <c r="AN29" s="7">
        <v>3400</v>
      </c>
      <c r="AO29" s="7">
        <v>3994</v>
      </c>
      <c r="AP29" s="7">
        <v>3994</v>
      </c>
      <c r="AQ29" s="29">
        <v>1.441406395482022</v>
      </c>
      <c r="AR29" s="29">
        <v>1.4877149350450771</v>
      </c>
      <c r="AS29" s="29">
        <v>1.3487905495777783</v>
      </c>
    </row>
    <row r="30" spans="1:45" x14ac:dyDescent="0.3">
      <c r="A30" s="2">
        <v>28</v>
      </c>
      <c r="B30" s="3" t="s">
        <v>27</v>
      </c>
      <c r="C30" s="7">
        <v>48</v>
      </c>
      <c r="D30" s="7">
        <v>0</v>
      </c>
      <c r="E30" s="7">
        <v>616</v>
      </c>
      <c r="F30" s="17">
        <v>0</v>
      </c>
      <c r="G30" s="17">
        <v>0</v>
      </c>
      <c r="H30" s="17">
        <v>0</v>
      </c>
      <c r="I30" s="13">
        <v>48</v>
      </c>
      <c r="J30" s="13">
        <v>0</v>
      </c>
      <c r="K30" s="13">
        <v>0</v>
      </c>
      <c r="N30" s="21">
        <v>28</v>
      </c>
      <c r="O30" s="3" t="s">
        <v>27</v>
      </c>
      <c r="P30" s="24">
        <v>2.9953617758950828E-2</v>
      </c>
      <c r="Q30" s="24">
        <v>0</v>
      </c>
      <c r="R30" s="24">
        <v>0.30188210998834514</v>
      </c>
      <c r="S30" s="26">
        <v>0</v>
      </c>
      <c r="T30" s="26">
        <v>0</v>
      </c>
      <c r="U30" s="26">
        <v>0</v>
      </c>
      <c r="V30" s="29">
        <v>2.9953617758950828E-2</v>
      </c>
      <c r="W30" s="29">
        <v>0</v>
      </c>
      <c r="X30" s="29">
        <v>0</v>
      </c>
      <c r="Y30" s="78">
        <f t="shared" si="0"/>
        <v>0.2719284922293943</v>
      </c>
      <c r="AE30" s="3" t="s">
        <v>27</v>
      </c>
      <c r="AF30" s="7">
        <v>3545</v>
      </c>
      <c r="AG30" s="7">
        <v>7957</v>
      </c>
      <c r="AH30" s="7">
        <v>9592</v>
      </c>
      <c r="AI30" s="16">
        <f t="shared" si="1"/>
        <v>6.4220183486238536E-2</v>
      </c>
      <c r="AL30" s="2">
        <v>28</v>
      </c>
      <c r="AM30" s="3" t="s">
        <v>27</v>
      </c>
      <c r="AN30" s="7">
        <v>48</v>
      </c>
      <c r="AO30" s="7">
        <v>0</v>
      </c>
      <c r="AP30" s="7">
        <v>616</v>
      </c>
      <c r="AQ30" s="29">
        <v>2.9953617758950828E-2</v>
      </c>
      <c r="AR30" s="29">
        <v>0</v>
      </c>
      <c r="AS30" s="29">
        <v>0.30188210998834514</v>
      </c>
    </row>
    <row r="31" spans="1:45" x14ac:dyDescent="0.3">
      <c r="A31" s="2">
        <v>29</v>
      </c>
      <c r="B31" s="3" t="s">
        <v>28</v>
      </c>
      <c r="C31" s="7">
        <v>1961</v>
      </c>
      <c r="D31" s="7">
        <v>3235</v>
      </c>
      <c r="E31" s="7">
        <v>1920.0050044483985</v>
      </c>
      <c r="F31" s="17">
        <v>686</v>
      </c>
      <c r="G31" s="17">
        <v>3235</v>
      </c>
      <c r="H31" s="17">
        <v>1920.0050044483985</v>
      </c>
      <c r="I31" s="13">
        <v>1275</v>
      </c>
      <c r="J31" s="13">
        <v>1642</v>
      </c>
      <c r="K31" s="13">
        <v>1642</v>
      </c>
      <c r="N31" s="21">
        <v>29</v>
      </c>
      <c r="O31" s="3" t="s">
        <v>28</v>
      </c>
      <c r="P31" s="24">
        <v>1.1532558526925896</v>
      </c>
      <c r="Q31" s="24">
        <v>1.6228311626524292</v>
      </c>
      <c r="R31" s="24">
        <v>0.84980074523719307</v>
      </c>
      <c r="S31" s="26">
        <v>0.40343371491438879</v>
      </c>
      <c r="T31" s="26">
        <v>1.6228311626524292</v>
      </c>
      <c r="U31" s="26">
        <v>0.84980074523719307</v>
      </c>
      <c r="V31" s="29">
        <v>0.74982213777820073</v>
      </c>
      <c r="W31" s="29">
        <v>0.82370595643749267</v>
      </c>
      <c r="X31" s="29">
        <v>0.72675478472533983</v>
      </c>
      <c r="Y31" s="78">
        <f t="shared" si="0"/>
        <v>-0.3034551074553965</v>
      </c>
      <c r="AE31" s="3" t="s">
        <v>28</v>
      </c>
      <c r="AF31" s="7">
        <v>4257</v>
      </c>
      <c r="AG31" s="7">
        <v>5225</v>
      </c>
      <c r="AH31" s="7">
        <v>6327</v>
      </c>
      <c r="AI31" s="16">
        <f t="shared" si="1"/>
        <v>0.30346214705996499</v>
      </c>
      <c r="AL31" s="2">
        <v>29</v>
      </c>
      <c r="AM31" s="3" t="s">
        <v>28</v>
      </c>
      <c r="AN31" s="7">
        <v>1961</v>
      </c>
      <c r="AO31" s="7">
        <v>3235</v>
      </c>
      <c r="AP31" s="7">
        <v>1920.0050044483985</v>
      </c>
      <c r="AQ31" s="29">
        <v>1.1532558526925896</v>
      </c>
      <c r="AR31" s="29">
        <v>1.6228311626524292</v>
      </c>
      <c r="AS31" s="29">
        <v>0.84980074523719307</v>
      </c>
    </row>
    <row r="32" spans="1:45" x14ac:dyDescent="0.3">
      <c r="A32" s="2">
        <v>30</v>
      </c>
      <c r="B32" s="3" t="s">
        <v>29</v>
      </c>
      <c r="C32" s="7">
        <v>368</v>
      </c>
      <c r="D32" s="7">
        <v>855</v>
      </c>
      <c r="E32" s="7">
        <v>1340</v>
      </c>
      <c r="F32" s="17">
        <v>368</v>
      </c>
      <c r="G32" s="17">
        <v>854</v>
      </c>
      <c r="H32" s="17">
        <v>1340</v>
      </c>
      <c r="I32" s="13">
        <v>0</v>
      </c>
      <c r="J32" s="13">
        <v>1</v>
      </c>
      <c r="K32" s="13">
        <v>1</v>
      </c>
      <c r="N32" s="21">
        <v>30</v>
      </c>
      <c r="O32" s="3" t="s">
        <v>29</v>
      </c>
      <c r="P32" s="24">
        <v>0.98317935088255093</v>
      </c>
      <c r="Q32" s="24">
        <v>2.0020083304620333</v>
      </c>
      <c r="R32" s="24">
        <v>2.8293088526329151</v>
      </c>
      <c r="S32" s="26">
        <v>0.98317935088255093</v>
      </c>
      <c r="T32" s="26">
        <v>1.9996668002509665</v>
      </c>
      <c r="U32" s="26">
        <v>2.8293088526329151</v>
      </c>
      <c r="V32" s="29">
        <v>0</v>
      </c>
      <c r="W32" s="29">
        <v>2.3415302110667054E-3</v>
      </c>
      <c r="X32" s="29">
        <v>2.1114245168902352E-3</v>
      </c>
      <c r="Y32" s="78">
        <f t="shared" si="0"/>
        <v>1.8461295017503643</v>
      </c>
      <c r="AE32" s="3" t="s">
        <v>29</v>
      </c>
      <c r="AF32" s="7">
        <v>3846</v>
      </c>
      <c r="AG32" s="7">
        <v>4066</v>
      </c>
      <c r="AH32" s="7">
        <v>6503</v>
      </c>
      <c r="AI32" s="16">
        <f t="shared" si="1"/>
        <v>0.206058742119022</v>
      </c>
      <c r="AL32" s="2">
        <v>30</v>
      </c>
      <c r="AM32" s="3" t="s">
        <v>29</v>
      </c>
      <c r="AN32" s="7">
        <v>368</v>
      </c>
      <c r="AO32" s="7">
        <v>855</v>
      </c>
      <c r="AP32" s="7">
        <v>1340</v>
      </c>
      <c r="AQ32" s="29">
        <v>0.98317935088255093</v>
      </c>
      <c r="AR32" s="29">
        <v>2.0020083304620333</v>
      </c>
      <c r="AS32" s="29">
        <v>2.8293088526329151</v>
      </c>
    </row>
    <row r="33" spans="1:45" x14ac:dyDescent="0.3">
      <c r="A33" s="2">
        <v>31</v>
      </c>
      <c r="B33" s="3" t="s">
        <v>30</v>
      </c>
      <c r="C33" s="7">
        <v>0</v>
      </c>
      <c r="D33" s="7">
        <v>567</v>
      </c>
      <c r="E33" s="7">
        <v>567</v>
      </c>
      <c r="F33" s="17">
        <v>0</v>
      </c>
      <c r="G33" s="17">
        <v>567</v>
      </c>
      <c r="H33" s="17">
        <v>567</v>
      </c>
      <c r="I33" s="13">
        <v>0</v>
      </c>
      <c r="J33" s="13">
        <v>0</v>
      </c>
      <c r="K33" s="13">
        <v>0</v>
      </c>
      <c r="N33" s="21">
        <v>31</v>
      </c>
      <c r="O33" s="3" t="s">
        <v>30</v>
      </c>
      <c r="P33" s="24">
        <v>0</v>
      </c>
      <c r="Q33" s="24">
        <v>4.3770889116449458</v>
      </c>
      <c r="R33" s="24">
        <v>4.3633207102285674</v>
      </c>
      <c r="S33" s="26">
        <v>0</v>
      </c>
      <c r="T33" s="26">
        <v>4.3770889116449458</v>
      </c>
      <c r="U33" s="26">
        <v>4.3633207102285674</v>
      </c>
      <c r="V33" s="29">
        <v>0</v>
      </c>
      <c r="W33" s="29">
        <v>0</v>
      </c>
      <c r="X33" s="29">
        <v>0</v>
      </c>
      <c r="Y33" s="78">
        <f t="shared" si="0"/>
        <v>4.3633207102285674</v>
      </c>
      <c r="AE33" s="3" t="s">
        <v>30</v>
      </c>
      <c r="AF33" s="7">
        <v>3963</v>
      </c>
      <c r="AG33" s="7">
        <v>4986</v>
      </c>
      <c r="AH33" s="7">
        <v>4598.8787431180344</v>
      </c>
      <c r="AI33" s="16">
        <f t="shared" si="1"/>
        <v>0.12329092191188643</v>
      </c>
      <c r="AL33" s="2">
        <v>31</v>
      </c>
      <c r="AM33" s="3" t="s">
        <v>30</v>
      </c>
      <c r="AN33" s="7">
        <v>0</v>
      </c>
      <c r="AO33" s="7">
        <v>567</v>
      </c>
      <c r="AP33" s="7">
        <v>567</v>
      </c>
      <c r="AQ33" s="29">
        <v>0</v>
      </c>
      <c r="AR33" s="29">
        <v>4.3770889116449458</v>
      </c>
      <c r="AS33" s="29">
        <v>4.3633207102285674</v>
      </c>
    </row>
    <row r="34" spans="1:45" x14ac:dyDescent="0.3">
      <c r="A34" s="2">
        <v>32</v>
      </c>
      <c r="B34" s="3" t="s">
        <v>31</v>
      </c>
      <c r="C34" s="7">
        <v>4265</v>
      </c>
      <c r="D34" s="7">
        <v>6021</v>
      </c>
      <c r="E34" s="7">
        <v>13384</v>
      </c>
      <c r="F34" s="17">
        <v>3545</v>
      </c>
      <c r="G34" s="17">
        <v>6021</v>
      </c>
      <c r="H34" s="17">
        <v>43.673348484175776</v>
      </c>
      <c r="I34" s="13">
        <v>720</v>
      </c>
      <c r="J34" s="13">
        <v>436</v>
      </c>
      <c r="K34" s="13">
        <v>7082</v>
      </c>
      <c r="N34" s="21">
        <v>32</v>
      </c>
      <c r="O34" s="3" t="s">
        <v>31</v>
      </c>
      <c r="P34" s="24">
        <v>1.6889931228872987</v>
      </c>
      <c r="Q34" s="24">
        <v>2.0462971936211609</v>
      </c>
      <c r="R34" s="24">
        <v>4.0595072688125535</v>
      </c>
      <c r="S34" s="26">
        <v>1.4038641548969459</v>
      </c>
      <c r="T34" s="26">
        <v>2.0462971936211609</v>
      </c>
      <c r="U34" s="26">
        <v>1.3246583653982015E-2</v>
      </c>
      <c r="V34" s="29">
        <v>0.28512896799035292</v>
      </c>
      <c r="W34" s="29">
        <v>0.14817896967593858</v>
      </c>
      <c r="X34" s="29">
        <v>2.1480447159093328</v>
      </c>
      <c r="Y34" s="78">
        <f t="shared" si="0"/>
        <v>2.370514145925255</v>
      </c>
      <c r="AE34" s="3" t="s">
        <v>31</v>
      </c>
      <c r="AF34" s="7">
        <v>6432</v>
      </c>
      <c r="AG34" s="7">
        <v>8153</v>
      </c>
      <c r="AH34" s="7">
        <v>17168</v>
      </c>
      <c r="AI34" s="16">
        <f t="shared" si="1"/>
        <v>0.7795899347623485</v>
      </c>
      <c r="AL34" s="2">
        <v>32</v>
      </c>
      <c r="AM34" s="3" t="s">
        <v>31</v>
      </c>
      <c r="AN34" s="7">
        <v>4265</v>
      </c>
      <c r="AO34" s="7">
        <v>6021</v>
      </c>
      <c r="AP34" s="7">
        <v>13384</v>
      </c>
      <c r="AQ34" s="29">
        <v>1.6889931228872987</v>
      </c>
      <c r="AR34" s="29">
        <v>2.0462971936211609</v>
      </c>
      <c r="AS34" s="29">
        <v>4.0595072688125535</v>
      </c>
    </row>
    <row r="35" spans="1:45" x14ac:dyDescent="0.3">
      <c r="A35" s="2">
        <v>33</v>
      </c>
      <c r="B35" s="3" t="s">
        <v>32</v>
      </c>
      <c r="C35" s="7">
        <v>0</v>
      </c>
      <c r="D35" s="7">
        <v>5</v>
      </c>
      <c r="E35" s="7">
        <v>17</v>
      </c>
      <c r="F35" s="17">
        <v>0</v>
      </c>
      <c r="G35" s="17">
        <v>5</v>
      </c>
      <c r="H35" s="17">
        <v>7</v>
      </c>
      <c r="I35" s="13">
        <v>0</v>
      </c>
      <c r="J35" s="13">
        <v>0</v>
      </c>
      <c r="K35" s="13">
        <v>0</v>
      </c>
      <c r="N35" s="21">
        <v>33</v>
      </c>
      <c r="O35" s="3" t="s">
        <v>32</v>
      </c>
      <c r="P35" s="24">
        <v>0</v>
      </c>
      <c r="Q35" s="24">
        <v>2.0784139872273143E-2</v>
      </c>
      <c r="R35" s="24">
        <v>6.6224843081208226E-2</v>
      </c>
      <c r="S35" s="26">
        <v>0</v>
      </c>
      <c r="T35" s="26">
        <v>2.0784139872273143E-2</v>
      </c>
      <c r="U35" s="26">
        <v>2.726905303343868E-2</v>
      </c>
      <c r="V35" s="29">
        <v>0</v>
      </c>
      <c r="W35" s="29">
        <v>0</v>
      </c>
      <c r="X35" s="29">
        <v>0</v>
      </c>
      <c r="Y35" s="78">
        <f t="shared" si="0"/>
        <v>6.6224843081208226E-2</v>
      </c>
      <c r="AE35" s="3" t="s">
        <v>32</v>
      </c>
      <c r="AF35" s="7">
        <v>4110</v>
      </c>
      <c r="AG35" s="7">
        <v>12956</v>
      </c>
      <c r="AH35" s="7">
        <v>15558.321723868956</v>
      </c>
      <c r="AI35" s="16">
        <f t="shared" si="1"/>
        <v>1.0926628399719541E-3</v>
      </c>
      <c r="AL35" s="2">
        <v>33</v>
      </c>
      <c r="AM35" s="3" t="s">
        <v>32</v>
      </c>
      <c r="AN35" s="7">
        <v>0</v>
      </c>
      <c r="AO35" s="7">
        <v>5</v>
      </c>
      <c r="AP35" s="7">
        <v>17</v>
      </c>
      <c r="AQ35" s="29">
        <v>0</v>
      </c>
      <c r="AR35" s="29">
        <v>2.0784139872273143E-2</v>
      </c>
      <c r="AS35" s="29">
        <v>6.6224843081208226E-2</v>
      </c>
    </row>
    <row r="36" spans="1:45" x14ac:dyDescent="0.3">
      <c r="A36" s="2">
        <v>34</v>
      </c>
      <c r="B36" s="3" t="s">
        <v>33</v>
      </c>
      <c r="C36" s="7">
        <v>917</v>
      </c>
      <c r="D36" s="7">
        <v>906</v>
      </c>
      <c r="E36" s="7">
        <v>825.19642662205808</v>
      </c>
      <c r="F36" s="17">
        <v>829</v>
      </c>
      <c r="G36" s="17">
        <v>903</v>
      </c>
      <c r="H36" s="17">
        <v>825.19642662205808</v>
      </c>
      <c r="I36" s="13">
        <v>12</v>
      </c>
      <c r="J36" s="13">
        <v>6</v>
      </c>
      <c r="K36" s="13">
        <v>6</v>
      </c>
      <c r="N36" s="21">
        <v>34</v>
      </c>
      <c r="O36" s="3" t="s">
        <v>33</v>
      </c>
      <c r="P36" s="24">
        <v>0.49160468400085156</v>
      </c>
      <c r="Q36" s="24">
        <v>0.40129232072664212</v>
      </c>
      <c r="R36" s="24">
        <v>0.31486460872782684</v>
      </c>
      <c r="S36" s="26">
        <v>0.4444277895711079</v>
      </c>
      <c r="T36" s="26">
        <v>0.39996353820767971</v>
      </c>
      <c r="U36" s="26">
        <v>0.31486460872782684</v>
      </c>
      <c r="V36" s="29">
        <v>6.4332128767832265E-3</v>
      </c>
      <c r="W36" s="29">
        <v>2.6575650379247824E-3</v>
      </c>
      <c r="X36" s="29">
        <v>2.2893793422014094E-3</v>
      </c>
      <c r="Y36" s="78">
        <f t="shared" si="0"/>
        <v>-0.17674007527302471</v>
      </c>
      <c r="AE36" s="3" t="s">
        <v>33</v>
      </c>
      <c r="AF36" s="7">
        <v>3533</v>
      </c>
      <c r="AG36" s="7">
        <v>4107</v>
      </c>
      <c r="AH36" s="7">
        <v>4565</v>
      </c>
      <c r="AI36" s="16">
        <f t="shared" si="1"/>
        <v>0.1807659203991365</v>
      </c>
      <c r="AL36" s="2">
        <v>34</v>
      </c>
      <c r="AM36" s="3" t="s">
        <v>33</v>
      </c>
      <c r="AN36" s="7">
        <v>917</v>
      </c>
      <c r="AO36" s="7">
        <v>906</v>
      </c>
      <c r="AP36" s="7">
        <v>825.19642662205808</v>
      </c>
      <c r="AQ36" s="29">
        <v>0.49160468400085156</v>
      </c>
      <c r="AR36" s="29">
        <v>0.40129232072664212</v>
      </c>
      <c r="AS36" s="29">
        <v>0.31486460872782684</v>
      </c>
    </row>
    <row r="37" spans="1:45" x14ac:dyDescent="0.3">
      <c r="A37" s="2">
        <v>35</v>
      </c>
      <c r="B37" s="3" t="s">
        <v>34</v>
      </c>
      <c r="C37" s="7">
        <v>101275</v>
      </c>
      <c r="D37" s="7">
        <v>120870</v>
      </c>
      <c r="E37" s="7">
        <v>146787</v>
      </c>
      <c r="F37" s="17">
        <v>101275</v>
      </c>
      <c r="G37" s="17">
        <v>120870</v>
      </c>
      <c r="H37" s="17">
        <v>146787</v>
      </c>
      <c r="I37" s="13">
        <v>0</v>
      </c>
      <c r="J37" s="13">
        <v>0</v>
      </c>
      <c r="K37" s="13">
        <v>0</v>
      </c>
      <c r="N37" s="21">
        <v>35</v>
      </c>
      <c r="O37" s="3" t="s">
        <v>34</v>
      </c>
      <c r="P37" s="24">
        <v>5.7962139817060594</v>
      </c>
      <c r="Q37" s="24">
        <v>6.0926179701930829</v>
      </c>
      <c r="R37" s="24">
        <v>6.7166736650034533</v>
      </c>
      <c r="S37" s="26">
        <v>5.7962139817060594</v>
      </c>
      <c r="T37" s="26">
        <v>6.0926179701930829</v>
      </c>
      <c r="U37" s="26">
        <v>6.7166736650034533</v>
      </c>
      <c r="V37" s="29">
        <v>0</v>
      </c>
      <c r="W37" s="29">
        <v>0</v>
      </c>
      <c r="X37" s="29">
        <v>0</v>
      </c>
      <c r="Y37" s="78">
        <f t="shared" si="0"/>
        <v>0.92045968329739392</v>
      </c>
      <c r="AE37" s="3" t="s">
        <v>34</v>
      </c>
      <c r="AF37" s="7">
        <v>74920</v>
      </c>
      <c r="AG37" s="7">
        <v>180709</v>
      </c>
      <c r="AH37" s="7">
        <v>220681</v>
      </c>
      <c r="AI37" s="16">
        <f t="shared" si="1"/>
        <v>0.66515468028511748</v>
      </c>
      <c r="AL37" s="2">
        <v>35</v>
      </c>
      <c r="AM37" s="3" t="s">
        <v>34</v>
      </c>
      <c r="AN37" s="7">
        <v>101275</v>
      </c>
      <c r="AO37" s="7">
        <v>120870</v>
      </c>
      <c r="AP37" s="7">
        <v>146787</v>
      </c>
      <c r="AQ37" s="29">
        <v>5.7962139817060594</v>
      </c>
      <c r="AR37" s="29">
        <v>6.0926179701930829</v>
      </c>
      <c r="AS37" s="29">
        <v>6.7166736650034533</v>
      </c>
    </row>
    <row r="38" spans="1:45" x14ac:dyDescent="0.3">
      <c r="A38" s="2">
        <v>36</v>
      </c>
      <c r="B38" s="3" t="s">
        <v>35</v>
      </c>
      <c r="C38" s="7">
        <v>622</v>
      </c>
      <c r="D38" s="7">
        <v>1471</v>
      </c>
      <c r="E38" s="7">
        <v>1990</v>
      </c>
      <c r="F38" s="17">
        <v>622</v>
      </c>
      <c r="G38" s="17">
        <v>1207</v>
      </c>
      <c r="H38" s="17">
        <v>1207</v>
      </c>
      <c r="I38" s="13">
        <v>0</v>
      </c>
      <c r="J38" s="13">
        <v>879</v>
      </c>
      <c r="K38" s="13">
        <v>879</v>
      </c>
      <c r="N38" s="21">
        <v>36</v>
      </c>
      <c r="O38" s="3" t="s">
        <v>35</v>
      </c>
      <c r="P38" s="24">
        <v>0.56029224194770211</v>
      </c>
      <c r="Q38" s="24">
        <v>1.1738131151471967</v>
      </c>
      <c r="R38" s="24">
        <v>1.4444680954924072</v>
      </c>
      <c r="S38" s="26">
        <v>0.56029224194770211</v>
      </c>
      <c r="T38" s="26">
        <v>0.96314917062043937</v>
      </c>
      <c r="U38" s="26">
        <v>0.87611708103484198</v>
      </c>
      <c r="V38" s="29">
        <v>0</v>
      </c>
      <c r="W38" s="29">
        <v>0.70141517893568039</v>
      </c>
      <c r="X38" s="29">
        <v>0.63803389745619399</v>
      </c>
      <c r="Y38" s="78">
        <f t="shared" si="0"/>
        <v>0.88417585354470507</v>
      </c>
      <c r="AE38" s="3" t="s">
        <v>35</v>
      </c>
      <c r="AF38" s="7">
        <v>9625</v>
      </c>
      <c r="AG38" s="7">
        <v>13345</v>
      </c>
      <c r="AH38" s="7">
        <v>13501.239749316621</v>
      </c>
      <c r="AI38" s="16">
        <f t="shared" si="1"/>
        <v>0.1473938717443134</v>
      </c>
      <c r="AL38" s="2">
        <v>36</v>
      </c>
      <c r="AM38" s="3" t="s">
        <v>35</v>
      </c>
      <c r="AN38" s="7">
        <v>622</v>
      </c>
      <c r="AO38" s="7">
        <v>1471</v>
      </c>
      <c r="AP38" s="7">
        <v>1990</v>
      </c>
      <c r="AQ38" s="29">
        <v>0.56029224194770211</v>
      </c>
      <c r="AR38" s="29">
        <v>1.1738131151471967</v>
      </c>
      <c r="AS38" s="29">
        <v>1.4444680954924072</v>
      </c>
    </row>
    <row r="39" spans="1:45" x14ac:dyDescent="0.3">
      <c r="A39" s="2">
        <v>37</v>
      </c>
      <c r="B39" s="3" t="s">
        <v>36</v>
      </c>
      <c r="C39" s="7">
        <v>31</v>
      </c>
      <c r="D39" s="7">
        <v>50</v>
      </c>
      <c r="E39" s="7">
        <v>25.284570175049133</v>
      </c>
      <c r="F39" s="17">
        <v>31</v>
      </c>
      <c r="G39" s="17">
        <v>50</v>
      </c>
      <c r="H39" s="17">
        <v>50</v>
      </c>
      <c r="I39" s="13">
        <v>0</v>
      </c>
      <c r="J39" s="13">
        <v>0</v>
      </c>
      <c r="K39" s="13">
        <v>0</v>
      </c>
      <c r="N39" s="21">
        <v>37</v>
      </c>
      <c r="O39" s="3" t="s">
        <v>36</v>
      </c>
      <c r="P39" s="24">
        <v>1.599942195636803</v>
      </c>
      <c r="Q39" s="24">
        <v>2.3658111893406013</v>
      </c>
      <c r="R39" s="24">
        <v>1.1119986707266545</v>
      </c>
      <c r="S39" s="26">
        <v>1.599942195636803</v>
      </c>
      <c r="T39" s="26">
        <v>2.3658111893406013</v>
      </c>
      <c r="U39" s="26">
        <v>2.198966925338476</v>
      </c>
      <c r="V39" s="29">
        <v>0</v>
      </c>
      <c r="W39" s="29">
        <v>0</v>
      </c>
      <c r="X39" s="29">
        <v>0</v>
      </c>
      <c r="Y39" s="78">
        <f t="shared" si="0"/>
        <v>-0.48794352491014847</v>
      </c>
      <c r="AE39" s="3" t="s">
        <v>36</v>
      </c>
      <c r="AF39" s="7">
        <v>442</v>
      </c>
      <c r="AG39" s="7">
        <v>406</v>
      </c>
      <c r="AH39" s="7">
        <v>440</v>
      </c>
      <c r="AI39" s="16">
        <f t="shared" si="1"/>
        <v>5.746493221602076E-2</v>
      </c>
      <c r="AL39" s="2">
        <v>37</v>
      </c>
      <c r="AM39" s="3" t="s">
        <v>36</v>
      </c>
      <c r="AN39" s="7">
        <v>31</v>
      </c>
      <c r="AO39" s="7">
        <v>50</v>
      </c>
      <c r="AP39" s="7">
        <v>25.284570175049133</v>
      </c>
      <c r="AQ39" s="29">
        <v>1.599942195636803</v>
      </c>
      <c r="AR39" s="29">
        <v>2.3658111893406013</v>
      </c>
      <c r="AS39" s="29">
        <v>1.1119986707266545</v>
      </c>
    </row>
    <row r="40" spans="1:45" x14ac:dyDescent="0.3">
      <c r="A40" s="2">
        <v>38</v>
      </c>
      <c r="B40" s="3" t="s">
        <v>37</v>
      </c>
      <c r="C40" s="7">
        <v>3946</v>
      </c>
      <c r="D40" s="7">
        <v>3015</v>
      </c>
      <c r="E40" s="7">
        <v>3280.6659247026164</v>
      </c>
      <c r="F40" s="17">
        <v>3946</v>
      </c>
      <c r="G40" s="17">
        <v>3015</v>
      </c>
      <c r="H40" s="17">
        <v>3280.6659247026164</v>
      </c>
      <c r="I40" s="13">
        <v>0</v>
      </c>
      <c r="J40" s="13">
        <v>460</v>
      </c>
      <c r="K40" s="13">
        <v>33.941959263780191</v>
      </c>
      <c r="N40" s="21">
        <v>38</v>
      </c>
      <c r="O40" s="3" t="s">
        <v>37</v>
      </c>
      <c r="P40" s="24">
        <v>2.9024169682386525</v>
      </c>
      <c r="Q40" s="24">
        <v>1.9358058528624471</v>
      </c>
      <c r="R40" s="24">
        <v>1.8945373411734798</v>
      </c>
      <c r="S40" s="26">
        <v>2.9024169682386525</v>
      </c>
      <c r="T40" s="26">
        <v>1.9358058528624471</v>
      </c>
      <c r="U40" s="26">
        <v>1.8945373411734798</v>
      </c>
      <c r="V40" s="29">
        <v>0</v>
      </c>
      <c r="W40" s="29">
        <v>0.29534682995579625</v>
      </c>
      <c r="X40" s="29">
        <v>1.960099282698213E-2</v>
      </c>
      <c r="Y40" s="78">
        <f t="shared" si="0"/>
        <v>-1.0078796270651726</v>
      </c>
      <c r="AE40" s="3" t="s">
        <v>37</v>
      </c>
      <c r="AF40" s="7">
        <v>1682</v>
      </c>
      <c r="AG40" s="7">
        <v>4577</v>
      </c>
      <c r="AH40" s="7">
        <v>4737</v>
      </c>
      <c r="AI40" s="16">
        <f t="shared" si="1"/>
        <v>0.69256194315022512</v>
      </c>
      <c r="AL40" s="2">
        <v>38</v>
      </c>
      <c r="AM40" s="3" t="s">
        <v>37</v>
      </c>
      <c r="AN40" s="7">
        <v>3946</v>
      </c>
      <c r="AO40" s="7">
        <v>3015</v>
      </c>
      <c r="AP40" s="7">
        <v>3280.6659247026164</v>
      </c>
      <c r="AQ40" s="29">
        <v>2.9024169682386525</v>
      </c>
      <c r="AR40" s="29">
        <v>1.9358058528624471</v>
      </c>
      <c r="AS40" s="29">
        <v>1.8945373411734798</v>
      </c>
    </row>
    <row r="41" spans="1:45" x14ac:dyDescent="0.3">
      <c r="A41" s="2">
        <v>39</v>
      </c>
      <c r="B41" s="3" t="s">
        <v>38</v>
      </c>
      <c r="C41" s="7">
        <v>0</v>
      </c>
      <c r="D41" s="7">
        <v>158</v>
      </c>
      <c r="E41" s="7">
        <v>179.29058851398477</v>
      </c>
      <c r="F41" s="17">
        <v>0</v>
      </c>
      <c r="G41" s="17">
        <v>158</v>
      </c>
      <c r="H41" s="17">
        <v>179.29058851398477</v>
      </c>
      <c r="I41" s="13">
        <v>0</v>
      </c>
      <c r="J41" s="13">
        <v>0</v>
      </c>
      <c r="K41" s="13">
        <v>0</v>
      </c>
      <c r="N41" s="21">
        <v>39</v>
      </c>
      <c r="O41" s="3" t="s">
        <v>38</v>
      </c>
      <c r="P41" s="24">
        <v>0</v>
      </c>
      <c r="Q41" s="24">
        <v>15.324778615144369</v>
      </c>
      <c r="R41" s="24">
        <v>16.737593274176241</v>
      </c>
      <c r="S41" s="26">
        <v>0</v>
      </c>
      <c r="T41" s="26">
        <v>15.324778615144369</v>
      </c>
      <c r="U41" s="26">
        <v>16.737593274176241</v>
      </c>
      <c r="V41" s="29">
        <v>0</v>
      </c>
      <c r="W41" s="29">
        <v>0</v>
      </c>
      <c r="X41" s="29">
        <v>0</v>
      </c>
      <c r="Y41" s="78">
        <f t="shared" si="0"/>
        <v>16.737593274176241</v>
      </c>
      <c r="AE41" s="3" t="s">
        <v>38</v>
      </c>
      <c r="AF41" s="7">
        <v>419</v>
      </c>
      <c r="AG41" s="7">
        <v>1272</v>
      </c>
      <c r="AH41" s="7">
        <v>1277</v>
      </c>
      <c r="AI41" s="16">
        <f t="shared" si="1"/>
        <v>0.14039983438839843</v>
      </c>
      <c r="AL41" s="2">
        <v>39</v>
      </c>
      <c r="AM41" s="3" t="s">
        <v>38</v>
      </c>
      <c r="AN41" s="7">
        <v>0</v>
      </c>
      <c r="AO41" s="7">
        <v>158</v>
      </c>
      <c r="AP41" s="7">
        <v>179.29058851398477</v>
      </c>
      <c r="AQ41" s="29">
        <v>0</v>
      </c>
      <c r="AR41" s="29">
        <v>15.324778615144369</v>
      </c>
      <c r="AS41" s="29">
        <v>16.737593274176241</v>
      </c>
    </row>
    <row r="42" spans="1:45" x14ac:dyDescent="0.3">
      <c r="A42" s="2">
        <v>40</v>
      </c>
      <c r="B42" s="3" t="s">
        <v>39</v>
      </c>
      <c r="C42" s="7">
        <v>2187</v>
      </c>
      <c r="D42" s="7">
        <v>391</v>
      </c>
      <c r="E42" s="7">
        <v>2271</v>
      </c>
      <c r="F42" s="17">
        <v>286</v>
      </c>
      <c r="G42" s="17">
        <v>287</v>
      </c>
      <c r="H42" s="17">
        <v>211.4709505549564</v>
      </c>
      <c r="I42" s="13">
        <v>1901</v>
      </c>
      <c r="J42" s="13">
        <v>104</v>
      </c>
      <c r="K42" s="13">
        <v>2087</v>
      </c>
      <c r="N42" s="21">
        <v>40</v>
      </c>
      <c r="O42" s="3" t="s">
        <v>39</v>
      </c>
      <c r="P42" s="24">
        <v>3.140049435318752</v>
      </c>
      <c r="Q42" s="24">
        <v>0.49737441009932098</v>
      </c>
      <c r="R42" s="24">
        <v>2.6389430841215091</v>
      </c>
      <c r="S42" s="26">
        <v>0.41063289369051809</v>
      </c>
      <c r="T42" s="26">
        <v>0.36508044935679057</v>
      </c>
      <c r="U42" s="26">
        <v>0.24573307021558952</v>
      </c>
      <c r="V42" s="29">
        <v>2.7294165416282339</v>
      </c>
      <c r="W42" s="29">
        <v>0.13229396074253039</v>
      </c>
      <c r="X42" s="29">
        <v>2.4251317554212197</v>
      </c>
      <c r="Y42" s="78">
        <f t="shared" si="0"/>
        <v>-0.50110635119724289</v>
      </c>
      <c r="AE42" s="3" t="s">
        <v>39</v>
      </c>
      <c r="AF42" s="7">
        <v>6106</v>
      </c>
      <c r="AG42" s="7">
        <v>5757</v>
      </c>
      <c r="AH42" s="7">
        <v>15666</v>
      </c>
      <c r="AI42" s="16">
        <f t="shared" si="1"/>
        <v>0.14496361547299885</v>
      </c>
      <c r="AL42" s="2">
        <v>40</v>
      </c>
      <c r="AM42" s="3" t="s">
        <v>39</v>
      </c>
      <c r="AN42" s="7">
        <v>2187</v>
      </c>
      <c r="AO42" s="7">
        <v>391</v>
      </c>
      <c r="AP42" s="7">
        <v>2271</v>
      </c>
      <c r="AQ42" s="29">
        <v>3.140049435318752</v>
      </c>
      <c r="AR42" s="29">
        <v>0.49737441009932098</v>
      </c>
      <c r="AS42" s="29">
        <v>2.6389430841215091</v>
      </c>
    </row>
    <row r="43" spans="1:45" x14ac:dyDescent="0.3">
      <c r="A43" s="2">
        <v>41</v>
      </c>
      <c r="B43" s="3" t="s">
        <v>40</v>
      </c>
      <c r="C43" s="7">
        <v>0</v>
      </c>
      <c r="D43" s="7">
        <v>0</v>
      </c>
      <c r="E43" s="7">
        <v>0</v>
      </c>
      <c r="F43" s="17">
        <v>0</v>
      </c>
      <c r="G43" s="17">
        <v>0</v>
      </c>
      <c r="H43" s="17">
        <v>0</v>
      </c>
      <c r="I43" s="13">
        <v>0</v>
      </c>
      <c r="J43" s="13">
        <v>0</v>
      </c>
      <c r="K43" s="13">
        <v>0</v>
      </c>
      <c r="N43" s="21">
        <v>41</v>
      </c>
      <c r="O43" s="3" t="s">
        <v>40</v>
      </c>
      <c r="P43" s="24">
        <v>0</v>
      </c>
      <c r="Q43" s="24">
        <v>0</v>
      </c>
      <c r="R43" s="24">
        <v>0</v>
      </c>
      <c r="S43" s="26">
        <v>0</v>
      </c>
      <c r="T43" s="26">
        <v>0</v>
      </c>
      <c r="U43" s="26">
        <v>0</v>
      </c>
      <c r="V43" s="29">
        <v>0</v>
      </c>
      <c r="W43" s="29">
        <v>0</v>
      </c>
      <c r="X43" s="29">
        <v>0</v>
      </c>
      <c r="Y43" s="78">
        <f t="shared" si="0"/>
        <v>0</v>
      </c>
      <c r="AE43" s="3" t="s">
        <v>40</v>
      </c>
      <c r="AF43" s="7">
        <v>58722</v>
      </c>
      <c r="AG43" s="7">
        <v>287458</v>
      </c>
      <c r="AH43" s="7">
        <v>397261.24962174537</v>
      </c>
      <c r="AI43" s="16">
        <f t="shared" si="1"/>
        <v>0</v>
      </c>
      <c r="AL43" s="2">
        <v>41</v>
      </c>
      <c r="AM43" s="3" t="s">
        <v>40</v>
      </c>
      <c r="AN43" s="7">
        <v>0</v>
      </c>
      <c r="AO43" s="7">
        <v>0</v>
      </c>
      <c r="AP43" s="7">
        <v>0</v>
      </c>
      <c r="AQ43" s="29">
        <v>0</v>
      </c>
      <c r="AR43" s="29">
        <v>0</v>
      </c>
      <c r="AS43" s="29">
        <v>0</v>
      </c>
    </row>
    <row r="44" spans="1:45" x14ac:dyDescent="0.3">
      <c r="A44" s="2">
        <v>42</v>
      </c>
      <c r="B44" s="3" t="s">
        <v>41</v>
      </c>
      <c r="C44" s="7">
        <v>0</v>
      </c>
      <c r="D44" s="7">
        <v>1712</v>
      </c>
      <c r="E44" s="7">
        <v>3020</v>
      </c>
      <c r="F44" s="17">
        <v>0</v>
      </c>
      <c r="G44" s="17">
        <v>1112</v>
      </c>
      <c r="H44" s="17">
        <v>524.08018181010937</v>
      </c>
      <c r="I44" s="13">
        <v>0</v>
      </c>
      <c r="J44" s="13">
        <v>600</v>
      </c>
      <c r="K44" s="13">
        <v>2564</v>
      </c>
      <c r="N44" s="21">
        <v>42</v>
      </c>
      <c r="O44" s="3" t="s">
        <v>41</v>
      </c>
      <c r="P44" s="24">
        <v>0</v>
      </c>
      <c r="Q44" s="24">
        <v>1.6468934438297507</v>
      </c>
      <c r="R44" s="24">
        <v>2.7673002425007196</v>
      </c>
      <c r="S44" s="26">
        <v>0</v>
      </c>
      <c r="T44" s="26">
        <v>1.0697111621137165</v>
      </c>
      <c r="U44" s="26">
        <v>0.48022755437514469</v>
      </c>
      <c r="V44" s="29">
        <v>0</v>
      </c>
      <c r="W44" s="29">
        <v>0.57718228171603414</v>
      </c>
      <c r="X44" s="29">
        <v>2.349456232374783</v>
      </c>
      <c r="Y44" s="78">
        <f t="shared" si="0"/>
        <v>2.7673002425007196</v>
      </c>
      <c r="AE44" s="3" t="s">
        <v>41</v>
      </c>
      <c r="AF44" s="7">
        <v>0</v>
      </c>
      <c r="AG44" s="7">
        <v>3726</v>
      </c>
      <c r="AH44" s="7">
        <v>4530</v>
      </c>
      <c r="AI44" s="16">
        <f t="shared" si="1"/>
        <v>0.66666666666666663</v>
      </c>
      <c r="AL44" s="2">
        <v>42</v>
      </c>
      <c r="AM44" s="3" t="s">
        <v>41</v>
      </c>
      <c r="AN44" s="7">
        <v>0</v>
      </c>
      <c r="AO44" s="7">
        <v>1712</v>
      </c>
      <c r="AP44" s="7">
        <v>3020</v>
      </c>
      <c r="AQ44" s="29">
        <v>0</v>
      </c>
      <c r="AR44" s="29">
        <v>1.6468934438297507</v>
      </c>
      <c r="AS44" s="29">
        <v>2.7673002425007196</v>
      </c>
    </row>
    <row r="45" spans="1:45" x14ac:dyDescent="0.3">
      <c r="A45" s="2">
        <v>43</v>
      </c>
      <c r="B45" s="3" t="s">
        <v>42</v>
      </c>
      <c r="C45" s="7">
        <v>0</v>
      </c>
      <c r="D45" s="7">
        <v>0</v>
      </c>
      <c r="E45" s="7">
        <v>0</v>
      </c>
      <c r="F45" s="17">
        <v>0</v>
      </c>
      <c r="G45" s="17">
        <v>0</v>
      </c>
      <c r="H45" s="17">
        <v>0</v>
      </c>
      <c r="I45" s="13">
        <v>0</v>
      </c>
      <c r="J45" s="13">
        <v>0</v>
      </c>
      <c r="K45" s="13">
        <v>0</v>
      </c>
      <c r="N45" s="21">
        <v>43</v>
      </c>
      <c r="O45" s="3" t="s">
        <v>42</v>
      </c>
      <c r="P45" s="24">
        <v>0</v>
      </c>
      <c r="Q45" s="24">
        <v>0</v>
      </c>
      <c r="R45" s="24">
        <v>0</v>
      </c>
      <c r="S45" s="26">
        <v>0</v>
      </c>
      <c r="T45" s="26">
        <v>0</v>
      </c>
      <c r="U45" s="26">
        <v>0</v>
      </c>
      <c r="V45" s="29">
        <v>0</v>
      </c>
      <c r="W45" s="29">
        <v>0</v>
      </c>
      <c r="X45" s="29">
        <v>0</v>
      </c>
      <c r="Y45" s="78">
        <f t="shared" si="0"/>
        <v>0</v>
      </c>
      <c r="AE45" s="3" t="s">
        <v>42</v>
      </c>
      <c r="AF45" s="7">
        <v>20800</v>
      </c>
      <c r="AG45" s="7">
        <v>31940</v>
      </c>
      <c r="AH45" s="7">
        <v>31940</v>
      </c>
      <c r="AI45" s="16">
        <f t="shared" si="1"/>
        <v>0</v>
      </c>
      <c r="AL45" s="2">
        <v>43</v>
      </c>
      <c r="AM45" s="3" t="s">
        <v>42</v>
      </c>
      <c r="AN45" s="7">
        <v>0</v>
      </c>
      <c r="AO45" s="7">
        <v>0</v>
      </c>
      <c r="AP45" s="7">
        <v>0</v>
      </c>
      <c r="AQ45" s="29">
        <v>0</v>
      </c>
      <c r="AR45" s="29">
        <v>0</v>
      </c>
      <c r="AS45" s="29">
        <v>0</v>
      </c>
    </row>
    <row r="46" spans="1:45" x14ac:dyDescent="0.3">
      <c r="A46" s="2">
        <v>44</v>
      </c>
      <c r="B46" s="3" t="s">
        <v>43</v>
      </c>
      <c r="C46" s="7">
        <v>795</v>
      </c>
      <c r="D46" s="7">
        <v>1285</v>
      </c>
      <c r="E46" s="7">
        <v>1864</v>
      </c>
      <c r="F46" s="17">
        <v>396</v>
      </c>
      <c r="G46" s="17">
        <v>655</v>
      </c>
      <c r="H46" s="17">
        <v>1043</v>
      </c>
      <c r="I46" s="13">
        <v>399</v>
      </c>
      <c r="J46" s="13">
        <v>630</v>
      </c>
      <c r="K46" s="13">
        <v>821</v>
      </c>
      <c r="N46" s="21">
        <v>44</v>
      </c>
      <c r="O46" s="3" t="s">
        <v>43</v>
      </c>
      <c r="P46" s="24">
        <v>1.1187368152644672</v>
      </c>
      <c r="Q46" s="24">
        <v>1.5969321008082962</v>
      </c>
      <c r="R46" s="24">
        <v>2.1065244792779407</v>
      </c>
      <c r="S46" s="26">
        <v>0.55725758345248932</v>
      </c>
      <c r="T46" s="26">
        <v>0.81400040936142726</v>
      </c>
      <c r="U46" s="26">
        <v>1.1787044162483327</v>
      </c>
      <c r="V46" s="29">
        <v>0.5614792318119779</v>
      </c>
      <c r="W46" s="29">
        <v>0.78293169144686892</v>
      </c>
      <c r="X46" s="29">
        <v>0.92782006302960807</v>
      </c>
      <c r="Y46" s="78">
        <f t="shared" si="0"/>
        <v>0.98778766401347351</v>
      </c>
      <c r="AE46" s="3" t="s">
        <v>43</v>
      </c>
      <c r="AF46" s="7">
        <v>1341</v>
      </c>
      <c r="AG46" s="7">
        <v>1966</v>
      </c>
      <c r="AH46" s="7">
        <v>2630</v>
      </c>
      <c r="AI46" s="16">
        <f t="shared" si="1"/>
        <v>0.70874524714828901</v>
      </c>
      <c r="AL46" s="2">
        <v>44</v>
      </c>
      <c r="AM46" s="3" t="s">
        <v>43</v>
      </c>
      <c r="AN46" s="7">
        <v>795</v>
      </c>
      <c r="AO46" s="7">
        <v>1285</v>
      </c>
      <c r="AP46" s="7">
        <v>1864</v>
      </c>
      <c r="AQ46" s="29">
        <v>1.1187368152644672</v>
      </c>
      <c r="AR46" s="29">
        <v>1.5969321008082962</v>
      </c>
      <c r="AS46" s="29">
        <v>2.1065244792779407</v>
      </c>
    </row>
    <row r="47" spans="1:45" x14ac:dyDescent="0.3">
      <c r="A47" s="2">
        <v>45</v>
      </c>
      <c r="B47" s="3" t="s">
        <v>44</v>
      </c>
      <c r="C47" s="7">
        <v>7000</v>
      </c>
      <c r="D47" s="7">
        <v>7237</v>
      </c>
      <c r="E47" s="7">
        <v>32957</v>
      </c>
      <c r="F47" s="17">
        <v>7000</v>
      </c>
      <c r="G47" s="17">
        <v>0</v>
      </c>
      <c r="H47" s="17">
        <v>0</v>
      </c>
      <c r="I47" s="13">
        <v>0</v>
      </c>
      <c r="J47" s="13">
        <v>7237</v>
      </c>
      <c r="K47" s="13">
        <v>8698</v>
      </c>
      <c r="N47" s="21">
        <v>45</v>
      </c>
      <c r="O47" s="3" t="s">
        <v>44</v>
      </c>
      <c r="P47" s="24">
        <v>1.9844886695619415</v>
      </c>
      <c r="Q47" s="24">
        <v>1.7432087542464663</v>
      </c>
      <c r="R47" s="24">
        <v>6.9750877177016513</v>
      </c>
      <c r="S47" s="26">
        <v>1.9844886695619415</v>
      </c>
      <c r="T47" s="26">
        <v>0</v>
      </c>
      <c r="U47" s="26">
        <v>0</v>
      </c>
      <c r="V47" s="29">
        <v>0</v>
      </c>
      <c r="W47" s="29">
        <v>1.7432087542464663</v>
      </c>
      <c r="X47" s="29">
        <v>1.8408627292705331</v>
      </c>
      <c r="Y47" s="78">
        <f t="shared" si="0"/>
        <v>4.9905990481397096</v>
      </c>
      <c r="AE47" s="3" t="s">
        <v>44</v>
      </c>
      <c r="AF47" s="7">
        <v>40149</v>
      </c>
      <c r="AG47" s="7">
        <v>52907</v>
      </c>
      <c r="AH47" s="7">
        <v>74197</v>
      </c>
      <c r="AI47" s="16">
        <f t="shared" si="1"/>
        <v>0.4441823793414828</v>
      </c>
      <c r="AL47" s="2">
        <v>45</v>
      </c>
      <c r="AM47" s="3" t="s">
        <v>44</v>
      </c>
      <c r="AN47" s="7">
        <v>7000</v>
      </c>
      <c r="AO47" s="7">
        <v>7237</v>
      </c>
      <c r="AP47" s="7">
        <v>32957</v>
      </c>
      <c r="AQ47" s="29">
        <v>1.9844886695619415</v>
      </c>
      <c r="AR47" s="29">
        <v>1.7432087542464663</v>
      </c>
      <c r="AS47" s="29">
        <v>6.9750877177016513</v>
      </c>
    </row>
    <row r="48" spans="1:45" x14ac:dyDescent="0.3">
      <c r="A48" s="2">
        <v>46</v>
      </c>
      <c r="B48" s="3" t="s">
        <v>45</v>
      </c>
      <c r="C48" s="7">
        <v>2773</v>
      </c>
      <c r="D48" s="7">
        <v>3432</v>
      </c>
      <c r="E48" s="7">
        <v>9202</v>
      </c>
      <c r="F48" s="17">
        <v>2773</v>
      </c>
      <c r="G48" s="17">
        <v>3432</v>
      </c>
      <c r="H48" s="17">
        <v>9202</v>
      </c>
      <c r="I48" s="13">
        <v>0</v>
      </c>
      <c r="J48" s="13">
        <v>0</v>
      </c>
      <c r="K48" s="13">
        <v>0</v>
      </c>
      <c r="N48" s="21">
        <v>46</v>
      </c>
      <c r="O48" s="3" t="s">
        <v>45</v>
      </c>
      <c r="P48" s="24">
        <v>1.8201538354901259</v>
      </c>
      <c r="Q48" s="24">
        <v>1.9242097942614949</v>
      </c>
      <c r="R48" s="24">
        <v>4.5969374565227969</v>
      </c>
      <c r="S48" s="26">
        <v>1.8201538354901259</v>
      </c>
      <c r="T48" s="26">
        <v>1.9242097942614949</v>
      </c>
      <c r="U48" s="26">
        <v>4.5969374565227969</v>
      </c>
      <c r="V48" s="29">
        <v>0</v>
      </c>
      <c r="W48" s="29">
        <v>0</v>
      </c>
      <c r="X48" s="29">
        <v>0</v>
      </c>
      <c r="Y48" s="78">
        <f t="shared" si="0"/>
        <v>2.7767836210326711</v>
      </c>
      <c r="AE48" s="3" t="s">
        <v>45</v>
      </c>
      <c r="AF48" s="7">
        <v>0</v>
      </c>
      <c r="AG48" s="7">
        <v>20746</v>
      </c>
      <c r="AH48" s="7">
        <v>49975</v>
      </c>
      <c r="AI48" s="16">
        <f t="shared" si="1"/>
        <v>0.18413206603301652</v>
      </c>
      <c r="AL48" s="2">
        <v>46</v>
      </c>
      <c r="AM48" s="3" t="s">
        <v>45</v>
      </c>
      <c r="AN48" s="7">
        <v>2773</v>
      </c>
      <c r="AO48" s="7">
        <v>3432</v>
      </c>
      <c r="AP48" s="7">
        <v>9202</v>
      </c>
      <c r="AQ48" s="29">
        <v>1.8201538354901259</v>
      </c>
      <c r="AR48" s="29">
        <v>1.9242097942614949</v>
      </c>
      <c r="AS48" s="29">
        <v>4.5969374565227969</v>
      </c>
    </row>
    <row r="49" spans="1:45" x14ac:dyDescent="0.3">
      <c r="A49" s="2">
        <v>47</v>
      </c>
      <c r="B49" s="3" t="s">
        <v>46</v>
      </c>
      <c r="C49" s="7">
        <v>0</v>
      </c>
      <c r="D49" s="7">
        <v>854</v>
      </c>
      <c r="E49" s="7">
        <v>9601</v>
      </c>
      <c r="F49" s="17">
        <v>0</v>
      </c>
      <c r="G49" s="17">
        <v>845</v>
      </c>
      <c r="H49" s="17">
        <v>2796</v>
      </c>
      <c r="I49" s="13">
        <v>0</v>
      </c>
      <c r="J49" s="13">
        <v>9</v>
      </c>
      <c r="K49" s="13">
        <v>9</v>
      </c>
      <c r="N49" s="21">
        <v>47</v>
      </c>
      <c r="O49" s="3" t="s">
        <v>46</v>
      </c>
      <c r="P49" s="24">
        <v>0</v>
      </c>
      <c r="Q49" s="24">
        <v>0.56735952736161055</v>
      </c>
      <c r="R49" s="24">
        <v>5.8827721171184519</v>
      </c>
      <c r="S49" s="26">
        <v>0</v>
      </c>
      <c r="T49" s="26">
        <v>0.56138032859550457</v>
      </c>
      <c r="U49" s="26">
        <v>1.7131789229729393</v>
      </c>
      <c r="V49" s="29">
        <v>0</v>
      </c>
      <c r="W49" s="29">
        <v>5.9791987661059658E-3</v>
      </c>
      <c r="X49" s="29">
        <v>5.5145244301704052E-3</v>
      </c>
      <c r="Y49" s="78">
        <f t="shared" si="0"/>
        <v>5.8827721171184519</v>
      </c>
      <c r="AE49" s="3" t="s">
        <v>46</v>
      </c>
      <c r="AF49" s="7">
        <v>18722</v>
      </c>
      <c r="AG49" s="7">
        <v>27874</v>
      </c>
      <c r="AH49" s="7">
        <v>46537</v>
      </c>
      <c r="AI49" s="16">
        <f t="shared" si="1"/>
        <v>0.20630895846315836</v>
      </c>
      <c r="AL49" s="2">
        <v>47</v>
      </c>
      <c r="AM49" s="3" t="s">
        <v>46</v>
      </c>
      <c r="AN49" s="7">
        <v>0</v>
      </c>
      <c r="AO49" s="7">
        <v>854</v>
      </c>
      <c r="AP49" s="7">
        <v>9601</v>
      </c>
      <c r="AQ49" s="29">
        <v>0</v>
      </c>
      <c r="AR49" s="29">
        <v>0.56735952736161055</v>
      </c>
      <c r="AS49" s="29">
        <v>5.8827721171184519</v>
      </c>
    </row>
    <row r="50" spans="1:45" x14ac:dyDescent="0.3">
      <c r="A50" s="2">
        <v>48</v>
      </c>
      <c r="B50" s="5" t="s">
        <v>47</v>
      </c>
      <c r="C50" s="8">
        <v>173269</v>
      </c>
      <c r="D50" s="8">
        <v>219661</v>
      </c>
      <c r="E50" s="8">
        <v>334530.09615611599</v>
      </c>
      <c r="F50" s="6">
        <v>154644</v>
      </c>
      <c r="G50" s="6">
        <v>204017</v>
      </c>
      <c r="H50" s="6">
        <v>256916.13239427924</v>
      </c>
      <c r="I50" s="14">
        <v>9405</v>
      </c>
      <c r="J50" s="14">
        <v>19147</v>
      </c>
      <c r="K50" s="14">
        <v>30541.91305720841</v>
      </c>
      <c r="N50" s="21">
        <v>48</v>
      </c>
      <c r="O50" s="5" t="s">
        <v>47</v>
      </c>
      <c r="P50" s="25">
        <f>AVERAGE(P3:P49)</f>
        <v>1.2350517318887642</v>
      </c>
      <c r="Q50" s="25">
        <f t="shared" ref="Q50:R50" si="2">AVERAGE(Q3:Q49)</f>
        <v>1.975870818811178</v>
      </c>
      <c r="R50" s="25">
        <f t="shared" si="2"/>
        <v>2.5573688553151626</v>
      </c>
      <c r="S50" s="28">
        <f t="shared" ref="S50:X50" si="3">AVERAGE(S3:S49)</f>
        <v>0.99716798532764694</v>
      </c>
      <c r="T50" s="28">
        <f t="shared" si="3"/>
        <v>1.7755541550744172</v>
      </c>
      <c r="U50" s="28">
        <f t="shared" si="3"/>
        <v>1.9945449577391132</v>
      </c>
      <c r="V50" s="30">
        <f t="shared" si="3"/>
        <v>0.15566604587100194</v>
      </c>
      <c r="W50" s="30">
        <f t="shared" si="3"/>
        <v>0.26753087309703988</v>
      </c>
      <c r="X50" s="30">
        <f t="shared" si="3"/>
        <v>0.34261510766003739</v>
      </c>
      <c r="AE50" s="5" t="s">
        <v>47</v>
      </c>
      <c r="AF50" s="8">
        <v>479279</v>
      </c>
      <c r="AG50" s="8">
        <v>1248604</v>
      </c>
      <c r="AH50" s="8">
        <v>1599096.3166420299</v>
      </c>
      <c r="AI50" s="16">
        <f t="shared" si="1"/>
        <v>0.209199466395246</v>
      </c>
      <c r="AL50" s="2">
        <v>48</v>
      </c>
      <c r="AM50" s="5" t="s">
        <v>47</v>
      </c>
      <c r="AN50" s="6">
        <f>SUM(AN3:AN49)</f>
        <v>173269</v>
      </c>
      <c r="AO50" s="6">
        <f t="shared" ref="AO50:AP50" si="4">SUM(AO3:AO49)</f>
        <v>219661</v>
      </c>
      <c r="AP50" s="6">
        <f t="shared" si="4"/>
        <v>334530.09615611593</v>
      </c>
      <c r="AQ50" s="28">
        <f>AVERAGE(AQ3:AQ49)</f>
        <v>1.2350517318887642</v>
      </c>
      <c r="AR50" s="28">
        <f t="shared" ref="AR50:AS50" si="5">AVERAGE(AR3:AR49)</f>
        <v>1.975870818811178</v>
      </c>
      <c r="AS50" s="28">
        <f t="shared" si="5"/>
        <v>2.5573688553151626</v>
      </c>
    </row>
    <row r="53" spans="1:45" x14ac:dyDescent="0.3">
      <c r="C53" s="16" t="s">
        <v>95</v>
      </c>
    </row>
    <row r="55" spans="1:45" x14ac:dyDescent="0.3">
      <c r="D55" s="77">
        <f>((E50/C50)^(1/9))-1</f>
        <v>7.5835909751678976E-2</v>
      </c>
      <c r="Q55" s="77">
        <f>((R50/P50)^(1/9))-1</f>
        <v>8.4234284282161953E-2</v>
      </c>
    </row>
  </sheetData>
  <mergeCells count="7">
    <mergeCell ref="AN1:AS1"/>
    <mergeCell ref="V1:X1"/>
    <mergeCell ref="C1:E1"/>
    <mergeCell ref="F1:H1"/>
    <mergeCell ref="I1:K1"/>
    <mergeCell ref="P1:R1"/>
    <mergeCell ref="S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7837-A2D4-412E-84D0-94083C7DB488}">
  <dimension ref="A1:J55"/>
  <sheetViews>
    <sheetView tabSelected="1" topLeftCell="A40" workbookViewId="0">
      <selection activeCell="M50" sqref="M50"/>
    </sheetView>
  </sheetViews>
  <sheetFormatPr defaultRowHeight="14" x14ac:dyDescent="0.3"/>
  <cols>
    <col min="1" max="1" width="4.453125" style="16" bestFit="1" customWidth="1"/>
    <col min="2" max="2" width="20.90625" style="16" bestFit="1" customWidth="1"/>
    <col min="3" max="3" width="8.81640625" style="16" bestFit="1" customWidth="1"/>
    <col min="4" max="4" width="10.1796875" style="16" bestFit="1" customWidth="1"/>
    <col min="5" max="5" width="16.1796875" style="16" bestFit="1" customWidth="1"/>
    <col min="6" max="16384" width="8.7265625" style="16"/>
  </cols>
  <sheetData>
    <row r="1" spans="1:10" ht="14.5" customHeight="1" x14ac:dyDescent="0.3">
      <c r="A1" s="2"/>
      <c r="B1" s="2"/>
      <c r="C1" s="196" t="s">
        <v>96</v>
      </c>
      <c r="D1" s="196"/>
      <c r="E1" s="196"/>
      <c r="F1" s="197" t="s">
        <v>91</v>
      </c>
      <c r="G1" s="197" t="s">
        <v>92</v>
      </c>
      <c r="H1" s="197" t="s">
        <v>93</v>
      </c>
    </row>
    <row r="2" spans="1:10" x14ac:dyDescent="0.3">
      <c r="A2" s="9" t="s">
        <v>52</v>
      </c>
      <c r="B2" s="10" t="s">
        <v>48</v>
      </c>
      <c r="C2" s="11">
        <v>2013</v>
      </c>
      <c r="D2" s="11">
        <v>2018</v>
      </c>
      <c r="E2" s="11" t="s">
        <v>51</v>
      </c>
      <c r="F2" s="198"/>
      <c r="G2" s="198"/>
      <c r="H2" s="198"/>
      <c r="I2" s="16" t="s">
        <v>321</v>
      </c>
      <c r="J2" s="16" t="s">
        <v>409</v>
      </c>
    </row>
    <row r="3" spans="1:10" x14ac:dyDescent="0.3">
      <c r="A3" s="2">
        <v>1</v>
      </c>
      <c r="B3" s="3" t="s">
        <v>0</v>
      </c>
      <c r="C3" s="4">
        <v>11139</v>
      </c>
      <c r="D3" s="4">
        <v>66653</v>
      </c>
      <c r="E3" s="110">
        <v>113846</v>
      </c>
      <c r="F3" s="41">
        <v>2.931267462129866</v>
      </c>
      <c r="G3" s="41">
        <v>15.897390433807972</v>
      </c>
      <c r="H3" s="41">
        <v>25.353635512816727</v>
      </c>
      <c r="I3" s="78">
        <f>H3-F3</f>
        <v>22.42236805068686</v>
      </c>
      <c r="J3" s="79">
        <f>E3-C3</f>
        <v>102707</v>
      </c>
    </row>
    <row r="4" spans="1:10" x14ac:dyDescent="0.3">
      <c r="A4" s="2">
        <v>2</v>
      </c>
      <c r="B4" s="3" t="s">
        <v>1</v>
      </c>
      <c r="C4" s="4">
        <v>30</v>
      </c>
      <c r="D4" s="4">
        <v>47520</v>
      </c>
      <c r="E4" s="110">
        <v>66749.979162440766</v>
      </c>
      <c r="F4" s="41">
        <v>1.147359073900709E-2</v>
      </c>
      <c r="G4" s="41">
        <v>15.194957346200697</v>
      </c>
      <c r="H4" s="41">
        <v>18.755796326105237</v>
      </c>
      <c r="I4" s="78">
        <f t="shared" ref="I4:I49" si="0">H4-F4</f>
        <v>18.744322735366229</v>
      </c>
      <c r="J4" s="79">
        <f t="shared" ref="J4:J49" si="1">E4-C4</f>
        <v>66719.979162440766</v>
      </c>
    </row>
    <row r="5" spans="1:10" x14ac:dyDescent="0.3">
      <c r="A5" s="2">
        <v>3</v>
      </c>
      <c r="B5" s="3" t="s">
        <v>2</v>
      </c>
      <c r="C5" s="4">
        <v>5823</v>
      </c>
      <c r="D5" s="4">
        <v>4465</v>
      </c>
      <c r="E5" s="4">
        <v>7948</v>
      </c>
      <c r="F5" s="26">
        <v>5.6486101756176508</v>
      </c>
      <c r="G5" s="26">
        <v>3.7393169327367244</v>
      </c>
      <c r="H5" s="41">
        <v>5.9522810986467025</v>
      </c>
      <c r="I5" s="78">
        <f t="shared" si="0"/>
        <v>0.30367092302905174</v>
      </c>
      <c r="J5" s="79">
        <f t="shared" si="1"/>
        <v>2125</v>
      </c>
    </row>
    <row r="6" spans="1:10" x14ac:dyDescent="0.3">
      <c r="A6" s="2">
        <v>4</v>
      </c>
      <c r="B6" s="3" t="s">
        <v>3</v>
      </c>
      <c r="C6" s="4">
        <v>7317</v>
      </c>
      <c r="D6" s="4">
        <v>7645</v>
      </c>
      <c r="E6" s="4">
        <v>8028</v>
      </c>
      <c r="F6" s="26">
        <v>32.999921525401852</v>
      </c>
      <c r="G6" s="26">
        <v>31.186152777066741</v>
      </c>
      <c r="H6" s="41">
        <v>30.521279734296041</v>
      </c>
      <c r="I6" s="78">
        <f t="shared" si="0"/>
        <v>-2.4786417911058116</v>
      </c>
      <c r="J6" s="79">
        <f t="shared" si="1"/>
        <v>711</v>
      </c>
    </row>
    <row r="7" spans="1:10" x14ac:dyDescent="0.3">
      <c r="A7" s="2">
        <v>5</v>
      </c>
      <c r="B7" s="3" t="s">
        <v>4</v>
      </c>
      <c r="C7" s="4">
        <v>7787</v>
      </c>
      <c r="D7" s="4">
        <v>16894</v>
      </c>
      <c r="E7" s="4">
        <v>23255</v>
      </c>
      <c r="F7" s="26">
        <v>4.4152982970029466</v>
      </c>
      <c r="G7" s="26">
        <v>8.2843276986599577</v>
      </c>
      <c r="H7" s="41">
        <v>10.256348284858944</v>
      </c>
      <c r="I7" s="78">
        <f t="shared" si="0"/>
        <v>5.8410499878559978</v>
      </c>
      <c r="J7" s="79">
        <f t="shared" si="1"/>
        <v>15468</v>
      </c>
    </row>
    <row r="8" spans="1:10" x14ac:dyDescent="0.3">
      <c r="A8" s="2">
        <v>6</v>
      </c>
      <c r="B8" s="3" t="s">
        <v>5</v>
      </c>
      <c r="C8" s="4">
        <v>6608</v>
      </c>
      <c r="D8" s="4">
        <v>9316</v>
      </c>
      <c r="E8" s="4">
        <v>9550.7255278816283</v>
      </c>
      <c r="F8" s="26">
        <v>6.5106158359793778</v>
      </c>
      <c r="G8" s="26">
        <v>8.1054703006423914</v>
      </c>
      <c r="H8" s="41">
        <v>7.4096503697244298</v>
      </c>
      <c r="I8" s="78">
        <f t="shared" si="0"/>
        <v>0.89903453374505204</v>
      </c>
      <c r="J8" s="79">
        <f t="shared" si="1"/>
        <v>2942.7255278816283</v>
      </c>
    </row>
    <row r="9" spans="1:10" x14ac:dyDescent="0.3">
      <c r="A9" s="2">
        <v>7</v>
      </c>
      <c r="B9" s="3" t="s">
        <v>6</v>
      </c>
      <c r="C9" s="4">
        <v>19081</v>
      </c>
      <c r="D9" s="4">
        <v>10615</v>
      </c>
      <c r="E9" s="4">
        <v>18147</v>
      </c>
      <c r="F9" s="26">
        <v>8.8203819653905953</v>
      </c>
      <c r="G9" s="26">
        <v>4.2330052664527251</v>
      </c>
      <c r="H9" s="41">
        <v>6.5009139592914282</v>
      </c>
      <c r="I9" s="78">
        <f t="shared" si="0"/>
        <v>-2.319468006099167</v>
      </c>
      <c r="J9" s="79">
        <f t="shared" si="1"/>
        <v>-934</v>
      </c>
    </row>
    <row r="10" spans="1:10" x14ac:dyDescent="0.3">
      <c r="A10" s="2">
        <v>8</v>
      </c>
      <c r="B10" s="3" t="s">
        <v>7</v>
      </c>
      <c r="C10" s="4">
        <v>403</v>
      </c>
      <c r="D10" s="4">
        <v>795</v>
      </c>
      <c r="E10" s="4">
        <v>968</v>
      </c>
      <c r="F10" s="26">
        <v>7.4637922732155442</v>
      </c>
      <c r="G10" s="26">
        <v>13.918030677440449</v>
      </c>
      <c r="H10" s="41">
        <v>16.319663086624868</v>
      </c>
      <c r="I10" s="78">
        <f t="shared" si="0"/>
        <v>8.8558708134093234</v>
      </c>
      <c r="J10" s="79">
        <f t="shared" si="1"/>
        <v>565</v>
      </c>
    </row>
    <row r="11" spans="1:10" x14ac:dyDescent="0.3">
      <c r="A11" s="2">
        <v>9</v>
      </c>
      <c r="B11" s="3" t="s">
        <v>8</v>
      </c>
      <c r="C11" s="4">
        <v>836</v>
      </c>
      <c r="D11" s="4">
        <v>1639</v>
      </c>
      <c r="E11" s="4">
        <v>1185.4801488833746</v>
      </c>
      <c r="F11" s="26">
        <v>1.7407859377812667</v>
      </c>
      <c r="G11" s="26">
        <v>3.2170182029449759</v>
      </c>
      <c r="H11" s="41">
        <v>2.1248425477555357</v>
      </c>
      <c r="I11" s="78">
        <f t="shared" si="0"/>
        <v>0.38405660997426905</v>
      </c>
      <c r="J11" s="79">
        <f t="shared" si="1"/>
        <v>349.48014888337457</v>
      </c>
    </row>
    <row r="12" spans="1:10" x14ac:dyDescent="0.3">
      <c r="A12" s="2">
        <v>10</v>
      </c>
      <c r="B12" s="3" t="s">
        <v>9</v>
      </c>
      <c r="C12" s="4">
        <v>4057</v>
      </c>
      <c r="D12" s="4">
        <v>5735</v>
      </c>
      <c r="E12" s="4">
        <v>4291.3930605903679</v>
      </c>
      <c r="F12" s="26">
        <v>3.0695858930397235</v>
      </c>
      <c r="G12" s="26">
        <v>3.6752901941206888</v>
      </c>
      <c r="H12" s="41">
        <v>2.421326474001444</v>
      </c>
      <c r="I12" s="78">
        <f t="shared" si="0"/>
        <v>-0.64825941903827955</v>
      </c>
      <c r="J12" s="79">
        <f t="shared" si="1"/>
        <v>234.3930605903679</v>
      </c>
    </row>
    <row r="13" spans="1:10" x14ac:dyDescent="0.3">
      <c r="A13" s="2">
        <v>11</v>
      </c>
      <c r="B13" s="3" t="s">
        <v>10</v>
      </c>
      <c r="C13" s="4">
        <v>295</v>
      </c>
      <c r="D13" s="4">
        <v>1234</v>
      </c>
      <c r="E13" s="4">
        <v>1370.9709740708436</v>
      </c>
      <c r="F13" s="26">
        <v>4.2179462891008965</v>
      </c>
      <c r="G13" s="26">
        <v>15.895640099006378</v>
      </c>
      <c r="H13" s="41">
        <v>16.384015197312582</v>
      </c>
      <c r="I13" s="78">
        <f t="shared" si="0"/>
        <v>12.166068908211685</v>
      </c>
      <c r="J13" s="79">
        <f t="shared" si="1"/>
        <v>1075.9709740708436</v>
      </c>
    </row>
    <row r="14" spans="1:10" x14ac:dyDescent="0.3">
      <c r="A14" s="2">
        <v>12</v>
      </c>
      <c r="B14" s="3" t="s">
        <v>11</v>
      </c>
      <c r="C14" s="4">
        <v>4571</v>
      </c>
      <c r="D14" s="4">
        <v>6150</v>
      </c>
      <c r="E14" s="4">
        <v>6615.4138703986164</v>
      </c>
      <c r="F14" s="26">
        <v>9.4675580794092156</v>
      </c>
      <c r="G14" s="26">
        <v>11.302940492131873</v>
      </c>
      <c r="H14" s="41">
        <v>11.080308317128926</v>
      </c>
      <c r="I14" s="78">
        <f t="shared" si="0"/>
        <v>1.6127502377197107</v>
      </c>
      <c r="J14" s="79">
        <f t="shared" si="1"/>
        <v>2044.4138703986164</v>
      </c>
    </row>
    <row r="15" spans="1:10" x14ac:dyDescent="0.3">
      <c r="A15" s="2">
        <v>13</v>
      </c>
      <c r="B15" s="3" t="s">
        <v>12</v>
      </c>
      <c r="C15" s="4">
        <v>12631</v>
      </c>
      <c r="D15" s="4">
        <v>20623</v>
      </c>
      <c r="E15" s="4">
        <v>26650.233489577877</v>
      </c>
      <c r="F15" s="26">
        <v>5.6214560621524488</v>
      </c>
      <c r="G15" s="26">
        <v>8.0893580068885669</v>
      </c>
      <c r="H15" s="41">
        <v>9.463679007454445</v>
      </c>
      <c r="I15" s="78">
        <f t="shared" si="0"/>
        <v>3.8422229453019963</v>
      </c>
      <c r="J15" s="79">
        <f t="shared" si="1"/>
        <v>14019.233489577877</v>
      </c>
    </row>
    <row r="16" spans="1:10" x14ac:dyDescent="0.3">
      <c r="A16" s="2">
        <v>14</v>
      </c>
      <c r="B16" s="3" t="s">
        <v>13</v>
      </c>
      <c r="C16" s="4">
        <v>61368</v>
      </c>
      <c r="D16" s="4">
        <v>107427</v>
      </c>
      <c r="E16" s="4">
        <v>118355.2846492442</v>
      </c>
      <c r="F16" s="26">
        <v>8.3539317256661274</v>
      </c>
      <c r="G16" s="26">
        <v>12.335545154632381</v>
      </c>
      <c r="H16" s="41">
        <v>11.953846200151981</v>
      </c>
      <c r="I16" s="78">
        <f t="shared" si="0"/>
        <v>3.5999144744858533</v>
      </c>
      <c r="J16" s="79">
        <f t="shared" si="1"/>
        <v>56987.284649244204</v>
      </c>
    </row>
    <row r="17" spans="1:10" x14ac:dyDescent="0.3">
      <c r="A17" s="2">
        <v>15</v>
      </c>
      <c r="B17" s="3" t="s">
        <v>14</v>
      </c>
      <c r="C17" s="4">
        <v>0</v>
      </c>
      <c r="D17" s="4">
        <v>406</v>
      </c>
      <c r="E17" s="4">
        <v>1401.4338688193695</v>
      </c>
      <c r="F17" s="26">
        <v>0</v>
      </c>
      <c r="G17" s="26">
        <v>2.7028979259918584</v>
      </c>
      <c r="H17" s="41">
        <v>8.3672289392573767</v>
      </c>
      <c r="I17" s="78">
        <f t="shared" si="0"/>
        <v>8.3672289392573767</v>
      </c>
      <c r="J17" s="79">
        <f t="shared" si="1"/>
        <v>1401.4338688193695</v>
      </c>
    </row>
    <row r="18" spans="1:10" x14ac:dyDescent="0.3">
      <c r="A18" s="2">
        <v>16</v>
      </c>
      <c r="B18" s="3" t="s">
        <v>15</v>
      </c>
      <c r="C18" s="4">
        <v>4262</v>
      </c>
      <c r="D18" s="4">
        <v>5016</v>
      </c>
      <c r="E18" s="4">
        <v>5074</v>
      </c>
      <c r="F18" s="26">
        <v>12.929385593291038</v>
      </c>
      <c r="G18" s="26">
        <v>14.55864957495913</v>
      </c>
      <c r="H18" s="41">
        <v>13.772954981519559</v>
      </c>
      <c r="I18" s="78">
        <f t="shared" si="0"/>
        <v>0.84356938822852179</v>
      </c>
      <c r="J18" s="79">
        <f t="shared" si="1"/>
        <v>812</v>
      </c>
    </row>
    <row r="19" spans="1:10" x14ac:dyDescent="0.3">
      <c r="A19" s="2">
        <v>17</v>
      </c>
      <c r="B19" s="3" t="s">
        <v>16</v>
      </c>
      <c r="C19" s="4">
        <v>3735</v>
      </c>
      <c r="D19" s="4">
        <v>4720</v>
      </c>
      <c r="E19" s="4">
        <v>5256</v>
      </c>
      <c r="F19" s="26">
        <v>33.398341618089297</v>
      </c>
      <c r="G19" s="26">
        <v>40.674665155729244</v>
      </c>
      <c r="H19" s="41">
        <v>43.739111511849558</v>
      </c>
      <c r="I19" s="78">
        <f t="shared" si="0"/>
        <v>10.34076989376026</v>
      </c>
      <c r="J19" s="79">
        <f t="shared" si="1"/>
        <v>1521</v>
      </c>
    </row>
    <row r="20" spans="1:10" x14ac:dyDescent="0.3">
      <c r="A20" s="2">
        <v>18</v>
      </c>
      <c r="B20" s="3" t="s">
        <v>17</v>
      </c>
      <c r="C20" s="4">
        <v>6925</v>
      </c>
      <c r="D20" s="4">
        <v>77933</v>
      </c>
      <c r="E20" s="4">
        <v>165803</v>
      </c>
      <c r="F20" s="26">
        <v>0.71329713375271953</v>
      </c>
      <c r="G20" s="26">
        <v>7.0128132925498994</v>
      </c>
      <c r="H20" s="41">
        <v>13.438409909223111</v>
      </c>
      <c r="I20" s="78">
        <f t="shared" si="0"/>
        <v>12.725112775470391</v>
      </c>
      <c r="J20" s="79">
        <f t="shared" si="1"/>
        <v>158878</v>
      </c>
    </row>
    <row r="21" spans="1:10" x14ac:dyDescent="0.3">
      <c r="A21" s="2">
        <v>19</v>
      </c>
      <c r="B21" s="3" t="s">
        <v>18</v>
      </c>
      <c r="C21" s="4">
        <v>437</v>
      </c>
      <c r="D21" s="4">
        <v>6818</v>
      </c>
      <c r="E21" s="4">
        <v>5671.5998777719578</v>
      </c>
      <c r="F21" s="26">
        <v>2.2973079178531046</v>
      </c>
      <c r="G21" s="26">
        <v>31.103851416837912</v>
      </c>
      <c r="H21" s="41">
        <v>23.74055120630122</v>
      </c>
      <c r="I21" s="78">
        <f t="shared" si="0"/>
        <v>21.443243288448116</v>
      </c>
      <c r="J21" s="79">
        <f t="shared" si="1"/>
        <v>5234.5998777719578</v>
      </c>
    </row>
    <row r="22" spans="1:10" x14ac:dyDescent="0.3">
      <c r="A22" s="2">
        <v>20</v>
      </c>
      <c r="B22" s="3" t="s">
        <v>19</v>
      </c>
      <c r="C22" s="4">
        <v>2645</v>
      </c>
      <c r="D22" s="4">
        <v>1818</v>
      </c>
      <c r="E22" s="4">
        <v>1808.4036697247707</v>
      </c>
      <c r="F22" s="26">
        <v>12.447823266322944</v>
      </c>
      <c r="G22" s="26">
        <v>7.4358398071426146</v>
      </c>
      <c r="H22" s="41">
        <v>6.6829601481629322</v>
      </c>
      <c r="I22" s="78">
        <f t="shared" si="0"/>
        <v>-5.7648631181600116</v>
      </c>
      <c r="J22" s="79">
        <f t="shared" si="1"/>
        <v>-836.59633027522932</v>
      </c>
    </row>
    <row r="23" spans="1:10" x14ac:dyDescent="0.3">
      <c r="A23" s="2">
        <v>21</v>
      </c>
      <c r="B23" s="3" t="s">
        <v>20</v>
      </c>
      <c r="C23" s="4">
        <v>48691</v>
      </c>
      <c r="D23" s="4">
        <v>135649</v>
      </c>
      <c r="E23" s="4">
        <v>148086.27697797568</v>
      </c>
      <c r="F23" s="26">
        <v>17.689352932108982</v>
      </c>
      <c r="G23" s="26">
        <v>43.941103198036984</v>
      </c>
      <c r="H23" s="41">
        <v>44.236721783822048</v>
      </c>
      <c r="I23" s="78">
        <f t="shared" si="0"/>
        <v>26.547368851713067</v>
      </c>
      <c r="J23" s="79">
        <f t="shared" si="1"/>
        <v>99395.276977975678</v>
      </c>
    </row>
    <row r="24" spans="1:10" x14ac:dyDescent="0.3">
      <c r="A24" s="2">
        <v>22</v>
      </c>
      <c r="B24" s="3" t="s">
        <v>21</v>
      </c>
      <c r="C24" s="4">
        <v>6289</v>
      </c>
      <c r="D24" s="4">
        <v>8061</v>
      </c>
      <c r="E24" s="4">
        <v>5911.9922263842163</v>
      </c>
      <c r="F24" s="26">
        <v>5.6886073178519494</v>
      </c>
      <c r="G24" s="26">
        <v>6.4206188764522318</v>
      </c>
      <c r="H24" s="41">
        <v>4.2657096319873329</v>
      </c>
      <c r="I24" s="78">
        <f t="shared" si="0"/>
        <v>-1.4228976858646165</v>
      </c>
      <c r="J24" s="79">
        <f t="shared" si="1"/>
        <v>-377.00777361578366</v>
      </c>
    </row>
    <row r="25" spans="1:10" x14ac:dyDescent="0.3">
      <c r="A25" s="2">
        <v>23</v>
      </c>
      <c r="B25" s="3" t="s">
        <v>22</v>
      </c>
      <c r="C25" s="4">
        <v>880</v>
      </c>
      <c r="D25" s="4">
        <v>1421</v>
      </c>
      <c r="E25" s="4">
        <v>2076</v>
      </c>
      <c r="F25" s="26">
        <v>5.1833232464684951</v>
      </c>
      <c r="G25" s="26">
        <v>7.3819926652811843</v>
      </c>
      <c r="H25" s="41">
        <v>9.8595840404869897</v>
      </c>
      <c r="I25" s="78">
        <f t="shared" si="0"/>
        <v>4.6762607940184946</v>
      </c>
      <c r="J25" s="79">
        <f t="shared" si="1"/>
        <v>1196</v>
      </c>
    </row>
    <row r="26" spans="1:10" x14ac:dyDescent="0.3">
      <c r="A26" s="2">
        <v>24</v>
      </c>
      <c r="B26" s="3" t="s">
        <v>23</v>
      </c>
      <c r="C26" s="4">
        <v>40292</v>
      </c>
      <c r="D26" s="4">
        <v>59901</v>
      </c>
      <c r="E26" s="4">
        <v>109796</v>
      </c>
      <c r="F26" s="26">
        <v>8.9952824106106632</v>
      </c>
      <c r="G26" s="26">
        <v>11.991399007360956</v>
      </c>
      <c r="H26" s="41">
        <v>20.322248191924977</v>
      </c>
      <c r="I26" s="78">
        <f t="shared" si="0"/>
        <v>11.326965781314314</v>
      </c>
      <c r="J26" s="79">
        <f t="shared" si="1"/>
        <v>69504</v>
      </c>
    </row>
    <row r="27" spans="1:10" x14ac:dyDescent="0.3">
      <c r="A27" s="2">
        <v>25</v>
      </c>
      <c r="B27" s="3" t="s">
        <v>24</v>
      </c>
      <c r="C27" s="4">
        <v>0</v>
      </c>
      <c r="D27" s="4">
        <v>9645</v>
      </c>
      <c r="E27" s="4">
        <v>4014.4801331049025</v>
      </c>
      <c r="F27" s="26">
        <v>0</v>
      </c>
      <c r="G27" s="26">
        <v>43.880461343110632</v>
      </c>
      <c r="H27" s="41">
        <v>17.410164529383941</v>
      </c>
      <c r="I27" s="78">
        <f t="shared" si="0"/>
        <v>17.410164529383941</v>
      </c>
      <c r="J27" s="79">
        <f t="shared" si="1"/>
        <v>4014.4801331049025</v>
      </c>
    </row>
    <row r="28" spans="1:10" x14ac:dyDescent="0.3">
      <c r="A28" s="2">
        <v>26</v>
      </c>
      <c r="B28" s="3" t="s">
        <v>25</v>
      </c>
      <c r="C28" s="4">
        <v>806</v>
      </c>
      <c r="D28" s="4">
        <v>9415</v>
      </c>
      <c r="E28" s="4">
        <v>5412.7192932575135</v>
      </c>
      <c r="F28" s="26">
        <v>1.8205175261515878</v>
      </c>
      <c r="G28" s="26">
        <v>19.255976869102923</v>
      </c>
      <c r="H28" s="41">
        <v>10.207514450251695</v>
      </c>
      <c r="I28" s="78">
        <f t="shared" si="0"/>
        <v>8.3869969241001066</v>
      </c>
      <c r="J28" s="79">
        <f t="shared" si="1"/>
        <v>4606.7192932575135</v>
      </c>
    </row>
    <row r="29" spans="1:10" x14ac:dyDescent="0.3">
      <c r="A29" s="2">
        <v>27</v>
      </c>
      <c r="B29" s="3" t="s">
        <v>26</v>
      </c>
      <c r="C29" s="4">
        <v>6838</v>
      </c>
      <c r="D29" s="4">
        <v>8554</v>
      </c>
      <c r="E29" s="4">
        <v>8554</v>
      </c>
      <c r="F29" s="26">
        <v>2.8989226271488429</v>
      </c>
      <c r="G29" s="26">
        <v>3.1862577752567827</v>
      </c>
      <c r="H29" s="41">
        <v>2.888721672781251</v>
      </c>
      <c r="I29" s="78">
        <f t="shared" si="0"/>
        <v>-1.020095436759183E-2</v>
      </c>
      <c r="J29" s="79">
        <f t="shared" si="1"/>
        <v>1716</v>
      </c>
    </row>
    <row r="30" spans="1:10" x14ac:dyDescent="0.3">
      <c r="A30" s="2">
        <v>28</v>
      </c>
      <c r="B30" s="3" t="s">
        <v>27</v>
      </c>
      <c r="C30" s="4">
        <v>3593</v>
      </c>
      <c r="D30" s="4">
        <v>7957</v>
      </c>
      <c r="E30" s="4">
        <v>10208</v>
      </c>
      <c r="F30" s="26">
        <v>2.2421530959981317</v>
      </c>
      <c r="G30" s="26">
        <v>4.3320180120920888</v>
      </c>
      <c r="H30" s="41">
        <v>5.0026178226640061</v>
      </c>
      <c r="I30" s="78">
        <f t="shared" si="0"/>
        <v>2.7604647266658744</v>
      </c>
      <c r="J30" s="79">
        <f t="shared" si="1"/>
        <v>6615</v>
      </c>
    </row>
    <row r="31" spans="1:10" x14ac:dyDescent="0.3">
      <c r="A31" s="2">
        <v>29</v>
      </c>
      <c r="B31" s="3" t="s">
        <v>28</v>
      </c>
      <c r="C31" s="4">
        <v>6218</v>
      </c>
      <c r="D31" s="4">
        <v>8460</v>
      </c>
      <c r="E31" s="4">
        <v>8247.0050044483978</v>
      </c>
      <c r="F31" s="26">
        <v>3.656779649180276</v>
      </c>
      <c r="G31" s="26">
        <v>4.2439417731188724</v>
      </c>
      <c r="H31" s="41">
        <v>3.650152464455966</v>
      </c>
      <c r="I31" s="78">
        <f t="shared" si="0"/>
        <v>-6.627184724310009E-3</v>
      </c>
      <c r="J31" s="79">
        <f t="shared" si="1"/>
        <v>2029.0050044483978</v>
      </c>
    </row>
    <row r="32" spans="1:10" x14ac:dyDescent="0.3">
      <c r="A32" s="2">
        <v>30</v>
      </c>
      <c r="B32" s="3" t="s">
        <v>29</v>
      </c>
      <c r="C32" s="4">
        <v>4214</v>
      </c>
      <c r="D32" s="4">
        <v>4921</v>
      </c>
      <c r="E32" s="4">
        <v>7843</v>
      </c>
      <c r="F32" s="26">
        <v>11.25847224081269</v>
      </c>
      <c r="G32" s="26">
        <v>11.522670168659257</v>
      </c>
      <c r="H32" s="41">
        <v>16.559902485970117</v>
      </c>
      <c r="I32" s="78">
        <f t="shared" si="0"/>
        <v>5.3014302451574267</v>
      </c>
      <c r="J32" s="79">
        <f t="shared" si="1"/>
        <v>3629</v>
      </c>
    </row>
    <row r="33" spans="1:10" x14ac:dyDescent="0.3">
      <c r="A33" s="2">
        <v>31</v>
      </c>
      <c r="B33" s="3" t="s">
        <v>30</v>
      </c>
      <c r="C33" s="4">
        <v>3963</v>
      </c>
      <c r="D33" s="4">
        <v>5553</v>
      </c>
      <c r="E33" s="4">
        <v>5165.8787431180344</v>
      </c>
      <c r="F33" s="26">
        <v>30.704471207875784</v>
      </c>
      <c r="G33" s="26">
        <v>42.867680293411617</v>
      </c>
      <c r="H33" s="41">
        <v>39.753766677912594</v>
      </c>
      <c r="I33" s="78">
        <f t="shared" si="0"/>
        <v>9.0492954700368102</v>
      </c>
      <c r="J33" s="79">
        <f t="shared" si="1"/>
        <v>1202.8787431180344</v>
      </c>
    </row>
    <row r="34" spans="1:10" x14ac:dyDescent="0.3">
      <c r="A34" s="2">
        <v>32</v>
      </c>
      <c r="B34" s="3" t="s">
        <v>31</v>
      </c>
      <c r="C34" s="4">
        <v>10697</v>
      </c>
      <c r="D34" s="4">
        <v>14174</v>
      </c>
      <c r="E34" s="4">
        <v>30552</v>
      </c>
      <c r="F34" s="26">
        <v>4.2361452369344512</v>
      </c>
      <c r="G34" s="26">
        <v>4.8171759545567738</v>
      </c>
      <c r="H34" s="41">
        <v>9.2667413386701387</v>
      </c>
      <c r="I34" s="78">
        <f t="shared" si="0"/>
        <v>5.0305961017356875</v>
      </c>
      <c r="J34" s="79">
        <f t="shared" si="1"/>
        <v>19855</v>
      </c>
    </row>
    <row r="35" spans="1:10" x14ac:dyDescent="0.3">
      <c r="A35" s="2">
        <v>33</v>
      </c>
      <c r="B35" s="3" t="s">
        <v>32</v>
      </c>
      <c r="C35" s="4">
        <v>4110</v>
      </c>
      <c r="D35" s="4">
        <v>12961</v>
      </c>
      <c r="E35" s="4">
        <v>15575.321723868956</v>
      </c>
      <c r="F35" s="26">
        <v>18.643598804269427</v>
      </c>
      <c r="G35" s="26">
        <v>53.87664737690644</v>
      </c>
      <c r="H35" s="41">
        <v>60.674896300150309</v>
      </c>
      <c r="I35" s="78">
        <f t="shared" si="0"/>
        <v>42.031297495880878</v>
      </c>
      <c r="J35" s="79">
        <f t="shared" si="1"/>
        <v>11465.321723868956</v>
      </c>
    </row>
    <row r="36" spans="1:10" x14ac:dyDescent="0.3">
      <c r="A36" s="2">
        <v>34</v>
      </c>
      <c r="B36" s="3" t="s">
        <v>33</v>
      </c>
      <c r="C36" s="4">
        <v>4450</v>
      </c>
      <c r="D36" s="4">
        <v>5013</v>
      </c>
      <c r="E36" s="4">
        <v>5390.1964266220584</v>
      </c>
      <c r="F36" s="26">
        <v>2.3856497751404464</v>
      </c>
      <c r="G36" s="26">
        <v>2.2203955891861558</v>
      </c>
      <c r="H36" s="41">
        <v>2.0567007249193994</v>
      </c>
      <c r="I36" s="78">
        <f t="shared" si="0"/>
        <v>-0.32894905022104703</v>
      </c>
      <c r="J36" s="79">
        <f t="shared" si="1"/>
        <v>940.19642662205842</v>
      </c>
    </row>
    <row r="37" spans="1:10" x14ac:dyDescent="0.3">
      <c r="A37" s="2">
        <v>35</v>
      </c>
      <c r="B37" s="3" t="s">
        <v>34</v>
      </c>
      <c r="C37" s="4">
        <v>176195</v>
      </c>
      <c r="D37" s="4">
        <v>301579</v>
      </c>
      <c r="E37" s="4">
        <v>367468</v>
      </c>
      <c r="F37" s="26">
        <v>10.084067366148597</v>
      </c>
      <c r="G37" s="26">
        <v>15.201502728823197</v>
      </c>
      <c r="H37" s="41">
        <v>16.814586021456186</v>
      </c>
      <c r="I37" s="78">
        <f t="shared" si="0"/>
        <v>6.7305186553075895</v>
      </c>
      <c r="J37" s="79">
        <f t="shared" si="1"/>
        <v>191273</v>
      </c>
    </row>
    <row r="38" spans="1:10" x14ac:dyDescent="0.3">
      <c r="A38" s="2">
        <v>36</v>
      </c>
      <c r="B38" s="3" t="s">
        <v>35</v>
      </c>
      <c r="C38" s="4">
        <v>10247</v>
      </c>
      <c r="D38" s="4">
        <v>14816</v>
      </c>
      <c r="E38" s="4">
        <v>15491.239749316621</v>
      </c>
      <c r="F38" s="26">
        <v>9.2304093299647967</v>
      </c>
      <c r="G38" s="26">
        <v>11.822715917077407</v>
      </c>
      <c r="H38" s="41">
        <v>11.244523405784753</v>
      </c>
      <c r="I38" s="78">
        <f t="shared" si="0"/>
        <v>2.0141140758199558</v>
      </c>
      <c r="J38" s="79">
        <f t="shared" si="1"/>
        <v>5244.2397493166209</v>
      </c>
    </row>
    <row r="39" spans="1:10" x14ac:dyDescent="0.3">
      <c r="A39" s="2">
        <v>37</v>
      </c>
      <c r="B39" s="3" t="s">
        <v>36</v>
      </c>
      <c r="C39" s="4">
        <v>473</v>
      </c>
      <c r="D39" s="4">
        <v>456</v>
      </c>
      <c r="E39" s="4">
        <v>465.28457017504911</v>
      </c>
      <c r="F39" s="26">
        <v>24.412021243103478</v>
      </c>
      <c r="G39" s="26">
        <v>21.576198046786281</v>
      </c>
      <c r="H39" s="41">
        <v>20.462907613705241</v>
      </c>
      <c r="I39" s="78">
        <f t="shared" si="0"/>
        <v>-3.9491136293982372</v>
      </c>
      <c r="J39" s="79">
        <f t="shared" si="1"/>
        <v>-7.7154298249508884</v>
      </c>
    </row>
    <row r="40" spans="1:10" x14ac:dyDescent="0.3">
      <c r="A40" s="2">
        <v>38</v>
      </c>
      <c r="B40" s="3" t="s">
        <v>37</v>
      </c>
      <c r="C40" s="4">
        <v>5628</v>
      </c>
      <c r="D40" s="4">
        <v>7592</v>
      </c>
      <c r="E40" s="4">
        <v>8017.6659247026164</v>
      </c>
      <c r="F40" s="26">
        <v>4.1395850727945103</v>
      </c>
      <c r="G40" s="26">
        <v>4.8745068109226199</v>
      </c>
      <c r="H40" s="41">
        <v>4.6300866446132325</v>
      </c>
      <c r="I40" s="78">
        <f t="shared" si="0"/>
        <v>0.49050157181872223</v>
      </c>
      <c r="J40" s="79">
        <f t="shared" si="1"/>
        <v>2389.6659247026164</v>
      </c>
    </row>
    <row r="41" spans="1:10" x14ac:dyDescent="0.3">
      <c r="A41" s="2">
        <v>39</v>
      </c>
      <c r="B41" s="3" t="s">
        <v>38</v>
      </c>
      <c r="C41" s="4">
        <v>419</v>
      </c>
      <c r="D41" s="4">
        <v>1430</v>
      </c>
      <c r="E41" s="4">
        <v>1456.2905885139849</v>
      </c>
      <c r="F41" s="26">
        <v>43.323613954546396</v>
      </c>
      <c r="G41" s="26">
        <v>138.69894569402814</v>
      </c>
      <c r="H41" s="41">
        <v>135.95136120408563</v>
      </c>
      <c r="I41" s="78">
        <f t="shared" si="0"/>
        <v>92.627747249539226</v>
      </c>
      <c r="J41" s="79">
        <f t="shared" si="1"/>
        <v>1037.2905885139849</v>
      </c>
    </row>
    <row r="42" spans="1:10" x14ac:dyDescent="0.3">
      <c r="A42" s="2">
        <v>40</v>
      </c>
      <c r="B42" s="3" t="s">
        <v>39</v>
      </c>
      <c r="C42" s="4">
        <v>8293</v>
      </c>
      <c r="D42" s="4">
        <v>6148</v>
      </c>
      <c r="E42" s="4">
        <v>17937</v>
      </c>
      <c r="F42" s="26">
        <v>11.906918137676456</v>
      </c>
      <c r="G42" s="26">
        <v>7.8206083715872774</v>
      </c>
      <c r="H42" s="41">
        <v>20.84311849400595</v>
      </c>
      <c r="I42" s="78">
        <f t="shared" si="0"/>
        <v>8.9362003563294934</v>
      </c>
      <c r="J42" s="79">
        <f t="shared" si="1"/>
        <v>9644</v>
      </c>
    </row>
    <row r="43" spans="1:10" x14ac:dyDescent="0.3">
      <c r="A43" s="2">
        <v>41</v>
      </c>
      <c r="B43" s="3" t="s">
        <v>40</v>
      </c>
      <c r="C43" s="4">
        <v>58722</v>
      </c>
      <c r="D43" s="4">
        <v>287458</v>
      </c>
      <c r="E43" s="4">
        <v>397261.24962174537</v>
      </c>
      <c r="F43" s="26">
        <v>10.899955183999529</v>
      </c>
      <c r="G43" s="26">
        <v>50.132513051399776</v>
      </c>
      <c r="H43" s="41">
        <v>66.327513452394967</v>
      </c>
      <c r="I43" s="78">
        <f t="shared" si="0"/>
        <v>55.427558268395437</v>
      </c>
      <c r="J43" s="79">
        <f t="shared" si="1"/>
        <v>338539.24962174537</v>
      </c>
    </row>
    <row r="44" spans="1:10" x14ac:dyDescent="0.3">
      <c r="A44" s="2">
        <v>42</v>
      </c>
      <c r="B44" s="3" t="s">
        <v>41</v>
      </c>
      <c r="C44" s="4">
        <v>0</v>
      </c>
      <c r="D44" s="4">
        <v>5438</v>
      </c>
      <c r="E44" s="4">
        <v>7550</v>
      </c>
      <c r="F44" s="26">
        <v>0</v>
      </c>
      <c r="G44" s="26">
        <v>5.2311954132863221</v>
      </c>
      <c r="H44" s="41">
        <v>6.9182506062517986</v>
      </c>
      <c r="I44" s="78">
        <f t="shared" si="0"/>
        <v>6.9182506062517986</v>
      </c>
      <c r="J44" s="79">
        <f t="shared" si="1"/>
        <v>7550</v>
      </c>
    </row>
    <row r="45" spans="1:10" x14ac:dyDescent="0.3">
      <c r="A45" s="2">
        <v>43</v>
      </c>
      <c r="B45" s="3" t="s">
        <v>42</v>
      </c>
      <c r="C45" s="4">
        <v>20800</v>
      </c>
      <c r="D45" s="4">
        <v>31940</v>
      </c>
      <c r="E45" s="4">
        <v>31940</v>
      </c>
      <c r="F45" s="26">
        <v>4.2230378347542956</v>
      </c>
      <c r="G45" s="26">
        <v>5.4983226759004049</v>
      </c>
      <c r="H45" s="41">
        <v>4.8765035402438537</v>
      </c>
      <c r="I45" s="78">
        <f t="shared" si="0"/>
        <v>0.65346570548955807</v>
      </c>
      <c r="J45" s="79">
        <f t="shared" si="1"/>
        <v>11140</v>
      </c>
    </row>
    <row r="46" spans="1:10" x14ac:dyDescent="0.3">
      <c r="A46" s="2">
        <v>44</v>
      </c>
      <c r="B46" s="3" t="s">
        <v>43</v>
      </c>
      <c r="C46" s="4">
        <v>2136</v>
      </c>
      <c r="D46" s="4">
        <v>3251</v>
      </c>
      <c r="E46" s="4">
        <v>4494</v>
      </c>
      <c r="F46" s="26">
        <v>3.0058136319558519</v>
      </c>
      <c r="G46" s="26">
        <v>4.0401760776091606</v>
      </c>
      <c r="H46" s="41">
        <v>5.0787129881304001</v>
      </c>
      <c r="I46" s="78">
        <f t="shared" si="0"/>
        <v>2.0728993561745481</v>
      </c>
      <c r="J46" s="79">
        <f t="shared" si="1"/>
        <v>2358</v>
      </c>
    </row>
    <row r="47" spans="1:10" x14ac:dyDescent="0.3">
      <c r="A47" s="2">
        <v>45</v>
      </c>
      <c r="B47" s="3" t="s">
        <v>44</v>
      </c>
      <c r="C47" s="4">
        <v>47149</v>
      </c>
      <c r="D47" s="4">
        <v>60144</v>
      </c>
      <c r="E47" s="4">
        <v>107154</v>
      </c>
      <c r="F47" s="26">
        <v>13.366665183025139</v>
      </c>
      <c r="G47" s="26">
        <v>14.487155909271724</v>
      </c>
      <c r="H47" s="41">
        <v>22.678294423115048</v>
      </c>
      <c r="I47" s="78">
        <f t="shared" si="0"/>
        <v>9.3116292400899088</v>
      </c>
      <c r="J47" s="79">
        <f t="shared" si="1"/>
        <v>60005</v>
      </c>
    </row>
    <row r="48" spans="1:10" x14ac:dyDescent="0.3">
      <c r="A48" s="2">
        <v>46</v>
      </c>
      <c r="B48" s="3" t="s">
        <v>45</v>
      </c>
      <c r="C48" s="4">
        <v>2773</v>
      </c>
      <c r="D48" s="4">
        <v>24178</v>
      </c>
      <c r="E48" s="4">
        <v>59177</v>
      </c>
      <c r="F48" s="26">
        <v>1.8201538354901259</v>
      </c>
      <c r="G48" s="26">
        <v>13.555811307008865</v>
      </c>
      <c r="H48" s="41">
        <v>29.562374251755003</v>
      </c>
      <c r="I48" s="78">
        <f t="shared" si="0"/>
        <v>27.742220416264878</v>
      </c>
      <c r="J48" s="79">
        <f t="shared" si="1"/>
        <v>56404</v>
      </c>
    </row>
    <row r="49" spans="1:10" x14ac:dyDescent="0.3">
      <c r="A49" s="2">
        <v>47</v>
      </c>
      <c r="B49" s="3" t="s">
        <v>46</v>
      </c>
      <c r="C49" s="4">
        <v>18722</v>
      </c>
      <c r="D49" s="4">
        <v>28728</v>
      </c>
      <c r="E49" s="4">
        <v>56138</v>
      </c>
      <c r="F49" s="26">
        <v>13.811448061574467</v>
      </c>
      <c r="G49" s="26">
        <v>19.085602461410243</v>
      </c>
      <c r="H49" s="41">
        <v>34.39715249565625</v>
      </c>
      <c r="I49" s="78">
        <f t="shared" si="0"/>
        <v>20.585704434081784</v>
      </c>
      <c r="J49" s="79">
        <f t="shared" si="1"/>
        <v>37416</v>
      </c>
    </row>
    <row r="50" spans="1:10" x14ac:dyDescent="0.3">
      <c r="A50" s="2">
        <v>48</v>
      </c>
      <c r="B50" s="5" t="s">
        <v>47</v>
      </c>
      <c r="C50" s="6">
        <f>SUM(C3:C49)</f>
        <v>652548</v>
      </c>
      <c r="D50" s="6">
        <f t="shared" ref="D50:E50" si="2">SUM(D3:D49)</f>
        <v>1468265</v>
      </c>
      <c r="E50" s="6">
        <f t="shared" si="2"/>
        <v>2033358.5192826374</v>
      </c>
      <c r="F50" s="28">
        <f>AVERAGE(F3:F49)</f>
        <v>9.1209733095217231</v>
      </c>
      <c r="G50" s="28">
        <f t="shared" ref="G50:H50" si="3">AVERAGE(G3:G49)</f>
        <v>17.670782002629522</v>
      </c>
      <c r="H50" s="28">
        <f t="shared" si="3"/>
        <v>19.365524044022607</v>
      </c>
    </row>
    <row r="52" spans="1:10" x14ac:dyDescent="0.3">
      <c r="E52" s="16">
        <v>2033358.51928264</v>
      </c>
    </row>
    <row r="54" spans="1:10" x14ac:dyDescent="0.3">
      <c r="E54" s="78">
        <f>(E50-D50+55000)/4</f>
        <v>155023.37982065935</v>
      </c>
    </row>
    <row r="55" spans="1:10" x14ac:dyDescent="0.3">
      <c r="E55" s="77">
        <f>((E50/C50)^(1/9))-1</f>
        <v>0.13460478487627969</v>
      </c>
    </row>
  </sheetData>
  <autoFilter ref="A1:J50" xr:uid="{99E77837-A2D4-412E-84D0-94083C7DB488}">
    <filterColumn colId="2" showButton="0"/>
    <filterColumn colId="3" showButton="0"/>
  </autoFilter>
  <mergeCells count="4">
    <mergeCell ref="C1:E1"/>
    <mergeCell ref="F1:F2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4C94-F833-4C75-9134-250C43394FD4}">
  <dimension ref="A1:S58"/>
  <sheetViews>
    <sheetView workbookViewId="0">
      <selection activeCell="C1" sqref="C1:H1"/>
    </sheetView>
  </sheetViews>
  <sheetFormatPr defaultRowHeight="14.5" x14ac:dyDescent="0.35"/>
  <cols>
    <col min="1" max="1" width="4.54296875" style="112" bestFit="1" customWidth="1"/>
    <col min="2" max="2" width="18.54296875" style="112" bestFit="1" customWidth="1"/>
    <col min="3" max="16384" width="8.7265625" style="112"/>
  </cols>
  <sheetData>
    <row r="1" spans="1:19" x14ac:dyDescent="0.35">
      <c r="A1" s="111"/>
      <c r="B1" s="111"/>
      <c r="C1" s="199" t="s">
        <v>62</v>
      </c>
      <c r="D1" s="199"/>
      <c r="E1" s="199"/>
      <c r="F1" s="199" t="s">
        <v>61</v>
      </c>
      <c r="G1" s="199"/>
      <c r="H1" s="199"/>
      <c r="I1" s="199" t="s">
        <v>62</v>
      </c>
      <c r="J1" s="199"/>
      <c r="K1" s="199"/>
      <c r="L1" s="199" t="s">
        <v>61</v>
      </c>
      <c r="M1" s="199"/>
      <c r="N1" s="199"/>
    </row>
    <row r="2" spans="1:19" ht="56.5" x14ac:dyDescent="0.35">
      <c r="A2" s="113" t="s">
        <v>52</v>
      </c>
      <c r="B2" s="114" t="s">
        <v>48</v>
      </c>
      <c r="C2" s="43">
        <v>2013</v>
      </c>
      <c r="D2" s="43">
        <v>2018</v>
      </c>
      <c r="E2" s="43" t="s">
        <v>51</v>
      </c>
      <c r="F2" s="115">
        <v>2013</v>
      </c>
      <c r="G2" s="115">
        <v>2018</v>
      </c>
      <c r="H2" s="115" t="s">
        <v>51</v>
      </c>
      <c r="I2" s="43" t="s">
        <v>91</v>
      </c>
      <c r="J2" s="43" t="s">
        <v>92</v>
      </c>
      <c r="K2" s="43" t="s">
        <v>93</v>
      </c>
      <c r="L2" s="115" t="s">
        <v>91</v>
      </c>
      <c r="M2" s="115" t="s">
        <v>92</v>
      </c>
      <c r="N2" s="115" t="s">
        <v>93</v>
      </c>
      <c r="R2" s="112" t="s">
        <v>320</v>
      </c>
      <c r="S2" s="112" t="s">
        <v>407</v>
      </c>
    </row>
    <row r="3" spans="1:19" x14ac:dyDescent="0.35">
      <c r="A3" s="111">
        <v>1</v>
      </c>
      <c r="B3" s="96" t="s">
        <v>0</v>
      </c>
      <c r="C3" s="36">
        <v>0</v>
      </c>
      <c r="D3" s="36">
        <v>15437</v>
      </c>
      <c r="E3" s="36">
        <v>16223</v>
      </c>
      <c r="F3" s="116">
        <v>0</v>
      </c>
      <c r="G3" s="116">
        <v>46</v>
      </c>
      <c r="H3" s="116">
        <v>46</v>
      </c>
      <c r="I3" s="37">
        <v>0</v>
      </c>
      <c r="J3" s="37">
        <v>3.6818750262807924</v>
      </c>
      <c r="K3" s="37">
        <v>3.612880812012945</v>
      </c>
      <c r="L3" s="117">
        <v>0</v>
      </c>
      <c r="M3" s="117">
        <v>1.0971448546279489E-2</v>
      </c>
      <c r="N3" s="117">
        <v>1.0244253057547647E-2</v>
      </c>
      <c r="O3" s="118">
        <f>I3+L3</f>
        <v>0</v>
      </c>
      <c r="P3" s="118">
        <f>J3+M3</f>
        <v>3.6928464748270717</v>
      </c>
      <c r="Q3" s="118">
        <f>K3+N3</f>
        <v>3.6231250650704925</v>
      </c>
      <c r="R3" s="118">
        <f>Q3-O3</f>
        <v>3.6231250650704925</v>
      </c>
      <c r="S3" s="112" t="b">
        <f>E3&lt;D3</f>
        <v>0</v>
      </c>
    </row>
    <row r="4" spans="1:19" x14ac:dyDescent="0.35">
      <c r="A4" s="111">
        <v>2</v>
      </c>
      <c r="B4" s="96" t="s">
        <v>1</v>
      </c>
      <c r="C4" s="36">
        <v>0</v>
      </c>
      <c r="D4" s="36">
        <v>1652</v>
      </c>
      <c r="E4" s="36">
        <v>253.58793265595901</v>
      </c>
      <c r="F4" s="116">
        <v>0</v>
      </c>
      <c r="G4" s="116">
        <v>796</v>
      </c>
      <c r="H4" s="116">
        <v>796</v>
      </c>
      <c r="I4" s="37">
        <v>0</v>
      </c>
      <c r="J4" s="37">
        <v>0.52824220403879529</v>
      </c>
      <c r="K4" s="37">
        <v>7.125460824607309E-2</v>
      </c>
      <c r="L4" s="117">
        <v>0</v>
      </c>
      <c r="M4" s="117">
        <v>0.2545283259169982</v>
      </c>
      <c r="N4" s="117">
        <v>0.22366469717162765</v>
      </c>
      <c r="O4" s="118">
        <f t="shared" ref="O4:O49" si="0">I4+L4</f>
        <v>0</v>
      </c>
      <c r="P4" s="118">
        <f t="shared" ref="P4:P49" si="1">J4+M4</f>
        <v>0.78277052995579344</v>
      </c>
      <c r="Q4" s="118">
        <f t="shared" ref="Q4:Q49" si="2">K4+N4</f>
        <v>0.29491930541770073</v>
      </c>
      <c r="R4" s="118">
        <f t="shared" ref="R4:R49" si="3">Q4-O4</f>
        <v>0.29491930541770073</v>
      </c>
      <c r="S4" s="112" t="b">
        <f t="shared" ref="S4:S49" si="4">E4&lt;D4</f>
        <v>1</v>
      </c>
    </row>
    <row r="5" spans="1:19" x14ac:dyDescent="0.35">
      <c r="A5" s="111">
        <v>3</v>
      </c>
      <c r="B5" s="96" t="s">
        <v>2</v>
      </c>
      <c r="C5" s="36">
        <v>0</v>
      </c>
      <c r="D5" s="36">
        <v>12</v>
      </c>
      <c r="E5" s="36">
        <v>50</v>
      </c>
      <c r="F5" s="116">
        <v>0</v>
      </c>
      <c r="G5" s="116">
        <v>33</v>
      </c>
      <c r="H5" s="116">
        <v>7.4754468485418633</v>
      </c>
      <c r="I5" s="37">
        <v>0</v>
      </c>
      <c r="J5" s="37">
        <v>1.0049675967041588E-2</v>
      </c>
      <c r="K5" s="37">
        <v>3.7445150343776434E-2</v>
      </c>
      <c r="L5" s="117">
        <v>0</v>
      </c>
      <c r="M5" s="117">
        <v>2.7636608909364369E-2</v>
      </c>
      <c r="N5" s="117">
        <v>5.5983846226111966E-3</v>
      </c>
      <c r="O5" s="118">
        <f t="shared" si="0"/>
        <v>0</v>
      </c>
      <c r="P5" s="118">
        <f t="shared" si="1"/>
        <v>3.7686284876405955E-2</v>
      </c>
      <c r="Q5" s="118">
        <f t="shared" si="2"/>
        <v>4.3043534966387631E-2</v>
      </c>
      <c r="R5" s="118">
        <f>Q5-O5</f>
        <v>4.3043534966387631E-2</v>
      </c>
      <c r="S5" s="112" t="b">
        <f t="shared" si="4"/>
        <v>0</v>
      </c>
    </row>
    <row r="6" spans="1:19" x14ac:dyDescent="0.35">
      <c r="A6" s="111">
        <v>4</v>
      </c>
      <c r="B6" s="96" t="s">
        <v>3</v>
      </c>
      <c r="C6" s="36">
        <v>55</v>
      </c>
      <c r="D6" s="36">
        <v>96</v>
      </c>
      <c r="E6" s="36">
        <v>98.839683411555711</v>
      </c>
      <c r="F6" s="116">
        <v>0</v>
      </c>
      <c r="G6" s="116">
        <v>27</v>
      </c>
      <c r="H6" s="116">
        <v>27.583167463689964</v>
      </c>
      <c r="I6" s="37">
        <v>0.24805189065151045</v>
      </c>
      <c r="J6" s="37">
        <v>0.39161159798540318</v>
      </c>
      <c r="K6" s="37">
        <v>0.37577399430161335</v>
      </c>
      <c r="L6" s="117">
        <v>0</v>
      </c>
      <c r="M6" s="117">
        <v>0.11014076193339464</v>
      </c>
      <c r="N6" s="117">
        <v>0.10486716120045024</v>
      </c>
      <c r="O6" s="118">
        <f t="shared" si="0"/>
        <v>0.24805189065151045</v>
      </c>
      <c r="P6" s="118">
        <f t="shared" si="1"/>
        <v>0.50175235991879785</v>
      </c>
      <c r="Q6" s="118">
        <f t="shared" si="2"/>
        <v>0.4806411555020636</v>
      </c>
      <c r="R6" s="118">
        <f t="shared" si="3"/>
        <v>0.23258926485055315</v>
      </c>
      <c r="S6" s="112" t="b">
        <f t="shared" si="4"/>
        <v>0</v>
      </c>
    </row>
    <row r="7" spans="1:19" x14ac:dyDescent="0.35">
      <c r="A7" s="111">
        <v>5</v>
      </c>
      <c r="B7" s="96" t="s">
        <v>4</v>
      </c>
      <c r="C7" s="36">
        <v>38</v>
      </c>
      <c r="D7" s="36">
        <v>91</v>
      </c>
      <c r="E7" s="36">
        <v>40.065995057973772</v>
      </c>
      <c r="F7" s="116">
        <v>0</v>
      </c>
      <c r="G7" s="116">
        <v>185</v>
      </c>
      <c r="H7" s="116">
        <v>172.59197871127162</v>
      </c>
      <c r="I7" s="37">
        <v>2.1546338164390905E-2</v>
      </c>
      <c r="J7" s="37">
        <v>4.4623761132831549E-2</v>
      </c>
      <c r="K7" s="37">
        <v>1.7670642859342778E-2</v>
      </c>
      <c r="L7" s="117">
        <v>0</v>
      </c>
      <c r="M7" s="117">
        <v>9.0718635270042161E-2</v>
      </c>
      <c r="N7" s="117">
        <v>7.6119692317168877E-2</v>
      </c>
      <c r="O7" s="118">
        <f t="shared" si="0"/>
        <v>2.1546338164390905E-2</v>
      </c>
      <c r="P7" s="118">
        <f t="shared" si="1"/>
        <v>0.13534239640287371</v>
      </c>
      <c r="Q7" s="118">
        <f t="shared" si="2"/>
        <v>9.3790335176511655E-2</v>
      </c>
      <c r="R7" s="118">
        <f t="shared" si="3"/>
        <v>7.2243997012120753E-2</v>
      </c>
      <c r="S7" s="112" t="b">
        <f t="shared" si="4"/>
        <v>1</v>
      </c>
    </row>
    <row r="8" spans="1:19" x14ac:dyDescent="0.35">
      <c r="A8" s="111">
        <v>6</v>
      </c>
      <c r="B8" s="96" t="s">
        <v>5</v>
      </c>
      <c r="C8" s="36">
        <v>4</v>
      </c>
      <c r="D8" s="36">
        <v>14</v>
      </c>
      <c r="E8" s="36">
        <v>14</v>
      </c>
      <c r="F8" s="116">
        <v>0</v>
      </c>
      <c r="G8" s="116">
        <v>0</v>
      </c>
      <c r="H8" s="116">
        <v>0</v>
      </c>
      <c r="I8" s="37">
        <v>3.9410507481715366E-3</v>
      </c>
      <c r="J8" s="37">
        <v>1.2180826986796209E-2</v>
      </c>
      <c r="K8" s="37">
        <v>1.0861489514415006E-2</v>
      </c>
      <c r="L8" s="117">
        <v>0</v>
      </c>
      <c r="M8" s="117">
        <v>0</v>
      </c>
      <c r="N8" s="117">
        <v>0</v>
      </c>
      <c r="O8" s="118">
        <f t="shared" si="0"/>
        <v>3.9410507481715366E-3</v>
      </c>
      <c r="P8" s="118">
        <f t="shared" si="1"/>
        <v>1.2180826986796209E-2</v>
      </c>
      <c r="Q8" s="118">
        <f t="shared" si="2"/>
        <v>1.0861489514415006E-2</v>
      </c>
      <c r="R8" s="118">
        <f t="shared" si="3"/>
        <v>6.920438766243469E-3</v>
      </c>
      <c r="S8" s="112" t="b">
        <f t="shared" si="4"/>
        <v>0</v>
      </c>
    </row>
    <row r="9" spans="1:19" x14ac:dyDescent="0.35">
      <c r="A9" s="111">
        <v>7</v>
      </c>
      <c r="B9" s="96" t="s">
        <v>6</v>
      </c>
      <c r="C9" s="36">
        <v>58</v>
      </c>
      <c r="D9" s="36">
        <v>308</v>
      </c>
      <c r="E9" s="36">
        <v>317</v>
      </c>
      <c r="F9" s="116">
        <v>0</v>
      </c>
      <c r="G9" s="116">
        <v>0</v>
      </c>
      <c r="H9" s="116">
        <v>88</v>
      </c>
      <c r="I9" s="37">
        <v>2.681107667274538E-2</v>
      </c>
      <c r="J9" s="37">
        <v>0.12282295073645212</v>
      </c>
      <c r="K9" s="37">
        <v>0.11356090401142793</v>
      </c>
      <c r="L9" s="117">
        <v>0</v>
      </c>
      <c r="M9" s="117">
        <v>0</v>
      </c>
      <c r="N9" s="117">
        <v>3.1524793542604596E-2</v>
      </c>
      <c r="O9" s="118">
        <f t="shared" si="0"/>
        <v>2.681107667274538E-2</v>
      </c>
      <c r="P9" s="118">
        <f t="shared" si="1"/>
        <v>0.12282295073645212</v>
      </c>
      <c r="Q9" s="118">
        <f t="shared" si="2"/>
        <v>0.14508569755403253</v>
      </c>
      <c r="R9" s="118">
        <f t="shared" si="3"/>
        <v>0.11827462088128715</v>
      </c>
      <c r="S9" s="112" t="b">
        <f t="shared" si="4"/>
        <v>0</v>
      </c>
    </row>
    <row r="10" spans="1:19" x14ac:dyDescent="0.35">
      <c r="A10" s="111">
        <v>8</v>
      </c>
      <c r="B10" s="96" t="s">
        <v>7</v>
      </c>
      <c r="C10" s="36">
        <v>0</v>
      </c>
      <c r="D10" s="36">
        <v>81</v>
      </c>
      <c r="E10" s="36">
        <v>12.434266327396099</v>
      </c>
      <c r="F10" s="116">
        <v>0</v>
      </c>
      <c r="G10" s="116">
        <v>74</v>
      </c>
      <c r="H10" s="116">
        <v>74</v>
      </c>
      <c r="I10" s="37">
        <v>0</v>
      </c>
      <c r="J10" s="37">
        <v>1.4180635029844986</v>
      </c>
      <c r="K10" s="37">
        <v>0.20963123676907924</v>
      </c>
      <c r="L10" s="117">
        <v>0</v>
      </c>
      <c r="M10" s="117">
        <v>1.2955148051957146</v>
      </c>
      <c r="N10" s="117">
        <v>1.2475775500105788</v>
      </c>
      <c r="O10" s="118">
        <f t="shared" si="0"/>
        <v>0</v>
      </c>
      <c r="P10" s="118">
        <f t="shared" si="1"/>
        <v>2.713578308180213</v>
      </c>
      <c r="Q10" s="118">
        <f t="shared" si="2"/>
        <v>1.4572087867796579</v>
      </c>
      <c r="R10" s="118">
        <f t="shared" si="3"/>
        <v>1.4572087867796579</v>
      </c>
      <c r="S10" s="112" t="b">
        <f t="shared" si="4"/>
        <v>1</v>
      </c>
    </row>
    <row r="11" spans="1:19" x14ac:dyDescent="0.35">
      <c r="A11" s="111">
        <v>9</v>
      </c>
      <c r="B11" s="96" t="s">
        <v>8</v>
      </c>
      <c r="C11" s="36">
        <v>0</v>
      </c>
      <c r="D11" s="36">
        <v>10</v>
      </c>
      <c r="E11" s="36">
        <v>2.5682382133995039</v>
      </c>
      <c r="F11" s="116">
        <v>0</v>
      </c>
      <c r="G11" s="116">
        <v>7</v>
      </c>
      <c r="H11" s="116">
        <v>7</v>
      </c>
      <c r="I11" s="37">
        <v>0</v>
      </c>
      <c r="J11" s="37">
        <v>1.9627932903874164E-2</v>
      </c>
      <c r="K11" s="37">
        <v>4.6032840227169308E-3</v>
      </c>
      <c r="L11" s="117">
        <v>0</v>
      </c>
      <c r="M11" s="117">
        <v>1.3739553032711916E-2</v>
      </c>
      <c r="N11" s="117">
        <v>1.2546728722786919E-2</v>
      </c>
      <c r="O11" s="118">
        <f t="shared" si="0"/>
        <v>0</v>
      </c>
      <c r="P11" s="118">
        <f t="shared" si="1"/>
        <v>3.3367485936586082E-2</v>
      </c>
      <c r="Q11" s="118">
        <f t="shared" si="2"/>
        <v>1.7150012745503849E-2</v>
      </c>
      <c r="R11" s="118">
        <f t="shared" si="3"/>
        <v>1.7150012745503849E-2</v>
      </c>
      <c r="S11" s="112" t="b">
        <f t="shared" si="4"/>
        <v>1</v>
      </c>
    </row>
    <row r="12" spans="1:19" x14ac:dyDescent="0.35">
      <c r="A12" s="111">
        <v>10</v>
      </c>
      <c r="B12" s="96" t="s">
        <v>9</v>
      </c>
      <c r="C12" s="36">
        <v>0</v>
      </c>
      <c r="D12" s="36">
        <v>3</v>
      </c>
      <c r="E12" s="36">
        <v>21</v>
      </c>
      <c r="F12" s="116">
        <v>0</v>
      </c>
      <c r="G12" s="116">
        <v>11</v>
      </c>
      <c r="H12" s="116">
        <v>11</v>
      </c>
      <c r="I12" s="37">
        <v>0</v>
      </c>
      <c r="J12" s="37">
        <v>1.9225580788774311E-3</v>
      </c>
      <c r="K12" s="37">
        <v>1.1848799500793148E-2</v>
      </c>
      <c r="L12" s="117">
        <v>0</v>
      </c>
      <c r="M12" s="117">
        <v>7.0493796225505811E-3</v>
      </c>
      <c r="N12" s="117">
        <v>6.206514024224982E-3</v>
      </c>
      <c r="O12" s="118">
        <f t="shared" si="0"/>
        <v>0</v>
      </c>
      <c r="P12" s="118">
        <f t="shared" si="1"/>
        <v>8.9719377014280122E-3</v>
      </c>
      <c r="Q12" s="118">
        <f t="shared" si="2"/>
        <v>1.805531352501813E-2</v>
      </c>
      <c r="R12" s="118">
        <f t="shared" si="3"/>
        <v>1.805531352501813E-2</v>
      </c>
      <c r="S12" s="112" t="b">
        <f t="shared" si="4"/>
        <v>0</v>
      </c>
    </row>
    <row r="13" spans="1:19" x14ac:dyDescent="0.35">
      <c r="A13" s="111">
        <v>11</v>
      </c>
      <c r="B13" s="96" t="s">
        <v>10</v>
      </c>
      <c r="C13" s="36">
        <v>18</v>
      </c>
      <c r="D13" s="36">
        <v>32</v>
      </c>
      <c r="E13" s="36">
        <v>32</v>
      </c>
      <c r="F13" s="116">
        <v>0</v>
      </c>
      <c r="G13" s="116">
        <v>0</v>
      </c>
      <c r="H13" s="116">
        <v>0</v>
      </c>
      <c r="I13" s="37">
        <v>0.25736621425022416</v>
      </c>
      <c r="J13" s="37">
        <v>0.41220460548476834</v>
      </c>
      <c r="K13" s="37">
        <v>0.38242128843707418</v>
      </c>
      <c r="L13" s="117">
        <v>0</v>
      </c>
      <c r="M13" s="117">
        <v>0</v>
      </c>
      <c r="N13" s="117">
        <v>0</v>
      </c>
      <c r="O13" s="118">
        <f t="shared" si="0"/>
        <v>0.25736621425022416</v>
      </c>
      <c r="P13" s="118">
        <f t="shared" si="1"/>
        <v>0.41220460548476834</v>
      </c>
      <c r="Q13" s="118">
        <f t="shared" si="2"/>
        <v>0.38242128843707418</v>
      </c>
      <c r="R13" s="118">
        <f t="shared" si="3"/>
        <v>0.12505507418685002</v>
      </c>
      <c r="S13" s="112" t="b">
        <f t="shared" si="4"/>
        <v>0</v>
      </c>
    </row>
    <row r="14" spans="1:19" x14ac:dyDescent="0.35">
      <c r="A14" s="111">
        <v>12</v>
      </c>
      <c r="B14" s="96" t="s">
        <v>11</v>
      </c>
      <c r="C14" s="36">
        <v>0</v>
      </c>
      <c r="D14" s="36">
        <v>27</v>
      </c>
      <c r="E14" s="36">
        <v>10.343687798883737</v>
      </c>
      <c r="F14" s="116">
        <v>0</v>
      </c>
      <c r="G14" s="116">
        <v>0</v>
      </c>
      <c r="H14" s="116">
        <v>0</v>
      </c>
      <c r="I14" s="37">
        <v>0</v>
      </c>
      <c r="J14" s="37">
        <v>4.9622665575213103E-2</v>
      </c>
      <c r="K14" s="37">
        <v>1.732487977216314E-2</v>
      </c>
      <c r="L14" s="117">
        <v>0</v>
      </c>
      <c r="M14" s="117">
        <v>0</v>
      </c>
      <c r="N14" s="117">
        <v>0</v>
      </c>
      <c r="O14" s="118">
        <f t="shared" si="0"/>
        <v>0</v>
      </c>
      <c r="P14" s="118">
        <f t="shared" si="1"/>
        <v>4.9622665575213103E-2</v>
      </c>
      <c r="Q14" s="118">
        <f t="shared" si="2"/>
        <v>1.732487977216314E-2</v>
      </c>
      <c r="R14" s="118">
        <f t="shared" si="3"/>
        <v>1.732487977216314E-2</v>
      </c>
      <c r="S14" s="112" t="b">
        <f t="shared" si="4"/>
        <v>1</v>
      </c>
    </row>
    <row r="15" spans="1:19" x14ac:dyDescent="0.35">
      <c r="A15" s="111">
        <v>13</v>
      </c>
      <c r="B15" s="96" t="s">
        <v>12</v>
      </c>
      <c r="C15" s="36">
        <v>490</v>
      </c>
      <c r="D15" s="36">
        <v>506</v>
      </c>
      <c r="E15" s="36">
        <v>536.49426521420344</v>
      </c>
      <c r="F15" s="116">
        <v>120</v>
      </c>
      <c r="G15" s="116">
        <v>0</v>
      </c>
      <c r="H15" s="116">
        <v>28</v>
      </c>
      <c r="I15" s="37">
        <v>0.218075644878054</v>
      </c>
      <c r="J15" s="37">
        <v>0.19847816280296826</v>
      </c>
      <c r="K15" s="37">
        <v>0.19051275919638386</v>
      </c>
      <c r="L15" s="117">
        <v>5.3406280378298934E-2</v>
      </c>
      <c r="M15" s="117">
        <v>0</v>
      </c>
      <c r="N15" s="117">
        <v>9.9429902673217312E-3</v>
      </c>
      <c r="O15" s="118">
        <f t="shared" si="0"/>
        <v>0.27148192525635295</v>
      </c>
      <c r="P15" s="118">
        <f t="shared" si="1"/>
        <v>0.19847816280296826</v>
      </c>
      <c r="Q15" s="118">
        <f t="shared" si="2"/>
        <v>0.20045574946370559</v>
      </c>
      <c r="R15" s="118">
        <f t="shared" si="3"/>
        <v>-7.1026175792647361E-2</v>
      </c>
      <c r="S15" s="112" t="b">
        <f t="shared" si="4"/>
        <v>0</v>
      </c>
    </row>
    <row r="16" spans="1:19" x14ac:dyDescent="0.35">
      <c r="A16" s="111">
        <v>14</v>
      </c>
      <c r="B16" s="96" t="s">
        <v>13</v>
      </c>
      <c r="C16" s="36">
        <v>0</v>
      </c>
      <c r="D16" s="36">
        <v>404</v>
      </c>
      <c r="E16" s="36">
        <v>451.28772064535138</v>
      </c>
      <c r="F16" s="116">
        <v>0</v>
      </c>
      <c r="G16" s="116">
        <v>0</v>
      </c>
      <c r="H16" s="116">
        <v>0</v>
      </c>
      <c r="I16" s="37">
        <v>0</v>
      </c>
      <c r="J16" s="37">
        <v>4.6390202113728227E-2</v>
      </c>
      <c r="K16" s="37">
        <v>4.5579916609546439E-2</v>
      </c>
      <c r="L16" s="117">
        <v>0</v>
      </c>
      <c r="M16" s="117">
        <v>0</v>
      </c>
      <c r="N16" s="117">
        <v>0</v>
      </c>
      <c r="O16" s="118">
        <f t="shared" si="0"/>
        <v>0</v>
      </c>
      <c r="P16" s="118">
        <f t="shared" si="1"/>
        <v>4.6390202113728227E-2</v>
      </c>
      <c r="Q16" s="118">
        <f t="shared" si="2"/>
        <v>4.5579916609546439E-2</v>
      </c>
      <c r="R16" s="118">
        <f t="shared" si="3"/>
        <v>4.5579916609546439E-2</v>
      </c>
      <c r="S16" s="112" t="b">
        <f t="shared" si="4"/>
        <v>0</v>
      </c>
    </row>
    <row r="17" spans="1:19" x14ac:dyDescent="0.35">
      <c r="A17" s="111">
        <v>15</v>
      </c>
      <c r="B17" s="96" t="s">
        <v>14</v>
      </c>
      <c r="C17" s="36">
        <v>0</v>
      </c>
      <c r="D17" s="36">
        <v>0</v>
      </c>
      <c r="E17" s="36">
        <v>0</v>
      </c>
      <c r="F17" s="116">
        <v>0</v>
      </c>
      <c r="G17" s="116">
        <v>0</v>
      </c>
      <c r="H17" s="116">
        <v>0</v>
      </c>
      <c r="I17" s="37">
        <v>0</v>
      </c>
      <c r="J17" s="37">
        <v>0</v>
      </c>
      <c r="K17" s="37">
        <v>0</v>
      </c>
      <c r="L17" s="117">
        <v>0</v>
      </c>
      <c r="M17" s="117">
        <v>0</v>
      </c>
      <c r="N17" s="117">
        <v>0</v>
      </c>
      <c r="O17" s="118">
        <f t="shared" si="0"/>
        <v>0</v>
      </c>
      <c r="P17" s="118">
        <f t="shared" si="1"/>
        <v>0</v>
      </c>
      <c r="Q17" s="118">
        <f t="shared" si="2"/>
        <v>0</v>
      </c>
      <c r="R17" s="118">
        <f t="shared" si="3"/>
        <v>0</v>
      </c>
      <c r="S17" s="112" t="b">
        <f t="shared" si="4"/>
        <v>0</v>
      </c>
    </row>
    <row r="18" spans="1:19" x14ac:dyDescent="0.35">
      <c r="A18" s="111">
        <v>16</v>
      </c>
      <c r="B18" s="96" t="s">
        <v>15</v>
      </c>
      <c r="C18" s="36">
        <v>0</v>
      </c>
      <c r="D18" s="36">
        <v>186</v>
      </c>
      <c r="E18" s="36">
        <v>66.659321370584081</v>
      </c>
      <c r="F18" s="116">
        <v>0</v>
      </c>
      <c r="G18" s="116">
        <v>164</v>
      </c>
      <c r="H18" s="116">
        <v>180.43988715830517</v>
      </c>
      <c r="I18" s="37">
        <v>0</v>
      </c>
      <c r="J18" s="37">
        <v>0.53985423065039828</v>
      </c>
      <c r="K18" s="37">
        <v>0.18094123617179722</v>
      </c>
      <c r="L18" s="117">
        <v>0</v>
      </c>
      <c r="M18" s="117">
        <v>0.4760005044444372</v>
      </c>
      <c r="N18" s="117">
        <v>0.48978920825814082</v>
      </c>
      <c r="O18" s="118">
        <f t="shared" si="0"/>
        <v>0</v>
      </c>
      <c r="P18" s="118">
        <f t="shared" si="1"/>
        <v>1.0158547350948355</v>
      </c>
      <c r="Q18" s="118">
        <f t="shared" si="2"/>
        <v>0.67073044442993801</v>
      </c>
      <c r="R18" s="118">
        <f t="shared" si="3"/>
        <v>0.67073044442993801</v>
      </c>
      <c r="S18" s="112" t="b">
        <f t="shared" si="4"/>
        <v>1</v>
      </c>
    </row>
    <row r="19" spans="1:19" x14ac:dyDescent="0.35">
      <c r="A19" s="111">
        <v>17</v>
      </c>
      <c r="B19" s="96" t="s">
        <v>16</v>
      </c>
      <c r="C19" s="36">
        <v>0</v>
      </c>
      <c r="D19" s="36">
        <v>74</v>
      </c>
      <c r="E19" s="36">
        <v>50.164087329003735</v>
      </c>
      <c r="F19" s="116">
        <v>0</v>
      </c>
      <c r="G19" s="116">
        <v>46</v>
      </c>
      <c r="H19" s="116">
        <v>40.131269863202988</v>
      </c>
      <c r="I19" s="37">
        <v>0</v>
      </c>
      <c r="J19" s="37">
        <v>0.63769602150931448</v>
      </c>
      <c r="K19" s="37">
        <v>0.41745293180621268</v>
      </c>
      <c r="L19" s="117">
        <v>0</v>
      </c>
      <c r="M19" s="117">
        <v>0.39640563499227655</v>
      </c>
      <c r="N19" s="117">
        <v>0.33396234544497017</v>
      </c>
      <c r="O19" s="118">
        <f t="shared" si="0"/>
        <v>0</v>
      </c>
      <c r="P19" s="118">
        <f t="shared" si="1"/>
        <v>1.034101656501591</v>
      </c>
      <c r="Q19" s="118">
        <f t="shared" si="2"/>
        <v>0.75141527725118284</v>
      </c>
      <c r="R19" s="118">
        <f t="shared" si="3"/>
        <v>0.75141527725118284</v>
      </c>
      <c r="S19" s="112" t="b">
        <f t="shared" si="4"/>
        <v>1</v>
      </c>
    </row>
    <row r="20" spans="1:19" x14ac:dyDescent="0.35">
      <c r="A20" s="111">
        <v>18</v>
      </c>
      <c r="B20" s="96" t="s">
        <v>17</v>
      </c>
      <c r="C20" s="36">
        <v>0</v>
      </c>
      <c r="D20" s="36">
        <v>1889</v>
      </c>
      <c r="E20" s="36">
        <v>3522</v>
      </c>
      <c r="F20" s="116">
        <v>0</v>
      </c>
      <c r="G20" s="116">
        <v>144</v>
      </c>
      <c r="H20" s="116">
        <v>195</v>
      </c>
      <c r="I20" s="37">
        <v>0</v>
      </c>
      <c r="J20" s="37">
        <v>0.16998196283508604</v>
      </c>
      <c r="K20" s="37">
        <v>0.28545973052528484</v>
      </c>
      <c r="L20" s="117">
        <v>0</v>
      </c>
      <c r="M20" s="117">
        <v>1.295786270420984E-2</v>
      </c>
      <c r="N20" s="117">
        <v>1.5804840276101802E-2</v>
      </c>
      <c r="O20" s="118">
        <f t="shared" si="0"/>
        <v>0</v>
      </c>
      <c r="P20" s="118">
        <f t="shared" si="1"/>
        <v>0.18293982553929589</v>
      </c>
      <c r="Q20" s="118">
        <f t="shared" si="2"/>
        <v>0.30126457080138663</v>
      </c>
      <c r="R20" s="118">
        <f t="shared" si="3"/>
        <v>0.30126457080138663</v>
      </c>
      <c r="S20" s="112" t="b">
        <f t="shared" si="4"/>
        <v>0</v>
      </c>
    </row>
    <row r="21" spans="1:19" x14ac:dyDescent="0.35">
      <c r="A21" s="111">
        <v>19</v>
      </c>
      <c r="B21" s="96" t="s">
        <v>18</v>
      </c>
      <c r="C21" s="36">
        <v>0</v>
      </c>
      <c r="D21" s="36">
        <v>40</v>
      </c>
      <c r="E21" s="36">
        <v>44</v>
      </c>
      <c r="F21" s="116">
        <v>0</v>
      </c>
      <c r="G21" s="116">
        <v>3</v>
      </c>
      <c r="H21" s="116">
        <v>67</v>
      </c>
      <c r="I21" s="37">
        <v>0</v>
      </c>
      <c r="J21" s="37">
        <v>0.18248079446663487</v>
      </c>
      <c r="K21" s="37">
        <v>0.18417805832374942</v>
      </c>
      <c r="L21" s="117">
        <v>0</v>
      </c>
      <c r="M21" s="117">
        <v>1.3686059584997615E-2</v>
      </c>
      <c r="N21" s="117">
        <v>0.28045295244752749</v>
      </c>
      <c r="O21" s="118">
        <f t="shared" si="0"/>
        <v>0</v>
      </c>
      <c r="P21" s="118">
        <f t="shared" si="1"/>
        <v>0.19616685405163248</v>
      </c>
      <c r="Q21" s="118">
        <f t="shared" si="2"/>
        <v>0.46463101077127689</v>
      </c>
      <c r="R21" s="118">
        <f t="shared" si="3"/>
        <v>0.46463101077127689</v>
      </c>
      <c r="S21" s="112" t="b">
        <f t="shared" si="4"/>
        <v>0</v>
      </c>
    </row>
    <row r="22" spans="1:19" x14ac:dyDescent="0.35">
      <c r="A22" s="111">
        <v>20</v>
      </c>
      <c r="B22" s="96" t="s">
        <v>19</v>
      </c>
      <c r="C22" s="36">
        <v>17</v>
      </c>
      <c r="D22" s="36">
        <v>4</v>
      </c>
      <c r="E22" s="36">
        <v>9</v>
      </c>
      <c r="F22" s="116">
        <v>0</v>
      </c>
      <c r="G22" s="116">
        <v>10</v>
      </c>
      <c r="H22" s="116">
        <v>16</v>
      </c>
      <c r="I22" s="37">
        <v>8.0004913242907386E-2</v>
      </c>
      <c r="J22" s="37">
        <v>1.6360483624076161E-2</v>
      </c>
      <c r="K22" s="37">
        <v>3.3259521831550135E-2</v>
      </c>
      <c r="L22" s="117">
        <v>0</v>
      </c>
      <c r="M22" s="117">
        <v>4.0901209060190402E-2</v>
      </c>
      <c r="N22" s="117">
        <v>5.9128038811644683E-2</v>
      </c>
      <c r="O22" s="118">
        <f t="shared" si="0"/>
        <v>8.0004913242907386E-2</v>
      </c>
      <c r="P22" s="118">
        <f t="shared" si="1"/>
        <v>5.7261692684266563E-2</v>
      </c>
      <c r="Q22" s="118">
        <f t="shared" si="2"/>
        <v>9.238756064319481E-2</v>
      </c>
      <c r="R22" s="118">
        <f t="shared" si="3"/>
        <v>1.2382647400287425E-2</v>
      </c>
      <c r="S22" s="112" t="b">
        <f t="shared" si="4"/>
        <v>0</v>
      </c>
    </row>
    <row r="23" spans="1:19" x14ac:dyDescent="0.35">
      <c r="A23" s="111">
        <v>21</v>
      </c>
      <c r="B23" s="96" t="s">
        <v>20</v>
      </c>
      <c r="C23" s="36">
        <v>0</v>
      </c>
      <c r="D23" s="36">
        <v>713</v>
      </c>
      <c r="E23" s="36">
        <v>243.71996104204348</v>
      </c>
      <c r="F23" s="116">
        <v>0</v>
      </c>
      <c r="G23" s="116">
        <v>227</v>
      </c>
      <c r="H23" s="116">
        <v>488</v>
      </c>
      <c r="I23" s="37">
        <v>0</v>
      </c>
      <c r="J23" s="37">
        <v>0.2309637858015936</v>
      </c>
      <c r="K23" s="37">
        <v>7.280466718320093E-2</v>
      </c>
      <c r="L23" s="117">
        <v>0</v>
      </c>
      <c r="M23" s="117">
        <v>7.3532649897562058E-2</v>
      </c>
      <c r="N23" s="117">
        <v>0.14577664231315504</v>
      </c>
      <c r="O23" s="118">
        <f t="shared" si="0"/>
        <v>0</v>
      </c>
      <c r="P23" s="118">
        <f t="shared" si="1"/>
        <v>0.30449643569915563</v>
      </c>
      <c r="Q23" s="118">
        <f t="shared" si="2"/>
        <v>0.21858130949635596</v>
      </c>
      <c r="R23" s="118">
        <f t="shared" si="3"/>
        <v>0.21858130949635596</v>
      </c>
      <c r="S23" s="112" t="b">
        <f t="shared" si="4"/>
        <v>1</v>
      </c>
    </row>
    <row r="24" spans="1:19" x14ac:dyDescent="0.35">
      <c r="A24" s="111">
        <v>22</v>
      </c>
      <c r="B24" s="96" t="s">
        <v>21</v>
      </c>
      <c r="C24" s="36">
        <v>0</v>
      </c>
      <c r="D24" s="36">
        <v>73</v>
      </c>
      <c r="E24" s="36">
        <v>39.076153906894113</v>
      </c>
      <c r="F24" s="116">
        <v>0</v>
      </c>
      <c r="G24" s="116">
        <v>0</v>
      </c>
      <c r="H24" s="116">
        <v>50</v>
      </c>
      <c r="I24" s="37">
        <v>0</v>
      </c>
      <c r="J24" s="37">
        <v>5.8144793199480578E-2</v>
      </c>
      <c r="K24" s="37">
        <v>2.8194814830398388E-2</v>
      </c>
      <c r="L24" s="117">
        <v>0</v>
      </c>
      <c r="M24" s="117">
        <v>0</v>
      </c>
      <c r="N24" s="117">
        <v>3.6076752714171344E-2</v>
      </c>
      <c r="O24" s="118">
        <f t="shared" si="0"/>
        <v>0</v>
      </c>
      <c r="P24" s="118">
        <f t="shared" si="1"/>
        <v>5.8144793199480578E-2</v>
      </c>
      <c r="Q24" s="118">
        <f t="shared" si="2"/>
        <v>6.4271567544569724E-2</v>
      </c>
      <c r="R24" s="118">
        <f t="shared" si="3"/>
        <v>6.4271567544569724E-2</v>
      </c>
      <c r="S24" s="112" t="b">
        <f t="shared" si="4"/>
        <v>1</v>
      </c>
    </row>
    <row r="25" spans="1:19" x14ac:dyDescent="0.35">
      <c r="A25" s="111">
        <v>23</v>
      </c>
      <c r="B25" s="96" t="s">
        <v>22</v>
      </c>
      <c r="C25" s="36">
        <v>0</v>
      </c>
      <c r="D25" s="36">
        <v>8</v>
      </c>
      <c r="E25" s="36">
        <v>20</v>
      </c>
      <c r="F25" s="116">
        <v>0</v>
      </c>
      <c r="G25" s="116">
        <v>8</v>
      </c>
      <c r="H25" s="116">
        <v>2.4240811153358681</v>
      </c>
      <c r="I25" s="37">
        <v>0</v>
      </c>
      <c r="J25" s="37">
        <v>4.155942387209674E-2</v>
      </c>
      <c r="K25" s="37">
        <v>9.4986358771550969E-2</v>
      </c>
      <c r="L25" s="117">
        <v>0</v>
      </c>
      <c r="M25" s="117">
        <v>4.155942387209674E-2</v>
      </c>
      <c r="N25" s="117">
        <v>1.1512731925631708E-2</v>
      </c>
      <c r="O25" s="118">
        <f t="shared" si="0"/>
        <v>0</v>
      </c>
      <c r="P25" s="118">
        <f t="shared" si="1"/>
        <v>8.311884774419348E-2</v>
      </c>
      <c r="Q25" s="118">
        <f t="shared" si="2"/>
        <v>0.10649909069718268</v>
      </c>
      <c r="R25" s="118">
        <f t="shared" si="3"/>
        <v>0.10649909069718268</v>
      </c>
      <c r="S25" s="112" t="b">
        <f t="shared" si="4"/>
        <v>0</v>
      </c>
    </row>
    <row r="26" spans="1:19" x14ac:dyDescent="0.35">
      <c r="A26" s="111">
        <v>24</v>
      </c>
      <c r="B26" s="96" t="s">
        <v>23</v>
      </c>
      <c r="C26" s="36">
        <v>1045</v>
      </c>
      <c r="D26" s="36">
        <v>1300</v>
      </c>
      <c r="E26" s="36">
        <v>1344</v>
      </c>
      <c r="F26" s="116">
        <v>0</v>
      </c>
      <c r="G26" s="116">
        <v>464</v>
      </c>
      <c r="H26" s="116">
        <v>987</v>
      </c>
      <c r="I26" s="37">
        <v>0.2332986726667364</v>
      </c>
      <c r="J26" s="37">
        <v>0.26024304618569377</v>
      </c>
      <c r="K26" s="37">
        <v>0.24876226428965692</v>
      </c>
      <c r="L26" s="117">
        <v>0</v>
      </c>
      <c r="M26" s="117">
        <v>9.2886748792432236E-2</v>
      </c>
      <c r="N26" s="117">
        <v>0.1826847878377168</v>
      </c>
      <c r="O26" s="118">
        <f t="shared" si="0"/>
        <v>0.2332986726667364</v>
      </c>
      <c r="P26" s="118">
        <f t="shared" si="1"/>
        <v>0.35312979497812602</v>
      </c>
      <c r="Q26" s="118">
        <f t="shared" si="2"/>
        <v>0.43144705212737372</v>
      </c>
      <c r="R26" s="118">
        <f t="shared" si="3"/>
        <v>0.19814837946063732</v>
      </c>
      <c r="S26" s="112" t="b">
        <f t="shared" si="4"/>
        <v>0</v>
      </c>
    </row>
    <row r="27" spans="1:19" x14ac:dyDescent="0.35">
      <c r="A27" s="111">
        <v>25</v>
      </c>
      <c r="B27" s="96" t="s">
        <v>24</v>
      </c>
      <c r="C27" s="36">
        <v>0</v>
      </c>
      <c r="D27" s="36">
        <v>159</v>
      </c>
      <c r="E27" s="36">
        <v>84.324393779652084</v>
      </c>
      <c r="F27" s="116">
        <v>0</v>
      </c>
      <c r="G27" s="116">
        <v>120</v>
      </c>
      <c r="H27" s="116">
        <v>62.6044741697417</v>
      </c>
      <c r="I27" s="37">
        <v>0</v>
      </c>
      <c r="J27" s="37">
        <v>0.7233793005240633</v>
      </c>
      <c r="K27" s="37">
        <v>0.36570154063979265</v>
      </c>
      <c r="L27" s="117">
        <v>0</v>
      </c>
      <c r="M27" s="117">
        <v>0.54594664190495346</v>
      </c>
      <c r="N27" s="117">
        <v>0.27150568926287633</v>
      </c>
      <c r="O27" s="118">
        <f t="shared" si="0"/>
        <v>0</v>
      </c>
      <c r="P27" s="118">
        <f t="shared" si="1"/>
        <v>1.2693259424290169</v>
      </c>
      <c r="Q27" s="118">
        <f t="shared" si="2"/>
        <v>0.63720722990266898</v>
      </c>
      <c r="R27" s="118">
        <f t="shared" si="3"/>
        <v>0.63720722990266898</v>
      </c>
      <c r="S27" s="112" t="b">
        <f t="shared" si="4"/>
        <v>1</v>
      </c>
    </row>
    <row r="28" spans="1:19" x14ac:dyDescent="0.35">
      <c r="A28" s="111">
        <v>26</v>
      </c>
      <c r="B28" s="96" t="s">
        <v>25</v>
      </c>
      <c r="C28" s="36">
        <v>0</v>
      </c>
      <c r="D28" s="36">
        <v>14</v>
      </c>
      <c r="E28" s="36">
        <v>7.715922014622258</v>
      </c>
      <c r="F28" s="116">
        <v>0</v>
      </c>
      <c r="G28" s="116">
        <v>10</v>
      </c>
      <c r="H28" s="116">
        <v>10</v>
      </c>
      <c r="I28" s="37">
        <v>0</v>
      </c>
      <c r="J28" s="37">
        <v>2.8633422853684642E-2</v>
      </c>
      <c r="K28" s="37">
        <v>1.4550982822881961E-2</v>
      </c>
      <c r="L28" s="117">
        <v>0</v>
      </c>
      <c r="M28" s="117">
        <v>2.045244489548903E-2</v>
      </c>
      <c r="N28" s="117">
        <v>1.8858385032024357E-2</v>
      </c>
      <c r="O28" s="118">
        <f t="shared" si="0"/>
        <v>0</v>
      </c>
      <c r="P28" s="118">
        <f t="shared" si="1"/>
        <v>4.9085867749173673E-2</v>
      </c>
      <c r="Q28" s="118">
        <f t="shared" si="2"/>
        <v>3.3409367854906322E-2</v>
      </c>
      <c r="R28" s="118">
        <f t="shared" si="3"/>
        <v>3.3409367854906322E-2</v>
      </c>
      <c r="S28" s="112" t="b">
        <f t="shared" si="4"/>
        <v>1</v>
      </c>
    </row>
    <row r="29" spans="1:19" x14ac:dyDescent="0.35">
      <c r="A29" s="111">
        <v>27</v>
      </c>
      <c r="B29" s="96" t="s">
        <v>26</v>
      </c>
      <c r="C29" s="36">
        <v>111</v>
      </c>
      <c r="D29" s="36">
        <v>372</v>
      </c>
      <c r="E29" s="36">
        <v>250.78616624772471</v>
      </c>
      <c r="F29" s="116">
        <v>0</v>
      </c>
      <c r="G29" s="116">
        <v>184</v>
      </c>
      <c r="H29" s="116">
        <v>23.406708849787638</v>
      </c>
      <c r="I29" s="37">
        <v>4.7057679381913069E-2</v>
      </c>
      <c r="J29" s="37">
        <v>0.13856533696463913</v>
      </c>
      <c r="K29" s="37">
        <v>8.4691540060033224E-2</v>
      </c>
      <c r="L29" s="117">
        <v>0</v>
      </c>
      <c r="M29" s="117">
        <v>6.8537693552402149E-2</v>
      </c>
      <c r="N29" s="117">
        <v>7.9045437389364329E-3</v>
      </c>
      <c r="O29" s="118">
        <f t="shared" si="0"/>
        <v>4.7057679381913069E-2</v>
      </c>
      <c r="P29" s="118">
        <f t="shared" si="1"/>
        <v>0.20710303051704126</v>
      </c>
      <c r="Q29" s="118">
        <f t="shared" si="2"/>
        <v>9.2596083798969664E-2</v>
      </c>
      <c r="R29" s="118">
        <f t="shared" si="3"/>
        <v>4.5538404417056595E-2</v>
      </c>
      <c r="S29" s="112" t="b">
        <f t="shared" si="4"/>
        <v>1</v>
      </c>
    </row>
    <row r="30" spans="1:19" x14ac:dyDescent="0.35">
      <c r="A30" s="111">
        <v>28</v>
      </c>
      <c r="B30" s="96" t="s">
        <v>27</v>
      </c>
      <c r="C30" s="36">
        <v>0</v>
      </c>
      <c r="D30" s="36">
        <v>112</v>
      </c>
      <c r="E30" s="36">
        <v>100.82761399787913</v>
      </c>
      <c r="F30" s="116">
        <v>0</v>
      </c>
      <c r="G30" s="116">
        <v>76</v>
      </c>
      <c r="H30" s="116">
        <v>173</v>
      </c>
      <c r="I30" s="37">
        <v>0</v>
      </c>
      <c r="J30" s="37">
        <v>6.0975998159395993E-2</v>
      </c>
      <c r="K30" s="37">
        <v>4.9412423472029475E-2</v>
      </c>
      <c r="L30" s="117">
        <v>0</v>
      </c>
      <c r="M30" s="117">
        <v>4.1376570179590136E-2</v>
      </c>
      <c r="N30" s="117">
        <v>8.478182634412941E-2</v>
      </c>
      <c r="O30" s="118">
        <f t="shared" si="0"/>
        <v>0</v>
      </c>
      <c r="P30" s="118">
        <f t="shared" si="1"/>
        <v>0.10235256833898612</v>
      </c>
      <c r="Q30" s="118">
        <f t="shared" si="2"/>
        <v>0.13419424981615888</v>
      </c>
      <c r="R30" s="118">
        <f t="shared" si="3"/>
        <v>0.13419424981615888</v>
      </c>
      <c r="S30" s="112" t="b">
        <f t="shared" si="4"/>
        <v>1</v>
      </c>
    </row>
    <row r="31" spans="1:19" x14ac:dyDescent="0.35">
      <c r="A31" s="111">
        <v>29</v>
      </c>
      <c r="B31" s="96" t="s">
        <v>28</v>
      </c>
      <c r="C31" s="36">
        <v>0</v>
      </c>
      <c r="D31" s="36">
        <v>30</v>
      </c>
      <c r="E31" s="36">
        <v>30</v>
      </c>
      <c r="F31" s="116">
        <v>0</v>
      </c>
      <c r="G31" s="116">
        <v>53</v>
      </c>
      <c r="H31" s="116">
        <v>53</v>
      </c>
      <c r="I31" s="37">
        <v>0</v>
      </c>
      <c r="J31" s="37">
        <v>1.5049438911769049E-2</v>
      </c>
      <c r="K31" s="37">
        <v>1.3278102035176733E-2</v>
      </c>
      <c r="L31" s="117">
        <v>0</v>
      </c>
      <c r="M31" s="117">
        <v>2.6587342077458654E-2</v>
      </c>
      <c r="N31" s="117">
        <v>2.3457980262145562E-2</v>
      </c>
      <c r="O31" s="118">
        <f t="shared" si="0"/>
        <v>0</v>
      </c>
      <c r="P31" s="118">
        <f t="shared" si="1"/>
        <v>4.1636780989227705E-2</v>
      </c>
      <c r="Q31" s="118">
        <f t="shared" si="2"/>
        <v>3.6736082297322295E-2</v>
      </c>
      <c r="R31" s="118">
        <f t="shared" si="3"/>
        <v>3.6736082297322295E-2</v>
      </c>
      <c r="S31" s="112" t="b">
        <f t="shared" si="4"/>
        <v>0</v>
      </c>
    </row>
    <row r="32" spans="1:19" x14ac:dyDescent="0.35">
      <c r="A32" s="111">
        <v>30</v>
      </c>
      <c r="B32" s="96" t="s">
        <v>29</v>
      </c>
      <c r="C32" s="36">
        <v>0</v>
      </c>
      <c r="D32" s="36">
        <v>151</v>
      </c>
      <c r="E32" s="36">
        <v>149.16596149777874</v>
      </c>
      <c r="F32" s="116">
        <v>0</v>
      </c>
      <c r="G32" s="116">
        <v>0</v>
      </c>
      <c r="H32" s="116">
        <v>0</v>
      </c>
      <c r="I32" s="37">
        <v>0</v>
      </c>
      <c r="J32" s="37">
        <v>0.35357106187107251</v>
      </c>
      <c r="K32" s="37">
        <v>0.31495266819191492</v>
      </c>
      <c r="L32" s="117">
        <v>0</v>
      </c>
      <c r="M32" s="117">
        <v>0</v>
      </c>
      <c r="N32" s="117">
        <v>0</v>
      </c>
      <c r="O32" s="118">
        <f t="shared" si="0"/>
        <v>0</v>
      </c>
      <c r="P32" s="118">
        <f t="shared" si="1"/>
        <v>0.35357106187107251</v>
      </c>
      <c r="Q32" s="118">
        <f t="shared" si="2"/>
        <v>0.31495266819191492</v>
      </c>
      <c r="R32" s="118">
        <f t="shared" si="3"/>
        <v>0.31495266819191492</v>
      </c>
      <c r="S32" s="112" t="b">
        <f t="shared" si="4"/>
        <v>1</v>
      </c>
    </row>
    <row r="33" spans="1:19" x14ac:dyDescent="0.35">
      <c r="A33" s="111">
        <v>31</v>
      </c>
      <c r="B33" s="96" t="s">
        <v>30</v>
      </c>
      <c r="C33" s="36">
        <v>351</v>
      </c>
      <c r="D33" s="36">
        <v>466</v>
      </c>
      <c r="E33" s="36">
        <v>413.89908688062309</v>
      </c>
      <c r="F33" s="116">
        <v>0</v>
      </c>
      <c r="G33" s="116">
        <v>65</v>
      </c>
      <c r="H33" s="116">
        <v>78</v>
      </c>
      <c r="I33" s="37">
        <v>2.7194724688277567</v>
      </c>
      <c r="J33" s="37">
        <v>3.5973958250909082</v>
      </c>
      <c r="K33" s="37">
        <v>3.1851401370915622</v>
      </c>
      <c r="L33" s="117">
        <v>0</v>
      </c>
      <c r="M33" s="117">
        <v>0.50178267946547006</v>
      </c>
      <c r="N33" s="117">
        <v>0.60024517706848013</v>
      </c>
      <c r="O33" s="118">
        <f t="shared" si="0"/>
        <v>2.7194724688277567</v>
      </c>
      <c r="P33" s="118">
        <f t="shared" si="1"/>
        <v>4.0991785045563782</v>
      </c>
      <c r="Q33" s="118">
        <f t="shared" si="2"/>
        <v>3.7853853141600422</v>
      </c>
      <c r="R33" s="118">
        <f t="shared" si="3"/>
        <v>1.0659128453322855</v>
      </c>
      <c r="S33" s="112" t="b">
        <f t="shared" si="4"/>
        <v>1</v>
      </c>
    </row>
    <row r="34" spans="1:19" x14ac:dyDescent="0.35">
      <c r="A34" s="111">
        <v>32</v>
      </c>
      <c r="B34" s="96" t="s">
        <v>31</v>
      </c>
      <c r="C34" s="36">
        <v>136</v>
      </c>
      <c r="D34" s="36">
        <v>255</v>
      </c>
      <c r="E34" s="36">
        <v>348</v>
      </c>
      <c r="F34" s="116">
        <v>238</v>
      </c>
      <c r="G34" s="116">
        <v>340</v>
      </c>
      <c r="H34" s="116">
        <v>341</v>
      </c>
      <c r="I34" s="37">
        <v>5.3857693953733327E-2</v>
      </c>
      <c r="J34" s="37">
        <v>8.6664305659092514E-2</v>
      </c>
      <c r="K34" s="37">
        <v>0.10555204195657268</v>
      </c>
      <c r="L34" s="117">
        <v>9.4250964419033315E-2</v>
      </c>
      <c r="M34" s="117">
        <v>0.11555240754545669</v>
      </c>
      <c r="N34" s="117">
        <v>0.10342886869882553</v>
      </c>
      <c r="O34" s="118">
        <f t="shared" si="0"/>
        <v>0.14810865837276666</v>
      </c>
      <c r="P34" s="118">
        <f t="shared" si="1"/>
        <v>0.2022167132045492</v>
      </c>
      <c r="Q34" s="118">
        <f t="shared" si="2"/>
        <v>0.2089809106553982</v>
      </c>
      <c r="R34" s="118">
        <f t="shared" si="3"/>
        <v>6.0872252282631545E-2</v>
      </c>
      <c r="S34" s="112" t="b">
        <f t="shared" si="4"/>
        <v>0</v>
      </c>
    </row>
    <row r="35" spans="1:19" x14ac:dyDescent="0.35">
      <c r="A35" s="111">
        <v>33</v>
      </c>
      <c r="B35" s="96" t="s">
        <v>32</v>
      </c>
      <c r="C35" s="36">
        <v>68</v>
      </c>
      <c r="D35" s="36">
        <v>181</v>
      </c>
      <c r="E35" s="36">
        <v>224</v>
      </c>
      <c r="F35" s="116">
        <v>0</v>
      </c>
      <c r="G35" s="116">
        <v>108</v>
      </c>
      <c r="H35" s="116">
        <v>157.53728549141965</v>
      </c>
      <c r="I35" s="37">
        <v>0.30845856902440899</v>
      </c>
      <c r="J35" s="37">
        <v>0.75238586337628777</v>
      </c>
      <c r="K35" s="37">
        <v>0.87260969707003777</v>
      </c>
      <c r="L35" s="117">
        <v>0</v>
      </c>
      <c r="M35" s="117">
        <v>0.44893742124109987</v>
      </c>
      <c r="N35" s="117">
        <v>0.61369894182992757</v>
      </c>
      <c r="O35" s="118">
        <f t="shared" si="0"/>
        <v>0.30845856902440899</v>
      </c>
      <c r="P35" s="118">
        <f t="shared" si="1"/>
        <v>1.2013232846173876</v>
      </c>
      <c r="Q35" s="118">
        <f t="shared" si="2"/>
        <v>1.4863086388999653</v>
      </c>
      <c r="R35" s="118">
        <f t="shared" si="3"/>
        <v>1.1778500698755563</v>
      </c>
      <c r="S35" s="112" t="b">
        <f t="shared" si="4"/>
        <v>0</v>
      </c>
    </row>
    <row r="36" spans="1:19" x14ac:dyDescent="0.35">
      <c r="A36" s="111">
        <v>34</v>
      </c>
      <c r="B36" s="96" t="s">
        <v>33</v>
      </c>
      <c r="C36" s="36">
        <v>30</v>
      </c>
      <c r="D36" s="36">
        <v>30</v>
      </c>
      <c r="E36" s="36">
        <v>27.583167463689964</v>
      </c>
      <c r="F36" s="116">
        <v>0</v>
      </c>
      <c r="G36" s="116">
        <v>0</v>
      </c>
      <c r="H36" s="116">
        <v>0</v>
      </c>
      <c r="I36" s="37">
        <v>1.6083032191958065E-2</v>
      </c>
      <c r="J36" s="37">
        <v>1.3287825189623912E-2</v>
      </c>
      <c r="K36" s="37">
        <v>1.0524722297308976E-2</v>
      </c>
      <c r="L36" s="117">
        <v>0</v>
      </c>
      <c r="M36" s="117">
        <v>0</v>
      </c>
      <c r="N36" s="117">
        <v>0</v>
      </c>
      <c r="O36" s="118">
        <f t="shared" si="0"/>
        <v>1.6083032191958065E-2</v>
      </c>
      <c r="P36" s="118">
        <f t="shared" si="1"/>
        <v>1.3287825189623912E-2</v>
      </c>
      <c r="Q36" s="118">
        <f t="shared" si="2"/>
        <v>1.0524722297308976E-2</v>
      </c>
      <c r="R36" s="118">
        <f t="shared" si="3"/>
        <v>-5.5583098946490883E-3</v>
      </c>
      <c r="S36" s="112" t="b">
        <f t="shared" si="4"/>
        <v>1</v>
      </c>
    </row>
    <row r="37" spans="1:19" x14ac:dyDescent="0.35">
      <c r="A37" s="111">
        <v>35</v>
      </c>
      <c r="B37" s="96" t="s">
        <v>34</v>
      </c>
      <c r="C37" s="36">
        <v>0</v>
      </c>
      <c r="D37" s="36">
        <v>4358</v>
      </c>
      <c r="E37" s="36">
        <v>5048</v>
      </c>
      <c r="F37" s="116">
        <v>0</v>
      </c>
      <c r="G37" s="116">
        <v>21129</v>
      </c>
      <c r="H37" s="116">
        <v>13539.887328738811</v>
      </c>
      <c r="I37" s="37">
        <v>0</v>
      </c>
      <c r="J37" s="37">
        <v>0.21967096148011464</v>
      </c>
      <c r="K37" s="37">
        <v>0.23098618175272628</v>
      </c>
      <c r="L37" s="117">
        <v>0</v>
      </c>
      <c r="M37" s="117">
        <v>1.0650361966758473</v>
      </c>
      <c r="N37" s="117">
        <v>0.61955762191511465</v>
      </c>
      <c r="O37" s="118">
        <f t="shared" si="0"/>
        <v>0</v>
      </c>
      <c r="P37" s="118">
        <f t="shared" si="1"/>
        <v>1.2847071581559619</v>
      </c>
      <c r="Q37" s="118">
        <f t="shared" si="2"/>
        <v>0.85054380366784099</v>
      </c>
      <c r="R37" s="118">
        <f t="shared" si="3"/>
        <v>0.85054380366784099</v>
      </c>
      <c r="S37" s="112" t="b">
        <f t="shared" si="4"/>
        <v>0</v>
      </c>
    </row>
    <row r="38" spans="1:19" x14ac:dyDescent="0.35">
      <c r="A38" s="111">
        <v>36</v>
      </c>
      <c r="B38" s="96" t="s">
        <v>35</v>
      </c>
      <c r="C38" s="36">
        <v>127</v>
      </c>
      <c r="D38" s="36">
        <v>228</v>
      </c>
      <c r="E38" s="36">
        <v>236</v>
      </c>
      <c r="F38" s="116">
        <v>0</v>
      </c>
      <c r="G38" s="116">
        <v>0</v>
      </c>
      <c r="H38" s="116">
        <v>0</v>
      </c>
      <c r="I38" s="37">
        <v>0.11440050599253725</v>
      </c>
      <c r="J38" s="37">
        <v>0.18193704300038124</v>
      </c>
      <c r="K38" s="37">
        <v>0.17130375403829554</v>
      </c>
      <c r="L38" s="117">
        <v>0</v>
      </c>
      <c r="M38" s="117">
        <v>0</v>
      </c>
      <c r="N38" s="117">
        <v>0</v>
      </c>
      <c r="O38" s="118">
        <f t="shared" si="0"/>
        <v>0.11440050599253725</v>
      </c>
      <c r="P38" s="118">
        <f t="shared" si="1"/>
        <v>0.18193704300038124</v>
      </c>
      <c r="Q38" s="118">
        <f t="shared" si="2"/>
        <v>0.17130375403829554</v>
      </c>
      <c r="R38" s="118">
        <f t="shared" si="3"/>
        <v>5.690324804575829E-2</v>
      </c>
      <c r="S38" s="112" t="b">
        <f t="shared" si="4"/>
        <v>0</v>
      </c>
    </row>
    <row r="39" spans="1:19" x14ac:dyDescent="0.35">
      <c r="A39" s="111">
        <v>37</v>
      </c>
      <c r="B39" s="96" t="s">
        <v>36</v>
      </c>
      <c r="C39" s="36">
        <v>0</v>
      </c>
      <c r="D39" s="36">
        <v>6</v>
      </c>
      <c r="E39" s="36">
        <v>6</v>
      </c>
      <c r="F39" s="116">
        <v>0</v>
      </c>
      <c r="G39" s="116">
        <v>0</v>
      </c>
      <c r="H39" s="116">
        <v>0</v>
      </c>
      <c r="I39" s="37">
        <v>0</v>
      </c>
      <c r="J39" s="37">
        <v>0.28389734272087214</v>
      </c>
      <c r="K39" s="37">
        <v>0.26387603104061713</v>
      </c>
      <c r="L39" s="117">
        <v>0</v>
      </c>
      <c r="M39" s="117">
        <v>0</v>
      </c>
      <c r="N39" s="117">
        <v>0</v>
      </c>
      <c r="O39" s="118">
        <f t="shared" si="0"/>
        <v>0</v>
      </c>
      <c r="P39" s="118">
        <f t="shared" si="1"/>
        <v>0.28389734272087214</v>
      </c>
      <c r="Q39" s="118">
        <f t="shared" si="2"/>
        <v>0.26387603104061713</v>
      </c>
      <c r="R39" s="118">
        <f t="shared" si="3"/>
        <v>0.26387603104061713</v>
      </c>
      <c r="S39" s="112" t="b">
        <f t="shared" si="4"/>
        <v>0</v>
      </c>
    </row>
    <row r="40" spans="1:19" x14ac:dyDescent="0.35">
      <c r="A40" s="111">
        <v>38</v>
      </c>
      <c r="B40" s="96" t="s">
        <v>37</v>
      </c>
      <c r="C40" s="36">
        <v>54</v>
      </c>
      <c r="D40" s="36">
        <v>136</v>
      </c>
      <c r="E40" s="36">
        <v>223</v>
      </c>
      <c r="F40" s="116">
        <v>0</v>
      </c>
      <c r="G40" s="116">
        <v>100</v>
      </c>
      <c r="H40" s="116">
        <v>74.906392857997659</v>
      </c>
      <c r="I40" s="37">
        <v>3.9718833321056066E-2</v>
      </c>
      <c r="J40" s="37">
        <v>8.7319932334757155E-2</v>
      </c>
      <c r="K40" s="37">
        <v>0.12877928956450599</v>
      </c>
      <c r="L40" s="117">
        <v>0</v>
      </c>
      <c r="M40" s="117">
        <v>6.4205832599086146E-2</v>
      </c>
      <c r="N40" s="117">
        <v>4.3257363480236427E-2</v>
      </c>
      <c r="O40" s="118">
        <f t="shared" si="0"/>
        <v>3.9718833321056066E-2</v>
      </c>
      <c r="P40" s="118">
        <f t="shared" si="1"/>
        <v>0.15152576493384329</v>
      </c>
      <c r="Q40" s="118">
        <f t="shared" si="2"/>
        <v>0.17203665304474242</v>
      </c>
      <c r="R40" s="118">
        <f t="shared" si="3"/>
        <v>0.13231781972368634</v>
      </c>
      <c r="S40" s="112" t="b">
        <f t="shared" si="4"/>
        <v>0</v>
      </c>
    </row>
    <row r="41" spans="1:19" x14ac:dyDescent="0.35">
      <c r="A41" s="111">
        <v>39</v>
      </c>
      <c r="B41" s="96" t="s">
        <v>38</v>
      </c>
      <c r="C41" s="36">
        <v>14</v>
      </c>
      <c r="D41" s="36">
        <v>38</v>
      </c>
      <c r="E41" s="36">
        <v>44</v>
      </c>
      <c r="F41" s="116">
        <v>0</v>
      </c>
      <c r="G41" s="116">
        <v>125</v>
      </c>
      <c r="H41" s="116">
        <v>131.02004545252734</v>
      </c>
      <c r="I41" s="37">
        <v>1.4475670533738652</v>
      </c>
      <c r="J41" s="37">
        <v>3.6857062492119366</v>
      </c>
      <c r="K41" s="37">
        <v>4.107600461171506</v>
      </c>
      <c r="L41" s="117">
        <v>0</v>
      </c>
      <c r="M41" s="117">
        <v>12.124033714512949</v>
      </c>
      <c r="N41" s="117">
        <v>12.231318161898024</v>
      </c>
      <c r="O41" s="118">
        <f t="shared" si="0"/>
        <v>1.4475670533738652</v>
      </c>
      <c r="P41" s="118">
        <f t="shared" si="1"/>
        <v>15.809739963724885</v>
      </c>
      <c r="Q41" s="118">
        <f t="shared" si="2"/>
        <v>16.338918623069532</v>
      </c>
      <c r="R41" s="118">
        <f t="shared" si="3"/>
        <v>14.891351569695667</v>
      </c>
      <c r="S41" s="112" t="b">
        <f t="shared" si="4"/>
        <v>0</v>
      </c>
    </row>
    <row r="42" spans="1:19" x14ac:dyDescent="0.35">
      <c r="A42" s="111">
        <v>40</v>
      </c>
      <c r="B42" s="96" t="s">
        <v>39</v>
      </c>
      <c r="C42" s="36">
        <v>0</v>
      </c>
      <c r="D42" s="36">
        <v>15</v>
      </c>
      <c r="E42" s="36">
        <v>15</v>
      </c>
      <c r="F42" s="116">
        <v>0</v>
      </c>
      <c r="G42" s="116">
        <v>414</v>
      </c>
      <c r="H42" s="116">
        <v>144.81162918437232</v>
      </c>
      <c r="I42" s="37">
        <v>0</v>
      </c>
      <c r="J42" s="37">
        <v>1.9080859722480345E-2</v>
      </c>
      <c r="K42" s="37">
        <v>1.7430271361436652E-2</v>
      </c>
      <c r="L42" s="117">
        <v>0</v>
      </c>
      <c r="M42" s="117">
        <v>0.52663172834045746</v>
      </c>
      <c r="N42" s="117">
        <v>0.16827373286502328</v>
      </c>
      <c r="O42" s="118">
        <f t="shared" si="0"/>
        <v>0</v>
      </c>
      <c r="P42" s="118">
        <f t="shared" si="1"/>
        <v>0.54571258806293776</v>
      </c>
      <c r="Q42" s="118">
        <f t="shared" si="2"/>
        <v>0.18570400422645994</v>
      </c>
      <c r="R42" s="118">
        <f t="shared" si="3"/>
        <v>0.18570400422645994</v>
      </c>
      <c r="S42" s="112" t="b">
        <f t="shared" si="4"/>
        <v>0</v>
      </c>
    </row>
    <row r="43" spans="1:19" x14ac:dyDescent="0.35">
      <c r="A43" s="111">
        <v>41</v>
      </c>
      <c r="B43" s="96" t="s">
        <v>40</v>
      </c>
      <c r="C43" s="36">
        <v>5770</v>
      </c>
      <c r="D43" s="36">
        <v>6433</v>
      </c>
      <c r="E43" s="36">
        <v>1975.7022379517678</v>
      </c>
      <c r="F43" s="116">
        <v>4625</v>
      </c>
      <c r="G43" s="116">
        <v>661</v>
      </c>
      <c r="H43" s="116">
        <v>1550</v>
      </c>
      <c r="I43" s="37">
        <v>1.0710251934824646</v>
      </c>
      <c r="J43" s="37">
        <v>1.1219115712892136</v>
      </c>
      <c r="K43" s="37">
        <v>0.32986710103350497</v>
      </c>
      <c r="L43" s="117">
        <v>0.85849073134426324</v>
      </c>
      <c r="M43" s="117">
        <v>0.11527802714474897</v>
      </c>
      <c r="N43" s="117">
        <v>0.25879102466978871</v>
      </c>
      <c r="O43" s="118">
        <f t="shared" si="0"/>
        <v>1.929515924826728</v>
      </c>
      <c r="P43" s="118">
        <f t="shared" si="1"/>
        <v>1.2371895984339625</v>
      </c>
      <c r="Q43" s="118">
        <f t="shared" si="2"/>
        <v>0.58865812570329368</v>
      </c>
      <c r="R43" s="118">
        <f t="shared" si="3"/>
        <v>-1.3408577991234343</v>
      </c>
      <c r="S43" s="112" t="b">
        <f t="shared" si="4"/>
        <v>1</v>
      </c>
    </row>
    <row r="44" spans="1:19" x14ac:dyDescent="0.35">
      <c r="A44" s="111">
        <v>42</v>
      </c>
      <c r="B44" s="96" t="s">
        <v>41</v>
      </c>
      <c r="C44" s="36">
        <v>0</v>
      </c>
      <c r="D44" s="36">
        <v>32</v>
      </c>
      <c r="E44" s="36">
        <v>32.180362040971623</v>
      </c>
      <c r="F44" s="116">
        <v>0</v>
      </c>
      <c r="G44" s="116">
        <v>22</v>
      </c>
      <c r="H44" s="116">
        <v>128</v>
      </c>
      <c r="I44" s="37">
        <v>0</v>
      </c>
      <c r="J44" s="37">
        <v>3.0783055024855153E-2</v>
      </c>
      <c r="K44" s="37">
        <v>2.9487656847596595E-2</v>
      </c>
      <c r="L44" s="117">
        <v>0</v>
      </c>
      <c r="M44" s="117">
        <v>2.1163350329587917E-2</v>
      </c>
      <c r="N44" s="117">
        <v>0.11728954670201724</v>
      </c>
      <c r="O44" s="118">
        <f t="shared" si="0"/>
        <v>0</v>
      </c>
      <c r="P44" s="118">
        <f t="shared" si="1"/>
        <v>5.1946405354443073E-2</v>
      </c>
      <c r="Q44" s="118">
        <f t="shared" si="2"/>
        <v>0.14677720354961385</v>
      </c>
      <c r="R44" s="118">
        <f t="shared" si="3"/>
        <v>0.14677720354961385</v>
      </c>
      <c r="S44" s="112" t="b">
        <f t="shared" si="4"/>
        <v>0</v>
      </c>
    </row>
    <row r="45" spans="1:19" x14ac:dyDescent="0.35">
      <c r="A45" s="111">
        <v>43</v>
      </c>
      <c r="B45" s="96" t="s">
        <v>42</v>
      </c>
      <c r="C45" s="36">
        <v>99</v>
      </c>
      <c r="D45" s="36">
        <v>682</v>
      </c>
      <c r="E45" s="36">
        <v>755.27784311079404</v>
      </c>
      <c r="F45" s="116">
        <v>366</v>
      </c>
      <c r="G45" s="116">
        <v>768</v>
      </c>
      <c r="H45" s="116">
        <v>581.68053440265271</v>
      </c>
      <c r="I45" s="37">
        <v>2.010003584810939E-2</v>
      </c>
      <c r="J45" s="37">
        <v>0.11740313290432298</v>
      </c>
      <c r="K45" s="37">
        <v>0.11531355904187629</v>
      </c>
      <c r="L45" s="117">
        <v>7.4309223438465008E-2</v>
      </c>
      <c r="M45" s="117">
        <v>0.13220763353448689</v>
      </c>
      <c r="N45" s="117">
        <v>8.8809241869300962E-2</v>
      </c>
      <c r="O45" s="118">
        <f t="shared" si="0"/>
        <v>9.4409259286574398E-2</v>
      </c>
      <c r="P45" s="118">
        <f t="shared" si="1"/>
        <v>0.24961076643880986</v>
      </c>
      <c r="Q45" s="118">
        <f t="shared" si="2"/>
        <v>0.20412280091117724</v>
      </c>
      <c r="R45" s="118">
        <f t="shared" si="3"/>
        <v>0.10971354162460284</v>
      </c>
      <c r="S45" s="112" t="b">
        <f t="shared" si="4"/>
        <v>0</v>
      </c>
    </row>
    <row r="46" spans="1:19" x14ac:dyDescent="0.35">
      <c r="A46" s="111">
        <v>44</v>
      </c>
      <c r="B46" s="96" t="s">
        <v>43</v>
      </c>
      <c r="C46" s="36">
        <v>18</v>
      </c>
      <c r="D46" s="36">
        <v>21</v>
      </c>
      <c r="E46" s="36">
        <v>21.759416355615883</v>
      </c>
      <c r="F46" s="116">
        <v>0</v>
      </c>
      <c r="G46" s="116">
        <v>25</v>
      </c>
      <c r="H46" s="116">
        <v>1.2088564642008823</v>
      </c>
      <c r="I46" s="37">
        <v>2.5329890156931333E-2</v>
      </c>
      <c r="J46" s="37">
        <v>2.6097723048228966E-2</v>
      </c>
      <c r="K46" s="37">
        <v>2.4590527472052391E-2</v>
      </c>
      <c r="L46" s="117">
        <v>0</v>
      </c>
      <c r="M46" s="117">
        <v>3.1068717914558293E-2</v>
      </c>
      <c r="N46" s="117">
        <v>1.3661404151140216E-3</v>
      </c>
      <c r="O46" s="118">
        <f t="shared" si="0"/>
        <v>2.5329890156931333E-2</v>
      </c>
      <c r="P46" s="118">
        <f t="shared" si="1"/>
        <v>5.7166440962787259E-2</v>
      </c>
      <c r="Q46" s="118">
        <f t="shared" si="2"/>
        <v>2.5956667887166412E-2</v>
      </c>
      <c r="R46" s="118">
        <f t="shared" si="3"/>
        <v>6.2677773023507924E-4</v>
      </c>
      <c r="S46" s="112" t="b">
        <f t="shared" si="4"/>
        <v>0</v>
      </c>
    </row>
    <row r="47" spans="1:19" x14ac:dyDescent="0.35">
      <c r="A47" s="111">
        <v>45</v>
      </c>
      <c r="B47" s="96" t="s">
        <v>44</v>
      </c>
      <c r="C47" s="36">
        <v>276</v>
      </c>
      <c r="D47" s="36">
        <v>26</v>
      </c>
      <c r="E47" s="36">
        <v>504</v>
      </c>
      <c r="F47" s="116">
        <v>0</v>
      </c>
      <c r="G47" s="116">
        <v>26</v>
      </c>
      <c r="H47" s="116">
        <v>1084</v>
      </c>
      <c r="I47" s="37">
        <v>7.8245553257013697E-2</v>
      </c>
      <c r="J47" s="37">
        <v>6.2627369919038443E-3</v>
      </c>
      <c r="K47" s="37">
        <v>0.10666760353556549</v>
      </c>
      <c r="L47" s="117">
        <v>0</v>
      </c>
      <c r="M47" s="117">
        <v>6.2627369919038443E-3</v>
      </c>
      <c r="N47" s="117">
        <v>0.22942000442966864</v>
      </c>
      <c r="O47" s="118">
        <f t="shared" si="0"/>
        <v>7.8245553257013697E-2</v>
      </c>
      <c r="P47" s="118">
        <f t="shared" si="1"/>
        <v>1.2525473983807689E-2</v>
      </c>
      <c r="Q47" s="118">
        <f t="shared" si="2"/>
        <v>0.33608760796523413</v>
      </c>
      <c r="R47" s="118">
        <f t="shared" si="3"/>
        <v>0.25784205470822041</v>
      </c>
      <c r="S47" s="112" t="b">
        <f t="shared" si="4"/>
        <v>0</v>
      </c>
    </row>
    <row r="48" spans="1:19" x14ac:dyDescent="0.35">
      <c r="A48" s="111">
        <v>46</v>
      </c>
      <c r="B48" s="96" t="s">
        <v>45</v>
      </c>
      <c r="C48" s="36">
        <v>0</v>
      </c>
      <c r="D48" s="36">
        <v>160</v>
      </c>
      <c r="E48" s="36">
        <v>306</v>
      </c>
      <c r="F48" s="116">
        <v>282</v>
      </c>
      <c r="G48" s="116">
        <v>412</v>
      </c>
      <c r="H48" s="116">
        <v>743</v>
      </c>
      <c r="I48" s="37">
        <v>0</v>
      </c>
      <c r="J48" s="37">
        <v>8.9706750315221198E-2</v>
      </c>
      <c r="K48" s="37">
        <v>0.15286490563964095</v>
      </c>
      <c r="L48" s="117">
        <v>0.18510039004984333</v>
      </c>
      <c r="M48" s="117">
        <v>0.23099488206169461</v>
      </c>
      <c r="N48" s="117">
        <v>0.37117197676553337</v>
      </c>
      <c r="O48" s="118">
        <f t="shared" si="0"/>
        <v>0.18510039004984333</v>
      </c>
      <c r="P48" s="118">
        <f t="shared" si="1"/>
        <v>0.32070163237691579</v>
      </c>
      <c r="Q48" s="118">
        <f t="shared" si="2"/>
        <v>0.52403688240517432</v>
      </c>
      <c r="R48" s="118">
        <f t="shared" si="3"/>
        <v>0.33893649235533096</v>
      </c>
      <c r="S48" s="112" t="b">
        <f t="shared" si="4"/>
        <v>0</v>
      </c>
    </row>
    <row r="49" spans="1:19" x14ac:dyDescent="0.35">
      <c r="A49" s="111">
        <v>47</v>
      </c>
      <c r="B49" s="96" t="s">
        <v>46</v>
      </c>
      <c r="C49" s="36">
        <v>236</v>
      </c>
      <c r="D49" s="36">
        <v>142</v>
      </c>
      <c r="E49" s="36">
        <v>201</v>
      </c>
      <c r="F49" s="116">
        <v>171</v>
      </c>
      <c r="G49" s="116">
        <v>508</v>
      </c>
      <c r="H49" s="116">
        <v>205.84361486888565</v>
      </c>
      <c r="I49" s="37">
        <v>0.17410008239138841</v>
      </c>
      <c r="J49" s="37">
        <v>9.4338469420783014E-2</v>
      </c>
      <c r="K49" s="37">
        <v>0.12315771227380573</v>
      </c>
      <c r="L49" s="117">
        <v>0.12614878851240433</v>
      </c>
      <c r="M49" s="117">
        <v>0.33749255257575894</v>
      </c>
      <c r="N49" s="117">
        <v>0.12612551588767312</v>
      </c>
      <c r="O49" s="118">
        <f t="shared" si="0"/>
        <v>0.30024887090379271</v>
      </c>
      <c r="P49" s="118">
        <f t="shared" si="1"/>
        <v>0.43183102199654194</v>
      </c>
      <c r="Q49" s="118">
        <f t="shared" si="2"/>
        <v>0.24928322816147885</v>
      </c>
      <c r="R49" s="118">
        <f t="shared" si="3"/>
        <v>-5.0965642742313855E-2</v>
      </c>
      <c r="S49" s="112" t="b">
        <f t="shared" si="4"/>
        <v>0</v>
      </c>
    </row>
    <row r="50" spans="1:19" x14ac:dyDescent="0.35">
      <c r="A50" s="111">
        <v>48</v>
      </c>
      <c r="B50" s="119" t="s">
        <v>47</v>
      </c>
      <c r="C50" s="120">
        <f>SUM(C3:C49)</f>
        <v>9015</v>
      </c>
      <c r="D50" s="120">
        <f t="shared" ref="D50:E50" si="5">SUM(D3:D49)</f>
        <v>37007</v>
      </c>
      <c r="E50" s="120">
        <f t="shared" si="5"/>
        <v>34405.463484314365</v>
      </c>
      <c r="F50" s="120">
        <f t="shared" ref="F50" si="6">SUM(F3:F49)</f>
        <v>5802</v>
      </c>
      <c r="G50" s="120">
        <f t="shared" ref="G50" si="7">SUM(G3:G49)</f>
        <v>27391</v>
      </c>
      <c r="H50" s="120">
        <f t="shared" ref="H50" si="8">SUM(H3:H49)</f>
        <v>22366.55270164074</v>
      </c>
      <c r="I50" s="42">
        <f>AVERAGE(I3:I49)</f>
        <v>0.15328749771229525</v>
      </c>
      <c r="J50" s="42">
        <f t="shared" ref="J50:N50" si="9">AVERAGE(J3:J49)</f>
        <v>0.44274520045280896</v>
      </c>
      <c r="K50" s="42">
        <f t="shared" si="9"/>
        <v>0.37161166510087645</v>
      </c>
      <c r="L50" s="42">
        <f t="shared" si="9"/>
        <v>2.9610774003027834E-2</v>
      </c>
      <c r="M50" s="42">
        <f t="shared" si="9"/>
        <v>0.41237825926209065</v>
      </c>
      <c r="N50" s="42">
        <f t="shared" si="9"/>
        <v>0.4098455916617198</v>
      </c>
    </row>
    <row r="52" spans="1:19" x14ac:dyDescent="0.35">
      <c r="E52" s="174">
        <v>34405.463484314401</v>
      </c>
    </row>
    <row r="53" spans="1:19" x14ac:dyDescent="0.35">
      <c r="B53" s="121" t="s">
        <v>64</v>
      </c>
      <c r="C53" s="122">
        <f>C50+F50</f>
        <v>14817</v>
      </c>
      <c r="D53" s="122">
        <f>D50+G50</f>
        <v>64398</v>
      </c>
      <c r="E53" s="122">
        <f>E50+H50</f>
        <v>56772.016185955101</v>
      </c>
      <c r="F53" s="123"/>
      <c r="G53" s="123"/>
      <c r="H53" s="123"/>
    </row>
    <row r="55" spans="1:19" x14ac:dyDescent="0.35">
      <c r="D55" s="124">
        <f>(E50/C50)^(1/9)-1</f>
        <v>0.16045706187406172</v>
      </c>
      <c r="J55" s="124">
        <f>(K50/I50)^(1/9)-1</f>
        <v>0.10339598769300617</v>
      </c>
    </row>
    <row r="58" spans="1:19" x14ac:dyDescent="0.35">
      <c r="D58" s="124">
        <f>(E53/C53)^(1/9)-1</f>
        <v>0.16096556226739156</v>
      </c>
    </row>
  </sheetData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6A1D-D933-4A78-BB60-4BEB58534AAB}">
  <dimension ref="A1:T54"/>
  <sheetViews>
    <sheetView workbookViewId="0">
      <selection activeCell="C1" sqref="C1:H1"/>
    </sheetView>
  </sheetViews>
  <sheetFormatPr defaultRowHeight="14.5" x14ac:dyDescent="0.35"/>
  <cols>
    <col min="1" max="1" width="4.54296875" style="112" bestFit="1" customWidth="1"/>
    <col min="2" max="2" width="18.54296875" style="112" bestFit="1" customWidth="1"/>
    <col min="3" max="16384" width="8.7265625" style="112"/>
  </cols>
  <sheetData>
    <row r="1" spans="1:20" x14ac:dyDescent="0.35">
      <c r="A1" s="125"/>
      <c r="B1" s="125"/>
      <c r="C1" s="200" t="s">
        <v>65</v>
      </c>
      <c r="D1" s="200"/>
      <c r="E1" s="200"/>
      <c r="F1" s="200" t="s">
        <v>66</v>
      </c>
      <c r="G1" s="200"/>
      <c r="H1" s="200"/>
      <c r="I1" s="200" t="s">
        <v>65</v>
      </c>
      <c r="J1" s="200"/>
      <c r="K1" s="200"/>
      <c r="L1" s="200" t="s">
        <v>66</v>
      </c>
      <c r="M1" s="200"/>
      <c r="N1" s="200"/>
    </row>
    <row r="2" spans="1:20" ht="56.5" x14ac:dyDescent="0.35">
      <c r="A2" s="113" t="s">
        <v>52</v>
      </c>
      <c r="B2" s="114" t="s">
        <v>48</v>
      </c>
      <c r="C2" s="43">
        <v>2013</v>
      </c>
      <c r="D2" s="43">
        <v>2018</v>
      </c>
      <c r="E2" s="43" t="s">
        <v>51</v>
      </c>
      <c r="F2" s="126">
        <v>2013</v>
      </c>
      <c r="G2" s="126">
        <v>2018</v>
      </c>
      <c r="H2" s="126" t="s">
        <v>51</v>
      </c>
      <c r="I2" s="43" t="s">
        <v>91</v>
      </c>
      <c r="J2" s="43" t="s">
        <v>92</v>
      </c>
      <c r="K2" s="43" t="s">
        <v>93</v>
      </c>
      <c r="L2" s="126" t="s">
        <v>91</v>
      </c>
      <c r="M2" s="126" t="s">
        <v>92</v>
      </c>
      <c r="N2" s="126" t="s">
        <v>93</v>
      </c>
      <c r="R2" s="112" t="s">
        <v>320</v>
      </c>
      <c r="S2" s="112" t="s">
        <v>408</v>
      </c>
    </row>
    <row r="3" spans="1:20" x14ac:dyDescent="0.35">
      <c r="A3" s="111">
        <v>1</v>
      </c>
      <c r="B3" s="96" t="s">
        <v>0</v>
      </c>
      <c r="C3" s="110">
        <v>0</v>
      </c>
      <c r="D3" s="110">
        <v>18807</v>
      </c>
      <c r="E3" s="110">
        <v>13642</v>
      </c>
      <c r="F3" s="127">
        <v>0</v>
      </c>
      <c r="G3" s="127">
        <v>1536</v>
      </c>
      <c r="H3" s="127">
        <v>1536</v>
      </c>
      <c r="I3" s="37">
        <v>0</v>
      </c>
      <c r="J3" s="37">
        <v>4.485652887171268</v>
      </c>
      <c r="K3" s="37">
        <v>3.038089135023152</v>
      </c>
      <c r="L3" s="39">
        <v>0</v>
      </c>
      <c r="M3" s="39">
        <v>0.36635097754533247</v>
      </c>
      <c r="N3" s="39">
        <v>0.34206897166072142</v>
      </c>
      <c r="O3" s="118">
        <f>I3+L3</f>
        <v>0</v>
      </c>
      <c r="P3" s="118">
        <f t="shared" ref="P3" si="0">J3+M3</f>
        <v>4.8520038647166004</v>
      </c>
      <c r="Q3" s="118">
        <f>K3+N3</f>
        <v>3.3801581066838735</v>
      </c>
      <c r="R3" s="118">
        <f>Q3-O3</f>
        <v>3.3801581066838735</v>
      </c>
      <c r="S3" s="123">
        <f>E3-D3</f>
        <v>-5165</v>
      </c>
      <c r="T3" s="112" t="b">
        <f>E3&lt;D3</f>
        <v>1</v>
      </c>
    </row>
    <row r="4" spans="1:20" x14ac:dyDescent="0.35">
      <c r="A4" s="111">
        <v>2</v>
      </c>
      <c r="B4" s="96" t="s">
        <v>1</v>
      </c>
      <c r="C4" s="110">
        <v>0</v>
      </c>
      <c r="D4" s="110">
        <v>2302</v>
      </c>
      <c r="E4" s="110">
        <v>1434.032344317616</v>
      </c>
      <c r="F4" s="127">
        <v>0</v>
      </c>
      <c r="G4" s="127">
        <v>1605</v>
      </c>
      <c r="H4" s="127">
        <v>943.1691530361984</v>
      </c>
      <c r="I4" s="37">
        <v>0</v>
      </c>
      <c r="J4" s="37">
        <v>0.73608568625744963</v>
      </c>
      <c r="K4" s="37">
        <v>0.40294272616346588</v>
      </c>
      <c r="L4" s="39">
        <v>0</v>
      </c>
      <c r="M4" s="39">
        <v>0.51321352147836952</v>
      </c>
      <c r="N4" s="39">
        <v>0.26501713944153499</v>
      </c>
      <c r="O4" s="118">
        <f t="shared" ref="O4:O49" si="1">I4+L4</f>
        <v>0</v>
      </c>
      <c r="P4" s="118">
        <f t="shared" ref="P4:P49" si="2">J4+M4</f>
        <v>1.2492992077358192</v>
      </c>
      <c r="Q4" s="118">
        <f t="shared" ref="Q4:Q49" si="3">K4+N4</f>
        <v>0.66795986560500087</v>
      </c>
      <c r="R4" s="118">
        <f t="shared" ref="R4:R49" si="4">Q4-O4</f>
        <v>0.66795986560500087</v>
      </c>
      <c r="S4" s="123">
        <f t="shared" ref="S4:S49" si="5">E4-D4</f>
        <v>-867.96765568238402</v>
      </c>
      <c r="T4" s="112" t="b">
        <f t="shared" ref="T4:T49" si="6">E4&lt;D4</f>
        <v>1</v>
      </c>
    </row>
    <row r="5" spans="1:20" x14ac:dyDescent="0.35">
      <c r="A5" s="111">
        <v>3</v>
      </c>
      <c r="B5" s="96" t="s">
        <v>2</v>
      </c>
      <c r="C5" s="110">
        <v>1330</v>
      </c>
      <c r="D5" s="110">
        <v>306</v>
      </c>
      <c r="E5" s="110">
        <v>382</v>
      </c>
      <c r="F5" s="127">
        <v>770</v>
      </c>
      <c r="G5" s="127">
        <v>45</v>
      </c>
      <c r="H5" s="127">
        <v>56</v>
      </c>
      <c r="I5" s="37">
        <v>1.2901685614926113</v>
      </c>
      <c r="J5" s="37">
        <v>0.2562667371595605</v>
      </c>
      <c r="K5" s="37">
        <v>0.28608094862645195</v>
      </c>
      <c r="L5" s="39">
        <v>0.74693969349572231</v>
      </c>
      <c r="M5" s="39">
        <v>3.7686284876405955E-2</v>
      </c>
      <c r="N5" s="39">
        <v>4.1938568385029608E-2</v>
      </c>
      <c r="O5" s="118">
        <f t="shared" si="1"/>
        <v>2.0371082549883335</v>
      </c>
      <c r="P5" s="118">
        <f t="shared" si="2"/>
        <v>0.29395302203596646</v>
      </c>
      <c r="Q5" s="118">
        <f t="shared" si="3"/>
        <v>0.32801951701148158</v>
      </c>
      <c r="R5" s="118">
        <f t="shared" si="4"/>
        <v>-1.709088737976852</v>
      </c>
      <c r="S5" s="123">
        <f t="shared" si="5"/>
        <v>76</v>
      </c>
      <c r="T5" s="112" t="b">
        <f t="shared" si="6"/>
        <v>0</v>
      </c>
    </row>
    <row r="6" spans="1:20" x14ac:dyDescent="0.35">
      <c r="A6" s="111">
        <v>4</v>
      </c>
      <c r="B6" s="96" t="s">
        <v>3</v>
      </c>
      <c r="C6" s="110">
        <v>0</v>
      </c>
      <c r="D6" s="110">
        <v>156</v>
      </c>
      <c r="E6" s="110">
        <v>143.6623305400519</v>
      </c>
      <c r="F6" s="127">
        <v>0</v>
      </c>
      <c r="G6" s="127">
        <v>435</v>
      </c>
      <c r="H6" s="127">
        <v>449</v>
      </c>
      <c r="I6" s="37">
        <v>0</v>
      </c>
      <c r="J6" s="37">
        <v>0.63636884672628014</v>
      </c>
      <c r="K6" s="37">
        <v>0.54618313125234497</v>
      </c>
      <c r="L6" s="39">
        <v>0</v>
      </c>
      <c r="M6" s="39">
        <v>1.7744900533713581</v>
      </c>
      <c r="N6" s="39">
        <v>1.7070322123441608</v>
      </c>
      <c r="O6" s="118">
        <f t="shared" si="1"/>
        <v>0</v>
      </c>
      <c r="P6" s="118">
        <f t="shared" si="2"/>
        <v>2.4108589000976384</v>
      </c>
      <c r="Q6" s="118">
        <f t="shared" si="3"/>
        <v>2.2532153435965059</v>
      </c>
      <c r="R6" s="118">
        <f t="shared" si="4"/>
        <v>2.2532153435965059</v>
      </c>
      <c r="S6" s="123">
        <f t="shared" si="5"/>
        <v>-12.337669459948103</v>
      </c>
      <c r="T6" s="112" t="b">
        <f t="shared" si="6"/>
        <v>1</v>
      </c>
    </row>
    <row r="7" spans="1:20" x14ac:dyDescent="0.35">
      <c r="A7" s="111">
        <v>5</v>
      </c>
      <c r="B7" s="96" t="s">
        <v>4</v>
      </c>
      <c r="C7" s="110">
        <v>207</v>
      </c>
      <c r="D7" s="110">
        <v>636</v>
      </c>
      <c r="E7" s="110">
        <v>590.71659380345943</v>
      </c>
      <c r="F7" s="127">
        <v>148</v>
      </c>
      <c r="G7" s="127">
        <v>156</v>
      </c>
      <c r="H7" s="127">
        <v>210</v>
      </c>
      <c r="I7" s="37">
        <v>0.11737084210602414</v>
      </c>
      <c r="J7" s="37">
        <v>0.31187595692836118</v>
      </c>
      <c r="K7" s="37">
        <v>0.26052870882364348</v>
      </c>
      <c r="L7" s="39">
        <v>8.3917317061311947E-2</v>
      </c>
      <c r="M7" s="39">
        <v>7.6497876227711231E-2</v>
      </c>
      <c r="N7" s="39">
        <v>9.2618066644608837E-2</v>
      </c>
      <c r="O7" s="118">
        <f t="shared" si="1"/>
        <v>0.20128815916733608</v>
      </c>
      <c r="P7" s="118">
        <f t="shared" si="2"/>
        <v>0.38837383315607243</v>
      </c>
      <c r="Q7" s="118">
        <f t="shared" si="3"/>
        <v>0.35314677546825235</v>
      </c>
      <c r="R7" s="118">
        <f t="shared" si="4"/>
        <v>0.15185861630091627</v>
      </c>
      <c r="S7" s="123">
        <f t="shared" si="5"/>
        <v>-45.283406196540568</v>
      </c>
      <c r="T7" s="112" t="b">
        <f t="shared" si="6"/>
        <v>1</v>
      </c>
    </row>
    <row r="8" spans="1:20" x14ac:dyDescent="0.35">
      <c r="A8" s="111">
        <v>6</v>
      </c>
      <c r="B8" s="96" t="s">
        <v>5</v>
      </c>
      <c r="C8" s="110">
        <v>4</v>
      </c>
      <c r="D8" s="110">
        <v>119</v>
      </c>
      <c r="E8" s="110">
        <v>123.73305776420409</v>
      </c>
      <c r="F8" s="127">
        <v>0</v>
      </c>
      <c r="G8" s="127">
        <v>0</v>
      </c>
      <c r="H8" s="127">
        <v>6</v>
      </c>
      <c r="I8" s="37">
        <v>3.9410507481715366E-3</v>
      </c>
      <c r="J8" s="37">
        <v>0.10353702938776778</v>
      </c>
      <c r="K8" s="37">
        <v>9.5994664963743481E-2</v>
      </c>
      <c r="L8" s="39">
        <v>0</v>
      </c>
      <c r="M8" s="39">
        <v>0</v>
      </c>
      <c r="N8" s="39">
        <v>4.6549240776064304E-3</v>
      </c>
      <c r="O8" s="118">
        <f t="shared" si="1"/>
        <v>3.9410507481715366E-3</v>
      </c>
      <c r="P8" s="118">
        <f t="shared" si="2"/>
        <v>0.10353702938776778</v>
      </c>
      <c r="Q8" s="118">
        <f t="shared" si="3"/>
        <v>0.10064958904134991</v>
      </c>
      <c r="R8" s="118">
        <f t="shared" si="4"/>
        <v>9.6708538293178367E-2</v>
      </c>
      <c r="S8" s="123">
        <f t="shared" si="5"/>
        <v>4.7330577642040907</v>
      </c>
      <c r="T8" s="112" t="b">
        <f t="shared" si="6"/>
        <v>0</v>
      </c>
    </row>
    <row r="9" spans="1:20" x14ac:dyDescent="0.35">
      <c r="A9" s="111">
        <v>7</v>
      </c>
      <c r="B9" s="96" t="s">
        <v>6</v>
      </c>
      <c r="C9" s="110">
        <v>162</v>
      </c>
      <c r="D9" s="110">
        <v>350</v>
      </c>
      <c r="E9" s="110">
        <v>602</v>
      </c>
      <c r="F9" s="127">
        <v>1178</v>
      </c>
      <c r="G9" s="127">
        <v>0</v>
      </c>
      <c r="H9" s="127">
        <v>369</v>
      </c>
      <c r="I9" s="37">
        <v>7.4886110706633646E-2</v>
      </c>
      <c r="J9" s="37">
        <v>0.13957153492778651</v>
      </c>
      <c r="K9" s="37">
        <v>0.21565824673463599</v>
      </c>
      <c r="L9" s="39">
        <v>0.54454221242231138</v>
      </c>
      <c r="M9" s="39">
        <v>0</v>
      </c>
      <c r="N9" s="39">
        <v>0.13218919110478519</v>
      </c>
      <c r="O9" s="118">
        <f t="shared" si="1"/>
        <v>0.61942832312894502</v>
      </c>
      <c r="P9" s="118">
        <f t="shared" si="2"/>
        <v>0.13957153492778651</v>
      </c>
      <c r="Q9" s="118">
        <f t="shared" si="3"/>
        <v>0.34784743783942118</v>
      </c>
      <c r="R9" s="118">
        <f t="shared" si="4"/>
        <v>-0.27158088528952384</v>
      </c>
      <c r="S9" s="123">
        <f t="shared" si="5"/>
        <v>252</v>
      </c>
      <c r="T9" s="112" t="b">
        <f t="shared" si="6"/>
        <v>0</v>
      </c>
    </row>
    <row r="10" spans="1:20" x14ac:dyDescent="0.35">
      <c r="A10" s="111">
        <v>8</v>
      </c>
      <c r="B10" s="96" t="s">
        <v>7</v>
      </c>
      <c r="C10" s="110">
        <v>0</v>
      </c>
      <c r="D10" s="110">
        <v>172</v>
      </c>
      <c r="E10" s="110">
        <v>28.59881255301103</v>
      </c>
      <c r="F10" s="127">
        <v>0</v>
      </c>
      <c r="G10" s="127">
        <v>92</v>
      </c>
      <c r="H10" s="127">
        <v>7.4605597964376598</v>
      </c>
      <c r="I10" s="37">
        <v>0</v>
      </c>
      <c r="J10" s="37">
        <v>3.0111965742386881</v>
      </c>
      <c r="K10" s="37">
        <v>0.48215184456888233</v>
      </c>
      <c r="L10" s="39">
        <v>0</v>
      </c>
      <c r="M10" s="39">
        <v>1.6106400280811588</v>
      </c>
      <c r="N10" s="39">
        <v>0.12577874206144757</v>
      </c>
      <c r="O10" s="118">
        <f t="shared" si="1"/>
        <v>0</v>
      </c>
      <c r="P10" s="118">
        <f t="shared" si="2"/>
        <v>4.6218366023198474</v>
      </c>
      <c r="Q10" s="118">
        <f t="shared" si="3"/>
        <v>0.60793058663032995</v>
      </c>
      <c r="R10" s="118">
        <f t="shared" si="4"/>
        <v>0.60793058663032995</v>
      </c>
      <c r="S10" s="123">
        <f t="shared" si="5"/>
        <v>-143.40118744698896</v>
      </c>
      <c r="T10" s="112" t="b">
        <f t="shared" si="6"/>
        <v>1</v>
      </c>
    </row>
    <row r="11" spans="1:20" x14ac:dyDescent="0.35">
      <c r="A11" s="111">
        <v>9</v>
      </c>
      <c r="B11" s="96" t="s">
        <v>8</v>
      </c>
      <c r="C11" s="110">
        <v>20</v>
      </c>
      <c r="D11" s="110">
        <v>36</v>
      </c>
      <c r="E11" s="110">
        <v>2.5682382133995039</v>
      </c>
      <c r="F11" s="127">
        <v>0</v>
      </c>
      <c r="G11" s="127">
        <v>0</v>
      </c>
      <c r="H11" s="127">
        <v>0</v>
      </c>
      <c r="I11" s="37">
        <v>4.164559659763796E-2</v>
      </c>
      <c r="J11" s="37">
        <v>7.0660558453946989E-2</v>
      </c>
      <c r="K11" s="37">
        <v>4.6032840227169308E-3</v>
      </c>
      <c r="L11" s="39">
        <v>0</v>
      </c>
      <c r="M11" s="39">
        <v>0</v>
      </c>
      <c r="N11" s="39">
        <v>0</v>
      </c>
      <c r="O11" s="118">
        <f t="shared" si="1"/>
        <v>4.164559659763796E-2</v>
      </c>
      <c r="P11" s="118">
        <f t="shared" si="2"/>
        <v>7.0660558453946989E-2</v>
      </c>
      <c r="Q11" s="118">
        <f t="shared" si="3"/>
        <v>4.6032840227169308E-3</v>
      </c>
      <c r="R11" s="118">
        <f t="shared" si="4"/>
        <v>-3.7042312574921028E-2</v>
      </c>
      <c r="S11" s="123">
        <f t="shared" si="5"/>
        <v>-33.431761786600497</v>
      </c>
      <c r="T11" s="112" t="b">
        <f t="shared" si="6"/>
        <v>1</v>
      </c>
    </row>
    <row r="12" spans="1:20" x14ac:dyDescent="0.35">
      <c r="A12" s="111">
        <v>10</v>
      </c>
      <c r="B12" s="96" t="s">
        <v>9</v>
      </c>
      <c r="C12" s="110">
        <v>72</v>
      </c>
      <c r="D12" s="110">
        <v>269</v>
      </c>
      <c r="E12" s="110">
        <v>188.23925427239772</v>
      </c>
      <c r="F12" s="127">
        <v>0</v>
      </c>
      <c r="G12" s="127">
        <v>171</v>
      </c>
      <c r="H12" s="127">
        <v>320</v>
      </c>
      <c r="I12" s="37">
        <v>5.4476259378570396E-2</v>
      </c>
      <c r="J12" s="37">
        <v>0.17238937440600965</v>
      </c>
      <c r="K12" s="37">
        <v>0.10620996105011717</v>
      </c>
      <c r="L12" s="39">
        <v>0</v>
      </c>
      <c r="M12" s="39">
        <v>0.10958581049601357</v>
      </c>
      <c r="N12" s="39">
        <v>0.1805531352501813</v>
      </c>
      <c r="O12" s="118">
        <f t="shared" si="1"/>
        <v>5.4476259378570396E-2</v>
      </c>
      <c r="P12" s="118">
        <f t="shared" si="2"/>
        <v>0.28197518490202322</v>
      </c>
      <c r="Q12" s="118">
        <f t="shared" si="3"/>
        <v>0.28676309630029845</v>
      </c>
      <c r="R12" s="118">
        <f t="shared" si="4"/>
        <v>0.23228683692172805</v>
      </c>
      <c r="S12" s="123">
        <f t="shared" si="5"/>
        <v>-80.760745727602284</v>
      </c>
      <c r="T12" s="112" t="b">
        <f t="shared" si="6"/>
        <v>1</v>
      </c>
    </row>
    <row r="13" spans="1:20" x14ac:dyDescent="0.35">
      <c r="A13" s="111">
        <v>11</v>
      </c>
      <c r="B13" s="96" t="s">
        <v>10</v>
      </c>
      <c r="C13" s="110">
        <v>16</v>
      </c>
      <c r="D13" s="110">
        <v>36</v>
      </c>
      <c r="E13" s="110">
        <v>40.225452551214531</v>
      </c>
      <c r="F13" s="127">
        <v>0</v>
      </c>
      <c r="G13" s="127">
        <v>19</v>
      </c>
      <c r="H13" s="127">
        <v>71</v>
      </c>
      <c r="I13" s="37">
        <v>0.22876996822242149</v>
      </c>
      <c r="J13" s="37">
        <v>0.46373018117036441</v>
      </c>
      <c r="K13" s="37">
        <v>0.48072091851874543</v>
      </c>
      <c r="L13" s="39">
        <v>0</v>
      </c>
      <c r="M13" s="39">
        <v>0.24474648450658121</v>
      </c>
      <c r="N13" s="39">
        <v>0.84849723371975838</v>
      </c>
      <c r="O13" s="118">
        <f t="shared" si="1"/>
        <v>0.22876996822242149</v>
      </c>
      <c r="P13" s="118">
        <f t="shared" si="2"/>
        <v>0.70847666567694567</v>
      </c>
      <c r="Q13" s="118">
        <f t="shared" si="3"/>
        <v>1.3292181522385038</v>
      </c>
      <c r="R13" s="118">
        <f t="shared" si="4"/>
        <v>1.1004481840160822</v>
      </c>
      <c r="S13" s="123">
        <f t="shared" si="5"/>
        <v>4.2254525512145307</v>
      </c>
      <c r="T13" s="112" t="b">
        <f t="shared" si="6"/>
        <v>0</v>
      </c>
    </row>
    <row r="14" spans="1:20" x14ac:dyDescent="0.35">
      <c r="A14" s="111">
        <v>12</v>
      </c>
      <c r="B14" s="96" t="s">
        <v>11</v>
      </c>
      <c r="C14" s="110">
        <v>0</v>
      </c>
      <c r="D14" s="110">
        <v>157</v>
      </c>
      <c r="E14" s="110">
        <v>32.180362040971623</v>
      </c>
      <c r="F14" s="127">
        <v>0</v>
      </c>
      <c r="G14" s="127">
        <v>84</v>
      </c>
      <c r="H14" s="127">
        <v>91.943891545633221</v>
      </c>
      <c r="I14" s="37">
        <v>0</v>
      </c>
      <c r="J14" s="37">
        <v>0.28854661093735023</v>
      </c>
      <c r="K14" s="37">
        <v>5.3899625957840876E-2</v>
      </c>
      <c r="L14" s="39">
        <v>0</v>
      </c>
      <c r="M14" s="39">
        <v>0.15438162623399632</v>
      </c>
      <c r="N14" s="39">
        <v>0.15399893130811684</v>
      </c>
      <c r="O14" s="118">
        <f t="shared" si="1"/>
        <v>0</v>
      </c>
      <c r="P14" s="118">
        <f t="shared" si="2"/>
        <v>0.44292823717134655</v>
      </c>
      <c r="Q14" s="118">
        <f t="shared" si="3"/>
        <v>0.20789855726595771</v>
      </c>
      <c r="R14" s="118">
        <f t="shared" si="4"/>
        <v>0.20789855726595771</v>
      </c>
      <c r="S14" s="123">
        <f t="shared" si="5"/>
        <v>-124.81963795902837</v>
      </c>
      <c r="T14" s="112" t="b">
        <f t="shared" si="6"/>
        <v>1</v>
      </c>
    </row>
    <row r="15" spans="1:20" x14ac:dyDescent="0.35">
      <c r="A15" s="111">
        <v>13</v>
      </c>
      <c r="B15" s="96" t="s">
        <v>12</v>
      </c>
      <c r="C15" s="110">
        <v>2430</v>
      </c>
      <c r="D15" s="110">
        <v>2495</v>
      </c>
      <c r="E15" s="110">
        <v>1491.4027181313502</v>
      </c>
      <c r="F15" s="127">
        <v>2310</v>
      </c>
      <c r="G15" s="127">
        <v>217</v>
      </c>
      <c r="H15" s="127">
        <v>256.69582067665237</v>
      </c>
      <c r="I15" s="37">
        <v>1.0814771776605534</v>
      </c>
      <c r="J15" s="37">
        <v>0.97866208733874671</v>
      </c>
      <c r="K15" s="37">
        <v>0.52960723967989964</v>
      </c>
      <c r="L15" s="39">
        <v>1.0280708972822545</v>
      </c>
      <c r="M15" s="39">
        <v>8.5118105391786783E-2</v>
      </c>
      <c r="N15" s="39">
        <v>9.1154430237504247E-2</v>
      </c>
      <c r="O15" s="118">
        <f t="shared" si="1"/>
        <v>2.1095480749428077</v>
      </c>
      <c r="P15" s="118">
        <f t="shared" si="2"/>
        <v>1.0637801927305335</v>
      </c>
      <c r="Q15" s="118">
        <f t="shared" si="3"/>
        <v>0.62076166991740389</v>
      </c>
      <c r="R15" s="118">
        <f t="shared" si="4"/>
        <v>-1.4887864050254038</v>
      </c>
      <c r="S15" s="123">
        <f t="shared" si="5"/>
        <v>-1003.5972818686498</v>
      </c>
      <c r="T15" s="112" t="b">
        <f t="shared" si="6"/>
        <v>1</v>
      </c>
    </row>
    <row r="16" spans="1:20" x14ac:dyDescent="0.35">
      <c r="A16" s="111">
        <v>14</v>
      </c>
      <c r="B16" s="96" t="s">
        <v>13</v>
      </c>
      <c r="C16" s="110">
        <v>283</v>
      </c>
      <c r="D16" s="110">
        <v>1687</v>
      </c>
      <c r="E16" s="110">
        <v>927.90281336773774</v>
      </c>
      <c r="F16" s="127">
        <v>0</v>
      </c>
      <c r="G16" s="127">
        <v>226</v>
      </c>
      <c r="H16" s="127">
        <v>378</v>
      </c>
      <c r="I16" s="37">
        <v>3.8524355989498014E-2</v>
      </c>
      <c r="J16" s="37">
        <v>0.19371354199470178</v>
      </c>
      <c r="K16" s="37">
        <v>9.3717889763506174E-2</v>
      </c>
      <c r="L16" s="39">
        <v>0</v>
      </c>
      <c r="M16" s="39">
        <v>2.5950954647778662E-2</v>
      </c>
      <c r="N16" s="39">
        <v>3.8177880075643107E-2</v>
      </c>
      <c r="O16" s="118">
        <f t="shared" si="1"/>
        <v>3.8524355989498014E-2</v>
      </c>
      <c r="P16" s="118">
        <f t="shared" si="2"/>
        <v>0.21966449664248044</v>
      </c>
      <c r="Q16" s="118">
        <f t="shared" si="3"/>
        <v>0.13189576983914927</v>
      </c>
      <c r="R16" s="118">
        <f t="shared" si="4"/>
        <v>9.3371413849651252E-2</v>
      </c>
      <c r="S16" s="123">
        <f t="shared" si="5"/>
        <v>-759.09718663226226</v>
      </c>
      <c r="T16" s="112" t="b">
        <f t="shared" si="6"/>
        <v>1</v>
      </c>
    </row>
    <row r="17" spans="1:20" x14ac:dyDescent="0.35">
      <c r="A17" s="111">
        <v>15</v>
      </c>
      <c r="B17" s="96" t="s">
        <v>14</v>
      </c>
      <c r="C17" s="110">
        <v>0</v>
      </c>
      <c r="D17" s="110">
        <v>10</v>
      </c>
      <c r="E17" s="110">
        <v>14</v>
      </c>
      <c r="F17" s="127">
        <v>0</v>
      </c>
      <c r="G17" s="127">
        <v>0</v>
      </c>
      <c r="H17" s="127">
        <v>91</v>
      </c>
      <c r="I17" s="37">
        <v>0</v>
      </c>
      <c r="J17" s="37">
        <v>6.6573840541671384E-2</v>
      </c>
      <c r="K17" s="37">
        <v>8.3586680581858822E-2</v>
      </c>
      <c r="L17" s="39">
        <v>0</v>
      </c>
      <c r="M17" s="39">
        <v>0</v>
      </c>
      <c r="N17" s="39">
        <v>0.54331342378208236</v>
      </c>
      <c r="O17" s="118">
        <f t="shared" si="1"/>
        <v>0</v>
      </c>
      <c r="P17" s="118">
        <f t="shared" si="2"/>
        <v>6.6573840541671384E-2</v>
      </c>
      <c r="Q17" s="118">
        <f t="shared" si="3"/>
        <v>0.62690010436394117</v>
      </c>
      <c r="R17" s="118">
        <f t="shared" si="4"/>
        <v>0.62690010436394117</v>
      </c>
      <c r="S17" s="123">
        <f t="shared" si="5"/>
        <v>4</v>
      </c>
      <c r="T17" s="112" t="b">
        <f t="shared" si="6"/>
        <v>0</v>
      </c>
    </row>
    <row r="18" spans="1:20" x14ac:dyDescent="0.35">
      <c r="A18" s="111">
        <v>16</v>
      </c>
      <c r="B18" s="96" t="s">
        <v>15</v>
      </c>
      <c r="C18" s="110">
        <v>0</v>
      </c>
      <c r="D18" s="110">
        <v>451</v>
      </c>
      <c r="E18" s="110">
        <v>228.71043021976263</v>
      </c>
      <c r="F18" s="127">
        <v>0</v>
      </c>
      <c r="G18" s="127">
        <v>300</v>
      </c>
      <c r="H18" s="127">
        <v>330.99800956427958</v>
      </c>
      <c r="I18" s="37">
        <v>0</v>
      </c>
      <c r="J18" s="37">
        <v>1.3090013872222024</v>
      </c>
      <c r="K18" s="37">
        <v>0.62081562065840779</v>
      </c>
      <c r="L18" s="39">
        <v>0</v>
      </c>
      <c r="M18" s="39">
        <v>0.87073263008128765</v>
      </c>
      <c r="N18" s="39">
        <v>0.89846682788754495</v>
      </c>
      <c r="O18" s="118">
        <f t="shared" si="1"/>
        <v>0</v>
      </c>
      <c r="P18" s="118">
        <f t="shared" si="2"/>
        <v>2.17973401730349</v>
      </c>
      <c r="Q18" s="118">
        <f t="shared" si="3"/>
        <v>1.5192824485459528</v>
      </c>
      <c r="R18" s="118">
        <f t="shared" si="4"/>
        <v>1.5192824485459528</v>
      </c>
      <c r="S18" s="123">
        <f t="shared" si="5"/>
        <v>-222.28956978023737</v>
      </c>
      <c r="T18" s="112" t="b">
        <f t="shared" si="6"/>
        <v>1</v>
      </c>
    </row>
    <row r="19" spans="1:20" x14ac:dyDescent="0.35">
      <c r="A19" s="111">
        <v>17</v>
      </c>
      <c r="B19" s="96" t="s">
        <v>16</v>
      </c>
      <c r="C19" s="110">
        <v>0</v>
      </c>
      <c r="D19" s="110">
        <v>281</v>
      </c>
      <c r="E19" s="110">
        <v>60.196904794804482</v>
      </c>
      <c r="F19" s="127">
        <v>0</v>
      </c>
      <c r="G19" s="127">
        <v>171</v>
      </c>
      <c r="H19" s="127">
        <v>114.66077103772281</v>
      </c>
      <c r="I19" s="37">
        <v>0</v>
      </c>
      <c r="J19" s="37">
        <v>2.4215213789745591</v>
      </c>
      <c r="K19" s="37">
        <v>0.5009435181674553</v>
      </c>
      <c r="L19" s="39">
        <v>0</v>
      </c>
      <c r="M19" s="39">
        <v>1.4735948605147673</v>
      </c>
      <c r="N19" s="39">
        <v>0.95417812984277195</v>
      </c>
      <c r="O19" s="118">
        <f t="shared" si="1"/>
        <v>0</v>
      </c>
      <c r="P19" s="118">
        <f t="shared" si="2"/>
        <v>3.8951162394893264</v>
      </c>
      <c r="Q19" s="118">
        <f t="shared" si="3"/>
        <v>1.4551216480102274</v>
      </c>
      <c r="R19" s="118">
        <f t="shared" si="4"/>
        <v>1.4551216480102274</v>
      </c>
      <c r="S19" s="123">
        <f t="shared" si="5"/>
        <v>-220.80309520519552</v>
      </c>
      <c r="T19" s="112" t="b">
        <f t="shared" si="6"/>
        <v>1</v>
      </c>
    </row>
    <row r="20" spans="1:20" x14ac:dyDescent="0.35">
      <c r="A20" s="111">
        <v>18</v>
      </c>
      <c r="B20" s="96" t="s">
        <v>17</v>
      </c>
      <c r="C20" s="110">
        <v>0</v>
      </c>
      <c r="D20" s="110">
        <v>10752</v>
      </c>
      <c r="E20" s="110">
        <v>22344</v>
      </c>
      <c r="F20" s="127">
        <v>0</v>
      </c>
      <c r="G20" s="127">
        <v>6845</v>
      </c>
      <c r="H20" s="127">
        <v>13620</v>
      </c>
      <c r="I20" s="37">
        <v>0</v>
      </c>
      <c r="J20" s="37">
        <v>0.96752041524766808</v>
      </c>
      <c r="K20" s="37">
        <v>1.8109915442524032</v>
      </c>
      <c r="L20" s="39">
        <v>0</v>
      </c>
      <c r="M20" s="39">
        <v>0.61594840423830799</v>
      </c>
      <c r="N20" s="39">
        <v>1.1039073054384949</v>
      </c>
      <c r="O20" s="118">
        <f t="shared" si="1"/>
        <v>0</v>
      </c>
      <c r="P20" s="118">
        <f t="shared" si="2"/>
        <v>1.5834688194859761</v>
      </c>
      <c r="Q20" s="118">
        <f t="shared" si="3"/>
        <v>2.9148988496908981</v>
      </c>
      <c r="R20" s="118">
        <f t="shared" si="4"/>
        <v>2.9148988496908981</v>
      </c>
      <c r="S20" s="123">
        <f t="shared" si="5"/>
        <v>11592</v>
      </c>
      <c r="T20" s="112" t="b">
        <f t="shared" si="6"/>
        <v>0</v>
      </c>
    </row>
    <row r="21" spans="1:20" x14ac:dyDescent="0.35">
      <c r="A21" s="111">
        <v>19</v>
      </c>
      <c r="B21" s="96" t="s">
        <v>18</v>
      </c>
      <c r="C21" s="110">
        <v>0</v>
      </c>
      <c r="D21" s="110">
        <v>227</v>
      </c>
      <c r="E21" s="110">
        <v>186.64222105814565</v>
      </c>
      <c r="F21" s="127">
        <v>0</v>
      </c>
      <c r="G21" s="127">
        <v>106</v>
      </c>
      <c r="H21" s="127">
        <v>233</v>
      </c>
      <c r="I21" s="37">
        <v>0</v>
      </c>
      <c r="J21" s="37">
        <v>1.0355785085981528</v>
      </c>
      <c r="K21" s="37">
        <v>0.78125913353912002</v>
      </c>
      <c r="L21" s="39">
        <v>0</v>
      </c>
      <c r="M21" s="39">
        <v>0.4835741053365824</v>
      </c>
      <c r="N21" s="39">
        <v>0.97530653612349116</v>
      </c>
      <c r="O21" s="118">
        <f t="shared" si="1"/>
        <v>0</v>
      </c>
      <c r="P21" s="118">
        <f t="shared" si="2"/>
        <v>1.5191526139347351</v>
      </c>
      <c r="Q21" s="118">
        <f t="shared" si="3"/>
        <v>1.7565656696626113</v>
      </c>
      <c r="R21" s="118">
        <f t="shared" si="4"/>
        <v>1.7565656696626113</v>
      </c>
      <c r="S21" s="123">
        <f t="shared" si="5"/>
        <v>-40.357778941854349</v>
      </c>
      <c r="T21" s="112" t="b">
        <f t="shared" si="6"/>
        <v>1</v>
      </c>
    </row>
    <row r="22" spans="1:20" x14ac:dyDescent="0.35">
      <c r="A22" s="111">
        <v>20</v>
      </c>
      <c r="B22" s="96" t="s">
        <v>19</v>
      </c>
      <c r="C22" s="110">
        <v>5</v>
      </c>
      <c r="D22" s="110">
        <v>78</v>
      </c>
      <c r="E22" s="110">
        <v>4.0723751274209992</v>
      </c>
      <c r="F22" s="127">
        <v>99</v>
      </c>
      <c r="G22" s="127">
        <v>76</v>
      </c>
      <c r="H22" s="127">
        <v>94</v>
      </c>
      <c r="I22" s="37">
        <v>2.3530856836149232E-2</v>
      </c>
      <c r="J22" s="37">
        <v>0.31902943066948514</v>
      </c>
      <c r="K22" s="37">
        <v>1.5049472161857832E-2</v>
      </c>
      <c r="L22" s="39">
        <v>0.46591096535575477</v>
      </c>
      <c r="M22" s="39">
        <v>0.31084918885744706</v>
      </c>
      <c r="N22" s="39">
        <v>0.34737722801841253</v>
      </c>
      <c r="O22" s="118">
        <f t="shared" si="1"/>
        <v>0.48944182219190402</v>
      </c>
      <c r="P22" s="118">
        <f t="shared" si="2"/>
        <v>0.62987861952693214</v>
      </c>
      <c r="Q22" s="118">
        <f t="shared" si="3"/>
        <v>0.36242670018027034</v>
      </c>
      <c r="R22" s="118">
        <f t="shared" si="4"/>
        <v>-0.12701512201163367</v>
      </c>
      <c r="S22" s="123">
        <f t="shared" si="5"/>
        <v>-73.927624872579003</v>
      </c>
      <c r="T22" s="112" t="b">
        <f t="shared" si="6"/>
        <v>1</v>
      </c>
    </row>
    <row r="23" spans="1:20" x14ac:dyDescent="0.35">
      <c r="A23" s="111">
        <v>21</v>
      </c>
      <c r="B23" s="96" t="s">
        <v>20</v>
      </c>
      <c r="C23" s="110">
        <v>0</v>
      </c>
      <c r="D23" s="110">
        <v>918</v>
      </c>
      <c r="E23" s="110">
        <v>5736</v>
      </c>
      <c r="F23" s="127">
        <v>0</v>
      </c>
      <c r="G23" s="127">
        <v>1352</v>
      </c>
      <c r="H23" s="127">
        <v>1507</v>
      </c>
      <c r="I23" s="37">
        <v>0</v>
      </c>
      <c r="J23" s="37">
        <v>0.29736992337428181</v>
      </c>
      <c r="K23" s="37">
        <v>1.7134729924349534</v>
      </c>
      <c r="L23" s="39">
        <v>0</v>
      </c>
      <c r="M23" s="39">
        <v>0.43795657560133877</v>
      </c>
      <c r="N23" s="39">
        <v>0.45017499993017346</v>
      </c>
      <c r="O23" s="118">
        <f t="shared" si="1"/>
        <v>0</v>
      </c>
      <c r="P23" s="118">
        <f t="shared" si="2"/>
        <v>0.73532649897562052</v>
      </c>
      <c r="Q23" s="118">
        <f t="shared" si="3"/>
        <v>2.1636479923651271</v>
      </c>
      <c r="R23" s="118">
        <f t="shared" si="4"/>
        <v>2.1636479923651271</v>
      </c>
      <c r="S23" s="123">
        <f t="shared" si="5"/>
        <v>4818</v>
      </c>
      <c r="T23" s="112" t="b">
        <f t="shared" si="6"/>
        <v>0</v>
      </c>
    </row>
    <row r="24" spans="1:20" x14ac:dyDescent="0.35">
      <c r="A24" s="111">
        <v>22</v>
      </c>
      <c r="B24" s="96" t="s">
        <v>21</v>
      </c>
      <c r="C24" s="110">
        <v>142</v>
      </c>
      <c r="D24" s="110">
        <v>255</v>
      </c>
      <c r="E24" s="110">
        <v>255</v>
      </c>
      <c r="F24" s="127">
        <v>0</v>
      </c>
      <c r="G24" s="127">
        <v>0</v>
      </c>
      <c r="H24" s="127">
        <v>0</v>
      </c>
      <c r="I24" s="37">
        <v>0.12844366976227967</v>
      </c>
      <c r="J24" s="37">
        <v>0.20310852418996639</v>
      </c>
      <c r="K24" s="37">
        <v>0.18399143884227384</v>
      </c>
      <c r="L24" s="39">
        <v>0</v>
      </c>
      <c r="M24" s="39">
        <v>0</v>
      </c>
      <c r="N24" s="39">
        <v>0</v>
      </c>
      <c r="O24" s="118">
        <f t="shared" si="1"/>
        <v>0.12844366976227967</v>
      </c>
      <c r="P24" s="118">
        <f t="shared" si="2"/>
        <v>0.20310852418996639</v>
      </c>
      <c r="Q24" s="118">
        <f t="shared" si="3"/>
        <v>0.18399143884227384</v>
      </c>
      <c r="R24" s="118">
        <f t="shared" si="4"/>
        <v>5.5547769079994175E-2</v>
      </c>
      <c r="S24" s="123">
        <f t="shared" si="5"/>
        <v>0</v>
      </c>
      <c r="T24" s="112" t="b">
        <f t="shared" si="6"/>
        <v>0</v>
      </c>
    </row>
    <row r="25" spans="1:20" x14ac:dyDescent="0.35">
      <c r="A25" s="111">
        <v>23</v>
      </c>
      <c r="B25" s="96" t="s">
        <v>22</v>
      </c>
      <c r="C25" s="110">
        <v>0</v>
      </c>
      <c r="D25" s="110">
        <v>13</v>
      </c>
      <c r="E25" s="110">
        <v>2.4240811153358681</v>
      </c>
      <c r="F25" s="127">
        <v>0</v>
      </c>
      <c r="G25" s="127">
        <v>69</v>
      </c>
      <c r="H25" s="127">
        <v>80</v>
      </c>
      <c r="I25" s="37">
        <v>0</v>
      </c>
      <c r="J25" s="37">
        <v>6.7534063792157206E-2</v>
      </c>
      <c r="K25" s="37">
        <v>1.1512731925631708E-2</v>
      </c>
      <c r="L25" s="39">
        <v>0</v>
      </c>
      <c r="M25" s="39">
        <v>0.35845003089683442</v>
      </c>
      <c r="N25" s="39">
        <v>0.37994543508620388</v>
      </c>
      <c r="O25" s="118">
        <f t="shared" si="1"/>
        <v>0</v>
      </c>
      <c r="P25" s="118">
        <f t="shared" si="2"/>
        <v>0.42598409468899162</v>
      </c>
      <c r="Q25" s="118">
        <f t="shared" si="3"/>
        <v>0.39145816701183556</v>
      </c>
      <c r="R25" s="118">
        <f t="shared" si="4"/>
        <v>0.39145816701183556</v>
      </c>
      <c r="S25" s="123">
        <f t="shared" si="5"/>
        <v>-10.575918884664132</v>
      </c>
      <c r="T25" s="112" t="b">
        <f t="shared" si="6"/>
        <v>1</v>
      </c>
    </row>
    <row r="26" spans="1:20" x14ac:dyDescent="0.35">
      <c r="A26" s="111">
        <v>24</v>
      </c>
      <c r="B26" s="96" t="s">
        <v>23</v>
      </c>
      <c r="C26" s="110">
        <v>2202</v>
      </c>
      <c r="D26" s="110">
        <v>964</v>
      </c>
      <c r="E26" s="110">
        <v>1337</v>
      </c>
      <c r="F26" s="127">
        <v>0</v>
      </c>
      <c r="G26" s="127">
        <v>1331</v>
      </c>
      <c r="H26" s="127">
        <v>6240</v>
      </c>
      <c r="I26" s="37">
        <v>0.49160160498770678</v>
      </c>
      <c r="J26" s="37">
        <v>0.19298022809462215</v>
      </c>
      <c r="K26" s="37">
        <v>0.24746662749648163</v>
      </c>
      <c r="L26" s="39">
        <v>0</v>
      </c>
      <c r="M26" s="39">
        <v>0.26644884190242957</v>
      </c>
      <c r="N26" s="39">
        <v>1.1549676556305499</v>
      </c>
      <c r="O26" s="118">
        <f t="shared" si="1"/>
        <v>0.49160160498770678</v>
      </c>
      <c r="P26" s="118">
        <f t="shared" si="2"/>
        <v>0.45942906999705169</v>
      </c>
      <c r="Q26" s="118">
        <f t="shared" si="3"/>
        <v>1.4024342831270316</v>
      </c>
      <c r="R26" s="118">
        <f t="shared" si="4"/>
        <v>0.91083267813932478</v>
      </c>
      <c r="S26" s="123">
        <f t="shared" si="5"/>
        <v>373</v>
      </c>
      <c r="T26" s="112" t="b">
        <f t="shared" si="6"/>
        <v>0</v>
      </c>
    </row>
    <row r="27" spans="1:20" x14ac:dyDescent="0.35">
      <c r="A27" s="111">
        <v>25</v>
      </c>
      <c r="B27" s="96" t="s">
        <v>24</v>
      </c>
      <c r="C27" s="110">
        <v>0</v>
      </c>
      <c r="D27" s="110">
        <v>398</v>
      </c>
      <c r="E27" s="110">
        <v>256.80610832894047</v>
      </c>
      <c r="F27" s="127">
        <v>0</v>
      </c>
      <c r="G27" s="127">
        <v>301</v>
      </c>
      <c r="H27" s="127">
        <v>347</v>
      </c>
      <c r="I27" s="37">
        <v>0</v>
      </c>
      <c r="J27" s="37">
        <v>1.8107230289847622</v>
      </c>
      <c r="K27" s="37">
        <v>1.1137274192211868</v>
      </c>
      <c r="L27" s="39">
        <v>0</v>
      </c>
      <c r="M27" s="39">
        <v>1.3694161601115915</v>
      </c>
      <c r="N27" s="39">
        <v>1.5048840426129373</v>
      </c>
      <c r="O27" s="118">
        <f t="shared" si="1"/>
        <v>0</v>
      </c>
      <c r="P27" s="118">
        <f t="shared" si="2"/>
        <v>3.1801391890963537</v>
      </c>
      <c r="Q27" s="118">
        <f t="shared" si="3"/>
        <v>2.6186114618341243</v>
      </c>
      <c r="R27" s="118">
        <f t="shared" si="4"/>
        <v>2.6186114618341243</v>
      </c>
      <c r="S27" s="123">
        <f t="shared" si="5"/>
        <v>-141.19389167105953</v>
      </c>
      <c r="T27" s="112" t="b">
        <f t="shared" si="6"/>
        <v>1</v>
      </c>
    </row>
    <row r="28" spans="1:20" x14ac:dyDescent="0.35">
      <c r="A28" s="111">
        <v>26</v>
      </c>
      <c r="B28" s="96" t="s">
        <v>25</v>
      </c>
      <c r="C28" s="110">
        <v>0</v>
      </c>
      <c r="D28" s="110">
        <v>109</v>
      </c>
      <c r="E28" s="110">
        <v>170</v>
      </c>
      <c r="F28" s="127">
        <v>0</v>
      </c>
      <c r="G28" s="127">
        <v>962</v>
      </c>
      <c r="H28" s="127">
        <v>574.83619008935818</v>
      </c>
      <c r="I28" s="37">
        <v>0</v>
      </c>
      <c r="J28" s="37">
        <v>0.22293164936083043</v>
      </c>
      <c r="K28" s="37">
        <v>0.32059254554441408</v>
      </c>
      <c r="L28" s="39">
        <v>0</v>
      </c>
      <c r="M28" s="39">
        <v>1.9675251989460447</v>
      </c>
      <c r="N28" s="39">
        <v>1.0840482203047062</v>
      </c>
      <c r="O28" s="118">
        <f t="shared" si="1"/>
        <v>0</v>
      </c>
      <c r="P28" s="118">
        <f t="shared" si="2"/>
        <v>2.1904568483068751</v>
      </c>
      <c r="Q28" s="118">
        <f t="shared" si="3"/>
        <v>1.4046407658491202</v>
      </c>
      <c r="R28" s="118">
        <f t="shared" si="4"/>
        <v>1.4046407658491202</v>
      </c>
      <c r="S28" s="123">
        <f t="shared" si="5"/>
        <v>61</v>
      </c>
      <c r="T28" s="112" t="b">
        <f t="shared" si="6"/>
        <v>0</v>
      </c>
    </row>
    <row r="29" spans="1:20" x14ac:dyDescent="0.35">
      <c r="A29" s="111">
        <v>27</v>
      </c>
      <c r="B29" s="96" t="s">
        <v>26</v>
      </c>
      <c r="C29" s="110">
        <v>17</v>
      </c>
      <c r="D29" s="110">
        <v>319</v>
      </c>
      <c r="E29" s="110">
        <v>30.094339949726965</v>
      </c>
      <c r="F29" s="127">
        <v>0</v>
      </c>
      <c r="G29" s="127">
        <v>10</v>
      </c>
      <c r="H29" s="127">
        <v>10</v>
      </c>
      <c r="I29" s="37">
        <v>7.2070319774101095E-3</v>
      </c>
      <c r="J29" s="37">
        <v>0.11882350132182765</v>
      </c>
      <c r="K29" s="37">
        <v>1.0162984807203988E-2</v>
      </c>
      <c r="L29" s="39">
        <v>0</v>
      </c>
      <c r="M29" s="39">
        <v>3.7248746495870733E-3</v>
      </c>
      <c r="N29" s="39">
        <v>3.3770419368497205E-3</v>
      </c>
      <c r="O29" s="118">
        <f t="shared" si="1"/>
        <v>7.2070319774101095E-3</v>
      </c>
      <c r="P29" s="118">
        <f t="shared" si="2"/>
        <v>0.12254837597141471</v>
      </c>
      <c r="Q29" s="118">
        <f t="shared" si="3"/>
        <v>1.3540026744053708E-2</v>
      </c>
      <c r="R29" s="118">
        <f t="shared" si="4"/>
        <v>6.3329947666435982E-3</v>
      </c>
      <c r="S29" s="123">
        <f t="shared" si="5"/>
        <v>-288.90566005027301</v>
      </c>
      <c r="T29" s="112" t="b">
        <f t="shared" si="6"/>
        <v>1</v>
      </c>
    </row>
    <row r="30" spans="1:20" x14ac:dyDescent="0.35">
      <c r="A30" s="111">
        <v>28</v>
      </c>
      <c r="B30" s="96" t="s">
        <v>27</v>
      </c>
      <c r="C30" s="110">
        <v>170</v>
      </c>
      <c r="D30" s="110">
        <v>387</v>
      </c>
      <c r="E30" s="110">
        <v>122.98752916224815</v>
      </c>
      <c r="F30" s="127">
        <v>0</v>
      </c>
      <c r="G30" s="127">
        <v>276</v>
      </c>
      <c r="H30" s="127">
        <v>710</v>
      </c>
      <c r="I30" s="37">
        <v>0.10608572956295084</v>
      </c>
      <c r="J30" s="37">
        <v>0.21069385078291294</v>
      </c>
      <c r="K30" s="37">
        <v>6.0272296762585401E-2</v>
      </c>
      <c r="L30" s="39">
        <v>0</v>
      </c>
      <c r="M30" s="39">
        <v>0.15026228117851154</v>
      </c>
      <c r="N30" s="39">
        <v>0.34794853586319002</v>
      </c>
      <c r="O30" s="118">
        <f t="shared" si="1"/>
        <v>0.10608572956295084</v>
      </c>
      <c r="P30" s="118">
        <f t="shared" si="2"/>
        <v>0.36095613196142451</v>
      </c>
      <c r="Q30" s="118">
        <f t="shared" si="3"/>
        <v>0.40822083262577541</v>
      </c>
      <c r="R30" s="118">
        <f t="shared" si="4"/>
        <v>0.30213510306282454</v>
      </c>
      <c r="S30" s="123">
        <f t="shared" si="5"/>
        <v>-264.01247083775183</v>
      </c>
      <c r="T30" s="112" t="b">
        <f t="shared" si="6"/>
        <v>1</v>
      </c>
    </row>
    <row r="31" spans="1:20" x14ac:dyDescent="0.35">
      <c r="A31" s="111">
        <v>29</v>
      </c>
      <c r="B31" s="96" t="s">
        <v>28</v>
      </c>
      <c r="C31" s="110">
        <v>0</v>
      </c>
      <c r="D31" s="110">
        <v>1340</v>
      </c>
      <c r="E31" s="110">
        <v>1721</v>
      </c>
      <c r="F31" s="127">
        <v>0</v>
      </c>
      <c r="G31" s="127">
        <v>84</v>
      </c>
      <c r="H31" s="127">
        <v>84</v>
      </c>
      <c r="I31" s="37">
        <v>0</v>
      </c>
      <c r="J31" s="37">
        <v>0.67220827139235084</v>
      </c>
      <c r="K31" s="37">
        <v>0.7617204534179719</v>
      </c>
      <c r="L31" s="39">
        <v>0</v>
      </c>
      <c r="M31" s="39">
        <v>4.213842895295334E-2</v>
      </c>
      <c r="N31" s="39">
        <v>3.7178685698494855E-2</v>
      </c>
      <c r="O31" s="118">
        <f t="shared" si="1"/>
        <v>0</v>
      </c>
      <c r="P31" s="118">
        <f t="shared" si="2"/>
        <v>0.71434670034530423</v>
      </c>
      <c r="Q31" s="118">
        <f t="shared" si="3"/>
        <v>0.79889913911646671</v>
      </c>
      <c r="R31" s="118">
        <f t="shared" si="4"/>
        <v>0.79889913911646671</v>
      </c>
      <c r="S31" s="123">
        <f t="shared" si="5"/>
        <v>381</v>
      </c>
      <c r="T31" s="112" t="b">
        <f t="shared" si="6"/>
        <v>0</v>
      </c>
    </row>
    <row r="32" spans="1:20" x14ac:dyDescent="0.35">
      <c r="A32" s="111">
        <v>30</v>
      </c>
      <c r="B32" s="96" t="s">
        <v>29</v>
      </c>
      <c r="C32" s="110">
        <v>0</v>
      </c>
      <c r="D32" s="110">
        <v>87</v>
      </c>
      <c r="E32" s="110">
        <v>96.787074254283908</v>
      </c>
      <c r="F32" s="127">
        <v>0</v>
      </c>
      <c r="G32" s="127">
        <v>13</v>
      </c>
      <c r="H32" s="127">
        <v>13</v>
      </c>
      <c r="I32" s="37">
        <v>0</v>
      </c>
      <c r="J32" s="37">
        <v>0.20371312836280339</v>
      </c>
      <c r="K32" s="37">
        <v>0.20435860149857071</v>
      </c>
      <c r="L32" s="39">
        <v>0</v>
      </c>
      <c r="M32" s="39">
        <v>3.0439892743867172E-2</v>
      </c>
      <c r="N32" s="39">
        <v>2.7448518719573059E-2</v>
      </c>
      <c r="O32" s="118">
        <f t="shared" si="1"/>
        <v>0</v>
      </c>
      <c r="P32" s="118">
        <f t="shared" si="2"/>
        <v>0.23415302110667058</v>
      </c>
      <c r="Q32" s="118">
        <f t="shared" si="3"/>
        <v>0.23180712021814376</v>
      </c>
      <c r="R32" s="118">
        <f t="shared" si="4"/>
        <v>0.23180712021814376</v>
      </c>
      <c r="S32" s="123">
        <f t="shared" si="5"/>
        <v>9.7870742542839082</v>
      </c>
      <c r="T32" s="112" t="b">
        <f t="shared" si="6"/>
        <v>0</v>
      </c>
    </row>
    <row r="33" spans="1:20" x14ac:dyDescent="0.35">
      <c r="A33" s="111">
        <v>31</v>
      </c>
      <c r="B33" s="96" t="s">
        <v>30</v>
      </c>
      <c r="C33" s="110">
        <v>460</v>
      </c>
      <c r="D33" s="110">
        <v>748</v>
      </c>
      <c r="E33" s="110">
        <v>41.271988720290047</v>
      </c>
      <c r="F33" s="127">
        <v>0</v>
      </c>
      <c r="G33" s="127">
        <v>217</v>
      </c>
      <c r="H33" s="127">
        <v>314</v>
      </c>
      <c r="I33" s="37">
        <v>3.5639810132785414</v>
      </c>
      <c r="J33" s="37">
        <v>5.7743606806180248</v>
      </c>
      <c r="K33" s="37">
        <v>0.31760656637665147</v>
      </c>
      <c r="L33" s="39">
        <v>0</v>
      </c>
      <c r="M33" s="39">
        <v>1.6751821760616461</v>
      </c>
      <c r="N33" s="39">
        <v>2.4163716102500357</v>
      </c>
      <c r="O33" s="118">
        <f t="shared" si="1"/>
        <v>3.5639810132785414</v>
      </c>
      <c r="P33" s="118">
        <f t="shared" si="2"/>
        <v>7.4495428566796704</v>
      </c>
      <c r="Q33" s="118">
        <f t="shared" si="3"/>
        <v>2.7339781766266871</v>
      </c>
      <c r="R33" s="118">
        <f t="shared" si="4"/>
        <v>-0.83000283665185437</v>
      </c>
      <c r="S33" s="123">
        <f t="shared" si="5"/>
        <v>-706.7280112797099</v>
      </c>
      <c r="T33" s="112" t="b">
        <f t="shared" si="6"/>
        <v>1</v>
      </c>
    </row>
    <row r="34" spans="1:20" x14ac:dyDescent="0.35">
      <c r="A34" s="111">
        <v>32</v>
      </c>
      <c r="B34" s="96" t="s">
        <v>31</v>
      </c>
      <c r="C34" s="110">
        <v>103</v>
      </c>
      <c r="D34" s="110">
        <v>305</v>
      </c>
      <c r="E34" s="110">
        <v>498</v>
      </c>
      <c r="F34" s="127">
        <v>1388</v>
      </c>
      <c r="G34" s="127">
        <v>2051</v>
      </c>
      <c r="H34" s="127">
        <v>3299</v>
      </c>
      <c r="I34" s="37">
        <v>4.0789282920842149E-2</v>
      </c>
      <c r="J34" s="37">
        <v>0.1036573067687185</v>
      </c>
      <c r="K34" s="37">
        <v>0.15104861176544021</v>
      </c>
      <c r="L34" s="39">
        <v>0.5496652882925136</v>
      </c>
      <c r="M34" s="39">
        <v>0.69705290551685783</v>
      </c>
      <c r="N34" s="39">
        <v>1.0006212253296933</v>
      </c>
      <c r="O34" s="118">
        <f t="shared" si="1"/>
        <v>0.59045457121335576</v>
      </c>
      <c r="P34" s="118">
        <f t="shared" si="2"/>
        <v>0.80071021228557637</v>
      </c>
      <c r="Q34" s="118">
        <f t="shared" si="3"/>
        <v>1.1516698370951335</v>
      </c>
      <c r="R34" s="118">
        <f t="shared" si="4"/>
        <v>0.56121526588177773</v>
      </c>
      <c r="S34" s="123">
        <f t="shared" si="5"/>
        <v>193</v>
      </c>
      <c r="T34" s="112" t="b">
        <f t="shared" si="6"/>
        <v>0</v>
      </c>
    </row>
    <row r="35" spans="1:20" x14ac:dyDescent="0.35">
      <c r="A35" s="111">
        <v>33</v>
      </c>
      <c r="B35" s="96" t="s">
        <v>32</v>
      </c>
      <c r="C35" s="110">
        <v>0</v>
      </c>
      <c r="D35" s="110">
        <v>598</v>
      </c>
      <c r="E35" s="110">
        <v>655</v>
      </c>
      <c r="F35" s="127">
        <v>0</v>
      </c>
      <c r="G35" s="127">
        <v>309</v>
      </c>
      <c r="H35" s="127">
        <v>402</v>
      </c>
      <c r="I35" s="37">
        <v>0</v>
      </c>
      <c r="J35" s="37">
        <v>2.4857831287238681</v>
      </c>
      <c r="K35" s="37">
        <v>2.5516042481289052</v>
      </c>
      <c r="L35" s="39">
        <v>0</v>
      </c>
      <c r="M35" s="39">
        <v>1.2844598441064803</v>
      </c>
      <c r="N35" s="39">
        <v>1.5660227599203358</v>
      </c>
      <c r="O35" s="118">
        <f t="shared" si="1"/>
        <v>0</v>
      </c>
      <c r="P35" s="118">
        <f t="shared" si="2"/>
        <v>3.7702429728303484</v>
      </c>
      <c r="Q35" s="118">
        <f t="shared" si="3"/>
        <v>4.117627008049241</v>
      </c>
      <c r="R35" s="118">
        <f t="shared" si="4"/>
        <v>4.117627008049241</v>
      </c>
      <c r="S35" s="123">
        <f t="shared" si="5"/>
        <v>57</v>
      </c>
      <c r="T35" s="112" t="b">
        <f t="shared" si="6"/>
        <v>0</v>
      </c>
    </row>
    <row r="36" spans="1:20" x14ac:dyDescent="0.35">
      <c r="A36" s="111">
        <v>34</v>
      </c>
      <c r="B36" s="96" t="s">
        <v>33</v>
      </c>
      <c r="C36" s="110">
        <v>51</v>
      </c>
      <c r="D36" s="110">
        <v>60</v>
      </c>
      <c r="E36" s="110">
        <v>49.419841705777856</v>
      </c>
      <c r="F36" s="127">
        <v>0</v>
      </c>
      <c r="G36" s="127">
        <v>0</v>
      </c>
      <c r="H36" s="127">
        <v>4</v>
      </c>
      <c r="I36" s="37">
        <v>2.7341154726328712E-2</v>
      </c>
      <c r="J36" s="37">
        <v>2.6575650379247823E-2</v>
      </c>
      <c r="K36" s="37">
        <v>1.8856794116011915E-2</v>
      </c>
      <c r="L36" s="39">
        <v>0</v>
      </c>
      <c r="M36" s="39">
        <v>0</v>
      </c>
      <c r="N36" s="39">
        <v>1.5262528948009398E-3</v>
      </c>
      <c r="O36" s="118">
        <f t="shared" si="1"/>
        <v>2.7341154726328712E-2</v>
      </c>
      <c r="P36" s="118">
        <f t="shared" si="2"/>
        <v>2.6575650379247823E-2</v>
      </c>
      <c r="Q36" s="118">
        <f t="shared" si="3"/>
        <v>2.0383047010812855E-2</v>
      </c>
      <c r="R36" s="118">
        <f t="shared" si="4"/>
        <v>-6.9581077155158565E-3</v>
      </c>
      <c r="S36" s="123">
        <f t="shared" si="5"/>
        <v>-10.580158294222144</v>
      </c>
      <c r="T36" s="112" t="b">
        <f t="shared" si="6"/>
        <v>1</v>
      </c>
    </row>
    <row r="37" spans="1:20" x14ac:dyDescent="0.35">
      <c r="A37" s="111">
        <v>35</v>
      </c>
      <c r="B37" s="96" t="s">
        <v>34</v>
      </c>
      <c r="C37" s="110">
        <v>20035</v>
      </c>
      <c r="D37" s="110">
        <v>24668</v>
      </c>
      <c r="E37" s="110">
        <v>21005.731322244228</v>
      </c>
      <c r="F37" s="127">
        <v>0</v>
      </c>
      <c r="G37" s="127">
        <v>5793</v>
      </c>
      <c r="H37" s="127">
        <v>2673.2686466892856</v>
      </c>
      <c r="I37" s="37">
        <v>1.1466516625374563</v>
      </c>
      <c r="J37" s="37">
        <v>1.2434243409342516</v>
      </c>
      <c r="K37" s="37">
        <v>0.96117941225214742</v>
      </c>
      <c r="L37" s="39">
        <v>0</v>
      </c>
      <c r="M37" s="39">
        <v>0.29200410276601746</v>
      </c>
      <c r="N37" s="39">
        <v>0.12232331963114816</v>
      </c>
      <c r="O37" s="118">
        <f t="shared" si="1"/>
        <v>1.1466516625374563</v>
      </c>
      <c r="P37" s="118">
        <f t="shared" si="2"/>
        <v>1.535428443700269</v>
      </c>
      <c r="Q37" s="118">
        <f t="shared" si="3"/>
        <v>1.0835027318832955</v>
      </c>
      <c r="R37" s="118">
        <f t="shared" si="4"/>
        <v>-6.3148930654160829E-2</v>
      </c>
      <c r="S37" s="123">
        <f t="shared" si="5"/>
        <v>-3662.2686777557719</v>
      </c>
      <c r="T37" s="112" t="b">
        <f t="shared" si="6"/>
        <v>1</v>
      </c>
    </row>
    <row r="38" spans="1:20" x14ac:dyDescent="0.35">
      <c r="A38" s="111">
        <v>36</v>
      </c>
      <c r="B38" s="96" t="s">
        <v>35</v>
      </c>
      <c r="C38" s="110">
        <v>114</v>
      </c>
      <c r="D38" s="110">
        <v>886</v>
      </c>
      <c r="E38" s="110">
        <v>886</v>
      </c>
      <c r="F38" s="127">
        <v>0</v>
      </c>
      <c r="G38" s="127">
        <v>201</v>
      </c>
      <c r="H38" s="127">
        <v>201</v>
      </c>
      <c r="I38" s="37">
        <v>0.10269021797755312</v>
      </c>
      <c r="J38" s="37">
        <v>0.70700096534358681</v>
      </c>
      <c r="K38" s="37">
        <v>0.64311494100817734</v>
      </c>
      <c r="L38" s="39">
        <v>0</v>
      </c>
      <c r="M38" s="39">
        <v>0.16039186685559925</v>
      </c>
      <c r="N38" s="39">
        <v>0.14589853627837882</v>
      </c>
      <c r="O38" s="118">
        <f t="shared" si="1"/>
        <v>0.10269021797755312</v>
      </c>
      <c r="P38" s="118">
        <f t="shared" si="2"/>
        <v>0.86739283219918606</v>
      </c>
      <c r="Q38" s="118">
        <f t="shared" si="3"/>
        <v>0.78901347728655613</v>
      </c>
      <c r="R38" s="118">
        <f t="shared" si="4"/>
        <v>0.68632325930900295</v>
      </c>
      <c r="S38" s="123">
        <f t="shared" si="5"/>
        <v>0</v>
      </c>
      <c r="T38" s="112" t="b">
        <f t="shared" si="6"/>
        <v>0</v>
      </c>
    </row>
    <row r="39" spans="1:20" x14ac:dyDescent="0.35">
      <c r="A39" s="111">
        <v>37</v>
      </c>
      <c r="B39" s="96" t="s">
        <v>36</v>
      </c>
      <c r="C39" s="110">
        <v>0</v>
      </c>
      <c r="D39" s="110">
        <v>37</v>
      </c>
      <c r="E39" s="110">
        <v>37</v>
      </c>
      <c r="F39" s="127">
        <v>0</v>
      </c>
      <c r="G39" s="127">
        <v>0</v>
      </c>
      <c r="H39" s="127">
        <v>0</v>
      </c>
      <c r="I39" s="37">
        <v>0</v>
      </c>
      <c r="J39" s="37">
        <v>1.7507002801120448</v>
      </c>
      <c r="K39" s="37">
        <v>1.6272355247504722</v>
      </c>
      <c r="L39" s="39">
        <v>0</v>
      </c>
      <c r="M39" s="39">
        <v>0</v>
      </c>
      <c r="N39" s="39">
        <v>0</v>
      </c>
      <c r="O39" s="118">
        <f t="shared" si="1"/>
        <v>0</v>
      </c>
      <c r="P39" s="118">
        <f t="shared" si="2"/>
        <v>1.7507002801120448</v>
      </c>
      <c r="Q39" s="118">
        <f t="shared" si="3"/>
        <v>1.6272355247504722</v>
      </c>
      <c r="R39" s="118">
        <f t="shared" si="4"/>
        <v>1.6272355247504722</v>
      </c>
      <c r="S39" s="123">
        <f t="shared" si="5"/>
        <v>0</v>
      </c>
      <c r="T39" s="112" t="b">
        <f t="shared" si="6"/>
        <v>0</v>
      </c>
    </row>
    <row r="40" spans="1:20" x14ac:dyDescent="0.35">
      <c r="A40" s="111">
        <v>38</v>
      </c>
      <c r="B40" s="96" t="s">
        <v>37</v>
      </c>
      <c r="C40" s="110">
        <v>143</v>
      </c>
      <c r="D40" s="110">
        <v>162</v>
      </c>
      <c r="E40" s="110">
        <v>352</v>
      </c>
      <c r="F40" s="127">
        <v>371</v>
      </c>
      <c r="G40" s="127">
        <v>53</v>
      </c>
      <c r="H40" s="127">
        <v>57</v>
      </c>
      <c r="I40" s="37">
        <v>0.10518135490575958</v>
      </c>
      <c r="J40" s="37">
        <v>0.10401344881051955</v>
      </c>
      <c r="K40" s="37">
        <v>0.20327493240675384</v>
      </c>
      <c r="L40" s="39">
        <v>0.27288309559466301</v>
      </c>
      <c r="M40" s="39">
        <v>3.4029091277515654E-2</v>
      </c>
      <c r="N40" s="39">
        <v>3.2916679395411839E-2</v>
      </c>
      <c r="O40" s="118">
        <f t="shared" si="1"/>
        <v>0.37806445050042259</v>
      </c>
      <c r="P40" s="118">
        <f t="shared" si="2"/>
        <v>0.13804254008803521</v>
      </c>
      <c r="Q40" s="118">
        <f t="shared" si="3"/>
        <v>0.23619161180216569</v>
      </c>
      <c r="R40" s="118">
        <f t="shared" si="4"/>
        <v>-0.1418728386982569</v>
      </c>
      <c r="S40" s="123">
        <f t="shared" si="5"/>
        <v>190</v>
      </c>
      <c r="T40" s="112" t="b">
        <f t="shared" si="6"/>
        <v>0</v>
      </c>
    </row>
    <row r="41" spans="1:20" x14ac:dyDescent="0.35">
      <c r="A41" s="111">
        <v>39</v>
      </c>
      <c r="B41" s="96" t="s">
        <v>38</v>
      </c>
      <c r="C41" s="110">
        <v>4</v>
      </c>
      <c r="D41" s="110">
        <v>124</v>
      </c>
      <c r="E41" s="110">
        <v>70.107217303545326</v>
      </c>
      <c r="F41" s="127">
        <v>0</v>
      </c>
      <c r="G41" s="127">
        <v>63</v>
      </c>
      <c r="H41" s="127">
        <v>63</v>
      </c>
      <c r="I41" s="37">
        <v>0.41359058667824722</v>
      </c>
      <c r="J41" s="37">
        <v>12.027041444796847</v>
      </c>
      <c r="K41" s="37">
        <v>6.5448281392612229</v>
      </c>
      <c r="L41" s="39">
        <v>0</v>
      </c>
      <c r="M41" s="39">
        <v>6.1105129921145265</v>
      </c>
      <c r="N41" s="39">
        <v>5.8813370239501115</v>
      </c>
      <c r="O41" s="118">
        <f t="shared" si="1"/>
        <v>0.41359058667824722</v>
      </c>
      <c r="P41" s="118">
        <f t="shared" si="2"/>
        <v>18.137554436911373</v>
      </c>
      <c r="Q41" s="118">
        <f t="shared" si="3"/>
        <v>12.426165163211333</v>
      </c>
      <c r="R41" s="118">
        <f t="shared" si="4"/>
        <v>12.012574576533087</v>
      </c>
      <c r="S41" s="123">
        <f t="shared" si="5"/>
        <v>-53.892782696454674</v>
      </c>
      <c r="T41" s="112" t="b">
        <f t="shared" si="6"/>
        <v>1</v>
      </c>
    </row>
    <row r="42" spans="1:20" x14ac:dyDescent="0.35">
      <c r="A42" s="111">
        <v>40</v>
      </c>
      <c r="B42" s="96" t="s">
        <v>39</v>
      </c>
      <c r="C42" s="110">
        <v>0</v>
      </c>
      <c r="D42" s="110">
        <v>156</v>
      </c>
      <c r="E42" s="110">
        <v>193</v>
      </c>
      <c r="F42" s="127">
        <v>0</v>
      </c>
      <c r="G42" s="127">
        <v>21</v>
      </c>
      <c r="H42" s="127">
        <v>857</v>
      </c>
      <c r="I42" s="37">
        <v>0</v>
      </c>
      <c r="J42" s="37">
        <v>0.19844094111379557</v>
      </c>
      <c r="K42" s="37">
        <v>0.22426949151715159</v>
      </c>
      <c r="L42" s="39">
        <v>0</v>
      </c>
      <c r="M42" s="39">
        <v>2.6713203611472482E-2</v>
      </c>
      <c r="N42" s="39">
        <v>0.99584950378341408</v>
      </c>
      <c r="O42" s="118">
        <f t="shared" si="1"/>
        <v>0</v>
      </c>
      <c r="P42" s="118">
        <f t="shared" si="2"/>
        <v>0.22515414472526804</v>
      </c>
      <c r="Q42" s="118">
        <f t="shared" si="3"/>
        <v>1.2201189953005658</v>
      </c>
      <c r="R42" s="118">
        <f t="shared" si="4"/>
        <v>1.2201189953005658</v>
      </c>
      <c r="S42" s="123">
        <f t="shared" si="5"/>
        <v>37</v>
      </c>
      <c r="T42" s="112" t="b">
        <f t="shared" si="6"/>
        <v>0</v>
      </c>
    </row>
    <row r="43" spans="1:20" x14ac:dyDescent="0.35">
      <c r="A43" s="111">
        <v>41</v>
      </c>
      <c r="B43" s="96" t="s">
        <v>40</v>
      </c>
      <c r="C43" s="110">
        <v>13642</v>
      </c>
      <c r="D43" s="110">
        <v>14412</v>
      </c>
      <c r="E43" s="110">
        <v>17703</v>
      </c>
      <c r="F43" s="127">
        <v>7320</v>
      </c>
      <c r="G43" s="127">
        <v>1783</v>
      </c>
      <c r="H43" s="127">
        <v>1783</v>
      </c>
      <c r="I43" s="37">
        <v>2.5322228231347976</v>
      </c>
      <c r="J43" s="37">
        <v>2.513444670514557</v>
      </c>
      <c r="K43" s="37">
        <v>2.9557274256317867</v>
      </c>
      <c r="L43" s="39">
        <v>1.3587356007437852</v>
      </c>
      <c r="M43" s="39">
        <v>0.31095419424975401</v>
      </c>
      <c r="N43" s="39">
        <v>0.29769315934595691</v>
      </c>
      <c r="O43" s="118">
        <f t="shared" si="1"/>
        <v>3.8909584238785828</v>
      </c>
      <c r="P43" s="118">
        <f t="shared" si="2"/>
        <v>2.8243988647643112</v>
      </c>
      <c r="Q43" s="118">
        <f t="shared" si="3"/>
        <v>3.2534205849777438</v>
      </c>
      <c r="R43" s="118">
        <f t="shared" si="4"/>
        <v>-0.63753783890083904</v>
      </c>
      <c r="S43" s="123">
        <f t="shared" si="5"/>
        <v>3291</v>
      </c>
      <c r="T43" s="112" t="b">
        <f t="shared" si="6"/>
        <v>0</v>
      </c>
    </row>
    <row r="44" spans="1:20" x14ac:dyDescent="0.35">
      <c r="A44" s="111">
        <v>42</v>
      </c>
      <c r="B44" s="96" t="s">
        <v>41</v>
      </c>
      <c r="C44" s="110">
        <v>0</v>
      </c>
      <c r="D44" s="110">
        <v>360</v>
      </c>
      <c r="E44" s="110">
        <v>159.7525115605377</v>
      </c>
      <c r="F44" s="127">
        <v>0</v>
      </c>
      <c r="G44" s="127">
        <v>150</v>
      </c>
      <c r="H44" s="127">
        <v>291</v>
      </c>
      <c r="I44" s="37">
        <v>0</v>
      </c>
      <c r="J44" s="37">
        <v>0.34630936902962045</v>
      </c>
      <c r="K44" s="37">
        <v>0.1463851536362831</v>
      </c>
      <c r="L44" s="39">
        <v>0</v>
      </c>
      <c r="M44" s="39">
        <v>0.14429557042900854</v>
      </c>
      <c r="N44" s="39">
        <v>0.26665045383036734</v>
      </c>
      <c r="O44" s="118">
        <f t="shared" si="1"/>
        <v>0</v>
      </c>
      <c r="P44" s="118">
        <f t="shared" si="2"/>
        <v>0.49060493945862899</v>
      </c>
      <c r="Q44" s="118">
        <f t="shared" si="3"/>
        <v>0.41303560746665047</v>
      </c>
      <c r="R44" s="118">
        <f t="shared" si="4"/>
        <v>0.41303560746665047</v>
      </c>
      <c r="S44" s="123">
        <f t="shared" si="5"/>
        <v>-200.2474884394623</v>
      </c>
      <c r="T44" s="112" t="b">
        <f t="shared" si="6"/>
        <v>1</v>
      </c>
    </row>
    <row r="45" spans="1:20" x14ac:dyDescent="0.35">
      <c r="A45" s="111">
        <v>43</v>
      </c>
      <c r="B45" s="96" t="s">
        <v>42</v>
      </c>
      <c r="C45" s="110">
        <v>339</v>
      </c>
      <c r="D45" s="110">
        <v>1845</v>
      </c>
      <c r="E45" s="110">
        <v>2261.9470224210058</v>
      </c>
      <c r="F45" s="127">
        <v>317</v>
      </c>
      <c r="G45" s="127">
        <v>1246</v>
      </c>
      <c r="H45" s="127">
        <v>5583</v>
      </c>
      <c r="I45" s="37">
        <v>6.8827395479889725E-2</v>
      </c>
      <c r="J45" s="37">
        <v>0.31760818212386499</v>
      </c>
      <c r="K45" s="37">
        <v>0.34534729689042198</v>
      </c>
      <c r="L45" s="39">
        <v>6.4360720846976527E-2</v>
      </c>
      <c r="M45" s="39">
        <v>0.2144931137812118</v>
      </c>
      <c r="N45" s="39">
        <v>0.85239571901006372</v>
      </c>
      <c r="O45" s="118">
        <f t="shared" si="1"/>
        <v>0.13318811632686625</v>
      </c>
      <c r="P45" s="118">
        <f t="shared" si="2"/>
        <v>0.53210129590507682</v>
      </c>
      <c r="Q45" s="118">
        <f t="shared" si="3"/>
        <v>1.1977430159004858</v>
      </c>
      <c r="R45" s="118">
        <f t="shared" si="4"/>
        <v>1.0645548995736196</v>
      </c>
      <c r="S45" s="123">
        <f t="shared" si="5"/>
        <v>416.94702242100584</v>
      </c>
      <c r="T45" s="112" t="b">
        <f t="shared" si="6"/>
        <v>0</v>
      </c>
    </row>
    <row r="46" spans="1:20" x14ac:dyDescent="0.35">
      <c r="A46" s="111">
        <v>44</v>
      </c>
      <c r="B46" s="96" t="s">
        <v>43</v>
      </c>
      <c r="C46" s="110">
        <v>17</v>
      </c>
      <c r="D46" s="110">
        <v>226</v>
      </c>
      <c r="E46" s="110">
        <v>255</v>
      </c>
      <c r="F46" s="127">
        <v>0</v>
      </c>
      <c r="G46" s="127">
        <v>3</v>
      </c>
      <c r="H46" s="127">
        <v>73</v>
      </c>
      <c r="I46" s="37">
        <v>2.3922674037101816E-2</v>
      </c>
      <c r="J46" s="37">
        <v>0.28086120994760694</v>
      </c>
      <c r="K46" s="37">
        <v>0.28817797329177841</v>
      </c>
      <c r="L46" s="39">
        <v>0</v>
      </c>
      <c r="M46" s="39">
        <v>3.7282461497469949E-3</v>
      </c>
      <c r="N46" s="39">
        <v>8.2498008040391466E-2</v>
      </c>
      <c r="O46" s="118">
        <f t="shared" si="1"/>
        <v>2.3922674037101816E-2</v>
      </c>
      <c r="P46" s="118">
        <f t="shared" si="2"/>
        <v>0.28458945609735392</v>
      </c>
      <c r="Q46" s="118">
        <f t="shared" si="3"/>
        <v>0.37067598133216989</v>
      </c>
      <c r="R46" s="118">
        <f t="shared" si="4"/>
        <v>0.34675330729506809</v>
      </c>
      <c r="S46" s="123">
        <f t="shared" si="5"/>
        <v>29</v>
      </c>
      <c r="T46" s="112" t="b">
        <f t="shared" si="6"/>
        <v>0</v>
      </c>
    </row>
    <row r="47" spans="1:20" x14ac:dyDescent="0.35">
      <c r="A47" s="111">
        <v>45</v>
      </c>
      <c r="B47" s="96" t="s">
        <v>44</v>
      </c>
      <c r="C47" s="110">
        <v>550</v>
      </c>
      <c r="D47" s="110">
        <v>324</v>
      </c>
      <c r="E47" s="110">
        <v>1712</v>
      </c>
      <c r="F47" s="127">
        <v>650</v>
      </c>
      <c r="G47" s="127">
        <v>234</v>
      </c>
      <c r="H47" s="127">
        <v>1820</v>
      </c>
      <c r="I47" s="37">
        <v>0.15592410975129542</v>
      </c>
      <c r="J47" s="37">
        <v>7.8043337899109444E-2</v>
      </c>
      <c r="K47" s="37">
        <v>0.36233122470811135</v>
      </c>
      <c r="L47" s="39">
        <v>0.18427394788789458</v>
      </c>
      <c r="M47" s="39">
        <v>5.6364632927134603E-2</v>
      </c>
      <c r="N47" s="39">
        <v>0.3851885683228754</v>
      </c>
      <c r="O47" s="118">
        <f t="shared" si="1"/>
        <v>0.34019805763918998</v>
      </c>
      <c r="P47" s="118">
        <f t="shared" si="2"/>
        <v>0.13440797082624406</v>
      </c>
      <c r="Q47" s="118">
        <f t="shared" si="3"/>
        <v>0.7475197930309867</v>
      </c>
      <c r="R47" s="118">
        <f t="shared" si="4"/>
        <v>0.40732173539179672</v>
      </c>
      <c r="S47" s="123">
        <f t="shared" si="5"/>
        <v>1388</v>
      </c>
      <c r="T47" s="112" t="b">
        <f t="shared" si="6"/>
        <v>0</v>
      </c>
    </row>
    <row r="48" spans="1:20" x14ac:dyDescent="0.35">
      <c r="A48" s="111">
        <v>46</v>
      </c>
      <c r="B48" s="96" t="s">
        <v>45</v>
      </c>
      <c r="C48" s="110">
        <v>409</v>
      </c>
      <c r="D48" s="110">
        <v>727</v>
      </c>
      <c r="E48" s="110">
        <v>1425</v>
      </c>
      <c r="F48" s="127">
        <v>814</v>
      </c>
      <c r="G48" s="127">
        <v>1284</v>
      </c>
      <c r="H48" s="127">
        <v>1800</v>
      </c>
      <c r="I48" s="37">
        <v>0.26846120400846069</v>
      </c>
      <c r="J48" s="37">
        <v>0.40760504674478637</v>
      </c>
      <c r="K48" s="37">
        <v>0.71187088410617105</v>
      </c>
      <c r="L48" s="39">
        <v>0.53429687056940589</v>
      </c>
      <c r="M48" s="39">
        <v>0.71989667127965018</v>
      </c>
      <c r="N48" s="39">
        <v>0.89920532729200553</v>
      </c>
      <c r="O48" s="118">
        <f t="shared" si="1"/>
        <v>0.80275807457786663</v>
      </c>
      <c r="P48" s="118">
        <f t="shared" si="2"/>
        <v>1.1275017180244364</v>
      </c>
      <c r="Q48" s="118">
        <f t="shared" si="3"/>
        <v>1.6110762113981765</v>
      </c>
      <c r="R48" s="118">
        <f t="shared" si="4"/>
        <v>0.80831813682030984</v>
      </c>
      <c r="S48" s="123">
        <f t="shared" si="5"/>
        <v>698</v>
      </c>
      <c r="T48" s="112" t="b">
        <f t="shared" si="6"/>
        <v>0</v>
      </c>
    </row>
    <row r="49" spans="1:20" x14ac:dyDescent="0.35">
      <c r="A49" s="111">
        <v>47</v>
      </c>
      <c r="B49" s="96" t="s">
        <v>46</v>
      </c>
      <c r="C49" s="110">
        <v>394</v>
      </c>
      <c r="D49" s="110">
        <v>1397</v>
      </c>
      <c r="E49" s="110">
        <v>1902</v>
      </c>
      <c r="F49" s="127">
        <v>511</v>
      </c>
      <c r="G49" s="127">
        <v>1827</v>
      </c>
      <c r="H49" s="127">
        <v>679.97778394890315</v>
      </c>
      <c r="I49" s="37">
        <v>0.29065861212799593</v>
      </c>
      <c r="J49" s="37">
        <v>0.92810451958333706</v>
      </c>
      <c r="K49" s="37">
        <v>1.1654028295760124</v>
      </c>
      <c r="L49" s="39">
        <v>0.37697094111016732</v>
      </c>
      <c r="M49" s="39">
        <v>1.213777349519511</v>
      </c>
      <c r="N49" s="39">
        <v>0.41663934461770669</v>
      </c>
      <c r="O49" s="118">
        <f t="shared" si="1"/>
        <v>0.66762955323816331</v>
      </c>
      <c r="P49" s="118">
        <f t="shared" si="2"/>
        <v>2.1418818691028481</v>
      </c>
      <c r="Q49" s="118">
        <f t="shared" si="3"/>
        <v>1.582042174193719</v>
      </c>
      <c r="R49" s="118">
        <f t="shared" si="4"/>
        <v>0.91441262095555564</v>
      </c>
      <c r="S49" s="123">
        <f t="shared" si="5"/>
        <v>505</v>
      </c>
      <c r="T49" s="112" t="b">
        <f t="shared" si="6"/>
        <v>0</v>
      </c>
    </row>
    <row r="50" spans="1:20" s="129" customFormat="1" x14ac:dyDescent="0.35">
      <c r="A50" s="128">
        <v>48</v>
      </c>
      <c r="B50" s="119" t="s">
        <v>47</v>
      </c>
      <c r="C50" s="120">
        <f>SUM(C3:C49)</f>
        <v>43321</v>
      </c>
      <c r="D50" s="120">
        <f t="shared" ref="D50:H50" si="7">SUM(D3:D49)</f>
        <v>91152</v>
      </c>
      <c r="E50" s="120">
        <f t="shared" si="7"/>
        <v>101401.21294552147</v>
      </c>
      <c r="F50" s="120">
        <f t="shared" si="7"/>
        <v>15876</v>
      </c>
      <c r="G50" s="120">
        <f t="shared" si="7"/>
        <v>31717</v>
      </c>
      <c r="H50" s="120">
        <f t="shared" si="7"/>
        <v>48644.010826384474</v>
      </c>
      <c r="I50" s="42">
        <f>AVERAGE(I3:I49)</f>
        <v>0.26443342356580612</v>
      </c>
      <c r="J50" s="42">
        <f t="shared" ref="J50:N50" si="8">AVERAGE(J3:J49)</f>
        <v>1.0906498566266449</v>
      </c>
      <c r="K50" s="42">
        <f t="shared" si="8"/>
        <v>0.72882071991244723</v>
      </c>
      <c r="L50" s="42">
        <f t="shared" si="8"/>
        <v>0.1321397351204843</v>
      </c>
      <c r="M50" s="42">
        <f t="shared" si="8"/>
        <v>0.5600761522875356</v>
      </c>
      <c r="N50" s="42">
        <f t="shared" si="8"/>
        <v>0.62126254266126124</v>
      </c>
    </row>
    <row r="53" spans="1:20" x14ac:dyDescent="0.35">
      <c r="D53" s="124">
        <f>((E50/C50)^(1/9))-1</f>
        <v>9.9102757443400469E-2</v>
      </c>
      <c r="J53" s="124">
        <f>((K50/I50)^(1/9))-1</f>
        <v>0.11923867071013161</v>
      </c>
    </row>
    <row r="54" spans="1:20" x14ac:dyDescent="0.35">
      <c r="D54" s="124">
        <f>((E50/D50)^(1/4))-1</f>
        <v>2.6997146625472368E-2</v>
      </c>
    </row>
  </sheetData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C818-DDCD-4958-B066-C4ECD3717143}">
  <dimension ref="A1:AC82"/>
  <sheetViews>
    <sheetView topLeftCell="A73" zoomScale="90" zoomScaleNormal="90" workbookViewId="0">
      <selection activeCell="M83" sqref="M83"/>
    </sheetView>
  </sheetViews>
  <sheetFormatPr defaultRowHeight="14.5" x14ac:dyDescent="0.35"/>
  <cols>
    <col min="20" max="20" width="8.7265625" style="75"/>
  </cols>
  <sheetData>
    <row r="1" spans="1:29" ht="15" customHeight="1" thickBot="1" x14ac:dyDescent="0.4">
      <c r="A1" s="203" t="s">
        <v>97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</row>
    <row r="2" spans="1:29" ht="48" thickTop="1" thickBot="1" x14ac:dyDescent="0.4">
      <c r="A2" s="204"/>
      <c r="B2" s="205"/>
      <c r="C2" s="206"/>
      <c r="D2" s="44" t="s">
        <v>98</v>
      </c>
      <c r="E2" s="45" t="s">
        <v>99</v>
      </c>
      <c r="F2" s="45" t="s">
        <v>100</v>
      </c>
      <c r="G2" s="45" t="s">
        <v>101</v>
      </c>
      <c r="H2" s="45" t="s">
        <v>102</v>
      </c>
      <c r="I2" s="45" t="s">
        <v>103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108</v>
      </c>
      <c r="O2" s="45" t="s">
        <v>109</v>
      </c>
      <c r="P2" s="45" t="s">
        <v>110</v>
      </c>
      <c r="Q2" s="45" t="s">
        <v>111</v>
      </c>
      <c r="R2" s="45" t="s">
        <v>112</v>
      </c>
      <c r="S2" s="45" t="s">
        <v>113</v>
      </c>
      <c r="T2" s="68" t="s">
        <v>114</v>
      </c>
      <c r="U2" s="45" t="s">
        <v>115</v>
      </c>
      <c r="V2" s="45" t="s">
        <v>116</v>
      </c>
      <c r="W2" s="45" t="s">
        <v>117</v>
      </c>
      <c r="X2" s="45" t="s">
        <v>118</v>
      </c>
      <c r="Y2" s="45" t="s">
        <v>119</v>
      </c>
      <c r="Z2" s="45" t="s">
        <v>120</v>
      </c>
      <c r="AA2" s="45" t="s">
        <v>121</v>
      </c>
      <c r="AB2" s="45" t="s">
        <v>62</v>
      </c>
      <c r="AC2" s="46" t="s">
        <v>122</v>
      </c>
    </row>
    <row r="3" spans="1:29" ht="35" thickTop="1" x14ac:dyDescent="0.35">
      <c r="A3" s="207" t="s">
        <v>123</v>
      </c>
      <c r="B3" s="210" t="s">
        <v>98</v>
      </c>
      <c r="C3" s="47" t="s">
        <v>124</v>
      </c>
      <c r="D3" s="48">
        <v>1</v>
      </c>
      <c r="E3" s="49">
        <v>0.15795559666975023</v>
      </c>
      <c r="F3" s="49">
        <v>-0.2650323774283071</v>
      </c>
      <c r="G3" s="49">
        <v>2.8677150786308975E-2</v>
      </c>
      <c r="H3" s="50" t="s">
        <v>129</v>
      </c>
      <c r="I3" s="50" t="s">
        <v>130</v>
      </c>
      <c r="J3" s="49">
        <v>0.2650323774283071</v>
      </c>
      <c r="K3" s="50" t="s">
        <v>131</v>
      </c>
      <c r="L3" s="50" t="s">
        <v>132</v>
      </c>
      <c r="M3" s="49">
        <v>2.9139685476410732E-2</v>
      </c>
      <c r="N3" s="49">
        <v>-2.9486586493987048E-2</v>
      </c>
      <c r="O3" s="49">
        <v>-8.314061054579093E-2</v>
      </c>
      <c r="P3" s="50" t="s">
        <v>133</v>
      </c>
      <c r="Q3" s="49">
        <v>0.1244218316373728</v>
      </c>
      <c r="R3" s="50" t="s">
        <v>134</v>
      </c>
      <c r="S3" s="50" t="s">
        <v>135</v>
      </c>
      <c r="T3" s="69">
        <v>9.5687154271203653E-2</v>
      </c>
      <c r="U3" s="49">
        <v>8.793899574487736E-2</v>
      </c>
      <c r="V3" s="50" t="s">
        <v>136</v>
      </c>
      <c r="W3" s="50" t="s">
        <v>137</v>
      </c>
      <c r="X3" s="49">
        <v>-0.19380763790585462</v>
      </c>
      <c r="Y3" s="49">
        <v>-6.3376413765423689E-2</v>
      </c>
      <c r="Z3" s="49">
        <v>0.11193339500462535</v>
      </c>
      <c r="AA3" s="49">
        <v>-1.5090630517132475E-2</v>
      </c>
      <c r="AB3" s="49">
        <v>2.34736355226642E-2</v>
      </c>
      <c r="AC3" s="51">
        <v>3.5268270120259022E-2</v>
      </c>
    </row>
    <row r="4" spans="1:29" ht="23" x14ac:dyDescent="0.35">
      <c r="A4" s="208"/>
      <c r="B4" s="201"/>
      <c r="C4" s="52" t="s">
        <v>125</v>
      </c>
      <c r="D4" s="53"/>
      <c r="E4" s="54">
        <v>0.28896083893878027</v>
      </c>
      <c r="F4" s="54">
        <v>7.1798819064211455E-2</v>
      </c>
      <c r="G4" s="54">
        <v>0.84825459075899678</v>
      </c>
      <c r="H4" s="54">
        <v>1.3808974388896804E-2</v>
      </c>
      <c r="I4" s="54">
        <v>1.3258993041543626E-2</v>
      </c>
      <c r="J4" s="54">
        <v>7.1798819064211455E-2</v>
      </c>
      <c r="K4" s="54">
        <v>1.2611458845021445E-4</v>
      </c>
      <c r="L4" s="54">
        <v>2.1305318656494574E-2</v>
      </c>
      <c r="M4" s="54">
        <v>0.845836506218969</v>
      </c>
      <c r="N4" s="54">
        <v>0.84402386183717082</v>
      </c>
      <c r="O4" s="54">
        <v>0.57848541516579344</v>
      </c>
      <c r="P4" s="54">
        <v>2.2201807964727528E-4</v>
      </c>
      <c r="Q4" s="54">
        <v>0.40469304216106794</v>
      </c>
      <c r="R4" s="54">
        <v>3.9523035684447668E-3</v>
      </c>
      <c r="S4" s="54">
        <v>4.1748160154054401E-2</v>
      </c>
      <c r="T4" s="70">
        <v>0.52229985669015888</v>
      </c>
      <c r="U4" s="54">
        <v>0.55667603577425484</v>
      </c>
      <c r="V4" s="54">
        <v>3.2573066912283857E-2</v>
      </c>
      <c r="W4" s="54">
        <v>4.7042892936484072E-3</v>
      </c>
      <c r="X4" s="54">
        <v>0.19178506663370007</v>
      </c>
      <c r="Y4" s="54">
        <v>0.67213985409797539</v>
      </c>
      <c r="Z4" s="54">
        <v>0.45381394834840239</v>
      </c>
      <c r="AA4" s="54">
        <v>0.91980767927673401</v>
      </c>
      <c r="AB4" s="54">
        <v>0.87554809213952511</v>
      </c>
      <c r="AC4" s="55">
        <v>0.81393749562913975</v>
      </c>
    </row>
    <row r="5" spans="1:29" x14ac:dyDescent="0.35">
      <c r="A5" s="208"/>
      <c r="B5" s="201"/>
      <c r="C5" s="52" t="s">
        <v>126</v>
      </c>
      <c r="D5" s="56">
        <v>47</v>
      </c>
      <c r="E5" s="57">
        <v>47</v>
      </c>
      <c r="F5" s="57">
        <v>47</v>
      </c>
      <c r="G5" s="57">
        <v>47</v>
      </c>
      <c r="H5" s="57">
        <v>47</v>
      </c>
      <c r="I5" s="57">
        <v>47</v>
      </c>
      <c r="J5" s="57">
        <v>47</v>
      </c>
      <c r="K5" s="57">
        <v>47</v>
      </c>
      <c r="L5" s="57">
        <v>47</v>
      </c>
      <c r="M5" s="57">
        <v>47</v>
      </c>
      <c r="N5" s="57">
        <v>47</v>
      </c>
      <c r="O5" s="57">
        <v>47</v>
      </c>
      <c r="P5" s="57">
        <v>47</v>
      </c>
      <c r="Q5" s="57">
        <v>47</v>
      </c>
      <c r="R5" s="57">
        <v>47</v>
      </c>
      <c r="S5" s="57">
        <v>47</v>
      </c>
      <c r="T5" s="71">
        <v>47</v>
      </c>
      <c r="U5" s="57">
        <v>47</v>
      </c>
      <c r="V5" s="57">
        <v>47</v>
      </c>
      <c r="W5" s="57">
        <v>47</v>
      </c>
      <c r="X5" s="57">
        <v>47</v>
      </c>
      <c r="Y5" s="57">
        <v>47</v>
      </c>
      <c r="Z5" s="57">
        <v>47</v>
      </c>
      <c r="AA5" s="57">
        <v>47</v>
      </c>
      <c r="AB5" s="57">
        <v>47</v>
      </c>
      <c r="AC5" s="58">
        <v>47</v>
      </c>
    </row>
    <row r="6" spans="1:29" ht="34.5" x14ac:dyDescent="0.35">
      <c r="A6" s="208"/>
      <c r="B6" s="201" t="s">
        <v>99</v>
      </c>
      <c r="C6" s="52" t="s">
        <v>124</v>
      </c>
      <c r="D6" s="59">
        <v>0.15795559666975023</v>
      </c>
      <c r="E6" s="60">
        <v>1</v>
      </c>
      <c r="F6" s="61" t="s">
        <v>138</v>
      </c>
      <c r="G6" s="61" t="s">
        <v>139</v>
      </c>
      <c r="H6" s="54">
        <v>-6.0592044403330249E-2</v>
      </c>
      <c r="I6" s="54">
        <v>-0.26422294172062905</v>
      </c>
      <c r="J6" s="61" t="s">
        <v>140</v>
      </c>
      <c r="K6" s="61" t="s">
        <v>141</v>
      </c>
      <c r="L6" s="61" t="s">
        <v>142</v>
      </c>
      <c r="M6" s="61" t="s">
        <v>143</v>
      </c>
      <c r="N6" s="61" t="s">
        <v>144</v>
      </c>
      <c r="O6" s="61" t="s">
        <v>145</v>
      </c>
      <c r="P6" s="54">
        <v>8.0827937095282146E-2</v>
      </c>
      <c r="Q6" s="61" t="s">
        <v>146</v>
      </c>
      <c r="R6" s="61" t="s">
        <v>147</v>
      </c>
      <c r="S6" s="61" t="s">
        <v>148</v>
      </c>
      <c r="T6" s="72" t="s">
        <v>149</v>
      </c>
      <c r="U6" s="54">
        <v>0.26567077370619735</v>
      </c>
      <c r="V6" s="61" t="s">
        <v>150</v>
      </c>
      <c r="W6" s="61" t="s">
        <v>151</v>
      </c>
      <c r="X6" s="54">
        <v>0.15524269325096052</v>
      </c>
      <c r="Y6" s="61" t="s">
        <v>280</v>
      </c>
      <c r="Z6" s="61" t="s">
        <v>152</v>
      </c>
      <c r="AA6" s="54">
        <v>0.19924257763233147</v>
      </c>
      <c r="AB6" s="61" t="s">
        <v>153</v>
      </c>
      <c r="AC6" s="62" t="s">
        <v>154</v>
      </c>
    </row>
    <row r="7" spans="1:29" ht="23" x14ac:dyDescent="0.35">
      <c r="A7" s="208"/>
      <c r="B7" s="201"/>
      <c r="C7" s="52" t="s">
        <v>125</v>
      </c>
      <c r="D7" s="59">
        <v>0.28896083893878027</v>
      </c>
      <c r="E7" s="61"/>
      <c r="F7" s="54">
        <v>2.4681268407435421E-6</v>
      </c>
      <c r="G7" s="54">
        <v>3.334899280311241E-6</v>
      </c>
      <c r="H7" s="54">
        <v>0.68578292013458575</v>
      </c>
      <c r="I7" s="54">
        <v>7.2703346126277144E-2</v>
      </c>
      <c r="J7" s="54">
        <v>2.4681268407435421E-6</v>
      </c>
      <c r="K7" s="54">
        <v>9.3214417064710125E-5</v>
      </c>
      <c r="L7" s="54">
        <v>6.5969972686164263E-4</v>
      </c>
      <c r="M7" s="54">
        <v>6.020180632025486E-16</v>
      </c>
      <c r="N7" s="54">
        <v>5.7190769513672547E-14</v>
      </c>
      <c r="O7" s="54">
        <v>1.4867987556500314E-8</v>
      </c>
      <c r="P7" s="54">
        <v>0.5891335379883671</v>
      </c>
      <c r="Q7" s="54">
        <v>2.4176063715521768E-9</v>
      </c>
      <c r="R7" s="54">
        <v>3.6260166466914514E-5</v>
      </c>
      <c r="S7" s="54">
        <v>5.0942115115628535E-8</v>
      </c>
      <c r="T7" s="70">
        <v>5.7160639937477266E-9</v>
      </c>
      <c r="U7" s="54">
        <v>7.10917265964503E-2</v>
      </c>
      <c r="V7" s="54">
        <v>7.1676008871044078E-3</v>
      </c>
      <c r="W7" s="54">
        <v>9.6802304331255467E-5</v>
      </c>
      <c r="X7" s="54">
        <v>0.29742788098101258</v>
      </c>
      <c r="Y7" s="54">
        <v>1.3804870748627147E-7</v>
      </c>
      <c r="Z7" s="54">
        <v>2.2372252933444652E-8</v>
      </c>
      <c r="AA7" s="54">
        <v>0.17938089729547266</v>
      </c>
      <c r="AB7" s="54">
        <v>6.902441910511037E-7</v>
      </c>
      <c r="AC7" s="55">
        <v>1.3334476331359099E-5</v>
      </c>
    </row>
    <row r="8" spans="1:29" x14ac:dyDescent="0.35">
      <c r="A8" s="208"/>
      <c r="B8" s="201"/>
      <c r="C8" s="52" t="s">
        <v>126</v>
      </c>
      <c r="D8" s="56">
        <v>47</v>
      </c>
      <c r="E8" s="57">
        <v>47</v>
      </c>
      <c r="F8" s="57">
        <v>47</v>
      </c>
      <c r="G8" s="57">
        <v>47</v>
      </c>
      <c r="H8" s="57">
        <v>47</v>
      </c>
      <c r="I8" s="57">
        <v>47</v>
      </c>
      <c r="J8" s="57">
        <v>47</v>
      </c>
      <c r="K8" s="57">
        <v>47</v>
      </c>
      <c r="L8" s="57">
        <v>47</v>
      </c>
      <c r="M8" s="57">
        <v>47</v>
      </c>
      <c r="N8" s="57">
        <v>47</v>
      </c>
      <c r="O8" s="57">
        <v>47</v>
      </c>
      <c r="P8" s="57">
        <v>47</v>
      </c>
      <c r="Q8" s="57">
        <v>47</v>
      </c>
      <c r="R8" s="57">
        <v>47</v>
      </c>
      <c r="S8" s="57">
        <v>47</v>
      </c>
      <c r="T8" s="71">
        <v>47</v>
      </c>
      <c r="U8" s="57">
        <v>47</v>
      </c>
      <c r="V8" s="57">
        <v>47</v>
      </c>
      <c r="W8" s="57">
        <v>47</v>
      </c>
      <c r="X8" s="57">
        <v>47</v>
      </c>
      <c r="Y8" s="57">
        <v>47</v>
      </c>
      <c r="Z8" s="57">
        <v>47</v>
      </c>
      <c r="AA8" s="57">
        <v>47</v>
      </c>
      <c r="AB8" s="57">
        <v>47</v>
      </c>
      <c r="AC8" s="58">
        <v>47</v>
      </c>
    </row>
    <row r="9" spans="1:29" ht="34.5" x14ac:dyDescent="0.35">
      <c r="A9" s="208"/>
      <c r="B9" s="201" t="s">
        <v>100</v>
      </c>
      <c r="C9" s="52" t="s">
        <v>124</v>
      </c>
      <c r="D9" s="59">
        <v>-0.2650323774283071</v>
      </c>
      <c r="E9" s="61" t="s">
        <v>138</v>
      </c>
      <c r="F9" s="60">
        <v>1</v>
      </c>
      <c r="G9" s="61" t="s">
        <v>155</v>
      </c>
      <c r="H9" s="61" t="s">
        <v>156</v>
      </c>
      <c r="I9" s="54">
        <v>0.27462997224791857</v>
      </c>
      <c r="J9" s="61" t="s">
        <v>157</v>
      </c>
      <c r="K9" s="54">
        <v>0.1435013876040703</v>
      </c>
      <c r="L9" s="54">
        <v>0.23982423681776133</v>
      </c>
      <c r="M9" s="61" t="s">
        <v>158</v>
      </c>
      <c r="N9" s="61" t="s">
        <v>159</v>
      </c>
      <c r="O9" s="61" t="s">
        <v>160</v>
      </c>
      <c r="P9" s="61" t="s">
        <v>161</v>
      </c>
      <c r="Q9" s="61" t="s">
        <v>162</v>
      </c>
      <c r="R9" s="54">
        <v>0.14280758556891768</v>
      </c>
      <c r="S9" s="54">
        <v>0.27382053654024052</v>
      </c>
      <c r="T9" s="72" t="s">
        <v>163</v>
      </c>
      <c r="U9" s="54">
        <v>0.13775950716819391</v>
      </c>
      <c r="V9" s="54">
        <v>7.7733449795329312E-2</v>
      </c>
      <c r="W9" s="54">
        <v>8.794517299912924E-2</v>
      </c>
      <c r="X9" s="54">
        <v>0.24295336947505999</v>
      </c>
      <c r="Y9" s="61" t="s">
        <v>276</v>
      </c>
      <c r="Z9" s="61" t="s">
        <v>164</v>
      </c>
      <c r="AA9" s="54">
        <v>8.4299384268119351E-2</v>
      </c>
      <c r="AB9" s="61" t="s">
        <v>165</v>
      </c>
      <c r="AC9" s="62" t="s">
        <v>166</v>
      </c>
    </row>
    <row r="10" spans="1:29" ht="23" x14ac:dyDescent="0.35">
      <c r="A10" s="208"/>
      <c r="B10" s="201"/>
      <c r="C10" s="52" t="s">
        <v>125</v>
      </c>
      <c r="D10" s="59">
        <v>7.1798819064211455E-2</v>
      </c>
      <c r="E10" s="54">
        <v>2.4681268407435421E-6</v>
      </c>
      <c r="F10" s="61"/>
      <c r="G10" s="54">
        <v>3.4680884502046538E-3</v>
      </c>
      <c r="H10" s="54">
        <v>5.2242510185059651E-4</v>
      </c>
      <c r="I10" s="54">
        <v>6.1738609177607498E-2</v>
      </c>
      <c r="J10" s="61"/>
      <c r="K10" s="54">
        <v>0.33590026976996967</v>
      </c>
      <c r="L10" s="54">
        <v>0.10444564252298889</v>
      </c>
      <c r="M10" s="54">
        <v>7.7558747815519949E-6</v>
      </c>
      <c r="N10" s="54">
        <v>4.2948903003784442E-14</v>
      </c>
      <c r="O10" s="54">
        <v>4.2533498219112763E-13</v>
      </c>
      <c r="P10" s="54">
        <v>1.5558825628623228E-6</v>
      </c>
      <c r="Q10" s="54">
        <v>4.4948305320177606E-3</v>
      </c>
      <c r="R10" s="54">
        <v>0.33826635022113427</v>
      </c>
      <c r="S10" s="54">
        <v>6.2540934900857312E-2</v>
      </c>
      <c r="T10" s="70">
        <v>1.1383025517859507E-2</v>
      </c>
      <c r="U10" s="54">
        <v>0.35579184758244597</v>
      </c>
      <c r="V10" s="54">
        <v>0.60351630925337618</v>
      </c>
      <c r="W10" s="54">
        <v>0.55664821075916271</v>
      </c>
      <c r="X10" s="54">
        <v>9.9864200095534941E-2</v>
      </c>
      <c r="Y10" s="54">
        <v>8.0356725884334545E-4</v>
      </c>
      <c r="Z10" s="54">
        <v>1.2727827628532359E-2</v>
      </c>
      <c r="AA10" s="54">
        <v>0.57318322234914376</v>
      </c>
      <c r="AB10" s="54">
        <v>6.4292396675989473E-3</v>
      </c>
      <c r="AC10" s="55">
        <v>2.9140859808468911E-2</v>
      </c>
    </row>
    <row r="11" spans="1:29" x14ac:dyDescent="0.35">
      <c r="A11" s="208"/>
      <c r="B11" s="201"/>
      <c r="C11" s="52" t="s">
        <v>126</v>
      </c>
      <c r="D11" s="56">
        <v>47</v>
      </c>
      <c r="E11" s="57">
        <v>47</v>
      </c>
      <c r="F11" s="57">
        <v>47</v>
      </c>
      <c r="G11" s="57">
        <v>47</v>
      </c>
      <c r="H11" s="57">
        <v>47</v>
      </c>
      <c r="I11" s="57">
        <v>47</v>
      </c>
      <c r="J11" s="57">
        <v>47</v>
      </c>
      <c r="K11" s="57">
        <v>47</v>
      </c>
      <c r="L11" s="57">
        <v>47</v>
      </c>
      <c r="M11" s="57">
        <v>47</v>
      </c>
      <c r="N11" s="57">
        <v>47</v>
      </c>
      <c r="O11" s="57">
        <v>47</v>
      </c>
      <c r="P11" s="57">
        <v>47</v>
      </c>
      <c r="Q11" s="57">
        <v>47</v>
      </c>
      <c r="R11" s="57">
        <v>47</v>
      </c>
      <c r="S11" s="57">
        <v>47</v>
      </c>
      <c r="T11" s="71">
        <v>47</v>
      </c>
      <c r="U11" s="57">
        <v>47</v>
      </c>
      <c r="V11" s="57">
        <v>47</v>
      </c>
      <c r="W11" s="57">
        <v>47</v>
      </c>
      <c r="X11" s="57">
        <v>47</v>
      </c>
      <c r="Y11" s="57">
        <v>47</v>
      </c>
      <c r="Z11" s="57">
        <v>47</v>
      </c>
      <c r="AA11" s="57">
        <v>47</v>
      </c>
      <c r="AB11" s="57">
        <v>47</v>
      </c>
      <c r="AC11" s="58">
        <v>47</v>
      </c>
    </row>
    <row r="12" spans="1:29" ht="34.5" x14ac:dyDescent="0.35">
      <c r="A12" s="208"/>
      <c r="B12" s="201" t="s">
        <v>101</v>
      </c>
      <c r="C12" s="52" t="s">
        <v>124</v>
      </c>
      <c r="D12" s="59">
        <v>2.8677150786308975E-2</v>
      </c>
      <c r="E12" s="61" t="s">
        <v>139</v>
      </c>
      <c r="F12" s="61" t="s">
        <v>155</v>
      </c>
      <c r="G12" s="60">
        <v>1</v>
      </c>
      <c r="H12" s="61" t="s">
        <v>167</v>
      </c>
      <c r="I12" s="61" t="s">
        <v>168</v>
      </c>
      <c r="J12" s="61" t="s">
        <v>169</v>
      </c>
      <c r="K12" s="61" t="s">
        <v>170</v>
      </c>
      <c r="L12" s="61" t="s">
        <v>171</v>
      </c>
      <c r="M12" s="61" t="s">
        <v>172</v>
      </c>
      <c r="N12" s="61" t="s">
        <v>173</v>
      </c>
      <c r="O12" s="54">
        <v>0.17946345975948197</v>
      </c>
      <c r="P12" s="54">
        <v>-2.2779833487511562E-2</v>
      </c>
      <c r="Q12" s="61" t="s">
        <v>174</v>
      </c>
      <c r="R12" s="61" t="s">
        <v>175</v>
      </c>
      <c r="S12" s="61" t="s">
        <v>176</v>
      </c>
      <c r="T12" s="72" t="s">
        <v>177</v>
      </c>
      <c r="U12" s="54">
        <v>0.20646546827058163</v>
      </c>
      <c r="V12" s="61" t="s">
        <v>178</v>
      </c>
      <c r="W12" s="61" t="s">
        <v>179</v>
      </c>
      <c r="X12" s="61" t="s">
        <v>180</v>
      </c>
      <c r="Y12" s="61" t="s">
        <v>305</v>
      </c>
      <c r="Z12" s="61" t="s">
        <v>181</v>
      </c>
      <c r="AA12" s="54">
        <v>0.13893787407153002</v>
      </c>
      <c r="AB12" s="61" t="s">
        <v>182</v>
      </c>
      <c r="AC12" s="62" t="s">
        <v>183</v>
      </c>
    </row>
    <row r="13" spans="1:29" ht="23" x14ac:dyDescent="0.35">
      <c r="A13" s="208"/>
      <c r="B13" s="201"/>
      <c r="C13" s="52" t="s">
        <v>125</v>
      </c>
      <c r="D13" s="59">
        <v>0.84825459075899678</v>
      </c>
      <c r="E13" s="54">
        <v>3.334899280311241E-6</v>
      </c>
      <c r="F13" s="54">
        <v>3.4680884502046538E-3</v>
      </c>
      <c r="G13" s="61"/>
      <c r="H13" s="54">
        <v>1.1213389355308847E-4</v>
      </c>
      <c r="I13" s="54">
        <v>1.6009930932018543E-6</v>
      </c>
      <c r="J13" s="54">
        <v>3.4680884502046538E-3</v>
      </c>
      <c r="K13" s="54">
        <v>3.1035164077367185E-13</v>
      </c>
      <c r="L13" s="54">
        <v>2.6914217844882939E-15</v>
      </c>
      <c r="M13" s="54">
        <v>3.1468105591860942E-16</v>
      </c>
      <c r="N13" s="54">
        <v>1.88224979963676E-2</v>
      </c>
      <c r="O13" s="54">
        <v>0.22741734469205635</v>
      </c>
      <c r="P13" s="54">
        <v>0.87919877077044462</v>
      </c>
      <c r="Q13" s="54">
        <v>1.9196821192136006E-6</v>
      </c>
      <c r="R13" s="54">
        <v>3.7442000883541302E-4</v>
      </c>
      <c r="S13" s="54">
        <v>3.1247103516284039E-6</v>
      </c>
      <c r="T13" s="70">
        <v>4.76401716474733E-6</v>
      </c>
      <c r="U13" s="54">
        <v>0.16380264228001279</v>
      </c>
      <c r="V13" s="54">
        <v>4.4036391223178685E-3</v>
      </c>
      <c r="W13" s="54">
        <v>5.5877768678688641E-7</v>
      </c>
      <c r="X13" s="54">
        <v>1.4311190659065766E-3</v>
      </c>
      <c r="Y13" s="54">
        <v>1.3914699618856911E-5</v>
      </c>
      <c r="Z13" s="54">
        <v>7.1854788989804546E-6</v>
      </c>
      <c r="AA13" s="54">
        <v>0.35165221615447428</v>
      </c>
      <c r="AB13" s="54">
        <v>7.4667644067486986E-7</v>
      </c>
      <c r="AC13" s="55">
        <v>2.8478812173765784E-6</v>
      </c>
    </row>
    <row r="14" spans="1:29" x14ac:dyDescent="0.35">
      <c r="A14" s="208"/>
      <c r="B14" s="201"/>
      <c r="C14" s="52" t="s">
        <v>126</v>
      </c>
      <c r="D14" s="56">
        <v>47</v>
      </c>
      <c r="E14" s="57">
        <v>47</v>
      </c>
      <c r="F14" s="57">
        <v>47</v>
      </c>
      <c r="G14" s="57">
        <v>47</v>
      </c>
      <c r="H14" s="57">
        <v>47</v>
      </c>
      <c r="I14" s="57">
        <v>47</v>
      </c>
      <c r="J14" s="57">
        <v>47</v>
      </c>
      <c r="K14" s="57">
        <v>47</v>
      </c>
      <c r="L14" s="57">
        <v>47</v>
      </c>
      <c r="M14" s="57">
        <v>47</v>
      </c>
      <c r="N14" s="57">
        <v>47</v>
      </c>
      <c r="O14" s="57">
        <v>47</v>
      </c>
      <c r="P14" s="57">
        <v>47</v>
      </c>
      <c r="Q14" s="57">
        <v>47</v>
      </c>
      <c r="R14" s="57">
        <v>47</v>
      </c>
      <c r="S14" s="57">
        <v>47</v>
      </c>
      <c r="T14" s="71">
        <v>47</v>
      </c>
      <c r="U14" s="57">
        <v>47</v>
      </c>
      <c r="V14" s="57">
        <v>47</v>
      </c>
      <c r="W14" s="57">
        <v>47</v>
      </c>
      <c r="X14" s="57">
        <v>47</v>
      </c>
      <c r="Y14" s="57">
        <v>47</v>
      </c>
      <c r="Z14" s="57">
        <v>47</v>
      </c>
      <c r="AA14" s="57">
        <v>47</v>
      </c>
      <c r="AB14" s="57">
        <v>47</v>
      </c>
      <c r="AC14" s="58">
        <v>47</v>
      </c>
    </row>
    <row r="15" spans="1:29" ht="34.5" x14ac:dyDescent="0.35">
      <c r="A15" s="208"/>
      <c r="B15" s="201" t="s">
        <v>102</v>
      </c>
      <c r="C15" s="52" t="s">
        <v>124</v>
      </c>
      <c r="D15" s="53" t="s">
        <v>129</v>
      </c>
      <c r="E15" s="54">
        <v>-6.0592044403330249E-2</v>
      </c>
      <c r="F15" s="61" t="s">
        <v>156</v>
      </c>
      <c r="G15" s="61" t="s">
        <v>167</v>
      </c>
      <c r="H15" s="60">
        <v>1</v>
      </c>
      <c r="I15" s="61" t="s">
        <v>184</v>
      </c>
      <c r="J15" s="61" t="s">
        <v>185</v>
      </c>
      <c r="K15" s="61" t="s">
        <v>186</v>
      </c>
      <c r="L15" s="61" t="s">
        <v>187</v>
      </c>
      <c r="M15" s="54">
        <v>-0.27520814061054577</v>
      </c>
      <c r="N15" s="61" t="s">
        <v>188</v>
      </c>
      <c r="O15" s="61" t="s">
        <v>189</v>
      </c>
      <c r="P15" s="61" t="s">
        <v>190</v>
      </c>
      <c r="Q15" s="54">
        <v>-0.24074930619796484</v>
      </c>
      <c r="R15" s="61" t="s">
        <v>191</v>
      </c>
      <c r="S15" s="61" t="s">
        <v>192</v>
      </c>
      <c r="T15" s="72" t="s">
        <v>193</v>
      </c>
      <c r="U15" s="54">
        <v>-8.1045227303744027E-2</v>
      </c>
      <c r="V15" s="61" t="s">
        <v>194</v>
      </c>
      <c r="W15" s="61" t="s">
        <v>195</v>
      </c>
      <c r="X15" s="54">
        <v>-0.14298516961252342</v>
      </c>
      <c r="Y15" s="54">
        <v>-0.15502934790611397</v>
      </c>
      <c r="Z15" s="54">
        <v>-0.23774283071230343</v>
      </c>
      <c r="AA15" s="54">
        <v>-5.8338874298033208E-2</v>
      </c>
      <c r="AB15" s="54">
        <v>-0.26098519888991673</v>
      </c>
      <c r="AC15" s="62" t="s">
        <v>196</v>
      </c>
    </row>
    <row r="16" spans="1:29" ht="23" x14ac:dyDescent="0.35">
      <c r="A16" s="208"/>
      <c r="B16" s="201"/>
      <c r="C16" s="52" t="s">
        <v>125</v>
      </c>
      <c r="D16" s="59">
        <v>1.3808974388896804E-2</v>
      </c>
      <c r="E16" s="54">
        <v>0.68578292013458575</v>
      </c>
      <c r="F16" s="54">
        <v>5.2242510185059651E-4</v>
      </c>
      <c r="G16" s="54">
        <v>1.1213389355308847E-4</v>
      </c>
      <c r="H16" s="61"/>
      <c r="I16" s="54">
        <v>1.9478079866936958E-16</v>
      </c>
      <c r="J16" s="54">
        <v>5.2242510185059651E-4</v>
      </c>
      <c r="K16" s="54">
        <v>2.4643586290848879E-7</v>
      </c>
      <c r="L16" s="54">
        <v>1.0533225604759791E-5</v>
      </c>
      <c r="M16" s="54">
        <v>6.1170574972325351E-2</v>
      </c>
      <c r="N16" s="54">
        <v>6.9219448044634006E-3</v>
      </c>
      <c r="O16" s="54">
        <v>1.1259146022297156E-4</v>
      </c>
      <c r="P16" s="54">
        <v>4.9444884881546383E-5</v>
      </c>
      <c r="Q16" s="54">
        <v>0.10307475175794431</v>
      </c>
      <c r="R16" s="54">
        <v>7.7024102722717414E-3</v>
      </c>
      <c r="S16" s="54">
        <v>1.0413786895442496E-2</v>
      </c>
      <c r="T16" s="70">
        <v>4.9028959627982191E-2</v>
      </c>
      <c r="U16" s="54">
        <v>0.58812937007944222</v>
      </c>
      <c r="V16" s="54">
        <v>7.2523813450711414E-3</v>
      </c>
      <c r="W16" s="54">
        <v>2.4034535006418287E-4</v>
      </c>
      <c r="X16" s="54">
        <v>0.33765975117503866</v>
      </c>
      <c r="Y16" s="54">
        <v>0.29810046298877141</v>
      </c>
      <c r="Z16" s="54">
        <v>0.10758126118561046</v>
      </c>
      <c r="AA16" s="54">
        <v>0.69689634012991453</v>
      </c>
      <c r="AB16" s="54">
        <v>7.6411897226601133E-2</v>
      </c>
      <c r="AC16" s="55">
        <v>3.257094658320564E-2</v>
      </c>
    </row>
    <row r="17" spans="1:29" x14ac:dyDescent="0.35">
      <c r="A17" s="208"/>
      <c r="B17" s="201"/>
      <c r="C17" s="52" t="s">
        <v>126</v>
      </c>
      <c r="D17" s="56">
        <v>47</v>
      </c>
      <c r="E17" s="57">
        <v>47</v>
      </c>
      <c r="F17" s="57">
        <v>47</v>
      </c>
      <c r="G17" s="57">
        <v>47</v>
      </c>
      <c r="H17" s="57">
        <v>47</v>
      </c>
      <c r="I17" s="57">
        <v>47</v>
      </c>
      <c r="J17" s="57">
        <v>47</v>
      </c>
      <c r="K17" s="57">
        <v>47</v>
      </c>
      <c r="L17" s="57">
        <v>47</v>
      </c>
      <c r="M17" s="57">
        <v>47</v>
      </c>
      <c r="N17" s="57">
        <v>47</v>
      </c>
      <c r="O17" s="57">
        <v>47</v>
      </c>
      <c r="P17" s="57">
        <v>47</v>
      </c>
      <c r="Q17" s="57">
        <v>47</v>
      </c>
      <c r="R17" s="57">
        <v>47</v>
      </c>
      <c r="S17" s="57">
        <v>47</v>
      </c>
      <c r="T17" s="71">
        <v>47</v>
      </c>
      <c r="U17" s="57">
        <v>47</v>
      </c>
      <c r="V17" s="57">
        <v>47</v>
      </c>
      <c r="W17" s="57">
        <v>47</v>
      </c>
      <c r="X17" s="57">
        <v>47</v>
      </c>
      <c r="Y17" s="57">
        <v>47</v>
      </c>
      <c r="Z17" s="57">
        <v>47</v>
      </c>
      <c r="AA17" s="57">
        <v>47</v>
      </c>
      <c r="AB17" s="57">
        <v>47</v>
      </c>
      <c r="AC17" s="58">
        <v>47</v>
      </c>
    </row>
    <row r="18" spans="1:29" ht="34.5" x14ac:dyDescent="0.35">
      <c r="A18" s="208"/>
      <c r="B18" s="201" t="s">
        <v>103</v>
      </c>
      <c r="C18" s="52" t="s">
        <v>124</v>
      </c>
      <c r="D18" s="53" t="s">
        <v>130</v>
      </c>
      <c r="E18" s="54">
        <v>-0.26422294172062905</v>
      </c>
      <c r="F18" s="54">
        <v>0.27462997224791857</v>
      </c>
      <c r="G18" s="61" t="s">
        <v>168</v>
      </c>
      <c r="H18" s="61" t="s">
        <v>184</v>
      </c>
      <c r="I18" s="60">
        <v>1</v>
      </c>
      <c r="J18" s="54">
        <v>-0.27462997224791857</v>
      </c>
      <c r="K18" s="61" t="s">
        <v>197</v>
      </c>
      <c r="L18" s="61" t="s">
        <v>198</v>
      </c>
      <c r="M18" s="61" t="s">
        <v>199</v>
      </c>
      <c r="N18" s="54">
        <v>0.13783533765032377</v>
      </c>
      <c r="O18" s="61" t="s">
        <v>200</v>
      </c>
      <c r="P18" s="61" t="s">
        <v>201</v>
      </c>
      <c r="Q18" s="61" t="s">
        <v>202</v>
      </c>
      <c r="R18" s="61" t="s">
        <v>203</v>
      </c>
      <c r="S18" s="61" t="s">
        <v>204</v>
      </c>
      <c r="T18" s="72" t="s">
        <v>205</v>
      </c>
      <c r="U18" s="54">
        <v>-0.18393037647561636</v>
      </c>
      <c r="V18" s="61" t="s">
        <v>206</v>
      </c>
      <c r="W18" s="61" t="s">
        <v>207</v>
      </c>
      <c r="X18" s="54">
        <v>-9.5400537751986911E-2</v>
      </c>
      <c r="Y18" s="54">
        <v>-0.27067973798900391</v>
      </c>
      <c r="Z18" s="61" t="s">
        <v>205</v>
      </c>
      <c r="AA18" s="54">
        <v>3.3534734482516611E-3</v>
      </c>
      <c r="AB18" s="61" t="s">
        <v>208</v>
      </c>
      <c r="AC18" s="62" t="s">
        <v>205</v>
      </c>
    </row>
    <row r="19" spans="1:29" ht="23" x14ac:dyDescent="0.35">
      <c r="A19" s="208"/>
      <c r="B19" s="201"/>
      <c r="C19" s="52" t="s">
        <v>125</v>
      </c>
      <c r="D19" s="59">
        <v>1.3258993041543626E-2</v>
      </c>
      <c r="E19" s="54">
        <v>7.2703346126277144E-2</v>
      </c>
      <c r="F19" s="54">
        <v>6.1738609177607498E-2</v>
      </c>
      <c r="G19" s="54">
        <v>1.6009930932018543E-6</v>
      </c>
      <c r="H19" s="54">
        <v>1.9478079866936958E-16</v>
      </c>
      <c r="I19" s="61"/>
      <c r="J19" s="54">
        <v>6.1738609177607498E-2</v>
      </c>
      <c r="K19" s="54">
        <v>2.1573394317959076E-9</v>
      </c>
      <c r="L19" s="54">
        <v>4.9849688934007521E-8</v>
      </c>
      <c r="M19" s="54">
        <v>1.1306108112668157E-3</v>
      </c>
      <c r="N19" s="54">
        <v>0.35552456280311162</v>
      </c>
      <c r="O19" s="54">
        <v>4.6595078469034417E-3</v>
      </c>
      <c r="P19" s="54">
        <v>6.5479008920685223E-5</v>
      </c>
      <c r="Q19" s="54">
        <v>5.5494972226711485E-3</v>
      </c>
      <c r="R19" s="54">
        <v>2.9842020088052734E-3</v>
      </c>
      <c r="S19" s="54">
        <v>8.341282838111089E-4</v>
      </c>
      <c r="T19" s="70">
        <v>3.3199394660507319E-3</v>
      </c>
      <c r="U19" s="54">
        <v>0.21586462405072887</v>
      </c>
      <c r="V19" s="54">
        <v>4.534036308737591E-3</v>
      </c>
      <c r="W19" s="54">
        <v>1.5895457025719545E-5</v>
      </c>
      <c r="X19" s="54">
        <v>0.52355243966376142</v>
      </c>
      <c r="Y19" s="54">
        <v>6.5733336361233172E-2</v>
      </c>
      <c r="Z19" s="54">
        <v>3.3123376656707154E-3</v>
      </c>
      <c r="AA19" s="54">
        <v>0.98215183217491964</v>
      </c>
      <c r="AB19" s="54">
        <v>1.236393498416535E-2</v>
      </c>
      <c r="AC19" s="55">
        <v>3.2555375817444505E-3</v>
      </c>
    </row>
    <row r="20" spans="1:29" x14ac:dyDescent="0.35">
      <c r="A20" s="208"/>
      <c r="B20" s="201"/>
      <c r="C20" s="52" t="s">
        <v>126</v>
      </c>
      <c r="D20" s="56">
        <v>47</v>
      </c>
      <c r="E20" s="57">
        <v>47</v>
      </c>
      <c r="F20" s="57">
        <v>47</v>
      </c>
      <c r="G20" s="57">
        <v>47</v>
      </c>
      <c r="H20" s="57">
        <v>47</v>
      </c>
      <c r="I20" s="57">
        <v>47</v>
      </c>
      <c r="J20" s="57">
        <v>47</v>
      </c>
      <c r="K20" s="57">
        <v>47</v>
      </c>
      <c r="L20" s="57">
        <v>47</v>
      </c>
      <c r="M20" s="57">
        <v>47</v>
      </c>
      <c r="N20" s="57">
        <v>47</v>
      </c>
      <c r="O20" s="57">
        <v>47</v>
      </c>
      <c r="P20" s="57">
        <v>47</v>
      </c>
      <c r="Q20" s="57">
        <v>47</v>
      </c>
      <c r="R20" s="57">
        <v>47</v>
      </c>
      <c r="S20" s="57">
        <v>47</v>
      </c>
      <c r="T20" s="71">
        <v>47</v>
      </c>
      <c r="U20" s="57">
        <v>47</v>
      </c>
      <c r="V20" s="57">
        <v>47</v>
      </c>
      <c r="W20" s="57">
        <v>47</v>
      </c>
      <c r="X20" s="57">
        <v>47</v>
      </c>
      <c r="Y20" s="57">
        <v>47</v>
      </c>
      <c r="Z20" s="57">
        <v>47</v>
      </c>
      <c r="AA20" s="57">
        <v>47</v>
      </c>
      <c r="AB20" s="57">
        <v>47</v>
      </c>
      <c r="AC20" s="58">
        <v>47</v>
      </c>
    </row>
    <row r="21" spans="1:29" ht="34.5" x14ac:dyDescent="0.35">
      <c r="A21" s="208"/>
      <c r="B21" s="201" t="s">
        <v>104</v>
      </c>
      <c r="C21" s="52" t="s">
        <v>124</v>
      </c>
      <c r="D21" s="59">
        <v>0.2650323774283071</v>
      </c>
      <c r="E21" s="61" t="s">
        <v>140</v>
      </c>
      <c r="F21" s="61" t="s">
        <v>157</v>
      </c>
      <c r="G21" s="61" t="s">
        <v>169</v>
      </c>
      <c r="H21" s="61" t="s">
        <v>185</v>
      </c>
      <c r="I21" s="54">
        <v>-0.27462997224791857</v>
      </c>
      <c r="J21" s="60">
        <v>1</v>
      </c>
      <c r="K21" s="54">
        <v>-0.1435013876040703</v>
      </c>
      <c r="L21" s="54">
        <v>-0.23982423681776133</v>
      </c>
      <c r="M21" s="61" t="s">
        <v>209</v>
      </c>
      <c r="N21" s="61" t="s">
        <v>210</v>
      </c>
      <c r="O21" s="61" t="s">
        <v>211</v>
      </c>
      <c r="P21" s="61" t="s">
        <v>212</v>
      </c>
      <c r="Q21" s="61" t="s">
        <v>206</v>
      </c>
      <c r="R21" s="54">
        <v>-0.14280758556891768</v>
      </c>
      <c r="S21" s="54">
        <v>-0.27382053654024052</v>
      </c>
      <c r="T21" s="72" t="s">
        <v>213</v>
      </c>
      <c r="U21" s="54">
        <v>-0.13775950716819391</v>
      </c>
      <c r="V21" s="54">
        <v>-7.7733449795329312E-2</v>
      </c>
      <c r="W21" s="54">
        <v>-8.794517299912924E-2</v>
      </c>
      <c r="X21" s="54">
        <v>-0.24295336947505999</v>
      </c>
      <c r="Y21" s="61" t="s">
        <v>306</v>
      </c>
      <c r="Z21" s="61" t="s">
        <v>214</v>
      </c>
      <c r="AA21" s="54">
        <v>-8.4299384268119351E-2</v>
      </c>
      <c r="AB21" s="61" t="s">
        <v>215</v>
      </c>
      <c r="AC21" s="62" t="s">
        <v>216</v>
      </c>
    </row>
    <row r="22" spans="1:29" ht="23" x14ac:dyDescent="0.35">
      <c r="A22" s="208"/>
      <c r="B22" s="201"/>
      <c r="C22" s="52" t="s">
        <v>125</v>
      </c>
      <c r="D22" s="59">
        <v>7.1798819064211455E-2</v>
      </c>
      <c r="E22" s="54">
        <v>2.4681268407435421E-6</v>
      </c>
      <c r="F22" s="61"/>
      <c r="G22" s="54">
        <v>3.4680884502046538E-3</v>
      </c>
      <c r="H22" s="54">
        <v>5.2242510185059651E-4</v>
      </c>
      <c r="I22" s="54">
        <v>6.1738609177607498E-2</v>
      </c>
      <c r="J22" s="61"/>
      <c r="K22" s="54">
        <v>0.33590026976996967</v>
      </c>
      <c r="L22" s="54">
        <v>0.10444564252298889</v>
      </c>
      <c r="M22" s="54">
        <v>7.7558747815519949E-6</v>
      </c>
      <c r="N22" s="54">
        <v>4.2948903003784442E-14</v>
      </c>
      <c r="O22" s="54">
        <v>4.2533498219112763E-13</v>
      </c>
      <c r="P22" s="54">
        <v>1.5558825628623228E-6</v>
      </c>
      <c r="Q22" s="54">
        <v>4.4948305320177606E-3</v>
      </c>
      <c r="R22" s="54">
        <v>0.33826635022113427</v>
      </c>
      <c r="S22" s="54">
        <v>6.2540934900857312E-2</v>
      </c>
      <c r="T22" s="70">
        <v>1.1383025517859507E-2</v>
      </c>
      <c r="U22" s="54">
        <v>0.35579184758244597</v>
      </c>
      <c r="V22" s="54">
        <v>0.60351630925337618</v>
      </c>
      <c r="W22" s="54">
        <v>0.55664821075916271</v>
      </c>
      <c r="X22" s="54">
        <v>9.9864200095534941E-2</v>
      </c>
      <c r="Y22" s="54">
        <v>8.0356725884334545E-4</v>
      </c>
      <c r="Z22" s="54">
        <v>1.2727827628532359E-2</v>
      </c>
      <c r="AA22" s="54">
        <v>0.57318322234914376</v>
      </c>
      <c r="AB22" s="54">
        <v>6.4292396675989473E-3</v>
      </c>
      <c r="AC22" s="55">
        <v>2.9140859808468911E-2</v>
      </c>
    </row>
    <row r="23" spans="1:29" x14ac:dyDescent="0.35">
      <c r="A23" s="208"/>
      <c r="B23" s="201"/>
      <c r="C23" s="52" t="s">
        <v>126</v>
      </c>
      <c r="D23" s="56">
        <v>47</v>
      </c>
      <c r="E23" s="57">
        <v>47</v>
      </c>
      <c r="F23" s="57">
        <v>47</v>
      </c>
      <c r="G23" s="57">
        <v>47</v>
      </c>
      <c r="H23" s="57">
        <v>47</v>
      </c>
      <c r="I23" s="57">
        <v>47</v>
      </c>
      <c r="J23" s="57">
        <v>47</v>
      </c>
      <c r="K23" s="57">
        <v>47</v>
      </c>
      <c r="L23" s="57">
        <v>47</v>
      </c>
      <c r="M23" s="57">
        <v>47</v>
      </c>
      <c r="N23" s="57">
        <v>47</v>
      </c>
      <c r="O23" s="57">
        <v>47</v>
      </c>
      <c r="P23" s="57">
        <v>47</v>
      </c>
      <c r="Q23" s="57">
        <v>47</v>
      </c>
      <c r="R23" s="57">
        <v>47</v>
      </c>
      <c r="S23" s="57">
        <v>47</v>
      </c>
      <c r="T23" s="71">
        <v>47</v>
      </c>
      <c r="U23" s="57">
        <v>47</v>
      </c>
      <c r="V23" s="57">
        <v>47</v>
      </c>
      <c r="W23" s="57">
        <v>47</v>
      </c>
      <c r="X23" s="57">
        <v>47</v>
      </c>
      <c r="Y23" s="57">
        <v>47</v>
      </c>
      <c r="Z23" s="57">
        <v>47</v>
      </c>
      <c r="AA23" s="57">
        <v>47</v>
      </c>
      <c r="AB23" s="57">
        <v>47</v>
      </c>
      <c r="AC23" s="58">
        <v>47</v>
      </c>
    </row>
    <row r="24" spans="1:29" ht="34.5" x14ac:dyDescent="0.35">
      <c r="A24" s="208"/>
      <c r="B24" s="201" t="s">
        <v>105</v>
      </c>
      <c r="C24" s="52" t="s">
        <v>124</v>
      </c>
      <c r="D24" s="53" t="s">
        <v>131</v>
      </c>
      <c r="E24" s="61" t="s">
        <v>141</v>
      </c>
      <c r="F24" s="54">
        <v>0.1435013876040703</v>
      </c>
      <c r="G24" s="61" t="s">
        <v>170</v>
      </c>
      <c r="H24" s="61" t="s">
        <v>186</v>
      </c>
      <c r="I24" s="61" t="s">
        <v>197</v>
      </c>
      <c r="J24" s="54">
        <v>-0.1435013876040703</v>
      </c>
      <c r="K24" s="60">
        <v>1</v>
      </c>
      <c r="L24" s="61" t="s">
        <v>217</v>
      </c>
      <c r="M24" s="61" t="s">
        <v>218</v>
      </c>
      <c r="N24" s="54">
        <v>0.19357076780758556</v>
      </c>
      <c r="O24" s="54">
        <v>2.2664199814986123E-2</v>
      </c>
      <c r="P24" s="54">
        <v>0.27150786308973174</v>
      </c>
      <c r="Q24" s="61" t="s">
        <v>219</v>
      </c>
      <c r="R24" s="61" t="s">
        <v>139</v>
      </c>
      <c r="S24" s="61" t="s">
        <v>220</v>
      </c>
      <c r="T24" s="72" t="s">
        <v>221</v>
      </c>
      <c r="U24" s="54">
        <v>0.19140345318911384</v>
      </c>
      <c r="V24" s="61" t="s">
        <v>222</v>
      </c>
      <c r="W24" s="61" t="s">
        <v>149</v>
      </c>
      <c r="X24" s="61" t="s">
        <v>223</v>
      </c>
      <c r="Y24" s="61" t="s">
        <v>282</v>
      </c>
      <c r="Z24" s="61" t="s">
        <v>224</v>
      </c>
      <c r="AA24" s="54">
        <v>9.4533260136059755E-2</v>
      </c>
      <c r="AB24" s="61" t="s">
        <v>225</v>
      </c>
      <c r="AC24" s="62" t="s">
        <v>226</v>
      </c>
    </row>
    <row r="25" spans="1:29" ht="23" x14ac:dyDescent="0.35">
      <c r="A25" s="208"/>
      <c r="B25" s="201"/>
      <c r="C25" s="52" t="s">
        <v>125</v>
      </c>
      <c r="D25" s="59">
        <v>1.2611458845021445E-4</v>
      </c>
      <c r="E25" s="54">
        <v>9.3214417064710125E-5</v>
      </c>
      <c r="F25" s="54">
        <v>0.33590026976996967</v>
      </c>
      <c r="G25" s="54">
        <v>3.1035164077367185E-13</v>
      </c>
      <c r="H25" s="54">
        <v>2.4643586290848879E-7</v>
      </c>
      <c r="I25" s="54">
        <v>2.1573394317959076E-9</v>
      </c>
      <c r="J25" s="54">
        <v>0.33590026976996967</v>
      </c>
      <c r="K25" s="61"/>
      <c r="L25" s="54">
        <v>3.7421504259961745E-18</v>
      </c>
      <c r="M25" s="54">
        <v>4.8322815273648819E-9</v>
      </c>
      <c r="N25" s="54">
        <v>0.19233919383359865</v>
      </c>
      <c r="O25" s="54">
        <v>0.87980746062411697</v>
      </c>
      <c r="P25" s="54">
        <v>6.4879273626041817E-2</v>
      </c>
      <c r="Q25" s="54">
        <v>5.5129466128113308E-5</v>
      </c>
      <c r="R25" s="54">
        <v>3.3529930477004541E-6</v>
      </c>
      <c r="S25" s="54">
        <v>8.8837470468715831E-7</v>
      </c>
      <c r="T25" s="70">
        <v>1.9348259916734316E-4</v>
      </c>
      <c r="U25" s="54">
        <v>0.19746221077462145</v>
      </c>
      <c r="V25" s="54">
        <v>4.7576170757546639E-5</v>
      </c>
      <c r="W25" s="54">
        <v>5.6345782016285598E-9</v>
      </c>
      <c r="X25" s="54">
        <v>4.8317561756456462E-2</v>
      </c>
      <c r="Y25" s="54">
        <v>4.133953304068576E-3</v>
      </c>
      <c r="Z25" s="54">
        <v>1.6338563537980603E-4</v>
      </c>
      <c r="AA25" s="54">
        <v>0.52735169778876156</v>
      </c>
      <c r="AB25" s="54">
        <v>2.3779807367098533E-4</v>
      </c>
      <c r="AC25" s="55">
        <v>1.8518817587535229E-4</v>
      </c>
    </row>
    <row r="26" spans="1:29" x14ac:dyDescent="0.35">
      <c r="A26" s="208"/>
      <c r="B26" s="201"/>
      <c r="C26" s="52" t="s">
        <v>126</v>
      </c>
      <c r="D26" s="56">
        <v>47</v>
      </c>
      <c r="E26" s="57">
        <v>47</v>
      </c>
      <c r="F26" s="57">
        <v>47</v>
      </c>
      <c r="G26" s="57">
        <v>47</v>
      </c>
      <c r="H26" s="57">
        <v>47</v>
      </c>
      <c r="I26" s="57">
        <v>47</v>
      </c>
      <c r="J26" s="57">
        <v>47</v>
      </c>
      <c r="K26" s="57">
        <v>47</v>
      </c>
      <c r="L26" s="57">
        <v>47</v>
      </c>
      <c r="M26" s="57">
        <v>47</v>
      </c>
      <c r="N26" s="57">
        <v>47</v>
      </c>
      <c r="O26" s="57">
        <v>47</v>
      </c>
      <c r="P26" s="57">
        <v>47</v>
      </c>
      <c r="Q26" s="57">
        <v>47</v>
      </c>
      <c r="R26" s="57">
        <v>47</v>
      </c>
      <c r="S26" s="57">
        <v>47</v>
      </c>
      <c r="T26" s="71">
        <v>47</v>
      </c>
      <c r="U26" s="57">
        <v>47</v>
      </c>
      <c r="V26" s="57">
        <v>47</v>
      </c>
      <c r="W26" s="57">
        <v>47</v>
      </c>
      <c r="X26" s="57">
        <v>47</v>
      </c>
      <c r="Y26" s="57">
        <v>47</v>
      </c>
      <c r="Z26" s="57">
        <v>47</v>
      </c>
      <c r="AA26" s="57">
        <v>47</v>
      </c>
      <c r="AB26" s="57">
        <v>47</v>
      </c>
      <c r="AC26" s="58">
        <v>47</v>
      </c>
    </row>
    <row r="27" spans="1:29" ht="34.5" x14ac:dyDescent="0.35">
      <c r="A27" s="208"/>
      <c r="B27" s="201" t="s">
        <v>106</v>
      </c>
      <c r="C27" s="52" t="s">
        <v>124</v>
      </c>
      <c r="D27" s="53" t="s">
        <v>132</v>
      </c>
      <c r="E27" s="61" t="s">
        <v>142</v>
      </c>
      <c r="F27" s="54">
        <v>0.23982423681776133</v>
      </c>
      <c r="G27" s="61" t="s">
        <v>171</v>
      </c>
      <c r="H27" s="61" t="s">
        <v>187</v>
      </c>
      <c r="I27" s="61" t="s">
        <v>198</v>
      </c>
      <c r="J27" s="54">
        <v>-0.23982423681776133</v>
      </c>
      <c r="K27" s="61" t="s">
        <v>217</v>
      </c>
      <c r="L27" s="60">
        <v>1</v>
      </c>
      <c r="M27" s="61" t="s">
        <v>227</v>
      </c>
      <c r="N27" s="54">
        <v>0.19484273820536541</v>
      </c>
      <c r="O27" s="54">
        <v>2.8561517113783533E-2</v>
      </c>
      <c r="P27" s="54">
        <v>0.10696114708603145</v>
      </c>
      <c r="Q27" s="61" t="s">
        <v>228</v>
      </c>
      <c r="R27" s="61" t="s">
        <v>229</v>
      </c>
      <c r="S27" s="61" t="s">
        <v>230</v>
      </c>
      <c r="T27" s="72" t="s">
        <v>231</v>
      </c>
      <c r="U27" s="54">
        <v>0.18618967873783651</v>
      </c>
      <c r="V27" s="61" t="s">
        <v>232</v>
      </c>
      <c r="W27" s="61" t="s">
        <v>233</v>
      </c>
      <c r="X27" s="61" t="s">
        <v>234</v>
      </c>
      <c r="Y27" s="61" t="s">
        <v>307</v>
      </c>
      <c r="Z27" s="61" t="s">
        <v>235</v>
      </c>
      <c r="AA27" s="54">
        <v>5.88592408675895E-2</v>
      </c>
      <c r="AB27" s="61" t="s">
        <v>236</v>
      </c>
      <c r="AC27" s="62" t="s">
        <v>237</v>
      </c>
    </row>
    <row r="28" spans="1:29" ht="23" x14ac:dyDescent="0.35">
      <c r="A28" s="208"/>
      <c r="B28" s="201"/>
      <c r="C28" s="52" t="s">
        <v>125</v>
      </c>
      <c r="D28" s="59">
        <v>2.1305318656494574E-2</v>
      </c>
      <c r="E28" s="54">
        <v>6.5969972686164263E-4</v>
      </c>
      <c r="F28" s="54">
        <v>0.10444564252298889</v>
      </c>
      <c r="G28" s="54">
        <v>2.6914217844882939E-15</v>
      </c>
      <c r="H28" s="54">
        <v>1.0533225604759791E-5</v>
      </c>
      <c r="I28" s="54">
        <v>4.9849688934007521E-8</v>
      </c>
      <c r="J28" s="54">
        <v>0.10444564252298889</v>
      </c>
      <c r="K28" s="54">
        <v>3.7421504259961745E-18</v>
      </c>
      <c r="L28" s="61"/>
      <c r="M28" s="54">
        <v>8.52493083305395E-9</v>
      </c>
      <c r="N28" s="54">
        <v>0.18937689266482607</v>
      </c>
      <c r="O28" s="54">
        <v>0.84885932846995449</v>
      </c>
      <c r="P28" s="54">
        <v>0.47423848960249892</v>
      </c>
      <c r="Q28" s="54">
        <v>8.6836512095347354E-4</v>
      </c>
      <c r="R28" s="54">
        <v>1.3557188846248909E-4</v>
      </c>
      <c r="S28" s="54">
        <v>3.930073549885358E-5</v>
      </c>
      <c r="T28" s="70">
        <v>1.7643307482120545E-3</v>
      </c>
      <c r="U28" s="54">
        <v>0.21017965213769821</v>
      </c>
      <c r="V28" s="54">
        <v>9.7415465629718692E-4</v>
      </c>
      <c r="W28" s="54">
        <v>4.8316227321632314E-7</v>
      </c>
      <c r="X28" s="54">
        <v>9.0020760076985357E-3</v>
      </c>
      <c r="Y28" s="54">
        <v>9.2335692024644357E-4</v>
      </c>
      <c r="Z28" s="54">
        <v>1.8873161328727401E-3</v>
      </c>
      <c r="AA28" s="54">
        <v>0.69432402122850645</v>
      </c>
      <c r="AB28" s="54">
        <v>2.1448959202870381E-4</v>
      </c>
      <c r="AC28" s="55">
        <v>8.3133055273871181E-4</v>
      </c>
    </row>
    <row r="29" spans="1:29" x14ac:dyDescent="0.35">
      <c r="A29" s="208"/>
      <c r="B29" s="201"/>
      <c r="C29" s="52" t="s">
        <v>126</v>
      </c>
      <c r="D29" s="56">
        <v>47</v>
      </c>
      <c r="E29" s="57">
        <v>47</v>
      </c>
      <c r="F29" s="57">
        <v>47</v>
      </c>
      <c r="G29" s="57">
        <v>47</v>
      </c>
      <c r="H29" s="57">
        <v>47</v>
      </c>
      <c r="I29" s="57">
        <v>47</v>
      </c>
      <c r="J29" s="57">
        <v>47</v>
      </c>
      <c r="K29" s="57">
        <v>47</v>
      </c>
      <c r="L29" s="57">
        <v>47</v>
      </c>
      <c r="M29" s="57">
        <v>47</v>
      </c>
      <c r="N29" s="57">
        <v>47</v>
      </c>
      <c r="O29" s="57">
        <v>47</v>
      </c>
      <c r="P29" s="57">
        <v>47</v>
      </c>
      <c r="Q29" s="57">
        <v>47</v>
      </c>
      <c r="R29" s="57">
        <v>47</v>
      </c>
      <c r="S29" s="57">
        <v>47</v>
      </c>
      <c r="T29" s="71">
        <v>47</v>
      </c>
      <c r="U29" s="57">
        <v>47</v>
      </c>
      <c r="V29" s="57">
        <v>47</v>
      </c>
      <c r="W29" s="57">
        <v>47</v>
      </c>
      <c r="X29" s="57">
        <v>47</v>
      </c>
      <c r="Y29" s="57">
        <v>47</v>
      </c>
      <c r="Z29" s="57">
        <v>47</v>
      </c>
      <c r="AA29" s="57">
        <v>47</v>
      </c>
      <c r="AB29" s="57">
        <v>47</v>
      </c>
      <c r="AC29" s="58">
        <v>47</v>
      </c>
    </row>
    <row r="30" spans="1:29" ht="34.5" x14ac:dyDescent="0.35">
      <c r="A30" s="208"/>
      <c r="B30" s="201" t="s">
        <v>107</v>
      </c>
      <c r="C30" s="52" t="s">
        <v>124</v>
      </c>
      <c r="D30" s="59">
        <v>2.9139685476410732E-2</v>
      </c>
      <c r="E30" s="61" t="s">
        <v>143</v>
      </c>
      <c r="F30" s="61" t="s">
        <v>158</v>
      </c>
      <c r="G30" s="61" t="s">
        <v>172</v>
      </c>
      <c r="H30" s="54">
        <v>-0.27520814061054577</v>
      </c>
      <c r="I30" s="61" t="s">
        <v>199</v>
      </c>
      <c r="J30" s="61" t="s">
        <v>209</v>
      </c>
      <c r="K30" s="61" t="s">
        <v>218</v>
      </c>
      <c r="L30" s="61" t="s">
        <v>227</v>
      </c>
      <c r="M30" s="60">
        <v>1</v>
      </c>
      <c r="N30" s="61" t="s">
        <v>233</v>
      </c>
      <c r="O30" s="61" t="s">
        <v>238</v>
      </c>
      <c r="P30" s="54">
        <v>-2.6595744680851063E-3</v>
      </c>
      <c r="Q30" s="61" t="s">
        <v>239</v>
      </c>
      <c r="R30" s="61" t="s">
        <v>240</v>
      </c>
      <c r="S30" s="61" t="s">
        <v>241</v>
      </c>
      <c r="T30" s="72" t="s">
        <v>242</v>
      </c>
      <c r="U30" s="54">
        <v>0.23015917661027521</v>
      </c>
      <c r="V30" s="61" t="s">
        <v>243</v>
      </c>
      <c r="W30" s="61" t="s">
        <v>244</v>
      </c>
      <c r="X30" s="61" t="s">
        <v>245</v>
      </c>
      <c r="Y30" s="61" t="s">
        <v>277</v>
      </c>
      <c r="Z30" s="61" t="s">
        <v>246</v>
      </c>
      <c r="AA30" s="54">
        <v>0.17761845574188109</v>
      </c>
      <c r="AB30" s="61" t="s">
        <v>247</v>
      </c>
      <c r="AC30" s="62" t="s">
        <v>212</v>
      </c>
    </row>
    <row r="31" spans="1:29" ht="23" x14ac:dyDescent="0.35">
      <c r="A31" s="208"/>
      <c r="B31" s="201"/>
      <c r="C31" s="52" t="s">
        <v>125</v>
      </c>
      <c r="D31" s="59">
        <v>0.845836506218969</v>
      </c>
      <c r="E31" s="54">
        <v>6.020180632025486E-16</v>
      </c>
      <c r="F31" s="54">
        <v>7.7558747815519949E-6</v>
      </c>
      <c r="G31" s="54">
        <v>3.1468105591860942E-16</v>
      </c>
      <c r="H31" s="54">
        <v>6.1170574972325351E-2</v>
      </c>
      <c r="I31" s="54">
        <v>1.1306108112668157E-3</v>
      </c>
      <c r="J31" s="54">
        <v>7.7558747815519949E-6</v>
      </c>
      <c r="K31" s="54">
        <v>4.8322815273648819E-9</v>
      </c>
      <c r="L31" s="54">
        <v>8.52493083305395E-9</v>
      </c>
      <c r="M31" s="61"/>
      <c r="N31" s="54">
        <v>4.7754292161334189E-7</v>
      </c>
      <c r="O31" s="54">
        <v>5.584703010871521E-4</v>
      </c>
      <c r="P31" s="54">
        <v>0.98584454251197395</v>
      </c>
      <c r="Q31" s="54">
        <v>3.0245928264536848E-8</v>
      </c>
      <c r="R31" s="54">
        <v>8.7952010150887225E-5</v>
      </c>
      <c r="S31" s="54">
        <v>2.2639344455384179E-7</v>
      </c>
      <c r="T31" s="70">
        <v>9.3306669199842773E-9</v>
      </c>
      <c r="U31" s="54">
        <v>0.11961770753461311</v>
      </c>
      <c r="V31" s="54">
        <v>1.398821205048625E-3</v>
      </c>
      <c r="W31" s="54">
        <v>6.509004294682133E-6</v>
      </c>
      <c r="X31" s="54">
        <v>1.9825503343389308E-2</v>
      </c>
      <c r="Y31" s="54">
        <v>1.9352681514237875E-7</v>
      </c>
      <c r="Z31" s="54">
        <v>2.1063280064593393E-7</v>
      </c>
      <c r="AA31" s="54">
        <v>0.23231107270054419</v>
      </c>
      <c r="AB31" s="54">
        <v>2.6812287743850139E-7</v>
      </c>
      <c r="AC31" s="55">
        <v>1.5470032114820503E-6</v>
      </c>
    </row>
    <row r="32" spans="1:29" x14ac:dyDescent="0.35">
      <c r="A32" s="208"/>
      <c r="B32" s="201"/>
      <c r="C32" s="52" t="s">
        <v>126</v>
      </c>
      <c r="D32" s="56">
        <v>47</v>
      </c>
      <c r="E32" s="57">
        <v>47</v>
      </c>
      <c r="F32" s="57">
        <v>47</v>
      </c>
      <c r="G32" s="57">
        <v>47</v>
      </c>
      <c r="H32" s="57">
        <v>47</v>
      </c>
      <c r="I32" s="57">
        <v>47</v>
      </c>
      <c r="J32" s="57">
        <v>47</v>
      </c>
      <c r="K32" s="57">
        <v>47</v>
      </c>
      <c r="L32" s="57">
        <v>47</v>
      </c>
      <c r="M32" s="57">
        <v>47</v>
      </c>
      <c r="N32" s="57">
        <v>47</v>
      </c>
      <c r="O32" s="57">
        <v>47</v>
      </c>
      <c r="P32" s="57">
        <v>47</v>
      </c>
      <c r="Q32" s="57">
        <v>47</v>
      </c>
      <c r="R32" s="57">
        <v>47</v>
      </c>
      <c r="S32" s="57">
        <v>47</v>
      </c>
      <c r="T32" s="71">
        <v>47</v>
      </c>
      <c r="U32" s="57">
        <v>47</v>
      </c>
      <c r="V32" s="57">
        <v>47</v>
      </c>
      <c r="W32" s="57">
        <v>47</v>
      </c>
      <c r="X32" s="57">
        <v>47</v>
      </c>
      <c r="Y32" s="57">
        <v>47</v>
      </c>
      <c r="Z32" s="57">
        <v>47</v>
      </c>
      <c r="AA32" s="57">
        <v>47</v>
      </c>
      <c r="AB32" s="57">
        <v>47</v>
      </c>
      <c r="AC32" s="58">
        <v>47</v>
      </c>
    </row>
    <row r="33" spans="1:29" ht="34.5" x14ac:dyDescent="0.35">
      <c r="A33" s="208"/>
      <c r="B33" s="201" t="s">
        <v>108</v>
      </c>
      <c r="C33" s="52" t="s">
        <v>124</v>
      </c>
      <c r="D33" s="59">
        <v>-2.9486586493987048E-2</v>
      </c>
      <c r="E33" s="61" t="s">
        <v>144</v>
      </c>
      <c r="F33" s="61" t="s">
        <v>159</v>
      </c>
      <c r="G33" s="61" t="s">
        <v>173</v>
      </c>
      <c r="H33" s="61" t="s">
        <v>188</v>
      </c>
      <c r="I33" s="54">
        <v>0.13783533765032377</v>
      </c>
      <c r="J33" s="61" t="s">
        <v>210</v>
      </c>
      <c r="K33" s="54">
        <v>0.19357076780758556</v>
      </c>
      <c r="L33" s="54">
        <v>0.19484273820536541</v>
      </c>
      <c r="M33" s="61" t="s">
        <v>233</v>
      </c>
      <c r="N33" s="60">
        <v>1</v>
      </c>
      <c r="O33" s="61" t="s">
        <v>248</v>
      </c>
      <c r="P33" s="54">
        <v>-0.2444495837187789</v>
      </c>
      <c r="Q33" s="61" t="s">
        <v>249</v>
      </c>
      <c r="R33" s="61" t="s">
        <v>250</v>
      </c>
      <c r="S33" s="61" t="s">
        <v>251</v>
      </c>
      <c r="T33" s="72" t="s">
        <v>252</v>
      </c>
      <c r="U33" s="54">
        <v>0.22593022622201694</v>
      </c>
      <c r="V33" s="54">
        <v>0.19864571831539107</v>
      </c>
      <c r="W33" s="54">
        <v>0.20811762320912361</v>
      </c>
      <c r="X33" s="54">
        <v>0.108987887068179</v>
      </c>
      <c r="Y33" s="61" t="s">
        <v>308</v>
      </c>
      <c r="Z33" s="61" t="s">
        <v>253</v>
      </c>
      <c r="AA33" s="54">
        <v>0.10864097602180812</v>
      </c>
      <c r="AB33" s="61" t="s">
        <v>254</v>
      </c>
      <c r="AC33" s="62" t="s">
        <v>255</v>
      </c>
    </row>
    <row r="34" spans="1:29" ht="23" x14ac:dyDescent="0.35">
      <c r="A34" s="208"/>
      <c r="B34" s="201"/>
      <c r="C34" s="52" t="s">
        <v>125</v>
      </c>
      <c r="D34" s="59">
        <v>0.84402386183717082</v>
      </c>
      <c r="E34" s="54">
        <v>5.7190769513672547E-14</v>
      </c>
      <c r="F34" s="54">
        <v>4.2948903003784442E-14</v>
      </c>
      <c r="G34" s="54">
        <v>1.88224979963676E-2</v>
      </c>
      <c r="H34" s="54">
        <v>6.9219448044634006E-3</v>
      </c>
      <c r="I34" s="54">
        <v>0.35552456280311162</v>
      </c>
      <c r="J34" s="54">
        <v>4.2948903003784442E-14</v>
      </c>
      <c r="K34" s="54">
        <v>0.19233919383359865</v>
      </c>
      <c r="L34" s="54">
        <v>0.18937689266482607</v>
      </c>
      <c r="M34" s="54">
        <v>4.7754292161334189E-7</v>
      </c>
      <c r="N34" s="61"/>
      <c r="O34" s="54">
        <v>1.2900202965394899E-19</v>
      </c>
      <c r="P34" s="54">
        <v>9.7729029160516331E-2</v>
      </c>
      <c r="Q34" s="54">
        <v>2.4155133884279915E-5</v>
      </c>
      <c r="R34" s="54">
        <v>1.7900233491774175E-2</v>
      </c>
      <c r="S34" s="54">
        <v>8.8005390790450418E-4</v>
      </c>
      <c r="T34" s="70">
        <v>1.006838041054575E-4</v>
      </c>
      <c r="U34" s="54">
        <v>0.12675807807403755</v>
      </c>
      <c r="V34" s="54">
        <v>0.18071421475142496</v>
      </c>
      <c r="W34" s="54">
        <v>0.16038215585682344</v>
      </c>
      <c r="X34" s="54">
        <v>0.46585487417353444</v>
      </c>
      <c r="Y34" s="54">
        <v>2.0345653971383454E-5</v>
      </c>
      <c r="Z34" s="54">
        <v>1.163136720456663E-4</v>
      </c>
      <c r="AA34" s="54">
        <v>0.46728420470182486</v>
      </c>
      <c r="AB34" s="54">
        <v>3.0023976869447585E-4</v>
      </c>
      <c r="AC34" s="55">
        <v>1.5035506711236274E-3</v>
      </c>
    </row>
    <row r="35" spans="1:29" x14ac:dyDescent="0.35">
      <c r="A35" s="208"/>
      <c r="B35" s="201"/>
      <c r="C35" s="52" t="s">
        <v>126</v>
      </c>
      <c r="D35" s="56">
        <v>47</v>
      </c>
      <c r="E35" s="57">
        <v>47</v>
      </c>
      <c r="F35" s="57">
        <v>47</v>
      </c>
      <c r="G35" s="57">
        <v>47</v>
      </c>
      <c r="H35" s="57">
        <v>47</v>
      </c>
      <c r="I35" s="57">
        <v>47</v>
      </c>
      <c r="J35" s="57">
        <v>47</v>
      </c>
      <c r="K35" s="57">
        <v>47</v>
      </c>
      <c r="L35" s="57">
        <v>47</v>
      </c>
      <c r="M35" s="57">
        <v>47</v>
      </c>
      <c r="N35" s="57">
        <v>47</v>
      </c>
      <c r="O35" s="57">
        <v>47</v>
      </c>
      <c r="P35" s="57">
        <v>47</v>
      </c>
      <c r="Q35" s="57">
        <v>47</v>
      </c>
      <c r="R35" s="57">
        <v>47</v>
      </c>
      <c r="S35" s="57">
        <v>47</v>
      </c>
      <c r="T35" s="71">
        <v>47</v>
      </c>
      <c r="U35" s="57">
        <v>47</v>
      </c>
      <c r="V35" s="57">
        <v>47</v>
      </c>
      <c r="W35" s="57">
        <v>47</v>
      </c>
      <c r="X35" s="57">
        <v>47</v>
      </c>
      <c r="Y35" s="57">
        <v>47</v>
      </c>
      <c r="Z35" s="57">
        <v>47</v>
      </c>
      <c r="AA35" s="57">
        <v>47</v>
      </c>
      <c r="AB35" s="57">
        <v>47</v>
      </c>
      <c r="AC35" s="58">
        <v>47</v>
      </c>
    </row>
    <row r="36" spans="1:29" ht="34.5" x14ac:dyDescent="0.35">
      <c r="A36" s="208"/>
      <c r="B36" s="201" t="s">
        <v>109</v>
      </c>
      <c r="C36" s="52" t="s">
        <v>124</v>
      </c>
      <c r="D36" s="59">
        <v>-8.314061054579093E-2</v>
      </c>
      <c r="E36" s="61" t="s">
        <v>145</v>
      </c>
      <c r="F36" s="61" t="s">
        <v>160</v>
      </c>
      <c r="G36" s="54">
        <v>0.17946345975948197</v>
      </c>
      <c r="H36" s="61" t="s">
        <v>189</v>
      </c>
      <c r="I36" s="61" t="s">
        <v>200</v>
      </c>
      <c r="J36" s="61" t="s">
        <v>211</v>
      </c>
      <c r="K36" s="54">
        <v>2.2664199814986123E-2</v>
      </c>
      <c r="L36" s="54">
        <v>2.8561517113783533E-2</v>
      </c>
      <c r="M36" s="61" t="s">
        <v>238</v>
      </c>
      <c r="N36" s="61" t="s">
        <v>248</v>
      </c>
      <c r="O36" s="60">
        <v>1</v>
      </c>
      <c r="P36" s="61" t="s">
        <v>256</v>
      </c>
      <c r="Q36" s="61" t="s">
        <v>257</v>
      </c>
      <c r="R36" s="54">
        <v>0.26907955596669753</v>
      </c>
      <c r="S36" s="61" t="s">
        <v>258</v>
      </c>
      <c r="T36" s="72" t="s">
        <v>259</v>
      </c>
      <c r="U36" s="54">
        <v>0.14059811770277822</v>
      </c>
      <c r="V36" s="54">
        <v>0.11199867859565318</v>
      </c>
      <c r="W36" s="54">
        <v>0.1053606315996147</v>
      </c>
      <c r="X36" s="54">
        <v>0.16460929150297379</v>
      </c>
      <c r="Y36" s="61" t="s">
        <v>260</v>
      </c>
      <c r="Z36" s="61" t="s">
        <v>261</v>
      </c>
      <c r="AA36" s="54">
        <v>0.12234396235345715</v>
      </c>
      <c r="AB36" s="61" t="s">
        <v>262</v>
      </c>
      <c r="AC36" s="62" t="s">
        <v>263</v>
      </c>
    </row>
    <row r="37" spans="1:29" ht="23" x14ac:dyDescent="0.35">
      <c r="A37" s="208"/>
      <c r="B37" s="201"/>
      <c r="C37" s="52" t="s">
        <v>125</v>
      </c>
      <c r="D37" s="59">
        <v>0.57848541516579344</v>
      </c>
      <c r="E37" s="54">
        <v>1.4867987556500314E-8</v>
      </c>
      <c r="F37" s="54">
        <v>4.2533498219112763E-13</v>
      </c>
      <c r="G37" s="54">
        <v>0.22741734469205635</v>
      </c>
      <c r="H37" s="54">
        <v>1.1259146022297156E-4</v>
      </c>
      <c r="I37" s="54">
        <v>4.6595078469034417E-3</v>
      </c>
      <c r="J37" s="54">
        <v>4.2533498219112763E-13</v>
      </c>
      <c r="K37" s="54">
        <v>0.87980746062411697</v>
      </c>
      <c r="L37" s="54">
        <v>0.84885932846995449</v>
      </c>
      <c r="M37" s="54">
        <v>5.584703010871521E-4</v>
      </c>
      <c r="N37" s="54">
        <v>1.2900202965394899E-19</v>
      </c>
      <c r="O37" s="61"/>
      <c r="P37" s="54">
        <v>6.9219448044634006E-3</v>
      </c>
      <c r="Q37" s="54">
        <v>2.5837250672192517E-3</v>
      </c>
      <c r="R37" s="54">
        <v>6.7408988285174193E-2</v>
      </c>
      <c r="S37" s="54">
        <v>1.6283317630407242E-2</v>
      </c>
      <c r="T37" s="70">
        <v>5.3779907851757881E-3</v>
      </c>
      <c r="U37" s="54">
        <v>0.34586999957531295</v>
      </c>
      <c r="V37" s="54">
        <v>0.45354901207638787</v>
      </c>
      <c r="W37" s="54">
        <v>0.48091519338190847</v>
      </c>
      <c r="X37" s="54">
        <v>0.26886517858328557</v>
      </c>
      <c r="Y37" s="54">
        <v>2.978688129934928E-4</v>
      </c>
      <c r="Z37" s="54">
        <v>1.4618471892299197E-2</v>
      </c>
      <c r="AA37" s="54">
        <v>0.4126457002159023</v>
      </c>
      <c r="AB37" s="54">
        <v>6.0314707513900037E-3</v>
      </c>
      <c r="AC37" s="55">
        <v>2.5349465682115064E-2</v>
      </c>
    </row>
    <row r="38" spans="1:29" x14ac:dyDescent="0.35">
      <c r="A38" s="208"/>
      <c r="B38" s="201"/>
      <c r="C38" s="52" t="s">
        <v>126</v>
      </c>
      <c r="D38" s="56">
        <v>47</v>
      </c>
      <c r="E38" s="57">
        <v>47</v>
      </c>
      <c r="F38" s="57">
        <v>47</v>
      </c>
      <c r="G38" s="57">
        <v>47</v>
      </c>
      <c r="H38" s="57">
        <v>47</v>
      </c>
      <c r="I38" s="57">
        <v>47</v>
      </c>
      <c r="J38" s="57">
        <v>47</v>
      </c>
      <c r="K38" s="57">
        <v>47</v>
      </c>
      <c r="L38" s="57">
        <v>47</v>
      </c>
      <c r="M38" s="57">
        <v>47</v>
      </c>
      <c r="N38" s="57">
        <v>47</v>
      </c>
      <c r="O38" s="57">
        <v>47</v>
      </c>
      <c r="P38" s="57">
        <v>47</v>
      </c>
      <c r="Q38" s="57">
        <v>47</v>
      </c>
      <c r="R38" s="57">
        <v>47</v>
      </c>
      <c r="S38" s="57">
        <v>47</v>
      </c>
      <c r="T38" s="71">
        <v>47</v>
      </c>
      <c r="U38" s="57">
        <v>47</v>
      </c>
      <c r="V38" s="57">
        <v>47</v>
      </c>
      <c r="W38" s="57">
        <v>47</v>
      </c>
      <c r="X38" s="57">
        <v>47</v>
      </c>
      <c r="Y38" s="57">
        <v>47</v>
      </c>
      <c r="Z38" s="57">
        <v>47</v>
      </c>
      <c r="AA38" s="57">
        <v>47</v>
      </c>
      <c r="AB38" s="57">
        <v>47</v>
      </c>
      <c r="AC38" s="58">
        <v>47</v>
      </c>
    </row>
    <row r="39" spans="1:29" ht="34.5" x14ac:dyDescent="0.35">
      <c r="A39" s="208"/>
      <c r="B39" s="201" t="s">
        <v>110</v>
      </c>
      <c r="C39" s="52" t="s">
        <v>124</v>
      </c>
      <c r="D39" s="53" t="s">
        <v>133</v>
      </c>
      <c r="E39" s="54">
        <v>8.0827937095282146E-2</v>
      </c>
      <c r="F39" s="61" t="s">
        <v>161</v>
      </c>
      <c r="G39" s="54">
        <v>-2.2779833487511562E-2</v>
      </c>
      <c r="H39" s="61" t="s">
        <v>190</v>
      </c>
      <c r="I39" s="61" t="s">
        <v>201</v>
      </c>
      <c r="J39" s="61" t="s">
        <v>212</v>
      </c>
      <c r="K39" s="54">
        <v>0.27150786308973174</v>
      </c>
      <c r="L39" s="54">
        <v>0.10696114708603145</v>
      </c>
      <c r="M39" s="54">
        <v>-2.6595744680851063E-3</v>
      </c>
      <c r="N39" s="54">
        <v>-0.2444495837187789</v>
      </c>
      <c r="O39" s="61" t="s">
        <v>256</v>
      </c>
      <c r="P39" s="60">
        <v>1</v>
      </c>
      <c r="Q39" s="54">
        <v>0.10187326549491212</v>
      </c>
      <c r="R39" s="54">
        <v>0.27948658649398705</v>
      </c>
      <c r="S39" s="54">
        <v>0.21924144310823312</v>
      </c>
      <c r="T39" s="70">
        <v>0.12785284821001214</v>
      </c>
      <c r="U39" s="54">
        <v>0.13080780789982416</v>
      </c>
      <c r="V39" s="54">
        <v>0.25658405282404678</v>
      </c>
      <c r="W39" s="61" t="s">
        <v>264</v>
      </c>
      <c r="X39" s="54">
        <v>-0.28302159533089449</v>
      </c>
      <c r="Y39" s="54">
        <v>-3.4001214684369646E-2</v>
      </c>
      <c r="Z39" s="54">
        <v>0.13008788159111934</v>
      </c>
      <c r="AA39" s="54">
        <v>-1.219970513070863E-2</v>
      </c>
      <c r="AB39" s="54">
        <v>2.3820536540240519E-2</v>
      </c>
      <c r="AC39" s="55">
        <v>5.4232192414431085E-2</v>
      </c>
    </row>
    <row r="40" spans="1:29" ht="23" x14ac:dyDescent="0.35">
      <c r="A40" s="208"/>
      <c r="B40" s="201"/>
      <c r="C40" s="52" t="s">
        <v>125</v>
      </c>
      <c r="D40" s="59">
        <v>2.2201807964727528E-4</v>
      </c>
      <c r="E40" s="54">
        <v>0.5891335379883671</v>
      </c>
      <c r="F40" s="54">
        <v>1.5558825628623228E-6</v>
      </c>
      <c r="G40" s="54">
        <v>0.87919877077044462</v>
      </c>
      <c r="H40" s="54">
        <v>4.9444884881546383E-5</v>
      </c>
      <c r="I40" s="54">
        <v>6.5479008920685223E-5</v>
      </c>
      <c r="J40" s="54">
        <v>1.5558825628623228E-6</v>
      </c>
      <c r="K40" s="54">
        <v>6.4879273626041817E-2</v>
      </c>
      <c r="L40" s="54">
        <v>0.47423848960249892</v>
      </c>
      <c r="M40" s="54">
        <v>0.98584454251197395</v>
      </c>
      <c r="N40" s="54">
        <v>9.7729029160516331E-2</v>
      </c>
      <c r="O40" s="54">
        <v>6.9219448044634006E-3</v>
      </c>
      <c r="P40" s="61"/>
      <c r="Q40" s="54">
        <v>0.49563269040507718</v>
      </c>
      <c r="R40" s="54">
        <v>5.7095954545084739E-2</v>
      </c>
      <c r="S40" s="54">
        <v>0.13869951060590818</v>
      </c>
      <c r="T40" s="70">
        <v>0.39175715896587349</v>
      </c>
      <c r="U40" s="54">
        <v>0.38081298430419075</v>
      </c>
      <c r="V40" s="54">
        <v>8.169016821769913E-2</v>
      </c>
      <c r="W40" s="54">
        <v>2.8772495214647531E-2</v>
      </c>
      <c r="X40" s="54">
        <v>5.3896470906941128E-2</v>
      </c>
      <c r="Y40" s="54">
        <v>0.82050984640338054</v>
      </c>
      <c r="Z40" s="54">
        <v>0.38346248638620639</v>
      </c>
      <c r="AA40" s="54">
        <v>0.93513356252452129</v>
      </c>
      <c r="AB40" s="54">
        <v>0.87372370711388481</v>
      </c>
      <c r="AC40" s="55">
        <v>0.71731302326037161</v>
      </c>
    </row>
    <row r="41" spans="1:29" x14ac:dyDescent="0.35">
      <c r="A41" s="208"/>
      <c r="B41" s="201"/>
      <c r="C41" s="52" t="s">
        <v>126</v>
      </c>
      <c r="D41" s="56">
        <v>47</v>
      </c>
      <c r="E41" s="57">
        <v>47</v>
      </c>
      <c r="F41" s="57">
        <v>47</v>
      </c>
      <c r="G41" s="57">
        <v>47</v>
      </c>
      <c r="H41" s="57">
        <v>47</v>
      </c>
      <c r="I41" s="57">
        <v>47</v>
      </c>
      <c r="J41" s="57">
        <v>47</v>
      </c>
      <c r="K41" s="57">
        <v>47</v>
      </c>
      <c r="L41" s="57">
        <v>47</v>
      </c>
      <c r="M41" s="57">
        <v>47</v>
      </c>
      <c r="N41" s="57">
        <v>47</v>
      </c>
      <c r="O41" s="57">
        <v>47</v>
      </c>
      <c r="P41" s="57">
        <v>47</v>
      </c>
      <c r="Q41" s="57">
        <v>47</v>
      </c>
      <c r="R41" s="57">
        <v>47</v>
      </c>
      <c r="S41" s="57">
        <v>47</v>
      </c>
      <c r="T41" s="71">
        <v>47</v>
      </c>
      <c r="U41" s="57">
        <v>47</v>
      </c>
      <c r="V41" s="57">
        <v>47</v>
      </c>
      <c r="W41" s="57">
        <v>47</v>
      </c>
      <c r="X41" s="57">
        <v>47</v>
      </c>
      <c r="Y41" s="57">
        <v>47</v>
      </c>
      <c r="Z41" s="57">
        <v>47</v>
      </c>
      <c r="AA41" s="57">
        <v>47</v>
      </c>
      <c r="AB41" s="57">
        <v>47</v>
      </c>
      <c r="AC41" s="58">
        <v>47</v>
      </c>
    </row>
    <row r="42" spans="1:29" ht="34.5" customHeight="1" x14ac:dyDescent="0.35">
      <c r="A42" s="208"/>
      <c r="B42" s="201" t="s">
        <v>111</v>
      </c>
      <c r="C42" s="52" t="s">
        <v>124</v>
      </c>
      <c r="D42" s="59">
        <v>0.1244218316373728</v>
      </c>
      <c r="E42" s="61" t="s">
        <v>146</v>
      </c>
      <c r="F42" s="61" t="s">
        <v>162</v>
      </c>
      <c r="G42" s="61" t="s">
        <v>174</v>
      </c>
      <c r="H42" s="54">
        <v>-0.24074930619796484</v>
      </c>
      <c r="I42" s="61" t="s">
        <v>202</v>
      </c>
      <c r="J42" s="61" t="s">
        <v>206</v>
      </c>
      <c r="K42" s="61" t="s">
        <v>219</v>
      </c>
      <c r="L42" s="61" t="s">
        <v>228</v>
      </c>
      <c r="M42" s="61" t="s">
        <v>239</v>
      </c>
      <c r="N42" s="61" t="s">
        <v>249</v>
      </c>
      <c r="O42" s="61" t="s">
        <v>257</v>
      </c>
      <c r="P42" s="54">
        <v>0.10187326549491212</v>
      </c>
      <c r="Q42" s="60">
        <v>1</v>
      </c>
      <c r="R42" s="61" t="s">
        <v>265</v>
      </c>
      <c r="S42" s="61" t="s">
        <v>266</v>
      </c>
      <c r="T42" s="72" t="s">
        <v>267</v>
      </c>
      <c r="U42" s="61" t="s">
        <v>162</v>
      </c>
      <c r="V42" s="61" t="s">
        <v>135</v>
      </c>
      <c r="W42" s="61" t="s">
        <v>268</v>
      </c>
      <c r="X42" s="54">
        <v>0.24353155455234476</v>
      </c>
      <c r="Y42" s="61" t="s">
        <v>269</v>
      </c>
      <c r="Z42" s="61" t="s">
        <v>270</v>
      </c>
      <c r="AA42" s="61" t="s">
        <v>271</v>
      </c>
      <c r="AB42" s="61" t="s">
        <v>272</v>
      </c>
      <c r="AC42" s="62" t="s">
        <v>273</v>
      </c>
    </row>
    <row r="43" spans="1:29" ht="23" x14ac:dyDescent="0.35">
      <c r="A43" s="208"/>
      <c r="B43" s="201"/>
      <c r="C43" s="52" t="s">
        <v>125</v>
      </c>
      <c r="D43" s="59">
        <v>0.40469304216106794</v>
      </c>
      <c r="E43" s="54">
        <v>2.4176063715521768E-9</v>
      </c>
      <c r="F43" s="54">
        <v>4.4948305320177606E-3</v>
      </c>
      <c r="G43" s="54">
        <v>1.9196821192136006E-6</v>
      </c>
      <c r="H43" s="54">
        <v>0.10307475175794431</v>
      </c>
      <c r="I43" s="54">
        <v>5.5494972226711485E-3</v>
      </c>
      <c r="J43" s="54">
        <v>4.4948305320177606E-3</v>
      </c>
      <c r="K43" s="54">
        <v>5.5129466128113308E-5</v>
      </c>
      <c r="L43" s="54">
        <v>8.6836512095347354E-4</v>
      </c>
      <c r="M43" s="54">
        <v>3.0245928264536848E-8</v>
      </c>
      <c r="N43" s="54">
        <v>2.4155133884279915E-5</v>
      </c>
      <c r="O43" s="54">
        <v>2.5837250672192517E-3</v>
      </c>
      <c r="P43" s="54">
        <v>0.49563269040507718</v>
      </c>
      <c r="Q43" s="61"/>
      <c r="R43" s="54">
        <v>1.3107637143361578E-7</v>
      </c>
      <c r="S43" s="54">
        <v>5.2103726836429283E-18</v>
      </c>
      <c r="T43" s="70">
        <v>1.0691921773519666E-8</v>
      </c>
      <c r="U43" s="54">
        <v>4.4832212932110543E-3</v>
      </c>
      <c r="V43" s="54">
        <v>4.1637267693850698E-2</v>
      </c>
      <c r="W43" s="54">
        <v>3.7122206162503315E-7</v>
      </c>
      <c r="X43" s="54">
        <v>9.9034880787506094E-2</v>
      </c>
      <c r="Y43" s="54">
        <v>3.0988612830215893E-10</v>
      </c>
      <c r="Z43" s="54">
        <v>1.4407944576577847E-26</v>
      </c>
      <c r="AA43" s="54">
        <v>2.6436299327308215E-2</v>
      </c>
      <c r="AB43" s="54">
        <v>5.3594655997000837E-10</v>
      </c>
      <c r="AC43" s="55">
        <v>1.4774571646873675E-10</v>
      </c>
    </row>
    <row r="44" spans="1:29" x14ac:dyDescent="0.35">
      <c r="A44" s="208"/>
      <c r="B44" s="201"/>
      <c r="C44" s="52" t="s">
        <v>126</v>
      </c>
      <c r="D44" s="56">
        <v>47</v>
      </c>
      <c r="E44" s="57">
        <v>47</v>
      </c>
      <c r="F44" s="57">
        <v>47</v>
      </c>
      <c r="G44" s="57">
        <v>47</v>
      </c>
      <c r="H44" s="57">
        <v>47</v>
      </c>
      <c r="I44" s="57">
        <v>47</v>
      </c>
      <c r="J44" s="57">
        <v>47</v>
      </c>
      <c r="K44" s="57">
        <v>47</v>
      </c>
      <c r="L44" s="57">
        <v>47</v>
      </c>
      <c r="M44" s="57">
        <v>47</v>
      </c>
      <c r="N44" s="57">
        <v>47</v>
      </c>
      <c r="O44" s="57">
        <v>47</v>
      </c>
      <c r="P44" s="57">
        <v>47</v>
      </c>
      <c r="Q44" s="57">
        <v>47</v>
      </c>
      <c r="R44" s="57">
        <v>47</v>
      </c>
      <c r="S44" s="57">
        <v>47</v>
      </c>
      <c r="T44" s="71">
        <v>47</v>
      </c>
      <c r="U44" s="57">
        <v>47</v>
      </c>
      <c r="V44" s="57">
        <v>47</v>
      </c>
      <c r="W44" s="57">
        <v>47</v>
      </c>
      <c r="X44" s="57">
        <v>47</v>
      </c>
      <c r="Y44" s="57">
        <v>47</v>
      </c>
      <c r="Z44" s="57">
        <v>47</v>
      </c>
      <c r="AA44" s="57">
        <v>47</v>
      </c>
      <c r="AB44" s="57">
        <v>47</v>
      </c>
      <c r="AC44" s="58">
        <v>47</v>
      </c>
    </row>
    <row r="45" spans="1:29" ht="34.5" x14ac:dyDescent="0.35">
      <c r="A45" s="208"/>
      <c r="B45" s="201" t="s">
        <v>112</v>
      </c>
      <c r="C45" s="52" t="s">
        <v>124</v>
      </c>
      <c r="D45" s="53" t="s">
        <v>134</v>
      </c>
      <c r="E45" s="61" t="s">
        <v>147</v>
      </c>
      <c r="F45" s="54">
        <v>0.14280758556891768</v>
      </c>
      <c r="G45" s="61" t="s">
        <v>175</v>
      </c>
      <c r="H45" s="61" t="s">
        <v>191</v>
      </c>
      <c r="I45" s="61" t="s">
        <v>203</v>
      </c>
      <c r="J45" s="54">
        <v>-0.14280758556891768</v>
      </c>
      <c r="K45" s="61" t="s">
        <v>139</v>
      </c>
      <c r="L45" s="61" t="s">
        <v>229</v>
      </c>
      <c r="M45" s="61" t="s">
        <v>240</v>
      </c>
      <c r="N45" s="61" t="s">
        <v>250</v>
      </c>
      <c r="O45" s="54">
        <v>0.26907955596669753</v>
      </c>
      <c r="P45" s="54">
        <v>0.27948658649398705</v>
      </c>
      <c r="Q45" s="61" t="s">
        <v>265</v>
      </c>
      <c r="R45" s="60">
        <v>1</v>
      </c>
      <c r="S45" s="61" t="s">
        <v>248</v>
      </c>
      <c r="T45" s="72" t="s">
        <v>274</v>
      </c>
      <c r="U45" s="61" t="s">
        <v>275</v>
      </c>
      <c r="V45" s="61" t="s">
        <v>276</v>
      </c>
      <c r="W45" s="61" t="s">
        <v>277</v>
      </c>
      <c r="X45" s="54">
        <v>0.26122401791725869</v>
      </c>
      <c r="Y45" s="61" t="s">
        <v>278</v>
      </c>
      <c r="Z45" s="61" t="s">
        <v>279</v>
      </c>
      <c r="AA45" s="54">
        <v>0.15478014518913272</v>
      </c>
      <c r="AB45" s="61" t="s">
        <v>219</v>
      </c>
      <c r="AC45" s="62" t="s">
        <v>236</v>
      </c>
    </row>
    <row r="46" spans="1:29" ht="23" x14ac:dyDescent="0.35">
      <c r="A46" s="208"/>
      <c r="B46" s="201"/>
      <c r="C46" s="52" t="s">
        <v>125</v>
      </c>
      <c r="D46" s="59">
        <v>3.9523035684447668E-3</v>
      </c>
      <c r="E46" s="54">
        <v>3.6260166466914514E-5</v>
      </c>
      <c r="F46" s="54">
        <v>0.33826635022113427</v>
      </c>
      <c r="G46" s="54">
        <v>3.7442000883541302E-4</v>
      </c>
      <c r="H46" s="54">
        <v>7.7024102722717414E-3</v>
      </c>
      <c r="I46" s="54">
        <v>2.9842020088052734E-3</v>
      </c>
      <c r="J46" s="54">
        <v>0.33826635022113427</v>
      </c>
      <c r="K46" s="54">
        <v>3.3529930477004541E-6</v>
      </c>
      <c r="L46" s="54">
        <v>1.3557188846248909E-4</v>
      </c>
      <c r="M46" s="54">
        <v>8.7952010150887225E-5</v>
      </c>
      <c r="N46" s="54">
        <v>1.7900233491774175E-2</v>
      </c>
      <c r="O46" s="54">
        <v>6.7408988285174193E-2</v>
      </c>
      <c r="P46" s="54">
        <v>5.7095954545084739E-2</v>
      </c>
      <c r="Q46" s="54">
        <v>1.3107637143361578E-7</v>
      </c>
      <c r="R46" s="61"/>
      <c r="S46" s="54">
        <v>1.3703040750550892E-19</v>
      </c>
      <c r="T46" s="70">
        <v>6.1303343119977451E-5</v>
      </c>
      <c r="U46" s="54">
        <v>2.4882180208772899E-2</v>
      </c>
      <c r="V46" s="54">
        <v>8.0113300256741502E-4</v>
      </c>
      <c r="W46" s="54">
        <v>1.96913253833069E-7</v>
      </c>
      <c r="X46" s="54">
        <v>7.6133358677549501E-2</v>
      </c>
      <c r="Y46" s="54">
        <v>7.9497564608661434E-5</v>
      </c>
      <c r="Z46" s="54">
        <v>3.6160370962424345E-6</v>
      </c>
      <c r="AA46" s="54">
        <v>0.29888732913456489</v>
      </c>
      <c r="AB46" s="54">
        <v>5.5850359991481011E-5</v>
      </c>
      <c r="AC46" s="55">
        <v>2.0960001209035994E-4</v>
      </c>
    </row>
    <row r="47" spans="1:29" x14ac:dyDescent="0.35">
      <c r="A47" s="208"/>
      <c r="B47" s="201"/>
      <c r="C47" s="52" t="s">
        <v>126</v>
      </c>
      <c r="D47" s="56">
        <v>47</v>
      </c>
      <c r="E47" s="57">
        <v>47</v>
      </c>
      <c r="F47" s="57">
        <v>47</v>
      </c>
      <c r="G47" s="57">
        <v>47</v>
      </c>
      <c r="H47" s="57">
        <v>47</v>
      </c>
      <c r="I47" s="57">
        <v>47</v>
      </c>
      <c r="J47" s="57">
        <v>47</v>
      </c>
      <c r="K47" s="57">
        <v>47</v>
      </c>
      <c r="L47" s="57">
        <v>47</v>
      </c>
      <c r="M47" s="57">
        <v>47</v>
      </c>
      <c r="N47" s="57">
        <v>47</v>
      </c>
      <c r="O47" s="57">
        <v>47</v>
      </c>
      <c r="P47" s="57">
        <v>47</v>
      </c>
      <c r="Q47" s="57">
        <v>47</v>
      </c>
      <c r="R47" s="57">
        <v>47</v>
      </c>
      <c r="S47" s="57">
        <v>47</v>
      </c>
      <c r="T47" s="71">
        <v>47</v>
      </c>
      <c r="U47" s="57">
        <v>47</v>
      </c>
      <c r="V47" s="57">
        <v>47</v>
      </c>
      <c r="W47" s="57">
        <v>47</v>
      </c>
      <c r="X47" s="57">
        <v>47</v>
      </c>
      <c r="Y47" s="57">
        <v>47</v>
      </c>
      <c r="Z47" s="57">
        <v>47</v>
      </c>
      <c r="AA47" s="57">
        <v>47</v>
      </c>
      <c r="AB47" s="57">
        <v>47</v>
      </c>
      <c r="AC47" s="58">
        <v>47</v>
      </c>
    </row>
    <row r="48" spans="1:29" ht="34.5" x14ac:dyDescent="0.35">
      <c r="A48" s="208"/>
      <c r="B48" s="201" t="s">
        <v>113</v>
      </c>
      <c r="C48" s="52" t="s">
        <v>124</v>
      </c>
      <c r="D48" s="53" t="s">
        <v>135</v>
      </c>
      <c r="E48" s="61" t="s">
        <v>148</v>
      </c>
      <c r="F48" s="54">
        <v>0.27382053654024052</v>
      </c>
      <c r="G48" s="61" t="s">
        <v>176</v>
      </c>
      <c r="H48" s="61" t="s">
        <v>192</v>
      </c>
      <c r="I48" s="61" t="s">
        <v>204</v>
      </c>
      <c r="J48" s="54">
        <v>-0.27382053654024052</v>
      </c>
      <c r="K48" s="61" t="s">
        <v>220</v>
      </c>
      <c r="L48" s="61" t="s">
        <v>230</v>
      </c>
      <c r="M48" s="61" t="s">
        <v>241</v>
      </c>
      <c r="N48" s="61" t="s">
        <v>251</v>
      </c>
      <c r="O48" s="61" t="s">
        <v>258</v>
      </c>
      <c r="P48" s="54">
        <v>0.21924144310823312</v>
      </c>
      <c r="Q48" s="61" t="s">
        <v>266</v>
      </c>
      <c r="R48" s="61" t="s">
        <v>248</v>
      </c>
      <c r="S48" s="60">
        <v>1</v>
      </c>
      <c r="T48" s="72" t="s">
        <v>280</v>
      </c>
      <c r="U48" s="61" t="s">
        <v>281</v>
      </c>
      <c r="V48" s="61" t="s">
        <v>282</v>
      </c>
      <c r="W48" s="61" t="s">
        <v>283</v>
      </c>
      <c r="X48" s="54">
        <v>0.27434881917162296</v>
      </c>
      <c r="Y48" s="61" t="s">
        <v>284</v>
      </c>
      <c r="Z48" s="61" t="s">
        <v>285</v>
      </c>
      <c r="AA48" s="54">
        <v>0.28573906519413295</v>
      </c>
      <c r="AB48" s="61" t="s">
        <v>286</v>
      </c>
      <c r="AC48" s="62" t="s">
        <v>287</v>
      </c>
    </row>
    <row r="49" spans="1:29" ht="23" x14ac:dyDescent="0.35">
      <c r="A49" s="208"/>
      <c r="B49" s="201"/>
      <c r="C49" s="52" t="s">
        <v>125</v>
      </c>
      <c r="D49" s="59">
        <v>4.1748160154054401E-2</v>
      </c>
      <c r="E49" s="54">
        <v>5.0942115115628535E-8</v>
      </c>
      <c r="F49" s="54">
        <v>6.2540934900857312E-2</v>
      </c>
      <c r="G49" s="54">
        <v>3.1247103516284039E-6</v>
      </c>
      <c r="H49" s="54">
        <v>1.0413786895442496E-2</v>
      </c>
      <c r="I49" s="54">
        <v>8.341282838111089E-4</v>
      </c>
      <c r="J49" s="54">
        <v>6.2540934900857312E-2</v>
      </c>
      <c r="K49" s="54">
        <v>8.8837470468715831E-7</v>
      </c>
      <c r="L49" s="54">
        <v>3.930073549885358E-5</v>
      </c>
      <c r="M49" s="54">
        <v>2.2639344455384179E-7</v>
      </c>
      <c r="N49" s="54">
        <v>8.8005390790450418E-4</v>
      </c>
      <c r="O49" s="54">
        <v>1.6283317630407242E-2</v>
      </c>
      <c r="P49" s="54">
        <v>0.13869951060590818</v>
      </c>
      <c r="Q49" s="54">
        <v>5.2103726836429283E-18</v>
      </c>
      <c r="R49" s="54">
        <v>1.3703040750550892E-19</v>
      </c>
      <c r="S49" s="61"/>
      <c r="T49" s="70">
        <v>1.3924477531706072E-7</v>
      </c>
      <c r="U49" s="54">
        <v>6.7044503263838989E-3</v>
      </c>
      <c r="V49" s="54">
        <v>4.1526595186860658E-3</v>
      </c>
      <c r="W49" s="54">
        <v>7.8908544166847864E-9</v>
      </c>
      <c r="X49" s="54">
        <v>6.201635438248012E-2</v>
      </c>
      <c r="Y49" s="54">
        <v>8.7739771646288819E-8</v>
      </c>
      <c r="Z49" s="54">
        <v>3.2640672841547561E-14</v>
      </c>
      <c r="AA49" s="54">
        <v>5.1536552531112528E-2</v>
      </c>
      <c r="AB49" s="54">
        <v>2.8703175203461475E-8</v>
      </c>
      <c r="AC49" s="55">
        <v>6.1393268044965398E-8</v>
      </c>
    </row>
    <row r="50" spans="1:29" x14ac:dyDescent="0.35">
      <c r="A50" s="208"/>
      <c r="B50" s="201"/>
      <c r="C50" s="52" t="s">
        <v>126</v>
      </c>
      <c r="D50" s="56">
        <v>47</v>
      </c>
      <c r="E50" s="57">
        <v>47</v>
      </c>
      <c r="F50" s="57">
        <v>47</v>
      </c>
      <c r="G50" s="57">
        <v>47</v>
      </c>
      <c r="H50" s="57">
        <v>47</v>
      </c>
      <c r="I50" s="57">
        <v>47</v>
      </c>
      <c r="J50" s="57">
        <v>47</v>
      </c>
      <c r="K50" s="57">
        <v>47</v>
      </c>
      <c r="L50" s="57">
        <v>47</v>
      </c>
      <c r="M50" s="57">
        <v>47</v>
      </c>
      <c r="N50" s="57">
        <v>47</v>
      </c>
      <c r="O50" s="57">
        <v>47</v>
      </c>
      <c r="P50" s="57">
        <v>47</v>
      </c>
      <c r="Q50" s="57">
        <v>47</v>
      </c>
      <c r="R50" s="57">
        <v>47</v>
      </c>
      <c r="S50" s="57">
        <v>47</v>
      </c>
      <c r="T50" s="71">
        <v>47</v>
      </c>
      <c r="U50" s="57">
        <v>47</v>
      </c>
      <c r="V50" s="57">
        <v>47</v>
      </c>
      <c r="W50" s="57">
        <v>47</v>
      </c>
      <c r="X50" s="57">
        <v>47</v>
      </c>
      <c r="Y50" s="57">
        <v>47</v>
      </c>
      <c r="Z50" s="57">
        <v>47</v>
      </c>
      <c r="AA50" s="57">
        <v>47</v>
      </c>
      <c r="AB50" s="57">
        <v>47</v>
      </c>
      <c r="AC50" s="58">
        <v>47</v>
      </c>
    </row>
    <row r="51" spans="1:29" ht="34.5" customHeight="1" x14ac:dyDescent="0.35">
      <c r="A51" s="208"/>
      <c r="B51" s="201" t="s">
        <v>114</v>
      </c>
      <c r="C51" s="52" t="s">
        <v>124</v>
      </c>
      <c r="D51" s="59">
        <v>9.5687154271203653E-2</v>
      </c>
      <c r="E51" s="61" t="s">
        <v>149</v>
      </c>
      <c r="F51" s="61" t="s">
        <v>163</v>
      </c>
      <c r="G51" s="61" t="s">
        <v>177</v>
      </c>
      <c r="H51" s="61" t="s">
        <v>193</v>
      </c>
      <c r="I51" s="61" t="s">
        <v>205</v>
      </c>
      <c r="J51" s="61" t="s">
        <v>213</v>
      </c>
      <c r="K51" s="61" t="s">
        <v>221</v>
      </c>
      <c r="L51" s="61" t="s">
        <v>231</v>
      </c>
      <c r="M51" s="61" t="s">
        <v>242</v>
      </c>
      <c r="N51" s="61" t="s">
        <v>252</v>
      </c>
      <c r="O51" s="61" t="s">
        <v>259</v>
      </c>
      <c r="P51" s="54">
        <v>0.12785284821001214</v>
      </c>
      <c r="Q51" s="61" t="s">
        <v>267</v>
      </c>
      <c r="R51" s="61" t="s">
        <v>274</v>
      </c>
      <c r="S51" s="61" t="s">
        <v>280</v>
      </c>
      <c r="T51" s="73">
        <v>1</v>
      </c>
      <c r="U51" s="54">
        <v>0.15143624750703866</v>
      </c>
      <c r="V51" s="61" t="s">
        <v>258</v>
      </c>
      <c r="W51" s="61" t="s">
        <v>244</v>
      </c>
      <c r="X51" s="61" t="s">
        <v>288</v>
      </c>
      <c r="Y51" s="61" t="s">
        <v>309</v>
      </c>
      <c r="Z51" s="61" t="s">
        <v>289</v>
      </c>
      <c r="AA51" s="54">
        <v>0.10402084471502458</v>
      </c>
      <c r="AB51" s="61" t="s">
        <v>268</v>
      </c>
      <c r="AC51" s="62" t="s">
        <v>290</v>
      </c>
    </row>
    <row r="52" spans="1:29" ht="23" x14ac:dyDescent="0.35">
      <c r="A52" s="208"/>
      <c r="B52" s="201"/>
      <c r="C52" s="52" t="s">
        <v>125</v>
      </c>
      <c r="D52" s="59">
        <v>0.52229985669015888</v>
      </c>
      <c r="E52" s="54">
        <v>5.7160639937477266E-9</v>
      </c>
      <c r="F52" s="54">
        <v>1.1383025517859507E-2</v>
      </c>
      <c r="G52" s="54">
        <v>4.76401716474733E-6</v>
      </c>
      <c r="H52" s="54">
        <v>4.9028959627982191E-2</v>
      </c>
      <c r="I52" s="54">
        <v>3.3199394660507319E-3</v>
      </c>
      <c r="J52" s="54">
        <v>1.1383025517859507E-2</v>
      </c>
      <c r="K52" s="54">
        <v>1.9348259916734316E-4</v>
      </c>
      <c r="L52" s="54">
        <v>1.7643307482120545E-3</v>
      </c>
      <c r="M52" s="54">
        <v>9.3306669199842773E-9</v>
      </c>
      <c r="N52" s="54">
        <v>1.006838041054575E-4</v>
      </c>
      <c r="O52" s="54">
        <v>5.3779907851757881E-3</v>
      </c>
      <c r="P52" s="54">
        <v>0.39175715896587349</v>
      </c>
      <c r="Q52" s="54">
        <v>1.0691921773519666E-8</v>
      </c>
      <c r="R52" s="54">
        <v>6.1303343119977451E-5</v>
      </c>
      <c r="S52" s="54">
        <v>1.3924477531706072E-7</v>
      </c>
      <c r="T52" s="72"/>
      <c r="U52" s="54">
        <v>0.30957525344241099</v>
      </c>
      <c r="V52" s="54">
        <v>1.6089147149844288E-2</v>
      </c>
      <c r="W52" s="54">
        <v>6.5619472522838514E-6</v>
      </c>
      <c r="X52" s="54">
        <v>4.2247212227798031E-3</v>
      </c>
      <c r="Y52" s="54">
        <v>5.7294117755919191E-6</v>
      </c>
      <c r="Z52" s="54">
        <v>1.6093001347840624E-7</v>
      </c>
      <c r="AA52" s="54">
        <v>0.48654204169838644</v>
      </c>
      <c r="AB52" s="54">
        <v>3.5887580455861327E-7</v>
      </c>
      <c r="AC52" s="55">
        <v>6.1850675597206438E-6</v>
      </c>
    </row>
    <row r="53" spans="1:29" x14ac:dyDescent="0.35">
      <c r="A53" s="208"/>
      <c r="B53" s="201"/>
      <c r="C53" s="52" t="s">
        <v>126</v>
      </c>
      <c r="D53" s="56">
        <v>47</v>
      </c>
      <c r="E53" s="57">
        <v>47</v>
      </c>
      <c r="F53" s="57">
        <v>47</v>
      </c>
      <c r="G53" s="57">
        <v>47</v>
      </c>
      <c r="H53" s="57">
        <v>47</v>
      </c>
      <c r="I53" s="57">
        <v>47</v>
      </c>
      <c r="J53" s="57">
        <v>47</v>
      </c>
      <c r="K53" s="57">
        <v>47</v>
      </c>
      <c r="L53" s="57">
        <v>47</v>
      </c>
      <c r="M53" s="57">
        <v>47</v>
      </c>
      <c r="N53" s="57">
        <v>47</v>
      </c>
      <c r="O53" s="57">
        <v>47</v>
      </c>
      <c r="P53" s="57">
        <v>47</v>
      </c>
      <c r="Q53" s="57">
        <v>47</v>
      </c>
      <c r="R53" s="57">
        <v>47</v>
      </c>
      <c r="S53" s="57">
        <v>47</v>
      </c>
      <c r="T53" s="71">
        <v>47</v>
      </c>
      <c r="U53" s="57">
        <v>47</v>
      </c>
      <c r="V53" s="57">
        <v>47</v>
      </c>
      <c r="W53" s="57">
        <v>47</v>
      </c>
      <c r="X53" s="57">
        <v>47</v>
      </c>
      <c r="Y53" s="57">
        <v>47</v>
      </c>
      <c r="Z53" s="57">
        <v>47</v>
      </c>
      <c r="AA53" s="57">
        <v>47</v>
      </c>
      <c r="AB53" s="57">
        <v>47</v>
      </c>
      <c r="AC53" s="58">
        <v>47</v>
      </c>
    </row>
    <row r="54" spans="1:29" ht="34.5" x14ac:dyDescent="0.35">
      <c r="A54" s="208"/>
      <c r="B54" s="201" t="s">
        <v>115</v>
      </c>
      <c r="C54" s="52" t="s">
        <v>124</v>
      </c>
      <c r="D54" s="59">
        <v>8.793899574487736E-2</v>
      </c>
      <c r="E54" s="54">
        <v>0.26567077370619735</v>
      </c>
      <c r="F54" s="54">
        <v>0.13775950716819391</v>
      </c>
      <c r="G54" s="54">
        <v>0.20646546827058163</v>
      </c>
      <c r="H54" s="54">
        <v>-8.1045227303744027E-2</v>
      </c>
      <c r="I54" s="54">
        <v>-0.18393037647561636</v>
      </c>
      <c r="J54" s="54">
        <v>-0.13775950716819391</v>
      </c>
      <c r="K54" s="54">
        <v>0.19140345318911384</v>
      </c>
      <c r="L54" s="54">
        <v>0.18618967873783651</v>
      </c>
      <c r="M54" s="54">
        <v>0.23015917661027521</v>
      </c>
      <c r="N54" s="54">
        <v>0.22593022622201694</v>
      </c>
      <c r="O54" s="54">
        <v>0.14059811770277822</v>
      </c>
      <c r="P54" s="54">
        <v>0.13080780789982416</v>
      </c>
      <c r="Q54" s="61" t="s">
        <v>162</v>
      </c>
      <c r="R54" s="61" t="s">
        <v>275</v>
      </c>
      <c r="S54" s="61" t="s">
        <v>281</v>
      </c>
      <c r="T54" s="70">
        <v>0.15143624750703866</v>
      </c>
      <c r="U54" s="60">
        <v>1</v>
      </c>
      <c r="V54" s="54">
        <v>0.14901704878762609</v>
      </c>
      <c r="W54" s="54">
        <v>0.19658556097504171</v>
      </c>
      <c r="X54" s="54">
        <v>-9.799282712896315E-2</v>
      </c>
      <c r="Y54" s="61" t="s">
        <v>310</v>
      </c>
      <c r="Z54" s="61" t="s">
        <v>188</v>
      </c>
      <c r="AA54" s="54">
        <v>0.17434786476181766</v>
      </c>
      <c r="AB54" s="61" t="s">
        <v>291</v>
      </c>
      <c r="AC54" s="62" t="s">
        <v>292</v>
      </c>
    </row>
    <row r="55" spans="1:29" ht="23" x14ac:dyDescent="0.35">
      <c r="A55" s="208"/>
      <c r="B55" s="201"/>
      <c r="C55" s="52" t="s">
        <v>125</v>
      </c>
      <c r="D55" s="59">
        <v>0.55667603577425484</v>
      </c>
      <c r="E55" s="54">
        <v>7.10917265964503E-2</v>
      </c>
      <c r="F55" s="54">
        <v>0.35579184758244597</v>
      </c>
      <c r="G55" s="54">
        <v>0.16380264228001279</v>
      </c>
      <c r="H55" s="54">
        <v>0.58812937007944222</v>
      </c>
      <c r="I55" s="54">
        <v>0.21586462405072887</v>
      </c>
      <c r="J55" s="54">
        <v>0.35579184758244597</v>
      </c>
      <c r="K55" s="54">
        <v>0.19746221077462145</v>
      </c>
      <c r="L55" s="54">
        <v>0.21017965213769821</v>
      </c>
      <c r="M55" s="54">
        <v>0.11961770753461311</v>
      </c>
      <c r="N55" s="54">
        <v>0.12675807807403755</v>
      </c>
      <c r="O55" s="54">
        <v>0.34586999957531295</v>
      </c>
      <c r="P55" s="54">
        <v>0.38081298430419075</v>
      </c>
      <c r="Q55" s="54">
        <v>4.4832212932110543E-3</v>
      </c>
      <c r="R55" s="54">
        <v>2.4882180208772899E-2</v>
      </c>
      <c r="S55" s="54">
        <v>6.7044503263838989E-3</v>
      </c>
      <c r="T55" s="70">
        <v>0.30957525344241099</v>
      </c>
      <c r="U55" s="61"/>
      <c r="V55" s="54">
        <v>0.31745778143693049</v>
      </c>
      <c r="W55" s="54">
        <v>0.18537098270450558</v>
      </c>
      <c r="X55" s="54">
        <v>0.51227794939167459</v>
      </c>
      <c r="Y55" s="54">
        <v>4.0477944992081067E-3</v>
      </c>
      <c r="Z55" s="54">
        <v>6.9563205876483902E-3</v>
      </c>
      <c r="AA55" s="54">
        <v>0.24116247852712785</v>
      </c>
      <c r="AB55" s="54">
        <v>3.4317840836690545E-2</v>
      </c>
      <c r="AC55" s="55">
        <v>1.102070950395165E-3</v>
      </c>
    </row>
    <row r="56" spans="1:29" x14ac:dyDescent="0.35">
      <c r="A56" s="208"/>
      <c r="B56" s="201"/>
      <c r="C56" s="52" t="s">
        <v>126</v>
      </c>
      <c r="D56" s="56">
        <v>47</v>
      </c>
      <c r="E56" s="57">
        <v>47</v>
      </c>
      <c r="F56" s="57">
        <v>47</v>
      </c>
      <c r="G56" s="57">
        <v>47</v>
      </c>
      <c r="H56" s="57">
        <v>47</v>
      </c>
      <c r="I56" s="57">
        <v>47</v>
      </c>
      <c r="J56" s="57">
        <v>47</v>
      </c>
      <c r="K56" s="57">
        <v>47</v>
      </c>
      <c r="L56" s="57">
        <v>47</v>
      </c>
      <c r="M56" s="57">
        <v>47</v>
      </c>
      <c r="N56" s="57">
        <v>47</v>
      </c>
      <c r="O56" s="57">
        <v>47</v>
      </c>
      <c r="P56" s="57">
        <v>47</v>
      </c>
      <c r="Q56" s="57">
        <v>47</v>
      </c>
      <c r="R56" s="57">
        <v>47</v>
      </c>
      <c r="S56" s="57">
        <v>47</v>
      </c>
      <c r="T56" s="71">
        <v>47</v>
      </c>
      <c r="U56" s="57">
        <v>47</v>
      </c>
      <c r="V56" s="57">
        <v>47</v>
      </c>
      <c r="W56" s="57">
        <v>47</v>
      </c>
      <c r="X56" s="57">
        <v>47</v>
      </c>
      <c r="Y56" s="57">
        <v>47</v>
      </c>
      <c r="Z56" s="57">
        <v>47</v>
      </c>
      <c r="AA56" s="57">
        <v>47</v>
      </c>
      <c r="AB56" s="57">
        <v>47</v>
      </c>
      <c r="AC56" s="58">
        <v>47</v>
      </c>
    </row>
    <row r="57" spans="1:29" ht="34.5" x14ac:dyDescent="0.35">
      <c r="A57" s="208"/>
      <c r="B57" s="201" t="s">
        <v>116</v>
      </c>
      <c r="C57" s="52" t="s">
        <v>124</v>
      </c>
      <c r="D57" s="53" t="s">
        <v>136</v>
      </c>
      <c r="E57" s="61" t="s">
        <v>150</v>
      </c>
      <c r="F57" s="54">
        <v>7.7733449795329312E-2</v>
      </c>
      <c r="G57" s="61" t="s">
        <v>178</v>
      </c>
      <c r="H57" s="61" t="s">
        <v>194</v>
      </c>
      <c r="I57" s="61" t="s">
        <v>206</v>
      </c>
      <c r="J57" s="54">
        <v>-7.7733449795329312E-2</v>
      </c>
      <c r="K57" s="61" t="s">
        <v>222</v>
      </c>
      <c r="L57" s="61" t="s">
        <v>232</v>
      </c>
      <c r="M57" s="61" t="s">
        <v>243</v>
      </c>
      <c r="N57" s="54">
        <v>0.19864571831539107</v>
      </c>
      <c r="O57" s="54">
        <v>0.11199867859565318</v>
      </c>
      <c r="P57" s="54">
        <v>0.25658405282404678</v>
      </c>
      <c r="Q57" s="61" t="s">
        <v>135</v>
      </c>
      <c r="R57" s="61" t="s">
        <v>276</v>
      </c>
      <c r="S57" s="61" t="s">
        <v>282</v>
      </c>
      <c r="T57" s="72" t="s">
        <v>258</v>
      </c>
      <c r="U57" s="54">
        <v>0.14901704878762609</v>
      </c>
      <c r="V57" s="60">
        <v>1</v>
      </c>
      <c r="W57" s="61" t="s">
        <v>293</v>
      </c>
      <c r="X57" s="54">
        <v>0.21700009547086979</v>
      </c>
      <c r="Y57" s="61" t="s">
        <v>311</v>
      </c>
      <c r="Z57" s="54">
        <v>0.22590741217510821</v>
      </c>
      <c r="AA57" s="54">
        <v>-1.9766746493278749E-2</v>
      </c>
      <c r="AB57" s="61" t="s">
        <v>271</v>
      </c>
      <c r="AC57" s="62" t="s">
        <v>294</v>
      </c>
    </row>
    <row r="58" spans="1:29" ht="23" x14ac:dyDescent="0.35">
      <c r="A58" s="208"/>
      <c r="B58" s="201"/>
      <c r="C58" s="52" t="s">
        <v>125</v>
      </c>
      <c r="D58" s="59">
        <v>3.2573066912283857E-2</v>
      </c>
      <c r="E58" s="54">
        <v>7.1676008871044078E-3</v>
      </c>
      <c r="F58" s="54">
        <v>0.60351630925337618</v>
      </c>
      <c r="G58" s="54">
        <v>4.4036391223178685E-3</v>
      </c>
      <c r="H58" s="54">
        <v>7.2523813450711414E-3</v>
      </c>
      <c r="I58" s="54">
        <v>4.534036308737591E-3</v>
      </c>
      <c r="J58" s="54">
        <v>0.60351630925337618</v>
      </c>
      <c r="K58" s="54">
        <v>4.7576170757546639E-5</v>
      </c>
      <c r="L58" s="54">
        <v>9.7415465629718692E-4</v>
      </c>
      <c r="M58" s="54">
        <v>1.398821205048625E-3</v>
      </c>
      <c r="N58" s="54">
        <v>0.18071421475142496</v>
      </c>
      <c r="O58" s="54">
        <v>0.45354901207638787</v>
      </c>
      <c r="P58" s="54">
        <v>8.169016821769913E-2</v>
      </c>
      <c r="Q58" s="54">
        <v>4.1637267693850698E-2</v>
      </c>
      <c r="R58" s="54">
        <v>8.0113300256741502E-4</v>
      </c>
      <c r="S58" s="54">
        <v>4.1526595186860658E-3</v>
      </c>
      <c r="T58" s="70">
        <v>1.6089147149844288E-2</v>
      </c>
      <c r="U58" s="54">
        <v>0.31745778143693049</v>
      </c>
      <c r="V58" s="61"/>
      <c r="W58" s="54">
        <v>6.9035697689957517E-4</v>
      </c>
      <c r="X58" s="54">
        <v>0.14288255845321446</v>
      </c>
      <c r="Y58" s="54">
        <v>1.6473832883522419E-2</v>
      </c>
      <c r="Z58" s="54">
        <v>0.12679744874854484</v>
      </c>
      <c r="AA58" s="54">
        <v>0.89508101652645389</v>
      </c>
      <c r="AB58" s="54">
        <v>2.6180983583494313E-2</v>
      </c>
      <c r="AC58" s="55">
        <v>2.2364845206403871E-2</v>
      </c>
    </row>
    <row r="59" spans="1:29" x14ac:dyDescent="0.35">
      <c r="A59" s="208"/>
      <c r="B59" s="201"/>
      <c r="C59" s="52" t="s">
        <v>126</v>
      </c>
      <c r="D59" s="56">
        <v>47</v>
      </c>
      <c r="E59" s="57">
        <v>47</v>
      </c>
      <c r="F59" s="57">
        <v>47</v>
      </c>
      <c r="G59" s="57">
        <v>47</v>
      </c>
      <c r="H59" s="57">
        <v>47</v>
      </c>
      <c r="I59" s="57">
        <v>47</v>
      </c>
      <c r="J59" s="57">
        <v>47</v>
      </c>
      <c r="K59" s="57">
        <v>47</v>
      </c>
      <c r="L59" s="57">
        <v>47</v>
      </c>
      <c r="M59" s="57">
        <v>47</v>
      </c>
      <c r="N59" s="57">
        <v>47</v>
      </c>
      <c r="O59" s="57">
        <v>47</v>
      </c>
      <c r="P59" s="57">
        <v>47</v>
      </c>
      <c r="Q59" s="57">
        <v>47</v>
      </c>
      <c r="R59" s="57">
        <v>47</v>
      </c>
      <c r="S59" s="57">
        <v>47</v>
      </c>
      <c r="T59" s="71">
        <v>47</v>
      </c>
      <c r="U59" s="57">
        <v>47</v>
      </c>
      <c r="V59" s="57">
        <v>47</v>
      </c>
      <c r="W59" s="57">
        <v>47</v>
      </c>
      <c r="X59" s="57">
        <v>47</v>
      </c>
      <c r="Y59" s="57">
        <v>47</v>
      </c>
      <c r="Z59" s="57">
        <v>47</v>
      </c>
      <c r="AA59" s="57">
        <v>47</v>
      </c>
      <c r="AB59" s="57">
        <v>47</v>
      </c>
      <c r="AC59" s="58">
        <v>47</v>
      </c>
    </row>
    <row r="60" spans="1:29" ht="34.5" x14ac:dyDescent="0.35">
      <c r="A60" s="208"/>
      <c r="B60" s="201" t="s">
        <v>117</v>
      </c>
      <c r="C60" s="52" t="s">
        <v>124</v>
      </c>
      <c r="D60" s="53" t="s">
        <v>137</v>
      </c>
      <c r="E60" s="61" t="s">
        <v>151</v>
      </c>
      <c r="F60" s="54">
        <v>8.794517299912924E-2</v>
      </c>
      <c r="G60" s="61" t="s">
        <v>179</v>
      </c>
      <c r="H60" s="61" t="s">
        <v>195</v>
      </c>
      <c r="I60" s="61" t="s">
        <v>207</v>
      </c>
      <c r="J60" s="54">
        <v>-8.794517299912924E-2</v>
      </c>
      <c r="K60" s="61" t="s">
        <v>149</v>
      </c>
      <c r="L60" s="61" t="s">
        <v>233</v>
      </c>
      <c r="M60" s="61" t="s">
        <v>244</v>
      </c>
      <c r="N60" s="54">
        <v>0.20811762320912361</v>
      </c>
      <c r="O60" s="54">
        <v>0.1053606315996147</v>
      </c>
      <c r="P60" s="61" t="s">
        <v>264</v>
      </c>
      <c r="Q60" s="61" t="s">
        <v>268</v>
      </c>
      <c r="R60" s="61" t="s">
        <v>277</v>
      </c>
      <c r="S60" s="61" t="s">
        <v>283</v>
      </c>
      <c r="T60" s="72" t="s">
        <v>244</v>
      </c>
      <c r="U60" s="54">
        <v>0.19658556097504171</v>
      </c>
      <c r="V60" s="61" t="s">
        <v>293</v>
      </c>
      <c r="W60" s="60">
        <v>1</v>
      </c>
      <c r="X60" s="61" t="s">
        <v>295</v>
      </c>
      <c r="Y60" s="61" t="s">
        <v>296</v>
      </c>
      <c r="Z60" s="61" t="s">
        <v>297</v>
      </c>
      <c r="AA60" s="54">
        <v>5.6500621152486198E-2</v>
      </c>
      <c r="AB60" s="61" t="s">
        <v>238</v>
      </c>
      <c r="AC60" s="62" t="s">
        <v>226</v>
      </c>
    </row>
    <row r="61" spans="1:29" ht="23" x14ac:dyDescent="0.35">
      <c r="A61" s="208"/>
      <c r="B61" s="201"/>
      <c r="C61" s="52" t="s">
        <v>125</v>
      </c>
      <c r="D61" s="59">
        <v>4.7042892936484072E-3</v>
      </c>
      <c r="E61" s="54">
        <v>9.6802304331255467E-5</v>
      </c>
      <c r="F61" s="54">
        <v>0.55664821075916271</v>
      </c>
      <c r="G61" s="54">
        <v>5.5877768678688641E-7</v>
      </c>
      <c r="H61" s="54">
        <v>2.4034535006418287E-4</v>
      </c>
      <c r="I61" s="54">
        <v>1.5895457025719545E-5</v>
      </c>
      <c r="J61" s="54">
        <v>0.55664821075916271</v>
      </c>
      <c r="K61" s="54">
        <v>5.6345782016285598E-9</v>
      </c>
      <c r="L61" s="54">
        <v>4.8316227321632314E-7</v>
      </c>
      <c r="M61" s="54">
        <v>6.509004294682133E-6</v>
      </c>
      <c r="N61" s="54">
        <v>0.16038215585682344</v>
      </c>
      <c r="O61" s="54">
        <v>0.48091519338190847</v>
      </c>
      <c r="P61" s="54">
        <v>2.8772495214647531E-2</v>
      </c>
      <c r="Q61" s="54">
        <v>3.7122206162503315E-7</v>
      </c>
      <c r="R61" s="54">
        <v>1.96913253833069E-7</v>
      </c>
      <c r="S61" s="54">
        <v>7.8908544166847864E-9</v>
      </c>
      <c r="T61" s="70">
        <v>6.5619472522838514E-6</v>
      </c>
      <c r="U61" s="54">
        <v>0.18537098270450558</v>
      </c>
      <c r="V61" s="54">
        <v>6.9035697689957517E-4</v>
      </c>
      <c r="W61" s="61"/>
      <c r="X61" s="54">
        <v>1.7443783714521158E-2</v>
      </c>
      <c r="Y61" s="54">
        <v>1.0326471379580049E-3</v>
      </c>
      <c r="Z61" s="54">
        <v>9.5663509915473368E-7</v>
      </c>
      <c r="AA61" s="54">
        <v>0.70601016140286521</v>
      </c>
      <c r="AB61" s="54">
        <v>5.5548632152033586E-4</v>
      </c>
      <c r="AC61" s="55">
        <v>1.8864640011258282E-4</v>
      </c>
    </row>
    <row r="62" spans="1:29" x14ac:dyDescent="0.35">
      <c r="A62" s="208"/>
      <c r="B62" s="201"/>
      <c r="C62" s="52" t="s">
        <v>126</v>
      </c>
      <c r="D62" s="56">
        <v>47</v>
      </c>
      <c r="E62" s="57">
        <v>47</v>
      </c>
      <c r="F62" s="57">
        <v>47</v>
      </c>
      <c r="G62" s="57">
        <v>47</v>
      </c>
      <c r="H62" s="57">
        <v>47</v>
      </c>
      <c r="I62" s="57">
        <v>47</v>
      </c>
      <c r="J62" s="57">
        <v>47</v>
      </c>
      <c r="K62" s="57">
        <v>47</v>
      </c>
      <c r="L62" s="57">
        <v>47</v>
      </c>
      <c r="M62" s="57">
        <v>47</v>
      </c>
      <c r="N62" s="57">
        <v>47</v>
      </c>
      <c r="O62" s="57">
        <v>47</v>
      </c>
      <c r="P62" s="57">
        <v>47</v>
      </c>
      <c r="Q62" s="57">
        <v>47</v>
      </c>
      <c r="R62" s="57">
        <v>47</v>
      </c>
      <c r="S62" s="57">
        <v>47</v>
      </c>
      <c r="T62" s="71">
        <v>47</v>
      </c>
      <c r="U62" s="57">
        <v>47</v>
      </c>
      <c r="V62" s="57">
        <v>47</v>
      </c>
      <c r="W62" s="57">
        <v>47</v>
      </c>
      <c r="X62" s="57">
        <v>47</v>
      </c>
      <c r="Y62" s="57">
        <v>47</v>
      </c>
      <c r="Z62" s="57">
        <v>47</v>
      </c>
      <c r="AA62" s="57">
        <v>47</v>
      </c>
      <c r="AB62" s="57">
        <v>47</v>
      </c>
      <c r="AC62" s="58">
        <v>47</v>
      </c>
    </row>
    <row r="63" spans="1:29" ht="34.5" x14ac:dyDescent="0.35">
      <c r="A63" s="208"/>
      <c r="B63" s="201" t="s">
        <v>118</v>
      </c>
      <c r="C63" s="52" t="s">
        <v>124</v>
      </c>
      <c r="D63" s="59">
        <v>-0.19380763790585462</v>
      </c>
      <c r="E63" s="54">
        <v>0.15524269325096052</v>
      </c>
      <c r="F63" s="54">
        <v>0.24295336947505999</v>
      </c>
      <c r="G63" s="61" t="s">
        <v>180</v>
      </c>
      <c r="H63" s="54">
        <v>-0.14298516961252342</v>
      </c>
      <c r="I63" s="54">
        <v>-9.5400537751986911E-2</v>
      </c>
      <c r="J63" s="54">
        <v>-0.24295336947505999</v>
      </c>
      <c r="K63" s="61" t="s">
        <v>223</v>
      </c>
      <c r="L63" s="61" t="s">
        <v>234</v>
      </c>
      <c r="M63" s="61" t="s">
        <v>245</v>
      </c>
      <c r="N63" s="54">
        <v>0.108987887068179</v>
      </c>
      <c r="O63" s="54">
        <v>0.16460929150297379</v>
      </c>
      <c r="P63" s="54">
        <v>-0.28302159533089449</v>
      </c>
      <c r="Q63" s="54">
        <v>0.24353155455234476</v>
      </c>
      <c r="R63" s="54">
        <v>0.26122401791725869</v>
      </c>
      <c r="S63" s="54">
        <v>0.27434881917162296</v>
      </c>
      <c r="T63" s="72" t="s">
        <v>288</v>
      </c>
      <c r="U63" s="54">
        <v>-9.799282712896315E-2</v>
      </c>
      <c r="V63" s="54">
        <v>0.21700009547086979</v>
      </c>
      <c r="W63" s="61" t="s">
        <v>295</v>
      </c>
      <c r="X63" s="60">
        <v>1</v>
      </c>
      <c r="Y63" s="61" t="s">
        <v>223</v>
      </c>
      <c r="Z63" s="54">
        <v>0.16576566165754333</v>
      </c>
      <c r="AA63" s="54">
        <v>7.47036715813819E-2</v>
      </c>
      <c r="AB63" s="61" t="s">
        <v>298</v>
      </c>
      <c r="AC63" s="62" t="s">
        <v>299</v>
      </c>
    </row>
    <row r="64" spans="1:29" ht="23" x14ac:dyDescent="0.35">
      <c r="A64" s="208"/>
      <c r="B64" s="201"/>
      <c r="C64" s="52" t="s">
        <v>125</v>
      </c>
      <c r="D64" s="59">
        <v>0.19178506663370007</v>
      </c>
      <c r="E64" s="54">
        <v>0.29742788098101258</v>
      </c>
      <c r="F64" s="54">
        <v>9.9864200095534941E-2</v>
      </c>
      <c r="G64" s="54">
        <v>1.4311190659065766E-3</v>
      </c>
      <c r="H64" s="54">
        <v>0.33765975117503866</v>
      </c>
      <c r="I64" s="54">
        <v>0.52355243966376142</v>
      </c>
      <c r="J64" s="54">
        <v>9.9864200095534941E-2</v>
      </c>
      <c r="K64" s="54">
        <v>4.8317561756456462E-2</v>
      </c>
      <c r="L64" s="54">
        <v>9.0020760076985357E-3</v>
      </c>
      <c r="M64" s="54">
        <v>1.9825503343389308E-2</v>
      </c>
      <c r="N64" s="54">
        <v>0.46585487417353444</v>
      </c>
      <c r="O64" s="54">
        <v>0.26886517858328557</v>
      </c>
      <c r="P64" s="54">
        <v>5.3896470906941128E-2</v>
      </c>
      <c r="Q64" s="54">
        <v>9.9034880787506094E-2</v>
      </c>
      <c r="R64" s="54">
        <v>7.6133358677549501E-2</v>
      </c>
      <c r="S64" s="54">
        <v>6.201635438248012E-2</v>
      </c>
      <c r="T64" s="70">
        <v>4.2247212227798031E-3</v>
      </c>
      <c r="U64" s="54">
        <v>0.51227794939167459</v>
      </c>
      <c r="V64" s="54">
        <v>0.14288255845321446</v>
      </c>
      <c r="W64" s="54">
        <v>1.7443783714521158E-2</v>
      </c>
      <c r="X64" s="61"/>
      <c r="Y64" s="54">
        <v>4.8283682262348984E-2</v>
      </c>
      <c r="Z64" s="54">
        <v>0.26546968257827058</v>
      </c>
      <c r="AA64" s="54">
        <v>0.6177441143146537</v>
      </c>
      <c r="AB64" s="54">
        <v>1.7089323691206477E-3</v>
      </c>
      <c r="AC64" s="55">
        <v>7.8410660367804717E-3</v>
      </c>
    </row>
    <row r="65" spans="1:29" x14ac:dyDescent="0.35">
      <c r="A65" s="208"/>
      <c r="B65" s="201"/>
      <c r="C65" s="52" t="s">
        <v>126</v>
      </c>
      <c r="D65" s="56">
        <v>47</v>
      </c>
      <c r="E65" s="57">
        <v>47</v>
      </c>
      <c r="F65" s="57">
        <v>47</v>
      </c>
      <c r="G65" s="57">
        <v>47</v>
      </c>
      <c r="H65" s="57">
        <v>47</v>
      </c>
      <c r="I65" s="57">
        <v>47</v>
      </c>
      <c r="J65" s="57">
        <v>47</v>
      </c>
      <c r="K65" s="57">
        <v>47</v>
      </c>
      <c r="L65" s="57">
        <v>47</v>
      </c>
      <c r="M65" s="57">
        <v>47</v>
      </c>
      <c r="N65" s="57">
        <v>47</v>
      </c>
      <c r="O65" s="57">
        <v>47</v>
      </c>
      <c r="P65" s="57">
        <v>47</v>
      </c>
      <c r="Q65" s="57">
        <v>47</v>
      </c>
      <c r="R65" s="57">
        <v>47</v>
      </c>
      <c r="S65" s="57">
        <v>47</v>
      </c>
      <c r="T65" s="71">
        <v>47</v>
      </c>
      <c r="U65" s="57">
        <v>47</v>
      </c>
      <c r="V65" s="57">
        <v>47</v>
      </c>
      <c r="W65" s="57">
        <v>47</v>
      </c>
      <c r="X65" s="57">
        <v>47</v>
      </c>
      <c r="Y65" s="57">
        <v>47</v>
      </c>
      <c r="Z65" s="57">
        <v>47</v>
      </c>
      <c r="AA65" s="57">
        <v>47</v>
      </c>
      <c r="AB65" s="57">
        <v>47</v>
      </c>
      <c r="AC65" s="58">
        <v>47</v>
      </c>
    </row>
    <row r="66" spans="1:29" ht="34.5" x14ac:dyDescent="0.35">
      <c r="A66" s="208"/>
      <c r="B66" s="201" t="s">
        <v>119</v>
      </c>
      <c r="C66" s="52" t="s">
        <v>124</v>
      </c>
      <c r="D66" s="59">
        <v>-6.3376413765423689E-2</v>
      </c>
      <c r="E66" s="61" t="s">
        <v>280</v>
      </c>
      <c r="F66" s="61" t="s">
        <v>276</v>
      </c>
      <c r="G66" s="61" t="s">
        <v>305</v>
      </c>
      <c r="H66" s="54">
        <v>-0.15502934790611397</v>
      </c>
      <c r="I66" s="54">
        <v>-0.27067973798900391</v>
      </c>
      <c r="J66" s="61" t="s">
        <v>306</v>
      </c>
      <c r="K66" s="61" t="s">
        <v>282</v>
      </c>
      <c r="L66" s="61" t="s">
        <v>307</v>
      </c>
      <c r="M66" s="61" t="s">
        <v>277</v>
      </c>
      <c r="N66" s="61" t="s">
        <v>308</v>
      </c>
      <c r="O66" s="61" t="s">
        <v>260</v>
      </c>
      <c r="P66" s="54">
        <v>-3.4001214684369646E-2</v>
      </c>
      <c r="Q66" s="61" t="s">
        <v>269</v>
      </c>
      <c r="R66" s="61" t="s">
        <v>278</v>
      </c>
      <c r="S66" s="61" t="s">
        <v>284</v>
      </c>
      <c r="T66" s="72" t="s">
        <v>309</v>
      </c>
      <c r="U66" s="61" t="s">
        <v>310</v>
      </c>
      <c r="V66" s="61" t="s">
        <v>311</v>
      </c>
      <c r="W66" s="61" t="s">
        <v>296</v>
      </c>
      <c r="X66" s="61" t="s">
        <v>223</v>
      </c>
      <c r="Y66" s="60">
        <v>1</v>
      </c>
      <c r="Z66" s="61" t="s">
        <v>312</v>
      </c>
      <c r="AA66" s="54">
        <v>0.25351298382696597</v>
      </c>
      <c r="AB66" s="61" t="s">
        <v>313</v>
      </c>
      <c r="AC66" s="62" t="s">
        <v>300</v>
      </c>
    </row>
    <row r="67" spans="1:29" ht="23" x14ac:dyDescent="0.35">
      <c r="A67" s="208"/>
      <c r="B67" s="201"/>
      <c r="C67" s="52" t="s">
        <v>125</v>
      </c>
      <c r="D67" s="59">
        <v>0.67213985409797539</v>
      </c>
      <c r="E67" s="54">
        <v>1.3804870748627147E-7</v>
      </c>
      <c r="F67" s="54">
        <v>8.0356725884334545E-4</v>
      </c>
      <c r="G67" s="54">
        <v>1.3914699618856911E-5</v>
      </c>
      <c r="H67" s="54">
        <v>0.29810046298877141</v>
      </c>
      <c r="I67" s="54">
        <v>6.5733336361233172E-2</v>
      </c>
      <c r="J67" s="54">
        <v>8.0356725884334545E-4</v>
      </c>
      <c r="K67" s="54">
        <v>4.133953304068576E-3</v>
      </c>
      <c r="L67" s="54">
        <v>9.2335692024644357E-4</v>
      </c>
      <c r="M67" s="54">
        <v>1.9352681514237875E-7</v>
      </c>
      <c r="N67" s="54">
        <v>2.0345653971383454E-5</v>
      </c>
      <c r="O67" s="54">
        <v>2.978688129934928E-4</v>
      </c>
      <c r="P67" s="54">
        <v>0.82050984640338054</v>
      </c>
      <c r="Q67" s="54">
        <v>3.0988612830215893E-10</v>
      </c>
      <c r="R67" s="54">
        <v>7.9497564608661434E-5</v>
      </c>
      <c r="S67" s="54">
        <v>8.7739771646288819E-8</v>
      </c>
      <c r="T67" s="70">
        <v>5.7294117755919191E-6</v>
      </c>
      <c r="U67" s="54">
        <v>4.0477944992081067E-3</v>
      </c>
      <c r="V67" s="54">
        <v>1.6473832883522419E-2</v>
      </c>
      <c r="W67" s="54">
        <v>1.0326471379580049E-3</v>
      </c>
      <c r="X67" s="54">
        <v>4.8283682262348984E-2</v>
      </c>
      <c r="Y67" s="61"/>
      <c r="Z67" s="54">
        <v>4.0504316906390063E-7</v>
      </c>
      <c r="AA67" s="54">
        <v>8.5539547567693622E-2</v>
      </c>
      <c r="AB67" s="54">
        <v>1.4594439193066094E-9</v>
      </c>
      <c r="AC67" s="55">
        <v>5.430014239587343E-6</v>
      </c>
    </row>
    <row r="68" spans="1:29" x14ac:dyDescent="0.35">
      <c r="A68" s="208"/>
      <c r="B68" s="201"/>
      <c r="C68" s="52" t="s">
        <v>126</v>
      </c>
      <c r="D68" s="56">
        <v>47</v>
      </c>
      <c r="E68" s="57">
        <v>47</v>
      </c>
      <c r="F68" s="57">
        <v>47</v>
      </c>
      <c r="G68" s="57">
        <v>47</v>
      </c>
      <c r="H68" s="57">
        <v>47</v>
      </c>
      <c r="I68" s="57">
        <v>47</v>
      </c>
      <c r="J68" s="57">
        <v>47</v>
      </c>
      <c r="K68" s="57">
        <v>47</v>
      </c>
      <c r="L68" s="57">
        <v>47</v>
      </c>
      <c r="M68" s="57">
        <v>47</v>
      </c>
      <c r="N68" s="57">
        <v>47</v>
      </c>
      <c r="O68" s="57">
        <v>47</v>
      </c>
      <c r="P68" s="57">
        <v>47</v>
      </c>
      <c r="Q68" s="57">
        <v>47</v>
      </c>
      <c r="R68" s="57">
        <v>47</v>
      </c>
      <c r="S68" s="57">
        <v>47</v>
      </c>
      <c r="T68" s="71">
        <v>47</v>
      </c>
      <c r="U68" s="57">
        <v>47</v>
      </c>
      <c r="V68" s="57">
        <v>47</v>
      </c>
      <c r="W68" s="57">
        <v>47</v>
      </c>
      <c r="X68" s="57">
        <v>47</v>
      </c>
      <c r="Y68" s="57">
        <v>47</v>
      </c>
      <c r="Z68" s="57">
        <v>47</v>
      </c>
      <c r="AA68" s="57">
        <v>47</v>
      </c>
      <c r="AB68" s="57">
        <v>47</v>
      </c>
      <c r="AC68" s="58">
        <v>47</v>
      </c>
    </row>
    <row r="69" spans="1:29" ht="34.5" x14ac:dyDescent="0.35">
      <c r="A69" s="208"/>
      <c r="B69" s="201" t="s">
        <v>120</v>
      </c>
      <c r="C69" s="52" t="s">
        <v>124</v>
      </c>
      <c r="D69" s="59">
        <v>0.11193339500462535</v>
      </c>
      <c r="E69" s="61" t="s">
        <v>152</v>
      </c>
      <c r="F69" s="61" t="s">
        <v>164</v>
      </c>
      <c r="G69" s="61" t="s">
        <v>181</v>
      </c>
      <c r="H69" s="54">
        <v>-0.23774283071230343</v>
      </c>
      <c r="I69" s="61" t="s">
        <v>205</v>
      </c>
      <c r="J69" s="61" t="s">
        <v>214</v>
      </c>
      <c r="K69" s="61" t="s">
        <v>224</v>
      </c>
      <c r="L69" s="61" t="s">
        <v>235</v>
      </c>
      <c r="M69" s="61" t="s">
        <v>246</v>
      </c>
      <c r="N69" s="61" t="s">
        <v>253</v>
      </c>
      <c r="O69" s="61" t="s">
        <v>261</v>
      </c>
      <c r="P69" s="54">
        <v>0.13008788159111934</v>
      </c>
      <c r="Q69" s="61" t="s">
        <v>270</v>
      </c>
      <c r="R69" s="61" t="s">
        <v>279</v>
      </c>
      <c r="S69" s="61" t="s">
        <v>285</v>
      </c>
      <c r="T69" s="72" t="s">
        <v>289</v>
      </c>
      <c r="U69" s="61" t="s">
        <v>188</v>
      </c>
      <c r="V69" s="54">
        <v>0.22590741217510821</v>
      </c>
      <c r="W69" s="61" t="s">
        <v>297</v>
      </c>
      <c r="X69" s="54">
        <v>0.16576566165754333</v>
      </c>
      <c r="Y69" s="61" t="s">
        <v>312</v>
      </c>
      <c r="Z69" s="60">
        <v>1</v>
      </c>
      <c r="AA69" s="54">
        <v>0.22294816580100699</v>
      </c>
      <c r="AB69" s="61" t="s">
        <v>301</v>
      </c>
      <c r="AC69" s="62" t="s">
        <v>302</v>
      </c>
    </row>
    <row r="70" spans="1:29" ht="23" x14ac:dyDescent="0.35">
      <c r="A70" s="208"/>
      <c r="B70" s="201"/>
      <c r="C70" s="52" t="s">
        <v>125</v>
      </c>
      <c r="D70" s="59">
        <v>0.45381394834840239</v>
      </c>
      <c r="E70" s="54">
        <v>2.2372252933444652E-8</v>
      </c>
      <c r="F70" s="54">
        <v>1.2727827628532359E-2</v>
      </c>
      <c r="G70" s="54">
        <v>7.1854788989804546E-6</v>
      </c>
      <c r="H70" s="54">
        <v>0.10758126118561046</v>
      </c>
      <c r="I70" s="54">
        <v>3.3123376656707154E-3</v>
      </c>
      <c r="J70" s="54">
        <v>1.2727827628532359E-2</v>
      </c>
      <c r="K70" s="54">
        <v>1.6338563537980603E-4</v>
      </c>
      <c r="L70" s="54">
        <v>1.8873161328727401E-3</v>
      </c>
      <c r="M70" s="54">
        <v>2.1063280064593393E-7</v>
      </c>
      <c r="N70" s="54">
        <v>1.163136720456663E-4</v>
      </c>
      <c r="O70" s="54">
        <v>1.4618471892299197E-2</v>
      </c>
      <c r="P70" s="54">
        <v>0.38346248638620639</v>
      </c>
      <c r="Q70" s="54">
        <v>1.4407944576577847E-26</v>
      </c>
      <c r="R70" s="54">
        <v>3.6160370962424345E-6</v>
      </c>
      <c r="S70" s="54">
        <v>3.2640672841547561E-14</v>
      </c>
      <c r="T70" s="70">
        <v>1.6093001347840624E-7</v>
      </c>
      <c r="U70" s="54">
        <v>6.9563205876483902E-3</v>
      </c>
      <c r="V70" s="54">
        <v>0.12679744874854484</v>
      </c>
      <c r="W70" s="54">
        <v>9.5663509915473368E-7</v>
      </c>
      <c r="X70" s="54">
        <v>0.26546968257827058</v>
      </c>
      <c r="Y70" s="54">
        <v>4.0504316906390063E-7</v>
      </c>
      <c r="Z70" s="61"/>
      <c r="AA70" s="54">
        <v>0.13198264018225778</v>
      </c>
      <c r="AB70" s="54">
        <v>6.9276335594583316E-8</v>
      </c>
      <c r="AC70" s="55">
        <v>3.0930585963390053E-8</v>
      </c>
    </row>
    <row r="71" spans="1:29" x14ac:dyDescent="0.35">
      <c r="A71" s="208"/>
      <c r="B71" s="201"/>
      <c r="C71" s="52" t="s">
        <v>126</v>
      </c>
      <c r="D71" s="56">
        <v>47</v>
      </c>
      <c r="E71" s="57">
        <v>47</v>
      </c>
      <c r="F71" s="57">
        <v>47</v>
      </c>
      <c r="G71" s="57">
        <v>47</v>
      </c>
      <c r="H71" s="57">
        <v>47</v>
      </c>
      <c r="I71" s="57">
        <v>47</v>
      </c>
      <c r="J71" s="57">
        <v>47</v>
      </c>
      <c r="K71" s="57">
        <v>47</v>
      </c>
      <c r="L71" s="57">
        <v>47</v>
      </c>
      <c r="M71" s="57">
        <v>47</v>
      </c>
      <c r="N71" s="57">
        <v>47</v>
      </c>
      <c r="O71" s="57">
        <v>47</v>
      </c>
      <c r="P71" s="57">
        <v>47</v>
      </c>
      <c r="Q71" s="57">
        <v>47</v>
      </c>
      <c r="R71" s="57">
        <v>47</v>
      </c>
      <c r="S71" s="57">
        <v>47</v>
      </c>
      <c r="T71" s="71">
        <v>47</v>
      </c>
      <c r="U71" s="57">
        <v>47</v>
      </c>
      <c r="V71" s="57">
        <v>47</v>
      </c>
      <c r="W71" s="57">
        <v>47</v>
      </c>
      <c r="X71" s="57">
        <v>47</v>
      </c>
      <c r="Y71" s="57">
        <v>47</v>
      </c>
      <c r="Z71" s="57">
        <v>47</v>
      </c>
      <c r="AA71" s="57">
        <v>47</v>
      </c>
      <c r="AB71" s="57">
        <v>47</v>
      </c>
      <c r="AC71" s="58">
        <v>47</v>
      </c>
    </row>
    <row r="72" spans="1:29" ht="34.5" x14ac:dyDescent="0.35">
      <c r="A72" s="208"/>
      <c r="B72" s="201" t="s">
        <v>121</v>
      </c>
      <c r="C72" s="52" t="s">
        <v>124</v>
      </c>
      <c r="D72" s="59">
        <v>-1.5090630517132475E-2</v>
      </c>
      <c r="E72" s="54">
        <v>0.19924257763233147</v>
      </c>
      <c r="F72" s="54">
        <v>8.4299384268119351E-2</v>
      </c>
      <c r="G72" s="54">
        <v>0.13893787407153002</v>
      </c>
      <c r="H72" s="54">
        <v>-5.8338874298033208E-2</v>
      </c>
      <c r="I72" s="54">
        <v>3.3534734482516611E-3</v>
      </c>
      <c r="J72" s="54">
        <v>-8.4299384268119351E-2</v>
      </c>
      <c r="K72" s="54">
        <v>9.4533260136059755E-2</v>
      </c>
      <c r="L72" s="54">
        <v>5.88592408675895E-2</v>
      </c>
      <c r="M72" s="54">
        <v>0.17761845574188109</v>
      </c>
      <c r="N72" s="54">
        <v>0.10864097602180812</v>
      </c>
      <c r="O72" s="54">
        <v>0.12234396235345715</v>
      </c>
      <c r="P72" s="54">
        <v>-1.219970513070863E-2</v>
      </c>
      <c r="Q72" s="61" t="s">
        <v>271</v>
      </c>
      <c r="R72" s="54">
        <v>0.15478014518913272</v>
      </c>
      <c r="S72" s="54">
        <v>0.28573906519413295</v>
      </c>
      <c r="T72" s="70">
        <v>0.10402084471502458</v>
      </c>
      <c r="U72" s="54">
        <v>0.17434786476181766</v>
      </c>
      <c r="V72" s="54">
        <v>-1.9766746493278749E-2</v>
      </c>
      <c r="W72" s="54">
        <v>5.6500621152486198E-2</v>
      </c>
      <c r="X72" s="54">
        <v>7.47036715813819E-2</v>
      </c>
      <c r="Y72" s="54">
        <v>0.25351298382696597</v>
      </c>
      <c r="Z72" s="54">
        <v>0.22294816580100699</v>
      </c>
      <c r="AA72" s="60">
        <v>1</v>
      </c>
      <c r="AB72" s="54">
        <v>0.19484837104496722</v>
      </c>
      <c r="AC72" s="62" t="s">
        <v>303</v>
      </c>
    </row>
    <row r="73" spans="1:29" ht="23" x14ac:dyDescent="0.35">
      <c r="A73" s="208"/>
      <c r="B73" s="201"/>
      <c r="C73" s="52" t="s">
        <v>125</v>
      </c>
      <c r="D73" s="59">
        <v>0.91980767927673401</v>
      </c>
      <c r="E73" s="54">
        <v>0.17938089729547266</v>
      </c>
      <c r="F73" s="54">
        <v>0.57318322234914376</v>
      </c>
      <c r="G73" s="54">
        <v>0.35165221615447428</v>
      </c>
      <c r="H73" s="54">
        <v>0.69689634012991453</v>
      </c>
      <c r="I73" s="54">
        <v>0.98215183217491964</v>
      </c>
      <c r="J73" s="54">
        <v>0.57318322234914376</v>
      </c>
      <c r="K73" s="54">
        <v>0.52735169778876156</v>
      </c>
      <c r="L73" s="54">
        <v>0.69432402122850645</v>
      </c>
      <c r="M73" s="54">
        <v>0.23231107270054419</v>
      </c>
      <c r="N73" s="54">
        <v>0.46728420470182486</v>
      </c>
      <c r="O73" s="54">
        <v>0.4126457002159023</v>
      </c>
      <c r="P73" s="54">
        <v>0.93513356252452129</v>
      </c>
      <c r="Q73" s="54">
        <v>2.6436299327308215E-2</v>
      </c>
      <c r="R73" s="54">
        <v>0.29888732913456489</v>
      </c>
      <c r="S73" s="54">
        <v>5.1536552531112528E-2</v>
      </c>
      <c r="T73" s="70">
        <v>0.48654204169838644</v>
      </c>
      <c r="U73" s="54">
        <v>0.24116247852712785</v>
      </c>
      <c r="V73" s="54">
        <v>0.89508101652645389</v>
      </c>
      <c r="W73" s="54">
        <v>0.70601016140286521</v>
      </c>
      <c r="X73" s="54">
        <v>0.6177441143146537</v>
      </c>
      <c r="Y73" s="54">
        <v>8.5539547567693622E-2</v>
      </c>
      <c r="Z73" s="54">
        <v>0.13198264018225778</v>
      </c>
      <c r="AA73" s="61"/>
      <c r="AB73" s="54">
        <v>0.18936384697797554</v>
      </c>
      <c r="AC73" s="55">
        <v>4.3775174408916324E-2</v>
      </c>
    </row>
    <row r="74" spans="1:29" x14ac:dyDescent="0.35">
      <c r="A74" s="208"/>
      <c r="B74" s="201"/>
      <c r="C74" s="52" t="s">
        <v>126</v>
      </c>
      <c r="D74" s="56">
        <v>47</v>
      </c>
      <c r="E74" s="57">
        <v>47</v>
      </c>
      <c r="F74" s="57">
        <v>47</v>
      </c>
      <c r="G74" s="57">
        <v>47</v>
      </c>
      <c r="H74" s="57">
        <v>47</v>
      </c>
      <c r="I74" s="57">
        <v>47</v>
      </c>
      <c r="J74" s="57">
        <v>47</v>
      </c>
      <c r="K74" s="57">
        <v>47</v>
      </c>
      <c r="L74" s="57">
        <v>47</v>
      </c>
      <c r="M74" s="57">
        <v>47</v>
      </c>
      <c r="N74" s="57">
        <v>47</v>
      </c>
      <c r="O74" s="57">
        <v>47</v>
      </c>
      <c r="P74" s="57">
        <v>47</v>
      </c>
      <c r="Q74" s="57">
        <v>47</v>
      </c>
      <c r="R74" s="57">
        <v>47</v>
      </c>
      <c r="S74" s="57">
        <v>47</v>
      </c>
      <c r="T74" s="71">
        <v>47</v>
      </c>
      <c r="U74" s="57">
        <v>47</v>
      </c>
      <c r="V74" s="57">
        <v>47</v>
      </c>
      <c r="W74" s="57">
        <v>47</v>
      </c>
      <c r="X74" s="57">
        <v>47</v>
      </c>
      <c r="Y74" s="57">
        <v>47</v>
      </c>
      <c r="Z74" s="57">
        <v>47</v>
      </c>
      <c r="AA74" s="57">
        <v>47</v>
      </c>
      <c r="AB74" s="57">
        <v>47</v>
      </c>
      <c r="AC74" s="58">
        <v>47</v>
      </c>
    </row>
    <row r="75" spans="1:29" ht="34.5" x14ac:dyDescent="0.35">
      <c r="A75" s="208"/>
      <c r="B75" s="201" t="s">
        <v>62</v>
      </c>
      <c r="C75" s="52" t="s">
        <v>124</v>
      </c>
      <c r="D75" s="59">
        <v>2.34736355226642E-2</v>
      </c>
      <c r="E75" s="61" t="s">
        <v>153</v>
      </c>
      <c r="F75" s="61" t="s">
        <v>165</v>
      </c>
      <c r="G75" s="61" t="s">
        <v>182</v>
      </c>
      <c r="H75" s="54">
        <v>-0.26098519888991673</v>
      </c>
      <c r="I75" s="61" t="s">
        <v>208</v>
      </c>
      <c r="J75" s="61" t="s">
        <v>215</v>
      </c>
      <c r="K75" s="61" t="s">
        <v>225</v>
      </c>
      <c r="L75" s="61" t="s">
        <v>236</v>
      </c>
      <c r="M75" s="61" t="s">
        <v>247</v>
      </c>
      <c r="N75" s="61" t="s">
        <v>254</v>
      </c>
      <c r="O75" s="61" t="s">
        <v>262</v>
      </c>
      <c r="P75" s="54">
        <v>2.3820536540240519E-2</v>
      </c>
      <c r="Q75" s="61" t="s">
        <v>272</v>
      </c>
      <c r="R75" s="61" t="s">
        <v>219</v>
      </c>
      <c r="S75" s="61" t="s">
        <v>286</v>
      </c>
      <c r="T75" s="72" t="s">
        <v>268</v>
      </c>
      <c r="U75" s="61" t="s">
        <v>291</v>
      </c>
      <c r="V75" s="61" t="s">
        <v>271</v>
      </c>
      <c r="W75" s="61" t="s">
        <v>238</v>
      </c>
      <c r="X75" s="61" t="s">
        <v>298</v>
      </c>
      <c r="Y75" s="61" t="s">
        <v>313</v>
      </c>
      <c r="Z75" s="61" t="s">
        <v>301</v>
      </c>
      <c r="AA75" s="54">
        <v>0.19484837104496722</v>
      </c>
      <c r="AB75" s="60">
        <v>1</v>
      </c>
      <c r="AC75" s="62" t="s">
        <v>304</v>
      </c>
    </row>
    <row r="76" spans="1:29" ht="23" x14ac:dyDescent="0.35">
      <c r="A76" s="208"/>
      <c r="B76" s="201"/>
      <c r="C76" s="52" t="s">
        <v>125</v>
      </c>
      <c r="D76" s="59">
        <v>0.87554809213952511</v>
      </c>
      <c r="E76" s="54">
        <v>6.902441910511037E-7</v>
      </c>
      <c r="F76" s="54">
        <v>6.4292396675989473E-3</v>
      </c>
      <c r="G76" s="54">
        <v>7.4667644067486986E-7</v>
      </c>
      <c r="H76" s="54">
        <v>7.6411897226601133E-2</v>
      </c>
      <c r="I76" s="54">
        <v>1.236393498416535E-2</v>
      </c>
      <c r="J76" s="54">
        <v>6.4292396675989473E-3</v>
      </c>
      <c r="K76" s="54">
        <v>2.3779807367098533E-4</v>
      </c>
      <c r="L76" s="54">
        <v>2.1448959202870381E-4</v>
      </c>
      <c r="M76" s="54">
        <v>2.6812287743850139E-7</v>
      </c>
      <c r="N76" s="54">
        <v>3.0023976869447585E-4</v>
      </c>
      <c r="O76" s="54">
        <v>6.0314707513900037E-3</v>
      </c>
      <c r="P76" s="54">
        <v>0.87372370711388481</v>
      </c>
      <c r="Q76" s="54">
        <v>5.3594655997000837E-10</v>
      </c>
      <c r="R76" s="54">
        <v>5.5850359991481011E-5</v>
      </c>
      <c r="S76" s="54">
        <v>2.8703175203461475E-8</v>
      </c>
      <c r="T76" s="70">
        <v>3.5887580455861327E-7</v>
      </c>
      <c r="U76" s="54">
        <v>3.4317840836690545E-2</v>
      </c>
      <c r="V76" s="54">
        <v>2.6180983583494313E-2</v>
      </c>
      <c r="W76" s="54">
        <v>5.5548632152033586E-4</v>
      </c>
      <c r="X76" s="54">
        <v>1.7089323691206477E-3</v>
      </c>
      <c r="Y76" s="54">
        <v>1.4594439193066094E-9</v>
      </c>
      <c r="Z76" s="54">
        <v>6.9276335594583316E-8</v>
      </c>
      <c r="AA76" s="54">
        <v>0.18936384697797554</v>
      </c>
      <c r="AB76" s="61"/>
      <c r="AC76" s="55">
        <v>2.1102337715239882E-10</v>
      </c>
    </row>
    <row r="77" spans="1:29" x14ac:dyDescent="0.35">
      <c r="A77" s="208"/>
      <c r="B77" s="201"/>
      <c r="C77" s="52" t="s">
        <v>126</v>
      </c>
      <c r="D77" s="56">
        <v>47</v>
      </c>
      <c r="E77" s="57">
        <v>47</v>
      </c>
      <c r="F77" s="57">
        <v>47</v>
      </c>
      <c r="G77" s="57">
        <v>47</v>
      </c>
      <c r="H77" s="57">
        <v>47</v>
      </c>
      <c r="I77" s="57">
        <v>47</v>
      </c>
      <c r="J77" s="57">
        <v>47</v>
      </c>
      <c r="K77" s="57">
        <v>47</v>
      </c>
      <c r="L77" s="57">
        <v>47</v>
      </c>
      <c r="M77" s="57">
        <v>47</v>
      </c>
      <c r="N77" s="57">
        <v>47</v>
      </c>
      <c r="O77" s="57">
        <v>47</v>
      </c>
      <c r="P77" s="57">
        <v>47</v>
      </c>
      <c r="Q77" s="57">
        <v>47</v>
      </c>
      <c r="R77" s="57">
        <v>47</v>
      </c>
      <c r="S77" s="57">
        <v>47</v>
      </c>
      <c r="T77" s="71">
        <v>47</v>
      </c>
      <c r="U77" s="57">
        <v>47</v>
      </c>
      <c r="V77" s="57">
        <v>47</v>
      </c>
      <c r="W77" s="57">
        <v>47</v>
      </c>
      <c r="X77" s="57">
        <v>47</v>
      </c>
      <c r="Y77" s="57">
        <v>47</v>
      </c>
      <c r="Z77" s="57">
        <v>47</v>
      </c>
      <c r="AA77" s="57">
        <v>47</v>
      </c>
      <c r="AB77" s="57">
        <v>47</v>
      </c>
      <c r="AC77" s="58">
        <v>47</v>
      </c>
    </row>
    <row r="78" spans="1:29" ht="34.5" x14ac:dyDescent="0.35">
      <c r="A78" s="208"/>
      <c r="B78" s="201" t="s">
        <v>122</v>
      </c>
      <c r="C78" s="52" t="s">
        <v>124</v>
      </c>
      <c r="D78" s="59">
        <v>3.5268270120259022E-2</v>
      </c>
      <c r="E78" s="61" t="s">
        <v>154</v>
      </c>
      <c r="F78" s="61" t="s">
        <v>166</v>
      </c>
      <c r="G78" s="61" t="s">
        <v>183</v>
      </c>
      <c r="H78" s="61" t="s">
        <v>196</v>
      </c>
      <c r="I78" s="61" t="s">
        <v>205</v>
      </c>
      <c r="J78" s="61" t="s">
        <v>216</v>
      </c>
      <c r="K78" s="61" t="s">
        <v>226</v>
      </c>
      <c r="L78" s="61" t="s">
        <v>237</v>
      </c>
      <c r="M78" s="61" t="s">
        <v>212</v>
      </c>
      <c r="N78" s="61" t="s">
        <v>255</v>
      </c>
      <c r="O78" s="61" t="s">
        <v>263</v>
      </c>
      <c r="P78" s="54">
        <v>5.4232192414431085E-2</v>
      </c>
      <c r="Q78" s="61" t="s">
        <v>273</v>
      </c>
      <c r="R78" s="61" t="s">
        <v>236</v>
      </c>
      <c r="S78" s="61" t="s">
        <v>287</v>
      </c>
      <c r="T78" s="72" t="s">
        <v>290</v>
      </c>
      <c r="U78" s="61" t="s">
        <v>292</v>
      </c>
      <c r="V78" s="61" t="s">
        <v>294</v>
      </c>
      <c r="W78" s="61" t="s">
        <v>226</v>
      </c>
      <c r="X78" s="61" t="s">
        <v>299</v>
      </c>
      <c r="Y78" s="61" t="s">
        <v>300</v>
      </c>
      <c r="Z78" s="61" t="s">
        <v>302</v>
      </c>
      <c r="AA78" s="61" t="s">
        <v>303</v>
      </c>
      <c r="AB78" s="61" t="s">
        <v>304</v>
      </c>
      <c r="AC78" s="63">
        <v>1</v>
      </c>
    </row>
    <row r="79" spans="1:29" ht="23" x14ac:dyDescent="0.35">
      <c r="A79" s="208"/>
      <c r="B79" s="201"/>
      <c r="C79" s="52" t="s">
        <v>125</v>
      </c>
      <c r="D79" s="59">
        <v>0.81393749562913975</v>
      </c>
      <c r="E79" s="54">
        <v>1.3334476331359099E-5</v>
      </c>
      <c r="F79" s="54">
        <v>2.9140859808468911E-2</v>
      </c>
      <c r="G79" s="54">
        <v>2.8478812173765784E-6</v>
      </c>
      <c r="H79" s="54">
        <v>3.257094658320564E-2</v>
      </c>
      <c r="I79" s="54">
        <v>3.2555375817444505E-3</v>
      </c>
      <c r="J79" s="54">
        <v>2.9140859808468911E-2</v>
      </c>
      <c r="K79" s="54">
        <v>1.8518817587535229E-4</v>
      </c>
      <c r="L79" s="54">
        <v>8.3133055273871181E-4</v>
      </c>
      <c r="M79" s="54">
        <v>1.5470032114820503E-6</v>
      </c>
      <c r="N79" s="54">
        <v>1.5035506711236274E-3</v>
      </c>
      <c r="O79" s="54">
        <v>2.5349465682115064E-2</v>
      </c>
      <c r="P79" s="54">
        <v>0.71731302326037161</v>
      </c>
      <c r="Q79" s="54">
        <v>1.4774571646873675E-10</v>
      </c>
      <c r="R79" s="54">
        <v>2.0960001209035994E-4</v>
      </c>
      <c r="S79" s="54">
        <v>6.1393268044965398E-8</v>
      </c>
      <c r="T79" s="70">
        <v>6.1850675597206438E-6</v>
      </c>
      <c r="U79" s="54">
        <v>1.102070950395165E-3</v>
      </c>
      <c r="V79" s="54">
        <v>2.2364845206403871E-2</v>
      </c>
      <c r="W79" s="54">
        <v>1.8864640011258282E-4</v>
      </c>
      <c r="X79" s="54">
        <v>7.8410660367804717E-3</v>
      </c>
      <c r="Y79" s="54">
        <v>5.430014239587343E-6</v>
      </c>
      <c r="Z79" s="54">
        <v>3.0930585963390053E-8</v>
      </c>
      <c r="AA79" s="54">
        <v>4.3775174408916324E-2</v>
      </c>
      <c r="AB79" s="54">
        <v>2.1102337715239882E-10</v>
      </c>
      <c r="AC79" s="62"/>
    </row>
    <row r="80" spans="1:29" ht="15" thickBot="1" x14ac:dyDescent="0.4">
      <c r="A80" s="209"/>
      <c r="B80" s="202"/>
      <c r="C80" s="64" t="s">
        <v>126</v>
      </c>
      <c r="D80" s="65">
        <v>47</v>
      </c>
      <c r="E80" s="66">
        <v>47</v>
      </c>
      <c r="F80" s="66">
        <v>47</v>
      </c>
      <c r="G80" s="66">
        <v>47</v>
      </c>
      <c r="H80" s="66">
        <v>47</v>
      </c>
      <c r="I80" s="66">
        <v>47</v>
      </c>
      <c r="J80" s="66">
        <v>47</v>
      </c>
      <c r="K80" s="66">
        <v>47</v>
      </c>
      <c r="L80" s="66">
        <v>47</v>
      </c>
      <c r="M80" s="66">
        <v>47</v>
      </c>
      <c r="N80" s="66">
        <v>47</v>
      </c>
      <c r="O80" s="66">
        <v>47</v>
      </c>
      <c r="P80" s="66">
        <v>47</v>
      </c>
      <c r="Q80" s="66">
        <v>47</v>
      </c>
      <c r="R80" s="66">
        <v>47</v>
      </c>
      <c r="S80" s="66">
        <v>47</v>
      </c>
      <c r="T80" s="74">
        <v>47</v>
      </c>
      <c r="U80" s="66">
        <v>47</v>
      </c>
      <c r="V80" s="66">
        <v>47</v>
      </c>
      <c r="W80" s="66">
        <v>47</v>
      </c>
      <c r="X80" s="66">
        <v>47</v>
      </c>
      <c r="Y80" s="66">
        <v>47</v>
      </c>
      <c r="Z80" s="66">
        <v>47</v>
      </c>
      <c r="AA80" s="66">
        <v>47</v>
      </c>
      <c r="AB80" s="66">
        <v>47</v>
      </c>
      <c r="AC80" s="67">
        <v>47</v>
      </c>
    </row>
    <row r="81" spans="1:29" ht="15" customHeight="1" thickTop="1" x14ac:dyDescent="0.35">
      <c r="A81" s="201" t="s">
        <v>127</v>
      </c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1"/>
    </row>
    <row r="82" spans="1:29" ht="14.5" customHeight="1" x14ac:dyDescent="0.35">
      <c r="A82" s="201" t="s">
        <v>128</v>
      </c>
      <c r="B82" s="201"/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1"/>
    </row>
  </sheetData>
  <mergeCells count="31">
    <mergeCell ref="B39:B41"/>
    <mergeCell ref="B30:B32"/>
    <mergeCell ref="A1:AC1"/>
    <mergeCell ref="A2:C2"/>
    <mergeCell ref="A3:A80"/>
    <mergeCell ref="B3:B5"/>
    <mergeCell ref="B6:B8"/>
    <mergeCell ref="B9:B11"/>
    <mergeCell ref="B12:B14"/>
    <mergeCell ref="B72:B74"/>
    <mergeCell ref="B75:B77"/>
    <mergeCell ref="B42:B44"/>
    <mergeCell ref="B45:B47"/>
    <mergeCell ref="B48:B50"/>
    <mergeCell ref="B51:B53"/>
    <mergeCell ref="B33:B35"/>
    <mergeCell ref="B36:B38"/>
    <mergeCell ref="B15:B17"/>
    <mergeCell ref="B18:B20"/>
    <mergeCell ref="B21:B23"/>
    <mergeCell ref="B24:B26"/>
    <mergeCell ref="B27:B29"/>
    <mergeCell ref="B78:B80"/>
    <mergeCell ref="A81:AC81"/>
    <mergeCell ref="A82:AC82"/>
    <mergeCell ref="B54:B56"/>
    <mergeCell ref="B57:B59"/>
    <mergeCell ref="B60:B62"/>
    <mergeCell ref="B63:B65"/>
    <mergeCell ref="B66:B68"/>
    <mergeCell ref="B69:B7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6889-C8D2-4189-A524-A458057D8320}">
  <dimension ref="A1:H54"/>
  <sheetViews>
    <sheetView topLeftCell="A42" zoomScale="130" zoomScaleNormal="130" workbookViewId="0">
      <selection activeCell="J51" sqref="J51"/>
    </sheetView>
  </sheetViews>
  <sheetFormatPr defaultRowHeight="14" x14ac:dyDescent="0.3"/>
  <cols>
    <col min="1" max="1" width="4.54296875" style="23" bestFit="1" customWidth="1"/>
    <col min="2" max="2" width="18.54296875" style="16" bestFit="1" customWidth="1"/>
    <col min="3" max="3" width="9.26953125" style="16" bestFit="1" customWidth="1"/>
    <col min="4" max="16384" width="8.7265625" style="16"/>
  </cols>
  <sheetData>
    <row r="1" spans="1:8" ht="14.5" customHeight="1" x14ac:dyDescent="0.3">
      <c r="A1" s="213" t="s">
        <v>52</v>
      </c>
      <c r="B1" s="211" t="s">
        <v>48</v>
      </c>
      <c r="C1" s="196" t="s">
        <v>67</v>
      </c>
      <c r="D1" s="196"/>
      <c r="E1" s="196"/>
      <c r="F1" s="197" t="s">
        <v>91</v>
      </c>
      <c r="G1" s="197" t="s">
        <v>92</v>
      </c>
      <c r="H1" s="197" t="s">
        <v>93</v>
      </c>
    </row>
    <row r="2" spans="1:8" ht="28" x14ac:dyDescent="0.3">
      <c r="A2" s="214"/>
      <c r="B2" s="212"/>
      <c r="C2" s="11">
        <v>2013</v>
      </c>
      <c r="D2" s="11">
        <v>2018</v>
      </c>
      <c r="E2" s="11" t="s">
        <v>51</v>
      </c>
      <c r="F2" s="198"/>
      <c r="G2" s="198"/>
      <c r="H2" s="198"/>
    </row>
    <row r="3" spans="1:8" x14ac:dyDescent="0.3">
      <c r="A3" s="21">
        <v>1</v>
      </c>
      <c r="B3" s="3" t="s">
        <v>0</v>
      </c>
      <c r="C3" s="4">
        <v>0</v>
      </c>
      <c r="D3" s="4">
        <v>0</v>
      </c>
      <c r="E3" s="4">
        <v>0</v>
      </c>
      <c r="F3" s="26">
        <v>0</v>
      </c>
      <c r="G3" s="26">
        <v>0</v>
      </c>
      <c r="H3" s="26">
        <v>0</v>
      </c>
    </row>
    <row r="4" spans="1:8" x14ac:dyDescent="0.3">
      <c r="A4" s="21">
        <v>2</v>
      </c>
      <c r="B4" s="3" t="s">
        <v>1</v>
      </c>
      <c r="C4" s="4">
        <v>0</v>
      </c>
      <c r="D4" s="4">
        <v>1680</v>
      </c>
      <c r="E4" s="4">
        <v>7.414851832045585</v>
      </c>
      <c r="F4" s="26">
        <v>0</v>
      </c>
      <c r="G4" s="26">
        <v>0.53719546173436805</v>
      </c>
      <c r="H4" s="26">
        <v>2.0834680773705585E-3</v>
      </c>
    </row>
    <row r="5" spans="1:8" x14ac:dyDescent="0.3">
      <c r="A5" s="21">
        <v>3</v>
      </c>
      <c r="B5" s="3" t="s">
        <v>2</v>
      </c>
      <c r="C5" s="4">
        <v>0</v>
      </c>
      <c r="D5" s="4">
        <v>0</v>
      </c>
      <c r="E5" s="4">
        <v>21</v>
      </c>
      <c r="F5" s="26">
        <v>0</v>
      </c>
      <c r="G5" s="26">
        <v>0</v>
      </c>
      <c r="H5" s="26">
        <v>1.5726963144386104E-2</v>
      </c>
    </row>
    <row r="6" spans="1:8" x14ac:dyDescent="0.3">
      <c r="A6" s="21">
        <v>4</v>
      </c>
      <c r="B6" s="3" t="s">
        <v>3</v>
      </c>
      <c r="C6" s="4">
        <v>166</v>
      </c>
      <c r="D6" s="4">
        <v>0</v>
      </c>
      <c r="E6" s="4">
        <v>0</v>
      </c>
      <c r="F6" s="26">
        <v>0.74866570633001328</v>
      </c>
      <c r="G6" s="26">
        <v>0</v>
      </c>
      <c r="H6" s="26">
        <v>0</v>
      </c>
    </row>
    <row r="7" spans="1:8" x14ac:dyDescent="0.3">
      <c r="A7" s="21">
        <v>5</v>
      </c>
      <c r="B7" s="3" t="s">
        <v>4</v>
      </c>
      <c r="C7" s="4">
        <v>2099</v>
      </c>
      <c r="D7" s="4">
        <v>2749</v>
      </c>
      <c r="E7" s="4">
        <v>3145</v>
      </c>
      <c r="F7" s="26">
        <v>1.190151679133066</v>
      </c>
      <c r="G7" s="26">
        <v>1.3480298830126805</v>
      </c>
      <c r="H7" s="26">
        <v>1.3870658076061657</v>
      </c>
    </row>
    <row r="8" spans="1:8" x14ac:dyDescent="0.3">
      <c r="A8" s="21">
        <v>6</v>
      </c>
      <c r="B8" s="3" t="s">
        <v>5</v>
      </c>
      <c r="C8" s="4">
        <v>0</v>
      </c>
      <c r="D8" s="4">
        <v>11845</v>
      </c>
      <c r="E8" s="4">
        <v>11845</v>
      </c>
      <c r="F8" s="26">
        <v>0</v>
      </c>
      <c r="G8" s="26">
        <v>10.305849689900079</v>
      </c>
      <c r="H8" s="26">
        <v>9.1895959498746951</v>
      </c>
    </row>
    <row r="9" spans="1:8" x14ac:dyDescent="0.3">
      <c r="A9" s="21">
        <v>7</v>
      </c>
      <c r="B9" s="3" t="s">
        <v>6</v>
      </c>
      <c r="C9" s="4">
        <v>0</v>
      </c>
      <c r="D9" s="4">
        <v>0</v>
      </c>
      <c r="E9" s="4">
        <v>310</v>
      </c>
      <c r="F9" s="26">
        <v>0</v>
      </c>
      <c r="G9" s="26">
        <v>0</v>
      </c>
      <c r="H9" s="26">
        <v>0.11105324997962983</v>
      </c>
    </row>
    <row r="10" spans="1:8" x14ac:dyDescent="0.3">
      <c r="A10" s="21">
        <v>8</v>
      </c>
      <c r="B10" s="3" t="s">
        <v>7</v>
      </c>
      <c r="C10" s="4">
        <v>0</v>
      </c>
      <c r="D10" s="4">
        <v>117</v>
      </c>
      <c r="E10" s="4">
        <v>155</v>
      </c>
      <c r="F10" s="26">
        <v>0</v>
      </c>
      <c r="G10" s="26">
        <v>2.0483139487553865</v>
      </c>
      <c r="H10" s="26">
        <v>2.613169192589726</v>
      </c>
    </row>
    <row r="11" spans="1:8" x14ac:dyDescent="0.3">
      <c r="A11" s="21">
        <v>9</v>
      </c>
      <c r="B11" s="3" t="s">
        <v>8</v>
      </c>
      <c r="C11" s="4">
        <v>0</v>
      </c>
      <c r="D11" s="4">
        <v>115</v>
      </c>
      <c r="E11" s="4">
        <v>1595</v>
      </c>
      <c r="F11" s="26">
        <v>0</v>
      </c>
      <c r="G11" s="26">
        <v>0.22572122839455289</v>
      </c>
      <c r="H11" s="26">
        <v>2.8588617589778766</v>
      </c>
    </row>
    <row r="12" spans="1:8" x14ac:dyDescent="0.3">
      <c r="A12" s="21">
        <v>10</v>
      </c>
      <c r="B12" s="3" t="s">
        <v>9</v>
      </c>
      <c r="C12" s="4">
        <v>0</v>
      </c>
      <c r="D12" s="4">
        <v>7</v>
      </c>
      <c r="E12" s="4">
        <v>8077</v>
      </c>
      <c r="F12" s="26">
        <v>0</v>
      </c>
      <c r="G12" s="26">
        <v>4.4859688507140061E-3</v>
      </c>
      <c r="H12" s="26">
        <v>4.5572739794241075</v>
      </c>
    </row>
    <row r="13" spans="1:8" x14ac:dyDescent="0.3">
      <c r="A13" s="21">
        <v>11</v>
      </c>
      <c r="B13" s="3" t="s">
        <v>10</v>
      </c>
      <c r="C13" s="4">
        <v>0</v>
      </c>
      <c r="D13" s="4">
        <v>0</v>
      </c>
      <c r="E13" s="4">
        <v>0</v>
      </c>
      <c r="F13" s="26">
        <v>0</v>
      </c>
      <c r="G13" s="26">
        <v>0</v>
      </c>
      <c r="H13" s="26">
        <v>0</v>
      </c>
    </row>
    <row r="14" spans="1:8" x14ac:dyDescent="0.3">
      <c r="A14" s="21">
        <v>12</v>
      </c>
      <c r="B14" s="3" t="s">
        <v>11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">
      <c r="A15" s="21">
        <v>13</v>
      </c>
      <c r="B15" s="3" t="s">
        <v>12</v>
      </c>
      <c r="C15" s="4">
        <v>0</v>
      </c>
      <c r="D15" s="4">
        <v>14556</v>
      </c>
      <c r="E15" s="4">
        <v>14556</v>
      </c>
      <c r="F15" s="26">
        <v>0</v>
      </c>
      <c r="G15" s="26">
        <v>5.709581299920961</v>
      </c>
      <c r="H15" s="26">
        <v>5.1689345118262544</v>
      </c>
    </row>
    <row r="16" spans="1:8" x14ac:dyDescent="0.3">
      <c r="A16" s="21">
        <v>14</v>
      </c>
      <c r="B16" s="3" t="s">
        <v>13</v>
      </c>
      <c r="C16" s="4">
        <v>0</v>
      </c>
      <c r="D16" s="4">
        <v>0</v>
      </c>
      <c r="E16" s="4">
        <v>0</v>
      </c>
      <c r="F16" s="26">
        <v>0</v>
      </c>
      <c r="G16" s="26">
        <v>0</v>
      </c>
      <c r="H16" s="26">
        <v>0</v>
      </c>
    </row>
    <row r="17" spans="1:8" x14ac:dyDescent="0.3">
      <c r="A17" s="21">
        <v>15</v>
      </c>
      <c r="B17" s="3" t="s">
        <v>14</v>
      </c>
      <c r="C17" s="4">
        <v>0</v>
      </c>
      <c r="D17" s="4">
        <v>0</v>
      </c>
      <c r="E17" s="4">
        <v>146</v>
      </c>
      <c r="F17" s="26">
        <v>0</v>
      </c>
      <c r="G17" s="26">
        <v>0</v>
      </c>
      <c r="H17" s="26">
        <v>0.87168966892509914</v>
      </c>
    </row>
    <row r="18" spans="1:8" x14ac:dyDescent="0.3">
      <c r="A18" s="21">
        <v>16</v>
      </c>
      <c r="B18" s="3" t="s">
        <v>15</v>
      </c>
      <c r="C18" s="4">
        <v>0</v>
      </c>
      <c r="D18" s="4">
        <v>243</v>
      </c>
      <c r="E18" s="4">
        <v>2626</v>
      </c>
      <c r="F18" s="26">
        <v>0</v>
      </c>
      <c r="G18" s="26">
        <v>0.70529343036584291</v>
      </c>
      <c r="H18" s="26">
        <v>7.1280606585475681</v>
      </c>
    </row>
    <row r="19" spans="1:8" x14ac:dyDescent="0.3">
      <c r="A19" s="21">
        <v>17</v>
      </c>
      <c r="B19" s="3" t="s">
        <v>16</v>
      </c>
      <c r="C19" s="4">
        <v>0</v>
      </c>
      <c r="D19" s="4">
        <v>6324</v>
      </c>
      <c r="E19" s="4">
        <v>4586.4308415089126</v>
      </c>
      <c r="F19" s="26">
        <v>0</v>
      </c>
      <c r="G19" s="26">
        <v>54.497157297633848</v>
      </c>
      <c r="H19" s="26">
        <v>38.167125193710874</v>
      </c>
    </row>
    <row r="20" spans="1:8" x14ac:dyDescent="0.3">
      <c r="A20" s="21">
        <v>18</v>
      </c>
      <c r="B20" s="3" t="s">
        <v>17</v>
      </c>
      <c r="C20" s="4">
        <v>0</v>
      </c>
      <c r="D20" s="4">
        <v>37259</v>
      </c>
      <c r="E20" s="4">
        <v>41101</v>
      </c>
      <c r="F20" s="26">
        <v>0</v>
      </c>
      <c r="G20" s="26">
        <v>3.352756989556628</v>
      </c>
      <c r="H20" s="26">
        <v>3.3312550778874876</v>
      </c>
    </row>
    <row r="21" spans="1:8" x14ac:dyDescent="0.3">
      <c r="A21" s="21">
        <v>19</v>
      </c>
      <c r="B21" s="3" t="s">
        <v>18</v>
      </c>
      <c r="C21" s="4">
        <v>0</v>
      </c>
      <c r="D21" s="4">
        <v>117</v>
      </c>
      <c r="E21" s="4">
        <v>108.87462895058496</v>
      </c>
      <c r="F21" s="26">
        <v>0</v>
      </c>
      <c r="G21" s="26">
        <v>0.53375632381490701</v>
      </c>
      <c r="H21" s="26">
        <v>0.45573449456448667</v>
      </c>
    </row>
    <row r="22" spans="1:8" x14ac:dyDescent="0.3">
      <c r="A22" s="21">
        <v>20</v>
      </c>
      <c r="B22" s="3" t="s">
        <v>19</v>
      </c>
      <c r="C22" s="4">
        <v>0</v>
      </c>
      <c r="D22" s="4">
        <v>1553</v>
      </c>
      <c r="E22" s="4">
        <v>1553</v>
      </c>
      <c r="F22" s="26">
        <v>0</v>
      </c>
      <c r="G22" s="26">
        <v>6.3519577670475691</v>
      </c>
      <c r="H22" s="26">
        <v>5.7391152671552623</v>
      </c>
    </row>
    <row r="23" spans="1:8" x14ac:dyDescent="0.3">
      <c r="A23" s="21">
        <v>21</v>
      </c>
      <c r="B23" s="3" t="s">
        <v>20</v>
      </c>
      <c r="C23" s="4">
        <v>5293</v>
      </c>
      <c r="D23" s="4">
        <v>15820</v>
      </c>
      <c r="E23" s="4">
        <v>15820</v>
      </c>
      <c r="F23" s="26">
        <v>1.92293740259294</v>
      </c>
      <c r="G23" s="26">
        <v>5.1246102263411091</v>
      </c>
      <c r="H23" s="26">
        <v>4.7257919700699027</v>
      </c>
    </row>
    <row r="24" spans="1:8" x14ac:dyDescent="0.3">
      <c r="A24" s="21">
        <v>22</v>
      </c>
      <c r="B24" s="3" t="s">
        <v>21</v>
      </c>
      <c r="C24" s="4">
        <v>6700</v>
      </c>
      <c r="D24" s="4">
        <v>16567</v>
      </c>
      <c r="E24" s="4">
        <v>16567</v>
      </c>
      <c r="F24" s="26">
        <v>6.0603703338540411</v>
      </c>
      <c r="G24" s="26">
        <v>13.195682040216365</v>
      </c>
      <c r="H24" s="26">
        <v>11.953671244313533</v>
      </c>
    </row>
    <row r="25" spans="1:8" x14ac:dyDescent="0.3">
      <c r="A25" s="21">
        <v>23</v>
      </c>
      <c r="B25" s="3" t="s">
        <v>22</v>
      </c>
      <c r="C25" s="4">
        <v>0</v>
      </c>
      <c r="D25" s="4">
        <v>4057</v>
      </c>
      <c r="E25" s="4">
        <v>4817.861216730038</v>
      </c>
      <c r="F25" s="26">
        <v>0</v>
      </c>
      <c r="G25" s="26">
        <v>21.07582283113706</v>
      </c>
      <c r="H25" s="26">
        <v>22.881554702193021</v>
      </c>
    </row>
    <row r="26" spans="1:8" x14ac:dyDescent="0.3">
      <c r="A26" s="21">
        <v>24</v>
      </c>
      <c r="B26" s="3" t="s">
        <v>23</v>
      </c>
      <c r="C26" s="4">
        <v>0</v>
      </c>
      <c r="D26" s="4">
        <v>58079</v>
      </c>
      <c r="E26" s="4">
        <v>86423</v>
      </c>
      <c r="F26" s="26">
        <v>0</v>
      </c>
      <c r="G26" s="26">
        <v>11.626658368783776</v>
      </c>
      <c r="H26" s="26">
        <v>15.996116939512664</v>
      </c>
    </row>
    <row r="27" spans="1:8" x14ac:dyDescent="0.3">
      <c r="A27" s="21">
        <v>25</v>
      </c>
      <c r="B27" s="3" t="s">
        <v>24</v>
      </c>
      <c r="C27" s="4">
        <v>0</v>
      </c>
      <c r="D27" s="4">
        <v>14508</v>
      </c>
      <c r="E27" s="4">
        <v>14508</v>
      </c>
      <c r="F27" s="26">
        <v>0</v>
      </c>
      <c r="G27" s="26">
        <v>66.004949006308863</v>
      </c>
      <c r="H27" s="26">
        <v>62.918898242733405</v>
      </c>
    </row>
    <row r="28" spans="1:8" x14ac:dyDescent="0.3">
      <c r="A28" s="21">
        <v>26</v>
      </c>
      <c r="B28" s="3" t="s">
        <v>25</v>
      </c>
      <c r="C28" s="4">
        <v>0</v>
      </c>
      <c r="D28" s="4">
        <v>3391</v>
      </c>
      <c r="E28" s="4">
        <v>12625</v>
      </c>
      <c r="F28" s="26">
        <v>0</v>
      </c>
      <c r="G28" s="26">
        <v>6.9354240640603297</v>
      </c>
      <c r="H28" s="26">
        <v>23.808711102930751</v>
      </c>
    </row>
    <row r="29" spans="1:8" x14ac:dyDescent="0.3">
      <c r="A29" s="21">
        <v>27</v>
      </c>
      <c r="B29" s="3" t="s">
        <v>26</v>
      </c>
      <c r="C29" s="4">
        <v>0</v>
      </c>
      <c r="D29" s="4">
        <v>35000</v>
      </c>
      <c r="E29" s="4">
        <v>41616</v>
      </c>
      <c r="F29" s="26">
        <v>0</v>
      </c>
      <c r="G29" s="26">
        <v>13.037061273554757</v>
      </c>
      <c r="H29" s="26">
        <v>14.053897724393797</v>
      </c>
    </row>
    <row r="30" spans="1:8" x14ac:dyDescent="0.3">
      <c r="A30" s="21">
        <v>28</v>
      </c>
      <c r="B30" s="3" t="s">
        <v>27</v>
      </c>
      <c r="C30" s="4">
        <v>0</v>
      </c>
      <c r="D30" s="4">
        <v>10016</v>
      </c>
      <c r="E30" s="4">
        <v>10747</v>
      </c>
      <c r="F30" s="26">
        <v>0</v>
      </c>
      <c r="G30" s="26">
        <v>5.4529964068259842</v>
      </c>
      <c r="H30" s="26">
        <v>5.2667646689038072</v>
      </c>
    </row>
    <row r="31" spans="1:8" x14ac:dyDescent="0.3">
      <c r="A31" s="21">
        <v>29</v>
      </c>
      <c r="B31" s="3" t="s">
        <v>28</v>
      </c>
      <c r="C31" s="4">
        <v>0</v>
      </c>
      <c r="D31" s="4">
        <v>1152</v>
      </c>
      <c r="E31" s="4">
        <v>3303</v>
      </c>
      <c r="F31" s="26">
        <v>0</v>
      </c>
      <c r="G31" s="26">
        <v>0.57789845421193153</v>
      </c>
      <c r="H31" s="26">
        <v>1.4619190340729584</v>
      </c>
    </row>
    <row r="32" spans="1:8" x14ac:dyDescent="0.3">
      <c r="A32" s="21">
        <v>30</v>
      </c>
      <c r="B32" s="3" t="s">
        <v>29</v>
      </c>
      <c r="C32" s="4">
        <v>0</v>
      </c>
      <c r="D32" s="4">
        <v>500</v>
      </c>
      <c r="E32" s="4">
        <v>500</v>
      </c>
      <c r="F32" s="26">
        <v>0</v>
      </c>
      <c r="G32" s="26">
        <v>1.1707651055333528</v>
      </c>
      <c r="H32" s="26">
        <v>1.0557122584451177</v>
      </c>
    </row>
    <row r="33" spans="1:8" x14ac:dyDescent="0.3">
      <c r="A33" s="21">
        <v>31</v>
      </c>
      <c r="B33" s="3" t="s">
        <v>30</v>
      </c>
      <c r="C33" s="4">
        <v>0</v>
      </c>
      <c r="D33" s="4">
        <v>180</v>
      </c>
      <c r="E33" s="4">
        <v>916</v>
      </c>
      <c r="F33" s="26">
        <v>0</v>
      </c>
      <c r="G33" s="26">
        <v>1.3895520354428401</v>
      </c>
      <c r="H33" s="26">
        <v>7.0490331050606132</v>
      </c>
    </row>
    <row r="34" spans="1:8" x14ac:dyDescent="0.3">
      <c r="A34" s="21">
        <v>32</v>
      </c>
      <c r="B34" s="3" t="s">
        <v>31</v>
      </c>
      <c r="C34" s="4">
        <v>1204</v>
      </c>
      <c r="D34" s="4">
        <v>4787</v>
      </c>
      <c r="E34" s="4">
        <v>6992</v>
      </c>
      <c r="F34" s="26">
        <v>0.47679899647275681</v>
      </c>
      <c r="G34" s="26">
        <v>1.6269099262355917</v>
      </c>
      <c r="H34" s="26">
        <v>2.120746774024012</v>
      </c>
    </row>
    <row r="35" spans="1:8" x14ac:dyDescent="0.3">
      <c r="A35" s="21">
        <v>33</v>
      </c>
      <c r="B35" s="3" t="s">
        <v>32</v>
      </c>
      <c r="C35" s="4">
        <v>0</v>
      </c>
      <c r="D35" s="4">
        <v>2292</v>
      </c>
      <c r="E35" s="4">
        <v>2292</v>
      </c>
      <c r="F35" s="26">
        <v>0</v>
      </c>
      <c r="G35" s="26">
        <v>9.5274497174500095</v>
      </c>
      <c r="H35" s="26">
        <v>8.928667078948779</v>
      </c>
    </row>
    <row r="36" spans="1:8" x14ac:dyDescent="0.3">
      <c r="A36" s="21">
        <v>34</v>
      </c>
      <c r="B36" s="3" t="s">
        <v>33</v>
      </c>
      <c r="C36" s="4">
        <v>6560</v>
      </c>
      <c r="D36" s="4">
        <v>55</v>
      </c>
      <c r="E36" s="4">
        <v>2239</v>
      </c>
      <c r="F36" s="26">
        <v>3.5168230393081639</v>
      </c>
      <c r="G36" s="26">
        <v>2.4361012847643838E-2</v>
      </c>
      <c r="H36" s="26">
        <v>0.85432005786482601</v>
      </c>
    </row>
    <row r="37" spans="1:8" x14ac:dyDescent="0.3">
      <c r="A37" s="21">
        <v>35</v>
      </c>
      <c r="B37" s="3" t="s">
        <v>34</v>
      </c>
      <c r="C37" s="4">
        <v>0</v>
      </c>
      <c r="D37" s="4">
        <v>116454</v>
      </c>
      <c r="E37" s="4">
        <v>154477</v>
      </c>
      <c r="F37" s="26">
        <v>0</v>
      </c>
      <c r="G37" s="26">
        <v>5.8700234392393922</v>
      </c>
      <c r="H37" s="26">
        <v>7.0685523769048926</v>
      </c>
    </row>
    <row r="38" spans="1:8" x14ac:dyDescent="0.3">
      <c r="A38" s="21">
        <v>36</v>
      </c>
      <c r="B38" s="3" t="s">
        <v>35</v>
      </c>
      <c r="C38" s="4">
        <v>0</v>
      </c>
      <c r="D38" s="4">
        <v>45000</v>
      </c>
      <c r="E38" s="4">
        <v>58567</v>
      </c>
      <c r="F38" s="26">
        <v>0</v>
      </c>
      <c r="G38" s="26">
        <v>35.908626907969982</v>
      </c>
      <c r="H38" s="26">
        <v>42.511639672715482</v>
      </c>
    </row>
    <row r="39" spans="1:8" x14ac:dyDescent="0.3">
      <c r="A39" s="21">
        <v>37</v>
      </c>
      <c r="B39" s="3" t="s">
        <v>36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1">
        <v>38</v>
      </c>
      <c r="B40" s="3" t="s">
        <v>37</v>
      </c>
      <c r="C40" s="4">
        <v>770</v>
      </c>
      <c r="D40" s="4">
        <v>17417</v>
      </c>
      <c r="E40" s="4">
        <v>18757</v>
      </c>
      <c r="F40" s="26">
        <v>0.56636114180024388</v>
      </c>
      <c r="G40" s="26">
        <v>11.182729863782834</v>
      </c>
      <c r="H40" s="26">
        <v>10.831897463504209</v>
      </c>
    </row>
    <row r="41" spans="1:8" x14ac:dyDescent="0.3">
      <c r="A41" s="21">
        <v>39</v>
      </c>
      <c r="B41" s="3" t="s">
        <v>38</v>
      </c>
      <c r="C41" s="4">
        <v>0</v>
      </c>
      <c r="D41" s="4">
        <v>0</v>
      </c>
      <c r="E41" s="4">
        <v>0</v>
      </c>
      <c r="F41" s="26">
        <v>0</v>
      </c>
      <c r="G41" s="26">
        <v>0</v>
      </c>
      <c r="H41" s="26">
        <v>0</v>
      </c>
    </row>
    <row r="42" spans="1:8" x14ac:dyDescent="0.3">
      <c r="A42" s="21">
        <v>40</v>
      </c>
      <c r="B42" s="3" t="s">
        <v>39</v>
      </c>
      <c r="C42" s="4">
        <v>0</v>
      </c>
      <c r="D42" s="4">
        <v>505</v>
      </c>
      <c r="E42" s="4">
        <v>13966</v>
      </c>
      <c r="F42" s="26">
        <v>0</v>
      </c>
      <c r="G42" s="26">
        <v>0.64238894399017155</v>
      </c>
      <c r="H42" s="26">
        <v>16.228744655588287</v>
      </c>
    </row>
    <row r="43" spans="1:8" x14ac:dyDescent="0.3">
      <c r="A43" s="21">
        <v>41</v>
      </c>
      <c r="B43" s="3" t="s">
        <v>40</v>
      </c>
      <c r="C43" s="4">
        <v>0</v>
      </c>
      <c r="D43" s="4">
        <v>54180</v>
      </c>
      <c r="E43" s="4">
        <v>63290</v>
      </c>
      <c r="F43" s="26">
        <v>0</v>
      </c>
      <c r="G43" s="26">
        <v>9.448961438279122</v>
      </c>
      <c r="H43" s="26">
        <v>10.567021904097372</v>
      </c>
    </row>
    <row r="44" spans="1:8" x14ac:dyDescent="0.3">
      <c r="A44" s="21">
        <v>42</v>
      </c>
      <c r="B44" s="3" t="s">
        <v>41</v>
      </c>
      <c r="C44" s="4">
        <v>0</v>
      </c>
      <c r="D44" s="4">
        <v>1455</v>
      </c>
      <c r="E44" s="4">
        <v>2826</v>
      </c>
      <c r="F44" s="26">
        <v>0</v>
      </c>
      <c r="G44" s="26">
        <v>1.3996670331613827</v>
      </c>
      <c r="H44" s="26">
        <v>2.5895332732804746</v>
      </c>
    </row>
    <row r="45" spans="1:8" x14ac:dyDescent="0.3">
      <c r="A45" s="21">
        <v>43</v>
      </c>
      <c r="B45" s="3" t="s">
        <v>42</v>
      </c>
      <c r="C45" s="4">
        <v>0</v>
      </c>
      <c r="D45" s="4">
        <v>0</v>
      </c>
      <c r="E45" s="4">
        <v>20737</v>
      </c>
      <c r="F45" s="26">
        <v>0</v>
      </c>
      <c r="G45" s="26">
        <v>0</v>
      </c>
      <c r="H45" s="26">
        <v>3.166063053038096</v>
      </c>
    </row>
    <row r="46" spans="1:8" x14ac:dyDescent="0.3">
      <c r="A46" s="21">
        <v>44</v>
      </c>
      <c r="B46" s="3" t="s">
        <v>43</v>
      </c>
      <c r="C46" s="4">
        <v>0</v>
      </c>
      <c r="D46" s="4">
        <v>7500</v>
      </c>
      <c r="E46" s="4">
        <v>7500</v>
      </c>
      <c r="F46" s="26">
        <v>0</v>
      </c>
      <c r="G46" s="26">
        <v>9.3206153743674882</v>
      </c>
      <c r="H46" s="26">
        <v>8.4758227438758347</v>
      </c>
    </row>
    <row r="47" spans="1:8" x14ac:dyDescent="0.3">
      <c r="A47" s="21">
        <v>45</v>
      </c>
      <c r="B47" s="3" t="s">
        <v>44</v>
      </c>
      <c r="C47" s="4">
        <v>179175</v>
      </c>
      <c r="D47" s="4">
        <v>179000</v>
      </c>
      <c r="E47" s="4">
        <v>179000</v>
      </c>
      <c r="F47" s="26">
        <v>50.795822481251555</v>
      </c>
      <c r="G47" s="26">
        <v>43.116535444261082</v>
      </c>
      <c r="H47" s="26">
        <v>37.883930620766314</v>
      </c>
    </row>
    <row r="48" spans="1:8" x14ac:dyDescent="0.3">
      <c r="A48" s="21">
        <v>46</v>
      </c>
      <c r="B48" s="3" t="s">
        <v>45</v>
      </c>
      <c r="C48" s="4">
        <v>0</v>
      </c>
      <c r="D48" s="4">
        <v>1283</v>
      </c>
      <c r="E48" s="4">
        <v>2421</v>
      </c>
      <c r="F48" s="26">
        <v>0</v>
      </c>
      <c r="G48" s="26">
        <v>0.71933600409018006</v>
      </c>
      <c r="H48" s="26">
        <v>1.2094311652077474</v>
      </c>
    </row>
    <row r="49" spans="1:8" x14ac:dyDescent="0.3">
      <c r="A49" s="21">
        <v>47</v>
      </c>
      <c r="B49" s="3" t="s">
        <v>46</v>
      </c>
      <c r="C49" s="4">
        <v>11200</v>
      </c>
      <c r="D49" s="4">
        <v>15888</v>
      </c>
      <c r="E49" s="4">
        <v>19722</v>
      </c>
      <c r="F49" s="26">
        <v>8.262376791455722</v>
      </c>
      <c r="G49" s="26">
        <v>10.555278888432397</v>
      </c>
      <c r="H49" s="26">
        <v>12.084161201313416</v>
      </c>
    </row>
    <row r="50" spans="1:8" x14ac:dyDescent="0.3">
      <c r="A50" s="21">
        <v>48</v>
      </c>
      <c r="B50" s="5" t="s">
        <v>47</v>
      </c>
      <c r="C50" s="6">
        <v>213167</v>
      </c>
      <c r="D50" s="6">
        <v>681651</v>
      </c>
      <c r="E50" s="6">
        <v>850461.58153902204</v>
      </c>
      <c r="F50" s="28">
        <f>AVERAGE(F3:F49)</f>
        <v>1.5646873951531597</v>
      </c>
      <c r="G50" s="28">
        <f t="shared" ref="G50:H50" si="0">AVERAGE(G3:G49)</f>
        <v>7.8841362360747054</v>
      </c>
      <c r="H50" s="28">
        <f t="shared" si="0"/>
        <v>8.8784967718308589</v>
      </c>
    </row>
    <row r="53" spans="1:8" x14ac:dyDescent="0.3">
      <c r="C53" s="16">
        <f>47-38</f>
        <v>9</v>
      </c>
      <c r="D53" s="16">
        <f>47-11</f>
        <v>36</v>
      </c>
      <c r="E53" s="16">
        <v>40</v>
      </c>
    </row>
    <row r="54" spans="1:8" x14ac:dyDescent="0.3">
      <c r="C54" s="79">
        <f>C50/C53</f>
        <v>23685.222222222223</v>
      </c>
      <c r="D54" s="79">
        <f t="shared" ref="D54:E54" si="1">D50/D53</f>
        <v>18934.75</v>
      </c>
      <c r="E54" s="79">
        <f t="shared" si="1"/>
        <v>21261.53953847555</v>
      </c>
    </row>
  </sheetData>
  <autoFilter ref="A1:H50" xr:uid="{9FD76889-C8D2-4189-A524-A458057D8320}">
    <filterColumn colId="2" showButton="0"/>
    <filterColumn colId="3" showButton="0"/>
  </autoFilter>
  <mergeCells count="6">
    <mergeCell ref="H1:H2"/>
    <mergeCell ref="C1:E1"/>
    <mergeCell ref="B1:B2"/>
    <mergeCell ref="A1:A2"/>
    <mergeCell ref="F1:F2"/>
    <mergeCell ref="G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4BB0-3632-43CA-9210-9424FAA4565F}">
  <dimension ref="A1:H50"/>
  <sheetViews>
    <sheetView topLeftCell="A10" workbookViewId="0">
      <selection activeCell="I48" sqref="I48"/>
    </sheetView>
  </sheetViews>
  <sheetFormatPr defaultRowHeight="14" x14ac:dyDescent="0.3"/>
  <cols>
    <col min="1" max="1" width="4.54296875" style="23" bestFit="1" customWidth="1"/>
    <col min="2" max="2" width="18.54296875" style="16" bestFit="1" customWidth="1"/>
    <col min="3" max="16384" width="8.7265625" style="16"/>
  </cols>
  <sheetData>
    <row r="1" spans="1:8" ht="14.5" customHeight="1" x14ac:dyDescent="0.3">
      <c r="A1" s="215" t="s">
        <v>52</v>
      </c>
      <c r="B1" s="217" t="s">
        <v>48</v>
      </c>
      <c r="C1" s="196" t="s">
        <v>68</v>
      </c>
      <c r="D1" s="196"/>
      <c r="E1" s="196"/>
      <c r="F1" s="216" t="s">
        <v>91</v>
      </c>
      <c r="G1" s="216" t="s">
        <v>92</v>
      </c>
      <c r="H1" s="216" t="s">
        <v>93</v>
      </c>
    </row>
    <row r="2" spans="1:8" ht="28" x14ac:dyDescent="0.3">
      <c r="A2" s="215"/>
      <c r="B2" s="217"/>
      <c r="C2" s="11">
        <v>2013</v>
      </c>
      <c r="D2" s="11">
        <v>2018</v>
      </c>
      <c r="E2" s="11" t="s">
        <v>51</v>
      </c>
      <c r="F2" s="216"/>
      <c r="G2" s="216"/>
      <c r="H2" s="216"/>
    </row>
    <row r="3" spans="1:8" x14ac:dyDescent="0.3">
      <c r="A3" s="21">
        <v>1</v>
      </c>
      <c r="B3" s="3" t="s">
        <v>0</v>
      </c>
      <c r="C3" s="4">
        <v>0</v>
      </c>
      <c r="D3" s="4">
        <v>4403</v>
      </c>
      <c r="E3" s="4">
        <v>4403</v>
      </c>
      <c r="F3" s="26">
        <v>0</v>
      </c>
      <c r="G3" s="26">
        <v>1.0501584336797518</v>
      </c>
      <c r="H3" s="26">
        <v>0.98055317853004975</v>
      </c>
    </row>
    <row r="4" spans="1:8" x14ac:dyDescent="0.3">
      <c r="A4" s="21">
        <v>2</v>
      </c>
      <c r="B4" s="3" t="s">
        <v>1</v>
      </c>
      <c r="C4" s="4">
        <v>0</v>
      </c>
      <c r="D4" s="4">
        <v>0</v>
      </c>
      <c r="E4" s="4">
        <v>767</v>
      </c>
      <c r="F4" s="26">
        <v>0</v>
      </c>
      <c r="G4" s="26">
        <v>0</v>
      </c>
      <c r="H4" s="26">
        <v>0.21551610895808845</v>
      </c>
    </row>
    <row r="5" spans="1:8" x14ac:dyDescent="0.3">
      <c r="A5" s="21">
        <v>3</v>
      </c>
      <c r="B5" s="3" t="s">
        <v>2</v>
      </c>
      <c r="C5" s="4">
        <v>0</v>
      </c>
      <c r="D5" s="4">
        <v>0</v>
      </c>
      <c r="E5" s="4">
        <v>0</v>
      </c>
      <c r="F5" s="26">
        <v>0</v>
      </c>
      <c r="G5" s="26">
        <v>0</v>
      </c>
      <c r="H5" s="26">
        <v>0</v>
      </c>
    </row>
    <row r="6" spans="1:8" x14ac:dyDescent="0.3">
      <c r="A6" s="21">
        <v>4</v>
      </c>
      <c r="B6" s="3" t="s">
        <v>3</v>
      </c>
      <c r="C6" s="4">
        <v>0</v>
      </c>
      <c r="D6" s="4">
        <v>16</v>
      </c>
      <c r="E6" s="4">
        <v>17</v>
      </c>
      <c r="F6" s="26">
        <v>0</v>
      </c>
      <c r="G6" s="26">
        <v>6.5268599664233859E-2</v>
      </c>
      <c r="H6" s="26">
        <v>6.4631509153342398E-2</v>
      </c>
    </row>
    <row r="7" spans="1:8" x14ac:dyDescent="0.3">
      <c r="A7" s="21">
        <v>5</v>
      </c>
      <c r="B7" s="3" t="s">
        <v>4</v>
      </c>
      <c r="C7" s="4">
        <v>0</v>
      </c>
      <c r="D7" s="4">
        <v>8</v>
      </c>
      <c r="E7" s="4">
        <v>9</v>
      </c>
      <c r="F7" s="26">
        <v>0</v>
      </c>
      <c r="G7" s="26">
        <v>3.922968011677499E-3</v>
      </c>
      <c r="H7" s="26">
        <v>3.9693457133403789E-3</v>
      </c>
    </row>
    <row r="8" spans="1:8" x14ac:dyDescent="0.3">
      <c r="A8" s="21">
        <v>6</v>
      </c>
      <c r="B8" s="3" t="s">
        <v>5</v>
      </c>
      <c r="C8" s="4">
        <v>0</v>
      </c>
      <c r="D8" s="4">
        <v>93</v>
      </c>
      <c r="E8" s="4">
        <v>18.747432994576378</v>
      </c>
      <c r="F8" s="26">
        <v>0</v>
      </c>
      <c r="G8" s="26">
        <v>8.091549355514624E-2</v>
      </c>
      <c r="H8" s="26">
        <v>1.4544646206627801E-2</v>
      </c>
    </row>
    <row r="9" spans="1:8" x14ac:dyDescent="0.3">
      <c r="A9" s="21">
        <v>7</v>
      </c>
      <c r="B9" s="3" t="s">
        <v>6</v>
      </c>
      <c r="C9" s="4">
        <v>0</v>
      </c>
      <c r="D9" s="4">
        <v>0</v>
      </c>
      <c r="E9" s="4">
        <v>32</v>
      </c>
      <c r="F9" s="26">
        <v>0</v>
      </c>
      <c r="G9" s="26">
        <v>0</v>
      </c>
      <c r="H9" s="26">
        <v>1.1463561288219853E-2</v>
      </c>
    </row>
    <row r="10" spans="1:8" x14ac:dyDescent="0.3">
      <c r="A10" s="21">
        <v>8</v>
      </c>
      <c r="B10" s="3" t="s">
        <v>7</v>
      </c>
      <c r="C10" s="4">
        <v>0</v>
      </c>
      <c r="D10" s="4">
        <v>0</v>
      </c>
      <c r="E10" s="4">
        <v>0</v>
      </c>
      <c r="F10" s="26">
        <v>0</v>
      </c>
      <c r="G10" s="26">
        <v>0</v>
      </c>
      <c r="H10" s="26">
        <v>0</v>
      </c>
    </row>
    <row r="11" spans="1:8" x14ac:dyDescent="0.3">
      <c r="A11" s="21">
        <v>9</v>
      </c>
      <c r="B11" s="3" t="s">
        <v>8</v>
      </c>
      <c r="C11" s="4">
        <v>0</v>
      </c>
      <c r="D11" s="4">
        <v>0</v>
      </c>
      <c r="E11" s="4">
        <v>0</v>
      </c>
      <c r="F11" s="26">
        <v>0</v>
      </c>
      <c r="G11" s="26">
        <v>0</v>
      </c>
      <c r="H11" s="26">
        <v>0</v>
      </c>
    </row>
    <row r="12" spans="1:8" x14ac:dyDescent="0.3">
      <c r="A12" s="21">
        <v>10</v>
      </c>
      <c r="B12" s="3" t="s">
        <v>9</v>
      </c>
      <c r="C12" s="4">
        <v>0</v>
      </c>
      <c r="D12" s="4">
        <v>0</v>
      </c>
      <c r="E12" s="4">
        <v>0</v>
      </c>
      <c r="F12" s="26">
        <v>0</v>
      </c>
      <c r="G12" s="26">
        <v>0</v>
      </c>
      <c r="H12" s="26">
        <v>0</v>
      </c>
    </row>
    <row r="13" spans="1:8" x14ac:dyDescent="0.3">
      <c r="A13" s="21">
        <v>11</v>
      </c>
      <c r="B13" s="3" t="s">
        <v>10</v>
      </c>
      <c r="C13" s="4">
        <v>0</v>
      </c>
      <c r="D13" s="4">
        <v>0</v>
      </c>
      <c r="E13" s="4">
        <v>0</v>
      </c>
      <c r="F13" s="26">
        <v>0</v>
      </c>
      <c r="G13" s="26">
        <v>0</v>
      </c>
      <c r="H13" s="26">
        <v>0</v>
      </c>
    </row>
    <row r="14" spans="1:8" x14ac:dyDescent="0.3">
      <c r="A14" s="21">
        <v>12</v>
      </c>
      <c r="B14" s="3" t="s">
        <v>11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">
      <c r="A15" s="21">
        <v>13</v>
      </c>
      <c r="B15" s="3" t="s">
        <v>12</v>
      </c>
      <c r="C15" s="4">
        <v>0</v>
      </c>
      <c r="D15" s="4">
        <v>0</v>
      </c>
      <c r="E15" s="4">
        <v>0</v>
      </c>
      <c r="F15" s="26">
        <v>0</v>
      </c>
      <c r="G15" s="26">
        <v>0</v>
      </c>
      <c r="H15" s="26">
        <v>0</v>
      </c>
    </row>
    <row r="16" spans="1:8" x14ac:dyDescent="0.3">
      <c r="A16" s="21">
        <v>14</v>
      </c>
      <c r="B16" s="3" t="s">
        <v>13</v>
      </c>
      <c r="C16" s="4">
        <v>0</v>
      </c>
      <c r="D16" s="4">
        <v>0</v>
      </c>
      <c r="E16" s="4">
        <v>0</v>
      </c>
      <c r="F16" s="26">
        <v>0</v>
      </c>
      <c r="G16" s="26">
        <v>0</v>
      </c>
      <c r="H16" s="26">
        <v>0</v>
      </c>
    </row>
    <row r="17" spans="1:8" x14ac:dyDescent="0.3">
      <c r="A17" s="21">
        <v>15</v>
      </c>
      <c r="B17" s="3" t="s">
        <v>14</v>
      </c>
      <c r="C17" s="4">
        <v>0</v>
      </c>
      <c r="D17" s="4">
        <v>0</v>
      </c>
      <c r="E17" s="4">
        <v>0</v>
      </c>
      <c r="F17" s="26">
        <v>0</v>
      </c>
      <c r="G17" s="26">
        <v>0</v>
      </c>
      <c r="H17" s="26">
        <v>0</v>
      </c>
    </row>
    <row r="18" spans="1:8" x14ac:dyDescent="0.3">
      <c r="A18" s="21">
        <v>16</v>
      </c>
      <c r="B18" s="3" t="s">
        <v>15</v>
      </c>
      <c r="C18" s="4">
        <v>0</v>
      </c>
      <c r="D18" s="4">
        <v>0</v>
      </c>
      <c r="E18" s="4">
        <v>7</v>
      </c>
      <c r="F18" s="26">
        <v>0</v>
      </c>
      <c r="G18" s="26">
        <v>0</v>
      </c>
      <c r="H18" s="26">
        <v>1.9000923309151936E-2</v>
      </c>
    </row>
    <row r="19" spans="1:8" x14ac:dyDescent="0.3">
      <c r="A19" s="21">
        <v>17</v>
      </c>
      <c r="B19" s="3" t="s">
        <v>16</v>
      </c>
      <c r="C19" s="4">
        <v>0</v>
      </c>
      <c r="D19" s="4">
        <v>0</v>
      </c>
      <c r="E19" s="4">
        <v>12</v>
      </c>
      <c r="F19" s="26">
        <v>0</v>
      </c>
      <c r="G19" s="26">
        <v>0</v>
      </c>
      <c r="H19" s="26">
        <v>9.9860985186871143E-2</v>
      </c>
    </row>
    <row r="20" spans="1:8" x14ac:dyDescent="0.3">
      <c r="A20" s="21">
        <v>18</v>
      </c>
      <c r="B20" s="3" t="s">
        <v>17</v>
      </c>
      <c r="C20" s="4">
        <v>0</v>
      </c>
      <c r="D20" s="4">
        <v>0</v>
      </c>
      <c r="E20" s="4">
        <v>0</v>
      </c>
      <c r="F20" s="26">
        <v>0</v>
      </c>
      <c r="G20" s="26">
        <v>0</v>
      </c>
      <c r="H20" s="26">
        <v>0</v>
      </c>
    </row>
    <row r="21" spans="1:8" x14ac:dyDescent="0.3">
      <c r="A21" s="21">
        <v>19</v>
      </c>
      <c r="B21" s="3" t="s">
        <v>18</v>
      </c>
      <c r="C21" s="4">
        <v>0</v>
      </c>
      <c r="D21" s="4">
        <v>41</v>
      </c>
      <c r="E21" s="4">
        <v>175</v>
      </c>
      <c r="F21" s="26">
        <v>0</v>
      </c>
      <c r="G21" s="26">
        <v>0.18704281432830075</v>
      </c>
      <c r="H21" s="26">
        <v>0.73252636833309426</v>
      </c>
    </row>
    <row r="22" spans="1:8" x14ac:dyDescent="0.3">
      <c r="A22" s="21">
        <v>20</v>
      </c>
      <c r="B22" s="3" t="s">
        <v>19</v>
      </c>
      <c r="C22" s="4">
        <v>0</v>
      </c>
      <c r="D22" s="4">
        <v>0</v>
      </c>
      <c r="E22" s="4">
        <v>0</v>
      </c>
      <c r="F22" s="26">
        <v>0</v>
      </c>
      <c r="G22" s="26">
        <v>0</v>
      </c>
      <c r="H22" s="26">
        <v>0</v>
      </c>
    </row>
    <row r="23" spans="1:8" x14ac:dyDescent="0.3">
      <c r="A23" s="21">
        <v>21</v>
      </c>
      <c r="B23" s="3" t="s">
        <v>20</v>
      </c>
      <c r="C23" s="4">
        <v>0</v>
      </c>
      <c r="D23" s="4">
        <v>0</v>
      </c>
      <c r="E23" s="4">
        <v>65</v>
      </c>
      <c r="F23" s="26">
        <v>0</v>
      </c>
      <c r="G23" s="26">
        <v>0</v>
      </c>
      <c r="H23" s="26">
        <v>1.9416970799907944E-2</v>
      </c>
    </row>
    <row r="24" spans="1:8" x14ac:dyDescent="0.3">
      <c r="A24" s="21">
        <v>22</v>
      </c>
      <c r="B24" s="3" t="s">
        <v>21</v>
      </c>
      <c r="C24" s="4">
        <v>0</v>
      </c>
      <c r="D24" s="4">
        <v>0</v>
      </c>
      <c r="E24" s="4">
        <v>0</v>
      </c>
      <c r="F24" s="26">
        <v>0</v>
      </c>
      <c r="G24" s="26">
        <v>0</v>
      </c>
      <c r="H24" s="26">
        <v>0</v>
      </c>
    </row>
    <row r="25" spans="1:8" x14ac:dyDescent="0.3">
      <c r="A25" s="21">
        <v>23</v>
      </c>
      <c r="B25" s="3" t="s">
        <v>22</v>
      </c>
      <c r="C25" s="4">
        <v>0</v>
      </c>
      <c r="D25" s="4">
        <v>2</v>
      </c>
      <c r="E25" s="4">
        <v>11</v>
      </c>
      <c r="F25" s="26">
        <v>0</v>
      </c>
      <c r="G25" s="26">
        <v>1.0389855968024185E-2</v>
      </c>
      <c r="H25" s="26">
        <v>5.2242497324353029E-2</v>
      </c>
    </row>
    <row r="26" spans="1:8" x14ac:dyDescent="0.3">
      <c r="A26" s="21">
        <v>24</v>
      </c>
      <c r="B26" s="3" t="s">
        <v>23</v>
      </c>
      <c r="C26" s="4">
        <v>0</v>
      </c>
      <c r="D26" s="4">
        <v>0</v>
      </c>
      <c r="E26" s="4">
        <v>0</v>
      </c>
      <c r="F26" s="26">
        <v>0</v>
      </c>
      <c r="G26" s="26">
        <v>0</v>
      </c>
      <c r="H26" s="26">
        <v>0</v>
      </c>
    </row>
    <row r="27" spans="1:8" x14ac:dyDescent="0.3">
      <c r="A27" s="21">
        <v>25</v>
      </c>
      <c r="B27" s="3" t="s">
        <v>24</v>
      </c>
      <c r="C27" s="4">
        <v>0</v>
      </c>
      <c r="D27" s="4">
        <v>0</v>
      </c>
      <c r="E27" s="4">
        <v>0</v>
      </c>
      <c r="F27" s="26">
        <v>0</v>
      </c>
      <c r="G27" s="26">
        <v>0</v>
      </c>
      <c r="H27" s="26">
        <v>0</v>
      </c>
    </row>
    <row r="28" spans="1:8" x14ac:dyDescent="0.3">
      <c r="A28" s="21">
        <v>26</v>
      </c>
      <c r="B28" s="3" t="s">
        <v>25</v>
      </c>
      <c r="C28" s="4">
        <v>0</v>
      </c>
      <c r="D28" s="4">
        <v>0</v>
      </c>
      <c r="E28" s="4">
        <v>0</v>
      </c>
      <c r="F28" s="26">
        <v>0</v>
      </c>
      <c r="G28" s="26">
        <v>0</v>
      </c>
      <c r="H28" s="26">
        <v>0</v>
      </c>
    </row>
    <row r="29" spans="1:8" x14ac:dyDescent="0.3">
      <c r="A29" s="21">
        <v>27</v>
      </c>
      <c r="B29" s="3" t="s">
        <v>26</v>
      </c>
      <c r="C29" s="4">
        <v>0</v>
      </c>
      <c r="D29" s="4">
        <v>0</v>
      </c>
      <c r="E29" s="4">
        <v>0</v>
      </c>
      <c r="F29" s="26">
        <v>0</v>
      </c>
      <c r="G29" s="26">
        <v>0</v>
      </c>
      <c r="H29" s="26">
        <v>0</v>
      </c>
    </row>
    <row r="30" spans="1:8" x14ac:dyDescent="0.3">
      <c r="A30" s="21">
        <v>28</v>
      </c>
      <c r="B30" s="3" t="s">
        <v>27</v>
      </c>
      <c r="C30" s="4">
        <v>0</v>
      </c>
      <c r="D30" s="4">
        <v>0</v>
      </c>
      <c r="E30" s="4">
        <v>11</v>
      </c>
      <c r="F30" s="26">
        <v>0</v>
      </c>
      <c r="G30" s="26">
        <v>0</v>
      </c>
      <c r="H30" s="26">
        <v>5.3907519640775921E-3</v>
      </c>
    </row>
    <row r="31" spans="1:8" x14ac:dyDescent="0.3">
      <c r="A31" s="21">
        <v>29</v>
      </c>
      <c r="B31" s="3" t="s">
        <v>28</v>
      </c>
      <c r="C31" s="4">
        <v>0</v>
      </c>
      <c r="D31" s="4">
        <v>0</v>
      </c>
      <c r="E31" s="4">
        <v>0</v>
      </c>
      <c r="F31" s="26">
        <v>0</v>
      </c>
      <c r="G31" s="26">
        <v>0</v>
      </c>
      <c r="H31" s="26">
        <v>0</v>
      </c>
    </row>
    <row r="32" spans="1:8" x14ac:dyDescent="0.3">
      <c r="A32" s="21">
        <v>30</v>
      </c>
      <c r="B32" s="3" t="s">
        <v>29</v>
      </c>
      <c r="C32" s="4">
        <v>0</v>
      </c>
      <c r="D32" s="4">
        <v>0</v>
      </c>
      <c r="E32" s="4">
        <v>0</v>
      </c>
      <c r="F32" s="26">
        <v>0</v>
      </c>
      <c r="G32" s="26">
        <v>0</v>
      </c>
      <c r="H32" s="26">
        <v>0</v>
      </c>
    </row>
    <row r="33" spans="1:8" x14ac:dyDescent="0.3">
      <c r="A33" s="21">
        <v>31</v>
      </c>
      <c r="B33" s="3" t="s">
        <v>30</v>
      </c>
      <c r="C33" s="4">
        <v>0</v>
      </c>
      <c r="D33" s="4">
        <v>0</v>
      </c>
      <c r="E33" s="4">
        <v>16</v>
      </c>
      <c r="F33" s="26">
        <v>0</v>
      </c>
      <c r="G33" s="26">
        <v>0</v>
      </c>
      <c r="H33" s="26">
        <v>0.123127215808919</v>
      </c>
    </row>
    <row r="34" spans="1:8" x14ac:dyDescent="0.3">
      <c r="A34" s="21">
        <v>32</v>
      </c>
      <c r="B34" s="3" t="s">
        <v>31</v>
      </c>
      <c r="C34" s="4">
        <v>0</v>
      </c>
      <c r="D34" s="4">
        <v>608</v>
      </c>
      <c r="E34" s="4">
        <v>655</v>
      </c>
      <c r="F34" s="26">
        <v>0</v>
      </c>
      <c r="G34" s="26">
        <v>0.20663489349305197</v>
      </c>
      <c r="H34" s="26">
        <v>0.19866835483205492</v>
      </c>
    </row>
    <row r="35" spans="1:8" x14ac:dyDescent="0.3">
      <c r="A35" s="21">
        <v>33</v>
      </c>
      <c r="B35" s="3" t="s">
        <v>32</v>
      </c>
      <c r="C35" s="4">
        <v>0</v>
      </c>
      <c r="D35" s="4">
        <v>0</v>
      </c>
      <c r="E35" s="4">
        <v>13</v>
      </c>
      <c r="F35" s="26">
        <v>0</v>
      </c>
      <c r="G35" s="26">
        <v>0</v>
      </c>
      <c r="H35" s="26">
        <v>5.0642527062100408E-2</v>
      </c>
    </row>
    <row r="36" spans="1:8" x14ac:dyDescent="0.3">
      <c r="A36" s="21">
        <v>34</v>
      </c>
      <c r="B36" s="3" t="s">
        <v>33</v>
      </c>
      <c r="C36" s="4">
        <v>0</v>
      </c>
      <c r="D36" s="4">
        <v>0</v>
      </c>
      <c r="E36" s="4">
        <v>0</v>
      </c>
      <c r="F36" s="26">
        <v>0</v>
      </c>
      <c r="G36" s="26">
        <v>0</v>
      </c>
      <c r="H36" s="26">
        <v>0</v>
      </c>
    </row>
    <row r="37" spans="1:8" x14ac:dyDescent="0.3">
      <c r="A37" s="21">
        <v>35</v>
      </c>
      <c r="B37" s="3" t="s">
        <v>34</v>
      </c>
      <c r="C37" s="4">
        <v>0</v>
      </c>
      <c r="D37" s="4">
        <v>267</v>
      </c>
      <c r="E37" s="4">
        <v>267</v>
      </c>
      <c r="F37" s="26">
        <v>0</v>
      </c>
      <c r="G37" s="26">
        <v>1.3458500852498993E-2</v>
      </c>
      <c r="H37" s="26">
        <v>1.2217375302689761E-2</v>
      </c>
    </row>
    <row r="38" spans="1:8" x14ac:dyDescent="0.3">
      <c r="A38" s="21">
        <v>36</v>
      </c>
      <c r="B38" s="3" t="s">
        <v>35</v>
      </c>
      <c r="C38" s="4">
        <v>0</v>
      </c>
      <c r="D38" s="4">
        <v>310</v>
      </c>
      <c r="E38" s="4">
        <v>310</v>
      </c>
      <c r="F38" s="26">
        <v>0</v>
      </c>
      <c r="G38" s="26">
        <v>0.24737054092157101</v>
      </c>
      <c r="H38" s="26">
        <v>0.22501764301640514</v>
      </c>
    </row>
    <row r="39" spans="1:8" x14ac:dyDescent="0.3">
      <c r="A39" s="21">
        <v>37</v>
      </c>
      <c r="B39" s="3" t="s">
        <v>36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1">
        <v>38</v>
      </c>
      <c r="B40" s="3" t="s">
        <v>37</v>
      </c>
      <c r="C40" s="4">
        <v>0</v>
      </c>
      <c r="D40" s="4">
        <v>16</v>
      </c>
      <c r="E40" s="4">
        <v>16.385773437686989</v>
      </c>
      <c r="F40" s="26">
        <v>0</v>
      </c>
      <c r="G40" s="26">
        <v>1.0272933215853782E-2</v>
      </c>
      <c r="H40" s="26">
        <v>9.4625482613017193E-3</v>
      </c>
    </row>
    <row r="41" spans="1:8" x14ac:dyDescent="0.3">
      <c r="A41" s="21">
        <v>39</v>
      </c>
      <c r="B41" s="3" t="s">
        <v>38</v>
      </c>
      <c r="C41" s="4">
        <v>0</v>
      </c>
      <c r="D41" s="4">
        <v>0</v>
      </c>
      <c r="E41" s="4">
        <v>27</v>
      </c>
      <c r="F41" s="26">
        <v>0</v>
      </c>
      <c r="G41" s="26">
        <v>0</v>
      </c>
      <c r="H41" s="26">
        <v>2.5205730102643336</v>
      </c>
    </row>
    <row r="42" spans="1:8" x14ac:dyDescent="0.3">
      <c r="A42" s="21">
        <v>40</v>
      </c>
      <c r="B42" s="3" t="s">
        <v>39</v>
      </c>
      <c r="C42" s="4">
        <v>0</v>
      </c>
      <c r="D42" s="4">
        <v>0</v>
      </c>
      <c r="E42" s="4">
        <v>0</v>
      </c>
      <c r="F42" s="26">
        <v>0</v>
      </c>
      <c r="G42" s="26">
        <v>0</v>
      </c>
      <c r="H42" s="26">
        <v>0</v>
      </c>
    </row>
    <row r="43" spans="1:8" x14ac:dyDescent="0.3">
      <c r="A43" s="21">
        <v>41</v>
      </c>
      <c r="B43" s="3" t="s">
        <v>40</v>
      </c>
      <c r="C43" s="4">
        <v>0</v>
      </c>
      <c r="D43" s="4">
        <v>8565</v>
      </c>
      <c r="E43" s="4">
        <v>1059.6681884563263</v>
      </c>
      <c r="F43" s="26">
        <v>0</v>
      </c>
      <c r="G43" s="26">
        <v>1.4937311686759076</v>
      </c>
      <c r="H43" s="26">
        <v>0.17692426858102675</v>
      </c>
    </row>
    <row r="44" spans="1:8" x14ac:dyDescent="0.3">
      <c r="A44" s="21">
        <v>42</v>
      </c>
      <c r="B44" s="3" t="s">
        <v>41</v>
      </c>
      <c r="C44" s="4">
        <v>0</v>
      </c>
      <c r="D44" s="4">
        <v>0</v>
      </c>
      <c r="E44" s="4">
        <v>0</v>
      </c>
      <c r="F44" s="26">
        <v>0</v>
      </c>
      <c r="G44" s="26">
        <v>0</v>
      </c>
      <c r="H44" s="26">
        <v>0</v>
      </c>
    </row>
    <row r="45" spans="1:8" x14ac:dyDescent="0.3">
      <c r="A45" s="21">
        <v>43</v>
      </c>
      <c r="B45" s="3" t="s">
        <v>42</v>
      </c>
      <c r="C45" s="4">
        <v>0</v>
      </c>
      <c r="D45" s="4">
        <v>0</v>
      </c>
      <c r="E45" s="4">
        <v>0</v>
      </c>
      <c r="F45" s="26">
        <v>0</v>
      </c>
      <c r="G45" s="26">
        <v>0</v>
      </c>
      <c r="H45" s="26">
        <v>0</v>
      </c>
    </row>
    <row r="46" spans="1:8" x14ac:dyDescent="0.3">
      <c r="A46" s="21">
        <v>44</v>
      </c>
      <c r="B46" s="3" t="s">
        <v>43</v>
      </c>
      <c r="C46" s="4">
        <v>0</v>
      </c>
      <c r="D46" s="4">
        <v>62</v>
      </c>
      <c r="E46" s="4">
        <v>69</v>
      </c>
      <c r="F46" s="26">
        <v>0</v>
      </c>
      <c r="G46" s="26">
        <v>7.705042042810456E-2</v>
      </c>
      <c r="H46" s="26">
        <v>7.7977569243657674E-2</v>
      </c>
    </row>
    <row r="47" spans="1:8" x14ac:dyDescent="0.3">
      <c r="A47" s="21">
        <v>45</v>
      </c>
      <c r="B47" s="3" t="s">
        <v>44</v>
      </c>
      <c r="C47" s="4">
        <v>0</v>
      </c>
      <c r="D47" s="4">
        <v>0</v>
      </c>
      <c r="E47" s="4">
        <v>0</v>
      </c>
      <c r="F47" s="26">
        <v>0</v>
      </c>
      <c r="G47" s="26">
        <v>0</v>
      </c>
      <c r="H47" s="26">
        <v>0</v>
      </c>
    </row>
    <row r="48" spans="1:8" x14ac:dyDescent="0.3">
      <c r="A48" s="21">
        <v>46</v>
      </c>
      <c r="B48" s="3" t="s">
        <v>45</v>
      </c>
      <c r="C48" s="4">
        <v>0</v>
      </c>
      <c r="D48" s="4">
        <v>0</v>
      </c>
      <c r="E48" s="4">
        <v>4</v>
      </c>
      <c r="F48" s="26">
        <v>0</v>
      </c>
      <c r="G48" s="26">
        <v>0</v>
      </c>
      <c r="H48" s="26">
        <v>1.998234060648901E-3</v>
      </c>
    </row>
    <row r="49" spans="1:8" x14ac:dyDescent="0.3">
      <c r="A49" s="21">
        <v>47</v>
      </c>
      <c r="B49" s="3" t="s">
        <v>46</v>
      </c>
      <c r="C49" s="4">
        <v>0</v>
      </c>
      <c r="D49" s="4">
        <v>0</v>
      </c>
      <c r="E49" s="4">
        <v>39</v>
      </c>
      <c r="F49" s="26">
        <v>0</v>
      </c>
      <c r="G49" s="26">
        <v>0</v>
      </c>
      <c r="H49" s="26">
        <v>2.3896272530738425E-2</v>
      </c>
    </row>
    <row r="50" spans="1:8" x14ac:dyDescent="0.3">
      <c r="A50" s="21">
        <v>48</v>
      </c>
      <c r="B50" s="5" t="s">
        <v>47</v>
      </c>
      <c r="C50" s="6">
        <v>0</v>
      </c>
      <c r="D50" s="6">
        <v>14391</v>
      </c>
      <c r="E50" s="6">
        <v>8003.8013948885891</v>
      </c>
      <c r="F50" s="28">
        <f>AVERAGE(F3:F49)</f>
        <v>0</v>
      </c>
      <c r="G50" s="28">
        <f t="shared" ref="G50:H50" si="0">AVERAGE(G3:G49)</f>
        <v>7.3323757931789829E-2</v>
      </c>
      <c r="H50" s="28">
        <f t="shared" si="0"/>
        <v>0.11999195459002127</v>
      </c>
    </row>
  </sheetData>
  <mergeCells count="6">
    <mergeCell ref="A1:A2"/>
    <mergeCell ref="C1:E1"/>
    <mergeCell ref="F1:F2"/>
    <mergeCell ref="G1:G2"/>
    <mergeCell ref="H1:H2"/>
    <mergeCell ref="B1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B518-9FF4-42E1-B000-FD2F1EFCAD8A}">
  <dimension ref="A1:H50"/>
  <sheetViews>
    <sheetView topLeftCell="A4" workbookViewId="0">
      <selection sqref="A1:H50"/>
    </sheetView>
  </sheetViews>
  <sheetFormatPr defaultRowHeight="14.5" x14ac:dyDescent="0.35"/>
  <cols>
    <col min="1" max="1" width="4.54296875" bestFit="1" customWidth="1"/>
    <col min="2" max="2" width="18.54296875" bestFit="1" customWidth="1"/>
  </cols>
  <sheetData>
    <row r="1" spans="1:8" x14ac:dyDescent="0.35">
      <c r="A1" s="215" t="s">
        <v>52</v>
      </c>
      <c r="B1" s="217" t="s">
        <v>48</v>
      </c>
      <c r="C1" s="218" t="s">
        <v>69</v>
      </c>
      <c r="D1" s="218"/>
      <c r="E1" s="218"/>
      <c r="F1" s="216" t="s">
        <v>91</v>
      </c>
      <c r="G1" s="216" t="s">
        <v>92</v>
      </c>
      <c r="H1" s="216" t="s">
        <v>93</v>
      </c>
    </row>
    <row r="2" spans="1:8" ht="56.5" customHeight="1" x14ac:dyDescent="0.35">
      <c r="A2" s="215"/>
      <c r="B2" s="217"/>
      <c r="C2" s="11">
        <v>2013</v>
      </c>
      <c r="D2" s="11">
        <v>2018</v>
      </c>
      <c r="E2" s="11" t="s">
        <v>51</v>
      </c>
      <c r="F2" s="216"/>
      <c r="G2" s="216"/>
      <c r="H2" s="216"/>
    </row>
    <row r="3" spans="1:8" x14ac:dyDescent="0.35">
      <c r="A3" s="2">
        <v>1</v>
      </c>
      <c r="B3" s="3" t="s">
        <v>0</v>
      </c>
      <c r="C3" s="4">
        <v>0</v>
      </c>
      <c r="D3" s="4">
        <v>0</v>
      </c>
      <c r="E3" s="4">
        <v>0</v>
      </c>
      <c r="F3" s="31">
        <v>0</v>
      </c>
      <c r="G3" s="31">
        <v>0</v>
      </c>
      <c r="H3" s="31">
        <v>0</v>
      </c>
    </row>
    <row r="4" spans="1:8" x14ac:dyDescent="0.35">
      <c r="A4" s="2">
        <v>2</v>
      </c>
      <c r="B4" s="3" t="s">
        <v>1</v>
      </c>
      <c r="C4" s="4">
        <v>0</v>
      </c>
      <c r="D4" s="4">
        <v>0</v>
      </c>
      <c r="E4" s="4">
        <v>1</v>
      </c>
      <c r="F4" s="31">
        <v>0</v>
      </c>
      <c r="G4" s="31">
        <v>0</v>
      </c>
      <c r="H4" s="31">
        <v>2.8098580046686893E-4</v>
      </c>
    </row>
    <row r="5" spans="1:8" x14ac:dyDescent="0.35">
      <c r="A5" s="2">
        <v>3</v>
      </c>
      <c r="B5" s="3" t="s">
        <v>2</v>
      </c>
      <c r="C5" s="4">
        <v>0</v>
      </c>
      <c r="D5" s="4">
        <v>0</v>
      </c>
      <c r="E5" s="4">
        <v>0</v>
      </c>
      <c r="F5" s="31">
        <v>0</v>
      </c>
      <c r="G5" s="31">
        <v>0</v>
      </c>
      <c r="H5" s="31">
        <v>0</v>
      </c>
    </row>
    <row r="6" spans="1:8" x14ac:dyDescent="0.35">
      <c r="A6" s="2">
        <v>4</v>
      </c>
      <c r="B6" s="3" t="s">
        <v>3</v>
      </c>
      <c r="C6" s="4">
        <v>0</v>
      </c>
      <c r="D6" s="4">
        <v>9</v>
      </c>
      <c r="E6" s="4">
        <v>11</v>
      </c>
      <c r="F6" s="31">
        <v>0</v>
      </c>
      <c r="G6" s="31">
        <v>3.6713587311131543E-2</v>
      </c>
      <c r="H6" s="31">
        <v>4.1820388275692136E-2</v>
      </c>
    </row>
    <row r="7" spans="1:8" x14ac:dyDescent="0.35">
      <c r="A7" s="2">
        <v>5</v>
      </c>
      <c r="B7" s="3" t="s">
        <v>4</v>
      </c>
      <c r="C7" s="4">
        <v>0</v>
      </c>
      <c r="D7" s="4">
        <v>0</v>
      </c>
      <c r="E7" s="4">
        <v>0</v>
      </c>
      <c r="F7" s="31">
        <v>0</v>
      </c>
      <c r="G7" s="31">
        <v>0</v>
      </c>
      <c r="H7" s="31">
        <v>0</v>
      </c>
    </row>
    <row r="8" spans="1:8" x14ac:dyDescent="0.35">
      <c r="A8" s="2">
        <v>6</v>
      </c>
      <c r="B8" s="3" t="s">
        <v>5</v>
      </c>
      <c r="C8" s="4">
        <v>0</v>
      </c>
      <c r="D8" s="4">
        <v>0</v>
      </c>
      <c r="E8" s="4">
        <v>5</v>
      </c>
      <c r="F8" s="31">
        <v>0</v>
      </c>
      <c r="G8" s="31">
        <v>0</v>
      </c>
      <c r="H8" s="31">
        <v>3.8791033980053588E-3</v>
      </c>
    </row>
    <row r="9" spans="1:8" x14ac:dyDescent="0.35">
      <c r="A9" s="2">
        <v>7</v>
      </c>
      <c r="B9" s="3" t="s">
        <v>6</v>
      </c>
      <c r="C9" s="4">
        <v>0</v>
      </c>
      <c r="D9" s="4">
        <v>0</v>
      </c>
      <c r="E9" s="4">
        <v>2</v>
      </c>
      <c r="F9" s="31">
        <v>0</v>
      </c>
      <c r="G9" s="31">
        <v>0</v>
      </c>
      <c r="H9" s="31">
        <v>7.1647258051374082E-4</v>
      </c>
    </row>
    <row r="10" spans="1:8" x14ac:dyDescent="0.35">
      <c r="A10" s="2">
        <v>8</v>
      </c>
      <c r="B10" s="3" t="s">
        <v>7</v>
      </c>
      <c r="C10" s="4">
        <v>0</v>
      </c>
      <c r="D10" s="4">
        <v>0</v>
      </c>
      <c r="E10" s="4">
        <v>0</v>
      </c>
      <c r="F10" s="31">
        <v>0</v>
      </c>
      <c r="G10" s="31">
        <v>0</v>
      </c>
      <c r="H10" s="31">
        <v>0</v>
      </c>
    </row>
    <row r="11" spans="1:8" x14ac:dyDescent="0.35">
      <c r="A11" s="2">
        <v>9</v>
      </c>
      <c r="B11" s="3" t="s">
        <v>8</v>
      </c>
      <c r="C11" s="4">
        <v>0</v>
      </c>
      <c r="D11" s="4">
        <v>0</v>
      </c>
      <c r="E11" s="4">
        <v>0</v>
      </c>
      <c r="F11" s="31">
        <v>0</v>
      </c>
      <c r="G11" s="31">
        <v>0</v>
      </c>
      <c r="H11" s="31">
        <v>0</v>
      </c>
    </row>
    <row r="12" spans="1:8" x14ac:dyDescent="0.35">
      <c r="A12" s="2">
        <v>10</v>
      </c>
      <c r="B12" s="3" t="s">
        <v>9</v>
      </c>
      <c r="C12" s="4">
        <v>0</v>
      </c>
      <c r="D12" s="4">
        <v>0</v>
      </c>
      <c r="E12" s="4">
        <v>0</v>
      </c>
      <c r="F12" s="31">
        <v>0</v>
      </c>
      <c r="G12" s="31">
        <v>0</v>
      </c>
      <c r="H12" s="31">
        <v>0</v>
      </c>
    </row>
    <row r="13" spans="1:8" x14ac:dyDescent="0.35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31">
        <v>0</v>
      </c>
      <c r="G13" s="31">
        <v>0</v>
      </c>
      <c r="H13" s="31">
        <v>0</v>
      </c>
    </row>
    <row r="14" spans="1:8" x14ac:dyDescent="0.35">
      <c r="A14" s="2">
        <v>12</v>
      </c>
      <c r="B14" s="3" t="s">
        <v>11</v>
      </c>
      <c r="C14" s="4">
        <v>0</v>
      </c>
      <c r="D14" s="4">
        <v>0</v>
      </c>
      <c r="E14" s="4">
        <v>0</v>
      </c>
      <c r="F14" s="31">
        <v>0</v>
      </c>
      <c r="G14" s="31">
        <v>0</v>
      </c>
      <c r="H14" s="31">
        <v>0</v>
      </c>
    </row>
    <row r="15" spans="1:8" x14ac:dyDescent="0.35">
      <c r="A15" s="2">
        <v>13</v>
      </c>
      <c r="B15" s="3" t="s">
        <v>12</v>
      </c>
      <c r="C15" s="4">
        <v>0</v>
      </c>
      <c r="D15" s="4">
        <v>0</v>
      </c>
      <c r="E15" s="4">
        <v>0</v>
      </c>
      <c r="F15" s="31">
        <v>0</v>
      </c>
      <c r="G15" s="31">
        <v>0</v>
      </c>
      <c r="H15" s="31">
        <v>0</v>
      </c>
    </row>
    <row r="16" spans="1:8" x14ac:dyDescent="0.35">
      <c r="A16" s="2">
        <v>14</v>
      </c>
      <c r="B16" s="3" t="s">
        <v>13</v>
      </c>
      <c r="C16" s="4">
        <v>0</v>
      </c>
      <c r="D16" s="4">
        <v>0</v>
      </c>
      <c r="E16" s="4">
        <v>0</v>
      </c>
      <c r="F16" s="31">
        <v>0</v>
      </c>
      <c r="G16" s="31">
        <v>0</v>
      </c>
      <c r="H16" s="31">
        <v>0</v>
      </c>
    </row>
    <row r="17" spans="1:8" x14ac:dyDescent="0.35">
      <c r="A17" s="2">
        <v>15</v>
      </c>
      <c r="B17" s="3" t="s">
        <v>14</v>
      </c>
      <c r="C17" s="4">
        <v>0</v>
      </c>
      <c r="D17" s="4">
        <v>0</v>
      </c>
      <c r="E17" s="4">
        <v>0</v>
      </c>
      <c r="F17" s="31">
        <v>0</v>
      </c>
      <c r="G17" s="31">
        <v>0</v>
      </c>
      <c r="H17" s="31">
        <v>0</v>
      </c>
    </row>
    <row r="18" spans="1:8" x14ac:dyDescent="0.35">
      <c r="A18" s="2">
        <v>16</v>
      </c>
      <c r="B18" s="3" t="s">
        <v>15</v>
      </c>
      <c r="C18" s="4">
        <v>0</v>
      </c>
      <c r="D18" s="4">
        <v>0</v>
      </c>
      <c r="E18" s="4">
        <v>0</v>
      </c>
      <c r="F18" s="31">
        <v>0</v>
      </c>
      <c r="G18" s="31">
        <v>0</v>
      </c>
      <c r="H18" s="31">
        <v>0</v>
      </c>
    </row>
    <row r="19" spans="1:8" x14ac:dyDescent="0.35">
      <c r="A19" s="2">
        <v>17</v>
      </c>
      <c r="B19" s="3" t="s">
        <v>16</v>
      </c>
      <c r="C19" s="4">
        <v>0</v>
      </c>
      <c r="D19" s="4">
        <v>0</v>
      </c>
      <c r="E19" s="4">
        <v>14</v>
      </c>
      <c r="F19" s="31">
        <v>0</v>
      </c>
      <c r="G19" s="31">
        <v>0</v>
      </c>
      <c r="H19" s="31">
        <v>0.11650448271801633</v>
      </c>
    </row>
    <row r="20" spans="1:8" x14ac:dyDescent="0.35">
      <c r="A20" s="2">
        <v>18</v>
      </c>
      <c r="B20" s="3" t="s">
        <v>17</v>
      </c>
      <c r="C20" s="4">
        <v>0</v>
      </c>
      <c r="D20" s="4">
        <v>0</v>
      </c>
      <c r="E20" s="4">
        <v>4</v>
      </c>
      <c r="F20" s="31">
        <v>0</v>
      </c>
      <c r="G20" s="31">
        <v>0</v>
      </c>
      <c r="H20" s="31">
        <v>3.2420185181747282E-4</v>
      </c>
    </row>
    <row r="21" spans="1:8" x14ac:dyDescent="0.35">
      <c r="A21" s="2">
        <v>19</v>
      </c>
      <c r="B21" s="3" t="s">
        <v>18</v>
      </c>
      <c r="C21" s="4">
        <v>0</v>
      </c>
      <c r="D21" s="4">
        <v>2</v>
      </c>
      <c r="E21" s="4">
        <v>1.1109656015365812</v>
      </c>
      <c r="F21" s="31">
        <v>0</v>
      </c>
      <c r="G21" s="31">
        <v>9.1240397233317439E-3</v>
      </c>
      <c r="H21" s="31">
        <v>4.6503519853519047E-3</v>
      </c>
    </row>
    <row r="22" spans="1:8" x14ac:dyDescent="0.35">
      <c r="A22" s="2">
        <v>20</v>
      </c>
      <c r="B22" s="3" t="s">
        <v>19</v>
      </c>
      <c r="C22" s="4">
        <v>0</v>
      </c>
      <c r="D22" s="4">
        <v>0</v>
      </c>
      <c r="E22" s="4">
        <v>0</v>
      </c>
      <c r="F22" s="31">
        <v>0</v>
      </c>
      <c r="G22" s="31">
        <v>0</v>
      </c>
      <c r="H22" s="31">
        <v>0</v>
      </c>
    </row>
    <row r="23" spans="1:8" x14ac:dyDescent="0.35">
      <c r="A23" s="2">
        <v>21</v>
      </c>
      <c r="B23" s="3" t="s">
        <v>20</v>
      </c>
      <c r="C23" s="4">
        <v>0</v>
      </c>
      <c r="D23" s="4">
        <v>0</v>
      </c>
      <c r="E23" s="4">
        <v>30</v>
      </c>
      <c r="F23" s="31">
        <v>0</v>
      </c>
      <c r="G23" s="31">
        <v>0</v>
      </c>
      <c r="H23" s="31">
        <v>8.9616788307267433E-3</v>
      </c>
    </row>
    <row r="24" spans="1:8" x14ac:dyDescent="0.35">
      <c r="A24" s="2">
        <v>22</v>
      </c>
      <c r="B24" s="3" t="s">
        <v>21</v>
      </c>
      <c r="C24" s="4">
        <v>0</v>
      </c>
      <c r="D24" s="4">
        <v>0</v>
      </c>
      <c r="E24" s="4">
        <v>0</v>
      </c>
      <c r="F24" s="31">
        <v>0</v>
      </c>
      <c r="G24" s="31">
        <v>0</v>
      </c>
      <c r="H24" s="31">
        <v>0</v>
      </c>
    </row>
    <row r="25" spans="1:8" x14ac:dyDescent="0.35">
      <c r="A25" s="2">
        <v>23</v>
      </c>
      <c r="B25" s="3" t="s">
        <v>22</v>
      </c>
      <c r="C25" s="4">
        <v>0</v>
      </c>
      <c r="D25" s="4">
        <v>0</v>
      </c>
      <c r="E25" s="4">
        <v>0</v>
      </c>
      <c r="F25" s="31">
        <v>0</v>
      </c>
      <c r="G25" s="31">
        <v>0</v>
      </c>
      <c r="H25" s="31">
        <v>0</v>
      </c>
    </row>
    <row r="26" spans="1:8" x14ac:dyDescent="0.35">
      <c r="A26" s="2">
        <v>24</v>
      </c>
      <c r="B26" s="3" t="s">
        <v>23</v>
      </c>
      <c r="C26" s="4">
        <v>0</v>
      </c>
      <c r="D26" s="4">
        <v>0</v>
      </c>
      <c r="E26" s="4">
        <v>0</v>
      </c>
      <c r="F26" s="31">
        <v>0</v>
      </c>
      <c r="G26" s="31">
        <v>0</v>
      </c>
      <c r="H26" s="31">
        <v>0</v>
      </c>
    </row>
    <row r="27" spans="1:8" x14ac:dyDescent="0.35">
      <c r="A27" s="2">
        <v>25</v>
      </c>
      <c r="B27" s="3" t="s">
        <v>24</v>
      </c>
      <c r="C27" s="4">
        <v>0</v>
      </c>
      <c r="D27" s="4">
        <v>0</v>
      </c>
      <c r="E27" s="4">
        <v>0</v>
      </c>
      <c r="F27" s="31">
        <v>0</v>
      </c>
      <c r="G27" s="31">
        <v>0</v>
      </c>
      <c r="H27" s="31">
        <v>0</v>
      </c>
    </row>
    <row r="28" spans="1:8" x14ac:dyDescent="0.35">
      <c r="A28" s="2">
        <v>26</v>
      </c>
      <c r="B28" s="3" t="s">
        <v>25</v>
      </c>
      <c r="C28" s="4">
        <v>0</v>
      </c>
      <c r="D28" s="4">
        <v>0</v>
      </c>
      <c r="E28" s="4">
        <v>0</v>
      </c>
      <c r="F28" s="31">
        <v>0</v>
      </c>
      <c r="G28" s="31">
        <v>0</v>
      </c>
      <c r="H28" s="31">
        <v>0</v>
      </c>
    </row>
    <row r="29" spans="1:8" x14ac:dyDescent="0.35">
      <c r="A29" s="2">
        <v>27</v>
      </c>
      <c r="B29" s="3" t="s">
        <v>26</v>
      </c>
      <c r="C29" s="4">
        <v>0</v>
      </c>
      <c r="D29" s="4">
        <v>0</v>
      </c>
      <c r="E29" s="4">
        <v>0</v>
      </c>
      <c r="F29" s="31">
        <v>0</v>
      </c>
      <c r="G29" s="31">
        <v>0</v>
      </c>
      <c r="H29" s="31">
        <v>0</v>
      </c>
    </row>
    <row r="30" spans="1:8" x14ac:dyDescent="0.35">
      <c r="A30" s="2">
        <v>28</v>
      </c>
      <c r="B30" s="3" t="s">
        <v>27</v>
      </c>
      <c r="C30" s="4">
        <v>0</v>
      </c>
      <c r="D30" s="4">
        <v>0</v>
      </c>
      <c r="E30" s="4">
        <v>0</v>
      </c>
      <c r="F30" s="31">
        <v>0</v>
      </c>
      <c r="G30" s="31">
        <v>0</v>
      </c>
      <c r="H30" s="31">
        <v>0</v>
      </c>
    </row>
    <row r="31" spans="1:8" x14ac:dyDescent="0.35">
      <c r="A31" s="2">
        <v>29</v>
      </c>
      <c r="B31" s="3" t="s">
        <v>28</v>
      </c>
      <c r="C31" s="4">
        <v>0</v>
      </c>
      <c r="D31" s="4">
        <v>0</v>
      </c>
      <c r="E31" s="4">
        <v>0</v>
      </c>
      <c r="F31" s="31">
        <v>0</v>
      </c>
      <c r="G31" s="31">
        <v>0</v>
      </c>
      <c r="H31" s="31">
        <v>0</v>
      </c>
    </row>
    <row r="32" spans="1:8" x14ac:dyDescent="0.35">
      <c r="A32" s="2">
        <v>30</v>
      </c>
      <c r="B32" s="3" t="s">
        <v>29</v>
      </c>
      <c r="C32" s="4">
        <v>0</v>
      </c>
      <c r="D32" s="4">
        <v>0</v>
      </c>
      <c r="E32" s="4">
        <v>0</v>
      </c>
      <c r="F32" s="31">
        <v>0</v>
      </c>
      <c r="G32" s="31">
        <v>0</v>
      </c>
      <c r="H32" s="31">
        <v>0</v>
      </c>
    </row>
    <row r="33" spans="1:8" x14ac:dyDescent="0.35">
      <c r="A33" s="2">
        <v>31</v>
      </c>
      <c r="B33" s="3" t="s">
        <v>30</v>
      </c>
      <c r="C33" s="4">
        <v>0</v>
      </c>
      <c r="D33" s="4">
        <v>0</v>
      </c>
      <c r="E33" s="4">
        <v>27</v>
      </c>
      <c r="F33" s="31">
        <v>0</v>
      </c>
      <c r="G33" s="31">
        <v>0</v>
      </c>
      <c r="H33" s="31">
        <v>0.20777717667755083</v>
      </c>
    </row>
    <row r="34" spans="1:8" x14ac:dyDescent="0.35">
      <c r="A34" s="2">
        <v>32</v>
      </c>
      <c r="B34" s="3" t="s">
        <v>31</v>
      </c>
      <c r="C34" s="4">
        <v>0</v>
      </c>
      <c r="D34" s="4">
        <v>3</v>
      </c>
      <c r="E34" s="4">
        <v>2.2985972886408303</v>
      </c>
      <c r="F34" s="31">
        <v>0</v>
      </c>
      <c r="G34" s="31">
        <v>1.019580066577559E-3</v>
      </c>
      <c r="H34" s="31">
        <v>6.9718861336747449E-4</v>
      </c>
    </row>
    <row r="35" spans="1:8" x14ac:dyDescent="0.35">
      <c r="A35" s="2">
        <v>33</v>
      </c>
      <c r="B35" s="3" t="s">
        <v>32</v>
      </c>
      <c r="C35" s="4">
        <v>0</v>
      </c>
      <c r="D35" s="4">
        <v>0</v>
      </c>
      <c r="E35" s="4">
        <v>29</v>
      </c>
      <c r="F35" s="31">
        <v>0</v>
      </c>
      <c r="G35" s="31">
        <v>0</v>
      </c>
      <c r="H35" s="31">
        <v>0.11297179113853167</v>
      </c>
    </row>
    <row r="36" spans="1:8" x14ac:dyDescent="0.35">
      <c r="A36" s="2">
        <v>34</v>
      </c>
      <c r="B36" s="3" t="s">
        <v>33</v>
      </c>
      <c r="C36" s="4">
        <v>0</v>
      </c>
      <c r="D36" s="4">
        <v>0</v>
      </c>
      <c r="E36" s="4">
        <v>0</v>
      </c>
      <c r="F36" s="31">
        <v>0</v>
      </c>
      <c r="G36" s="31">
        <v>0</v>
      </c>
      <c r="H36" s="31">
        <v>0</v>
      </c>
    </row>
    <row r="37" spans="1:8" x14ac:dyDescent="0.35">
      <c r="A37" s="2">
        <v>35</v>
      </c>
      <c r="B37" s="3" t="s">
        <v>34</v>
      </c>
      <c r="C37" s="4">
        <v>0</v>
      </c>
      <c r="D37" s="4">
        <v>56</v>
      </c>
      <c r="E37" s="4">
        <v>168</v>
      </c>
      <c r="F37" s="31">
        <v>0</v>
      </c>
      <c r="G37" s="31">
        <v>2.822756733108403E-3</v>
      </c>
      <c r="H37" s="31">
        <v>7.6873372691081644E-3</v>
      </c>
    </row>
    <row r="38" spans="1:8" x14ac:dyDescent="0.35">
      <c r="A38" s="2">
        <v>36</v>
      </c>
      <c r="B38" s="3" t="s">
        <v>35</v>
      </c>
      <c r="C38" s="4">
        <v>0</v>
      </c>
      <c r="D38" s="4">
        <v>0</v>
      </c>
      <c r="E38" s="4">
        <v>0</v>
      </c>
      <c r="F38" s="31">
        <v>0</v>
      </c>
      <c r="G38" s="31">
        <v>0</v>
      </c>
      <c r="H38" s="31">
        <v>0</v>
      </c>
    </row>
    <row r="39" spans="1:8" x14ac:dyDescent="0.35">
      <c r="A39" s="2">
        <v>37</v>
      </c>
      <c r="B39" s="3" t="s">
        <v>36</v>
      </c>
      <c r="C39" s="4">
        <v>0</v>
      </c>
      <c r="D39" s="4">
        <v>0</v>
      </c>
      <c r="E39" s="4">
        <v>0</v>
      </c>
      <c r="F39" s="31">
        <v>0</v>
      </c>
      <c r="G39" s="31">
        <v>0</v>
      </c>
      <c r="H39" s="31">
        <v>0</v>
      </c>
    </row>
    <row r="40" spans="1:8" x14ac:dyDescent="0.35">
      <c r="A40" s="2">
        <v>38</v>
      </c>
      <c r="B40" s="3" t="s">
        <v>37</v>
      </c>
      <c r="C40" s="4">
        <v>0</v>
      </c>
      <c r="D40" s="4">
        <v>2</v>
      </c>
      <c r="E40" s="4">
        <v>1.1704123884062134</v>
      </c>
      <c r="F40" s="31">
        <v>0</v>
      </c>
      <c r="G40" s="31">
        <v>1.2841166519817228E-3</v>
      </c>
      <c r="H40" s="31">
        <v>6.7589630437869417E-4</v>
      </c>
    </row>
    <row r="41" spans="1:8" x14ac:dyDescent="0.35">
      <c r="A41" s="2">
        <v>39</v>
      </c>
      <c r="B41" s="3" t="s">
        <v>38</v>
      </c>
      <c r="C41" s="4">
        <v>0</v>
      </c>
      <c r="D41" s="4">
        <v>0</v>
      </c>
      <c r="E41" s="4">
        <v>5</v>
      </c>
      <c r="F41" s="31">
        <v>0</v>
      </c>
      <c r="G41" s="31">
        <v>0</v>
      </c>
      <c r="H41" s="31">
        <v>0.46677277967858027</v>
      </c>
    </row>
    <row r="42" spans="1:8" x14ac:dyDescent="0.35">
      <c r="A42" s="2">
        <v>40</v>
      </c>
      <c r="B42" s="3" t="s">
        <v>39</v>
      </c>
      <c r="C42" s="4">
        <v>0</v>
      </c>
      <c r="D42" s="4">
        <v>0</v>
      </c>
      <c r="E42" s="4">
        <v>0</v>
      </c>
      <c r="F42" s="31">
        <v>0</v>
      </c>
      <c r="G42" s="31">
        <v>0</v>
      </c>
      <c r="H42" s="31">
        <v>0</v>
      </c>
    </row>
    <row r="43" spans="1:8" x14ac:dyDescent="0.35">
      <c r="A43" s="2">
        <v>41</v>
      </c>
      <c r="B43" s="3" t="s">
        <v>40</v>
      </c>
      <c r="C43" s="4">
        <v>2586</v>
      </c>
      <c r="D43" s="4">
        <v>3512</v>
      </c>
      <c r="E43" s="4">
        <v>858.87352480692573</v>
      </c>
      <c r="F43" s="31">
        <v>0.48001233108243563</v>
      </c>
      <c r="G43" s="31">
        <v>0.61249081895969504</v>
      </c>
      <c r="H43" s="31">
        <v>0.14339919970744353</v>
      </c>
    </row>
    <row r="44" spans="1:8" x14ac:dyDescent="0.35">
      <c r="A44" s="2">
        <v>42</v>
      </c>
      <c r="B44" s="3" t="s">
        <v>41</v>
      </c>
      <c r="C44" s="4">
        <v>0</v>
      </c>
      <c r="D44" s="4">
        <v>0</v>
      </c>
      <c r="E44" s="4">
        <v>0</v>
      </c>
      <c r="F44" s="31">
        <v>0</v>
      </c>
      <c r="G44" s="31">
        <v>0</v>
      </c>
      <c r="H44" s="31">
        <v>0</v>
      </c>
    </row>
    <row r="45" spans="1:8" x14ac:dyDescent="0.35">
      <c r="A45" s="2">
        <v>43</v>
      </c>
      <c r="B45" s="3" t="s">
        <v>42</v>
      </c>
      <c r="C45" s="4">
        <v>0</v>
      </c>
      <c r="D45" s="4">
        <v>2</v>
      </c>
      <c r="E45" s="4">
        <v>2</v>
      </c>
      <c r="F45" s="31">
        <v>0</v>
      </c>
      <c r="G45" s="31">
        <v>3.4429071232939293E-4</v>
      </c>
      <c r="H45" s="31">
        <v>3.0535401003405473E-4</v>
      </c>
    </row>
    <row r="46" spans="1:8" x14ac:dyDescent="0.35">
      <c r="A46" s="2">
        <v>44</v>
      </c>
      <c r="B46" s="3" t="s">
        <v>43</v>
      </c>
      <c r="C46" s="4">
        <v>0</v>
      </c>
      <c r="D46" s="4">
        <v>25</v>
      </c>
      <c r="E46" s="4">
        <v>33</v>
      </c>
      <c r="F46" s="31">
        <v>0</v>
      </c>
      <c r="G46" s="31">
        <v>3.1068717914558293E-2</v>
      </c>
      <c r="H46" s="31">
        <v>3.7293620073053674E-2</v>
      </c>
    </row>
    <row r="47" spans="1:8" x14ac:dyDescent="0.35">
      <c r="A47" s="2">
        <v>45</v>
      </c>
      <c r="B47" s="3" t="s">
        <v>44</v>
      </c>
      <c r="C47" s="4">
        <v>0</v>
      </c>
      <c r="D47" s="4">
        <v>0</v>
      </c>
      <c r="E47" s="4">
        <v>29</v>
      </c>
      <c r="F47" s="31">
        <v>0</v>
      </c>
      <c r="G47" s="31">
        <v>0</v>
      </c>
      <c r="H47" s="31">
        <v>6.1376200447051579E-3</v>
      </c>
    </row>
    <row r="48" spans="1:8" x14ac:dyDescent="0.35">
      <c r="A48" s="2">
        <v>46</v>
      </c>
      <c r="B48" s="3" t="s">
        <v>45</v>
      </c>
      <c r="C48" s="4">
        <v>0</v>
      </c>
      <c r="D48" s="4">
        <v>0</v>
      </c>
      <c r="E48" s="4">
        <v>2</v>
      </c>
      <c r="F48" s="31">
        <v>0</v>
      </c>
      <c r="G48" s="31">
        <v>0</v>
      </c>
      <c r="H48" s="31">
        <v>9.9911703032445052E-4</v>
      </c>
    </row>
    <row r="49" spans="1:8" x14ac:dyDescent="0.35">
      <c r="A49" s="2">
        <v>47</v>
      </c>
      <c r="B49" s="3" t="s">
        <v>46</v>
      </c>
      <c r="C49" s="4">
        <v>0</v>
      </c>
      <c r="D49" s="4">
        <v>0</v>
      </c>
      <c r="E49" s="4">
        <v>22</v>
      </c>
      <c r="F49" s="31">
        <v>0</v>
      </c>
      <c r="G49" s="31">
        <v>0</v>
      </c>
      <c r="H49" s="31">
        <v>1.3479948607083214E-2</v>
      </c>
    </row>
    <row r="50" spans="1:8" x14ac:dyDescent="0.35">
      <c r="A50" s="2">
        <v>48</v>
      </c>
      <c r="B50" s="5" t="s">
        <v>47</v>
      </c>
      <c r="C50" s="6">
        <v>2586</v>
      </c>
      <c r="D50" s="6">
        <v>3611</v>
      </c>
      <c r="E50" s="6">
        <v>1247.4535000855094</v>
      </c>
      <c r="F50" s="32">
        <v>0.48001233108243563</v>
      </c>
      <c r="G50" s="32">
        <v>0.69486790807271381</v>
      </c>
      <c r="H50" s="32">
        <v>1.1753346945947516</v>
      </c>
    </row>
  </sheetData>
  <mergeCells count="6">
    <mergeCell ref="C1:E1"/>
    <mergeCell ref="F1:F2"/>
    <mergeCell ref="G1:G2"/>
    <mergeCell ref="H1:H2"/>
    <mergeCell ref="A1:A2"/>
    <mergeCell ref="B1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E8BB-F4E7-4797-8F22-4099CA5D3E78}">
  <dimension ref="A1:H50"/>
  <sheetViews>
    <sheetView workbookViewId="0">
      <selection sqref="A1:H50"/>
    </sheetView>
  </sheetViews>
  <sheetFormatPr defaultRowHeight="14.5" x14ac:dyDescent="0.35"/>
  <cols>
    <col min="1" max="1" width="4.54296875" bestFit="1" customWidth="1"/>
    <col min="2" max="2" width="18.54296875" bestFit="1" customWidth="1"/>
  </cols>
  <sheetData>
    <row r="1" spans="1:8" x14ac:dyDescent="0.35">
      <c r="A1" s="215" t="s">
        <v>52</v>
      </c>
      <c r="B1" s="217" t="s">
        <v>48</v>
      </c>
      <c r="C1" s="196" t="s">
        <v>70</v>
      </c>
      <c r="D1" s="196"/>
      <c r="E1" s="196"/>
      <c r="F1" s="216" t="s">
        <v>91</v>
      </c>
      <c r="G1" s="216" t="s">
        <v>92</v>
      </c>
      <c r="H1" s="216" t="s">
        <v>93</v>
      </c>
    </row>
    <row r="2" spans="1:8" ht="56.5" customHeight="1" x14ac:dyDescent="0.35">
      <c r="A2" s="215"/>
      <c r="B2" s="217"/>
      <c r="C2" s="11">
        <v>2013</v>
      </c>
      <c r="D2" s="11">
        <v>2018</v>
      </c>
      <c r="E2" s="11" t="s">
        <v>51</v>
      </c>
      <c r="F2" s="216"/>
      <c r="G2" s="216"/>
      <c r="H2" s="216"/>
    </row>
    <row r="3" spans="1:8" x14ac:dyDescent="0.35">
      <c r="A3" s="2">
        <v>1</v>
      </c>
      <c r="B3" s="3" t="s">
        <v>0</v>
      </c>
      <c r="C3" s="4">
        <v>1</v>
      </c>
      <c r="D3" s="4">
        <v>381</v>
      </c>
      <c r="E3" s="4">
        <v>7.9790405895099754</v>
      </c>
      <c r="F3" s="26">
        <v>2.6315355616571203E-4</v>
      </c>
      <c r="G3" s="26">
        <v>9.0872215133314893E-2</v>
      </c>
      <c r="H3" s="26">
        <v>1.7769415425083553E-3</v>
      </c>
    </row>
    <row r="4" spans="1:8" x14ac:dyDescent="0.35">
      <c r="A4" s="2">
        <v>2</v>
      </c>
      <c r="B4" s="3" t="s">
        <v>1</v>
      </c>
      <c r="C4" s="4">
        <v>85</v>
      </c>
      <c r="D4" s="4">
        <v>4</v>
      </c>
      <c r="E4" s="4">
        <v>197</v>
      </c>
      <c r="F4" s="26">
        <v>3.2508507093853424E-2</v>
      </c>
      <c r="G4" s="26">
        <v>1.2790368136532573E-3</v>
      </c>
      <c r="H4" s="26">
        <v>5.5354202691973178E-2</v>
      </c>
    </row>
    <row r="5" spans="1:8" x14ac:dyDescent="0.35">
      <c r="A5" s="2">
        <v>3</v>
      </c>
      <c r="B5" s="3" t="s">
        <v>2</v>
      </c>
      <c r="C5" s="4">
        <v>0</v>
      </c>
      <c r="D5" s="4">
        <v>8</v>
      </c>
      <c r="E5" s="4">
        <v>21</v>
      </c>
      <c r="F5" s="26">
        <v>0</v>
      </c>
      <c r="G5" s="26">
        <v>6.6997839780277256E-3</v>
      </c>
      <c r="H5" s="26">
        <v>1.5726963144386104E-2</v>
      </c>
    </row>
    <row r="6" spans="1:8" x14ac:dyDescent="0.35">
      <c r="A6" s="2">
        <v>4</v>
      </c>
      <c r="B6" s="3" t="s">
        <v>3</v>
      </c>
      <c r="C6" s="4">
        <v>668</v>
      </c>
      <c r="D6" s="4">
        <v>0</v>
      </c>
      <c r="E6" s="4">
        <v>0</v>
      </c>
      <c r="F6" s="26">
        <v>3.0127029628219812</v>
      </c>
      <c r="G6" s="26">
        <v>0</v>
      </c>
      <c r="H6" s="26">
        <v>0</v>
      </c>
    </row>
    <row r="7" spans="1:8" x14ac:dyDescent="0.35">
      <c r="A7" s="2">
        <v>5</v>
      </c>
      <c r="B7" s="3" t="s">
        <v>4</v>
      </c>
      <c r="C7" s="4">
        <v>128</v>
      </c>
      <c r="D7" s="4">
        <v>19</v>
      </c>
      <c r="E7" s="4">
        <v>15.409998099220681</v>
      </c>
      <c r="F7" s="26">
        <v>7.2577139080053574E-2</v>
      </c>
      <c r="G7" s="26">
        <v>9.3170490277340607E-3</v>
      </c>
      <c r="H7" s="26">
        <v>6.7964010997472214E-3</v>
      </c>
    </row>
    <row r="8" spans="1:8" x14ac:dyDescent="0.35">
      <c r="A8" s="2">
        <v>6</v>
      </c>
      <c r="B8" s="3" t="s">
        <v>5</v>
      </c>
      <c r="C8" s="4">
        <v>44</v>
      </c>
      <c r="D8" s="4">
        <v>10</v>
      </c>
      <c r="E8" s="4">
        <v>10</v>
      </c>
      <c r="F8" s="26">
        <v>4.33515582298869E-2</v>
      </c>
      <c r="G8" s="26">
        <v>8.7005907048544346E-3</v>
      </c>
      <c r="H8" s="26">
        <v>7.7582067960107175E-3</v>
      </c>
    </row>
    <row r="9" spans="1:8" x14ac:dyDescent="0.35">
      <c r="A9" s="2">
        <v>7</v>
      </c>
      <c r="B9" s="3" t="s">
        <v>6</v>
      </c>
      <c r="C9" s="4">
        <v>0</v>
      </c>
      <c r="D9" s="4">
        <v>38</v>
      </c>
      <c r="E9" s="4">
        <v>38</v>
      </c>
      <c r="F9" s="26">
        <v>0</v>
      </c>
      <c r="G9" s="26">
        <v>1.515348093501682E-2</v>
      </c>
      <c r="H9" s="26">
        <v>1.3612979029761076E-2</v>
      </c>
    </row>
    <row r="10" spans="1:8" x14ac:dyDescent="0.35">
      <c r="A10" s="2">
        <v>8</v>
      </c>
      <c r="B10" s="3" t="s">
        <v>7</v>
      </c>
      <c r="C10" s="33">
        <v>3781</v>
      </c>
      <c r="D10" s="4">
        <v>18</v>
      </c>
      <c r="E10" s="4">
        <v>7.4605597964376598</v>
      </c>
      <c r="F10" s="27">
        <v>70.026299218431689</v>
      </c>
      <c r="G10" s="26">
        <v>0.31512522288544409</v>
      </c>
      <c r="H10" s="26">
        <v>0.12577874206144757</v>
      </c>
    </row>
    <row r="11" spans="1:8" x14ac:dyDescent="0.35">
      <c r="A11" s="2">
        <v>9</v>
      </c>
      <c r="B11" s="3" t="s">
        <v>8</v>
      </c>
      <c r="C11" s="4">
        <v>44</v>
      </c>
      <c r="D11" s="4">
        <v>77</v>
      </c>
      <c r="E11" s="4">
        <v>1634</v>
      </c>
      <c r="F11" s="26">
        <v>9.1620312514803584E-2</v>
      </c>
      <c r="G11" s="26">
        <v>0.15113508335983106</v>
      </c>
      <c r="H11" s="26">
        <v>2.9287649618619751</v>
      </c>
    </row>
    <row r="12" spans="1:8" x14ac:dyDescent="0.35">
      <c r="A12" s="2">
        <v>10</v>
      </c>
      <c r="B12" s="3" t="s">
        <v>9</v>
      </c>
      <c r="C12" s="4">
        <v>406</v>
      </c>
      <c r="D12" s="4">
        <v>58</v>
      </c>
      <c r="E12" s="4">
        <v>58</v>
      </c>
      <c r="F12" s="26">
        <v>0.30718557371804972</v>
      </c>
      <c r="G12" s="26">
        <v>3.7169456191630333E-2</v>
      </c>
      <c r="H12" s="26">
        <v>3.2725255764095358E-2</v>
      </c>
    </row>
    <row r="13" spans="1:8" x14ac:dyDescent="0.35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26">
        <v>0</v>
      </c>
      <c r="G13" s="26">
        <v>0</v>
      </c>
      <c r="H13" s="26">
        <v>0</v>
      </c>
    </row>
    <row r="14" spans="1:8" x14ac:dyDescent="0.35">
      <c r="A14" s="2">
        <v>12</v>
      </c>
      <c r="B14" s="3" t="s">
        <v>11</v>
      </c>
      <c r="C14" s="4">
        <v>819</v>
      </c>
      <c r="D14" s="4">
        <v>0</v>
      </c>
      <c r="E14" s="4">
        <v>582</v>
      </c>
      <c r="F14" s="26">
        <v>1.6963312332172713</v>
      </c>
      <c r="G14" s="26">
        <v>0</v>
      </c>
      <c r="H14" s="26">
        <v>0.9748051394674816</v>
      </c>
    </row>
    <row r="15" spans="1:8" x14ac:dyDescent="0.35">
      <c r="A15" s="2">
        <v>13</v>
      </c>
      <c r="B15" s="3" t="s">
        <v>12</v>
      </c>
      <c r="C15" s="4">
        <v>0</v>
      </c>
      <c r="D15" s="4">
        <v>745</v>
      </c>
      <c r="E15" s="4">
        <v>8.9843537236828332</v>
      </c>
      <c r="F15" s="26">
        <v>0</v>
      </c>
      <c r="G15" s="26">
        <v>0.29222575353401453</v>
      </c>
      <c r="H15" s="26">
        <v>3.1904050583126484E-3</v>
      </c>
    </row>
    <row r="16" spans="1:8" x14ac:dyDescent="0.35">
      <c r="A16" s="2">
        <v>14</v>
      </c>
      <c r="B16" s="3" t="s">
        <v>13</v>
      </c>
      <c r="C16" s="4">
        <v>19</v>
      </c>
      <c r="D16" s="4">
        <v>535</v>
      </c>
      <c r="E16" s="4">
        <v>104.76322086409942</v>
      </c>
      <c r="F16" s="26">
        <v>2.5864408614857323E-3</v>
      </c>
      <c r="G16" s="26">
        <v>6.1432569630803471E-2</v>
      </c>
      <c r="H16" s="26">
        <v>1.0581052070073279E-2</v>
      </c>
    </row>
    <row r="17" spans="1:8" x14ac:dyDescent="0.35">
      <c r="A17" s="2">
        <v>15</v>
      </c>
      <c r="B17" s="3" t="s">
        <v>14</v>
      </c>
      <c r="C17" s="4">
        <v>5</v>
      </c>
      <c r="D17" s="4">
        <v>6</v>
      </c>
      <c r="E17" s="4">
        <v>25</v>
      </c>
      <c r="F17" s="26">
        <v>4.0194832391568402E-2</v>
      </c>
      <c r="G17" s="26">
        <v>3.994430432500283E-2</v>
      </c>
      <c r="H17" s="26">
        <v>0.1492619296104622</v>
      </c>
    </row>
    <row r="18" spans="1:8" x14ac:dyDescent="0.35">
      <c r="A18" s="2">
        <v>16</v>
      </c>
      <c r="B18" s="3" t="s">
        <v>15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5">
      <c r="A19" s="2">
        <v>17</v>
      </c>
      <c r="B19" s="3" t="s">
        <v>16</v>
      </c>
      <c r="C19" s="4">
        <v>15</v>
      </c>
      <c r="D19" s="4">
        <v>31</v>
      </c>
      <c r="E19" s="4">
        <v>14.332596379715351</v>
      </c>
      <c r="F19" s="26">
        <v>0.13412988601642289</v>
      </c>
      <c r="G19" s="26">
        <v>0.26714292792957767</v>
      </c>
      <c r="H19" s="26">
        <v>0.11927226623034649</v>
      </c>
    </row>
    <row r="20" spans="1:8" x14ac:dyDescent="0.35">
      <c r="A20" s="2">
        <v>18</v>
      </c>
      <c r="B20" s="3" t="s">
        <v>17</v>
      </c>
      <c r="C20" s="4">
        <v>50</v>
      </c>
      <c r="D20" s="4">
        <v>1385</v>
      </c>
      <c r="E20" s="4">
        <v>1385</v>
      </c>
      <c r="F20" s="26">
        <v>5.1501598104889499E-3</v>
      </c>
      <c r="G20" s="26">
        <v>0.12462944337035159</v>
      </c>
      <c r="H20" s="26">
        <v>0.11225489119179996</v>
      </c>
    </row>
    <row r="21" spans="1:8" x14ac:dyDescent="0.35">
      <c r="A21" s="2">
        <v>19</v>
      </c>
      <c r="B21" s="3" t="s">
        <v>18</v>
      </c>
      <c r="C21" s="33">
        <v>999</v>
      </c>
      <c r="D21" s="4">
        <v>6</v>
      </c>
      <c r="E21" s="4">
        <v>6</v>
      </c>
      <c r="F21" s="27">
        <v>5.2517405261676231</v>
      </c>
      <c r="G21" s="26">
        <v>2.737211916999523E-2</v>
      </c>
      <c r="H21" s="26">
        <v>2.5115189771420375E-2</v>
      </c>
    </row>
    <row r="22" spans="1:8" x14ac:dyDescent="0.35">
      <c r="A22" s="2">
        <v>20</v>
      </c>
      <c r="B22" s="3" t="s">
        <v>19</v>
      </c>
      <c r="C22" s="4">
        <v>0</v>
      </c>
      <c r="D22" s="4">
        <v>0</v>
      </c>
      <c r="E22" s="4">
        <v>59</v>
      </c>
      <c r="F22" s="26">
        <v>0</v>
      </c>
      <c r="G22" s="26">
        <v>0</v>
      </c>
      <c r="H22" s="26">
        <v>0.21803464311793977</v>
      </c>
    </row>
    <row r="23" spans="1:8" x14ac:dyDescent="0.35">
      <c r="A23" s="2">
        <v>21</v>
      </c>
      <c r="B23" s="3" t="s">
        <v>20</v>
      </c>
      <c r="C23" s="4">
        <v>4</v>
      </c>
      <c r="D23" s="4">
        <v>0</v>
      </c>
      <c r="E23" s="4">
        <v>3321</v>
      </c>
      <c r="F23" s="26">
        <v>1.4531928226661176E-3</v>
      </c>
      <c r="G23" s="26">
        <v>0</v>
      </c>
      <c r="H23" s="26">
        <v>0.99205784656145057</v>
      </c>
    </row>
    <row r="24" spans="1:8" x14ac:dyDescent="0.35">
      <c r="A24" s="2">
        <v>22</v>
      </c>
      <c r="B24" s="3" t="s">
        <v>21</v>
      </c>
      <c r="C24" s="4">
        <v>0</v>
      </c>
      <c r="D24" s="4">
        <v>0</v>
      </c>
      <c r="E24" s="4">
        <v>0</v>
      </c>
      <c r="F24" s="26">
        <v>0</v>
      </c>
      <c r="G24" s="26">
        <v>0</v>
      </c>
      <c r="H24" s="26">
        <v>0</v>
      </c>
    </row>
    <row r="25" spans="1:8" x14ac:dyDescent="0.35">
      <c r="A25" s="2">
        <v>23</v>
      </c>
      <c r="B25" s="3" t="s">
        <v>22</v>
      </c>
      <c r="C25" s="4">
        <v>496</v>
      </c>
      <c r="D25" s="4">
        <v>0</v>
      </c>
      <c r="E25" s="4">
        <v>0</v>
      </c>
      <c r="F25" s="26">
        <v>2.921509466191333</v>
      </c>
      <c r="G25" s="26">
        <v>0</v>
      </c>
      <c r="H25" s="26">
        <v>0</v>
      </c>
    </row>
    <row r="26" spans="1:8" x14ac:dyDescent="0.35">
      <c r="A26" s="2">
        <v>24</v>
      </c>
      <c r="B26" s="3" t="s">
        <v>23</v>
      </c>
      <c r="C26" s="4">
        <v>211</v>
      </c>
      <c r="D26" s="4">
        <v>1147</v>
      </c>
      <c r="E26" s="4">
        <v>10071</v>
      </c>
      <c r="F26" s="26">
        <v>4.7106239170030033E-2</v>
      </c>
      <c r="G26" s="26">
        <v>0.22961444151922367</v>
      </c>
      <c r="H26" s="26">
        <v>1.8640511634383443</v>
      </c>
    </row>
    <row r="27" spans="1:8" x14ac:dyDescent="0.35">
      <c r="A27" s="2">
        <v>25</v>
      </c>
      <c r="B27" s="3" t="s">
        <v>24</v>
      </c>
      <c r="C27" s="4">
        <v>11</v>
      </c>
      <c r="D27" s="4">
        <v>29</v>
      </c>
      <c r="E27" s="4">
        <v>43</v>
      </c>
      <c r="F27" s="26">
        <v>5.3039181248624299E-2</v>
      </c>
      <c r="G27" s="26">
        <v>0.13193710512703041</v>
      </c>
      <c r="H27" s="26">
        <v>0.18648418971860606</v>
      </c>
    </row>
    <row r="28" spans="1:8" x14ac:dyDescent="0.35">
      <c r="A28" s="2">
        <v>26</v>
      </c>
      <c r="B28" s="3" t="s">
        <v>25</v>
      </c>
      <c r="C28" s="4">
        <v>0</v>
      </c>
      <c r="D28" s="4">
        <v>0</v>
      </c>
      <c r="E28" s="4">
        <v>0</v>
      </c>
      <c r="F28" s="26">
        <v>0</v>
      </c>
      <c r="G28" s="26">
        <v>0</v>
      </c>
      <c r="H28" s="26">
        <v>0</v>
      </c>
    </row>
    <row r="29" spans="1:8" x14ac:dyDescent="0.35">
      <c r="A29" s="2">
        <v>27</v>
      </c>
      <c r="B29" s="3" t="s">
        <v>26</v>
      </c>
      <c r="C29" s="4">
        <v>0</v>
      </c>
      <c r="D29" s="4">
        <v>414</v>
      </c>
      <c r="E29" s="4">
        <v>414</v>
      </c>
      <c r="F29" s="26">
        <v>0</v>
      </c>
      <c r="G29" s="26">
        <v>0.15420981049290483</v>
      </c>
      <c r="H29" s="26">
        <v>0.13980953618557843</v>
      </c>
    </row>
    <row r="30" spans="1:8" x14ac:dyDescent="0.35">
      <c r="A30" s="2">
        <v>28</v>
      </c>
      <c r="B30" s="3" t="s">
        <v>27</v>
      </c>
      <c r="C30" s="4">
        <v>0</v>
      </c>
      <c r="D30" s="4">
        <v>25</v>
      </c>
      <c r="E30" s="4">
        <v>9.9719618239660672</v>
      </c>
      <c r="F30" s="26">
        <v>0</v>
      </c>
      <c r="G30" s="26">
        <v>1.3610713874865177E-2</v>
      </c>
      <c r="H30" s="26">
        <v>4.8869429807501677E-3</v>
      </c>
    </row>
    <row r="31" spans="1:8" x14ac:dyDescent="0.35">
      <c r="A31" s="2">
        <v>29</v>
      </c>
      <c r="B31" s="3" t="s">
        <v>28</v>
      </c>
      <c r="C31" s="4">
        <v>0</v>
      </c>
      <c r="D31" s="4">
        <v>7</v>
      </c>
      <c r="E31" s="4">
        <v>3342</v>
      </c>
      <c r="F31" s="26">
        <v>0</v>
      </c>
      <c r="G31" s="26">
        <v>3.5115357460794448E-3</v>
      </c>
      <c r="H31" s="26">
        <v>1.4791805667186881</v>
      </c>
    </row>
    <row r="32" spans="1:8" x14ac:dyDescent="0.35">
      <c r="A32" s="2">
        <v>30</v>
      </c>
      <c r="B32" s="3" t="s">
        <v>29</v>
      </c>
      <c r="C32" s="4">
        <v>35</v>
      </c>
      <c r="D32" s="4">
        <v>4038</v>
      </c>
      <c r="E32" s="4">
        <v>4038</v>
      </c>
      <c r="F32" s="26">
        <v>9.3508905654590441E-2</v>
      </c>
      <c r="G32" s="26">
        <v>9.4550989922873576</v>
      </c>
      <c r="H32" s="26">
        <v>8.5259321992027708</v>
      </c>
    </row>
    <row r="33" spans="1:8" x14ac:dyDescent="0.35">
      <c r="A33" s="2">
        <v>31</v>
      </c>
      <c r="B33" s="3" t="s">
        <v>30</v>
      </c>
      <c r="C33" s="4">
        <v>0</v>
      </c>
      <c r="D33" s="4">
        <v>61</v>
      </c>
      <c r="E33" s="4">
        <v>1.1791996777225728</v>
      </c>
      <c r="F33" s="26">
        <v>0</v>
      </c>
      <c r="G33" s="26">
        <v>0.47090374534451801</v>
      </c>
      <c r="H33" s="26">
        <v>9.0744733250471849E-3</v>
      </c>
    </row>
    <row r="34" spans="1:8" x14ac:dyDescent="0.35">
      <c r="A34" s="2">
        <v>32</v>
      </c>
      <c r="B34" s="3" t="s">
        <v>31</v>
      </c>
      <c r="C34" s="4">
        <v>0</v>
      </c>
      <c r="D34" s="4">
        <v>0</v>
      </c>
      <c r="E34" s="4">
        <v>856</v>
      </c>
      <c r="F34" s="26">
        <v>0</v>
      </c>
      <c r="G34" s="26">
        <v>0</v>
      </c>
      <c r="H34" s="26">
        <v>0.25963375837593738</v>
      </c>
    </row>
    <row r="35" spans="1:8" x14ac:dyDescent="0.35">
      <c r="A35" s="2">
        <v>33</v>
      </c>
      <c r="B35" s="3" t="s">
        <v>32</v>
      </c>
      <c r="C35" s="4">
        <v>0</v>
      </c>
      <c r="D35" s="4">
        <v>33</v>
      </c>
      <c r="E35" s="4">
        <v>33</v>
      </c>
      <c r="F35" s="26">
        <v>0</v>
      </c>
      <c r="G35" s="26">
        <v>0.13717532315700273</v>
      </c>
      <c r="H35" s="26">
        <v>0.12855410715763949</v>
      </c>
    </row>
    <row r="36" spans="1:8" x14ac:dyDescent="0.35">
      <c r="A36" s="2">
        <v>34</v>
      </c>
      <c r="B36" s="3" t="s">
        <v>33</v>
      </c>
      <c r="C36" s="4">
        <v>0</v>
      </c>
      <c r="D36" s="4">
        <v>42</v>
      </c>
      <c r="E36" s="4">
        <v>42</v>
      </c>
      <c r="F36" s="26">
        <v>0</v>
      </c>
      <c r="G36" s="26">
        <v>1.8602955265473477E-2</v>
      </c>
      <c r="H36" s="26">
        <v>1.6025655395409868E-2</v>
      </c>
    </row>
    <row r="37" spans="1:8" x14ac:dyDescent="0.35">
      <c r="A37" s="2">
        <v>35</v>
      </c>
      <c r="B37" s="3" t="s">
        <v>34</v>
      </c>
      <c r="C37" s="4">
        <v>0</v>
      </c>
      <c r="D37" s="4">
        <v>7</v>
      </c>
      <c r="E37" s="4">
        <v>77</v>
      </c>
      <c r="F37" s="26">
        <v>0</v>
      </c>
      <c r="G37" s="26">
        <v>3.5284459163855038E-4</v>
      </c>
      <c r="H37" s="26">
        <v>3.5233629150079088E-3</v>
      </c>
    </row>
    <row r="38" spans="1:8" x14ac:dyDescent="0.35">
      <c r="A38" s="2">
        <v>36</v>
      </c>
      <c r="B38" s="3" t="s">
        <v>35</v>
      </c>
      <c r="C38" s="4">
        <v>0</v>
      </c>
      <c r="D38" s="4">
        <v>0</v>
      </c>
      <c r="E38" s="4">
        <v>207</v>
      </c>
      <c r="F38" s="26">
        <v>0</v>
      </c>
      <c r="G38" s="26">
        <v>0</v>
      </c>
      <c r="H38" s="26">
        <v>0.15025371646579311</v>
      </c>
    </row>
    <row r="39" spans="1:8" x14ac:dyDescent="0.35">
      <c r="A39" s="2">
        <v>37</v>
      </c>
      <c r="B39" s="3" t="s">
        <v>36</v>
      </c>
      <c r="C39" s="4">
        <v>4</v>
      </c>
      <c r="D39" s="4">
        <v>61</v>
      </c>
      <c r="E39" s="4">
        <v>50.569140350098266</v>
      </c>
      <c r="F39" s="26">
        <v>0.20644415427571652</v>
      </c>
      <c r="G39" s="26">
        <v>2.8862896509955331</v>
      </c>
      <c r="H39" s="26">
        <v>2.223997341453309</v>
      </c>
    </row>
    <row r="40" spans="1:8" x14ac:dyDescent="0.35">
      <c r="A40" s="2">
        <v>38</v>
      </c>
      <c r="B40" s="3" t="s">
        <v>37</v>
      </c>
      <c r="C40" s="4">
        <v>0</v>
      </c>
      <c r="D40" s="4">
        <v>4</v>
      </c>
      <c r="E40" s="4">
        <v>4</v>
      </c>
      <c r="F40" s="26">
        <v>0</v>
      </c>
      <c r="G40" s="26">
        <v>2.5682333039634456E-3</v>
      </c>
      <c r="H40" s="26">
        <v>2.3099424137131117E-3</v>
      </c>
    </row>
    <row r="41" spans="1:8" x14ac:dyDescent="0.35">
      <c r="A41" s="2">
        <v>39</v>
      </c>
      <c r="B41" s="3" t="s">
        <v>38</v>
      </c>
      <c r="C41" s="4">
        <v>0</v>
      </c>
      <c r="D41" s="4">
        <v>5</v>
      </c>
      <c r="E41" s="4">
        <v>5</v>
      </c>
      <c r="F41" s="26">
        <v>0</v>
      </c>
      <c r="G41" s="26">
        <v>0.48496134858051798</v>
      </c>
      <c r="H41" s="26">
        <v>0.46677277967858027</v>
      </c>
    </row>
    <row r="42" spans="1:8" x14ac:dyDescent="0.35">
      <c r="A42" s="2">
        <v>40</v>
      </c>
      <c r="B42" s="3" t="s">
        <v>39</v>
      </c>
      <c r="C42" s="4">
        <v>0</v>
      </c>
      <c r="D42" s="4">
        <v>103</v>
      </c>
      <c r="E42" s="4">
        <v>120</v>
      </c>
      <c r="F42" s="26">
        <v>0</v>
      </c>
      <c r="G42" s="26">
        <v>0.13102190342769837</v>
      </c>
      <c r="H42" s="26">
        <v>0.13944217089149322</v>
      </c>
    </row>
    <row r="43" spans="1:8" x14ac:dyDescent="0.35">
      <c r="A43" s="2">
        <v>41</v>
      </c>
      <c r="B43" s="3" t="s">
        <v>40</v>
      </c>
      <c r="C43" s="4">
        <v>0</v>
      </c>
      <c r="D43" s="4">
        <v>0</v>
      </c>
      <c r="E43" s="4">
        <v>0</v>
      </c>
      <c r="F43" s="26">
        <v>0</v>
      </c>
      <c r="G43" s="26">
        <v>0</v>
      </c>
      <c r="H43" s="26">
        <v>0</v>
      </c>
    </row>
    <row r="44" spans="1:8" x14ac:dyDescent="0.35">
      <c r="A44" s="2">
        <v>42</v>
      </c>
      <c r="B44" s="3" t="s">
        <v>41</v>
      </c>
      <c r="C44" s="4">
        <v>0</v>
      </c>
      <c r="D44" s="4">
        <v>22</v>
      </c>
      <c r="E44" s="4">
        <v>22</v>
      </c>
      <c r="F44" s="26">
        <v>0</v>
      </c>
      <c r="G44" s="26">
        <v>2.1163350329587917E-2</v>
      </c>
      <c r="H44" s="26">
        <v>2.0159140839409215E-2</v>
      </c>
    </row>
    <row r="45" spans="1:8" x14ac:dyDescent="0.35">
      <c r="A45" s="2">
        <v>43</v>
      </c>
      <c r="B45" s="3" t="s">
        <v>42</v>
      </c>
      <c r="C45" s="4">
        <v>0</v>
      </c>
      <c r="D45" s="4">
        <v>855</v>
      </c>
      <c r="E45" s="4">
        <v>84.207649746486481</v>
      </c>
      <c r="F45" s="26">
        <v>0</v>
      </c>
      <c r="G45" s="26">
        <v>0.14718427952081548</v>
      </c>
      <c r="H45" s="26">
        <v>1.2856571762816399E-2</v>
      </c>
    </row>
    <row r="46" spans="1:8" x14ac:dyDescent="0.35">
      <c r="A46" s="2">
        <v>44</v>
      </c>
      <c r="B46" s="3" t="s">
        <v>43</v>
      </c>
      <c r="C46" s="4">
        <v>0</v>
      </c>
      <c r="D46" s="4">
        <v>12</v>
      </c>
      <c r="E46" s="4">
        <v>12</v>
      </c>
      <c r="F46" s="26">
        <v>0</v>
      </c>
      <c r="G46" s="26">
        <v>1.491298459898798E-2</v>
      </c>
      <c r="H46" s="26">
        <v>1.3561316390201335E-2</v>
      </c>
    </row>
    <row r="47" spans="1:8" x14ac:dyDescent="0.35">
      <c r="A47" s="2">
        <v>45</v>
      </c>
      <c r="B47" s="3" t="s">
        <v>44</v>
      </c>
      <c r="C47" s="4">
        <v>0</v>
      </c>
      <c r="D47" s="4">
        <v>3</v>
      </c>
      <c r="E47" s="4">
        <v>93</v>
      </c>
      <c r="F47" s="26">
        <v>0</v>
      </c>
      <c r="G47" s="26">
        <v>7.226234990658282E-4</v>
      </c>
      <c r="H47" s="26">
        <v>1.9682712557157919E-2</v>
      </c>
    </row>
    <row r="48" spans="1:8" x14ac:dyDescent="0.35">
      <c r="A48" s="2">
        <v>46</v>
      </c>
      <c r="B48" s="3" t="s">
        <v>45</v>
      </c>
      <c r="C48" s="4">
        <v>0</v>
      </c>
      <c r="D48" s="4">
        <v>404</v>
      </c>
      <c r="E48" s="4">
        <v>774</v>
      </c>
      <c r="F48" s="26">
        <v>0</v>
      </c>
      <c r="G48" s="26">
        <v>0.22650954454593353</v>
      </c>
      <c r="H48" s="26">
        <v>0.38665829073556235</v>
      </c>
    </row>
    <row r="49" spans="1:8" x14ac:dyDescent="0.35">
      <c r="A49" s="2">
        <v>47</v>
      </c>
      <c r="B49" s="3" t="s">
        <v>46</v>
      </c>
      <c r="C49" s="4">
        <v>845</v>
      </c>
      <c r="D49" s="4">
        <v>0</v>
      </c>
      <c r="E49" s="4">
        <v>280</v>
      </c>
      <c r="F49" s="26">
        <v>0.62336682042679326</v>
      </c>
      <c r="G49" s="26">
        <v>0</v>
      </c>
      <c r="H49" s="26">
        <v>0.17156298227196817</v>
      </c>
    </row>
    <row r="50" spans="1:8" x14ac:dyDescent="0.35">
      <c r="A50" s="2">
        <v>48</v>
      </c>
      <c r="B50" s="5" t="s">
        <v>47</v>
      </c>
      <c r="C50" s="6">
        <v>8670</v>
      </c>
      <c r="D50" s="6">
        <v>10593</v>
      </c>
      <c r="E50" s="6">
        <v>28073.857721050936</v>
      </c>
      <c r="F50" s="28">
        <f>AVERAGE(F3:F49)</f>
        <v>1.801341903483002</v>
      </c>
      <c r="G50" s="28">
        <f t="shared" ref="G50:H50" si="0">AVERAGE(G3:G49)</f>
        <v>0.33996915794037119</v>
      </c>
      <c r="H50" s="28">
        <f t="shared" si="0"/>
        <v>0.46845278591372291</v>
      </c>
    </row>
  </sheetData>
  <mergeCells count="6">
    <mergeCell ref="A1:A2"/>
    <mergeCell ref="H1:H2"/>
    <mergeCell ref="G1:G2"/>
    <mergeCell ref="F1:F2"/>
    <mergeCell ref="C1:E1"/>
    <mergeCell ref="B1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97AA-F3A9-4BFD-A9E9-7584F04BD46D}">
  <dimension ref="A1:H54"/>
  <sheetViews>
    <sheetView topLeftCell="A37" workbookViewId="0">
      <selection sqref="A1:H50"/>
    </sheetView>
  </sheetViews>
  <sheetFormatPr defaultRowHeight="14" x14ac:dyDescent="0.3"/>
  <cols>
    <col min="1" max="1" width="4.54296875" style="16" bestFit="1" customWidth="1"/>
    <col min="2" max="2" width="18.54296875" style="16" bestFit="1" customWidth="1"/>
    <col min="3" max="16384" width="8.7265625" style="16"/>
  </cols>
  <sheetData>
    <row r="1" spans="1:8" ht="14.5" customHeight="1" x14ac:dyDescent="0.3">
      <c r="A1" s="215" t="s">
        <v>52</v>
      </c>
      <c r="B1" s="217" t="s">
        <v>48</v>
      </c>
      <c r="C1" s="196" t="s">
        <v>71</v>
      </c>
      <c r="D1" s="196"/>
      <c r="E1" s="196"/>
      <c r="F1" s="216" t="s">
        <v>91</v>
      </c>
      <c r="G1" s="216" t="s">
        <v>92</v>
      </c>
      <c r="H1" s="216" t="s">
        <v>93</v>
      </c>
    </row>
    <row r="2" spans="1:8" ht="28" x14ac:dyDescent="0.3">
      <c r="A2" s="215"/>
      <c r="B2" s="217"/>
      <c r="C2" s="11">
        <v>2013</v>
      </c>
      <c r="D2" s="11">
        <v>2018</v>
      </c>
      <c r="E2" s="11" t="s">
        <v>51</v>
      </c>
      <c r="F2" s="216"/>
      <c r="G2" s="216"/>
      <c r="H2" s="216"/>
    </row>
    <row r="3" spans="1:8" x14ac:dyDescent="0.3">
      <c r="A3" s="2">
        <v>1</v>
      </c>
      <c r="B3" s="3" t="s">
        <v>0</v>
      </c>
      <c r="C3" s="4">
        <v>199</v>
      </c>
      <c r="D3" s="4">
        <v>1249</v>
      </c>
      <c r="E3" s="4">
        <v>22.797258827171358</v>
      </c>
      <c r="F3" s="26">
        <v>5.2367557676976692E-2</v>
      </c>
      <c r="G3" s="26">
        <v>0.29789867900658873</v>
      </c>
      <c r="H3" s="41">
        <v>5.0769758357381576E-3</v>
      </c>
    </row>
    <row r="4" spans="1:8" x14ac:dyDescent="0.3">
      <c r="A4" s="2">
        <v>2</v>
      </c>
      <c r="B4" s="3" t="s">
        <v>1</v>
      </c>
      <c r="C4" s="4">
        <v>517</v>
      </c>
      <c r="D4" s="4">
        <v>657</v>
      </c>
      <c r="E4" s="4">
        <v>14.82970366409117</v>
      </c>
      <c r="F4" s="26">
        <v>0.19772821373555552</v>
      </c>
      <c r="G4" s="26">
        <v>0.21008179664254753</v>
      </c>
      <c r="H4" s="41">
        <v>4.166936154741117E-3</v>
      </c>
    </row>
    <row r="5" spans="1:8" x14ac:dyDescent="0.3">
      <c r="A5" s="2">
        <v>3</v>
      </c>
      <c r="B5" s="3" t="s">
        <v>2</v>
      </c>
      <c r="C5" s="4">
        <v>3830</v>
      </c>
      <c r="D5" s="4">
        <v>619</v>
      </c>
      <c r="E5" s="4">
        <v>1570</v>
      </c>
      <c r="F5" s="26">
        <v>3.7152974364787226</v>
      </c>
      <c r="G5" s="26">
        <v>0.51839578529989527</v>
      </c>
      <c r="H5" s="41">
        <v>1.1757777207945801</v>
      </c>
    </row>
    <row r="6" spans="1:8" x14ac:dyDescent="0.3">
      <c r="A6" s="2">
        <v>4</v>
      </c>
      <c r="B6" s="3" t="s">
        <v>3</v>
      </c>
      <c r="C6" s="4">
        <v>166</v>
      </c>
      <c r="D6" s="4">
        <v>99</v>
      </c>
      <c r="E6" s="4">
        <v>99</v>
      </c>
      <c r="F6" s="26">
        <v>0.74866570633001328</v>
      </c>
      <c r="G6" s="26">
        <v>0.40384946042244702</v>
      </c>
      <c r="H6" s="41">
        <v>0.37638349448122921</v>
      </c>
    </row>
    <row r="7" spans="1:8" x14ac:dyDescent="0.3">
      <c r="A7" s="2">
        <v>5</v>
      </c>
      <c r="B7" s="3" t="s">
        <v>4</v>
      </c>
      <c r="C7" s="4">
        <v>1791</v>
      </c>
      <c r="D7" s="4">
        <v>160</v>
      </c>
      <c r="E7" s="4">
        <v>31.847329405056072</v>
      </c>
      <c r="F7" s="26">
        <v>1.0155129382216872</v>
      </c>
      <c r="G7" s="26">
        <v>7.8459360233549977E-2</v>
      </c>
      <c r="H7" s="41">
        <v>1.4045895606144257E-2</v>
      </c>
    </row>
    <row r="8" spans="1:8" x14ac:dyDescent="0.3">
      <c r="A8" s="2">
        <v>6</v>
      </c>
      <c r="B8" s="3" t="s">
        <v>5</v>
      </c>
      <c r="C8" s="4">
        <v>0</v>
      </c>
      <c r="D8" s="4">
        <v>372</v>
      </c>
      <c r="E8" s="4">
        <v>186.22450107945869</v>
      </c>
      <c r="F8" s="26">
        <v>0</v>
      </c>
      <c r="G8" s="26">
        <v>0.32366197422058496</v>
      </c>
      <c r="H8" s="41">
        <v>0.14447681898583617</v>
      </c>
    </row>
    <row r="9" spans="1:8" x14ac:dyDescent="0.3">
      <c r="A9" s="2">
        <v>7</v>
      </c>
      <c r="B9" s="3" t="s">
        <v>6</v>
      </c>
      <c r="C9" s="4">
        <v>0</v>
      </c>
      <c r="D9" s="4">
        <v>238</v>
      </c>
      <c r="E9" s="4">
        <v>7.4076572236140548</v>
      </c>
      <c r="F9" s="26">
        <v>0</v>
      </c>
      <c r="G9" s="26">
        <v>9.4908643750894819E-2</v>
      </c>
      <c r="H9" s="41">
        <v>2.6536916432820076E-3</v>
      </c>
    </row>
    <row r="10" spans="1:8" x14ac:dyDescent="0.3">
      <c r="A10" s="2">
        <v>8</v>
      </c>
      <c r="B10" s="3" t="s">
        <v>7</v>
      </c>
      <c r="C10" s="4">
        <v>3881</v>
      </c>
      <c r="D10" s="4">
        <v>3207</v>
      </c>
      <c r="E10" s="4">
        <v>438.92960135708233</v>
      </c>
      <c r="F10" s="26">
        <v>71.878356854465324</v>
      </c>
      <c r="G10" s="26">
        <v>56.144810544089957</v>
      </c>
      <c r="H10" s="41">
        <v>7.399982657948498</v>
      </c>
    </row>
    <row r="11" spans="1:8" x14ac:dyDescent="0.3">
      <c r="A11" s="2">
        <v>9</v>
      </c>
      <c r="B11" s="3" t="s">
        <v>8</v>
      </c>
      <c r="C11" s="4">
        <v>257</v>
      </c>
      <c r="D11" s="4">
        <v>105</v>
      </c>
      <c r="E11" s="4">
        <v>60.353598014888341</v>
      </c>
      <c r="F11" s="26">
        <v>0.53514591627964825</v>
      </c>
      <c r="G11" s="26">
        <v>0.20609329549067873</v>
      </c>
      <c r="H11" s="41">
        <v>0.10817717453384788</v>
      </c>
    </row>
    <row r="12" spans="1:8" x14ac:dyDescent="0.3">
      <c r="A12" s="2">
        <v>10</v>
      </c>
      <c r="B12" s="3" t="s">
        <v>9</v>
      </c>
      <c r="C12" s="4">
        <v>1258</v>
      </c>
      <c r="D12" s="4">
        <v>76</v>
      </c>
      <c r="E12" s="4">
        <v>76</v>
      </c>
      <c r="F12" s="26">
        <v>0.95182130969779943</v>
      </c>
      <c r="G12" s="26">
        <v>4.8704804664894921E-2</v>
      </c>
      <c r="H12" s="41">
        <v>4.2881369621918061E-2</v>
      </c>
    </row>
    <row r="13" spans="1:8" x14ac:dyDescent="0.3">
      <c r="A13" s="2">
        <v>11</v>
      </c>
      <c r="B13" s="3" t="s">
        <v>10</v>
      </c>
      <c r="C13" s="4">
        <v>755</v>
      </c>
      <c r="D13" s="4">
        <v>389</v>
      </c>
      <c r="E13" s="4">
        <v>389</v>
      </c>
      <c r="F13" s="26">
        <v>10.795082875495513</v>
      </c>
      <c r="G13" s="26">
        <v>5.0108622354242156</v>
      </c>
      <c r="H13" s="41">
        <v>4.6488087875631834</v>
      </c>
    </row>
    <row r="14" spans="1:8" x14ac:dyDescent="0.3">
      <c r="A14" s="2">
        <v>12</v>
      </c>
      <c r="B14" s="3" t="s">
        <v>11</v>
      </c>
      <c r="C14" s="4">
        <v>4104</v>
      </c>
      <c r="D14" s="4">
        <v>374</v>
      </c>
      <c r="E14" s="4">
        <v>374</v>
      </c>
      <c r="F14" s="26">
        <v>8.5002971686491833</v>
      </c>
      <c r="G14" s="26">
        <v>0.68736581204184066</v>
      </c>
      <c r="H14" s="41">
        <v>0.62642117209766002</v>
      </c>
    </row>
    <row r="15" spans="1:8" x14ac:dyDescent="0.3">
      <c r="A15" s="2">
        <v>13</v>
      </c>
      <c r="B15" s="3" t="s">
        <v>12</v>
      </c>
      <c r="C15" s="4">
        <v>0</v>
      </c>
      <c r="D15" s="4">
        <v>1425</v>
      </c>
      <c r="E15" s="4">
        <v>1071.7050513250235</v>
      </c>
      <c r="F15" s="26">
        <v>0</v>
      </c>
      <c r="G15" s="26">
        <v>0.55895530038385333</v>
      </c>
      <c r="H15" s="41">
        <v>0.38056974624158019</v>
      </c>
    </row>
    <row r="16" spans="1:8" x14ac:dyDescent="0.3">
      <c r="A16" s="2">
        <v>14</v>
      </c>
      <c r="B16" s="3" t="s">
        <v>13</v>
      </c>
      <c r="C16" s="4">
        <v>634</v>
      </c>
      <c r="D16" s="4">
        <v>167</v>
      </c>
      <c r="E16" s="4">
        <v>233</v>
      </c>
      <c r="F16" s="26">
        <v>8.6305447693787077E-2</v>
      </c>
      <c r="G16" s="26">
        <v>1.9176147903447065E-2</v>
      </c>
      <c r="H16" s="41">
        <v>2.3532926078372603E-2</v>
      </c>
    </row>
    <row r="17" spans="1:8" x14ac:dyDescent="0.3">
      <c r="A17" s="2">
        <v>15</v>
      </c>
      <c r="B17" s="3" t="s">
        <v>14</v>
      </c>
      <c r="C17" s="4">
        <v>1</v>
      </c>
      <c r="D17" s="4">
        <v>0</v>
      </c>
      <c r="E17" s="4">
        <v>134</v>
      </c>
      <c r="F17" s="26">
        <v>8.0389664783136802E-3</v>
      </c>
      <c r="G17" s="26">
        <v>0</v>
      </c>
      <c r="H17" s="41">
        <v>0.80004394271207735</v>
      </c>
    </row>
    <row r="18" spans="1:8" x14ac:dyDescent="0.3">
      <c r="A18" s="2">
        <v>16</v>
      </c>
      <c r="B18" s="3" t="s">
        <v>15</v>
      </c>
      <c r="C18" s="4">
        <v>0</v>
      </c>
      <c r="D18" s="4">
        <v>243</v>
      </c>
      <c r="E18" s="4">
        <v>243</v>
      </c>
      <c r="F18" s="26">
        <v>0</v>
      </c>
      <c r="G18" s="26">
        <v>0.70529343036584291</v>
      </c>
      <c r="H18" s="41">
        <v>0.65960348058913143</v>
      </c>
    </row>
    <row r="19" spans="1:8" x14ac:dyDescent="0.3">
      <c r="A19" s="2">
        <v>17</v>
      </c>
      <c r="B19" s="3" t="s">
        <v>16</v>
      </c>
      <c r="C19" s="4">
        <v>4646</v>
      </c>
      <c r="D19" s="4">
        <v>275</v>
      </c>
      <c r="E19" s="4">
        <v>118.96054995163742</v>
      </c>
      <c r="F19" s="26">
        <v>41.544496695486714</v>
      </c>
      <c r="G19" s="26">
        <v>2.3698162961494793</v>
      </c>
      <c r="H19" s="41">
        <v>0.9899598097118758</v>
      </c>
    </row>
    <row r="20" spans="1:8" x14ac:dyDescent="0.3">
      <c r="A20" s="2">
        <v>18</v>
      </c>
      <c r="B20" s="3" t="s">
        <v>17</v>
      </c>
      <c r="C20" s="4">
        <v>461</v>
      </c>
      <c r="D20" s="4">
        <v>2662</v>
      </c>
      <c r="E20" s="4">
        <v>5410</v>
      </c>
      <c r="F20" s="26">
        <v>4.748447345270812E-2</v>
      </c>
      <c r="G20" s="26">
        <v>0.2395404897125458</v>
      </c>
      <c r="H20" s="41">
        <v>0.438483004583132</v>
      </c>
    </row>
    <row r="21" spans="1:8" x14ac:dyDescent="0.3">
      <c r="A21" s="2">
        <v>19</v>
      </c>
      <c r="B21" s="3" t="s">
        <v>18</v>
      </c>
      <c r="C21" s="4">
        <v>296</v>
      </c>
      <c r="D21" s="4">
        <v>312</v>
      </c>
      <c r="E21" s="4">
        <v>312</v>
      </c>
      <c r="F21" s="26">
        <v>1.5560712670126291</v>
      </c>
      <c r="G21" s="26">
        <v>1.4233501968397519</v>
      </c>
      <c r="H21" s="41">
        <v>1.3059898681138595</v>
      </c>
    </row>
    <row r="22" spans="1:8" x14ac:dyDescent="0.3">
      <c r="A22" s="2">
        <v>20</v>
      </c>
      <c r="B22" s="3" t="s">
        <v>19</v>
      </c>
      <c r="C22" s="4">
        <v>0</v>
      </c>
      <c r="D22" s="4">
        <v>316</v>
      </c>
      <c r="E22" s="4">
        <v>2305</v>
      </c>
      <c r="F22" s="26">
        <v>0</v>
      </c>
      <c r="G22" s="26">
        <v>1.2924782063020166</v>
      </c>
      <c r="H22" s="41">
        <v>8.5181330913025626</v>
      </c>
    </row>
    <row r="23" spans="1:8" x14ac:dyDescent="0.3">
      <c r="A23" s="2">
        <v>21</v>
      </c>
      <c r="B23" s="3" t="s">
        <v>20</v>
      </c>
      <c r="C23" s="4">
        <v>351</v>
      </c>
      <c r="D23" s="4">
        <v>47</v>
      </c>
      <c r="E23" s="4">
        <v>4778</v>
      </c>
      <c r="F23" s="26">
        <v>0.1275176701889518</v>
      </c>
      <c r="G23" s="26">
        <v>1.5224821784957782E-2</v>
      </c>
      <c r="H23" s="41">
        <v>1.4272967151070795</v>
      </c>
    </row>
    <row r="24" spans="1:8" x14ac:dyDescent="0.3">
      <c r="A24" s="2">
        <v>22</v>
      </c>
      <c r="B24" s="3" t="s">
        <v>21</v>
      </c>
      <c r="C24" s="4">
        <v>0</v>
      </c>
      <c r="D24" s="4">
        <v>363</v>
      </c>
      <c r="E24" s="4">
        <v>363</v>
      </c>
      <c r="F24" s="26">
        <v>0</v>
      </c>
      <c r="G24" s="26">
        <v>0.28913095796454041</v>
      </c>
      <c r="H24" s="41">
        <v>0.26191722470488393</v>
      </c>
    </row>
    <row r="25" spans="1:8" x14ac:dyDescent="0.3">
      <c r="A25" s="2">
        <v>23</v>
      </c>
      <c r="B25" s="3" t="s">
        <v>22</v>
      </c>
      <c r="C25" s="4">
        <v>0</v>
      </c>
      <c r="D25" s="4">
        <v>3</v>
      </c>
      <c r="E25" s="4">
        <v>3</v>
      </c>
      <c r="F25" s="26">
        <v>0</v>
      </c>
      <c r="G25" s="26">
        <v>1.5584783952036278E-2</v>
      </c>
      <c r="H25" s="41">
        <v>1.4247953815732644E-2</v>
      </c>
    </row>
    <row r="26" spans="1:8" x14ac:dyDescent="0.3">
      <c r="A26" s="2">
        <v>24</v>
      </c>
      <c r="B26" s="3" t="s">
        <v>23</v>
      </c>
      <c r="C26" s="4">
        <v>201</v>
      </c>
      <c r="D26" s="4">
        <v>5310</v>
      </c>
      <c r="E26" s="4">
        <v>635.56215030918963</v>
      </c>
      <c r="F26" s="26">
        <v>4.4873715986616283E-2</v>
      </c>
      <c r="G26" s="26">
        <v>1.0629927501892569</v>
      </c>
      <c r="H26" s="41">
        <v>0.11763681518431346</v>
      </c>
    </row>
    <row r="27" spans="1:8" x14ac:dyDescent="0.3">
      <c r="A27" s="2">
        <v>25</v>
      </c>
      <c r="B27" s="3" t="s">
        <v>24</v>
      </c>
      <c r="C27" s="4">
        <v>205</v>
      </c>
      <c r="D27" s="4">
        <v>144</v>
      </c>
      <c r="E27" s="4">
        <v>144</v>
      </c>
      <c r="F27" s="26">
        <v>0.98845746872436202</v>
      </c>
      <c r="G27" s="26">
        <v>0.65513597028594406</v>
      </c>
      <c r="H27" s="41">
        <v>0.6245051934762621</v>
      </c>
    </row>
    <row r="28" spans="1:8" x14ac:dyDescent="0.3">
      <c r="A28" s="2">
        <v>26</v>
      </c>
      <c r="B28" s="3" t="s">
        <v>25</v>
      </c>
      <c r="C28" s="4">
        <v>2036</v>
      </c>
      <c r="D28" s="4">
        <v>285</v>
      </c>
      <c r="E28" s="4">
        <v>285</v>
      </c>
      <c r="F28" s="26">
        <v>4.5987266541496687</v>
      </c>
      <c r="G28" s="26">
        <v>0.58289467952143736</v>
      </c>
      <c r="H28" s="41">
        <v>0.53746397341269414</v>
      </c>
    </row>
    <row r="29" spans="1:8" x14ac:dyDescent="0.3">
      <c r="A29" s="2">
        <v>27</v>
      </c>
      <c r="B29" s="3" t="s">
        <v>26</v>
      </c>
      <c r="C29" s="4">
        <v>174</v>
      </c>
      <c r="D29" s="4">
        <v>15</v>
      </c>
      <c r="E29" s="4">
        <v>254</v>
      </c>
      <c r="F29" s="26">
        <v>7.376609200407995E-2</v>
      </c>
      <c r="G29" s="26">
        <v>5.5873119743806102E-3</v>
      </c>
      <c r="H29" s="41">
        <v>8.5776865195982904E-2</v>
      </c>
    </row>
    <row r="30" spans="1:8" x14ac:dyDescent="0.3">
      <c r="A30" s="2">
        <v>28</v>
      </c>
      <c r="B30" s="3" t="s">
        <v>27</v>
      </c>
      <c r="C30" s="4">
        <v>0</v>
      </c>
      <c r="D30" s="4">
        <v>35</v>
      </c>
      <c r="E30" s="4">
        <v>35</v>
      </c>
      <c r="F30" s="26">
        <v>0</v>
      </c>
      <c r="G30" s="26">
        <v>1.9054999424811248E-2</v>
      </c>
      <c r="H30" s="41">
        <v>1.7152392612974156E-2</v>
      </c>
    </row>
    <row r="31" spans="1:8" x14ac:dyDescent="0.3">
      <c r="A31" s="2">
        <v>29</v>
      </c>
      <c r="B31" s="3" t="s">
        <v>28</v>
      </c>
      <c r="C31" s="4">
        <v>0</v>
      </c>
      <c r="D31" s="4">
        <v>78</v>
      </c>
      <c r="E31" s="4">
        <v>3642</v>
      </c>
      <c r="F31" s="26">
        <v>0</v>
      </c>
      <c r="G31" s="26">
        <v>3.912854117059953E-2</v>
      </c>
      <c r="H31" s="41">
        <v>1.6119615870704553</v>
      </c>
    </row>
    <row r="32" spans="1:8" x14ac:dyDescent="0.3">
      <c r="A32" s="2">
        <v>30</v>
      </c>
      <c r="B32" s="3" t="s">
        <v>29</v>
      </c>
      <c r="C32" s="4">
        <v>209</v>
      </c>
      <c r="D32" s="4">
        <v>4745</v>
      </c>
      <c r="E32" s="4">
        <v>4745</v>
      </c>
      <c r="F32" s="26">
        <v>0.55838175090884001</v>
      </c>
      <c r="G32" s="26">
        <v>11.110560851511517</v>
      </c>
      <c r="H32" s="41">
        <v>10.018709332644166</v>
      </c>
    </row>
    <row r="33" spans="1:8" x14ac:dyDescent="0.3">
      <c r="A33" s="2">
        <v>31</v>
      </c>
      <c r="B33" s="3" t="s">
        <v>30</v>
      </c>
      <c r="C33" s="4">
        <v>0</v>
      </c>
      <c r="D33" s="4">
        <v>48</v>
      </c>
      <c r="E33" s="4">
        <v>311</v>
      </c>
      <c r="F33" s="26">
        <v>0</v>
      </c>
      <c r="G33" s="26">
        <v>0.370547209451424</v>
      </c>
      <c r="H33" s="41">
        <v>2.3932852572858634</v>
      </c>
    </row>
    <row r="34" spans="1:8" x14ac:dyDescent="0.3">
      <c r="A34" s="2">
        <v>32</v>
      </c>
      <c r="B34" s="3" t="s">
        <v>31</v>
      </c>
      <c r="C34" s="4">
        <v>85</v>
      </c>
      <c r="D34" s="4">
        <v>0</v>
      </c>
      <c r="E34" s="4">
        <v>6</v>
      </c>
      <c r="F34" s="26">
        <v>3.3661058721083326E-2</v>
      </c>
      <c r="G34" s="26">
        <v>0</v>
      </c>
      <c r="H34" s="41">
        <v>1.8198627923547014E-3</v>
      </c>
    </row>
    <row r="35" spans="1:8" x14ac:dyDescent="0.3">
      <c r="A35" s="2">
        <v>33</v>
      </c>
      <c r="B35" s="3" t="s">
        <v>32</v>
      </c>
      <c r="C35" s="4">
        <v>0</v>
      </c>
      <c r="D35" s="4">
        <v>218</v>
      </c>
      <c r="E35" s="4">
        <v>260.54243369734792</v>
      </c>
      <c r="F35" s="26">
        <v>0</v>
      </c>
      <c r="G35" s="26">
        <v>0.90618849843110905</v>
      </c>
      <c r="H35" s="41">
        <v>1.0149636345648803</v>
      </c>
    </row>
    <row r="36" spans="1:8" x14ac:dyDescent="0.3">
      <c r="A36" s="2">
        <v>34</v>
      </c>
      <c r="B36" s="3" t="s">
        <v>33</v>
      </c>
      <c r="C36" s="4">
        <v>0</v>
      </c>
      <c r="D36" s="4">
        <v>101</v>
      </c>
      <c r="E36" s="4">
        <v>101</v>
      </c>
      <c r="F36" s="26">
        <v>0</v>
      </c>
      <c r="G36" s="26">
        <v>4.47356781384005E-2</v>
      </c>
      <c r="H36" s="41">
        <v>3.8537885593723731E-2</v>
      </c>
    </row>
    <row r="37" spans="1:8" x14ac:dyDescent="0.3">
      <c r="A37" s="2">
        <v>35</v>
      </c>
      <c r="B37" s="3" t="s">
        <v>34</v>
      </c>
      <c r="C37" s="4">
        <v>0</v>
      </c>
      <c r="D37" s="4">
        <v>14645</v>
      </c>
      <c r="E37" s="4">
        <v>14645</v>
      </c>
      <c r="F37" s="26">
        <v>0</v>
      </c>
      <c r="G37" s="26">
        <v>0.73820129207808149</v>
      </c>
      <c r="H37" s="41">
        <v>0.6701253232505302</v>
      </c>
    </row>
    <row r="38" spans="1:8" x14ac:dyDescent="0.3">
      <c r="A38" s="2">
        <v>36</v>
      </c>
      <c r="B38" s="3" t="s">
        <v>35</v>
      </c>
      <c r="C38" s="4">
        <v>0</v>
      </c>
      <c r="D38" s="4">
        <v>0</v>
      </c>
      <c r="E38" s="4">
        <v>226</v>
      </c>
      <c r="F38" s="26">
        <v>0</v>
      </c>
      <c r="G38" s="26">
        <v>0</v>
      </c>
      <c r="H38" s="41">
        <v>0.16404512039260505</v>
      </c>
    </row>
    <row r="39" spans="1:8" x14ac:dyDescent="0.3">
      <c r="A39" s="2">
        <v>37</v>
      </c>
      <c r="B39" s="3" t="s">
        <v>36</v>
      </c>
      <c r="C39" s="4">
        <v>24</v>
      </c>
      <c r="D39" s="4">
        <v>548</v>
      </c>
      <c r="E39" s="4">
        <v>281.57816785850173</v>
      </c>
      <c r="F39" s="26">
        <v>1.2386649256542992</v>
      </c>
      <c r="G39" s="26">
        <v>25.92929063517299</v>
      </c>
      <c r="H39" s="41">
        <v>12.383621560365016</v>
      </c>
    </row>
    <row r="40" spans="1:8" x14ac:dyDescent="0.3">
      <c r="A40" s="2">
        <v>38</v>
      </c>
      <c r="B40" s="3" t="s">
        <v>37</v>
      </c>
      <c r="C40" s="4">
        <v>3518</v>
      </c>
      <c r="D40" s="4">
        <v>1925</v>
      </c>
      <c r="E40" s="4">
        <v>2494</v>
      </c>
      <c r="F40" s="26">
        <v>2.5876084374717636</v>
      </c>
      <c r="G40" s="26">
        <v>1.2359622775324082</v>
      </c>
      <c r="H40" s="41">
        <v>1.4402490949501252</v>
      </c>
    </row>
    <row r="41" spans="1:8" x14ac:dyDescent="0.3">
      <c r="A41" s="2">
        <v>39</v>
      </c>
      <c r="B41" s="3" t="s">
        <v>38</v>
      </c>
      <c r="C41" s="4">
        <v>0</v>
      </c>
      <c r="D41" s="4">
        <v>50</v>
      </c>
      <c r="E41" s="4">
        <v>50</v>
      </c>
      <c r="F41" s="26">
        <v>0</v>
      </c>
      <c r="G41" s="26">
        <v>4.8496134858051798</v>
      </c>
      <c r="H41" s="41">
        <v>4.6677277967858029</v>
      </c>
    </row>
    <row r="42" spans="1:8" x14ac:dyDescent="0.3">
      <c r="A42" s="2">
        <v>40</v>
      </c>
      <c r="B42" s="3" t="s">
        <v>39</v>
      </c>
      <c r="C42" s="4">
        <v>0</v>
      </c>
      <c r="D42" s="4">
        <v>406</v>
      </c>
      <c r="E42" s="4">
        <v>790</v>
      </c>
      <c r="F42" s="26">
        <v>0</v>
      </c>
      <c r="G42" s="26">
        <v>0.51645526982180134</v>
      </c>
      <c r="H42" s="41">
        <v>0.91799429170233038</v>
      </c>
    </row>
    <row r="43" spans="1:8" x14ac:dyDescent="0.3">
      <c r="A43" s="2">
        <v>41</v>
      </c>
      <c r="B43" s="3" t="s">
        <v>40</v>
      </c>
      <c r="C43" s="4">
        <v>0</v>
      </c>
      <c r="D43" s="4">
        <v>3585</v>
      </c>
      <c r="E43" s="4">
        <v>3585</v>
      </c>
      <c r="F43" s="26">
        <v>0</v>
      </c>
      <c r="G43" s="26">
        <v>0.62522197778203492</v>
      </c>
      <c r="H43" s="41">
        <v>0.59855859576851134</v>
      </c>
    </row>
    <row r="44" spans="1:8" x14ac:dyDescent="0.3">
      <c r="A44" s="2">
        <v>42</v>
      </c>
      <c r="B44" s="3" t="s">
        <v>41</v>
      </c>
      <c r="C44" s="4">
        <v>0</v>
      </c>
      <c r="D44" s="4">
        <v>250</v>
      </c>
      <c r="E44" s="4">
        <v>250</v>
      </c>
      <c r="F44" s="26">
        <v>0</v>
      </c>
      <c r="G44" s="26">
        <v>0.24049261738168087</v>
      </c>
      <c r="H44" s="41">
        <v>0.22908114590237744</v>
      </c>
    </row>
    <row r="45" spans="1:8" x14ac:dyDescent="0.3">
      <c r="A45" s="2">
        <v>43</v>
      </c>
      <c r="B45" s="3" t="s">
        <v>42</v>
      </c>
      <c r="C45" s="4">
        <v>3255</v>
      </c>
      <c r="D45" s="4">
        <v>1905</v>
      </c>
      <c r="E45" s="4">
        <v>1203.5216402228605</v>
      </c>
      <c r="F45" s="26">
        <v>0.66086481500602079</v>
      </c>
      <c r="G45" s="26">
        <v>0.32793690349374677</v>
      </c>
      <c r="H45" s="41">
        <v>0.18375007950240665</v>
      </c>
    </row>
    <row r="46" spans="1:8" x14ac:dyDescent="0.3">
      <c r="A46" s="2">
        <v>44</v>
      </c>
      <c r="B46" s="3" t="s">
        <v>43</v>
      </c>
      <c r="C46" s="4">
        <v>0</v>
      </c>
      <c r="D46" s="4">
        <v>340</v>
      </c>
      <c r="E46" s="4">
        <v>340</v>
      </c>
      <c r="F46" s="26">
        <v>0</v>
      </c>
      <c r="G46" s="26">
        <v>0.42253456363799274</v>
      </c>
      <c r="H46" s="41">
        <v>0.3842372977223712</v>
      </c>
    </row>
    <row r="47" spans="1:8" x14ac:dyDescent="0.3">
      <c r="A47" s="2">
        <v>45</v>
      </c>
      <c r="B47" s="3" t="s">
        <v>44</v>
      </c>
      <c r="C47" s="4">
        <v>0</v>
      </c>
      <c r="D47" s="4">
        <v>16</v>
      </c>
      <c r="E47" s="4">
        <v>426</v>
      </c>
      <c r="F47" s="26">
        <v>0</v>
      </c>
      <c r="G47" s="26">
        <v>3.8539919950177507E-3</v>
      </c>
      <c r="H47" s="41">
        <v>9.0159522036013698E-2</v>
      </c>
    </row>
    <row r="48" spans="1:8" x14ac:dyDescent="0.3">
      <c r="A48" s="2">
        <v>46</v>
      </c>
      <c r="B48" s="3" t="s">
        <v>45</v>
      </c>
      <c r="C48" s="4">
        <v>0</v>
      </c>
      <c r="D48" s="4">
        <v>2016</v>
      </c>
      <c r="E48" s="4">
        <v>4392</v>
      </c>
      <c r="F48" s="26">
        <v>0</v>
      </c>
      <c r="G48" s="26">
        <v>1.1303050539717872</v>
      </c>
      <c r="H48" s="41">
        <v>2.1940609985924935</v>
      </c>
    </row>
    <row r="49" spans="1:8" x14ac:dyDescent="0.3">
      <c r="A49" s="2">
        <v>47</v>
      </c>
      <c r="B49" s="3" t="s">
        <v>46</v>
      </c>
      <c r="C49" s="4">
        <v>1885</v>
      </c>
      <c r="D49" s="4">
        <v>1644</v>
      </c>
      <c r="E49" s="4">
        <v>2684</v>
      </c>
      <c r="F49" s="26">
        <v>1.3905875224905389</v>
      </c>
      <c r="G49" s="26">
        <v>1.0922003079420231</v>
      </c>
      <c r="H49" s="41">
        <v>1.644553730064152</v>
      </c>
    </row>
    <row r="50" spans="1:8" x14ac:dyDescent="0.3">
      <c r="A50" s="2">
        <v>48</v>
      </c>
      <c r="B50" s="5" t="s">
        <v>47</v>
      </c>
      <c r="C50" s="6">
        <v>34739</v>
      </c>
      <c r="D50" s="6">
        <v>51667</v>
      </c>
      <c r="E50" s="6">
        <v>60028.259642935926</v>
      </c>
      <c r="F50" s="28">
        <f>AVERAGE(F3:F49)</f>
        <v>3.2752294242225708</v>
      </c>
      <c r="G50" s="28">
        <f t="shared" ref="G50:H50" si="0">AVERAGE(G3:G49)</f>
        <v>2.6140965508374507</v>
      </c>
      <c r="H50" s="42">
        <f t="shared" si="0"/>
        <v>1.5191193152147944</v>
      </c>
    </row>
    <row r="54" spans="1:8" x14ac:dyDescent="0.3">
      <c r="C54" s="16" t="s">
        <v>72</v>
      </c>
    </row>
  </sheetData>
  <mergeCells count="6">
    <mergeCell ref="A1:A2"/>
    <mergeCell ref="C1:E1"/>
    <mergeCell ref="F1:F2"/>
    <mergeCell ref="G1:G2"/>
    <mergeCell ref="H1:H2"/>
    <mergeCell ref="B1: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B24A-6D92-431D-B17B-2DD2833A0577}">
  <dimension ref="A1:H50"/>
  <sheetViews>
    <sheetView workbookViewId="0">
      <selection sqref="A1:H50"/>
    </sheetView>
  </sheetViews>
  <sheetFormatPr defaultRowHeight="14.5" x14ac:dyDescent="0.35"/>
  <cols>
    <col min="1" max="1" width="4.54296875" bestFit="1" customWidth="1"/>
    <col min="2" max="2" width="20.90625" bestFit="1" customWidth="1"/>
  </cols>
  <sheetData>
    <row r="1" spans="1:8" x14ac:dyDescent="0.35">
      <c r="A1" s="215" t="s">
        <v>52</v>
      </c>
      <c r="B1" s="217" t="s">
        <v>48</v>
      </c>
      <c r="C1" s="218" t="s">
        <v>73</v>
      </c>
      <c r="D1" s="218"/>
      <c r="E1" s="218"/>
      <c r="F1" s="216" t="s">
        <v>91</v>
      </c>
      <c r="G1" s="216" t="s">
        <v>92</v>
      </c>
      <c r="H1" s="216" t="s">
        <v>93</v>
      </c>
    </row>
    <row r="2" spans="1:8" ht="56.5" customHeight="1" x14ac:dyDescent="0.35">
      <c r="A2" s="215"/>
      <c r="B2" s="217"/>
      <c r="C2" s="11">
        <v>2013</v>
      </c>
      <c r="D2" s="11">
        <v>2018</v>
      </c>
      <c r="E2" s="11" t="s">
        <v>51</v>
      </c>
      <c r="F2" s="216"/>
      <c r="G2" s="216"/>
      <c r="H2" s="216"/>
    </row>
    <row r="3" spans="1:8" x14ac:dyDescent="0.35">
      <c r="A3" s="2">
        <v>1</v>
      </c>
      <c r="B3" s="3" t="s">
        <v>0</v>
      </c>
      <c r="C3" s="4">
        <v>0</v>
      </c>
      <c r="D3" s="4">
        <v>10838</v>
      </c>
      <c r="E3" s="4">
        <v>10838</v>
      </c>
      <c r="F3" s="26">
        <v>0</v>
      </c>
      <c r="G3" s="26">
        <v>2.5849686814038497</v>
      </c>
      <c r="H3" s="26">
        <v>2.4136351008195955</v>
      </c>
    </row>
    <row r="4" spans="1:8" x14ac:dyDescent="0.35">
      <c r="A4" s="2">
        <v>2</v>
      </c>
      <c r="B4" s="3" t="s">
        <v>1</v>
      </c>
      <c r="C4" s="4">
        <v>0</v>
      </c>
      <c r="D4" s="4">
        <v>328</v>
      </c>
      <c r="E4" s="4">
        <v>2072</v>
      </c>
      <c r="F4" s="26">
        <v>0</v>
      </c>
      <c r="G4" s="26">
        <v>0.10488101871956711</v>
      </c>
      <c r="H4" s="26">
        <v>0.58220257856735236</v>
      </c>
    </row>
    <row r="5" spans="1:8" x14ac:dyDescent="0.35">
      <c r="A5" s="2">
        <v>3</v>
      </c>
      <c r="B5" s="3" t="s">
        <v>2</v>
      </c>
      <c r="C5" s="4">
        <v>0</v>
      </c>
      <c r="D5" s="4">
        <v>0</v>
      </c>
      <c r="E5" s="4">
        <v>0</v>
      </c>
      <c r="F5" s="26">
        <v>0</v>
      </c>
      <c r="G5" s="26">
        <v>0</v>
      </c>
      <c r="H5" s="26">
        <v>0</v>
      </c>
    </row>
    <row r="6" spans="1:8" x14ac:dyDescent="0.35">
      <c r="A6" s="2">
        <v>4</v>
      </c>
      <c r="B6" s="3" t="s">
        <v>3</v>
      </c>
      <c r="C6" s="4">
        <v>0</v>
      </c>
      <c r="D6" s="4">
        <v>156</v>
      </c>
      <c r="E6" s="4">
        <v>159</v>
      </c>
      <c r="F6" s="26">
        <v>0</v>
      </c>
      <c r="G6" s="26">
        <v>0.63636884672628014</v>
      </c>
      <c r="H6" s="26">
        <v>0.6044947032577318</v>
      </c>
    </row>
    <row r="7" spans="1:8" x14ac:dyDescent="0.35">
      <c r="A7" s="2">
        <v>5</v>
      </c>
      <c r="B7" s="3" t="s">
        <v>4</v>
      </c>
      <c r="C7" s="4">
        <v>0</v>
      </c>
      <c r="D7" s="4">
        <v>653</v>
      </c>
      <c r="E7" s="4">
        <v>653</v>
      </c>
      <c r="F7" s="26">
        <v>0</v>
      </c>
      <c r="G7" s="26">
        <v>0.32021226395317587</v>
      </c>
      <c r="H7" s="26">
        <v>0.28799808342347416</v>
      </c>
    </row>
    <row r="8" spans="1:8" x14ac:dyDescent="0.35">
      <c r="A8" s="2">
        <v>6</v>
      </c>
      <c r="B8" s="3" t="s">
        <v>5</v>
      </c>
      <c r="C8" s="4">
        <v>0</v>
      </c>
      <c r="D8" s="4">
        <v>1383</v>
      </c>
      <c r="E8" s="4">
        <v>1383</v>
      </c>
      <c r="F8" s="26">
        <v>0</v>
      </c>
      <c r="G8" s="26">
        <v>1.2032916944813683</v>
      </c>
      <c r="H8" s="26">
        <v>1.0729599998882824</v>
      </c>
    </row>
    <row r="9" spans="1:8" x14ac:dyDescent="0.35">
      <c r="A9" s="2">
        <v>7</v>
      </c>
      <c r="B9" s="3" t="s">
        <v>6</v>
      </c>
      <c r="C9" s="4">
        <v>0</v>
      </c>
      <c r="D9" s="4">
        <v>250</v>
      </c>
      <c r="E9" s="4">
        <v>1195</v>
      </c>
      <c r="F9" s="26">
        <v>0</v>
      </c>
      <c r="G9" s="26">
        <v>9.96939535198475E-2</v>
      </c>
      <c r="H9" s="26">
        <v>0.42809236685696017</v>
      </c>
    </row>
    <row r="10" spans="1:8" x14ac:dyDescent="0.35">
      <c r="A10" s="2">
        <v>8</v>
      </c>
      <c r="B10" s="3" t="s">
        <v>7</v>
      </c>
      <c r="C10" s="4">
        <v>0</v>
      </c>
      <c r="D10" s="4">
        <v>61</v>
      </c>
      <c r="E10" s="4">
        <v>61</v>
      </c>
      <c r="F10" s="26">
        <v>0</v>
      </c>
      <c r="G10" s="26">
        <v>1.0679243664451161</v>
      </c>
      <c r="H10" s="26">
        <v>1.0284085209546663</v>
      </c>
    </row>
    <row r="11" spans="1:8" x14ac:dyDescent="0.35">
      <c r="A11" s="2">
        <v>9</v>
      </c>
      <c r="B11" s="3" t="s">
        <v>8</v>
      </c>
      <c r="C11" s="4">
        <v>0</v>
      </c>
      <c r="D11" s="4">
        <v>22</v>
      </c>
      <c r="E11" s="4">
        <v>22</v>
      </c>
      <c r="F11" s="26">
        <v>0</v>
      </c>
      <c r="G11" s="26">
        <v>4.318145238852316E-2</v>
      </c>
      <c r="H11" s="26">
        <v>3.9432575985901747E-2</v>
      </c>
    </row>
    <row r="12" spans="1:8" x14ac:dyDescent="0.35">
      <c r="A12" s="2">
        <v>10</v>
      </c>
      <c r="B12" s="3" t="s">
        <v>9</v>
      </c>
      <c r="C12" s="4">
        <v>0</v>
      </c>
      <c r="D12" s="4">
        <v>732</v>
      </c>
      <c r="E12" s="4">
        <v>428.44640082858621</v>
      </c>
      <c r="F12" s="26">
        <v>0</v>
      </c>
      <c r="G12" s="26">
        <v>0.46910417124609322</v>
      </c>
      <c r="H12" s="26">
        <v>0.24174169048830349</v>
      </c>
    </row>
    <row r="13" spans="1:8" x14ac:dyDescent="0.35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26">
        <v>0</v>
      </c>
      <c r="G13" s="26">
        <v>0</v>
      </c>
      <c r="H13" s="26">
        <v>0</v>
      </c>
    </row>
    <row r="14" spans="1:8" x14ac:dyDescent="0.35">
      <c r="A14" s="2">
        <v>12</v>
      </c>
      <c r="B14" s="3" t="s">
        <v>11</v>
      </c>
      <c r="C14" s="4">
        <v>0</v>
      </c>
      <c r="D14" s="4">
        <v>790</v>
      </c>
      <c r="E14" s="4">
        <v>790</v>
      </c>
      <c r="F14" s="26">
        <v>0</v>
      </c>
      <c r="G14" s="26">
        <v>1.4519224372006796</v>
      </c>
      <c r="H14" s="26">
        <v>1.3231891068373032</v>
      </c>
    </row>
    <row r="15" spans="1:8" x14ac:dyDescent="0.35">
      <c r="A15" s="2">
        <v>13</v>
      </c>
      <c r="B15" s="3" t="s">
        <v>12</v>
      </c>
      <c r="C15" s="4">
        <v>0</v>
      </c>
      <c r="D15" s="4">
        <v>91</v>
      </c>
      <c r="E15" s="4">
        <v>91</v>
      </c>
      <c r="F15" s="26">
        <v>0</v>
      </c>
      <c r="G15" s="26">
        <v>3.5694689357846074E-2</v>
      </c>
      <c r="H15" s="26">
        <v>3.2314718368795625E-2</v>
      </c>
    </row>
    <row r="16" spans="1:8" x14ac:dyDescent="0.35">
      <c r="A16" s="2">
        <v>14</v>
      </c>
      <c r="B16" s="3" t="s">
        <v>13</v>
      </c>
      <c r="C16" s="4">
        <v>0</v>
      </c>
      <c r="D16" s="4">
        <v>2651</v>
      </c>
      <c r="E16" s="4">
        <v>4695</v>
      </c>
      <c r="F16" s="26">
        <v>0</v>
      </c>
      <c r="G16" s="26">
        <v>0.30440699456310283</v>
      </c>
      <c r="H16" s="26">
        <v>0.47419351046334496</v>
      </c>
    </row>
    <row r="17" spans="1:8" x14ac:dyDescent="0.35">
      <c r="A17" s="2">
        <v>15</v>
      </c>
      <c r="B17" s="3" t="s">
        <v>14</v>
      </c>
      <c r="C17" s="4">
        <v>0</v>
      </c>
      <c r="D17" s="4">
        <v>0</v>
      </c>
      <c r="E17" s="4">
        <v>0</v>
      </c>
      <c r="F17" s="26">
        <v>0</v>
      </c>
      <c r="G17" s="26">
        <v>0</v>
      </c>
      <c r="H17" s="26">
        <v>0</v>
      </c>
    </row>
    <row r="18" spans="1:8" x14ac:dyDescent="0.35">
      <c r="A18" s="2">
        <v>16</v>
      </c>
      <c r="B18" s="3" t="s">
        <v>15</v>
      </c>
      <c r="C18" s="4">
        <v>0</v>
      </c>
      <c r="D18" s="4">
        <v>0</v>
      </c>
      <c r="E18" s="4">
        <v>381</v>
      </c>
      <c r="F18" s="26">
        <v>0</v>
      </c>
      <c r="G18" s="26">
        <v>0</v>
      </c>
      <c r="H18" s="26">
        <v>1.0341931115409839</v>
      </c>
    </row>
    <row r="19" spans="1:8" x14ac:dyDescent="0.35">
      <c r="A19" s="2">
        <v>17</v>
      </c>
      <c r="B19" s="3" t="s">
        <v>16</v>
      </c>
      <c r="C19" s="4">
        <v>0</v>
      </c>
      <c r="D19" s="4">
        <v>195</v>
      </c>
      <c r="E19" s="4">
        <v>195</v>
      </c>
      <c r="F19" s="26">
        <v>0</v>
      </c>
      <c r="G19" s="26">
        <v>1.6804151918150854</v>
      </c>
      <c r="H19" s="26">
        <v>1.6227410092866561</v>
      </c>
    </row>
    <row r="20" spans="1:8" x14ac:dyDescent="0.35">
      <c r="A20" s="2">
        <v>18</v>
      </c>
      <c r="B20" s="3" t="s">
        <v>17</v>
      </c>
      <c r="C20" s="4">
        <v>0</v>
      </c>
      <c r="D20" s="4">
        <v>4365</v>
      </c>
      <c r="E20" s="4">
        <v>4365</v>
      </c>
      <c r="F20" s="26">
        <v>0</v>
      </c>
      <c r="G20" s="26">
        <v>0.39278521322136078</v>
      </c>
      <c r="H20" s="26">
        <v>0.35378527079581723</v>
      </c>
    </row>
    <row r="21" spans="1:8" x14ac:dyDescent="0.35">
      <c r="A21" s="2">
        <v>19</v>
      </c>
      <c r="B21" s="3" t="s">
        <v>18</v>
      </c>
      <c r="C21" s="4">
        <v>0</v>
      </c>
      <c r="D21" s="4">
        <v>318</v>
      </c>
      <c r="E21" s="4">
        <v>390</v>
      </c>
      <c r="F21" s="26">
        <v>0</v>
      </c>
      <c r="G21" s="26">
        <v>1.4507223160097471</v>
      </c>
      <c r="H21" s="26">
        <v>1.6324873351423244</v>
      </c>
    </row>
    <row r="22" spans="1:8" x14ac:dyDescent="0.35">
      <c r="A22" s="2">
        <v>20</v>
      </c>
      <c r="B22" s="3" t="s">
        <v>19</v>
      </c>
      <c r="C22" s="4">
        <v>0</v>
      </c>
      <c r="D22" s="4">
        <v>246</v>
      </c>
      <c r="E22" s="4">
        <v>522</v>
      </c>
      <c r="F22" s="26">
        <v>0</v>
      </c>
      <c r="G22" s="26">
        <v>1.0061697428806839</v>
      </c>
      <c r="H22" s="26">
        <v>1.9290522662299079</v>
      </c>
    </row>
    <row r="23" spans="1:8" x14ac:dyDescent="0.35">
      <c r="A23" s="2">
        <v>21</v>
      </c>
      <c r="B23" s="3" t="s">
        <v>20</v>
      </c>
      <c r="C23" s="4">
        <v>0</v>
      </c>
      <c r="D23" s="4">
        <v>1033</v>
      </c>
      <c r="E23" s="4">
        <v>1033</v>
      </c>
      <c r="F23" s="26">
        <v>0</v>
      </c>
      <c r="G23" s="26">
        <v>0.33462214689066783</v>
      </c>
      <c r="H23" s="26">
        <v>0.30858047440469089</v>
      </c>
    </row>
    <row r="24" spans="1:8" x14ac:dyDescent="0.35">
      <c r="A24" s="2">
        <v>22</v>
      </c>
      <c r="B24" s="3" t="s">
        <v>21</v>
      </c>
      <c r="C24" s="4">
        <v>0</v>
      </c>
      <c r="D24" s="4">
        <v>189</v>
      </c>
      <c r="E24" s="4">
        <v>189</v>
      </c>
      <c r="F24" s="26">
        <v>0</v>
      </c>
      <c r="G24" s="26">
        <v>0.1505392591055045</v>
      </c>
      <c r="H24" s="26">
        <v>0.13637012525956768</v>
      </c>
    </row>
    <row r="25" spans="1:8" x14ac:dyDescent="0.35">
      <c r="A25" s="2">
        <v>23</v>
      </c>
      <c r="B25" s="3" t="s">
        <v>22</v>
      </c>
      <c r="C25" s="4">
        <v>0</v>
      </c>
      <c r="D25" s="4">
        <v>130</v>
      </c>
      <c r="E25" s="4">
        <v>130</v>
      </c>
      <c r="F25" s="26">
        <v>0</v>
      </c>
      <c r="G25" s="26">
        <v>0.67534063792157206</v>
      </c>
      <c r="H25" s="26">
        <v>0.61741133201508125</v>
      </c>
    </row>
    <row r="26" spans="1:8" x14ac:dyDescent="0.35">
      <c r="A26" s="2">
        <v>24</v>
      </c>
      <c r="B26" s="3" t="s">
        <v>23</v>
      </c>
      <c r="C26" s="4">
        <v>0</v>
      </c>
      <c r="D26" s="4">
        <v>0</v>
      </c>
      <c r="E26" s="4">
        <v>0</v>
      </c>
      <c r="F26" s="26">
        <v>0</v>
      </c>
      <c r="G26" s="26">
        <v>0</v>
      </c>
      <c r="H26" s="26">
        <v>0</v>
      </c>
    </row>
    <row r="27" spans="1:8" x14ac:dyDescent="0.35">
      <c r="A27" s="2">
        <v>25</v>
      </c>
      <c r="B27" s="3" t="s">
        <v>24</v>
      </c>
      <c r="C27" s="4">
        <v>0</v>
      </c>
      <c r="D27" s="4">
        <v>110</v>
      </c>
      <c r="E27" s="4">
        <v>42.162196889826042</v>
      </c>
      <c r="F27" s="26">
        <v>0</v>
      </c>
      <c r="G27" s="26">
        <v>0.500451088412874</v>
      </c>
      <c r="H27" s="26">
        <v>0.18285077031989633</v>
      </c>
    </row>
    <row r="28" spans="1:8" x14ac:dyDescent="0.35">
      <c r="A28" s="2">
        <v>26</v>
      </c>
      <c r="B28" s="3" t="s">
        <v>25</v>
      </c>
      <c r="C28" s="4">
        <v>0</v>
      </c>
      <c r="D28" s="4">
        <v>1404</v>
      </c>
      <c r="E28" s="4">
        <v>1404</v>
      </c>
      <c r="F28" s="26">
        <v>0</v>
      </c>
      <c r="G28" s="26">
        <v>2.8715232633266599</v>
      </c>
      <c r="H28" s="26">
        <v>2.6477172584962196</v>
      </c>
    </row>
    <row r="29" spans="1:8" x14ac:dyDescent="0.35">
      <c r="A29" s="2">
        <v>27</v>
      </c>
      <c r="B29" s="3" t="s">
        <v>26</v>
      </c>
      <c r="C29" s="4">
        <v>0</v>
      </c>
      <c r="D29" s="4">
        <v>411</v>
      </c>
      <c r="E29" s="4">
        <v>411</v>
      </c>
      <c r="F29" s="26">
        <v>0</v>
      </c>
      <c r="G29" s="26">
        <v>0.15309234809802871</v>
      </c>
      <c r="H29" s="26">
        <v>0.13879642360452352</v>
      </c>
    </row>
    <row r="30" spans="1:8" x14ac:dyDescent="0.35">
      <c r="A30" s="2">
        <v>28</v>
      </c>
      <c r="B30" s="3" t="s">
        <v>27</v>
      </c>
      <c r="C30" s="4">
        <v>0</v>
      </c>
      <c r="D30" s="4">
        <v>178</v>
      </c>
      <c r="E30" s="4">
        <v>561</v>
      </c>
      <c r="F30" s="26">
        <v>0</v>
      </c>
      <c r="G30" s="26">
        <v>9.6908282789040054E-2</v>
      </c>
      <c r="H30" s="26">
        <v>0.27492835016795719</v>
      </c>
    </row>
    <row r="31" spans="1:8" x14ac:dyDescent="0.35">
      <c r="A31" s="2">
        <v>29</v>
      </c>
      <c r="B31" s="3" t="s">
        <v>28</v>
      </c>
      <c r="C31" s="4">
        <v>0</v>
      </c>
      <c r="D31" s="4">
        <v>25</v>
      </c>
      <c r="E31" s="4">
        <v>25</v>
      </c>
      <c r="F31" s="26">
        <v>0</v>
      </c>
      <c r="G31" s="26">
        <v>1.2541199093140875E-2</v>
      </c>
      <c r="H31" s="26">
        <v>1.1065085029313944E-2</v>
      </c>
    </row>
    <row r="32" spans="1:8" x14ac:dyDescent="0.35">
      <c r="A32" s="2">
        <v>30</v>
      </c>
      <c r="B32" s="3" t="s">
        <v>29</v>
      </c>
      <c r="C32" s="4">
        <v>0</v>
      </c>
      <c r="D32" s="4">
        <v>20</v>
      </c>
      <c r="E32" s="4">
        <v>20</v>
      </c>
      <c r="F32" s="26">
        <v>0</v>
      </c>
      <c r="G32" s="26">
        <v>4.6830604221334109E-2</v>
      </c>
      <c r="H32" s="26">
        <v>4.2228490337804708E-2</v>
      </c>
    </row>
    <row r="33" spans="1:8" x14ac:dyDescent="0.35">
      <c r="A33" s="2">
        <v>31</v>
      </c>
      <c r="B33" s="3" t="s">
        <v>30</v>
      </c>
      <c r="C33" s="4">
        <v>0</v>
      </c>
      <c r="D33" s="4">
        <v>315</v>
      </c>
      <c r="E33" s="4">
        <v>315</v>
      </c>
      <c r="F33" s="26">
        <v>0</v>
      </c>
      <c r="G33" s="26">
        <v>2.4317160620249703</v>
      </c>
      <c r="H33" s="26">
        <v>2.4240670612380928</v>
      </c>
    </row>
    <row r="34" spans="1:8" x14ac:dyDescent="0.35">
      <c r="A34" s="2">
        <v>32</v>
      </c>
      <c r="B34" s="3" t="s">
        <v>31</v>
      </c>
      <c r="C34" s="4">
        <v>0</v>
      </c>
      <c r="D34" s="4">
        <v>2466</v>
      </c>
      <c r="E34" s="4">
        <v>3337</v>
      </c>
      <c r="F34" s="26">
        <v>0</v>
      </c>
      <c r="G34" s="26">
        <v>0.83809481472675351</v>
      </c>
      <c r="H34" s="26">
        <v>1.0121470230146064</v>
      </c>
    </row>
    <row r="35" spans="1:8" x14ac:dyDescent="0.35">
      <c r="A35" s="2">
        <v>33</v>
      </c>
      <c r="B35" s="3" t="s">
        <v>32</v>
      </c>
      <c r="C35" s="4">
        <v>0</v>
      </c>
      <c r="D35" s="4">
        <v>313</v>
      </c>
      <c r="E35" s="4">
        <v>77.253861154446184</v>
      </c>
      <c r="F35" s="26">
        <v>0</v>
      </c>
      <c r="G35" s="26">
        <v>1.3010871560042987</v>
      </c>
      <c r="H35" s="26">
        <v>0.30094851955121449</v>
      </c>
    </row>
    <row r="36" spans="1:8" x14ac:dyDescent="0.35">
      <c r="A36" s="2">
        <v>34</v>
      </c>
      <c r="B36" s="3" t="s">
        <v>33</v>
      </c>
      <c r="C36" s="4">
        <v>0</v>
      </c>
      <c r="D36" s="4">
        <v>226</v>
      </c>
      <c r="E36" s="4">
        <v>226</v>
      </c>
      <c r="F36" s="26">
        <v>0</v>
      </c>
      <c r="G36" s="26">
        <v>0.10010161642850013</v>
      </c>
      <c r="H36" s="26">
        <v>8.623328855625309E-2</v>
      </c>
    </row>
    <row r="37" spans="1:8" x14ac:dyDescent="0.35">
      <c r="A37" s="2">
        <v>35</v>
      </c>
      <c r="B37" s="3" t="s">
        <v>34</v>
      </c>
      <c r="C37" s="4">
        <v>0</v>
      </c>
      <c r="D37" s="4">
        <v>0</v>
      </c>
      <c r="E37" s="4">
        <v>0</v>
      </c>
      <c r="F37" s="26">
        <v>0</v>
      </c>
      <c r="G37" s="26">
        <v>0</v>
      </c>
      <c r="H37" s="26">
        <v>0</v>
      </c>
    </row>
    <row r="38" spans="1:8" x14ac:dyDescent="0.35">
      <c r="A38" s="2">
        <v>36</v>
      </c>
      <c r="B38" s="3" t="s">
        <v>35</v>
      </c>
      <c r="C38" s="4">
        <v>0</v>
      </c>
      <c r="D38" s="4">
        <v>0</v>
      </c>
      <c r="E38" s="4">
        <v>0</v>
      </c>
      <c r="F38" s="26">
        <v>0</v>
      </c>
      <c r="G38" s="26">
        <v>0</v>
      </c>
      <c r="H38" s="26">
        <v>0</v>
      </c>
    </row>
    <row r="39" spans="1:8" x14ac:dyDescent="0.35">
      <c r="A39" s="2">
        <v>37</v>
      </c>
      <c r="B39" s="3" t="s">
        <v>36</v>
      </c>
      <c r="C39" s="4">
        <v>0</v>
      </c>
      <c r="D39" s="4">
        <v>79</v>
      </c>
      <c r="E39" s="4">
        <v>79</v>
      </c>
      <c r="F39" s="26">
        <v>0</v>
      </c>
      <c r="G39" s="26">
        <v>3.7379816791581497</v>
      </c>
      <c r="H39" s="26">
        <v>3.4743677420347923</v>
      </c>
    </row>
    <row r="40" spans="1:8" x14ac:dyDescent="0.35">
      <c r="A40" s="2">
        <v>38</v>
      </c>
      <c r="B40" s="3" t="s">
        <v>37</v>
      </c>
      <c r="C40" s="4">
        <v>0</v>
      </c>
      <c r="D40" s="4">
        <v>135</v>
      </c>
      <c r="E40" s="4">
        <v>188</v>
      </c>
      <c r="F40" s="26">
        <v>0</v>
      </c>
      <c r="G40" s="26">
        <v>8.6677874008766295E-2</v>
      </c>
      <c r="H40" s="26">
        <v>0.10856729344451625</v>
      </c>
    </row>
    <row r="41" spans="1:8" x14ac:dyDescent="0.35">
      <c r="A41" s="2">
        <v>39</v>
      </c>
      <c r="B41" s="3" t="s">
        <v>38</v>
      </c>
      <c r="C41" s="4">
        <v>0</v>
      </c>
      <c r="D41" s="4">
        <v>0</v>
      </c>
      <c r="E41" s="4">
        <v>0</v>
      </c>
      <c r="F41" s="26">
        <v>0</v>
      </c>
      <c r="G41" s="26">
        <v>0</v>
      </c>
      <c r="H41" s="26">
        <v>0</v>
      </c>
    </row>
    <row r="42" spans="1:8" x14ac:dyDescent="0.35">
      <c r="A42" s="2">
        <v>40</v>
      </c>
      <c r="B42" s="3" t="s">
        <v>39</v>
      </c>
      <c r="C42" s="4">
        <v>0</v>
      </c>
      <c r="D42" s="4">
        <v>93</v>
      </c>
      <c r="E42" s="4">
        <v>487</v>
      </c>
      <c r="F42" s="26">
        <v>0</v>
      </c>
      <c r="G42" s="26">
        <v>0.11830133027937813</v>
      </c>
      <c r="H42" s="26">
        <v>0.56590281020130995</v>
      </c>
    </row>
    <row r="43" spans="1:8" x14ac:dyDescent="0.35">
      <c r="A43" s="2">
        <v>41</v>
      </c>
      <c r="B43" s="3" t="s">
        <v>40</v>
      </c>
      <c r="C43" s="4">
        <v>0</v>
      </c>
      <c r="D43" s="4">
        <v>0</v>
      </c>
      <c r="E43" s="4">
        <v>26692</v>
      </c>
      <c r="F43" s="26">
        <v>0</v>
      </c>
      <c r="G43" s="26">
        <v>0</v>
      </c>
      <c r="H43" s="26">
        <v>4.4565484067651617</v>
      </c>
    </row>
    <row r="44" spans="1:8" x14ac:dyDescent="0.35">
      <c r="A44" s="2">
        <v>42</v>
      </c>
      <c r="B44" s="3" t="s">
        <v>41</v>
      </c>
      <c r="C44" s="4">
        <v>0</v>
      </c>
      <c r="D44" s="4">
        <v>20</v>
      </c>
      <c r="E44" s="4">
        <v>20</v>
      </c>
      <c r="F44" s="26">
        <v>0</v>
      </c>
      <c r="G44" s="26">
        <v>1.9239409390534472E-2</v>
      </c>
      <c r="H44" s="26">
        <v>1.8326491672190196E-2</v>
      </c>
    </row>
    <row r="45" spans="1:8" x14ac:dyDescent="0.35">
      <c r="A45" s="2">
        <v>43</v>
      </c>
      <c r="B45" s="3" t="s">
        <v>42</v>
      </c>
      <c r="C45" s="4">
        <v>0</v>
      </c>
      <c r="D45" s="4">
        <v>633</v>
      </c>
      <c r="E45" s="4">
        <v>633</v>
      </c>
      <c r="F45" s="26">
        <v>0</v>
      </c>
      <c r="G45" s="26">
        <v>0.10896801045225286</v>
      </c>
      <c r="H45" s="26">
        <v>9.6644544175778307E-2</v>
      </c>
    </row>
    <row r="46" spans="1:8" x14ac:dyDescent="0.35">
      <c r="A46" s="2">
        <v>44</v>
      </c>
      <c r="B46" s="3" t="s">
        <v>43</v>
      </c>
      <c r="C46" s="4">
        <v>0</v>
      </c>
      <c r="D46" s="4">
        <v>63</v>
      </c>
      <c r="E46" s="4">
        <v>1377</v>
      </c>
      <c r="F46" s="26">
        <v>0</v>
      </c>
      <c r="G46" s="26">
        <v>7.8293169144686897E-2</v>
      </c>
      <c r="H46" s="26">
        <v>1.5561610557756034</v>
      </c>
    </row>
    <row r="47" spans="1:8" x14ac:dyDescent="0.35">
      <c r="A47" s="2">
        <v>45</v>
      </c>
      <c r="B47" s="3" t="s">
        <v>44</v>
      </c>
      <c r="C47" s="4">
        <v>0</v>
      </c>
      <c r="D47" s="4">
        <v>0</v>
      </c>
      <c r="E47" s="4">
        <v>0</v>
      </c>
      <c r="F47" s="26">
        <v>0</v>
      </c>
      <c r="G47" s="26">
        <v>0</v>
      </c>
      <c r="H47" s="26">
        <v>0</v>
      </c>
    </row>
    <row r="48" spans="1:8" x14ac:dyDescent="0.35">
      <c r="A48" s="2">
        <v>46</v>
      </c>
      <c r="B48" s="3" t="s">
        <v>45</v>
      </c>
      <c r="C48" s="4">
        <v>0</v>
      </c>
      <c r="D48" s="4">
        <v>0</v>
      </c>
      <c r="E48" s="4">
        <v>0</v>
      </c>
      <c r="F48" s="26">
        <v>0</v>
      </c>
      <c r="G48" s="26">
        <v>0</v>
      </c>
      <c r="H48" s="26">
        <v>0</v>
      </c>
    </row>
    <row r="49" spans="1:8" x14ac:dyDescent="0.35">
      <c r="A49" s="2">
        <v>47</v>
      </c>
      <c r="B49" s="3" t="s">
        <v>46</v>
      </c>
      <c r="C49" s="4">
        <v>229</v>
      </c>
      <c r="D49" s="4">
        <v>414</v>
      </c>
      <c r="E49" s="4">
        <v>414</v>
      </c>
      <c r="F49" s="26">
        <v>0.16893609689672859</v>
      </c>
      <c r="G49" s="26">
        <v>0.27504314324087442</v>
      </c>
      <c r="H49" s="26">
        <v>0.25366812378783865</v>
      </c>
    </row>
    <row r="50" spans="1:8" x14ac:dyDescent="0.35">
      <c r="A50" s="2">
        <v>48</v>
      </c>
      <c r="B50" s="5" t="s">
        <v>47</v>
      </c>
      <c r="C50" s="6">
        <v>229</v>
      </c>
      <c r="D50" s="6">
        <v>31336</v>
      </c>
      <c r="E50" s="6">
        <v>65900.862458872856</v>
      </c>
      <c r="F50" s="28">
        <f>AVERAGE(F3:F49)</f>
        <v>3.5943850403559272E-3</v>
      </c>
      <c r="G50" s="28">
        <f t="shared" ref="G50:H50" si="0">AVERAGE(G3:G49)</f>
        <v>0.56998076869468761</v>
      </c>
      <c r="H50" s="28">
        <f t="shared" si="0"/>
        <v>0.71945643869701736</v>
      </c>
    </row>
  </sheetData>
  <mergeCells count="6">
    <mergeCell ref="A1:A2"/>
    <mergeCell ref="G1:G2"/>
    <mergeCell ref="H1:H2"/>
    <mergeCell ref="F1:F2"/>
    <mergeCell ref="C1:E1"/>
    <mergeCell ref="B1: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89FF-256F-4581-BF64-D705677109CF}">
  <dimension ref="A1:H50"/>
  <sheetViews>
    <sheetView workbookViewId="0">
      <selection sqref="A1:H50"/>
    </sheetView>
  </sheetViews>
  <sheetFormatPr defaultRowHeight="14.5" x14ac:dyDescent="0.35"/>
  <cols>
    <col min="1" max="1" width="8.7265625" style="20"/>
    <col min="2" max="2" width="18.54296875" bestFit="1" customWidth="1"/>
  </cols>
  <sheetData>
    <row r="1" spans="1:8" x14ac:dyDescent="0.35">
      <c r="A1" s="215" t="s">
        <v>52</v>
      </c>
      <c r="B1" s="217" t="s">
        <v>48</v>
      </c>
      <c r="C1" s="218" t="s">
        <v>74</v>
      </c>
      <c r="D1" s="218"/>
      <c r="E1" s="218"/>
      <c r="F1" s="216" t="s">
        <v>91</v>
      </c>
      <c r="G1" s="216" t="s">
        <v>92</v>
      </c>
      <c r="H1" s="216" t="s">
        <v>93</v>
      </c>
    </row>
    <row r="2" spans="1:8" ht="56.5" customHeight="1" x14ac:dyDescent="0.35">
      <c r="A2" s="215"/>
      <c r="B2" s="217"/>
      <c r="C2" s="11">
        <v>2013</v>
      </c>
      <c r="D2" s="11">
        <v>2018</v>
      </c>
      <c r="E2" s="11" t="s">
        <v>51</v>
      </c>
      <c r="F2" s="216"/>
      <c r="G2" s="216"/>
      <c r="H2" s="216"/>
    </row>
    <row r="3" spans="1:8" x14ac:dyDescent="0.35">
      <c r="A3" s="21">
        <v>1</v>
      </c>
      <c r="B3" s="3" t="s">
        <v>0</v>
      </c>
      <c r="C3" s="4">
        <v>0</v>
      </c>
      <c r="D3" s="4">
        <v>836</v>
      </c>
      <c r="E3" s="4">
        <v>836</v>
      </c>
      <c r="F3" s="26">
        <v>0</v>
      </c>
      <c r="G3" s="26">
        <v>0.19939415184107939</v>
      </c>
      <c r="H3" s="26">
        <v>0.18617816426325723</v>
      </c>
    </row>
    <row r="4" spans="1:8" x14ac:dyDescent="0.35">
      <c r="A4" s="21">
        <v>2</v>
      </c>
      <c r="B4" s="3" t="s">
        <v>1</v>
      </c>
      <c r="C4" s="4">
        <v>0</v>
      </c>
      <c r="D4" s="4">
        <v>75</v>
      </c>
      <c r="E4" s="4">
        <v>75</v>
      </c>
      <c r="F4" s="26">
        <v>0</v>
      </c>
      <c r="G4" s="26">
        <v>2.3981940255998577E-2</v>
      </c>
      <c r="H4" s="26">
        <v>2.107393503501517E-2</v>
      </c>
    </row>
    <row r="5" spans="1:8" x14ac:dyDescent="0.35">
      <c r="A5" s="21">
        <v>3</v>
      </c>
      <c r="B5" s="3" t="s">
        <v>2</v>
      </c>
      <c r="C5" s="4">
        <v>0</v>
      </c>
      <c r="D5" s="4">
        <v>15</v>
      </c>
      <c r="E5" s="4">
        <v>15</v>
      </c>
      <c r="F5" s="26">
        <v>0</v>
      </c>
      <c r="G5" s="26">
        <v>1.2562094958801985E-2</v>
      </c>
      <c r="H5" s="26">
        <v>1.123354510313293E-2</v>
      </c>
    </row>
    <row r="6" spans="1:8" x14ac:dyDescent="0.35">
      <c r="A6" s="21">
        <v>4</v>
      </c>
      <c r="B6" s="3" t="s">
        <v>3</v>
      </c>
      <c r="C6" s="4">
        <v>0</v>
      </c>
      <c r="D6" s="4">
        <v>27</v>
      </c>
      <c r="E6" s="4">
        <v>33</v>
      </c>
      <c r="F6" s="26">
        <v>0</v>
      </c>
      <c r="G6" s="26">
        <v>0.11014076193339464</v>
      </c>
      <c r="H6" s="26">
        <v>0.12546116482707642</v>
      </c>
    </row>
    <row r="7" spans="1:8" x14ac:dyDescent="0.35">
      <c r="A7" s="21">
        <v>5</v>
      </c>
      <c r="B7" s="3" t="s">
        <v>4</v>
      </c>
      <c r="C7" s="4">
        <v>0</v>
      </c>
      <c r="D7" s="4">
        <v>3</v>
      </c>
      <c r="E7" s="4">
        <v>14</v>
      </c>
      <c r="F7" s="26">
        <v>0</v>
      </c>
      <c r="G7" s="26">
        <v>1.471113004379062E-3</v>
      </c>
      <c r="H7" s="26">
        <v>6.1745377763072554E-3</v>
      </c>
    </row>
    <row r="8" spans="1:8" x14ac:dyDescent="0.35">
      <c r="A8" s="21">
        <v>6</v>
      </c>
      <c r="B8" s="3" t="s">
        <v>5</v>
      </c>
      <c r="C8" s="4">
        <v>0</v>
      </c>
      <c r="D8" s="4">
        <v>0</v>
      </c>
      <c r="E8" s="4">
        <v>0</v>
      </c>
      <c r="F8" s="26">
        <v>0</v>
      </c>
      <c r="G8" s="26">
        <v>0</v>
      </c>
      <c r="H8" s="26">
        <v>0</v>
      </c>
    </row>
    <row r="9" spans="1:8" x14ac:dyDescent="0.35">
      <c r="A9" s="21">
        <v>7</v>
      </c>
      <c r="B9" s="3" t="s">
        <v>6</v>
      </c>
      <c r="C9" s="4">
        <v>0</v>
      </c>
      <c r="D9" s="4">
        <v>0</v>
      </c>
      <c r="E9" s="4">
        <v>19</v>
      </c>
      <c r="F9" s="26">
        <v>0</v>
      </c>
      <c r="G9" s="26">
        <v>0</v>
      </c>
      <c r="H9" s="26">
        <v>6.8064895148805381E-3</v>
      </c>
    </row>
    <row r="10" spans="1:8" x14ac:dyDescent="0.35">
      <c r="A10" s="21">
        <v>8</v>
      </c>
      <c r="B10" s="3" t="s">
        <v>7</v>
      </c>
      <c r="C10" s="4">
        <v>0</v>
      </c>
      <c r="D10" s="4">
        <v>20</v>
      </c>
      <c r="E10" s="4">
        <v>20</v>
      </c>
      <c r="F10" s="26">
        <v>0</v>
      </c>
      <c r="G10" s="26">
        <v>0.35013913653938233</v>
      </c>
      <c r="H10" s="26">
        <v>0.33718312162448077</v>
      </c>
    </row>
    <row r="11" spans="1:8" x14ac:dyDescent="0.35">
      <c r="A11" s="21">
        <v>9</v>
      </c>
      <c r="B11" s="3" t="s">
        <v>8</v>
      </c>
      <c r="C11" s="4">
        <v>0</v>
      </c>
      <c r="D11" s="4">
        <v>1</v>
      </c>
      <c r="E11" s="4">
        <v>1</v>
      </c>
      <c r="F11" s="26">
        <v>0</v>
      </c>
      <c r="G11" s="26">
        <v>1.9627932903874164E-3</v>
      </c>
      <c r="H11" s="26">
        <v>1.7923898175409884E-3</v>
      </c>
    </row>
    <row r="12" spans="1:8" x14ac:dyDescent="0.35">
      <c r="A12" s="21">
        <v>10</v>
      </c>
      <c r="B12" s="3" t="s">
        <v>9</v>
      </c>
      <c r="C12" s="4">
        <v>0</v>
      </c>
      <c r="D12" s="4">
        <v>0</v>
      </c>
      <c r="E12" s="4">
        <v>11</v>
      </c>
      <c r="F12" s="26">
        <v>0</v>
      </c>
      <c r="G12" s="26">
        <v>0</v>
      </c>
      <c r="H12" s="26">
        <v>6.206514024224982E-3</v>
      </c>
    </row>
    <row r="13" spans="1:8" x14ac:dyDescent="0.35">
      <c r="A13" s="21">
        <v>11</v>
      </c>
      <c r="B13" s="3" t="s">
        <v>10</v>
      </c>
      <c r="C13" s="4">
        <v>0</v>
      </c>
      <c r="D13" s="4">
        <v>0</v>
      </c>
      <c r="E13" s="4">
        <v>0</v>
      </c>
      <c r="F13" s="26">
        <v>0</v>
      </c>
      <c r="G13" s="26">
        <v>0</v>
      </c>
      <c r="H13" s="26">
        <v>0</v>
      </c>
    </row>
    <row r="14" spans="1:8" x14ac:dyDescent="0.35">
      <c r="A14" s="21">
        <v>12</v>
      </c>
      <c r="B14" s="3" t="s">
        <v>11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5">
      <c r="A15" s="21">
        <v>13</v>
      </c>
      <c r="B15" s="3" t="s">
        <v>12</v>
      </c>
      <c r="C15" s="4">
        <v>190</v>
      </c>
      <c r="D15" s="4">
        <v>40</v>
      </c>
      <c r="E15" s="4">
        <v>40</v>
      </c>
      <c r="F15" s="26">
        <v>8.4559943932306647E-2</v>
      </c>
      <c r="G15" s="26">
        <v>1.5689973344108165E-2</v>
      </c>
      <c r="H15" s="26">
        <v>1.4204271810459615E-2</v>
      </c>
    </row>
    <row r="16" spans="1:8" x14ac:dyDescent="0.35">
      <c r="A16" s="21">
        <v>14</v>
      </c>
      <c r="B16" s="3" t="s">
        <v>13</v>
      </c>
      <c r="C16" s="4">
        <v>0</v>
      </c>
      <c r="D16" s="4">
        <v>0</v>
      </c>
      <c r="E16" s="4">
        <v>0</v>
      </c>
      <c r="F16" s="26">
        <v>0</v>
      </c>
      <c r="G16" s="26">
        <v>0</v>
      </c>
      <c r="H16" s="26">
        <v>0</v>
      </c>
    </row>
    <row r="17" spans="1:8" x14ac:dyDescent="0.35">
      <c r="A17" s="21">
        <v>15</v>
      </c>
      <c r="B17" s="3" t="s">
        <v>14</v>
      </c>
      <c r="C17" s="4">
        <v>0</v>
      </c>
      <c r="D17" s="4">
        <v>5</v>
      </c>
      <c r="E17" s="4">
        <v>5</v>
      </c>
      <c r="F17" s="26">
        <v>0</v>
      </c>
      <c r="G17" s="26">
        <v>3.3286920270835692E-2</v>
      </c>
      <c r="H17" s="26">
        <v>2.9852385922092436E-2</v>
      </c>
    </row>
    <row r="18" spans="1:8" x14ac:dyDescent="0.35">
      <c r="A18" s="21">
        <v>16</v>
      </c>
      <c r="B18" s="3" t="s">
        <v>15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5">
      <c r="A19" s="21">
        <v>17</v>
      </c>
      <c r="B19" s="3" t="s">
        <v>16</v>
      </c>
      <c r="C19" s="4">
        <v>0</v>
      </c>
      <c r="D19" s="4">
        <v>3</v>
      </c>
      <c r="E19" s="4">
        <v>3</v>
      </c>
      <c r="F19" s="26">
        <v>0</v>
      </c>
      <c r="G19" s="26">
        <v>2.5852541412539776E-2</v>
      </c>
      <c r="H19" s="26">
        <v>2.4965246296717786E-2</v>
      </c>
    </row>
    <row r="20" spans="1:8" x14ac:dyDescent="0.35">
      <c r="A20" s="21">
        <v>18</v>
      </c>
      <c r="B20" s="3" t="s">
        <v>17</v>
      </c>
      <c r="C20" s="4">
        <v>0</v>
      </c>
      <c r="D20" s="4">
        <v>52</v>
      </c>
      <c r="E20" s="4">
        <v>130</v>
      </c>
      <c r="F20" s="26">
        <v>0</v>
      </c>
      <c r="G20" s="26">
        <v>4.6792281987424423E-3</v>
      </c>
      <c r="H20" s="26">
        <v>1.0536560184067867E-2</v>
      </c>
    </row>
    <row r="21" spans="1:8" x14ac:dyDescent="0.35">
      <c r="A21" s="21">
        <v>19</v>
      </c>
      <c r="B21" s="3" t="s">
        <v>18</v>
      </c>
      <c r="C21" s="4">
        <v>0</v>
      </c>
      <c r="D21" s="4">
        <v>46</v>
      </c>
      <c r="E21" s="4">
        <v>18.88641522612188</v>
      </c>
      <c r="F21" s="26">
        <v>0</v>
      </c>
      <c r="G21" s="26">
        <v>0.20985291363663011</v>
      </c>
      <c r="H21" s="26">
        <v>7.9055983750982384E-2</v>
      </c>
    </row>
    <row r="22" spans="1:8" x14ac:dyDescent="0.35">
      <c r="A22" s="21">
        <v>20</v>
      </c>
      <c r="B22" s="3" t="s">
        <v>19</v>
      </c>
      <c r="C22" s="4">
        <v>3</v>
      </c>
      <c r="D22" s="4">
        <v>7</v>
      </c>
      <c r="E22" s="4">
        <v>6.1085626911314987</v>
      </c>
      <c r="F22" s="26">
        <v>1.4118514101689539E-2</v>
      </c>
      <c r="G22" s="26">
        <v>2.8630846342133282E-2</v>
      </c>
      <c r="H22" s="26">
        <v>2.2574208242786747E-2</v>
      </c>
    </row>
    <row r="23" spans="1:8" x14ac:dyDescent="0.35">
      <c r="A23" s="21">
        <v>21</v>
      </c>
      <c r="B23" s="3" t="s">
        <v>20</v>
      </c>
      <c r="C23" s="4">
        <v>0</v>
      </c>
      <c r="D23" s="4">
        <v>167</v>
      </c>
      <c r="E23" s="4">
        <v>1550</v>
      </c>
      <c r="F23" s="26">
        <v>0</v>
      </c>
      <c r="G23" s="26">
        <v>5.4096707193360627E-2</v>
      </c>
      <c r="H23" s="26">
        <v>0.46302007292088176</v>
      </c>
    </row>
    <row r="24" spans="1:8" x14ac:dyDescent="0.35">
      <c r="A24" s="21">
        <v>22</v>
      </c>
      <c r="B24" s="3" t="s">
        <v>21</v>
      </c>
      <c r="C24" s="4">
        <v>0</v>
      </c>
      <c r="D24" s="4">
        <v>0</v>
      </c>
      <c r="E24" s="4">
        <v>0</v>
      </c>
      <c r="F24" s="26">
        <v>0</v>
      </c>
      <c r="G24" s="26">
        <v>0</v>
      </c>
      <c r="H24" s="26">
        <v>0</v>
      </c>
    </row>
    <row r="25" spans="1:8" x14ac:dyDescent="0.35">
      <c r="A25" s="21">
        <v>23</v>
      </c>
      <c r="B25" s="3" t="s">
        <v>22</v>
      </c>
      <c r="C25" s="4">
        <v>0</v>
      </c>
      <c r="D25" s="4">
        <v>5</v>
      </c>
      <c r="E25" s="4">
        <v>2.4240811153358681</v>
      </c>
      <c r="F25" s="26">
        <v>0</v>
      </c>
      <c r="G25" s="26">
        <v>2.5974639920060463E-2</v>
      </c>
      <c r="H25" s="26">
        <v>1.1512731925631708E-2</v>
      </c>
    </row>
    <row r="26" spans="1:8" x14ac:dyDescent="0.35">
      <c r="A26" s="21">
        <v>24</v>
      </c>
      <c r="B26" s="3" t="s">
        <v>23</v>
      </c>
      <c r="C26" s="4">
        <v>0</v>
      </c>
      <c r="D26" s="4">
        <v>468</v>
      </c>
      <c r="E26" s="4">
        <v>987</v>
      </c>
      <c r="F26" s="26">
        <v>0</v>
      </c>
      <c r="G26" s="26">
        <v>9.3687496626849762E-2</v>
      </c>
      <c r="H26" s="26">
        <v>0.1826847878377168</v>
      </c>
    </row>
    <row r="27" spans="1:8" x14ac:dyDescent="0.35">
      <c r="A27" s="21">
        <v>25</v>
      </c>
      <c r="B27" s="3" t="s">
        <v>24</v>
      </c>
      <c r="C27" s="4">
        <v>0</v>
      </c>
      <c r="D27" s="4">
        <v>10</v>
      </c>
      <c r="E27" s="4">
        <v>13</v>
      </c>
      <c r="F27" s="26">
        <v>0</v>
      </c>
      <c r="G27" s="26">
        <v>4.5495553492079455E-2</v>
      </c>
      <c r="H27" s="26">
        <v>5.6378941077718105E-2</v>
      </c>
    </row>
    <row r="28" spans="1:8" x14ac:dyDescent="0.35">
      <c r="A28" s="21">
        <v>26</v>
      </c>
      <c r="B28" s="3" t="s">
        <v>25</v>
      </c>
      <c r="C28" s="4">
        <v>0</v>
      </c>
      <c r="D28" s="4">
        <v>0</v>
      </c>
      <c r="E28" s="4">
        <v>0</v>
      </c>
      <c r="F28" s="26">
        <v>0</v>
      </c>
      <c r="G28" s="26">
        <v>0</v>
      </c>
      <c r="H28" s="26">
        <v>0</v>
      </c>
    </row>
    <row r="29" spans="1:8" x14ac:dyDescent="0.35">
      <c r="A29" s="21">
        <v>27</v>
      </c>
      <c r="B29" s="3" t="s">
        <v>26</v>
      </c>
      <c r="C29" s="4">
        <v>0</v>
      </c>
      <c r="D29" s="4">
        <v>52</v>
      </c>
      <c r="E29" s="4">
        <v>13.375262199878652</v>
      </c>
      <c r="F29" s="26">
        <v>0</v>
      </c>
      <c r="G29" s="26">
        <v>1.9369348177852783E-2</v>
      </c>
      <c r="H29" s="26">
        <v>4.516882136535106E-3</v>
      </c>
    </row>
    <row r="30" spans="1:8" x14ac:dyDescent="0.35">
      <c r="A30" s="21">
        <v>28</v>
      </c>
      <c r="B30" s="3" t="s">
        <v>27</v>
      </c>
      <c r="C30" s="4">
        <v>0</v>
      </c>
      <c r="D30" s="4">
        <v>0</v>
      </c>
      <c r="E30" s="4">
        <v>12</v>
      </c>
      <c r="F30" s="26">
        <v>0</v>
      </c>
      <c r="G30" s="26">
        <v>0</v>
      </c>
      <c r="H30" s="26">
        <v>5.8808203244482826E-3</v>
      </c>
    </row>
    <row r="31" spans="1:8" x14ac:dyDescent="0.35">
      <c r="A31" s="21">
        <v>29</v>
      </c>
      <c r="B31" s="3" t="s">
        <v>28</v>
      </c>
      <c r="C31" s="4">
        <v>0</v>
      </c>
      <c r="D31" s="4">
        <v>15</v>
      </c>
      <c r="E31" s="4">
        <v>15</v>
      </c>
      <c r="F31" s="26">
        <v>0</v>
      </c>
      <c r="G31" s="26">
        <v>7.5247194558845246E-3</v>
      </c>
      <c r="H31" s="26">
        <v>6.6390510175883665E-3</v>
      </c>
    </row>
    <row r="32" spans="1:8" x14ac:dyDescent="0.35">
      <c r="A32" s="21">
        <v>30</v>
      </c>
      <c r="B32" s="3" t="s">
        <v>29</v>
      </c>
      <c r="C32" s="4">
        <v>0</v>
      </c>
      <c r="D32" s="4">
        <v>9</v>
      </c>
      <c r="E32" s="4">
        <v>9</v>
      </c>
      <c r="F32" s="26">
        <v>0</v>
      </c>
      <c r="G32" s="26">
        <v>2.1073771899600351E-2</v>
      </c>
      <c r="H32" s="26">
        <v>1.9002820652012118E-2</v>
      </c>
    </row>
    <row r="33" spans="1:8" x14ac:dyDescent="0.35">
      <c r="A33" s="21">
        <v>31</v>
      </c>
      <c r="B33" s="3" t="s">
        <v>30</v>
      </c>
      <c r="C33" s="4">
        <v>0</v>
      </c>
      <c r="D33" s="4">
        <v>12</v>
      </c>
      <c r="E33" s="4">
        <v>15</v>
      </c>
      <c r="F33" s="26">
        <v>0</v>
      </c>
      <c r="G33" s="26">
        <v>9.2636802362855999E-2</v>
      </c>
      <c r="H33" s="26">
        <v>0.11543176482086157</v>
      </c>
    </row>
    <row r="34" spans="1:8" x14ac:dyDescent="0.35">
      <c r="A34" s="21">
        <v>32</v>
      </c>
      <c r="B34" s="3" t="s">
        <v>31</v>
      </c>
      <c r="C34" s="4">
        <v>44</v>
      </c>
      <c r="D34" s="4">
        <v>304</v>
      </c>
      <c r="E34" s="4">
        <v>82.749502391069896</v>
      </c>
      <c r="F34" s="26">
        <v>1.74245480438549E-2</v>
      </c>
      <c r="G34" s="26">
        <v>0.10331744674652599</v>
      </c>
      <c r="H34" s="26">
        <v>2.5098790081229082E-2</v>
      </c>
    </row>
    <row r="35" spans="1:8" x14ac:dyDescent="0.35">
      <c r="A35" s="21">
        <v>33</v>
      </c>
      <c r="B35" s="3" t="s">
        <v>32</v>
      </c>
      <c r="C35" s="4">
        <v>0</v>
      </c>
      <c r="D35" s="4">
        <v>470</v>
      </c>
      <c r="E35" s="4">
        <v>15.147815912636506</v>
      </c>
      <c r="F35" s="26">
        <v>0</v>
      </c>
      <c r="G35" s="26">
        <v>1.9537091479936755</v>
      </c>
      <c r="H35" s="26">
        <v>5.9009513637493037E-2</v>
      </c>
    </row>
    <row r="36" spans="1:8" x14ac:dyDescent="0.35">
      <c r="A36" s="21">
        <v>34</v>
      </c>
      <c r="B36" s="3" t="s">
        <v>33</v>
      </c>
      <c r="C36" s="4">
        <v>0</v>
      </c>
      <c r="D36" s="4">
        <v>11</v>
      </c>
      <c r="E36" s="4">
        <v>6.895791865922491</v>
      </c>
      <c r="F36" s="26">
        <v>0</v>
      </c>
      <c r="G36" s="26">
        <v>4.8722025695287679E-3</v>
      </c>
      <c r="H36" s="26">
        <v>2.6311805743272441E-3</v>
      </c>
    </row>
    <row r="37" spans="1:8" x14ac:dyDescent="0.35">
      <c r="A37" s="21">
        <v>35</v>
      </c>
      <c r="B37" s="3" t="s">
        <v>34</v>
      </c>
      <c r="C37" s="4">
        <v>0</v>
      </c>
      <c r="D37" s="4">
        <v>6165</v>
      </c>
      <c r="E37" s="4">
        <v>321.80362040971625</v>
      </c>
      <c r="F37" s="26">
        <v>0</v>
      </c>
      <c r="G37" s="26">
        <v>0.3107552724930947</v>
      </c>
      <c r="H37" s="26">
        <v>1.4725077169699693E-2</v>
      </c>
    </row>
    <row r="38" spans="1:8" x14ac:dyDescent="0.35">
      <c r="A38" s="21">
        <v>36</v>
      </c>
      <c r="B38" s="3" t="s">
        <v>35</v>
      </c>
      <c r="C38" s="4">
        <v>23</v>
      </c>
      <c r="D38" s="4">
        <v>0</v>
      </c>
      <c r="E38" s="4">
        <v>0</v>
      </c>
      <c r="F38" s="26">
        <v>2.0718201872664228E-2</v>
      </c>
      <c r="G38" s="26">
        <v>0</v>
      </c>
      <c r="H38" s="26">
        <v>0</v>
      </c>
    </row>
    <row r="39" spans="1:8" x14ac:dyDescent="0.35">
      <c r="A39" s="21">
        <v>37</v>
      </c>
      <c r="B39" s="3" t="s">
        <v>36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5">
      <c r="A40" s="21">
        <v>38</v>
      </c>
      <c r="B40" s="3" t="s">
        <v>37</v>
      </c>
      <c r="C40" s="4">
        <v>0</v>
      </c>
      <c r="D40" s="4">
        <v>100</v>
      </c>
      <c r="E40" s="4">
        <v>17.556185826093202</v>
      </c>
      <c r="F40" s="26">
        <v>0</v>
      </c>
      <c r="G40" s="26">
        <v>6.4205832599086146E-2</v>
      </c>
      <c r="H40" s="26">
        <v>1.0138444565680414E-2</v>
      </c>
    </row>
    <row r="41" spans="1:8" x14ac:dyDescent="0.35">
      <c r="A41" s="21">
        <v>39</v>
      </c>
      <c r="B41" s="3" t="s">
        <v>38</v>
      </c>
      <c r="C41" s="4">
        <v>0</v>
      </c>
      <c r="D41" s="4">
        <v>2</v>
      </c>
      <c r="E41" s="4">
        <v>11</v>
      </c>
      <c r="F41" s="26">
        <v>0</v>
      </c>
      <c r="G41" s="26">
        <v>0.1939845394322072</v>
      </c>
      <c r="H41" s="26">
        <v>1.0269001152928765</v>
      </c>
    </row>
    <row r="42" spans="1:8" x14ac:dyDescent="0.35">
      <c r="A42" s="21">
        <v>40</v>
      </c>
      <c r="B42" s="3" t="s">
        <v>39</v>
      </c>
      <c r="C42" s="4">
        <v>0</v>
      </c>
      <c r="D42" s="4">
        <v>128</v>
      </c>
      <c r="E42" s="4">
        <v>14.940882376165398</v>
      </c>
      <c r="F42" s="26">
        <v>0</v>
      </c>
      <c r="G42" s="26">
        <v>0.16282333629849893</v>
      </c>
      <c r="H42" s="26">
        <v>1.7361575613057956E-2</v>
      </c>
    </row>
    <row r="43" spans="1:8" x14ac:dyDescent="0.35">
      <c r="A43" s="21">
        <v>41</v>
      </c>
      <c r="B43" s="3" t="s">
        <v>40</v>
      </c>
      <c r="C43" s="4">
        <v>0</v>
      </c>
      <c r="D43" s="4">
        <v>3330</v>
      </c>
      <c r="E43" s="4">
        <v>482.20032365440028</v>
      </c>
      <c r="F43" s="26">
        <v>0</v>
      </c>
      <c r="G43" s="26">
        <v>0.5807501216218065</v>
      </c>
      <c r="H43" s="26">
        <v>8.0509107002984512E-2</v>
      </c>
    </row>
    <row r="44" spans="1:8" x14ac:dyDescent="0.35">
      <c r="A44" s="21">
        <v>42</v>
      </c>
      <c r="B44" s="3" t="s">
        <v>41</v>
      </c>
      <c r="C44" s="4">
        <v>0</v>
      </c>
      <c r="D44" s="4">
        <v>21</v>
      </c>
      <c r="E44" s="4">
        <v>21</v>
      </c>
      <c r="F44" s="26">
        <v>0</v>
      </c>
      <c r="G44" s="26">
        <v>2.0201379860061194E-2</v>
      </c>
      <c r="H44" s="26">
        <v>1.9242816255799704E-2</v>
      </c>
    </row>
    <row r="45" spans="1:8" x14ac:dyDescent="0.35">
      <c r="A45" s="21">
        <v>43</v>
      </c>
      <c r="B45" s="3" t="s">
        <v>42</v>
      </c>
      <c r="C45" s="4">
        <v>60</v>
      </c>
      <c r="D45" s="4">
        <v>89</v>
      </c>
      <c r="E45" s="4">
        <v>15.546027645505195</v>
      </c>
      <c r="F45" s="26">
        <v>1.2181839907945084E-2</v>
      </c>
      <c r="G45" s="26">
        <v>1.5320936698657986E-2</v>
      </c>
      <c r="H45" s="26">
        <v>2.3735209408276424E-3</v>
      </c>
    </row>
    <row r="46" spans="1:8" x14ac:dyDescent="0.35">
      <c r="A46" s="21">
        <v>44</v>
      </c>
      <c r="B46" s="3" t="s">
        <v>43</v>
      </c>
      <c r="C46" s="4">
        <v>0</v>
      </c>
      <c r="D46" s="4">
        <v>55</v>
      </c>
      <c r="E46" s="4">
        <v>22.968272819816764</v>
      </c>
      <c r="F46" s="26">
        <v>0</v>
      </c>
      <c r="G46" s="26">
        <v>6.8351179412028243E-2</v>
      </c>
      <c r="H46" s="26">
        <v>2.5956667887166409E-2</v>
      </c>
    </row>
    <row r="47" spans="1:8" x14ac:dyDescent="0.35">
      <c r="A47" s="21">
        <v>45</v>
      </c>
      <c r="B47" s="3" t="s">
        <v>44</v>
      </c>
      <c r="C47" s="4">
        <v>227</v>
      </c>
      <c r="D47" s="4">
        <v>30</v>
      </c>
      <c r="E47" s="4">
        <v>1282</v>
      </c>
      <c r="F47" s="26">
        <v>6.4354132570080103E-2</v>
      </c>
      <c r="G47" s="26">
        <v>7.2262349906582818E-3</v>
      </c>
      <c r="H47" s="26">
        <v>0.27132513439006939</v>
      </c>
    </row>
    <row r="48" spans="1:8" x14ac:dyDescent="0.35">
      <c r="A48" s="21">
        <v>46</v>
      </c>
      <c r="B48" s="3" t="s">
        <v>45</v>
      </c>
      <c r="C48" s="4">
        <v>53</v>
      </c>
      <c r="D48" s="4">
        <v>0</v>
      </c>
      <c r="E48" s="4">
        <v>28</v>
      </c>
      <c r="F48" s="26">
        <v>3.4788371179580481E-2</v>
      </c>
      <c r="G48" s="26">
        <v>0</v>
      </c>
      <c r="H48" s="26">
        <v>1.3987638424542308E-2</v>
      </c>
    </row>
    <row r="49" spans="1:8" x14ac:dyDescent="0.35">
      <c r="A49" s="21">
        <v>47</v>
      </c>
      <c r="B49" s="3" t="s">
        <v>46</v>
      </c>
      <c r="C49" s="4">
        <v>26</v>
      </c>
      <c r="D49" s="4">
        <v>40</v>
      </c>
      <c r="E49" s="4">
        <v>318</v>
      </c>
      <c r="F49" s="26">
        <v>1.918051755159364E-2</v>
      </c>
      <c r="G49" s="26">
        <v>2.6574216738248734E-2</v>
      </c>
      <c r="H49" s="26">
        <v>0.194846529866021</v>
      </c>
    </row>
    <row r="50" spans="1:8" x14ac:dyDescent="0.35">
      <c r="A50" s="21">
        <v>48</v>
      </c>
      <c r="B50" s="5" t="s">
        <v>47</v>
      </c>
      <c r="C50" s="6">
        <v>626</v>
      </c>
      <c r="D50" s="6">
        <v>12613</v>
      </c>
      <c r="E50" s="6">
        <v>6483.6027441337947</v>
      </c>
      <c r="F50" s="28">
        <f>AVERAGE(F3:F49)</f>
        <v>5.6877887055258435E-3</v>
      </c>
      <c r="G50" s="28">
        <f t="shared" ref="G50:H50" si="0">AVERAGE(G3:G49)</f>
        <v>0.1040339425874688</v>
      </c>
      <c r="H50" s="28">
        <f t="shared" si="0"/>
        <v>7.4733457502301953E-2</v>
      </c>
    </row>
  </sheetData>
  <mergeCells count="6">
    <mergeCell ref="A1:A2"/>
    <mergeCell ref="H1:H2"/>
    <mergeCell ref="G1:G2"/>
    <mergeCell ref="F1:F2"/>
    <mergeCell ref="C1:E1"/>
    <mergeCell ref="B1: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5097-70AA-411A-882A-26971C2177E0}">
  <dimension ref="A2:H51"/>
  <sheetViews>
    <sheetView workbookViewId="0">
      <selection activeCell="A2" sqref="A2:H51"/>
    </sheetView>
  </sheetViews>
  <sheetFormatPr defaultRowHeight="14" x14ac:dyDescent="0.3"/>
  <cols>
    <col min="1" max="1" width="4.54296875" style="16" bestFit="1" customWidth="1"/>
    <col min="2" max="2" width="18.54296875" style="16" bestFit="1" customWidth="1"/>
    <col min="3" max="16384" width="8.7265625" style="16"/>
  </cols>
  <sheetData>
    <row r="2" spans="1:8" ht="14.5" customHeight="1" x14ac:dyDescent="0.3">
      <c r="A2" s="215" t="s">
        <v>52</v>
      </c>
      <c r="B2" s="217" t="s">
        <v>48</v>
      </c>
      <c r="C2" s="196" t="s">
        <v>75</v>
      </c>
      <c r="D2" s="196"/>
      <c r="E2" s="196"/>
      <c r="F2" s="216" t="s">
        <v>91</v>
      </c>
      <c r="G2" s="216" t="s">
        <v>92</v>
      </c>
      <c r="H2" s="216" t="s">
        <v>93</v>
      </c>
    </row>
    <row r="3" spans="1:8" ht="28" x14ac:dyDescent="0.3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">
      <c r="A4" s="2">
        <v>1</v>
      </c>
      <c r="B4" s="3" t="s">
        <v>0</v>
      </c>
      <c r="C4" s="4">
        <v>0</v>
      </c>
      <c r="D4" s="4">
        <v>136</v>
      </c>
      <c r="E4" s="4">
        <v>136</v>
      </c>
      <c r="F4" s="26">
        <v>0</v>
      </c>
      <c r="G4" s="26">
        <v>3.243732613682631E-2</v>
      </c>
      <c r="H4" s="26">
        <v>3.0287356865793043E-2</v>
      </c>
    </row>
    <row r="5" spans="1:8" x14ac:dyDescent="0.3">
      <c r="A5" s="2">
        <v>2</v>
      </c>
      <c r="B5" s="3" t="s">
        <v>1</v>
      </c>
      <c r="C5" s="4">
        <v>0</v>
      </c>
      <c r="D5" s="4">
        <v>468</v>
      </c>
      <c r="E5" s="4">
        <v>13.346733297682052</v>
      </c>
      <c r="F5" s="26">
        <v>0</v>
      </c>
      <c r="G5" s="26">
        <v>0.14964730719743111</v>
      </c>
      <c r="H5" s="26">
        <v>3.7502425392670047E-3</v>
      </c>
    </row>
    <row r="6" spans="1:8" x14ac:dyDescent="0.3">
      <c r="A6" s="2">
        <v>3</v>
      </c>
      <c r="B6" s="3" t="s">
        <v>2</v>
      </c>
      <c r="C6" s="4">
        <v>0</v>
      </c>
      <c r="D6" s="4">
        <v>668</v>
      </c>
      <c r="E6" s="4">
        <v>668</v>
      </c>
      <c r="F6" s="26">
        <v>0</v>
      </c>
      <c r="G6" s="26">
        <v>0.5594319621653151</v>
      </c>
      <c r="H6" s="26">
        <v>0.50026720859285323</v>
      </c>
    </row>
    <row r="7" spans="1:8" x14ac:dyDescent="0.3">
      <c r="A7" s="2">
        <v>4</v>
      </c>
      <c r="B7" s="3" t="s">
        <v>3</v>
      </c>
      <c r="C7" s="4">
        <v>0</v>
      </c>
      <c r="D7" s="4">
        <v>160</v>
      </c>
      <c r="E7" s="4">
        <v>191</v>
      </c>
      <c r="F7" s="26">
        <v>0</v>
      </c>
      <c r="G7" s="26">
        <v>0.65268599664233862</v>
      </c>
      <c r="H7" s="26">
        <v>0.72615401460519979</v>
      </c>
    </row>
    <row r="8" spans="1:8" x14ac:dyDescent="0.3">
      <c r="A8" s="2">
        <v>5</v>
      </c>
      <c r="B8" s="3" t="s">
        <v>4</v>
      </c>
      <c r="C8" s="4">
        <v>0</v>
      </c>
      <c r="D8" s="4">
        <v>648</v>
      </c>
      <c r="E8" s="4">
        <v>899</v>
      </c>
      <c r="F8" s="26">
        <v>0</v>
      </c>
      <c r="G8" s="26">
        <v>0.31776040894587743</v>
      </c>
      <c r="H8" s="26">
        <v>0.39649353292144451</v>
      </c>
    </row>
    <row r="9" spans="1:8" x14ac:dyDescent="0.3">
      <c r="A9" s="2">
        <v>6</v>
      </c>
      <c r="B9" s="3" t="s">
        <v>5</v>
      </c>
      <c r="C9" s="4">
        <v>0</v>
      </c>
      <c r="D9" s="4">
        <v>1071</v>
      </c>
      <c r="E9" s="4">
        <v>1071</v>
      </c>
      <c r="F9" s="26">
        <v>0</v>
      </c>
      <c r="G9" s="26">
        <v>0.93183326448991</v>
      </c>
      <c r="H9" s="26">
        <v>0.8309039478527479</v>
      </c>
    </row>
    <row r="10" spans="1:8" x14ac:dyDescent="0.3">
      <c r="A10" s="2">
        <v>7</v>
      </c>
      <c r="B10" s="3" t="s">
        <v>6</v>
      </c>
      <c r="C10" s="4">
        <v>0</v>
      </c>
      <c r="D10" s="4">
        <v>241</v>
      </c>
      <c r="E10" s="4">
        <v>293</v>
      </c>
      <c r="F10" s="26">
        <v>0</v>
      </c>
      <c r="G10" s="26">
        <v>9.6104971193132993E-2</v>
      </c>
      <c r="H10" s="26">
        <v>0.10496323304526303</v>
      </c>
    </row>
    <row r="11" spans="1:8" x14ac:dyDescent="0.3">
      <c r="A11" s="2">
        <v>8</v>
      </c>
      <c r="B11" s="3" t="s">
        <v>7</v>
      </c>
      <c r="C11" s="4">
        <v>0</v>
      </c>
      <c r="D11" s="4">
        <v>65</v>
      </c>
      <c r="E11" s="4">
        <v>65</v>
      </c>
      <c r="F11" s="26">
        <v>0</v>
      </c>
      <c r="G11" s="26">
        <v>1.1379521937529926</v>
      </c>
      <c r="H11" s="26">
        <v>1.0958451452795626</v>
      </c>
    </row>
    <row r="12" spans="1:8" x14ac:dyDescent="0.3">
      <c r="A12" s="2">
        <v>9</v>
      </c>
      <c r="B12" s="3" t="s">
        <v>8</v>
      </c>
      <c r="C12" s="4">
        <v>0</v>
      </c>
      <c r="D12" s="4">
        <v>112</v>
      </c>
      <c r="E12" s="4">
        <v>112</v>
      </c>
      <c r="F12" s="26">
        <v>0</v>
      </c>
      <c r="G12" s="26">
        <v>0.21983284852339066</v>
      </c>
      <c r="H12" s="26">
        <v>0.2007476595645907</v>
      </c>
    </row>
    <row r="13" spans="1:8" x14ac:dyDescent="0.3">
      <c r="A13" s="2">
        <v>10</v>
      </c>
      <c r="B13" s="3" t="s">
        <v>9</v>
      </c>
      <c r="C13" s="4">
        <v>0</v>
      </c>
      <c r="D13" s="4">
        <v>814</v>
      </c>
      <c r="E13" s="4">
        <v>1028</v>
      </c>
      <c r="F13" s="26">
        <v>0</v>
      </c>
      <c r="G13" s="26">
        <v>0.52165409206874302</v>
      </c>
      <c r="H13" s="26">
        <v>0.58002694699120738</v>
      </c>
    </row>
    <row r="14" spans="1:8" x14ac:dyDescent="0.3">
      <c r="A14" s="2">
        <v>11</v>
      </c>
      <c r="B14" s="3" t="s">
        <v>10</v>
      </c>
      <c r="C14" s="4">
        <v>0</v>
      </c>
      <c r="D14" s="4">
        <v>161</v>
      </c>
      <c r="E14" s="4">
        <v>161</v>
      </c>
      <c r="F14" s="26">
        <v>0</v>
      </c>
      <c r="G14" s="26">
        <v>2.0739044213452407</v>
      </c>
      <c r="H14" s="26">
        <v>1.9240571074490294</v>
      </c>
    </row>
    <row r="15" spans="1:8" x14ac:dyDescent="0.3">
      <c r="A15" s="2">
        <v>12</v>
      </c>
      <c r="B15" s="3" t="s">
        <v>11</v>
      </c>
      <c r="C15" s="4">
        <v>0</v>
      </c>
      <c r="D15" s="4">
        <v>320</v>
      </c>
      <c r="E15" s="4">
        <v>320</v>
      </c>
      <c r="F15" s="26">
        <v>0</v>
      </c>
      <c r="G15" s="26">
        <v>0.58812048089141455</v>
      </c>
      <c r="H15" s="26">
        <v>0.53597533441511014</v>
      </c>
    </row>
    <row r="16" spans="1:8" x14ac:dyDescent="0.3">
      <c r="A16" s="2">
        <v>13</v>
      </c>
      <c r="B16" s="3" t="s">
        <v>12</v>
      </c>
      <c r="C16" s="4">
        <v>2380</v>
      </c>
      <c r="D16" s="4">
        <v>497</v>
      </c>
      <c r="E16" s="4">
        <v>497</v>
      </c>
      <c r="F16" s="26">
        <v>1.0592245608362623</v>
      </c>
      <c r="G16" s="26">
        <v>0.19494791880054393</v>
      </c>
      <c r="H16" s="26">
        <v>0.17648807724496071</v>
      </c>
    </row>
    <row r="17" spans="1:8" x14ac:dyDescent="0.3">
      <c r="A17" s="2">
        <v>14</v>
      </c>
      <c r="B17" s="3" t="s">
        <v>13</v>
      </c>
      <c r="C17" s="4">
        <v>2126</v>
      </c>
      <c r="D17" s="4">
        <v>2934</v>
      </c>
      <c r="E17" s="4">
        <v>2934</v>
      </c>
      <c r="F17" s="26">
        <v>0.28940911955361409</v>
      </c>
      <c r="G17" s="26">
        <v>0.33690310148930352</v>
      </c>
      <c r="H17" s="26">
        <v>0.29633306915856317</v>
      </c>
    </row>
    <row r="18" spans="1:8" x14ac:dyDescent="0.3">
      <c r="A18" s="2">
        <v>15</v>
      </c>
      <c r="B18" s="3" t="s">
        <v>14</v>
      </c>
      <c r="C18" s="4">
        <v>0</v>
      </c>
      <c r="D18" s="4">
        <v>134</v>
      </c>
      <c r="E18" s="4">
        <v>134</v>
      </c>
      <c r="F18" s="26">
        <v>0</v>
      </c>
      <c r="G18" s="26">
        <v>0.89208946325839655</v>
      </c>
      <c r="H18" s="26">
        <v>0.80004394271207735</v>
      </c>
    </row>
    <row r="19" spans="1:8" x14ac:dyDescent="0.3">
      <c r="A19" s="2">
        <v>16</v>
      </c>
      <c r="B19" s="3" t="s">
        <v>15</v>
      </c>
      <c r="C19" s="4">
        <v>0</v>
      </c>
      <c r="D19" s="4">
        <v>549</v>
      </c>
      <c r="E19" s="4">
        <v>340.19239871884287</v>
      </c>
      <c r="F19" s="26">
        <v>0</v>
      </c>
      <c r="G19" s="26">
        <v>1.5934407130487562</v>
      </c>
      <c r="H19" s="26">
        <v>0.92342423977331001</v>
      </c>
    </row>
    <row r="20" spans="1:8" x14ac:dyDescent="0.3">
      <c r="A20" s="2">
        <v>17</v>
      </c>
      <c r="B20" s="3" t="s">
        <v>16</v>
      </c>
      <c r="C20" s="4">
        <v>0</v>
      </c>
      <c r="D20" s="4">
        <v>370</v>
      </c>
      <c r="E20" s="4">
        <v>186.32375293629957</v>
      </c>
      <c r="F20" s="26">
        <v>0</v>
      </c>
      <c r="G20" s="26">
        <v>3.1884801075465723</v>
      </c>
      <c r="H20" s="26">
        <v>1.5505394609945042</v>
      </c>
    </row>
    <row r="21" spans="1:8" x14ac:dyDescent="0.3">
      <c r="A21" s="2">
        <v>18</v>
      </c>
      <c r="B21" s="3" t="s">
        <v>17</v>
      </c>
      <c r="C21" s="4">
        <v>0</v>
      </c>
      <c r="D21" s="4">
        <v>10450</v>
      </c>
      <c r="E21" s="4">
        <v>23757</v>
      </c>
      <c r="F21" s="26">
        <v>0</v>
      </c>
      <c r="G21" s="26">
        <v>0.94034489763189466</v>
      </c>
      <c r="H21" s="26">
        <v>1.9255158484069255</v>
      </c>
    </row>
    <row r="22" spans="1:8" x14ac:dyDescent="0.3">
      <c r="A22" s="2">
        <v>19</v>
      </c>
      <c r="B22" s="3" t="s">
        <v>18</v>
      </c>
      <c r="C22" s="4">
        <v>0</v>
      </c>
      <c r="D22" s="4">
        <v>439</v>
      </c>
      <c r="E22" s="4">
        <v>256.63305395495024</v>
      </c>
      <c r="F22" s="26">
        <v>0</v>
      </c>
      <c r="G22" s="26">
        <v>2.0027267192713176</v>
      </c>
      <c r="H22" s="26">
        <v>1.07423130861629</v>
      </c>
    </row>
    <row r="23" spans="1:8" x14ac:dyDescent="0.3">
      <c r="A23" s="2">
        <v>20</v>
      </c>
      <c r="B23" s="3" t="s">
        <v>19</v>
      </c>
      <c r="C23" s="4">
        <v>11</v>
      </c>
      <c r="D23" s="4">
        <v>138</v>
      </c>
      <c r="E23" s="4">
        <v>18.325688073394495</v>
      </c>
      <c r="F23" s="26">
        <v>5.1767885039528311E-2</v>
      </c>
      <c r="G23" s="26">
        <v>0.56443668503062749</v>
      </c>
      <c r="H23" s="26">
        <v>6.7722624728360242E-2</v>
      </c>
    </row>
    <row r="24" spans="1:8" x14ac:dyDescent="0.3">
      <c r="A24" s="2">
        <v>21</v>
      </c>
      <c r="B24" s="3" t="s">
        <v>20</v>
      </c>
      <c r="C24" s="4">
        <v>0</v>
      </c>
      <c r="D24" s="4">
        <v>1563</v>
      </c>
      <c r="E24" s="4">
        <v>4227</v>
      </c>
      <c r="F24" s="26">
        <v>0</v>
      </c>
      <c r="G24" s="26">
        <v>0.50630630744444705</v>
      </c>
      <c r="H24" s="26">
        <v>1.2627005472493982</v>
      </c>
    </row>
    <row r="25" spans="1:8" x14ac:dyDescent="0.3">
      <c r="A25" s="2">
        <v>22</v>
      </c>
      <c r="B25" s="3" t="s">
        <v>21</v>
      </c>
      <c r="C25" s="4">
        <v>0</v>
      </c>
      <c r="D25" s="4">
        <v>181</v>
      </c>
      <c r="E25" s="4">
        <v>181</v>
      </c>
      <c r="F25" s="26">
        <v>0</v>
      </c>
      <c r="G25" s="26">
        <v>0.14416722697405457</v>
      </c>
      <c r="H25" s="26">
        <v>0.13059784482530026</v>
      </c>
    </row>
    <row r="26" spans="1:8" x14ac:dyDescent="0.3">
      <c r="A26" s="2">
        <v>23</v>
      </c>
      <c r="B26" s="3" t="s">
        <v>22</v>
      </c>
      <c r="C26" s="4">
        <v>0</v>
      </c>
      <c r="D26" s="4">
        <v>53</v>
      </c>
      <c r="E26" s="4">
        <v>1.2120405576679341</v>
      </c>
      <c r="F26" s="26">
        <v>0</v>
      </c>
      <c r="G26" s="26">
        <v>0.27533118315264093</v>
      </c>
      <c r="H26" s="26">
        <v>5.7563659628158542E-3</v>
      </c>
    </row>
    <row r="27" spans="1:8" x14ac:dyDescent="0.3">
      <c r="A27" s="2">
        <v>24</v>
      </c>
      <c r="B27" s="3" t="s">
        <v>23</v>
      </c>
      <c r="C27" s="4">
        <v>0</v>
      </c>
      <c r="D27" s="4">
        <v>0</v>
      </c>
      <c r="E27" s="4">
        <v>10000</v>
      </c>
      <c r="F27" s="26">
        <v>0</v>
      </c>
      <c r="G27" s="26">
        <v>0</v>
      </c>
      <c r="H27" s="26">
        <v>1.8509097045361378</v>
      </c>
    </row>
    <row r="28" spans="1:8" x14ac:dyDescent="0.3">
      <c r="A28" s="2">
        <v>25</v>
      </c>
      <c r="B28" s="3" t="s">
        <v>24</v>
      </c>
      <c r="C28" s="4">
        <v>0</v>
      </c>
      <c r="D28" s="4">
        <v>416</v>
      </c>
      <c r="E28" s="4">
        <v>416</v>
      </c>
      <c r="F28" s="26">
        <v>0</v>
      </c>
      <c r="G28" s="26">
        <v>1.8926150252705052</v>
      </c>
      <c r="H28" s="26">
        <v>1.8041261144869793</v>
      </c>
    </row>
    <row r="29" spans="1:8" x14ac:dyDescent="0.3">
      <c r="A29" s="2">
        <v>26</v>
      </c>
      <c r="B29" s="3" t="s">
        <v>25</v>
      </c>
      <c r="C29" s="4">
        <v>0</v>
      </c>
      <c r="D29" s="4">
        <v>115</v>
      </c>
      <c r="E29" s="4">
        <v>115</v>
      </c>
      <c r="F29" s="26">
        <v>0</v>
      </c>
      <c r="G29" s="26">
        <v>0.23520311629812385</v>
      </c>
      <c r="H29" s="26">
        <v>0.21687142786828009</v>
      </c>
    </row>
    <row r="30" spans="1:8" x14ac:dyDescent="0.3">
      <c r="A30" s="2">
        <v>27</v>
      </c>
      <c r="B30" s="3" t="s">
        <v>26</v>
      </c>
      <c r="C30" s="4">
        <v>0</v>
      </c>
      <c r="D30" s="4">
        <v>306</v>
      </c>
      <c r="E30" s="4">
        <v>306</v>
      </c>
      <c r="F30" s="26">
        <v>0</v>
      </c>
      <c r="G30" s="26">
        <v>0.11398116427736445</v>
      </c>
      <c r="H30" s="26">
        <v>0.10333748326760145</v>
      </c>
    </row>
    <row r="31" spans="1:8" x14ac:dyDescent="0.3">
      <c r="A31" s="2">
        <v>28</v>
      </c>
      <c r="B31" s="3" t="s">
        <v>27</v>
      </c>
      <c r="C31" s="4">
        <v>0</v>
      </c>
      <c r="D31" s="4">
        <v>542</v>
      </c>
      <c r="E31" s="4">
        <v>89.747656415694607</v>
      </c>
      <c r="F31" s="26">
        <v>0</v>
      </c>
      <c r="G31" s="26">
        <v>0.29508027680707705</v>
      </c>
      <c r="H31" s="26">
        <v>4.3982486826751509E-2</v>
      </c>
    </row>
    <row r="32" spans="1:8" x14ac:dyDescent="0.3">
      <c r="A32" s="2">
        <v>29</v>
      </c>
      <c r="B32" s="3" t="s">
        <v>28</v>
      </c>
      <c r="C32" s="4">
        <v>0</v>
      </c>
      <c r="D32" s="4">
        <v>1496</v>
      </c>
      <c r="E32" s="4">
        <v>1496</v>
      </c>
      <c r="F32" s="26">
        <v>0</v>
      </c>
      <c r="G32" s="26">
        <v>0.75046535373354994</v>
      </c>
      <c r="H32" s="26">
        <v>0.66213468815414644</v>
      </c>
    </row>
    <row r="33" spans="1:8" x14ac:dyDescent="0.3">
      <c r="A33" s="2">
        <v>30</v>
      </c>
      <c r="B33" s="3" t="s">
        <v>29</v>
      </c>
      <c r="C33" s="4">
        <v>0</v>
      </c>
      <c r="D33" s="4">
        <v>326</v>
      </c>
      <c r="E33" s="4">
        <v>326</v>
      </c>
      <c r="F33" s="26">
        <v>0</v>
      </c>
      <c r="G33" s="26">
        <v>0.76333884880774605</v>
      </c>
      <c r="H33" s="26">
        <v>0.68832439250621669</v>
      </c>
    </row>
    <row r="34" spans="1:8" x14ac:dyDescent="0.3">
      <c r="A34" s="2">
        <v>31</v>
      </c>
      <c r="B34" s="3" t="s">
        <v>30</v>
      </c>
      <c r="C34" s="4">
        <v>0</v>
      </c>
      <c r="D34" s="4">
        <v>291</v>
      </c>
      <c r="E34" s="4">
        <v>318.38391298509464</v>
      </c>
      <c r="F34" s="26">
        <v>0</v>
      </c>
      <c r="G34" s="26">
        <v>2.2464424572992581</v>
      </c>
      <c r="H34" s="26">
        <v>2.4501077977627399</v>
      </c>
    </row>
    <row r="35" spans="1:8" x14ac:dyDescent="0.3">
      <c r="A35" s="2">
        <v>32</v>
      </c>
      <c r="B35" s="3" t="s">
        <v>31</v>
      </c>
      <c r="C35" s="4">
        <v>1908</v>
      </c>
      <c r="D35" s="4">
        <v>5726</v>
      </c>
      <c r="E35" s="4">
        <v>2192.8618133633522</v>
      </c>
      <c r="F35" s="26">
        <v>0.75559176517443516</v>
      </c>
      <c r="G35" s="26">
        <v>1.9460384870743677</v>
      </c>
      <c r="H35" s="26">
        <v>0.66511793715257062</v>
      </c>
    </row>
    <row r="36" spans="1:8" x14ac:dyDescent="0.3">
      <c r="A36" s="2">
        <v>33</v>
      </c>
      <c r="B36" s="3" t="s">
        <v>32</v>
      </c>
      <c r="C36" s="4">
        <v>0</v>
      </c>
      <c r="D36" s="4">
        <v>1739</v>
      </c>
      <c r="E36" s="4">
        <v>96.946021840873641</v>
      </c>
      <c r="F36" s="26">
        <v>0</v>
      </c>
      <c r="G36" s="26">
        <v>7.2287238475765987</v>
      </c>
      <c r="H36" s="26">
        <v>0.37766088727995545</v>
      </c>
    </row>
    <row r="37" spans="1:8" x14ac:dyDescent="0.3">
      <c r="A37" s="2">
        <v>34</v>
      </c>
      <c r="B37" s="3" t="s">
        <v>33</v>
      </c>
      <c r="C37" s="4">
        <v>0</v>
      </c>
      <c r="D37" s="4">
        <v>432</v>
      </c>
      <c r="E37" s="4">
        <v>432</v>
      </c>
      <c r="F37" s="26">
        <v>0</v>
      </c>
      <c r="G37" s="26">
        <v>0.19134468273058433</v>
      </c>
      <c r="H37" s="26">
        <v>0.16483531263850149</v>
      </c>
    </row>
    <row r="38" spans="1:8" x14ac:dyDescent="0.3">
      <c r="A38" s="2">
        <v>35</v>
      </c>
      <c r="B38" s="3" t="s">
        <v>34</v>
      </c>
      <c r="C38" s="4">
        <v>0</v>
      </c>
      <c r="D38" s="4">
        <v>26677</v>
      </c>
      <c r="E38" s="4">
        <v>36833</v>
      </c>
      <c r="F38" s="26">
        <v>0</v>
      </c>
      <c r="G38" s="26">
        <v>1.3446907387345155</v>
      </c>
      <c r="H38" s="26">
        <v>1.6854029382920299</v>
      </c>
    </row>
    <row r="39" spans="1:8" x14ac:dyDescent="0.3">
      <c r="A39" s="2">
        <v>36</v>
      </c>
      <c r="B39" s="3" t="s">
        <v>35</v>
      </c>
      <c r="C39" s="4">
        <v>0</v>
      </c>
      <c r="D39" s="4">
        <v>1990</v>
      </c>
      <c r="E39" s="4">
        <v>1990</v>
      </c>
      <c r="F39" s="26">
        <v>0</v>
      </c>
      <c r="G39" s="26">
        <v>1.587959278819117</v>
      </c>
      <c r="H39" s="26">
        <v>1.4444680954924072</v>
      </c>
    </row>
    <row r="40" spans="1:8" x14ac:dyDescent="0.3">
      <c r="A40" s="2">
        <v>37</v>
      </c>
      <c r="B40" s="3" t="s">
        <v>36</v>
      </c>
      <c r="C40" s="4">
        <v>0</v>
      </c>
      <c r="D40" s="4">
        <v>146</v>
      </c>
      <c r="E40" s="4">
        <v>146</v>
      </c>
      <c r="F40" s="26">
        <v>0</v>
      </c>
      <c r="G40" s="26">
        <v>6.908168672874555</v>
      </c>
      <c r="H40" s="26">
        <v>6.4209834219883497</v>
      </c>
    </row>
    <row r="41" spans="1:8" x14ac:dyDescent="0.3">
      <c r="A41" s="2">
        <v>38</v>
      </c>
      <c r="B41" s="3" t="s">
        <v>37</v>
      </c>
      <c r="C41" s="4">
        <v>0</v>
      </c>
      <c r="D41" s="4">
        <v>1045</v>
      </c>
      <c r="E41" s="4">
        <v>507.95897656829663</v>
      </c>
      <c r="F41" s="26">
        <v>0</v>
      </c>
      <c r="G41" s="26">
        <v>0.67095095066045018</v>
      </c>
      <c r="H41" s="26">
        <v>0.2933389961003533</v>
      </c>
    </row>
    <row r="42" spans="1:8" x14ac:dyDescent="0.3">
      <c r="A42" s="2">
        <v>39</v>
      </c>
      <c r="B42" s="3" t="s">
        <v>38</v>
      </c>
      <c r="C42" s="4">
        <v>0</v>
      </c>
      <c r="D42" s="4">
        <v>71</v>
      </c>
      <c r="E42" s="4">
        <v>71</v>
      </c>
      <c r="F42" s="26">
        <v>0</v>
      </c>
      <c r="G42" s="26">
        <v>6.8864511498433556</v>
      </c>
      <c r="H42" s="26">
        <v>6.62817347143584</v>
      </c>
    </row>
    <row r="43" spans="1:8" x14ac:dyDescent="0.3">
      <c r="A43" s="2">
        <v>40</v>
      </c>
      <c r="B43" s="3" t="s">
        <v>39</v>
      </c>
      <c r="C43" s="4">
        <v>0</v>
      </c>
      <c r="D43" s="4">
        <v>311</v>
      </c>
      <c r="E43" s="4">
        <v>22.985972886408305</v>
      </c>
      <c r="F43" s="26">
        <v>0</v>
      </c>
      <c r="G43" s="26">
        <v>0.39560982491275914</v>
      </c>
      <c r="H43" s="26">
        <v>2.6710116327781471E-2</v>
      </c>
    </row>
    <row r="44" spans="1:8" x14ac:dyDescent="0.3">
      <c r="A44" s="2">
        <v>41</v>
      </c>
      <c r="B44" s="3" t="s">
        <v>40</v>
      </c>
      <c r="C44" s="4">
        <v>144</v>
      </c>
      <c r="D44" s="4">
        <v>8415</v>
      </c>
      <c r="E44" s="4">
        <v>19.053508229505177</v>
      </c>
      <c r="F44" s="26">
        <v>2.6729224932664629E-2</v>
      </c>
      <c r="G44" s="26">
        <v>1.467571253287538</v>
      </c>
      <c r="H44" s="26">
        <v>3.181210915011546E-3</v>
      </c>
    </row>
    <row r="45" spans="1:8" x14ac:dyDescent="0.3">
      <c r="A45" s="2">
        <v>42</v>
      </c>
      <c r="B45" s="3" t="s">
        <v>41</v>
      </c>
      <c r="C45" s="4">
        <v>0</v>
      </c>
      <c r="D45" s="4">
        <v>272</v>
      </c>
      <c r="E45" s="4">
        <v>635</v>
      </c>
      <c r="F45" s="26">
        <v>0</v>
      </c>
      <c r="G45" s="26">
        <v>0.26165596771126881</v>
      </c>
      <c r="H45" s="26">
        <v>0.58186611059203874</v>
      </c>
    </row>
    <row r="46" spans="1:8" x14ac:dyDescent="0.3">
      <c r="A46" s="2">
        <v>43</v>
      </c>
      <c r="B46" s="3" t="s">
        <v>42</v>
      </c>
      <c r="C46" s="4">
        <v>89</v>
      </c>
      <c r="D46" s="4">
        <v>4361</v>
      </c>
      <c r="E46" s="4">
        <v>1552.0117599429354</v>
      </c>
      <c r="F46" s="26">
        <v>1.8069729196785209E-2</v>
      </c>
      <c r="G46" s="26">
        <v>0.7507258982342413</v>
      </c>
      <c r="H46" s="26">
        <v>0.23695650725929299</v>
      </c>
    </row>
    <row r="47" spans="1:8" x14ac:dyDescent="0.3">
      <c r="A47" s="2">
        <v>44</v>
      </c>
      <c r="B47" s="3" t="s">
        <v>43</v>
      </c>
      <c r="C47" s="4">
        <v>407</v>
      </c>
      <c r="D47" s="4">
        <v>857</v>
      </c>
      <c r="E47" s="4">
        <v>539.14998303359357</v>
      </c>
      <c r="F47" s="26">
        <v>0.57273696077061409</v>
      </c>
      <c r="G47" s="26">
        <v>1.0650356501110583</v>
      </c>
      <c r="H47" s="26">
        <v>0.60929862514085376</v>
      </c>
    </row>
    <row r="48" spans="1:8" x14ac:dyDescent="0.3">
      <c r="A48" s="2">
        <v>45</v>
      </c>
      <c r="B48" s="3" t="s">
        <v>44</v>
      </c>
      <c r="C48" s="4">
        <v>0</v>
      </c>
      <c r="D48" s="4">
        <v>3874</v>
      </c>
      <c r="E48" s="4">
        <v>3771.8605231388328</v>
      </c>
      <c r="F48" s="26">
        <v>0</v>
      </c>
      <c r="G48" s="26">
        <v>0.93314781179367279</v>
      </c>
      <c r="H48" s="26">
        <v>0.79828437078099945</v>
      </c>
    </row>
    <row r="49" spans="1:8" x14ac:dyDescent="0.3">
      <c r="A49" s="2">
        <v>46</v>
      </c>
      <c r="B49" s="3" t="s">
        <v>45</v>
      </c>
      <c r="C49" s="4">
        <v>184</v>
      </c>
      <c r="D49" s="4">
        <v>18</v>
      </c>
      <c r="E49" s="4">
        <v>641</v>
      </c>
      <c r="F49" s="26">
        <v>0.12077472258571337</v>
      </c>
      <c r="G49" s="26">
        <v>1.0092009410462385E-2</v>
      </c>
      <c r="H49" s="26">
        <v>0.32021700821898641</v>
      </c>
    </row>
    <row r="50" spans="1:8" x14ac:dyDescent="0.3">
      <c r="A50" s="2">
        <v>47</v>
      </c>
      <c r="B50" s="3" t="s">
        <v>46</v>
      </c>
      <c r="C50" s="4">
        <v>343</v>
      </c>
      <c r="D50" s="4">
        <v>644</v>
      </c>
      <c r="E50" s="4">
        <v>757</v>
      </c>
      <c r="F50" s="26">
        <v>0.25303528923833146</v>
      </c>
      <c r="G50" s="26">
        <v>0.42784488948580462</v>
      </c>
      <c r="H50" s="26">
        <v>0.46383277707099968</v>
      </c>
    </row>
    <row r="51" spans="1:8" x14ac:dyDescent="0.3">
      <c r="A51" s="2">
        <v>48</v>
      </c>
      <c r="B51" s="5" t="s">
        <v>47</v>
      </c>
      <c r="C51" s="6">
        <v>7592</v>
      </c>
      <c r="D51" s="6">
        <v>82242</v>
      </c>
      <c r="E51" s="6">
        <v>100764.99379594343</v>
      </c>
      <c r="F51" s="28">
        <f>AVERAGE(F4:F50)</f>
        <v>6.696466504953083E-2</v>
      </c>
      <c r="G51" s="28">
        <f t="shared" ref="G51:H51" si="0">AVERAGE(G4:G50)</f>
        <v>1.1977378075054286</v>
      </c>
      <c r="H51" s="28">
        <f t="shared" si="0"/>
        <v>0.92942440301892326</v>
      </c>
    </row>
  </sheetData>
  <mergeCells count="6">
    <mergeCell ref="A2:A3"/>
    <mergeCell ref="F2:F3"/>
    <mergeCell ref="G2:G3"/>
    <mergeCell ref="H2:H3"/>
    <mergeCell ref="C2:E2"/>
    <mergeCell ref="B2: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64A5-B583-4CF7-B2A9-0FF2E593FBED}">
  <dimension ref="A1:H50"/>
  <sheetViews>
    <sheetView workbookViewId="0">
      <selection activeCell="K9" sqref="K9"/>
    </sheetView>
  </sheetViews>
  <sheetFormatPr defaultRowHeight="14" x14ac:dyDescent="0.3"/>
  <cols>
    <col min="1" max="1" width="4.54296875" style="16" bestFit="1" customWidth="1"/>
    <col min="2" max="2" width="22.7265625" style="16" customWidth="1"/>
    <col min="3" max="16384" width="8.7265625" style="16"/>
  </cols>
  <sheetData>
    <row r="1" spans="1:8" ht="14.5" customHeight="1" x14ac:dyDescent="0.3">
      <c r="A1" s="215" t="s">
        <v>52</v>
      </c>
      <c r="B1" s="217" t="s">
        <v>48</v>
      </c>
      <c r="C1" s="196" t="s">
        <v>76</v>
      </c>
      <c r="D1" s="196"/>
      <c r="E1" s="196"/>
      <c r="F1" s="216" t="s">
        <v>91</v>
      </c>
      <c r="G1" s="216" t="s">
        <v>92</v>
      </c>
      <c r="H1" s="216" t="s">
        <v>93</v>
      </c>
    </row>
    <row r="2" spans="1:8" ht="28" x14ac:dyDescent="0.3">
      <c r="A2" s="215"/>
      <c r="B2" s="217"/>
      <c r="C2" s="11">
        <v>2013</v>
      </c>
      <c r="D2" s="11">
        <v>2018</v>
      </c>
      <c r="E2" s="11" t="s">
        <v>51</v>
      </c>
      <c r="F2" s="216"/>
      <c r="G2" s="216"/>
      <c r="H2" s="216"/>
    </row>
    <row r="3" spans="1:8" x14ac:dyDescent="0.3">
      <c r="A3" s="2">
        <v>1</v>
      </c>
      <c r="B3" s="3" t="s">
        <v>0</v>
      </c>
      <c r="C3" s="4">
        <v>0</v>
      </c>
      <c r="D3" s="4">
        <v>15238</v>
      </c>
      <c r="E3" s="4">
        <v>15238</v>
      </c>
      <c r="F3" s="26">
        <v>0</v>
      </c>
      <c r="G3" s="26">
        <v>3.6344115858305837</v>
      </c>
      <c r="H3" s="26">
        <v>3.3935201758893703</v>
      </c>
    </row>
    <row r="4" spans="1:8" x14ac:dyDescent="0.3">
      <c r="A4" s="2">
        <v>2</v>
      </c>
      <c r="B4" s="3" t="s">
        <v>1</v>
      </c>
      <c r="C4" s="4">
        <v>0</v>
      </c>
      <c r="D4" s="4">
        <v>98</v>
      </c>
      <c r="E4" s="4">
        <v>17.795644396909402</v>
      </c>
      <c r="F4" s="26">
        <v>0</v>
      </c>
      <c r="G4" s="26">
        <v>3.1336401934504807E-2</v>
      </c>
      <c r="H4" s="26">
        <v>5.0003233856893391E-3</v>
      </c>
    </row>
    <row r="5" spans="1:8" x14ac:dyDescent="0.3">
      <c r="A5" s="2">
        <v>3</v>
      </c>
      <c r="B5" s="3" t="s">
        <v>2</v>
      </c>
      <c r="C5" s="4">
        <v>830</v>
      </c>
      <c r="D5" s="4">
        <v>241</v>
      </c>
      <c r="E5" s="4">
        <v>1602</v>
      </c>
      <c r="F5" s="26">
        <v>0.80514278649538895</v>
      </c>
      <c r="G5" s="26">
        <v>0.20183099233808524</v>
      </c>
      <c r="H5" s="26">
        <v>1.1997426170145971</v>
      </c>
    </row>
    <row r="6" spans="1:8" x14ac:dyDescent="0.3">
      <c r="A6" s="2">
        <v>4</v>
      </c>
      <c r="B6" s="3" t="s">
        <v>3</v>
      </c>
      <c r="C6" s="4">
        <v>0</v>
      </c>
      <c r="D6" s="4">
        <v>460</v>
      </c>
      <c r="E6" s="4">
        <v>365.47696889389204</v>
      </c>
      <c r="F6" s="26">
        <v>0</v>
      </c>
      <c r="G6" s="26">
        <v>1.8764722403467236</v>
      </c>
      <c r="H6" s="26">
        <v>1.3894898859059657</v>
      </c>
    </row>
    <row r="7" spans="1:8" x14ac:dyDescent="0.3">
      <c r="A7" s="2">
        <v>5</v>
      </c>
      <c r="B7" s="3" t="s">
        <v>4</v>
      </c>
      <c r="C7" s="4">
        <v>458</v>
      </c>
      <c r="D7" s="4">
        <v>699</v>
      </c>
      <c r="E7" s="4">
        <v>699</v>
      </c>
      <c r="F7" s="26">
        <v>0.25969007577081671</v>
      </c>
      <c r="G7" s="26">
        <v>0.34276933002032145</v>
      </c>
      <c r="H7" s="26">
        <v>0.3082858504027694</v>
      </c>
    </row>
    <row r="8" spans="1:8" x14ac:dyDescent="0.3">
      <c r="A8" s="2">
        <v>6</v>
      </c>
      <c r="B8" s="3" t="s">
        <v>5</v>
      </c>
      <c r="C8" s="4">
        <v>0</v>
      </c>
      <c r="D8" s="4">
        <v>1071</v>
      </c>
      <c r="E8" s="4">
        <v>911.12524353641197</v>
      </c>
      <c r="F8" s="26">
        <v>0</v>
      </c>
      <c r="G8" s="26">
        <v>0.93183326448991</v>
      </c>
      <c r="H8" s="26">
        <v>0.70686980564211122</v>
      </c>
    </row>
    <row r="9" spans="1:8" x14ac:dyDescent="0.3">
      <c r="A9" s="2">
        <v>7</v>
      </c>
      <c r="B9" s="3" t="s">
        <v>6</v>
      </c>
      <c r="C9" s="4">
        <v>0</v>
      </c>
      <c r="D9" s="4">
        <v>5235</v>
      </c>
      <c r="E9" s="4">
        <v>238.52656260037256</v>
      </c>
      <c r="F9" s="26">
        <v>0</v>
      </c>
      <c r="G9" s="26">
        <v>2.0875913867056068</v>
      </c>
      <c r="H9" s="26">
        <v>8.5448870913680627E-2</v>
      </c>
    </row>
    <row r="10" spans="1:8" x14ac:dyDescent="0.3">
      <c r="A10" s="2">
        <v>8</v>
      </c>
      <c r="B10" s="3" t="s">
        <v>7</v>
      </c>
      <c r="C10" s="4">
        <v>0</v>
      </c>
      <c r="D10" s="4">
        <v>65</v>
      </c>
      <c r="E10" s="4">
        <v>65</v>
      </c>
      <c r="F10" s="26">
        <v>0</v>
      </c>
      <c r="G10" s="26">
        <v>1.1379521937529926</v>
      </c>
      <c r="H10" s="26">
        <v>1.0958451452795626</v>
      </c>
    </row>
    <row r="11" spans="1:8" x14ac:dyDescent="0.3">
      <c r="A11" s="2">
        <v>9</v>
      </c>
      <c r="B11" s="3" t="s">
        <v>8</v>
      </c>
      <c r="C11" s="4">
        <v>0</v>
      </c>
      <c r="D11" s="4">
        <v>112</v>
      </c>
      <c r="E11" s="4">
        <v>60.353598014888341</v>
      </c>
      <c r="F11" s="26">
        <v>0</v>
      </c>
      <c r="G11" s="26">
        <v>0.21983284852339066</v>
      </c>
      <c r="H11" s="26">
        <v>0.10817717453384788</v>
      </c>
    </row>
    <row r="12" spans="1:8" x14ac:dyDescent="0.3">
      <c r="A12" s="2">
        <v>10</v>
      </c>
      <c r="B12" s="3" t="s">
        <v>9</v>
      </c>
      <c r="C12" s="4">
        <v>0</v>
      </c>
      <c r="D12" s="4">
        <v>749</v>
      </c>
      <c r="E12" s="4">
        <v>1028</v>
      </c>
      <c r="F12" s="26">
        <v>0</v>
      </c>
      <c r="G12" s="26">
        <v>0.47999866702639865</v>
      </c>
      <c r="H12" s="26">
        <v>0.58002694699120738</v>
      </c>
    </row>
    <row r="13" spans="1:8" x14ac:dyDescent="0.3">
      <c r="A13" s="2">
        <v>11</v>
      </c>
      <c r="B13" s="3" t="s">
        <v>10</v>
      </c>
      <c r="C13" s="4">
        <v>86</v>
      </c>
      <c r="D13" s="4">
        <v>8</v>
      </c>
      <c r="E13" s="4">
        <v>16</v>
      </c>
      <c r="F13" s="26">
        <v>1.2296385791955156</v>
      </c>
      <c r="G13" s="26">
        <v>0.10305115137119208</v>
      </c>
      <c r="H13" s="26">
        <v>0.19121064421853709</v>
      </c>
    </row>
    <row r="14" spans="1:8" x14ac:dyDescent="0.3">
      <c r="A14" s="2">
        <v>12</v>
      </c>
      <c r="B14" s="3" t="s">
        <v>11</v>
      </c>
      <c r="C14" s="4">
        <v>0</v>
      </c>
      <c r="D14" s="4">
        <v>320</v>
      </c>
      <c r="E14" s="4">
        <v>777</v>
      </c>
      <c r="F14" s="26">
        <v>0</v>
      </c>
      <c r="G14" s="26">
        <v>0.58812048089141455</v>
      </c>
      <c r="H14" s="26">
        <v>1.3014151088766892</v>
      </c>
    </row>
    <row r="15" spans="1:8" x14ac:dyDescent="0.3">
      <c r="A15" s="2">
        <v>13</v>
      </c>
      <c r="B15" s="3" t="s">
        <v>12</v>
      </c>
      <c r="C15" s="4">
        <v>1600</v>
      </c>
      <c r="D15" s="4">
        <v>0</v>
      </c>
      <c r="E15" s="4">
        <v>0</v>
      </c>
      <c r="F15" s="26">
        <v>0.7120837383773192</v>
      </c>
      <c r="G15" s="26">
        <v>0</v>
      </c>
      <c r="H15" s="26">
        <v>0</v>
      </c>
    </row>
    <row r="16" spans="1:8" x14ac:dyDescent="0.3">
      <c r="A16" s="2">
        <v>14</v>
      </c>
      <c r="B16" s="3" t="s">
        <v>13</v>
      </c>
      <c r="C16" s="4">
        <v>0</v>
      </c>
      <c r="D16" s="4">
        <v>2934</v>
      </c>
      <c r="E16" s="4">
        <v>2934</v>
      </c>
      <c r="F16" s="26">
        <v>0</v>
      </c>
      <c r="G16" s="26">
        <v>0.33690310148930352</v>
      </c>
      <c r="H16" s="26">
        <v>0.29633306915856317</v>
      </c>
    </row>
    <row r="17" spans="1:8" x14ac:dyDescent="0.3">
      <c r="A17" s="2">
        <v>15</v>
      </c>
      <c r="B17" s="3" t="s">
        <v>14</v>
      </c>
      <c r="C17" s="4">
        <v>0</v>
      </c>
      <c r="D17" s="4">
        <v>2</v>
      </c>
      <c r="E17" s="4">
        <v>228</v>
      </c>
      <c r="F17" s="26">
        <v>0</v>
      </c>
      <c r="G17" s="26">
        <v>1.3314768108334277E-2</v>
      </c>
      <c r="H17" s="26">
        <v>1.3612687980474152</v>
      </c>
    </row>
    <row r="18" spans="1:8" x14ac:dyDescent="0.3">
      <c r="A18" s="2">
        <v>16</v>
      </c>
      <c r="B18" s="3" t="s">
        <v>15</v>
      </c>
      <c r="C18" s="4">
        <v>0</v>
      </c>
      <c r="D18" s="4">
        <v>549</v>
      </c>
      <c r="E18" s="4">
        <v>306.86273803355084</v>
      </c>
      <c r="F18" s="26">
        <v>0</v>
      </c>
      <c r="G18" s="26">
        <v>1.5934407130487562</v>
      </c>
      <c r="H18" s="26">
        <v>0.83295362168741138</v>
      </c>
    </row>
    <row r="19" spans="1:8" x14ac:dyDescent="0.3">
      <c r="A19" s="2">
        <v>17</v>
      </c>
      <c r="B19" s="3" t="s">
        <v>16</v>
      </c>
      <c r="C19" s="4">
        <v>0</v>
      </c>
      <c r="D19" s="4">
        <v>370</v>
      </c>
      <c r="E19" s="4">
        <v>356.88164985491227</v>
      </c>
      <c r="F19" s="26">
        <v>0</v>
      </c>
      <c r="G19" s="26">
        <v>3.1884801075465723</v>
      </c>
      <c r="H19" s="26">
        <v>2.9698794291356276</v>
      </c>
    </row>
    <row r="20" spans="1:8" x14ac:dyDescent="0.3">
      <c r="A20" s="2">
        <v>18</v>
      </c>
      <c r="B20" s="3" t="s">
        <v>17</v>
      </c>
      <c r="C20" s="4">
        <v>0</v>
      </c>
      <c r="D20" s="4">
        <v>10450</v>
      </c>
      <c r="E20" s="4">
        <v>13915</v>
      </c>
      <c r="F20" s="26">
        <v>0</v>
      </c>
      <c r="G20" s="26">
        <v>0.94034489763189466</v>
      </c>
      <c r="H20" s="26">
        <v>1.1278171920100335</v>
      </c>
    </row>
    <row r="21" spans="1:8" x14ac:dyDescent="0.3">
      <c r="A21" s="2">
        <v>19</v>
      </c>
      <c r="B21" s="3" t="s">
        <v>18</v>
      </c>
      <c r="C21" s="4">
        <v>0</v>
      </c>
      <c r="D21" s="4">
        <v>439</v>
      </c>
      <c r="E21" s="4">
        <v>253.30015715034051</v>
      </c>
      <c r="F21" s="26">
        <v>0</v>
      </c>
      <c r="G21" s="26">
        <v>2.0027267192713176</v>
      </c>
      <c r="H21" s="26">
        <v>1.0602802526602342</v>
      </c>
    </row>
    <row r="22" spans="1:8" x14ac:dyDescent="0.3">
      <c r="A22" s="2">
        <v>20</v>
      </c>
      <c r="B22" s="3" t="s">
        <v>19</v>
      </c>
      <c r="C22" s="4">
        <v>141</v>
      </c>
      <c r="D22" s="4">
        <v>138</v>
      </c>
      <c r="E22" s="4">
        <v>138</v>
      </c>
      <c r="F22" s="26">
        <v>0.66357016277940839</v>
      </c>
      <c r="G22" s="26">
        <v>0.56443668503062749</v>
      </c>
      <c r="H22" s="26">
        <v>0.50997933475043544</v>
      </c>
    </row>
    <row r="23" spans="1:8" x14ac:dyDescent="0.3">
      <c r="A23" s="2">
        <v>21</v>
      </c>
      <c r="B23" s="3" t="s">
        <v>20</v>
      </c>
      <c r="C23" s="4">
        <v>3987</v>
      </c>
      <c r="D23" s="4">
        <v>1563</v>
      </c>
      <c r="E23" s="4">
        <v>3748</v>
      </c>
      <c r="F23" s="26">
        <v>1.4484699459924526</v>
      </c>
      <c r="G23" s="26">
        <v>0.50630630744444705</v>
      </c>
      <c r="H23" s="26">
        <v>1.1196124085854613</v>
      </c>
    </row>
    <row r="24" spans="1:8" x14ac:dyDescent="0.3">
      <c r="A24" s="2">
        <v>22</v>
      </c>
      <c r="B24" s="3" t="s">
        <v>21</v>
      </c>
      <c r="C24" s="4">
        <v>0</v>
      </c>
      <c r="D24" s="4">
        <v>181</v>
      </c>
      <c r="E24" s="4">
        <v>181</v>
      </c>
      <c r="F24" s="26">
        <v>0</v>
      </c>
      <c r="G24" s="26">
        <v>0.14416722697405457</v>
      </c>
      <c r="H24" s="26">
        <v>0.13059784482530026</v>
      </c>
    </row>
    <row r="25" spans="1:8" x14ac:dyDescent="0.3">
      <c r="A25" s="2">
        <v>23</v>
      </c>
      <c r="B25" s="3" t="s">
        <v>22</v>
      </c>
      <c r="C25" s="4">
        <v>0</v>
      </c>
      <c r="D25" s="4">
        <v>172</v>
      </c>
      <c r="E25" s="4">
        <v>197</v>
      </c>
      <c r="F25" s="26">
        <v>0</v>
      </c>
      <c r="G25" s="26">
        <v>0.89352761325008001</v>
      </c>
      <c r="H25" s="26">
        <v>0.93561563389977698</v>
      </c>
    </row>
    <row r="26" spans="1:8" x14ac:dyDescent="0.3">
      <c r="A26" s="2">
        <v>24</v>
      </c>
      <c r="B26" s="3" t="s">
        <v>23</v>
      </c>
      <c r="C26" s="4">
        <v>0</v>
      </c>
      <c r="D26" s="4">
        <v>0</v>
      </c>
      <c r="E26" s="4">
        <v>1200</v>
      </c>
      <c r="F26" s="26">
        <v>0</v>
      </c>
      <c r="G26" s="26">
        <v>0</v>
      </c>
      <c r="H26" s="26">
        <v>0.22210916454433655</v>
      </c>
    </row>
    <row r="27" spans="1:8" x14ac:dyDescent="0.3">
      <c r="A27" s="2">
        <v>25</v>
      </c>
      <c r="B27" s="3" t="s">
        <v>24</v>
      </c>
      <c r="C27" s="4">
        <v>0</v>
      </c>
      <c r="D27" s="4">
        <v>205</v>
      </c>
      <c r="E27" s="4">
        <v>273</v>
      </c>
      <c r="F27" s="26">
        <v>0</v>
      </c>
      <c r="G27" s="26">
        <v>0.93265884658762876</v>
      </c>
      <c r="H27" s="26">
        <v>1.1839577626320803</v>
      </c>
    </row>
    <row r="28" spans="1:8" x14ac:dyDescent="0.3">
      <c r="A28" s="2">
        <v>26</v>
      </c>
      <c r="B28" s="3" t="s">
        <v>25</v>
      </c>
      <c r="C28" s="4">
        <v>0</v>
      </c>
      <c r="D28" s="4">
        <v>0</v>
      </c>
      <c r="E28" s="4">
        <v>0</v>
      </c>
      <c r="F28" s="26">
        <v>0</v>
      </c>
      <c r="G28" s="26">
        <v>0</v>
      </c>
      <c r="H28" s="26">
        <v>0</v>
      </c>
    </row>
    <row r="29" spans="1:8" x14ac:dyDescent="0.3">
      <c r="A29" s="2">
        <v>27</v>
      </c>
      <c r="B29" s="3" t="s">
        <v>26</v>
      </c>
      <c r="C29" s="4">
        <v>0</v>
      </c>
      <c r="D29" s="4">
        <v>306</v>
      </c>
      <c r="E29" s="4">
        <v>306</v>
      </c>
      <c r="F29" s="26">
        <v>0</v>
      </c>
      <c r="G29" s="26">
        <v>0.11398116427736445</v>
      </c>
      <c r="H29" s="26">
        <v>0.10333748326760145</v>
      </c>
    </row>
    <row r="30" spans="1:8" x14ac:dyDescent="0.3">
      <c r="A30" s="2">
        <v>28</v>
      </c>
      <c r="B30" s="3" t="s">
        <v>27</v>
      </c>
      <c r="C30" s="4">
        <v>0</v>
      </c>
      <c r="D30" s="4">
        <v>542</v>
      </c>
      <c r="E30" s="4">
        <v>209.41119830328739</v>
      </c>
      <c r="F30" s="26">
        <v>0</v>
      </c>
      <c r="G30" s="26">
        <v>0.29508027680707705</v>
      </c>
      <c r="H30" s="26">
        <v>0.1026258025957535</v>
      </c>
    </row>
    <row r="31" spans="1:8" x14ac:dyDescent="0.3">
      <c r="A31" s="2">
        <v>29</v>
      </c>
      <c r="B31" s="3" t="s">
        <v>28</v>
      </c>
      <c r="C31" s="4">
        <v>0</v>
      </c>
      <c r="D31" s="4">
        <v>0</v>
      </c>
      <c r="E31" s="4">
        <v>0</v>
      </c>
      <c r="F31" s="26">
        <v>0</v>
      </c>
      <c r="G31" s="26">
        <v>0</v>
      </c>
      <c r="H31" s="26">
        <v>0</v>
      </c>
    </row>
    <row r="32" spans="1:8" x14ac:dyDescent="0.3">
      <c r="A32" s="2">
        <v>30</v>
      </c>
      <c r="B32" s="3" t="s">
        <v>29</v>
      </c>
      <c r="C32" s="4">
        <v>0</v>
      </c>
      <c r="D32" s="4">
        <v>122</v>
      </c>
      <c r="E32" s="4">
        <v>122</v>
      </c>
      <c r="F32" s="26">
        <v>0</v>
      </c>
      <c r="G32" s="26">
        <v>0.28566668575013809</v>
      </c>
      <c r="H32" s="26">
        <v>0.2575937910606087</v>
      </c>
    </row>
    <row r="33" spans="1:8" x14ac:dyDescent="0.3">
      <c r="A33" s="2">
        <v>31</v>
      </c>
      <c r="B33" s="3" t="s">
        <v>30</v>
      </c>
      <c r="C33" s="4">
        <v>0</v>
      </c>
      <c r="D33" s="4">
        <v>291</v>
      </c>
      <c r="E33" s="4">
        <v>264.14072780985634</v>
      </c>
      <c r="F33" s="26">
        <v>0</v>
      </c>
      <c r="G33" s="26">
        <v>2.2464424572992581</v>
      </c>
      <c r="H33" s="26">
        <v>2.0326820248105699</v>
      </c>
    </row>
    <row r="34" spans="1:8" x14ac:dyDescent="0.3">
      <c r="A34" s="2">
        <v>32</v>
      </c>
      <c r="B34" s="3" t="s">
        <v>31</v>
      </c>
      <c r="C34" s="4">
        <v>1465</v>
      </c>
      <c r="D34" s="4">
        <v>1951</v>
      </c>
      <c r="E34" s="4">
        <v>2040</v>
      </c>
      <c r="F34" s="26">
        <v>0.58015824736925969</v>
      </c>
      <c r="G34" s="26">
        <v>0.66306690329760587</v>
      </c>
      <c r="H34" s="26">
        <v>0.61875334940059845</v>
      </c>
    </row>
    <row r="35" spans="1:8" x14ac:dyDescent="0.3">
      <c r="A35" s="2">
        <v>33</v>
      </c>
      <c r="B35" s="3" t="s">
        <v>32</v>
      </c>
      <c r="C35" s="4">
        <v>0</v>
      </c>
      <c r="D35" s="4">
        <v>510</v>
      </c>
      <c r="E35" s="4">
        <v>1065</v>
      </c>
      <c r="F35" s="26">
        <v>0</v>
      </c>
      <c r="G35" s="26">
        <v>2.1199822669718604</v>
      </c>
      <c r="H35" s="26">
        <v>4.1487916400874569</v>
      </c>
    </row>
    <row r="36" spans="1:8" x14ac:dyDescent="0.3">
      <c r="A36" s="2">
        <v>34</v>
      </c>
      <c r="B36" s="3" t="s">
        <v>33</v>
      </c>
      <c r="C36" s="4">
        <v>0</v>
      </c>
      <c r="D36" s="4">
        <v>432</v>
      </c>
      <c r="E36" s="4">
        <v>480.40683332593352</v>
      </c>
      <c r="F36" s="26">
        <v>0</v>
      </c>
      <c r="G36" s="26">
        <v>0.19134468273058433</v>
      </c>
      <c r="H36" s="26">
        <v>0.18330558001146463</v>
      </c>
    </row>
    <row r="37" spans="1:8" x14ac:dyDescent="0.3">
      <c r="A37" s="2">
        <v>35</v>
      </c>
      <c r="B37" s="3" t="s">
        <v>34</v>
      </c>
      <c r="C37" s="4">
        <v>0</v>
      </c>
      <c r="D37" s="4">
        <v>311269</v>
      </c>
      <c r="E37" s="4">
        <v>44491.649118931913</v>
      </c>
      <c r="F37" s="26">
        <v>0</v>
      </c>
      <c r="G37" s="26">
        <v>15.689940456391419</v>
      </c>
      <c r="H37" s="26">
        <v>2.0358470978336234</v>
      </c>
    </row>
    <row r="38" spans="1:8" x14ac:dyDescent="0.3">
      <c r="A38" s="2">
        <v>36</v>
      </c>
      <c r="B38" s="3" t="s">
        <v>35</v>
      </c>
      <c r="C38" s="4">
        <v>1545</v>
      </c>
      <c r="D38" s="4">
        <v>1990</v>
      </c>
      <c r="E38" s="4">
        <v>1990</v>
      </c>
      <c r="F38" s="26">
        <v>1.3917226910115752</v>
      </c>
      <c r="G38" s="26">
        <v>1.587959278819117</v>
      </c>
      <c r="H38" s="26">
        <v>1.4444680954924072</v>
      </c>
    </row>
    <row r="39" spans="1:8" x14ac:dyDescent="0.3">
      <c r="A39" s="2">
        <v>37</v>
      </c>
      <c r="B39" s="3" t="s">
        <v>36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">
        <v>38</v>
      </c>
      <c r="B40" s="3" t="s">
        <v>37</v>
      </c>
      <c r="C40" s="4">
        <v>546</v>
      </c>
      <c r="D40" s="4">
        <v>328</v>
      </c>
      <c r="E40" s="4">
        <v>294.94392187836576</v>
      </c>
      <c r="F40" s="26">
        <v>0.40160153691290024</v>
      </c>
      <c r="G40" s="26">
        <v>0.21059513092500254</v>
      </c>
      <c r="H40" s="26">
        <v>0.17032586870343092</v>
      </c>
    </row>
    <row r="41" spans="1:8" x14ac:dyDescent="0.3">
      <c r="A41" s="2">
        <v>39</v>
      </c>
      <c r="B41" s="3" t="s">
        <v>38</v>
      </c>
      <c r="C41" s="4">
        <v>0</v>
      </c>
      <c r="D41" s="4">
        <v>71</v>
      </c>
      <c r="E41" s="4">
        <v>71</v>
      </c>
      <c r="F41" s="26">
        <v>0</v>
      </c>
      <c r="G41" s="26">
        <v>6.8864511498433556</v>
      </c>
      <c r="H41" s="26">
        <v>6.62817347143584</v>
      </c>
    </row>
    <row r="42" spans="1:8" x14ac:dyDescent="0.3">
      <c r="A42" s="2">
        <v>40</v>
      </c>
      <c r="B42" s="3" t="s">
        <v>39</v>
      </c>
      <c r="C42" s="4">
        <v>0</v>
      </c>
      <c r="D42" s="4">
        <v>311</v>
      </c>
      <c r="E42" s="4">
        <v>342.49099600748372</v>
      </c>
      <c r="F42" s="26">
        <v>0</v>
      </c>
      <c r="G42" s="26">
        <v>0.39560982491275914</v>
      </c>
      <c r="H42" s="26">
        <v>0.3979807332839439</v>
      </c>
    </row>
    <row r="43" spans="1:8" x14ac:dyDescent="0.3">
      <c r="A43" s="2">
        <v>41</v>
      </c>
      <c r="B43" s="3" t="s">
        <v>40</v>
      </c>
      <c r="C43" s="4">
        <v>273</v>
      </c>
      <c r="D43" s="4">
        <v>5731</v>
      </c>
      <c r="E43" s="4">
        <v>6353</v>
      </c>
      <c r="F43" s="26">
        <v>5.0674155601510021E-2</v>
      </c>
      <c r="G43" s="26">
        <v>0.99948316727164355</v>
      </c>
      <c r="H43" s="26">
        <v>1.060709277243334</v>
      </c>
    </row>
    <row r="44" spans="1:8" x14ac:dyDescent="0.3">
      <c r="A44" s="2">
        <v>42</v>
      </c>
      <c r="B44" s="3" t="s">
        <v>41</v>
      </c>
      <c r="C44" s="4">
        <v>0</v>
      </c>
      <c r="D44" s="4">
        <v>272</v>
      </c>
      <c r="E44" s="4">
        <v>272</v>
      </c>
      <c r="F44" s="26">
        <v>0</v>
      </c>
      <c r="G44" s="26">
        <v>0.26165596771126881</v>
      </c>
      <c r="H44" s="26">
        <v>0.24924028674178664</v>
      </c>
    </row>
    <row r="45" spans="1:8" x14ac:dyDescent="0.3">
      <c r="A45" s="2">
        <v>43</v>
      </c>
      <c r="B45" s="3" t="s">
        <v>42</v>
      </c>
      <c r="C45" s="4">
        <v>1997</v>
      </c>
      <c r="D45" s="4">
        <v>4361</v>
      </c>
      <c r="E45" s="4">
        <v>4743</v>
      </c>
      <c r="F45" s="26">
        <v>0.40545223826943888</v>
      </c>
      <c r="G45" s="26">
        <v>0.7507258982342413</v>
      </c>
      <c r="H45" s="26">
        <v>0.7241470347957607</v>
      </c>
    </row>
    <row r="46" spans="1:8" x14ac:dyDescent="0.3">
      <c r="A46" s="2">
        <v>44</v>
      </c>
      <c r="B46" s="3" t="s">
        <v>43</v>
      </c>
      <c r="C46" s="4">
        <v>0</v>
      </c>
      <c r="D46" s="4">
        <v>615</v>
      </c>
      <c r="E46" s="4">
        <v>887</v>
      </c>
      <c r="F46" s="26">
        <v>0</v>
      </c>
      <c r="G46" s="26">
        <v>0.764290460698134</v>
      </c>
      <c r="H46" s="26">
        <v>1.0024073031757155</v>
      </c>
    </row>
    <row r="47" spans="1:8" x14ac:dyDescent="0.3">
      <c r="A47" s="2">
        <v>45</v>
      </c>
      <c r="B47" s="3" t="s">
        <v>44</v>
      </c>
      <c r="C47" s="4">
        <v>2447</v>
      </c>
      <c r="D47" s="4">
        <v>3874</v>
      </c>
      <c r="E47" s="4">
        <v>13380</v>
      </c>
      <c r="F47" s="26">
        <v>0.69372053920258159</v>
      </c>
      <c r="G47" s="26">
        <v>0.93314781179367279</v>
      </c>
      <c r="H47" s="26">
        <v>2.8317709033846552</v>
      </c>
    </row>
    <row r="48" spans="1:8" x14ac:dyDescent="0.3">
      <c r="A48" s="2">
        <v>46</v>
      </c>
      <c r="B48" s="3" t="s">
        <v>45</v>
      </c>
      <c r="C48" s="4">
        <v>1126</v>
      </c>
      <c r="D48" s="4">
        <v>1712</v>
      </c>
      <c r="E48" s="4">
        <v>2235</v>
      </c>
      <c r="F48" s="26">
        <v>0.73908879147561546</v>
      </c>
      <c r="G48" s="26">
        <v>0.95986222837286683</v>
      </c>
      <c r="H48" s="26">
        <v>1.1165132813875736</v>
      </c>
    </row>
    <row r="49" spans="1:8" x14ac:dyDescent="0.3">
      <c r="A49" s="2">
        <v>47</v>
      </c>
      <c r="B49" s="3" t="s">
        <v>46</v>
      </c>
      <c r="C49" s="4">
        <v>519</v>
      </c>
      <c r="D49" s="4">
        <v>1126</v>
      </c>
      <c r="E49" s="4">
        <v>919.35771809418031</v>
      </c>
      <c r="F49" s="26">
        <v>0.38287263881834999</v>
      </c>
      <c r="G49" s="26">
        <v>0.74806420118170192</v>
      </c>
      <c r="H49" s="26">
        <v>0.56331339961067495</v>
      </c>
    </row>
    <row r="50" spans="1:8" x14ac:dyDescent="0.3">
      <c r="A50" s="2">
        <v>48</v>
      </c>
      <c r="B50" s="5" t="s">
        <v>47</v>
      </c>
      <c r="C50" s="6">
        <v>17020</v>
      </c>
      <c r="D50" s="6">
        <v>377113</v>
      </c>
      <c r="E50" s="6">
        <v>125215.72307683231</v>
      </c>
      <c r="F50" s="28">
        <f>AVERAGE(F3:F49)</f>
        <v>0.20774225802706664</v>
      </c>
      <c r="G50" s="28">
        <f t="shared" ref="G50:H50" si="0">AVERAGE(G3:G49)</f>
        <v>1.2522310115511324</v>
      </c>
      <c r="H50" s="28">
        <f t="shared" si="0"/>
        <v>1.0167536911768831</v>
      </c>
    </row>
  </sheetData>
  <mergeCells count="6">
    <mergeCell ref="A1:A2"/>
    <mergeCell ref="H1:H2"/>
    <mergeCell ref="G1:G2"/>
    <mergeCell ref="F1:F2"/>
    <mergeCell ref="C1:E1"/>
    <mergeCell ref="B1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F8CC-CC32-4C60-AD00-4C0AEDDE90A5}">
  <dimension ref="A1:H50"/>
  <sheetViews>
    <sheetView workbookViewId="0">
      <selection activeCell="H3" sqref="H3"/>
    </sheetView>
  </sheetViews>
  <sheetFormatPr defaultRowHeight="14" x14ac:dyDescent="0.3"/>
  <cols>
    <col min="1" max="1" width="4.54296875" style="16" bestFit="1" customWidth="1"/>
    <col min="2" max="2" width="18.54296875" style="16" bestFit="1" customWidth="1"/>
    <col min="3" max="16384" width="8.7265625" style="16"/>
  </cols>
  <sheetData>
    <row r="1" spans="1:8" ht="14.5" customHeight="1" x14ac:dyDescent="0.3">
      <c r="A1" s="215" t="s">
        <v>52</v>
      </c>
      <c r="B1" s="217" t="s">
        <v>48</v>
      </c>
      <c r="C1" s="196" t="s">
        <v>77</v>
      </c>
      <c r="D1" s="196"/>
      <c r="E1" s="196"/>
      <c r="F1" s="216" t="s">
        <v>91</v>
      </c>
      <c r="G1" s="216" t="s">
        <v>92</v>
      </c>
      <c r="H1" s="216" t="s">
        <v>93</v>
      </c>
    </row>
    <row r="2" spans="1:8" ht="28" x14ac:dyDescent="0.3">
      <c r="A2" s="215"/>
      <c r="B2" s="217"/>
      <c r="C2" s="11">
        <v>2013</v>
      </c>
      <c r="D2" s="11">
        <v>2018</v>
      </c>
      <c r="E2" s="11" t="s">
        <v>51</v>
      </c>
      <c r="F2" s="216"/>
      <c r="G2" s="216"/>
      <c r="H2" s="216"/>
    </row>
    <row r="3" spans="1:8" x14ac:dyDescent="0.3">
      <c r="A3" s="2">
        <v>1</v>
      </c>
      <c r="B3" s="3" t="s">
        <v>0</v>
      </c>
      <c r="C3" s="4">
        <v>0</v>
      </c>
      <c r="D3" s="4">
        <v>2227</v>
      </c>
      <c r="E3" s="4">
        <v>2227</v>
      </c>
      <c r="F3" s="26">
        <v>0</v>
      </c>
      <c r="G3" s="26">
        <v>0.53116121549053086</v>
      </c>
      <c r="H3" s="26">
        <v>0.49595546867736107</v>
      </c>
    </row>
    <row r="4" spans="1:8" x14ac:dyDescent="0.3">
      <c r="A4" s="2">
        <v>2</v>
      </c>
      <c r="B4" s="3" t="s">
        <v>1</v>
      </c>
      <c r="C4" s="4">
        <v>0</v>
      </c>
      <c r="D4" s="4">
        <v>134</v>
      </c>
      <c r="E4" s="4">
        <v>134</v>
      </c>
      <c r="F4" s="26">
        <v>0</v>
      </c>
      <c r="G4" s="26">
        <v>4.284773325738412E-2</v>
      </c>
      <c r="H4" s="26">
        <v>3.7652097262560434E-2</v>
      </c>
    </row>
    <row r="5" spans="1:8" x14ac:dyDescent="0.3">
      <c r="A5" s="2">
        <v>3</v>
      </c>
      <c r="B5" s="3" t="s">
        <v>2</v>
      </c>
      <c r="C5" s="4">
        <v>0</v>
      </c>
      <c r="D5" s="4">
        <v>0</v>
      </c>
      <c r="E5" s="4">
        <v>0</v>
      </c>
      <c r="F5" s="26">
        <v>0</v>
      </c>
      <c r="G5" s="26">
        <v>0</v>
      </c>
      <c r="H5" s="26">
        <v>0</v>
      </c>
    </row>
    <row r="6" spans="1:8" x14ac:dyDescent="0.3">
      <c r="A6" s="2">
        <v>4</v>
      </c>
      <c r="B6" s="3" t="s">
        <v>3</v>
      </c>
      <c r="C6" s="4">
        <v>0</v>
      </c>
      <c r="D6" s="4">
        <v>63</v>
      </c>
      <c r="E6" s="4">
        <v>63</v>
      </c>
      <c r="F6" s="26">
        <v>0</v>
      </c>
      <c r="G6" s="26">
        <v>0.25699511117792084</v>
      </c>
      <c r="H6" s="26">
        <v>0.23951676921532769</v>
      </c>
    </row>
    <row r="7" spans="1:8" x14ac:dyDescent="0.3">
      <c r="A7" s="2">
        <v>5</v>
      </c>
      <c r="B7" s="3" t="s">
        <v>4</v>
      </c>
      <c r="C7" s="4">
        <v>0</v>
      </c>
      <c r="D7" s="4">
        <v>0</v>
      </c>
      <c r="E7" s="4">
        <v>8</v>
      </c>
      <c r="F7" s="26">
        <v>0</v>
      </c>
      <c r="G7" s="26">
        <v>0</v>
      </c>
      <c r="H7" s="26">
        <v>3.5283073007470033E-3</v>
      </c>
    </row>
    <row r="8" spans="1:8" x14ac:dyDescent="0.3">
      <c r="A8" s="2">
        <v>6</v>
      </c>
      <c r="B8" s="3" t="s">
        <v>5</v>
      </c>
      <c r="C8" s="4">
        <v>0</v>
      </c>
      <c r="D8" s="4">
        <v>0</v>
      </c>
      <c r="E8" s="4">
        <v>0</v>
      </c>
      <c r="F8" s="26">
        <v>0</v>
      </c>
      <c r="G8" s="26">
        <v>0</v>
      </c>
      <c r="H8" s="26">
        <v>0</v>
      </c>
    </row>
    <row r="9" spans="1:8" x14ac:dyDescent="0.3">
      <c r="A9" s="2">
        <v>7</v>
      </c>
      <c r="B9" s="3" t="s">
        <v>6</v>
      </c>
      <c r="C9" s="4">
        <v>0</v>
      </c>
      <c r="D9" s="4">
        <v>0</v>
      </c>
      <c r="E9" s="4">
        <v>118</v>
      </c>
      <c r="F9" s="26">
        <v>0</v>
      </c>
      <c r="G9" s="26">
        <v>0</v>
      </c>
      <c r="H9" s="26">
        <v>4.2271882250310713E-2</v>
      </c>
    </row>
    <row r="10" spans="1:8" x14ac:dyDescent="0.3">
      <c r="A10" s="2">
        <v>8</v>
      </c>
      <c r="B10" s="3" t="s">
        <v>7</v>
      </c>
      <c r="C10" s="4">
        <v>0</v>
      </c>
      <c r="D10" s="4">
        <v>3</v>
      </c>
      <c r="E10" s="4">
        <v>3</v>
      </c>
      <c r="F10" s="26">
        <v>0</v>
      </c>
      <c r="G10" s="26">
        <v>5.2520870480907353E-2</v>
      </c>
      <c r="H10" s="26">
        <v>5.0577468243672118E-2</v>
      </c>
    </row>
    <row r="11" spans="1:8" x14ac:dyDescent="0.3">
      <c r="A11" s="2">
        <v>9</v>
      </c>
      <c r="B11" s="3" t="s">
        <v>8</v>
      </c>
      <c r="C11" s="4">
        <v>0</v>
      </c>
      <c r="D11" s="4">
        <v>104</v>
      </c>
      <c r="E11" s="4">
        <v>104</v>
      </c>
      <c r="F11" s="26">
        <v>0</v>
      </c>
      <c r="G11" s="26">
        <v>0.2041305022002913</v>
      </c>
      <c r="H11" s="26">
        <v>0.1864085410242628</v>
      </c>
    </row>
    <row r="12" spans="1:8" x14ac:dyDescent="0.3">
      <c r="A12" s="2">
        <v>10</v>
      </c>
      <c r="B12" s="3" t="s">
        <v>9</v>
      </c>
      <c r="C12" s="4">
        <v>0</v>
      </c>
      <c r="D12" s="4">
        <v>42</v>
      </c>
      <c r="E12" s="4">
        <v>104</v>
      </c>
      <c r="F12" s="26">
        <v>0</v>
      </c>
      <c r="G12" s="26">
        <v>2.6915813104284037E-2</v>
      </c>
      <c r="H12" s="26">
        <v>5.8679768956308921E-2</v>
      </c>
    </row>
    <row r="13" spans="1:8" x14ac:dyDescent="0.3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26">
        <v>0</v>
      </c>
      <c r="G13" s="26">
        <v>0</v>
      </c>
      <c r="H13" s="26">
        <v>0</v>
      </c>
    </row>
    <row r="14" spans="1:8" x14ac:dyDescent="0.3">
      <c r="A14" s="2">
        <v>12</v>
      </c>
      <c r="B14" s="3" t="s">
        <v>11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">
      <c r="A15" s="2">
        <v>13</v>
      </c>
      <c r="B15" s="3" t="s">
        <v>12</v>
      </c>
      <c r="C15" s="4">
        <v>0</v>
      </c>
      <c r="D15" s="4">
        <v>242</v>
      </c>
      <c r="E15" s="4">
        <v>242</v>
      </c>
      <c r="F15" s="26">
        <v>0</v>
      </c>
      <c r="G15" s="26">
        <v>9.4924338731854394E-2</v>
      </c>
      <c r="H15" s="26">
        <v>8.5935844453280674E-2</v>
      </c>
    </row>
    <row r="16" spans="1:8" x14ac:dyDescent="0.3">
      <c r="A16" s="2">
        <v>14</v>
      </c>
      <c r="B16" s="3" t="s">
        <v>13</v>
      </c>
      <c r="C16" s="4">
        <v>0</v>
      </c>
      <c r="D16" s="4">
        <v>0</v>
      </c>
      <c r="E16" s="4">
        <v>0</v>
      </c>
      <c r="F16" s="26">
        <v>0</v>
      </c>
      <c r="G16" s="26">
        <v>0</v>
      </c>
      <c r="H16" s="26">
        <v>0</v>
      </c>
    </row>
    <row r="17" spans="1:8" x14ac:dyDescent="0.3">
      <c r="A17" s="2">
        <v>15</v>
      </c>
      <c r="B17" s="3" t="s">
        <v>14</v>
      </c>
      <c r="C17" s="4">
        <v>0</v>
      </c>
      <c r="D17" s="4">
        <v>0</v>
      </c>
      <c r="E17" s="4">
        <v>282</v>
      </c>
      <c r="F17" s="26">
        <v>0</v>
      </c>
      <c r="G17" s="26">
        <v>0</v>
      </c>
      <c r="H17" s="26">
        <v>1.6836745660060135</v>
      </c>
    </row>
    <row r="18" spans="1:8" x14ac:dyDescent="0.3">
      <c r="A18" s="2">
        <v>16</v>
      </c>
      <c r="B18" s="3" t="s">
        <v>15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">
      <c r="A19" s="2">
        <v>17</v>
      </c>
      <c r="B19" s="3" t="s">
        <v>16</v>
      </c>
      <c r="C19" s="4">
        <v>0</v>
      </c>
      <c r="D19" s="4">
        <v>28</v>
      </c>
      <c r="E19" s="4">
        <v>30</v>
      </c>
      <c r="F19" s="26">
        <v>0</v>
      </c>
      <c r="G19" s="26">
        <v>0.24129038651703791</v>
      </c>
      <c r="H19" s="26">
        <v>0.24965246296717788</v>
      </c>
    </row>
    <row r="20" spans="1:8" x14ac:dyDescent="0.3">
      <c r="A20" s="2">
        <v>18</v>
      </c>
      <c r="B20" s="3" t="s">
        <v>17</v>
      </c>
      <c r="C20" s="4">
        <v>0</v>
      </c>
      <c r="D20" s="4">
        <v>11536</v>
      </c>
      <c r="E20" s="4">
        <v>11536</v>
      </c>
      <c r="F20" s="26">
        <v>0</v>
      </c>
      <c r="G20" s="26">
        <v>1.0380687788594771</v>
      </c>
      <c r="H20" s="26">
        <v>0.93499814064159159</v>
      </c>
    </row>
    <row r="21" spans="1:8" x14ac:dyDescent="0.3">
      <c r="A21" s="2">
        <v>19</v>
      </c>
      <c r="B21" s="3" t="s">
        <v>18</v>
      </c>
      <c r="C21" s="4">
        <v>0</v>
      </c>
      <c r="D21" s="4">
        <v>18</v>
      </c>
      <c r="E21" s="4">
        <v>15.553518421512138</v>
      </c>
      <c r="F21" s="26">
        <v>0</v>
      </c>
      <c r="G21" s="26">
        <v>8.2116357509985693E-2</v>
      </c>
      <c r="H21" s="26">
        <v>6.5104927794926673E-2</v>
      </c>
    </row>
    <row r="22" spans="1:8" x14ac:dyDescent="0.3">
      <c r="A22" s="2">
        <v>20</v>
      </c>
      <c r="B22" s="3" t="s">
        <v>19</v>
      </c>
      <c r="C22" s="4">
        <v>0</v>
      </c>
      <c r="D22" s="4">
        <v>0</v>
      </c>
      <c r="E22" s="4">
        <v>0</v>
      </c>
      <c r="F22" s="26">
        <v>0</v>
      </c>
      <c r="G22" s="26">
        <v>0</v>
      </c>
      <c r="H22" s="26">
        <v>0</v>
      </c>
    </row>
    <row r="23" spans="1:8" x14ac:dyDescent="0.3">
      <c r="A23" s="2">
        <v>21</v>
      </c>
      <c r="B23" s="3" t="s">
        <v>20</v>
      </c>
      <c r="C23" s="4">
        <v>0</v>
      </c>
      <c r="D23" s="4">
        <v>1671</v>
      </c>
      <c r="E23" s="4">
        <v>2471</v>
      </c>
      <c r="F23" s="26">
        <v>0</v>
      </c>
      <c r="G23" s="26">
        <v>0.5412910043120096</v>
      </c>
      <c r="H23" s="26">
        <v>0.73814361302419285</v>
      </c>
    </row>
    <row r="24" spans="1:8" x14ac:dyDescent="0.3">
      <c r="A24" s="2">
        <v>22</v>
      </c>
      <c r="B24" s="3" t="s">
        <v>21</v>
      </c>
      <c r="C24" s="4">
        <v>0</v>
      </c>
      <c r="D24" s="4">
        <v>0</v>
      </c>
      <c r="E24" s="4">
        <v>0</v>
      </c>
      <c r="F24" s="26">
        <v>0</v>
      </c>
      <c r="G24" s="26">
        <v>0</v>
      </c>
      <c r="H24" s="26">
        <v>0</v>
      </c>
    </row>
    <row r="25" spans="1:8" x14ac:dyDescent="0.3">
      <c r="A25" s="2">
        <v>23</v>
      </c>
      <c r="B25" s="3" t="s">
        <v>22</v>
      </c>
      <c r="C25" s="4">
        <v>0</v>
      </c>
      <c r="D25" s="4">
        <v>0</v>
      </c>
      <c r="E25" s="4">
        <v>0</v>
      </c>
      <c r="F25" s="26">
        <v>0</v>
      </c>
      <c r="G25" s="26">
        <v>0</v>
      </c>
      <c r="H25" s="26">
        <v>0</v>
      </c>
    </row>
    <row r="26" spans="1:8" x14ac:dyDescent="0.3">
      <c r="A26" s="2">
        <v>24</v>
      </c>
      <c r="B26" s="3" t="s">
        <v>23</v>
      </c>
      <c r="C26" s="4">
        <v>0</v>
      </c>
      <c r="D26" s="4">
        <v>0</v>
      </c>
      <c r="E26" s="4">
        <v>0</v>
      </c>
      <c r="F26" s="26">
        <v>0</v>
      </c>
      <c r="G26" s="26">
        <v>0</v>
      </c>
      <c r="H26" s="26">
        <v>0</v>
      </c>
    </row>
    <row r="27" spans="1:8" x14ac:dyDescent="0.3">
      <c r="A27" s="2">
        <v>25</v>
      </c>
      <c r="B27" s="3" t="s">
        <v>24</v>
      </c>
      <c r="C27" s="4">
        <v>0</v>
      </c>
      <c r="D27" s="4">
        <v>71</v>
      </c>
      <c r="E27" s="4">
        <v>6.388211649973643</v>
      </c>
      <c r="F27" s="26">
        <v>0</v>
      </c>
      <c r="G27" s="26">
        <v>0.32301842979376411</v>
      </c>
      <c r="H27" s="26">
        <v>2.7704662169681264E-2</v>
      </c>
    </row>
    <row r="28" spans="1:8" x14ac:dyDescent="0.3">
      <c r="A28" s="2">
        <v>26</v>
      </c>
      <c r="B28" s="3" t="s">
        <v>25</v>
      </c>
      <c r="C28" s="4">
        <v>0</v>
      </c>
      <c r="D28" s="4">
        <v>527</v>
      </c>
      <c r="E28" s="4">
        <v>527</v>
      </c>
      <c r="F28" s="26">
        <v>0</v>
      </c>
      <c r="G28" s="26">
        <v>1.0778438459922719</v>
      </c>
      <c r="H28" s="26">
        <v>0.99383689118768359</v>
      </c>
    </row>
    <row r="29" spans="1:8" x14ac:dyDescent="0.3">
      <c r="A29" s="2">
        <v>27</v>
      </c>
      <c r="B29" s="3" t="s">
        <v>26</v>
      </c>
      <c r="C29" s="4">
        <v>0</v>
      </c>
      <c r="D29" s="4">
        <v>0</v>
      </c>
      <c r="E29" s="4">
        <v>0</v>
      </c>
      <c r="F29" s="26">
        <v>0</v>
      </c>
      <c r="G29" s="26">
        <v>0</v>
      </c>
      <c r="H29" s="26">
        <v>0</v>
      </c>
    </row>
    <row r="30" spans="1:8" x14ac:dyDescent="0.3">
      <c r="A30" s="2">
        <v>28</v>
      </c>
      <c r="B30" s="3" t="s">
        <v>27</v>
      </c>
      <c r="C30" s="4">
        <v>0</v>
      </c>
      <c r="D30" s="4">
        <v>2804</v>
      </c>
      <c r="E30" s="4">
        <v>1840.3809544008486</v>
      </c>
      <c r="F30" s="26">
        <v>0</v>
      </c>
      <c r="G30" s="26">
        <v>1.5265776682048782</v>
      </c>
      <c r="H30" s="26">
        <v>0.90191247678066988</v>
      </c>
    </row>
    <row r="31" spans="1:8" x14ac:dyDescent="0.3">
      <c r="A31" s="2">
        <v>29</v>
      </c>
      <c r="B31" s="3" t="s">
        <v>28</v>
      </c>
      <c r="C31" s="4">
        <v>0</v>
      </c>
      <c r="D31" s="4">
        <v>1041</v>
      </c>
      <c r="E31" s="4">
        <v>1481</v>
      </c>
      <c r="F31" s="26">
        <v>0</v>
      </c>
      <c r="G31" s="26">
        <v>0.52221553023838607</v>
      </c>
      <c r="H31" s="26">
        <v>0.65549563713655801</v>
      </c>
    </row>
    <row r="32" spans="1:8" x14ac:dyDescent="0.3">
      <c r="A32" s="2">
        <v>30</v>
      </c>
      <c r="B32" s="3" t="s">
        <v>29</v>
      </c>
      <c r="C32" s="4">
        <v>0</v>
      </c>
      <c r="D32" s="4">
        <v>0</v>
      </c>
      <c r="E32" s="4">
        <v>0</v>
      </c>
      <c r="F32" s="26">
        <v>0</v>
      </c>
      <c r="G32" s="26">
        <v>0</v>
      </c>
      <c r="H32" s="26">
        <v>0</v>
      </c>
    </row>
    <row r="33" spans="1:8" x14ac:dyDescent="0.3">
      <c r="A33" s="2">
        <v>31</v>
      </c>
      <c r="B33" s="3" t="s">
        <v>30</v>
      </c>
      <c r="C33" s="4">
        <v>0</v>
      </c>
      <c r="D33" s="4">
        <v>9</v>
      </c>
      <c r="E33" s="4">
        <v>9</v>
      </c>
      <c r="F33" s="26">
        <v>0</v>
      </c>
      <c r="G33" s="26">
        <v>6.9477601772142003E-2</v>
      </c>
      <c r="H33" s="26">
        <v>6.9259058892516948E-2</v>
      </c>
    </row>
    <row r="34" spans="1:8" x14ac:dyDescent="0.3">
      <c r="A34" s="2">
        <v>32</v>
      </c>
      <c r="B34" s="3" t="s">
        <v>31</v>
      </c>
      <c r="C34" s="4">
        <v>0</v>
      </c>
      <c r="D34" s="4">
        <v>0</v>
      </c>
      <c r="E34" s="4">
        <v>0</v>
      </c>
      <c r="F34" s="26">
        <v>0</v>
      </c>
      <c r="G34" s="26">
        <v>0</v>
      </c>
      <c r="H34" s="26">
        <v>0</v>
      </c>
    </row>
    <row r="35" spans="1:8" x14ac:dyDescent="0.3">
      <c r="A35" s="2">
        <v>33</v>
      </c>
      <c r="B35" s="3" t="s">
        <v>32</v>
      </c>
      <c r="C35" s="4">
        <v>0</v>
      </c>
      <c r="D35" s="4">
        <v>21</v>
      </c>
      <c r="E35" s="4">
        <v>7.5739079563182532</v>
      </c>
      <c r="F35" s="26">
        <v>0</v>
      </c>
      <c r="G35" s="26">
        <v>8.7293387463547201E-2</v>
      </c>
      <c r="H35" s="26">
        <v>2.9504756818746519E-2</v>
      </c>
    </row>
    <row r="36" spans="1:8" x14ac:dyDescent="0.3">
      <c r="A36" s="2">
        <v>34</v>
      </c>
      <c r="B36" s="3" t="s">
        <v>33</v>
      </c>
      <c r="C36" s="4">
        <v>0</v>
      </c>
      <c r="D36" s="4">
        <v>439</v>
      </c>
      <c r="E36" s="4">
        <v>439</v>
      </c>
      <c r="F36" s="26">
        <v>0</v>
      </c>
      <c r="G36" s="26">
        <v>0.19444517527482991</v>
      </c>
      <c r="H36" s="26">
        <v>0.16750625520440313</v>
      </c>
    </row>
    <row r="37" spans="1:8" x14ac:dyDescent="0.3">
      <c r="A37" s="2">
        <v>35</v>
      </c>
      <c r="B37" s="3" t="s">
        <v>34</v>
      </c>
      <c r="C37" s="4">
        <v>0</v>
      </c>
      <c r="D37" s="4">
        <v>0</v>
      </c>
      <c r="E37" s="4">
        <v>0</v>
      </c>
      <c r="F37" s="26">
        <v>0</v>
      </c>
      <c r="G37" s="26">
        <v>0</v>
      </c>
      <c r="H37" s="26">
        <v>0</v>
      </c>
    </row>
    <row r="38" spans="1:8" x14ac:dyDescent="0.3">
      <c r="A38" s="2">
        <v>36</v>
      </c>
      <c r="B38" s="3" t="s">
        <v>35</v>
      </c>
      <c r="C38" s="4">
        <v>0</v>
      </c>
      <c r="D38" s="4">
        <v>0</v>
      </c>
      <c r="E38" s="4">
        <v>0</v>
      </c>
      <c r="F38" s="26">
        <v>0</v>
      </c>
      <c r="G38" s="26">
        <v>0</v>
      </c>
      <c r="H38" s="26">
        <v>0</v>
      </c>
    </row>
    <row r="39" spans="1:8" x14ac:dyDescent="0.3">
      <c r="A39" s="2">
        <v>37</v>
      </c>
      <c r="B39" s="3" t="s">
        <v>36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">
        <v>38</v>
      </c>
      <c r="B40" s="3" t="s">
        <v>37</v>
      </c>
      <c r="C40" s="4">
        <v>0</v>
      </c>
      <c r="D40" s="4">
        <v>2543</v>
      </c>
      <c r="E40" s="4">
        <v>1734.5511596180083</v>
      </c>
      <c r="F40" s="26">
        <v>0</v>
      </c>
      <c r="G40" s="26">
        <v>1.6327543229947605</v>
      </c>
      <c r="H40" s="26">
        <v>1.0016783230892248</v>
      </c>
    </row>
    <row r="41" spans="1:8" x14ac:dyDescent="0.3">
      <c r="A41" s="2">
        <v>39</v>
      </c>
      <c r="B41" s="3" t="s">
        <v>38</v>
      </c>
      <c r="C41" s="4">
        <v>0</v>
      </c>
      <c r="D41" s="4">
        <v>0</v>
      </c>
      <c r="E41" s="4">
        <v>0</v>
      </c>
      <c r="F41" s="26">
        <v>0</v>
      </c>
      <c r="G41" s="26">
        <v>0</v>
      </c>
      <c r="H41" s="26">
        <v>0</v>
      </c>
    </row>
    <row r="42" spans="1:8" x14ac:dyDescent="0.3">
      <c r="A42" s="2">
        <v>40</v>
      </c>
      <c r="B42" s="3" t="s">
        <v>39</v>
      </c>
      <c r="C42" s="4">
        <v>0</v>
      </c>
      <c r="D42" s="4">
        <v>0</v>
      </c>
      <c r="E42" s="4">
        <v>0</v>
      </c>
      <c r="F42" s="26">
        <v>0</v>
      </c>
      <c r="G42" s="26">
        <v>0</v>
      </c>
      <c r="H42" s="26">
        <v>0</v>
      </c>
    </row>
    <row r="43" spans="1:8" x14ac:dyDescent="0.3">
      <c r="A43" s="2">
        <v>41</v>
      </c>
      <c r="B43" s="3" t="s">
        <v>40</v>
      </c>
      <c r="C43" s="4">
        <v>0</v>
      </c>
      <c r="D43" s="4">
        <v>577</v>
      </c>
      <c r="E43" s="4">
        <v>577</v>
      </c>
      <c r="F43" s="26">
        <v>0</v>
      </c>
      <c r="G43" s="26">
        <v>0.10062847452726197</v>
      </c>
      <c r="H43" s="26">
        <v>9.6337045957721343E-2</v>
      </c>
    </row>
    <row r="44" spans="1:8" x14ac:dyDescent="0.3">
      <c r="A44" s="2">
        <v>42</v>
      </c>
      <c r="B44" s="3" t="s">
        <v>41</v>
      </c>
      <c r="C44" s="4">
        <v>0</v>
      </c>
      <c r="D44" s="4">
        <v>1306</v>
      </c>
      <c r="E44" s="4">
        <v>1306</v>
      </c>
      <c r="F44" s="26">
        <v>0</v>
      </c>
      <c r="G44" s="26">
        <v>1.2563334332019009</v>
      </c>
      <c r="H44" s="26">
        <v>1.1967199061940197</v>
      </c>
    </row>
    <row r="45" spans="1:8" x14ac:dyDescent="0.3">
      <c r="A45" s="2">
        <v>43</v>
      </c>
      <c r="B45" s="3" t="s">
        <v>42</v>
      </c>
      <c r="C45" s="4">
        <v>0</v>
      </c>
      <c r="D45" s="4">
        <v>9250</v>
      </c>
      <c r="E45" s="4">
        <v>3027.5888839621371</v>
      </c>
      <c r="F45" s="26">
        <v>0</v>
      </c>
      <c r="G45" s="26">
        <v>1.5923445445234423</v>
      </c>
      <c r="H45" s="26">
        <v>0.4622432032261834</v>
      </c>
    </row>
    <row r="46" spans="1:8" x14ac:dyDescent="0.3">
      <c r="A46" s="2">
        <v>44</v>
      </c>
      <c r="B46" s="3" t="s">
        <v>43</v>
      </c>
      <c r="C46" s="4">
        <v>0</v>
      </c>
      <c r="D46" s="4">
        <v>1075</v>
      </c>
      <c r="E46" s="4">
        <v>719.26959619952504</v>
      </c>
      <c r="F46" s="26">
        <v>0</v>
      </c>
      <c r="G46" s="26">
        <v>1.3359548703260065</v>
      </c>
      <c r="H46" s="26">
        <v>0.81285354699284296</v>
      </c>
    </row>
    <row r="47" spans="1:8" x14ac:dyDescent="0.3">
      <c r="A47" s="2">
        <v>45</v>
      </c>
      <c r="B47" s="3" t="s">
        <v>44</v>
      </c>
      <c r="C47" s="4">
        <v>0</v>
      </c>
      <c r="D47" s="4">
        <v>3505</v>
      </c>
      <c r="E47" s="4">
        <v>14531</v>
      </c>
      <c r="F47" s="26">
        <v>0</v>
      </c>
      <c r="G47" s="26">
        <v>0.84426512140857601</v>
      </c>
      <c r="H47" s="26">
        <v>3.075370926538298</v>
      </c>
    </row>
    <row r="48" spans="1:8" x14ac:dyDescent="0.3">
      <c r="A48" s="2">
        <v>46</v>
      </c>
      <c r="B48" s="3" t="s">
        <v>45</v>
      </c>
      <c r="C48" s="4">
        <v>0</v>
      </c>
      <c r="D48" s="4">
        <v>2617</v>
      </c>
      <c r="E48" s="4">
        <v>7144</v>
      </c>
      <c r="F48" s="26">
        <v>0</v>
      </c>
      <c r="G48" s="26">
        <v>1.4672660348433368</v>
      </c>
      <c r="H48" s="26">
        <v>3.5688460323189375</v>
      </c>
    </row>
    <row r="49" spans="1:8" x14ac:dyDescent="0.3">
      <c r="A49" s="2">
        <v>47</v>
      </c>
      <c r="B49" s="3" t="s">
        <v>46</v>
      </c>
      <c r="C49" s="4">
        <v>0</v>
      </c>
      <c r="D49" s="4">
        <v>164</v>
      </c>
      <c r="E49" s="4">
        <v>164</v>
      </c>
      <c r="F49" s="26">
        <v>0</v>
      </c>
      <c r="G49" s="26">
        <v>0.10895428862681981</v>
      </c>
      <c r="H49" s="26">
        <v>0.10048688961643851</v>
      </c>
    </row>
    <row r="50" spans="1:8" x14ac:dyDescent="0.3">
      <c r="A50" s="2">
        <v>48</v>
      </c>
      <c r="B50" s="5" t="s">
        <v>47</v>
      </c>
      <c r="C50" s="6">
        <v>0</v>
      </c>
      <c r="D50" s="6">
        <v>42017</v>
      </c>
      <c r="E50" s="6">
        <v>50851.306232208321</v>
      </c>
      <c r="F50" s="28">
        <f>AVERAGE(F3:F49)</f>
        <v>0</v>
      </c>
      <c r="G50" s="28">
        <f t="shared" ref="G50:H50" si="0">AVERAGE(G3:G49)</f>
        <v>0.32450286895390651</v>
      </c>
      <c r="H50" s="28">
        <f t="shared" si="0"/>
        <v>0.38365649936046081</v>
      </c>
    </row>
  </sheetData>
  <mergeCells count="6">
    <mergeCell ref="H1:H2"/>
    <mergeCell ref="C1:E1"/>
    <mergeCell ref="B1:B2"/>
    <mergeCell ref="A1:A2"/>
    <mergeCell ref="F1:F2"/>
    <mergeCell ref="G1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7BDC-ECE2-4801-9BC3-802581922FCB}">
  <dimension ref="A1:H51"/>
  <sheetViews>
    <sheetView workbookViewId="0">
      <selection activeCell="A2" sqref="A2:H51"/>
    </sheetView>
  </sheetViews>
  <sheetFormatPr defaultRowHeight="14" x14ac:dyDescent="0.3"/>
  <cols>
    <col min="1" max="1" width="4.54296875" style="16" bestFit="1" customWidth="1"/>
    <col min="2" max="2" width="18.54296875" style="16" bestFit="1" customWidth="1"/>
    <col min="3" max="16384" width="8.7265625" style="16"/>
  </cols>
  <sheetData>
    <row r="1" spans="1:8" x14ac:dyDescent="0.3">
      <c r="C1" s="16" t="s">
        <v>78</v>
      </c>
    </row>
    <row r="2" spans="1:8" ht="14.5" customHeight="1" x14ac:dyDescent="0.3">
      <c r="A2" s="215" t="s">
        <v>52</v>
      </c>
      <c r="B2" s="217" t="s">
        <v>48</v>
      </c>
      <c r="C2" s="2" t="s">
        <v>78</v>
      </c>
      <c r="D2" s="2"/>
      <c r="E2" s="2"/>
      <c r="F2" s="216" t="s">
        <v>91</v>
      </c>
      <c r="G2" s="216" t="s">
        <v>92</v>
      </c>
      <c r="H2" s="216" t="s">
        <v>93</v>
      </c>
    </row>
    <row r="3" spans="1:8" ht="28" x14ac:dyDescent="0.3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">
      <c r="A4" s="2">
        <v>1</v>
      </c>
      <c r="B4" s="3" t="s">
        <v>0</v>
      </c>
      <c r="C4" s="4">
        <v>0</v>
      </c>
      <c r="D4" s="4">
        <v>6245</v>
      </c>
      <c r="E4" s="4">
        <v>6245</v>
      </c>
      <c r="F4" s="26">
        <v>0</v>
      </c>
      <c r="G4" s="26">
        <v>1.4894933950329436</v>
      </c>
      <c r="H4" s="26">
        <v>1.3907687031388054</v>
      </c>
    </row>
    <row r="5" spans="1:8" x14ac:dyDescent="0.3">
      <c r="A5" s="2">
        <v>2</v>
      </c>
      <c r="B5" s="3" t="s">
        <v>1</v>
      </c>
      <c r="C5" s="4">
        <v>0</v>
      </c>
      <c r="D5" s="4">
        <v>789</v>
      </c>
      <c r="E5" s="4">
        <v>158.67782920577551</v>
      </c>
      <c r="F5" s="26">
        <v>0</v>
      </c>
      <c r="G5" s="26">
        <v>0.25229001149310504</v>
      </c>
      <c r="H5" s="26">
        <v>4.4586216855729943E-2</v>
      </c>
    </row>
    <row r="6" spans="1:8" x14ac:dyDescent="0.3">
      <c r="A6" s="2">
        <v>3</v>
      </c>
      <c r="B6" s="3" t="s">
        <v>2</v>
      </c>
      <c r="C6" s="4">
        <v>206</v>
      </c>
      <c r="D6" s="4">
        <v>137</v>
      </c>
      <c r="E6" s="4">
        <v>352</v>
      </c>
      <c r="F6" s="26">
        <v>0.19983061929885557</v>
      </c>
      <c r="G6" s="26">
        <v>0.1147338006237248</v>
      </c>
      <c r="H6" s="26">
        <v>0.26361385842018609</v>
      </c>
    </row>
    <row r="7" spans="1:8" x14ac:dyDescent="0.3">
      <c r="A7" s="2">
        <v>4</v>
      </c>
      <c r="B7" s="3" t="s">
        <v>3</v>
      </c>
      <c r="C7" s="4">
        <v>0</v>
      </c>
      <c r="D7" s="4">
        <v>134</v>
      </c>
      <c r="E7" s="4">
        <v>94.242488834274042</v>
      </c>
      <c r="F7" s="26">
        <v>0</v>
      </c>
      <c r="G7" s="26">
        <v>0.54662452218795854</v>
      </c>
      <c r="H7" s="26">
        <v>0.35829613410153827</v>
      </c>
    </row>
    <row r="8" spans="1:8" x14ac:dyDescent="0.3">
      <c r="A8" s="2">
        <v>5</v>
      </c>
      <c r="B8" s="3" t="s">
        <v>4</v>
      </c>
      <c r="C8" s="4">
        <v>109</v>
      </c>
      <c r="D8" s="4">
        <v>128</v>
      </c>
      <c r="E8" s="4">
        <v>209</v>
      </c>
      <c r="F8" s="26">
        <v>6.1803969997858123E-2</v>
      </c>
      <c r="G8" s="26">
        <v>6.2767488186839984E-2</v>
      </c>
      <c r="H8" s="26">
        <v>9.2177028232015457E-2</v>
      </c>
    </row>
    <row r="9" spans="1:8" x14ac:dyDescent="0.3">
      <c r="A9" s="2">
        <v>6</v>
      </c>
      <c r="B9" s="3" t="s">
        <v>5</v>
      </c>
      <c r="C9" s="4">
        <v>0</v>
      </c>
      <c r="D9" s="4">
        <v>86</v>
      </c>
      <c r="E9" s="4">
        <v>101.23613817071244</v>
      </c>
      <c r="F9" s="26">
        <v>0</v>
      </c>
      <c r="G9" s="26">
        <v>7.4825080061748137E-2</v>
      </c>
      <c r="H9" s="26">
        <v>7.8541089515790127E-2</v>
      </c>
    </row>
    <row r="10" spans="1:8" x14ac:dyDescent="0.3">
      <c r="A10" s="2">
        <v>7</v>
      </c>
      <c r="B10" s="3" t="s">
        <v>6</v>
      </c>
      <c r="C10" s="4">
        <v>0</v>
      </c>
      <c r="D10" s="4">
        <v>124</v>
      </c>
      <c r="E10" s="4">
        <v>4864</v>
      </c>
      <c r="F10" s="26">
        <v>0</v>
      </c>
      <c r="G10" s="26">
        <v>4.9448200945844359E-2</v>
      </c>
      <c r="H10" s="26">
        <v>1.7424613158094178</v>
      </c>
    </row>
    <row r="11" spans="1:8" x14ac:dyDescent="0.3">
      <c r="A11" s="2">
        <v>8</v>
      </c>
      <c r="B11" s="3" t="s">
        <v>7</v>
      </c>
      <c r="C11" s="4">
        <v>0</v>
      </c>
      <c r="D11" s="4">
        <v>27</v>
      </c>
      <c r="E11" s="4">
        <v>27</v>
      </c>
      <c r="F11" s="26">
        <v>0</v>
      </c>
      <c r="G11" s="26">
        <v>0.47268783432816613</v>
      </c>
      <c r="H11" s="26">
        <v>0.45519721419304904</v>
      </c>
    </row>
    <row r="12" spans="1:8" x14ac:dyDescent="0.3">
      <c r="A12" s="2">
        <v>9</v>
      </c>
      <c r="B12" s="3" t="s">
        <v>8</v>
      </c>
      <c r="C12" s="4">
        <v>0</v>
      </c>
      <c r="D12" s="4">
        <v>3</v>
      </c>
      <c r="E12" s="4">
        <v>3</v>
      </c>
      <c r="F12" s="26">
        <v>0</v>
      </c>
      <c r="G12" s="26">
        <v>5.8883798711622491E-3</v>
      </c>
      <c r="H12" s="26">
        <v>5.3771694526229654E-3</v>
      </c>
    </row>
    <row r="13" spans="1:8" x14ac:dyDescent="0.3">
      <c r="A13" s="2">
        <v>10</v>
      </c>
      <c r="B13" s="3" t="s">
        <v>9</v>
      </c>
      <c r="C13" s="4">
        <v>0</v>
      </c>
      <c r="D13" s="4">
        <v>25</v>
      </c>
      <c r="E13" s="4">
        <v>48</v>
      </c>
      <c r="F13" s="26">
        <v>0</v>
      </c>
      <c r="G13" s="26">
        <v>1.6021317323978594E-2</v>
      </c>
      <c r="H13" s="26">
        <v>2.7082970287527194E-2</v>
      </c>
    </row>
    <row r="14" spans="1:8" x14ac:dyDescent="0.3">
      <c r="A14" s="2">
        <v>11</v>
      </c>
      <c r="B14" s="3" t="s">
        <v>10</v>
      </c>
      <c r="C14" s="4">
        <v>0</v>
      </c>
      <c r="D14" s="4">
        <v>498</v>
      </c>
      <c r="E14" s="4">
        <v>28.732466108010378</v>
      </c>
      <c r="F14" s="26">
        <v>0</v>
      </c>
      <c r="G14" s="26">
        <v>6.4149341728567073</v>
      </c>
      <c r="H14" s="26">
        <v>0.34337208465624669</v>
      </c>
    </row>
    <row r="15" spans="1:8" x14ac:dyDescent="0.3">
      <c r="A15" s="2">
        <v>12</v>
      </c>
      <c r="B15" s="3" t="s">
        <v>11</v>
      </c>
      <c r="C15" s="4">
        <v>0</v>
      </c>
      <c r="D15" s="4">
        <v>97</v>
      </c>
      <c r="E15" s="4">
        <v>97</v>
      </c>
      <c r="F15" s="26">
        <v>0</v>
      </c>
      <c r="G15" s="26">
        <v>0.17827402077021001</v>
      </c>
      <c r="H15" s="26">
        <v>0.16246752324458025</v>
      </c>
    </row>
    <row r="16" spans="1:8" x14ac:dyDescent="0.3">
      <c r="A16" s="2">
        <v>13</v>
      </c>
      <c r="B16" s="3" t="s">
        <v>12</v>
      </c>
      <c r="C16" s="4">
        <v>820</v>
      </c>
      <c r="D16" s="4">
        <v>3103</v>
      </c>
      <c r="E16" s="4">
        <v>3103</v>
      </c>
      <c r="F16" s="26">
        <v>0.36494291591837608</v>
      </c>
      <c r="G16" s="26">
        <v>1.2171496821691907</v>
      </c>
      <c r="H16" s="26">
        <v>1.1018963856964046</v>
      </c>
    </row>
    <row r="17" spans="1:8" x14ac:dyDescent="0.3">
      <c r="A17" s="2">
        <v>14</v>
      </c>
      <c r="B17" s="3" t="s">
        <v>13</v>
      </c>
      <c r="C17" s="4">
        <v>287</v>
      </c>
      <c r="D17" s="4">
        <v>338</v>
      </c>
      <c r="E17" s="4">
        <v>528</v>
      </c>
      <c r="F17" s="26">
        <v>3.9068869855073962E-2</v>
      </c>
      <c r="G17" s="26">
        <v>3.8811604738713222E-2</v>
      </c>
      <c r="H17" s="26">
        <v>5.3327832486612596E-2</v>
      </c>
    </row>
    <row r="18" spans="1:8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">
      <c r="A19" s="2">
        <v>16</v>
      </c>
      <c r="B19" s="3" t="s">
        <v>15</v>
      </c>
      <c r="C19" s="4">
        <v>0</v>
      </c>
      <c r="D19" s="4">
        <v>113</v>
      </c>
      <c r="E19" s="4">
        <v>141</v>
      </c>
      <c r="F19" s="26">
        <v>0</v>
      </c>
      <c r="G19" s="26">
        <v>0.32797595733061835</v>
      </c>
      <c r="H19" s="26">
        <v>0.3827328837986318</v>
      </c>
    </row>
    <row r="20" spans="1:8" x14ac:dyDescent="0.3">
      <c r="A20" s="2">
        <v>17</v>
      </c>
      <c r="B20" s="3" t="s">
        <v>16</v>
      </c>
      <c r="C20" s="4">
        <v>0</v>
      </c>
      <c r="D20" s="4">
        <v>47</v>
      </c>
      <c r="E20" s="4">
        <v>64</v>
      </c>
      <c r="F20" s="26">
        <v>0</v>
      </c>
      <c r="G20" s="26">
        <v>0.40502314879645646</v>
      </c>
      <c r="H20" s="26">
        <v>0.5325919209966461</v>
      </c>
    </row>
    <row r="21" spans="1:8" x14ac:dyDescent="0.3">
      <c r="A21" s="2">
        <v>18</v>
      </c>
      <c r="B21" s="3" t="s">
        <v>17</v>
      </c>
      <c r="C21" s="4">
        <v>0</v>
      </c>
      <c r="D21" s="4">
        <v>1041</v>
      </c>
      <c r="E21" s="4">
        <v>2513</v>
      </c>
      <c r="F21" s="26">
        <v>0</v>
      </c>
      <c r="G21" s="26">
        <v>9.3674549132516965E-2</v>
      </c>
      <c r="H21" s="26">
        <v>0.20367981340432731</v>
      </c>
    </row>
    <row r="22" spans="1:8" x14ac:dyDescent="0.3">
      <c r="A22" s="2">
        <v>19</v>
      </c>
      <c r="B22" s="3" t="s">
        <v>18</v>
      </c>
      <c r="C22" s="4">
        <v>0</v>
      </c>
      <c r="D22" s="4">
        <v>93</v>
      </c>
      <c r="E22" s="4">
        <v>478</v>
      </c>
      <c r="F22" s="26">
        <v>0</v>
      </c>
      <c r="G22" s="26">
        <v>0.42426784713492605</v>
      </c>
      <c r="H22" s="26">
        <v>2.000843451789823</v>
      </c>
    </row>
    <row r="23" spans="1:8" x14ac:dyDescent="0.3">
      <c r="A23" s="2">
        <v>20</v>
      </c>
      <c r="B23" s="3" t="s">
        <v>19</v>
      </c>
      <c r="C23" s="4">
        <v>32</v>
      </c>
      <c r="D23" s="4">
        <v>149</v>
      </c>
      <c r="E23" s="4">
        <v>172</v>
      </c>
      <c r="F23" s="26">
        <v>0.15059748375135509</v>
      </c>
      <c r="G23" s="26">
        <v>0.60942801499683696</v>
      </c>
      <c r="H23" s="26">
        <v>0.63562641722518043</v>
      </c>
    </row>
    <row r="24" spans="1:8" x14ac:dyDescent="0.3">
      <c r="A24" s="2">
        <v>21</v>
      </c>
      <c r="B24" s="3" t="s">
        <v>20</v>
      </c>
      <c r="C24" s="4">
        <v>0</v>
      </c>
      <c r="D24" s="4">
        <v>1476</v>
      </c>
      <c r="E24" s="4">
        <v>2703</v>
      </c>
      <c r="F24" s="26">
        <v>0</v>
      </c>
      <c r="G24" s="26">
        <v>0.47812419052335503</v>
      </c>
      <c r="H24" s="26">
        <v>0.80744726264847966</v>
      </c>
    </row>
    <row r="25" spans="1:8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26">
        <v>0</v>
      </c>
      <c r="G25" s="26">
        <v>0</v>
      </c>
      <c r="H25" s="26">
        <v>0</v>
      </c>
    </row>
    <row r="26" spans="1:8" x14ac:dyDescent="0.3">
      <c r="A26" s="2">
        <v>23</v>
      </c>
      <c r="B26" s="3" t="s">
        <v>22</v>
      </c>
      <c r="C26" s="4">
        <v>0</v>
      </c>
      <c r="D26" s="4">
        <v>17</v>
      </c>
      <c r="E26" s="4">
        <v>51</v>
      </c>
      <c r="F26" s="26">
        <v>0</v>
      </c>
      <c r="G26" s="26">
        <v>8.8313775728205576E-2</v>
      </c>
      <c r="H26" s="26">
        <v>0.24221521486745495</v>
      </c>
    </row>
    <row r="27" spans="1:8" x14ac:dyDescent="0.3">
      <c r="A27" s="2">
        <v>24</v>
      </c>
      <c r="B27" s="3" t="s">
        <v>23</v>
      </c>
      <c r="C27" s="4">
        <v>0</v>
      </c>
      <c r="D27" s="4">
        <v>430</v>
      </c>
      <c r="E27" s="4">
        <v>717</v>
      </c>
      <c r="F27" s="26">
        <v>0</v>
      </c>
      <c r="G27" s="26">
        <v>8.6080392199883324E-2</v>
      </c>
      <c r="H27" s="26">
        <v>0.13271022581524108</v>
      </c>
    </row>
    <row r="28" spans="1:8" x14ac:dyDescent="0.3">
      <c r="A28" s="2">
        <v>25</v>
      </c>
      <c r="B28" s="3" t="s">
        <v>24</v>
      </c>
      <c r="C28" s="4">
        <v>0</v>
      </c>
      <c r="D28" s="4">
        <v>41</v>
      </c>
      <c r="E28" s="4">
        <v>76</v>
      </c>
      <c r="F28" s="26">
        <v>0</v>
      </c>
      <c r="G28" s="26">
        <v>0.18653176931752574</v>
      </c>
      <c r="H28" s="26">
        <v>0.32959996322358276</v>
      </c>
    </row>
    <row r="29" spans="1:8" x14ac:dyDescent="0.3">
      <c r="A29" s="2">
        <v>26</v>
      </c>
      <c r="B29" s="3" t="s">
        <v>25</v>
      </c>
      <c r="C29" s="4">
        <v>0</v>
      </c>
      <c r="D29" s="4">
        <v>9</v>
      </c>
      <c r="E29" s="4">
        <v>9</v>
      </c>
      <c r="F29" s="26">
        <v>0</v>
      </c>
      <c r="G29" s="26">
        <v>1.8407200405940127E-2</v>
      </c>
      <c r="H29" s="26">
        <v>1.6972546528821922E-2</v>
      </c>
    </row>
    <row r="30" spans="1:8" x14ac:dyDescent="0.3">
      <c r="A30" s="2">
        <v>27</v>
      </c>
      <c r="B30" s="3" t="s">
        <v>26</v>
      </c>
      <c r="C30" s="4">
        <v>0</v>
      </c>
      <c r="D30" s="4">
        <v>214</v>
      </c>
      <c r="E30" s="4">
        <v>214</v>
      </c>
      <c r="F30" s="26">
        <v>0</v>
      </c>
      <c r="G30" s="26">
        <v>7.9712317501163366E-2</v>
      </c>
      <c r="H30" s="26">
        <v>7.2268697448584024E-2</v>
      </c>
    </row>
    <row r="31" spans="1:8" x14ac:dyDescent="0.3">
      <c r="A31" s="2">
        <v>28</v>
      </c>
      <c r="B31" s="3" t="s">
        <v>27</v>
      </c>
      <c r="C31" s="4">
        <v>0</v>
      </c>
      <c r="D31" s="4">
        <v>44</v>
      </c>
      <c r="E31" s="4">
        <v>610</v>
      </c>
      <c r="F31" s="26">
        <v>0</v>
      </c>
      <c r="G31" s="26">
        <v>2.3954856419762711E-2</v>
      </c>
      <c r="H31" s="26">
        <v>0.29894169982612101</v>
      </c>
    </row>
    <row r="32" spans="1:8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26">
        <v>0</v>
      </c>
      <c r="G32" s="26">
        <v>0</v>
      </c>
      <c r="H32" s="26">
        <v>0</v>
      </c>
    </row>
    <row r="33" spans="1:8" x14ac:dyDescent="0.3">
      <c r="A33" s="2">
        <v>30</v>
      </c>
      <c r="B33" s="3" t="s">
        <v>29</v>
      </c>
      <c r="C33" s="4">
        <v>0</v>
      </c>
      <c r="D33" s="4">
        <v>0</v>
      </c>
      <c r="E33" s="4">
        <v>0</v>
      </c>
      <c r="F33" s="26">
        <v>0</v>
      </c>
      <c r="G33" s="26">
        <v>0</v>
      </c>
      <c r="H33" s="26">
        <v>0</v>
      </c>
    </row>
    <row r="34" spans="1:8" x14ac:dyDescent="0.3">
      <c r="A34" s="2">
        <v>31</v>
      </c>
      <c r="B34" s="3" t="s">
        <v>30</v>
      </c>
      <c r="C34" s="4">
        <v>0</v>
      </c>
      <c r="D34" s="4">
        <v>213</v>
      </c>
      <c r="E34" s="4">
        <v>213</v>
      </c>
      <c r="F34" s="26">
        <v>0</v>
      </c>
      <c r="G34" s="26">
        <v>1.644303241940694</v>
      </c>
      <c r="H34" s="26">
        <v>1.6391310604562344</v>
      </c>
    </row>
    <row r="35" spans="1:8" x14ac:dyDescent="0.3">
      <c r="A35" s="2">
        <v>32</v>
      </c>
      <c r="B35" s="3" t="s">
        <v>31</v>
      </c>
      <c r="C35" s="4">
        <v>238</v>
      </c>
      <c r="D35" s="4">
        <v>206</v>
      </c>
      <c r="E35" s="4">
        <v>276</v>
      </c>
      <c r="F35" s="26">
        <v>9.4250964419033315E-2</v>
      </c>
      <c r="G35" s="26">
        <v>7.0011164571659054E-2</v>
      </c>
      <c r="H35" s="26">
        <v>8.3713688448316267E-2</v>
      </c>
    </row>
    <row r="36" spans="1:8" x14ac:dyDescent="0.3">
      <c r="A36" s="2">
        <v>33</v>
      </c>
      <c r="B36" s="3" t="s">
        <v>32</v>
      </c>
      <c r="C36" s="4">
        <v>0</v>
      </c>
      <c r="D36" s="4">
        <v>303</v>
      </c>
      <c r="E36" s="4">
        <v>437.77187987519505</v>
      </c>
      <c r="F36" s="26">
        <v>0</v>
      </c>
      <c r="G36" s="26">
        <v>1.2595188762597525</v>
      </c>
      <c r="H36" s="26">
        <v>1.7053749441235486</v>
      </c>
    </row>
    <row r="37" spans="1:8" x14ac:dyDescent="0.3">
      <c r="A37" s="2">
        <v>34</v>
      </c>
      <c r="B37" s="3" t="s">
        <v>33</v>
      </c>
      <c r="C37" s="4">
        <v>0</v>
      </c>
      <c r="D37" s="4">
        <v>82</v>
      </c>
      <c r="E37" s="4">
        <v>82</v>
      </c>
      <c r="F37" s="26">
        <v>0</v>
      </c>
      <c r="G37" s="26">
        <v>3.6320055518305361E-2</v>
      </c>
      <c r="H37" s="26">
        <v>3.1288184343419262E-2</v>
      </c>
    </row>
    <row r="38" spans="1:8" x14ac:dyDescent="0.3">
      <c r="A38" s="2">
        <v>35</v>
      </c>
      <c r="B38" s="3" t="s">
        <v>34</v>
      </c>
      <c r="C38" s="4">
        <v>0</v>
      </c>
      <c r="D38" s="4">
        <v>2648</v>
      </c>
      <c r="E38" s="4">
        <v>4262</v>
      </c>
      <c r="F38" s="26">
        <v>0</v>
      </c>
      <c r="G38" s="26">
        <v>0.13347606837984019</v>
      </c>
      <c r="H38" s="26">
        <v>0.19502042524368451</v>
      </c>
    </row>
    <row r="39" spans="1:8" x14ac:dyDescent="0.3">
      <c r="A39" s="2">
        <v>36</v>
      </c>
      <c r="B39" s="3" t="s">
        <v>35</v>
      </c>
      <c r="C39" s="4">
        <v>116</v>
      </c>
      <c r="D39" s="4">
        <v>152</v>
      </c>
      <c r="E39" s="4">
        <v>152</v>
      </c>
      <c r="F39" s="26">
        <v>0.10449180074908915</v>
      </c>
      <c r="G39" s="26">
        <v>0.12129136200025417</v>
      </c>
      <c r="H39" s="26">
        <v>0.11033123141449543</v>
      </c>
    </row>
    <row r="40" spans="1:8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26">
        <v>0</v>
      </c>
      <c r="G40" s="26">
        <v>0</v>
      </c>
      <c r="H40" s="26">
        <v>0</v>
      </c>
    </row>
    <row r="41" spans="1:8" x14ac:dyDescent="0.3">
      <c r="A41" s="2">
        <v>38</v>
      </c>
      <c r="B41" s="3" t="s">
        <v>37</v>
      </c>
      <c r="C41" s="4">
        <v>22</v>
      </c>
      <c r="D41" s="4">
        <v>542</v>
      </c>
      <c r="E41" s="4">
        <v>277.3877360522726</v>
      </c>
      <c r="F41" s="26">
        <v>1.6181746908578397E-2</v>
      </c>
      <c r="G41" s="26">
        <v>0.34799561268704687</v>
      </c>
      <c r="H41" s="26">
        <v>0.16018742413775053</v>
      </c>
    </row>
    <row r="42" spans="1:8" x14ac:dyDescent="0.3">
      <c r="A42" s="2">
        <v>39</v>
      </c>
      <c r="B42" s="3" t="s">
        <v>38</v>
      </c>
      <c r="C42" s="4">
        <v>0</v>
      </c>
      <c r="D42" s="4">
        <v>7</v>
      </c>
      <c r="E42" s="4">
        <v>7</v>
      </c>
      <c r="F42" s="26">
        <v>0</v>
      </c>
      <c r="G42" s="26">
        <v>0.67894588801272515</v>
      </c>
      <c r="H42" s="26">
        <v>0.65348189155001235</v>
      </c>
    </row>
    <row r="43" spans="1:8" x14ac:dyDescent="0.3">
      <c r="A43" s="2">
        <v>40</v>
      </c>
      <c r="B43" s="3" t="s">
        <v>39</v>
      </c>
      <c r="C43" s="4">
        <v>0</v>
      </c>
      <c r="D43" s="4">
        <v>22</v>
      </c>
      <c r="E43" s="4">
        <v>50</v>
      </c>
      <c r="F43" s="26">
        <v>0</v>
      </c>
      <c r="G43" s="26">
        <v>2.7985260926304503E-2</v>
      </c>
      <c r="H43" s="26">
        <v>5.8100904538122174E-2</v>
      </c>
    </row>
    <row r="44" spans="1:8" x14ac:dyDescent="0.3">
      <c r="A44" s="2">
        <v>41</v>
      </c>
      <c r="B44" s="3" t="s">
        <v>40</v>
      </c>
      <c r="C44" s="4">
        <v>8476</v>
      </c>
      <c r="D44" s="4">
        <v>8878</v>
      </c>
      <c r="E44" s="4">
        <v>9281</v>
      </c>
      <c r="F44" s="26">
        <v>1.5733118786754541</v>
      </c>
      <c r="G44" s="26">
        <v>1.5483181921196389</v>
      </c>
      <c r="H44" s="26">
        <v>1.5495738709421347</v>
      </c>
    </row>
    <row r="45" spans="1:8" x14ac:dyDescent="0.3">
      <c r="A45" s="2">
        <v>42</v>
      </c>
      <c r="B45" s="3" t="s">
        <v>41</v>
      </c>
      <c r="C45" s="4">
        <v>0</v>
      </c>
      <c r="D45" s="4">
        <v>6</v>
      </c>
      <c r="E45" s="4">
        <v>16</v>
      </c>
      <c r="F45" s="26">
        <v>0</v>
      </c>
      <c r="G45" s="26">
        <v>5.7718228171603414E-3</v>
      </c>
      <c r="H45" s="26">
        <v>1.4661193337752156E-2</v>
      </c>
    </row>
    <row r="46" spans="1:8" x14ac:dyDescent="0.3">
      <c r="A46" s="2">
        <v>43</v>
      </c>
      <c r="B46" s="3" t="s">
        <v>42</v>
      </c>
      <c r="C46" s="4">
        <v>223</v>
      </c>
      <c r="D46" s="4">
        <v>681</v>
      </c>
      <c r="E46" s="4">
        <v>703.45775095911006</v>
      </c>
      <c r="F46" s="26">
        <v>4.5275838324529229E-2</v>
      </c>
      <c r="G46" s="26">
        <v>0.11723098754815829</v>
      </c>
      <c r="H46" s="26">
        <v>0.10740182257245083</v>
      </c>
    </row>
    <row r="47" spans="1:8" x14ac:dyDescent="0.3">
      <c r="A47" s="2">
        <v>44</v>
      </c>
      <c r="B47" s="3" t="s">
        <v>43</v>
      </c>
      <c r="C47" s="4">
        <v>0</v>
      </c>
      <c r="D47" s="4">
        <v>148</v>
      </c>
      <c r="E47" s="4">
        <v>114.84136409908382</v>
      </c>
      <c r="F47" s="26">
        <v>0</v>
      </c>
      <c r="G47" s="26">
        <v>0.1839268100541851</v>
      </c>
      <c r="H47" s="26">
        <v>0.12978333943583206</v>
      </c>
    </row>
    <row r="48" spans="1:8" x14ac:dyDescent="0.3">
      <c r="A48" s="2">
        <v>45</v>
      </c>
      <c r="B48" s="3" t="s">
        <v>44</v>
      </c>
      <c r="C48" s="4">
        <v>121</v>
      </c>
      <c r="D48" s="4">
        <v>42</v>
      </c>
      <c r="E48" s="4">
        <v>1249</v>
      </c>
      <c r="F48" s="26">
        <v>3.4303304145284992E-2</v>
      </c>
      <c r="G48" s="26">
        <v>1.0116728986921595E-2</v>
      </c>
      <c r="H48" s="26">
        <v>0.26434094606333591</v>
      </c>
    </row>
    <row r="49" spans="1:8" x14ac:dyDescent="0.3">
      <c r="A49" s="2">
        <v>46</v>
      </c>
      <c r="B49" s="3" t="s">
        <v>45</v>
      </c>
      <c r="C49" s="4">
        <v>500</v>
      </c>
      <c r="D49" s="4">
        <v>761</v>
      </c>
      <c r="E49" s="4">
        <v>2633</v>
      </c>
      <c r="F49" s="26">
        <v>0.32819218093943853</v>
      </c>
      <c r="G49" s="26">
        <v>0.42666773118677087</v>
      </c>
      <c r="H49" s="26">
        <v>1.3153375704221393</v>
      </c>
    </row>
    <row r="50" spans="1:8" x14ac:dyDescent="0.3">
      <c r="A50" s="2">
        <v>47</v>
      </c>
      <c r="B50" s="3" t="s">
        <v>46</v>
      </c>
      <c r="C50" s="4">
        <v>239</v>
      </c>
      <c r="D50" s="4">
        <v>480</v>
      </c>
      <c r="E50" s="4">
        <v>434.81572579045508</v>
      </c>
      <c r="F50" s="26">
        <v>0.17631321903195693</v>
      </c>
      <c r="G50" s="26">
        <v>0.3188906008589848</v>
      </c>
      <c r="H50" s="26">
        <v>0.2664224380548601</v>
      </c>
    </row>
    <row r="51" spans="1:8" x14ac:dyDescent="0.3">
      <c r="A51" s="2">
        <v>48</v>
      </c>
      <c r="B51" s="5" t="s">
        <v>47</v>
      </c>
      <c r="C51" s="6">
        <v>11389</v>
      </c>
      <c r="D51" s="6">
        <v>30579</v>
      </c>
      <c r="E51" s="6">
        <v>43796.163379094884</v>
      </c>
      <c r="F51" s="28">
        <f>AVERAGE(F4:F50)</f>
        <v>6.7841804085423035E-2</v>
      </c>
      <c r="G51" s="28">
        <f t="shared" ref="G51:H51" si="0">AVERAGE(G4:G50)</f>
        <v>0.4401322113605507</v>
      </c>
      <c r="H51" s="28">
        <f t="shared" si="0"/>
        <v>0.42678609699462783</v>
      </c>
    </row>
  </sheetData>
  <mergeCells count="5">
    <mergeCell ref="H2:H3"/>
    <mergeCell ref="G2:G3"/>
    <mergeCell ref="F2:F3"/>
    <mergeCell ref="B2:B3"/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45BA-224A-45AF-9E57-B041D7E207B8}">
  <dimension ref="A1:H50"/>
  <sheetViews>
    <sheetView topLeftCell="A31" workbookViewId="0">
      <selection sqref="A1:H50"/>
    </sheetView>
  </sheetViews>
  <sheetFormatPr defaultRowHeight="14" x14ac:dyDescent="0.3"/>
  <cols>
    <col min="1" max="1" width="5.6328125" style="16" customWidth="1"/>
    <col min="2" max="2" width="18.54296875" style="16" bestFit="1" customWidth="1"/>
    <col min="3" max="16384" width="8.7265625" style="16"/>
  </cols>
  <sheetData>
    <row r="1" spans="1:8" ht="14.5" customHeight="1" x14ac:dyDescent="0.3">
      <c r="A1" s="219" t="s">
        <v>52</v>
      </c>
      <c r="B1" s="224" t="s">
        <v>48</v>
      </c>
      <c r="C1" s="221" t="s">
        <v>79</v>
      </c>
      <c r="D1" s="221"/>
      <c r="E1" s="221"/>
      <c r="F1" s="222" t="s">
        <v>91</v>
      </c>
      <c r="G1" s="222" t="s">
        <v>92</v>
      </c>
      <c r="H1" s="222" t="s">
        <v>93</v>
      </c>
    </row>
    <row r="2" spans="1:8" ht="28" x14ac:dyDescent="0.3">
      <c r="A2" s="220"/>
      <c r="B2" s="225"/>
      <c r="C2" s="11">
        <v>2013</v>
      </c>
      <c r="D2" s="11">
        <v>2018</v>
      </c>
      <c r="E2" s="11" t="s">
        <v>51</v>
      </c>
      <c r="F2" s="223"/>
      <c r="G2" s="223"/>
      <c r="H2" s="223"/>
    </row>
    <row r="3" spans="1:8" x14ac:dyDescent="0.3">
      <c r="A3" s="2">
        <v>1</v>
      </c>
      <c r="B3" s="3" t="s">
        <v>0</v>
      </c>
      <c r="C3" s="4">
        <v>0</v>
      </c>
      <c r="D3" s="4">
        <v>610</v>
      </c>
      <c r="E3" s="4">
        <v>610</v>
      </c>
      <c r="F3" s="26">
        <v>0</v>
      </c>
      <c r="G3" s="26">
        <v>0.14549094811370625</v>
      </c>
      <c r="H3" s="26">
        <v>0.1358477035892188</v>
      </c>
    </row>
    <row r="4" spans="1:8" x14ac:dyDescent="0.3">
      <c r="A4" s="2">
        <v>2</v>
      </c>
      <c r="B4" s="3" t="s">
        <v>1</v>
      </c>
      <c r="C4" s="4">
        <v>0</v>
      </c>
      <c r="D4" s="4">
        <v>190</v>
      </c>
      <c r="E4" s="4">
        <v>173.50753286986668</v>
      </c>
      <c r="F4" s="26">
        <v>0</v>
      </c>
      <c r="G4" s="26">
        <v>6.0754248648529727E-2</v>
      </c>
      <c r="H4" s="26">
        <v>4.8753153010471055E-2</v>
      </c>
    </row>
    <row r="5" spans="1:8" x14ac:dyDescent="0.3">
      <c r="A5" s="2">
        <v>3</v>
      </c>
      <c r="B5" s="3" t="s">
        <v>2</v>
      </c>
      <c r="C5" s="4">
        <v>0</v>
      </c>
      <c r="D5" s="4">
        <v>0</v>
      </c>
      <c r="E5" s="4">
        <v>0</v>
      </c>
      <c r="F5" s="26">
        <v>0</v>
      </c>
      <c r="G5" s="26">
        <v>0</v>
      </c>
      <c r="H5" s="26">
        <v>0</v>
      </c>
    </row>
    <row r="6" spans="1:8" x14ac:dyDescent="0.3">
      <c r="A6" s="2">
        <v>4</v>
      </c>
      <c r="B6" s="3" t="s">
        <v>3</v>
      </c>
      <c r="C6" s="4">
        <v>0</v>
      </c>
      <c r="D6" s="4">
        <v>73</v>
      </c>
      <c r="E6" s="4">
        <v>74</v>
      </c>
      <c r="F6" s="26">
        <v>0</v>
      </c>
      <c r="G6" s="26">
        <v>0.29778798596806699</v>
      </c>
      <c r="H6" s="26">
        <v>0.28133715749101984</v>
      </c>
    </row>
    <row r="7" spans="1:8" x14ac:dyDescent="0.3">
      <c r="A7" s="2">
        <v>5</v>
      </c>
      <c r="B7" s="3" t="s">
        <v>4</v>
      </c>
      <c r="C7" s="4">
        <v>0</v>
      </c>
      <c r="D7" s="4">
        <v>4</v>
      </c>
      <c r="E7" s="4">
        <v>44</v>
      </c>
      <c r="F7" s="26">
        <v>0</v>
      </c>
      <c r="G7" s="26">
        <v>1.9614840058387495E-3</v>
      </c>
      <c r="H7" s="26">
        <v>1.9405690154108517E-2</v>
      </c>
    </row>
    <row r="8" spans="1:8" x14ac:dyDescent="0.3">
      <c r="A8" s="2">
        <v>6</v>
      </c>
      <c r="B8" s="3" t="s">
        <v>5</v>
      </c>
      <c r="C8" s="4">
        <v>0</v>
      </c>
      <c r="D8" s="4">
        <v>108</v>
      </c>
      <c r="E8" s="4">
        <v>108</v>
      </c>
      <c r="F8" s="26">
        <v>0</v>
      </c>
      <c r="G8" s="26">
        <v>9.3966379612427903E-2</v>
      </c>
      <c r="H8" s="26">
        <v>8.3788633396915752E-2</v>
      </c>
    </row>
    <row r="9" spans="1:8" x14ac:dyDescent="0.3">
      <c r="A9" s="2">
        <v>7</v>
      </c>
      <c r="B9" s="3" t="s">
        <v>6</v>
      </c>
      <c r="C9" s="4">
        <v>0</v>
      </c>
      <c r="D9" s="4">
        <v>0</v>
      </c>
      <c r="E9" s="4">
        <v>85</v>
      </c>
      <c r="F9" s="26">
        <v>0</v>
      </c>
      <c r="G9" s="26">
        <v>0</v>
      </c>
      <c r="H9" s="26">
        <v>3.0450084671833987E-2</v>
      </c>
    </row>
    <row r="10" spans="1:8" x14ac:dyDescent="0.3">
      <c r="A10" s="2">
        <v>8</v>
      </c>
      <c r="B10" s="3" t="s">
        <v>7</v>
      </c>
      <c r="C10" s="4">
        <v>0</v>
      </c>
      <c r="D10" s="4">
        <v>14</v>
      </c>
      <c r="E10" s="4">
        <v>14</v>
      </c>
      <c r="F10" s="26">
        <v>0</v>
      </c>
      <c r="G10" s="26">
        <v>0.24509739557756763</v>
      </c>
      <c r="H10" s="26">
        <v>0.23602818513713655</v>
      </c>
    </row>
    <row r="11" spans="1:8" x14ac:dyDescent="0.3">
      <c r="A11" s="2">
        <v>9</v>
      </c>
      <c r="B11" s="3" t="s">
        <v>8</v>
      </c>
      <c r="C11" s="4">
        <v>0</v>
      </c>
      <c r="D11" s="4">
        <v>20</v>
      </c>
      <c r="E11" s="4">
        <v>20</v>
      </c>
      <c r="F11" s="26">
        <v>0</v>
      </c>
      <c r="G11" s="26">
        <v>3.9255865807748327E-2</v>
      </c>
      <c r="H11" s="26">
        <v>3.584779635081977E-2</v>
      </c>
    </row>
    <row r="12" spans="1:8" x14ac:dyDescent="0.3">
      <c r="A12" s="2">
        <v>10</v>
      </c>
      <c r="B12" s="3" t="s">
        <v>9</v>
      </c>
      <c r="C12" s="4">
        <v>0</v>
      </c>
      <c r="D12" s="4">
        <v>6</v>
      </c>
      <c r="E12" s="4">
        <v>6</v>
      </c>
      <c r="F12" s="26">
        <v>0</v>
      </c>
      <c r="G12" s="26">
        <v>3.8451161577548621E-3</v>
      </c>
      <c r="H12" s="26">
        <v>3.3853712859408993E-3</v>
      </c>
    </row>
    <row r="13" spans="1:8" x14ac:dyDescent="0.3">
      <c r="A13" s="2">
        <v>11</v>
      </c>
      <c r="B13" s="3" t="s">
        <v>10</v>
      </c>
      <c r="C13" s="4">
        <v>0</v>
      </c>
      <c r="D13" s="4">
        <v>0</v>
      </c>
      <c r="E13" s="4">
        <v>0</v>
      </c>
      <c r="F13" s="26">
        <v>0</v>
      </c>
      <c r="G13" s="26">
        <v>0</v>
      </c>
      <c r="H13" s="26">
        <v>0</v>
      </c>
    </row>
    <row r="14" spans="1:8" x14ac:dyDescent="0.3">
      <c r="A14" s="2">
        <v>12</v>
      </c>
      <c r="B14" s="3" t="s">
        <v>11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">
      <c r="A15" s="2">
        <v>13</v>
      </c>
      <c r="B15" s="3" t="s">
        <v>12</v>
      </c>
      <c r="C15" s="4">
        <v>0</v>
      </c>
      <c r="D15" s="4">
        <v>123</v>
      </c>
      <c r="E15" s="4">
        <v>123</v>
      </c>
      <c r="F15" s="26">
        <v>0</v>
      </c>
      <c r="G15" s="26">
        <v>4.82466680331326E-2</v>
      </c>
      <c r="H15" s="26">
        <v>4.3678135817163316E-2</v>
      </c>
    </row>
    <row r="16" spans="1:8" x14ac:dyDescent="0.3">
      <c r="A16" s="2">
        <v>14</v>
      </c>
      <c r="B16" s="3" t="s">
        <v>13</v>
      </c>
      <c r="C16" s="4">
        <v>0</v>
      </c>
      <c r="D16" s="4">
        <v>0</v>
      </c>
      <c r="E16" s="4">
        <v>0</v>
      </c>
      <c r="F16" s="26">
        <v>0</v>
      </c>
      <c r="G16" s="26">
        <v>0</v>
      </c>
      <c r="H16" s="26">
        <v>0</v>
      </c>
    </row>
    <row r="17" spans="1:8" x14ac:dyDescent="0.3">
      <c r="A17" s="2">
        <v>15</v>
      </c>
      <c r="B17" s="3" t="s">
        <v>14</v>
      </c>
      <c r="C17" s="4">
        <v>0</v>
      </c>
      <c r="D17" s="4">
        <v>0</v>
      </c>
      <c r="E17" s="4">
        <v>0</v>
      </c>
      <c r="F17" s="26">
        <v>0</v>
      </c>
      <c r="G17" s="26">
        <v>0</v>
      </c>
      <c r="H17" s="26">
        <v>0</v>
      </c>
    </row>
    <row r="18" spans="1:8" x14ac:dyDescent="0.3">
      <c r="A18" s="2">
        <v>16</v>
      </c>
      <c r="B18" s="3" t="s">
        <v>15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">
      <c r="A19" s="2">
        <v>17</v>
      </c>
      <c r="B19" s="3" t="s">
        <v>16</v>
      </c>
      <c r="C19" s="4">
        <v>0</v>
      </c>
      <c r="D19" s="4">
        <v>2084</v>
      </c>
      <c r="E19" s="4">
        <v>2084</v>
      </c>
      <c r="F19" s="26">
        <v>0</v>
      </c>
      <c r="G19" s="26">
        <v>17.958898767910963</v>
      </c>
      <c r="H19" s="26">
        <v>17.342524427453288</v>
      </c>
    </row>
    <row r="20" spans="1:8" x14ac:dyDescent="0.3">
      <c r="A20" s="2">
        <v>18</v>
      </c>
      <c r="B20" s="3" t="s">
        <v>17</v>
      </c>
      <c r="C20" s="4">
        <v>0</v>
      </c>
      <c r="D20" s="4">
        <v>2953</v>
      </c>
      <c r="E20" s="4">
        <v>2953</v>
      </c>
      <c r="F20" s="26">
        <v>0</v>
      </c>
      <c r="G20" s="26">
        <v>0.26572617059396986</v>
      </c>
      <c r="H20" s="26">
        <v>0.23934201710424932</v>
      </c>
    </row>
    <row r="21" spans="1:8" x14ac:dyDescent="0.3">
      <c r="A21" s="2">
        <v>19</v>
      </c>
      <c r="B21" s="3" t="s">
        <v>18</v>
      </c>
      <c r="C21" s="4">
        <v>0</v>
      </c>
      <c r="D21" s="4">
        <v>127</v>
      </c>
      <c r="E21" s="4">
        <v>1.1109656015365812</v>
      </c>
      <c r="F21" s="26">
        <v>0</v>
      </c>
      <c r="G21" s="26">
        <v>0.57937652243156568</v>
      </c>
      <c r="H21" s="26">
        <v>4.6503519853519047E-3</v>
      </c>
    </row>
    <row r="22" spans="1:8" x14ac:dyDescent="0.3">
      <c r="A22" s="2">
        <v>20</v>
      </c>
      <c r="B22" s="3" t="s">
        <v>19</v>
      </c>
      <c r="C22" s="4">
        <v>0</v>
      </c>
      <c r="D22" s="4">
        <v>0</v>
      </c>
      <c r="E22" s="4">
        <v>0</v>
      </c>
      <c r="F22" s="26">
        <v>0</v>
      </c>
      <c r="G22" s="26">
        <v>0</v>
      </c>
      <c r="H22" s="26">
        <v>0</v>
      </c>
    </row>
    <row r="23" spans="1:8" x14ac:dyDescent="0.3">
      <c r="A23" s="2">
        <v>21</v>
      </c>
      <c r="B23" s="3" t="s">
        <v>20</v>
      </c>
      <c r="C23" s="4">
        <v>0</v>
      </c>
      <c r="D23" s="4">
        <v>3883</v>
      </c>
      <c r="E23" s="4">
        <v>4289.2300074478444</v>
      </c>
      <c r="F23" s="26">
        <v>0</v>
      </c>
      <c r="G23" s="26">
        <v>1.2578294253402356</v>
      </c>
      <c r="H23" s="26">
        <v>1.2812900585954421</v>
      </c>
    </row>
    <row r="24" spans="1:8" x14ac:dyDescent="0.3">
      <c r="A24" s="2">
        <v>22</v>
      </c>
      <c r="B24" s="3" t="s">
        <v>21</v>
      </c>
      <c r="C24" s="4">
        <v>0</v>
      </c>
      <c r="D24" s="4">
        <v>66</v>
      </c>
      <c r="E24" s="4">
        <v>66</v>
      </c>
      <c r="F24" s="26">
        <v>0</v>
      </c>
      <c r="G24" s="26">
        <v>5.2569265084461893E-2</v>
      </c>
      <c r="H24" s="26">
        <v>4.7621313582706173E-2</v>
      </c>
    </row>
    <row r="25" spans="1:8" x14ac:dyDescent="0.3">
      <c r="A25" s="2">
        <v>23</v>
      </c>
      <c r="B25" s="3" t="s">
        <v>22</v>
      </c>
      <c r="C25" s="4">
        <v>0</v>
      </c>
      <c r="D25" s="4">
        <v>24</v>
      </c>
      <c r="E25" s="4">
        <v>24</v>
      </c>
      <c r="F25" s="26">
        <v>0</v>
      </c>
      <c r="G25" s="26">
        <v>0.12467827161629022</v>
      </c>
      <c r="H25" s="26">
        <v>0.11398363052586115</v>
      </c>
    </row>
    <row r="26" spans="1:8" x14ac:dyDescent="0.3">
      <c r="A26" s="2">
        <v>24</v>
      </c>
      <c r="B26" s="3" t="s">
        <v>23</v>
      </c>
      <c r="C26" s="4">
        <v>0</v>
      </c>
      <c r="D26" s="4">
        <v>2419</v>
      </c>
      <c r="E26" s="4">
        <v>2419</v>
      </c>
      <c r="F26" s="26">
        <v>0</v>
      </c>
      <c r="G26" s="26">
        <v>0.48425225286399481</v>
      </c>
      <c r="H26" s="26">
        <v>0.44773505752729176</v>
      </c>
    </row>
    <row r="27" spans="1:8" x14ac:dyDescent="0.3">
      <c r="A27" s="2">
        <v>25</v>
      </c>
      <c r="B27" s="3" t="s">
        <v>24</v>
      </c>
      <c r="C27" s="4">
        <v>0</v>
      </c>
      <c r="D27" s="4">
        <v>349</v>
      </c>
      <c r="E27" s="4">
        <v>349</v>
      </c>
      <c r="F27" s="26">
        <v>0</v>
      </c>
      <c r="G27" s="26">
        <v>1.5877948168735729</v>
      </c>
      <c r="H27" s="26">
        <v>1.5135577258556629</v>
      </c>
    </row>
    <row r="28" spans="1:8" x14ac:dyDescent="0.3">
      <c r="A28" s="2">
        <v>26</v>
      </c>
      <c r="B28" s="3" t="s">
        <v>25</v>
      </c>
      <c r="C28" s="4">
        <v>0</v>
      </c>
      <c r="D28" s="4">
        <v>65</v>
      </c>
      <c r="E28" s="4">
        <v>65</v>
      </c>
      <c r="F28" s="26">
        <v>0</v>
      </c>
      <c r="G28" s="26">
        <v>0.1329408918206787</v>
      </c>
      <c r="H28" s="26">
        <v>0.12257950270815832</v>
      </c>
    </row>
    <row r="29" spans="1:8" x14ac:dyDescent="0.3">
      <c r="A29" s="2">
        <v>27</v>
      </c>
      <c r="B29" s="3" t="s">
        <v>26</v>
      </c>
      <c r="C29" s="4">
        <v>0</v>
      </c>
      <c r="D29" s="4">
        <v>11</v>
      </c>
      <c r="E29" s="4">
        <v>11</v>
      </c>
      <c r="F29" s="26">
        <v>0</v>
      </c>
      <c r="G29" s="26">
        <v>4.0973621145457811E-3</v>
      </c>
      <c r="H29" s="26">
        <v>3.7147461305346925E-3</v>
      </c>
    </row>
    <row r="30" spans="1:8" x14ac:dyDescent="0.3">
      <c r="A30" s="2">
        <v>28</v>
      </c>
      <c r="B30" s="3" t="s">
        <v>27</v>
      </c>
      <c r="C30" s="4">
        <v>0</v>
      </c>
      <c r="D30" s="4">
        <v>306</v>
      </c>
      <c r="E30" s="4">
        <v>306</v>
      </c>
      <c r="F30" s="26">
        <v>0</v>
      </c>
      <c r="G30" s="26">
        <v>0.16659513782834975</v>
      </c>
      <c r="H30" s="26">
        <v>0.14996091827343119</v>
      </c>
    </row>
    <row r="31" spans="1:8" x14ac:dyDescent="0.3">
      <c r="A31" s="2">
        <v>29</v>
      </c>
      <c r="B31" s="3" t="s">
        <v>28</v>
      </c>
      <c r="C31" s="4">
        <v>0</v>
      </c>
      <c r="D31" s="4">
        <v>0</v>
      </c>
      <c r="E31" s="4">
        <v>0</v>
      </c>
      <c r="F31" s="26">
        <v>0</v>
      </c>
      <c r="G31" s="26">
        <v>0</v>
      </c>
      <c r="H31" s="26">
        <v>0</v>
      </c>
    </row>
    <row r="32" spans="1:8" x14ac:dyDescent="0.3">
      <c r="A32" s="2">
        <v>30</v>
      </c>
      <c r="B32" s="3" t="s">
        <v>29</v>
      </c>
      <c r="C32" s="4">
        <v>0</v>
      </c>
      <c r="D32" s="4">
        <v>15</v>
      </c>
      <c r="E32" s="4">
        <v>15</v>
      </c>
      <c r="F32" s="26">
        <v>0</v>
      </c>
      <c r="G32" s="26">
        <v>3.512295316600058E-2</v>
      </c>
      <c r="H32" s="26">
        <v>3.1671367753353531E-2</v>
      </c>
    </row>
    <row r="33" spans="1:8" x14ac:dyDescent="0.3">
      <c r="A33" s="2">
        <v>31</v>
      </c>
      <c r="B33" s="3" t="s">
        <v>30</v>
      </c>
      <c r="C33" s="4">
        <v>0</v>
      </c>
      <c r="D33" s="4">
        <v>416</v>
      </c>
      <c r="E33" s="4">
        <v>445.73747817913255</v>
      </c>
      <c r="F33" s="26">
        <v>0</v>
      </c>
      <c r="G33" s="26">
        <v>3.2114091485790084</v>
      </c>
      <c r="H33" s="26">
        <v>3.4301509168678366</v>
      </c>
    </row>
    <row r="34" spans="1:8" x14ac:dyDescent="0.3">
      <c r="A34" s="2">
        <v>32</v>
      </c>
      <c r="B34" s="3" t="s">
        <v>31</v>
      </c>
      <c r="C34" s="4">
        <v>0</v>
      </c>
      <c r="D34" s="4">
        <v>59</v>
      </c>
      <c r="E34" s="4">
        <v>172</v>
      </c>
      <c r="F34" s="26">
        <v>0</v>
      </c>
      <c r="G34" s="26">
        <v>2.0051741309358662E-2</v>
      </c>
      <c r="H34" s="26">
        <v>5.2169400047501438E-2</v>
      </c>
    </row>
    <row r="35" spans="1:8" x14ac:dyDescent="0.3">
      <c r="A35" s="2">
        <v>33</v>
      </c>
      <c r="B35" s="3" t="s">
        <v>32</v>
      </c>
      <c r="C35" s="4">
        <v>0</v>
      </c>
      <c r="D35" s="4">
        <v>37</v>
      </c>
      <c r="E35" s="4">
        <v>37</v>
      </c>
      <c r="F35" s="26">
        <v>0</v>
      </c>
      <c r="G35" s="26">
        <v>0.15380263505482125</v>
      </c>
      <c r="H35" s="26">
        <v>0.14413642317674732</v>
      </c>
    </row>
    <row r="36" spans="1:8" x14ac:dyDescent="0.3">
      <c r="A36" s="2">
        <v>34</v>
      </c>
      <c r="B36" s="3" t="s">
        <v>33</v>
      </c>
      <c r="C36" s="4">
        <v>0</v>
      </c>
      <c r="D36" s="4">
        <v>22</v>
      </c>
      <c r="E36" s="4">
        <v>22</v>
      </c>
      <c r="F36" s="26">
        <v>0</v>
      </c>
      <c r="G36" s="26">
        <v>9.7444051390575357E-3</v>
      </c>
      <c r="H36" s="26">
        <v>8.394390921405169E-3</v>
      </c>
    </row>
    <row r="37" spans="1:8" x14ac:dyDescent="0.3">
      <c r="A37" s="2">
        <v>35</v>
      </c>
      <c r="B37" s="3" t="s">
        <v>34</v>
      </c>
      <c r="C37" s="4">
        <v>0</v>
      </c>
      <c r="D37" s="4">
        <v>34393</v>
      </c>
      <c r="E37" s="4">
        <v>31314.940161798353</v>
      </c>
      <c r="F37" s="26">
        <v>0</v>
      </c>
      <c r="G37" s="26">
        <v>1.7336262914606662</v>
      </c>
      <c r="H37" s="26">
        <v>1.4329077772957413</v>
      </c>
    </row>
    <row r="38" spans="1:8" x14ac:dyDescent="0.3">
      <c r="A38" s="2">
        <v>36</v>
      </c>
      <c r="B38" s="3" t="s">
        <v>35</v>
      </c>
      <c r="C38" s="4">
        <v>0</v>
      </c>
      <c r="D38" s="4">
        <v>0</v>
      </c>
      <c r="E38" s="4">
        <v>0</v>
      </c>
      <c r="F38" s="26">
        <v>0</v>
      </c>
      <c r="G38" s="26">
        <v>0</v>
      </c>
      <c r="H38" s="26">
        <v>0</v>
      </c>
    </row>
    <row r="39" spans="1:8" x14ac:dyDescent="0.3">
      <c r="A39" s="2">
        <v>37</v>
      </c>
      <c r="B39" s="3" t="s">
        <v>36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">
        <v>38</v>
      </c>
      <c r="B40" s="3" t="s">
        <v>37</v>
      </c>
      <c r="C40" s="4">
        <v>0</v>
      </c>
      <c r="D40" s="4">
        <v>17</v>
      </c>
      <c r="E40" s="4">
        <v>2.3408247768124268</v>
      </c>
      <c r="F40" s="26">
        <v>0</v>
      </c>
      <c r="G40" s="26">
        <v>1.0914991541844644E-2</v>
      </c>
      <c r="H40" s="26">
        <v>1.3517926087573883E-3</v>
      </c>
    </row>
    <row r="41" spans="1:8" x14ac:dyDescent="0.3">
      <c r="A41" s="2">
        <v>39</v>
      </c>
      <c r="B41" s="3" t="s">
        <v>38</v>
      </c>
      <c r="C41" s="4">
        <v>0</v>
      </c>
      <c r="D41" s="4">
        <v>0</v>
      </c>
      <c r="E41" s="4">
        <v>0</v>
      </c>
      <c r="F41" s="26">
        <v>0</v>
      </c>
      <c r="G41" s="26">
        <v>0</v>
      </c>
      <c r="H41" s="26">
        <v>0</v>
      </c>
    </row>
    <row r="42" spans="1:8" x14ac:dyDescent="0.3">
      <c r="A42" s="2">
        <v>40</v>
      </c>
      <c r="B42" s="3" t="s">
        <v>39</v>
      </c>
      <c r="C42" s="4">
        <v>0</v>
      </c>
      <c r="D42" s="4">
        <v>64</v>
      </c>
      <c r="E42" s="4">
        <v>195</v>
      </c>
      <c r="F42" s="26">
        <v>0</v>
      </c>
      <c r="G42" s="26">
        <v>8.1411668149249466E-2</v>
      </c>
      <c r="H42" s="26">
        <v>0.22659352769867647</v>
      </c>
    </row>
    <row r="43" spans="1:8" x14ac:dyDescent="0.3">
      <c r="A43" s="2">
        <v>41</v>
      </c>
      <c r="B43" s="3" t="s">
        <v>40</v>
      </c>
      <c r="C43" s="4">
        <v>0</v>
      </c>
      <c r="D43" s="4">
        <v>0</v>
      </c>
      <c r="E43" s="4">
        <v>0</v>
      </c>
      <c r="F43" s="26">
        <v>0</v>
      </c>
      <c r="G43" s="26">
        <v>0</v>
      </c>
      <c r="H43" s="26">
        <v>0</v>
      </c>
    </row>
    <row r="44" spans="1:8" x14ac:dyDescent="0.3">
      <c r="A44" s="2">
        <v>42</v>
      </c>
      <c r="B44" s="3" t="s">
        <v>41</v>
      </c>
      <c r="C44" s="4">
        <v>0</v>
      </c>
      <c r="D44" s="4">
        <v>57</v>
      </c>
      <c r="E44" s="4">
        <v>1006</v>
      </c>
      <c r="F44" s="26">
        <v>0</v>
      </c>
      <c r="G44" s="26">
        <v>5.4832316763023241E-2</v>
      </c>
      <c r="H44" s="26">
        <v>0.92182253111116685</v>
      </c>
    </row>
    <row r="45" spans="1:8" x14ac:dyDescent="0.3">
      <c r="A45" s="2">
        <v>43</v>
      </c>
      <c r="B45" s="3" t="s">
        <v>42</v>
      </c>
      <c r="C45" s="4">
        <v>470</v>
      </c>
      <c r="D45" s="4">
        <v>724</v>
      </c>
      <c r="E45" s="4">
        <v>724</v>
      </c>
      <c r="F45" s="26">
        <v>9.5424412612236498E-2</v>
      </c>
      <c r="G45" s="26">
        <v>0.12463323786324024</v>
      </c>
      <c r="H45" s="26">
        <v>0.1105381516323278</v>
      </c>
    </row>
    <row r="46" spans="1:8" x14ac:dyDescent="0.3">
      <c r="A46" s="2">
        <v>44</v>
      </c>
      <c r="B46" s="3" t="s">
        <v>43</v>
      </c>
      <c r="C46" s="4">
        <v>0</v>
      </c>
      <c r="D46" s="4">
        <v>0</v>
      </c>
      <c r="E46" s="4">
        <v>0</v>
      </c>
      <c r="F46" s="26">
        <v>0</v>
      </c>
      <c r="G46" s="26">
        <v>0</v>
      </c>
      <c r="H46" s="26">
        <v>0</v>
      </c>
    </row>
    <row r="47" spans="1:8" x14ac:dyDescent="0.3">
      <c r="A47" s="2">
        <v>45</v>
      </c>
      <c r="B47" s="3" t="s">
        <v>44</v>
      </c>
      <c r="C47" s="4">
        <v>0</v>
      </c>
      <c r="D47" s="4">
        <v>0</v>
      </c>
      <c r="E47" s="4">
        <v>0</v>
      </c>
      <c r="F47" s="26">
        <v>0</v>
      </c>
      <c r="G47" s="26">
        <v>0</v>
      </c>
      <c r="H47" s="26">
        <v>0</v>
      </c>
    </row>
    <row r="48" spans="1:8" x14ac:dyDescent="0.3">
      <c r="A48" s="2">
        <v>46</v>
      </c>
      <c r="B48" s="3" t="s">
        <v>45</v>
      </c>
      <c r="C48" s="4">
        <v>0</v>
      </c>
      <c r="D48" s="4">
        <v>1232</v>
      </c>
      <c r="E48" s="4">
        <v>1232</v>
      </c>
      <c r="F48" s="26">
        <v>0</v>
      </c>
      <c r="G48" s="26">
        <v>0.69074197742720322</v>
      </c>
      <c r="H48" s="26">
        <v>0.61545609067986151</v>
      </c>
    </row>
    <row r="49" spans="1:8" x14ac:dyDescent="0.3">
      <c r="A49" s="2">
        <v>47</v>
      </c>
      <c r="B49" s="3" t="s">
        <v>46</v>
      </c>
      <c r="C49" s="4">
        <v>0</v>
      </c>
      <c r="D49" s="4">
        <v>718</v>
      </c>
      <c r="E49" s="4">
        <v>718</v>
      </c>
      <c r="F49" s="26">
        <v>0</v>
      </c>
      <c r="G49" s="26">
        <v>0.47700719045156481</v>
      </c>
      <c r="H49" s="26">
        <v>0.43993650454026123</v>
      </c>
    </row>
    <row r="50" spans="1:8" x14ac:dyDescent="0.3">
      <c r="A50" s="2">
        <v>48</v>
      </c>
      <c r="B50" s="5" t="s">
        <v>47</v>
      </c>
      <c r="C50" s="6">
        <v>470</v>
      </c>
      <c r="D50" s="6">
        <v>51189</v>
      </c>
      <c r="E50" s="6">
        <v>49708.866970673545</v>
      </c>
      <c r="F50" s="28">
        <f>AVERAGE(F3:F49)</f>
        <v>2.0303066513241807E-3</v>
      </c>
      <c r="G50" s="28">
        <f t="shared" ref="G50:H50" si="0">AVERAGE(G3:G49)</f>
        <v>0.64158433049592423</v>
      </c>
      <c r="H50" s="28">
        <f t="shared" si="0"/>
        <v>0.62980022414851589</v>
      </c>
    </row>
  </sheetData>
  <mergeCells count="6">
    <mergeCell ref="A1:A2"/>
    <mergeCell ref="C1:E1"/>
    <mergeCell ref="F1:F2"/>
    <mergeCell ref="G1:G2"/>
    <mergeCell ref="H1:H2"/>
    <mergeCell ref="B1:B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BCF6-057C-46A7-9D0B-9DB01551C84F}">
  <dimension ref="A2:H51"/>
  <sheetViews>
    <sheetView workbookViewId="0">
      <selection activeCell="A2" sqref="A2:H51"/>
    </sheetView>
  </sheetViews>
  <sheetFormatPr defaultRowHeight="14.5" x14ac:dyDescent="0.35"/>
  <cols>
    <col min="1" max="1" width="4.54296875" bestFit="1" customWidth="1"/>
    <col min="2" max="2" width="18.54296875" bestFit="1" customWidth="1"/>
  </cols>
  <sheetData>
    <row r="2" spans="1:8" x14ac:dyDescent="0.35">
      <c r="A2" s="215" t="s">
        <v>52</v>
      </c>
      <c r="B2" s="217" t="s">
        <v>48</v>
      </c>
      <c r="C2" s="218" t="s">
        <v>80</v>
      </c>
      <c r="D2" s="218"/>
      <c r="E2" s="218"/>
      <c r="F2" s="216" t="s">
        <v>91</v>
      </c>
      <c r="G2" s="216" t="s">
        <v>92</v>
      </c>
      <c r="H2" s="216" t="s">
        <v>93</v>
      </c>
    </row>
    <row r="3" spans="1:8" ht="56.5" customHeight="1" x14ac:dyDescent="0.35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5">
      <c r="A4" s="2">
        <v>1</v>
      </c>
      <c r="B4" s="3" t="s">
        <v>0</v>
      </c>
      <c r="C4" s="4">
        <v>0</v>
      </c>
      <c r="D4" s="4">
        <v>1533</v>
      </c>
      <c r="E4" s="4">
        <v>1533</v>
      </c>
      <c r="F4" s="26">
        <v>0</v>
      </c>
      <c r="G4" s="26">
        <v>0.36563544829231426</v>
      </c>
      <c r="H4" s="26">
        <v>0.34140086820044657</v>
      </c>
    </row>
    <row r="5" spans="1:8" x14ac:dyDescent="0.35">
      <c r="A5" s="2">
        <v>2</v>
      </c>
      <c r="B5" s="3" t="s">
        <v>1</v>
      </c>
      <c r="C5" s="4">
        <v>0</v>
      </c>
      <c r="D5" s="4">
        <v>56</v>
      </c>
      <c r="E5" s="4">
        <v>8.8978221984547012</v>
      </c>
      <c r="F5" s="26">
        <v>0</v>
      </c>
      <c r="G5" s="26">
        <v>1.7906515391145603E-2</v>
      </c>
      <c r="H5" s="26">
        <v>2.5001616928446695E-3</v>
      </c>
    </row>
    <row r="6" spans="1:8" x14ac:dyDescent="0.35">
      <c r="A6" s="2">
        <v>3</v>
      </c>
      <c r="B6" s="3" t="s">
        <v>2</v>
      </c>
      <c r="C6" s="4">
        <v>0</v>
      </c>
      <c r="D6" s="4">
        <v>0</v>
      </c>
      <c r="E6" s="4">
        <v>0</v>
      </c>
      <c r="F6" s="26">
        <v>0</v>
      </c>
      <c r="G6" s="26">
        <v>0</v>
      </c>
      <c r="H6" s="26">
        <v>0</v>
      </c>
    </row>
    <row r="7" spans="1:8" x14ac:dyDescent="0.35">
      <c r="A7" s="2">
        <v>4</v>
      </c>
      <c r="B7" s="3" t="s">
        <v>3</v>
      </c>
      <c r="C7" s="4">
        <v>0</v>
      </c>
      <c r="D7" s="4">
        <v>5</v>
      </c>
      <c r="E7" s="4">
        <v>4.5971945772816607</v>
      </c>
      <c r="F7" s="26">
        <v>0</v>
      </c>
      <c r="G7" s="26">
        <v>2.0396437395073082E-2</v>
      </c>
      <c r="H7" s="26">
        <v>1.7477860200075041E-2</v>
      </c>
    </row>
    <row r="8" spans="1:8" x14ac:dyDescent="0.35">
      <c r="A8" s="2">
        <v>5</v>
      </c>
      <c r="B8" s="3" t="s">
        <v>4</v>
      </c>
      <c r="C8" s="4">
        <v>0</v>
      </c>
      <c r="D8" s="4">
        <v>3</v>
      </c>
      <c r="E8" s="4">
        <v>2.0546664132294241</v>
      </c>
      <c r="F8" s="26">
        <v>0</v>
      </c>
      <c r="G8" s="26">
        <v>1.471113004379062E-3</v>
      </c>
      <c r="H8" s="26">
        <v>9.0618681329962948E-4</v>
      </c>
    </row>
    <row r="9" spans="1:8" x14ac:dyDescent="0.35">
      <c r="A9" s="2">
        <v>6</v>
      </c>
      <c r="B9" s="3" t="s">
        <v>5</v>
      </c>
      <c r="C9" s="4">
        <v>0</v>
      </c>
      <c r="D9" s="4">
        <v>0</v>
      </c>
      <c r="E9" s="4">
        <v>0</v>
      </c>
      <c r="F9" s="26">
        <v>0</v>
      </c>
      <c r="G9" s="26">
        <v>0</v>
      </c>
      <c r="H9" s="26">
        <v>0</v>
      </c>
    </row>
    <row r="10" spans="1:8" x14ac:dyDescent="0.35">
      <c r="A10" s="2">
        <v>7</v>
      </c>
      <c r="B10" s="3" t="s">
        <v>6</v>
      </c>
      <c r="C10" s="4">
        <v>0</v>
      </c>
      <c r="D10" s="4">
        <v>0</v>
      </c>
      <c r="E10" s="4">
        <v>10</v>
      </c>
      <c r="F10" s="26">
        <v>0</v>
      </c>
      <c r="G10" s="26">
        <v>0</v>
      </c>
      <c r="H10" s="26">
        <v>3.5823629025687042E-3</v>
      </c>
    </row>
    <row r="11" spans="1:8" x14ac:dyDescent="0.35">
      <c r="A11" s="2">
        <v>8</v>
      </c>
      <c r="B11" s="3" t="s">
        <v>7</v>
      </c>
      <c r="C11" s="4">
        <v>0</v>
      </c>
      <c r="D11" s="4">
        <v>40</v>
      </c>
      <c r="E11" s="4">
        <v>4.9737065309584398</v>
      </c>
      <c r="F11" s="26">
        <v>0</v>
      </c>
      <c r="G11" s="26">
        <v>0.70027827307876467</v>
      </c>
      <c r="H11" s="26">
        <v>8.3852494707631689E-2</v>
      </c>
    </row>
    <row r="12" spans="1:8" x14ac:dyDescent="0.35">
      <c r="A12" s="2">
        <v>9</v>
      </c>
      <c r="B12" s="3" t="s">
        <v>8</v>
      </c>
      <c r="C12" s="4">
        <v>0</v>
      </c>
      <c r="D12" s="4">
        <v>0</v>
      </c>
      <c r="E12" s="4">
        <v>0</v>
      </c>
      <c r="F12" s="26">
        <v>0</v>
      </c>
      <c r="G12" s="26">
        <v>0</v>
      </c>
      <c r="H12" s="26">
        <v>0</v>
      </c>
    </row>
    <row r="13" spans="1:8" x14ac:dyDescent="0.35">
      <c r="A13" s="2">
        <v>10</v>
      </c>
      <c r="B13" s="3" t="s">
        <v>9</v>
      </c>
      <c r="C13" s="4">
        <v>0</v>
      </c>
      <c r="D13" s="4">
        <v>6</v>
      </c>
      <c r="E13" s="4">
        <v>1.1548420507509063</v>
      </c>
      <c r="F13" s="26">
        <v>0</v>
      </c>
      <c r="G13" s="26">
        <v>3.8451161577548621E-3</v>
      </c>
      <c r="H13" s="26">
        <v>6.5159485306820356E-4</v>
      </c>
    </row>
    <row r="14" spans="1:8" x14ac:dyDescent="0.35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5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26">
        <v>0</v>
      </c>
      <c r="G15" s="26">
        <v>0</v>
      </c>
      <c r="H15" s="26">
        <v>0</v>
      </c>
    </row>
    <row r="16" spans="1:8" x14ac:dyDescent="0.35">
      <c r="A16" s="2">
        <v>13</v>
      </c>
      <c r="B16" s="3" t="s">
        <v>12</v>
      </c>
      <c r="C16" s="4">
        <v>70</v>
      </c>
      <c r="D16" s="4">
        <v>700</v>
      </c>
      <c r="E16" s="4">
        <v>700</v>
      </c>
      <c r="F16" s="26">
        <v>3.1153663554007713E-2</v>
      </c>
      <c r="G16" s="26">
        <v>0.27457453352189287</v>
      </c>
      <c r="H16" s="26">
        <v>0.24857475668304327</v>
      </c>
    </row>
    <row r="17" spans="1:8" x14ac:dyDescent="0.35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26">
        <v>0</v>
      </c>
      <c r="G17" s="26">
        <v>0</v>
      </c>
      <c r="H17" s="26">
        <v>0</v>
      </c>
    </row>
    <row r="18" spans="1:8" x14ac:dyDescent="0.35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5">
      <c r="A19" s="2">
        <v>16</v>
      </c>
      <c r="B19" s="3" t="s">
        <v>15</v>
      </c>
      <c r="C19" s="4">
        <v>0</v>
      </c>
      <c r="D19" s="4">
        <v>86</v>
      </c>
      <c r="E19" s="4">
        <v>96</v>
      </c>
      <c r="F19" s="26">
        <v>0</v>
      </c>
      <c r="G19" s="26">
        <v>0.24961002062330245</v>
      </c>
      <c r="H19" s="26">
        <v>0.26058409109694081</v>
      </c>
    </row>
    <row r="20" spans="1:8" x14ac:dyDescent="0.35">
      <c r="A20" s="2">
        <v>17</v>
      </c>
      <c r="B20" s="3" t="s">
        <v>16</v>
      </c>
      <c r="C20" s="4">
        <v>0</v>
      </c>
      <c r="D20" s="4">
        <v>12</v>
      </c>
      <c r="E20" s="4">
        <v>8.5995578278292122</v>
      </c>
      <c r="F20" s="26">
        <v>0</v>
      </c>
      <c r="G20" s="26">
        <v>0.10341016565015911</v>
      </c>
      <c r="H20" s="26">
        <v>7.1563359738207891E-2</v>
      </c>
    </row>
    <row r="21" spans="1:8" x14ac:dyDescent="0.35">
      <c r="A21" s="2">
        <v>18</v>
      </c>
      <c r="B21" s="3" t="s">
        <v>17</v>
      </c>
      <c r="C21" s="4">
        <v>0</v>
      </c>
      <c r="D21" s="4">
        <v>330</v>
      </c>
      <c r="E21" s="4">
        <v>674</v>
      </c>
      <c r="F21" s="26">
        <v>0</v>
      </c>
      <c r="G21" s="26">
        <v>2.9695102030480883E-2</v>
      </c>
      <c r="H21" s="26">
        <v>5.4628012031244171E-2</v>
      </c>
    </row>
    <row r="22" spans="1:8" x14ac:dyDescent="0.35">
      <c r="A22" s="2">
        <v>19</v>
      </c>
      <c r="B22" s="3" t="s">
        <v>18</v>
      </c>
      <c r="C22" s="4">
        <v>0</v>
      </c>
      <c r="D22" s="4">
        <v>5</v>
      </c>
      <c r="E22" s="4">
        <v>9</v>
      </c>
      <c r="F22" s="26">
        <v>0</v>
      </c>
      <c r="G22" s="26">
        <v>2.2810099308329359E-2</v>
      </c>
      <c r="H22" s="26">
        <v>3.7672784657130559E-2</v>
      </c>
    </row>
    <row r="23" spans="1:8" x14ac:dyDescent="0.35">
      <c r="A23" s="2">
        <v>20</v>
      </c>
      <c r="B23" s="3" t="s">
        <v>19</v>
      </c>
      <c r="C23" s="4">
        <v>17</v>
      </c>
      <c r="D23" s="4">
        <v>16</v>
      </c>
      <c r="E23" s="4">
        <v>18</v>
      </c>
      <c r="F23" s="26">
        <v>8.0004913242907386E-2</v>
      </c>
      <c r="G23" s="26">
        <v>6.5441934496304643E-2</v>
      </c>
      <c r="H23" s="26">
        <v>6.6519043663100269E-2</v>
      </c>
    </row>
    <row r="24" spans="1:8" x14ac:dyDescent="0.35">
      <c r="A24" s="2">
        <v>21</v>
      </c>
      <c r="B24" s="3" t="s">
        <v>20</v>
      </c>
      <c r="C24" s="4">
        <v>0</v>
      </c>
      <c r="D24" s="4">
        <v>143</v>
      </c>
      <c r="E24" s="4">
        <v>309</v>
      </c>
      <c r="F24" s="26">
        <v>0</v>
      </c>
      <c r="G24" s="26">
        <v>4.6322330111680063E-2</v>
      </c>
      <c r="H24" s="26">
        <v>9.2305291956485458E-2</v>
      </c>
    </row>
    <row r="25" spans="1:8" x14ac:dyDescent="0.35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26">
        <v>0</v>
      </c>
      <c r="G25" s="26">
        <v>0</v>
      </c>
      <c r="H25" s="26">
        <v>0</v>
      </c>
    </row>
    <row r="26" spans="1:8" x14ac:dyDescent="0.35">
      <c r="A26" s="2">
        <v>23</v>
      </c>
      <c r="B26" s="3" t="s">
        <v>22</v>
      </c>
      <c r="C26" s="4">
        <v>0</v>
      </c>
      <c r="D26" s="4">
        <v>16</v>
      </c>
      <c r="E26" s="4">
        <v>12.120405576679341</v>
      </c>
      <c r="F26" s="26">
        <v>0</v>
      </c>
      <c r="G26" s="26">
        <v>8.311884774419348E-2</v>
      </c>
      <c r="H26" s="26">
        <v>5.7563659628158542E-2</v>
      </c>
    </row>
    <row r="27" spans="1:8" x14ac:dyDescent="0.35">
      <c r="A27" s="2">
        <v>24</v>
      </c>
      <c r="B27" s="3" t="s">
        <v>23</v>
      </c>
      <c r="C27" s="4">
        <v>0</v>
      </c>
      <c r="D27" s="4">
        <v>0</v>
      </c>
      <c r="E27" s="4">
        <v>0</v>
      </c>
      <c r="F27" s="26">
        <v>0</v>
      </c>
      <c r="G27" s="26">
        <v>0</v>
      </c>
      <c r="H27" s="26">
        <v>0</v>
      </c>
    </row>
    <row r="28" spans="1:8" x14ac:dyDescent="0.35">
      <c r="A28" s="2">
        <v>25</v>
      </c>
      <c r="B28" s="3" t="s">
        <v>24</v>
      </c>
      <c r="C28" s="4">
        <v>0</v>
      </c>
      <c r="D28" s="4">
        <v>8</v>
      </c>
      <c r="E28" s="4">
        <v>13</v>
      </c>
      <c r="F28" s="26">
        <v>0</v>
      </c>
      <c r="G28" s="26">
        <v>3.639644279366356E-2</v>
      </c>
      <c r="H28" s="26">
        <v>5.6378941077718105E-2</v>
      </c>
    </row>
    <row r="29" spans="1:8" x14ac:dyDescent="0.35">
      <c r="A29" s="2">
        <v>26</v>
      </c>
      <c r="B29" s="3" t="s">
        <v>25</v>
      </c>
      <c r="C29" s="4">
        <v>0</v>
      </c>
      <c r="D29" s="4">
        <v>5</v>
      </c>
      <c r="E29" s="4">
        <v>5</v>
      </c>
      <c r="F29" s="26">
        <v>0</v>
      </c>
      <c r="G29" s="26">
        <v>1.0226222447744515E-2</v>
      </c>
      <c r="H29" s="26">
        <v>9.4291925160121786E-3</v>
      </c>
    </row>
    <row r="30" spans="1:8" x14ac:dyDescent="0.35">
      <c r="A30" s="2">
        <v>27</v>
      </c>
      <c r="B30" s="3" t="s">
        <v>26</v>
      </c>
      <c r="C30" s="4">
        <v>0</v>
      </c>
      <c r="D30" s="4">
        <v>56</v>
      </c>
      <c r="E30" s="4">
        <v>56</v>
      </c>
      <c r="F30" s="26">
        <v>0</v>
      </c>
      <c r="G30" s="26">
        <v>2.0859298037687612E-2</v>
      </c>
      <c r="H30" s="26">
        <v>1.8911434846358436E-2</v>
      </c>
    </row>
    <row r="31" spans="1:8" x14ac:dyDescent="0.35">
      <c r="A31" s="2">
        <v>28</v>
      </c>
      <c r="B31" s="3" t="s">
        <v>27</v>
      </c>
      <c r="C31" s="4">
        <v>0</v>
      </c>
      <c r="D31" s="4">
        <v>13</v>
      </c>
      <c r="E31" s="4">
        <v>73</v>
      </c>
      <c r="F31" s="26">
        <v>0</v>
      </c>
      <c r="G31" s="26">
        <v>7.077571214929892E-3</v>
      </c>
      <c r="H31" s="26">
        <v>3.5774990307060384E-2</v>
      </c>
    </row>
    <row r="32" spans="1:8" x14ac:dyDescent="0.35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26">
        <v>0</v>
      </c>
      <c r="G32" s="26">
        <v>0</v>
      </c>
      <c r="H32" s="26">
        <v>0</v>
      </c>
    </row>
    <row r="33" spans="1:8" x14ac:dyDescent="0.35">
      <c r="A33" s="2">
        <v>30</v>
      </c>
      <c r="B33" s="3" t="s">
        <v>29</v>
      </c>
      <c r="C33" s="4">
        <v>0</v>
      </c>
      <c r="D33" s="4">
        <v>0</v>
      </c>
      <c r="E33" s="4">
        <v>0</v>
      </c>
      <c r="F33" s="26">
        <v>0</v>
      </c>
      <c r="G33" s="26">
        <v>0</v>
      </c>
      <c r="H33" s="26">
        <v>0</v>
      </c>
    </row>
    <row r="34" spans="1:8" x14ac:dyDescent="0.35">
      <c r="A34" s="2">
        <v>31</v>
      </c>
      <c r="B34" s="3" t="s">
        <v>30</v>
      </c>
      <c r="C34" s="4">
        <v>0</v>
      </c>
      <c r="D34" s="4">
        <v>0</v>
      </c>
      <c r="E34" s="4">
        <v>6</v>
      </c>
      <c r="F34" s="26">
        <v>0</v>
      </c>
      <c r="G34" s="26">
        <v>0</v>
      </c>
      <c r="H34" s="26">
        <v>4.6172705928344625E-2</v>
      </c>
    </row>
    <row r="35" spans="1:8" x14ac:dyDescent="0.35">
      <c r="A35" s="2">
        <v>32</v>
      </c>
      <c r="B35" s="3" t="s">
        <v>31</v>
      </c>
      <c r="C35" s="4">
        <v>115</v>
      </c>
      <c r="D35" s="4">
        <v>150</v>
      </c>
      <c r="E35" s="4">
        <v>154</v>
      </c>
      <c r="F35" s="26">
        <v>4.5541432387348035E-2</v>
      </c>
      <c r="G35" s="26">
        <v>5.0979003328877955E-2</v>
      </c>
      <c r="H35" s="26">
        <v>4.6709811670437335E-2</v>
      </c>
    </row>
    <row r="36" spans="1:8" x14ac:dyDescent="0.35">
      <c r="A36" s="2">
        <v>33</v>
      </c>
      <c r="B36" s="3" t="s">
        <v>32</v>
      </c>
      <c r="C36" s="4">
        <v>0</v>
      </c>
      <c r="D36" s="4">
        <v>147</v>
      </c>
      <c r="E36" s="4">
        <v>162.08163026521061</v>
      </c>
      <c r="F36" s="26">
        <v>0</v>
      </c>
      <c r="G36" s="26">
        <v>0.6110537122448304</v>
      </c>
      <c r="H36" s="26">
        <v>0.63140179592117551</v>
      </c>
    </row>
    <row r="37" spans="1:8" x14ac:dyDescent="0.35">
      <c r="A37" s="2">
        <v>34</v>
      </c>
      <c r="B37" s="3" t="s">
        <v>33</v>
      </c>
      <c r="C37" s="4">
        <v>0</v>
      </c>
      <c r="D37" s="4">
        <v>0</v>
      </c>
      <c r="E37" s="4">
        <v>0</v>
      </c>
      <c r="F37" s="26">
        <v>0</v>
      </c>
      <c r="G37" s="26">
        <v>0</v>
      </c>
      <c r="H37" s="26">
        <v>0</v>
      </c>
    </row>
    <row r="38" spans="1:8" x14ac:dyDescent="0.35">
      <c r="A38" s="2">
        <v>35</v>
      </c>
      <c r="B38" s="3" t="s">
        <v>34</v>
      </c>
      <c r="C38" s="4">
        <v>0</v>
      </c>
      <c r="D38" s="4">
        <v>5371</v>
      </c>
      <c r="E38" s="4">
        <v>5632</v>
      </c>
      <c r="F38" s="26">
        <v>0</v>
      </c>
      <c r="G38" s="26">
        <v>0.27073261452723629</v>
      </c>
      <c r="H38" s="26">
        <v>0.25770883035486419</v>
      </c>
    </row>
    <row r="39" spans="1:8" x14ac:dyDescent="0.35">
      <c r="A39" s="2">
        <v>36</v>
      </c>
      <c r="B39" s="3" t="s">
        <v>35</v>
      </c>
      <c r="C39" s="4">
        <v>0</v>
      </c>
      <c r="D39" s="4">
        <v>13</v>
      </c>
      <c r="E39" s="4">
        <v>13</v>
      </c>
      <c r="F39" s="26">
        <v>0</v>
      </c>
      <c r="G39" s="26">
        <v>1.0373603328969108E-2</v>
      </c>
      <c r="H39" s="26">
        <v>9.4362237393976357E-3</v>
      </c>
    </row>
    <row r="40" spans="1:8" x14ac:dyDescent="0.35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26">
        <v>0</v>
      </c>
      <c r="G40" s="26">
        <v>0</v>
      </c>
      <c r="H40" s="26">
        <v>0</v>
      </c>
    </row>
    <row r="41" spans="1:8" x14ac:dyDescent="0.35">
      <c r="A41" s="2">
        <v>38</v>
      </c>
      <c r="B41" s="3" t="s">
        <v>37</v>
      </c>
      <c r="C41" s="4">
        <v>0</v>
      </c>
      <c r="D41" s="4">
        <v>108</v>
      </c>
      <c r="E41" s="4">
        <v>125.23412555946484</v>
      </c>
      <c r="F41" s="26">
        <v>0</v>
      </c>
      <c r="G41" s="26">
        <v>6.9342299207013028E-2</v>
      </c>
      <c r="H41" s="26">
        <v>7.2320904568520278E-2</v>
      </c>
    </row>
    <row r="42" spans="1:8" x14ac:dyDescent="0.35">
      <c r="A42" s="2">
        <v>39</v>
      </c>
      <c r="B42" s="3" t="s">
        <v>38</v>
      </c>
      <c r="C42" s="4">
        <v>0</v>
      </c>
      <c r="D42" s="4">
        <v>28</v>
      </c>
      <c r="E42" s="4">
        <v>25.284570175049133</v>
      </c>
      <c r="F42" s="26">
        <v>0</v>
      </c>
      <c r="G42" s="26">
        <v>2.7157835520509006</v>
      </c>
      <c r="H42" s="26">
        <v>2.3604298207171621</v>
      </c>
    </row>
    <row r="43" spans="1:8" x14ac:dyDescent="0.35">
      <c r="A43" s="2">
        <v>40</v>
      </c>
      <c r="B43" s="3" t="s">
        <v>39</v>
      </c>
      <c r="C43" s="4">
        <v>0</v>
      </c>
      <c r="D43" s="4">
        <v>13</v>
      </c>
      <c r="E43" s="4">
        <v>2.2985972886408303</v>
      </c>
      <c r="F43" s="26">
        <v>0</v>
      </c>
      <c r="G43" s="26">
        <v>1.6536745092816298E-2</v>
      </c>
      <c r="H43" s="26">
        <v>2.6710116327781472E-3</v>
      </c>
    </row>
    <row r="44" spans="1:8" x14ac:dyDescent="0.35">
      <c r="A44" s="2">
        <v>41</v>
      </c>
      <c r="B44" s="3" t="s">
        <v>40</v>
      </c>
      <c r="C44" s="4">
        <v>3588</v>
      </c>
      <c r="D44" s="4">
        <v>3848</v>
      </c>
      <c r="E44" s="4">
        <v>373.74189219414001</v>
      </c>
      <c r="F44" s="26">
        <v>0.66600318790556035</v>
      </c>
      <c r="G44" s="26">
        <v>0.67108902942964299</v>
      </c>
      <c r="H44" s="26">
        <v>6.2400675640611095E-2</v>
      </c>
    </row>
    <row r="45" spans="1:8" x14ac:dyDescent="0.35">
      <c r="A45" s="2">
        <v>42</v>
      </c>
      <c r="B45" s="3" t="s">
        <v>41</v>
      </c>
      <c r="C45" s="4">
        <v>0</v>
      </c>
      <c r="D45" s="4">
        <v>7</v>
      </c>
      <c r="E45" s="4">
        <v>24</v>
      </c>
      <c r="F45" s="26">
        <v>0</v>
      </c>
      <c r="G45" s="26">
        <v>6.7337932866870648E-3</v>
      </c>
      <c r="H45" s="26">
        <v>2.1991790006628233E-2</v>
      </c>
    </row>
    <row r="46" spans="1:8" x14ac:dyDescent="0.35">
      <c r="A46" s="2">
        <v>43</v>
      </c>
      <c r="B46" s="3" t="s">
        <v>42</v>
      </c>
      <c r="C46" s="4">
        <v>82</v>
      </c>
      <c r="D46" s="4">
        <v>213</v>
      </c>
      <c r="E46" s="4">
        <v>260.39596306221205</v>
      </c>
      <c r="F46" s="26">
        <v>1.6648514540858281E-2</v>
      </c>
      <c r="G46" s="26">
        <v>3.6666960863080349E-2</v>
      </c>
      <c r="H46" s="26">
        <v>3.975647575886302E-2</v>
      </c>
    </row>
    <row r="47" spans="1:8" x14ac:dyDescent="0.35">
      <c r="A47" s="2">
        <v>44</v>
      </c>
      <c r="B47" s="3" t="s">
        <v>43</v>
      </c>
      <c r="C47" s="4">
        <v>0</v>
      </c>
      <c r="D47" s="4">
        <v>5</v>
      </c>
      <c r="E47" s="4">
        <v>2.4177129284017647</v>
      </c>
      <c r="F47" s="26">
        <v>0</v>
      </c>
      <c r="G47" s="26">
        <v>6.213743582911658E-3</v>
      </c>
      <c r="H47" s="26">
        <v>2.7322808302280431E-3</v>
      </c>
    </row>
    <row r="48" spans="1:8" x14ac:dyDescent="0.35">
      <c r="A48" s="2">
        <v>45</v>
      </c>
      <c r="B48" s="3" t="s">
        <v>44</v>
      </c>
      <c r="C48" s="4">
        <v>0</v>
      </c>
      <c r="D48" s="4">
        <v>9</v>
      </c>
      <c r="E48" s="4">
        <v>283</v>
      </c>
      <c r="F48" s="26">
        <v>0</v>
      </c>
      <c r="G48" s="26">
        <v>2.1678704971974847E-3</v>
      </c>
      <c r="H48" s="26">
        <v>5.9894705953502055E-2</v>
      </c>
    </row>
    <row r="49" spans="1:8" x14ac:dyDescent="0.35">
      <c r="A49" s="2">
        <v>46</v>
      </c>
      <c r="B49" s="3" t="s">
        <v>45</v>
      </c>
      <c r="C49" s="4">
        <v>18</v>
      </c>
      <c r="D49" s="4">
        <v>61</v>
      </c>
      <c r="E49" s="4">
        <v>244</v>
      </c>
      <c r="F49" s="26">
        <v>1.1814918513819786E-2</v>
      </c>
      <c r="G49" s="26">
        <v>3.4200698557678086E-2</v>
      </c>
      <c r="H49" s="26">
        <v>0.12189227769958297</v>
      </c>
    </row>
    <row r="50" spans="1:8" x14ac:dyDescent="0.35">
      <c r="A50" s="2">
        <v>47</v>
      </c>
      <c r="B50" s="3" t="s">
        <v>46</v>
      </c>
      <c r="C50" s="4">
        <v>0</v>
      </c>
      <c r="D50" s="4">
        <v>20</v>
      </c>
      <c r="E50" s="4">
        <v>20</v>
      </c>
      <c r="F50" s="26">
        <v>0</v>
      </c>
      <c r="G50" s="26">
        <v>1.3287108369124367E-2</v>
      </c>
      <c r="H50" s="26">
        <v>1.2254498733712012E-2</v>
      </c>
    </row>
    <row r="51" spans="1:8" x14ac:dyDescent="0.35">
      <c r="A51" s="2">
        <v>48</v>
      </c>
      <c r="B51" s="5" t="s">
        <v>47</v>
      </c>
      <c r="C51" s="6">
        <v>3890</v>
      </c>
      <c r="D51" s="6">
        <v>13026</v>
      </c>
      <c r="E51" s="6">
        <v>10865.852686648303</v>
      </c>
      <c r="F51" s="28">
        <f>AVERAGE(F4:F50)</f>
        <v>1.8109928300946841E-2</v>
      </c>
      <c r="G51" s="28">
        <f t="shared" ref="G51:H51" si="0">AVERAGE(G4:G50)</f>
        <v>0.13987736607801629</v>
      </c>
      <c r="H51" s="28">
        <f t="shared" si="0"/>
        <v>0.11080959354738726</v>
      </c>
    </row>
  </sheetData>
  <mergeCells count="6">
    <mergeCell ref="A2:A3"/>
    <mergeCell ref="C2:E2"/>
    <mergeCell ref="F2:F3"/>
    <mergeCell ref="G2:G3"/>
    <mergeCell ref="H2:H3"/>
    <mergeCell ref="B2:B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BE18-6EBC-4E9E-87F2-D4BFB467F6A9}">
  <dimension ref="A2:H51"/>
  <sheetViews>
    <sheetView workbookViewId="0">
      <selection activeCell="A2" sqref="A2:H51"/>
    </sheetView>
  </sheetViews>
  <sheetFormatPr defaultRowHeight="14" x14ac:dyDescent="0.3"/>
  <cols>
    <col min="1" max="1" width="4.54296875" style="16" bestFit="1" customWidth="1"/>
    <col min="2" max="2" width="18.54296875" style="16" bestFit="1" customWidth="1"/>
    <col min="3" max="16384" width="8.7265625" style="16"/>
  </cols>
  <sheetData>
    <row r="2" spans="1:8" ht="14.5" customHeight="1" x14ac:dyDescent="0.3">
      <c r="A2" s="215" t="s">
        <v>52</v>
      </c>
      <c r="B2" s="217" t="s">
        <v>48</v>
      </c>
      <c r="C2" s="196" t="s">
        <v>81</v>
      </c>
      <c r="D2" s="196"/>
      <c r="E2" s="196"/>
      <c r="F2" s="216" t="s">
        <v>91</v>
      </c>
      <c r="G2" s="216" t="s">
        <v>92</v>
      </c>
      <c r="H2" s="216" t="s">
        <v>93</v>
      </c>
    </row>
    <row r="3" spans="1:8" ht="28" x14ac:dyDescent="0.3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">
      <c r="A4" s="2">
        <v>1</v>
      </c>
      <c r="B4" s="3" t="s">
        <v>0</v>
      </c>
      <c r="C4" s="4">
        <v>0</v>
      </c>
      <c r="D4" s="4">
        <v>76532</v>
      </c>
      <c r="E4" s="4">
        <v>76532</v>
      </c>
      <c r="F4" s="26">
        <v>0</v>
      </c>
      <c r="G4" s="26">
        <v>18.253628263996994</v>
      </c>
      <c r="H4" s="26">
        <v>17.043764673918183</v>
      </c>
    </row>
    <row r="5" spans="1:8" x14ac:dyDescent="0.3">
      <c r="A5" s="2">
        <v>2</v>
      </c>
      <c r="B5" s="3" t="s">
        <v>1</v>
      </c>
      <c r="C5" s="4">
        <v>0</v>
      </c>
      <c r="D5" s="4">
        <v>28324</v>
      </c>
      <c r="E5" s="4">
        <v>28324</v>
      </c>
      <c r="F5" s="26">
        <v>0</v>
      </c>
      <c r="G5" s="26">
        <v>9.056859677478716</v>
      </c>
      <c r="H5" s="26">
        <v>7.9586418124235951</v>
      </c>
    </row>
    <row r="6" spans="1:8" x14ac:dyDescent="0.3">
      <c r="A6" s="2">
        <v>3</v>
      </c>
      <c r="B6" s="3" t="s">
        <v>2</v>
      </c>
      <c r="C6" s="4">
        <v>0</v>
      </c>
      <c r="D6" s="4">
        <v>156</v>
      </c>
      <c r="E6" s="4">
        <v>156</v>
      </c>
      <c r="F6" s="26">
        <v>0</v>
      </c>
      <c r="G6" s="26">
        <v>0.13064578757154066</v>
      </c>
      <c r="H6" s="26">
        <v>0.11682886907258248</v>
      </c>
    </row>
    <row r="7" spans="1:8" x14ac:dyDescent="0.3">
      <c r="A7" s="2">
        <v>4</v>
      </c>
      <c r="B7" s="3" t="s">
        <v>3</v>
      </c>
      <c r="C7" s="4">
        <v>0</v>
      </c>
      <c r="D7" s="4">
        <v>1248</v>
      </c>
      <c r="E7" s="4">
        <v>1579</v>
      </c>
      <c r="F7" s="26">
        <v>0</v>
      </c>
      <c r="G7" s="26">
        <v>5.0909507738102411</v>
      </c>
      <c r="H7" s="26">
        <v>6.0031266443016253</v>
      </c>
    </row>
    <row r="8" spans="1:8" x14ac:dyDescent="0.3">
      <c r="A8" s="2">
        <v>5</v>
      </c>
      <c r="B8" s="3" t="s">
        <v>4</v>
      </c>
      <c r="C8" s="4">
        <v>0</v>
      </c>
      <c r="D8" s="4">
        <v>871</v>
      </c>
      <c r="E8" s="4">
        <v>22.601330545523666</v>
      </c>
      <c r="F8" s="26">
        <v>0</v>
      </c>
      <c r="G8" s="26">
        <v>0.42711314227138769</v>
      </c>
      <c r="H8" s="26">
        <v>9.9680549462959258E-3</v>
      </c>
    </row>
    <row r="9" spans="1:8" x14ac:dyDescent="0.3">
      <c r="A9" s="2">
        <v>6</v>
      </c>
      <c r="B9" s="3" t="s">
        <v>5</v>
      </c>
      <c r="C9" s="4">
        <v>0</v>
      </c>
      <c r="D9" s="4">
        <v>2906</v>
      </c>
      <c r="E9" s="4">
        <v>7805</v>
      </c>
      <c r="F9" s="26">
        <v>0</v>
      </c>
      <c r="G9" s="26">
        <v>2.5283916588306989</v>
      </c>
      <c r="H9" s="26">
        <v>6.055280404286365</v>
      </c>
    </row>
    <row r="10" spans="1:8" x14ac:dyDescent="0.3">
      <c r="A10" s="2">
        <v>7</v>
      </c>
      <c r="B10" s="3" t="s">
        <v>6</v>
      </c>
      <c r="C10" s="4">
        <v>0</v>
      </c>
      <c r="D10" s="4">
        <v>0</v>
      </c>
      <c r="E10" s="4">
        <v>5</v>
      </c>
      <c r="F10" s="26">
        <v>0</v>
      </c>
      <c r="G10" s="26">
        <v>0</v>
      </c>
      <c r="H10" s="26">
        <v>1.7911814512843521E-3</v>
      </c>
    </row>
    <row r="11" spans="1:8" x14ac:dyDescent="0.3">
      <c r="A11" s="2">
        <v>8</v>
      </c>
      <c r="B11" s="3" t="s">
        <v>7</v>
      </c>
      <c r="C11" s="4">
        <v>0</v>
      </c>
      <c r="D11" s="4">
        <v>1357</v>
      </c>
      <c r="E11" s="4">
        <v>1357</v>
      </c>
      <c r="F11" s="26">
        <v>0</v>
      </c>
      <c r="G11" s="26">
        <v>23.756940414197093</v>
      </c>
      <c r="H11" s="26">
        <v>22.877874802221022</v>
      </c>
    </row>
    <row r="12" spans="1:8" x14ac:dyDescent="0.3">
      <c r="A12" s="2">
        <v>9</v>
      </c>
      <c r="B12" s="3" t="s">
        <v>8</v>
      </c>
      <c r="C12" s="4">
        <v>0</v>
      </c>
      <c r="D12" s="4">
        <v>65</v>
      </c>
      <c r="E12" s="4">
        <v>65</v>
      </c>
      <c r="F12" s="26">
        <v>0</v>
      </c>
      <c r="G12" s="26">
        <v>0.12758156387518207</v>
      </c>
      <c r="H12" s="26">
        <v>0.11650533814016426</v>
      </c>
    </row>
    <row r="13" spans="1:8" x14ac:dyDescent="0.3">
      <c r="A13" s="2">
        <v>10</v>
      </c>
      <c r="B13" s="3" t="s">
        <v>9</v>
      </c>
      <c r="C13" s="4">
        <v>0</v>
      </c>
      <c r="D13" s="4">
        <v>436</v>
      </c>
      <c r="E13" s="4">
        <v>6.9290523045054382</v>
      </c>
      <c r="F13" s="26">
        <v>0</v>
      </c>
      <c r="G13" s="26">
        <v>0.27941177413018664</v>
      </c>
      <c r="H13" s="26">
        <v>3.9095691184092207E-3</v>
      </c>
    </row>
    <row r="14" spans="1:8" x14ac:dyDescent="0.3">
      <c r="A14" s="2">
        <v>11</v>
      </c>
      <c r="B14" s="3" t="s">
        <v>10</v>
      </c>
      <c r="C14" s="4">
        <v>0</v>
      </c>
      <c r="D14" s="4">
        <v>44</v>
      </c>
      <c r="E14" s="4">
        <v>44</v>
      </c>
      <c r="F14" s="26">
        <v>0</v>
      </c>
      <c r="G14" s="26">
        <v>0.56678133254155649</v>
      </c>
      <c r="H14" s="26">
        <v>0.52582927160097703</v>
      </c>
    </row>
    <row r="15" spans="1:8" x14ac:dyDescent="0.3">
      <c r="A15" s="2">
        <v>12</v>
      </c>
      <c r="B15" s="3" t="s">
        <v>11</v>
      </c>
      <c r="C15" s="4">
        <v>0</v>
      </c>
      <c r="D15" s="4">
        <v>111</v>
      </c>
      <c r="E15" s="4">
        <v>111</v>
      </c>
      <c r="F15" s="26">
        <v>0</v>
      </c>
      <c r="G15" s="26">
        <v>0.2040042918092094</v>
      </c>
      <c r="H15" s="26">
        <v>0.18591644412524133</v>
      </c>
    </row>
    <row r="16" spans="1:8" x14ac:dyDescent="0.3">
      <c r="A16" s="2">
        <v>13</v>
      </c>
      <c r="B16" s="3" t="s">
        <v>12</v>
      </c>
      <c r="C16" s="4">
        <v>0</v>
      </c>
      <c r="D16" s="4">
        <v>139</v>
      </c>
      <c r="E16" s="4">
        <v>139</v>
      </c>
      <c r="F16" s="26">
        <v>0</v>
      </c>
      <c r="G16" s="26">
        <v>5.452265737077587E-2</v>
      </c>
      <c r="H16" s="26">
        <v>4.9359844541347161E-2</v>
      </c>
    </row>
    <row r="17" spans="1:8" x14ac:dyDescent="0.3">
      <c r="A17" s="2">
        <v>14</v>
      </c>
      <c r="B17" s="3" t="s">
        <v>13</v>
      </c>
      <c r="C17" s="4">
        <v>0</v>
      </c>
      <c r="D17" s="4">
        <v>74310</v>
      </c>
      <c r="E17" s="4">
        <v>2075.6932661315523</v>
      </c>
      <c r="F17" s="26">
        <v>0</v>
      </c>
      <c r="G17" s="26">
        <v>8.5328116808691696</v>
      </c>
      <c r="H17" s="26">
        <v>0.20964436134441894</v>
      </c>
    </row>
    <row r="18" spans="1:8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">
      <c r="A19" s="2">
        <v>16</v>
      </c>
      <c r="B19" s="3" t="s">
        <v>15</v>
      </c>
      <c r="C19" s="4">
        <v>0</v>
      </c>
      <c r="D19" s="4">
        <v>3563</v>
      </c>
      <c r="E19" s="4">
        <v>3563</v>
      </c>
      <c r="F19" s="26">
        <v>0</v>
      </c>
      <c r="G19" s="26">
        <v>10.341401203265425</v>
      </c>
      <c r="H19" s="26">
        <v>9.6714699643583337</v>
      </c>
    </row>
    <row r="20" spans="1:8" x14ac:dyDescent="0.3">
      <c r="A20" s="2">
        <v>17</v>
      </c>
      <c r="B20" s="3" t="s">
        <v>16</v>
      </c>
      <c r="C20" s="4">
        <v>0</v>
      </c>
      <c r="D20" s="4">
        <v>1215</v>
      </c>
      <c r="E20" s="4">
        <v>74.529501174519837</v>
      </c>
      <c r="F20" s="26">
        <v>0</v>
      </c>
      <c r="G20" s="26">
        <v>10.470279272078608</v>
      </c>
      <c r="H20" s="26">
        <v>0.62021578439780178</v>
      </c>
    </row>
    <row r="21" spans="1:8" x14ac:dyDescent="0.3">
      <c r="A21" s="2">
        <v>18</v>
      </c>
      <c r="B21" s="3" t="s">
        <v>17</v>
      </c>
      <c r="C21" s="4">
        <v>0</v>
      </c>
      <c r="D21" s="4">
        <v>73174</v>
      </c>
      <c r="E21" s="4">
        <v>73174</v>
      </c>
      <c r="F21" s="26">
        <v>0</v>
      </c>
      <c r="G21" s="26">
        <v>6.5845739272072974</v>
      </c>
      <c r="H21" s="26">
        <v>5.930786576222939</v>
      </c>
    </row>
    <row r="22" spans="1:8" x14ac:dyDescent="0.3">
      <c r="A22" s="2">
        <v>19</v>
      </c>
      <c r="B22" s="3" t="s">
        <v>18</v>
      </c>
      <c r="C22" s="4">
        <v>0</v>
      </c>
      <c r="D22" s="4">
        <v>1939</v>
      </c>
      <c r="E22" s="4">
        <v>1052.0844246551424</v>
      </c>
      <c r="F22" s="26">
        <v>0</v>
      </c>
      <c r="G22" s="26">
        <v>8.8457565117701247</v>
      </c>
      <c r="H22" s="26">
        <v>4.4038833301282541</v>
      </c>
    </row>
    <row r="23" spans="1:8" x14ac:dyDescent="0.3">
      <c r="A23" s="2">
        <v>20</v>
      </c>
      <c r="B23" s="3" t="s">
        <v>19</v>
      </c>
      <c r="C23" s="4">
        <v>0</v>
      </c>
      <c r="D23" s="4">
        <v>0</v>
      </c>
      <c r="E23" s="4">
        <v>0</v>
      </c>
      <c r="F23" s="26">
        <v>0</v>
      </c>
      <c r="G23" s="26">
        <v>0</v>
      </c>
      <c r="H23" s="26">
        <v>0</v>
      </c>
    </row>
    <row r="24" spans="1:8" x14ac:dyDescent="0.3">
      <c r="A24" s="2">
        <v>21</v>
      </c>
      <c r="B24" s="3" t="s">
        <v>20</v>
      </c>
      <c r="C24" s="4">
        <v>0</v>
      </c>
      <c r="D24" s="4">
        <v>23627</v>
      </c>
      <c r="E24" s="4">
        <v>23627</v>
      </c>
      <c r="F24" s="26">
        <v>0</v>
      </c>
      <c r="G24" s="26">
        <v>7.6535503045361173</v>
      </c>
      <c r="H24" s="26">
        <v>7.0579195244526929</v>
      </c>
    </row>
    <row r="25" spans="1:8" x14ac:dyDescent="0.3">
      <c r="A25" s="2">
        <v>22</v>
      </c>
      <c r="B25" s="3" t="s">
        <v>21</v>
      </c>
      <c r="C25" s="4">
        <v>0</v>
      </c>
      <c r="D25" s="4">
        <v>481</v>
      </c>
      <c r="E25" s="4">
        <v>481</v>
      </c>
      <c r="F25" s="26">
        <v>0</v>
      </c>
      <c r="G25" s="26">
        <v>0.38311843190342681</v>
      </c>
      <c r="H25" s="26">
        <v>0.34705836111032828</v>
      </c>
    </row>
    <row r="26" spans="1:8" x14ac:dyDescent="0.3">
      <c r="A26" s="2">
        <v>23</v>
      </c>
      <c r="B26" s="3" t="s">
        <v>22</v>
      </c>
      <c r="C26" s="4">
        <v>0</v>
      </c>
      <c r="D26" s="4">
        <v>481</v>
      </c>
      <c r="E26" s="4">
        <v>12.120405576679341</v>
      </c>
      <c r="F26" s="26">
        <v>0</v>
      </c>
      <c r="G26" s="26">
        <v>2.4987603603098165</v>
      </c>
      <c r="H26" s="26">
        <v>5.7563659628158542E-2</v>
      </c>
    </row>
    <row r="27" spans="1:8" x14ac:dyDescent="0.3">
      <c r="A27" s="2">
        <v>24</v>
      </c>
      <c r="B27" s="3" t="s">
        <v>23</v>
      </c>
      <c r="C27" s="4">
        <v>0</v>
      </c>
      <c r="D27" s="4">
        <v>2759</v>
      </c>
      <c r="E27" s="4">
        <v>3295</v>
      </c>
      <c r="F27" s="26">
        <v>0</v>
      </c>
      <c r="G27" s="26">
        <v>0.55231581878948399</v>
      </c>
      <c r="H27" s="26">
        <v>0.60987474764465743</v>
      </c>
    </row>
    <row r="28" spans="1:8" x14ac:dyDescent="0.3">
      <c r="A28" s="2">
        <v>25</v>
      </c>
      <c r="B28" s="3" t="s">
        <v>24</v>
      </c>
      <c r="C28" s="4">
        <v>0</v>
      </c>
      <c r="D28" s="4">
        <v>2130</v>
      </c>
      <c r="E28" s="4">
        <v>792.13824459673174</v>
      </c>
      <c r="F28" s="26">
        <v>0</v>
      </c>
      <c r="G28" s="26">
        <v>9.6905528938129226</v>
      </c>
      <c r="H28" s="26">
        <v>3.4353781090404762</v>
      </c>
    </row>
    <row r="29" spans="1:8" x14ac:dyDescent="0.3">
      <c r="A29" s="2">
        <v>26</v>
      </c>
      <c r="B29" s="3" t="s">
        <v>25</v>
      </c>
      <c r="C29" s="4">
        <v>0</v>
      </c>
      <c r="D29" s="4">
        <v>4311</v>
      </c>
      <c r="E29" s="4">
        <v>4311</v>
      </c>
      <c r="F29" s="26">
        <v>0</v>
      </c>
      <c r="G29" s="26">
        <v>8.8170489944453205</v>
      </c>
      <c r="H29" s="26">
        <v>8.1298497873056998</v>
      </c>
    </row>
    <row r="30" spans="1:8" x14ac:dyDescent="0.3">
      <c r="A30" s="2">
        <v>27</v>
      </c>
      <c r="B30" s="3" t="s">
        <v>26</v>
      </c>
      <c r="C30" s="4">
        <v>0</v>
      </c>
      <c r="D30" s="4">
        <v>6355</v>
      </c>
      <c r="E30" s="4">
        <v>6355</v>
      </c>
      <c r="F30" s="26">
        <v>0</v>
      </c>
      <c r="G30" s="26">
        <v>2.367157839812585</v>
      </c>
      <c r="H30" s="26">
        <v>2.1461101508679974</v>
      </c>
    </row>
    <row r="31" spans="1:8" x14ac:dyDescent="0.3">
      <c r="A31" s="2">
        <v>28</v>
      </c>
      <c r="B31" s="3" t="s">
        <v>27</v>
      </c>
      <c r="C31" s="4">
        <v>0</v>
      </c>
      <c r="D31" s="4">
        <v>0</v>
      </c>
      <c r="E31" s="4">
        <v>0</v>
      </c>
      <c r="F31" s="26">
        <v>0</v>
      </c>
      <c r="G31" s="26">
        <v>0</v>
      </c>
      <c r="H31" s="26">
        <v>0</v>
      </c>
    </row>
    <row r="32" spans="1:8" x14ac:dyDescent="0.3">
      <c r="A32" s="2">
        <v>29</v>
      </c>
      <c r="B32" s="3" t="s">
        <v>28</v>
      </c>
      <c r="C32" s="4">
        <v>0</v>
      </c>
      <c r="D32" s="4">
        <v>8306</v>
      </c>
      <c r="E32" s="4">
        <v>8306</v>
      </c>
      <c r="F32" s="26">
        <v>0</v>
      </c>
      <c r="G32" s="26">
        <v>4.1666879867051243</v>
      </c>
      <c r="H32" s="26">
        <v>3.6762638501392648</v>
      </c>
    </row>
    <row r="33" spans="1:8" x14ac:dyDescent="0.3">
      <c r="A33" s="2">
        <v>30</v>
      </c>
      <c r="B33" s="3" t="s">
        <v>29</v>
      </c>
      <c r="C33" s="4">
        <v>0</v>
      </c>
      <c r="D33" s="4">
        <v>1532</v>
      </c>
      <c r="E33" s="4">
        <v>1532</v>
      </c>
      <c r="F33" s="26">
        <v>0</v>
      </c>
      <c r="G33" s="26">
        <v>3.587224283354193</v>
      </c>
      <c r="H33" s="26">
        <v>3.2347023598758406</v>
      </c>
    </row>
    <row r="34" spans="1:8" x14ac:dyDescent="0.3">
      <c r="A34" s="2">
        <v>31</v>
      </c>
      <c r="B34" s="3" t="s">
        <v>30</v>
      </c>
      <c r="C34" s="4">
        <v>0</v>
      </c>
      <c r="D34" s="4">
        <v>3295</v>
      </c>
      <c r="E34" s="4">
        <v>3295</v>
      </c>
      <c r="F34" s="26">
        <v>0</v>
      </c>
      <c r="G34" s="26">
        <v>25.436521982134213</v>
      </c>
      <c r="H34" s="26">
        <v>25.356511005649256</v>
      </c>
    </row>
    <row r="35" spans="1:8" x14ac:dyDescent="0.3">
      <c r="A35" s="2">
        <v>32</v>
      </c>
      <c r="B35" s="3" t="s">
        <v>31</v>
      </c>
      <c r="C35" s="4">
        <v>0</v>
      </c>
      <c r="D35" s="4">
        <v>26735</v>
      </c>
      <c r="E35" s="4">
        <v>799.91185644700897</v>
      </c>
      <c r="F35" s="26">
        <v>0</v>
      </c>
      <c r="G35" s="26">
        <v>9.0861576933170127</v>
      </c>
      <c r="H35" s="26">
        <v>0.24262163745188114</v>
      </c>
    </row>
    <row r="36" spans="1:8" x14ac:dyDescent="0.3">
      <c r="A36" s="2">
        <v>33</v>
      </c>
      <c r="B36" s="3" t="s">
        <v>32</v>
      </c>
      <c r="C36" s="4">
        <v>0</v>
      </c>
      <c r="D36" s="4">
        <v>2157</v>
      </c>
      <c r="E36" s="4">
        <v>2157</v>
      </c>
      <c r="F36" s="26">
        <v>0</v>
      </c>
      <c r="G36" s="26">
        <v>8.9662779408986335</v>
      </c>
      <c r="H36" s="26">
        <v>8.4027639133038914</v>
      </c>
    </row>
    <row r="37" spans="1:8" x14ac:dyDescent="0.3">
      <c r="A37" s="2">
        <v>34</v>
      </c>
      <c r="B37" s="3" t="s">
        <v>33</v>
      </c>
      <c r="C37" s="4">
        <v>0</v>
      </c>
      <c r="D37" s="4">
        <v>542</v>
      </c>
      <c r="E37" s="4">
        <v>542</v>
      </c>
      <c r="F37" s="26">
        <v>0</v>
      </c>
      <c r="G37" s="26">
        <v>0.24006670842587199</v>
      </c>
      <c r="H37" s="26">
        <v>0.20680726724552734</v>
      </c>
    </row>
    <row r="38" spans="1:8" x14ac:dyDescent="0.3">
      <c r="A38" s="2">
        <v>35</v>
      </c>
      <c r="B38" s="3" t="s">
        <v>34</v>
      </c>
      <c r="C38" s="4">
        <v>0</v>
      </c>
      <c r="D38" s="4">
        <v>0</v>
      </c>
      <c r="E38" s="4">
        <v>0</v>
      </c>
      <c r="F38" s="26">
        <v>0</v>
      </c>
      <c r="G38" s="26">
        <v>0</v>
      </c>
      <c r="H38" s="26">
        <v>0</v>
      </c>
    </row>
    <row r="39" spans="1:8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26">
        <v>0</v>
      </c>
      <c r="G40" s="26">
        <v>0</v>
      </c>
      <c r="H40" s="26">
        <v>0</v>
      </c>
    </row>
    <row r="41" spans="1:8" x14ac:dyDescent="0.3">
      <c r="A41" s="2">
        <v>38</v>
      </c>
      <c r="B41" s="3" t="s">
        <v>37</v>
      </c>
      <c r="C41" s="4">
        <v>0</v>
      </c>
      <c r="D41" s="4">
        <v>5868</v>
      </c>
      <c r="E41" s="4">
        <v>18.726598214499415</v>
      </c>
      <c r="F41" s="26">
        <v>0</v>
      </c>
      <c r="G41" s="26">
        <v>3.7675982569143747</v>
      </c>
      <c r="H41" s="26">
        <v>1.0814340870059107E-2</v>
      </c>
    </row>
    <row r="42" spans="1:8" x14ac:dyDescent="0.3">
      <c r="A42" s="2">
        <v>39</v>
      </c>
      <c r="B42" s="3" t="s">
        <v>38</v>
      </c>
      <c r="C42" s="4">
        <v>0</v>
      </c>
      <c r="D42" s="4">
        <v>0</v>
      </c>
      <c r="E42" s="4">
        <v>0</v>
      </c>
      <c r="F42" s="26">
        <v>0</v>
      </c>
      <c r="G42" s="26">
        <v>0</v>
      </c>
      <c r="H42" s="26">
        <v>0</v>
      </c>
    </row>
    <row r="43" spans="1:8" x14ac:dyDescent="0.3">
      <c r="A43" s="2">
        <v>40</v>
      </c>
      <c r="B43" s="3" t="s">
        <v>39</v>
      </c>
      <c r="C43" s="4">
        <v>0</v>
      </c>
      <c r="D43" s="4">
        <v>0</v>
      </c>
      <c r="E43" s="4">
        <v>0</v>
      </c>
      <c r="F43" s="26">
        <v>0</v>
      </c>
      <c r="G43" s="26">
        <v>0</v>
      </c>
      <c r="H43" s="26">
        <v>0</v>
      </c>
    </row>
    <row r="44" spans="1:8" x14ac:dyDescent="0.3">
      <c r="A44" s="2">
        <v>41</v>
      </c>
      <c r="B44" s="3" t="s">
        <v>40</v>
      </c>
      <c r="C44" s="4">
        <v>0</v>
      </c>
      <c r="D44" s="4">
        <v>0</v>
      </c>
      <c r="E44" s="4">
        <v>15459</v>
      </c>
      <c r="F44" s="26">
        <v>0</v>
      </c>
      <c r="G44" s="26">
        <v>0</v>
      </c>
      <c r="H44" s="26">
        <v>2.5810648066904927</v>
      </c>
    </row>
    <row r="45" spans="1:8" x14ac:dyDescent="0.3">
      <c r="A45" s="2">
        <v>42</v>
      </c>
      <c r="B45" s="3" t="s">
        <v>41</v>
      </c>
      <c r="C45" s="4">
        <v>0</v>
      </c>
      <c r="D45" s="4">
        <v>0</v>
      </c>
      <c r="E45" s="4">
        <v>0</v>
      </c>
      <c r="F45" s="26">
        <v>0</v>
      </c>
      <c r="G45" s="26">
        <v>0</v>
      </c>
      <c r="H45" s="26">
        <v>0</v>
      </c>
    </row>
    <row r="46" spans="1:8" x14ac:dyDescent="0.3">
      <c r="A46" s="2">
        <v>43</v>
      </c>
      <c r="B46" s="3" t="s">
        <v>42</v>
      </c>
      <c r="C46" s="4">
        <v>0</v>
      </c>
      <c r="D46" s="4">
        <v>0</v>
      </c>
      <c r="E46" s="4">
        <v>0</v>
      </c>
      <c r="F46" s="26">
        <v>0</v>
      </c>
      <c r="G46" s="26">
        <v>0</v>
      </c>
      <c r="H46" s="26">
        <v>0</v>
      </c>
    </row>
    <row r="47" spans="1:8" x14ac:dyDescent="0.3">
      <c r="A47" s="2">
        <v>44</v>
      </c>
      <c r="B47" s="3" t="s">
        <v>43</v>
      </c>
      <c r="C47" s="4">
        <v>0</v>
      </c>
      <c r="D47" s="4">
        <v>4010</v>
      </c>
      <c r="E47" s="4">
        <v>2585.7439769256871</v>
      </c>
      <c r="F47" s="26">
        <v>0</v>
      </c>
      <c r="G47" s="26">
        <v>4.9834223534951496</v>
      </c>
      <c r="H47" s="26">
        <v>2.922174347928892</v>
      </c>
    </row>
    <row r="48" spans="1:8" x14ac:dyDescent="0.3">
      <c r="A48" s="2">
        <v>45</v>
      </c>
      <c r="B48" s="3" t="s">
        <v>44</v>
      </c>
      <c r="C48" s="4">
        <v>0</v>
      </c>
      <c r="D48" s="4">
        <v>0</v>
      </c>
      <c r="E48" s="4">
        <v>0</v>
      </c>
      <c r="F48" s="26">
        <v>0</v>
      </c>
      <c r="G48" s="26">
        <v>0</v>
      </c>
      <c r="H48" s="26">
        <v>0</v>
      </c>
    </row>
    <row r="49" spans="1:8" x14ac:dyDescent="0.3">
      <c r="A49" s="2">
        <v>46</v>
      </c>
      <c r="B49" s="3" t="s">
        <v>45</v>
      </c>
      <c r="C49" s="4">
        <v>0</v>
      </c>
      <c r="D49" s="4">
        <v>17801</v>
      </c>
      <c r="E49" s="4">
        <v>17801</v>
      </c>
      <c r="F49" s="26">
        <v>0</v>
      </c>
      <c r="G49" s="26">
        <v>9.9804366397578299</v>
      </c>
      <c r="H49" s="26">
        <v>8.8926411284027722</v>
      </c>
    </row>
    <row r="50" spans="1:8" x14ac:dyDescent="0.3">
      <c r="A50" s="2">
        <v>47</v>
      </c>
      <c r="B50" s="3" t="s">
        <v>46</v>
      </c>
      <c r="C50" s="4">
        <v>0</v>
      </c>
      <c r="D50" s="4">
        <v>9502</v>
      </c>
      <c r="E50" s="4">
        <v>9502</v>
      </c>
      <c r="F50" s="26">
        <v>0</v>
      </c>
      <c r="G50" s="26">
        <v>6.3127051861709873</v>
      </c>
      <c r="H50" s="26">
        <v>5.8221123483865771</v>
      </c>
    </row>
    <row r="51" spans="1:8" x14ac:dyDescent="0.3">
      <c r="A51" s="2">
        <v>48</v>
      </c>
      <c r="B51" s="5" t="s">
        <v>47</v>
      </c>
      <c r="C51" s="6">
        <v>0</v>
      </c>
      <c r="D51" s="6">
        <v>386282</v>
      </c>
      <c r="E51" s="6">
        <v>296957.47865657182</v>
      </c>
      <c r="F51" s="28">
        <f>AVERAGE(F4:F50)</f>
        <v>0</v>
      </c>
      <c r="G51" s="28">
        <f t="shared" ref="G51:H51" si="0">AVERAGE(G4:G50)</f>
        <v>4.54768633208207</v>
      </c>
      <c r="H51" s="28">
        <f t="shared" si="0"/>
        <v>3.5088729419700706</v>
      </c>
    </row>
  </sheetData>
  <mergeCells count="6">
    <mergeCell ref="A2:A3"/>
    <mergeCell ref="C2:E2"/>
    <mergeCell ref="F2:F3"/>
    <mergeCell ref="G2:G3"/>
    <mergeCell ref="H2:H3"/>
    <mergeCell ref="B2:B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0794-B8E4-4A4E-AED5-4CA4281F301E}">
  <dimension ref="A1:H51"/>
  <sheetViews>
    <sheetView workbookViewId="0">
      <selection activeCell="A2" sqref="A2:H51"/>
    </sheetView>
  </sheetViews>
  <sheetFormatPr defaultRowHeight="14" x14ac:dyDescent="0.3"/>
  <cols>
    <col min="1" max="1" width="4.54296875" style="16" bestFit="1" customWidth="1"/>
    <col min="2" max="2" width="20.90625" style="16" bestFit="1" customWidth="1"/>
    <col min="3" max="16384" width="8.7265625" style="16"/>
  </cols>
  <sheetData>
    <row r="1" spans="1:8" x14ac:dyDescent="0.3">
      <c r="C1" s="16" t="s">
        <v>82</v>
      </c>
    </row>
    <row r="2" spans="1:8" ht="14.5" customHeight="1" x14ac:dyDescent="0.3">
      <c r="A2" s="215" t="s">
        <v>52</v>
      </c>
      <c r="B2" s="217" t="s">
        <v>48</v>
      </c>
      <c r="C2" s="196" t="s">
        <v>82</v>
      </c>
      <c r="D2" s="196"/>
      <c r="E2" s="196"/>
      <c r="F2" s="216" t="s">
        <v>91</v>
      </c>
      <c r="G2" s="216" t="s">
        <v>92</v>
      </c>
      <c r="H2" s="216" t="s">
        <v>93</v>
      </c>
    </row>
    <row r="3" spans="1:8" ht="28" x14ac:dyDescent="0.3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">
      <c r="A4" s="2">
        <v>1</v>
      </c>
      <c r="B4" s="3" t="s">
        <v>0</v>
      </c>
      <c r="C4" s="4">
        <v>0</v>
      </c>
      <c r="D4" s="4">
        <v>75033</v>
      </c>
      <c r="E4" s="4">
        <v>75033</v>
      </c>
      <c r="F4" s="26">
        <v>0</v>
      </c>
      <c r="G4" s="26">
        <v>17.896102147238889</v>
      </c>
      <c r="H4" s="26">
        <v>16.709935644934188</v>
      </c>
    </row>
    <row r="5" spans="1:8" x14ac:dyDescent="0.3">
      <c r="A5" s="2">
        <v>2</v>
      </c>
      <c r="B5" s="3" t="s">
        <v>1</v>
      </c>
      <c r="C5" s="4">
        <v>0</v>
      </c>
      <c r="D5" s="4">
        <v>0</v>
      </c>
      <c r="E5" s="4">
        <v>8431</v>
      </c>
      <c r="F5" s="26">
        <v>0</v>
      </c>
      <c r="G5" s="26">
        <v>0</v>
      </c>
      <c r="H5" s="26">
        <v>2.3689912837361717</v>
      </c>
    </row>
    <row r="6" spans="1:8" x14ac:dyDescent="0.3">
      <c r="A6" s="2">
        <v>3</v>
      </c>
      <c r="B6" s="3" t="s">
        <v>2</v>
      </c>
      <c r="C6" s="4">
        <v>0</v>
      </c>
      <c r="D6" s="4">
        <v>1994</v>
      </c>
      <c r="E6" s="4">
        <v>1994</v>
      </c>
      <c r="F6" s="26">
        <v>0</v>
      </c>
      <c r="G6" s="26">
        <v>1.6699211565234107</v>
      </c>
      <c r="H6" s="26">
        <v>1.4933125957098043</v>
      </c>
    </row>
    <row r="7" spans="1:8" x14ac:dyDescent="0.3">
      <c r="A7" s="2">
        <v>4</v>
      </c>
      <c r="B7" s="3" t="s">
        <v>3</v>
      </c>
      <c r="C7" s="4">
        <v>0</v>
      </c>
      <c r="D7" s="4">
        <v>3342</v>
      </c>
      <c r="E7" s="4">
        <v>3682.3528564026101</v>
      </c>
      <c r="F7" s="26">
        <v>0</v>
      </c>
      <c r="G7" s="26">
        <v>13.632978754866848</v>
      </c>
      <c r="H7" s="26">
        <v>13.999766020260106</v>
      </c>
    </row>
    <row r="8" spans="1:8" x14ac:dyDescent="0.3">
      <c r="A8" s="2">
        <v>5</v>
      </c>
      <c r="B8" s="3" t="s">
        <v>4</v>
      </c>
      <c r="C8" s="4">
        <v>0</v>
      </c>
      <c r="D8" s="4">
        <v>44</v>
      </c>
      <c r="E8" s="4">
        <v>2079</v>
      </c>
      <c r="F8" s="26">
        <v>0</v>
      </c>
      <c r="G8" s="26">
        <v>2.1576324064226243E-2</v>
      </c>
      <c r="H8" s="26">
        <v>0.91691885978162746</v>
      </c>
    </row>
    <row r="9" spans="1:8" x14ac:dyDescent="0.3">
      <c r="A9" s="2">
        <v>6</v>
      </c>
      <c r="B9" s="3" t="s">
        <v>5</v>
      </c>
      <c r="C9" s="4">
        <v>0</v>
      </c>
      <c r="D9" s="4">
        <v>9003</v>
      </c>
      <c r="E9" s="4">
        <v>9003</v>
      </c>
      <c r="F9" s="26">
        <v>0</v>
      </c>
      <c r="G9" s="26">
        <v>7.8331418115804476</v>
      </c>
      <c r="H9" s="26">
        <v>6.9847135784484493</v>
      </c>
    </row>
    <row r="10" spans="1:8" x14ac:dyDescent="0.3">
      <c r="A10" s="2">
        <v>7</v>
      </c>
      <c r="B10" s="3" t="s">
        <v>6</v>
      </c>
      <c r="C10" s="4">
        <v>0</v>
      </c>
      <c r="D10" s="4">
        <v>0</v>
      </c>
      <c r="E10" s="4">
        <v>74</v>
      </c>
      <c r="F10" s="26">
        <v>0</v>
      </c>
      <c r="G10" s="26">
        <v>0</v>
      </c>
      <c r="H10" s="26">
        <v>2.6509485479008412E-2</v>
      </c>
    </row>
    <row r="11" spans="1:8" x14ac:dyDescent="0.3">
      <c r="A11" s="2">
        <v>8</v>
      </c>
      <c r="B11" s="3" t="s">
        <v>7</v>
      </c>
      <c r="C11" s="4">
        <v>0</v>
      </c>
      <c r="D11" s="4">
        <v>95</v>
      </c>
      <c r="E11" s="4">
        <v>95</v>
      </c>
      <c r="F11" s="26">
        <v>0</v>
      </c>
      <c r="G11" s="26">
        <v>1.6631608985620661</v>
      </c>
      <c r="H11" s="26">
        <v>1.6016198277162836</v>
      </c>
    </row>
    <row r="12" spans="1:8" x14ac:dyDescent="0.3">
      <c r="A12" s="2">
        <v>9</v>
      </c>
      <c r="B12" s="3" t="s">
        <v>8</v>
      </c>
      <c r="C12" s="4">
        <v>0</v>
      </c>
      <c r="D12" s="4">
        <v>14</v>
      </c>
      <c r="E12" s="4">
        <v>14</v>
      </c>
      <c r="F12" s="26">
        <v>0</v>
      </c>
      <c r="G12" s="26">
        <v>2.7479106065423833E-2</v>
      </c>
      <c r="H12" s="26">
        <v>2.5093457445573838E-2</v>
      </c>
    </row>
    <row r="13" spans="1:8" x14ac:dyDescent="0.3">
      <c r="A13" s="2">
        <v>10</v>
      </c>
      <c r="B13" s="3" t="s">
        <v>9</v>
      </c>
      <c r="C13" s="4">
        <v>0</v>
      </c>
      <c r="D13" s="4">
        <v>90</v>
      </c>
      <c r="E13" s="4">
        <v>791</v>
      </c>
      <c r="F13" s="26">
        <v>0</v>
      </c>
      <c r="G13" s="26">
        <v>5.7676742366322933E-2</v>
      </c>
      <c r="H13" s="26">
        <v>0.44630478119654188</v>
      </c>
    </row>
    <row r="14" spans="1:8" x14ac:dyDescent="0.3">
      <c r="A14" s="2">
        <v>11</v>
      </c>
      <c r="B14" s="3" t="s">
        <v>10</v>
      </c>
      <c r="C14" s="4">
        <v>0</v>
      </c>
      <c r="D14" s="4">
        <v>115</v>
      </c>
      <c r="E14" s="4">
        <v>115</v>
      </c>
      <c r="F14" s="26">
        <v>0</v>
      </c>
      <c r="G14" s="26">
        <v>1.4813603009608862</v>
      </c>
      <c r="H14" s="26">
        <v>1.3743265053207354</v>
      </c>
    </row>
    <row r="15" spans="1:8" x14ac:dyDescent="0.3">
      <c r="A15" s="2">
        <v>12</v>
      </c>
      <c r="B15" s="3" t="s">
        <v>11</v>
      </c>
      <c r="C15" s="4">
        <v>0</v>
      </c>
      <c r="D15" s="4">
        <v>445</v>
      </c>
      <c r="E15" s="4">
        <v>445</v>
      </c>
      <c r="F15" s="26">
        <v>0</v>
      </c>
      <c r="G15" s="26">
        <v>0.81785504373962326</v>
      </c>
      <c r="H15" s="26">
        <v>0.74534069942101255</v>
      </c>
    </row>
    <row r="16" spans="1:8" x14ac:dyDescent="0.3">
      <c r="A16" s="2">
        <v>13</v>
      </c>
      <c r="B16" s="3" t="s">
        <v>12</v>
      </c>
      <c r="C16" s="4">
        <v>0</v>
      </c>
      <c r="D16" s="4">
        <v>14</v>
      </c>
      <c r="E16" s="4">
        <v>3470</v>
      </c>
      <c r="F16" s="26">
        <v>0</v>
      </c>
      <c r="G16" s="26">
        <v>5.4914906704378571E-3</v>
      </c>
      <c r="H16" s="26">
        <v>1.2322205795573717</v>
      </c>
    </row>
    <row r="17" spans="1:8" x14ac:dyDescent="0.3">
      <c r="A17" s="2">
        <v>14</v>
      </c>
      <c r="B17" s="3" t="s">
        <v>13</v>
      </c>
      <c r="C17" s="4">
        <v>0</v>
      </c>
      <c r="D17" s="4">
        <v>1608</v>
      </c>
      <c r="E17" s="4">
        <v>1608</v>
      </c>
      <c r="F17" s="26">
        <v>0</v>
      </c>
      <c r="G17" s="26">
        <v>0.18464219059127474</v>
      </c>
      <c r="H17" s="26">
        <v>0.16240748984559289</v>
      </c>
    </row>
    <row r="18" spans="1:8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">
      <c r="A19" s="2">
        <v>16</v>
      </c>
      <c r="B19" s="3" t="s">
        <v>15</v>
      </c>
      <c r="C19" s="4">
        <v>0</v>
      </c>
      <c r="D19" s="4">
        <v>0</v>
      </c>
      <c r="E19" s="4">
        <v>0</v>
      </c>
      <c r="F19" s="26">
        <v>0</v>
      </c>
      <c r="G19" s="26">
        <v>0</v>
      </c>
      <c r="H19" s="26">
        <v>0</v>
      </c>
    </row>
    <row r="20" spans="1:8" x14ac:dyDescent="0.3">
      <c r="A20" s="2">
        <v>17</v>
      </c>
      <c r="B20" s="3" t="s">
        <v>16</v>
      </c>
      <c r="C20" s="4">
        <v>0</v>
      </c>
      <c r="D20" s="4">
        <v>85</v>
      </c>
      <c r="E20" s="4">
        <v>1861</v>
      </c>
      <c r="F20" s="26">
        <v>0</v>
      </c>
      <c r="G20" s="26">
        <v>0.73248867335529366</v>
      </c>
      <c r="H20" s="26">
        <v>15.4867744527306</v>
      </c>
    </row>
    <row r="21" spans="1:8" x14ac:dyDescent="0.3">
      <c r="A21" s="2">
        <v>18</v>
      </c>
      <c r="B21" s="3" t="s">
        <v>17</v>
      </c>
      <c r="C21" s="4">
        <v>0</v>
      </c>
      <c r="D21" s="4">
        <v>2872</v>
      </c>
      <c r="E21" s="4">
        <v>2872</v>
      </c>
      <c r="F21" s="26">
        <v>0</v>
      </c>
      <c r="G21" s="26">
        <v>0.25843737282285184</v>
      </c>
      <c r="H21" s="26">
        <v>0.2327769296049455</v>
      </c>
    </row>
    <row r="22" spans="1:8" x14ac:dyDescent="0.3">
      <c r="A22" s="2">
        <v>19</v>
      </c>
      <c r="B22" s="3" t="s">
        <v>18</v>
      </c>
      <c r="C22" s="4">
        <v>0</v>
      </c>
      <c r="D22" s="4">
        <v>62</v>
      </c>
      <c r="E22" s="4">
        <v>2714</v>
      </c>
      <c r="F22" s="26">
        <v>0</v>
      </c>
      <c r="G22" s="26">
        <v>0.28284523142328405</v>
      </c>
      <c r="H22" s="26">
        <v>11.360437506605816</v>
      </c>
    </row>
    <row r="23" spans="1:8" x14ac:dyDescent="0.3">
      <c r="A23" s="2">
        <v>20</v>
      </c>
      <c r="B23" s="3" t="s">
        <v>19</v>
      </c>
      <c r="C23" s="4">
        <v>0</v>
      </c>
      <c r="D23" s="4">
        <v>0</v>
      </c>
      <c r="E23" s="4">
        <v>2193</v>
      </c>
      <c r="F23" s="26">
        <v>0</v>
      </c>
      <c r="G23" s="26">
        <v>0</v>
      </c>
      <c r="H23" s="26">
        <v>8.1042368196210504</v>
      </c>
    </row>
    <row r="24" spans="1:8" x14ac:dyDescent="0.3">
      <c r="A24" s="2">
        <v>21</v>
      </c>
      <c r="B24" s="3" t="s">
        <v>20</v>
      </c>
      <c r="C24" s="4">
        <v>0</v>
      </c>
      <c r="D24" s="4">
        <v>1877</v>
      </c>
      <c r="E24" s="4">
        <v>1877</v>
      </c>
      <c r="F24" s="26">
        <v>0</v>
      </c>
      <c r="G24" s="26">
        <v>0.60802107426310126</v>
      </c>
      <c r="H24" s="26">
        <v>0.56070237217580332</v>
      </c>
    </row>
    <row r="25" spans="1:8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26">
        <v>0</v>
      </c>
      <c r="G25" s="26">
        <v>0</v>
      </c>
      <c r="H25" s="26">
        <v>0</v>
      </c>
    </row>
    <row r="26" spans="1:8" x14ac:dyDescent="0.3">
      <c r="A26" s="2">
        <v>23</v>
      </c>
      <c r="B26" s="3" t="s">
        <v>22</v>
      </c>
      <c r="C26" s="4">
        <v>0</v>
      </c>
      <c r="D26" s="4">
        <v>69</v>
      </c>
      <c r="E26" s="4">
        <v>77.57059569074778</v>
      </c>
      <c r="F26" s="26">
        <v>0</v>
      </c>
      <c r="G26" s="26">
        <v>0.35845003089683442</v>
      </c>
      <c r="H26" s="26">
        <v>0.36840742162021467</v>
      </c>
    </row>
    <row r="27" spans="1:8" x14ac:dyDescent="0.3">
      <c r="A27" s="2">
        <v>24</v>
      </c>
      <c r="B27" s="3" t="s">
        <v>23</v>
      </c>
      <c r="C27" s="4">
        <v>0</v>
      </c>
      <c r="D27" s="4">
        <v>0</v>
      </c>
      <c r="E27" s="4">
        <v>11129</v>
      </c>
      <c r="F27" s="26">
        <v>0</v>
      </c>
      <c r="G27" s="26">
        <v>0</v>
      </c>
      <c r="H27" s="26">
        <v>2.059877410178268</v>
      </c>
    </row>
    <row r="28" spans="1:8" x14ac:dyDescent="0.3">
      <c r="A28" s="2">
        <v>25</v>
      </c>
      <c r="B28" s="3" t="s">
        <v>24</v>
      </c>
      <c r="C28" s="4">
        <v>0</v>
      </c>
      <c r="D28" s="4">
        <v>58</v>
      </c>
      <c r="E28" s="4">
        <v>58</v>
      </c>
      <c r="F28" s="26">
        <v>0</v>
      </c>
      <c r="G28" s="26">
        <v>0.26387421025406083</v>
      </c>
      <c r="H28" s="26">
        <v>0.25153681403905004</v>
      </c>
    </row>
    <row r="29" spans="1:8" x14ac:dyDescent="0.3">
      <c r="A29" s="2">
        <v>26</v>
      </c>
      <c r="B29" s="3" t="s">
        <v>25</v>
      </c>
      <c r="C29" s="4">
        <v>0</v>
      </c>
      <c r="D29" s="4">
        <v>3601</v>
      </c>
      <c r="E29" s="4">
        <v>3601</v>
      </c>
      <c r="F29" s="26">
        <v>0</v>
      </c>
      <c r="G29" s="26">
        <v>7.3649254068655994</v>
      </c>
      <c r="H29" s="26">
        <v>6.7909044500319711</v>
      </c>
    </row>
    <row r="30" spans="1:8" x14ac:dyDescent="0.3">
      <c r="A30" s="2">
        <v>27</v>
      </c>
      <c r="B30" s="3" t="s">
        <v>26</v>
      </c>
      <c r="C30" s="4">
        <v>0</v>
      </c>
      <c r="D30" s="4">
        <v>0</v>
      </c>
      <c r="E30" s="4">
        <v>0</v>
      </c>
      <c r="F30" s="26">
        <v>0</v>
      </c>
      <c r="G30" s="26">
        <v>0</v>
      </c>
      <c r="H30" s="26">
        <v>0</v>
      </c>
    </row>
    <row r="31" spans="1:8" x14ac:dyDescent="0.3">
      <c r="A31" s="2">
        <v>28</v>
      </c>
      <c r="B31" s="3" t="s">
        <v>27</v>
      </c>
      <c r="C31" s="4">
        <v>0</v>
      </c>
      <c r="D31" s="4">
        <v>0</v>
      </c>
      <c r="E31" s="4">
        <v>11178</v>
      </c>
      <c r="F31" s="26">
        <v>0</v>
      </c>
      <c r="G31" s="26">
        <v>0</v>
      </c>
      <c r="H31" s="26">
        <v>5.4779841322235754</v>
      </c>
    </row>
    <row r="32" spans="1:8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26">
        <v>0</v>
      </c>
      <c r="G32" s="26">
        <v>0</v>
      </c>
      <c r="H32" s="26">
        <v>0</v>
      </c>
    </row>
    <row r="33" spans="1:8" x14ac:dyDescent="0.3">
      <c r="A33" s="2">
        <v>30</v>
      </c>
      <c r="B33" s="3" t="s">
        <v>29</v>
      </c>
      <c r="C33" s="4">
        <v>0</v>
      </c>
      <c r="D33" s="4">
        <v>4</v>
      </c>
      <c r="E33" s="4">
        <v>4</v>
      </c>
      <c r="F33" s="26">
        <v>0</v>
      </c>
      <c r="G33" s="26">
        <v>9.3661208442668217E-3</v>
      </c>
      <c r="H33" s="26">
        <v>8.445698067560941E-3</v>
      </c>
    </row>
    <row r="34" spans="1:8" x14ac:dyDescent="0.3">
      <c r="A34" s="2">
        <v>31</v>
      </c>
      <c r="B34" s="3" t="s">
        <v>30</v>
      </c>
      <c r="C34" s="4">
        <v>0</v>
      </c>
      <c r="D34" s="4">
        <v>0</v>
      </c>
      <c r="E34" s="4">
        <v>0</v>
      </c>
      <c r="F34" s="26">
        <v>0</v>
      </c>
      <c r="G34" s="26">
        <v>0</v>
      </c>
      <c r="H34" s="26">
        <v>0</v>
      </c>
    </row>
    <row r="35" spans="1:8" x14ac:dyDescent="0.3">
      <c r="A35" s="2">
        <v>32</v>
      </c>
      <c r="B35" s="3" t="s">
        <v>31</v>
      </c>
      <c r="C35" s="4">
        <v>0</v>
      </c>
      <c r="D35" s="4">
        <v>26735</v>
      </c>
      <c r="E35" s="4">
        <v>14091.550678012611</v>
      </c>
      <c r="F35" s="26">
        <v>0</v>
      </c>
      <c r="G35" s="26">
        <v>9.0861576933170127</v>
      </c>
      <c r="H35" s="26">
        <v>4.2741147942493019</v>
      </c>
    </row>
    <row r="36" spans="1:8" x14ac:dyDescent="0.3">
      <c r="A36" s="2">
        <v>33</v>
      </c>
      <c r="B36" s="3" t="s">
        <v>32</v>
      </c>
      <c r="C36" s="4">
        <v>0</v>
      </c>
      <c r="D36" s="4">
        <v>0</v>
      </c>
      <c r="E36" s="4">
        <v>0</v>
      </c>
      <c r="F36" s="26">
        <v>0</v>
      </c>
      <c r="G36" s="26">
        <v>0</v>
      </c>
      <c r="H36" s="26">
        <v>0</v>
      </c>
    </row>
    <row r="37" spans="1:8" x14ac:dyDescent="0.3">
      <c r="A37" s="2">
        <v>34</v>
      </c>
      <c r="B37" s="3" t="s">
        <v>33</v>
      </c>
      <c r="C37" s="4">
        <v>0</v>
      </c>
      <c r="D37" s="4">
        <v>462</v>
      </c>
      <c r="E37" s="4">
        <v>462</v>
      </c>
      <c r="F37" s="26">
        <v>0</v>
      </c>
      <c r="G37" s="26">
        <v>0.20463250792020823</v>
      </c>
      <c r="H37" s="26">
        <v>0.17628220934950853</v>
      </c>
    </row>
    <row r="38" spans="1:8" x14ac:dyDescent="0.3">
      <c r="A38" s="2">
        <v>35</v>
      </c>
      <c r="B38" s="3" t="s">
        <v>34</v>
      </c>
      <c r="C38" s="4">
        <v>0</v>
      </c>
      <c r="D38" s="4">
        <v>3919</v>
      </c>
      <c r="E38" s="4">
        <v>3919</v>
      </c>
      <c r="F38" s="26">
        <v>0</v>
      </c>
      <c r="G38" s="26">
        <v>0.19754256494735412</v>
      </c>
      <c r="H38" s="26">
        <v>0.17932544498592201</v>
      </c>
    </row>
    <row r="39" spans="1:8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">
        <v>37</v>
      </c>
      <c r="B40" s="3" t="s">
        <v>36</v>
      </c>
      <c r="C40" s="4">
        <v>0</v>
      </c>
      <c r="D40" s="4">
        <v>271</v>
      </c>
      <c r="E40" s="4">
        <v>271</v>
      </c>
      <c r="F40" s="26">
        <v>0</v>
      </c>
      <c r="G40" s="26">
        <v>12.822696646226058</v>
      </c>
      <c r="H40" s="26">
        <v>11.91840073533454</v>
      </c>
    </row>
    <row r="41" spans="1:8" x14ac:dyDescent="0.3">
      <c r="A41" s="2">
        <v>38</v>
      </c>
      <c r="B41" s="3" t="s">
        <v>37</v>
      </c>
      <c r="C41" s="4">
        <v>0</v>
      </c>
      <c r="D41" s="4">
        <v>1722</v>
      </c>
      <c r="E41" s="4">
        <v>402.62186161173742</v>
      </c>
      <c r="F41" s="26">
        <v>0</v>
      </c>
      <c r="G41" s="26">
        <v>1.1056244373562634</v>
      </c>
      <c r="H41" s="26">
        <v>0.23250832870627078</v>
      </c>
    </row>
    <row r="42" spans="1:8" x14ac:dyDescent="0.3">
      <c r="A42" s="2">
        <v>39</v>
      </c>
      <c r="B42" s="3" t="s">
        <v>38</v>
      </c>
      <c r="C42" s="4">
        <v>0</v>
      </c>
      <c r="D42" s="4">
        <v>0</v>
      </c>
      <c r="E42" s="4">
        <v>0</v>
      </c>
      <c r="F42" s="26">
        <v>0</v>
      </c>
      <c r="G42" s="26">
        <v>0</v>
      </c>
      <c r="H42" s="26">
        <v>0</v>
      </c>
    </row>
    <row r="43" spans="1:8" x14ac:dyDescent="0.3">
      <c r="A43" s="2">
        <v>40</v>
      </c>
      <c r="B43" s="3" t="s">
        <v>39</v>
      </c>
      <c r="C43" s="4">
        <v>0</v>
      </c>
      <c r="D43" s="4">
        <v>0</v>
      </c>
      <c r="E43" s="4">
        <v>0</v>
      </c>
      <c r="F43" s="26">
        <v>0</v>
      </c>
      <c r="G43" s="26">
        <v>0</v>
      </c>
      <c r="H43" s="26">
        <v>0</v>
      </c>
    </row>
    <row r="44" spans="1:8" x14ac:dyDescent="0.3">
      <c r="A44" s="2">
        <v>41</v>
      </c>
      <c r="B44" s="3" t="s">
        <v>40</v>
      </c>
      <c r="C44" s="4">
        <v>0</v>
      </c>
      <c r="D44" s="4">
        <v>15266</v>
      </c>
      <c r="E44" s="4">
        <v>15266</v>
      </c>
      <c r="F44" s="26">
        <v>0</v>
      </c>
      <c r="G44" s="26">
        <v>2.6623817887923416</v>
      </c>
      <c r="H44" s="26">
        <v>2.5488411500703188</v>
      </c>
    </row>
    <row r="45" spans="1:8" x14ac:dyDescent="0.3">
      <c r="A45" s="2">
        <v>42</v>
      </c>
      <c r="B45" s="3" t="s">
        <v>41</v>
      </c>
      <c r="C45" s="4">
        <v>0</v>
      </c>
      <c r="D45" s="4">
        <v>0</v>
      </c>
      <c r="E45" s="4">
        <v>0</v>
      </c>
      <c r="F45" s="26">
        <v>0</v>
      </c>
      <c r="G45" s="26">
        <v>0</v>
      </c>
      <c r="H45" s="26">
        <v>0</v>
      </c>
    </row>
    <row r="46" spans="1:8" x14ac:dyDescent="0.3">
      <c r="A46" s="2">
        <v>43</v>
      </c>
      <c r="B46" s="3" t="s">
        <v>42</v>
      </c>
      <c r="C46" s="4">
        <v>0</v>
      </c>
      <c r="D46" s="4">
        <v>3630</v>
      </c>
      <c r="E46" s="4">
        <v>2.5910046075841993</v>
      </c>
      <c r="F46" s="26">
        <v>0</v>
      </c>
      <c r="G46" s="26">
        <v>0.62488764287784815</v>
      </c>
      <c r="H46" s="26">
        <v>3.9558682347127377E-4</v>
      </c>
    </row>
    <row r="47" spans="1:8" x14ac:dyDescent="0.3">
      <c r="A47" s="2">
        <v>44</v>
      </c>
      <c r="B47" s="3" t="s">
        <v>43</v>
      </c>
      <c r="C47" s="4">
        <v>0</v>
      </c>
      <c r="D47" s="4">
        <v>1554</v>
      </c>
      <c r="E47" s="4">
        <v>1657.3422124194096</v>
      </c>
      <c r="F47" s="26">
        <v>0</v>
      </c>
      <c r="G47" s="26">
        <v>1.9312315055689435</v>
      </c>
      <c r="H47" s="26">
        <v>1.8729785091213238</v>
      </c>
    </row>
    <row r="48" spans="1:8" x14ac:dyDescent="0.3">
      <c r="A48" s="2">
        <v>45</v>
      </c>
      <c r="B48" s="3" t="s">
        <v>44</v>
      </c>
      <c r="C48" s="4">
        <v>0</v>
      </c>
      <c r="D48" s="4">
        <v>0</v>
      </c>
      <c r="E48" s="4">
        <v>0</v>
      </c>
      <c r="F48" s="26">
        <v>0</v>
      </c>
      <c r="G48" s="26">
        <v>0</v>
      </c>
      <c r="H48" s="26">
        <v>0</v>
      </c>
    </row>
    <row r="49" spans="1:8" x14ac:dyDescent="0.3">
      <c r="A49" s="2">
        <v>46</v>
      </c>
      <c r="B49" s="3" t="s">
        <v>45</v>
      </c>
      <c r="C49" s="4">
        <v>0</v>
      </c>
      <c r="D49" s="4">
        <v>0</v>
      </c>
      <c r="E49" s="4">
        <v>0</v>
      </c>
      <c r="F49" s="26">
        <v>0</v>
      </c>
      <c r="G49" s="26">
        <v>0</v>
      </c>
      <c r="H49" s="26">
        <v>0</v>
      </c>
    </row>
    <row r="50" spans="1:8" x14ac:dyDescent="0.3">
      <c r="A50" s="2">
        <v>47</v>
      </c>
      <c r="B50" s="3" t="s">
        <v>46</v>
      </c>
      <c r="C50" s="4">
        <v>0</v>
      </c>
      <c r="D50" s="4">
        <v>1122</v>
      </c>
      <c r="E50" s="4">
        <v>1122</v>
      </c>
      <c r="F50" s="26">
        <v>0</v>
      </c>
      <c r="G50" s="26">
        <v>0.74540677950787704</v>
      </c>
      <c r="H50" s="26">
        <v>0.68747737896124395</v>
      </c>
    </row>
    <row r="51" spans="1:8" x14ac:dyDescent="0.3">
      <c r="A51" s="2">
        <v>48</v>
      </c>
      <c r="B51" s="5" t="s">
        <v>47</v>
      </c>
      <c r="C51" s="6">
        <v>0</v>
      </c>
      <c r="D51" s="6">
        <v>155106</v>
      </c>
      <c r="E51" s="6">
        <v>181593.02920874467</v>
      </c>
      <c r="F51" s="28">
        <f>AVERAGE(F4:F50)</f>
        <v>0</v>
      </c>
      <c r="G51" s="28">
        <f t="shared" ref="G51:H51" si="0">AVERAGE(G4:G50)</f>
        <v>1.7989437373291293</v>
      </c>
      <c r="H51" s="28">
        <f t="shared" si="0"/>
        <v>2.567656786241558</v>
      </c>
    </row>
  </sheetData>
  <mergeCells count="6">
    <mergeCell ref="A2:A3"/>
    <mergeCell ref="C2:E2"/>
    <mergeCell ref="F2:F3"/>
    <mergeCell ref="G2:G3"/>
    <mergeCell ref="H2:H3"/>
    <mergeCell ref="B2:B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9C94-798D-461F-B12A-047504693E3A}">
  <dimension ref="A1:H51"/>
  <sheetViews>
    <sheetView workbookViewId="0">
      <selection activeCell="A2" sqref="A2:H51"/>
    </sheetView>
  </sheetViews>
  <sheetFormatPr defaultRowHeight="14" x14ac:dyDescent="0.3"/>
  <cols>
    <col min="1" max="1" width="4.54296875" style="16" bestFit="1" customWidth="1"/>
    <col min="2" max="2" width="20.90625" style="16" bestFit="1" customWidth="1"/>
    <col min="3" max="16384" width="8.7265625" style="16"/>
  </cols>
  <sheetData>
    <row r="1" spans="1:8" x14ac:dyDescent="0.3">
      <c r="B1" s="16" t="s">
        <v>83</v>
      </c>
    </row>
    <row r="2" spans="1:8" ht="14.5" customHeight="1" x14ac:dyDescent="0.3">
      <c r="A2" s="215" t="s">
        <v>52</v>
      </c>
      <c r="B2" s="217" t="s">
        <v>48</v>
      </c>
      <c r="C2" s="196" t="s">
        <v>83</v>
      </c>
      <c r="D2" s="196"/>
      <c r="E2" s="196"/>
      <c r="F2" s="216" t="s">
        <v>91</v>
      </c>
      <c r="G2" s="216" t="s">
        <v>92</v>
      </c>
      <c r="H2" s="216" t="s">
        <v>93</v>
      </c>
    </row>
    <row r="3" spans="1:8" ht="28" x14ac:dyDescent="0.3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">
      <c r="A4" s="2">
        <v>1</v>
      </c>
      <c r="B4" s="3" t="s">
        <v>0</v>
      </c>
      <c r="C4" s="4">
        <v>0</v>
      </c>
      <c r="D4" s="4">
        <v>365</v>
      </c>
      <c r="E4" s="4">
        <v>128823</v>
      </c>
      <c r="F4" s="26">
        <v>0</v>
      </c>
      <c r="G4" s="26">
        <v>8.7056059117217671E-2</v>
      </c>
      <c r="H4" s="26">
        <v>28.689030687662186</v>
      </c>
    </row>
    <row r="5" spans="1:8" x14ac:dyDescent="0.3">
      <c r="A5" s="2">
        <v>2</v>
      </c>
      <c r="B5" s="3" t="s">
        <v>1</v>
      </c>
      <c r="C5" s="4">
        <v>0</v>
      </c>
      <c r="D5" s="4">
        <v>56</v>
      </c>
      <c r="E5" s="4">
        <v>56</v>
      </c>
      <c r="F5" s="26">
        <v>0</v>
      </c>
      <c r="G5" s="26">
        <v>1.7906515391145603E-2</v>
      </c>
      <c r="H5" s="26">
        <v>1.5735204826144659E-2</v>
      </c>
    </row>
    <row r="6" spans="1:8" x14ac:dyDescent="0.3">
      <c r="A6" s="2">
        <v>3</v>
      </c>
      <c r="B6" s="3" t="s">
        <v>2</v>
      </c>
      <c r="C6" s="4">
        <v>0</v>
      </c>
      <c r="D6" s="4">
        <v>5086</v>
      </c>
      <c r="E6" s="4">
        <v>475.9367826904986</v>
      </c>
      <c r="F6" s="26">
        <v>0</v>
      </c>
      <c r="G6" s="26">
        <v>4.2593876640311263</v>
      </c>
      <c r="H6" s="26">
        <v>0.35643048763957952</v>
      </c>
    </row>
    <row r="7" spans="1:8" x14ac:dyDescent="0.3">
      <c r="A7" s="2">
        <v>4</v>
      </c>
      <c r="B7" s="3" t="s">
        <v>3</v>
      </c>
      <c r="C7" s="4">
        <v>0</v>
      </c>
      <c r="D7" s="4">
        <v>58</v>
      </c>
      <c r="E7" s="4">
        <v>6.895791865922491</v>
      </c>
      <c r="F7" s="26">
        <v>0</v>
      </c>
      <c r="G7" s="26">
        <v>0.23659867378284774</v>
      </c>
      <c r="H7" s="26">
        <v>2.621679030011256E-2</v>
      </c>
    </row>
    <row r="8" spans="1:8" x14ac:dyDescent="0.3">
      <c r="A8" s="2">
        <v>5</v>
      </c>
      <c r="B8" s="3" t="s">
        <v>4</v>
      </c>
      <c r="C8" s="4">
        <v>0</v>
      </c>
      <c r="D8" s="4">
        <v>0</v>
      </c>
      <c r="E8" s="4">
        <v>1698</v>
      </c>
      <c r="F8" s="26">
        <v>0</v>
      </c>
      <c r="G8" s="26">
        <v>0</v>
      </c>
      <c r="H8" s="26">
        <v>0.74888322458355139</v>
      </c>
    </row>
    <row r="9" spans="1:8" x14ac:dyDescent="0.3">
      <c r="A9" s="2">
        <v>6</v>
      </c>
      <c r="B9" s="3" t="s">
        <v>5</v>
      </c>
      <c r="C9" s="4">
        <v>0</v>
      </c>
      <c r="D9" s="4">
        <v>0</v>
      </c>
      <c r="E9" s="4">
        <v>0</v>
      </c>
      <c r="F9" s="26">
        <v>0</v>
      </c>
      <c r="G9" s="26">
        <v>0</v>
      </c>
      <c r="H9" s="26">
        <v>0</v>
      </c>
    </row>
    <row r="10" spans="1:8" x14ac:dyDescent="0.3">
      <c r="A10" s="2">
        <v>7</v>
      </c>
      <c r="B10" s="3" t="s">
        <v>6</v>
      </c>
      <c r="C10" s="4">
        <v>0</v>
      </c>
      <c r="D10" s="4">
        <v>0</v>
      </c>
      <c r="E10" s="4">
        <v>34</v>
      </c>
      <c r="F10" s="26">
        <v>0</v>
      </c>
      <c r="G10" s="26">
        <v>0</v>
      </c>
      <c r="H10" s="26">
        <v>1.2180033868733595E-2</v>
      </c>
    </row>
    <row r="11" spans="1:8" x14ac:dyDescent="0.3">
      <c r="A11" s="2">
        <v>8</v>
      </c>
      <c r="B11" s="3" t="s">
        <v>7</v>
      </c>
      <c r="C11" s="4">
        <v>0</v>
      </c>
      <c r="D11" s="4">
        <v>0</v>
      </c>
      <c r="E11" s="4">
        <v>0</v>
      </c>
      <c r="F11" s="26">
        <v>0</v>
      </c>
      <c r="G11" s="26">
        <v>0</v>
      </c>
      <c r="H11" s="26">
        <v>0</v>
      </c>
    </row>
    <row r="12" spans="1:8" x14ac:dyDescent="0.3">
      <c r="A12" s="2">
        <v>9</v>
      </c>
      <c r="B12" s="3" t="s">
        <v>8</v>
      </c>
      <c r="C12" s="4">
        <v>0</v>
      </c>
      <c r="D12" s="4">
        <v>200</v>
      </c>
      <c r="E12" s="4">
        <v>200</v>
      </c>
      <c r="F12" s="26">
        <v>0</v>
      </c>
      <c r="G12" s="26">
        <v>0.3925586580774833</v>
      </c>
      <c r="H12" s="26">
        <v>0.35847796350819766</v>
      </c>
    </row>
    <row r="13" spans="1:8" x14ac:dyDescent="0.3">
      <c r="A13" s="2">
        <v>10</v>
      </c>
      <c r="B13" s="3" t="s">
        <v>9</v>
      </c>
      <c r="C13" s="4">
        <v>0</v>
      </c>
      <c r="D13" s="4">
        <v>0</v>
      </c>
      <c r="E13" s="4">
        <v>0</v>
      </c>
      <c r="F13" s="26">
        <v>0</v>
      </c>
      <c r="G13" s="26">
        <v>0</v>
      </c>
      <c r="H13" s="26">
        <v>0</v>
      </c>
    </row>
    <row r="14" spans="1:8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26">
        <v>0</v>
      </c>
      <c r="G15" s="26">
        <v>0</v>
      </c>
      <c r="H15" s="26">
        <v>0</v>
      </c>
    </row>
    <row r="16" spans="1:8" x14ac:dyDescent="0.3">
      <c r="A16" s="2">
        <v>13</v>
      </c>
      <c r="B16" s="3" t="s">
        <v>12</v>
      </c>
      <c r="C16" s="4">
        <v>0</v>
      </c>
      <c r="D16" s="4">
        <v>21440</v>
      </c>
      <c r="E16" s="4">
        <v>5000.434586781188</v>
      </c>
      <c r="F16" s="26">
        <v>0</v>
      </c>
      <c r="G16" s="26">
        <v>8.4098257124419753</v>
      </c>
      <c r="H16" s="26">
        <v>1.7756883010265827</v>
      </c>
    </row>
    <row r="17" spans="1:8" x14ac:dyDescent="0.3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26">
        <v>0</v>
      </c>
      <c r="G17" s="26">
        <v>0</v>
      </c>
      <c r="H17" s="26">
        <v>0</v>
      </c>
    </row>
    <row r="18" spans="1:8" x14ac:dyDescent="0.3">
      <c r="A18" s="2">
        <v>15</v>
      </c>
      <c r="B18" s="3" t="s">
        <v>14</v>
      </c>
      <c r="C18" s="4">
        <v>0</v>
      </c>
      <c r="D18" s="4">
        <v>0</v>
      </c>
      <c r="E18" s="4">
        <v>101</v>
      </c>
      <c r="F18" s="26">
        <v>0</v>
      </c>
      <c r="G18" s="26">
        <v>0</v>
      </c>
      <c r="H18" s="26">
        <v>0.60301819562626724</v>
      </c>
    </row>
    <row r="19" spans="1:8" x14ac:dyDescent="0.3">
      <c r="A19" s="2">
        <v>16</v>
      </c>
      <c r="B19" s="3" t="s">
        <v>15</v>
      </c>
      <c r="C19" s="4">
        <v>0</v>
      </c>
      <c r="D19" s="4">
        <v>0</v>
      </c>
      <c r="E19" s="4">
        <v>0</v>
      </c>
      <c r="F19" s="26">
        <v>0</v>
      </c>
      <c r="G19" s="26">
        <v>0</v>
      </c>
      <c r="H19" s="26">
        <v>0</v>
      </c>
    </row>
    <row r="20" spans="1:8" x14ac:dyDescent="0.3">
      <c r="A20" s="2">
        <v>17</v>
      </c>
      <c r="B20" s="3" t="s">
        <v>16</v>
      </c>
      <c r="C20" s="4">
        <v>0</v>
      </c>
      <c r="D20" s="4">
        <v>29</v>
      </c>
      <c r="E20" s="4">
        <v>29</v>
      </c>
      <c r="F20" s="26">
        <v>0</v>
      </c>
      <c r="G20" s="26">
        <v>0.24990790032121782</v>
      </c>
      <c r="H20" s="26">
        <v>0.24133071420160526</v>
      </c>
    </row>
    <row r="21" spans="1:8" x14ac:dyDescent="0.3">
      <c r="A21" s="2">
        <v>18</v>
      </c>
      <c r="B21" s="3" t="s">
        <v>17</v>
      </c>
      <c r="C21" s="4">
        <v>0</v>
      </c>
      <c r="D21" s="4">
        <v>1285</v>
      </c>
      <c r="E21" s="4">
        <v>1230.1476924425951</v>
      </c>
      <c r="F21" s="26">
        <v>0</v>
      </c>
      <c r="G21" s="26">
        <v>0.1156309276035392</v>
      </c>
      <c r="H21" s="26">
        <v>9.9704039974720104E-2</v>
      </c>
    </row>
    <row r="22" spans="1:8" x14ac:dyDescent="0.3">
      <c r="A22" s="2">
        <v>19</v>
      </c>
      <c r="B22" s="3" t="s">
        <v>18</v>
      </c>
      <c r="C22" s="4">
        <v>0</v>
      </c>
      <c r="D22" s="4">
        <v>58</v>
      </c>
      <c r="E22" s="4">
        <v>84</v>
      </c>
      <c r="F22" s="26">
        <v>0</v>
      </c>
      <c r="G22" s="26">
        <v>0.26459715197662054</v>
      </c>
      <c r="H22" s="26">
        <v>0.35161265679988524</v>
      </c>
    </row>
    <row r="23" spans="1:8" x14ac:dyDescent="0.3">
      <c r="A23" s="2">
        <v>20</v>
      </c>
      <c r="B23" s="3" t="s">
        <v>19</v>
      </c>
      <c r="C23" s="4">
        <v>0</v>
      </c>
      <c r="D23" s="4">
        <v>39</v>
      </c>
      <c r="E23" s="4">
        <v>39</v>
      </c>
      <c r="F23" s="26">
        <v>0</v>
      </c>
      <c r="G23" s="26">
        <v>0.15951471533474257</v>
      </c>
      <c r="H23" s="26">
        <v>0.14412459460338392</v>
      </c>
    </row>
    <row r="24" spans="1:8" x14ac:dyDescent="0.3">
      <c r="A24" s="2">
        <v>21</v>
      </c>
      <c r="B24" s="3" t="s">
        <v>20</v>
      </c>
      <c r="C24" s="4">
        <v>0</v>
      </c>
      <c r="D24" s="4">
        <v>2116</v>
      </c>
      <c r="E24" s="4">
        <v>2656</v>
      </c>
      <c r="F24" s="26">
        <v>0</v>
      </c>
      <c r="G24" s="26">
        <v>0.68544091270150354</v>
      </c>
      <c r="H24" s="26">
        <v>0.79340729914700769</v>
      </c>
    </row>
    <row r="25" spans="1:8" x14ac:dyDescent="0.3">
      <c r="A25" s="2">
        <v>22</v>
      </c>
      <c r="B25" s="3" t="s">
        <v>21</v>
      </c>
      <c r="C25" s="4">
        <v>0</v>
      </c>
      <c r="D25" s="4">
        <v>62</v>
      </c>
      <c r="E25" s="4">
        <v>62</v>
      </c>
      <c r="F25" s="26">
        <v>0</v>
      </c>
      <c r="G25" s="26">
        <v>4.9383249018736926E-2</v>
      </c>
      <c r="H25" s="26">
        <v>4.4735173365572464E-2</v>
      </c>
    </row>
    <row r="26" spans="1:8" x14ac:dyDescent="0.3">
      <c r="A26" s="2">
        <v>23</v>
      </c>
      <c r="B26" s="3" t="s">
        <v>22</v>
      </c>
      <c r="C26" s="4">
        <v>0</v>
      </c>
      <c r="D26" s="4">
        <v>8</v>
      </c>
      <c r="E26" s="4">
        <v>2.4240811153358681</v>
      </c>
      <c r="F26" s="26">
        <v>0</v>
      </c>
      <c r="G26" s="26">
        <v>4.155942387209674E-2</v>
      </c>
      <c r="H26" s="26">
        <v>1.1512731925631708E-2</v>
      </c>
    </row>
    <row r="27" spans="1:8" x14ac:dyDescent="0.3">
      <c r="A27" s="2">
        <v>24</v>
      </c>
      <c r="B27" s="3" t="s">
        <v>23</v>
      </c>
      <c r="C27" s="4">
        <v>13216</v>
      </c>
      <c r="D27" s="4">
        <v>21942</v>
      </c>
      <c r="E27" s="4">
        <v>25400</v>
      </c>
      <c r="F27" s="26">
        <v>2.9505026391996059</v>
      </c>
      <c r="G27" s="26">
        <v>4.392502245697302</v>
      </c>
      <c r="H27" s="26">
        <v>4.7013106495217905</v>
      </c>
    </row>
    <row r="28" spans="1:8" x14ac:dyDescent="0.3">
      <c r="A28" s="2">
        <v>25</v>
      </c>
      <c r="B28" s="3" t="s">
        <v>24</v>
      </c>
      <c r="C28" s="4">
        <v>0</v>
      </c>
      <c r="D28" s="4">
        <v>4</v>
      </c>
      <c r="E28" s="4">
        <v>2.5552846599894572</v>
      </c>
      <c r="F28" s="26">
        <v>0</v>
      </c>
      <c r="G28" s="26">
        <v>1.819822139683178E-2</v>
      </c>
      <c r="H28" s="26">
        <v>1.1081864867872505E-2</v>
      </c>
    </row>
    <row r="29" spans="1:8" x14ac:dyDescent="0.3">
      <c r="A29" s="2">
        <v>26</v>
      </c>
      <c r="B29" s="3" t="s">
        <v>25</v>
      </c>
      <c r="C29" s="4">
        <v>0</v>
      </c>
      <c r="D29" s="4">
        <v>0</v>
      </c>
      <c r="E29" s="4">
        <v>0</v>
      </c>
      <c r="F29" s="26">
        <v>0</v>
      </c>
      <c r="G29" s="26">
        <v>0</v>
      </c>
      <c r="H29" s="26">
        <v>0</v>
      </c>
    </row>
    <row r="30" spans="1:8" x14ac:dyDescent="0.3">
      <c r="A30" s="2">
        <v>27</v>
      </c>
      <c r="B30" s="3" t="s">
        <v>26</v>
      </c>
      <c r="C30" s="4">
        <v>0</v>
      </c>
      <c r="D30" s="4">
        <v>0</v>
      </c>
      <c r="E30" s="4">
        <v>0</v>
      </c>
      <c r="F30" s="26">
        <v>0</v>
      </c>
      <c r="G30" s="26">
        <v>0</v>
      </c>
      <c r="H30" s="26">
        <v>0</v>
      </c>
    </row>
    <row r="31" spans="1:8" x14ac:dyDescent="0.3">
      <c r="A31" s="2">
        <v>28</v>
      </c>
      <c r="B31" s="3" t="s">
        <v>27</v>
      </c>
      <c r="C31" s="4">
        <v>0</v>
      </c>
      <c r="D31" s="4">
        <v>98</v>
      </c>
      <c r="E31" s="4">
        <v>40.995843054082719</v>
      </c>
      <c r="F31" s="26">
        <v>0</v>
      </c>
      <c r="G31" s="26">
        <v>5.3353998389471489E-2</v>
      </c>
      <c r="H31" s="26">
        <v>2.0090765587528467E-2</v>
      </c>
    </row>
    <row r="32" spans="1:8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26">
        <v>0</v>
      </c>
      <c r="G32" s="26">
        <v>0</v>
      </c>
      <c r="H32" s="26">
        <v>0</v>
      </c>
    </row>
    <row r="33" spans="1:8" x14ac:dyDescent="0.3">
      <c r="A33" s="2">
        <v>30</v>
      </c>
      <c r="B33" s="3" t="s">
        <v>29</v>
      </c>
      <c r="C33" s="4">
        <v>0</v>
      </c>
      <c r="D33" s="4">
        <v>65</v>
      </c>
      <c r="E33" s="4">
        <v>65</v>
      </c>
      <c r="F33" s="26">
        <v>0</v>
      </c>
      <c r="G33" s="26">
        <v>0.15219946371933585</v>
      </c>
      <c r="H33" s="26">
        <v>0.13724259359786528</v>
      </c>
    </row>
    <row r="34" spans="1:8" x14ac:dyDescent="0.3">
      <c r="A34" s="2">
        <v>31</v>
      </c>
      <c r="B34" s="3" t="s">
        <v>30</v>
      </c>
      <c r="C34" s="4">
        <v>0</v>
      </c>
      <c r="D34" s="4">
        <v>24</v>
      </c>
      <c r="E34" s="4">
        <v>24</v>
      </c>
      <c r="F34" s="26">
        <v>0</v>
      </c>
      <c r="G34" s="26">
        <v>0.185273604725712</v>
      </c>
      <c r="H34" s="26">
        <v>0.1846908237133785</v>
      </c>
    </row>
    <row r="35" spans="1:8" x14ac:dyDescent="0.3">
      <c r="A35" s="2">
        <v>32</v>
      </c>
      <c r="B35" s="3" t="s">
        <v>31</v>
      </c>
      <c r="C35" s="4">
        <v>0</v>
      </c>
      <c r="D35" s="4">
        <v>6281</v>
      </c>
      <c r="E35" s="4">
        <v>6873</v>
      </c>
      <c r="F35" s="26">
        <v>0</v>
      </c>
      <c r="G35" s="26">
        <v>2.1346607993912161</v>
      </c>
      <c r="H35" s="26">
        <v>2.0846528286423105</v>
      </c>
    </row>
    <row r="36" spans="1:8" x14ac:dyDescent="0.3">
      <c r="A36" s="2">
        <v>33</v>
      </c>
      <c r="B36" s="3" t="s">
        <v>32</v>
      </c>
      <c r="C36" s="4">
        <v>0</v>
      </c>
      <c r="D36" s="4">
        <v>1053</v>
      </c>
      <c r="E36" s="4">
        <v>124.21209048361935</v>
      </c>
      <c r="F36" s="26">
        <v>0</v>
      </c>
      <c r="G36" s="26">
        <v>4.3771398571007243</v>
      </c>
      <c r="H36" s="26">
        <v>0.48387801182744283</v>
      </c>
    </row>
    <row r="37" spans="1:8" x14ac:dyDescent="0.3">
      <c r="A37" s="2">
        <v>34</v>
      </c>
      <c r="B37" s="3" t="s">
        <v>33</v>
      </c>
      <c r="C37" s="4">
        <v>0</v>
      </c>
      <c r="D37" s="4">
        <v>598</v>
      </c>
      <c r="E37" s="4">
        <v>1592</v>
      </c>
      <c r="F37" s="26">
        <v>0</v>
      </c>
      <c r="G37" s="26">
        <v>0.26487064877983663</v>
      </c>
      <c r="H37" s="26">
        <v>0.60744865213077404</v>
      </c>
    </row>
    <row r="38" spans="1:8" x14ac:dyDescent="0.3">
      <c r="A38" s="2">
        <v>35</v>
      </c>
      <c r="B38" s="3" t="s">
        <v>34</v>
      </c>
      <c r="C38" s="4">
        <v>0</v>
      </c>
      <c r="D38" s="4">
        <v>30</v>
      </c>
      <c r="E38" s="4">
        <v>30</v>
      </c>
      <c r="F38" s="26">
        <v>0</v>
      </c>
      <c r="G38" s="26">
        <v>1.5121911070223588E-3</v>
      </c>
      <c r="H38" s="26">
        <v>1.3727387980550293E-3</v>
      </c>
    </row>
    <row r="39" spans="1:8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26">
        <v>0</v>
      </c>
      <c r="G40" s="26">
        <v>0</v>
      </c>
      <c r="H40" s="26">
        <v>0</v>
      </c>
    </row>
    <row r="41" spans="1:8" x14ac:dyDescent="0.3">
      <c r="A41" s="2">
        <v>38</v>
      </c>
      <c r="B41" s="3" t="s">
        <v>37</v>
      </c>
      <c r="C41" s="4">
        <v>11</v>
      </c>
      <c r="D41" s="4">
        <v>505</v>
      </c>
      <c r="E41" s="4">
        <v>1083</v>
      </c>
      <c r="F41" s="26">
        <v>8.0908734542891984E-3</v>
      </c>
      <c r="G41" s="26">
        <v>0.324239454625385</v>
      </c>
      <c r="H41" s="26">
        <v>0.62541690851282505</v>
      </c>
    </row>
    <row r="42" spans="1:8" x14ac:dyDescent="0.3">
      <c r="A42" s="2">
        <v>39</v>
      </c>
      <c r="B42" s="3" t="s">
        <v>38</v>
      </c>
      <c r="C42" s="4">
        <v>0</v>
      </c>
      <c r="D42" s="4">
        <v>0</v>
      </c>
      <c r="E42" s="4">
        <v>0</v>
      </c>
      <c r="F42" s="26">
        <v>0</v>
      </c>
      <c r="G42" s="26">
        <v>0</v>
      </c>
      <c r="H42" s="26">
        <v>0</v>
      </c>
    </row>
    <row r="43" spans="1:8" x14ac:dyDescent="0.3">
      <c r="A43" s="2">
        <v>40</v>
      </c>
      <c r="B43" s="3" t="s">
        <v>39</v>
      </c>
      <c r="C43" s="4">
        <v>0</v>
      </c>
      <c r="D43" s="4">
        <v>319</v>
      </c>
      <c r="E43" s="4">
        <v>650</v>
      </c>
      <c r="F43" s="26">
        <v>0</v>
      </c>
      <c r="G43" s="26">
        <v>0.40578628343141532</v>
      </c>
      <c r="H43" s="26">
        <v>0.75531175899558822</v>
      </c>
    </row>
    <row r="44" spans="1:8" x14ac:dyDescent="0.3">
      <c r="A44" s="2">
        <v>41</v>
      </c>
      <c r="B44" s="3" t="s">
        <v>40</v>
      </c>
      <c r="C44" s="4">
        <v>217</v>
      </c>
      <c r="D44" s="4">
        <v>8919</v>
      </c>
      <c r="E44" s="4">
        <v>20327</v>
      </c>
      <c r="F44" s="26">
        <v>4.0279457016584891E-2</v>
      </c>
      <c r="G44" s="26">
        <v>1.5554685689924601</v>
      </c>
      <c r="H44" s="26">
        <v>3.3938355861050291</v>
      </c>
    </row>
    <row r="45" spans="1:8" x14ac:dyDescent="0.3">
      <c r="A45" s="2">
        <v>42</v>
      </c>
      <c r="B45" s="3" t="s">
        <v>41</v>
      </c>
      <c r="C45" s="4">
        <v>0</v>
      </c>
      <c r="D45" s="4">
        <v>580</v>
      </c>
      <c r="E45" s="4">
        <v>623</v>
      </c>
      <c r="F45" s="26">
        <v>0</v>
      </c>
      <c r="G45" s="26">
        <v>0.55794287232549966</v>
      </c>
      <c r="H45" s="26">
        <v>0.57087021558872453</v>
      </c>
    </row>
    <row r="46" spans="1:8" x14ac:dyDescent="0.3">
      <c r="A46" s="2">
        <v>43</v>
      </c>
      <c r="B46" s="3" t="s">
        <v>42</v>
      </c>
      <c r="C46" s="4">
        <v>8787</v>
      </c>
      <c r="D46" s="4">
        <v>1963</v>
      </c>
      <c r="E46" s="4">
        <v>71119</v>
      </c>
      <c r="F46" s="26">
        <v>1.7840304545185577</v>
      </c>
      <c r="G46" s="26">
        <v>0.33792133415129916</v>
      </c>
      <c r="H46" s="26">
        <v>10.858235919805969</v>
      </c>
    </row>
    <row r="47" spans="1:8" x14ac:dyDescent="0.3">
      <c r="A47" s="2">
        <v>44</v>
      </c>
      <c r="B47" s="3" t="s">
        <v>43</v>
      </c>
      <c r="C47" s="4">
        <v>0</v>
      </c>
      <c r="D47" s="4">
        <v>978</v>
      </c>
      <c r="E47" s="4">
        <v>471.45402103834408</v>
      </c>
      <c r="F47" s="26">
        <v>0</v>
      </c>
      <c r="G47" s="26">
        <v>1.2154082448175203</v>
      </c>
      <c r="H47" s="26">
        <v>0.53279476189446839</v>
      </c>
    </row>
    <row r="48" spans="1:8" x14ac:dyDescent="0.3">
      <c r="A48" s="2">
        <v>45</v>
      </c>
      <c r="B48" s="3" t="s">
        <v>44</v>
      </c>
      <c r="C48" s="4">
        <v>0</v>
      </c>
      <c r="D48" s="4">
        <v>0</v>
      </c>
      <c r="E48" s="4">
        <v>0</v>
      </c>
      <c r="F48" s="26">
        <v>0</v>
      </c>
      <c r="G48" s="26">
        <v>0</v>
      </c>
      <c r="H48" s="26">
        <v>0</v>
      </c>
    </row>
    <row r="49" spans="1:8" x14ac:dyDescent="0.3">
      <c r="A49" s="2">
        <v>46</v>
      </c>
      <c r="B49" s="3" t="s">
        <v>45</v>
      </c>
      <c r="C49" s="4">
        <v>3141</v>
      </c>
      <c r="D49" s="4">
        <v>3616</v>
      </c>
      <c r="E49" s="4">
        <v>1114.8196849908027</v>
      </c>
      <c r="F49" s="26">
        <v>2.0617032806615527</v>
      </c>
      <c r="G49" s="26">
        <v>2.0273725571239991</v>
      </c>
      <c r="H49" s="26">
        <v>0.55691766650762509</v>
      </c>
    </row>
    <row r="50" spans="1:8" x14ac:dyDescent="0.3">
      <c r="A50" s="2">
        <v>47</v>
      </c>
      <c r="B50" s="3" t="s">
        <v>46</v>
      </c>
      <c r="C50" s="4">
        <v>145</v>
      </c>
      <c r="D50" s="4">
        <v>1094</v>
      </c>
      <c r="E50" s="4">
        <v>1094</v>
      </c>
      <c r="F50" s="26">
        <v>0.10696827096081069</v>
      </c>
      <c r="G50" s="26">
        <v>0.72680482779110289</v>
      </c>
      <c r="H50" s="26">
        <v>0.67032108073404706</v>
      </c>
    </row>
    <row r="51" spans="1:8" x14ac:dyDescent="0.3">
      <c r="A51" s="2">
        <v>48</v>
      </c>
      <c r="B51" s="5" t="s">
        <v>47</v>
      </c>
      <c r="C51" s="6">
        <v>25517</v>
      </c>
      <c r="D51" s="6">
        <v>78871</v>
      </c>
      <c r="E51" s="6">
        <v>271131.87585912237</v>
      </c>
      <c r="F51" s="28">
        <f>AVERAGE(F4:F50)</f>
        <v>0.14790585054917876</v>
      </c>
      <c r="G51" s="28">
        <f t="shared" ref="G51:H51" si="0">AVERAGE(G4:G50)</f>
        <v>0.71702176036673171</v>
      </c>
      <c r="H51" s="28">
        <f t="shared" si="0"/>
        <v>1.2865438494870309</v>
      </c>
    </row>
  </sheetData>
  <mergeCells count="6">
    <mergeCell ref="A2:A3"/>
    <mergeCell ref="C2:E2"/>
    <mergeCell ref="F2:F3"/>
    <mergeCell ref="G2:G3"/>
    <mergeCell ref="H2:H3"/>
    <mergeCell ref="B2:B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7647-4756-4C86-88F6-D2DBE9C54D78}">
  <dimension ref="A1:H51"/>
  <sheetViews>
    <sheetView workbookViewId="0">
      <selection activeCell="A2" sqref="A2:H51"/>
    </sheetView>
  </sheetViews>
  <sheetFormatPr defaultRowHeight="14" x14ac:dyDescent="0.3"/>
  <cols>
    <col min="1" max="1" width="4.54296875" style="16" bestFit="1" customWidth="1"/>
    <col min="2" max="2" width="20.90625" style="16" bestFit="1" customWidth="1"/>
    <col min="3" max="16384" width="8.7265625" style="16"/>
  </cols>
  <sheetData>
    <row r="1" spans="1:8" x14ac:dyDescent="0.3">
      <c r="C1" s="16" t="s">
        <v>84</v>
      </c>
    </row>
    <row r="2" spans="1:8" ht="14.5" customHeight="1" x14ac:dyDescent="0.3">
      <c r="A2" s="215" t="s">
        <v>52</v>
      </c>
      <c r="B2" s="217" t="s">
        <v>48</v>
      </c>
      <c r="C2" s="196" t="s">
        <v>84</v>
      </c>
      <c r="D2" s="196"/>
      <c r="E2" s="196"/>
      <c r="F2" s="216" t="s">
        <v>91</v>
      </c>
      <c r="G2" s="216" t="s">
        <v>92</v>
      </c>
      <c r="H2" s="216" t="s">
        <v>93</v>
      </c>
    </row>
    <row r="3" spans="1:8" ht="28" x14ac:dyDescent="0.3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">
      <c r="A4" s="2">
        <v>1</v>
      </c>
      <c r="B4" s="3" t="s">
        <v>0</v>
      </c>
      <c r="C4" s="4">
        <v>0</v>
      </c>
      <c r="D4" s="4">
        <v>42507</v>
      </c>
      <c r="E4" s="4">
        <v>42507</v>
      </c>
      <c r="F4" s="26">
        <v>0</v>
      </c>
      <c r="G4" s="26">
        <v>10.138333986015265</v>
      </c>
      <c r="H4" s="26">
        <v>9.4663579286343005</v>
      </c>
    </row>
    <row r="5" spans="1:8" x14ac:dyDescent="0.3">
      <c r="A5" s="2">
        <v>2</v>
      </c>
      <c r="B5" s="3" t="s">
        <v>1</v>
      </c>
      <c r="C5" s="4">
        <v>0</v>
      </c>
      <c r="D5" s="4">
        <v>0</v>
      </c>
      <c r="E5" s="4">
        <v>0</v>
      </c>
      <c r="F5" s="26">
        <v>0</v>
      </c>
      <c r="G5" s="26">
        <v>0</v>
      </c>
      <c r="H5" s="26">
        <v>0</v>
      </c>
    </row>
    <row r="6" spans="1:8" x14ac:dyDescent="0.3">
      <c r="A6" s="2">
        <v>3</v>
      </c>
      <c r="B6" s="3" t="s">
        <v>2</v>
      </c>
      <c r="C6" s="4">
        <v>0</v>
      </c>
      <c r="D6" s="4">
        <v>2623</v>
      </c>
      <c r="E6" s="4">
        <v>6809</v>
      </c>
      <c r="F6" s="26">
        <v>0</v>
      </c>
      <c r="G6" s="26">
        <v>2.1966916717958407</v>
      </c>
      <c r="H6" s="26">
        <v>5.0992805738154754</v>
      </c>
    </row>
    <row r="7" spans="1:8" x14ac:dyDescent="0.3">
      <c r="A7" s="2">
        <v>4</v>
      </c>
      <c r="B7" s="3" t="s">
        <v>3</v>
      </c>
      <c r="C7" s="4">
        <v>0</v>
      </c>
      <c r="D7" s="4">
        <v>1622</v>
      </c>
      <c r="E7" s="4">
        <v>1796.3537810728089</v>
      </c>
      <c r="F7" s="26">
        <v>0</v>
      </c>
      <c r="G7" s="26">
        <v>6.6166042909617078</v>
      </c>
      <c r="H7" s="26">
        <v>6.829473873179321</v>
      </c>
    </row>
    <row r="8" spans="1:8" x14ac:dyDescent="0.3">
      <c r="A8" s="2">
        <v>5</v>
      </c>
      <c r="B8" s="3" t="s">
        <v>4</v>
      </c>
      <c r="C8" s="4">
        <v>0</v>
      </c>
      <c r="D8" s="4">
        <v>1224</v>
      </c>
      <c r="E8" s="4">
        <v>910.21722106063487</v>
      </c>
      <c r="F8" s="26">
        <v>0</v>
      </c>
      <c r="G8" s="26">
        <v>0.60021410578665735</v>
      </c>
      <c r="H8" s="26">
        <v>0.40144075829173581</v>
      </c>
    </row>
    <row r="9" spans="1:8" x14ac:dyDescent="0.3">
      <c r="A9" s="2">
        <v>6</v>
      </c>
      <c r="B9" s="3" t="s">
        <v>5</v>
      </c>
      <c r="C9" s="4">
        <v>0</v>
      </c>
      <c r="D9" s="4">
        <v>8664</v>
      </c>
      <c r="E9" s="4">
        <v>8664</v>
      </c>
      <c r="F9" s="26">
        <v>0</v>
      </c>
      <c r="G9" s="26">
        <v>7.5381917866858821</v>
      </c>
      <c r="H9" s="26">
        <v>6.721710368063686</v>
      </c>
    </row>
    <row r="10" spans="1:8" x14ac:dyDescent="0.3">
      <c r="A10" s="2">
        <v>7</v>
      </c>
      <c r="B10" s="3" t="s">
        <v>6</v>
      </c>
      <c r="C10" s="4">
        <v>0</v>
      </c>
      <c r="D10" s="4">
        <v>10717</v>
      </c>
      <c r="E10" s="4">
        <v>216.3035909295304</v>
      </c>
      <c r="F10" s="26">
        <v>0</v>
      </c>
      <c r="G10" s="26">
        <v>4.2736803994888231</v>
      </c>
      <c r="H10" s="26">
        <v>7.7487795983834623E-2</v>
      </c>
    </row>
    <row r="11" spans="1:8" x14ac:dyDescent="0.3">
      <c r="A11" s="2">
        <v>8</v>
      </c>
      <c r="B11" s="3" t="s">
        <v>7</v>
      </c>
      <c r="C11" s="4">
        <v>0</v>
      </c>
      <c r="D11" s="4">
        <v>149</v>
      </c>
      <c r="E11" s="4">
        <v>149</v>
      </c>
      <c r="F11" s="26">
        <v>0</v>
      </c>
      <c r="G11" s="26">
        <v>2.6085365672183984</v>
      </c>
      <c r="H11" s="26">
        <v>2.5120142561023817</v>
      </c>
    </row>
    <row r="12" spans="1:8" x14ac:dyDescent="0.3">
      <c r="A12" s="2">
        <v>9</v>
      </c>
      <c r="B12" s="3" t="s">
        <v>8</v>
      </c>
      <c r="C12" s="4">
        <v>0</v>
      </c>
      <c r="D12" s="4">
        <v>79</v>
      </c>
      <c r="E12" s="4">
        <v>308</v>
      </c>
      <c r="F12" s="26">
        <v>0</v>
      </c>
      <c r="G12" s="26">
        <v>0.15506066994060591</v>
      </c>
      <c r="H12" s="26">
        <v>0.5520560638026244</v>
      </c>
    </row>
    <row r="13" spans="1:8" x14ac:dyDescent="0.3">
      <c r="A13" s="2">
        <v>10</v>
      </c>
      <c r="B13" s="3" t="s">
        <v>9</v>
      </c>
      <c r="C13" s="4">
        <v>0</v>
      </c>
      <c r="D13" s="4">
        <v>738</v>
      </c>
      <c r="E13" s="4">
        <v>240.20714655618852</v>
      </c>
      <c r="F13" s="26">
        <v>0</v>
      </c>
      <c r="G13" s="26">
        <v>0.47294928740384806</v>
      </c>
      <c r="H13" s="26">
        <v>0.13553172943818634</v>
      </c>
    </row>
    <row r="14" spans="1:8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">
      <c r="A15" s="2">
        <v>12</v>
      </c>
      <c r="B15" s="3" t="s">
        <v>11</v>
      </c>
      <c r="C15" s="4">
        <v>0</v>
      </c>
      <c r="D15" s="4">
        <v>850</v>
      </c>
      <c r="E15" s="4">
        <v>850</v>
      </c>
      <c r="F15" s="26">
        <v>0</v>
      </c>
      <c r="G15" s="26">
        <v>1.5621950273678198</v>
      </c>
      <c r="H15" s="26">
        <v>1.4236844820401362</v>
      </c>
    </row>
    <row r="16" spans="1:8" x14ac:dyDescent="0.3">
      <c r="A16" s="2">
        <v>13</v>
      </c>
      <c r="B16" s="3" t="s">
        <v>12</v>
      </c>
      <c r="C16" s="4">
        <v>0</v>
      </c>
      <c r="D16" s="4">
        <v>3640</v>
      </c>
      <c r="E16" s="4">
        <v>4140</v>
      </c>
      <c r="F16" s="26">
        <v>0</v>
      </c>
      <c r="G16" s="26">
        <v>1.4277875743138428</v>
      </c>
      <c r="H16" s="26">
        <v>1.4701421323825703</v>
      </c>
    </row>
    <row r="17" spans="1:8" x14ac:dyDescent="0.3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26">
        <v>0</v>
      </c>
      <c r="G17" s="26">
        <v>0</v>
      </c>
      <c r="H17" s="26">
        <v>0</v>
      </c>
    </row>
    <row r="18" spans="1:8" x14ac:dyDescent="0.3">
      <c r="A18" s="2">
        <v>15</v>
      </c>
      <c r="B18" s="3" t="s">
        <v>14</v>
      </c>
      <c r="C18" s="4">
        <v>0</v>
      </c>
      <c r="D18" s="4">
        <v>1847</v>
      </c>
      <c r="E18" s="4">
        <v>1847</v>
      </c>
      <c r="F18" s="26">
        <v>0</v>
      </c>
      <c r="G18" s="26">
        <v>12.296188348046705</v>
      </c>
      <c r="H18" s="26">
        <v>11.027471359620947</v>
      </c>
    </row>
    <row r="19" spans="1:8" x14ac:dyDescent="0.3">
      <c r="A19" s="2">
        <v>16</v>
      </c>
      <c r="B19" s="3" t="s">
        <v>15</v>
      </c>
      <c r="C19" s="4">
        <v>0</v>
      </c>
      <c r="D19" s="4">
        <v>0</v>
      </c>
      <c r="E19" s="4">
        <v>0</v>
      </c>
      <c r="F19" s="26">
        <v>0</v>
      </c>
      <c r="G19" s="26">
        <v>0</v>
      </c>
      <c r="H19" s="26">
        <v>0</v>
      </c>
    </row>
    <row r="20" spans="1:8" x14ac:dyDescent="0.3">
      <c r="A20" s="2">
        <v>17</v>
      </c>
      <c r="B20" s="3" t="s">
        <v>16</v>
      </c>
      <c r="C20" s="4">
        <v>0</v>
      </c>
      <c r="D20" s="4">
        <v>927</v>
      </c>
      <c r="E20" s="4">
        <v>927</v>
      </c>
      <c r="F20" s="26">
        <v>0</v>
      </c>
      <c r="G20" s="26">
        <v>7.9884352964747904</v>
      </c>
      <c r="H20" s="26">
        <v>7.7142611056857966</v>
      </c>
    </row>
    <row r="21" spans="1:8" x14ac:dyDescent="0.3">
      <c r="A21" s="2">
        <v>18</v>
      </c>
      <c r="B21" s="3" t="s">
        <v>17</v>
      </c>
      <c r="C21" s="4">
        <v>0</v>
      </c>
      <c r="D21" s="4">
        <v>0</v>
      </c>
      <c r="E21" s="4">
        <v>0</v>
      </c>
      <c r="F21" s="26">
        <v>0</v>
      </c>
      <c r="G21" s="26">
        <v>0</v>
      </c>
      <c r="H21" s="26">
        <v>0</v>
      </c>
    </row>
    <row r="22" spans="1:8" x14ac:dyDescent="0.3">
      <c r="A22" s="2">
        <v>19</v>
      </c>
      <c r="B22" s="3" t="s">
        <v>18</v>
      </c>
      <c r="C22" s="4">
        <v>0</v>
      </c>
      <c r="D22" s="4">
        <v>86</v>
      </c>
      <c r="E22" s="4">
        <v>77.767592107560688</v>
      </c>
      <c r="F22" s="26">
        <v>0</v>
      </c>
      <c r="G22" s="26">
        <v>0.39233370810326496</v>
      </c>
      <c r="H22" s="26">
        <v>0.3255246389746333</v>
      </c>
    </row>
    <row r="23" spans="1:8" x14ac:dyDescent="0.3">
      <c r="A23" s="2">
        <v>20</v>
      </c>
      <c r="B23" s="3" t="s">
        <v>19</v>
      </c>
      <c r="C23" s="4">
        <v>0</v>
      </c>
      <c r="D23" s="4">
        <v>0</v>
      </c>
      <c r="E23" s="4">
        <v>0</v>
      </c>
      <c r="F23" s="26">
        <v>0</v>
      </c>
      <c r="G23" s="26">
        <v>0</v>
      </c>
      <c r="H23" s="26">
        <v>0</v>
      </c>
    </row>
    <row r="24" spans="1:8" x14ac:dyDescent="0.3">
      <c r="A24" s="2">
        <v>21</v>
      </c>
      <c r="B24" s="3" t="s">
        <v>20</v>
      </c>
      <c r="C24" s="4">
        <v>0</v>
      </c>
      <c r="D24" s="4">
        <v>4059</v>
      </c>
      <c r="E24" s="4">
        <v>4345.9371270962411</v>
      </c>
      <c r="F24" s="26">
        <v>0</v>
      </c>
      <c r="G24" s="26">
        <v>1.3148415239392264</v>
      </c>
      <c r="H24" s="26">
        <v>1.2982297583855928</v>
      </c>
    </row>
    <row r="25" spans="1:8" x14ac:dyDescent="0.3">
      <c r="A25" s="2">
        <v>22</v>
      </c>
      <c r="B25" s="3" t="s">
        <v>21</v>
      </c>
      <c r="C25" s="4">
        <v>0</v>
      </c>
      <c r="D25" s="4">
        <v>1</v>
      </c>
      <c r="E25" s="4">
        <v>1</v>
      </c>
      <c r="F25" s="26">
        <v>0</v>
      </c>
      <c r="G25" s="26">
        <v>7.9650401643124077E-4</v>
      </c>
      <c r="H25" s="26">
        <v>7.2153505428342686E-4</v>
      </c>
    </row>
    <row r="26" spans="1:8" x14ac:dyDescent="0.3">
      <c r="A26" s="2">
        <v>23</v>
      </c>
      <c r="B26" s="3" t="s">
        <v>22</v>
      </c>
      <c r="C26" s="4">
        <v>0</v>
      </c>
      <c r="D26" s="4">
        <v>0</v>
      </c>
      <c r="E26" s="4">
        <v>0</v>
      </c>
      <c r="F26" s="26">
        <v>0</v>
      </c>
      <c r="G26" s="26">
        <v>0</v>
      </c>
      <c r="H26" s="26">
        <v>0</v>
      </c>
    </row>
    <row r="27" spans="1:8" x14ac:dyDescent="0.3">
      <c r="A27" s="2">
        <v>24</v>
      </c>
      <c r="B27" s="3" t="s">
        <v>23</v>
      </c>
      <c r="C27" s="4">
        <v>0</v>
      </c>
      <c r="D27" s="4">
        <v>0</v>
      </c>
      <c r="E27" s="4">
        <v>0</v>
      </c>
      <c r="F27" s="26">
        <v>0</v>
      </c>
      <c r="G27" s="26">
        <v>0</v>
      </c>
      <c r="H27" s="26">
        <v>0</v>
      </c>
    </row>
    <row r="28" spans="1:8" x14ac:dyDescent="0.3">
      <c r="A28" s="2">
        <v>25</v>
      </c>
      <c r="B28" s="3" t="s">
        <v>24</v>
      </c>
      <c r="C28" s="4">
        <v>0</v>
      </c>
      <c r="D28" s="4">
        <v>849</v>
      </c>
      <c r="E28" s="4">
        <v>849</v>
      </c>
      <c r="F28" s="26">
        <v>0</v>
      </c>
      <c r="G28" s="26">
        <v>3.8625724914775454</v>
      </c>
      <c r="H28" s="26">
        <v>3.6819785365371289</v>
      </c>
    </row>
    <row r="29" spans="1:8" x14ac:dyDescent="0.3">
      <c r="A29" s="2">
        <v>26</v>
      </c>
      <c r="B29" s="3" t="s">
        <v>25</v>
      </c>
      <c r="C29" s="4">
        <v>0</v>
      </c>
      <c r="D29" s="4">
        <v>148</v>
      </c>
      <c r="E29" s="4">
        <v>148</v>
      </c>
      <c r="F29" s="26">
        <v>0</v>
      </c>
      <c r="G29" s="26">
        <v>0.30269618445323765</v>
      </c>
      <c r="H29" s="26">
        <v>0.2791040984739605</v>
      </c>
    </row>
    <row r="30" spans="1:8" x14ac:dyDescent="0.3">
      <c r="A30" s="2">
        <v>27</v>
      </c>
      <c r="B30" s="3" t="s">
        <v>26</v>
      </c>
      <c r="C30" s="4">
        <v>0</v>
      </c>
      <c r="D30" s="4">
        <v>311</v>
      </c>
      <c r="E30" s="4">
        <v>311</v>
      </c>
      <c r="F30" s="26">
        <v>0</v>
      </c>
      <c r="G30" s="26">
        <v>0.11584360160215798</v>
      </c>
      <c r="H30" s="26">
        <v>0.10502600423602632</v>
      </c>
    </row>
    <row r="31" spans="1:8" x14ac:dyDescent="0.3">
      <c r="A31" s="2">
        <v>28</v>
      </c>
      <c r="B31" s="3" t="s">
        <v>27</v>
      </c>
      <c r="C31" s="4">
        <v>0</v>
      </c>
      <c r="D31" s="4">
        <v>178</v>
      </c>
      <c r="E31" s="4">
        <v>178</v>
      </c>
      <c r="F31" s="26">
        <v>0</v>
      </c>
      <c r="G31" s="26">
        <v>9.6908282789040054E-2</v>
      </c>
      <c r="H31" s="26">
        <v>8.723216814598285E-2</v>
      </c>
    </row>
    <row r="32" spans="1:8" x14ac:dyDescent="0.3">
      <c r="A32" s="2">
        <v>29</v>
      </c>
      <c r="B32" s="3" t="s">
        <v>28</v>
      </c>
      <c r="C32" s="4">
        <v>0</v>
      </c>
      <c r="D32" s="4">
        <v>2153</v>
      </c>
      <c r="E32" s="4">
        <v>2153</v>
      </c>
      <c r="F32" s="26">
        <v>0</v>
      </c>
      <c r="G32" s="26">
        <v>1.0800480659012921</v>
      </c>
      <c r="H32" s="26">
        <v>0.9529251227245169</v>
      </c>
    </row>
    <row r="33" spans="1:8" x14ac:dyDescent="0.3">
      <c r="A33" s="2">
        <v>30</v>
      </c>
      <c r="B33" s="3" t="s">
        <v>29</v>
      </c>
      <c r="C33" s="4">
        <v>0</v>
      </c>
      <c r="D33" s="4">
        <v>38</v>
      </c>
      <c r="E33" s="4">
        <v>38</v>
      </c>
      <c r="F33" s="26">
        <v>0</v>
      </c>
      <c r="G33" s="26">
        <v>8.8978148020534803E-2</v>
      </c>
      <c r="H33" s="26">
        <v>8.0234131641828937E-2</v>
      </c>
    </row>
    <row r="34" spans="1:8" x14ac:dyDescent="0.3">
      <c r="A34" s="2">
        <v>31</v>
      </c>
      <c r="B34" s="3" t="s">
        <v>30</v>
      </c>
      <c r="C34" s="4">
        <v>0</v>
      </c>
      <c r="D34" s="4">
        <v>1153</v>
      </c>
      <c r="E34" s="4">
        <v>1153</v>
      </c>
      <c r="F34" s="26">
        <v>0</v>
      </c>
      <c r="G34" s="26">
        <v>8.9008527603644154</v>
      </c>
      <c r="H34" s="26">
        <v>8.8728549892302251</v>
      </c>
    </row>
    <row r="35" spans="1:8" x14ac:dyDescent="0.3">
      <c r="A35" s="2">
        <v>32</v>
      </c>
      <c r="B35" s="3" t="s">
        <v>31</v>
      </c>
      <c r="C35" s="4">
        <v>0</v>
      </c>
      <c r="D35" s="4">
        <v>0</v>
      </c>
      <c r="E35" s="4">
        <v>0</v>
      </c>
      <c r="F35" s="26">
        <v>0</v>
      </c>
      <c r="G35" s="26">
        <v>0</v>
      </c>
      <c r="H35" s="26">
        <v>0</v>
      </c>
    </row>
    <row r="36" spans="1:8" x14ac:dyDescent="0.3">
      <c r="A36" s="2">
        <v>33</v>
      </c>
      <c r="B36" s="3" t="s">
        <v>32</v>
      </c>
      <c r="C36" s="4">
        <v>0</v>
      </c>
      <c r="D36" s="4">
        <v>0</v>
      </c>
      <c r="E36" s="4">
        <v>889</v>
      </c>
      <c r="F36" s="26">
        <v>0</v>
      </c>
      <c r="G36" s="26">
        <v>0</v>
      </c>
      <c r="H36" s="26">
        <v>3.4631697352467126</v>
      </c>
    </row>
    <row r="37" spans="1:8" x14ac:dyDescent="0.3">
      <c r="A37" s="2">
        <v>34</v>
      </c>
      <c r="B37" s="3" t="s">
        <v>33</v>
      </c>
      <c r="C37" s="4">
        <v>0</v>
      </c>
      <c r="D37" s="4">
        <v>152</v>
      </c>
      <c r="E37" s="4">
        <v>152</v>
      </c>
      <c r="F37" s="26">
        <v>0</v>
      </c>
      <c r="G37" s="26">
        <v>6.7324980960761158E-2</v>
      </c>
      <c r="H37" s="26">
        <v>5.7997610002435709E-2</v>
      </c>
    </row>
    <row r="38" spans="1:8" x14ac:dyDescent="0.3">
      <c r="A38" s="2">
        <v>35</v>
      </c>
      <c r="B38" s="3" t="s">
        <v>34</v>
      </c>
      <c r="C38" s="4">
        <v>0</v>
      </c>
      <c r="D38" s="4">
        <v>0</v>
      </c>
      <c r="E38" s="4">
        <v>0</v>
      </c>
      <c r="F38" s="26">
        <v>0</v>
      </c>
      <c r="G38" s="26">
        <v>0</v>
      </c>
      <c r="H38" s="26">
        <v>0</v>
      </c>
    </row>
    <row r="39" spans="1:8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26">
        <v>0</v>
      </c>
      <c r="G40" s="26">
        <v>0</v>
      </c>
      <c r="H40" s="26">
        <v>0</v>
      </c>
    </row>
    <row r="41" spans="1:8" x14ac:dyDescent="0.3">
      <c r="A41" s="2">
        <v>38</v>
      </c>
      <c r="B41" s="3" t="s">
        <v>37</v>
      </c>
      <c r="C41" s="4">
        <v>0</v>
      </c>
      <c r="D41" s="4">
        <v>1670</v>
      </c>
      <c r="E41" s="4">
        <v>3378</v>
      </c>
      <c r="F41" s="26">
        <v>0</v>
      </c>
      <c r="G41" s="26">
        <v>1.0722374044047385</v>
      </c>
      <c r="H41" s="26">
        <v>1.9507463683807229</v>
      </c>
    </row>
    <row r="42" spans="1:8" x14ac:dyDescent="0.3">
      <c r="A42" s="2">
        <v>39</v>
      </c>
      <c r="B42" s="3" t="s">
        <v>38</v>
      </c>
      <c r="C42" s="4">
        <v>0</v>
      </c>
      <c r="D42" s="4">
        <v>258</v>
      </c>
      <c r="E42" s="4">
        <v>258</v>
      </c>
      <c r="F42" s="26">
        <v>0</v>
      </c>
      <c r="G42" s="26">
        <v>25.024005586754729</v>
      </c>
      <c r="H42" s="26">
        <v>24.085475431414743</v>
      </c>
    </row>
    <row r="43" spans="1:8" x14ac:dyDescent="0.3">
      <c r="A43" s="2">
        <v>40</v>
      </c>
      <c r="B43" s="3" t="s">
        <v>39</v>
      </c>
      <c r="C43" s="4">
        <v>0</v>
      </c>
      <c r="D43" s="4">
        <v>0</v>
      </c>
      <c r="E43" s="4">
        <v>2251</v>
      </c>
      <c r="F43" s="26">
        <v>0</v>
      </c>
      <c r="G43" s="26">
        <v>0</v>
      </c>
      <c r="H43" s="26">
        <v>2.6157027223062603</v>
      </c>
    </row>
    <row r="44" spans="1:8" x14ac:dyDescent="0.3">
      <c r="A44" s="2">
        <v>41</v>
      </c>
      <c r="B44" s="3" t="s">
        <v>40</v>
      </c>
      <c r="C44" s="4">
        <v>0</v>
      </c>
      <c r="D44" s="4">
        <v>0</v>
      </c>
      <c r="E44" s="4">
        <v>2857</v>
      </c>
      <c r="F44" s="26">
        <v>0</v>
      </c>
      <c r="G44" s="26">
        <v>0</v>
      </c>
      <c r="H44" s="26">
        <v>0.47701029514941051</v>
      </c>
    </row>
    <row r="45" spans="1:8" x14ac:dyDescent="0.3">
      <c r="A45" s="2">
        <v>42</v>
      </c>
      <c r="B45" s="3" t="s">
        <v>41</v>
      </c>
      <c r="C45" s="4">
        <v>0</v>
      </c>
      <c r="D45" s="4">
        <v>5870</v>
      </c>
      <c r="E45" s="4">
        <v>5870</v>
      </c>
      <c r="F45" s="26">
        <v>0</v>
      </c>
      <c r="G45" s="26">
        <v>5.6467666561218675</v>
      </c>
      <c r="H45" s="26">
        <v>5.3788253057878226</v>
      </c>
    </row>
    <row r="46" spans="1:8" x14ac:dyDescent="0.3">
      <c r="A46" s="2">
        <v>43</v>
      </c>
      <c r="B46" s="3" t="s">
        <v>42</v>
      </c>
      <c r="C46" s="4">
        <v>0</v>
      </c>
      <c r="D46" s="4">
        <v>25803</v>
      </c>
      <c r="E46" s="4">
        <v>25803</v>
      </c>
      <c r="F46" s="26">
        <v>0</v>
      </c>
      <c r="G46" s="26">
        <v>4.4418666251176626</v>
      </c>
      <c r="H46" s="26">
        <v>3.9395247604543568</v>
      </c>
    </row>
    <row r="47" spans="1:8" x14ac:dyDescent="0.3">
      <c r="A47" s="2">
        <v>44</v>
      </c>
      <c r="B47" s="3" t="s">
        <v>43</v>
      </c>
      <c r="C47" s="4">
        <v>0</v>
      </c>
      <c r="D47" s="4">
        <v>3903</v>
      </c>
      <c r="E47" s="4">
        <v>3595.1391245334239</v>
      </c>
      <c r="F47" s="26">
        <v>0</v>
      </c>
      <c r="G47" s="26">
        <v>4.8504482408208407</v>
      </c>
      <c r="H47" s="26">
        <v>4.0629015945490998</v>
      </c>
    </row>
    <row r="48" spans="1:8" x14ac:dyDescent="0.3">
      <c r="A48" s="2">
        <v>45</v>
      </c>
      <c r="B48" s="3" t="s">
        <v>44</v>
      </c>
      <c r="C48" s="4">
        <v>0</v>
      </c>
      <c r="D48" s="4">
        <v>527</v>
      </c>
      <c r="E48" s="4">
        <v>527</v>
      </c>
      <c r="F48" s="26">
        <v>0</v>
      </c>
      <c r="G48" s="26">
        <v>0.12694086133589716</v>
      </c>
      <c r="H48" s="26">
        <v>0.11153537115722821</v>
      </c>
    </row>
    <row r="49" spans="1:8" x14ac:dyDescent="0.3">
      <c r="A49" s="2">
        <v>46</v>
      </c>
      <c r="B49" s="3" t="s">
        <v>45</v>
      </c>
      <c r="C49" s="4">
        <v>0</v>
      </c>
      <c r="D49" s="4">
        <v>119</v>
      </c>
      <c r="E49" s="4">
        <v>119</v>
      </c>
      <c r="F49" s="26">
        <v>0</v>
      </c>
      <c r="G49" s="26">
        <v>6.6719395546945767E-2</v>
      </c>
      <c r="H49" s="26">
        <v>5.944746330430481E-2</v>
      </c>
    </row>
    <row r="50" spans="1:8" x14ac:dyDescent="0.3">
      <c r="A50" s="2">
        <v>47</v>
      </c>
      <c r="B50" s="3" t="s">
        <v>46</v>
      </c>
      <c r="C50" s="4">
        <v>0</v>
      </c>
      <c r="D50" s="4">
        <v>2115</v>
      </c>
      <c r="E50" s="4">
        <v>2115</v>
      </c>
      <c r="F50" s="26">
        <v>0</v>
      </c>
      <c r="G50" s="26">
        <v>1.405111710034902</v>
      </c>
      <c r="H50" s="26">
        <v>1.2959132410900454</v>
      </c>
    </row>
    <row r="51" spans="1:8" x14ac:dyDescent="0.3">
      <c r="A51" s="2">
        <v>48</v>
      </c>
      <c r="B51" s="5" t="s">
        <v>47</v>
      </c>
      <c r="C51" s="6">
        <v>0</v>
      </c>
      <c r="D51" s="6">
        <v>124980</v>
      </c>
      <c r="E51" s="6">
        <v>126432.92558335639</v>
      </c>
      <c r="F51" s="28">
        <f>AVERAGE(F4:F50)</f>
        <v>0</v>
      </c>
      <c r="G51" s="28">
        <f t="shared" ref="G51:H51" si="0">AVERAGE(G4:G50)</f>
        <v>2.4836630158141633</v>
      </c>
      <c r="H51" s="28">
        <f t="shared" si="0"/>
        <v>2.4811275172189009</v>
      </c>
    </row>
  </sheetData>
  <mergeCells count="6">
    <mergeCell ref="A2:A3"/>
    <mergeCell ref="C2:E2"/>
    <mergeCell ref="F2:F3"/>
    <mergeCell ref="G2:G3"/>
    <mergeCell ref="H2:H3"/>
    <mergeCell ref="B2:B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968F-5C6B-47B7-91E4-E09048E052D4}">
  <dimension ref="A1:H51"/>
  <sheetViews>
    <sheetView workbookViewId="0">
      <selection activeCell="A2" sqref="A2:H51"/>
    </sheetView>
  </sheetViews>
  <sheetFormatPr defaultRowHeight="14" x14ac:dyDescent="0.3"/>
  <cols>
    <col min="1" max="1" width="4.54296875" style="16" bestFit="1" customWidth="1"/>
    <col min="2" max="2" width="20.90625" style="16" bestFit="1" customWidth="1"/>
    <col min="3" max="16384" width="8.7265625" style="16"/>
  </cols>
  <sheetData>
    <row r="1" spans="1:8" x14ac:dyDescent="0.3">
      <c r="C1" s="16" t="s">
        <v>85</v>
      </c>
    </row>
    <row r="2" spans="1:8" ht="14.5" customHeight="1" x14ac:dyDescent="0.3">
      <c r="A2" s="215" t="s">
        <v>52</v>
      </c>
      <c r="B2" s="217" t="s">
        <v>48</v>
      </c>
      <c r="C2" s="196" t="s">
        <v>85</v>
      </c>
      <c r="D2" s="196"/>
      <c r="E2" s="196"/>
      <c r="F2" s="216" t="s">
        <v>91</v>
      </c>
      <c r="G2" s="216" t="s">
        <v>92</v>
      </c>
      <c r="H2" s="216" t="s">
        <v>93</v>
      </c>
    </row>
    <row r="3" spans="1:8" ht="28" x14ac:dyDescent="0.3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">
      <c r="A4" s="2">
        <v>1</v>
      </c>
      <c r="B4" s="3" t="s">
        <v>0</v>
      </c>
      <c r="C4" s="4">
        <v>0</v>
      </c>
      <c r="D4" s="4">
        <v>1971</v>
      </c>
      <c r="E4" s="4">
        <v>1971</v>
      </c>
      <c r="F4" s="26">
        <v>0</v>
      </c>
      <c r="G4" s="26">
        <v>0.47010271923297547</v>
      </c>
      <c r="H4" s="26">
        <v>0.43894397340057417</v>
      </c>
    </row>
    <row r="5" spans="1:8" x14ac:dyDescent="0.3">
      <c r="A5" s="2">
        <v>2</v>
      </c>
      <c r="B5" s="3" t="s">
        <v>1</v>
      </c>
      <c r="C5" s="4">
        <v>0</v>
      </c>
      <c r="D5" s="4">
        <v>1156</v>
      </c>
      <c r="E5" s="4">
        <v>1195</v>
      </c>
      <c r="F5" s="26">
        <v>0</v>
      </c>
      <c r="G5" s="26">
        <v>0.3696416391457914</v>
      </c>
      <c r="H5" s="26">
        <v>0.33577803155790836</v>
      </c>
    </row>
    <row r="6" spans="1:8" x14ac:dyDescent="0.3">
      <c r="A6" s="2">
        <v>3</v>
      </c>
      <c r="B6" s="3" t="s">
        <v>2</v>
      </c>
      <c r="C6" s="4">
        <v>0</v>
      </c>
      <c r="D6" s="4">
        <v>58</v>
      </c>
      <c r="E6" s="4">
        <v>187</v>
      </c>
      <c r="F6" s="26">
        <v>0</v>
      </c>
      <c r="G6" s="26">
        <v>4.8573433840701008E-2</v>
      </c>
      <c r="H6" s="26">
        <v>0.14004486228572388</v>
      </c>
    </row>
    <row r="7" spans="1:8" x14ac:dyDescent="0.3">
      <c r="A7" s="2">
        <v>4</v>
      </c>
      <c r="B7" s="3" t="s">
        <v>3</v>
      </c>
      <c r="C7" s="4">
        <v>0</v>
      </c>
      <c r="D7" s="4">
        <v>42</v>
      </c>
      <c r="E7" s="4">
        <v>34.478959329612458</v>
      </c>
      <c r="F7" s="26">
        <v>0</v>
      </c>
      <c r="G7" s="26">
        <v>0.1713300741186139</v>
      </c>
      <c r="H7" s="26">
        <v>0.13108395150056282</v>
      </c>
    </row>
    <row r="8" spans="1:8" x14ac:dyDescent="0.3">
      <c r="A8" s="2">
        <v>5</v>
      </c>
      <c r="B8" s="3" t="s">
        <v>4</v>
      </c>
      <c r="C8" s="4">
        <v>0</v>
      </c>
      <c r="D8" s="4">
        <v>18</v>
      </c>
      <c r="E8" s="4">
        <v>47</v>
      </c>
      <c r="F8" s="26">
        <v>0</v>
      </c>
      <c r="G8" s="26">
        <v>8.8266780262743726E-3</v>
      </c>
      <c r="H8" s="26">
        <v>2.0728805391888643E-2</v>
      </c>
    </row>
    <row r="9" spans="1:8" x14ac:dyDescent="0.3">
      <c r="A9" s="2">
        <v>6</v>
      </c>
      <c r="B9" s="3" t="s">
        <v>5</v>
      </c>
      <c r="C9" s="4">
        <v>0</v>
      </c>
      <c r="D9" s="4">
        <v>9</v>
      </c>
      <c r="E9" s="4">
        <v>9</v>
      </c>
      <c r="F9" s="26">
        <v>0</v>
      </c>
      <c r="G9" s="26">
        <v>7.8305316343689913E-3</v>
      </c>
      <c r="H9" s="26">
        <v>6.982386116409646E-3</v>
      </c>
    </row>
    <row r="10" spans="1:8" x14ac:dyDescent="0.3">
      <c r="A10" s="2">
        <v>7</v>
      </c>
      <c r="B10" s="3" t="s">
        <v>6</v>
      </c>
      <c r="C10" s="4">
        <v>0</v>
      </c>
      <c r="D10" s="4">
        <v>0</v>
      </c>
      <c r="E10" s="4">
        <v>191</v>
      </c>
      <c r="F10" s="26">
        <v>0</v>
      </c>
      <c r="G10" s="26">
        <v>0</v>
      </c>
      <c r="H10" s="26">
        <v>6.8423131439062257E-2</v>
      </c>
    </row>
    <row r="11" spans="1:8" x14ac:dyDescent="0.3">
      <c r="A11" s="2">
        <v>8</v>
      </c>
      <c r="B11" s="3" t="s">
        <v>7</v>
      </c>
      <c r="C11" s="4">
        <v>0</v>
      </c>
      <c r="D11" s="4">
        <v>58</v>
      </c>
      <c r="E11" s="4">
        <v>12.434266327396099</v>
      </c>
      <c r="F11" s="26">
        <v>0</v>
      </c>
      <c r="G11" s="26">
        <v>1.0154034959642089</v>
      </c>
      <c r="H11" s="26">
        <v>0.20963123676907924</v>
      </c>
    </row>
    <row r="12" spans="1:8" x14ac:dyDescent="0.3">
      <c r="A12" s="2">
        <v>9</v>
      </c>
      <c r="B12" s="3" t="s">
        <v>8</v>
      </c>
      <c r="C12" s="4">
        <v>0</v>
      </c>
      <c r="D12" s="4">
        <v>0</v>
      </c>
      <c r="E12" s="4">
        <v>155</v>
      </c>
      <c r="F12" s="26">
        <v>0</v>
      </c>
      <c r="G12" s="26">
        <v>0</v>
      </c>
      <c r="H12" s="26">
        <v>0.27782042171885318</v>
      </c>
    </row>
    <row r="13" spans="1:8" x14ac:dyDescent="0.3">
      <c r="A13" s="2">
        <v>10</v>
      </c>
      <c r="B13" s="3" t="s">
        <v>9</v>
      </c>
      <c r="C13" s="4">
        <v>0</v>
      </c>
      <c r="D13" s="4">
        <v>2</v>
      </c>
      <c r="E13" s="4">
        <v>18</v>
      </c>
      <c r="F13" s="26">
        <v>0</v>
      </c>
      <c r="G13" s="26">
        <v>1.2817053859182875E-3</v>
      </c>
      <c r="H13" s="26">
        <v>1.0156113857822698E-2</v>
      </c>
    </row>
    <row r="14" spans="1:8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26">
        <v>0</v>
      </c>
      <c r="G15" s="26">
        <v>0</v>
      </c>
      <c r="H15" s="26">
        <v>0</v>
      </c>
    </row>
    <row r="16" spans="1:8" x14ac:dyDescent="0.3">
      <c r="A16" s="2">
        <v>13</v>
      </c>
      <c r="B16" s="3" t="s">
        <v>12</v>
      </c>
      <c r="C16" s="4">
        <v>60</v>
      </c>
      <c r="D16" s="4">
        <v>151</v>
      </c>
      <c r="E16" s="4">
        <v>121.93051482140987</v>
      </c>
      <c r="F16" s="26">
        <v>2.6703140189149467E-2</v>
      </c>
      <c r="G16" s="26">
        <v>5.922964937400832E-2</v>
      </c>
      <c r="H16" s="26">
        <v>4.3298354362814519E-2</v>
      </c>
    </row>
    <row r="17" spans="1:8" x14ac:dyDescent="0.3">
      <c r="A17" s="2">
        <v>14</v>
      </c>
      <c r="B17" s="3" t="s">
        <v>13</v>
      </c>
      <c r="C17" s="4">
        <v>0</v>
      </c>
      <c r="D17" s="4">
        <v>395</v>
      </c>
      <c r="E17" s="4">
        <v>793</v>
      </c>
      <c r="F17" s="26">
        <v>0</v>
      </c>
      <c r="G17" s="26">
        <v>4.5356757017135277E-2</v>
      </c>
      <c r="H17" s="26">
        <v>8.009274841265869E-2</v>
      </c>
    </row>
    <row r="18" spans="1:8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">
      <c r="A19" s="2">
        <v>16</v>
      </c>
      <c r="B19" s="3" t="s">
        <v>15</v>
      </c>
      <c r="C19" s="4">
        <v>0</v>
      </c>
      <c r="D19" s="4">
        <v>137</v>
      </c>
      <c r="E19" s="4">
        <v>149.40882376165396</v>
      </c>
      <c r="F19" s="26">
        <v>0</v>
      </c>
      <c r="G19" s="26">
        <v>0.39763456773712136</v>
      </c>
      <c r="H19" s="26">
        <v>0.40555794314368349</v>
      </c>
    </row>
    <row r="20" spans="1:8" x14ac:dyDescent="0.3">
      <c r="A20" s="2">
        <v>17</v>
      </c>
      <c r="B20" s="3" t="s">
        <v>16</v>
      </c>
      <c r="C20" s="4">
        <v>0</v>
      </c>
      <c r="D20" s="4">
        <v>29</v>
      </c>
      <c r="E20" s="4">
        <v>32</v>
      </c>
      <c r="F20" s="26">
        <v>0</v>
      </c>
      <c r="G20" s="26">
        <v>0.24990790032121782</v>
      </c>
      <c r="H20" s="26">
        <v>0.26629596049832305</v>
      </c>
    </row>
    <row r="21" spans="1:8" x14ac:dyDescent="0.3">
      <c r="A21" s="2">
        <v>18</v>
      </c>
      <c r="B21" s="3" t="s">
        <v>17</v>
      </c>
      <c r="C21" s="4">
        <v>0</v>
      </c>
      <c r="D21" s="4">
        <v>258</v>
      </c>
      <c r="E21" s="4">
        <v>3275</v>
      </c>
      <c r="F21" s="26">
        <v>0</v>
      </c>
      <c r="G21" s="26">
        <v>2.3216170678375964E-2</v>
      </c>
      <c r="H21" s="26">
        <v>0.26544026617555588</v>
      </c>
    </row>
    <row r="22" spans="1:8" x14ac:dyDescent="0.3">
      <c r="A22" s="2">
        <v>19</v>
      </c>
      <c r="B22" s="3" t="s">
        <v>18</v>
      </c>
      <c r="C22" s="4">
        <v>0</v>
      </c>
      <c r="D22" s="4">
        <v>43</v>
      </c>
      <c r="E22" s="4">
        <v>2.2219312030731624</v>
      </c>
      <c r="F22" s="26">
        <v>0</v>
      </c>
      <c r="G22" s="26">
        <v>0.19616685405163248</v>
      </c>
      <c r="H22" s="26">
        <v>9.3007039707038094E-3</v>
      </c>
    </row>
    <row r="23" spans="1:8" x14ac:dyDescent="0.3">
      <c r="A23" s="2">
        <v>20</v>
      </c>
      <c r="B23" s="3" t="s">
        <v>19</v>
      </c>
      <c r="C23" s="4">
        <v>20</v>
      </c>
      <c r="D23" s="4">
        <v>23</v>
      </c>
      <c r="E23" s="4">
        <v>24</v>
      </c>
      <c r="F23" s="26">
        <v>9.412342734459693E-2</v>
      </c>
      <c r="G23" s="26">
        <v>9.4072780838437925E-2</v>
      </c>
      <c r="H23" s="26">
        <v>8.8692058217467035E-2</v>
      </c>
    </row>
    <row r="24" spans="1:8" x14ac:dyDescent="0.3">
      <c r="A24" s="2">
        <v>21</v>
      </c>
      <c r="B24" s="3" t="s">
        <v>20</v>
      </c>
      <c r="C24" s="4">
        <v>0</v>
      </c>
      <c r="D24" s="4">
        <v>304</v>
      </c>
      <c r="E24" s="4">
        <v>381</v>
      </c>
      <c r="F24" s="26">
        <v>0</v>
      </c>
      <c r="G24" s="26">
        <v>9.8475443034620552E-2</v>
      </c>
      <c r="H24" s="26">
        <v>0.11381332115022964</v>
      </c>
    </row>
    <row r="25" spans="1:8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26">
        <v>0</v>
      </c>
      <c r="G25" s="26">
        <v>0</v>
      </c>
      <c r="H25" s="26">
        <v>0</v>
      </c>
    </row>
    <row r="26" spans="1:8" x14ac:dyDescent="0.3">
      <c r="A26" s="2">
        <v>23</v>
      </c>
      <c r="B26" s="3" t="s">
        <v>22</v>
      </c>
      <c r="C26" s="4">
        <v>0</v>
      </c>
      <c r="D26" s="4">
        <v>15</v>
      </c>
      <c r="E26" s="4">
        <v>6.0602027883396703</v>
      </c>
      <c r="F26" s="26">
        <v>0</v>
      </c>
      <c r="G26" s="26">
        <v>7.7923919760181398E-2</v>
      </c>
      <c r="H26" s="26">
        <v>2.8781829814079271E-2</v>
      </c>
    </row>
    <row r="27" spans="1:8" x14ac:dyDescent="0.3">
      <c r="A27" s="2">
        <v>24</v>
      </c>
      <c r="B27" s="3" t="s">
        <v>23</v>
      </c>
      <c r="C27" s="4">
        <v>0</v>
      </c>
      <c r="D27" s="4">
        <v>0</v>
      </c>
      <c r="E27" s="4">
        <v>631</v>
      </c>
      <c r="F27" s="26">
        <v>0</v>
      </c>
      <c r="G27" s="26">
        <v>0</v>
      </c>
      <c r="H27" s="26">
        <v>0.1167924023562303</v>
      </c>
    </row>
    <row r="28" spans="1:8" x14ac:dyDescent="0.3">
      <c r="A28" s="2">
        <v>25</v>
      </c>
      <c r="B28" s="3" t="s">
        <v>24</v>
      </c>
      <c r="C28" s="4">
        <v>0</v>
      </c>
      <c r="D28" s="4">
        <v>22</v>
      </c>
      <c r="E28" s="4">
        <v>8.9434963099631002</v>
      </c>
      <c r="F28" s="26">
        <v>0</v>
      </c>
      <c r="G28" s="26">
        <v>0.1000902176825748</v>
      </c>
      <c r="H28" s="26">
        <v>3.8786527037553767E-2</v>
      </c>
    </row>
    <row r="29" spans="1:8" x14ac:dyDescent="0.3">
      <c r="A29" s="2">
        <v>26</v>
      </c>
      <c r="B29" s="3" t="s">
        <v>25</v>
      </c>
      <c r="C29" s="4">
        <v>0</v>
      </c>
      <c r="D29" s="4">
        <v>3</v>
      </c>
      <c r="E29" s="4">
        <v>3</v>
      </c>
      <c r="F29" s="26">
        <v>0</v>
      </c>
      <c r="G29" s="26">
        <v>6.1357334686467091E-3</v>
      </c>
      <c r="H29" s="26">
        <v>5.657515509607307E-3</v>
      </c>
    </row>
    <row r="30" spans="1:8" x14ac:dyDescent="0.3">
      <c r="A30" s="2">
        <v>27</v>
      </c>
      <c r="B30" s="3" t="s">
        <v>26</v>
      </c>
      <c r="C30" s="4">
        <v>0</v>
      </c>
      <c r="D30" s="4">
        <v>99</v>
      </c>
      <c r="E30" s="4">
        <v>99</v>
      </c>
      <c r="F30" s="26">
        <v>0</v>
      </c>
      <c r="G30" s="26">
        <v>3.6876259030912024E-2</v>
      </c>
      <c r="H30" s="26">
        <v>3.3432715174812236E-2</v>
      </c>
    </row>
    <row r="31" spans="1:8" x14ac:dyDescent="0.3">
      <c r="A31" s="2">
        <v>28</v>
      </c>
      <c r="B31" s="3" t="s">
        <v>27</v>
      </c>
      <c r="C31" s="4">
        <v>0</v>
      </c>
      <c r="D31" s="4">
        <v>52</v>
      </c>
      <c r="E31" s="4">
        <v>248</v>
      </c>
      <c r="F31" s="26">
        <v>0</v>
      </c>
      <c r="G31" s="26">
        <v>2.8310284859719568E-2</v>
      </c>
      <c r="H31" s="26">
        <v>0.12153695337193117</v>
      </c>
    </row>
    <row r="32" spans="1:8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26">
        <v>0</v>
      </c>
      <c r="G32" s="26">
        <v>0</v>
      </c>
      <c r="H32" s="26">
        <v>0</v>
      </c>
    </row>
    <row r="33" spans="1:8" x14ac:dyDescent="0.3">
      <c r="A33" s="2">
        <v>30</v>
      </c>
      <c r="B33" s="3" t="s">
        <v>29</v>
      </c>
      <c r="C33" s="4">
        <v>0</v>
      </c>
      <c r="D33" s="4">
        <v>7</v>
      </c>
      <c r="E33" s="4">
        <v>7</v>
      </c>
      <c r="F33" s="26">
        <v>0</v>
      </c>
      <c r="G33" s="26">
        <v>1.639071147746694E-2</v>
      </c>
      <c r="H33" s="26">
        <v>1.4779971618231648E-2</v>
      </c>
    </row>
    <row r="34" spans="1:8" x14ac:dyDescent="0.3">
      <c r="A34" s="2">
        <v>31</v>
      </c>
      <c r="B34" s="3" t="s">
        <v>30</v>
      </c>
      <c r="C34" s="4">
        <v>0</v>
      </c>
      <c r="D34" s="4">
        <v>64</v>
      </c>
      <c r="E34" s="4">
        <v>64</v>
      </c>
      <c r="F34" s="26">
        <v>0</v>
      </c>
      <c r="G34" s="26">
        <v>0.49406294593523203</v>
      </c>
      <c r="H34" s="26">
        <v>0.492508863235676</v>
      </c>
    </row>
    <row r="35" spans="1:8" x14ac:dyDescent="0.3">
      <c r="A35" s="2">
        <v>32</v>
      </c>
      <c r="B35" s="3" t="s">
        <v>31</v>
      </c>
      <c r="C35" s="4">
        <v>287</v>
      </c>
      <c r="D35" s="4">
        <v>377</v>
      </c>
      <c r="E35" s="4">
        <v>553</v>
      </c>
      <c r="F35" s="26">
        <v>0.11365557474059901</v>
      </c>
      <c r="G35" s="26">
        <v>0.12812722836657991</v>
      </c>
      <c r="H35" s="26">
        <v>0.16773068736202498</v>
      </c>
    </row>
    <row r="36" spans="1:8" x14ac:dyDescent="0.3">
      <c r="A36" s="2">
        <v>33</v>
      </c>
      <c r="B36" s="3" t="s">
        <v>32</v>
      </c>
      <c r="C36" s="4">
        <v>0</v>
      </c>
      <c r="D36" s="4">
        <v>233</v>
      </c>
      <c r="E36" s="4">
        <v>234.79114664586584</v>
      </c>
      <c r="F36" s="26">
        <v>0</v>
      </c>
      <c r="G36" s="26">
        <v>0.96854091804792841</v>
      </c>
      <c r="H36" s="26">
        <v>0.91464746138114195</v>
      </c>
    </row>
    <row r="37" spans="1:8" x14ac:dyDescent="0.3">
      <c r="A37" s="2">
        <v>34</v>
      </c>
      <c r="B37" s="3" t="s">
        <v>33</v>
      </c>
      <c r="C37" s="4">
        <v>0</v>
      </c>
      <c r="D37" s="4">
        <v>0</v>
      </c>
      <c r="E37" s="4">
        <v>0</v>
      </c>
      <c r="F37" s="26">
        <v>0</v>
      </c>
      <c r="G37" s="26">
        <v>0</v>
      </c>
      <c r="H37" s="26">
        <v>0</v>
      </c>
    </row>
    <row r="38" spans="1:8" x14ac:dyDescent="0.3">
      <c r="A38" s="2">
        <v>35</v>
      </c>
      <c r="B38" s="3" t="s">
        <v>34</v>
      </c>
      <c r="C38" s="4">
        <v>0</v>
      </c>
      <c r="D38" s="4">
        <v>15823</v>
      </c>
      <c r="E38" s="4">
        <v>7446.3059165519699</v>
      </c>
      <c r="F38" s="26">
        <v>0</v>
      </c>
      <c r="G38" s="26">
        <v>0.79757999621382603</v>
      </c>
      <c r="H38" s="26">
        <v>0.34072776779458686</v>
      </c>
    </row>
    <row r="39" spans="1:8" x14ac:dyDescent="0.3">
      <c r="A39" s="2">
        <v>36</v>
      </c>
      <c r="B39" s="3" t="s">
        <v>35</v>
      </c>
      <c r="C39" s="4">
        <v>125</v>
      </c>
      <c r="D39" s="4">
        <v>225</v>
      </c>
      <c r="E39" s="4">
        <v>225</v>
      </c>
      <c r="F39" s="26">
        <v>0.11259892322100123</v>
      </c>
      <c r="G39" s="26">
        <v>0.17954313453984994</v>
      </c>
      <c r="H39" s="26">
        <v>0.16331925702803599</v>
      </c>
    </row>
    <row r="40" spans="1:8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26">
        <v>0</v>
      </c>
      <c r="G40" s="26">
        <v>0</v>
      </c>
      <c r="H40" s="26">
        <v>0</v>
      </c>
    </row>
    <row r="41" spans="1:8" x14ac:dyDescent="0.3">
      <c r="A41" s="2">
        <v>38</v>
      </c>
      <c r="B41" s="3" t="s">
        <v>37</v>
      </c>
      <c r="C41" s="4">
        <v>11</v>
      </c>
      <c r="D41" s="4">
        <v>0</v>
      </c>
      <c r="E41" s="4">
        <v>94</v>
      </c>
      <c r="F41" s="26">
        <v>8.0908734542891984E-3</v>
      </c>
      <c r="G41" s="26">
        <v>0</v>
      </c>
      <c r="H41" s="26">
        <v>5.4283646722258126E-2</v>
      </c>
    </row>
    <row r="42" spans="1:8" x14ac:dyDescent="0.3">
      <c r="A42" s="2">
        <v>39</v>
      </c>
      <c r="B42" s="3" t="s">
        <v>38</v>
      </c>
      <c r="C42" s="4">
        <v>0</v>
      </c>
      <c r="D42" s="4">
        <v>33</v>
      </c>
      <c r="E42" s="4">
        <v>60</v>
      </c>
      <c r="F42" s="26">
        <v>0</v>
      </c>
      <c r="G42" s="26">
        <v>3.2007449006314186</v>
      </c>
      <c r="H42" s="26">
        <v>5.6012733561429631</v>
      </c>
    </row>
    <row r="43" spans="1:8" x14ac:dyDescent="0.3">
      <c r="A43" s="2">
        <v>40</v>
      </c>
      <c r="B43" s="3" t="s">
        <v>39</v>
      </c>
      <c r="C43" s="4">
        <v>0</v>
      </c>
      <c r="D43" s="4">
        <v>13</v>
      </c>
      <c r="E43" s="4">
        <v>6.895791865922491</v>
      </c>
      <c r="F43" s="26">
        <v>0</v>
      </c>
      <c r="G43" s="26">
        <v>1.6536745092816298E-2</v>
      </c>
      <c r="H43" s="26">
        <v>8.013034898334442E-3</v>
      </c>
    </row>
    <row r="44" spans="1:8" x14ac:dyDescent="0.3">
      <c r="A44" s="2">
        <v>41</v>
      </c>
      <c r="B44" s="3" t="s">
        <v>40</v>
      </c>
      <c r="C44" s="4">
        <v>8185</v>
      </c>
      <c r="D44" s="4">
        <v>11975</v>
      </c>
      <c r="E44" s="4">
        <v>2279.0927151446576</v>
      </c>
      <c r="F44" s="26">
        <v>1.5192965699573608</v>
      </c>
      <c r="G44" s="26">
        <v>2.0884332451715113</v>
      </c>
      <c r="H44" s="26">
        <v>0.38052176714176572</v>
      </c>
    </row>
    <row r="45" spans="1:8" x14ac:dyDescent="0.3">
      <c r="A45" s="2">
        <v>42</v>
      </c>
      <c r="B45" s="3" t="s">
        <v>41</v>
      </c>
      <c r="C45" s="4">
        <v>0</v>
      </c>
      <c r="D45" s="4">
        <v>9</v>
      </c>
      <c r="E45" s="4">
        <v>17</v>
      </c>
      <c r="F45" s="26">
        <v>0</v>
      </c>
      <c r="G45" s="26">
        <v>8.6577342257405116E-3</v>
      </c>
      <c r="H45" s="26">
        <v>1.5577517921361665E-2</v>
      </c>
    </row>
    <row r="46" spans="1:8" x14ac:dyDescent="0.3">
      <c r="A46" s="2">
        <v>43</v>
      </c>
      <c r="B46" s="3" t="s">
        <v>42</v>
      </c>
      <c r="C46" s="4">
        <v>130</v>
      </c>
      <c r="D46" s="4">
        <v>103</v>
      </c>
      <c r="E46" s="4">
        <v>1358</v>
      </c>
      <c r="F46" s="26">
        <v>2.6393986467214348E-2</v>
      </c>
      <c r="G46" s="26">
        <v>1.7730971684963737E-2</v>
      </c>
      <c r="H46" s="26">
        <v>0.20733537281312314</v>
      </c>
    </row>
    <row r="47" spans="1:8" x14ac:dyDescent="0.3">
      <c r="A47" s="2">
        <v>44</v>
      </c>
      <c r="B47" s="3" t="s">
        <v>43</v>
      </c>
      <c r="C47" s="4">
        <v>231</v>
      </c>
      <c r="D47" s="4">
        <v>252</v>
      </c>
      <c r="E47" s="4">
        <v>221.22073294876148</v>
      </c>
      <c r="F47" s="26">
        <v>0.32506692368061879</v>
      </c>
      <c r="G47" s="26">
        <v>0.31317267657874759</v>
      </c>
      <c r="H47" s="26">
        <v>0.25000369596586597</v>
      </c>
    </row>
    <row r="48" spans="1:8" x14ac:dyDescent="0.3">
      <c r="A48" s="2">
        <v>45</v>
      </c>
      <c r="B48" s="3" t="s">
        <v>44</v>
      </c>
      <c r="C48" s="4">
        <v>114</v>
      </c>
      <c r="D48" s="4">
        <v>18</v>
      </c>
      <c r="E48" s="4">
        <v>572</v>
      </c>
      <c r="F48" s="26">
        <v>3.2318815475723045E-2</v>
      </c>
      <c r="G48" s="26">
        <v>4.3357409943949694E-3</v>
      </c>
      <c r="H48" s="26">
        <v>0.12105926433004656</v>
      </c>
    </row>
    <row r="49" spans="1:8" x14ac:dyDescent="0.3">
      <c r="A49" s="2">
        <v>46</v>
      </c>
      <c r="B49" s="3" t="s">
        <v>45</v>
      </c>
      <c r="C49" s="4">
        <v>485</v>
      </c>
      <c r="D49" s="4">
        <v>739</v>
      </c>
      <c r="E49" s="4">
        <v>1239</v>
      </c>
      <c r="F49" s="26">
        <v>0.31834641551125537</v>
      </c>
      <c r="G49" s="26">
        <v>0.41433305301842793</v>
      </c>
      <c r="H49" s="26">
        <v>0.61895300028599709</v>
      </c>
    </row>
    <row r="50" spans="1:8" x14ac:dyDescent="0.3">
      <c r="A50" s="2">
        <v>47</v>
      </c>
      <c r="B50" s="3" t="s">
        <v>46</v>
      </c>
      <c r="C50" s="4">
        <v>419</v>
      </c>
      <c r="D50" s="4">
        <v>688</v>
      </c>
      <c r="E50" s="4">
        <v>957</v>
      </c>
      <c r="F50" s="26">
        <v>0.30910141746606673</v>
      </c>
      <c r="G50" s="26">
        <v>0.45707652789787823</v>
      </c>
      <c r="H50" s="26">
        <v>0.58637776440811984</v>
      </c>
    </row>
    <row r="51" spans="1:8" x14ac:dyDescent="0.3">
      <c r="A51" s="2">
        <v>48</v>
      </c>
      <c r="B51" s="5" t="s">
        <v>47</v>
      </c>
      <c r="C51" s="6">
        <v>10067</v>
      </c>
      <c r="D51" s="6">
        <v>35404</v>
      </c>
      <c r="E51" s="6">
        <v>24928.784497698627</v>
      </c>
      <c r="F51" s="28">
        <f>AVERAGE(F4:F50)</f>
        <v>6.1397788670380309E-2</v>
      </c>
      <c r="G51" s="28">
        <f t="shared" ref="G51:H51" si="0">AVERAGE(G4:G50)</f>
        <v>0.26833304989532386</v>
      </c>
      <c r="H51" s="28">
        <f t="shared" si="0"/>
        <v>0.28072733281453333</v>
      </c>
    </row>
  </sheetData>
  <mergeCells count="6">
    <mergeCell ref="A2:A3"/>
    <mergeCell ref="C2:E2"/>
    <mergeCell ref="F2:F3"/>
    <mergeCell ref="G2:G3"/>
    <mergeCell ref="H2:H3"/>
    <mergeCell ref="B2:B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D58E-CD2D-434A-B6B6-A7A8664A4387}">
  <dimension ref="A1:H51"/>
  <sheetViews>
    <sheetView workbookViewId="0">
      <selection activeCell="A2" sqref="A2:H51"/>
    </sheetView>
  </sheetViews>
  <sheetFormatPr defaultRowHeight="14" x14ac:dyDescent="0.3"/>
  <cols>
    <col min="1" max="1" width="4.54296875" style="16" bestFit="1" customWidth="1"/>
    <col min="2" max="2" width="20.90625" style="16" bestFit="1" customWidth="1"/>
    <col min="3" max="16384" width="8.7265625" style="16"/>
  </cols>
  <sheetData>
    <row r="1" spans="1:8" x14ac:dyDescent="0.3">
      <c r="C1" s="16" t="s">
        <v>86</v>
      </c>
    </row>
    <row r="2" spans="1:8" ht="14.5" customHeight="1" x14ac:dyDescent="0.3">
      <c r="A2" s="215" t="s">
        <v>52</v>
      </c>
      <c r="B2" s="217" t="s">
        <v>48</v>
      </c>
      <c r="C2" s="196" t="s">
        <v>86</v>
      </c>
      <c r="D2" s="196"/>
      <c r="E2" s="196"/>
      <c r="F2" s="216" t="s">
        <v>91</v>
      </c>
      <c r="G2" s="216" t="s">
        <v>92</v>
      </c>
      <c r="H2" s="216" t="s">
        <v>93</v>
      </c>
    </row>
    <row r="3" spans="1:8" ht="28" x14ac:dyDescent="0.3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">
      <c r="A4" s="2">
        <v>1</v>
      </c>
      <c r="B4" s="3" t="s">
        <v>0</v>
      </c>
      <c r="C4" s="4">
        <v>0</v>
      </c>
      <c r="D4" s="4">
        <v>0</v>
      </c>
      <c r="E4" s="4">
        <v>0</v>
      </c>
      <c r="F4" s="26">
        <v>0</v>
      </c>
      <c r="G4" s="26">
        <v>0</v>
      </c>
      <c r="H4" s="26">
        <v>0</v>
      </c>
    </row>
    <row r="5" spans="1:8" x14ac:dyDescent="0.3">
      <c r="A5" s="2">
        <v>2</v>
      </c>
      <c r="B5" s="3" t="s">
        <v>1</v>
      </c>
      <c r="C5" s="4">
        <v>0</v>
      </c>
      <c r="D5" s="4">
        <v>0</v>
      </c>
      <c r="E5" s="4">
        <v>41</v>
      </c>
      <c r="F5" s="26">
        <v>0</v>
      </c>
      <c r="G5" s="26">
        <v>0</v>
      </c>
      <c r="H5" s="26">
        <v>1.1520417819141626E-2</v>
      </c>
    </row>
    <row r="6" spans="1:8" x14ac:dyDescent="0.3">
      <c r="A6" s="2">
        <v>3</v>
      </c>
      <c r="B6" s="3" t="s">
        <v>2</v>
      </c>
      <c r="C6" s="4">
        <v>0</v>
      </c>
      <c r="D6" s="4">
        <v>102</v>
      </c>
      <c r="E6" s="4">
        <v>102</v>
      </c>
      <c r="F6" s="26">
        <v>0</v>
      </c>
      <c r="G6" s="26">
        <v>8.5422245719853504E-2</v>
      </c>
      <c r="H6" s="26">
        <v>7.6388106701303929E-2</v>
      </c>
    </row>
    <row r="7" spans="1:8" x14ac:dyDescent="0.3">
      <c r="A7" s="2">
        <v>4</v>
      </c>
      <c r="B7" s="3" t="s">
        <v>3</v>
      </c>
      <c r="C7" s="4">
        <v>0</v>
      </c>
      <c r="D7" s="4">
        <v>0</v>
      </c>
      <c r="E7" s="4">
        <v>0</v>
      </c>
      <c r="F7" s="26">
        <v>0</v>
      </c>
      <c r="G7" s="26">
        <v>0</v>
      </c>
      <c r="H7" s="26">
        <v>0</v>
      </c>
    </row>
    <row r="8" spans="1:8" x14ac:dyDescent="0.3">
      <c r="A8" s="2">
        <v>5</v>
      </c>
      <c r="B8" s="3" t="s">
        <v>4</v>
      </c>
      <c r="C8" s="4">
        <v>0</v>
      </c>
      <c r="D8" s="4">
        <v>34</v>
      </c>
      <c r="E8" s="4">
        <v>39</v>
      </c>
      <c r="F8" s="26">
        <v>0</v>
      </c>
      <c r="G8" s="26">
        <v>1.6672614049629369E-2</v>
      </c>
      <c r="H8" s="26">
        <v>1.7200498091141641E-2</v>
      </c>
    </row>
    <row r="9" spans="1:8" x14ac:dyDescent="0.3">
      <c r="A9" s="2">
        <v>6</v>
      </c>
      <c r="B9" s="3" t="s">
        <v>5</v>
      </c>
      <c r="C9" s="4">
        <v>0</v>
      </c>
      <c r="D9" s="4">
        <v>0</v>
      </c>
      <c r="E9" s="4">
        <v>0</v>
      </c>
      <c r="F9" s="26">
        <v>0</v>
      </c>
      <c r="G9" s="26">
        <v>0</v>
      </c>
      <c r="H9" s="26">
        <v>0</v>
      </c>
    </row>
    <row r="10" spans="1:8" x14ac:dyDescent="0.3">
      <c r="A10" s="2">
        <v>7</v>
      </c>
      <c r="B10" s="3" t="s">
        <v>6</v>
      </c>
      <c r="C10" s="4">
        <v>0</v>
      </c>
      <c r="D10" s="4">
        <v>0</v>
      </c>
      <c r="E10" s="4">
        <v>606</v>
      </c>
      <c r="F10" s="26">
        <v>0</v>
      </c>
      <c r="G10" s="26">
        <v>0</v>
      </c>
      <c r="H10" s="26">
        <v>0.21709119189566348</v>
      </c>
    </row>
    <row r="11" spans="1:8" x14ac:dyDescent="0.3">
      <c r="A11" s="2">
        <v>8</v>
      </c>
      <c r="B11" s="3" t="s">
        <v>7</v>
      </c>
      <c r="C11" s="4">
        <v>0</v>
      </c>
      <c r="D11" s="4">
        <v>0</v>
      </c>
      <c r="E11" s="4">
        <v>0</v>
      </c>
      <c r="F11" s="26">
        <v>0</v>
      </c>
      <c r="G11" s="26">
        <v>0</v>
      </c>
      <c r="H11" s="26">
        <v>0</v>
      </c>
    </row>
    <row r="12" spans="1:8" x14ac:dyDescent="0.3">
      <c r="A12" s="2">
        <v>9</v>
      </c>
      <c r="B12" s="3" t="s">
        <v>8</v>
      </c>
      <c r="C12" s="4">
        <v>83</v>
      </c>
      <c r="D12" s="4">
        <v>0</v>
      </c>
      <c r="E12" s="4">
        <v>0</v>
      </c>
      <c r="F12" s="26">
        <v>0.17282922588019767</v>
      </c>
      <c r="G12" s="26">
        <v>0</v>
      </c>
      <c r="H12" s="26">
        <v>0</v>
      </c>
    </row>
    <row r="13" spans="1:8" x14ac:dyDescent="0.3">
      <c r="A13" s="2">
        <v>10</v>
      </c>
      <c r="B13" s="3" t="s">
        <v>9</v>
      </c>
      <c r="C13" s="4">
        <v>0</v>
      </c>
      <c r="D13" s="4">
        <v>19</v>
      </c>
      <c r="E13" s="4">
        <v>19</v>
      </c>
      <c r="F13" s="26">
        <v>0</v>
      </c>
      <c r="G13" s="26">
        <v>1.217620116622373E-2</v>
      </c>
      <c r="H13" s="26">
        <v>1.0720342405479515E-2</v>
      </c>
    </row>
    <row r="14" spans="1:8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26">
        <v>0</v>
      </c>
      <c r="G15" s="26">
        <v>0</v>
      </c>
      <c r="H15" s="26">
        <v>0</v>
      </c>
    </row>
    <row r="16" spans="1:8" x14ac:dyDescent="0.3">
      <c r="A16" s="2">
        <v>13</v>
      </c>
      <c r="B16" s="3" t="s">
        <v>12</v>
      </c>
      <c r="C16" s="4">
        <v>0</v>
      </c>
      <c r="D16" s="4">
        <v>0</v>
      </c>
      <c r="E16" s="4">
        <v>0</v>
      </c>
      <c r="F16" s="26">
        <v>0</v>
      </c>
      <c r="G16" s="26">
        <v>0</v>
      </c>
      <c r="H16" s="26">
        <v>0</v>
      </c>
    </row>
    <row r="17" spans="1:8" x14ac:dyDescent="0.3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26">
        <v>0</v>
      </c>
      <c r="G17" s="26">
        <v>0</v>
      </c>
      <c r="H17" s="26">
        <v>0</v>
      </c>
    </row>
    <row r="18" spans="1:8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">
      <c r="A19" s="2">
        <v>16</v>
      </c>
      <c r="B19" s="3" t="s">
        <v>15</v>
      </c>
      <c r="C19" s="4">
        <v>0</v>
      </c>
      <c r="D19" s="4">
        <v>0</v>
      </c>
      <c r="E19" s="4">
        <v>6</v>
      </c>
      <c r="F19" s="26">
        <v>0</v>
      </c>
      <c r="G19" s="26">
        <v>0</v>
      </c>
      <c r="H19" s="26">
        <v>1.62865056935588E-2</v>
      </c>
    </row>
    <row r="20" spans="1:8" x14ac:dyDescent="0.3">
      <c r="A20" s="2">
        <v>17</v>
      </c>
      <c r="B20" s="3" t="s">
        <v>16</v>
      </c>
      <c r="C20" s="4">
        <v>0</v>
      </c>
      <c r="D20" s="4">
        <v>0</v>
      </c>
      <c r="E20" s="4">
        <v>38</v>
      </c>
      <c r="F20" s="26">
        <v>0</v>
      </c>
      <c r="G20" s="26">
        <v>0</v>
      </c>
      <c r="H20" s="26">
        <v>0.31622645309175862</v>
      </c>
    </row>
    <row r="21" spans="1:8" x14ac:dyDescent="0.3">
      <c r="A21" s="2">
        <v>18</v>
      </c>
      <c r="B21" s="3" t="s">
        <v>17</v>
      </c>
      <c r="C21" s="4">
        <v>0</v>
      </c>
      <c r="D21" s="4">
        <v>0</v>
      </c>
      <c r="E21" s="4">
        <v>0</v>
      </c>
      <c r="F21" s="26">
        <v>0</v>
      </c>
      <c r="G21" s="26">
        <v>0</v>
      </c>
      <c r="H21" s="26">
        <v>0</v>
      </c>
    </row>
    <row r="22" spans="1:8" x14ac:dyDescent="0.3">
      <c r="A22" s="2">
        <v>19</v>
      </c>
      <c r="B22" s="3" t="s">
        <v>18</v>
      </c>
      <c r="C22" s="4">
        <v>0</v>
      </c>
      <c r="D22" s="4">
        <v>119</v>
      </c>
      <c r="E22" s="4">
        <v>127.76104417670683</v>
      </c>
      <c r="F22" s="26">
        <v>0</v>
      </c>
      <c r="G22" s="26">
        <v>0.54288036353823876</v>
      </c>
      <c r="H22" s="26">
        <v>0.534790478315469</v>
      </c>
    </row>
    <row r="23" spans="1:8" x14ac:dyDescent="0.3">
      <c r="A23" s="2">
        <v>20</v>
      </c>
      <c r="B23" s="3" t="s">
        <v>19</v>
      </c>
      <c r="C23" s="4">
        <v>127</v>
      </c>
      <c r="D23" s="4">
        <v>0</v>
      </c>
      <c r="E23" s="4">
        <v>0</v>
      </c>
      <c r="F23" s="26">
        <v>0.59768376363819053</v>
      </c>
      <c r="G23" s="26">
        <v>0</v>
      </c>
      <c r="H23" s="26">
        <v>0</v>
      </c>
    </row>
    <row r="24" spans="1:8" x14ac:dyDescent="0.3">
      <c r="A24" s="2">
        <v>21</v>
      </c>
      <c r="B24" s="3" t="s">
        <v>20</v>
      </c>
      <c r="C24" s="4">
        <v>6118</v>
      </c>
      <c r="D24" s="4">
        <v>0</v>
      </c>
      <c r="E24" s="4">
        <v>0</v>
      </c>
      <c r="F24" s="26">
        <v>2.2226584222678269</v>
      </c>
      <c r="G24" s="26">
        <v>0</v>
      </c>
      <c r="H24" s="26">
        <v>0</v>
      </c>
    </row>
    <row r="25" spans="1:8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26">
        <v>0</v>
      </c>
      <c r="G25" s="26">
        <v>0</v>
      </c>
      <c r="H25" s="26">
        <v>0</v>
      </c>
    </row>
    <row r="26" spans="1:8" x14ac:dyDescent="0.3">
      <c r="A26" s="2">
        <v>23</v>
      </c>
      <c r="B26" s="3" t="s">
        <v>22</v>
      </c>
      <c r="C26" s="4">
        <v>0</v>
      </c>
      <c r="D26" s="4">
        <v>53</v>
      </c>
      <c r="E26" s="4">
        <v>68</v>
      </c>
      <c r="F26" s="26">
        <v>0</v>
      </c>
      <c r="G26" s="26">
        <v>0.27533118315264093</v>
      </c>
      <c r="H26" s="26">
        <v>0.32295361982327325</v>
      </c>
    </row>
    <row r="27" spans="1:8" x14ac:dyDescent="0.3">
      <c r="A27" s="2">
        <v>24</v>
      </c>
      <c r="B27" s="3" t="s">
        <v>23</v>
      </c>
      <c r="C27" s="4">
        <v>0</v>
      </c>
      <c r="D27" s="4">
        <v>0</v>
      </c>
      <c r="E27" s="4">
        <v>642</v>
      </c>
      <c r="F27" s="26">
        <v>0</v>
      </c>
      <c r="G27" s="26">
        <v>0</v>
      </c>
      <c r="H27" s="26">
        <v>0.11882840303122005</v>
      </c>
    </row>
    <row r="28" spans="1:8" x14ac:dyDescent="0.3">
      <c r="A28" s="2">
        <v>25</v>
      </c>
      <c r="B28" s="3" t="s">
        <v>24</v>
      </c>
      <c r="C28" s="4">
        <v>0</v>
      </c>
      <c r="D28" s="4">
        <v>0</v>
      </c>
      <c r="E28" s="4">
        <v>0</v>
      </c>
      <c r="F28" s="26">
        <v>0</v>
      </c>
      <c r="G28" s="26">
        <v>0</v>
      </c>
      <c r="H28" s="26">
        <v>0</v>
      </c>
    </row>
    <row r="29" spans="1:8" x14ac:dyDescent="0.3">
      <c r="A29" s="2">
        <v>26</v>
      </c>
      <c r="B29" s="3" t="s">
        <v>25</v>
      </c>
      <c r="C29" s="4">
        <v>0</v>
      </c>
      <c r="D29" s="4">
        <v>0</v>
      </c>
      <c r="E29" s="4">
        <v>0</v>
      </c>
      <c r="F29" s="26">
        <v>0</v>
      </c>
      <c r="G29" s="26">
        <v>0</v>
      </c>
      <c r="H29" s="26">
        <v>0</v>
      </c>
    </row>
    <row r="30" spans="1:8" x14ac:dyDescent="0.3">
      <c r="A30" s="2">
        <v>27</v>
      </c>
      <c r="B30" s="3" t="s">
        <v>26</v>
      </c>
      <c r="C30" s="4">
        <v>0</v>
      </c>
      <c r="D30" s="4">
        <v>0</v>
      </c>
      <c r="E30" s="4">
        <v>0</v>
      </c>
      <c r="F30" s="26">
        <v>0</v>
      </c>
      <c r="G30" s="26">
        <v>0</v>
      </c>
      <c r="H30" s="26">
        <v>0</v>
      </c>
    </row>
    <row r="31" spans="1:8" x14ac:dyDescent="0.3">
      <c r="A31" s="2">
        <v>28</v>
      </c>
      <c r="B31" s="3" t="s">
        <v>27</v>
      </c>
      <c r="C31" s="4">
        <v>0</v>
      </c>
      <c r="D31" s="4">
        <v>0</v>
      </c>
      <c r="E31" s="4">
        <v>72</v>
      </c>
      <c r="F31" s="26">
        <v>0</v>
      </c>
      <c r="G31" s="26">
        <v>0</v>
      </c>
      <c r="H31" s="26">
        <v>3.5284921946689696E-2</v>
      </c>
    </row>
    <row r="32" spans="1:8" x14ac:dyDescent="0.3">
      <c r="A32" s="2">
        <v>29</v>
      </c>
      <c r="B32" s="3" t="s">
        <v>28</v>
      </c>
      <c r="C32" s="4">
        <v>0</v>
      </c>
      <c r="D32" s="4">
        <v>0</v>
      </c>
      <c r="E32" s="4">
        <v>0</v>
      </c>
      <c r="F32" s="26">
        <v>0</v>
      </c>
      <c r="G32" s="26">
        <v>0</v>
      </c>
      <c r="H32" s="26">
        <v>0</v>
      </c>
    </row>
    <row r="33" spans="1:8" x14ac:dyDescent="0.3">
      <c r="A33" s="2">
        <v>30</v>
      </c>
      <c r="B33" s="3" t="s">
        <v>29</v>
      </c>
      <c r="C33" s="4">
        <v>0</v>
      </c>
      <c r="D33" s="4">
        <v>0</v>
      </c>
      <c r="E33" s="4">
        <v>0</v>
      </c>
      <c r="F33" s="26">
        <v>0</v>
      </c>
      <c r="G33" s="26">
        <v>0</v>
      </c>
      <c r="H33" s="26">
        <v>0</v>
      </c>
    </row>
    <row r="34" spans="1:8" x14ac:dyDescent="0.3">
      <c r="A34" s="2">
        <v>31</v>
      </c>
      <c r="B34" s="3" t="s">
        <v>30</v>
      </c>
      <c r="C34" s="4">
        <v>0</v>
      </c>
      <c r="D34" s="4">
        <v>0</v>
      </c>
      <c r="E34" s="4">
        <v>0</v>
      </c>
      <c r="F34" s="26">
        <v>0</v>
      </c>
      <c r="G34" s="26">
        <v>0</v>
      </c>
      <c r="H34" s="26">
        <v>0</v>
      </c>
    </row>
    <row r="35" spans="1:8" x14ac:dyDescent="0.3">
      <c r="A35" s="2">
        <v>32</v>
      </c>
      <c r="B35" s="3" t="s">
        <v>31</v>
      </c>
      <c r="C35" s="4">
        <v>0</v>
      </c>
      <c r="D35" s="4">
        <v>338</v>
      </c>
      <c r="E35" s="4">
        <v>342</v>
      </c>
      <c r="F35" s="26">
        <v>0</v>
      </c>
      <c r="G35" s="26">
        <v>0.11487268750107164</v>
      </c>
      <c r="H35" s="26">
        <v>0.10373217916421798</v>
      </c>
    </row>
    <row r="36" spans="1:8" x14ac:dyDescent="0.3">
      <c r="A36" s="2">
        <v>33</v>
      </c>
      <c r="B36" s="3" t="s">
        <v>32</v>
      </c>
      <c r="C36" s="4">
        <v>0</v>
      </c>
      <c r="D36" s="4">
        <v>509</v>
      </c>
      <c r="E36" s="4">
        <v>509</v>
      </c>
      <c r="F36" s="26">
        <v>0</v>
      </c>
      <c r="G36" s="26">
        <v>2.115825438997406</v>
      </c>
      <c r="H36" s="26">
        <v>1.9828497134314698</v>
      </c>
    </row>
    <row r="37" spans="1:8" x14ac:dyDescent="0.3">
      <c r="A37" s="2">
        <v>34</v>
      </c>
      <c r="B37" s="3" t="s">
        <v>33</v>
      </c>
      <c r="C37" s="4">
        <v>0</v>
      </c>
      <c r="D37" s="4">
        <v>0</v>
      </c>
      <c r="E37" s="4">
        <v>0</v>
      </c>
      <c r="F37" s="26">
        <v>0</v>
      </c>
      <c r="G37" s="26">
        <v>0</v>
      </c>
      <c r="H37" s="26">
        <v>0</v>
      </c>
    </row>
    <row r="38" spans="1:8" x14ac:dyDescent="0.3">
      <c r="A38" s="2">
        <v>35</v>
      </c>
      <c r="B38" s="3" t="s">
        <v>34</v>
      </c>
      <c r="C38" s="4">
        <v>68565</v>
      </c>
      <c r="D38" s="4">
        <v>0</v>
      </c>
      <c r="E38" s="4">
        <v>0</v>
      </c>
      <c r="F38" s="26">
        <v>3.9241413147931468</v>
      </c>
      <c r="G38" s="26">
        <v>0</v>
      </c>
      <c r="H38" s="26">
        <v>0</v>
      </c>
    </row>
    <row r="39" spans="1:8" x14ac:dyDescent="0.3">
      <c r="A39" s="2">
        <v>36</v>
      </c>
      <c r="B39" s="3" t="s">
        <v>35</v>
      </c>
      <c r="C39" s="4">
        <v>886</v>
      </c>
      <c r="D39" s="4">
        <v>0</v>
      </c>
      <c r="E39" s="4">
        <v>0</v>
      </c>
      <c r="F39" s="26">
        <v>0.7981011677904567</v>
      </c>
      <c r="G39" s="26">
        <v>0</v>
      </c>
      <c r="H39" s="26">
        <v>0</v>
      </c>
    </row>
    <row r="40" spans="1:8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26">
        <v>0</v>
      </c>
      <c r="G40" s="26">
        <v>0</v>
      </c>
      <c r="H40" s="26">
        <v>0</v>
      </c>
    </row>
    <row r="41" spans="1:8" x14ac:dyDescent="0.3">
      <c r="A41" s="2">
        <v>38</v>
      </c>
      <c r="B41" s="3" t="s">
        <v>37</v>
      </c>
      <c r="C41" s="4">
        <v>0</v>
      </c>
      <c r="D41" s="4">
        <v>402</v>
      </c>
      <c r="E41" s="4">
        <v>543</v>
      </c>
      <c r="F41" s="26">
        <v>0</v>
      </c>
      <c r="G41" s="26">
        <v>0.25810744704832628</v>
      </c>
      <c r="H41" s="26">
        <v>0.31357468266155492</v>
      </c>
    </row>
    <row r="42" spans="1:8" x14ac:dyDescent="0.3">
      <c r="A42" s="2">
        <v>39</v>
      </c>
      <c r="B42" s="3" t="s">
        <v>38</v>
      </c>
      <c r="C42" s="4">
        <v>0</v>
      </c>
      <c r="D42" s="4">
        <v>0</v>
      </c>
      <c r="E42" s="4">
        <v>2</v>
      </c>
      <c r="F42" s="26">
        <v>0</v>
      </c>
      <c r="G42" s="26">
        <v>0</v>
      </c>
      <c r="H42" s="26">
        <v>0.1867091118714321</v>
      </c>
    </row>
    <row r="43" spans="1:8" x14ac:dyDescent="0.3">
      <c r="A43" s="2">
        <v>40</v>
      </c>
      <c r="B43" s="3" t="s">
        <v>39</v>
      </c>
      <c r="C43" s="4">
        <v>1511</v>
      </c>
      <c r="D43" s="4">
        <v>0</v>
      </c>
      <c r="E43" s="4">
        <v>0</v>
      </c>
      <c r="F43" s="26">
        <v>2.169462595686618</v>
      </c>
      <c r="G43" s="26">
        <v>0</v>
      </c>
      <c r="H43" s="26">
        <v>0</v>
      </c>
    </row>
    <row r="44" spans="1:8" x14ac:dyDescent="0.3">
      <c r="A44" s="2">
        <v>41</v>
      </c>
      <c r="B44" s="3" t="s">
        <v>40</v>
      </c>
      <c r="C44" s="4">
        <v>0</v>
      </c>
      <c r="D44" s="4">
        <v>27694</v>
      </c>
      <c r="E44" s="4">
        <v>23089.920665201891</v>
      </c>
      <c r="F44" s="26">
        <v>0</v>
      </c>
      <c r="G44" s="26">
        <v>4.8298179784367292</v>
      </c>
      <c r="H44" s="26">
        <v>3.8551382119301461</v>
      </c>
    </row>
    <row r="45" spans="1:8" x14ac:dyDescent="0.3">
      <c r="A45" s="2">
        <v>42</v>
      </c>
      <c r="B45" s="3" t="s">
        <v>41</v>
      </c>
      <c r="C45" s="4">
        <v>0</v>
      </c>
      <c r="D45" s="4">
        <v>0</v>
      </c>
      <c r="E45" s="4">
        <v>0</v>
      </c>
      <c r="F45" s="26">
        <v>0</v>
      </c>
      <c r="G45" s="26">
        <v>0</v>
      </c>
      <c r="H45" s="26">
        <v>0</v>
      </c>
    </row>
    <row r="46" spans="1:8" x14ac:dyDescent="0.3">
      <c r="A46" s="2">
        <v>43</v>
      </c>
      <c r="B46" s="3" t="s">
        <v>42</v>
      </c>
      <c r="C46" s="4">
        <v>0</v>
      </c>
      <c r="D46" s="4">
        <v>0</v>
      </c>
      <c r="E46" s="4">
        <v>0</v>
      </c>
      <c r="F46" s="26">
        <v>0</v>
      </c>
      <c r="G46" s="26">
        <v>0</v>
      </c>
      <c r="H46" s="26">
        <v>0</v>
      </c>
    </row>
    <row r="47" spans="1:8" x14ac:dyDescent="0.3">
      <c r="A47" s="2">
        <v>44</v>
      </c>
      <c r="B47" s="3" t="s">
        <v>43</v>
      </c>
      <c r="C47" s="4">
        <v>0</v>
      </c>
      <c r="D47" s="4">
        <v>62</v>
      </c>
      <c r="E47" s="4">
        <v>67.695961995249405</v>
      </c>
      <c r="F47" s="26">
        <v>0</v>
      </c>
      <c r="G47" s="26">
        <v>7.705042042810456E-2</v>
      </c>
      <c r="H47" s="26">
        <v>7.6503863246385209E-2</v>
      </c>
    </row>
    <row r="48" spans="1:8" x14ac:dyDescent="0.3">
      <c r="A48" s="2">
        <v>45</v>
      </c>
      <c r="B48" s="3" t="s">
        <v>44</v>
      </c>
      <c r="C48" s="4">
        <v>6046</v>
      </c>
      <c r="D48" s="4">
        <v>0</v>
      </c>
      <c r="E48" s="4">
        <v>0</v>
      </c>
      <c r="F48" s="26">
        <v>1.7140312137387854</v>
      </c>
      <c r="G48" s="26">
        <v>0</v>
      </c>
      <c r="H48" s="26">
        <v>0</v>
      </c>
    </row>
    <row r="49" spans="1:8" x14ac:dyDescent="0.3">
      <c r="A49" s="2">
        <v>46</v>
      </c>
      <c r="B49" s="3" t="s">
        <v>45</v>
      </c>
      <c r="C49" s="4">
        <v>0</v>
      </c>
      <c r="D49" s="4">
        <v>0</v>
      </c>
      <c r="E49" s="4">
        <v>0</v>
      </c>
      <c r="F49" s="26">
        <v>0</v>
      </c>
      <c r="G49" s="26">
        <v>0</v>
      </c>
      <c r="H49" s="26">
        <v>0</v>
      </c>
    </row>
    <row r="50" spans="1:8" x14ac:dyDescent="0.3">
      <c r="A50" s="2">
        <v>47</v>
      </c>
      <c r="B50" s="3" t="s">
        <v>46</v>
      </c>
      <c r="C50" s="4">
        <v>0</v>
      </c>
      <c r="D50" s="4">
        <v>12</v>
      </c>
      <c r="E50" s="4">
        <v>84</v>
      </c>
      <c r="F50" s="26">
        <v>0</v>
      </c>
      <c r="G50" s="26">
        <v>7.9722650214746199E-3</v>
      </c>
      <c r="H50" s="26">
        <v>5.1468894681590452E-2</v>
      </c>
    </row>
    <row r="51" spans="1:8" x14ac:dyDescent="0.3">
      <c r="A51" s="2">
        <v>48</v>
      </c>
      <c r="B51" s="5" t="s">
        <v>47</v>
      </c>
      <c r="C51" s="6">
        <v>83336</v>
      </c>
      <c r="D51" s="6">
        <v>29344</v>
      </c>
      <c r="E51" s="6">
        <v>26398.377671373848</v>
      </c>
      <c r="F51" s="28">
        <f>AVERAGE(F4:F50)</f>
        <v>0.24678527029351535</v>
      </c>
      <c r="G51" s="28">
        <f t="shared" ref="G51:H51" si="0">AVERAGE(G4:G50)</f>
        <v>0.17736444351190844</v>
      </c>
      <c r="H51" s="28">
        <f t="shared" si="0"/>
        <v>0.17547377863407437</v>
      </c>
    </row>
  </sheetData>
  <mergeCells count="6">
    <mergeCell ref="A2:A3"/>
    <mergeCell ref="C2:E2"/>
    <mergeCell ref="F2:F3"/>
    <mergeCell ref="G2:G3"/>
    <mergeCell ref="H2:H3"/>
    <mergeCell ref="B2:B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62F6-1399-4E8C-BCE0-4D0B384A486E}">
  <dimension ref="A1:H51"/>
  <sheetViews>
    <sheetView workbookViewId="0">
      <selection activeCell="M11" sqref="M11"/>
    </sheetView>
  </sheetViews>
  <sheetFormatPr defaultRowHeight="14" x14ac:dyDescent="0.3"/>
  <cols>
    <col min="1" max="1" width="4.54296875" style="16" bestFit="1" customWidth="1"/>
    <col min="2" max="2" width="18.54296875" style="16" bestFit="1" customWidth="1"/>
    <col min="3" max="16384" width="8.7265625" style="16"/>
  </cols>
  <sheetData>
    <row r="1" spans="1:8" x14ac:dyDescent="0.3">
      <c r="C1" s="16" t="s">
        <v>87</v>
      </c>
    </row>
    <row r="2" spans="1:8" ht="14.5" customHeight="1" x14ac:dyDescent="0.3">
      <c r="A2" s="215" t="s">
        <v>52</v>
      </c>
      <c r="B2" s="217" t="s">
        <v>48</v>
      </c>
      <c r="C2" s="2" t="s">
        <v>87</v>
      </c>
      <c r="D2" s="2"/>
      <c r="E2" s="2"/>
      <c r="F2" s="216" t="s">
        <v>91</v>
      </c>
      <c r="G2" s="216" t="s">
        <v>92</v>
      </c>
      <c r="H2" s="216" t="s">
        <v>93</v>
      </c>
    </row>
    <row r="3" spans="1:8" ht="28" x14ac:dyDescent="0.3">
      <c r="A3" s="215"/>
      <c r="B3" s="217"/>
      <c r="C3" s="11">
        <v>2013</v>
      </c>
      <c r="D3" s="11">
        <v>2018</v>
      </c>
      <c r="E3" s="11" t="s">
        <v>51</v>
      </c>
      <c r="F3" s="216"/>
      <c r="G3" s="216"/>
      <c r="H3" s="216"/>
    </row>
    <row r="4" spans="1:8" x14ac:dyDescent="0.3">
      <c r="A4" s="2">
        <v>1</v>
      </c>
      <c r="B4" s="3" t="s">
        <v>0</v>
      </c>
      <c r="C4" s="4">
        <v>0</v>
      </c>
      <c r="D4" s="4">
        <v>1</v>
      </c>
      <c r="E4" s="4">
        <v>1</v>
      </c>
      <c r="F4" s="26">
        <v>0</v>
      </c>
      <c r="G4" s="26">
        <v>2.3850975100607583E-4</v>
      </c>
      <c r="H4" s="26">
        <v>2.2270115342494883E-4</v>
      </c>
    </row>
    <row r="5" spans="1:8" x14ac:dyDescent="0.3">
      <c r="A5" s="2">
        <v>2</v>
      </c>
      <c r="B5" s="3" t="s">
        <v>1</v>
      </c>
      <c r="C5" s="4">
        <v>0</v>
      </c>
      <c r="D5" s="4">
        <v>16380</v>
      </c>
      <c r="E5" s="4">
        <v>16380</v>
      </c>
      <c r="F5" s="26">
        <v>0</v>
      </c>
      <c r="G5" s="26">
        <v>5.237655751910089</v>
      </c>
      <c r="H5" s="26">
        <v>4.6025474116473131</v>
      </c>
    </row>
    <row r="6" spans="1:8" x14ac:dyDescent="0.3">
      <c r="A6" s="2">
        <v>3</v>
      </c>
      <c r="B6" s="3" t="s">
        <v>2</v>
      </c>
      <c r="C6" s="4">
        <v>10200</v>
      </c>
      <c r="D6" s="4">
        <v>0</v>
      </c>
      <c r="E6" s="4">
        <v>0</v>
      </c>
      <c r="F6" s="26">
        <v>9.8945258099433353</v>
      </c>
      <c r="G6" s="26">
        <v>0</v>
      </c>
      <c r="H6" s="26">
        <v>0</v>
      </c>
    </row>
    <row r="7" spans="1:8" x14ac:dyDescent="0.3">
      <c r="A7" s="2">
        <v>4</v>
      </c>
      <c r="B7" s="3" t="s">
        <v>3</v>
      </c>
      <c r="C7" s="4">
        <v>0</v>
      </c>
      <c r="D7" s="4">
        <v>0</v>
      </c>
      <c r="E7" s="4">
        <v>0</v>
      </c>
      <c r="F7" s="26">
        <v>0</v>
      </c>
      <c r="G7" s="26">
        <v>0</v>
      </c>
      <c r="H7" s="26">
        <v>0</v>
      </c>
    </row>
    <row r="8" spans="1:8" x14ac:dyDescent="0.3">
      <c r="A8" s="2">
        <v>5</v>
      </c>
      <c r="B8" s="3" t="s">
        <v>4</v>
      </c>
      <c r="C8" s="4">
        <v>0</v>
      </c>
      <c r="D8" s="4">
        <v>336</v>
      </c>
      <c r="E8" s="4">
        <v>51.366660330735606</v>
      </c>
      <c r="F8" s="26">
        <v>0</v>
      </c>
      <c r="G8" s="26">
        <v>0.16476465649045496</v>
      </c>
      <c r="H8" s="26">
        <v>2.2654670332490738E-2</v>
      </c>
    </row>
    <row r="9" spans="1:8" x14ac:dyDescent="0.3">
      <c r="A9" s="2">
        <v>6</v>
      </c>
      <c r="B9" s="3" t="s">
        <v>5</v>
      </c>
      <c r="C9" s="4">
        <v>0</v>
      </c>
      <c r="D9" s="4">
        <v>1000</v>
      </c>
      <c r="E9" s="4">
        <v>1000</v>
      </c>
      <c r="F9" s="26">
        <v>0</v>
      </c>
      <c r="G9" s="26">
        <v>0.87005907048544351</v>
      </c>
      <c r="H9" s="26">
        <v>0.77582067960107182</v>
      </c>
    </row>
    <row r="10" spans="1:8" x14ac:dyDescent="0.3">
      <c r="A10" s="2">
        <v>7</v>
      </c>
      <c r="B10" s="3" t="s">
        <v>6</v>
      </c>
      <c r="C10" s="4">
        <v>0</v>
      </c>
      <c r="D10" s="4">
        <v>0</v>
      </c>
      <c r="E10" s="4">
        <v>16</v>
      </c>
      <c r="F10" s="26">
        <v>0</v>
      </c>
      <c r="G10" s="26">
        <v>0</v>
      </c>
      <c r="H10" s="26">
        <v>5.7317806441099265E-3</v>
      </c>
    </row>
    <row r="11" spans="1:8" x14ac:dyDescent="0.3">
      <c r="A11" s="2">
        <v>8</v>
      </c>
      <c r="B11" s="3" t="s">
        <v>7</v>
      </c>
      <c r="C11" s="4">
        <v>0</v>
      </c>
      <c r="D11" s="4">
        <v>1</v>
      </c>
      <c r="E11" s="4">
        <v>1</v>
      </c>
      <c r="F11" s="26">
        <v>0</v>
      </c>
      <c r="G11" s="26">
        <v>1.7506956826969115E-2</v>
      </c>
      <c r="H11" s="26">
        <v>1.6859156081224038E-2</v>
      </c>
    </row>
    <row r="12" spans="1:8" x14ac:dyDescent="0.3">
      <c r="A12" s="2">
        <v>9</v>
      </c>
      <c r="B12" s="3" t="s">
        <v>8</v>
      </c>
      <c r="C12" s="4">
        <v>0</v>
      </c>
      <c r="D12" s="4">
        <v>0</v>
      </c>
      <c r="E12" s="4">
        <v>0</v>
      </c>
      <c r="F12" s="26">
        <v>0</v>
      </c>
      <c r="G12" s="26">
        <v>0</v>
      </c>
      <c r="H12" s="26">
        <v>0</v>
      </c>
    </row>
    <row r="13" spans="1:8" x14ac:dyDescent="0.3">
      <c r="A13" s="2">
        <v>10</v>
      </c>
      <c r="B13" s="3" t="s">
        <v>9</v>
      </c>
      <c r="C13" s="4">
        <v>0</v>
      </c>
      <c r="D13" s="4">
        <v>0</v>
      </c>
      <c r="E13" s="4">
        <v>21983</v>
      </c>
      <c r="F13" s="26">
        <v>0</v>
      </c>
      <c r="G13" s="26">
        <v>0</v>
      </c>
      <c r="H13" s="26">
        <v>12.403436163139798</v>
      </c>
    </row>
    <row r="14" spans="1:8" x14ac:dyDescent="0.3">
      <c r="A14" s="2">
        <v>11</v>
      </c>
      <c r="B14" s="3" t="s">
        <v>10</v>
      </c>
      <c r="C14" s="4">
        <v>0</v>
      </c>
      <c r="D14" s="4">
        <v>0</v>
      </c>
      <c r="E14" s="4">
        <v>0</v>
      </c>
      <c r="F14" s="26">
        <v>0</v>
      </c>
      <c r="G14" s="26">
        <v>0</v>
      </c>
      <c r="H14" s="26">
        <v>0</v>
      </c>
    </row>
    <row r="15" spans="1:8" x14ac:dyDescent="0.3">
      <c r="A15" s="2">
        <v>12</v>
      </c>
      <c r="B15" s="3" t="s">
        <v>11</v>
      </c>
      <c r="C15" s="4">
        <v>0</v>
      </c>
      <c r="D15" s="4">
        <v>0</v>
      </c>
      <c r="E15" s="4">
        <v>0</v>
      </c>
      <c r="F15" s="26">
        <v>0</v>
      </c>
      <c r="G15" s="26">
        <v>0</v>
      </c>
      <c r="H15" s="26">
        <v>0</v>
      </c>
    </row>
    <row r="16" spans="1:8" x14ac:dyDescent="0.3">
      <c r="A16" s="2">
        <v>13</v>
      </c>
      <c r="B16" s="3" t="s">
        <v>12</v>
      </c>
      <c r="C16" s="4">
        <v>0</v>
      </c>
      <c r="D16" s="4">
        <v>4437</v>
      </c>
      <c r="E16" s="4">
        <v>4437</v>
      </c>
      <c r="F16" s="26">
        <v>0</v>
      </c>
      <c r="G16" s="26">
        <v>1.7404102931951979</v>
      </c>
      <c r="H16" s="26">
        <v>1.5756088505752328</v>
      </c>
    </row>
    <row r="17" spans="1:8" x14ac:dyDescent="0.3">
      <c r="A17" s="2">
        <v>14</v>
      </c>
      <c r="B17" s="3" t="s">
        <v>13</v>
      </c>
      <c r="C17" s="4">
        <v>0</v>
      </c>
      <c r="D17" s="4">
        <v>0</v>
      </c>
      <c r="E17" s="4">
        <v>0</v>
      </c>
      <c r="F17" s="26">
        <v>0</v>
      </c>
      <c r="G17" s="26">
        <v>0</v>
      </c>
      <c r="H17" s="26">
        <v>0</v>
      </c>
    </row>
    <row r="18" spans="1:8" x14ac:dyDescent="0.3">
      <c r="A18" s="2">
        <v>15</v>
      </c>
      <c r="B18" s="3" t="s">
        <v>14</v>
      </c>
      <c r="C18" s="4">
        <v>0</v>
      </c>
      <c r="D18" s="4">
        <v>0</v>
      </c>
      <c r="E18" s="4">
        <v>0</v>
      </c>
      <c r="F18" s="26">
        <v>0</v>
      </c>
      <c r="G18" s="26">
        <v>0</v>
      </c>
      <c r="H18" s="26">
        <v>0</v>
      </c>
    </row>
    <row r="19" spans="1:8" x14ac:dyDescent="0.3">
      <c r="A19" s="2">
        <v>16</v>
      </c>
      <c r="B19" s="3" t="s">
        <v>15</v>
      </c>
      <c r="C19" s="4">
        <v>0</v>
      </c>
      <c r="D19" s="4">
        <v>0</v>
      </c>
      <c r="E19" s="4">
        <v>0</v>
      </c>
      <c r="F19" s="26">
        <v>0</v>
      </c>
      <c r="G19" s="26">
        <v>0</v>
      </c>
      <c r="H19" s="26">
        <v>0</v>
      </c>
    </row>
    <row r="20" spans="1:8" x14ac:dyDescent="0.3">
      <c r="A20" s="2">
        <v>17</v>
      </c>
      <c r="B20" s="3" t="s">
        <v>16</v>
      </c>
      <c r="C20" s="4">
        <v>0</v>
      </c>
      <c r="D20" s="4">
        <v>7</v>
      </c>
      <c r="E20" s="4">
        <v>7</v>
      </c>
      <c r="F20" s="26">
        <v>0</v>
      </c>
      <c r="G20" s="26">
        <v>6.0322596629259477E-2</v>
      </c>
      <c r="H20" s="26">
        <v>5.8252241359008167E-2</v>
      </c>
    </row>
    <row r="21" spans="1:8" x14ac:dyDescent="0.3">
      <c r="A21" s="2">
        <v>18</v>
      </c>
      <c r="B21" s="3" t="s">
        <v>17</v>
      </c>
      <c r="C21" s="4">
        <v>0</v>
      </c>
      <c r="D21" s="4">
        <v>0</v>
      </c>
      <c r="E21" s="4">
        <v>0</v>
      </c>
      <c r="F21" s="26">
        <v>0</v>
      </c>
      <c r="G21" s="26">
        <v>0</v>
      </c>
      <c r="H21" s="26">
        <v>0</v>
      </c>
    </row>
    <row r="22" spans="1:8" x14ac:dyDescent="0.3">
      <c r="A22" s="2">
        <v>19</v>
      </c>
      <c r="B22" s="3" t="s">
        <v>18</v>
      </c>
      <c r="C22" s="4">
        <v>0</v>
      </c>
      <c r="D22" s="4">
        <v>99</v>
      </c>
      <c r="E22" s="4">
        <v>112</v>
      </c>
      <c r="F22" s="26">
        <v>0</v>
      </c>
      <c r="G22" s="26">
        <v>0.45163996630492131</v>
      </c>
      <c r="H22" s="26">
        <v>0.46881687573318032</v>
      </c>
    </row>
    <row r="23" spans="1:8" x14ac:dyDescent="0.3">
      <c r="A23" s="2">
        <v>20</v>
      </c>
      <c r="B23" s="3" t="s">
        <v>19</v>
      </c>
      <c r="C23" s="4">
        <v>656</v>
      </c>
      <c r="D23" s="4">
        <v>0</v>
      </c>
      <c r="E23" s="4">
        <v>0</v>
      </c>
      <c r="F23" s="26">
        <v>3.0872484169027792</v>
      </c>
      <c r="G23" s="26">
        <v>0</v>
      </c>
      <c r="H23" s="26">
        <v>0</v>
      </c>
    </row>
    <row r="24" spans="1:8" x14ac:dyDescent="0.3">
      <c r="A24" s="2">
        <v>21</v>
      </c>
      <c r="B24" s="3" t="s">
        <v>20</v>
      </c>
      <c r="C24" s="4">
        <v>8638</v>
      </c>
      <c r="D24" s="4">
        <v>3468</v>
      </c>
      <c r="E24" s="4">
        <v>8.4457412242292307</v>
      </c>
      <c r="F24" s="26">
        <v>3.1381699005474806</v>
      </c>
      <c r="G24" s="26">
        <v>1.1233974883028424</v>
      </c>
      <c r="H24" s="26">
        <v>2.5229340112990425E-3</v>
      </c>
    </row>
    <row r="25" spans="1:8" x14ac:dyDescent="0.3">
      <c r="A25" s="2">
        <v>22</v>
      </c>
      <c r="B25" s="3" t="s">
        <v>21</v>
      </c>
      <c r="C25" s="4">
        <v>0</v>
      </c>
      <c r="D25" s="4">
        <v>0</v>
      </c>
      <c r="E25" s="4">
        <v>0</v>
      </c>
      <c r="F25" s="26">
        <v>0</v>
      </c>
      <c r="G25" s="26">
        <v>0</v>
      </c>
      <c r="H25" s="26">
        <v>0</v>
      </c>
    </row>
    <row r="26" spans="1:8" x14ac:dyDescent="0.3">
      <c r="A26" s="2">
        <v>23</v>
      </c>
      <c r="B26" s="3" t="s">
        <v>22</v>
      </c>
      <c r="C26" s="4">
        <v>0</v>
      </c>
      <c r="D26" s="4">
        <v>1063</v>
      </c>
      <c r="E26" s="4">
        <v>1063</v>
      </c>
      <c r="F26" s="26">
        <v>0</v>
      </c>
      <c r="G26" s="26">
        <v>5.5222084470048545</v>
      </c>
      <c r="H26" s="26">
        <v>5.0485249687079339</v>
      </c>
    </row>
    <row r="27" spans="1:8" x14ac:dyDescent="0.3">
      <c r="A27" s="2">
        <v>24</v>
      </c>
      <c r="B27" s="3" t="s">
        <v>23</v>
      </c>
      <c r="C27" s="4">
        <v>0</v>
      </c>
      <c r="D27" s="4">
        <v>0</v>
      </c>
      <c r="E27" s="4">
        <v>0</v>
      </c>
      <c r="F27" s="26">
        <v>0</v>
      </c>
      <c r="G27" s="26">
        <v>0</v>
      </c>
      <c r="H27" s="26">
        <v>0</v>
      </c>
    </row>
    <row r="28" spans="1:8" x14ac:dyDescent="0.3">
      <c r="A28" s="2">
        <v>25</v>
      </c>
      <c r="B28" s="3" t="s">
        <v>24</v>
      </c>
      <c r="C28" s="4">
        <v>0</v>
      </c>
      <c r="D28" s="4">
        <v>6097</v>
      </c>
      <c r="E28" s="4">
        <v>6097</v>
      </c>
      <c r="F28" s="26">
        <v>0</v>
      </c>
      <c r="G28" s="26">
        <v>27.738638964120842</v>
      </c>
      <c r="H28" s="26">
        <v>26.441723365449793</v>
      </c>
    </row>
    <row r="29" spans="1:8" x14ac:dyDescent="0.3">
      <c r="A29" s="2">
        <v>26</v>
      </c>
      <c r="B29" s="3" t="s">
        <v>25</v>
      </c>
      <c r="C29" s="4">
        <v>0</v>
      </c>
      <c r="D29" s="4">
        <v>0</v>
      </c>
      <c r="E29" s="4">
        <v>0</v>
      </c>
      <c r="F29" s="26">
        <v>0</v>
      </c>
      <c r="G29" s="26">
        <v>0</v>
      </c>
      <c r="H29" s="26">
        <v>0</v>
      </c>
    </row>
    <row r="30" spans="1:8" x14ac:dyDescent="0.3">
      <c r="A30" s="2">
        <v>27</v>
      </c>
      <c r="B30" s="3" t="s">
        <v>26</v>
      </c>
      <c r="C30" s="4">
        <v>0</v>
      </c>
      <c r="D30" s="4">
        <v>602</v>
      </c>
      <c r="E30" s="4">
        <v>602</v>
      </c>
      <c r="F30" s="26">
        <v>0</v>
      </c>
      <c r="G30" s="26">
        <v>0.22423745390514183</v>
      </c>
      <c r="H30" s="26">
        <v>0.20329792459835319</v>
      </c>
    </row>
    <row r="31" spans="1:8" x14ac:dyDescent="0.3">
      <c r="A31" s="2">
        <v>28</v>
      </c>
      <c r="B31" s="3" t="s">
        <v>27</v>
      </c>
      <c r="C31" s="4">
        <v>0</v>
      </c>
      <c r="D31" s="4">
        <v>0</v>
      </c>
      <c r="E31" s="4">
        <v>2</v>
      </c>
      <c r="F31" s="26">
        <v>0</v>
      </c>
      <c r="G31" s="26">
        <v>0</v>
      </c>
      <c r="H31" s="26">
        <v>9.8013672074138036E-4</v>
      </c>
    </row>
    <row r="32" spans="1:8" x14ac:dyDescent="0.3">
      <c r="A32" s="2">
        <v>29</v>
      </c>
      <c r="B32" s="3" t="s">
        <v>28</v>
      </c>
      <c r="C32" s="4">
        <v>0</v>
      </c>
      <c r="D32" s="4">
        <v>4</v>
      </c>
      <c r="E32" s="4">
        <v>4</v>
      </c>
      <c r="F32" s="26">
        <v>0</v>
      </c>
      <c r="G32" s="26">
        <v>2.0065918549025401E-3</v>
      </c>
      <c r="H32" s="26">
        <v>1.770413604690231E-3</v>
      </c>
    </row>
    <row r="33" spans="1:8" x14ac:dyDescent="0.3">
      <c r="A33" s="2">
        <v>30</v>
      </c>
      <c r="B33" s="3" t="s">
        <v>29</v>
      </c>
      <c r="C33" s="4">
        <v>0</v>
      </c>
      <c r="D33" s="4">
        <v>42</v>
      </c>
      <c r="E33" s="4">
        <v>42</v>
      </c>
      <c r="F33" s="26">
        <v>0</v>
      </c>
      <c r="G33" s="26">
        <v>9.8344268864801632E-2</v>
      </c>
      <c r="H33" s="26">
        <v>8.8679829709389882E-2</v>
      </c>
    </row>
    <row r="34" spans="1:8" x14ac:dyDescent="0.3">
      <c r="A34" s="2">
        <v>31</v>
      </c>
      <c r="B34" s="3" t="s">
        <v>30</v>
      </c>
      <c r="C34" s="4">
        <v>0</v>
      </c>
      <c r="D34" s="4">
        <v>5</v>
      </c>
      <c r="E34" s="4">
        <v>5</v>
      </c>
      <c r="F34" s="26">
        <v>0</v>
      </c>
      <c r="G34" s="26">
        <v>3.8598667651190001E-2</v>
      </c>
      <c r="H34" s="26">
        <v>3.8477254940287191E-2</v>
      </c>
    </row>
    <row r="35" spans="1:8" x14ac:dyDescent="0.3">
      <c r="A35" s="2">
        <v>32</v>
      </c>
      <c r="B35" s="3" t="s">
        <v>31</v>
      </c>
      <c r="C35" s="4">
        <v>0</v>
      </c>
      <c r="D35" s="4">
        <v>0</v>
      </c>
      <c r="E35" s="4">
        <v>99942</v>
      </c>
      <c r="F35" s="26">
        <v>0</v>
      </c>
      <c r="G35" s="26">
        <v>0</v>
      </c>
      <c r="H35" s="26">
        <v>30.313454532252262</v>
      </c>
    </row>
    <row r="36" spans="1:8" x14ac:dyDescent="0.3">
      <c r="A36" s="2">
        <v>33</v>
      </c>
      <c r="B36" s="3" t="s">
        <v>32</v>
      </c>
      <c r="C36" s="4">
        <v>0</v>
      </c>
      <c r="D36" s="4">
        <v>8</v>
      </c>
      <c r="E36" s="4">
        <v>8</v>
      </c>
      <c r="F36" s="26">
        <v>0</v>
      </c>
      <c r="G36" s="26">
        <v>3.3254623795637026E-2</v>
      </c>
      <c r="H36" s="26">
        <v>3.1164632038215637E-2</v>
      </c>
    </row>
    <row r="37" spans="1:8" x14ac:dyDescent="0.3">
      <c r="A37" s="2">
        <v>34</v>
      </c>
      <c r="B37" s="3" t="s">
        <v>33</v>
      </c>
      <c r="C37" s="4">
        <v>0</v>
      </c>
      <c r="D37" s="4">
        <v>0</v>
      </c>
      <c r="E37" s="4">
        <v>0</v>
      </c>
      <c r="F37" s="26">
        <v>0</v>
      </c>
      <c r="G37" s="26">
        <v>0</v>
      </c>
      <c r="H37" s="26">
        <v>0</v>
      </c>
    </row>
    <row r="38" spans="1:8" x14ac:dyDescent="0.3">
      <c r="A38" s="2">
        <v>35</v>
      </c>
      <c r="B38" s="3" t="s">
        <v>34</v>
      </c>
      <c r="C38" s="33">
        <v>262512</v>
      </c>
      <c r="D38" s="4">
        <v>32</v>
      </c>
      <c r="E38" s="4">
        <v>32</v>
      </c>
      <c r="F38" s="27">
        <v>15.024198714052046</v>
      </c>
      <c r="G38" s="26">
        <v>1.6130038474905159E-3</v>
      </c>
      <c r="H38" s="26">
        <v>1.4642547179253647E-3</v>
      </c>
    </row>
    <row r="39" spans="1:8" x14ac:dyDescent="0.3">
      <c r="A39" s="2">
        <v>36</v>
      </c>
      <c r="B39" s="3" t="s">
        <v>35</v>
      </c>
      <c r="C39" s="4">
        <v>0</v>
      </c>
      <c r="D39" s="4">
        <v>0</v>
      </c>
      <c r="E39" s="4">
        <v>0</v>
      </c>
      <c r="F39" s="26">
        <v>0</v>
      </c>
      <c r="G39" s="26">
        <v>0</v>
      </c>
      <c r="H39" s="26">
        <v>0</v>
      </c>
    </row>
    <row r="40" spans="1:8" x14ac:dyDescent="0.3">
      <c r="A40" s="2">
        <v>37</v>
      </c>
      <c r="B40" s="3" t="s">
        <v>36</v>
      </c>
      <c r="C40" s="4">
        <v>0</v>
      </c>
      <c r="D40" s="4">
        <v>0</v>
      </c>
      <c r="E40" s="4">
        <v>0</v>
      </c>
      <c r="F40" s="26">
        <v>0</v>
      </c>
      <c r="G40" s="26">
        <v>0</v>
      </c>
      <c r="H40" s="26">
        <v>0</v>
      </c>
    </row>
    <row r="41" spans="1:8" x14ac:dyDescent="0.3">
      <c r="A41" s="2">
        <v>38</v>
      </c>
      <c r="B41" s="3" t="s">
        <v>37</v>
      </c>
      <c r="C41" s="4">
        <v>54</v>
      </c>
      <c r="D41" s="4">
        <v>0</v>
      </c>
      <c r="E41" s="4">
        <v>0</v>
      </c>
      <c r="F41" s="26">
        <v>3.9718833321056066E-2</v>
      </c>
      <c r="G41" s="26">
        <v>0</v>
      </c>
      <c r="H41" s="26">
        <v>0</v>
      </c>
    </row>
    <row r="42" spans="1:8" x14ac:dyDescent="0.3">
      <c r="A42" s="2">
        <v>39</v>
      </c>
      <c r="B42" s="3" t="s">
        <v>38</v>
      </c>
      <c r="C42" s="4">
        <v>0</v>
      </c>
      <c r="D42" s="4">
        <v>0</v>
      </c>
      <c r="E42" s="4">
        <v>2</v>
      </c>
      <c r="F42" s="26">
        <v>0</v>
      </c>
      <c r="G42" s="26">
        <v>0</v>
      </c>
      <c r="H42" s="26">
        <v>0.1867091118714321</v>
      </c>
    </row>
    <row r="43" spans="1:8" x14ac:dyDescent="0.3">
      <c r="A43" s="2">
        <v>40</v>
      </c>
      <c r="B43" s="3" t="s">
        <v>39</v>
      </c>
      <c r="C43" s="4">
        <v>3046</v>
      </c>
      <c r="D43" s="4">
        <v>0</v>
      </c>
      <c r="E43" s="4">
        <v>0</v>
      </c>
      <c r="F43" s="26">
        <v>4.3733838957388746</v>
      </c>
      <c r="G43" s="26">
        <v>0</v>
      </c>
      <c r="H43" s="26">
        <v>0</v>
      </c>
    </row>
    <row r="44" spans="1:8" x14ac:dyDescent="0.3">
      <c r="A44" s="2">
        <v>41</v>
      </c>
      <c r="B44" s="3" t="s">
        <v>40</v>
      </c>
      <c r="C44" s="4">
        <v>0</v>
      </c>
      <c r="D44" s="4">
        <v>49732</v>
      </c>
      <c r="E44" s="4">
        <v>13.190890312734354</v>
      </c>
      <c r="F44" s="26">
        <v>0</v>
      </c>
      <c r="G44" s="26">
        <v>8.6732327472959998</v>
      </c>
      <c r="H44" s="26">
        <v>2.202376787315686E-3</v>
      </c>
    </row>
    <row r="45" spans="1:8" x14ac:dyDescent="0.3">
      <c r="A45" s="2">
        <v>42</v>
      </c>
      <c r="B45" s="3" t="s">
        <v>41</v>
      </c>
      <c r="C45" s="4">
        <v>0</v>
      </c>
      <c r="D45" s="4">
        <v>0</v>
      </c>
      <c r="E45" s="4">
        <v>0</v>
      </c>
      <c r="F45" s="26">
        <v>0</v>
      </c>
      <c r="G45" s="26">
        <v>0</v>
      </c>
      <c r="H45" s="26">
        <v>0</v>
      </c>
    </row>
    <row r="46" spans="1:8" x14ac:dyDescent="0.3">
      <c r="A46" s="2">
        <v>43</v>
      </c>
      <c r="B46" s="3" t="s">
        <v>42</v>
      </c>
      <c r="C46" s="4">
        <v>0</v>
      </c>
      <c r="D46" s="4">
        <v>15200</v>
      </c>
      <c r="E46" s="4">
        <v>6101.8158508607894</v>
      </c>
      <c r="F46" s="26">
        <v>0</v>
      </c>
      <c r="G46" s="26">
        <v>2.6166094137033862</v>
      </c>
      <c r="H46" s="26">
        <v>0.93160696927484976</v>
      </c>
    </row>
    <row r="47" spans="1:8" x14ac:dyDescent="0.3">
      <c r="A47" s="2">
        <v>44</v>
      </c>
      <c r="B47" s="3" t="s">
        <v>43</v>
      </c>
      <c r="C47" s="4">
        <v>0</v>
      </c>
      <c r="D47" s="4">
        <v>987</v>
      </c>
      <c r="E47" s="4">
        <v>987</v>
      </c>
      <c r="F47" s="26">
        <v>0</v>
      </c>
      <c r="G47" s="26">
        <v>1.2265929832667612</v>
      </c>
      <c r="H47" s="26">
        <v>1.1154182730940598</v>
      </c>
    </row>
    <row r="48" spans="1:8" x14ac:dyDescent="0.3">
      <c r="A48" s="2">
        <v>45</v>
      </c>
      <c r="B48" s="3" t="s">
        <v>44</v>
      </c>
      <c r="C48" s="4">
        <v>19791</v>
      </c>
      <c r="D48" s="4">
        <v>0</v>
      </c>
      <c r="E48" s="4">
        <v>0</v>
      </c>
      <c r="F48" s="26">
        <v>5.6107164656143409</v>
      </c>
      <c r="G48" s="26">
        <v>0</v>
      </c>
      <c r="H48" s="26">
        <v>0</v>
      </c>
    </row>
    <row r="49" spans="1:8" x14ac:dyDescent="0.3">
      <c r="A49" s="2">
        <v>46</v>
      </c>
      <c r="B49" s="3" t="s">
        <v>45</v>
      </c>
      <c r="C49" s="4">
        <v>0</v>
      </c>
      <c r="D49" s="4">
        <v>0</v>
      </c>
      <c r="E49" s="4">
        <v>0</v>
      </c>
      <c r="F49" s="26">
        <v>0</v>
      </c>
      <c r="G49" s="26">
        <v>0</v>
      </c>
      <c r="H49" s="26">
        <v>0</v>
      </c>
    </row>
    <row r="50" spans="1:8" x14ac:dyDescent="0.3">
      <c r="A50" s="2">
        <v>47</v>
      </c>
      <c r="B50" s="3" t="s">
        <v>46</v>
      </c>
      <c r="C50" s="4">
        <v>0</v>
      </c>
      <c r="D50" s="4">
        <v>1215</v>
      </c>
      <c r="E50" s="4">
        <v>1215</v>
      </c>
      <c r="F50" s="26">
        <v>0</v>
      </c>
      <c r="G50" s="26">
        <v>0.80719183342430534</v>
      </c>
      <c r="H50" s="26">
        <v>0.7444607980730048</v>
      </c>
    </row>
    <row r="51" spans="1:8" x14ac:dyDescent="0.3">
      <c r="A51" s="2">
        <v>48</v>
      </c>
      <c r="B51" s="5" t="s">
        <v>47</v>
      </c>
      <c r="C51" s="6">
        <v>304897</v>
      </c>
      <c r="D51" s="6">
        <v>100716</v>
      </c>
      <c r="E51" s="6">
        <v>160112.81914272849</v>
      </c>
      <c r="F51" s="28">
        <f>AVERAGE(F4:F50)</f>
        <v>0.87591408587489172</v>
      </c>
      <c r="G51" s="28">
        <f t="shared" ref="G51:H51" si="0">AVERAGE(G4:G50)</f>
        <v>1.2052877508219466</v>
      </c>
      <c r="H51" s="28">
        <f t="shared" si="0"/>
        <v>1.8102640065131577</v>
      </c>
    </row>
  </sheetData>
  <mergeCells count="5">
    <mergeCell ref="F2:F3"/>
    <mergeCell ref="G2:G3"/>
    <mergeCell ref="H2:H3"/>
    <mergeCell ref="B2:B3"/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8BCD-D5F9-4D14-8826-AF14D5CB9711}">
  <dimension ref="A2:AE59"/>
  <sheetViews>
    <sheetView zoomScale="90" zoomScaleNormal="90" workbookViewId="0">
      <selection activeCell="I3" sqref="I3"/>
    </sheetView>
  </sheetViews>
  <sheetFormatPr defaultRowHeight="14" x14ac:dyDescent="0.3"/>
  <cols>
    <col min="1" max="1" width="4.54296875" style="133" bestFit="1" customWidth="1"/>
    <col min="2" max="2" width="20.90625" style="133" bestFit="1" customWidth="1"/>
    <col min="3" max="3" width="8.7265625" style="133"/>
    <col min="4" max="5" width="10.1796875" style="133" bestFit="1" customWidth="1"/>
    <col min="6" max="6" width="8.7265625" style="133"/>
    <col min="7" max="8" width="10.1796875" style="133" bestFit="1" customWidth="1"/>
    <col min="9" max="11" width="10" style="133" bestFit="1" customWidth="1"/>
    <col min="12" max="18" width="8.7265625" style="133"/>
    <col min="19" max="19" width="4.54296875" style="133" bestFit="1" customWidth="1"/>
    <col min="20" max="20" width="20.90625" style="133" bestFit="1" customWidth="1"/>
    <col min="21" max="29" width="8.7265625" style="133"/>
    <col min="30" max="30" width="8.81640625" style="133" bestFit="1" customWidth="1"/>
    <col min="31" max="16384" width="8.7265625" style="133"/>
  </cols>
  <sheetData>
    <row r="2" spans="1:30" s="131" customFormat="1" ht="14.5" customHeight="1" x14ac:dyDescent="0.3">
      <c r="A2" s="130"/>
      <c r="B2" s="130"/>
      <c r="C2" s="199" t="s">
        <v>404</v>
      </c>
      <c r="D2" s="199"/>
      <c r="E2" s="199"/>
      <c r="F2" s="199" t="s">
        <v>89</v>
      </c>
      <c r="G2" s="199"/>
      <c r="H2" s="199"/>
      <c r="I2" s="199" t="s">
        <v>63</v>
      </c>
      <c r="J2" s="199"/>
      <c r="K2" s="199"/>
      <c r="L2" s="226" t="s">
        <v>90</v>
      </c>
      <c r="M2" s="227"/>
      <c r="N2" s="227"/>
      <c r="S2" s="130"/>
      <c r="T2" s="130"/>
      <c r="U2" s="199" t="s">
        <v>404</v>
      </c>
      <c r="V2" s="199"/>
      <c r="W2" s="199"/>
      <c r="X2" s="199" t="s">
        <v>89</v>
      </c>
      <c r="Y2" s="199"/>
      <c r="Z2" s="199"/>
      <c r="AA2" s="199" t="s">
        <v>63</v>
      </c>
      <c r="AB2" s="199"/>
      <c r="AC2" s="199"/>
    </row>
    <row r="3" spans="1:30" ht="56" x14ac:dyDescent="0.3">
      <c r="A3" s="113" t="s">
        <v>52</v>
      </c>
      <c r="B3" s="114" t="s">
        <v>48</v>
      </c>
      <c r="C3" s="43">
        <v>2013</v>
      </c>
      <c r="D3" s="43">
        <v>2018</v>
      </c>
      <c r="E3" s="43" t="s">
        <v>51</v>
      </c>
      <c r="F3" s="126">
        <v>2013</v>
      </c>
      <c r="G3" s="126">
        <v>2018</v>
      </c>
      <c r="H3" s="126" t="s">
        <v>51</v>
      </c>
      <c r="I3" s="114">
        <v>2013</v>
      </c>
      <c r="J3" s="114">
        <v>2018</v>
      </c>
      <c r="K3" s="114" t="s">
        <v>51</v>
      </c>
      <c r="L3" s="132">
        <v>2013</v>
      </c>
      <c r="M3" s="132">
        <v>2018</v>
      </c>
      <c r="N3" s="132" t="s">
        <v>51</v>
      </c>
      <c r="O3" s="133" t="s">
        <v>325</v>
      </c>
      <c r="P3" s="133" t="s">
        <v>329</v>
      </c>
      <c r="Q3" s="133" t="s">
        <v>317</v>
      </c>
      <c r="S3" s="113" t="s">
        <v>52</v>
      </c>
      <c r="T3" s="114" t="s">
        <v>48</v>
      </c>
      <c r="U3" s="43" t="s">
        <v>91</v>
      </c>
      <c r="V3" s="43" t="s">
        <v>92</v>
      </c>
      <c r="W3" s="43" t="s">
        <v>93</v>
      </c>
      <c r="X3" s="126" t="s">
        <v>91</v>
      </c>
      <c r="Y3" s="126" t="s">
        <v>92</v>
      </c>
      <c r="Z3" s="126" t="s">
        <v>93</v>
      </c>
      <c r="AA3" s="114" t="s">
        <v>91</v>
      </c>
      <c r="AB3" s="114" t="s">
        <v>92</v>
      </c>
      <c r="AC3" s="114" t="s">
        <v>93</v>
      </c>
      <c r="AD3" s="133" t="s">
        <v>325</v>
      </c>
    </row>
    <row r="4" spans="1:30" x14ac:dyDescent="0.3">
      <c r="A4" s="111">
        <v>1</v>
      </c>
      <c r="B4" s="96" t="s">
        <v>0</v>
      </c>
      <c r="C4" s="110">
        <v>11139</v>
      </c>
      <c r="D4" s="110">
        <v>175647</v>
      </c>
      <c r="E4" s="110">
        <v>220805</v>
      </c>
      <c r="F4" s="127">
        <v>200</v>
      </c>
      <c r="G4" s="127">
        <v>240105</v>
      </c>
      <c r="H4" s="127">
        <v>366963.77629941667</v>
      </c>
      <c r="I4" s="110">
        <f t="shared" ref="I4:I50" si="0">C4+F4</f>
        <v>11339</v>
      </c>
      <c r="J4" s="110">
        <f t="shared" ref="J4:J50" si="1">D4+G4</f>
        <v>415752</v>
      </c>
      <c r="K4" s="110">
        <v>587768.77629941667</v>
      </c>
      <c r="L4" s="134">
        <f t="shared" ref="L4:L44" si="2">C4/I4</f>
        <v>0.98236176029632238</v>
      </c>
      <c r="M4" s="134">
        <f t="shared" ref="M4:M44" si="3">D4/J4</f>
        <v>0.42248022859781792</v>
      </c>
      <c r="N4" s="134">
        <f t="shared" ref="N4:N44" si="4">E4/K4</f>
        <v>0.37566643364451058</v>
      </c>
      <c r="O4" s="133" t="str">
        <f>IF(E4&gt;D4,"Increased",IF(E4=D4,"No change","Decreased"))</f>
        <v>Increased</v>
      </c>
      <c r="P4" s="133" t="str">
        <f>_xlfn.XLOOKUP(B4,T:T,AD:AD,,0)</f>
        <v>Increased</v>
      </c>
      <c r="Q4" s="133" t="str">
        <f>IF(O4=P4,"Balanced", "Mismatch")</f>
        <v>Balanced</v>
      </c>
      <c r="S4" s="111">
        <v>1</v>
      </c>
      <c r="T4" s="96" t="s">
        <v>0</v>
      </c>
      <c r="U4" s="41">
        <v>2.931267462129866</v>
      </c>
      <c r="V4" s="41">
        <v>41.893522234964195</v>
      </c>
      <c r="W4" s="41">
        <v>49.173528181995827</v>
      </c>
      <c r="X4" s="41">
        <v>5.2630711233142405E-2</v>
      </c>
      <c r="Y4" s="41">
        <v>57.067989613472768</v>
      </c>
      <c r="Z4" s="41">
        <v>81.723256247054991</v>
      </c>
      <c r="AA4" s="41">
        <v>2.9838981733630083</v>
      </c>
      <c r="AB4" s="41">
        <v>98.961511848436984</v>
      </c>
      <c r="AC4" s="41">
        <v>130.89678442905083</v>
      </c>
      <c r="AD4" s="133" t="str">
        <f>IF(W4&gt;V4,"Increased",IF(W4=V4,"No change","Decreased"))</f>
        <v>Increased</v>
      </c>
    </row>
    <row r="5" spans="1:30" x14ac:dyDescent="0.3">
      <c r="A5" s="111">
        <v>2</v>
      </c>
      <c r="B5" s="96" t="s">
        <v>1</v>
      </c>
      <c r="C5" s="110">
        <v>30</v>
      </c>
      <c r="D5" s="110">
        <v>60468</v>
      </c>
      <c r="E5" s="110">
        <v>78869.768592450535</v>
      </c>
      <c r="F5" s="127">
        <v>602</v>
      </c>
      <c r="G5" s="127">
        <v>50395</v>
      </c>
      <c r="H5" s="127">
        <v>58067.470117464829</v>
      </c>
      <c r="I5" s="110">
        <f t="shared" si="0"/>
        <v>632</v>
      </c>
      <c r="J5" s="110">
        <f t="shared" si="1"/>
        <v>110863</v>
      </c>
      <c r="K5" s="110">
        <f t="shared" ref="K5:K50" si="5">E5+H5</f>
        <v>136937.23870991537</v>
      </c>
      <c r="L5" s="134">
        <f t="shared" si="2"/>
        <v>4.746835443037975E-2</v>
      </c>
      <c r="M5" s="134">
        <f t="shared" si="3"/>
        <v>0.54542994506733533</v>
      </c>
      <c r="N5" s="134">
        <f t="shared" si="4"/>
        <v>0.57595559349291681</v>
      </c>
      <c r="O5" s="133" t="str">
        <f t="shared" ref="O5:O50" si="6">IF(E5&gt;D5,"Increased",IF(E5=D5,"No change","Decreased"))</f>
        <v>Increased</v>
      </c>
      <c r="P5" s="133" t="str">
        <f t="shared" ref="P5:P51" si="7">_xlfn.XLOOKUP(B5,T:T,AD:AD,,0)</f>
        <v>Increased</v>
      </c>
      <c r="Q5" s="133" t="str">
        <f t="shared" ref="Q5:Q50" si="8">IF(O5=P5,"Balanced", "Mismatch")</f>
        <v>Balanced</v>
      </c>
      <c r="S5" s="111">
        <v>2</v>
      </c>
      <c r="T5" s="96" t="s">
        <v>1</v>
      </c>
      <c r="U5" s="41">
        <v>1.147359073900709E-2</v>
      </c>
      <c r="V5" s="41">
        <v>19.33519951199629</v>
      </c>
      <c r="W5" s="41">
        <v>22.16128506058643</v>
      </c>
      <c r="X5" s="41">
        <v>0.23023672082940894</v>
      </c>
      <c r="Y5" s="41">
        <v>16.090283115757977</v>
      </c>
      <c r="Z5" s="41">
        <v>16.295060637006831</v>
      </c>
      <c r="AA5" s="41">
        <v>0.24171031156841602</v>
      </c>
      <c r="AB5" s="41">
        <v>35.425482627754263</v>
      </c>
      <c r="AC5" s="41">
        <v>38.456345697593264</v>
      </c>
      <c r="AD5" s="133" t="str">
        <f>IF(W5&gt;V5,"Increased",IF(W5=V5,"No change","Decreased"))</f>
        <v>Increased</v>
      </c>
    </row>
    <row r="6" spans="1:30" x14ac:dyDescent="0.3">
      <c r="A6" s="111">
        <v>3</v>
      </c>
      <c r="B6" s="96" t="s">
        <v>2</v>
      </c>
      <c r="C6" s="110">
        <v>7923</v>
      </c>
      <c r="D6" s="110">
        <v>5769</v>
      </c>
      <c r="E6" s="110">
        <v>11051.475446848541</v>
      </c>
      <c r="F6" s="127">
        <v>15066</v>
      </c>
      <c r="G6" s="127">
        <v>11707</v>
      </c>
      <c r="H6" s="127">
        <v>13972.936782690498</v>
      </c>
      <c r="I6" s="110">
        <f t="shared" si="0"/>
        <v>22989</v>
      </c>
      <c r="J6" s="110">
        <f t="shared" si="1"/>
        <v>17476</v>
      </c>
      <c r="K6" s="110">
        <f t="shared" si="5"/>
        <v>25024.412229539041</v>
      </c>
      <c r="L6" s="134">
        <f t="shared" si="2"/>
        <v>0.34464309017356126</v>
      </c>
      <c r="M6" s="134">
        <f t="shared" si="3"/>
        <v>0.33010986495765621</v>
      </c>
      <c r="N6" s="134">
        <f t="shared" si="4"/>
        <v>0.44162777313120188</v>
      </c>
      <c r="O6" s="133" t="str">
        <f t="shared" si="6"/>
        <v>Increased</v>
      </c>
      <c r="P6" s="133" t="str">
        <f t="shared" si="7"/>
        <v>Increased</v>
      </c>
      <c r="Q6" s="133" t="str">
        <f t="shared" si="8"/>
        <v>Balanced</v>
      </c>
      <c r="S6" s="111">
        <v>3</v>
      </c>
      <c r="T6" s="96" t="s">
        <v>2</v>
      </c>
      <c r="U6" s="41">
        <v>7.6857184306059843</v>
      </c>
      <c r="V6" s="41">
        <v>4.8313817211552434</v>
      </c>
      <c r="W6" s="41">
        <v>8.2764831925559506</v>
      </c>
      <c r="X6" s="41">
        <v>14.614796652216302</v>
      </c>
      <c r="Y6" s="41">
        <v>9.7917342838875214</v>
      </c>
      <c r="Z6" s="41">
        <v>10.453140826335456</v>
      </c>
      <c r="AA6" s="41">
        <v>22.300515082822283</v>
      </c>
      <c r="AB6" s="41">
        <v>14.623116005042766</v>
      </c>
      <c r="AC6" s="41">
        <v>18.729624018891407</v>
      </c>
      <c r="AD6" s="133" t="str">
        <f t="shared" ref="AD6:AD50" si="9">IF(W6&gt;V6,"Increased",IF(W6=V6,"No change","Decreased"))</f>
        <v>Increased</v>
      </c>
    </row>
    <row r="7" spans="1:30" x14ac:dyDescent="0.3">
      <c r="A7" s="111">
        <v>4</v>
      </c>
      <c r="B7" s="96" t="s">
        <v>3</v>
      </c>
      <c r="C7" s="110">
        <v>8191</v>
      </c>
      <c r="D7" s="110">
        <v>9284</v>
      </c>
      <c r="E7" s="110">
        <v>9739.0851814152975</v>
      </c>
      <c r="F7" s="127">
        <v>1000</v>
      </c>
      <c r="G7" s="127">
        <v>7514</v>
      </c>
      <c r="H7" s="127">
        <v>8210.3980409764026</v>
      </c>
      <c r="I7" s="110">
        <f t="shared" si="0"/>
        <v>9191</v>
      </c>
      <c r="J7" s="110">
        <f t="shared" si="1"/>
        <v>16798</v>
      </c>
      <c r="K7" s="110">
        <f t="shared" si="5"/>
        <v>17949.4832223917</v>
      </c>
      <c r="L7" s="134">
        <f t="shared" si="2"/>
        <v>0.89119791099989121</v>
      </c>
      <c r="M7" s="134">
        <f t="shared" si="3"/>
        <v>0.55268484343374213</v>
      </c>
      <c r="N7" s="134">
        <f t="shared" si="4"/>
        <v>0.54258304045577987</v>
      </c>
      <c r="O7" s="133" t="str">
        <f t="shared" si="6"/>
        <v>Increased</v>
      </c>
      <c r="P7" s="133" t="str">
        <f t="shared" si="7"/>
        <v>Decreased</v>
      </c>
      <c r="Q7" s="133" t="str">
        <f t="shared" si="8"/>
        <v>Mismatch</v>
      </c>
      <c r="S7" s="111">
        <v>4</v>
      </c>
      <c r="T7" s="96" t="s">
        <v>3</v>
      </c>
      <c r="U7" s="41">
        <v>36.941691569573123</v>
      </c>
      <c r="V7" s="41">
        <v>37.8721049551717</v>
      </c>
      <c r="W7" s="41">
        <v>37.02657488516612</v>
      </c>
      <c r="X7" s="41">
        <v>4.5100343754820074</v>
      </c>
      <c r="Y7" s="41">
        <v>30.541625355382433</v>
      </c>
      <c r="Z7" s="41">
        <v>31.089269196228852</v>
      </c>
      <c r="AA7" s="41">
        <v>41.451725945055138</v>
      </c>
      <c r="AB7" s="41">
        <v>68.413730310554129</v>
      </c>
      <c r="AC7" s="41">
        <v>68.115844081394968</v>
      </c>
      <c r="AD7" s="133" t="str">
        <f t="shared" si="9"/>
        <v>Decreased</v>
      </c>
    </row>
    <row r="8" spans="1:30" x14ac:dyDescent="0.3">
      <c r="A8" s="111">
        <v>5</v>
      </c>
      <c r="B8" s="96" t="s">
        <v>4</v>
      </c>
      <c r="C8" s="110">
        <v>8983</v>
      </c>
      <c r="D8" s="110">
        <v>19646</v>
      </c>
      <c r="E8" s="110">
        <v>27591.374567572704</v>
      </c>
      <c r="F8" s="127">
        <v>4585</v>
      </c>
      <c r="G8" s="127">
        <v>7601</v>
      </c>
      <c r="H8" s="127">
        <v>10576.497205854401</v>
      </c>
      <c r="I8" s="110">
        <f t="shared" si="0"/>
        <v>13568</v>
      </c>
      <c r="J8" s="110">
        <f t="shared" si="1"/>
        <v>27247</v>
      </c>
      <c r="K8" s="110">
        <f t="shared" si="5"/>
        <v>38167.871773427105</v>
      </c>
      <c r="L8" s="134">
        <f t="shared" si="2"/>
        <v>0.66207252358490565</v>
      </c>
      <c r="M8" s="134">
        <f t="shared" si="3"/>
        <v>0.72103350827614054</v>
      </c>
      <c r="N8" s="134">
        <f t="shared" si="4"/>
        <v>0.72289528563083583</v>
      </c>
      <c r="O8" s="133" t="str">
        <f t="shared" si="6"/>
        <v>Increased</v>
      </c>
      <c r="P8" s="133" t="str">
        <f t="shared" si="7"/>
        <v>Increased</v>
      </c>
      <c r="Q8" s="133" t="str">
        <f t="shared" si="8"/>
        <v>Balanced</v>
      </c>
      <c r="S8" s="111">
        <v>5</v>
      </c>
      <c r="T8" s="96" t="s">
        <v>4</v>
      </c>
      <c r="U8" s="41">
        <v>5.0934409402821972</v>
      </c>
      <c r="V8" s="41">
        <v>9.6338286946770175</v>
      </c>
      <c r="W8" s="41">
        <v>12.168856040551496</v>
      </c>
      <c r="X8" s="41">
        <v>2.5997358022034818</v>
      </c>
      <c r="Y8" s="41">
        <v>3.7258388690907043</v>
      </c>
      <c r="Z8" s="41">
        <v>4.6584670006919868</v>
      </c>
      <c r="AA8" s="41">
        <v>7.6931767424856785</v>
      </c>
      <c r="AB8" s="41">
        <v>13.35966756376772</v>
      </c>
      <c r="AC8" s="41">
        <v>16.827323041243478</v>
      </c>
      <c r="AD8" s="133" t="str">
        <f t="shared" si="9"/>
        <v>Increased</v>
      </c>
    </row>
    <row r="9" spans="1:30" ht="19" customHeight="1" x14ac:dyDescent="0.3">
      <c r="A9" s="111">
        <v>6</v>
      </c>
      <c r="B9" s="96" t="s">
        <v>5</v>
      </c>
      <c r="C9" s="110">
        <v>7170</v>
      </c>
      <c r="D9" s="110">
        <v>10533</v>
      </c>
      <c r="E9" s="110">
        <v>10709.319625085567</v>
      </c>
      <c r="F9" s="127">
        <v>44</v>
      </c>
      <c r="G9" s="127">
        <v>37621</v>
      </c>
      <c r="H9" s="127">
        <v>42120.333315781165</v>
      </c>
      <c r="I9" s="110">
        <f t="shared" si="0"/>
        <v>7214</v>
      </c>
      <c r="J9" s="110">
        <f t="shared" si="1"/>
        <v>48154</v>
      </c>
      <c r="K9" s="110">
        <f t="shared" si="5"/>
        <v>52829.652940866734</v>
      </c>
      <c r="L9" s="134">
        <f t="shared" si="2"/>
        <v>0.99390074854449684</v>
      </c>
      <c r="M9" s="134">
        <f t="shared" si="3"/>
        <v>0.21873572288906426</v>
      </c>
      <c r="N9" s="134">
        <f t="shared" si="4"/>
        <v>0.202714177151092</v>
      </c>
      <c r="O9" s="133" t="str">
        <f t="shared" si="6"/>
        <v>Increased</v>
      </c>
      <c r="P9" s="133" t="str">
        <f t="shared" si="7"/>
        <v>Decreased</v>
      </c>
      <c r="Q9" s="133" t="str">
        <f t="shared" si="8"/>
        <v>Mismatch</v>
      </c>
      <c r="S9" s="111">
        <v>6</v>
      </c>
      <c r="T9" s="96" t="s">
        <v>5</v>
      </c>
      <c r="U9" s="41">
        <v>7.0643334660974784</v>
      </c>
      <c r="V9" s="41">
        <v>9.1643321894231757</v>
      </c>
      <c r="W9" s="41">
        <v>8.3085116295989803</v>
      </c>
      <c r="X9" s="41">
        <v>4.33515582298869E-2</v>
      </c>
      <c r="Y9" s="41">
        <v>32.732492290732871</v>
      </c>
      <c r="Z9" s="41">
        <v>32.677825618073008</v>
      </c>
      <c r="AA9" s="41">
        <v>7.107685024327365</v>
      </c>
      <c r="AB9" s="41">
        <v>41.896824480156049</v>
      </c>
      <c r="AC9" s="41">
        <v>40.986337247671983</v>
      </c>
      <c r="AD9" s="133" t="str">
        <f t="shared" si="9"/>
        <v>Decreased</v>
      </c>
    </row>
    <row r="10" spans="1:30" x14ac:dyDescent="0.3">
      <c r="A10" s="111">
        <v>7</v>
      </c>
      <c r="B10" s="96" t="s">
        <v>6</v>
      </c>
      <c r="C10" s="110">
        <v>22321</v>
      </c>
      <c r="D10" s="110">
        <v>14532</v>
      </c>
      <c r="E10" s="110">
        <v>23282</v>
      </c>
      <c r="F10" s="127">
        <v>0</v>
      </c>
      <c r="G10" s="127">
        <v>16843</v>
      </c>
      <c r="H10" s="127">
        <v>8354.2378107535169</v>
      </c>
      <c r="I10" s="110">
        <f t="shared" si="0"/>
        <v>22321</v>
      </c>
      <c r="J10" s="110">
        <f t="shared" si="1"/>
        <v>31375</v>
      </c>
      <c r="K10" s="110">
        <f t="shared" si="5"/>
        <v>31636.237810753519</v>
      </c>
      <c r="L10" s="134">
        <f t="shared" si="2"/>
        <v>1</v>
      </c>
      <c r="M10" s="134">
        <f t="shared" si="3"/>
        <v>0.46317131474103584</v>
      </c>
      <c r="N10" s="134">
        <f t="shared" si="4"/>
        <v>0.73592821432408695</v>
      </c>
      <c r="O10" s="133" t="str">
        <f t="shared" si="6"/>
        <v>Increased</v>
      </c>
      <c r="P10" s="133" t="str">
        <f t="shared" si="7"/>
        <v>Increased</v>
      </c>
      <c r="Q10" s="133" t="str">
        <f t="shared" si="8"/>
        <v>Balanced</v>
      </c>
      <c r="S10" s="111">
        <v>7</v>
      </c>
      <c r="T10" s="96" t="s">
        <v>6</v>
      </c>
      <c r="U10" s="41">
        <v>10.318104179523269</v>
      </c>
      <c r="V10" s="41">
        <v>5.7950101302016952</v>
      </c>
      <c r="W10" s="41">
        <v>8.340457309760458</v>
      </c>
      <c r="X10" s="41">
        <v>0</v>
      </c>
      <c r="Y10" s="41">
        <v>6.7165810365391669</v>
      </c>
      <c r="Z10" s="41">
        <v>2.9859846717331378</v>
      </c>
      <c r="AA10" s="41">
        <v>10.318104179523267</v>
      </c>
      <c r="AB10" s="41">
        <v>12.511591166740862</v>
      </c>
      <c r="AC10" s="41">
        <v>11.326441981493597</v>
      </c>
      <c r="AD10" s="133" t="str">
        <f t="shared" si="9"/>
        <v>Increased</v>
      </c>
    </row>
    <row r="11" spans="1:30" x14ac:dyDescent="0.3">
      <c r="A11" s="111">
        <v>8</v>
      </c>
      <c r="B11" s="96" t="s">
        <v>7</v>
      </c>
      <c r="C11" s="110">
        <v>711</v>
      </c>
      <c r="D11" s="110">
        <v>1666</v>
      </c>
      <c r="E11" s="110">
        <v>3734.493638676845</v>
      </c>
      <c r="F11" s="127">
        <v>7662</v>
      </c>
      <c r="G11" s="127">
        <v>5297</v>
      </c>
      <c r="H11" s="127">
        <v>2475.7981340118745</v>
      </c>
      <c r="I11" s="110">
        <f t="shared" si="0"/>
        <v>8373</v>
      </c>
      <c r="J11" s="110">
        <f t="shared" si="1"/>
        <v>6963</v>
      </c>
      <c r="K11" s="110">
        <f t="shared" si="5"/>
        <v>6210.291772688719</v>
      </c>
      <c r="L11" s="134">
        <f t="shared" si="2"/>
        <v>8.4915800788247939E-2</v>
      </c>
      <c r="M11" s="134">
        <f t="shared" si="3"/>
        <v>0.23926468476231511</v>
      </c>
      <c r="N11" s="134">
        <f t="shared" si="4"/>
        <v>0.60133948216413868</v>
      </c>
      <c r="O11" s="133" t="str">
        <f t="shared" si="6"/>
        <v>Increased</v>
      </c>
      <c r="P11" s="133" t="str">
        <f t="shared" si="7"/>
        <v>Increased</v>
      </c>
      <c r="Q11" s="133" t="str">
        <f t="shared" si="8"/>
        <v>Balanced</v>
      </c>
      <c r="S11" s="111">
        <v>8</v>
      </c>
      <c r="T11" s="96" t="s">
        <v>7</v>
      </c>
      <c r="U11" s="41">
        <v>13.168129792199135</v>
      </c>
      <c r="V11" s="41">
        <v>29.16659007373055</v>
      </c>
      <c r="W11" s="41">
        <v>62.960411138791216</v>
      </c>
      <c r="X11" s="41">
        <v>141.90465607289701</v>
      </c>
      <c r="Y11" s="41">
        <v>92.384211175916022</v>
      </c>
      <c r="Z11" s="41">
        <v>41.402684045284943</v>
      </c>
      <c r="AA11" s="41">
        <v>155.07278586509614</v>
      </c>
      <c r="AB11" s="41">
        <v>121.55080124964657</v>
      </c>
      <c r="AC11" s="41">
        <v>104.36309518407614</v>
      </c>
      <c r="AD11" s="133" t="str">
        <f t="shared" si="9"/>
        <v>Increased</v>
      </c>
    </row>
    <row r="12" spans="1:30" x14ac:dyDescent="0.3">
      <c r="A12" s="111">
        <v>9</v>
      </c>
      <c r="B12" s="96" t="s">
        <v>8</v>
      </c>
      <c r="C12" s="110">
        <v>1180</v>
      </c>
      <c r="D12" s="110">
        <v>2027</v>
      </c>
      <c r="E12" s="110">
        <v>1344.0062034739453</v>
      </c>
      <c r="F12" s="127">
        <v>384</v>
      </c>
      <c r="G12" s="127">
        <v>1029</v>
      </c>
      <c r="H12" s="127">
        <v>4353.7071960297762</v>
      </c>
      <c r="I12" s="110">
        <f t="shared" si="0"/>
        <v>1564</v>
      </c>
      <c r="J12" s="110">
        <f t="shared" si="1"/>
        <v>3056</v>
      </c>
      <c r="K12" s="110">
        <f t="shared" si="5"/>
        <v>5697.713399503722</v>
      </c>
      <c r="L12" s="134">
        <f t="shared" si="2"/>
        <v>0.75447570332480818</v>
      </c>
      <c r="M12" s="134">
        <f t="shared" si="3"/>
        <v>0.66328534031413611</v>
      </c>
      <c r="N12" s="134">
        <f t="shared" si="4"/>
        <v>0.23588518923942542</v>
      </c>
      <c r="O12" s="133" t="str">
        <f t="shared" si="6"/>
        <v>Decreased</v>
      </c>
      <c r="P12" s="133" t="str">
        <f t="shared" si="7"/>
        <v>Decreased</v>
      </c>
      <c r="Q12" s="133" t="str">
        <f t="shared" si="8"/>
        <v>Balanced</v>
      </c>
      <c r="S12" s="111">
        <v>9</v>
      </c>
      <c r="T12" s="96" t="s">
        <v>8</v>
      </c>
      <c r="U12" s="41">
        <v>2.4570901992606395</v>
      </c>
      <c r="V12" s="41">
        <v>3.9785819996152929</v>
      </c>
      <c r="W12" s="41">
        <v>2.4089830338186218</v>
      </c>
      <c r="X12" s="41">
        <v>0.79959545467464954</v>
      </c>
      <c r="Y12" s="41">
        <v>2.017751502518264</v>
      </c>
      <c r="Z12" s="41">
        <v>7.8017480569011566</v>
      </c>
      <c r="AA12" s="41">
        <v>3.2566856539352891</v>
      </c>
      <c r="AB12" s="41">
        <v>5.9963335021335578</v>
      </c>
      <c r="AC12" s="41">
        <v>10.210731090719779</v>
      </c>
      <c r="AD12" s="133" t="str">
        <f t="shared" si="9"/>
        <v>Decreased</v>
      </c>
    </row>
    <row r="13" spans="1:30" x14ac:dyDescent="0.3">
      <c r="A13" s="111">
        <v>10</v>
      </c>
      <c r="B13" s="96" t="s">
        <v>9</v>
      </c>
      <c r="C13" s="110">
        <v>4702</v>
      </c>
      <c r="D13" s="110">
        <v>6992</v>
      </c>
      <c r="E13" s="110">
        <v>6338.6323148627653</v>
      </c>
      <c r="F13" s="127">
        <v>1664</v>
      </c>
      <c r="G13" s="127">
        <v>3800</v>
      </c>
      <c r="H13" s="127">
        <v>33923.737441740035</v>
      </c>
      <c r="I13" s="110">
        <f t="shared" si="0"/>
        <v>6366</v>
      </c>
      <c r="J13" s="110">
        <f t="shared" si="1"/>
        <v>10792</v>
      </c>
      <c r="K13" s="110">
        <f t="shared" si="5"/>
        <v>40262.369756602799</v>
      </c>
      <c r="L13" s="134">
        <f t="shared" si="2"/>
        <v>0.73861137291863022</v>
      </c>
      <c r="M13" s="134">
        <f t="shared" si="3"/>
        <v>0.647887323943662</v>
      </c>
      <c r="N13" s="134">
        <f t="shared" si="4"/>
        <v>0.15743316533978394</v>
      </c>
      <c r="O13" s="133" t="str">
        <f t="shared" si="6"/>
        <v>Decreased</v>
      </c>
      <c r="P13" s="133" t="str">
        <f t="shared" si="7"/>
        <v>Decreased</v>
      </c>
      <c r="Q13" s="133" t="str">
        <f t="shared" si="8"/>
        <v>Balanced</v>
      </c>
      <c r="S13" s="111">
        <v>10</v>
      </c>
      <c r="T13" s="96" t="s">
        <v>9</v>
      </c>
      <c r="U13" s="41">
        <v>3.557602383306083</v>
      </c>
      <c r="V13" s="41">
        <v>4.4808420291703328</v>
      </c>
      <c r="W13" s="41">
        <v>3.5764373051455833</v>
      </c>
      <c r="X13" s="41">
        <v>1.2590068834158492</v>
      </c>
      <c r="Y13" s="41">
        <v>2.4352402332447465</v>
      </c>
      <c r="Z13" s="41">
        <v>19.134534593819922</v>
      </c>
      <c r="AA13" s="41">
        <v>4.8166092667219331</v>
      </c>
      <c r="AB13" s="41">
        <v>6.9160822624150784</v>
      </c>
      <c r="AC13" s="41">
        <v>22.710971898965504</v>
      </c>
      <c r="AD13" s="133" t="str">
        <f t="shared" si="9"/>
        <v>Decreased</v>
      </c>
    </row>
    <row r="14" spans="1:30" x14ac:dyDescent="0.3">
      <c r="A14" s="111">
        <v>11</v>
      </c>
      <c r="B14" s="96" t="s">
        <v>10</v>
      </c>
      <c r="C14" s="110">
        <v>452</v>
      </c>
      <c r="D14" s="110">
        <v>1541</v>
      </c>
      <c r="E14" s="110">
        <v>1868.196426622058</v>
      </c>
      <c r="F14" s="127">
        <v>841</v>
      </c>
      <c r="G14" s="127">
        <v>1215</v>
      </c>
      <c r="H14" s="127">
        <v>753.73246610801039</v>
      </c>
      <c r="I14" s="110">
        <f t="shared" si="0"/>
        <v>1293</v>
      </c>
      <c r="J14" s="110">
        <f t="shared" si="1"/>
        <v>2756</v>
      </c>
      <c r="K14" s="110">
        <f t="shared" si="5"/>
        <v>2621.9288927300686</v>
      </c>
      <c r="L14" s="134">
        <f t="shared" si="2"/>
        <v>0.34957463263727767</v>
      </c>
      <c r="M14" s="134">
        <f t="shared" si="3"/>
        <v>0.55914368650217705</v>
      </c>
      <c r="N14" s="134">
        <f t="shared" si="4"/>
        <v>0.71252749523531478</v>
      </c>
      <c r="O14" s="133" t="str">
        <f t="shared" si="6"/>
        <v>Increased</v>
      </c>
      <c r="P14" s="133" t="str">
        <f t="shared" si="7"/>
        <v>Increased</v>
      </c>
      <c r="Q14" s="133" t="str">
        <f t="shared" si="8"/>
        <v>Balanced</v>
      </c>
      <c r="S14" s="111">
        <v>11</v>
      </c>
      <c r="T14" s="96" t="s">
        <v>10</v>
      </c>
      <c r="U14" s="41">
        <v>6.4627516022834079</v>
      </c>
      <c r="V14" s="41">
        <v>19.850228032875876</v>
      </c>
      <c r="W14" s="41">
        <v>22.326190141323295</v>
      </c>
      <c r="X14" s="41">
        <v>12.024721454691029</v>
      </c>
      <c r="Y14" s="41">
        <v>15.650893614499799</v>
      </c>
      <c r="Z14" s="41">
        <v>9.0076044008087113</v>
      </c>
      <c r="AA14" s="41">
        <v>18.487473056974441</v>
      </c>
      <c r="AB14" s="41">
        <v>35.501121647375662</v>
      </c>
      <c r="AC14" s="41">
        <v>31.333794542132008</v>
      </c>
      <c r="AD14" s="133" t="str">
        <f t="shared" si="9"/>
        <v>Increased</v>
      </c>
    </row>
    <row r="15" spans="1:30" x14ac:dyDescent="0.3">
      <c r="A15" s="111">
        <v>12</v>
      </c>
      <c r="B15" s="96" t="s">
        <v>11</v>
      </c>
      <c r="C15" s="110">
        <v>4571</v>
      </c>
      <c r="D15" s="110">
        <v>6962</v>
      </c>
      <c r="E15" s="110">
        <v>7791.8818117841056</v>
      </c>
      <c r="F15" s="127">
        <v>4923</v>
      </c>
      <c r="G15" s="127">
        <v>3307</v>
      </c>
      <c r="H15" s="127">
        <v>4346</v>
      </c>
      <c r="I15" s="110">
        <f t="shared" si="0"/>
        <v>9494</v>
      </c>
      <c r="J15" s="110">
        <f t="shared" si="1"/>
        <v>10269</v>
      </c>
      <c r="K15" s="110">
        <f t="shared" si="5"/>
        <v>12137.881811784106</v>
      </c>
      <c r="L15" s="134">
        <f t="shared" si="2"/>
        <v>0.48146197598483254</v>
      </c>
      <c r="M15" s="134">
        <f t="shared" si="3"/>
        <v>0.67796280066218717</v>
      </c>
      <c r="N15" s="134">
        <f t="shared" si="4"/>
        <v>0.64194741163316726</v>
      </c>
      <c r="O15" s="133" t="str">
        <f t="shared" si="6"/>
        <v>Increased</v>
      </c>
      <c r="P15" s="133" t="str">
        <f t="shared" si="7"/>
        <v>Increased</v>
      </c>
      <c r="Q15" s="133" t="str">
        <f t="shared" si="8"/>
        <v>Balanced</v>
      </c>
      <c r="S15" s="111">
        <v>12</v>
      </c>
      <c r="T15" s="96" t="s">
        <v>11</v>
      </c>
      <c r="U15" s="41">
        <v>9.4675580794092156</v>
      </c>
      <c r="V15" s="41">
        <v>12.795296212393836</v>
      </c>
      <c r="W15" s="41">
        <v>13.050801436856251</v>
      </c>
      <c r="X15" s="41">
        <v>10.196628401866455</v>
      </c>
      <c r="Y15" s="41">
        <v>6.0778575947122118</v>
      </c>
      <c r="Z15" s="41">
        <v>7.2792150105252142</v>
      </c>
      <c r="AA15" s="41">
        <v>19.664186481275671</v>
      </c>
      <c r="AB15" s="41">
        <v>18.873153807106046</v>
      </c>
      <c r="AC15" s="41">
        <v>20.330016447381468</v>
      </c>
      <c r="AD15" s="133" t="str">
        <f t="shared" si="9"/>
        <v>Increased</v>
      </c>
    </row>
    <row r="16" spans="1:30" x14ac:dyDescent="0.3">
      <c r="A16" s="111">
        <v>13</v>
      </c>
      <c r="B16" s="96" t="s">
        <v>12</v>
      </c>
      <c r="C16" s="110">
        <v>23221</v>
      </c>
      <c r="D16" s="110">
        <v>29443</v>
      </c>
      <c r="E16" s="110">
        <v>35290.378273279566</v>
      </c>
      <c r="F16" s="127">
        <v>5120</v>
      </c>
      <c r="G16" s="127">
        <v>51343</v>
      </c>
      <c r="H16" s="127">
        <v>37741.054506651308</v>
      </c>
      <c r="I16" s="110">
        <f t="shared" si="0"/>
        <v>28341</v>
      </c>
      <c r="J16" s="110">
        <f t="shared" si="1"/>
        <v>80786</v>
      </c>
      <c r="K16" s="110">
        <f t="shared" si="5"/>
        <v>73031.432779930881</v>
      </c>
      <c r="L16" s="134">
        <f t="shared" si="2"/>
        <v>0.81934300130552906</v>
      </c>
      <c r="M16" s="134">
        <f t="shared" si="3"/>
        <v>0.36445671279677172</v>
      </c>
      <c r="N16" s="134">
        <f t="shared" si="4"/>
        <v>0.48322177081780326</v>
      </c>
      <c r="O16" s="133" t="str">
        <f t="shared" si="6"/>
        <v>Increased</v>
      </c>
      <c r="P16" s="133" t="str">
        <f t="shared" si="7"/>
        <v>Increased</v>
      </c>
      <c r="Q16" s="133" t="str">
        <f t="shared" si="8"/>
        <v>Balanced</v>
      </c>
      <c r="S16" s="111">
        <v>13</v>
      </c>
      <c r="T16" s="96" t="s">
        <v>12</v>
      </c>
      <c r="U16" s="41">
        <v>10.33456030553733</v>
      </c>
      <c r="V16" s="41">
        <v>11.548997129264416</v>
      </c>
      <c r="W16" s="41">
        <v>12.531853132190035</v>
      </c>
      <c r="X16" s="41">
        <v>2.1941080188751148</v>
      </c>
      <c r="Y16" s="41">
        <v>20.123567561819524</v>
      </c>
      <c r="Z16" s="41">
        <v>13.387900643835712</v>
      </c>
      <c r="AA16" s="41">
        <v>12.528668324412447</v>
      </c>
      <c r="AB16" s="41">
        <v>31.672564691083934</v>
      </c>
      <c r="AC16" s="41">
        <v>25.91975377602575</v>
      </c>
      <c r="AD16" s="133" t="str">
        <f t="shared" si="9"/>
        <v>Increased</v>
      </c>
    </row>
    <row r="17" spans="1:30" x14ac:dyDescent="0.3">
      <c r="A17" s="111">
        <v>14</v>
      </c>
      <c r="B17" s="96" t="s">
        <v>13</v>
      </c>
      <c r="C17" s="110">
        <v>68069</v>
      </c>
      <c r="D17" s="110">
        <v>141290</v>
      </c>
      <c r="E17" s="110">
        <v>141402.43390237587</v>
      </c>
      <c r="F17" s="127">
        <v>3066</v>
      </c>
      <c r="G17" s="127">
        <v>85872</v>
      </c>
      <c r="H17" s="127">
        <v>15905.456486995652</v>
      </c>
      <c r="I17" s="110">
        <f t="shared" si="0"/>
        <v>71135</v>
      </c>
      <c r="J17" s="110">
        <f t="shared" si="1"/>
        <v>227162</v>
      </c>
      <c r="K17" s="110">
        <f t="shared" si="5"/>
        <v>157307.89038937152</v>
      </c>
      <c r="L17" s="134">
        <f t="shared" si="2"/>
        <v>0.95689885429113652</v>
      </c>
      <c r="M17" s="134">
        <f t="shared" si="3"/>
        <v>0.62197902818253048</v>
      </c>
      <c r="N17" s="134">
        <f t="shared" si="4"/>
        <v>0.89888964598262577</v>
      </c>
      <c r="O17" s="133" t="str">
        <f t="shared" si="6"/>
        <v>Increased</v>
      </c>
      <c r="P17" s="133" t="str">
        <f t="shared" si="7"/>
        <v>Decreased</v>
      </c>
      <c r="Q17" s="133" t="str">
        <f t="shared" si="8"/>
        <v>Mismatch</v>
      </c>
      <c r="S17" s="111">
        <v>14</v>
      </c>
      <c r="T17" s="96" t="s">
        <v>13</v>
      </c>
      <c r="U17" s="41">
        <v>9.2661285789722267</v>
      </c>
      <c r="V17" s="41">
        <v>16.223939744179855</v>
      </c>
      <c r="W17" s="41">
        <v>14.28160096277502</v>
      </c>
      <c r="X17" s="41">
        <v>0.41736987796396086</v>
      </c>
      <c r="Y17" s="41">
        <v>9.8604441482922525</v>
      </c>
      <c r="Z17" s="41">
        <v>1.6064460590182004</v>
      </c>
      <c r="AA17" s="41">
        <v>9.6834984569361886</v>
      </c>
      <c r="AB17" s="41">
        <v>26.084383892472108</v>
      </c>
      <c r="AC17" s="41">
        <v>15.888047021793218</v>
      </c>
      <c r="AD17" s="133" t="str">
        <f t="shared" si="9"/>
        <v>Decreased</v>
      </c>
    </row>
    <row r="18" spans="1:30" x14ac:dyDescent="0.3">
      <c r="A18" s="111">
        <v>15</v>
      </c>
      <c r="B18" s="96" t="s">
        <v>14</v>
      </c>
      <c r="C18" s="110">
        <v>0</v>
      </c>
      <c r="D18" s="110">
        <v>662</v>
      </c>
      <c r="E18" s="110">
        <v>1781.1162448119487</v>
      </c>
      <c r="F18" s="127">
        <v>6</v>
      </c>
      <c r="G18" s="127">
        <v>1994</v>
      </c>
      <c r="H18" s="127">
        <v>2902</v>
      </c>
      <c r="I18" s="110">
        <f t="shared" si="0"/>
        <v>6</v>
      </c>
      <c r="J18" s="110">
        <f t="shared" si="1"/>
        <v>2656</v>
      </c>
      <c r="K18" s="110">
        <f t="shared" si="5"/>
        <v>4683.1162448119485</v>
      </c>
      <c r="L18" s="134">
        <f t="shared" si="2"/>
        <v>0</v>
      </c>
      <c r="M18" s="134">
        <f t="shared" si="3"/>
        <v>0.24924698795180722</v>
      </c>
      <c r="N18" s="134">
        <f t="shared" si="4"/>
        <v>0.38032714792956623</v>
      </c>
      <c r="O18" s="133" t="str">
        <f t="shared" si="6"/>
        <v>Increased</v>
      </c>
      <c r="P18" s="133" t="str">
        <f t="shared" si="7"/>
        <v>Increased</v>
      </c>
      <c r="Q18" s="133" t="str">
        <f t="shared" si="8"/>
        <v>Balanced</v>
      </c>
      <c r="S18" s="111">
        <v>15</v>
      </c>
      <c r="T18" s="96" t="s">
        <v>14</v>
      </c>
      <c r="U18" s="41">
        <v>0</v>
      </c>
      <c r="V18" s="41">
        <v>4.4071882438586458</v>
      </c>
      <c r="W18" s="41">
        <v>10.634113902446874</v>
      </c>
      <c r="X18" s="41">
        <v>4.8233798869882084E-2</v>
      </c>
      <c r="Y18" s="41">
        <v>13.241536883738439</v>
      </c>
      <c r="Z18" s="41">
        <v>17.296472403260356</v>
      </c>
      <c r="AA18" s="41">
        <v>4.8233798869882084E-2</v>
      </c>
      <c r="AB18" s="41">
        <v>17.648725127597086</v>
      </c>
      <c r="AC18" s="41">
        <v>27.930586305707227</v>
      </c>
      <c r="AD18" s="133" t="str">
        <f t="shared" si="9"/>
        <v>Increased</v>
      </c>
    </row>
    <row r="19" spans="1:30" x14ac:dyDescent="0.3">
      <c r="A19" s="111">
        <v>16</v>
      </c>
      <c r="B19" s="96" t="s">
        <v>15</v>
      </c>
      <c r="C19" s="110">
        <v>4434</v>
      </c>
      <c r="D19" s="110">
        <v>6397</v>
      </c>
      <c r="E19" s="110">
        <v>6179.6252958362393</v>
      </c>
      <c r="F19" s="127">
        <v>0</v>
      </c>
      <c r="G19" s="127">
        <v>5483</v>
      </c>
      <c r="H19" s="127">
        <v>7859.4639605140483</v>
      </c>
      <c r="I19" s="110">
        <f t="shared" si="0"/>
        <v>4434</v>
      </c>
      <c r="J19" s="110">
        <f t="shared" si="1"/>
        <v>11880</v>
      </c>
      <c r="K19" s="110">
        <f t="shared" si="5"/>
        <v>14039.089256350288</v>
      </c>
      <c r="L19" s="134">
        <f t="shared" si="2"/>
        <v>1</v>
      </c>
      <c r="M19" s="134">
        <f t="shared" si="3"/>
        <v>0.53846801346801343</v>
      </c>
      <c r="N19" s="134">
        <f t="shared" si="4"/>
        <v>0.44017280487343691</v>
      </c>
      <c r="O19" s="133" t="str">
        <f t="shared" si="6"/>
        <v>Decreased</v>
      </c>
      <c r="P19" s="133" t="str">
        <f t="shared" si="7"/>
        <v>Decreased</v>
      </c>
      <c r="Q19" s="133" t="str">
        <f t="shared" si="8"/>
        <v>Balanced</v>
      </c>
      <c r="S19" s="111">
        <v>16</v>
      </c>
      <c r="T19" s="96" t="s">
        <v>15</v>
      </c>
      <c r="U19" s="41">
        <v>13.451172154071436</v>
      </c>
      <c r="V19" s="41">
        <v>18.566922115433325</v>
      </c>
      <c r="W19" s="41">
        <v>16.774083760782815</v>
      </c>
      <c r="X19" s="41">
        <v>0</v>
      </c>
      <c r="Y19" s="41">
        <v>15.914090035785666</v>
      </c>
      <c r="Z19" s="41">
        <v>21.333867423538706</v>
      </c>
      <c r="AA19" s="41">
        <v>13.451172154071436</v>
      </c>
      <c r="AB19" s="41">
        <v>34.481012151218984</v>
      </c>
      <c r="AC19" s="41">
        <v>38.107951184321514</v>
      </c>
      <c r="AD19" s="133" t="str">
        <f t="shared" si="9"/>
        <v>Decreased</v>
      </c>
    </row>
    <row r="20" spans="1:30" x14ac:dyDescent="0.3">
      <c r="A20" s="111">
        <v>17</v>
      </c>
      <c r="B20" s="96" t="s">
        <v>16</v>
      </c>
      <c r="C20" s="110">
        <v>3735</v>
      </c>
      <c r="D20" s="110">
        <v>5570</v>
      </c>
      <c r="E20" s="110">
        <v>6208.1530330247342</v>
      </c>
      <c r="F20" s="127">
        <v>4661</v>
      </c>
      <c r="G20" s="127">
        <v>12031</v>
      </c>
      <c r="H20" s="127">
        <v>10642.058449633827</v>
      </c>
      <c r="I20" s="110">
        <f t="shared" si="0"/>
        <v>8396</v>
      </c>
      <c r="J20" s="110">
        <f t="shared" si="1"/>
        <v>17601</v>
      </c>
      <c r="K20" s="110">
        <f t="shared" si="5"/>
        <v>16850.21148265856</v>
      </c>
      <c r="L20" s="134">
        <f t="shared" si="2"/>
        <v>0.44485469271081468</v>
      </c>
      <c r="M20" s="134">
        <f t="shared" si="3"/>
        <v>0.31645929208567697</v>
      </c>
      <c r="N20" s="134">
        <f t="shared" si="4"/>
        <v>0.3684317576318773</v>
      </c>
      <c r="O20" s="133" t="str">
        <f t="shared" si="6"/>
        <v>Increased</v>
      </c>
      <c r="P20" s="133" t="str">
        <f t="shared" si="7"/>
        <v>Increased</v>
      </c>
      <c r="Q20" s="133" t="str">
        <f t="shared" si="8"/>
        <v>Balanced</v>
      </c>
      <c r="S20" s="111">
        <v>17</v>
      </c>
      <c r="T20" s="96" t="s">
        <v>16</v>
      </c>
      <c r="U20" s="41">
        <v>33.398341618089297</v>
      </c>
      <c r="V20" s="41">
        <v>47.999551889282181</v>
      </c>
      <c r="W20" s="41">
        <v>51.66268983905934</v>
      </c>
      <c r="X20" s="41">
        <v>41.678626581503138</v>
      </c>
      <c r="Y20" s="41">
        <v>103.65145603667615</v>
      </c>
      <c r="Z20" s="41">
        <v>88.53557152009499</v>
      </c>
      <c r="AA20" s="41">
        <v>75.076968199592443</v>
      </c>
      <c r="AB20" s="41">
        <v>151.65100792595834</v>
      </c>
      <c r="AC20" s="41">
        <v>140.19826135915432</v>
      </c>
      <c r="AD20" s="133" t="str">
        <f t="shared" si="9"/>
        <v>Increased</v>
      </c>
    </row>
    <row r="21" spans="1:30" x14ac:dyDescent="0.3">
      <c r="A21" s="111">
        <v>18</v>
      </c>
      <c r="B21" s="96" t="s">
        <v>17</v>
      </c>
      <c r="C21" s="110">
        <v>6925</v>
      </c>
      <c r="D21" s="110">
        <v>108826</v>
      </c>
      <c r="E21" s="110">
        <v>229225</v>
      </c>
      <c r="F21" s="127">
        <v>511</v>
      </c>
      <c r="G21" s="127">
        <v>160072</v>
      </c>
      <c r="H21" s="127">
        <v>188294.14769244258</v>
      </c>
      <c r="I21" s="110">
        <f t="shared" si="0"/>
        <v>7436</v>
      </c>
      <c r="J21" s="110">
        <f t="shared" si="1"/>
        <v>268898</v>
      </c>
      <c r="K21" s="110">
        <f t="shared" si="5"/>
        <v>417519.14769244258</v>
      </c>
      <c r="L21" s="134">
        <f t="shared" si="2"/>
        <v>0.93128025820333515</v>
      </c>
      <c r="M21" s="134">
        <f t="shared" si="3"/>
        <v>0.40471108003778383</v>
      </c>
      <c r="N21" s="134">
        <f t="shared" si="4"/>
        <v>0.54901673675779339</v>
      </c>
      <c r="O21" s="133" t="str">
        <f t="shared" si="6"/>
        <v>Increased</v>
      </c>
      <c r="P21" s="133" t="str">
        <f t="shared" si="7"/>
        <v>Increased</v>
      </c>
      <c r="Q21" s="133" t="str">
        <f t="shared" si="8"/>
        <v>Balanced</v>
      </c>
      <c r="S21" s="111">
        <v>18</v>
      </c>
      <c r="T21" s="96" t="s">
        <v>17</v>
      </c>
      <c r="U21" s="41">
        <v>0.71329713375271953</v>
      </c>
      <c r="V21" s="41">
        <v>9.7927247683912508</v>
      </c>
      <c r="W21" s="41">
        <v>18.578792370715053</v>
      </c>
      <c r="X21" s="41">
        <v>5.2634633263197068E-2</v>
      </c>
      <c r="Y21" s="41">
        <v>14.399424930053186</v>
      </c>
      <c r="Z21" s="41">
        <v>15.250791281886587</v>
      </c>
      <c r="AA21" s="41">
        <v>0.76593176701591659</v>
      </c>
      <c r="AB21" s="41">
        <v>24.192149698444432</v>
      </c>
      <c r="AC21" s="41">
        <v>33.829583652601642</v>
      </c>
      <c r="AD21" s="133" t="str">
        <f t="shared" si="9"/>
        <v>Increased</v>
      </c>
    </row>
    <row r="22" spans="1:30" x14ac:dyDescent="0.3">
      <c r="A22" s="111">
        <v>19</v>
      </c>
      <c r="B22" s="96" t="s">
        <v>18</v>
      </c>
      <c r="C22" s="110">
        <v>437</v>
      </c>
      <c r="D22" s="110">
        <v>8562</v>
      </c>
      <c r="E22" s="110">
        <v>7467.6319189802698</v>
      </c>
      <c r="F22" s="127">
        <v>1295</v>
      </c>
      <c r="G22" s="127">
        <v>4369</v>
      </c>
      <c r="H22" s="127">
        <v>6195.3046970490668</v>
      </c>
      <c r="I22" s="110">
        <f t="shared" si="0"/>
        <v>1732</v>
      </c>
      <c r="J22" s="110">
        <f t="shared" si="1"/>
        <v>12931</v>
      </c>
      <c r="K22" s="110">
        <f t="shared" si="5"/>
        <v>13662.936616029336</v>
      </c>
      <c r="L22" s="134">
        <f t="shared" si="2"/>
        <v>0.25230946882217092</v>
      </c>
      <c r="M22" s="134">
        <f t="shared" si="3"/>
        <v>0.66212976567937509</v>
      </c>
      <c r="N22" s="134">
        <f t="shared" si="4"/>
        <v>0.5465612648908329</v>
      </c>
      <c r="O22" s="133" t="str">
        <f t="shared" si="6"/>
        <v>Decreased</v>
      </c>
      <c r="P22" s="133" t="str">
        <f t="shared" si="7"/>
        <v>Decreased</v>
      </c>
      <c r="Q22" s="133" t="str">
        <f t="shared" si="8"/>
        <v>Balanced</v>
      </c>
      <c r="S22" s="111">
        <v>19</v>
      </c>
      <c r="T22" s="96" t="s">
        <v>18</v>
      </c>
      <c r="U22" s="41">
        <v>2.2973079178531046</v>
      </c>
      <c r="V22" s="41">
        <v>39.060014055583196</v>
      </c>
      <c r="W22" s="41">
        <v>31.25849879805093</v>
      </c>
      <c r="X22" s="41">
        <v>6.8078117931802522</v>
      </c>
      <c r="Y22" s="41">
        <v>19.721611861981561</v>
      </c>
      <c r="Z22" s="41">
        <v>25.853652875942235</v>
      </c>
      <c r="AA22" s="41">
        <v>9.1051197110333568</v>
      </c>
      <c r="AB22" s="41">
        <v>58.781625917564746</v>
      </c>
      <c r="AC22" s="41">
        <v>57.112151673993168</v>
      </c>
      <c r="AD22" s="133" t="str">
        <f t="shared" si="9"/>
        <v>Decreased</v>
      </c>
    </row>
    <row r="23" spans="1:30" x14ac:dyDescent="0.3">
      <c r="A23" s="111">
        <v>20</v>
      </c>
      <c r="B23" s="96" t="s">
        <v>19</v>
      </c>
      <c r="C23" s="110">
        <v>2979</v>
      </c>
      <c r="D23" s="110">
        <v>2284</v>
      </c>
      <c r="E23" s="110">
        <v>2205.3432721712538</v>
      </c>
      <c r="F23" s="127">
        <v>1007</v>
      </c>
      <c r="G23" s="127">
        <v>2625</v>
      </c>
      <c r="H23" s="127">
        <v>7047.434250764526</v>
      </c>
      <c r="I23" s="110">
        <f t="shared" si="0"/>
        <v>3986</v>
      </c>
      <c r="J23" s="110">
        <f t="shared" si="1"/>
        <v>4909</v>
      </c>
      <c r="K23" s="110">
        <f t="shared" si="5"/>
        <v>9252.7775229357794</v>
      </c>
      <c r="L23" s="134">
        <f t="shared" si="2"/>
        <v>0.7473657802308078</v>
      </c>
      <c r="M23" s="134">
        <f t="shared" si="3"/>
        <v>0.46526787533102465</v>
      </c>
      <c r="N23" s="134">
        <f t="shared" si="4"/>
        <v>0.23834392069890908</v>
      </c>
      <c r="O23" s="133" t="str">
        <f t="shared" si="6"/>
        <v>Decreased</v>
      </c>
      <c r="P23" s="133" t="str">
        <f t="shared" si="7"/>
        <v>Decreased</v>
      </c>
      <c r="Q23" s="133" t="str">
        <f t="shared" si="8"/>
        <v>Balanced</v>
      </c>
      <c r="S23" s="111">
        <v>20</v>
      </c>
      <c r="T23" s="96" t="s">
        <v>19</v>
      </c>
      <c r="U23" s="41">
        <v>14.019684502977714</v>
      </c>
      <c r="V23" s="41">
        <v>9.341836149347488</v>
      </c>
      <c r="W23" s="41">
        <v>8.1498514118713352</v>
      </c>
      <c r="X23" s="41">
        <v>4.7249960526987653</v>
      </c>
      <c r="Y23" s="41">
        <v>10.707936531957847</v>
      </c>
      <c r="Z23" s="41">
        <v>26.021236160614649</v>
      </c>
      <c r="AA23" s="41">
        <v>18.744680555676478</v>
      </c>
      <c r="AB23" s="41">
        <v>20.049772681305335</v>
      </c>
      <c r="AC23" s="41">
        <v>34.171087572485987</v>
      </c>
      <c r="AD23" s="133" t="str">
        <f t="shared" si="9"/>
        <v>Decreased</v>
      </c>
    </row>
    <row r="24" spans="1:30" x14ac:dyDescent="0.3">
      <c r="A24" s="111">
        <v>21</v>
      </c>
      <c r="B24" s="96" t="s">
        <v>20</v>
      </c>
      <c r="C24" s="110">
        <v>51421</v>
      </c>
      <c r="D24" s="110">
        <v>143265</v>
      </c>
      <c r="E24" s="110">
        <v>160786.9969390177</v>
      </c>
      <c r="F24" s="127">
        <v>24391</v>
      </c>
      <c r="G24" s="127">
        <v>62817</v>
      </c>
      <c r="H24" s="127">
        <v>77239.612875768318</v>
      </c>
      <c r="I24" s="110">
        <f t="shared" si="0"/>
        <v>75812</v>
      </c>
      <c r="J24" s="110">
        <f t="shared" si="1"/>
        <v>206082</v>
      </c>
      <c r="K24" s="110">
        <f t="shared" si="5"/>
        <v>238026.609814786</v>
      </c>
      <c r="L24" s="134">
        <f t="shared" si="2"/>
        <v>0.67826993088165466</v>
      </c>
      <c r="M24" s="134">
        <f t="shared" si="3"/>
        <v>0.69518444114478706</v>
      </c>
      <c r="N24" s="134">
        <f t="shared" si="4"/>
        <v>0.67550009246499698</v>
      </c>
      <c r="O24" s="133" t="str">
        <f t="shared" si="6"/>
        <v>Increased</v>
      </c>
      <c r="P24" s="133" t="str">
        <f t="shared" si="7"/>
        <v>Increased</v>
      </c>
      <c r="Q24" s="133" t="str">
        <f t="shared" si="8"/>
        <v>Balanced</v>
      </c>
      <c r="S24" s="111">
        <v>21</v>
      </c>
      <c r="T24" s="96" t="s">
        <v>20</v>
      </c>
      <c r="U24" s="41">
        <v>18.681157033578607</v>
      </c>
      <c r="V24" s="41">
        <v>46.40817219195695</v>
      </c>
      <c r="W24" s="41">
        <v>48.030714224150685</v>
      </c>
      <c r="X24" s="41">
        <v>8.8612065344123181</v>
      </c>
      <c r="Y24" s="41">
        <v>20.294363506970317</v>
      </c>
      <c r="Z24" s="41">
        <v>22.610200047155839</v>
      </c>
      <c r="AA24" s="41">
        <v>27.542363567990925</v>
      </c>
      <c r="AB24" s="41">
        <v>66.70253569892725</v>
      </c>
      <c r="AC24" s="41">
        <v>70.640914271306528</v>
      </c>
      <c r="AD24" s="133" t="str">
        <f t="shared" si="9"/>
        <v>Increased</v>
      </c>
    </row>
    <row r="25" spans="1:30" x14ac:dyDescent="0.3">
      <c r="A25" s="111">
        <v>22</v>
      </c>
      <c r="B25" s="96" t="s">
        <v>21</v>
      </c>
      <c r="C25" s="110">
        <v>8275</v>
      </c>
      <c r="D25" s="110">
        <v>11176</v>
      </c>
      <c r="E25" s="33">
        <v>9201</v>
      </c>
      <c r="F25" s="127">
        <v>6700</v>
      </c>
      <c r="G25" s="127">
        <v>18091</v>
      </c>
      <c r="H25" s="127">
        <v>18091</v>
      </c>
      <c r="I25" s="110">
        <f t="shared" si="0"/>
        <v>14975</v>
      </c>
      <c r="J25" s="110">
        <f t="shared" si="1"/>
        <v>29267</v>
      </c>
      <c r="K25" s="110">
        <f>E25+H25</f>
        <v>27292</v>
      </c>
      <c r="L25" s="134">
        <f t="shared" si="2"/>
        <v>0.55258764607679467</v>
      </c>
      <c r="M25" s="134">
        <f t="shared" si="3"/>
        <v>0.38186353230601017</v>
      </c>
      <c r="N25" s="134">
        <f t="shared" si="4"/>
        <v>0.33713176022277591</v>
      </c>
      <c r="O25" s="133" t="str">
        <f t="shared" si="6"/>
        <v>Decreased</v>
      </c>
      <c r="P25" s="133" t="str">
        <f t="shared" si="7"/>
        <v>Decreased</v>
      </c>
      <c r="Q25" s="133" t="str">
        <f t="shared" si="8"/>
        <v>Balanced</v>
      </c>
      <c r="S25" s="111">
        <v>22</v>
      </c>
      <c r="T25" s="96" t="s">
        <v>21</v>
      </c>
      <c r="U25" s="41">
        <v>7.4850096287525645</v>
      </c>
      <c r="V25" s="41">
        <v>8.9017288876355476</v>
      </c>
      <c r="W25" s="27">
        <v>6.64</v>
      </c>
      <c r="X25" s="41">
        <v>6.0603703338540411</v>
      </c>
      <c r="Y25" s="41">
        <v>14.409554161257576</v>
      </c>
      <c r="Z25" s="41">
        <v>13.053290667041477</v>
      </c>
      <c r="AA25" s="41">
        <v>13.545379962606606</v>
      </c>
      <c r="AB25" s="41">
        <v>23.311283048893124</v>
      </c>
      <c r="AC25" s="27">
        <f>W25+Z25</f>
        <v>19.693290667041477</v>
      </c>
      <c r="AD25" s="133" t="str">
        <f t="shared" si="9"/>
        <v>Decreased</v>
      </c>
    </row>
    <row r="26" spans="1:30" x14ac:dyDescent="0.3">
      <c r="A26" s="111">
        <v>23</v>
      </c>
      <c r="B26" s="96" t="s">
        <v>22</v>
      </c>
      <c r="C26" s="110">
        <v>1234</v>
      </c>
      <c r="D26" s="110">
        <v>2097</v>
      </c>
      <c r="E26" s="110">
        <v>2711.7219264892269</v>
      </c>
      <c r="F26" s="127">
        <v>496</v>
      </c>
      <c r="G26" s="127">
        <v>6168</v>
      </c>
      <c r="H26" s="127">
        <v>6478.7930291508237</v>
      </c>
      <c r="I26" s="110">
        <f t="shared" si="0"/>
        <v>1730</v>
      </c>
      <c r="J26" s="110">
        <f t="shared" si="1"/>
        <v>8265</v>
      </c>
      <c r="K26" s="110">
        <f t="shared" si="5"/>
        <v>9190.5149556400502</v>
      </c>
      <c r="L26" s="134">
        <f t="shared" si="2"/>
        <v>0.7132947976878613</v>
      </c>
      <c r="M26" s="134">
        <f t="shared" si="3"/>
        <v>0.25372050816696917</v>
      </c>
      <c r="N26" s="134">
        <f t="shared" si="4"/>
        <v>0.29505658165814669</v>
      </c>
      <c r="O26" s="133" t="str">
        <f t="shared" si="6"/>
        <v>Increased</v>
      </c>
      <c r="P26" s="133" t="str">
        <f t="shared" si="7"/>
        <v>Increased</v>
      </c>
      <c r="Q26" s="133" t="str">
        <f t="shared" si="8"/>
        <v>Balanced</v>
      </c>
      <c r="S26" s="111">
        <v>23</v>
      </c>
      <c r="T26" s="96" t="s">
        <v>22</v>
      </c>
      <c r="U26" s="41">
        <v>7.2684328251615025</v>
      </c>
      <c r="V26" s="41">
        <v>10.893763982473359</v>
      </c>
      <c r="W26" s="41">
        <v>12.878829589909351</v>
      </c>
      <c r="X26" s="41">
        <v>2.921509466191333</v>
      </c>
      <c r="Y26" s="41">
        <v>32.016341165466521</v>
      </c>
      <c r="Z26" s="41">
        <v>30.758335221751548</v>
      </c>
      <c r="AA26" s="41">
        <v>10.189942291352835</v>
      </c>
      <c r="AB26" s="41">
        <v>42.910105147939873</v>
      </c>
      <c r="AC26" s="41">
        <v>43.637164811660909</v>
      </c>
      <c r="AD26" s="133" t="str">
        <f t="shared" si="9"/>
        <v>Increased</v>
      </c>
    </row>
    <row r="27" spans="1:30" x14ac:dyDescent="0.3">
      <c r="A27" s="111">
        <v>24</v>
      </c>
      <c r="B27" s="96" t="s">
        <v>23</v>
      </c>
      <c r="C27" s="110">
        <v>52221</v>
      </c>
      <c r="D27" s="110">
        <v>72002</v>
      </c>
      <c r="E27" s="110">
        <v>132496</v>
      </c>
      <c r="F27" s="127">
        <v>13628</v>
      </c>
      <c r="G27" s="127">
        <v>92554</v>
      </c>
      <c r="H27" s="127">
        <v>153549.56215030918</v>
      </c>
      <c r="I27" s="110">
        <f t="shared" si="0"/>
        <v>65849</v>
      </c>
      <c r="J27" s="110">
        <f t="shared" si="1"/>
        <v>164556</v>
      </c>
      <c r="K27" s="110">
        <f t="shared" si="5"/>
        <v>286045.56215030921</v>
      </c>
      <c r="L27" s="134">
        <f t="shared" si="2"/>
        <v>0.79304165590973286</v>
      </c>
      <c r="M27" s="134">
        <f t="shared" si="3"/>
        <v>0.43755317338778288</v>
      </c>
      <c r="N27" s="134">
        <f t="shared" si="4"/>
        <v>0.46319893587573624</v>
      </c>
      <c r="O27" s="133" t="str">
        <f t="shared" si="6"/>
        <v>Increased</v>
      </c>
      <c r="P27" s="133" t="str">
        <f t="shared" si="7"/>
        <v>Increased</v>
      </c>
      <c r="Q27" s="133" t="str">
        <f t="shared" si="8"/>
        <v>Balanced</v>
      </c>
      <c r="S27" s="111">
        <v>24</v>
      </c>
      <c r="T27" s="96" t="s">
        <v>23</v>
      </c>
      <c r="U27" s="41">
        <v>11.658459316104921</v>
      </c>
      <c r="V27" s="41">
        <v>14.413861393432555</v>
      </c>
      <c r="W27" s="41">
        <v>24.523813221222014</v>
      </c>
      <c r="X27" s="41">
        <v>3.0424825943562523</v>
      </c>
      <c r="Y27" s="41">
        <v>18.43441627004292</v>
      </c>
      <c r="Z27" s="41">
        <v>28.237952683290491</v>
      </c>
      <c r="AA27" s="41">
        <v>14.700941910461173</v>
      </c>
      <c r="AB27" s="41">
        <v>32.848277663475471</v>
      </c>
      <c r="AC27" s="41">
        <v>52.761765904512501</v>
      </c>
      <c r="AD27" s="133" t="str">
        <f t="shared" si="9"/>
        <v>Increased</v>
      </c>
    </row>
    <row r="28" spans="1:30" x14ac:dyDescent="0.3">
      <c r="A28" s="111">
        <v>25</v>
      </c>
      <c r="B28" s="96" t="s">
        <v>24</v>
      </c>
      <c r="C28" s="110">
        <v>0</v>
      </c>
      <c r="D28" s="110">
        <v>11621</v>
      </c>
      <c r="E28" s="110">
        <v>5301.8248879810226</v>
      </c>
      <c r="F28" s="127">
        <v>216</v>
      </c>
      <c r="G28" s="127">
        <v>25051</v>
      </c>
      <c r="H28" s="127">
        <v>23691.187434106483</v>
      </c>
      <c r="I28" s="110">
        <f t="shared" si="0"/>
        <v>216</v>
      </c>
      <c r="J28" s="110">
        <f t="shared" si="1"/>
        <v>36672</v>
      </c>
      <c r="K28" s="110">
        <f t="shared" si="5"/>
        <v>28993.012322087507</v>
      </c>
      <c r="L28" s="134">
        <f t="shared" si="2"/>
        <v>0</v>
      </c>
      <c r="M28" s="134">
        <f t="shared" si="3"/>
        <v>0.31689027050610818</v>
      </c>
      <c r="N28" s="134">
        <f t="shared" si="4"/>
        <v>0.1828656101367562</v>
      </c>
      <c r="O28" s="133" t="str">
        <f t="shared" si="6"/>
        <v>Decreased</v>
      </c>
      <c r="P28" s="133" t="str">
        <f t="shared" si="7"/>
        <v>Decreased</v>
      </c>
      <c r="Q28" s="133" t="str">
        <f t="shared" si="8"/>
        <v>Balanced</v>
      </c>
      <c r="S28" s="111">
        <v>25</v>
      </c>
      <c r="T28" s="96" t="s">
        <v>24</v>
      </c>
      <c r="U28" s="41">
        <v>0</v>
      </c>
      <c r="V28" s="41">
        <v>52.870382713145531</v>
      </c>
      <c r="W28" s="41">
        <v>22.993174843373964</v>
      </c>
      <c r="X28" s="41">
        <v>1.0414966499729863</v>
      </c>
      <c r="Y28" s="41">
        <v>113.92541549951613</v>
      </c>
      <c r="Z28" s="41">
        <v>102.68854878266576</v>
      </c>
      <c r="AA28" s="41">
        <v>1.0414966499729863</v>
      </c>
      <c r="AB28" s="41">
        <v>166.79579821266168</v>
      </c>
      <c r="AC28" s="41">
        <v>125.68172362603974</v>
      </c>
      <c r="AD28" s="133" t="str">
        <f t="shared" si="9"/>
        <v>Decreased</v>
      </c>
    </row>
    <row r="29" spans="1:30" x14ac:dyDescent="0.3">
      <c r="A29" s="111">
        <v>26</v>
      </c>
      <c r="B29" s="96" t="s">
        <v>25</v>
      </c>
      <c r="C29" s="110">
        <v>974</v>
      </c>
      <c r="D29" s="110">
        <v>11203</v>
      </c>
      <c r="E29" s="110">
        <v>7129.2714053614945</v>
      </c>
      <c r="F29" s="127">
        <v>2036</v>
      </c>
      <c r="G29" s="127">
        <v>13864</v>
      </c>
      <c r="H29" s="127">
        <v>23098</v>
      </c>
      <c r="I29" s="110">
        <f t="shared" si="0"/>
        <v>3010</v>
      </c>
      <c r="J29" s="110">
        <f t="shared" si="1"/>
        <v>25067</v>
      </c>
      <c r="K29" s="110">
        <f t="shared" si="5"/>
        <v>30227.271405361495</v>
      </c>
      <c r="L29" s="134">
        <f t="shared" si="2"/>
        <v>0.32358803986710966</v>
      </c>
      <c r="M29" s="134">
        <f t="shared" si="3"/>
        <v>0.44692224837435673</v>
      </c>
      <c r="N29" s="134">
        <f t="shared" si="4"/>
        <v>0.23585560567987476</v>
      </c>
      <c r="O29" s="133" t="str">
        <f t="shared" si="6"/>
        <v>Decreased</v>
      </c>
      <c r="P29" s="133" t="str">
        <f t="shared" si="7"/>
        <v>Decreased</v>
      </c>
      <c r="Q29" s="133" t="str">
        <f t="shared" si="8"/>
        <v>Balanced</v>
      </c>
      <c r="S29" s="111">
        <v>26</v>
      </c>
      <c r="T29" s="96" t="s">
        <v>25</v>
      </c>
      <c r="U29" s="41">
        <v>2.1999802363171792</v>
      </c>
      <c r="V29" s="41">
        <v>22.91287401641636</v>
      </c>
      <c r="W29" s="41">
        <v>13.444654516010845</v>
      </c>
      <c r="X29" s="41">
        <v>4.5987266541496687</v>
      </c>
      <c r="Y29" s="41">
        <v>28.355269603105992</v>
      </c>
      <c r="Z29" s="41">
        <v>43.559097746969861</v>
      </c>
      <c r="AA29" s="41">
        <v>6.798706890466848</v>
      </c>
      <c r="AB29" s="41">
        <v>51.268143619522348</v>
      </c>
      <c r="AC29" s="41">
        <v>57.003752262980719</v>
      </c>
      <c r="AD29" s="133" t="str">
        <f t="shared" si="9"/>
        <v>Decreased</v>
      </c>
    </row>
    <row r="30" spans="1:30" x14ac:dyDescent="0.3">
      <c r="A30" s="111">
        <v>27</v>
      </c>
      <c r="B30" s="96" t="s">
        <v>26</v>
      </c>
      <c r="C30" s="110">
        <v>10489</v>
      </c>
      <c r="D30" s="110">
        <v>14669</v>
      </c>
      <c r="E30" s="110">
        <v>14098.287215047239</v>
      </c>
      <c r="F30" s="127">
        <v>174</v>
      </c>
      <c r="G30" s="127">
        <v>44152</v>
      </c>
      <c r="H30" s="127">
        <v>50968.375262199879</v>
      </c>
      <c r="I30" s="110">
        <f t="shared" si="0"/>
        <v>10663</v>
      </c>
      <c r="J30" s="110">
        <f t="shared" si="1"/>
        <v>58821</v>
      </c>
      <c r="K30" s="110">
        <f t="shared" si="5"/>
        <v>65066.662477247119</v>
      </c>
      <c r="L30" s="134">
        <f t="shared" si="2"/>
        <v>0.98368189064991096</v>
      </c>
      <c r="M30" s="134">
        <f t="shared" si="3"/>
        <v>0.24938372350011051</v>
      </c>
      <c r="N30" s="134">
        <f t="shared" si="4"/>
        <v>0.21667451008382685</v>
      </c>
      <c r="O30" s="133" t="str">
        <f t="shared" si="6"/>
        <v>Decreased</v>
      </c>
      <c r="P30" s="133" t="str">
        <f t="shared" si="7"/>
        <v>Decreased</v>
      </c>
      <c r="Q30" s="133" t="str">
        <f t="shared" si="8"/>
        <v>Balanced</v>
      </c>
      <c r="S30" s="111">
        <v>27</v>
      </c>
      <c r="T30" s="96" t="s">
        <v>26</v>
      </c>
      <c r="U30" s="41">
        <v>4.4467387300620373</v>
      </c>
      <c r="V30" s="41">
        <v>5.4640186234792782</v>
      </c>
      <c r="W30" s="41">
        <v>4.761050716296678</v>
      </c>
      <c r="X30" s="41">
        <v>7.376609200407995E-2</v>
      </c>
      <c r="Y30" s="41">
        <v>16.426697204678998</v>
      </c>
      <c r="Z30" s="41">
        <v>17.207717189217753</v>
      </c>
      <c r="AA30" s="41">
        <v>4.5205048220661173</v>
      </c>
      <c r="AB30" s="41">
        <v>21.890715828158275</v>
      </c>
      <c r="AC30" s="41">
        <v>21.968767905514429</v>
      </c>
      <c r="AD30" s="133" t="str">
        <f t="shared" si="9"/>
        <v>Decreased</v>
      </c>
    </row>
    <row r="31" spans="1:30" x14ac:dyDescent="0.3">
      <c r="A31" s="111">
        <v>28</v>
      </c>
      <c r="B31" s="96" t="s">
        <v>27</v>
      </c>
      <c r="C31" s="110">
        <v>3963</v>
      </c>
      <c r="D31" s="110">
        <v>11568</v>
      </c>
      <c r="E31" s="110">
        <v>12418.378918345705</v>
      </c>
      <c r="F31" s="127">
        <v>0</v>
      </c>
      <c r="G31" s="127">
        <v>14833</v>
      </c>
      <c r="H31" s="127">
        <v>26223.507613997885</v>
      </c>
      <c r="I31" s="110">
        <f t="shared" si="0"/>
        <v>3963</v>
      </c>
      <c r="J31" s="110">
        <f t="shared" si="1"/>
        <v>26401</v>
      </c>
      <c r="K31" s="110">
        <f t="shared" si="5"/>
        <v>38641.886532343589</v>
      </c>
      <c r="L31" s="134">
        <f t="shared" si="2"/>
        <v>1</v>
      </c>
      <c r="M31" s="134">
        <f t="shared" si="3"/>
        <v>0.43816522101435551</v>
      </c>
      <c r="N31" s="134">
        <f t="shared" si="4"/>
        <v>0.32137092758013808</v>
      </c>
      <c r="O31" s="133" t="str">
        <f t="shared" si="6"/>
        <v>Increased</v>
      </c>
      <c r="P31" s="133" t="str">
        <f t="shared" si="7"/>
        <v>Decreased</v>
      </c>
      <c r="Q31" s="133" t="str">
        <f t="shared" si="8"/>
        <v>Mismatch</v>
      </c>
      <c r="S31" s="111">
        <v>28</v>
      </c>
      <c r="T31" s="96" t="s">
        <v>27</v>
      </c>
      <c r="U31" s="41">
        <v>2.4730455662233775</v>
      </c>
      <c r="V31" s="41">
        <v>6.2979495241776151</v>
      </c>
      <c r="W31" s="41">
        <v>6.0858545949756246</v>
      </c>
      <c r="X31" s="41">
        <v>0</v>
      </c>
      <c r="Y31" s="41">
        <v>8.0755087562350063</v>
      </c>
      <c r="Z31" s="41">
        <v>12.845430559235803</v>
      </c>
      <c r="AA31" s="41">
        <v>2.4730455662233775</v>
      </c>
      <c r="AB31" s="41">
        <v>14.373458280412622</v>
      </c>
      <c r="AC31" s="41">
        <v>18.931285154211427</v>
      </c>
      <c r="AD31" s="133" t="str">
        <f t="shared" si="9"/>
        <v>Decreased</v>
      </c>
    </row>
    <row r="32" spans="1:30" x14ac:dyDescent="0.3">
      <c r="A32" s="111">
        <v>29</v>
      </c>
      <c r="B32" s="96" t="s">
        <v>28</v>
      </c>
      <c r="C32" s="110">
        <v>8189</v>
      </c>
      <c r="D32" s="110">
        <v>12833</v>
      </c>
      <c r="E32" s="110">
        <v>14537.005004448398</v>
      </c>
      <c r="F32" s="127">
        <v>0</v>
      </c>
      <c r="G32" s="127">
        <v>14277</v>
      </c>
      <c r="H32" s="127">
        <v>23767</v>
      </c>
      <c r="I32" s="110">
        <f t="shared" si="0"/>
        <v>8189</v>
      </c>
      <c r="J32" s="110">
        <f t="shared" si="1"/>
        <v>27110</v>
      </c>
      <c r="K32" s="110">
        <f t="shared" si="5"/>
        <v>38304.005004448394</v>
      </c>
      <c r="L32" s="134">
        <f t="shared" si="2"/>
        <v>1</v>
      </c>
      <c r="M32" s="134">
        <f t="shared" si="3"/>
        <v>0.47336776097381039</v>
      </c>
      <c r="N32" s="134">
        <f t="shared" si="4"/>
        <v>0.37951658064894672</v>
      </c>
      <c r="O32" s="133" t="str">
        <f t="shared" si="6"/>
        <v>Increased</v>
      </c>
      <c r="P32" s="133" t="str">
        <f t="shared" si="7"/>
        <v>Decreased</v>
      </c>
      <c r="Q32" s="133" t="str">
        <f t="shared" si="8"/>
        <v>Mismatch</v>
      </c>
      <c r="S32" s="111">
        <v>29</v>
      </c>
      <c r="T32" s="96" t="s">
        <v>28</v>
      </c>
      <c r="U32" s="41">
        <v>4.8159164598162238</v>
      </c>
      <c r="V32" s="41">
        <v>6.4376483184910729</v>
      </c>
      <c r="W32" s="41">
        <v>6.4341278578313545</v>
      </c>
      <c r="X32" s="41">
        <v>0</v>
      </c>
      <c r="Y32" s="41">
        <v>7.1545032586550068</v>
      </c>
      <c r="Z32" s="41">
        <v>10.512715984650592</v>
      </c>
      <c r="AA32" s="41">
        <v>4.8159164598162238</v>
      </c>
      <c r="AB32" s="41">
        <v>13.592151577146081</v>
      </c>
      <c r="AC32" s="41">
        <v>16.946843842481947</v>
      </c>
      <c r="AD32" s="133" t="str">
        <f t="shared" si="9"/>
        <v>Decreased</v>
      </c>
    </row>
    <row r="33" spans="1:30" x14ac:dyDescent="0.3">
      <c r="A33" s="111">
        <v>30</v>
      </c>
      <c r="B33" s="96" t="s">
        <v>29</v>
      </c>
      <c r="C33" s="110">
        <v>4836</v>
      </c>
      <c r="D33" s="110">
        <v>6798</v>
      </c>
      <c r="E33" s="110">
        <v>9374.9877300613498</v>
      </c>
      <c r="F33" s="127">
        <v>244</v>
      </c>
      <c r="G33" s="127">
        <v>11463</v>
      </c>
      <c r="H33" s="127">
        <v>11463</v>
      </c>
      <c r="I33" s="110">
        <f t="shared" si="0"/>
        <v>5080</v>
      </c>
      <c r="J33" s="110">
        <f t="shared" si="1"/>
        <v>18261</v>
      </c>
      <c r="K33" s="110">
        <f t="shared" si="5"/>
        <v>20837.987730061352</v>
      </c>
      <c r="L33" s="134">
        <f t="shared" si="2"/>
        <v>0.95196850393700783</v>
      </c>
      <c r="M33" s="134">
        <f t="shared" si="3"/>
        <v>0.37226876950878923</v>
      </c>
      <c r="N33" s="134">
        <f t="shared" si="4"/>
        <v>0.44989889866077526</v>
      </c>
      <c r="O33" s="133" t="str">
        <f t="shared" si="6"/>
        <v>Increased</v>
      </c>
      <c r="P33" s="133" t="str">
        <f t="shared" si="7"/>
        <v>Increased</v>
      </c>
      <c r="Q33" s="133" t="str">
        <f t="shared" si="8"/>
        <v>Balanced</v>
      </c>
      <c r="S33" s="111">
        <v>30</v>
      </c>
      <c r="T33" s="96" t="s">
        <v>29</v>
      </c>
      <c r="U33" s="41">
        <v>12.920259078445698</v>
      </c>
      <c r="V33" s="41">
        <v>15.917722374831463</v>
      </c>
      <c r="W33" s="41">
        <v>19.794578938796668</v>
      </c>
      <c r="X33" s="41">
        <v>0.65189065656343048</v>
      </c>
      <c r="Y33" s="41">
        <v>26.819887037558036</v>
      </c>
      <c r="Z33" s="41">
        <v>24.184256416460755</v>
      </c>
      <c r="AA33" s="41">
        <v>13.572149735009129</v>
      </c>
      <c r="AB33" s="41">
        <v>42.737609412389503</v>
      </c>
      <c r="AC33" s="41">
        <v>43.978835355257424</v>
      </c>
      <c r="AD33" s="133" t="str">
        <f t="shared" si="9"/>
        <v>Increased</v>
      </c>
    </row>
    <row r="34" spans="1:30" x14ac:dyDescent="0.3">
      <c r="A34" s="111">
        <v>31</v>
      </c>
      <c r="B34" s="96" t="s">
        <v>30</v>
      </c>
      <c r="C34" s="110">
        <v>6820</v>
      </c>
      <c r="D34" s="110">
        <v>9444</v>
      </c>
      <c r="E34" s="110">
        <v>7846.7053175775491</v>
      </c>
      <c r="F34" s="127">
        <v>0</v>
      </c>
      <c r="G34" s="127">
        <v>6377</v>
      </c>
      <c r="H34" s="127">
        <v>7398.441318651805</v>
      </c>
      <c r="I34" s="110">
        <f t="shared" si="0"/>
        <v>6820</v>
      </c>
      <c r="J34" s="110">
        <f t="shared" si="1"/>
        <v>15821</v>
      </c>
      <c r="K34" s="110">
        <f t="shared" si="5"/>
        <v>15245.146636229354</v>
      </c>
      <c r="L34" s="134">
        <f t="shared" si="2"/>
        <v>1</v>
      </c>
      <c r="M34" s="134">
        <f t="shared" si="3"/>
        <v>0.59692813349345808</v>
      </c>
      <c r="N34" s="134">
        <f t="shared" si="4"/>
        <v>0.51470185920876832</v>
      </c>
      <c r="O34" s="133" t="str">
        <f t="shared" si="6"/>
        <v>Decreased</v>
      </c>
      <c r="P34" s="133" t="str">
        <f t="shared" si="7"/>
        <v>Decreased</v>
      </c>
      <c r="Q34" s="133" t="str">
        <f t="shared" si="8"/>
        <v>Balanced</v>
      </c>
      <c r="S34" s="111">
        <v>31</v>
      </c>
      <c r="T34" s="96" t="s">
        <v>30</v>
      </c>
      <c r="U34" s="41">
        <v>52.839892414260113</v>
      </c>
      <c r="V34" s="41">
        <v>72.905163459567675</v>
      </c>
      <c r="W34" s="41">
        <v>60.383936189147697</v>
      </c>
      <c r="X34" s="41">
        <v>0</v>
      </c>
      <c r="Y34" s="41">
        <v>49.136103919964881</v>
      </c>
      <c r="Z34" s="41">
        <v>56.818910790883159</v>
      </c>
      <c r="AA34" s="41">
        <v>52.839892414260113</v>
      </c>
      <c r="AB34" s="41">
        <v>122.04126737953257</v>
      </c>
      <c r="AC34" s="41">
        <v>117.20284698003086</v>
      </c>
      <c r="AD34" s="133" t="str">
        <f t="shared" si="9"/>
        <v>Decreased</v>
      </c>
    </row>
    <row r="35" spans="1:30" x14ac:dyDescent="0.3">
      <c r="A35" s="111">
        <v>32</v>
      </c>
      <c r="B35" s="96" t="s">
        <v>31</v>
      </c>
      <c r="C35" s="110">
        <v>14014</v>
      </c>
      <c r="D35" s="110">
        <v>19598</v>
      </c>
      <c r="E35" s="110">
        <v>40757</v>
      </c>
      <c r="F35" s="127">
        <v>5346</v>
      </c>
      <c r="G35" s="127">
        <v>76726</v>
      </c>
      <c r="H35" s="127">
        <v>139367.37244750268</v>
      </c>
      <c r="I35" s="110">
        <f t="shared" si="0"/>
        <v>19360</v>
      </c>
      <c r="J35" s="110">
        <f t="shared" si="1"/>
        <v>96324</v>
      </c>
      <c r="K35" s="110">
        <f t="shared" si="5"/>
        <v>180124.37244750268</v>
      </c>
      <c r="L35" s="134">
        <f t="shared" si="2"/>
        <v>0.72386363636363638</v>
      </c>
      <c r="M35" s="134">
        <f t="shared" si="3"/>
        <v>0.20345915867281258</v>
      </c>
      <c r="N35" s="134">
        <f t="shared" si="4"/>
        <v>0.22627143371105229</v>
      </c>
      <c r="O35" s="133" t="str">
        <f t="shared" si="6"/>
        <v>Increased</v>
      </c>
      <c r="P35" s="133" t="str">
        <f t="shared" si="7"/>
        <v>Increased</v>
      </c>
      <c r="Q35" s="133" t="str">
        <f t="shared" si="8"/>
        <v>Balanced</v>
      </c>
      <c r="S35" s="111">
        <v>32</v>
      </c>
      <c r="T35" s="96" t="s">
        <v>31</v>
      </c>
      <c r="U35" s="41">
        <v>5.5497185519677856</v>
      </c>
      <c r="V35" s="41">
        <v>6.6605767149290012</v>
      </c>
      <c r="W35" s="41">
        <v>12.362024638000094</v>
      </c>
      <c r="X35" s="41">
        <v>2.099658039284515</v>
      </c>
      <c r="Y35" s="41">
        <v>25.972782615996739</v>
      </c>
      <c r="Z35" s="41">
        <v>42.24648380749376</v>
      </c>
      <c r="AA35" s="41">
        <v>7.6493765912523006</v>
      </c>
      <c r="AB35" s="41">
        <v>32.633359330925742</v>
      </c>
      <c r="AC35" s="41">
        <v>54.608508445493854</v>
      </c>
      <c r="AD35" s="133" t="str">
        <f t="shared" si="9"/>
        <v>Increased</v>
      </c>
    </row>
    <row r="36" spans="1:30" x14ac:dyDescent="0.3">
      <c r="A36" s="111">
        <v>33</v>
      </c>
      <c r="B36" s="96" t="s">
        <v>32</v>
      </c>
      <c r="C36" s="110">
        <v>4178</v>
      </c>
      <c r="D36" s="110">
        <v>15602</v>
      </c>
      <c r="E36" s="110">
        <v>18610.859009360374</v>
      </c>
      <c r="F36" s="127">
        <v>0</v>
      </c>
      <c r="G36" s="127">
        <v>10043</v>
      </c>
      <c r="H36" s="127">
        <v>8448.3207878315116</v>
      </c>
      <c r="I36" s="110">
        <f t="shared" si="0"/>
        <v>4178</v>
      </c>
      <c r="J36" s="110">
        <f t="shared" si="1"/>
        <v>25645</v>
      </c>
      <c r="K36" s="110">
        <f t="shared" si="5"/>
        <v>27059.179797191886</v>
      </c>
      <c r="L36" s="134">
        <f t="shared" si="2"/>
        <v>1</v>
      </c>
      <c r="M36" s="134">
        <f t="shared" si="3"/>
        <v>0.60838370052641844</v>
      </c>
      <c r="N36" s="134">
        <f t="shared" si="4"/>
        <v>0.68778355991750162</v>
      </c>
      <c r="O36" s="133" t="str">
        <f t="shared" si="6"/>
        <v>Increased</v>
      </c>
      <c r="P36" s="133" t="str">
        <f t="shared" si="7"/>
        <v>Increased</v>
      </c>
      <c r="Q36" s="133" t="str">
        <f t="shared" si="8"/>
        <v>Balanced</v>
      </c>
      <c r="S36" s="111">
        <v>33</v>
      </c>
      <c r="T36" s="96" t="s">
        <v>32</v>
      </c>
      <c r="U36" s="41">
        <v>18.952057373293837</v>
      </c>
      <c r="V36" s="41">
        <v>64.854830057441106</v>
      </c>
      <c r="W36" s="41">
        <v>72.50007161772831</v>
      </c>
      <c r="X36" s="41">
        <v>0</v>
      </c>
      <c r="Y36" s="41">
        <v>39.793314199454151</v>
      </c>
      <c r="Z36" s="41">
        <v>32.852091573059646</v>
      </c>
      <c r="AA36" s="41">
        <v>18.952057373293837</v>
      </c>
      <c r="AB36" s="41">
        <v>104.64814425689526</v>
      </c>
      <c r="AC36" s="41">
        <v>105.35216319078796</v>
      </c>
      <c r="AD36" s="133" t="str">
        <f t="shared" si="9"/>
        <v>Increased</v>
      </c>
    </row>
    <row r="37" spans="1:30" x14ac:dyDescent="0.3">
      <c r="A37" s="111">
        <v>34</v>
      </c>
      <c r="B37" s="96" t="s">
        <v>33</v>
      </c>
      <c r="C37" s="110">
        <v>5477</v>
      </c>
      <c r="D37" s="110">
        <v>6168</v>
      </c>
      <c r="E37" s="110">
        <v>6176.8688034042616</v>
      </c>
      <c r="F37" s="127">
        <v>6560</v>
      </c>
      <c r="G37" s="127">
        <v>3596</v>
      </c>
      <c r="H37" s="127">
        <v>6818.3026251918564</v>
      </c>
      <c r="I37" s="110">
        <f t="shared" si="0"/>
        <v>12037</v>
      </c>
      <c r="J37" s="110">
        <f t="shared" si="1"/>
        <v>9764</v>
      </c>
      <c r="K37" s="110">
        <f t="shared" si="5"/>
        <v>12995.171428596117</v>
      </c>
      <c r="L37" s="134">
        <f t="shared" si="2"/>
        <v>0.45501370773448535</v>
      </c>
      <c r="M37" s="134">
        <f t="shared" si="3"/>
        <v>0.63170831626382629</v>
      </c>
      <c r="N37" s="134">
        <f t="shared" si="4"/>
        <v>0.47532030164772943</v>
      </c>
      <c r="O37" s="133" t="str">
        <f t="shared" si="6"/>
        <v>Increased</v>
      </c>
      <c r="P37" s="133" t="str">
        <f t="shared" si="7"/>
        <v>Decreased</v>
      </c>
      <c r="Q37" s="133" t="str">
        <f t="shared" si="8"/>
        <v>Mismatch</v>
      </c>
      <c r="S37" s="111">
        <v>34</v>
      </c>
      <c r="T37" s="96" t="s">
        <v>33</v>
      </c>
      <c r="U37" s="41">
        <v>2.9362255771784778</v>
      </c>
      <c r="V37" s="41">
        <v>2.731976858986676</v>
      </c>
      <c r="W37" s="41">
        <v>2.3568659730003425</v>
      </c>
      <c r="X37" s="41">
        <v>3.5168230393081639</v>
      </c>
      <c r="Y37" s="41">
        <v>1.5878951101600574</v>
      </c>
      <c r="Z37" s="41">
        <v>2.5989823492576525</v>
      </c>
      <c r="AA37" s="41">
        <v>6.4530486164866421</v>
      </c>
      <c r="AB37" s="41">
        <v>4.3198719691467335</v>
      </c>
      <c r="AC37" s="41">
        <v>4.955848322257995</v>
      </c>
      <c r="AD37" s="133" t="str">
        <f t="shared" si="9"/>
        <v>Decreased</v>
      </c>
    </row>
    <row r="38" spans="1:30" x14ac:dyDescent="0.3">
      <c r="A38" s="111">
        <v>35</v>
      </c>
      <c r="B38" s="96" t="s">
        <v>34</v>
      </c>
      <c r="C38" s="110">
        <v>261989</v>
      </c>
      <c r="D38" s="110">
        <v>441434</v>
      </c>
      <c r="E38" s="110">
        <v>495915.88729767234</v>
      </c>
      <c r="F38" s="127">
        <v>331077</v>
      </c>
      <c r="G38" s="127">
        <v>537756</v>
      </c>
      <c r="H38" s="127">
        <v>303916.69881769194</v>
      </c>
      <c r="I38" s="110">
        <f t="shared" si="0"/>
        <v>593066</v>
      </c>
      <c r="J38" s="110">
        <f t="shared" si="1"/>
        <v>979190</v>
      </c>
      <c r="K38" s="110">
        <f t="shared" si="5"/>
        <v>799832.58611536422</v>
      </c>
      <c r="L38" s="134">
        <f t="shared" si="2"/>
        <v>0.44175353164740516</v>
      </c>
      <c r="M38" s="134">
        <f t="shared" si="3"/>
        <v>0.45081546992922722</v>
      </c>
      <c r="N38" s="134">
        <f t="shared" si="4"/>
        <v>0.62002461003275966</v>
      </c>
      <c r="O38" s="133" t="str">
        <f t="shared" si="6"/>
        <v>Increased</v>
      </c>
      <c r="P38" s="133" t="str">
        <f t="shared" si="7"/>
        <v>Increased</v>
      </c>
      <c r="Q38" s="133" t="str">
        <f t="shared" si="8"/>
        <v>Balanced</v>
      </c>
      <c r="S38" s="111">
        <v>35</v>
      </c>
      <c r="T38" s="96" t="s">
        <v>34</v>
      </c>
      <c r="U38" s="41">
        <v>14.994266155054937</v>
      </c>
      <c r="V38" s="41">
        <v>22.251085637910265</v>
      </c>
      <c r="W38" s="41">
        <v>22.692099302180001</v>
      </c>
      <c r="X38" s="41">
        <v>18.948340028845195</v>
      </c>
      <c r="Y38" s="41">
        <v>26.795572759104093</v>
      </c>
      <c r="Z38" s="41">
        <v>13.891883050958661</v>
      </c>
      <c r="AA38" s="41">
        <v>33.942606183900139</v>
      </c>
      <c r="AB38" s="41">
        <v>49.046658397014362</v>
      </c>
      <c r="AC38" s="41">
        <v>36.583982353138666</v>
      </c>
      <c r="AD38" s="133" t="str">
        <f t="shared" si="9"/>
        <v>Increased</v>
      </c>
    </row>
    <row r="39" spans="1:30" x14ac:dyDescent="0.3">
      <c r="A39" s="111">
        <v>36</v>
      </c>
      <c r="B39" s="96" t="s">
        <v>35</v>
      </c>
      <c r="C39" s="110">
        <v>11592</v>
      </c>
      <c r="D39" s="110">
        <v>17779</v>
      </c>
      <c r="E39" s="110">
        <v>18462.239749316621</v>
      </c>
      <c r="F39" s="127">
        <v>2695</v>
      </c>
      <c r="G39" s="127">
        <v>49680</v>
      </c>
      <c r="H39" s="127">
        <v>63680</v>
      </c>
      <c r="I39" s="110">
        <f t="shared" si="0"/>
        <v>14287</v>
      </c>
      <c r="J39" s="110">
        <f t="shared" si="1"/>
        <v>67459</v>
      </c>
      <c r="K39" s="110">
        <f t="shared" si="5"/>
        <v>82142.239749316621</v>
      </c>
      <c r="L39" s="134">
        <f t="shared" si="2"/>
        <v>0.8113669769720725</v>
      </c>
      <c r="M39" s="134">
        <f t="shared" si="3"/>
        <v>0.26355267644050462</v>
      </c>
      <c r="N39" s="134">
        <f t="shared" si="4"/>
        <v>0.22475939060902239</v>
      </c>
      <c r="O39" s="133" t="str">
        <f t="shared" si="6"/>
        <v>Increased</v>
      </c>
      <c r="P39" s="133" t="str">
        <f t="shared" si="7"/>
        <v>Decreased</v>
      </c>
      <c r="Q39" s="133" t="str">
        <f t="shared" si="8"/>
        <v>Mismatch</v>
      </c>
      <c r="S39" s="111">
        <v>36</v>
      </c>
      <c r="T39" s="96" t="s">
        <v>35</v>
      </c>
      <c r="U39" s="41">
        <v>10.441973743822771</v>
      </c>
      <c r="V39" s="41">
        <v>14.187099506595519</v>
      </c>
      <c r="W39" s="41">
        <v>13.401063461919398</v>
      </c>
      <c r="X39" s="41">
        <v>2.4069145827721221</v>
      </c>
      <c r="Y39" s="41">
        <v>39.643124106398872</v>
      </c>
      <c r="Z39" s="41">
        <v>46.22297905575703</v>
      </c>
      <c r="AA39" s="41">
        <v>12.848888326594892</v>
      </c>
      <c r="AB39" s="41">
        <v>53.830223612994395</v>
      </c>
      <c r="AC39" s="41">
        <v>59.624042517676429</v>
      </c>
      <c r="AD39" s="133" t="str">
        <f t="shared" si="9"/>
        <v>Decreased</v>
      </c>
    </row>
    <row r="40" spans="1:30" x14ac:dyDescent="0.3">
      <c r="A40" s="111">
        <v>37</v>
      </c>
      <c r="B40" s="96" t="s">
        <v>36</v>
      </c>
      <c r="C40" s="110">
        <v>536</v>
      </c>
      <c r="D40" s="110">
        <v>559</v>
      </c>
      <c r="E40" s="110">
        <v>613.28457017504911</v>
      </c>
      <c r="F40" s="127">
        <v>28</v>
      </c>
      <c r="G40" s="127">
        <v>1105</v>
      </c>
      <c r="H40" s="127">
        <v>828.14730820859995</v>
      </c>
      <c r="I40" s="110">
        <f t="shared" si="0"/>
        <v>564</v>
      </c>
      <c r="J40" s="110">
        <f t="shared" si="1"/>
        <v>1664</v>
      </c>
      <c r="K40" s="110">
        <f t="shared" si="5"/>
        <v>1441.4318783836491</v>
      </c>
      <c r="L40" s="134">
        <f t="shared" si="2"/>
        <v>0.95035460992907805</v>
      </c>
      <c r="M40" s="134">
        <f t="shared" si="3"/>
        <v>0.3359375</v>
      </c>
      <c r="N40" s="134">
        <f t="shared" si="4"/>
        <v>0.42546899327823684</v>
      </c>
      <c r="O40" s="133" t="str">
        <f t="shared" si="6"/>
        <v>Increased</v>
      </c>
      <c r="P40" s="133" t="str">
        <f t="shared" si="7"/>
        <v>Increased</v>
      </c>
      <c r="Q40" s="133" t="str">
        <f t="shared" si="8"/>
        <v>Balanced</v>
      </c>
      <c r="S40" s="111">
        <v>37</v>
      </c>
      <c r="T40" s="96" t="s">
        <v>36</v>
      </c>
      <c r="U40" s="41">
        <v>27.663516672946013</v>
      </c>
      <c r="V40" s="41">
        <v>26.449769096827922</v>
      </c>
      <c r="W40" s="41">
        <v>26.971849712707133</v>
      </c>
      <c r="X40" s="41">
        <v>1.4451090799300157</v>
      </c>
      <c r="Y40" s="41">
        <v>52.284427284427281</v>
      </c>
      <c r="Z40" s="41">
        <v>36.42137080117601</v>
      </c>
      <c r="AA40" s="41">
        <v>29.10862575287603</v>
      </c>
      <c r="AB40" s="41">
        <v>78.734196381255202</v>
      </c>
      <c r="AC40" s="41">
        <v>63.393220513883151</v>
      </c>
      <c r="AD40" s="133" t="str">
        <f t="shared" si="9"/>
        <v>Increased</v>
      </c>
    </row>
    <row r="41" spans="1:30" x14ac:dyDescent="0.3">
      <c r="A41" s="111">
        <v>38</v>
      </c>
      <c r="B41" s="96" t="s">
        <v>37</v>
      </c>
      <c r="C41" s="110">
        <v>6196</v>
      </c>
      <c r="D41" s="110">
        <v>10926</v>
      </c>
      <c r="E41" s="110">
        <v>11285.434623393408</v>
      </c>
      <c r="F41" s="127">
        <v>4932</v>
      </c>
      <c r="G41" s="127">
        <v>34349</v>
      </c>
      <c r="H41" s="127">
        <v>29939.877575931641</v>
      </c>
      <c r="I41" s="110">
        <f t="shared" si="0"/>
        <v>11128</v>
      </c>
      <c r="J41" s="110">
        <f t="shared" si="1"/>
        <v>45275</v>
      </c>
      <c r="K41" s="110">
        <f t="shared" si="5"/>
        <v>41225.312199325053</v>
      </c>
      <c r="L41" s="134">
        <f t="shared" si="2"/>
        <v>0.55679367361610355</v>
      </c>
      <c r="M41" s="134">
        <f t="shared" si="3"/>
        <v>0.24132523467697406</v>
      </c>
      <c r="N41" s="134">
        <f t="shared" si="4"/>
        <v>0.27375013120163044</v>
      </c>
      <c r="O41" s="133" t="str">
        <f t="shared" si="6"/>
        <v>Increased</v>
      </c>
      <c r="P41" s="133" t="str">
        <f t="shared" si="7"/>
        <v>Decreased</v>
      </c>
      <c r="Q41" s="133" t="str">
        <f t="shared" si="8"/>
        <v>Mismatch</v>
      </c>
      <c r="S41" s="111">
        <v>38</v>
      </c>
      <c r="T41" s="96" t="s">
        <v>37</v>
      </c>
      <c r="U41" s="41">
        <v>4.5573683566159886</v>
      </c>
      <c r="V41" s="41">
        <v>7.0151292697761525</v>
      </c>
      <c r="W41" s="41">
        <v>6.5171760234407232</v>
      </c>
      <c r="X41" s="41">
        <v>3.62765344332312</v>
      </c>
      <c r="Y41" s="41">
        <v>21.98985560686101</v>
      </c>
      <c r="Z41" s="41">
        <v>17.279709823939974</v>
      </c>
      <c r="AA41" s="41">
        <v>8.1850217999391077</v>
      </c>
      <c r="AB41" s="41">
        <v>29.00498487663717</v>
      </c>
      <c r="AC41" s="41">
        <v>23.796885847380697</v>
      </c>
      <c r="AD41" s="133" t="str">
        <f t="shared" si="9"/>
        <v>Decreased</v>
      </c>
    </row>
    <row r="42" spans="1:30" x14ac:dyDescent="0.3">
      <c r="A42" s="111">
        <v>39</v>
      </c>
      <c r="B42" s="96" t="s">
        <v>38</v>
      </c>
      <c r="C42" s="110">
        <v>530</v>
      </c>
      <c r="D42" s="110">
        <v>2020</v>
      </c>
      <c r="E42" s="110">
        <v>2592.4178512700573</v>
      </c>
      <c r="F42" s="127">
        <v>0</v>
      </c>
      <c r="G42" s="127">
        <v>525</v>
      </c>
      <c r="H42" s="127">
        <v>594.28457017504911</v>
      </c>
      <c r="I42" s="110">
        <f t="shared" si="0"/>
        <v>530</v>
      </c>
      <c r="J42" s="110">
        <f t="shared" si="1"/>
        <v>2545</v>
      </c>
      <c r="K42" s="110">
        <f t="shared" si="5"/>
        <v>3186.7024214451067</v>
      </c>
      <c r="L42" s="134">
        <f t="shared" si="2"/>
        <v>1</v>
      </c>
      <c r="M42" s="134">
        <f t="shared" si="3"/>
        <v>0.79371316306483297</v>
      </c>
      <c r="N42" s="134">
        <f t="shared" si="4"/>
        <v>0.81351111852309288</v>
      </c>
      <c r="O42" s="133" t="str">
        <f t="shared" si="6"/>
        <v>Increased</v>
      </c>
      <c r="P42" s="133" t="str">
        <f t="shared" si="7"/>
        <v>Increased</v>
      </c>
      <c r="Q42" s="133" t="str">
        <f t="shared" si="8"/>
        <v>Balanced</v>
      </c>
      <c r="S42" s="111">
        <v>39</v>
      </c>
      <c r="T42" s="96" t="s">
        <v>38</v>
      </c>
      <c r="U42" s="41">
        <v>54.800752734867757</v>
      </c>
      <c r="V42" s="41">
        <v>195.92438482652926</v>
      </c>
      <c r="W42" s="41">
        <v>242.01401730513936</v>
      </c>
      <c r="X42" s="41">
        <v>0</v>
      </c>
      <c r="Y42" s="41">
        <v>50.726957061522185</v>
      </c>
      <c r="Z42" s="41">
        <v>54.452272032846714</v>
      </c>
      <c r="AA42" s="41">
        <v>54.800752734867757</v>
      </c>
      <c r="AB42" s="41">
        <v>246.65134188805143</v>
      </c>
      <c r="AC42" s="41">
        <v>296.4662893379861</v>
      </c>
      <c r="AD42" s="133" t="str">
        <f t="shared" si="9"/>
        <v>Increased</v>
      </c>
    </row>
    <row r="43" spans="1:30" x14ac:dyDescent="0.3">
      <c r="A43" s="111">
        <v>40</v>
      </c>
      <c r="B43" s="96" t="s">
        <v>39</v>
      </c>
      <c r="C43" s="110">
        <v>8293</v>
      </c>
      <c r="D43" s="110">
        <v>7320</v>
      </c>
      <c r="E43" s="110">
        <v>20252.811629184373</v>
      </c>
      <c r="F43" s="127">
        <v>4557</v>
      </c>
      <c r="G43" s="127">
        <v>2288</v>
      </c>
      <c r="H43" s="127">
        <v>18898.61224042462</v>
      </c>
      <c r="I43" s="110">
        <f t="shared" si="0"/>
        <v>12850</v>
      </c>
      <c r="J43" s="110">
        <f t="shared" si="1"/>
        <v>9608</v>
      </c>
      <c r="K43" s="110">
        <f t="shared" si="5"/>
        <v>39151.423869608989</v>
      </c>
      <c r="L43" s="134">
        <f t="shared" si="2"/>
        <v>0.64536964980544742</v>
      </c>
      <c r="M43" s="134">
        <f t="shared" si="3"/>
        <v>0.76186511240632804</v>
      </c>
      <c r="N43" s="134">
        <f t="shared" si="4"/>
        <v>0.51729438236103265</v>
      </c>
      <c r="O43" s="133" t="str">
        <f t="shared" si="6"/>
        <v>Increased</v>
      </c>
      <c r="P43" s="133" t="str">
        <f t="shared" si="7"/>
        <v>Increased</v>
      </c>
      <c r="Q43" s="133" t="str">
        <f t="shared" si="8"/>
        <v>Balanced</v>
      </c>
      <c r="S43" s="111">
        <v>40</v>
      </c>
      <c r="T43" s="96" t="s">
        <v>39</v>
      </c>
      <c r="U43" s="41">
        <v>11.906918137676456</v>
      </c>
      <c r="V43" s="41">
        <v>9.3114595445704076</v>
      </c>
      <c r="W43" s="41">
        <v>23.534133501916237</v>
      </c>
      <c r="X43" s="41">
        <v>6.5428464914254931</v>
      </c>
      <c r="Y43" s="41">
        <v>2.747643800037169</v>
      </c>
      <c r="Z43" s="41">
        <v>21.943167738064904</v>
      </c>
      <c r="AA43" s="41">
        <v>18.449764629101949</v>
      </c>
      <c r="AB43" s="41">
        <v>12.059103344607577</v>
      </c>
      <c r="AC43" s="41">
        <v>45.477301239981145</v>
      </c>
      <c r="AD43" s="133" t="str">
        <f t="shared" si="9"/>
        <v>Increased</v>
      </c>
    </row>
    <row r="44" spans="1:30" x14ac:dyDescent="0.3">
      <c r="A44" s="111">
        <v>41</v>
      </c>
      <c r="B44" s="96" t="s">
        <v>40</v>
      </c>
      <c r="C44" s="110">
        <v>90079</v>
      </c>
      <c r="D44" s="110">
        <v>354250</v>
      </c>
      <c r="E44" s="110">
        <v>468293.95185969712</v>
      </c>
      <c r="F44" s="127">
        <v>23469</v>
      </c>
      <c r="G44" s="127">
        <v>214207</v>
      </c>
      <c r="H44" s="127">
        <v>191862.74170800057</v>
      </c>
      <c r="I44" s="110">
        <f t="shared" si="0"/>
        <v>113548</v>
      </c>
      <c r="J44" s="110">
        <f t="shared" si="1"/>
        <v>568457</v>
      </c>
      <c r="K44" s="110">
        <f t="shared" si="5"/>
        <v>660156.69356769766</v>
      </c>
      <c r="L44" s="134">
        <f t="shared" si="2"/>
        <v>0.7933120794729982</v>
      </c>
      <c r="M44" s="134">
        <f t="shared" si="3"/>
        <v>0.62317818234272782</v>
      </c>
      <c r="N44" s="134">
        <f t="shared" si="4"/>
        <v>0.70936787647927491</v>
      </c>
      <c r="O44" s="133" t="str">
        <f t="shared" si="6"/>
        <v>Increased</v>
      </c>
      <c r="P44" s="133" t="str">
        <f t="shared" si="7"/>
        <v>Increased</v>
      </c>
      <c r="Q44" s="133" t="str">
        <f t="shared" si="8"/>
        <v>Balanced</v>
      </c>
      <c r="S44" s="111">
        <v>41</v>
      </c>
      <c r="T44" s="96" t="s">
        <v>40</v>
      </c>
      <c r="U44" s="41">
        <v>16.720429532704841</v>
      </c>
      <c r="V44" s="41">
        <v>61.781000175533016</v>
      </c>
      <c r="W44" s="41">
        <v>78.187272031248852</v>
      </c>
      <c r="X44" s="41">
        <v>4.3563068051715703</v>
      </c>
      <c r="Y44" s="41">
        <v>36.776829849021532</v>
      </c>
      <c r="Z44" s="41">
        <v>31.953268649492806</v>
      </c>
      <c r="AA44" s="41">
        <v>21.076736337876412</v>
      </c>
      <c r="AB44" s="41">
        <v>98.557830024554548</v>
      </c>
      <c r="AC44" s="41">
        <v>110.14054068074168</v>
      </c>
      <c r="AD44" s="133" t="str">
        <f t="shared" si="9"/>
        <v>Increased</v>
      </c>
    </row>
    <row r="45" spans="1:30" x14ac:dyDescent="0.3">
      <c r="A45" s="111">
        <v>42</v>
      </c>
      <c r="B45" s="96" t="s">
        <v>41</v>
      </c>
      <c r="C45" s="110">
        <v>0</v>
      </c>
      <c r="D45" s="110">
        <v>6413</v>
      </c>
      <c r="E45" s="110">
        <v>8616.9328736015086</v>
      </c>
      <c r="F45" s="127">
        <v>0</v>
      </c>
      <c r="G45" s="127">
        <v>10147</v>
      </c>
      <c r="H45" s="127">
        <v>12908</v>
      </c>
      <c r="I45" s="110">
        <f t="shared" si="0"/>
        <v>0</v>
      </c>
      <c r="J45" s="110">
        <f t="shared" si="1"/>
        <v>16560</v>
      </c>
      <c r="K45" s="110">
        <f t="shared" si="5"/>
        <v>21524.932873601509</v>
      </c>
      <c r="L45" s="134"/>
      <c r="M45" s="134">
        <f t="shared" ref="M45:N51" si="10">D45/J45</f>
        <v>0.38725845410628018</v>
      </c>
      <c r="N45" s="134">
        <f t="shared" si="10"/>
        <v>0.40032333314123553</v>
      </c>
      <c r="O45" s="133" t="str">
        <f t="shared" si="6"/>
        <v>Increased</v>
      </c>
      <c r="P45" s="133" t="str">
        <f t="shared" si="7"/>
        <v>Increased</v>
      </c>
      <c r="Q45" s="133" t="str">
        <f t="shared" si="8"/>
        <v>Balanced</v>
      </c>
      <c r="S45" s="111">
        <v>42</v>
      </c>
      <c r="T45" s="96" t="s">
        <v>41</v>
      </c>
      <c r="U45" s="41">
        <v>0</v>
      </c>
      <c r="V45" s="41">
        <v>6.1691166210748785</v>
      </c>
      <c r="W45" s="41">
        <v>7.8959074273939986</v>
      </c>
      <c r="X45" s="41">
        <v>0</v>
      </c>
      <c r="Y45" s="41">
        <v>9.7409129744276033</v>
      </c>
      <c r="Z45" s="41">
        <v>11.808674908975751</v>
      </c>
      <c r="AA45" s="41">
        <v>0</v>
      </c>
      <c r="AB45" s="41">
        <v>15.910029595502481</v>
      </c>
      <c r="AC45" s="41">
        <v>19.70458233636975</v>
      </c>
      <c r="AD45" s="133" t="str">
        <f t="shared" si="9"/>
        <v>Increased</v>
      </c>
    </row>
    <row r="46" spans="1:30" x14ac:dyDescent="0.3">
      <c r="A46" s="111">
        <v>43</v>
      </c>
      <c r="B46" s="96" t="s">
        <v>42</v>
      </c>
      <c r="C46" s="110">
        <v>23402</v>
      </c>
      <c r="D46" s="110">
        <v>39366</v>
      </c>
      <c r="E46" s="110">
        <v>49814.905399934454</v>
      </c>
      <c r="F46" s="127">
        <v>15093</v>
      </c>
      <c r="G46" s="127">
        <v>69773</v>
      </c>
      <c r="H46" s="127">
        <v>138070.13653100963</v>
      </c>
      <c r="I46" s="110">
        <f t="shared" si="0"/>
        <v>38495</v>
      </c>
      <c r="J46" s="110">
        <f t="shared" si="1"/>
        <v>109139</v>
      </c>
      <c r="K46" s="110">
        <f t="shared" si="5"/>
        <v>187885.04193094408</v>
      </c>
      <c r="L46" s="134">
        <f t="shared" ref="L46:L51" si="11">C46/I46</f>
        <v>0.60792310689699958</v>
      </c>
      <c r="M46" s="134">
        <f t="shared" si="10"/>
        <v>0.36069599318300516</v>
      </c>
      <c r="N46" s="134">
        <f t="shared" si="10"/>
        <v>0.26513502558784641</v>
      </c>
      <c r="O46" s="133" t="str">
        <f t="shared" si="6"/>
        <v>Increased</v>
      </c>
      <c r="P46" s="133" t="str">
        <f t="shared" si="7"/>
        <v>Increased</v>
      </c>
      <c r="Q46" s="133" t="str">
        <f t="shared" si="8"/>
        <v>Balanced</v>
      </c>
      <c r="S46" s="111">
        <v>43</v>
      </c>
      <c r="T46" s="96" t="s">
        <v>42</v>
      </c>
      <c r="U46" s="41">
        <v>4.7513236254288476</v>
      </c>
      <c r="V46" s="41">
        <v>6.7766740907794407</v>
      </c>
      <c r="W46" s="41">
        <v>7.605590561668536</v>
      </c>
      <c r="X46" s="41">
        <v>3.0521599889356406</v>
      </c>
      <c r="Y46" s="41">
        <v>11.995776998980709</v>
      </c>
      <c r="Z46" s="41">
        <v>21.077761406905779</v>
      </c>
      <c r="AA46" s="41">
        <v>7.8034836143644881</v>
      </c>
      <c r="AB46" s="41">
        <v>18.77245108976015</v>
      </c>
      <c r="AC46" s="41">
        <v>28.683351968574311</v>
      </c>
      <c r="AD46" s="133" t="str">
        <f t="shared" si="9"/>
        <v>Increased</v>
      </c>
    </row>
    <row r="47" spans="1:30" x14ac:dyDescent="0.3">
      <c r="A47" s="111">
        <v>44</v>
      </c>
      <c r="B47" s="96" t="s">
        <v>43</v>
      </c>
      <c r="C47" s="110">
        <v>2532</v>
      </c>
      <c r="D47" s="110">
        <v>4137</v>
      </c>
      <c r="E47" s="110">
        <v>5574.9682728198168</v>
      </c>
      <c r="F47" s="127">
        <v>638</v>
      </c>
      <c r="G47" s="127">
        <v>22503</v>
      </c>
      <c r="H47" s="127">
        <v>21202.2429589413</v>
      </c>
      <c r="I47" s="110">
        <f t="shared" si="0"/>
        <v>3170</v>
      </c>
      <c r="J47" s="110">
        <f t="shared" si="1"/>
        <v>26640</v>
      </c>
      <c r="K47" s="110">
        <f t="shared" si="5"/>
        <v>26777.211231761117</v>
      </c>
      <c r="L47" s="134">
        <f t="shared" si="11"/>
        <v>0.79873817034700312</v>
      </c>
      <c r="M47" s="134">
        <f t="shared" si="10"/>
        <v>0.15529279279279279</v>
      </c>
      <c r="N47" s="134">
        <f t="shared" si="10"/>
        <v>0.20819824083126356</v>
      </c>
      <c r="O47" s="133" t="str">
        <f t="shared" si="6"/>
        <v>Increased</v>
      </c>
      <c r="P47" s="133" t="str">
        <f t="shared" si="7"/>
        <v>Increased</v>
      </c>
      <c r="Q47" s="133" t="str">
        <f t="shared" si="8"/>
        <v>Balanced</v>
      </c>
      <c r="S47" s="111">
        <v>44</v>
      </c>
      <c r="T47" s="96" t="s">
        <v>43</v>
      </c>
      <c r="U47" s="41">
        <v>3.5630712154083408</v>
      </c>
      <c r="V47" s="41">
        <v>5.1412514405011063</v>
      </c>
      <c r="W47" s="41">
        <v>6.3003257177536511</v>
      </c>
      <c r="X47" s="41">
        <v>0.89780388445123283</v>
      </c>
      <c r="Y47" s="41">
        <v>27.897223189840187</v>
      </c>
      <c r="Z47" s="41">
        <v>23.934903744456289</v>
      </c>
      <c r="AA47" s="41">
        <v>4.4608750998595736</v>
      </c>
      <c r="AB47" s="41">
        <v>33.038474630341284</v>
      </c>
      <c r="AC47" s="41">
        <v>30.235229462209936</v>
      </c>
      <c r="AD47" s="133" t="str">
        <f t="shared" si="9"/>
        <v>Increased</v>
      </c>
    </row>
    <row r="48" spans="1:30" x14ac:dyDescent="0.3">
      <c r="A48" s="111">
        <v>45</v>
      </c>
      <c r="B48" s="96" t="s">
        <v>44</v>
      </c>
      <c r="C48" s="110">
        <v>51995</v>
      </c>
      <c r="D48" s="110">
        <v>77940</v>
      </c>
      <c r="E48" s="110">
        <v>121325.78132796781</v>
      </c>
      <c r="F48" s="127">
        <v>207921</v>
      </c>
      <c r="G48" s="127">
        <v>190898</v>
      </c>
      <c r="H48" s="127">
        <v>215143.86052313884</v>
      </c>
      <c r="I48" s="110">
        <f t="shared" si="0"/>
        <v>259916</v>
      </c>
      <c r="J48" s="110">
        <f t="shared" si="1"/>
        <v>268838</v>
      </c>
      <c r="K48" s="110">
        <f t="shared" si="5"/>
        <v>336469.64185110666</v>
      </c>
      <c r="L48" s="134">
        <f t="shared" si="11"/>
        <v>0.20004539928284523</v>
      </c>
      <c r="M48" s="134">
        <f t="shared" si="10"/>
        <v>0.28991437222416472</v>
      </c>
      <c r="N48" s="134">
        <f t="shared" si="10"/>
        <v>0.36058463004414665</v>
      </c>
      <c r="O48" s="133" t="str">
        <f t="shared" si="6"/>
        <v>Increased</v>
      </c>
      <c r="P48" s="133" t="str">
        <f t="shared" si="7"/>
        <v>Increased</v>
      </c>
      <c r="Q48" s="133" t="str">
        <f t="shared" si="8"/>
        <v>Balanced</v>
      </c>
      <c r="S48" s="111">
        <v>45</v>
      </c>
      <c r="T48" s="96" t="s">
        <v>44</v>
      </c>
      <c r="U48" s="41">
        <v>14.740498339124736</v>
      </c>
      <c r="V48" s="41">
        <v>18.773758505730214</v>
      </c>
      <c r="W48" s="41">
        <v>25.677639566139653</v>
      </c>
      <c r="X48" s="41">
        <v>58.880912819428268</v>
      </c>
      <c r="Y48" s="41">
        <v>45.975234006565493</v>
      </c>
      <c r="Z48" s="41">
        <v>45.262166963612259</v>
      </c>
      <c r="AA48" s="41">
        <v>73.621411158553016</v>
      </c>
      <c r="AB48" s="41">
        <v>64.7489925122957</v>
      </c>
      <c r="AC48" s="41">
        <v>70.939806529751905</v>
      </c>
      <c r="AD48" s="133" t="str">
        <f t="shared" si="9"/>
        <v>Increased</v>
      </c>
    </row>
    <row r="49" spans="1:31" x14ac:dyDescent="0.3">
      <c r="A49" s="111">
        <v>46</v>
      </c>
      <c r="B49" s="96" t="s">
        <v>45</v>
      </c>
      <c r="C49" s="110">
        <v>4278</v>
      </c>
      <c r="D49" s="110">
        <v>30782</v>
      </c>
      <c r="E49" s="110">
        <v>69982</v>
      </c>
      <c r="F49" s="127">
        <v>5507</v>
      </c>
      <c r="G49" s="127">
        <v>32379</v>
      </c>
      <c r="H49" s="127">
        <v>42023.819684990805</v>
      </c>
      <c r="I49" s="110">
        <f t="shared" si="0"/>
        <v>9785</v>
      </c>
      <c r="J49" s="110">
        <f t="shared" si="1"/>
        <v>63161</v>
      </c>
      <c r="K49" s="110">
        <f t="shared" si="5"/>
        <v>112005.8196849908</v>
      </c>
      <c r="L49" s="134">
        <f t="shared" si="11"/>
        <v>0.43719979560551864</v>
      </c>
      <c r="M49" s="134">
        <f t="shared" si="10"/>
        <v>0.4873577049128418</v>
      </c>
      <c r="N49" s="134">
        <f t="shared" si="10"/>
        <v>0.62480681983150432</v>
      </c>
      <c r="O49" s="133" t="str">
        <f t="shared" si="6"/>
        <v>Increased</v>
      </c>
      <c r="P49" s="133" t="str">
        <f t="shared" si="7"/>
        <v>Increased</v>
      </c>
      <c r="Q49" s="133" t="str">
        <f t="shared" si="8"/>
        <v>Balanced</v>
      </c>
      <c r="S49" s="111">
        <v>46</v>
      </c>
      <c r="T49" s="96" t="s">
        <v>45</v>
      </c>
      <c r="U49" s="41">
        <v>2.8080123001178361</v>
      </c>
      <c r="V49" s="41">
        <v>17.258457426269619</v>
      </c>
      <c r="W49" s="41">
        <v>34.960104008082851</v>
      </c>
      <c r="X49" s="41">
        <v>3.5799203096873948</v>
      </c>
      <c r="Y49" s="41">
        <v>18.153842927853422</v>
      </c>
      <c r="Z49" s="41">
        <v>20.979369324854559</v>
      </c>
      <c r="AA49" s="41">
        <v>6.3879326098052314</v>
      </c>
      <c r="AB49" s="41">
        <v>35.412300354123047</v>
      </c>
      <c r="AC49" s="41">
        <v>55.939473332937403</v>
      </c>
      <c r="AD49" s="133" t="str">
        <f t="shared" si="9"/>
        <v>Increased</v>
      </c>
    </row>
    <row r="50" spans="1:31" x14ac:dyDescent="0.3">
      <c r="A50" s="111">
        <v>47</v>
      </c>
      <c r="B50" s="96" t="s">
        <v>46</v>
      </c>
      <c r="C50" s="110">
        <v>21148</v>
      </c>
      <c r="D50" s="110">
        <v>35628</v>
      </c>
      <c r="E50" s="110">
        <v>62258.419764351172</v>
      </c>
      <c r="F50" s="127">
        <v>15850</v>
      </c>
      <c r="G50" s="127">
        <v>36886</v>
      </c>
      <c r="H50" s="127">
        <v>42581.173443884632</v>
      </c>
      <c r="I50" s="110">
        <f t="shared" si="0"/>
        <v>36998</v>
      </c>
      <c r="J50" s="110">
        <f t="shared" si="1"/>
        <v>72514</v>
      </c>
      <c r="K50" s="110">
        <f t="shared" si="5"/>
        <v>104839.5932082358</v>
      </c>
      <c r="L50" s="134">
        <f t="shared" si="11"/>
        <v>0.57159846478188014</v>
      </c>
      <c r="M50" s="134">
        <f t="shared" si="10"/>
        <v>0.49132581294646549</v>
      </c>
      <c r="N50" s="134">
        <f t="shared" si="10"/>
        <v>0.59384453772814128</v>
      </c>
      <c r="O50" s="133" t="str">
        <f t="shared" si="6"/>
        <v>Increased</v>
      </c>
      <c r="P50" s="133" t="str">
        <f t="shared" si="7"/>
        <v>Increased</v>
      </c>
      <c r="Q50" s="133" t="str">
        <f t="shared" si="8"/>
        <v>Balanced</v>
      </c>
      <c r="S50" s="111">
        <v>47</v>
      </c>
      <c r="T50" s="96" t="s">
        <v>46</v>
      </c>
      <c r="U50" s="41">
        <v>15.601137891580859</v>
      </c>
      <c r="V50" s="41">
        <v>23.66965484875815</v>
      </c>
      <c r="W50" s="41">
        <v>38.14728630825762</v>
      </c>
      <c r="X50" s="41">
        <v>11.673558066785303</v>
      </c>
      <c r="Y50" s="41">
        <v>24.478839748437824</v>
      </c>
      <c r="Z50" s="41">
        <v>25.895700272536768</v>
      </c>
      <c r="AA50" s="41">
        <v>27.274695958366152</v>
      </c>
      <c r="AB50" s="41">
        <v>48.14849459719597</v>
      </c>
      <c r="AC50" s="41">
        <v>64.042986580794391</v>
      </c>
      <c r="AD50" s="133" t="str">
        <f t="shared" si="9"/>
        <v>Increased</v>
      </c>
    </row>
    <row r="51" spans="1:31" s="137" customFormat="1" x14ac:dyDescent="0.3">
      <c r="A51" s="135">
        <v>48</v>
      </c>
      <c r="B51" s="119" t="s">
        <v>47</v>
      </c>
      <c r="C51" s="120">
        <f>SUM(C4:C50)</f>
        <v>841834</v>
      </c>
      <c r="D51" s="120">
        <f t="shared" ref="D51:J51" si="12">SUM(D4:D50)</f>
        <v>1994699</v>
      </c>
      <c r="E51" s="120">
        <f t="shared" si="12"/>
        <v>2609320.8581257504</v>
      </c>
      <c r="F51" s="120">
        <f t="shared" si="12"/>
        <v>724195</v>
      </c>
      <c r="G51" s="120">
        <f t="shared" si="12"/>
        <v>2312731</v>
      </c>
      <c r="H51" s="120">
        <f t="shared" si="12"/>
        <v>2488957.6157619865</v>
      </c>
      <c r="I51" s="120">
        <f t="shared" si="12"/>
        <v>1566029</v>
      </c>
      <c r="J51" s="120">
        <f t="shared" si="12"/>
        <v>4307430</v>
      </c>
      <c r="K51" s="120">
        <f>SUM(K4:K50)</f>
        <v>5098278.4738877341</v>
      </c>
      <c r="L51" s="136">
        <f t="shared" si="11"/>
        <v>0.53755964927852551</v>
      </c>
      <c r="M51" s="136">
        <f t="shared" si="10"/>
        <v>0.46308332346666109</v>
      </c>
      <c r="N51" s="136">
        <f t="shared" si="10"/>
        <v>0.51180430246996522</v>
      </c>
      <c r="O51" s="133"/>
      <c r="P51" s="133">
        <f t="shared" si="7"/>
        <v>0</v>
      </c>
      <c r="Q51" s="133"/>
      <c r="S51" s="128">
        <v>48</v>
      </c>
      <c r="T51" s="119" t="s">
        <v>47</v>
      </c>
      <c r="U51" s="42">
        <f>AVERAGE(U4:U50)</f>
        <v>11.13650671070585</v>
      </c>
      <c r="V51" s="42">
        <f t="shared" ref="V51:AC51" si="13">AVERAGE(V4:V50)</f>
        <v>23.576970255075228</v>
      </c>
      <c r="W51" s="42">
        <f t="shared" si="13"/>
        <v>26.824343944304964</v>
      </c>
      <c r="X51" s="42">
        <f t="shared" si="13"/>
        <v>8.3497580937222491</v>
      </c>
      <c r="Y51" s="42">
        <f>AVERAGE(Y4:Y50)</f>
        <v>26.690656580821251</v>
      </c>
      <c r="Z51" s="42">
        <f t="shared" si="13"/>
        <v>27.342382346071645</v>
      </c>
      <c r="AA51" s="42">
        <f t="shared" si="13"/>
        <v>19.486264804428103</v>
      </c>
      <c r="AB51" s="42">
        <f t="shared" si="13"/>
        <v>50.267626835896493</v>
      </c>
      <c r="AC51" s="42">
        <f t="shared" si="13"/>
        <v>54.166726290376602</v>
      </c>
    </row>
    <row r="53" spans="1:31" x14ac:dyDescent="0.3">
      <c r="N53" s="133" t="s">
        <v>327</v>
      </c>
      <c r="O53" s="133">
        <f>COUNTIF(O4:O50,"Decreased")</f>
        <v>10</v>
      </c>
      <c r="P53" s="138">
        <f>(O53/47)</f>
        <v>0.21276595744680851</v>
      </c>
      <c r="Q53" s="139">
        <f>COUNTIF(Q4:Q50,"Mismatch")</f>
        <v>8</v>
      </c>
      <c r="V53" s="133">
        <f>QUARTILE(V4:V50,3)</f>
        <v>25.059711972793036</v>
      </c>
      <c r="W53" s="133">
        <f>QUARTILE(W4:W50,3)</f>
        <v>29.115174255379031</v>
      </c>
      <c r="AC53" s="133" t="s">
        <v>327</v>
      </c>
      <c r="AD53" s="133">
        <f>COUNTIF(AD4:AD50,"Decreased")</f>
        <v>18</v>
      </c>
      <c r="AE53" s="138">
        <f>(AD53/47)</f>
        <v>0.38297872340425532</v>
      </c>
    </row>
    <row r="54" spans="1:31" x14ac:dyDescent="0.3">
      <c r="C54" s="133" t="s">
        <v>88</v>
      </c>
      <c r="N54" s="133" t="s">
        <v>326</v>
      </c>
      <c r="O54" s="133">
        <f>COUNTIF(O4:O50,"Increased")</f>
        <v>37</v>
      </c>
      <c r="P54" s="138">
        <f t="shared" ref="P54:P55" si="14">(O54/47)</f>
        <v>0.78723404255319152</v>
      </c>
      <c r="Q54" s="138">
        <f>8/47</f>
        <v>0.1702127659574468</v>
      </c>
      <c r="V54" s="133">
        <f>QUARTILE(V4:V50,1)</f>
        <v>6.7186254028542205</v>
      </c>
      <c r="W54" s="133">
        <f>QUARTILE(W4:W50,1)</f>
        <v>8.2131673022136429</v>
      </c>
      <c r="AC54" s="133" t="s">
        <v>326</v>
      </c>
      <c r="AD54" s="133">
        <f>COUNTIF(AD4:AD50,"Increased")</f>
        <v>29</v>
      </c>
      <c r="AE54" s="138">
        <f>1-AE53</f>
        <v>0.61702127659574468</v>
      </c>
    </row>
    <row r="55" spans="1:31" x14ac:dyDescent="0.3">
      <c r="N55" s="133" t="s">
        <v>328</v>
      </c>
      <c r="O55" s="133">
        <f>47-(O54+O53)</f>
        <v>0</v>
      </c>
      <c r="P55" s="138">
        <f t="shared" si="14"/>
        <v>0</v>
      </c>
      <c r="Q55" s="138"/>
    </row>
    <row r="56" spans="1:31" x14ac:dyDescent="0.3">
      <c r="E56" s="140">
        <f>((E51/D51)^(1/4))-1</f>
        <v>6.9455033799906252E-2</v>
      </c>
      <c r="G56" s="140">
        <f>(H51/F51)^(1/9)-1</f>
        <v>0.14702676837881556</v>
      </c>
      <c r="H56" s="140">
        <f>((H51/G51)^(1/4))-1</f>
        <v>1.8528286829938567E-2</v>
      </c>
      <c r="J56" s="140">
        <f>(K51/I51)^(1/9)-1</f>
        <v>0.14014003239729167</v>
      </c>
      <c r="K56" s="140">
        <f>((K51/J51)^(1/4))-1</f>
        <v>4.3040882742754194E-2</v>
      </c>
      <c r="W56" s="140">
        <f>((W51/V51)^(1/4))-1</f>
        <v>3.2785848205820534E-2</v>
      </c>
      <c r="Z56" s="140">
        <f>((Z51/Y51)^(1/4))-1</f>
        <v>6.0493241742534121E-3</v>
      </c>
      <c r="AC56" s="140">
        <f>((AC51/AB51)^(1/4))-1</f>
        <v>1.8851880939963594E-2</v>
      </c>
    </row>
    <row r="57" spans="1:31" x14ac:dyDescent="0.3">
      <c r="G57" s="138">
        <f>((E51/C51)^(1/9))-1</f>
        <v>0.13393719904621504</v>
      </c>
      <c r="V57" s="133" t="s">
        <v>391</v>
      </c>
      <c r="W57" s="138">
        <f>((W51/U51)^(1/4))-1</f>
        <v>0.245790547962629</v>
      </c>
    </row>
    <row r="58" spans="1:31" x14ac:dyDescent="0.3">
      <c r="J58" s="141">
        <f>(K51-J51)/4</f>
        <v>197712.11847193353</v>
      </c>
      <c r="V58" s="133" t="s">
        <v>390</v>
      </c>
      <c r="W58" s="138">
        <f>W51/V51-1</f>
        <v>0.13773498690022312</v>
      </c>
    </row>
    <row r="59" spans="1:31" x14ac:dyDescent="0.3">
      <c r="F59" s="133">
        <f>E51/C51</f>
        <v>3.0995669670335841</v>
      </c>
      <c r="V59" s="133" t="s">
        <v>389</v>
      </c>
      <c r="W59" s="138">
        <f>(W51/U51)-1</f>
        <v>1.4086856535108927</v>
      </c>
    </row>
  </sheetData>
  <mergeCells count="7">
    <mergeCell ref="AA2:AC2"/>
    <mergeCell ref="C2:E2"/>
    <mergeCell ref="F2:H2"/>
    <mergeCell ref="I2:K2"/>
    <mergeCell ref="L2:N2"/>
    <mergeCell ref="U2:W2"/>
    <mergeCell ref="X2:Z2"/>
  </mergeCells>
  <conditionalFormatting sqref="O4:O51">
    <cfRule type="containsText" dxfId="1" priority="1" operator="containsText" text="Decreased">
      <formula>NOT(ISERROR(SEARCH("Decreased",O4)))</formula>
    </cfRule>
  </conditionalFormatting>
  <conditionalFormatting sqref="AD4:AD50">
    <cfRule type="containsText" dxfId="0" priority="2" operator="containsText" text="Decreased">
      <formula>NOT(ISERROR(SEARCH("Decreased",AD4)))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478A-F4F5-47F0-8675-C26FE186CB56}">
  <dimension ref="A1:AD14"/>
  <sheetViews>
    <sheetView topLeftCell="G1" workbookViewId="0">
      <selection activeCell="Q29" sqref="Q29"/>
    </sheetView>
  </sheetViews>
  <sheetFormatPr defaultRowHeight="14.5" x14ac:dyDescent="0.35"/>
  <cols>
    <col min="2" max="2" width="18.54296875" bestFit="1" customWidth="1"/>
    <col min="6" max="6" width="18.54296875" bestFit="1" customWidth="1"/>
    <col min="10" max="10" width="18.08984375" bestFit="1" customWidth="1"/>
    <col min="14" max="14" width="18.08984375" bestFit="1" customWidth="1"/>
  </cols>
  <sheetData>
    <row r="1" spans="1:30" x14ac:dyDescent="0.35">
      <c r="B1" t="s">
        <v>322</v>
      </c>
      <c r="G1" t="s">
        <v>324</v>
      </c>
      <c r="K1" t="s">
        <v>323</v>
      </c>
      <c r="O1" t="s">
        <v>323</v>
      </c>
    </row>
    <row r="2" spans="1:30" ht="56.5" x14ac:dyDescent="0.35">
      <c r="B2" s="10" t="s">
        <v>48</v>
      </c>
      <c r="C2" s="82" t="s">
        <v>92</v>
      </c>
      <c r="D2" s="83"/>
      <c r="F2" s="10" t="s">
        <v>48</v>
      </c>
      <c r="G2" s="82" t="s">
        <v>93</v>
      </c>
      <c r="J2" s="10" t="s">
        <v>48</v>
      </c>
      <c r="K2" s="82" t="s">
        <v>92</v>
      </c>
      <c r="L2" s="83"/>
      <c r="M2">
        <v>2018</v>
      </c>
      <c r="N2" s="10" t="s">
        <v>48</v>
      </c>
      <c r="O2" s="82" t="s">
        <v>93</v>
      </c>
      <c r="AC2" s="10" t="s">
        <v>48</v>
      </c>
      <c r="AD2" s="11" t="s">
        <v>93</v>
      </c>
    </row>
    <row r="3" spans="1:30" x14ac:dyDescent="0.35">
      <c r="A3">
        <v>1</v>
      </c>
      <c r="B3" s="3" t="s">
        <v>33</v>
      </c>
      <c r="C3" s="26">
        <v>2.731976858986676</v>
      </c>
      <c r="D3" s="78"/>
      <c r="E3">
        <f>_xlfn.XLOOKUP(F3,B:B,A:A,,0)</f>
        <v>1</v>
      </c>
      <c r="F3" s="86" t="s">
        <v>33</v>
      </c>
      <c r="G3" s="41">
        <v>2.3568659730003425</v>
      </c>
      <c r="I3">
        <v>1</v>
      </c>
      <c r="J3" s="3" t="s">
        <v>38</v>
      </c>
      <c r="K3" s="26">
        <v>195.92438482652926</v>
      </c>
      <c r="L3" s="79"/>
      <c r="M3">
        <f>_xlfn.XLOOKUP(N3,J:J,I:I,,0)</f>
        <v>1</v>
      </c>
      <c r="N3" s="3" t="s">
        <v>38</v>
      </c>
      <c r="O3" s="26">
        <v>242.01401730513936</v>
      </c>
      <c r="AC3" s="3" t="s">
        <v>38</v>
      </c>
      <c r="AD3" s="26">
        <v>242.01401730513936</v>
      </c>
    </row>
    <row r="4" spans="1:30" x14ac:dyDescent="0.35">
      <c r="A4">
        <v>2</v>
      </c>
      <c r="B4" s="3" t="s">
        <v>8</v>
      </c>
      <c r="C4" s="26">
        <v>3.9785819996152929</v>
      </c>
      <c r="D4" s="78"/>
      <c r="E4">
        <f t="shared" ref="E4:E14" si="0">_xlfn.XLOOKUP(F4,B:B,A:A,,0)</f>
        <v>2</v>
      </c>
      <c r="F4" s="86" t="s">
        <v>8</v>
      </c>
      <c r="G4" s="26">
        <v>2.4089830338186218</v>
      </c>
      <c r="I4">
        <v>2</v>
      </c>
      <c r="J4" s="3" t="s">
        <v>30</v>
      </c>
      <c r="K4" s="26">
        <v>72.905163459567675</v>
      </c>
      <c r="L4" s="79"/>
      <c r="M4">
        <f t="shared" ref="M4:M14" si="1">_xlfn.XLOOKUP(N4,J:J,I:I,,0)</f>
        <v>4</v>
      </c>
      <c r="N4" s="3" t="s">
        <v>40</v>
      </c>
      <c r="O4" s="26">
        <v>78.187272031248852</v>
      </c>
      <c r="AC4" s="3" t="s">
        <v>40</v>
      </c>
      <c r="AD4" s="26">
        <v>78.187272031248852</v>
      </c>
    </row>
    <row r="5" spans="1:30" x14ac:dyDescent="0.35">
      <c r="A5">
        <v>3</v>
      </c>
      <c r="B5" s="87" t="s">
        <v>14</v>
      </c>
      <c r="C5" s="26">
        <v>4.4071882438586458</v>
      </c>
      <c r="D5" s="78"/>
      <c r="E5">
        <f t="shared" si="0"/>
        <v>4</v>
      </c>
      <c r="F5" s="86" t="s">
        <v>9</v>
      </c>
      <c r="G5" s="26">
        <v>3.5764373051455833</v>
      </c>
      <c r="I5">
        <v>3</v>
      </c>
      <c r="J5" s="3" t="s">
        <v>32</v>
      </c>
      <c r="K5" s="26">
        <v>64.854830057441106</v>
      </c>
      <c r="L5" s="79"/>
      <c r="M5">
        <f t="shared" si="1"/>
        <v>3</v>
      </c>
      <c r="N5" s="3" t="s">
        <v>32</v>
      </c>
      <c r="O5" s="26">
        <v>72.50007161772831</v>
      </c>
      <c r="AC5" s="3" t="s">
        <v>32</v>
      </c>
      <c r="AD5" s="26">
        <v>72.50007161772831</v>
      </c>
    </row>
    <row r="6" spans="1:30" x14ac:dyDescent="0.35">
      <c r="A6">
        <v>4</v>
      </c>
      <c r="B6" s="3" t="s">
        <v>9</v>
      </c>
      <c r="C6" s="26">
        <v>4.4808420291703328</v>
      </c>
      <c r="D6" s="78"/>
      <c r="E6" t="e">
        <f t="shared" si="0"/>
        <v>#N/A</v>
      </c>
      <c r="F6" s="85" t="s">
        <v>21</v>
      </c>
      <c r="G6" s="26">
        <v>4.7602626385103033</v>
      </c>
      <c r="I6">
        <v>4</v>
      </c>
      <c r="J6" s="3" t="s">
        <v>40</v>
      </c>
      <c r="K6" s="26">
        <v>61.781000175533016</v>
      </c>
      <c r="L6" s="79"/>
      <c r="M6">
        <f t="shared" si="1"/>
        <v>11</v>
      </c>
      <c r="N6" s="3" t="s">
        <v>7</v>
      </c>
      <c r="O6" s="26">
        <v>62.960411138791216</v>
      </c>
      <c r="AC6" s="3" t="s">
        <v>7</v>
      </c>
      <c r="AD6" s="26">
        <v>62.960411138791216</v>
      </c>
    </row>
    <row r="7" spans="1:30" x14ac:dyDescent="0.35">
      <c r="A7">
        <v>5</v>
      </c>
      <c r="B7" s="87" t="s">
        <v>2</v>
      </c>
      <c r="C7" s="26">
        <v>4.8313817211552434</v>
      </c>
      <c r="D7" s="78"/>
      <c r="E7">
        <f t="shared" si="0"/>
        <v>7</v>
      </c>
      <c r="F7" s="86" t="s">
        <v>26</v>
      </c>
      <c r="G7" s="26">
        <v>4.761050716296678</v>
      </c>
      <c r="I7">
        <v>5</v>
      </c>
      <c r="J7" s="88" t="s">
        <v>24</v>
      </c>
      <c r="K7" s="26">
        <v>52.870382713145531</v>
      </c>
      <c r="L7" s="79"/>
      <c r="M7">
        <f t="shared" si="1"/>
        <v>2</v>
      </c>
      <c r="N7" s="3" t="s">
        <v>30</v>
      </c>
      <c r="O7" s="26">
        <v>60.383936189147697</v>
      </c>
      <c r="AC7" s="3" t="s">
        <v>30</v>
      </c>
      <c r="AD7" s="26">
        <v>60.383936189147697</v>
      </c>
    </row>
    <row r="8" spans="1:30" x14ac:dyDescent="0.35">
      <c r="A8">
        <v>6</v>
      </c>
      <c r="B8" s="3" t="s">
        <v>43</v>
      </c>
      <c r="C8" s="26">
        <v>5.1412514405011063</v>
      </c>
      <c r="D8" s="78"/>
      <c r="E8">
        <f t="shared" si="0"/>
        <v>10</v>
      </c>
      <c r="F8" s="86" t="s">
        <v>27</v>
      </c>
      <c r="G8" s="26">
        <v>6.0858545949756246</v>
      </c>
      <c r="I8">
        <v>6</v>
      </c>
      <c r="J8" s="3" t="s">
        <v>16</v>
      </c>
      <c r="K8" s="26">
        <v>47.999551889282181</v>
      </c>
      <c r="L8" s="79"/>
      <c r="M8">
        <f t="shared" si="1"/>
        <v>6</v>
      </c>
      <c r="N8" s="3" t="s">
        <v>16</v>
      </c>
      <c r="O8" s="26">
        <v>51.66268983905934</v>
      </c>
      <c r="AC8" s="3" t="s">
        <v>16</v>
      </c>
      <c r="AD8" s="26">
        <v>51.66268983905934</v>
      </c>
    </row>
    <row r="9" spans="1:30" x14ac:dyDescent="0.35">
      <c r="A9">
        <v>7</v>
      </c>
      <c r="B9" s="3" t="s">
        <v>26</v>
      </c>
      <c r="C9" s="26">
        <v>5.4640186234792782</v>
      </c>
      <c r="D9" s="78"/>
      <c r="E9">
        <f t="shared" si="0"/>
        <v>6</v>
      </c>
      <c r="F9" s="3" t="s">
        <v>43</v>
      </c>
      <c r="G9" s="26">
        <v>6.3003257177536511</v>
      </c>
      <c r="I9">
        <v>7</v>
      </c>
      <c r="J9" s="3" t="s">
        <v>20</v>
      </c>
      <c r="K9" s="26">
        <v>46.40817219195695</v>
      </c>
      <c r="L9" s="79"/>
      <c r="M9">
        <f t="shared" si="1"/>
        <v>8</v>
      </c>
      <c r="N9" s="3" t="s">
        <v>0</v>
      </c>
      <c r="O9" s="41">
        <v>49.173528181995827</v>
      </c>
      <c r="AC9" s="3" t="s">
        <v>0</v>
      </c>
      <c r="AD9" s="41">
        <v>49.173528181995827</v>
      </c>
    </row>
    <row r="10" spans="1:30" x14ac:dyDescent="0.35">
      <c r="A10">
        <v>8</v>
      </c>
      <c r="B10" s="87" t="s">
        <v>6</v>
      </c>
      <c r="C10" s="26">
        <v>5.7950101302016952</v>
      </c>
      <c r="D10" s="78"/>
      <c r="E10">
        <f t="shared" si="0"/>
        <v>11</v>
      </c>
      <c r="F10" s="86" t="s">
        <v>28</v>
      </c>
      <c r="G10" s="26">
        <v>6.4341278578313545</v>
      </c>
      <c r="I10">
        <v>8</v>
      </c>
      <c r="J10" s="85" t="s">
        <v>0</v>
      </c>
      <c r="K10" s="26">
        <v>41.893522234964195</v>
      </c>
      <c r="L10" s="79"/>
      <c r="M10">
        <f t="shared" si="1"/>
        <v>7</v>
      </c>
      <c r="N10" s="3" t="s">
        <v>20</v>
      </c>
      <c r="O10" s="26">
        <v>48.030714224150685</v>
      </c>
      <c r="AC10" s="3" t="s">
        <v>20</v>
      </c>
      <c r="AD10" s="26">
        <v>48.030714224150685</v>
      </c>
    </row>
    <row r="11" spans="1:30" x14ac:dyDescent="0.35">
      <c r="A11">
        <v>9</v>
      </c>
      <c r="B11" s="3" t="s">
        <v>41</v>
      </c>
      <c r="C11" s="26">
        <v>6.1691166210748785</v>
      </c>
      <c r="D11" s="78"/>
      <c r="E11" t="e">
        <f t="shared" si="0"/>
        <v>#N/A</v>
      </c>
      <c r="F11" s="85" t="s">
        <v>37</v>
      </c>
      <c r="G11" s="26">
        <v>6.5171760234407232</v>
      </c>
      <c r="I11">
        <v>9</v>
      </c>
      <c r="J11" s="3" t="s">
        <v>18</v>
      </c>
      <c r="K11" s="26">
        <v>39.060014055583196</v>
      </c>
      <c r="L11" s="79"/>
      <c r="M11" t="e">
        <f t="shared" si="1"/>
        <v>#N/A</v>
      </c>
      <c r="N11" s="84" t="s">
        <v>46</v>
      </c>
      <c r="O11" s="26">
        <v>38.14728630825762</v>
      </c>
      <c r="AC11" s="3" t="s">
        <v>46</v>
      </c>
      <c r="AD11" s="26">
        <v>38.14728630825762</v>
      </c>
    </row>
    <row r="12" spans="1:30" x14ac:dyDescent="0.35">
      <c r="A12">
        <v>10</v>
      </c>
      <c r="B12" s="3" t="s">
        <v>27</v>
      </c>
      <c r="C12" s="26">
        <v>6.2979495241776151</v>
      </c>
      <c r="D12" s="78"/>
      <c r="E12" t="e">
        <f t="shared" si="0"/>
        <v>#N/A</v>
      </c>
      <c r="F12" s="85" t="s">
        <v>42</v>
      </c>
      <c r="G12" s="26">
        <v>7.605590561668536</v>
      </c>
      <c r="I12">
        <v>10</v>
      </c>
      <c r="J12" s="3" t="s">
        <v>3</v>
      </c>
      <c r="K12" s="26">
        <v>37.8721049551717</v>
      </c>
      <c r="L12" s="79"/>
      <c r="M12">
        <f t="shared" si="1"/>
        <v>10</v>
      </c>
      <c r="N12" s="96" t="s">
        <v>3</v>
      </c>
      <c r="O12" s="26">
        <v>37.02657488516612</v>
      </c>
      <c r="AC12" s="96" t="s">
        <v>3</v>
      </c>
      <c r="AD12" s="26">
        <v>37.02657488516612</v>
      </c>
    </row>
    <row r="13" spans="1:30" x14ac:dyDescent="0.35">
      <c r="A13">
        <v>11</v>
      </c>
      <c r="B13" s="3" t="s">
        <v>28</v>
      </c>
      <c r="C13" s="26">
        <v>6.4376483184910729</v>
      </c>
      <c r="D13" s="78"/>
      <c r="E13">
        <f t="shared" si="0"/>
        <v>9</v>
      </c>
      <c r="F13" s="3" t="s">
        <v>41</v>
      </c>
      <c r="G13" s="26">
        <v>7.8959074273939986</v>
      </c>
      <c r="I13">
        <v>11</v>
      </c>
      <c r="J13" s="3" t="s">
        <v>7</v>
      </c>
      <c r="K13" s="26">
        <v>29.16659007373055</v>
      </c>
      <c r="L13" s="79"/>
      <c r="M13" t="e">
        <f t="shared" si="1"/>
        <v>#N/A</v>
      </c>
      <c r="N13" s="84" t="s">
        <v>45</v>
      </c>
      <c r="O13" s="26">
        <v>34.960104008082851</v>
      </c>
      <c r="AC13" s="3" t="s">
        <v>45</v>
      </c>
      <c r="AD13" s="26">
        <v>34.960104008082851</v>
      </c>
    </row>
    <row r="14" spans="1:30" x14ac:dyDescent="0.35">
      <c r="A14">
        <v>12</v>
      </c>
      <c r="B14" s="87" t="s">
        <v>31</v>
      </c>
      <c r="C14" s="26">
        <v>6.6605767149290012</v>
      </c>
      <c r="D14" s="78"/>
      <c r="E14" t="e">
        <f t="shared" si="0"/>
        <v>#N/A</v>
      </c>
      <c r="F14" s="85" t="s">
        <v>19</v>
      </c>
      <c r="G14" s="26">
        <v>8.1498514118713352</v>
      </c>
      <c r="I14">
        <v>12</v>
      </c>
      <c r="J14" s="3" t="s">
        <v>36</v>
      </c>
      <c r="K14" s="26">
        <v>26.449769096827922</v>
      </c>
      <c r="L14" s="79"/>
      <c r="M14">
        <f t="shared" si="1"/>
        <v>9</v>
      </c>
      <c r="N14" s="3" t="s">
        <v>18</v>
      </c>
      <c r="O14" s="26">
        <v>31.25849879805093</v>
      </c>
      <c r="AC14" s="3" t="s">
        <v>18</v>
      </c>
      <c r="AD14" s="26">
        <v>31.25849879805093</v>
      </c>
    </row>
  </sheetData>
  <autoFilter ref="AC2:AD14" xr:uid="{BE09478A-F4F5-47F0-8675-C26FE186CB56}">
    <sortState xmlns:xlrd2="http://schemas.microsoft.com/office/spreadsheetml/2017/richdata2" ref="AC3:AD14">
      <sortCondition descending="1" ref="AD3:AD14"/>
    </sortState>
  </autoFilter>
  <sortState xmlns:xlrd2="http://schemas.microsoft.com/office/spreadsheetml/2017/richdata2" ref="J3:K14">
    <sortCondition descending="1" ref="K3:K14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8947-5ACD-4F7F-BACC-A041DBA8AA06}">
  <dimension ref="A1:I50"/>
  <sheetViews>
    <sheetView workbookViewId="0">
      <selection activeCell="D55" sqref="D55"/>
    </sheetView>
  </sheetViews>
  <sheetFormatPr defaultRowHeight="14.5" x14ac:dyDescent="0.35"/>
  <cols>
    <col min="2" max="2" width="8.7265625" style="20"/>
    <col min="3" max="3" width="29.36328125" bestFit="1" customWidth="1"/>
    <col min="4" max="5" width="11.36328125" bestFit="1" customWidth="1"/>
    <col min="6" max="6" width="12.08984375" customWidth="1"/>
    <col min="7" max="8" width="9.36328125" bestFit="1" customWidth="1"/>
    <col min="9" max="9" width="10.36328125" bestFit="1" customWidth="1"/>
  </cols>
  <sheetData>
    <row r="1" spans="1:9" x14ac:dyDescent="0.35">
      <c r="B1" s="21"/>
      <c r="C1" s="2"/>
      <c r="D1" s="196" t="s">
        <v>405</v>
      </c>
      <c r="E1" s="196"/>
      <c r="F1" s="196"/>
      <c r="G1" s="196"/>
      <c r="H1" s="196"/>
      <c r="I1" s="196"/>
    </row>
    <row r="2" spans="1:9" s="94" customFormat="1" ht="42.5" x14ac:dyDescent="0.35">
      <c r="A2" s="94" t="s">
        <v>385</v>
      </c>
      <c r="B2" s="109" t="s">
        <v>406</v>
      </c>
      <c r="C2" s="9" t="s">
        <v>48</v>
      </c>
      <c r="D2" s="143">
        <v>2013</v>
      </c>
      <c r="E2" s="143">
        <v>2018</v>
      </c>
      <c r="F2" s="143" t="s">
        <v>381</v>
      </c>
      <c r="G2" s="9" t="s">
        <v>382</v>
      </c>
      <c r="H2" s="9" t="s">
        <v>383</v>
      </c>
      <c r="I2" s="9" t="s">
        <v>384</v>
      </c>
    </row>
    <row r="3" spans="1:9" x14ac:dyDescent="0.35">
      <c r="A3" t="s">
        <v>346</v>
      </c>
      <c r="B3" s="21">
        <v>1</v>
      </c>
      <c r="C3" s="2" t="s">
        <v>0</v>
      </c>
      <c r="D3" s="145">
        <v>11139</v>
      </c>
      <c r="E3" s="145">
        <v>139821</v>
      </c>
      <c r="F3" s="145">
        <v>189358</v>
      </c>
      <c r="G3" s="142">
        <v>2.931267462129866</v>
      </c>
      <c r="H3" s="142">
        <v>33.34867189542053</v>
      </c>
      <c r="I3" s="142">
        <v>42.170245010241459</v>
      </c>
    </row>
    <row r="4" spans="1:9" x14ac:dyDescent="0.35">
      <c r="A4" t="s">
        <v>334</v>
      </c>
      <c r="B4" s="21">
        <v>2</v>
      </c>
      <c r="C4" s="2" t="s">
        <v>1</v>
      </c>
      <c r="D4" s="145">
        <v>30</v>
      </c>
      <c r="E4" s="145">
        <v>54113</v>
      </c>
      <c r="F4" s="145">
        <v>75442.979162440766</v>
      </c>
      <c r="G4" s="142">
        <v>1.147359073900709E-2</v>
      </c>
      <c r="H4" s="142">
        <v>17.303129774304679</v>
      </c>
      <c r="I4" s="142">
        <v>21.19840588956373</v>
      </c>
    </row>
    <row r="5" spans="1:9" x14ac:dyDescent="0.35">
      <c r="A5" t="s">
        <v>336</v>
      </c>
      <c r="B5" s="21">
        <v>3</v>
      </c>
      <c r="C5" s="144" t="s">
        <v>2</v>
      </c>
      <c r="D5" s="145">
        <v>5823</v>
      </c>
      <c r="E5" s="145">
        <v>5373</v>
      </c>
      <c r="F5" s="145">
        <v>10556</v>
      </c>
      <c r="G5" s="142">
        <v>5.6486101756176508</v>
      </c>
      <c r="H5" s="142">
        <v>4.4997424142428715</v>
      </c>
      <c r="I5" s="142">
        <v>7.905420140578082</v>
      </c>
    </row>
    <row r="6" spans="1:9" x14ac:dyDescent="0.35">
      <c r="A6" t="s">
        <v>338</v>
      </c>
      <c r="B6" s="21">
        <v>4</v>
      </c>
      <c r="C6" s="2" t="s">
        <v>3</v>
      </c>
      <c r="D6" s="145">
        <v>8136</v>
      </c>
      <c r="E6" s="145">
        <v>8570</v>
      </c>
      <c r="F6" s="145">
        <v>9020</v>
      </c>
      <c r="G6" s="142">
        <v>36.693639678921613</v>
      </c>
      <c r="H6" s="142">
        <v>34.95949369515526</v>
      </c>
      <c r="I6" s="142">
        <v>34.292718386067548</v>
      </c>
    </row>
    <row r="7" spans="1:9" x14ac:dyDescent="0.35">
      <c r="A7" t="s">
        <v>337</v>
      </c>
      <c r="B7" s="21">
        <v>5</v>
      </c>
      <c r="C7" s="2" t="s">
        <v>4</v>
      </c>
      <c r="D7" s="145">
        <v>8590</v>
      </c>
      <c r="E7" s="145">
        <v>18578</v>
      </c>
      <c r="F7" s="145">
        <v>26578</v>
      </c>
      <c r="G7" s="142">
        <v>4.8706064429504705</v>
      </c>
      <c r="H7" s="142">
        <v>9.1101124651180712</v>
      </c>
      <c r="I7" s="142">
        <v>11.721918929906732</v>
      </c>
    </row>
    <row r="8" spans="1:9" x14ac:dyDescent="0.35">
      <c r="A8" t="s">
        <v>335</v>
      </c>
      <c r="B8" s="21">
        <v>6</v>
      </c>
      <c r="C8" s="2" t="s">
        <v>5</v>
      </c>
      <c r="D8" s="145">
        <v>7162</v>
      </c>
      <c r="E8" s="145">
        <v>10400</v>
      </c>
      <c r="F8" s="145">
        <v>10565.586567321363</v>
      </c>
      <c r="G8" s="142">
        <v>7.056451364601136</v>
      </c>
      <c r="H8" s="142">
        <v>9.0486143330486115</v>
      </c>
      <c r="I8" s="142">
        <v>8.1970005510432156</v>
      </c>
    </row>
    <row r="9" spans="1:9" x14ac:dyDescent="0.35">
      <c r="A9" t="s">
        <v>345</v>
      </c>
      <c r="B9" s="21">
        <v>7</v>
      </c>
      <c r="C9" s="2" t="s">
        <v>387</v>
      </c>
      <c r="D9" s="145">
        <v>711</v>
      </c>
      <c r="E9" s="145">
        <v>1247</v>
      </c>
      <c r="F9" s="145">
        <v>3612</v>
      </c>
      <c r="G9" s="142">
        <v>13.168129792199135</v>
      </c>
      <c r="H9" s="142">
        <v>21.83117516323049</v>
      </c>
      <c r="I9" s="142">
        <v>60.895271765381224</v>
      </c>
    </row>
    <row r="10" spans="1:9" x14ac:dyDescent="0.35">
      <c r="A10" t="s">
        <v>341</v>
      </c>
      <c r="B10" s="21">
        <v>8</v>
      </c>
      <c r="C10" s="2" t="s">
        <v>6</v>
      </c>
      <c r="D10" s="145">
        <v>20923</v>
      </c>
      <c r="E10" s="145">
        <v>13874</v>
      </c>
      <c r="F10" s="145">
        <v>21906</v>
      </c>
      <c r="G10" s="142">
        <v>9.6718647797215773</v>
      </c>
      <c r="H10" s="142">
        <v>5.532615644537457</v>
      </c>
      <c r="I10" s="142">
        <v>7.8475241743670043</v>
      </c>
    </row>
    <row r="11" spans="1:9" x14ac:dyDescent="0.35">
      <c r="A11" t="s">
        <v>339</v>
      </c>
      <c r="B11" s="21">
        <v>9</v>
      </c>
      <c r="C11" s="2" t="s">
        <v>8</v>
      </c>
      <c r="D11" s="145">
        <v>1160</v>
      </c>
      <c r="E11" s="145">
        <v>1974</v>
      </c>
      <c r="F11" s="145">
        <v>1331.8697270471462</v>
      </c>
      <c r="G11" s="142">
        <v>2.4154446026630016</v>
      </c>
      <c r="H11" s="142">
        <v>3.8745539552247603</v>
      </c>
      <c r="I11" s="142">
        <v>2.3872297370504008</v>
      </c>
    </row>
    <row r="12" spans="1:9" x14ac:dyDescent="0.35">
      <c r="A12" t="s">
        <v>374</v>
      </c>
      <c r="B12" s="21">
        <v>10</v>
      </c>
      <c r="C12" s="2" t="s">
        <v>9</v>
      </c>
      <c r="D12" s="145">
        <v>4630</v>
      </c>
      <c r="E12" s="145">
        <v>6538</v>
      </c>
      <c r="F12" s="145">
        <v>5798.3930605903679</v>
      </c>
      <c r="G12" s="142">
        <v>3.5031261239275127</v>
      </c>
      <c r="H12" s="142">
        <v>4.1898949065668809</v>
      </c>
      <c r="I12" s="142">
        <v>3.2716188953202665</v>
      </c>
    </row>
    <row r="13" spans="1:9" x14ac:dyDescent="0.35">
      <c r="A13" t="s">
        <v>344</v>
      </c>
      <c r="B13" s="21">
        <v>11</v>
      </c>
      <c r="C13" s="2" t="s">
        <v>10</v>
      </c>
      <c r="D13" s="145">
        <v>418</v>
      </c>
      <c r="E13" s="145">
        <v>1454</v>
      </c>
      <c r="F13" s="145">
        <v>1724.9709740708436</v>
      </c>
      <c r="G13" s="142">
        <v>5.9766154198107619</v>
      </c>
      <c r="H13" s="142">
        <v>18.729546761714161</v>
      </c>
      <c r="I13" s="142">
        <v>20.614550700647715</v>
      </c>
    </row>
    <row r="14" spans="1:9" x14ac:dyDescent="0.35">
      <c r="A14" t="s">
        <v>343</v>
      </c>
      <c r="B14" s="21">
        <v>12</v>
      </c>
      <c r="C14" s="2" t="s">
        <v>11</v>
      </c>
      <c r="D14" s="145">
        <v>4571</v>
      </c>
      <c r="E14" s="145">
        <v>6694</v>
      </c>
      <c r="F14" s="145">
        <v>7657.4138703986164</v>
      </c>
      <c r="G14" s="142">
        <v>9.4675580794092156</v>
      </c>
      <c r="H14" s="142">
        <v>12.302745309647277</v>
      </c>
      <c r="I14" s="142">
        <v>12.82557799981813</v>
      </c>
    </row>
    <row r="15" spans="1:9" x14ac:dyDescent="0.35">
      <c r="A15" t="s">
        <v>340</v>
      </c>
      <c r="B15" s="21">
        <v>13</v>
      </c>
      <c r="C15" s="2" t="s">
        <v>12</v>
      </c>
      <c r="D15" s="145">
        <v>17871</v>
      </c>
      <c r="E15" s="145">
        <v>26225</v>
      </c>
      <c r="F15" s="145">
        <v>32977.78546925736</v>
      </c>
      <c r="G15" s="142">
        <v>7.9535303053381696</v>
      </c>
      <c r="H15" s="142">
        <v>10.286738773730915</v>
      </c>
      <c r="I15" s="142">
        <v>11.710635712808925</v>
      </c>
    </row>
    <row r="16" spans="1:9" x14ac:dyDescent="0.35">
      <c r="A16" t="s">
        <v>342</v>
      </c>
      <c r="B16" s="21">
        <v>14</v>
      </c>
      <c r="C16" s="2" t="s">
        <v>388</v>
      </c>
      <c r="D16" s="145">
        <v>67786</v>
      </c>
      <c r="E16" s="145">
        <v>138973</v>
      </c>
      <c r="F16" s="145">
        <v>139645.24336836278</v>
      </c>
      <c r="G16" s="142">
        <v>9.2276042229827286</v>
      </c>
      <c r="H16" s="142">
        <v>15.957885045423644</v>
      </c>
      <c r="I16" s="142">
        <v>14.104125276326323</v>
      </c>
    </row>
    <row r="17" spans="1:9" x14ac:dyDescent="0.35">
      <c r="A17" t="s">
        <v>354</v>
      </c>
      <c r="B17" s="21">
        <v>15</v>
      </c>
      <c r="C17" s="2" t="s">
        <v>14</v>
      </c>
      <c r="D17" s="145"/>
      <c r="E17" s="145">
        <v>652</v>
      </c>
      <c r="F17" s="145">
        <v>1676.1162448119487</v>
      </c>
      <c r="G17" s="142">
        <v>0</v>
      </c>
      <c r="H17" s="142">
        <v>4.3406144033169749</v>
      </c>
      <c r="I17" s="142">
        <v>10.007213798082931</v>
      </c>
    </row>
    <row r="18" spans="1:9" x14ac:dyDescent="0.35">
      <c r="A18" t="s">
        <v>347</v>
      </c>
      <c r="B18" s="21">
        <v>16</v>
      </c>
      <c r="C18" s="2" t="s">
        <v>15</v>
      </c>
      <c r="D18" s="145">
        <v>4434</v>
      </c>
      <c r="E18" s="145">
        <v>5296</v>
      </c>
      <c r="F18" s="145">
        <v>5372.8176475233076</v>
      </c>
      <c r="G18" s="142">
        <v>13.451172154071436</v>
      </c>
      <c r="H18" s="142">
        <v>15.371333363034999</v>
      </c>
      <c r="I18" s="142">
        <v>14.584070867806926</v>
      </c>
    </row>
    <row r="19" spans="1:9" x14ac:dyDescent="0.35">
      <c r="A19" t="s">
        <v>372</v>
      </c>
      <c r="B19" s="21">
        <v>17</v>
      </c>
      <c r="C19" s="2" t="s">
        <v>16</v>
      </c>
      <c r="D19" s="145">
        <v>3735</v>
      </c>
      <c r="E19" s="145">
        <v>4998</v>
      </c>
      <c r="F19" s="145">
        <v>5943</v>
      </c>
      <c r="G19" s="142">
        <v>33.398341618089297</v>
      </c>
      <c r="H19" s="142">
        <v>43.070333993291264</v>
      </c>
      <c r="I19" s="142">
        <v>49.456152913797929</v>
      </c>
    </row>
    <row r="20" spans="1:9" x14ac:dyDescent="0.35">
      <c r="A20" t="s">
        <v>348</v>
      </c>
      <c r="B20" s="21">
        <v>18</v>
      </c>
      <c r="C20" s="2" t="s">
        <v>17</v>
      </c>
      <c r="D20" s="145">
        <v>6925</v>
      </c>
      <c r="E20" s="145">
        <v>89196</v>
      </c>
      <c r="F20" s="145">
        <v>189544</v>
      </c>
      <c r="G20" s="142">
        <v>0.71329713375271953</v>
      </c>
      <c r="H20" s="142">
        <v>8.0263161233659783</v>
      </c>
      <c r="I20" s="142">
        <v>15.362628950222767</v>
      </c>
    </row>
    <row r="21" spans="1:9" x14ac:dyDescent="0.35">
      <c r="A21" t="s">
        <v>349</v>
      </c>
      <c r="B21" s="21">
        <v>19</v>
      </c>
      <c r="C21" s="2" t="s">
        <v>18</v>
      </c>
      <c r="D21" s="145">
        <v>437</v>
      </c>
      <c r="E21" s="145">
        <v>8186</v>
      </c>
      <c r="F21" s="145">
        <v>6936.9896979221239</v>
      </c>
      <c r="G21" s="142">
        <v>2.2973079178531046</v>
      </c>
      <c r="H21" s="142">
        <v>37.344694587596827</v>
      </c>
      <c r="I21" s="142">
        <v>29.037302117617038</v>
      </c>
    </row>
    <row r="22" spans="1:9" x14ac:dyDescent="0.35">
      <c r="A22" t="s">
        <v>352</v>
      </c>
      <c r="B22" s="21">
        <v>20</v>
      </c>
      <c r="C22" s="2" t="s">
        <v>19</v>
      </c>
      <c r="D22" s="145">
        <v>2858</v>
      </c>
      <c r="E22" s="145">
        <v>2116</v>
      </c>
      <c r="F22" s="145">
        <v>2082.270897043833</v>
      </c>
      <c r="G22" s="142">
        <v>13.450237767542902</v>
      </c>
      <c r="H22" s="142">
        <v>8.6546958371362877</v>
      </c>
      <c r="I22" s="142">
        <v>7.6950371510478712</v>
      </c>
    </row>
    <row r="23" spans="1:9" x14ac:dyDescent="0.35">
      <c r="A23" t="s">
        <v>350</v>
      </c>
      <c r="B23" s="21">
        <v>21</v>
      </c>
      <c r="C23" s="2" t="s">
        <v>20</v>
      </c>
      <c r="D23" s="145">
        <v>51421</v>
      </c>
      <c r="E23" s="145">
        <v>140055</v>
      </c>
      <c r="F23" s="145">
        <v>152812.27697797568</v>
      </c>
      <c r="G23" s="142">
        <v>18.681157033578607</v>
      </c>
      <c r="H23" s="142">
        <v>45.368349257282176</v>
      </c>
      <c r="I23" s="142">
        <v>45.6484849222892</v>
      </c>
    </row>
    <row r="24" spans="1:9" x14ac:dyDescent="0.35">
      <c r="A24" t="s">
        <v>351</v>
      </c>
      <c r="B24" s="21">
        <v>22</v>
      </c>
      <c r="C24" s="2" t="s">
        <v>21</v>
      </c>
      <c r="D24" s="145">
        <v>8133</v>
      </c>
      <c r="E24" s="145">
        <v>10848</v>
      </c>
      <c r="F24" s="145">
        <v>8857</v>
      </c>
      <c r="G24" s="142">
        <v>7.3565659589902852</v>
      </c>
      <c r="H24" s="142">
        <v>8.6404755702460996</v>
      </c>
      <c r="I24" s="142">
        <v>6.39</v>
      </c>
    </row>
    <row r="25" spans="1:9" x14ac:dyDescent="0.35">
      <c r="A25" t="s">
        <v>353</v>
      </c>
      <c r="B25" s="21">
        <v>23</v>
      </c>
      <c r="C25" s="2" t="s">
        <v>22</v>
      </c>
      <c r="D25" s="145">
        <v>1234</v>
      </c>
      <c r="E25" s="145">
        <v>1999</v>
      </c>
      <c r="F25" s="145">
        <v>2606.8737642585552</v>
      </c>
      <c r="G25" s="142">
        <v>7.2684328251615025</v>
      </c>
      <c r="H25" s="142">
        <v>10.384661040040173</v>
      </c>
      <c r="I25" s="142">
        <v>12.380872332200333</v>
      </c>
    </row>
    <row r="26" spans="1:9" x14ac:dyDescent="0.35">
      <c r="A26" t="s">
        <v>355</v>
      </c>
      <c r="B26" s="21">
        <v>24</v>
      </c>
      <c r="C26" s="2" t="s">
        <v>23</v>
      </c>
      <c r="D26" s="145">
        <v>48974</v>
      </c>
      <c r="E26" s="145">
        <v>67943</v>
      </c>
      <c r="F26" s="145">
        <v>122588</v>
      </c>
      <c r="G26" s="142">
        <v>10.933559038450477</v>
      </c>
      <c r="H26" s="142">
        <v>13.601302528457378</v>
      </c>
      <c r="I26" s="142">
        <v>22.689931885967603</v>
      </c>
    </row>
    <row r="27" spans="1:9" x14ac:dyDescent="0.35">
      <c r="A27" t="s">
        <v>357</v>
      </c>
      <c r="B27" s="21">
        <v>25</v>
      </c>
      <c r="C27" s="2" t="s">
        <v>24</v>
      </c>
      <c r="D27" s="145"/>
      <c r="E27" s="145">
        <v>10643</v>
      </c>
      <c r="F27" s="145">
        <v>4551.0899117026884</v>
      </c>
      <c r="G27" s="142">
        <v>0</v>
      </c>
      <c r="H27" s="142">
        <v>48.420917581620159</v>
      </c>
      <c r="I27" s="142">
        <v>19.737356151637165</v>
      </c>
    </row>
    <row r="28" spans="1:9" x14ac:dyDescent="0.35">
      <c r="A28" t="s">
        <v>356</v>
      </c>
      <c r="B28" s="21">
        <v>26</v>
      </c>
      <c r="C28" s="2" t="s">
        <v>25</v>
      </c>
      <c r="D28" s="145">
        <v>974</v>
      </c>
      <c r="E28" s="145">
        <v>10108</v>
      </c>
      <c r="F28" s="145">
        <v>6366.7192932575135</v>
      </c>
      <c r="G28" s="142">
        <v>2.1999802363171792</v>
      </c>
      <c r="H28" s="142">
        <v>20.673331300360314</v>
      </c>
      <c r="I28" s="142">
        <v>12.006604382306818</v>
      </c>
    </row>
    <row r="29" spans="1:9" x14ac:dyDescent="0.35">
      <c r="A29" t="s">
        <v>358</v>
      </c>
      <c r="B29" s="21">
        <v>27</v>
      </c>
      <c r="C29" s="2" t="s">
        <v>26</v>
      </c>
      <c r="D29" s="145">
        <v>10361</v>
      </c>
      <c r="E29" s="145">
        <v>13784</v>
      </c>
      <c r="F29" s="145">
        <v>13784</v>
      </c>
      <c r="G29" s="142">
        <v>4.392474018702714</v>
      </c>
      <c r="H29" s="142">
        <v>5.1343672169908219</v>
      </c>
      <c r="I29" s="142">
        <v>4.654914605753655</v>
      </c>
    </row>
    <row r="30" spans="1:9" x14ac:dyDescent="0.35">
      <c r="A30" t="s">
        <v>363</v>
      </c>
      <c r="B30" s="21">
        <v>28</v>
      </c>
      <c r="C30" s="2" t="s">
        <v>27</v>
      </c>
      <c r="D30" s="145">
        <v>3793</v>
      </c>
      <c r="E30" s="145">
        <v>10717</v>
      </c>
      <c r="F30" s="145">
        <v>11311.563775185577</v>
      </c>
      <c r="G30" s="142">
        <v>2.3669598366604268</v>
      </c>
      <c r="H30" s="142">
        <v>5.8346408238772041</v>
      </c>
      <c r="I30" s="142">
        <v>5.5434395125336913</v>
      </c>
    </row>
    <row r="31" spans="1:9" x14ac:dyDescent="0.35">
      <c r="A31" t="s">
        <v>359</v>
      </c>
      <c r="B31" s="21">
        <v>29</v>
      </c>
      <c r="C31" s="2" t="s">
        <v>28</v>
      </c>
      <c r="D31" s="145">
        <v>8189</v>
      </c>
      <c r="E31" s="145">
        <v>11326</v>
      </c>
      <c r="F31" s="145">
        <v>12649.005004448398</v>
      </c>
      <c r="G31" s="142">
        <v>4.8159164598162238</v>
      </c>
      <c r="H31" s="142">
        <v>5.6816648371565428</v>
      </c>
      <c r="I31" s="142">
        <v>5.5984926364175651</v>
      </c>
    </row>
    <row r="32" spans="1:9" x14ac:dyDescent="0.35">
      <c r="A32" t="s">
        <v>361</v>
      </c>
      <c r="B32" s="21">
        <v>30</v>
      </c>
      <c r="C32" s="2" t="s">
        <v>29</v>
      </c>
      <c r="D32" s="145">
        <v>4836</v>
      </c>
      <c r="E32" s="145">
        <v>6547</v>
      </c>
      <c r="F32" s="145">
        <v>9116.0346943092882</v>
      </c>
      <c r="G32" s="142">
        <v>12.920259078445698</v>
      </c>
      <c r="H32" s="142">
        <v>15.32999829185372</v>
      </c>
      <c r="I32" s="142">
        <v>19.247819150386611</v>
      </c>
    </row>
    <row r="33" spans="1:9" x14ac:dyDescent="0.35">
      <c r="A33" t="s">
        <v>362</v>
      </c>
      <c r="B33" s="21">
        <v>31</v>
      </c>
      <c r="C33" s="2" t="s">
        <v>30</v>
      </c>
      <c r="D33" s="145">
        <v>6009</v>
      </c>
      <c r="E33" s="145">
        <v>7948</v>
      </c>
      <c r="F33" s="145">
        <v>6999.5342419766348</v>
      </c>
      <c r="G33" s="142">
        <v>46.556438932153817</v>
      </c>
      <c r="H33" s="142">
        <v>61.356442098331627</v>
      </c>
      <c r="I33" s="142">
        <v>53.864572698360966</v>
      </c>
    </row>
    <row r="34" spans="1:9" x14ac:dyDescent="0.35">
      <c r="A34" t="s">
        <v>360</v>
      </c>
      <c r="B34" s="21">
        <v>32</v>
      </c>
      <c r="C34" s="2" t="s">
        <v>31</v>
      </c>
      <c r="D34" s="145">
        <v>12149</v>
      </c>
      <c r="E34" s="145">
        <v>16647</v>
      </c>
      <c r="F34" s="145">
        <v>36271</v>
      </c>
      <c r="G34" s="142">
        <v>4.811155322381663</v>
      </c>
      <c r="H34" s="142">
        <v>5.6576497894388753</v>
      </c>
      <c r="I34" s="142">
        <v>11.001373890249562</v>
      </c>
    </row>
    <row r="35" spans="1:9" x14ac:dyDescent="0.35">
      <c r="A35" t="s">
        <v>364</v>
      </c>
      <c r="B35" s="21">
        <v>33</v>
      </c>
      <c r="C35" s="2" t="s">
        <v>32</v>
      </c>
      <c r="D35" s="145">
        <v>4110</v>
      </c>
      <c r="E35" s="145">
        <v>14406</v>
      </c>
      <c r="F35" s="145">
        <v>17172.321723868954</v>
      </c>
      <c r="G35" s="142">
        <v>18.643598804269427</v>
      </c>
      <c r="H35" s="142">
        <v>59.883263799993379</v>
      </c>
      <c r="I35" s="142">
        <v>66.896135970779099</v>
      </c>
    </row>
    <row r="36" spans="1:9" x14ac:dyDescent="0.35">
      <c r="A36" t="s">
        <v>365</v>
      </c>
      <c r="B36" s="21">
        <v>34</v>
      </c>
      <c r="C36" s="2" t="s">
        <v>33</v>
      </c>
      <c r="D36" s="145">
        <v>5396</v>
      </c>
      <c r="E36" s="145">
        <v>6078</v>
      </c>
      <c r="F36" s="145">
        <v>6095.8657942347936</v>
      </c>
      <c r="G36" s="142">
        <v>2.8928013902601908</v>
      </c>
      <c r="H36" s="142">
        <v>2.6921133834178046</v>
      </c>
      <c r="I36" s="142">
        <v>2.3259582036922208</v>
      </c>
    </row>
    <row r="37" spans="1:9" x14ac:dyDescent="0.35">
      <c r="A37" t="s">
        <v>366</v>
      </c>
      <c r="B37" s="21">
        <v>35</v>
      </c>
      <c r="C37" s="2" t="s">
        <v>34</v>
      </c>
      <c r="D37" s="145">
        <v>241954</v>
      </c>
      <c r="E37" s="145">
        <v>385486</v>
      </c>
      <c r="F37" s="145">
        <v>453649</v>
      </c>
      <c r="G37" s="142">
        <v>13.847614492517481</v>
      </c>
      <c r="H37" s="142">
        <v>19.430950036054032</v>
      </c>
      <c r="I37" s="142">
        <v>20.758052766628868</v>
      </c>
    </row>
    <row r="38" spans="1:9" x14ac:dyDescent="0.35">
      <c r="A38" t="s">
        <v>367</v>
      </c>
      <c r="B38" s="21">
        <v>36</v>
      </c>
      <c r="C38" s="2" t="s">
        <v>35</v>
      </c>
      <c r="D38" s="145">
        <v>11351</v>
      </c>
      <c r="E38" s="145">
        <v>16464</v>
      </c>
      <c r="F38" s="145">
        <v>17139.239749316621</v>
      </c>
      <c r="G38" s="142">
        <v>10.22488301985268</v>
      </c>
      <c r="H38" s="142">
        <v>13.137769631395951</v>
      </c>
      <c r="I38" s="142">
        <v>12.440746230594545</v>
      </c>
    </row>
    <row r="39" spans="1:9" x14ac:dyDescent="0.35">
      <c r="A39" t="s">
        <v>371</v>
      </c>
      <c r="B39" s="21">
        <v>37</v>
      </c>
      <c r="C39" s="2" t="s">
        <v>36</v>
      </c>
      <c r="D39" s="145">
        <v>536</v>
      </c>
      <c r="E39" s="145">
        <v>516</v>
      </c>
      <c r="F39" s="145">
        <v>570.28457017504911</v>
      </c>
      <c r="G39" s="142">
        <v>27.663516672946013</v>
      </c>
      <c r="H39" s="142">
        <v>24.415171473995002</v>
      </c>
      <c r="I39" s="142">
        <v>25.080738156916041</v>
      </c>
    </row>
    <row r="40" spans="1:9" x14ac:dyDescent="0.35">
      <c r="A40" t="s">
        <v>368</v>
      </c>
      <c r="B40" s="21">
        <v>38</v>
      </c>
      <c r="C40" s="2" t="s">
        <v>37</v>
      </c>
      <c r="D40" s="145">
        <v>5628</v>
      </c>
      <c r="E40" s="145">
        <v>10475</v>
      </c>
      <c r="F40" s="145">
        <v>10578.528230535412</v>
      </c>
      <c r="G40" s="142">
        <v>4.1395850727945103</v>
      </c>
      <c r="H40" s="142">
        <v>6.7255609647542736</v>
      </c>
      <c r="I40" s="142">
        <v>6.108947758593815</v>
      </c>
    </row>
    <row r="41" spans="1:9" x14ac:dyDescent="0.35">
      <c r="A41" t="s">
        <v>373</v>
      </c>
      <c r="B41" s="21">
        <v>39</v>
      </c>
      <c r="C41" s="2" t="s">
        <v>38</v>
      </c>
      <c r="D41" s="145">
        <v>512</v>
      </c>
      <c r="E41" s="145">
        <v>1670</v>
      </c>
      <c r="F41" s="145">
        <v>2284.2905885139849</v>
      </c>
      <c r="G41" s="142">
        <v>52.939595094815644</v>
      </c>
      <c r="H41" s="142">
        <v>161.97709042589301</v>
      </c>
      <c r="I41" s="142">
        <v>213.24893351885851</v>
      </c>
    </row>
    <row r="42" spans="1:9" x14ac:dyDescent="0.35">
      <c r="A42" t="s">
        <v>369</v>
      </c>
      <c r="B42" s="21">
        <v>40</v>
      </c>
      <c r="C42" s="2" t="s">
        <v>39</v>
      </c>
      <c r="D42" s="145">
        <v>8293</v>
      </c>
      <c r="E42" s="145">
        <v>6714</v>
      </c>
      <c r="F42" s="145">
        <v>19043</v>
      </c>
      <c r="G42" s="142">
        <v>11.906918137676456</v>
      </c>
      <c r="H42" s="142">
        <v>8.5405928117822025</v>
      </c>
      <c r="I42" s="142">
        <v>22.128310502389212</v>
      </c>
    </row>
    <row r="43" spans="1:9" x14ac:dyDescent="0.35">
      <c r="A43" t="s">
        <v>378</v>
      </c>
      <c r="B43" s="21">
        <v>41</v>
      </c>
      <c r="C43" s="2" t="s">
        <v>40</v>
      </c>
      <c r="D43" s="145">
        <v>58722</v>
      </c>
      <c r="E43" s="145">
        <v>330961</v>
      </c>
      <c r="F43" s="145">
        <v>445282.24962174537</v>
      </c>
      <c r="G43" s="142">
        <v>10.899955183999529</v>
      </c>
      <c r="H43" s="142">
        <v>57.719411712334747</v>
      </c>
      <c r="I43" s="142">
        <v>74.345193320567816</v>
      </c>
    </row>
    <row r="44" spans="1:9" x14ac:dyDescent="0.35">
      <c r="A44" t="s">
        <v>370</v>
      </c>
      <c r="B44" s="21">
        <v>42</v>
      </c>
      <c r="C44" s="2" t="s">
        <v>41</v>
      </c>
      <c r="D44" s="145"/>
      <c r="E44" s="145">
        <v>5849</v>
      </c>
      <c r="F44" s="145">
        <v>8006</v>
      </c>
      <c r="G44" s="142">
        <v>0</v>
      </c>
      <c r="H44" s="142">
        <v>5.6265652762618057</v>
      </c>
      <c r="I44" s="142">
        <v>7.3360946163777347</v>
      </c>
    </row>
    <row r="45" spans="1:9" x14ac:dyDescent="0.35">
      <c r="A45" t="s">
        <v>376</v>
      </c>
      <c r="B45" s="21">
        <v>43</v>
      </c>
      <c r="C45" s="2" t="s">
        <v>42</v>
      </c>
      <c r="D45" s="145">
        <v>22281</v>
      </c>
      <c r="E45" s="145">
        <v>34825</v>
      </c>
      <c r="F45" s="145">
        <v>40633</v>
      </c>
      <c r="G45" s="142">
        <v>4.5237262498154065</v>
      </c>
      <c r="H45" s="142">
        <v>5.9949620284355545</v>
      </c>
      <c r="I45" s="142">
        <v>6.2037247448568724</v>
      </c>
    </row>
    <row r="46" spans="1:9" x14ac:dyDescent="0.35">
      <c r="A46" t="s">
        <v>375</v>
      </c>
      <c r="B46" s="21">
        <v>44</v>
      </c>
      <c r="C46" s="2" t="s">
        <v>43</v>
      </c>
      <c r="D46" s="145">
        <v>2497</v>
      </c>
      <c r="E46" s="145">
        <v>3862</v>
      </c>
      <c r="F46" s="145">
        <v>5224</v>
      </c>
      <c r="G46" s="142">
        <v>3.5138186512143079</v>
      </c>
      <c r="H46" s="142">
        <v>4.7994955434409654</v>
      </c>
      <c r="I46" s="142">
        <v>5.9036930685343147</v>
      </c>
    </row>
    <row r="47" spans="1:9" x14ac:dyDescent="0.35">
      <c r="A47" t="s">
        <v>377</v>
      </c>
      <c r="B47" s="21">
        <v>45</v>
      </c>
      <c r="C47" s="2" t="s">
        <v>44</v>
      </c>
      <c r="D47" s="145">
        <v>50519</v>
      </c>
      <c r="E47" s="145">
        <v>77330</v>
      </c>
      <c r="F47" s="145">
        <v>116205.78132796781</v>
      </c>
      <c r="G47" s="142">
        <v>14.322054728228531</v>
      </c>
      <c r="H47" s="142">
        <v>18.626825060920165</v>
      </c>
      <c r="I47" s="142">
        <v>24.594032165143432</v>
      </c>
    </row>
    <row r="48" spans="1:9" x14ac:dyDescent="0.35">
      <c r="A48" t="s">
        <v>379</v>
      </c>
      <c r="B48" s="21">
        <v>46</v>
      </c>
      <c r="C48" s="2" t="s">
        <v>45</v>
      </c>
      <c r="D48" s="145">
        <v>2773</v>
      </c>
      <c r="E48" s="145">
        <v>28199</v>
      </c>
      <c r="F48" s="145">
        <v>65708</v>
      </c>
      <c r="G48" s="142">
        <v>1.8201538354901259</v>
      </c>
      <c r="H48" s="142">
        <v>15.810254075868269</v>
      </c>
      <c r="I48" s="142">
        <v>32.824990914279496</v>
      </c>
    </row>
    <row r="49" spans="1:9" x14ac:dyDescent="0.35">
      <c r="A49" t="s">
        <v>380</v>
      </c>
      <c r="B49" s="21">
        <v>47</v>
      </c>
      <c r="C49" s="2" t="s">
        <v>46</v>
      </c>
      <c r="D49" s="145">
        <v>19836</v>
      </c>
      <c r="E49" s="145">
        <v>31754</v>
      </c>
      <c r="F49" s="145">
        <v>59269.598365533384</v>
      </c>
      <c r="G49" s="142">
        <v>14.633259467438902</v>
      </c>
      <c r="H49" s="142">
        <v>21.095941957658759</v>
      </c>
      <c r="I49" s="142">
        <v>36.315960905902422</v>
      </c>
    </row>
    <row r="50" spans="1:9" s="148" customFormat="1" x14ac:dyDescent="0.35">
      <c r="B50" s="147"/>
      <c r="C50" s="149" t="s">
        <v>47</v>
      </c>
      <c r="D50" s="150">
        <f>SUM(D3:D49)</f>
        <v>767820</v>
      </c>
      <c r="E50" s="150">
        <f t="shared" ref="E50:F50" si="0">SUM(E3:E49)</f>
        <v>1807432</v>
      </c>
      <c r="F50" s="150">
        <f t="shared" si="0"/>
        <v>2402503.6943217963</v>
      </c>
      <c r="G50" s="151">
        <f>AVERAGE(G3:G49)</f>
        <v>10.557035280304234</v>
      </c>
      <c r="H50" s="151">
        <f t="shared" ref="H50:I50" si="1">AVERAGE(H3:H49)</f>
        <v>21.071120786446144</v>
      </c>
      <c r="I50" s="151">
        <f t="shared" si="1"/>
        <v>24.692766467657737</v>
      </c>
    </row>
  </sheetData>
  <sortState xmlns:xlrd2="http://schemas.microsoft.com/office/spreadsheetml/2017/richdata2" ref="A3:I49">
    <sortCondition ref="C3:C49"/>
  </sortState>
  <mergeCells count="1">
    <mergeCell ref="D1:I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1135-6E98-4C28-9F60-A1BA527AE897}">
  <dimension ref="A1:C48"/>
  <sheetViews>
    <sheetView workbookViewId="0">
      <selection activeCell="D6" sqref="D6"/>
    </sheetView>
  </sheetViews>
  <sheetFormatPr defaultRowHeight="14.5" x14ac:dyDescent="0.35"/>
  <cols>
    <col min="1" max="1" width="29.36328125" bestFit="1" customWidth="1"/>
    <col min="3" max="3" width="29.36328125" bestFit="1" customWidth="1"/>
  </cols>
  <sheetData>
    <row r="1" spans="1:3" x14ac:dyDescent="0.35">
      <c r="A1" t="s">
        <v>48</v>
      </c>
      <c r="B1" t="s">
        <v>386</v>
      </c>
      <c r="C1" t="s">
        <v>48</v>
      </c>
    </row>
    <row r="2" spans="1:3" x14ac:dyDescent="0.35">
      <c r="A2" t="s">
        <v>0</v>
      </c>
      <c r="B2" t="s">
        <v>346</v>
      </c>
      <c r="C2" t="s">
        <v>0</v>
      </c>
    </row>
    <row r="3" spans="1:3" x14ac:dyDescent="0.35">
      <c r="A3" t="s">
        <v>1</v>
      </c>
      <c r="B3" t="s">
        <v>334</v>
      </c>
      <c r="C3" t="s">
        <v>1</v>
      </c>
    </row>
    <row r="4" spans="1:3" x14ac:dyDescent="0.35">
      <c r="A4" t="s">
        <v>2</v>
      </c>
      <c r="B4" t="s">
        <v>336</v>
      </c>
      <c r="C4" t="s">
        <v>2</v>
      </c>
    </row>
    <row r="5" spans="1:3" x14ac:dyDescent="0.35">
      <c r="A5" t="s">
        <v>3</v>
      </c>
      <c r="B5" t="s">
        <v>338</v>
      </c>
      <c r="C5" t="s">
        <v>3</v>
      </c>
    </row>
    <row r="6" spans="1:3" x14ac:dyDescent="0.35">
      <c r="A6" t="s">
        <v>4</v>
      </c>
      <c r="B6" t="s">
        <v>337</v>
      </c>
      <c r="C6" t="s">
        <v>4</v>
      </c>
    </row>
    <row r="7" spans="1:3" x14ac:dyDescent="0.35">
      <c r="A7" t="s">
        <v>5</v>
      </c>
      <c r="B7" t="s">
        <v>335</v>
      </c>
      <c r="C7" t="s">
        <v>5</v>
      </c>
    </row>
    <row r="8" spans="1:3" x14ac:dyDescent="0.35">
      <c r="A8" t="s">
        <v>6</v>
      </c>
      <c r="B8" t="s">
        <v>341</v>
      </c>
      <c r="C8" t="s">
        <v>6</v>
      </c>
    </row>
    <row r="9" spans="1:3" x14ac:dyDescent="0.35">
      <c r="A9" t="s">
        <v>387</v>
      </c>
      <c r="B9" t="s">
        <v>345</v>
      </c>
      <c r="C9" t="s">
        <v>387</v>
      </c>
    </row>
    <row r="10" spans="1:3" x14ac:dyDescent="0.35">
      <c r="A10" t="s">
        <v>8</v>
      </c>
      <c r="B10" t="s">
        <v>339</v>
      </c>
      <c r="C10" t="s">
        <v>8</v>
      </c>
    </row>
    <row r="11" spans="1:3" x14ac:dyDescent="0.35">
      <c r="A11" t="s">
        <v>9</v>
      </c>
      <c r="B11" t="s">
        <v>374</v>
      </c>
      <c r="C11" t="s">
        <v>9</v>
      </c>
    </row>
    <row r="12" spans="1:3" x14ac:dyDescent="0.35">
      <c r="A12" t="s">
        <v>10</v>
      </c>
      <c r="B12" t="s">
        <v>344</v>
      </c>
      <c r="C12" t="s">
        <v>10</v>
      </c>
    </row>
    <row r="13" spans="1:3" x14ac:dyDescent="0.35">
      <c r="A13" t="s">
        <v>11</v>
      </c>
      <c r="B13" t="s">
        <v>343</v>
      </c>
      <c r="C13" t="s">
        <v>11</v>
      </c>
    </row>
    <row r="14" spans="1:3" x14ac:dyDescent="0.35">
      <c r="A14" t="s">
        <v>12</v>
      </c>
      <c r="B14" t="s">
        <v>340</v>
      </c>
      <c r="C14" t="s">
        <v>12</v>
      </c>
    </row>
    <row r="15" spans="1:3" x14ac:dyDescent="0.35">
      <c r="A15" t="s">
        <v>388</v>
      </c>
      <c r="B15" t="s">
        <v>342</v>
      </c>
      <c r="C15" t="s">
        <v>388</v>
      </c>
    </row>
    <row r="16" spans="1:3" x14ac:dyDescent="0.35">
      <c r="A16" t="s">
        <v>14</v>
      </c>
      <c r="B16" t="s">
        <v>354</v>
      </c>
      <c r="C16" t="s">
        <v>14</v>
      </c>
    </row>
    <row r="17" spans="1:3" x14ac:dyDescent="0.35">
      <c r="A17" t="s">
        <v>15</v>
      </c>
      <c r="B17" t="s">
        <v>347</v>
      </c>
      <c r="C17" t="s">
        <v>15</v>
      </c>
    </row>
    <row r="18" spans="1:3" x14ac:dyDescent="0.35">
      <c r="A18" t="s">
        <v>16</v>
      </c>
      <c r="B18" t="s">
        <v>372</v>
      </c>
      <c r="C18" t="s">
        <v>16</v>
      </c>
    </row>
    <row r="19" spans="1:3" x14ac:dyDescent="0.35">
      <c r="A19" t="s">
        <v>17</v>
      </c>
      <c r="B19" t="s">
        <v>348</v>
      </c>
      <c r="C19" t="s">
        <v>17</v>
      </c>
    </row>
    <row r="20" spans="1:3" x14ac:dyDescent="0.35">
      <c r="A20" t="s">
        <v>18</v>
      </c>
      <c r="B20" t="s">
        <v>349</v>
      </c>
      <c r="C20" t="s">
        <v>18</v>
      </c>
    </row>
    <row r="21" spans="1:3" x14ac:dyDescent="0.35">
      <c r="A21" t="s">
        <v>19</v>
      </c>
      <c r="B21" t="s">
        <v>352</v>
      </c>
      <c r="C21" t="s">
        <v>19</v>
      </c>
    </row>
    <row r="22" spans="1:3" x14ac:dyDescent="0.35">
      <c r="A22" t="s">
        <v>20</v>
      </c>
      <c r="B22" t="s">
        <v>350</v>
      </c>
      <c r="C22" t="s">
        <v>20</v>
      </c>
    </row>
    <row r="23" spans="1:3" x14ac:dyDescent="0.35">
      <c r="A23" t="s">
        <v>21</v>
      </c>
      <c r="B23" t="s">
        <v>351</v>
      </c>
      <c r="C23" t="s">
        <v>21</v>
      </c>
    </row>
    <row r="24" spans="1:3" x14ac:dyDescent="0.35">
      <c r="A24" t="s">
        <v>22</v>
      </c>
      <c r="B24" t="s">
        <v>353</v>
      </c>
      <c r="C24" t="s">
        <v>22</v>
      </c>
    </row>
    <row r="25" spans="1:3" x14ac:dyDescent="0.35">
      <c r="A25" t="s">
        <v>23</v>
      </c>
      <c r="B25" t="s">
        <v>355</v>
      </c>
      <c r="C25" t="s">
        <v>23</v>
      </c>
    </row>
    <row r="26" spans="1:3" x14ac:dyDescent="0.35">
      <c r="A26" t="s">
        <v>24</v>
      </c>
      <c r="B26" t="s">
        <v>357</v>
      </c>
      <c r="C26" t="s">
        <v>24</v>
      </c>
    </row>
    <row r="27" spans="1:3" x14ac:dyDescent="0.35">
      <c r="A27" t="s">
        <v>25</v>
      </c>
      <c r="B27" t="s">
        <v>356</v>
      </c>
      <c r="C27" t="s">
        <v>25</v>
      </c>
    </row>
    <row r="28" spans="1:3" x14ac:dyDescent="0.35">
      <c r="A28" t="s">
        <v>26</v>
      </c>
      <c r="B28" t="s">
        <v>358</v>
      </c>
      <c r="C28" t="s">
        <v>26</v>
      </c>
    </row>
    <row r="29" spans="1:3" x14ac:dyDescent="0.35">
      <c r="A29" t="s">
        <v>27</v>
      </c>
      <c r="B29" t="s">
        <v>363</v>
      </c>
      <c r="C29" t="s">
        <v>27</v>
      </c>
    </row>
    <row r="30" spans="1:3" x14ac:dyDescent="0.35">
      <c r="A30" t="s">
        <v>28</v>
      </c>
      <c r="B30" t="s">
        <v>359</v>
      </c>
      <c r="C30" t="s">
        <v>28</v>
      </c>
    </row>
    <row r="31" spans="1:3" x14ac:dyDescent="0.35">
      <c r="A31" t="s">
        <v>29</v>
      </c>
      <c r="B31" t="s">
        <v>361</v>
      </c>
      <c r="C31" t="s">
        <v>29</v>
      </c>
    </row>
    <row r="32" spans="1:3" x14ac:dyDescent="0.35">
      <c r="A32" t="s">
        <v>30</v>
      </c>
      <c r="B32" t="s">
        <v>362</v>
      </c>
      <c r="C32" t="s">
        <v>30</v>
      </c>
    </row>
    <row r="33" spans="1:3" x14ac:dyDescent="0.35">
      <c r="A33" t="s">
        <v>31</v>
      </c>
      <c r="B33" t="s">
        <v>360</v>
      </c>
      <c r="C33" t="s">
        <v>31</v>
      </c>
    </row>
    <row r="34" spans="1:3" x14ac:dyDescent="0.35">
      <c r="A34" t="s">
        <v>32</v>
      </c>
      <c r="B34" t="s">
        <v>364</v>
      </c>
      <c r="C34" t="s">
        <v>32</v>
      </c>
    </row>
    <row r="35" spans="1:3" x14ac:dyDescent="0.35">
      <c r="A35" t="s">
        <v>33</v>
      </c>
      <c r="B35" t="s">
        <v>365</v>
      </c>
      <c r="C35" t="s">
        <v>33</v>
      </c>
    </row>
    <row r="36" spans="1:3" x14ac:dyDescent="0.35">
      <c r="A36" t="s">
        <v>34</v>
      </c>
      <c r="B36" t="s">
        <v>366</v>
      </c>
      <c r="C36" t="s">
        <v>34</v>
      </c>
    </row>
    <row r="37" spans="1:3" x14ac:dyDescent="0.35">
      <c r="A37" t="s">
        <v>35</v>
      </c>
      <c r="B37" t="s">
        <v>367</v>
      </c>
      <c r="C37" t="s">
        <v>35</v>
      </c>
    </row>
    <row r="38" spans="1:3" x14ac:dyDescent="0.35">
      <c r="A38" t="s">
        <v>36</v>
      </c>
      <c r="B38" t="s">
        <v>371</v>
      </c>
      <c r="C38" t="s">
        <v>36</v>
      </c>
    </row>
    <row r="39" spans="1:3" x14ac:dyDescent="0.35">
      <c r="A39" t="s">
        <v>37</v>
      </c>
      <c r="B39" t="s">
        <v>368</v>
      </c>
      <c r="C39" t="s">
        <v>37</v>
      </c>
    </row>
    <row r="40" spans="1:3" x14ac:dyDescent="0.35">
      <c r="A40" t="s">
        <v>38</v>
      </c>
      <c r="B40" t="s">
        <v>373</v>
      </c>
      <c r="C40" t="s">
        <v>38</v>
      </c>
    </row>
    <row r="41" spans="1:3" x14ac:dyDescent="0.35">
      <c r="A41" t="s">
        <v>39</v>
      </c>
      <c r="B41" t="s">
        <v>369</v>
      </c>
      <c r="C41" t="s">
        <v>39</v>
      </c>
    </row>
    <row r="42" spans="1:3" x14ac:dyDescent="0.35">
      <c r="A42" t="s">
        <v>40</v>
      </c>
      <c r="B42" t="s">
        <v>378</v>
      </c>
      <c r="C42" t="s">
        <v>40</v>
      </c>
    </row>
    <row r="43" spans="1:3" x14ac:dyDescent="0.35">
      <c r="A43" t="s">
        <v>41</v>
      </c>
      <c r="B43" t="s">
        <v>370</v>
      </c>
      <c r="C43" t="s">
        <v>41</v>
      </c>
    </row>
    <row r="44" spans="1:3" x14ac:dyDescent="0.35">
      <c r="A44" t="s">
        <v>42</v>
      </c>
      <c r="B44" t="s">
        <v>376</v>
      </c>
      <c r="C44" t="s">
        <v>42</v>
      </c>
    </row>
    <row r="45" spans="1:3" x14ac:dyDescent="0.35">
      <c r="A45" t="s">
        <v>43</v>
      </c>
      <c r="B45" t="s">
        <v>375</v>
      </c>
      <c r="C45" t="s">
        <v>43</v>
      </c>
    </row>
    <row r="46" spans="1:3" x14ac:dyDescent="0.35">
      <c r="A46" t="s">
        <v>44</v>
      </c>
      <c r="B46" t="s">
        <v>377</v>
      </c>
      <c r="C46" t="s">
        <v>44</v>
      </c>
    </row>
    <row r="47" spans="1:3" x14ac:dyDescent="0.35">
      <c r="A47" t="s">
        <v>45</v>
      </c>
      <c r="B47" t="s">
        <v>379</v>
      </c>
      <c r="C47" t="s">
        <v>45</v>
      </c>
    </row>
    <row r="48" spans="1:3" x14ac:dyDescent="0.35">
      <c r="A48" t="s">
        <v>46</v>
      </c>
      <c r="B48" t="s">
        <v>380</v>
      </c>
      <c r="C4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4C2E-814E-4DFD-9A30-4522F0F9678D}">
  <sheetPr filterMode="1"/>
  <dimension ref="A1:D48"/>
  <sheetViews>
    <sheetView topLeftCell="A18" workbookViewId="0">
      <selection activeCell="A3" sqref="A3:A46"/>
    </sheetView>
  </sheetViews>
  <sheetFormatPr defaultRowHeight="14.5" x14ac:dyDescent="0.35"/>
  <cols>
    <col min="1" max="1" width="40.54296875" customWidth="1"/>
    <col min="2" max="2" width="12.36328125" bestFit="1" customWidth="1"/>
    <col min="3" max="3" width="44.6328125" customWidth="1"/>
    <col min="4" max="4" width="35.54296875" customWidth="1"/>
  </cols>
  <sheetData>
    <row r="1" spans="1:4" ht="26.5" thickTop="1" x14ac:dyDescent="0.35">
      <c r="A1" s="98" t="s">
        <v>48</v>
      </c>
      <c r="B1" s="99" t="s">
        <v>392</v>
      </c>
      <c r="C1" s="99" t="s">
        <v>393</v>
      </c>
      <c r="D1" s="99" t="s">
        <v>394</v>
      </c>
    </row>
    <row r="2" spans="1:4" ht="15" hidden="1" thickBot="1" x14ac:dyDescent="0.4">
      <c r="A2" s="100" t="s">
        <v>0</v>
      </c>
      <c r="B2" s="101" t="s">
        <v>346</v>
      </c>
      <c r="C2" s="102" t="s">
        <v>395</v>
      </c>
      <c r="D2" s="103" t="s">
        <v>396</v>
      </c>
    </row>
    <row r="3" spans="1:4" ht="15" thickBot="1" x14ac:dyDescent="0.4">
      <c r="A3" s="104" t="s">
        <v>1</v>
      </c>
      <c r="B3" s="101" t="s">
        <v>334</v>
      </c>
      <c r="C3" s="105" t="s">
        <v>397</v>
      </c>
      <c r="D3" s="106" t="s">
        <v>398</v>
      </c>
    </row>
    <row r="4" spans="1:4" ht="15" thickBot="1" x14ac:dyDescent="0.4">
      <c r="A4" s="104" t="s">
        <v>2</v>
      </c>
      <c r="B4" s="101" t="s">
        <v>336</v>
      </c>
      <c r="C4" s="105" t="s">
        <v>397</v>
      </c>
      <c r="D4" s="106" t="s">
        <v>398</v>
      </c>
    </row>
    <row r="5" spans="1:4" ht="15" hidden="1" thickBot="1" x14ac:dyDescent="0.4">
      <c r="A5" s="104" t="s">
        <v>3</v>
      </c>
      <c r="B5" s="101" t="s">
        <v>338</v>
      </c>
      <c r="C5" s="102" t="s">
        <v>395</v>
      </c>
      <c r="D5" s="103" t="s">
        <v>396</v>
      </c>
    </row>
    <row r="6" spans="1:4" ht="15" thickBot="1" x14ac:dyDescent="0.4">
      <c r="A6" s="104" t="s">
        <v>4</v>
      </c>
      <c r="B6" s="101" t="s">
        <v>337</v>
      </c>
      <c r="C6" s="105" t="s">
        <v>397</v>
      </c>
      <c r="D6" s="102" t="s">
        <v>395</v>
      </c>
    </row>
    <row r="7" spans="1:4" ht="15" thickBot="1" x14ac:dyDescent="0.4">
      <c r="A7" s="104" t="s">
        <v>5</v>
      </c>
      <c r="B7" s="101" t="s">
        <v>335</v>
      </c>
      <c r="C7" s="105" t="s">
        <v>397</v>
      </c>
      <c r="D7" s="102" t="s">
        <v>395</v>
      </c>
    </row>
    <row r="8" spans="1:4" ht="15" hidden="1" thickBot="1" x14ac:dyDescent="0.4">
      <c r="A8" s="104" t="s">
        <v>387</v>
      </c>
      <c r="B8" s="101" t="s">
        <v>345</v>
      </c>
      <c r="C8" s="102" t="s">
        <v>395</v>
      </c>
      <c r="D8" s="102" t="s">
        <v>395</v>
      </c>
    </row>
    <row r="9" spans="1:4" ht="15" thickBot="1" x14ac:dyDescent="0.4">
      <c r="A9" s="104" t="s">
        <v>6</v>
      </c>
      <c r="B9" s="101" t="s">
        <v>341</v>
      </c>
      <c r="C9" s="105" t="s">
        <v>397</v>
      </c>
      <c r="D9" s="106" t="s">
        <v>398</v>
      </c>
    </row>
    <row r="10" spans="1:4" ht="15" hidden="1" thickBot="1" x14ac:dyDescent="0.4">
      <c r="A10" s="104" t="s">
        <v>8</v>
      </c>
      <c r="B10" s="101" t="s">
        <v>339</v>
      </c>
      <c r="C10" s="106" t="s">
        <v>398</v>
      </c>
      <c r="D10" s="106" t="s">
        <v>398</v>
      </c>
    </row>
    <row r="11" spans="1:4" ht="15" thickBot="1" x14ac:dyDescent="0.4">
      <c r="A11" s="104" t="s">
        <v>9</v>
      </c>
      <c r="B11" s="101" t="s">
        <v>374</v>
      </c>
      <c r="C11" s="105" t="s">
        <v>397</v>
      </c>
      <c r="D11" s="105" t="s">
        <v>396</v>
      </c>
    </row>
    <row r="12" spans="1:4" ht="15" hidden="1" thickBot="1" x14ac:dyDescent="0.4">
      <c r="A12" s="104" t="s">
        <v>10</v>
      </c>
      <c r="B12" s="101" t="s">
        <v>344</v>
      </c>
      <c r="C12" s="106" t="s">
        <v>398</v>
      </c>
      <c r="D12" s="106" t="s">
        <v>398</v>
      </c>
    </row>
    <row r="13" spans="1:4" ht="15" thickBot="1" x14ac:dyDescent="0.4">
      <c r="A13" s="104" t="s">
        <v>399</v>
      </c>
      <c r="B13" s="101" t="s">
        <v>340</v>
      </c>
      <c r="C13" s="105" t="s">
        <v>397</v>
      </c>
      <c r="D13" s="105" t="s">
        <v>396</v>
      </c>
    </row>
    <row r="14" spans="1:4" ht="15" thickBot="1" x14ac:dyDescent="0.4">
      <c r="A14" s="104" t="s">
        <v>388</v>
      </c>
      <c r="B14" s="101" t="s">
        <v>342</v>
      </c>
      <c r="C14" s="105" t="s">
        <v>397</v>
      </c>
      <c r="D14" s="106" t="s">
        <v>398</v>
      </c>
    </row>
    <row r="15" spans="1:4" ht="15" thickBot="1" x14ac:dyDescent="0.4">
      <c r="A15" s="104" t="s">
        <v>14</v>
      </c>
      <c r="B15" s="101" t="s">
        <v>354</v>
      </c>
      <c r="C15" s="105" t="s">
        <v>397</v>
      </c>
      <c r="D15" s="106" t="s">
        <v>398</v>
      </c>
    </row>
    <row r="16" spans="1:4" ht="15" thickBot="1" x14ac:dyDescent="0.4">
      <c r="A16" s="104" t="s">
        <v>15</v>
      </c>
      <c r="B16" s="101" t="s">
        <v>347</v>
      </c>
      <c r="C16" s="105" t="s">
        <v>397</v>
      </c>
      <c r="D16" s="106" t="s">
        <v>398</v>
      </c>
    </row>
    <row r="17" spans="1:4" ht="15" hidden="1" thickBot="1" x14ac:dyDescent="0.4">
      <c r="A17" s="104" t="s">
        <v>16</v>
      </c>
      <c r="B17" s="101" t="s">
        <v>372</v>
      </c>
      <c r="C17" s="103" t="s">
        <v>396</v>
      </c>
      <c r="D17" s="102" t="s">
        <v>395</v>
      </c>
    </row>
    <row r="18" spans="1:4" ht="15" thickBot="1" x14ac:dyDescent="0.4">
      <c r="A18" s="104" t="s">
        <v>17</v>
      </c>
      <c r="B18" s="101" t="s">
        <v>348</v>
      </c>
      <c r="C18" s="105" t="s">
        <v>397</v>
      </c>
      <c r="D18" s="105" t="s">
        <v>396</v>
      </c>
    </row>
    <row r="19" spans="1:4" ht="15" hidden="1" thickBot="1" x14ac:dyDescent="0.4">
      <c r="A19" s="104" t="s">
        <v>18</v>
      </c>
      <c r="B19" s="101" t="s">
        <v>349</v>
      </c>
      <c r="C19" s="103" t="s">
        <v>396</v>
      </c>
      <c r="D19" s="103" t="s">
        <v>398</v>
      </c>
    </row>
    <row r="20" spans="1:4" ht="15" hidden="1" thickBot="1" x14ac:dyDescent="0.4">
      <c r="A20" s="104" t="s">
        <v>20</v>
      </c>
      <c r="B20" s="101" t="s">
        <v>350</v>
      </c>
      <c r="C20" s="102" t="s">
        <v>395</v>
      </c>
      <c r="D20" s="106" t="s">
        <v>398</v>
      </c>
    </row>
    <row r="21" spans="1:4" ht="15" thickBot="1" x14ac:dyDescent="0.4">
      <c r="A21" s="104" t="s">
        <v>21</v>
      </c>
      <c r="B21" s="101" t="s">
        <v>351</v>
      </c>
      <c r="C21" s="105" t="s">
        <v>397</v>
      </c>
      <c r="D21" s="105" t="s">
        <v>396</v>
      </c>
    </row>
    <row r="22" spans="1:4" ht="15" thickBot="1" x14ac:dyDescent="0.4">
      <c r="A22" s="104" t="s">
        <v>22</v>
      </c>
      <c r="B22" s="101" t="s">
        <v>353</v>
      </c>
      <c r="C22" s="105" t="s">
        <v>397</v>
      </c>
      <c r="D22" s="106" t="s">
        <v>398</v>
      </c>
    </row>
    <row r="23" spans="1:4" ht="15" hidden="1" thickBot="1" x14ac:dyDescent="0.4">
      <c r="A23" s="104" t="s">
        <v>23</v>
      </c>
      <c r="B23" s="101" t="s">
        <v>355</v>
      </c>
      <c r="C23" s="106" t="s">
        <v>398</v>
      </c>
      <c r="D23" s="103" t="s">
        <v>398</v>
      </c>
    </row>
    <row r="24" spans="1:4" ht="15" thickBot="1" x14ac:dyDescent="0.4">
      <c r="A24" s="104" t="s">
        <v>24</v>
      </c>
      <c r="B24" s="101" t="s">
        <v>357</v>
      </c>
      <c r="C24" s="105" t="s">
        <v>397</v>
      </c>
      <c r="D24" s="102" t="s">
        <v>395</v>
      </c>
    </row>
    <row r="25" spans="1:4" ht="15" hidden="1" thickBot="1" x14ac:dyDescent="0.4">
      <c r="A25" s="104" t="s">
        <v>25</v>
      </c>
      <c r="B25" s="101" t="s">
        <v>356</v>
      </c>
      <c r="C25" s="106" t="s">
        <v>398</v>
      </c>
      <c r="D25" s="106" t="s">
        <v>398</v>
      </c>
    </row>
    <row r="26" spans="1:4" ht="15" thickBot="1" x14ac:dyDescent="0.4">
      <c r="A26" s="104" t="s">
        <v>26</v>
      </c>
      <c r="B26" s="101" t="s">
        <v>358</v>
      </c>
      <c r="C26" s="105" t="s">
        <v>397</v>
      </c>
      <c r="D26" s="103" t="s">
        <v>398</v>
      </c>
    </row>
    <row r="27" spans="1:4" ht="15" thickBot="1" x14ac:dyDescent="0.4">
      <c r="A27" s="104" t="s">
        <v>27</v>
      </c>
      <c r="B27" s="101" t="s">
        <v>363</v>
      </c>
      <c r="C27" s="105" t="s">
        <v>397</v>
      </c>
      <c r="D27" s="102" t="s">
        <v>395</v>
      </c>
    </row>
    <row r="28" spans="1:4" ht="15" thickBot="1" x14ac:dyDescent="0.4">
      <c r="A28" s="104" t="s">
        <v>28</v>
      </c>
      <c r="B28" s="101" t="s">
        <v>359</v>
      </c>
      <c r="C28" s="105" t="s">
        <v>397</v>
      </c>
      <c r="D28" s="105" t="s">
        <v>396</v>
      </c>
    </row>
    <row r="29" spans="1:4" ht="15" hidden="1" thickBot="1" x14ac:dyDescent="0.4">
      <c r="A29" s="104" t="s">
        <v>29</v>
      </c>
      <c r="B29" s="101" t="s">
        <v>361</v>
      </c>
      <c r="C29" s="106" t="s">
        <v>398</v>
      </c>
      <c r="D29" s="105" t="s">
        <v>396</v>
      </c>
    </row>
    <row r="30" spans="1:4" ht="15" hidden="1" thickBot="1" x14ac:dyDescent="0.4">
      <c r="A30" s="104" t="s">
        <v>30</v>
      </c>
      <c r="B30" s="101" t="s">
        <v>362</v>
      </c>
      <c r="C30" s="102" t="s">
        <v>395</v>
      </c>
      <c r="D30" s="103" t="s">
        <v>398</v>
      </c>
    </row>
    <row r="31" spans="1:4" ht="15" thickBot="1" x14ac:dyDescent="0.4">
      <c r="A31" s="104" t="s">
        <v>31</v>
      </c>
      <c r="B31" s="101" t="s">
        <v>360</v>
      </c>
      <c r="C31" s="105" t="s">
        <v>397</v>
      </c>
      <c r="D31" s="103" t="s">
        <v>398</v>
      </c>
    </row>
    <row r="32" spans="1:4" ht="15" hidden="1" thickBot="1" x14ac:dyDescent="0.4">
      <c r="A32" s="104" t="s">
        <v>32</v>
      </c>
      <c r="B32" s="101" t="s">
        <v>364</v>
      </c>
      <c r="C32" s="103" t="s">
        <v>396</v>
      </c>
      <c r="D32" s="103" t="s">
        <v>398</v>
      </c>
    </row>
    <row r="33" spans="1:4" ht="15" thickBot="1" x14ac:dyDescent="0.4">
      <c r="A33" s="104" t="s">
        <v>33</v>
      </c>
      <c r="B33" s="101" t="s">
        <v>365</v>
      </c>
      <c r="C33" s="105" t="s">
        <v>397</v>
      </c>
      <c r="D33" s="102" t="s">
        <v>395</v>
      </c>
    </row>
    <row r="34" spans="1:4" ht="15" thickBot="1" x14ac:dyDescent="0.4">
      <c r="A34" s="104" t="s">
        <v>34</v>
      </c>
      <c r="B34" s="101" t="s">
        <v>366</v>
      </c>
      <c r="C34" s="105" t="s">
        <v>397</v>
      </c>
      <c r="D34" s="106" t="s">
        <v>398</v>
      </c>
    </row>
    <row r="35" spans="1:4" ht="15" hidden="1" thickBot="1" x14ac:dyDescent="0.4">
      <c r="A35" s="104" t="s">
        <v>400</v>
      </c>
      <c r="B35" s="101" t="s">
        <v>343</v>
      </c>
      <c r="C35" s="106" t="s">
        <v>398</v>
      </c>
      <c r="D35" s="103" t="s">
        <v>398</v>
      </c>
    </row>
    <row r="36" spans="1:4" ht="15" hidden="1" thickBot="1" x14ac:dyDescent="0.4">
      <c r="A36" s="104" t="s">
        <v>35</v>
      </c>
      <c r="B36" s="101" t="s">
        <v>367</v>
      </c>
      <c r="C36" s="106" t="s">
        <v>398</v>
      </c>
      <c r="D36" s="102" t="s">
        <v>395</v>
      </c>
    </row>
    <row r="37" spans="1:4" ht="15" hidden="1" thickBot="1" x14ac:dyDescent="0.4">
      <c r="A37" s="104" t="s">
        <v>401</v>
      </c>
      <c r="B37" s="101" t="s">
        <v>371</v>
      </c>
      <c r="C37" s="102" t="s">
        <v>395</v>
      </c>
      <c r="D37" s="103" t="s">
        <v>398</v>
      </c>
    </row>
    <row r="38" spans="1:4" ht="15" thickBot="1" x14ac:dyDescent="0.4">
      <c r="A38" s="104" t="s">
        <v>37</v>
      </c>
      <c r="B38" s="101" t="s">
        <v>368</v>
      </c>
      <c r="C38" s="105" t="s">
        <v>397</v>
      </c>
      <c r="D38" s="106" t="s">
        <v>398</v>
      </c>
    </row>
    <row r="39" spans="1:4" ht="15" hidden="1" thickBot="1" x14ac:dyDescent="0.4">
      <c r="A39" s="104" t="s">
        <v>38</v>
      </c>
      <c r="B39" s="101" t="s">
        <v>373</v>
      </c>
      <c r="C39" s="103" t="s">
        <v>396</v>
      </c>
      <c r="D39" s="102" t="s">
        <v>395</v>
      </c>
    </row>
    <row r="40" spans="1:4" ht="15" thickBot="1" x14ac:dyDescent="0.4">
      <c r="A40" s="104" t="s">
        <v>39</v>
      </c>
      <c r="B40" s="101" t="s">
        <v>369</v>
      </c>
      <c r="C40" s="105" t="s">
        <v>397</v>
      </c>
      <c r="D40" s="105" t="s">
        <v>396</v>
      </c>
    </row>
    <row r="41" spans="1:4" ht="15" hidden="1" thickBot="1" x14ac:dyDescent="0.4">
      <c r="A41" s="104" t="s">
        <v>40</v>
      </c>
      <c r="B41" s="101" t="s">
        <v>378</v>
      </c>
      <c r="C41" s="103" t="s">
        <v>396</v>
      </c>
      <c r="D41" s="103" t="s">
        <v>398</v>
      </c>
    </row>
    <row r="42" spans="1:4" ht="15" thickBot="1" x14ac:dyDescent="0.4">
      <c r="A42" s="104" t="s">
        <v>41</v>
      </c>
      <c r="B42" s="101" t="s">
        <v>370</v>
      </c>
      <c r="C42" s="105" t="s">
        <v>397</v>
      </c>
      <c r="D42" s="105" t="s">
        <v>396</v>
      </c>
    </row>
    <row r="43" spans="1:4" ht="15" thickBot="1" x14ac:dyDescent="0.4">
      <c r="A43" s="104" t="s">
        <v>42</v>
      </c>
      <c r="B43" s="101" t="s">
        <v>376</v>
      </c>
      <c r="C43" s="105" t="s">
        <v>397</v>
      </c>
      <c r="D43" s="103" t="s">
        <v>398</v>
      </c>
    </row>
    <row r="44" spans="1:4" ht="15" thickBot="1" x14ac:dyDescent="0.4">
      <c r="A44" s="104" t="s">
        <v>402</v>
      </c>
      <c r="B44" s="101" t="s">
        <v>352</v>
      </c>
      <c r="C44" s="105" t="s">
        <v>397</v>
      </c>
      <c r="D44" s="105" t="s">
        <v>396</v>
      </c>
    </row>
    <row r="45" spans="1:4" ht="15" thickBot="1" x14ac:dyDescent="0.4">
      <c r="A45" s="104" t="s">
        <v>43</v>
      </c>
      <c r="B45" s="101" t="s">
        <v>375</v>
      </c>
      <c r="C45" s="105" t="s">
        <v>397</v>
      </c>
      <c r="D45" s="105" t="s">
        <v>396</v>
      </c>
    </row>
    <row r="46" spans="1:4" ht="15" thickBot="1" x14ac:dyDescent="0.4">
      <c r="A46" s="104" t="s">
        <v>44</v>
      </c>
      <c r="B46" s="101" t="s">
        <v>377</v>
      </c>
      <c r="C46" s="105" t="s">
        <v>397</v>
      </c>
      <c r="D46" s="106" t="s">
        <v>398</v>
      </c>
    </row>
    <row r="47" spans="1:4" ht="15" hidden="1" thickBot="1" x14ac:dyDescent="0.4">
      <c r="A47" s="104" t="s">
        <v>45</v>
      </c>
      <c r="B47" s="101" t="s">
        <v>379</v>
      </c>
      <c r="C47" s="102" t="s">
        <v>395</v>
      </c>
      <c r="D47" s="105" t="s">
        <v>396</v>
      </c>
    </row>
    <row r="48" spans="1:4" ht="15" hidden="1" thickBot="1" x14ac:dyDescent="0.4">
      <c r="A48" s="107" t="s">
        <v>46</v>
      </c>
      <c r="B48" s="101" t="s">
        <v>380</v>
      </c>
      <c r="C48" s="103" t="s">
        <v>396</v>
      </c>
      <c r="D48" s="105" t="s">
        <v>396</v>
      </c>
    </row>
  </sheetData>
  <autoFilter ref="A1:D48" xr:uid="{53DB4C2E-814E-4DFD-9A30-4522F0F9678D}">
    <filterColumn colId="2">
      <filters>
        <filter val="Q1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8BB3-88C7-4714-B313-A18C8C064B25}">
  <dimension ref="A1:I49"/>
  <sheetViews>
    <sheetView topLeftCell="A31" workbookViewId="0">
      <selection sqref="A1:I49"/>
    </sheetView>
  </sheetViews>
  <sheetFormatPr defaultRowHeight="14.5" x14ac:dyDescent="0.35"/>
  <sheetData>
    <row r="1" spans="1:9" ht="56.5" x14ac:dyDescent="0.35">
      <c r="A1" s="10" t="s">
        <v>48</v>
      </c>
      <c r="B1" s="11" t="s">
        <v>91</v>
      </c>
      <c r="C1" s="11" t="s">
        <v>92</v>
      </c>
      <c r="D1" s="11" t="s">
        <v>93</v>
      </c>
      <c r="E1" s="10" t="s">
        <v>48</v>
      </c>
      <c r="F1" s="11" t="s">
        <v>91</v>
      </c>
      <c r="G1" s="11" t="s">
        <v>92</v>
      </c>
      <c r="H1" s="11" t="s">
        <v>93</v>
      </c>
      <c r="I1" s="108" t="s">
        <v>403</v>
      </c>
    </row>
    <row r="2" spans="1:9" x14ac:dyDescent="0.35">
      <c r="A2" s="3" t="s">
        <v>0</v>
      </c>
      <c r="B2" s="24">
        <v>0</v>
      </c>
      <c r="C2" s="24">
        <v>17.451281461612556</v>
      </c>
      <c r="D2" s="93">
        <v>16.816609497424736</v>
      </c>
      <c r="E2" s="3" t="s">
        <v>0</v>
      </c>
      <c r="F2" s="24">
        <v>0</v>
      </c>
      <c r="G2" s="24">
        <v>13.763205181805606</v>
      </c>
      <c r="H2" s="95">
        <v>23.333736051252441</v>
      </c>
      <c r="I2" s="76">
        <f>D2+H2</f>
        <v>40.15034554867718</v>
      </c>
    </row>
    <row r="3" spans="1:9" x14ac:dyDescent="0.35">
      <c r="A3" s="3" t="s">
        <v>1</v>
      </c>
      <c r="B3" s="24">
        <v>0</v>
      </c>
      <c r="C3" s="24">
        <v>2.1081724281039813</v>
      </c>
      <c r="D3" s="37">
        <v>2.4426095634584915</v>
      </c>
      <c r="E3" s="3" t="s">
        <v>1</v>
      </c>
      <c r="F3" s="24">
        <v>0</v>
      </c>
      <c r="G3" s="24">
        <v>14.735143611692351</v>
      </c>
      <c r="H3" s="24">
        <v>18.746629066564807</v>
      </c>
      <c r="I3" s="76">
        <f t="shared" ref="I3:I48" si="0">D3+H3</f>
        <v>21.189238630023297</v>
      </c>
    </row>
    <row r="4" spans="1:9" x14ac:dyDescent="0.35">
      <c r="A4" s="3" t="s">
        <v>2</v>
      </c>
      <c r="B4" s="24">
        <v>0</v>
      </c>
      <c r="C4" s="24">
        <v>0.76042548150614686</v>
      </c>
      <c r="D4" s="37">
        <v>1.953139041931379</v>
      </c>
      <c r="E4" s="3" t="s">
        <v>2</v>
      </c>
      <c r="F4" s="24">
        <v>4.7338515639728893</v>
      </c>
      <c r="G4" s="24">
        <v>2.8557829206343182</v>
      </c>
      <c r="H4" s="24">
        <v>4.4132854195174911</v>
      </c>
      <c r="I4" s="76">
        <f t="shared" si="0"/>
        <v>6.3664244614488705</v>
      </c>
    </row>
    <row r="5" spans="1:9" x14ac:dyDescent="0.35">
      <c r="A5" s="3" t="s">
        <v>3</v>
      </c>
      <c r="B5" s="24">
        <v>3.6937181535197645</v>
      </c>
      <c r="C5" s="24">
        <v>3.77334091808852</v>
      </c>
      <c r="D5" s="37">
        <v>3.7714386517715091</v>
      </c>
      <c r="E5" s="3" t="s">
        <v>3</v>
      </c>
      <c r="F5" s="24">
        <v>26.230359927803359</v>
      </c>
      <c r="G5" s="24">
        <v>31.186152777066741</v>
      </c>
      <c r="H5" s="24">
        <v>30.521279734296041</v>
      </c>
      <c r="I5" s="76">
        <f t="shared" si="0"/>
        <v>34.292718386067548</v>
      </c>
    </row>
    <row r="6" spans="1:9" x14ac:dyDescent="0.35">
      <c r="A6" s="3" t="s">
        <v>4</v>
      </c>
      <c r="B6" s="24">
        <v>0.45530814594752361</v>
      </c>
      <c r="C6" s="24">
        <v>0.82578476645811349</v>
      </c>
      <c r="D6" s="37">
        <v>1.4655706450477866</v>
      </c>
      <c r="E6" s="3" t="s">
        <v>4</v>
      </c>
      <c r="F6" s="24">
        <v>3.5131871385938434</v>
      </c>
      <c r="G6" s="24">
        <v>5.0630805900712721</v>
      </c>
      <c r="H6" s="24">
        <v>6.1573372782161142</v>
      </c>
      <c r="I6" s="76">
        <f t="shared" si="0"/>
        <v>7.6229079232639005</v>
      </c>
    </row>
    <row r="7" spans="1:9" x14ac:dyDescent="0.35">
      <c r="A7" s="3" t="s">
        <v>5</v>
      </c>
      <c r="B7" s="24">
        <v>0.54583552862175777</v>
      </c>
      <c r="C7" s="24">
        <v>0.9431440324062208</v>
      </c>
      <c r="D7" s="37">
        <v>0.78735018131878509</v>
      </c>
      <c r="E7" s="3" t="s">
        <v>5</v>
      </c>
      <c r="F7" s="24">
        <v>6.4761316419328772</v>
      </c>
      <c r="G7" s="24">
        <v>7.9662608493647209</v>
      </c>
      <c r="H7" s="24">
        <v>7.2709914092212449</v>
      </c>
      <c r="I7" s="76">
        <f t="shared" si="0"/>
        <v>8.0583415905400297</v>
      </c>
    </row>
    <row r="8" spans="1:9" x14ac:dyDescent="0.35">
      <c r="A8" s="3" t="s">
        <v>6</v>
      </c>
      <c r="B8" s="24">
        <v>0.85148281433098261</v>
      </c>
      <c r="C8" s="24">
        <v>1.2996103780847321</v>
      </c>
      <c r="D8" s="37">
        <v>1.3466102150755759</v>
      </c>
      <c r="E8" s="3" t="s">
        <v>6</v>
      </c>
      <c r="F8" s="24">
        <v>8.7616749526761364</v>
      </c>
      <c r="G8" s="24">
        <v>3.957849954737946</v>
      </c>
      <c r="H8" s="24">
        <v>5.9012264094014268</v>
      </c>
      <c r="I8" s="76">
        <f t="shared" si="0"/>
        <v>7.2478366244770029</v>
      </c>
    </row>
    <row r="9" spans="1:9" x14ac:dyDescent="0.35">
      <c r="A9" s="3" t="s">
        <v>7</v>
      </c>
      <c r="B9" s="24">
        <v>5.7043375189835919</v>
      </c>
      <c r="C9" s="24">
        <v>7.913144485790041</v>
      </c>
      <c r="D9" s="37">
        <v>44.57560867875636</v>
      </c>
      <c r="E9" s="3" t="s">
        <v>7</v>
      </c>
      <c r="F9" s="24">
        <v>7.4637922732155442</v>
      </c>
      <c r="G9" s="24">
        <v>13.445342843112282</v>
      </c>
      <c r="H9" s="24">
        <v>15.86446587243182</v>
      </c>
      <c r="I9" s="76">
        <f t="shared" si="0"/>
        <v>60.440074551188182</v>
      </c>
    </row>
    <row r="10" spans="1:9" x14ac:dyDescent="0.35">
      <c r="A10" s="3" t="s">
        <v>8</v>
      </c>
      <c r="B10" s="24">
        <v>0.67465866488173498</v>
      </c>
      <c r="C10" s="24">
        <v>0.65753575227978456</v>
      </c>
      <c r="D10" s="37">
        <v>0.2623871892948651</v>
      </c>
      <c r="E10" s="3" t="s">
        <v>8</v>
      </c>
      <c r="F10" s="24">
        <v>0.67049410522197117</v>
      </c>
      <c r="G10" s="24">
        <v>2.3455379820129627</v>
      </c>
      <c r="H10" s="24">
        <v>1.162329215736025</v>
      </c>
      <c r="I10" s="76">
        <f t="shared" si="0"/>
        <v>1.42471640503089</v>
      </c>
    </row>
    <row r="11" spans="1:9" x14ac:dyDescent="0.35">
      <c r="A11" s="3" t="s">
        <v>9</v>
      </c>
      <c r="B11" s="24">
        <v>0.43354023088778937</v>
      </c>
      <c r="C11" s="24">
        <v>0.51460471244619244</v>
      </c>
      <c r="D11" s="37">
        <v>0.85029242131882254</v>
      </c>
      <c r="E11" s="3" t="s">
        <v>9</v>
      </c>
      <c r="F11" s="24">
        <v>2.7283526572100674</v>
      </c>
      <c r="G11" s="24">
        <v>3.0754520735109305</v>
      </c>
      <c r="H11" s="24">
        <v>1.9111277040490406</v>
      </c>
      <c r="I11" s="76">
        <f t="shared" si="0"/>
        <v>2.761420125367863</v>
      </c>
    </row>
    <row r="12" spans="1:9" x14ac:dyDescent="0.35">
      <c r="A12" s="3" t="s">
        <v>10</v>
      </c>
      <c r="B12" s="24">
        <v>1.7586691307098652</v>
      </c>
      <c r="C12" s="24">
        <v>2.8339066627077822</v>
      </c>
      <c r="D12" s="37">
        <v>4.2305355033351333</v>
      </c>
      <c r="E12" s="3" t="s">
        <v>10</v>
      </c>
      <c r="F12" s="24">
        <v>0</v>
      </c>
      <c r="G12" s="24">
        <v>9.622401259285061</v>
      </c>
      <c r="H12" s="24">
        <v>9.3809253528086618</v>
      </c>
      <c r="I12" s="76">
        <f t="shared" si="0"/>
        <v>13.611460856143795</v>
      </c>
    </row>
    <row r="13" spans="1:9" x14ac:dyDescent="0.35">
      <c r="A13" s="3" t="s">
        <v>11</v>
      </c>
      <c r="B13" s="24">
        <v>0</v>
      </c>
      <c r="C13" s="24">
        <v>0.99980481751540462</v>
      </c>
      <c r="D13" s="37">
        <v>1.7452696826892025</v>
      </c>
      <c r="E13" s="3" t="s">
        <v>11</v>
      </c>
      <c r="F13" s="24">
        <v>6.8122508254598362</v>
      </c>
      <c r="G13" s="24">
        <v>9.3382505106539906</v>
      </c>
      <c r="H13" s="24">
        <v>9.3343454334231524</v>
      </c>
      <c r="I13" s="76">
        <f t="shared" si="0"/>
        <v>11.079615116112354</v>
      </c>
    </row>
    <row r="14" spans="1:9" x14ac:dyDescent="0.35">
      <c r="A14" s="3" t="s">
        <v>12</v>
      </c>
      <c r="B14" s="24">
        <v>2.3320742431857204</v>
      </c>
      <c r="C14" s="24">
        <v>2.1973807668423482</v>
      </c>
      <c r="D14" s="37">
        <v>2.2469567053544797</v>
      </c>
      <c r="E14" s="3" t="s">
        <v>12</v>
      </c>
      <c r="F14" s="24">
        <v>3.9075595143455391</v>
      </c>
      <c r="G14" s="24">
        <v>5.9476766454178023</v>
      </c>
      <c r="H14" s="24">
        <v>6.8270110526378796</v>
      </c>
      <c r="I14" s="76">
        <f t="shared" si="0"/>
        <v>9.0739677579923601</v>
      </c>
    </row>
    <row r="15" spans="1:9" x14ac:dyDescent="0.35">
      <c r="A15" s="3" t="s">
        <v>13</v>
      </c>
      <c r="B15" s="24">
        <v>0.87367249731660168</v>
      </c>
      <c r="C15" s="24">
        <v>3.6223398907912641</v>
      </c>
      <c r="D15" s="37">
        <v>2.1502790761743422</v>
      </c>
      <c r="E15" s="3" t="s">
        <v>13</v>
      </c>
      <c r="F15" s="24">
        <v>8.1422519604234793</v>
      </c>
      <c r="G15" s="24">
        <v>11.917344372211099</v>
      </c>
      <c r="H15" s="24">
        <v>11.646879414822383</v>
      </c>
      <c r="I15" s="76">
        <f t="shared" si="0"/>
        <v>13.797158490996726</v>
      </c>
    </row>
    <row r="16" spans="1:9" x14ac:dyDescent="0.35">
      <c r="A16" s="3" t="s">
        <v>14</v>
      </c>
      <c r="B16" s="24">
        <v>0</v>
      </c>
      <c r="C16" s="24">
        <v>1.637716477325116</v>
      </c>
      <c r="D16" s="37">
        <v>1.6399848588255548</v>
      </c>
      <c r="E16" s="3" t="s">
        <v>14</v>
      </c>
      <c r="F16" s="24">
        <v>0</v>
      </c>
      <c r="G16" s="24">
        <v>2.3633713392293343</v>
      </c>
      <c r="H16" s="24">
        <v>8.2094061285754201</v>
      </c>
      <c r="I16" s="76">
        <f t="shared" si="0"/>
        <v>9.8493909874009749</v>
      </c>
    </row>
    <row r="17" spans="1:9" x14ac:dyDescent="0.35">
      <c r="A17" s="3" t="s">
        <v>15</v>
      </c>
      <c r="B17" s="24">
        <v>0.52178656078039853</v>
      </c>
      <c r="C17" s="24">
        <v>0.81268378807586839</v>
      </c>
      <c r="D17" s="37">
        <v>0.81111588628736697</v>
      </c>
      <c r="E17" s="3" t="s">
        <v>15</v>
      </c>
      <c r="F17" s="24">
        <v>12.929385593291038</v>
      </c>
      <c r="G17" s="24">
        <v>14.428039680446936</v>
      </c>
      <c r="H17" s="24">
        <v>13.591089001274819</v>
      </c>
      <c r="I17" s="76">
        <f t="shared" si="0"/>
        <v>14.402204887562185</v>
      </c>
    </row>
    <row r="18" spans="1:9" x14ac:dyDescent="0.35">
      <c r="A18" s="3" t="s">
        <v>16</v>
      </c>
      <c r="B18" s="24">
        <v>0</v>
      </c>
      <c r="C18" s="24">
        <v>2.395668837562019</v>
      </c>
      <c r="D18" s="37">
        <v>5.7170414019483733</v>
      </c>
      <c r="E18" s="3" t="s">
        <v>16</v>
      </c>
      <c r="F18" s="24">
        <v>33.398341618089297</v>
      </c>
      <c r="G18" s="24">
        <v>40.554019962470726</v>
      </c>
      <c r="H18" s="24">
        <v>43.622607029131544</v>
      </c>
      <c r="I18" s="76">
        <f t="shared" si="0"/>
        <v>49.339648431079915</v>
      </c>
    </row>
    <row r="19" spans="1:9" x14ac:dyDescent="0.35">
      <c r="A19" s="3" t="s">
        <v>17</v>
      </c>
      <c r="B19" s="24">
        <v>0</v>
      </c>
      <c r="C19" s="24">
        <v>1.0135028308160794</v>
      </c>
      <c r="D19" s="37">
        <v>1.9242190409996556</v>
      </c>
      <c r="E19" s="3" t="s">
        <v>17</v>
      </c>
      <c r="F19" s="24">
        <v>0</v>
      </c>
      <c r="G19" s="24">
        <v>5.5585631594753488</v>
      </c>
      <c r="H19" s="24">
        <v>10.638845868316279</v>
      </c>
      <c r="I19" s="76">
        <f t="shared" si="0"/>
        <v>12.563064909315935</v>
      </c>
    </row>
    <row r="20" spans="1:9" x14ac:dyDescent="0.35">
      <c r="A20" s="3" t="s">
        <v>18</v>
      </c>
      <c r="B20" s="24">
        <v>0</v>
      </c>
      <c r="C20" s="24">
        <v>6.2408431707589127</v>
      </c>
      <c r="D20" s="37">
        <v>5.2967509113158195</v>
      </c>
      <c r="E20" s="3" t="s">
        <v>18</v>
      </c>
      <c r="F20" s="24">
        <v>0</v>
      </c>
      <c r="G20" s="24">
        <v>27.75989085823683</v>
      </c>
      <c r="H20" s="24">
        <v>19.889555441350097</v>
      </c>
      <c r="I20" s="76">
        <f t="shared" si="0"/>
        <v>25.186306352665916</v>
      </c>
    </row>
    <row r="21" spans="1:9" x14ac:dyDescent="0.35">
      <c r="A21" s="3" t="s">
        <v>19</v>
      </c>
      <c r="B21" s="24">
        <v>1.0024145012199572</v>
      </c>
      <c r="C21" s="24">
        <v>1.2188560299936739</v>
      </c>
      <c r="D21" s="37">
        <v>1.0120770028849391</v>
      </c>
      <c r="E21" s="3" t="s">
        <v>19</v>
      </c>
      <c r="F21" s="24">
        <v>11.228924882210414</v>
      </c>
      <c r="G21" s="24">
        <v>6.1270011172165217</v>
      </c>
      <c r="H21" s="24">
        <v>5.282364728812099</v>
      </c>
      <c r="I21" s="76">
        <f t="shared" si="0"/>
        <v>6.294441731697038</v>
      </c>
    </row>
    <row r="22" spans="1:9" x14ac:dyDescent="0.35">
      <c r="A22" s="3" t="s">
        <v>20</v>
      </c>
      <c r="B22" s="24">
        <v>0.99180410146962517</v>
      </c>
      <c r="C22" s="24">
        <v>1.4272460592451912</v>
      </c>
      <c r="D22" s="37">
        <v>1.411763138467153</v>
      </c>
      <c r="E22" s="3" t="s">
        <v>20</v>
      </c>
      <c r="F22" s="24">
        <v>13.588806084750864</v>
      </c>
      <c r="G22" s="24">
        <v>40.499321677501314</v>
      </c>
      <c r="H22" s="24">
        <v>37.102627989308182</v>
      </c>
      <c r="I22" s="76">
        <f t="shared" si="0"/>
        <v>38.514391127775333</v>
      </c>
    </row>
    <row r="23" spans="1:9" x14ac:dyDescent="0.35">
      <c r="A23" s="3" t="s">
        <v>21</v>
      </c>
      <c r="B23" s="24">
        <v>1.667958641138336</v>
      </c>
      <c r="C23" s="24">
        <v>2.2198566937938682</v>
      </c>
      <c r="D23" s="37">
        <v>0.24629000013612709</v>
      </c>
      <c r="E23" s="3" t="s">
        <v>21</v>
      </c>
      <c r="F23" s="24">
        <v>5.2363408750270208</v>
      </c>
      <c r="G23" s="24">
        <v>5.7308463982227771</v>
      </c>
      <c r="H23" s="24">
        <v>3.6213751871867581</v>
      </c>
      <c r="I23" s="76">
        <f t="shared" si="0"/>
        <v>3.8676651873228853</v>
      </c>
    </row>
    <row r="24" spans="1:9" x14ac:dyDescent="0.35">
      <c r="A24" s="3" t="s">
        <v>22</v>
      </c>
      <c r="B24" s="24">
        <v>2.0851095786930078</v>
      </c>
      <c r="C24" s="24">
        <v>3.0026683747589895</v>
      </c>
      <c r="D24" s="37">
        <v>2.5212882917133439</v>
      </c>
      <c r="E24" s="3" t="s">
        <v>22</v>
      </c>
      <c r="F24" s="24">
        <v>4.2821318183893133</v>
      </c>
      <c r="G24" s="24">
        <v>6.5663889717912856</v>
      </c>
      <c r="H24" s="24">
        <v>8.9239684065872122</v>
      </c>
      <c r="I24" s="76">
        <f t="shared" si="0"/>
        <v>11.445256698300556</v>
      </c>
    </row>
    <row r="25" spans="1:9" x14ac:dyDescent="0.35">
      <c r="A25" s="3" t="s">
        <v>23</v>
      </c>
      <c r="B25" s="24">
        <v>1.9382766278398138</v>
      </c>
      <c r="C25" s="24">
        <v>1.6099035210964225</v>
      </c>
      <c r="D25" s="37">
        <v>2.3676836940426274</v>
      </c>
      <c r="E25" s="3" t="s">
        <v>23</v>
      </c>
      <c r="F25" s="24">
        <v>8.9952824106106632</v>
      </c>
      <c r="G25" s="24">
        <v>11.991399007360956</v>
      </c>
      <c r="H25" s="24">
        <v>20.296890728972834</v>
      </c>
      <c r="I25" s="76">
        <f t="shared" si="0"/>
        <v>22.664574423015459</v>
      </c>
    </row>
    <row r="26" spans="1:9" x14ac:dyDescent="0.35">
      <c r="A26" s="3" t="s">
        <v>24</v>
      </c>
      <c r="B26" s="24">
        <v>0</v>
      </c>
      <c r="C26" s="24">
        <v>4.5404562385095293</v>
      </c>
      <c r="D26" s="37">
        <v>2.3271916222532258</v>
      </c>
      <c r="E26" s="3" t="s">
        <v>24</v>
      </c>
      <c r="F26" s="24">
        <v>0</v>
      </c>
      <c r="G26" s="24">
        <v>31.237247027661752</v>
      </c>
      <c r="H26" s="24">
        <v>5.358081663616356</v>
      </c>
      <c r="I26" s="76">
        <f t="shared" si="0"/>
        <v>7.6852732858695818</v>
      </c>
    </row>
    <row r="27" spans="1:9" x14ac:dyDescent="0.35">
      <c r="A27" s="3" t="s">
        <v>25</v>
      </c>
      <c r="B27" s="24">
        <v>0.37946271016559152</v>
      </c>
      <c r="C27" s="24">
        <v>1.4173544312573898</v>
      </c>
      <c r="D27" s="37">
        <v>1.7990899320551237</v>
      </c>
      <c r="E27" s="3" t="s">
        <v>25</v>
      </c>
      <c r="F27" s="24">
        <v>0</v>
      </c>
      <c r="G27" s="24">
        <v>17.360035227291089</v>
      </c>
      <c r="H27" s="24">
        <v>8.3425634851189905</v>
      </c>
      <c r="I27" s="76">
        <f t="shared" si="0"/>
        <v>10.141653417174114</v>
      </c>
    </row>
    <row r="28" spans="1:9" x14ac:dyDescent="0.35">
      <c r="A28" s="3" t="s">
        <v>26</v>
      </c>
      <c r="B28" s="24">
        <v>1.4935513915538714</v>
      </c>
      <c r="C28" s="24">
        <v>1.9481094417340394</v>
      </c>
      <c r="D28" s="37">
        <v>1.766192932972404</v>
      </c>
      <c r="E28" s="3" t="s">
        <v>26</v>
      </c>
      <c r="F28" s="24">
        <v>1.4575162316668209</v>
      </c>
      <c r="G28" s="24">
        <v>1.6985428402117055</v>
      </c>
      <c r="H28" s="24">
        <v>1.5399311232034727</v>
      </c>
      <c r="I28" s="76">
        <f t="shared" si="0"/>
        <v>3.3061240561758769</v>
      </c>
    </row>
    <row r="29" spans="1:9" x14ac:dyDescent="0.35">
      <c r="A29" s="3" t="s">
        <v>27</v>
      </c>
      <c r="B29" s="24">
        <v>0.12480674066229511</v>
      </c>
      <c r="C29" s="24">
        <v>1.5026228117851155</v>
      </c>
      <c r="D29" s="37">
        <v>0.54082168986968526</v>
      </c>
      <c r="E29" s="3" t="s">
        <v>27</v>
      </c>
      <c r="F29" s="24">
        <v>2.2121994782391807</v>
      </c>
      <c r="G29" s="24">
        <v>4.3320180120920888</v>
      </c>
      <c r="H29" s="24">
        <v>4.7007357126756606</v>
      </c>
      <c r="I29" s="76">
        <f t="shared" si="0"/>
        <v>5.2415574025453457</v>
      </c>
    </row>
    <row r="30" spans="1:9" x14ac:dyDescent="0.35">
      <c r="A30" s="3" t="s">
        <v>28</v>
      </c>
      <c r="B30" s="24">
        <v>1.1591368106359479</v>
      </c>
      <c r="C30" s="24">
        <v>1.4377230640376699</v>
      </c>
      <c r="D30" s="37">
        <v>1.9483401719615994</v>
      </c>
      <c r="E30" s="3" t="s">
        <v>28</v>
      </c>
      <c r="F30" s="24">
        <v>2.5035237964876864</v>
      </c>
      <c r="G30" s="24">
        <v>2.621110610466443</v>
      </c>
      <c r="H30" s="24">
        <v>2.800351719218773</v>
      </c>
      <c r="I30" s="76">
        <f t="shared" si="0"/>
        <v>4.7486918911803722</v>
      </c>
    </row>
    <row r="31" spans="1:9" x14ac:dyDescent="0.35">
      <c r="A31" s="3" t="s">
        <v>29</v>
      </c>
      <c r="B31" s="24">
        <v>1.6617868376330072</v>
      </c>
      <c r="C31" s="24">
        <v>3.8073281231944631</v>
      </c>
      <c r="D31" s="37">
        <v>2.6879166644164951</v>
      </c>
      <c r="E31" s="3" t="s">
        <v>29</v>
      </c>
      <c r="F31" s="24">
        <v>10.275292889930139</v>
      </c>
      <c r="G31" s="24">
        <v>9.5206618381972241</v>
      </c>
      <c r="H31" s="24">
        <v>13.7305936333372</v>
      </c>
      <c r="I31" s="76">
        <f t="shared" si="0"/>
        <v>16.418510297753695</v>
      </c>
    </row>
    <row r="32" spans="1:9" x14ac:dyDescent="0.35">
      <c r="A32" s="3" t="s">
        <v>30</v>
      </c>
      <c r="B32" s="24">
        <v>15.851967724278035</v>
      </c>
      <c r="C32" s="24">
        <v>18.48876180492001</v>
      </c>
      <c r="D32" s="37">
        <v>14.110806020448374</v>
      </c>
      <c r="E32" s="3" t="s">
        <v>30</v>
      </c>
      <c r="F32" s="24">
        <v>30.704471207875784</v>
      </c>
      <c r="G32" s="24">
        <v>38.49059138176667</v>
      </c>
      <c r="H32" s="24">
        <v>35.390445967684023</v>
      </c>
      <c r="I32" s="76">
        <f t="shared" si="0"/>
        <v>49.501251988132395</v>
      </c>
    </row>
    <row r="33" spans="1:9" x14ac:dyDescent="0.35">
      <c r="A33" s="3" t="s">
        <v>31</v>
      </c>
      <c r="B33" s="24">
        <v>0.57501008544721166</v>
      </c>
      <c r="C33" s="24">
        <v>0.84047383488210115</v>
      </c>
      <c r="D33" s="37">
        <v>1.734632551579423</v>
      </c>
      <c r="E33" s="3" t="s">
        <v>31</v>
      </c>
      <c r="F33" s="24">
        <v>2.5471521140471527</v>
      </c>
      <c r="G33" s="24">
        <v>2.7708787609356129</v>
      </c>
      <c r="H33" s="24">
        <v>5.2072340698575852</v>
      </c>
      <c r="I33" s="76">
        <f t="shared" si="0"/>
        <v>6.9418666214370077</v>
      </c>
    </row>
    <row r="34" spans="1:9" x14ac:dyDescent="0.35">
      <c r="A34" s="3" t="s">
        <v>32</v>
      </c>
      <c r="B34" s="24">
        <v>0</v>
      </c>
      <c r="C34" s="24">
        <v>6.0066164230869381</v>
      </c>
      <c r="D34" s="37">
        <v>6.2212396706287967</v>
      </c>
      <c r="E34" s="3" t="s">
        <v>32</v>
      </c>
      <c r="F34" s="24">
        <v>18.643598804269427</v>
      </c>
      <c r="G34" s="24">
        <v>53.855863237034164</v>
      </c>
      <c r="H34" s="24">
        <v>60.6086714570691</v>
      </c>
      <c r="I34" s="76">
        <f t="shared" si="0"/>
        <v>66.829911127697898</v>
      </c>
    </row>
    <row r="35" spans="1:9" x14ac:dyDescent="0.35">
      <c r="A35" s="3" t="s">
        <v>33</v>
      </c>
      <c r="B35" s="24">
        <v>0.50715161511974438</v>
      </c>
      <c r="C35" s="24">
        <v>0.47171779423164883</v>
      </c>
      <c r="D35" s="37">
        <v>0.2692574787728213</v>
      </c>
      <c r="E35" s="3" t="s">
        <v>33</v>
      </c>
      <c r="F35" s="24">
        <v>1.894045091139595</v>
      </c>
      <c r="G35" s="24">
        <v>1.8191032684595134</v>
      </c>
      <c r="H35" s="24">
        <v>1.7418361161915725</v>
      </c>
      <c r="I35" s="76">
        <f t="shared" si="0"/>
        <v>2.011093594964394</v>
      </c>
    </row>
    <row r="36" spans="1:9" x14ac:dyDescent="0.35">
      <c r="A36" s="3" t="s">
        <v>34</v>
      </c>
      <c r="B36" s="24">
        <v>3.7635471263688842</v>
      </c>
      <c r="C36" s="24">
        <v>4.229447307230835</v>
      </c>
      <c r="D36" s="37">
        <v>3.943466745172683</v>
      </c>
      <c r="E36" s="3" t="s">
        <v>34</v>
      </c>
      <c r="F36" s="24">
        <v>4.2878533844425375</v>
      </c>
      <c r="G36" s="24">
        <v>9.1088847586301149</v>
      </c>
      <c r="H36" s="24">
        <v>10.097912356452731</v>
      </c>
      <c r="I36" s="76">
        <f t="shared" si="0"/>
        <v>14.041379101625415</v>
      </c>
    </row>
    <row r="37" spans="1:9" x14ac:dyDescent="0.35">
      <c r="A37" s="3" t="s">
        <v>35</v>
      </c>
      <c r="B37" s="24">
        <v>0.99447368988788287</v>
      </c>
      <c r="C37" s="24">
        <v>1.3150537143185452</v>
      </c>
      <c r="D37" s="37">
        <v>1.1962228248097926</v>
      </c>
      <c r="E37" s="3" t="s">
        <v>35</v>
      </c>
      <c r="F37" s="24">
        <v>8.6701170880170952</v>
      </c>
      <c r="G37" s="24">
        <v>10.648902801930211</v>
      </c>
      <c r="H37" s="24">
        <v>9.8000553102923451</v>
      </c>
      <c r="I37" s="76">
        <f t="shared" si="0"/>
        <v>10.996278135102138</v>
      </c>
    </row>
    <row r="38" spans="1:9" x14ac:dyDescent="0.35">
      <c r="A38" s="3" t="s">
        <v>36</v>
      </c>
      <c r="B38" s="24">
        <v>3.2514954298425351</v>
      </c>
      <c r="C38" s="24">
        <v>2.8389734272087215</v>
      </c>
      <c r="D38" s="37">
        <v>4.6178305432107996</v>
      </c>
      <c r="E38" s="3" t="s">
        <v>36</v>
      </c>
      <c r="F38" s="24">
        <v>22.812079047466675</v>
      </c>
      <c r="G38" s="24">
        <v>19.21038685744568</v>
      </c>
      <c r="H38" s="24">
        <v>19.350908942978588</v>
      </c>
      <c r="I38" s="76">
        <f t="shared" si="0"/>
        <v>23.968739486189389</v>
      </c>
    </row>
    <row r="39" spans="1:9" x14ac:dyDescent="0.35">
      <c r="A39" s="3" t="s">
        <v>37</v>
      </c>
      <c r="B39" s="24">
        <v>0</v>
      </c>
      <c r="C39" s="24">
        <v>1.8510541538316534</v>
      </c>
      <c r="D39" s="37">
        <v>1.4788611139805827</v>
      </c>
      <c r="E39" s="3" t="s">
        <v>37</v>
      </c>
      <c r="F39" s="24">
        <v>1.2371681045558576</v>
      </c>
      <c r="G39" s="24">
        <v>2.9387009580601728</v>
      </c>
      <c r="H39" s="24">
        <v>2.7355493034397527</v>
      </c>
      <c r="I39" s="76">
        <f t="shared" si="0"/>
        <v>4.2144104174203356</v>
      </c>
    </row>
    <row r="40" spans="1:9" x14ac:dyDescent="0.35">
      <c r="A40" s="3" t="s">
        <v>38</v>
      </c>
      <c r="B40" s="24">
        <v>9.6159811402692483</v>
      </c>
      <c r="C40" s="24">
        <v>23.278144731864863</v>
      </c>
      <c r="D40" s="37">
        <v>77.297572314772893</v>
      </c>
      <c r="E40" s="3" t="s">
        <v>38</v>
      </c>
      <c r="F40" s="24">
        <v>43.323613954546396</v>
      </c>
      <c r="G40" s="24">
        <v>123.37416707888377</v>
      </c>
      <c r="H40" s="24">
        <v>119.21376792990939</v>
      </c>
      <c r="I40" s="76">
        <f t="shared" si="0"/>
        <v>196.51134024468229</v>
      </c>
    </row>
    <row r="41" spans="1:9" x14ac:dyDescent="0.35">
      <c r="A41" s="3" t="s">
        <v>39</v>
      </c>
      <c r="B41" s="24">
        <v>0</v>
      </c>
      <c r="C41" s="24">
        <v>0.71998444019492502</v>
      </c>
      <c r="D41" s="37">
        <v>1.2851920083832624</v>
      </c>
      <c r="E41" s="3" t="s">
        <v>39</v>
      </c>
      <c r="F41" s="24">
        <v>8.7668687023577032</v>
      </c>
      <c r="G41" s="24">
        <v>7.323233961487956</v>
      </c>
      <c r="H41" s="24">
        <v>18.204175409884439</v>
      </c>
      <c r="I41" s="76">
        <f t="shared" si="0"/>
        <v>19.489367418267701</v>
      </c>
    </row>
    <row r="42" spans="1:9" x14ac:dyDescent="0.35">
      <c r="A42" s="3" t="s">
        <v>40</v>
      </c>
      <c r="B42" s="24">
        <v>0</v>
      </c>
      <c r="C42" s="24">
        <v>7.5868986609349687</v>
      </c>
      <c r="D42" s="37">
        <v>8.0176798681728538</v>
      </c>
      <c r="E42" s="3" t="s">
        <v>40</v>
      </c>
      <c r="F42" s="24">
        <v>10.899955183999529</v>
      </c>
      <c r="G42" s="24">
        <v>50.132513051399776</v>
      </c>
      <c r="H42" s="24">
        <v>66.327513452394967</v>
      </c>
      <c r="I42" s="76">
        <f t="shared" si="0"/>
        <v>74.345193320567816</v>
      </c>
    </row>
    <row r="43" spans="1:9" x14ac:dyDescent="0.35">
      <c r="A43" s="3" t="s">
        <v>41</v>
      </c>
      <c r="B43" s="24">
        <v>0</v>
      </c>
      <c r="C43" s="24">
        <v>0.39536986297548338</v>
      </c>
      <c r="D43" s="37">
        <v>0.41784401012593642</v>
      </c>
      <c r="E43" s="3" t="s">
        <v>41</v>
      </c>
      <c r="F43" s="24">
        <v>0</v>
      </c>
      <c r="G43" s="24">
        <v>3.5843019694565719</v>
      </c>
      <c r="H43" s="24">
        <v>4.150950363751079</v>
      </c>
      <c r="I43" s="76">
        <f t="shared" si="0"/>
        <v>4.5687943738770151</v>
      </c>
    </row>
    <row r="44" spans="1:9" x14ac:dyDescent="0.35">
      <c r="A44" s="3" t="s">
        <v>42</v>
      </c>
      <c r="B44" s="24">
        <v>0.30068841506111116</v>
      </c>
      <c r="C44" s="24">
        <v>0.49663935253514929</v>
      </c>
      <c r="D44" s="37">
        <v>1.3272212046130187</v>
      </c>
      <c r="E44" s="3" t="s">
        <v>42</v>
      </c>
      <c r="F44" s="24">
        <v>4.2230378347542956</v>
      </c>
      <c r="G44" s="24">
        <v>5.4983226759004049</v>
      </c>
      <c r="H44" s="24">
        <v>4.8765035402438537</v>
      </c>
      <c r="I44" s="76">
        <f t="shared" si="0"/>
        <v>6.2037247448568724</v>
      </c>
    </row>
    <row r="45" spans="1:9" x14ac:dyDescent="0.35">
      <c r="A45" s="3" t="s">
        <v>43</v>
      </c>
      <c r="B45" s="24">
        <v>0.5080050192584562</v>
      </c>
      <c r="C45" s="24">
        <v>0.75931946583180465</v>
      </c>
      <c r="D45" s="37">
        <v>0.82498008040391457</v>
      </c>
      <c r="E45" s="3" t="s">
        <v>43</v>
      </c>
      <c r="F45" s="24">
        <v>1.8870768166913845</v>
      </c>
      <c r="G45" s="24">
        <v>2.443243976800864</v>
      </c>
      <c r="H45" s="24">
        <v>2.9721885088524593</v>
      </c>
      <c r="I45" s="76">
        <f t="shared" si="0"/>
        <v>3.797168589256374</v>
      </c>
    </row>
    <row r="46" spans="1:9" x14ac:dyDescent="0.35">
      <c r="A46" s="3" t="s">
        <v>44</v>
      </c>
      <c r="B46" s="24">
        <v>0.95538954520339181</v>
      </c>
      <c r="C46" s="24">
        <v>4.139669151648441</v>
      </c>
      <c r="D46" s="37">
        <v>1.9157377420283819</v>
      </c>
      <c r="E46" s="3" t="s">
        <v>44</v>
      </c>
      <c r="F46" s="24">
        <v>11.382176513463198</v>
      </c>
      <c r="G46" s="24">
        <v>12.743947155025257</v>
      </c>
      <c r="H46" s="24">
        <v>15.703206705413399</v>
      </c>
      <c r="I46" s="76">
        <f t="shared" si="0"/>
        <v>17.61894444744178</v>
      </c>
    </row>
    <row r="47" spans="1:9" x14ac:dyDescent="0.35">
      <c r="A47" s="3" t="s">
        <v>45</v>
      </c>
      <c r="B47" s="24">
        <v>0</v>
      </c>
      <c r="C47" s="24">
        <v>2.2544427688594029</v>
      </c>
      <c r="D47" s="37">
        <v>3.2626166625244934</v>
      </c>
      <c r="E47" s="3" t="s">
        <v>45</v>
      </c>
      <c r="F47" s="24">
        <v>0</v>
      </c>
      <c r="G47" s="24">
        <v>11.63160151274737</v>
      </c>
      <c r="H47" s="24">
        <v>24.965436795232208</v>
      </c>
      <c r="I47" s="76">
        <f t="shared" si="0"/>
        <v>28.228053457756701</v>
      </c>
    </row>
    <row r="48" spans="1:9" x14ac:dyDescent="0.35">
      <c r="A48" s="3" t="s">
        <v>46</v>
      </c>
      <c r="B48" s="24">
        <v>0.82181140586443524</v>
      </c>
      <c r="C48" s="24">
        <v>2.010339496248517</v>
      </c>
      <c r="D48" s="37">
        <v>1.9188084102461731</v>
      </c>
      <c r="E48" s="3" t="s">
        <v>46</v>
      </c>
      <c r="F48" s="24">
        <v>13.811448061574467</v>
      </c>
      <c r="G48" s="24">
        <v>18.518242934048633</v>
      </c>
      <c r="H48" s="24">
        <v>28.514380378537798</v>
      </c>
      <c r="I48" s="76">
        <f t="shared" si="0"/>
        <v>30.433188788783969</v>
      </c>
    </row>
    <row r="49" spans="1:4" x14ac:dyDescent="0.35">
      <c r="A49" s="5" t="s">
        <v>47</v>
      </c>
      <c r="B49" s="25">
        <f>AVERAGE(B2:B48)</f>
        <v>1.4360619707825135</v>
      </c>
      <c r="C49" s="25">
        <f t="shared" ref="C49:D49" si="1">AVERAGE(C2:C48)</f>
        <v>3.4003387838166272</v>
      </c>
      <c r="D49" s="38">
        <f t="shared" si="1"/>
        <v>5.2872849689994714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BD22-17D7-40F9-8548-8363E7913F36}">
  <dimension ref="A1:L13"/>
  <sheetViews>
    <sheetView topLeftCell="H1" workbookViewId="0">
      <selection sqref="A1:K13"/>
    </sheetView>
  </sheetViews>
  <sheetFormatPr defaultRowHeight="14.5" x14ac:dyDescent="0.35"/>
  <cols>
    <col min="11" max="11" width="22.08984375" customWidth="1"/>
  </cols>
  <sheetData>
    <row r="1" spans="1:12" ht="41" customHeight="1" x14ac:dyDescent="0.35">
      <c r="A1" s="230" t="s">
        <v>410</v>
      </c>
      <c r="B1" s="232" t="s">
        <v>411</v>
      </c>
      <c r="C1" s="228" t="s">
        <v>412</v>
      </c>
      <c r="D1" s="228" t="s">
        <v>413</v>
      </c>
      <c r="E1" s="228" t="s">
        <v>414</v>
      </c>
      <c r="F1" s="228" t="s">
        <v>415</v>
      </c>
      <c r="G1" s="228" t="s">
        <v>416</v>
      </c>
      <c r="H1" s="228" t="s">
        <v>417</v>
      </c>
      <c r="I1" s="228" t="s">
        <v>418</v>
      </c>
      <c r="J1" s="228" t="s">
        <v>419</v>
      </c>
      <c r="K1" s="234" t="s">
        <v>420</v>
      </c>
    </row>
    <row r="2" spans="1:12" ht="15" thickBot="1" x14ac:dyDescent="0.4">
      <c r="A2" s="231"/>
      <c r="B2" s="233"/>
      <c r="C2" s="229"/>
      <c r="D2" s="229"/>
      <c r="E2" s="229"/>
      <c r="F2" s="229"/>
      <c r="G2" s="229"/>
      <c r="H2" s="229"/>
      <c r="I2" s="229"/>
      <c r="J2" s="229"/>
      <c r="K2" s="235"/>
    </row>
    <row r="3" spans="1:12" ht="15" thickTop="1" x14ac:dyDescent="0.35">
      <c r="A3" s="155" t="s">
        <v>421</v>
      </c>
      <c r="B3" s="153" t="s">
        <v>422</v>
      </c>
      <c r="C3" s="152" t="s">
        <v>423</v>
      </c>
      <c r="D3" s="152" t="s">
        <v>424</v>
      </c>
      <c r="E3" s="152"/>
      <c r="F3" s="161" t="s">
        <v>425</v>
      </c>
      <c r="G3" s="161" t="s">
        <v>426</v>
      </c>
      <c r="H3" s="161" t="s">
        <v>427</v>
      </c>
      <c r="I3" s="152" t="s">
        <v>428</v>
      </c>
      <c r="J3" s="152" t="s">
        <v>429</v>
      </c>
      <c r="K3" s="156" t="s">
        <v>430</v>
      </c>
      <c r="L3" s="162"/>
    </row>
    <row r="4" spans="1:12" x14ac:dyDescent="0.35">
      <c r="A4" s="155" t="s">
        <v>431</v>
      </c>
      <c r="B4" s="153" t="s">
        <v>432</v>
      </c>
      <c r="C4" s="152" t="s">
        <v>423</v>
      </c>
      <c r="D4" s="152" t="s">
        <v>433</v>
      </c>
      <c r="E4" s="152" t="s">
        <v>434</v>
      </c>
      <c r="F4" s="152" t="s">
        <v>435</v>
      </c>
      <c r="G4" s="152" t="s">
        <v>436</v>
      </c>
      <c r="H4" s="152" t="s">
        <v>437</v>
      </c>
      <c r="I4" s="152" t="s">
        <v>438</v>
      </c>
      <c r="J4" s="152" t="s">
        <v>439</v>
      </c>
      <c r="K4" s="156" t="s">
        <v>430</v>
      </c>
    </row>
    <row r="5" spans="1:12" x14ac:dyDescent="0.35">
      <c r="A5" s="155" t="s">
        <v>440</v>
      </c>
      <c r="B5" s="153" t="s">
        <v>441</v>
      </c>
      <c r="C5" s="152" t="s">
        <v>423</v>
      </c>
      <c r="D5" s="152" t="s">
        <v>442</v>
      </c>
      <c r="E5" s="152"/>
      <c r="F5" s="152" t="s">
        <v>443</v>
      </c>
      <c r="G5" s="152" t="s">
        <v>444</v>
      </c>
      <c r="H5" s="152" t="s">
        <v>445</v>
      </c>
      <c r="I5" s="152" t="s">
        <v>446</v>
      </c>
      <c r="J5" s="152" t="s">
        <v>447</v>
      </c>
      <c r="K5" s="156" t="s">
        <v>430</v>
      </c>
    </row>
    <row r="6" spans="1:12" ht="28" x14ac:dyDescent="0.35">
      <c r="A6" s="155" t="s">
        <v>448</v>
      </c>
      <c r="B6" s="153" t="s">
        <v>449</v>
      </c>
      <c r="C6" s="152" t="s">
        <v>450</v>
      </c>
      <c r="D6" s="152" t="s">
        <v>451</v>
      </c>
      <c r="E6" s="152"/>
      <c r="F6" s="154"/>
      <c r="G6" s="154"/>
      <c r="H6" s="154"/>
      <c r="I6" s="152" t="s">
        <v>452</v>
      </c>
      <c r="J6" s="152" t="s">
        <v>453</v>
      </c>
      <c r="K6" s="156" t="s">
        <v>454</v>
      </c>
    </row>
    <row r="7" spans="1:12" x14ac:dyDescent="0.35">
      <c r="A7" s="155" t="s">
        <v>455</v>
      </c>
      <c r="B7" s="153" t="s">
        <v>456</v>
      </c>
      <c r="C7" s="152" t="s">
        <v>457</v>
      </c>
      <c r="D7" s="152" t="s">
        <v>458</v>
      </c>
      <c r="E7" s="152" t="s">
        <v>459</v>
      </c>
      <c r="F7" s="152" t="s">
        <v>460</v>
      </c>
      <c r="G7" s="152" t="s">
        <v>461</v>
      </c>
      <c r="H7" s="152" t="s">
        <v>462</v>
      </c>
      <c r="I7" s="152" t="s">
        <v>463</v>
      </c>
      <c r="J7" s="152" t="s">
        <v>464</v>
      </c>
      <c r="K7" s="156" t="s">
        <v>465</v>
      </c>
    </row>
    <row r="8" spans="1:12" ht="28" x14ac:dyDescent="0.35">
      <c r="A8" s="155" t="s">
        <v>466</v>
      </c>
      <c r="B8" s="153" t="s">
        <v>467</v>
      </c>
      <c r="C8" s="152" t="s">
        <v>423</v>
      </c>
      <c r="D8" s="152" t="s">
        <v>468</v>
      </c>
      <c r="E8" s="152"/>
      <c r="F8" s="152" t="s">
        <v>469</v>
      </c>
      <c r="G8" s="152"/>
      <c r="H8" s="152" t="s">
        <v>470</v>
      </c>
      <c r="I8" s="152" t="s">
        <v>471</v>
      </c>
      <c r="J8" s="152" t="s">
        <v>472</v>
      </c>
      <c r="K8" s="156" t="s">
        <v>430</v>
      </c>
    </row>
    <row r="9" spans="1:12" ht="28" x14ac:dyDescent="0.35">
      <c r="A9" s="155" t="s">
        <v>473</v>
      </c>
      <c r="B9" s="153" t="s">
        <v>474</v>
      </c>
      <c r="C9" s="152" t="s">
        <v>450</v>
      </c>
      <c r="D9" s="152" t="s">
        <v>475</v>
      </c>
      <c r="E9" s="152" t="s">
        <v>466</v>
      </c>
      <c r="F9" s="152" t="s">
        <v>476</v>
      </c>
      <c r="G9" s="152" t="s">
        <v>448</v>
      </c>
      <c r="H9" s="152" t="s">
        <v>477</v>
      </c>
      <c r="I9" s="152" t="s">
        <v>478</v>
      </c>
      <c r="J9" s="152" t="s">
        <v>479</v>
      </c>
      <c r="K9" s="156" t="s">
        <v>480</v>
      </c>
    </row>
    <row r="10" spans="1:12" x14ac:dyDescent="0.35">
      <c r="A10" s="155" t="s">
        <v>481</v>
      </c>
      <c r="B10" s="153" t="s">
        <v>482</v>
      </c>
      <c r="C10" s="152" t="s">
        <v>450</v>
      </c>
      <c r="D10" s="152" t="s">
        <v>483</v>
      </c>
      <c r="E10" s="152" t="s">
        <v>484</v>
      </c>
      <c r="F10" s="152" t="s">
        <v>485</v>
      </c>
      <c r="G10" s="152" t="s">
        <v>486</v>
      </c>
      <c r="H10" s="152" t="s">
        <v>487</v>
      </c>
      <c r="I10" s="152" t="s">
        <v>488</v>
      </c>
      <c r="J10" s="152" t="s">
        <v>489</v>
      </c>
      <c r="K10" s="156" t="s">
        <v>480</v>
      </c>
    </row>
    <row r="11" spans="1:12" x14ac:dyDescent="0.35">
      <c r="A11" s="155" t="s">
        <v>470</v>
      </c>
      <c r="B11" s="153" t="s">
        <v>490</v>
      </c>
      <c r="C11" s="152" t="s">
        <v>457</v>
      </c>
      <c r="D11" s="152" t="s">
        <v>491</v>
      </c>
      <c r="E11" s="152"/>
      <c r="F11" s="152" t="s">
        <v>492</v>
      </c>
      <c r="G11" s="152"/>
      <c r="H11" s="152" t="s">
        <v>493</v>
      </c>
      <c r="I11" s="152" t="s">
        <v>494</v>
      </c>
      <c r="J11" s="152" t="s">
        <v>495</v>
      </c>
      <c r="K11" s="156" t="s">
        <v>496</v>
      </c>
    </row>
    <row r="12" spans="1:12" ht="15" thickBot="1" x14ac:dyDescent="0.4">
      <c r="A12" s="155" t="s">
        <v>497</v>
      </c>
      <c r="B12" s="153" t="s">
        <v>498</v>
      </c>
      <c r="C12" s="152" t="s">
        <v>423</v>
      </c>
      <c r="D12" s="152" t="s">
        <v>499</v>
      </c>
      <c r="E12" s="152" t="s">
        <v>500</v>
      </c>
      <c r="F12" s="152" t="s">
        <v>501</v>
      </c>
      <c r="G12" s="152"/>
      <c r="H12" s="152" t="s">
        <v>431</v>
      </c>
      <c r="I12" s="152" t="s">
        <v>502</v>
      </c>
      <c r="J12" s="152" t="s">
        <v>503</v>
      </c>
      <c r="K12" s="156" t="s">
        <v>465</v>
      </c>
    </row>
    <row r="13" spans="1:12" x14ac:dyDescent="0.35">
      <c r="A13" s="157"/>
      <c r="B13" s="158" t="s">
        <v>504</v>
      </c>
      <c r="C13" s="159"/>
      <c r="D13" s="159" t="s">
        <v>505</v>
      </c>
      <c r="E13" s="159" t="s">
        <v>506</v>
      </c>
      <c r="F13" s="159" t="s">
        <v>507</v>
      </c>
      <c r="G13" s="159" t="s">
        <v>508</v>
      </c>
      <c r="H13" s="159" t="s">
        <v>509</v>
      </c>
      <c r="I13" s="159" t="s">
        <v>510</v>
      </c>
      <c r="J13" s="159" t="s">
        <v>511</v>
      </c>
      <c r="K13" s="160"/>
    </row>
  </sheetData>
  <mergeCells count="11">
    <mergeCell ref="G1:G2"/>
    <mergeCell ref="H1:H2"/>
    <mergeCell ref="I1:I2"/>
    <mergeCell ref="J1:J2"/>
    <mergeCell ref="K1:K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3817-F3FC-407E-BE47-C0AB07BD3249}">
  <dimension ref="A1:L45"/>
  <sheetViews>
    <sheetView topLeftCell="A34" zoomScale="87" workbookViewId="0">
      <selection activeCell="K40" sqref="K40"/>
    </sheetView>
  </sheetViews>
  <sheetFormatPr defaultRowHeight="14.5" x14ac:dyDescent="0.35"/>
  <cols>
    <col min="1" max="1" width="4.26953125" bestFit="1" customWidth="1"/>
    <col min="2" max="2" width="12.26953125" bestFit="1" customWidth="1"/>
    <col min="4" max="4" width="15.1796875" customWidth="1"/>
    <col min="5" max="5" width="23.36328125" bestFit="1" customWidth="1"/>
    <col min="6" max="6" width="16.08984375" customWidth="1"/>
    <col min="7" max="7" width="15.26953125" customWidth="1"/>
    <col min="8" max="8" width="14.36328125" customWidth="1"/>
    <col min="9" max="9" width="17.08984375" customWidth="1"/>
    <col min="10" max="10" width="14.26953125" customWidth="1"/>
    <col min="11" max="11" width="23.36328125" bestFit="1" customWidth="1"/>
    <col min="12" max="12" width="9.81640625" bestFit="1" customWidth="1"/>
  </cols>
  <sheetData>
    <row r="1" spans="1:12" x14ac:dyDescent="0.35">
      <c r="A1" t="s">
        <v>512</v>
      </c>
      <c r="B1" t="s">
        <v>513</v>
      </c>
      <c r="C1" t="s">
        <v>514</v>
      </c>
      <c r="D1" t="s">
        <v>515</v>
      </c>
      <c r="E1" t="s">
        <v>516</v>
      </c>
      <c r="F1" t="s">
        <v>517</v>
      </c>
      <c r="G1" t="s">
        <v>518</v>
      </c>
      <c r="H1" t="s">
        <v>519</v>
      </c>
      <c r="I1" t="s">
        <v>520</v>
      </c>
      <c r="J1" t="s">
        <v>521</v>
      </c>
      <c r="K1" t="s">
        <v>522</v>
      </c>
    </row>
    <row r="2" spans="1:12" x14ac:dyDescent="0.35">
      <c r="L2" t="s">
        <v>524</v>
      </c>
    </row>
    <row r="3" spans="1:12" x14ac:dyDescent="0.35">
      <c r="A3" t="s">
        <v>421</v>
      </c>
      <c r="B3" t="s">
        <v>422</v>
      </c>
      <c r="C3" t="s">
        <v>423</v>
      </c>
      <c r="D3" s="162" t="s">
        <v>424</v>
      </c>
      <c r="E3" s="162"/>
      <c r="F3" s="163" t="s">
        <v>425</v>
      </c>
      <c r="G3" s="163" t="s">
        <v>426</v>
      </c>
      <c r="H3" s="163" t="s">
        <v>427</v>
      </c>
      <c r="I3" t="s">
        <v>428</v>
      </c>
      <c r="J3" t="s">
        <v>429</v>
      </c>
      <c r="K3" t="s">
        <v>430</v>
      </c>
      <c r="L3" s="162">
        <v>238026.609814786</v>
      </c>
    </row>
    <row r="4" spans="1:12" x14ac:dyDescent="0.35">
      <c r="A4" t="s">
        <v>431</v>
      </c>
      <c r="B4" t="s">
        <v>432</v>
      </c>
      <c r="C4" t="s">
        <v>423</v>
      </c>
      <c r="D4" s="162" t="s">
        <v>433</v>
      </c>
      <c r="E4" s="162" t="s">
        <v>434</v>
      </c>
      <c r="F4" s="163" t="s">
        <v>435</v>
      </c>
      <c r="G4" s="163" t="s">
        <v>436</v>
      </c>
      <c r="H4" s="163" t="s">
        <v>437</v>
      </c>
      <c r="I4" t="s">
        <v>438</v>
      </c>
      <c r="J4" t="s">
        <v>439</v>
      </c>
      <c r="K4" t="s">
        <v>430</v>
      </c>
      <c r="L4" s="162">
        <v>336469.64185110666</v>
      </c>
    </row>
    <row r="5" spans="1:12" x14ac:dyDescent="0.35">
      <c r="A5" t="s">
        <v>440</v>
      </c>
      <c r="B5" t="s">
        <v>441</v>
      </c>
      <c r="C5" t="s">
        <v>423</v>
      </c>
      <c r="D5" s="162" t="s">
        <v>442</v>
      </c>
      <c r="E5" s="162"/>
      <c r="F5" s="163" t="s">
        <v>443</v>
      </c>
      <c r="G5" s="163" t="s">
        <v>444</v>
      </c>
      <c r="H5" s="163" t="s">
        <v>445</v>
      </c>
      <c r="I5" t="s">
        <v>446</v>
      </c>
      <c r="J5" t="s">
        <v>447</v>
      </c>
      <c r="K5" t="s">
        <v>430</v>
      </c>
      <c r="L5" s="162">
        <v>112005.8196849908</v>
      </c>
    </row>
    <row r="6" spans="1:12" x14ac:dyDescent="0.35">
      <c r="A6" t="s">
        <v>448</v>
      </c>
      <c r="B6" t="s">
        <v>449</v>
      </c>
      <c r="C6" t="s">
        <v>450</v>
      </c>
      <c r="D6" s="162" t="s">
        <v>451</v>
      </c>
      <c r="E6" s="162"/>
      <c r="F6" s="163"/>
      <c r="G6" s="163"/>
      <c r="H6" s="163"/>
      <c r="I6" t="s">
        <v>452</v>
      </c>
      <c r="J6" t="s">
        <v>453</v>
      </c>
      <c r="K6" t="s">
        <v>454</v>
      </c>
      <c r="L6" s="162">
        <v>660156.69356769766</v>
      </c>
    </row>
    <row r="7" spans="1:12" x14ac:dyDescent="0.35">
      <c r="A7" t="s">
        <v>455</v>
      </c>
      <c r="B7" t="s">
        <v>456</v>
      </c>
      <c r="C7" t="s">
        <v>457</v>
      </c>
      <c r="D7" s="162" t="s">
        <v>458</v>
      </c>
      <c r="E7" s="162" t="s">
        <v>459</v>
      </c>
      <c r="F7" s="163" t="s">
        <v>460</v>
      </c>
      <c r="G7" s="163" t="s">
        <v>461</v>
      </c>
      <c r="H7" s="163" t="s">
        <v>462</v>
      </c>
      <c r="I7" t="s">
        <v>463</v>
      </c>
      <c r="J7" t="s">
        <v>464</v>
      </c>
      <c r="K7" t="s">
        <v>465</v>
      </c>
      <c r="L7" s="162">
        <v>286045.56215030921</v>
      </c>
    </row>
    <row r="8" spans="1:12" x14ac:dyDescent="0.35">
      <c r="A8" t="s">
        <v>466</v>
      </c>
      <c r="B8" t="s">
        <v>467</v>
      </c>
      <c r="C8" t="s">
        <v>423</v>
      </c>
      <c r="D8" s="162" t="s">
        <v>468</v>
      </c>
      <c r="E8" s="162"/>
      <c r="F8" s="163" t="s">
        <v>469</v>
      </c>
      <c r="G8" s="163"/>
      <c r="H8" s="163" t="s">
        <v>470</v>
      </c>
      <c r="I8" t="s">
        <v>471</v>
      </c>
      <c r="J8" t="s">
        <v>472</v>
      </c>
      <c r="K8" t="s">
        <v>430</v>
      </c>
      <c r="L8" s="162">
        <v>180124.37244750268</v>
      </c>
    </row>
    <row r="9" spans="1:12" x14ac:dyDescent="0.35">
      <c r="A9" t="s">
        <v>473</v>
      </c>
      <c r="B9" t="s">
        <v>474</v>
      </c>
      <c r="C9" t="s">
        <v>450</v>
      </c>
      <c r="D9" s="162" t="s">
        <v>475</v>
      </c>
      <c r="E9" s="162" t="s">
        <v>466</v>
      </c>
      <c r="F9" s="163" t="s">
        <v>476</v>
      </c>
      <c r="G9" s="163" t="s">
        <v>448</v>
      </c>
      <c r="H9" s="163" t="s">
        <v>477</v>
      </c>
      <c r="I9" t="s">
        <v>478</v>
      </c>
      <c r="J9" t="s">
        <v>479</v>
      </c>
      <c r="K9" t="s">
        <v>480</v>
      </c>
      <c r="L9" s="162">
        <v>39151.423869608989</v>
      </c>
    </row>
    <row r="10" spans="1:12" x14ac:dyDescent="0.35">
      <c r="A10" t="s">
        <v>481</v>
      </c>
      <c r="B10" t="s">
        <v>482</v>
      </c>
      <c r="C10" t="s">
        <v>450</v>
      </c>
      <c r="D10" s="162" t="s">
        <v>483</v>
      </c>
      <c r="E10" s="162" t="s">
        <v>484</v>
      </c>
      <c r="F10" s="163" t="s">
        <v>485</v>
      </c>
      <c r="G10" s="163" t="s">
        <v>486</v>
      </c>
      <c r="H10" s="163" t="s">
        <v>487</v>
      </c>
      <c r="I10" t="s">
        <v>488</v>
      </c>
      <c r="J10" t="s">
        <v>489</v>
      </c>
      <c r="K10" t="s">
        <v>480</v>
      </c>
      <c r="L10" s="162">
        <v>82142.239749316621</v>
      </c>
    </row>
    <row r="11" spans="1:12" x14ac:dyDescent="0.35">
      <c r="A11" t="s">
        <v>470</v>
      </c>
      <c r="B11" t="s">
        <v>490</v>
      </c>
      <c r="C11" t="s">
        <v>457</v>
      </c>
      <c r="D11" s="162" t="s">
        <v>491</v>
      </c>
      <c r="E11" s="162"/>
      <c r="F11" s="163" t="s">
        <v>492</v>
      </c>
      <c r="G11" s="163"/>
      <c r="H11" s="163" t="s">
        <v>493</v>
      </c>
      <c r="I11" t="s">
        <v>494</v>
      </c>
      <c r="J11" t="s">
        <v>495</v>
      </c>
      <c r="K11" t="s">
        <v>496</v>
      </c>
      <c r="L11" s="162"/>
    </row>
    <row r="12" spans="1:12" x14ac:dyDescent="0.35">
      <c r="A12" t="s">
        <v>497</v>
      </c>
      <c r="B12" t="s">
        <v>498</v>
      </c>
      <c r="C12" t="s">
        <v>423</v>
      </c>
      <c r="D12" s="162" t="s">
        <v>499</v>
      </c>
      <c r="E12" s="162" t="s">
        <v>500</v>
      </c>
      <c r="F12" s="163" t="s">
        <v>501</v>
      </c>
      <c r="G12" s="163"/>
      <c r="H12" s="163" t="s">
        <v>431</v>
      </c>
      <c r="I12" t="s">
        <v>502</v>
      </c>
      <c r="J12" t="s">
        <v>503</v>
      </c>
      <c r="K12" t="s">
        <v>465</v>
      </c>
      <c r="L12" s="162"/>
    </row>
    <row r="13" spans="1:12" x14ac:dyDescent="0.35">
      <c r="B13" t="s">
        <v>504</v>
      </c>
      <c r="D13" s="162" t="s">
        <v>505</v>
      </c>
      <c r="E13" s="162" t="s">
        <v>506</v>
      </c>
      <c r="F13" s="163" t="s">
        <v>507</v>
      </c>
      <c r="G13" s="163" t="s">
        <v>508</v>
      </c>
      <c r="H13" s="163" t="s">
        <v>509</v>
      </c>
      <c r="I13" t="s">
        <v>510</v>
      </c>
      <c r="J13" t="s">
        <v>511</v>
      </c>
      <c r="L13" s="162"/>
    </row>
    <row r="18" spans="1:12" s="94" customFormat="1" ht="58" x14ac:dyDescent="0.35">
      <c r="A18" s="94" t="s">
        <v>512</v>
      </c>
      <c r="B18" s="94" t="s">
        <v>513</v>
      </c>
      <c r="C18" s="94" t="s">
        <v>514</v>
      </c>
      <c r="D18" s="94" t="s">
        <v>515</v>
      </c>
      <c r="E18" s="167" t="s">
        <v>523</v>
      </c>
      <c r="F18" s="94" t="s">
        <v>529</v>
      </c>
      <c r="G18" s="94" t="s">
        <v>525</v>
      </c>
      <c r="H18" s="167" t="s">
        <v>526</v>
      </c>
      <c r="I18" s="94" t="s">
        <v>527</v>
      </c>
      <c r="J18" s="94" t="s">
        <v>528</v>
      </c>
      <c r="K18" s="168" t="s">
        <v>530</v>
      </c>
      <c r="L18" s="168" t="s">
        <v>531</v>
      </c>
    </row>
    <row r="19" spans="1:12" x14ac:dyDescent="0.35">
      <c r="A19" t="s">
        <v>421</v>
      </c>
      <c r="B19" t="s">
        <v>422</v>
      </c>
      <c r="C19" t="s">
        <v>423</v>
      </c>
      <c r="D19" s="165">
        <v>118488</v>
      </c>
      <c r="E19" s="165">
        <v>298382</v>
      </c>
      <c r="F19" s="165">
        <v>160786.9969390177</v>
      </c>
      <c r="G19" s="165">
        <v>238026.609814786</v>
      </c>
      <c r="H19" s="81">
        <f>D19/E19</f>
        <v>0.39710170184528559</v>
      </c>
      <c r="I19" s="81">
        <f t="shared" ref="I19:I28" si="0">D19/F19</f>
        <v>0.73692526296103034</v>
      </c>
      <c r="J19" s="81">
        <f>D19/G19</f>
        <v>0.49779308326996818</v>
      </c>
      <c r="K19" s="165">
        <f>D19+F19</f>
        <v>279274.99693901767</v>
      </c>
      <c r="L19" s="81">
        <f>D19/K19</f>
        <v>0.42426998943221894</v>
      </c>
    </row>
    <row r="20" spans="1:12" x14ac:dyDescent="0.35">
      <c r="A20" t="s">
        <v>431</v>
      </c>
      <c r="B20" t="s">
        <v>432</v>
      </c>
      <c r="C20" t="s">
        <v>423</v>
      </c>
      <c r="D20" s="165">
        <v>75577</v>
      </c>
      <c r="E20" s="165">
        <v>158932</v>
      </c>
      <c r="F20" s="165">
        <v>121325.78132796781</v>
      </c>
      <c r="G20" s="165">
        <v>336469.64185110666</v>
      </c>
      <c r="H20" s="81">
        <f t="shared" ref="H20:H28" si="1">D20/E20</f>
        <v>0.47553041552362019</v>
      </c>
      <c r="I20" s="81">
        <f t="shared" si="0"/>
        <v>0.62292613468278668</v>
      </c>
      <c r="J20" s="81">
        <f t="shared" ref="J20:J29" si="2">D20/G20</f>
        <v>0.2246175898194229</v>
      </c>
      <c r="K20" s="165">
        <f>D20+F20</f>
        <v>196902.78132796782</v>
      </c>
      <c r="L20" s="81">
        <f t="shared" ref="L20:L28" si="3">D20/K20</f>
        <v>0.38382901191282026</v>
      </c>
    </row>
    <row r="21" spans="1:12" x14ac:dyDescent="0.35">
      <c r="A21" t="s">
        <v>440</v>
      </c>
      <c r="B21" t="s">
        <v>441</v>
      </c>
      <c r="C21" t="s">
        <v>423</v>
      </c>
      <c r="D21" s="165">
        <v>46713</v>
      </c>
      <c r="E21" s="165">
        <v>82577</v>
      </c>
      <c r="F21" s="165">
        <v>69982</v>
      </c>
      <c r="G21" s="165">
        <v>112005.8196849908</v>
      </c>
      <c r="H21" s="81">
        <f t="shared" si="1"/>
        <v>0.56569020429417394</v>
      </c>
      <c r="I21" s="81">
        <f t="shared" si="0"/>
        <v>0.66750021434083051</v>
      </c>
      <c r="J21" s="81">
        <f t="shared" si="2"/>
        <v>0.41705868615914177</v>
      </c>
      <c r="K21" s="165">
        <f t="shared" ref="K21:K29" si="4">D21+F21</f>
        <v>116695</v>
      </c>
      <c r="L21" s="81">
        <f t="shared" si="3"/>
        <v>0.40029992716054674</v>
      </c>
    </row>
    <row r="22" spans="1:12" x14ac:dyDescent="0.35">
      <c r="A22" t="s">
        <v>448</v>
      </c>
      <c r="B22" t="s">
        <v>449</v>
      </c>
      <c r="C22" t="s">
        <v>450</v>
      </c>
      <c r="D22" s="165">
        <v>45000</v>
      </c>
      <c r="E22" s="165">
        <v>406000</v>
      </c>
      <c r="F22" s="165">
        <v>468293.95185969712</v>
      </c>
      <c r="G22" s="165">
        <v>660156.69356769766</v>
      </c>
      <c r="H22" s="81">
        <f t="shared" si="1"/>
        <v>0.11083743842364532</v>
      </c>
      <c r="I22" s="81">
        <f t="shared" si="0"/>
        <v>9.6093489615433236E-2</v>
      </c>
      <c r="J22" s="81">
        <f t="shared" si="2"/>
        <v>6.8165634671983139E-2</v>
      </c>
      <c r="K22" s="165">
        <f t="shared" si="4"/>
        <v>513293.95185969712</v>
      </c>
      <c r="L22" s="81">
        <f t="shared" si="3"/>
        <v>8.7669063383587695E-2</v>
      </c>
    </row>
    <row r="23" spans="1:12" x14ac:dyDescent="0.35">
      <c r="A23" t="s">
        <v>455</v>
      </c>
      <c r="B23" t="s">
        <v>456</v>
      </c>
      <c r="C23" t="s">
        <v>457</v>
      </c>
      <c r="D23" s="165">
        <v>27243</v>
      </c>
      <c r="E23" s="165">
        <v>189932</v>
      </c>
      <c r="F23" s="165">
        <v>132496</v>
      </c>
      <c r="G23" s="165">
        <v>286045.56215030921</v>
      </c>
      <c r="H23" s="81">
        <f t="shared" si="1"/>
        <v>0.14343554535307373</v>
      </c>
      <c r="I23" s="81">
        <f t="shared" si="0"/>
        <v>0.20561375437749063</v>
      </c>
      <c r="J23" s="81">
        <f t="shared" si="2"/>
        <v>9.5240072229068662E-2</v>
      </c>
      <c r="K23" s="165">
        <f t="shared" si="4"/>
        <v>159739</v>
      </c>
      <c r="L23" s="81">
        <f t="shared" si="3"/>
        <v>0.17054695471988682</v>
      </c>
    </row>
    <row r="24" spans="1:12" x14ac:dyDescent="0.35">
      <c r="A24" t="s">
        <v>466</v>
      </c>
      <c r="B24" t="s">
        <v>467</v>
      </c>
      <c r="C24" t="s">
        <v>423</v>
      </c>
      <c r="D24" s="165">
        <v>10622</v>
      </c>
      <c r="E24" s="165">
        <v>60588</v>
      </c>
      <c r="F24" s="165">
        <v>40757</v>
      </c>
      <c r="G24" s="165">
        <v>180124.37244750268</v>
      </c>
      <c r="H24" s="81">
        <f t="shared" si="1"/>
        <v>0.17531524394269493</v>
      </c>
      <c r="I24" s="81">
        <f t="shared" si="0"/>
        <v>0.2606178079839046</v>
      </c>
      <c r="J24" s="81">
        <f t="shared" si="2"/>
        <v>5.8970365063149829E-2</v>
      </c>
      <c r="K24" s="165">
        <f t="shared" si="4"/>
        <v>51379</v>
      </c>
      <c r="L24" s="81">
        <f t="shared" si="3"/>
        <v>0.20673816150567353</v>
      </c>
    </row>
    <row r="25" spans="1:12" x14ac:dyDescent="0.35">
      <c r="A25" t="s">
        <v>473</v>
      </c>
      <c r="B25" t="s">
        <v>474</v>
      </c>
      <c r="C25" t="s">
        <v>450</v>
      </c>
      <c r="D25" s="165">
        <v>4899</v>
      </c>
      <c r="E25" s="165">
        <v>14470</v>
      </c>
      <c r="F25" s="165">
        <v>20252.811629184373</v>
      </c>
      <c r="G25" s="165">
        <v>39151.423869608989</v>
      </c>
      <c r="H25" s="81">
        <f t="shared" si="1"/>
        <v>0.3385625431928127</v>
      </c>
      <c r="I25" s="81">
        <f t="shared" si="0"/>
        <v>0.24189234016972358</v>
      </c>
      <c r="J25" s="81">
        <f t="shared" si="2"/>
        <v>0.12512954870596196</v>
      </c>
      <c r="K25" s="165">
        <f t="shared" si="4"/>
        <v>25151.811629184373</v>
      </c>
      <c r="L25" s="81">
        <f t="shared" si="3"/>
        <v>0.19477722210337919</v>
      </c>
    </row>
    <row r="26" spans="1:12" x14ac:dyDescent="0.35">
      <c r="A26" t="s">
        <v>481</v>
      </c>
      <c r="B26" t="s">
        <v>482</v>
      </c>
      <c r="C26" t="s">
        <v>450</v>
      </c>
      <c r="D26" s="165">
        <v>2891</v>
      </c>
      <c r="E26" s="165">
        <v>21552</v>
      </c>
      <c r="F26" s="165">
        <v>18462.239749316621</v>
      </c>
      <c r="G26" s="165">
        <v>82142.239749316621</v>
      </c>
      <c r="H26" s="81">
        <f t="shared" si="1"/>
        <v>0.1341406829992576</v>
      </c>
      <c r="I26" s="81">
        <f t="shared" si="0"/>
        <v>0.15658988504398608</v>
      </c>
      <c r="J26" s="81">
        <f t="shared" si="2"/>
        <v>3.5195047138023183E-2</v>
      </c>
      <c r="K26" s="165">
        <f t="shared" si="4"/>
        <v>21353.239749316621</v>
      </c>
      <c r="L26" s="81">
        <f t="shared" si="3"/>
        <v>0.13538929145833817</v>
      </c>
    </row>
    <row r="27" spans="1:12" x14ac:dyDescent="0.35">
      <c r="A27" t="s">
        <v>470</v>
      </c>
      <c r="B27" t="s">
        <v>490</v>
      </c>
      <c r="C27" t="s">
        <v>457</v>
      </c>
      <c r="D27" s="165">
        <v>1096</v>
      </c>
      <c r="E27" s="165">
        <v>15316</v>
      </c>
      <c r="F27" s="165">
        <v>5301.8248879810226</v>
      </c>
      <c r="G27" s="165">
        <v>28993.012322087507</v>
      </c>
      <c r="H27" s="81">
        <f t="shared" si="1"/>
        <v>7.1559153826064245E-2</v>
      </c>
      <c r="I27" s="81">
        <f t="shared" si="0"/>
        <v>0.20672127487359651</v>
      </c>
      <c r="J27" s="81">
        <f t="shared" si="2"/>
        <v>3.7802212058008315E-2</v>
      </c>
      <c r="K27" s="165">
        <f t="shared" si="4"/>
        <v>6397.8248879810226</v>
      </c>
      <c r="L27" s="81">
        <f t="shared" si="3"/>
        <v>0.17130822102664137</v>
      </c>
    </row>
    <row r="28" spans="1:12" x14ac:dyDescent="0.35">
      <c r="A28" t="s">
        <v>497</v>
      </c>
      <c r="B28" t="s">
        <v>498</v>
      </c>
      <c r="C28" t="s">
        <v>423</v>
      </c>
      <c r="D28" s="165">
        <v>907</v>
      </c>
      <c r="E28" s="165">
        <v>7159</v>
      </c>
      <c r="F28" s="165">
        <v>6208.1530330247342</v>
      </c>
      <c r="G28" s="165">
        <v>16850.21148265856</v>
      </c>
      <c r="H28" s="81">
        <f t="shared" si="1"/>
        <v>0.12669367230060063</v>
      </c>
      <c r="I28" s="81">
        <f t="shared" si="0"/>
        <v>0.14609820266593715</v>
      </c>
      <c r="J28" s="81">
        <f t="shared" si="2"/>
        <v>5.3827217595069442E-2</v>
      </c>
      <c r="K28" s="165">
        <f t="shared" si="4"/>
        <v>7115.1530330247342</v>
      </c>
      <c r="L28" s="81">
        <f t="shared" si="3"/>
        <v>0.1274744191432273</v>
      </c>
    </row>
    <row r="29" spans="1:12" s="148" customFormat="1" x14ac:dyDescent="0.35">
      <c r="D29" s="166">
        <f>SUM(D19:D28)</f>
        <v>333436</v>
      </c>
      <c r="E29" s="166">
        <f t="shared" ref="E29:G29" si="5">SUM(E19:E28)</f>
        <v>1254908</v>
      </c>
      <c r="F29" s="166">
        <f t="shared" si="5"/>
        <v>1043866.7594261895</v>
      </c>
      <c r="G29" s="166">
        <f t="shared" si="5"/>
        <v>1979965.5869400648</v>
      </c>
      <c r="H29" s="164">
        <f>D29/E29</f>
        <v>0.26570553379211864</v>
      </c>
      <c r="I29" s="164">
        <f>D29/F29</f>
        <v>0.31942390826132716</v>
      </c>
      <c r="J29" s="164">
        <f t="shared" si="2"/>
        <v>0.16840494713613091</v>
      </c>
      <c r="K29" s="165">
        <f t="shared" si="4"/>
        <v>1377302.7594261896</v>
      </c>
      <c r="L29" s="81">
        <f>D29/K29</f>
        <v>0.24209346689969297</v>
      </c>
    </row>
    <row r="32" spans="1:12" x14ac:dyDescent="0.35">
      <c r="H32" s="81">
        <f>GEOMEAN(H19:H28)</f>
        <v>0.20363110591747877</v>
      </c>
      <c r="I32" s="81">
        <f>GEOMEAN(I19:I28)</f>
        <v>0.26646964856251054</v>
      </c>
      <c r="J32" s="81"/>
    </row>
    <row r="33" spans="1:9" s="148" customFormat="1" ht="56.5" x14ac:dyDescent="0.35">
      <c r="A33" s="18" t="s">
        <v>512</v>
      </c>
      <c r="B33" s="18" t="s">
        <v>513</v>
      </c>
      <c r="C33" s="18" t="s">
        <v>514</v>
      </c>
      <c r="D33" s="18" t="s">
        <v>515</v>
      </c>
      <c r="E33" s="18" t="s">
        <v>532</v>
      </c>
      <c r="F33" s="18" t="s">
        <v>526</v>
      </c>
      <c r="G33" s="18" t="s">
        <v>534</v>
      </c>
      <c r="H33" s="18" t="s">
        <v>533</v>
      </c>
      <c r="I33" s="18" t="s">
        <v>535</v>
      </c>
    </row>
    <row r="34" spans="1:9" x14ac:dyDescent="0.35">
      <c r="A34" s="2" t="s">
        <v>421</v>
      </c>
      <c r="B34" s="2" t="s">
        <v>422</v>
      </c>
      <c r="C34" s="2" t="s">
        <v>423</v>
      </c>
      <c r="D34" s="169">
        <v>118488</v>
      </c>
      <c r="E34" s="2" t="s">
        <v>430</v>
      </c>
      <c r="F34" s="170">
        <v>0.39710170184528559</v>
      </c>
      <c r="G34" s="169">
        <v>160786.9969390177</v>
      </c>
      <c r="H34" s="169">
        <f t="shared" ref="H34:H44" si="6">G34+D34</f>
        <v>279274.99693901767</v>
      </c>
      <c r="I34" s="170">
        <f t="shared" ref="I34:I44" si="7">D34/H34</f>
        <v>0.42426998943221894</v>
      </c>
    </row>
    <row r="35" spans="1:9" x14ac:dyDescent="0.35">
      <c r="A35" s="2" t="s">
        <v>431</v>
      </c>
      <c r="B35" s="2" t="s">
        <v>432</v>
      </c>
      <c r="C35" s="2" t="s">
        <v>423</v>
      </c>
      <c r="D35" s="169">
        <v>75577</v>
      </c>
      <c r="E35" s="2" t="s">
        <v>430</v>
      </c>
      <c r="F35" s="170">
        <v>0.47553041552362019</v>
      </c>
      <c r="G35" s="169">
        <v>121325.78132796781</v>
      </c>
      <c r="H35" s="169">
        <f t="shared" si="6"/>
        <v>196902.78132796782</v>
      </c>
      <c r="I35" s="170">
        <f t="shared" si="7"/>
        <v>0.38382901191282026</v>
      </c>
    </row>
    <row r="36" spans="1:9" x14ac:dyDescent="0.35">
      <c r="A36" s="2" t="s">
        <v>440</v>
      </c>
      <c r="B36" s="2" t="s">
        <v>441</v>
      </c>
      <c r="C36" s="2" t="s">
        <v>423</v>
      </c>
      <c r="D36" s="169">
        <v>46713</v>
      </c>
      <c r="E36" s="2" t="s">
        <v>430</v>
      </c>
      <c r="F36" s="170">
        <v>0.56569020429417394</v>
      </c>
      <c r="G36" s="169">
        <v>69982</v>
      </c>
      <c r="H36" s="169">
        <f t="shared" si="6"/>
        <v>116695</v>
      </c>
      <c r="I36" s="170">
        <f t="shared" si="7"/>
        <v>0.40029992716054674</v>
      </c>
    </row>
    <row r="37" spans="1:9" x14ac:dyDescent="0.35">
      <c r="A37" s="2" t="s">
        <v>448</v>
      </c>
      <c r="B37" s="2" t="s">
        <v>449</v>
      </c>
      <c r="C37" s="2" t="s">
        <v>450</v>
      </c>
      <c r="D37" s="169">
        <v>45000</v>
      </c>
      <c r="E37" s="2" t="s">
        <v>454</v>
      </c>
      <c r="F37" s="170">
        <v>0.11083743842364532</v>
      </c>
      <c r="G37" s="169">
        <v>468293.95185969712</v>
      </c>
      <c r="H37" s="169">
        <f t="shared" si="6"/>
        <v>513293.95185969712</v>
      </c>
      <c r="I37" s="170">
        <f t="shared" si="7"/>
        <v>8.7669063383587695E-2</v>
      </c>
    </row>
    <row r="38" spans="1:9" x14ac:dyDescent="0.35">
      <c r="A38" s="2" t="s">
        <v>455</v>
      </c>
      <c r="B38" s="2" t="s">
        <v>456</v>
      </c>
      <c r="C38" s="2" t="s">
        <v>457</v>
      </c>
      <c r="D38" s="169">
        <v>27243</v>
      </c>
      <c r="E38" s="2" t="s">
        <v>465</v>
      </c>
      <c r="F38" s="170">
        <v>0.14343554535307373</v>
      </c>
      <c r="G38" s="169">
        <v>132496</v>
      </c>
      <c r="H38" s="169">
        <f t="shared" si="6"/>
        <v>159739</v>
      </c>
      <c r="I38" s="170">
        <f t="shared" si="7"/>
        <v>0.17054695471988682</v>
      </c>
    </row>
    <row r="39" spans="1:9" x14ac:dyDescent="0.35">
      <c r="A39" s="2" t="s">
        <v>466</v>
      </c>
      <c r="B39" s="2" t="s">
        <v>467</v>
      </c>
      <c r="C39" s="2" t="s">
        <v>423</v>
      </c>
      <c r="D39" s="169">
        <v>10622</v>
      </c>
      <c r="E39" s="2" t="s">
        <v>430</v>
      </c>
      <c r="F39" s="170">
        <v>0.17531524394269493</v>
      </c>
      <c r="G39" s="169">
        <v>40757</v>
      </c>
      <c r="H39" s="169">
        <f t="shared" si="6"/>
        <v>51379</v>
      </c>
      <c r="I39" s="170">
        <f t="shared" si="7"/>
        <v>0.20673816150567353</v>
      </c>
    </row>
    <row r="40" spans="1:9" x14ac:dyDescent="0.35">
      <c r="A40" s="2" t="s">
        <v>473</v>
      </c>
      <c r="B40" s="2" t="s">
        <v>474</v>
      </c>
      <c r="C40" s="2" t="s">
        <v>450</v>
      </c>
      <c r="D40" s="169">
        <v>4899</v>
      </c>
      <c r="E40" s="2" t="s">
        <v>480</v>
      </c>
      <c r="F40" s="170">
        <v>0.3385625431928127</v>
      </c>
      <c r="G40" s="169">
        <v>20252.811629184373</v>
      </c>
      <c r="H40" s="169">
        <f t="shared" si="6"/>
        <v>25151.811629184373</v>
      </c>
      <c r="I40" s="170">
        <f t="shared" si="7"/>
        <v>0.19477722210337919</v>
      </c>
    </row>
    <row r="41" spans="1:9" x14ac:dyDescent="0.35">
      <c r="A41" s="2" t="s">
        <v>481</v>
      </c>
      <c r="B41" s="2" t="s">
        <v>482</v>
      </c>
      <c r="C41" s="2" t="s">
        <v>450</v>
      </c>
      <c r="D41" s="169">
        <v>2891</v>
      </c>
      <c r="E41" s="2" t="s">
        <v>480</v>
      </c>
      <c r="F41" s="170">
        <v>0.1341406829992576</v>
      </c>
      <c r="G41" s="169">
        <v>18462.239749316621</v>
      </c>
      <c r="H41" s="169">
        <f t="shared" si="6"/>
        <v>21353.239749316621</v>
      </c>
      <c r="I41" s="170">
        <f t="shared" si="7"/>
        <v>0.13538929145833817</v>
      </c>
    </row>
    <row r="42" spans="1:9" x14ac:dyDescent="0.35">
      <c r="A42" s="2" t="s">
        <v>470</v>
      </c>
      <c r="B42" s="2" t="s">
        <v>490</v>
      </c>
      <c r="C42" s="2" t="s">
        <v>457</v>
      </c>
      <c r="D42" s="169">
        <v>1096</v>
      </c>
      <c r="E42" s="2" t="s">
        <v>496</v>
      </c>
      <c r="F42" s="170">
        <v>7.1559153826064245E-2</v>
      </c>
      <c r="G42" s="169">
        <v>5301.8248879810226</v>
      </c>
      <c r="H42" s="169">
        <f t="shared" si="6"/>
        <v>6397.8248879810226</v>
      </c>
      <c r="I42" s="170">
        <f t="shared" si="7"/>
        <v>0.17130822102664137</v>
      </c>
    </row>
    <row r="43" spans="1:9" x14ac:dyDescent="0.35">
      <c r="A43" s="2" t="s">
        <v>497</v>
      </c>
      <c r="B43" s="2" t="s">
        <v>498</v>
      </c>
      <c r="C43" s="2" t="s">
        <v>423</v>
      </c>
      <c r="D43" s="169">
        <v>907</v>
      </c>
      <c r="E43" s="2" t="s">
        <v>465</v>
      </c>
      <c r="F43" s="170">
        <v>0.12669367230060063</v>
      </c>
      <c r="G43" s="169">
        <v>6208.1530330247342</v>
      </c>
      <c r="H43" s="169">
        <f t="shared" si="6"/>
        <v>7115.1530330247342</v>
      </c>
      <c r="I43" s="170">
        <f t="shared" si="7"/>
        <v>0.1274744191432273</v>
      </c>
    </row>
    <row r="44" spans="1:9" x14ac:dyDescent="0.35">
      <c r="A44" s="149"/>
      <c r="B44" s="149"/>
      <c r="C44" s="149"/>
      <c r="D44" s="171">
        <f>SUM(D34:D43)</f>
        <v>333436</v>
      </c>
      <c r="E44" s="2"/>
      <c r="F44" s="170">
        <v>0.26570553379211864</v>
      </c>
      <c r="G44" s="171">
        <f t="shared" ref="G44" si="8">SUM(G34:G43)</f>
        <v>1043866.7594261895</v>
      </c>
      <c r="H44" s="171">
        <f t="shared" si="6"/>
        <v>1377302.7594261896</v>
      </c>
      <c r="I44" s="172">
        <f t="shared" si="7"/>
        <v>0.24209346689969297</v>
      </c>
    </row>
    <row r="45" spans="1:9" x14ac:dyDescent="0.35">
      <c r="A45" s="40"/>
      <c r="B45" s="40"/>
      <c r="C45" s="40"/>
      <c r="D45" s="40"/>
      <c r="E45" s="2" t="s">
        <v>536</v>
      </c>
      <c r="F45" s="40" t="s">
        <v>537</v>
      </c>
      <c r="G45" s="40"/>
      <c r="H45" s="40"/>
      <c r="I45" s="40" t="s">
        <v>538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931E-7F35-4A67-9EFE-ED5F00544F57}">
  <dimension ref="A1:D18"/>
  <sheetViews>
    <sheetView topLeftCell="A2" workbookViewId="0">
      <selection activeCell="A2" sqref="A2:D7"/>
    </sheetView>
  </sheetViews>
  <sheetFormatPr defaultRowHeight="14.5" x14ac:dyDescent="0.35"/>
  <cols>
    <col min="1" max="1" width="14.36328125" bestFit="1" customWidth="1"/>
  </cols>
  <sheetData>
    <row r="1" spans="1:4" x14ac:dyDescent="0.35">
      <c r="C1" t="s">
        <v>539</v>
      </c>
    </row>
    <row r="2" spans="1:4" x14ac:dyDescent="0.35">
      <c r="B2">
        <v>2013</v>
      </c>
      <c r="C2">
        <v>2018</v>
      </c>
      <c r="D2">
        <v>2022</v>
      </c>
    </row>
    <row r="3" spans="1:4" x14ac:dyDescent="0.35">
      <c r="A3" t="s">
        <v>540</v>
      </c>
      <c r="B3">
        <v>1.4360619707825135</v>
      </c>
      <c r="C3">
        <v>3.4003387838166272</v>
      </c>
      <c r="D3">
        <v>5.3272558356958237</v>
      </c>
    </row>
    <row r="4" spans="1:4" x14ac:dyDescent="0.35">
      <c r="A4" t="s">
        <v>120</v>
      </c>
      <c r="B4">
        <v>7.8859215776329581</v>
      </c>
      <c r="C4">
        <v>15.694911183818338</v>
      </c>
      <c r="D4">
        <v>16.808155188707438</v>
      </c>
    </row>
    <row r="5" spans="1:4" x14ac:dyDescent="0.35">
      <c r="A5" t="s">
        <v>121</v>
      </c>
      <c r="B5">
        <v>1.2350517318887642</v>
      </c>
      <c r="C5">
        <v>1.975870818811178</v>
      </c>
      <c r="D5">
        <v>2.5573688553151626</v>
      </c>
    </row>
    <row r="6" spans="1:4" x14ac:dyDescent="0.35">
      <c r="A6" t="s">
        <v>62</v>
      </c>
      <c r="B6">
        <v>0.15328749771229525</v>
      </c>
      <c r="C6">
        <v>0.44274520045280896</v>
      </c>
      <c r="D6">
        <v>0.37161166510087645</v>
      </c>
    </row>
    <row r="7" spans="1:4" x14ac:dyDescent="0.35">
      <c r="A7" t="s">
        <v>122</v>
      </c>
      <c r="B7">
        <v>0.26443342356580612</v>
      </c>
      <c r="C7">
        <v>1.0906498566266449</v>
      </c>
      <c r="D7">
        <v>0.72882071991244723</v>
      </c>
    </row>
    <row r="8" spans="1:4" x14ac:dyDescent="0.35">
      <c r="A8" t="s">
        <v>541</v>
      </c>
      <c r="B8">
        <v>11.13650671070585</v>
      </c>
      <c r="C8">
        <v>23.576970255075228</v>
      </c>
      <c r="D8">
        <v>26.824343944304964</v>
      </c>
    </row>
    <row r="11" spans="1:4" x14ac:dyDescent="0.35">
      <c r="B11" t="s">
        <v>542</v>
      </c>
    </row>
    <row r="12" spans="1:4" x14ac:dyDescent="0.35">
      <c r="B12" t="s">
        <v>544</v>
      </c>
      <c r="C12" t="s">
        <v>543</v>
      </c>
    </row>
    <row r="13" spans="1:4" x14ac:dyDescent="0.35">
      <c r="A13" t="s">
        <v>540</v>
      </c>
      <c r="B13" s="173">
        <f>((D3/B3)^(1/9))-1</f>
        <v>0.15680173216387128</v>
      </c>
      <c r="C13" s="173">
        <f>(D3/B3)-1</f>
        <v>2.7096280968940287</v>
      </c>
    </row>
    <row r="14" spans="1:4" x14ac:dyDescent="0.35">
      <c r="A14" t="s">
        <v>120</v>
      </c>
      <c r="B14" s="173">
        <f>((D4/B4)^(1/9))-1</f>
        <v>8.7723776120916419E-2</v>
      </c>
      <c r="C14" s="173">
        <f t="shared" ref="C14:C18" si="0">(D4/B4)-1</f>
        <v>1.1314129265983115</v>
      </c>
    </row>
    <row r="15" spans="1:4" x14ac:dyDescent="0.35">
      <c r="A15" t="s">
        <v>121</v>
      </c>
      <c r="B15" s="173">
        <f t="shared" ref="B15:B18" si="1">((D5/B5)^(1/9))-1</f>
        <v>8.4234284282161953E-2</v>
      </c>
      <c r="C15" s="173">
        <f t="shared" si="0"/>
        <v>1.0706572763589257</v>
      </c>
    </row>
    <row r="16" spans="1:4" x14ac:dyDescent="0.35">
      <c r="A16" t="s">
        <v>62</v>
      </c>
      <c r="B16" s="173">
        <f t="shared" si="1"/>
        <v>0.10339598769300617</v>
      </c>
      <c r="C16" s="173">
        <f t="shared" si="0"/>
        <v>1.4242790224050306</v>
      </c>
    </row>
    <row r="17" spans="1:3" x14ac:dyDescent="0.35">
      <c r="A17" t="s">
        <v>122</v>
      </c>
      <c r="B17" s="173">
        <f t="shared" si="1"/>
        <v>0.11923867071013161</v>
      </c>
      <c r="C17" s="173">
        <f t="shared" si="0"/>
        <v>1.756159603746442</v>
      </c>
    </row>
    <row r="18" spans="1:3" x14ac:dyDescent="0.35">
      <c r="A18" t="s">
        <v>541</v>
      </c>
      <c r="B18" s="173">
        <f t="shared" si="1"/>
        <v>0.10260514329612369</v>
      </c>
      <c r="C18" s="173">
        <f t="shared" si="0"/>
        <v>1.4086856535108927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Medical doctors</vt:lpstr>
      <vt:lpstr>Nurses</vt:lpstr>
      <vt:lpstr>Midwives</vt:lpstr>
      <vt:lpstr>Nurses and midwifrey</vt:lpstr>
      <vt:lpstr>Dentists</vt:lpstr>
      <vt:lpstr> Pharmacists</vt:lpstr>
      <vt:lpstr>Sheet1</vt:lpstr>
      <vt:lpstr>Community workers</vt:lpstr>
      <vt:lpstr> Psychologists </vt:lpstr>
      <vt:lpstr>Speech therapist</vt:lpstr>
      <vt:lpstr>Dieticians</vt:lpstr>
      <vt:lpstr>Environ &amp; occupat health &amp; hyge</vt:lpstr>
      <vt:lpstr>Managerial staff</vt:lpstr>
      <vt:lpstr>Prosthetic technicians</vt:lpstr>
      <vt:lpstr>Pathology lab scie</vt:lpstr>
      <vt:lpstr>Pathology lab tech</vt:lpstr>
      <vt:lpstr>Med assistants</vt:lpstr>
      <vt:lpstr>Imaging equip technicians</vt:lpstr>
      <vt:lpstr>Records and Health inf technici</vt:lpstr>
      <vt:lpstr>Opticians</vt:lpstr>
      <vt:lpstr>other non-med prof staff</vt:lpstr>
      <vt:lpstr>other non-med supp staff</vt:lpstr>
      <vt:lpstr>Paramedical pract</vt:lpstr>
      <vt:lpstr>Personal care workers</vt:lpstr>
      <vt:lpstr>Physiotherapists</vt:lpstr>
      <vt:lpstr>Social workers</vt:lpstr>
      <vt:lpstr>Trad and complementary med</vt:lpstr>
      <vt:lpstr>Core Vs others</vt:lpstr>
      <vt:lpstr>25% countries</vt:lpstr>
      <vt:lpstr>Doctors Nurse midwives</vt:lpstr>
      <vt:lpstr>Sheet3</vt:lpstr>
      <vt:lpstr>Sheet2</vt:lpstr>
      <vt:lpstr>Sheet4</vt:lpstr>
      <vt:lpstr>Sheet5</vt:lpstr>
      <vt:lpstr>Unemployment</vt:lpstr>
      <vt:lpstr>Densities perc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MUNG'ATU, Joseph</cp:lastModifiedBy>
  <dcterms:created xsi:type="dcterms:W3CDTF">2024-02-18T10:19:43Z</dcterms:created>
  <dcterms:modified xsi:type="dcterms:W3CDTF">2025-11-20T18:55:31Z</dcterms:modified>
</cp:coreProperties>
</file>