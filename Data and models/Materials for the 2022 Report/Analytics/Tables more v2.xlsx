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"/>
    </mc:Choice>
  </mc:AlternateContent>
  <xr:revisionPtr revIDLastSave="0" documentId="13_ncr:1_{2B4158B1-6463-4F4D-993B-3B69BFE1B252}" xr6:coauthVersionLast="47" xr6:coauthVersionMax="47" xr10:uidLastSave="{00000000-0000-0000-0000-000000000000}"/>
  <bookViews>
    <workbookView xWindow="-110" yWindow="-110" windowWidth="19420" windowHeight="10300" firstSheet="2" activeTab="4" xr2:uid="{6B0F5DB1-D3C2-4776-81BB-0E67189EC7BF}"/>
  </bookViews>
  <sheets>
    <sheet name="Sheet1" sheetId="1" r:id="rId1"/>
    <sheet name="Sheet2" sheetId="2" r:id="rId2"/>
    <sheet name="Number of countries rep" sheetId="3" r:id="rId3"/>
    <sheet name="Sheet4" sheetId="4" r:id="rId4"/>
    <sheet name="Corr synthesis" sheetId="6" r:id="rId5"/>
    <sheet name="Sheet3" sheetId="7" r:id="rId6"/>
    <sheet name="Accreditation Medical doctors" sheetId="8" r:id="rId7"/>
    <sheet name="Accreditation Nurses" sheetId="9" r:id="rId8"/>
    <sheet name="accreditation midwifrey" sheetId="10" r:id="rId9"/>
    <sheet name="Accreditation dentists" sheetId="11" r:id="rId10"/>
    <sheet name="Accreditation pharmacists" sheetId="12" r:id="rId11"/>
    <sheet name="Accreditation community workers" sheetId="13" r:id="rId12"/>
    <sheet name="Sheet11" sheetId="14" r:id="rId13"/>
    <sheet name="Midwives F" sheetId="15" r:id="rId14"/>
  </sheets>
  <definedNames>
    <definedName name="_xlnm._FilterDatabase" localSheetId="13" hidden="1">'Midwives F'!$A$1:$D$49</definedName>
    <definedName name="_xlnm._FilterDatabase" localSheetId="5" hidden="1">Sheet3!$A$1:$L$11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4" l="1"/>
  <c r="H3" i="2"/>
  <c r="I3" i="2"/>
  <c r="J3" i="2"/>
  <c r="H4" i="2"/>
  <c r="I4" i="2"/>
  <c r="J4" i="2"/>
  <c r="H5" i="2"/>
  <c r="I5" i="2"/>
  <c r="J5" i="2"/>
  <c r="H6" i="2"/>
  <c r="I6" i="2"/>
  <c r="J6" i="2"/>
  <c r="H7" i="2"/>
  <c r="I7" i="2"/>
  <c r="J7" i="2"/>
  <c r="H8" i="2"/>
  <c r="I8" i="2"/>
  <c r="J8" i="2"/>
  <c r="H9" i="2"/>
  <c r="I9" i="2"/>
  <c r="J9" i="2"/>
  <c r="H10" i="2"/>
  <c r="I10" i="2"/>
  <c r="J10" i="2"/>
  <c r="H11" i="2"/>
  <c r="I11" i="2"/>
  <c r="J11" i="2"/>
  <c r="H12" i="2"/>
  <c r="I12" i="2"/>
  <c r="J12" i="2"/>
  <c r="H13" i="2"/>
  <c r="I13" i="2"/>
  <c r="J13" i="2"/>
  <c r="H14" i="2"/>
  <c r="I14" i="2"/>
  <c r="J14" i="2"/>
  <c r="H15" i="2"/>
  <c r="I15" i="2"/>
  <c r="J15" i="2"/>
  <c r="H16" i="2"/>
  <c r="I16" i="2"/>
  <c r="J16" i="2"/>
  <c r="H17" i="2"/>
  <c r="I17" i="2"/>
  <c r="J17" i="2"/>
  <c r="H18" i="2"/>
  <c r="I18" i="2"/>
  <c r="J18" i="2"/>
  <c r="H19" i="2"/>
  <c r="I19" i="2"/>
  <c r="J19" i="2"/>
  <c r="H20" i="2"/>
  <c r="I20" i="2"/>
  <c r="J20" i="2"/>
  <c r="H21" i="2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H27" i="2"/>
  <c r="I27" i="2"/>
  <c r="J27" i="2"/>
  <c r="H28" i="2"/>
  <c r="I28" i="2"/>
  <c r="J28" i="2"/>
  <c r="H29" i="2"/>
  <c r="I29" i="2"/>
  <c r="J29" i="2"/>
  <c r="H30" i="2"/>
  <c r="I30" i="2"/>
  <c r="J30" i="2"/>
  <c r="H31" i="2"/>
  <c r="I31" i="2"/>
  <c r="J31" i="2"/>
  <c r="H32" i="2"/>
  <c r="I32" i="2"/>
  <c r="J32" i="2"/>
  <c r="H33" i="2"/>
  <c r="I33" i="2"/>
  <c r="J33" i="2"/>
  <c r="H34" i="2"/>
  <c r="I34" i="2"/>
  <c r="J34" i="2"/>
  <c r="H35" i="2"/>
  <c r="I35" i="2"/>
  <c r="J35" i="2"/>
  <c r="H36" i="2"/>
  <c r="I36" i="2"/>
  <c r="J36" i="2"/>
  <c r="H37" i="2"/>
  <c r="I37" i="2"/>
  <c r="J37" i="2"/>
  <c r="H38" i="2"/>
  <c r="I38" i="2"/>
  <c r="J38" i="2"/>
  <c r="H39" i="2"/>
  <c r="I39" i="2"/>
  <c r="J39" i="2"/>
  <c r="H40" i="2"/>
  <c r="I40" i="2"/>
  <c r="J40" i="2"/>
  <c r="H41" i="2"/>
  <c r="I41" i="2"/>
  <c r="J41" i="2"/>
  <c r="H42" i="2"/>
  <c r="I42" i="2"/>
  <c r="J42" i="2"/>
  <c r="H43" i="2"/>
  <c r="I43" i="2"/>
  <c r="J43" i="2"/>
  <c r="H44" i="2"/>
  <c r="I44" i="2"/>
  <c r="J44" i="2"/>
  <c r="H45" i="2"/>
  <c r="I45" i="2"/>
  <c r="J45" i="2"/>
  <c r="H46" i="2"/>
  <c r="I46" i="2"/>
  <c r="J46" i="2"/>
  <c r="H47" i="2"/>
  <c r="I47" i="2"/>
  <c r="J47" i="2"/>
  <c r="H48" i="2"/>
  <c r="I48" i="2"/>
  <c r="J48" i="2"/>
  <c r="I2" i="2"/>
  <c r="J2" i="2"/>
  <c r="H2" i="2"/>
  <c r="E17" i="13" l="1"/>
  <c r="C19" i="13" s="1"/>
  <c r="E24" i="12"/>
  <c r="E23" i="11"/>
  <c r="C25" i="11" s="1"/>
  <c r="B23" i="11"/>
  <c r="C23" i="11"/>
  <c r="D23" i="11"/>
  <c r="C26" i="8"/>
  <c r="D26" i="8"/>
  <c r="E26" i="8"/>
  <c r="B26" i="8"/>
  <c r="B24" i="8"/>
  <c r="C24" i="8"/>
  <c r="D24" i="8"/>
  <c r="E24" i="8"/>
  <c r="C21" i="9"/>
  <c r="D21" i="9"/>
  <c r="E21" i="9"/>
  <c r="B21" i="9"/>
  <c r="B19" i="9"/>
  <c r="C19" i="9"/>
  <c r="D19" i="9"/>
  <c r="E19" i="9"/>
  <c r="C27" i="10"/>
  <c r="D27" i="10"/>
  <c r="B27" i="10"/>
  <c r="B25" i="10"/>
  <c r="C25" i="10"/>
  <c r="D25" i="10"/>
  <c r="B24" i="12"/>
  <c r="C24" i="12"/>
  <c r="C26" i="12" s="1"/>
  <c r="D24" i="12"/>
  <c r="D26" i="12"/>
  <c r="E26" i="12"/>
  <c r="B26" i="12"/>
  <c r="B17" i="13"/>
  <c r="C17" i="13"/>
  <c r="D17" i="13"/>
  <c r="B19" i="13" l="1"/>
  <c r="D19" i="13"/>
  <c r="E25" i="11"/>
  <c r="D25" i="11"/>
  <c r="B25" i="1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2" i="4"/>
</calcChain>
</file>

<file path=xl/sharedStrings.xml><?xml version="1.0" encoding="utf-8"?>
<sst xmlns="http://schemas.openxmlformats.org/spreadsheetml/2006/main" count="1060" uniqueCount="331">
  <si>
    <t xml:space="preserve">Community Health Workers </t>
  </si>
  <si>
    <t>Dieticians and nutritionists</t>
  </si>
  <si>
    <t>Environmental and occupational health &amp; hygiene workers</t>
  </si>
  <si>
    <t>Personal care workers in health service</t>
  </si>
  <si>
    <t xml:space="preserve">Managerial staff </t>
  </si>
  <si>
    <t xml:space="preserve">Medical and dental Prosthetic Technicians </t>
  </si>
  <si>
    <t xml:space="preserve">Medical and Pathology Laboratory scientists </t>
  </si>
  <si>
    <t xml:space="preserve">Medical Assistants </t>
  </si>
  <si>
    <t xml:space="preserve">Medical Imaging and Therapeutic Equipment Technicians </t>
  </si>
  <si>
    <t xml:space="preserve">Medical Records and Health Information Technicians </t>
  </si>
  <si>
    <t xml:space="preserve">Optometrists and Ophthalmic Opticians </t>
  </si>
  <si>
    <t xml:space="preserve">Other non-medical professional staff </t>
  </si>
  <si>
    <t xml:space="preserve">Other non-medical support staff </t>
  </si>
  <si>
    <t xml:space="preserve">Medical and Pathology Laboratory Technicians </t>
  </si>
  <si>
    <t xml:space="preserve">Paramedical Practitioners </t>
  </si>
  <si>
    <t>Physiotherapists and physiotherapy assistants</t>
  </si>
  <si>
    <t>Social workers</t>
  </si>
  <si>
    <t xml:space="preserve">Audiologists and Speech Therapists </t>
  </si>
  <si>
    <t>Traditional and complementary medicine practitioners</t>
  </si>
  <si>
    <t xml:space="preserve"> Medical Doctors </t>
  </si>
  <si>
    <t xml:space="preserve"> Generalist Medical Practitioners </t>
  </si>
  <si>
    <t xml:space="preserve"> Specialist Medical Practitioners </t>
  </si>
  <si>
    <t xml:space="preserve"> Nursing Personnel </t>
  </si>
  <si>
    <t xml:space="preserve"> Nursing Professionals </t>
  </si>
  <si>
    <t xml:space="preserve"> Nursing Associate Professionals </t>
  </si>
  <si>
    <t xml:space="preserve"> Midwifery personnel </t>
  </si>
  <si>
    <t xml:space="preserve"> Midwifery Professionals </t>
  </si>
  <si>
    <t xml:space="preserve"> Midwifery Associate Professionals </t>
  </si>
  <si>
    <t xml:space="preserve"> Pharmaceutical Technicians and Assistants </t>
  </si>
  <si>
    <t xml:space="preserve"> Dentists </t>
  </si>
  <si>
    <t xml:space="preserve"> Dental Assistants and Therapists </t>
  </si>
  <si>
    <t xml:space="preserve"> Psychologists </t>
  </si>
  <si>
    <t xml:space="preserve"> Pharmacists</t>
  </si>
  <si>
    <t>Algeria</t>
  </si>
  <si>
    <t>Angola</t>
  </si>
  <si>
    <t>Benin</t>
  </si>
  <si>
    <t>Botswana</t>
  </si>
  <si>
    <t>Burkina Faso</t>
  </si>
  <si>
    <t>Burundi</t>
  </si>
  <si>
    <t>Cameroon</t>
  </si>
  <si>
    <t>Cape-Verde</t>
  </si>
  <si>
    <t>Central African Republic</t>
  </si>
  <si>
    <t>Chad</t>
  </si>
  <si>
    <t>Comoros</t>
  </si>
  <si>
    <t>Congo</t>
  </si>
  <si>
    <t>Cote d'Ivoire</t>
  </si>
  <si>
    <t>DRC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</si>
  <si>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</si>
  <si>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</si>
  <si>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</si>
  <si>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</si>
  <si>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</si>
  <si>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</si>
  <si>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</si>
  <si>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</si>
  <si>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</si>
  <si>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</si>
  <si>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</si>
  <si>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</si>
  <si>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</si>
  <si>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</si>
  <si>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</si>
  <si>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</si>
  <si>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</si>
  <si>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</si>
  <si>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</si>
  <si>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</si>
  <si>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</si>
  <si>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</si>
  <si>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</si>
  <si>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</si>
  <si>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</si>
  <si>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</si>
  <si>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</si>
  <si>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South Sudan</t>
  </si>
  <si>
    <t>Tanzania</t>
  </si>
  <si>
    <t>Togo</t>
  </si>
  <si>
    <t>Uganda</t>
  </si>
  <si>
    <t>Zambia</t>
  </si>
  <si>
    <t>Zimbabwe</t>
  </si>
  <si>
    <t>Grand Total</t>
  </si>
  <si>
    <t>Country</t>
  </si>
  <si>
    <t>S No.</t>
  </si>
  <si>
    <t>Cadre</t>
  </si>
  <si>
    <t>Total</t>
  </si>
  <si>
    <t>Number of countries with 2013 data</t>
  </si>
  <si>
    <t>Number of countries with 2018 data</t>
  </si>
  <si>
    <t>Number of countries with 2022 data</t>
  </si>
  <si>
    <t>SNo</t>
  </si>
  <si>
    <t xml:space="preserve">Number of cadres reported in 2013 </t>
  </si>
  <si>
    <t>Number of cadres reported in 2018</t>
  </si>
  <si>
    <t>Number of cadres reported in 2022</t>
  </si>
  <si>
    <t>Total number of data elements</t>
  </si>
  <si>
    <t>Number of occupations not adjusted</t>
  </si>
  <si>
    <t>Number of occupations adjusted</t>
  </si>
  <si>
    <t xml:space="preserve"> Total</t>
  </si>
  <si>
    <t>Percentage of occupations adjusted</t>
  </si>
  <si>
    <t>Number of countries not adjusted</t>
  </si>
  <si>
    <t>Number of countries adjusted</t>
  </si>
  <si>
    <t>Percentage of countries adjusted</t>
  </si>
  <si>
    <t xml:space="preserve"> Pharmacists </t>
  </si>
  <si>
    <t>AFRO</t>
  </si>
  <si>
    <t>Correlations</t>
  </si>
  <si>
    <t>che_gdp</t>
  </si>
  <si>
    <t>che_pc_usd</t>
  </si>
  <si>
    <t>dom_che</t>
  </si>
  <si>
    <t>gghed_che</t>
  </si>
  <si>
    <t>pvtd_che</t>
  </si>
  <si>
    <t>oops_che</t>
  </si>
  <si>
    <t>ext_che</t>
  </si>
  <si>
    <t>gghed_gdp</t>
  </si>
  <si>
    <t>gghed_gge</t>
  </si>
  <si>
    <t>gghed_pc_usd</t>
  </si>
  <si>
    <t>pvtd_pc_usd</t>
  </si>
  <si>
    <t>oop_pc_usd</t>
  </si>
  <si>
    <t>ext_pc_usd</t>
  </si>
  <si>
    <t>Core health workforce density</t>
  </si>
  <si>
    <t>Other workers density</t>
  </si>
  <si>
    <t>Total Workforce density</t>
  </si>
  <si>
    <t>Service capacity and access</t>
  </si>
  <si>
    <t>NCDs</t>
  </si>
  <si>
    <t>Infectious diseases</t>
  </si>
  <si>
    <t>RMNCAH</t>
  </si>
  <si>
    <t>HALE</t>
  </si>
  <si>
    <t>Spearman's rho</t>
  </si>
  <si>
    <t>Correlation Coefficient</t>
  </si>
  <si>
    <t>Sig. (2-tailed)</t>
  </si>
  <si>
    <t>N</t>
  </si>
  <si>
    <t>*. Correlation is significant at the 0.05 level (2-tailed).</t>
  </si>
  <si>
    <t>**. Correlation is significant at the 0.01 level (2-tailed).</t>
  </si>
  <si>
    <r>
      <t>-.357</t>
    </r>
    <r>
      <rPr>
        <vertAlign val="superscript"/>
        <sz val="9"/>
        <color indexed="8"/>
        <rFont val="Arial"/>
        <family val="2"/>
      </rPr>
      <t>*</t>
    </r>
  </si>
  <si>
    <r>
      <t>-.359</t>
    </r>
    <r>
      <rPr>
        <vertAlign val="superscript"/>
        <sz val="9"/>
        <color indexed="8"/>
        <rFont val="Arial"/>
        <family val="2"/>
      </rPr>
      <t>*</t>
    </r>
  </si>
  <si>
    <r>
      <t>.530</t>
    </r>
    <r>
      <rPr>
        <vertAlign val="superscript"/>
        <sz val="9"/>
        <color indexed="8"/>
        <rFont val="Arial"/>
        <family val="2"/>
      </rPr>
      <t>**</t>
    </r>
  </si>
  <si>
    <r>
      <t>.335</t>
    </r>
    <r>
      <rPr>
        <vertAlign val="superscript"/>
        <sz val="9"/>
        <color indexed="8"/>
        <rFont val="Arial"/>
        <family val="2"/>
      </rPr>
      <t>*</t>
    </r>
  </si>
  <si>
    <r>
      <t>.514</t>
    </r>
    <r>
      <rPr>
        <vertAlign val="superscript"/>
        <sz val="9"/>
        <color indexed="8"/>
        <rFont val="Arial"/>
        <family val="2"/>
      </rPr>
      <t>**</t>
    </r>
  </si>
  <si>
    <r>
      <t>.413</t>
    </r>
    <r>
      <rPr>
        <vertAlign val="superscript"/>
        <sz val="9"/>
        <color indexed="8"/>
        <rFont val="Arial"/>
        <family val="2"/>
      </rPr>
      <t>**</t>
    </r>
  </si>
  <si>
    <r>
      <t>.298</t>
    </r>
    <r>
      <rPr>
        <vertAlign val="superscript"/>
        <sz val="9"/>
        <color indexed="8"/>
        <rFont val="Arial"/>
        <family val="2"/>
      </rPr>
      <t>*</t>
    </r>
  </si>
  <si>
    <r>
      <t>.312</t>
    </r>
    <r>
      <rPr>
        <vertAlign val="superscript"/>
        <sz val="9"/>
        <color indexed="8"/>
        <rFont val="Arial"/>
        <family val="2"/>
      </rPr>
      <t>*</t>
    </r>
  </si>
  <si>
    <r>
      <t>.405</t>
    </r>
    <r>
      <rPr>
        <vertAlign val="superscript"/>
        <sz val="9"/>
        <color indexed="8"/>
        <rFont val="Arial"/>
        <family val="2"/>
      </rPr>
      <t>**</t>
    </r>
  </si>
  <si>
    <r>
      <t>.627</t>
    </r>
    <r>
      <rPr>
        <vertAlign val="superscript"/>
        <sz val="9"/>
        <color indexed="8"/>
        <rFont val="Arial"/>
        <family val="2"/>
      </rPr>
      <t>**</t>
    </r>
  </si>
  <si>
    <r>
      <t>.620</t>
    </r>
    <r>
      <rPr>
        <vertAlign val="superscript"/>
        <sz val="9"/>
        <color indexed="8"/>
        <rFont val="Arial"/>
        <family val="2"/>
      </rPr>
      <t>**</t>
    </r>
  </si>
  <si>
    <r>
      <t>-.627</t>
    </r>
    <r>
      <rPr>
        <vertAlign val="superscript"/>
        <sz val="9"/>
        <color indexed="8"/>
        <rFont val="Arial"/>
        <family val="2"/>
      </rPr>
      <t>**</t>
    </r>
  </si>
  <si>
    <r>
      <t>.539</t>
    </r>
    <r>
      <rPr>
        <vertAlign val="superscript"/>
        <sz val="9"/>
        <color indexed="8"/>
        <rFont val="Arial"/>
        <family val="2"/>
      </rPr>
      <t>**</t>
    </r>
  </si>
  <si>
    <r>
      <t>.479</t>
    </r>
    <r>
      <rPr>
        <vertAlign val="superscript"/>
        <sz val="9"/>
        <color indexed="8"/>
        <rFont val="Arial"/>
        <family val="2"/>
      </rPr>
      <t>**</t>
    </r>
  </si>
  <si>
    <r>
      <t>.877</t>
    </r>
    <r>
      <rPr>
        <vertAlign val="superscript"/>
        <sz val="9"/>
        <color indexed="8"/>
        <rFont val="Arial"/>
        <family val="2"/>
      </rPr>
      <t>**</t>
    </r>
  </si>
  <si>
    <r>
      <t>.848</t>
    </r>
    <r>
      <rPr>
        <vertAlign val="superscript"/>
        <sz val="9"/>
        <color indexed="8"/>
        <rFont val="Arial"/>
        <family val="2"/>
      </rPr>
      <t>**</t>
    </r>
  </si>
  <si>
    <r>
      <t>.716</t>
    </r>
    <r>
      <rPr>
        <vertAlign val="superscript"/>
        <sz val="9"/>
        <color indexed="8"/>
        <rFont val="Arial"/>
        <family val="2"/>
      </rPr>
      <t>**</t>
    </r>
  </si>
  <si>
    <r>
      <t>.742</t>
    </r>
    <r>
      <rPr>
        <vertAlign val="superscript"/>
        <sz val="9"/>
        <color indexed="8"/>
        <rFont val="Arial"/>
        <family val="2"/>
      </rPr>
      <t>**</t>
    </r>
  </si>
  <si>
    <r>
      <t>.564</t>
    </r>
    <r>
      <rPr>
        <vertAlign val="superscript"/>
        <sz val="9"/>
        <color indexed="8"/>
        <rFont val="Arial"/>
        <family val="2"/>
      </rPr>
      <t>**</t>
    </r>
  </si>
  <si>
    <r>
      <t>.698</t>
    </r>
    <r>
      <rPr>
        <vertAlign val="superscript"/>
        <sz val="9"/>
        <color indexed="8"/>
        <rFont val="Arial"/>
        <family val="2"/>
      </rPr>
      <t>**</t>
    </r>
  </si>
  <si>
    <r>
      <t>.730</t>
    </r>
    <r>
      <rPr>
        <vertAlign val="superscript"/>
        <sz val="9"/>
        <color indexed="8"/>
        <rFont val="Arial"/>
        <family val="2"/>
      </rPr>
      <t>**</t>
    </r>
  </si>
  <si>
    <r>
      <t>.387</t>
    </r>
    <r>
      <rPr>
        <vertAlign val="superscript"/>
        <sz val="9"/>
        <color indexed="8"/>
        <rFont val="Arial"/>
        <family val="2"/>
      </rPr>
      <t>**</t>
    </r>
  </si>
  <si>
    <r>
      <t>.538</t>
    </r>
    <r>
      <rPr>
        <vertAlign val="superscript"/>
        <sz val="9"/>
        <color indexed="8"/>
        <rFont val="Arial"/>
        <family val="2"/>
      </rPr>
      <t>**</t>
    </r>
  </si>
  <si>
    <r>
      <t>.418</t>
    </r>
    <r>
      <rPr>
        <vertAlign val="superscript"/>
        <sz val="9"/>
        <color indexed="8"/>
        <rFont val="Arial"/>
        <family val="2"/>
      </rPr>
      <t>**</t>
    </r>
  </si>
  <si>
    <r>
      <t>.487</t>
    </r>
    <r>
      <rPr>
        <vertAlign val="superscript"/>
        <sz val="9"/>
        <color indexed="8"/>
        <rFont val="Arial"/>
        <family val="2"/>
      </rPr>
      <t>**</t>
    </r>
  </si>
  <si>
    <r>
      <t>-1.000</t>
    </r>
    <r>
      <rPr>
        <vertAlign val="superscript"/>
        <sz val="9"/>
        <color indexed="8"/>
        <rFont val="Arial"/>
        <family val="2"/>
      </rPr>
      <t>**</t>
    </r>
  </si>
  <si>
    <r>
      <t>.602</t>
    </r>
    <r>
      <rPr>
        <vertAlign val="superscript"/>
        <sz val="9"/>
        <color indexed="8"/>
        <rFont val="Arial"/>
        <family val="2"/>
      </rPr>
      <t>**</t>
    </r>
  </si>
  <si>
    <r>
      <t>.850</t>
    </r>
    <r>
      <rPr>
        <vertAlign val="superscript"/>
        <sz val="9"/>
        <color indexed="8"/>
        <rFont val="Arial"/>
        <family val="2"/>
      </rPr>
      <t>**</t>
    </r>
  </si>
  <si>
    <r>
      <t>.832</t>
    </r>
    <r>
      <rPr>
        <vertAlign val="superscript"/>
        <sz val="9"/>
        <color indexed="8"/>
        <rFont val="Arial"/>
        <family val="2"/>
      </rPr>
      <t>**</t>
    </r>
  </si>
  <si>
    <r>
      <t>-.636</t>
    </r>
    <r>
      <rPr>
        <vertAlign val="superscript"/>
        <sz val="9"/>
        <color indexed="8"/>
        <rFont val="Arial"/>
        <family val="2"/>
      </rPr>
      <t>**</t>
    </r>
  </si>
  <si>
    <r>
      <t>.407</t>
    </r>
    <r>
      <rPr>
        <vertAlign val="superscript"/>
        <sz val="9"/>
        <color indexed="8"/>
        <rFont val="Arial"/>
        <family val="2"/>
      </rPr>
      <t>**</t>
    </r>
  </si>
  <si>
    <r>
      <t>.366</t>
    </r>
    <r>
      <rPr>
        <vertAlign val="superscript"/>
        <sz val="9"/>
        <color indexed="8"/>
        <rFont val="Arial"/>
        <family val="2"/>
      </rPr>
      <t>*</t>
    </r>
  </si>
  <si>
    <r>
      <t>-.534</t>
    </r>
    <r>
      <rPr>
        <vertAlign val="superscript"/>
        <sz val="9"/>
        <color indexed="8"/>
        <rFont val="Arial"/>
        <family val="2"/>
      </rPr>
      <t>**</t>
    </r>
  </si>
  <si>
    <r>
      <t>-.635</t>
    </r>
    <r>
      <rPr>
        <vertAlign val="superscript"/>
        <sz val="9"/>
        <color indexed="8"/>
        <rFont val="Arial"/>
        <family val="2"/>
      </rPr>
      <t>**</t>
    </r>
  </si>
  <si>
    <r>
      <t>-.418</t>
    </r>
    <r>
      <rPr>
        <vertAlign val="superscript"/>
        <sz val="9"/>
        <color indexed="8"/>
        <rFont val="Arial"/>
        <family val="2"/>
      </rPr>
      <t>**</t>
    </r>
  </si>
  <si>
    <r>
      <t>.835</t>
    </r>
    <r>
      <rPr>
        <vertAlign val="superscript"/>
        <sz val="9"/>
        <color indexed="8"/>
        <rFont val="Arial"/>
        <family val="2"/>
      </rPr>
      <t>**</t>
    </r>
  </si>
  <si>
    <r>
      <t>.868</t>
    </r>
    <r>
      <rPr>
        <vertAlign val="superscript"/>
        <sz val="9"/>
        <color indexed="8"/>
        <rFont val="Arial"/>
        <family val="2"/>
      </rPr>
      <t>**</t>
    </r>
  </si>
  <si>
    <r>
      <t>.881</t>
    </r>
    <r>
      <rPr>
        <vertAlign val="superscript"/>
        <sz val="9"/>
        <color indexed="8"/>
        <rFont val="Arial"/>
        <family val="2"/>
      </rPr>
      <t>**</t>
    </r>
  </si>
  <si>
    <r>
      <t>.341</t>
    </r>
    <r>
      <rPr>
        <vertAlign val="superscript"/>
        <sz val="9"/>
        <color indexed="8"/>
        <rFont val="Arial"/>
        <family val="2"/>
      </rPr>
      <t>*</t>
    </r>
  </si>
  <si>
    <r>
      <t>.632</t>
    </r>
    <r>
      <rPr>
        <vertAlign val="superscript"/>
        <sz val="9"/>
        <color indexed="8"/>
        <rFont val="Arial"/>
        <family val="2"/>
      </rPr>
      <t>**</t>
    </r>
  </si>
  <si>
    <r>
      <t>.497</t>
    </r>
    <r>
      <rPr>
        <vertAlign val="superscript"/>
        <sz val="9"/>
        <color indexed="8"/>
        <rFont val="Arial"/>
        <family val="2"/>
      </rPr>
      <t>**</t>
    </r>
  </si>
  <si>
    <r>
      <t>.622</t>
    </r>
    <r>
      <rPr>
        <vertAlign val="superscript"/>
        <sz val="9"/>
        <color indexed="8"/>
        <rFont val="Arial"/>
        <family val="2"/>
      </rPr>
      <t>**</t>
    </r>
  </si>
  <si>
    <r>
      <t>.612</t>
    </r>
    <r>
      <rPr>
        <vertAlign val="superscript"/>
        <sz val="9"/>
        <color indexed="8"/>
        <rFont val="Arial"/>
        <family val="2"/>
      </rPr>
      <t>**</t>
    </r>
  </si>
  <si>
    <r>
      <t>.408</t>
    </r>
    <r>
      <rPr>
        <vertAlign val="superscript"/>
        <sz val="9"/>
        <color indexed="8"/>
        <rFont val="Arial"/>
        <family val="2"/>
      </rPr>
      <t>**</t>
    </r>
  </si>
  <si>
    <r>
      <t>.656</t>
    </r>
    <r>
      <rPr>
        <vertAlign val="superscript"/>
        <sz val="9"/>
        <color indexed="8"/>
        <rFont val="Arial"/>
        <family val="2"/>
      </rPr>
      <t>**</t>
    </r>
  </si>
  <si>
    <r>
      <t>.452</t>
    </r>
    <r>
      <rPr>
        <vertAlign val="superscript"/>
        <sz val="9"/>
        <color indexed="8"/>
        <rFont val="Arial"/>
        <family val="2"/>
      </rPr>
      <t>**</t>
    </r>
  </si>
  <si>
    <r>
      <t>.884</t>
    </r>
    <r>
      <rPr>
        <vertAlign val="superscript"/>
        <sz val="9"/>
        <color indexed="8"/>
        <rFont val="Arial"/>
        <family val="2"/>
      </rPr>
      <t>**</t>
    </r>
  </si>
  <si>
    <r>
      <t>-.487</t>
    </r>
    <r>
      <rPr>
        <vertAlign val="superscript"/>
        <sz val="9"/>
        <color indexed="8"/>
        <rFont val="Arial"/>
        <family val="2"/>
      </rPr>
      <t>**</t>
    </r>
  </si>
  <si>
    <r>
      <t>-.671</t>
    </r>
    <r>
      <rPr>
        <vertAlign val="superscript"/>
        <sz val="9"/>
        <color indexed="8"/>
        <rFont val="Arial"/>
        <family val="2"/>
      </rPr>
      <t>**</t>
    </r>
  </si>
  <si>
    <r>
      <t>-.594</t>
    </r>
    <r>
      <rPr>
        <vertAlign val="superscript"/>
        <sz val="9"/>
        <color indexed="8"/>
        <rFont val="Arial"/>
        <family val="2"/>
      </rPr>
      <t>**</t>
    </r>
  </si>
  <si>
    <r>
      <t>.389</t>
    </r>
    <r>
      <rPr>
        <vertAlign val="superscript"/>
        <sz val="9"/>
        <color indexed="8"/>
        <rFont val="Arial"/>
        <family val="2"/>
      </rPr>
      <t>**</t>
    </r>
  </si>
  <si>
    <r>
      <t>.534</t>
    </r>
    <r>
      <rPr>
        <vertAlign val="superscript"/>
        <sz val="9"/>
        <color indexed="8"/>
        <rFont val="Arial"/>
        <family val="2"/>
      </rPr>
      <t>**</t>
    </r>
  </si>
  <si>
    <r>
      <t>-.556</t>
    </r>
    <r>
      <rPr>
        <vertAlign val="superscript"/>
        <sz val="9"/>
        <color indexed="8"/>
        <rFont val="Arial"/>
        <family val="2"/>
      </rPr>
      <t>**</t>
    </r>
  </si>
  <si>
    <r>
      <t>-.384</t>
    </r>
    <r>
      <rPr>
        <vertAlign val="superscript"/>
        <sz val="9"/>
        <color indexed="8"/>
        <rFont val="Arial"/>
        <family val="2"/>
      </rPr>
      <t>**</t>
    </r>
  </si>
  <si>
    <r>
      <t>-.370</t>
    </r>
    <r>
      <rPr>
        <vertAlign val="superscript"/>
        <sz val="9"/>
        <color indexed="8"/>
        <rFont val="Arial"/>
        <family val="2"/>
      </rPr>
      <t>*</t>
    </r>
  </si>
  <si>
    <r>
      <t>-.289</t>
    </r>
    <r>
      <rPr>
        <vertAlign val="superscript"/>
        <sz val="9"/>
        <color indexed="8"/>
        <rFont val="Arial"/>
        <family val="2"/>
      </rPr>
      <t>*</t>
    </r>
  </si>
  <si>
    <r>
      <t>-.387</t>
    </r>
    <r>
      <rPr>
        <vertAlign val="superscript"/>
        <sz val="9"/>
        <color indexed="8"/>
        <rFont val="Arial"/>
        <family val="2"/>
      </rPr>
      <t>**</t>
    </r>
  </si>
  <si>
    <r>
      <t>-.511</t>
    </r>
    <r>
      <rPr>
        <vertAlign val="superscript"/>
        <sz val="9"/>
        <color indexed="8"/>
        <rFont val="Arial"/>
        <family val="2"/>
      </rPr>
      <t>**</t>
    </r>
  </si>
  <si>
    <r>
      <t>-.743</t>
    </r>
    <r>
      <rPr>
        <vertAlign val="superscript"/>
        <sz val="9"/>
        <color indexed="8"/>
        <rFont val="Arial"/>
        <family val="2"/>
      </rPr>
      <t>**</t>
    </r>
  </si>
  <si>
    <r>
      <t>-.698</t>
    </r>
    <r>
      <rPr>
        <vertAlign val="superscript"/>
        <sz val="9"/>
        <color indexed="8"/>
        <rFont val="Arial"/>
        <family val="2"/>
      </rPr>
      <t>**</t>
    </r>
  </si>
  <si>
    <r>
      <t>-.460</t>
    </r>
    <r>
      <rPr>
        <vertAlign val="superscript"/>
        <sz val="9"/>
        <color indexed="8"/>
        <rFont val="Arial"/>
        <family val="2"/>
      </rPr>
      <t>**</t>
    </r>
  </si>
  <si>
    <r>
      <t>.406</t>
    </r>
    <r>
      <rPr>
        <vertAlign val="superscript"/>
        <sz val="9"/>
        <color indexed="8"/>
        <rFont val="Arial"/>
        <family val="2"/>
      </rPr>
      <t>**</t>
    </r>
  </si>
  <si>
    <r>
      <t>-.549</t>
    </r>
    <r>
      <rPr>
        <vertAlign val="superscript"/>
        <sz val="9"/>
        <color indexed="8"/>
        <rFont val="Arial"/>
        <family val="2"/>
      </rPr>
      <t>**</t>
    </r>
  </si>
  <si>
    <r>
      <t>-.398</t>
    </r>
    <r>
      <rPr>
        <vertAlign val="superscript"/>
        <sz val="9"/>
        <color indexed="8"/>
        <rFont val="Arial"/>
        <family val="2"/>
      </rPr>
      <t>**</t>
    </r>
  </si>
  <si>
    <r>
      <t>-.424</t>
    </r>
    <r>
      <rPr>
        <vertAlign val="superscript"/>
        <sz val="9"/>
        <color indexed="8"/>
        <rFont val="Arial"/>
        <family val="2"/>
      </rPr>
      <t>**</t>
    </r>
  </si>
  <si>
    <r>
      <t>-.471</t>
    </r>
    <r>
      <rPr>
        <vertAlign val="superscript"/>
        <sz val="9"/>
        <color indexed="8"/>
        <rFont val="Arial"/>
        <family val="2"/>
      </rPr>
      <t>**</t>
    </r>
  </si>
  <si>
    <r>
      <t>-.420</t>
    </r>
    <r>
      <rPr>
        <vertAlign val="superscript"/>
        <sz val="9"/>
        <color indexed="8"/>
        <rFont val="Arial"/>
        <family val="2"/>
      </rPr>
      <t>**</t>
    </r>
  </si>
  <si>
    <r>
      <t>-.407</t>
    </r>
    <r>
      <rPr>
        <vertAlign val="superscript"/>
        <sz val="9"/>
        <color indexed="8"/>
        <rFont val="Arial"/>
        <family val="2"/>
      </rPr>
      <t>**</t>
    </r>
  </si>
  <si>
    <r>
      <t>-.585</t>
    </r>
    <r>
      <rPr>
        <vertAlign val="superscript"/>
        <sz val="9"/>
        <color indexed="8"/>
        <rFont val="Arial"/>
        <family val="2"/>
      </rPr>
      <t>**</t>
    </r>
  </si>
  <si>
    <r>
      <t>-.602</t>
    </r>
    <r>
      <rPr>
        <vertAlign val="superscript"/>
        <sz val="9"/>
        <color indexed="8"/>
        <rFont val="Arial"/>
        <family val="2"/>
      </rPr>
      <t>**</t>
    </r>
  </si>
  <si>
    <r>
      <t>-.850</t>
    </r>
    <r>
      <rPr>
        <vertAlign val="superscript"/>
        <sz val="9"/>
        <color indexed="8"/>
        <rFont val="Arial"/>
        <family val="2"/>
      </rPr>
      <t>**</t>
    </r>
  </si>
  <si>
    <r>
      <t>-.832</t>
    </r>
    <r>
      <rPr>
        <vertAlign val="superscript"/>
        <sz val="9"/>
        <color indexed="8"/>
        <rFont val="Arial"/>
        <family val="2"/>
      </rPr>
      <t>**</t>
    </r>
  </si>
  <si>
    <r>
      <t>.636</t>
    </r>
    <r>
      <rPr>
        <vertAlign val="superscript"/>
        <sz val="9"/>
        <color indexed="8"/>
        <rFont val="Arial"/>
        <family val="2"/>
      </rPr>
      <t>**</t>
    </r>
  </si>
  <si>
    <r>
      <t>-.366</t>
    </r>
    <r>
      <rPr>
        <vertAlign val="superscript"/>
        <sz val="9"/>
        <color indexed="8"/>
        <rFont val="Arial"/>
        <family val="2"/>
      </rPr>
      <t>*</t>
    </r>
  </si>
  <si>
    <r>
      <t>.903</t>
    </r>
    <r>
      <rPr>
        <vertAlign val="superscript"/>
        <sz val="9"/>
        <color indexed="8"/>
        <rFont val="Arial"/>
        <family val="2"/>
      </rPr>
      <t>**</t>
    </r>
  </si>
  <si>
    <r>
      <t>.733</t>
    </r>
    <r>
      <rPr>
        <vertAlign val="superscript"/>
        <sz val="9"/>
        <color indexed="8"/>
        <rFont val="Arial"/>
        <family val="2"/>
      </rPr>
      <t>**</t>
    </r>
  </si>
  <si>
    <r>
      <t>.553</t>
    </r>
    <r>
      <rPr>
        <vertAlign val="superscript"/>
        <sz val="9"/>
        <color indexed="8"/>
        <rFont val="Arial"/>
        <family val="2"/>
      </rPr>
      <t>**</t>
    </r>
  </si>
  <si>
    <r>
      <t>.647</t>
    </r>
    <r>
      <rPr>
        <vertAlign val="superscript"/>
        <sz val="9"/>
        <color indexed="8"/>
        <rFont val="Arial"/>
        <family val="2"/>
      </rPr>
      <t>**</t>
    </r>
  </si>
  <si>
    <r>
      <t>.518</t>
    </r>
    <r>
      <rPr>
        <vertAlign val="superscript"/>
        <sz val="9"/>
        <color indexed="8"/>
        <rFont val="Arial"/>
        <family val="2"/>
      </rPr>
      <t>**</t>
    </r>
  </si>
  <si>
    <r>
      <t>.557</t>
    </r>
    <r>
      <rPr>
        <vertAlign val="superscript"/>
        <sz val="9"/>
        <color indexed="8"/>
        <rFont val="Arial"/>
        <family val="2"/>
      </rPr>
      <t>**</t>
    </r>
  </si>
  <si>
    <r>
      <t>.290</t>
    </r>
    <r>
      <rPr>
        <vertAlign val="superscript"/>
        <sz val="9"/>
        <color indexed="8"/>
        <rFont val="Arial"/>
        <family val="2"/>
      </rPr>
      <t>*</t>
    </r>
  </si>
  <si>
    <r>
      <t>.725</t>
    </r>
    <r>
      <rPr>
        <vertAlign val="superscript"/>
        <sz val="9"/>
        <color indexed="8"/>
        <rFont val="Arial"/>
        <family val="2"/>
      </rPr>
      <t>**</t>
    </r>
  </si>
  <si>
    <r>
      <t>.470</t>
    </r>
    <r>
      <rPr>
        <vertAlign val="superscript"/>
        <sz val="9"/>
        <color indexed="8"/>
        <rFont val="Arial"/>
        <family val="2"/>
      </rPr>
      <t>**</t>
    </r>
  </si>
  <si>
    <r>
      <t>.528</t>
    </r>
    <r>
      <rPr>
        <vertAlign val="superscript"/>
        <sz val="9"/>
        <color indexed="8"/>
        <rFont val="Arial"/>
        <family val="2"/>
      </rPr>
      <t>**</t>
    </r>
  </si>
  <si>
    <r>
      <t>.562</t>
    </r>
    <r>
      <rPr>
        <vertAlign val="superscript"/>
        <sz val="9"/>
        <color indexed="8"/>
        <rFont val="Arial"/>
        <family val="2"/>
      </rPr>
      <t>**</t>
    </r>
  </si>
  <si>
    <r>
      <t>.444</t>
    </r>
    <r>
      <rPr>
        <vertAlign val="superscript"/>
        <sz val="9"/>
        <color indexed="8"/>
        <rFont val="Arial"/>
        <family val="2"/>
      </rPr>
      <t>**</t>
    </r>
  </si>
  <si>
    <r>
      <t>.466</t>
    </r>
    <r>
      <rPr>
        <vertAlign val="superscript"/>
        <sz val="9"/>
        <color indexed="8"/>
        <rFont val="Arial"/>
        <family val="2"/>
      </rPr>
      <t>**</t>
    </r>
  </si>
  <si>
    <r>
      <t>.659</t>
    </r>
    <r>
      <rPr>
        <vertAlign val="superscript"/>
        <sz val="9"/>
        <color indexed="8"/>
        <rFont val="Arial"/>
        <family val="2"/>
      </rPr>
      <t>**</t>
    </r>
  </si>
  <si>
    <r>
      <t>.377</t>
    </r>
    <r>
      <rPr>
        <vertAlign val="superscript"/>
        <sz val="9"/>
        <color indexed="8"/>
        <rFont val="Arial"/>
        <family val="2"/>
      </rPr>
      <t>**</t>
    </r>
  </si>
  <si>
    <r>
      <t>.485</t>
    </r>
    <r>
      <rPr>
        <vertAlign val="superscript"/>
        <sz val="9"/>
        <color indexed="8"/>
        <rFont val="Arial"/>
        <family val="2"/>
      </rPr>
      <t>**</t>
    </r>
  </si>
  <si>
    <r>
      <t>.706</t>
    </r>
    <r>
      <rPr>
        <vertAlign val="superscript"/>
        <sz val="9"/>
        <color indexed="8"/>
        <rFont val="Arial"/>
        <family val="2"/>
      </rPr>
      <t>**</t>
    </r>
  </si>
  <si>
    <r>
      <t>.540</t>
    </r>
    <r>
      <rPr>
        <vertAlign val="superscript"/>
        <sz val="9"/>
        <color indexed="8"/>
        <rFont val="Arial"/>
        <family val="2"/>
      </rPr>
      <t>**</t>
    </r>
  </si>
  <si>
    <r>
      <t>.672</t>
    </r>
    <r>
      <rPr>
        <vertAlign val="superscript"/>
        <sz val="9"/>
        <color indexed="8"/>
        <rFont val="Arial"/>
        <family val="2"/>
      </rPr>
      <t>**</t>
    </r>
  </si>
  <si>
    <r>
      <t>.723</t>
    </r>
    <r>
      <rPr>
        <vertAlign val="superscript"/>
        <sz val="9"/>
        <color indexed="8"/>
        <rFont val="Arial"/>
        <family val="2"/>
      </rPr>
      <t>**</t>
    </r>
  </si>
  <si>
    <r>
      <t>.453</t>
    </r>
    <r>
      <rPr>
        <vertAlign val="superscript"/>
        <sz val="9"/>
        <color indexed="8"/>
        <rFont val="Arial"/>
        <family val="2"/>
      </rPr>
      <t>**</t>
    </r>
  </si>
  <si>
    <r>
      <t>.605</t>
    </r>
    <r>
      <rPr>
        <vertAlign val="superscript"/>
        <sz val="9"/>
        <color indexed="8"/>
        <rFont val="Arial"/>
        <family val="2"/>
      </rPr>
      <t>**</t>
    </r>
  </si>
  <si>
    <r>
      <t>.339</t>
    </r>
    <r>
      <rPr>
        <vertAlign val="superscript"/>
        <sz val="9"/>
        <color indexed="8"/>
        <rFont val="Arial"/>
        <family val="2"/>
      </rPr>
      <t>*</t>
    </r>
  </si>
  <si>
    <r>
      <t>.917</t>
    </r>
    <r>
      <rPr>
        <vertAlign val="superscript"/>
        <sz val="9"/>
        <color indexed="8"/>
        <rFont val="Arial"/>
        <family val="2"/>
      </rPr>
      <t>**</t>
    </r>
  </si>
  <si>
    <r>
      <t>.574</t>
    </r>
    <r>
      <rPr>
        <vertAlign val="superscript"/>
        <sz val="9"/>
        <color indexed="8"/>
        <rFont val="Arial"/>
        <family val="2"/>
      </rPr>
      <t>**</t>
    </r>
  </si>
  <si>
    <r>
      <t>.344</t>
    </r>
    <r>
      <rPr>
        <vertAlign val="superscript"/>
        <sz val="9"/>
        <color indexed="8"/>
        <rFont val="Arial"/>
        <family val="2"/>
      </rPr>
      <t>*</t>
    </r>
  </si>
  <si>
    <r>
      <t>.469</t>
    </r>
    <r>
      <rPr>
        <vertAlign val="superscript"/>
        <sz val="9"/>
        <color indexed="8"/>
        <rFont val="Arial"/>
        <family val="2"/>
      </rPr>
      <t>**</t>
    </r>
  </si>
  <si>
    <r>
      <t>.537</t>
    </r>
    <r>
      <rPr>
        <vertAlign val="superscript"/>
        <sz val="9"/>
        <color indexed="8"/>
        <rFont val="Arial"/>
        <family val="2"/>
      </rPr>
      <t>**</t>
    </r>
  </si>
  <si>
    <r>
      <t>-.389</t>
    </r>
    <r>
      <rPr>
        <vertAlign val="superscript"/>
        <sz val="9"/>
        <color indexed="8"/>
        <rFont val="Arial"/>
        <family val="2"/>
      </rPr>
      <t>**</t>
    </r>
  </si>
  <si>
    <r>
      <t>.430</t>
    </r>
    <r>
      <rPr>
        <vertAlign val="superscript"/>
        <sz val="9"/>
        <color indexed="8"/>
        <rFont val="Arial"/>
        <family val="2"/>
      </rPr>
      <t>**</t>
    </r>
  </si>
  <si>
    <r>
      <t>.349</t>
    </r>
    <r>
      <rPr>
        <vertAlign val="superscript"/>
        <sz val="9"/>
        <color indexed="8"/>
        <rFont val="Arial"/>
        <family val="2"/>
      </rPr>
      <t>*</t>
    </r>
  </si>
  <si>
    <r>
      <t>.400</t>
    </r>
    <r>
      <rPr>
        <vertAlign val="superscript"/>
        <sz val="9"/>
        <color indexed="8"/>
        <rFont val="Arial"/>
        <family val="2"/>
      </rPr>
      <t>**</t>
    </r>
  </si>
  <si>
    <r>
      <t>.319</t>
    </r>
    <r>
      <rPr>
        <vertAlign val="superscript"/>
        <sz val="9"/>
        <color indexed="8"/>
        <rFont val="Arial"/>
        <family val="2"/>
      </rPr>
      <t>*</t>
    </r>
  </si>
  <si>
    <r>
      <t>.682</t>
    </r>
    <r>
      <rPr>
        <vertAlign val="superscript"/>
        <sz val="9"/>
        <color indexed="8"/>
        <rFont val="Arial"/>
        <family val="2"/>
      </rPr>
      <t>**</t>
    </r>
  </si>
  <si>
    <r>
      <t>.902</t>
    </r>
    <r>
      <rPr>
        <vertAlign val="superscript"/>
        <sz val="9"/>
        <color indexed="8"/>
        <rFont val="Arial"/>
        <family val="2"/>
      </rPr>
      <t>**</t>
    </r>
  </si>
  <si>
    <r>
      <t>.721</t>
    </r>
    <r>
      <rPr>
        <vertAlign val="superscript"/>
        <sz val="9"/>
        <color indexed="8"/>
        <rFont val="Arial"/>
        <family val="2"/>
      </rPr>
      <t>**</t>
    </r>
  </si>
  <si>
    <r>
      <t>.664</t>
    </r>
    <r>
      <rPr>
        <vertAlign val="superscript"/>
        <sz val="9"/>
        <color indexed="8"/>
        <rFont val="Arial"/>
        <family val="2"/>
      </rPr>
      <t>**</t>
    </r>
  </si>
  <si>
    <r>
      <t>.550</t>
    </r>
    <r>
      <rPr>
        <vertAlign val="superscript"/>
        <sz val="9"/>
        <color indexed="8"/>
        <rFont val="Arial"/>
        <family val="2"/>
      </rPr>
      <t>**</t>
    </r>
  </si>
  <si>
    <r>
      <t>.327</t>
    </r>
    <r>
      <rPr>
        <vertAlign val="superscript"/>
        <sz val="9"/>
        <color indexed="8"/>
        <rFont val="Arial"/>
        <family val="2"/>
      </rPr>
      <t>*</t>
    </r>
  </si>
  <si>
    <r>
      <t>.472</t>
    </r>
    <r>
      <rPr>
        <vertAlign val="superscript"/>
        <sz val="9"/>
        <color indexed="8"/>
        <rFont val="Arial"/>
        <family val="2"/>
      </rPr>
      <t>**</t>
    </r>
  </si>
  <si>
    <r>
      <t>.675</t>
    </r>
    <r>
      <rPr>
        <vertAlign val="superscript"/>
        <sz val="9"/>
        <color indexed="8"/>
        <rFont val="Arial"/>
        <family val="2"/>
      </rPr>
      <t>**</t>
    </r>
  </si>
  <si>
    <r>
      <t>.681</t>
    </r>
    <r>
      <rPr>
        <vertAlign val="superscript"/>
        <sz val="9"/>
        <color indexed="8"/>
        <rFont val="Arial"/>
        <family val="2"/>
      </rPr>
      <t>**</t>
    </r>
  </si>
  <si>
    <r>
      <t>.390</t>
    </r>
    <r>
      <rPr>
        <vertAlign val="superscript"/>
        <sz val="9"/>
        <color indexed="8"/>
        <rFont val="Arial"/>
        <family val="2"/>
      </rPr>
      <t>**</t>
    </r>
  </si>
  <si>
    <r>
      <t>.411</t>
    </r>
    <r>
      <rPr>
        <vertAlign val="superscript"/>
        <sz val="9"/>
        <color indexed="8"/>
        <rFont val="Arial"/>
        <family val="2"/>
      </rPr>
      <t>**</t>
    </r>
  </si>
  <si>
    <r>
      <t>.726</t>
    </r>
    <r>
      <rPr>
        <vertAlign val="superscript"/>
        <sz val="9"/>
        <color indexed="8"/>
        <rFont val="Arial"/>
        <family val="2"/>
      </rPr>
      <t>**</t>
    </r>
  </si>
  <si>
    <r>
      <t>.410</t>
    </r>
    <r>
      <rPr>
        <vertAlign val="superscript"/>
        <sz val="9"/>
        <color indexed="8"/>
        <rFont val="Arial"/>
        <family val="2"/>
      </rPr>
      <t>**</t>
    </r>
  </si>
  <si>
    <r>
      <t>.477</t>
    </r>
    <r>
      <rPr>
        <vertAlign val="superscript"/>
        <sz val="9"/>
        <color indexed="8"/>
        <rFont val="Arial"/>
        <family val="2"/>
      </rPr>
      <t>**</t>
    </r>
  </si>
  <si>
    <r>
      <t>.345</t>
    </r>
    <r>
      <rPr>
        <vertAlign val="superscript"/>
        <sz val="9"/>
        <color indexed="8"/>
        <rFont val="Arial"/>
        <family val="2"/>
      </rPr>
      <t>*</t>
    </r>
  </si>
  <si>
    <t>Current Health Expenditure (CHE) as % Gross Domestic Product (GDP)</t>
  </si>
  <si>
    <t>CHE%GDP_SHA2011</t>
  </si>
  <si>
    <t>INDICATORS</t>
  </si>
  <si>
    <t>AGGREGATES</t>
  </si>
  <si>
    <t>Percentage</t>
  </si>
  <si>
    <t>-</t>
  </si>
  <si>
    <t>Current Health Expenditure (CHE) per Capita in US$</t>
  </si>
  <si>
    <t>CHE_pc_US$_SHA2011</t>
  </si>
  <si>
    <t>Ones</t>
  </si>
  <si>
    <t>US$</t>
  </si>
  <si>
    <t>Domestic Health Expenditure (DOM) as % of Current Health Expenditure (CHE)</t>
  </si>
  <si>
    <t>DOM%CHE_SHA2011</t>
  </si>
  <si>
    <t>FINANCING SOURCES</t>
  </si>
  <si>
    <t>Domestic General Government Health Expenditure (GGHE-D) as % Current Health Expenditure (CHE)</t>
  </si>
  <si>
    <t>GGHE-D%CHE_SHA2011</t>
  </si>
  <si>
    <t>Domestic Private Health Expenditure (PVT-D) as % Current Health Expenditure (CHE)</t>
  </si>
  <si>
    <t>PVT-D%CHE_SHA2011</t>
  </si>
  <si>
    <t>Out-of-pocket (OOPS) as % of Current Health Expenditure (CHE)</t>
  </si>
  <si>
    <t>OOPS%CHE_SHA2011</t>
  </si>
  <si>
    <t>External Health Expenditure (EXT) as % of Current Health Expenditure (CHE)</t>
  </si>
  <si>
    <t>EXT%CHE_SHA2011</t>
  </si>
  <si>
    <t>Domestic General Government Health Expenditure (GGHE-D) as % Gross Domestic Product (GDP)</t>
  </si>
  <si>
    <t>GGHE-D%GDP_SHA2011</t>
  </si>
  <si>
    <t>Domestic General Government Health Expenditure (GGHE-D) as % General Government Expenditure (GGE)</t>
  </si>
  <si>
    <t>GGHE-D%GGE_SHA2011</t>
  </si>
  <si>
    <t>Domestic General Government Health Expenditure (GGHE-D) per Capita in US$</t>
  </si>
  <si>
    <t>GGHE-D_pc_US$_SHA2011</t>
  </si>
  <si>
    <t>Domestic Private Health Expenditure (PVT-D) per Capita in US$</t>
  </si>
  <si>
    <t>PVT-D_pc_US$_SHA2011</t>
  </si>
  <si>
    <t>Out-of-Pocket Expenditure (OOPS) per Capita in US$</t>
  </si>
  <si>
    <t>OOP_pc_US$_SHA2011</t>
  </si>
  <si>
    <t>External Health Expenditure (EXT) per Capita in US$</t>
  </si>
  <si>
    <t>EXT_pc_US$_SHA2011</t>
  </si>
  <si>
    <t>Explanatory variables (HWF)</t>
  </si>
  <si>
    <t>Impact variables of HWF</t>
  </si>
  <si>
    <t xml:space="preserve"> Density per 10,000 (2013)</t>
  </si>
  <si>
    <t xml:space="preserve"> Density per 10,000 (2018)</t>
  </si>
  <si>
    <t xml:space="preserve"> Density per 10,000 (2022)</t>
  </si>
  <si>
    <t>condition</t>
  </si>
  <si>
    <t>Density increase</t>
  </si>
  <si>
    <t>cond</t>
  </si>
  <si>
    <t>Density change</t>
  </si>
  <si>
    <t>density increase</t>
  </si>
  <si>
    <t>Dentists</t>
  </si>
  <si>
    <t>Change</t>
  </si>
  <si>
    <t xml:space="preserve"> Pharmaceutical Technicians and Assistants</t>
  </si>
  <si>
    <t>Count of Existence of national and/or subnational mechanisms for accreditation of health workforce education and training institutions and their programmes (Yes/No/Partly)</t>
  </si>
  <si>
    <t>Column Labels</t>
  </si>
  <si>
    <t>Row Labels</t>
  </si>
  <si>
    <t>NO</t>
  </si>
  <si>
    <t>PARTLY</t>
  </si>
  <si>
    <t>YES</t>
  </si>
  <si>
    <t>Democratic Republic of Congo</t>
  </si>
  <si>
    <t>Medical doctors</t>
  </si>
  <si>
    <t>Nurses</t>
  </si>
  <si>
    <t>Midwives</t>
  </si>
  <si>
    <t>Pharmacists</t>
  </si>
  <si>
    <t>Community health workers (n = 14)</t>
  </si>
  <si>
    <t>ISCO 8 code</t>
  </si>
  <si>
    <t>2267 &amp; 3254</t>
  </si>
  <si>
    <t>5321, 5322, 5329</t>
  </si>
  <si>
    <t xml:space="preserve">Generalist Medical Practitioners </t>
  </si>
  <si>
    <t xml:space="preserve">Specialist Medical Practitioners </t>
  </si>
  <si>
    <t xml:space="preserve">Nursing Professionals </t>
  </si>
  <si>
    <t xml:space="preserve">Midwifery Professionals </t>
  </si>
  <si>
    <t xml:space="preserve">Dentists </t>
  </si>
  <si>
    <t xml:space="preserve">Pharmacists </t>
  </si>
  <si>
    <t xml:space="preserve">Pharmaceutical Technicians and Assistants </t>
  </si>
  <si>
    <t xml:space="preserve">Nursing Associate Professionals </t>
  </si>
  <si>
    <t xml:space="preserve">Midwifery Associate Professionals </t>
  </si>
  <si>
    <t xml:space="preserve">Dental Assistants and Therapists </t>
  </si>
  <si>
    <t xml:space="preserve">Medical Doctors </t>
  </si>
  <si>
    <t xml:space="preserve">Midwifery personnel </t>
  </si>
  <si>
    <t xml:space="preserve">Nursing Personnel </t>
  </si>
  <si>
    <t>2230 &amp; 3230</t>
  </si>
  <si>
    <t>2263 &amp; 3257</t>
  </si>
  <si>
    <t>2264 &amp; 3255</t>
  </si>
  <si>
    <t>2635 &amp; 3412</t>
  </si>
  <si>
    <t>Number of that 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</si>
</sst>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0"/>
    <numFmt numFmtId="165" formatCode="####.000"/>
    <numFmt numFmtId="166" formatCode="#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vertAlign val="superscript"/>
      <sz val="9"/>
      <color indexed="8"/>
      <name val="Arial"/>
      <family val="2"/>
    </font>
    <font>
      <b/>
      <sz val="11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 style="thick">
        <color indexed="8"/>
      </top>
      <bottom style="thick">
        <color indexed="8"/>
      </bottom>
      <diagonal/>
    </border>
    <border>
      <left style="thin">
        <color indexed="8"/>
      </left>
      <right/>
      <top style="thick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8"/>
      </left>
      <right/>
      <top/>
      <bottom style="thick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ck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ck">
        <color indexed="8"/>
      </bottom>
      <diagonal/>
    </border>
    <border>
      <left style="medium">
        <color indexed="64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medium">
        <color indexed="64"/>
      </right>
      <top style="thick">
        <color indexed="8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79">
    <xf numFmtId="0" fontId="0" fillId="0" borderId="0" xfId="0"/>
    <xf numFmtId="0" fontId="3" fillId="0" borderId="1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3" fillId="0" borderId="0" xfId="0" applyFont="1"/>
    <xf numFmtId="0" fontId="5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1" xfId="0" applyBorder="1"/>
    <xf numFmtId="9" fontId="0" fillId="0" borderId="0" xfId="1" applyFont="1"/>
    <xf numFmtId="9" fontId="0" fillId="0" borderId="1" xfId="1" applyFont="1" applyBorder="1"/>
    <xf numFmtId="0" fontId="6" fillId="0" borderId="0" xfId="2"/>
    <xf numFmtId="0" fontId="8" fillId="0" borderId="6" xfId="2" applyFont="1" applyBorder="1" applyAlignment="1">
      <alignment horizontal="center" wrapText="1"/>
    </xf>
    <xf numFmtId="0" fontId="8" fillId="0" borderId="9" xfId="2" applyFont="1" applyBorder="1" applyAlignment="1">
      <alignment horizontal="left" vertical="top" wrapText="1"/>
    </xf>
    <xf numFmtId="164" fontId="8" fillId="0" borderId="10" xfId="2" applyNumberFormat="1" applyFont="1" applyBorder="1" applyAlignment="1">
      <alignment horizontal="right" vertical="top"/>
    </xf>
    <xf numFmtId="165" fontId="8" fillId="0" borderId="11" xfId="2" applyNumberFormat="1" applyFont="1" applyBorder="1" applyAlignment="1">
      <alignment horizontal="right" vertical="top"/>
    </xf>
    <xf numFmtId="0" fontId="8" fillId="0" borderId="11" xfId="2" applyFont="1" applyBorder="1" applyAlignment="1">
      <alignment horizontal="right" vertical="top"/>
    </xf>
    <xf numFmtId="0" fontId="8" fillId="0" borderId="13" xfId="2" applyFont="1" applyBorder="1" applyAlignment="1">
      <alignment horizontal="left" vertical="top" wrapText="1"/>
    </xf>
    <xf numFmtId="0" fontId="8" fillId="0" borderId="14" xfId="2" applyFont="1" applyBorder="1" applyAlignment="1">
      <alignment horizontal="right" vertical="top"/>
    </xf>
    <xf numFmtId="165" fontId="8" fillId="0" borderId="15" xfId="2" applyNumberFormat="1" applyFont="1" applyBorder="1" applyAlignment="1">
      <alignment horizontal="right" vertical="top"/>
    </xf>
    <xf numFmtId="166" fontId="8" fillId="0" borderId="14" xfId="2" applyNumberFormat="1" applyFont="1" applyBorder="1" applyAlignment="1">
      <alignment horizontal="right" vertical="top"/>
    </xf>
    <xf numFmtId="166" fontId="8" fillId="0" borderId="15" xfId="2" applyNumberFormat="1" applyFont="1" applyBorder="1" applyAlignment="1">
      <alignment horizontal="right" vertical="top"/>
    </xf>
    <xf numFmtId="165" fontId="8" fillId="0" borderId="14" xfId="2" applyNumberFormat="1" applyFont="1" applyBorder="1" applyAlignment="1">
      <alignment horizontal="right" vertical="top"/>
    </xf>
    <xf numFmtId="164" fontId="8" fillId="0" borderId="15" xfId="2" applyNumberFormat="1" applyFont="1" applyBorder="1" applyAlignment="1">
      <alignment horizontal="right" vertical="top"/>
    </xf>
    <xf numFmtId="0" fontId="8" fillId="0" borderId="15" xfId="2" applyFont="1" applyBorder="1" applyAlignment="1">
      <alignment horizontal="right" vertical="top"/>
    </xf>
    <xf numFmtId="0" fontId="8" fillId="0" borderId="18" xfId="2" applyFont="1" applyBorder="1" applyAlignment="1">
      <alignment horizontal="left" vertical="top" wrapText="1"/>
    </xf>
    <xf numFmtId="166" fontId="8" fillId="0" borderId="19" xfId="2" applyNumberFormat="1" applyFont="1" applyBorder="1" applyAlignment="1">
      <alignment horizontal="right" vertical="top"/>
    </xf>
    <xf numFmtId="166" fontId="8" fillId="0" borderId="20" xfId="2" applyNumberFormat="1" applyFont="1" applyBorder="1" applyAlignment="1">
      <alignment horizontal="right" vertical="top"/>
    </xf>
    <xf numFmtId="0" fontId="8" fillId="2" borderId="15" xfId="2" applyFont="1" applyFill="1" applyBorder="1" applyAlignment="1">
      <alignment horizontal="right" vertical="top"/>
    </xf>
    <xf numFmtId="165" fontId="8" fillId="2" borderId="15" xfId="2" applyNumberFormat="1" applyFont="1" applyFill="1" applyBorder="1" applyAlignment="1">
      <alignment horizontal="right" vertical="top"/>
    </xf>
    <xf numFmtId="0" fontId="8" fillId="3" borderId="15" xfId="2" applyFont="1" applyFill="1" applyBorder="1" applyAlignment="1">
      <alignment horizontal="right" vertical="top"/>
    </xf>
    <xf numFmtId="165" fontId="8" fillId="3" borderId="15" xfId="2" applyNumberFormat="1" applyFont="1" applyFill="1" applyBorder="1" applyAlignment="1">
      <alignment horizontal="right" vertical="top"/>
    </xf>
    <xf numFmtId="166" fontId="8" fillId="2" borderId="15" xfId="2" applyNumberFormat="1" applyFont="1" applyFill="1" applyBorder="1" applyAlignment="1">
      <alignment horizontal="right" vertical="top"/>
    </xf>
    <xf numFmtId="0" fontId="8" fillId="0" borderId="21" xfId="2" applyFont="1" applyBorder="1" applyAlignment="1">
      <alignment horizontal="left" vertical="top" wrapText="1"/>
    </xf>
    <xf numFmtId="166" fontId="8" fillId="0" borderId="23" xfId="2" applyNumberFormat="1" applyFont="1" applyBorder="1" applyAlignment="1">
      <alignment horizontal="right" vertical="top"/>
    </xf>
    <xf numFmtId="166" fontId="8" fillId="0" borderId="24" xfId="2" applyNumberFormat="1" applyFont="1" applyBorder="1" applyAlignment="1">
      <alignment horizontal="right" vertical="top"/>
    </xf>
    <xf numFmtId="0" fontId="8" fillId="0" borderId="25" xfId="2" applyFont="1" applyBorder="1" applyAlignment="1">
      <alignment horizontal="center" wrapText="1"/>
    </xf>
    <xf numFmtId="0" fontId="8" fillId="0" borderId="26" xfId="2" applyFont="1" applyBorder="1" applyAlignment="1">
      <alignment horizontal="right" vertical="top"/>
    </xf>
    <xf numFmtId="165" fontId="8" fillId="0" borderId="27" xfId="2" applyNumberFormat="1" applyFont="1" applyBorder="1" applyAlignment="1">
      <alignment horizontal="right" vertical="top"/>
    </xf>
    <xf numFmtId="166" fontId="8" fillId="0" borderId="27" xfId="2" applyNumberFormat="1" applyFont="1" applyBorder="1" applyAlignment="1">
      <alignment horizontal="right" vertical="top"/>
    </xf>
    <xf numFmtId="0" fontId="8" fillId="0" borderId="27" xfId="2" applyFont="1" applyBorder="1" applyAlignment="1">
      <alignment horizontal="right" vertical="top"/>
    </xf>
    <xf numFmtId="164" fontId="8" fillId="0" borderId="27" xfId="2" applyNumberFormat="1" applyFont="1" applyBorder="1" applyAlignment="1">
      <alignment horizontal="right" vertical="top"/>
    </xf>
    <xf numFmtId="166" fontId="8" fillId="0" borderId="28" xfId="2" applyNumberFormat="1" applyFont="1" applyBorder="1" applyAlignment="1">
      <alignment horizontal="right" vertical="top"/>
    </xf>
    <xf numFmtId="166" fontId="8" fillId="0" borderId="29" xfId="2" applyNumberFormat="1" applyFont="1" applyBorder="1" applyAlignment="1">
      <alignment horizontal="right" vertical="top"/>
    </xf>
    <xf numFmtId="165" fontId="8" fillId="0" borderId="33" xfId="2" applyNumberFormat="1" applyFont="1" applyBorder="1" applyAlignment="1">
      <alignment horizontal="right" vertical="top"/>
    </xf>
    <xf numFmtId="165" fontId="8" fillId="0" borderId="34" xfId="2" applyNumberFormat="1" applyFont="1" applyBorder="1" applyAlignment="1">
      <alignment horizontal="right" vertical="top"/>
    </xf>
    <xf numFmtId="165" fontId="8" fillId="0" borderId="35" xfId="2" applyNumberFormat="1" applyFont="1" applyBorder="1" applyAlignment="1">
      <alignment horizontal="right" vertical="top"/>
    </xf>
    <xf numFmtId="165" fontId="8" fillId="0" borderId="36" xfId="2" applyNumberFormat="1" applyFont="1" applyBorder="1" applyAlignment="1">
      <alignment horizontal="right" vertical="top"/>
    </xf>
    <xf numFmtId="166" fontId="8" fillId="0" borderId="35" xfId="2" applyNumberFormat="1" applyFont="1" applyBorder="1" applyAlignment="1">
      <alignment horizontal="right" vertical="top"/>
    </xf>
    <xf numFmtId="166" fontId="8" fillId="0" borderId="36" xfId="2" applyNumberFormat="1" applyFont="1" applyBorder="1" applyAlignment="1">
      <alignment horizontal="right" vertical="top"/>
    </xf>
    <xf numFmtId="0" fontId="8" fillId="0" borderId="35" xfId="2" applyFont="1" applyBorder="1" applyAlignment="1">
      <alignment horizontal="right" vertical="top"/>
    </xf>
    <xf numFmtId="0" fontId="8" fillId="0" borderId="36" xfId="2" applyFont="1" applyBorder="1" applyAlignment="1">
      <alignment horizontal="right" vertical="top"/>
    </xf>
    <xf numFmtId="166" fontId="8" fillId="0" borderId="37" xfId="2" applyNumberFormat="1" applyFont="1" applyBorder="1" applyAlignment="1">
      <alignment horizontal="right" vertical="top"/>
    </xf>
    <xf numFmtId="166" fontId="8" fillId="0" borderId="38" xfId="2" applyNumberFormat="1" applyFont="1" applyBorder="1" applyAlignment="1">
      <alignment horizontal="right" vertical="top"/>
    </xf>
    <xf numFmtId="164" fontId="8" fillId="0" borderId="35" xfId="2" applyNumberFormat="1" applyFont="1" applyBorder="1" applyAlignment="1">
      <alignment horizontal="right" vertical="top"/>
    </xf>
    <xf numFmtId="164" fontId="8" fillId="0" borderId="36" xfId="2" applyNumberFormat="1" applyFont="1" applyBorder="1" applyAlignment="1">
      <alignment horizontal="right" vertical="top"/>
    </xf>
    <xf numFmtId="0" fontId="8" fillId="4" borderId="30" xfId="2" applyFont="1" applyFill="1" applyBorder="1" applyAlignment="1">
      <alignment horizontal="center" wrapText="1"/>
    </xf>
    <xf numFmtId="0" fontId="8" fillId="4" borderId="31" xfId="2" applyFont="1" applyFill="1" applyBorder="1" applyAlignment="1">
      <alignment horizontal="center" wrapText="1"/>
    </xf>
    <xf numFmtId="0" fontId="8" fillId="4" borderId="32" xfId="2" applyFont="1" applyFill="1" applyBorder="1" applyAlignment="1">
      <alignment horizontal="center" wrapText="1"/>
    </xf>
    <xf numFmtId="0" fontId="8" fillId="5" borderId="5" xfId="2" applyFont="1" applyFill="1" applyBorder="1" applyAlignment="1">
      <alignment horizontal="center" wrapText="1"/>
    </xf>
    <xf numFmtId="0" fontId="8" fillId="5" borderId="6" xfId="2" applyFont="1" applyFill="1" applyBorder="1" applyAlignment="1">
      <alignment horizontal="center" wrapText="1"/>
    </xf>
    <xf numFmtId="0" fontId="10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0" fillId="0" borderId="0" xfId="0" applyFont="1" applyAlignment="1">
      <alignment horizontal="right"/>
    </xf>
    <xf numFmtId="0" fontId="2" fillId="0" borderId="0" xfId="0" applyFont="1"/>
    <xf numFmtId="0" fontId="7" fillId="0" borderId="0" xfId="2" applyFont="1" applyAlignment="1">
      <alignment horizontal="center" vertical="center" wrapText="1"/>
    </xf>
    <xf numFmtId="0" fontId="8" fillId="0" borderId="2" xfId="2" applyFont="1" applyBorder="1" applyAlignment="1">
      <alignment horizontal="left" wrapText="1"/>
    </xf>
    <xf numFmtId="0" fontId="8" fillId="0" borderId="3" xfId="2" applyFont="1" applyBorder="1" applyAlignment="1">
      <alignment horizontal="left" wrapText="1"/>
    </xf>
    <xf numFmtId="0" fontId="8" fillId="0" borderId="4" xfId="2" applyFont="1" applyBorder="1" applyAlignment="1">
      <alignment horizontal="left" wrapText="1"/>
    </xf>
    <xf numFmtId="0" fontId="8" fillId="0" borderId="7" xfId="2" applyFont="1" applyBorder="1" applyAlignment="1">
      <alignment horizontal="left" vertical="top" wrapText="1"/>
    </xf>
    <xf numFmtId="0" fontId="8" fillId="0" borderId="12" xfId="2" applyFont="1" applyBorder="1" applyAlignment="1">
      <alignment horizontal="left" vertical="top" wrapText="1"/>
    </xf>
    <xf numFmtId="0" fontId="8" fillId="0" borderId="16" xfId="2" applyFont="1" applyBorder="1" applyAlignment="1">
      <alignment horizontal="left" vertical="top" wrapText="1"/>
    </xf>
    <xf numFmtId="0" fontId="8" fillId="0" borderId="8" xfId="2" applyFont="1" applyBorder="1" applyAlignment="1">
      <alignment horizontal="left" vertical="top" wrapText="1"/>
    </xf>
    <xf numFmtId="0" fontId="8" fillId="0" borderId="0" xfId="2" applyFont="1" applyAlignment="1">
      <alignment horizontal="left" vertical="top" wrapText="1"/>
    </xf>
    <xf numFmtId="0" fontId="8" fillId="0" borderId="17" xfId="2" applyFont="1" applyBorder="1" applyAlignment="1">
      <alignment horizontal="left" vertical="top" wrapText="1"/>
    </xf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8" fillId="0" borderId="22" xfId="2" applyFont="1" applyBorder="1" applyAlignment="1">
      <alignment horizontal="left" vertical="top" wrapText="1"/>
    </xf>
  </cellXfs>
  <cellStyles count="4">
    <cellStyle name="Normal" xfId="0" builtinId="0"/>
    <cellStyle name="Normal 4" xfId="3" xr:uid="{856E4BC1-09CC-4A6F-884F-21C7205C6606}"/>
    <cellStyle name="Normal_Sheet6" xfId="2" xr:uid="{7C032242-BF50-42EE-BFD5-B167E2F5323C}"/>
    <cellStyle name="Percent" xfId="1" builtinId="5"/>
  </cellStyles>
  <dxfs count="9"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alignment horizontal="righ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2BBDC6-ACA8-4226-9343-8F1E6062F09E}" name="Table2" displayName="Table2" ref="A1:E49" totalsRowShown="0" headerRowDxfId="8">
  <autoFilter ref="A1:E49" xr:uid="{C62BBDC6-ACA8-4226-9343-8F1E6062F09E}"/>
  <tableColumns count="5">
    <tableColumn id="1" xr3:uid="{0E023124-63E5-4F5F-B5DE-8254F9FA3D99}" name="SNo"/>
    <tableColumn id="2" xr3:uid="{8F4C4EBA-B6DD-4DCD-B7E5-534EDF41987D}" name="Country"/>
    <tableColumn id="3" xr3:uid="{C44FA3F3-E253-442F-B1FB-D37F3362A1BF}" name="Number of cadres reported in 2013 "/>
    <tableColumn id="4" xr3:uid="{0BAC1523-1373-439A-9F8E-38B7CE3D0032}" name="Number of cadres reported in 2018"/>
    <tableColumn id="5" xr3:uid="{09F83C12-F7F7-4B45-A23B-D3F29AA7A418}" name="Number of cadres reported in 2022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8872CD-975D-4B6F-AA19-1793511E938B}" name="Table1" displayName="Table1" ref="A1:F35" totalsRowShown="0" headerRowDxfId="7" dataDxfId="6">
  <autoFilter ref="A1:F35" xr:uid="{668872CD-975D-4B6F-AA19-1793511E938B}"/>
  <sortState xmlns:xlrd2="http://schemas.microsoft.com/office/spreadsheetml/2017/richdata2" ref="A2:F35">
    <sortCondition ref="B2:B35"/>
  </sortState>
  <tableColumns count="6">
    <tableColumn id="1" xr3:uid="{B76BC208-7952-4FC6-80B5-1EE9EE6F4BB1}" name="S No." dataDxfId="5"/>
    <tableColumn id="6" xr3:uid="{7F7D9756-E8CA-4E47-93A0-B3DBF74CFAFA}" name="ISCO 8 code" dataDxfId="4"/>
    <tableColumn id="2" xr3:uid="{FF64EBEF-B72B-4D07-B9D6-CAEA31D24B4C}" name="Cadre" dataDxfId="3"/>
    <tableColumn id="3" xr3:uid="{A8B2D2C8-A6BF-4894-BA07-E875BB111A94}" name="Number of countries with 2013 data" dataDxfId="2"/>
    <tableColumn id="4" xr3:uid="{1D2A2D16-08A5-44F4-8B10-D718BCFFA75B}" name="Number of countries with 2018 data" dataDxfId="1"/>
    <tableColumn id="5" xr3:uid="{E21DC2D6-EE63-4E0F-8A90-B58F1E90A3EE}" name="Number of countries with 2022 data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B4FDB-2E10-4428-A870-1BA155A97A6C}">
  <dimension ref="A1:A33"/>
  <sheetViews>
    <sheetView topLeftCell="A25" workbookViewId="0">
      <selection activeCell="B37" sqref="B37"/>
    </sheetView>
  </sheetViews>
  <sheetFormatPr defaultRowHeight="14.5" x14ac:dyDescent="0.35"/>
  <cols>
    <col min="1" max="1" width="43.6328125" bestFit="1" customWidth="1"/>
  </cols>
  <sheetData>
    <row r="1" spans="1:1" x14ac:dyDescent="0.35">
      <c r="A1" s="1" t="s">
        <v>30</v>
      </c>
    </row>
    <row r="2" spans="1:1" x14ac:dyDescent="0.35">
      <c r="A2" s="1" t="s">
        <v>29</v>
      </c>
    </row>
    <row r="3" spans="1:1" x14ac:dyDescent="0.35">
      <c r="A3" s="1" t="s">
        <v>20</v>
      </c>
    </row>
    <row r="4" spans="1:1" x14ac:dyDescent="0.35">
      <c r="A4" s="1" t="s">
        <v>19</v>
      </c>
    </row>
    <row r="5" spans="1:1" x14ac:dyDescent="0.35">
      <c r="A5" s="1" t="s">
        <v>27</v>
      </c>
    </row>
    <row r="6" spans="1:1" x14ac:dyDescent="0.35">
      <c r="A6" s="1" t="s">
        <v>25</v>
      </c>
    </row>
    <row r="7" spans="1:1" x14ac:dyDescent="0.35">
      <c r="A7" s="1" t="s">
        <v>26</v>
      </c>
    </row>
    <row r="8" spans="1:1" x14ac:dyDescent="0.35">
      <c r="A8" s="1" t="s">
        <v>24</v>
      </c>
    </row>
    <row r="9" spans="1:1" x14ac:dyDescent="0.35">
      <c r="A9" s="1" t="s">
        <v>22</v>
      </c>
    </row>
    <row r="10" spans="1:1" x14ac:dyDescent="0.35">
      <c r="A10" s="1" t="s">
        <v>23</v>
      </c>
    </row>
    <row r="11" spans="1:1" x14ac:dyDescent="0.35">
      <c r="A11" s="1" t="s">
        <v>28</v>
      </c>
    </row>
    <row r="12" spans="1:1" x14ac:dyDescent="0.35">
      <c r="A12" s="1" t="s">
        <v>32</v>
      </c>
    </row>
    <row r="13" spans="1:1" x14ac:dyDescent="0.35">
      <c r="A13" s="1" t="s">
        <v>31</v>
      </c>
    </row>
    <row r="14" spans="1:1" x14ac:dyDescent="0.35">
      <c r="A14" s="1" t="s">
        <v>21</v>
      </c>
    </row>
    <row r="15" spans="1:1" x14ac:dyDescent="0.35">
      <c r="A15" s="1" t="s">
        <v>17</v>
      </c>
    </row>
    <row r="16" spans="1:1" x14ac:dyDescent="0.35">
      <c r="A16" s="1" t="s">
        <v>0</v>
      </c>
    </row>
    <row r="17" spans="1:1" x14ac:dyDescent="0.35">
      <c r="A17" s="1" t="s">
        <v>1</v>
      </c>
    </row>
    <row r="18" spans="1:1" x14ac:dyDescent="0.35">
      <c r="A18" s="1" t="s">
        <v>2</v>
      </c>
    </row>
    <row r="19" spans="1:1" x14ac:dyDescent="0.35">
      <c r="A19" s="1" t="s">
        <v>4</v>
      </c>
    </row>
    <row r="20" spans="1:1" x14ac:dyDescent="0.35">
      <c r="A20" s="1" t="s">
        <v>5</v>
      </c>
    </row>
    <row r="21" spans="1:1" x14ac:dyDescent="0.35">
      <c r="A21" s="1" t="s">
        <v>6</v>
      </c>
    </row>
    <row r="22" spans="1:1" x14ac:dyDescent="0.35">
      <c r="A22" s="1" t="s">
        <v>13</v>
      </c>
    </row>
    <row r="23" spans="1:1" x14ac:dyDescent="0.35">
      <c r="A23" s="1" t="s">
        <v>7</v>
      </c>
    </row>
    <row r="24" spans="1:1" x14ac:dyDescent="0.35">
      <c r="A24" s="1" t="s">
        <v>8</v>
      </c>
    </row>
    <row r="25" spans="1:1" x14ac:dyDescent="0.35">
      <c r="A25" s="1" t="s">
        <v>9</v>
      </c>
    </row>
    <row r="26" spans="1:1" x14ac:dyDescent="0.35">
      <c r="A26" s="1" t="s">
        <v>10</v>
      </c>
    </row>
    <row r="27" spans="1:1" x14ac:dyDescent="0.35">
      <c r="A27" s="1" t="s">
        <v>11</v>
      </c>
    </row>
    <row r="28" spans="1:1" x14ac:dyDescent="0.35">
      <c r="A28" s="1" t="s">
        <v>12</v>
      </c>
    </row>
    <row r="29" spans="1:1" x14ac:dyDescent="0.35">
      <c r="A29" s="1" t="s">
        <v>14</v>
      </c>
    </row>
    <row r="30" spans="1:1" x14ac:dyDescent="0.35">
      <c r="A30" s="1" t="s">
        <v>3</v>
      </c>
    </row>
    <row r="31" spans="1:1" x14ac:dyDescent="0.35">
      <c r="A31" s="1" t="s">
        <v>15</v>
      </c>
    </row>
    <row r="32" spans="1:1" x14ac:dyDescent="0.35">
      <c r="A32" s="1" t="s">
        <v>16</v>
      </c>
    </row>
    <row r="33" spans="1:1" x14ac:dyDescent="0.35">
      <c r="A33" s="1" t="s">
        <v>18</v>
      </c>
    </row>
  </sheetData>
  <sortState xmlns:xlrd2="http://schemas.microsoft.com/office/spreadsheetml/2017/richdata2" ref="A1:A33">
    <sortCondition ref="A1:A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F3336-975C-4AD1-A0BA-07B20C535455}">
  <dimension ref="A1:J49"/>
  <sheetViews>
    <sheetView topLeftCell="A32" workbookViewId="0">
      <selection activeCell="G40" sqref="G40"/>
    </sheetView>
  </sheetViews>
  <sheetFormatPr defaultRowHeight="14.5" x14ac:dyDescent="0.35"/>
  <cols>
    <col min="1" max="1" width="6.08984375" customWidth="1"/>
    <col min="2" max="2" width="26.90625" bestFit="1" customWidth="1"/>
    <col min="3" max="3" width="16.36328125" customWidth="1"/>
    <col min="4" max="4" width="17.26953125" customWidth="1"/>
    <col min="5" max="5" width="17.81640625" customWidth="1"/>
  </cols>
  <sheetData>
    <row r="1" spans="1:10" s="2" customFormat="1" ht="58" x14ac:dyDescent="0.35">
      <c r="A1" s="2" t="s">
        <v>88</v>
      </c>
      <c r="B1" s="2" t="s">
        <v>81</v>
      </c>
      <c r="C1" s="2" t="s">
        <v>89</v>
      </c>
      <c r="D1" s="2" t="s">
        <v>90</v>
      </c>
      <c r="E1" s="2" t="s">
        <v>91</v>
      </c>
    </row>
    <row r="2" spans="1:10" x14ac:dyDescent="0.35">
      <c r="A2">
        <v>1</v>
      </c>
      <c r="B2" t="s">
        <v>33</v>
      </c>
      <c r="C2">
        <v>5</v>
      </c>
      <c r="D2">
        <v>30</v>
      </c>
      <c r="E2">
        <v>30</v>
      </c>
      <c r="H2">
        <f>Table2[[#This Row],[Number of cadres reported in 2013 ]]/33</f>
        <v>0.15151515151515152</v>
      </c>
      <c r="I2">
        <f>Table2[[#This Row],[Number of cadres reported in 2018]]/33</f>
        <v>0.90909090909090906</v>
      </c>
      <c r="J2">
        <f>Table2[[#This Row],[Number of cadres reported in 2022]]/33</f>
        <v>0.90909090909090906</v>
      </c>
    </row>
    <row r="3" spans="1:10" x14ac:dyDescent="0.35">
      <c r="A3">
        <v>2</v>
      </c>
      <c r="B3" t="s">
        <v>34</v>
      </c>
      <c r="C3">
        <v>4</v>
      </c>
      <c r="D3">
        <v>28</v>
      </c>
      <c r="E3">
        <v>32</v>
      </c>
      <c r="H3">
        <f>Table2[[#This Row],[Number of cadres reported in 2013 ]]/33</f>
        <v>0.12121212121212122</v>
      </c>
      <c r="I3">
        <f>Table2[[#This Row],[Number of cadres reported in 2018]]/33</f>
        <v>0.84848484848484851</v>
      </c>
      <c r="J3">
        <f>Table2[[#This Row],[Number of cadres reported in 2022]]/33</f>
        <v>0.96969696969696972</v>
      </c>
    </row>
    <row r="4" spans="1:10" x14ac:dyDescent="0.35">
      <c r="A4">
        <v>3</v>
      </c>
      <c r="B4" t="s">
        <v>35</v>
      </c>
      <c r="C4">
        <v>9</v>
      </c>
      <c r="D4">
        <v>25</v>
      </c>
      <c r="E4">
        <v>26</v>
      </c>
      <c r="H4">
        <f>Table2[[#This Row],[Number of cadres reported in 2013 ]]/33</f>
        <v>0.27272727272727271</v>
      </c>
      <c r="I4">
        <f>Table2[[#This Row],[Number of cadres reported in 2018]]/33</f>
        <v>0.75757575757575757</v>
      </c>
      <c r="J4">
        <f>Table2[[#This Row],[Number of cadres reported in 2022]]/33</f>
        <v>0.78787878787878785</v>
      </c>
    </row>
    <row r="5" spans="1:10" x14ac:dyDescent="0.35">
      <c r="A5">
        <v>4</v>
      </c>
      <c r="B5" t="s">
        <v>36</v>
      </c>
      <c r="C5">
        <v>8</v>
      </c>
      <c r="D5">
        <v>25</v>
      </c>
      <c r="E5">
        <v>25</v>
      </c>
      <c r="H5">
        <f>Table2[[#This Row],[Number of cadres reported in 2013 ]]/33</f>
        <v>0.24242424242424243</v>
      </c>
      <c r="I5">
        <f>Table2[[#This Row],[Number of cadres reported in 2018]]/33</f>
        <v>0.75757575757575757</v>
      </c>
      <c r="J5">
        <f>Table2[[#This Row],[Number of cadres reported in 2022]]/33</f>
        <v>0.75757575757575757</v>
      </c>
    </row>
    <row r="6" spans="1:10" x14ac:dyDescent="0.35">
      <c r="A6">
        <v>5</v>
      </c>
      <c r="B6" t="s">
        <v>37</v>
      </c>
      <c r="C6">
        <v>13</v>
      </c>
      <c r="D6">
        <v>30</v>
      </c>
      <c r="E6">
        <v>32</v>
      </c>
      <c r="H6">
        <f>Table2[[#This Row],[Number of cadres reported in 2013 ]]/33</f>
        <v>0.39393939393939392</v>
      </c>
      <c r="I6">
        <f>Table2[[#This Row],[Number of cadres reported in 2018]]/33</f>
        <v>0.90909090909090906</v>
      </c>
      <c r="J6">
        <f>Table2[[#This Row],[Number of cadres reported in 2022]]/33</f>
        <v>0.96969696969696972</v>
      </c>
    </row>
    <row r="7" spans="1:10" x14ac:dyDescent="0.35">
      <c r="A7">
        <v>6</v>
      </c>
      <c r="B7" t="s">
        <v>38</v>
      </c>
      <c r="C7">
        <v>11</v>
      </c>
      <c r="D7">
        <v>25</v>
      </c>
      <c r="E7">
        <v>27</v>
      </c>
      <c r="H7">
        <f>Table2[[#This Row],[Number of cadres reported in 2013 ]]/33</f>
        <v>0.33333333333333331</v>
      </c>
      <c r="I7">
        <f>Table2[[#This Row],[Number of cadres reported in 2018]]/33</f>
        <v>0.75757575757575757</v>
      </c>
      <c r="J7">
        <f>Table2[[#This Row],[Number of cadres reported in 2022]]/33</f>
        <v>0.81818181818181823</v>
      </c>
    </row>
    <row r="8" spans="1:10" x14ac:dyDescent="0.35">
      <c r="A8">
        <v>7</v>
      </c>
      <c r="B8" t="s">
        <v>39</v>
      </c>
      <c r="C8">
        <v>7</v>
      </c>
      <c r="D8">
        <v>16</v>
      </c>
      <c r="E8">
        <v>33</v>
      </c>
      <c r="H8">
        <f>Table2[[#This Row],[Number of cadres reported in 2013 ]]/33</f>
        <v>0.21212121212121213</v>
      </c>
      <c r="I8">
        <f>Table2[[#This Row],[Number of cadres reported in 2018]]/33</f>
        <v>0.48484848484848486</v>
      </c>
      <c r="J8">
        <f>Table2[[#This Row],[Number of cadres reported in 2022]]/33</f>
        <v>1</v>
      </c>
    </row>
    <row r="9" spans="1:10" x14ac:dyDescent="0.35">
      <c r="A9">
        <v>8</v>
      </c>
      <c r="B9" t="s">
        <v>40</v>
      </c>
      <c r="C9">
        <v>4</v>
      </c>
      <c r="D9">
        <v>29</v>
      </c>
      <c r="E9">
        <v>29</v>
      </c>
      <c r="H9">
        <f>Table2[[#This Row],[Number of cadres reported in 2013 ]]/33</f>
        <v>0.12121212121212122</v>
      </c>
      <c r="I9">
        <f>Table2[[#This Row],[Number of cadres reported in 2018]]/33</f>
        <v>0.87878787878787878</v>
      </c>
      <c r="J9">
        <f>Table2[[#This Row],[Number of cadres reported in 2022]]/33</f>
        <v>0.87878787878787878</v>
      </c>
    </row>
    <row r="10" spans="1:10" x14ac:dyDescent="0.35">
      <c r="A10">
        <v>9</v>
      </c>
      <c r="B10" t="s">
        <v>41</v>
      </c>
      <c r="C10">
        <v>10</v>
      </c>
      <c r="D10">
        <v>26</v>
      </c>
      <c r="E10">
        <v>27</v>
      </c>
      <c r="H10">
        <f>Table2[[#This Row],[Number of cadres reported in 2013 ]]/33</f>
        <v>0.30303030303030304</v>
      </c>
      <c r="I10">
        <f>Table2[[#This Row],[Number of cadres reported in 2018]]/33</f>
        <v>0.78787878787878785</v>
      </c>
      <c r="J10">
        <f>Table2[[#This Row],[Number of cadres reported in 2022]]/33</f>
        <v>0.81818181818181823</v>
      </c>
    </row>
    <row r="11" spans="1:10" x14ac:dyDescent="0.35">
      <c r="A11">
        <v>10</v>
      </c>
      <c r="B11" t="s">
        <v>42</v>
      </c>
      <c r="C11">
        <v>6</v>
      </c>
      <c r="D11">
        <v>28</v>
      </c>
      <c r="E11">
        <v>30</v>
      </c>
      <c r="H11">
        <f>Table2[[#This Row],[Number of cadres reported in 2013 ]]/33</f>
        <v>0.18181818181818182</v>
      </c>
      <c r="I11">
        <f>Table2[[#This Row],[Number of cadres reported in 2018]]/33</f>
        <v>0.84848484848484851</v>
      </c>
      <c r="J11">
        <f>Table2[[#This Row],[Number of cadres reported in 2022]]/33</f>
        <v>0.90909090909090906</v>
      </c>
    </row>
    <row r="12" spans="1:10" x14ac:dyDescent="0.35">
      <c r="A12">
        <v>11</v>
      </c>
      <c r="B12" t="s">
        <v>43</v>
      </c>
      <c r="C12">
        <v>8</v>
      </c>
      <c r="D12">
        <v>17</v>
      </c>
      <c r="E12">
        <v>17</v>
      </c>
      <c r="H12">
        <f>Table2[[#This Row],[Number of cadres reported in 2013 ]]/33</f>
        <v>0.24242424242424243</v>
      </c>
      <c r="I12">
        <f>Table2[[#This Row],[Number of cadres reported in 2018]]/33</f>
        <v>0.51515151515151514</v>
      </c>
      <c r="J12">
        <f>Table2[[#This Row],[Number of cadres reported in 2022]]/33</f>
        <v>0.51515151515151514</v>
      </c>
    </row>
    <row r="13" spans="1:10" x14ac:dyDescent="0.35">
      <c r="A13">
        <v>12</v>
      </c>
      <c r="B13" t="s">
        <v>44</v>
      </c>
      <c r="C13">
        <v>8</v>
      </c>
      <c r="D13">
        <v>20</v>
      </c>
      <c r="E13">
        <v>21</v>
      </c>
      <c r="H13">
        <f>Table2[[#This Row],[Number of cadres reported in 2013 ]]/33</f>
        <v>0.24242424242424243</v>
      </c>
      <c r="I13">
        <f>Table2[[#This Row],[Number of cadres reported in 2018]]/33</f>
        <v>0.60606060606060608</v>
      </c>
      <c r="J13">
        <f>Table2[[#This Row],[Number of cadres reported in 2022]]/33</f>
        <v>0.63636363636363635</v>
      </c>
    </row>
    <row r="14" spans="1:10" x14ac:dyDescent="0.35">
      <c r="A14">
        <v>13</v>
      </c>
      <c r="B14" t="s">
        <v>45</v>
      </c>
      <c r="C14">
        <v>17</v>
      </c>
      <c r="D14">
        <v>28</v>
      </c>
      <c r="E14">
        <v>29</v>
      </c>
      <c r="H14">
        <f>Table2[[#This Row],[Number of cadres reported in 2013 ]]/33</f>
        <v>0.51515151515151514</v>
      </c>
      <c r="I14">
        <f>Table2[[#This Row],[Number of cadres reported in 2018]]/33</f>
        <v>0.84848484848484851</v>
      </c>
      <c r="J14">
        <f>Table2[[#This Row],[Number of cadres reported in 2022]]/33</f>
        <v>0.87878787878787878</v>
      </c>
    </row>
    <row r="15" spans="1:10" x14ac:dyDescent="0.35">
      <c r="A15">
        <v>14</v>
      </c>
      <c r="B15" t="s">
        <v>46</v>
      </c>
      <c r="C15">
        <v>11</v>
      </c>
      <c r="D15">
        <v>21</v>
      </c>
      <c r="E15">
        <v>21</v>
      </c>
      <c r="H15">
        <f>Table2[[#This Row],[Number of cadres reported in 2013 ]]/33</f>
        <v>0.33333333333333331</v>
      </c>
      <c r="I15">
        <f>Table2[[#This Row],[Number of cadres reported in 2018]]/33</f>
        <v>0.63636363636363635</v>
      </c>
      <c r="J15">
        <f>Table2[[#This Row],[Number of cadres reported in 2022]]/33</f>
        <v>0.63636363636363635</v>
      </c>
    </row>
    <row r="16" spans="1:10" x14ac:dyDescent="0.35">
      <c r="A16">
        <v>15</v>
      </c>
      <c r="B16" t="s">
        <v>47</v>
      </c>
      <c r="C16">
        <v>2</v>
      </c>
      <c r="D16">
        <v>13</v>
      </c>
      <c r="E16">
        <v>19</v>
      </c>
      <c r="H16">
        <f>Table2[[#This Row],[Number of cadres reported in 2013 ]]/33</f>
        <v>6.0606060606060608E-2</v>
      </c>
      <c r="I16">
        <f>Table2[[#This Row],[Number of cadres reported in 2018]]/33</f>
        <v>0.39393939393939392</v>
      </c>
      <c r="J16">
        <f>Table2[[#This Row],[Number of cadres reported in 2022]]/33</f>
        <v>0.5757575757575758</v>
      </c>
    </row>
    <row r="17" spans="1:10" x14ac:dyDescent="0.35">
      <c r="A17">
        <v>16</v>
      </c>
      <c r="B17" t="s">
        <v>48</v>
      </c>
      <c r="C17">
        <v>4</v>
      </c>
      <c r="D17">
        <v>20</v>
      </c>
      <c r="E17">
        <v>23</v>
      </c>
      <c r="H17">
        <f>Table2[[#This Row],[Number of cadres reported in 2013 ]]/33</f>
        <v>0.12121212121212122</v>
      </c>
      <c r="I17">
        <f>Table2[[#This Row],[Number of cadres reported in 2018]]/33</f>
        <v>0.60606060606060608</v>
      </c>
      <c r="J17">
        <f>Table2[[#This Row],[Number of cadres reported in 2022]]/33</f>
        <v>0.69696969696969702</v>
      </c>
    </row>
    <row r="18" spans="1:10" x14ac:dyDescent="0.35">
      <c r="A18">
        <v>17</v>
      </c>
      <c r="B18" t="s">
        <v>49</v>
      </c>
      <c r="C18">
        <v>5</v>
      </c>
      <c r="D18">
        <v>29</v>
      </c>
      <c r="E18">
        <v>32</v>
      </c>
      <c r="H18">
        <f>Table2[[#This Row],[Number of cadres reported in 2013 ]]/33</f>
        <v>0.15151515151515152</v>
      </c>
      <c r="I18">
        <f>Table2[[#This Row],[Number of cadres reported in 2018]]/33</f>
        <v>0.87878787878787878</v>
      </c>
      <c r="J18">
        <f>Table2[[#This Row],[Number of cadres reported in 2022]]/33</f>
        <v>0.96969696969696972</v>
      </c>
    </row>
    <row r="19" spans="1:10" x14ac:dyDescent="0.35">
      <c r="A19">
        <v>18</v>
      </c>
      <c r="B19" t="s">
        <v>50</v>
      </c>
      <c r="C19">
        <v>4</v>
      </c>
      <c r="D19">
        <v>27</v>
      </c>
      <c r="E19">
        <v>28</v>
      </c>
      <c r="H19">
        <f>Table2[[#This Row],[Number of cadres reported in 2013 ]]/33</f>
        <v>0.12121212121212122</v>
      </c>
      <c r="I19">
        <f>Table2[[#This Row],[Number of cadres reported in 2018]]/33</f>
        <v>0.81818181818181823</v>
      </c>
      <c r="J19">
        <f>Table2[[#This Row],[Number of cadres reported in 2022]]/33</f>
        <v>0.84848484848484851</v>
      </c>
    </row>
    <row r="20" spans="1:10" x14ac:dyDescent="0.35">
      <c r="A20">
        <v>19</v>
      </c>
      <c r="B20" t="s">
        <v>51</v>
      </c>
      <c r="C20">
        <v>4</v>
      </c>
      <c r="D20">
        <v>33</v>
      </c>
      <c r="E20">
        <v>33</v>
      </c>
      <c r="H20">
        <f>Table2[[#This Row],[Number of cadres reported in 2013 ]]/33</f>
        <v>0.12121212121212122</v>
      </c>
      <c r="I20">
        <f>Table2[[#This Row],[Number of cadres reported in 2018]]/33</f>
        <v>1</v>
      </c>
      <c r="J20">
        <f>Table2[[#This Row],[Number of cadres reported in 2022]]/33</f>
        <v>1</v>
      </c>
    </row>
    <row r="21" spans="1:10" x14ac:dyDescent="0.35">
      <c r="A21">
        <v>20</v>
      </c>
      <c r="B21" t="s">
        <v>52</v>
      </c>
      <c r="C21">
        <v>16</v>
      </c>
      <c r="D21">
        <v>23</v>
      </c>
      <c r="E21">
        <v>25</v>
      </c>
      <c r="H21">
        <f>Table2[[#This Row],[Number of cadres reported in 2013 ]]/33</f>
        <v>0.48484848484848486</v>
      </c>
      <c r="I21">
        <f>Table2[[#This Row],[Number of cadres reported in 2018]]/33</f>
        <v>0.69696969696969702</v>
      </c>
      <c r="J21">
        <f>Table2[[#This Row],[Number of cadres reported in 2022]]/33</f>
        <v>0.75757575757575757</v>
      </c>
    </row>
    <row r="22" spans="1:10" x14ac:dyDescent="0.35">
      <c r="A22">
        <v>21</v>
      </c>
      <c r="B22" t="s">
        <v>53</v>
      </c>
      <c r="C22">
        <v>12</v>
      </c>
      <c r="D22">
        <v>28</v>
      </c>
      <c r="E22">
        <v>31</v>
      </c>
      <c r="H22">
        <f>Table2[[#This Row],[Number of cadres reported in 2013 ]]/33</f>
        <v>0.36363636363636365</v>
      </c>
      <c r="I22">
        <f>Table2[[#This Row],[Number of cadres reported in 2018]]/33</f>
        <v>0.84848484848484851</v>
      </c>
      <c r="J22">
        <f>Table2[[#This Row],[Number of cadres reported in 2022]]/33</f>
        <v>0.93939393939393945</v>
      </c>
    </row>
    <row r="23" spans="1:10" x14ac:dyDescent="0.35">
      <c r="A23">
        <v>22</v>
      </c>
      <c r="B23" t="s">
        <v>54</v>
      </c>
      <c r="C23">
        <v>8</v>
      </c>
      <c r="D23">
        <v>19</v>
      </c>
      <c r="E23">
        <v>20</v>
      </c>
      <c r="H23">
        <f>Table2[[#This Row],[Number of cadres reported in 2013 ]]/33</f>
        <v>0.24242424242424243</v>
      </c>
      <c r="I23">
        <f>Table2[[#This Row],[Number of cadres reported in 2018]]/33</f>
        <v>0.5757575757575758</v>
      </c>
      <c r="J23">
        <f>Table2[[#This Row],[Number of cadres reported in 2022]]/33</f>
        <v>0.60606060606060608</v>
      </c>
    </row>
    <row r="24" spans="1:10" x14ac:dyDescent="0.35">
      <c r="A24">
        <v>23</v>
      </c>
      <c r="B24" t="s">
        <v>55</v>
      </c>
      <c r="C24">
        <v>8</v>
      </c>
      <c r="D24">
        <v>29</v>
      </c>
      <c r="E24">
        <v>29</v>
      </c>
      <c r="H24">
        <f>Table2[[#This Row],[Number of cadres reported in 2013 ]]/33</f>
        <v>0.24242424242424243</v>
      </c>
      <c r="I24">
        <f>Table2[[#This Row],[Number of cadres reported in 2018]]/33</f>
        <v>0.87878787878787878</v>
      </c>
      <c r="J24">
        <f>Table2[[#This Row],[Number of cadres reported in 2022]]/33</f>
        <v>0.87878787878787878</v>
      </c>
    </row>
    <row r="25" spans="1:10" x14ac:dyDescent="0.35">
      <c r="A25">
        <v>24</v>
      </c>
      <c r="B25" t="s">
        <v>56</v>
      </c>
      <c r="C25">
        <v>9</v>
      </c>
      <c r="D25">
        <v>18</v>
      </c>
      <c r="E25">
        <v>25</v>
      </c>
      <c r="H25">
        <f>Table2[[#This Row],[Number of cadres reported in 2013 ]]/33</f>
        <v>0.27272727272727271</v>
      </c>
      <c r="I25">
        <f>Table2[[#This Row],[Number of cadres reported in 2018]]/33</f>
        <v>0.54545454545454541</v>
      </c>
      <c r="J25">
        <f>Table2[[#This Row],[Number of cadres reported in 2022]]/33</f>
        <v>0.75757575757575757</v>
      </c>
    </row>
    <row r="26" spans="1:10" x14ac:dyDescent="0.35">
      <c r="A26">
        <v>25</v>
      </c>
      <c r="B26" t="s">
        <v>57</v>
      </c>
      <c r="C26">
        <v>2</v>
      </c>
      <c r="D26">
        <v>29</v>
      </c>
      <c r="E26">
        <v>29</v>
      </c>
      <c r="H26">
        <f>Table2[[#This Row],[Number of cadres reported in 2013 ]]/33</f>
        <v>6.0606060606060608E-2</v>
      </c>
      <c r="I26">
        <f>Table2[[#This Row],[Number of cadres reported in 2018]]/33</f>
        <v>0.87878787878787878</v>
      </c>
      <c r="J26">
        <f>Table2[[#This Row],[Number of cadres reported in 2022]]/33</f>
        <v>0.87878787878787878</v>
      </c>
    </row>
    <row r="27" spans="1:10" x14ac:dyDescent="0.35">
      <c r="A27">
        <v>26</v>
      </c>
      <c r="B27" t="s">
        <v>58</v>
      </c>
      <c r="C27">
        <v>4</v>
      </c>
      <c r="D27">
        <v>24</v>
      </c>
      <c r="E27">
        <v>24</v>
      </c>
      <c r="H27">
        <f>Table2[[#This Row],[Number of cadres reported in 2013 ]]/33</f>
        <v>0.12121212121212122</v>
      </c>
      <c r="I27">
        <f>Table2[[#This Row],[Number of cadres reported in 2018]]/33</f>
        <v>0.72727272727272729</v>
      </c>
      <c r="J27">
        <f>Table2[[#This Row],[Number of cadres reported in 2022]]/33</f>
        <v>0.72727272727272729</v>
      </c>
    </row>
    <row r="28" spans="1:10" x14ac:dyDescent="0.35">
      <c r="A28">
        <v>27</v>
      </c>
      <c r="B28" t="s">
        <v>59</v>
      </c>
      <c r="C28">
        <v>9</v>
      </c>
      <c r="D28">
        <v>25</v>
      </c>
      <c r="E28">
        <v>25</v>
      </c>
      <c r="H28">
        <f>Table2[[#This Row],[Number of cadres reported in 2013 ]]/33</f>
        <v>0.27272727272727271</v>
      </c>
      <c r="I28">
        <f>Table2[[#This Row],[Number of cadres reported in 2018]]/33</f>
        <v>0.75757575757575757</v>
      </c>
      <c r="J28">
        <f>Table2[[#This Row],[Number of cadres reported in 2022]]/33</f>
        <v>0.75757575757575757</v>
      </c>
    </row>
    <row r="29" spans="1:10" x14ac:dyDescent="0.35">
      <c r="A29">
        <v>28</v>
      </c>
      <c r="B29" t="s">
        <v>60</v>
      </c>
      <c r="C29">
        <v>6</v>
      </c>
      <c r="D29">
        <v>23</v>
      </c>
      <c r="E29">
        <v>29</v>
      </c>
      <c r="H29">
        <f>Table2[[#This Row],[Number of cadres reported in 2013 ]]/33</f>
        <v>0.18181818181818182</v>
      </c>
      <c r="I29">
        <f>Table2[[#This Row],[Number of cadres reported in 2018]]/33</f>
        <v>0.69696969696969702</v>
      </c>
      <c r="J29">
        <f>Table2[[#This Row],[Number of cadres reported in 2022]]/33</f>
        <v>0.87878787878787878</v>
      </c>
    </row>
    <row r="30" spans="1:10" x14ac:dyDescent="0.35">
      <c r="A30">
        <v>29</v>
      </c>
      <c r="B30" t="s">
        <v>61</v>
      </c>
      <c r="C30">
        <v>5</v>
      </c>
      <c r="D30">
        <v>23</v>
      </c>
      <c r="E30">
        <v>23</v>
      </c>
      <c r="H30">
        <f>Table2[[#This Row],[Number of cadres reported in 2013 ]]/33</f>
        <v>0.15151515151515152</v>
      </c>
      <c r="I30">
        <f>Table2[[#This Row],[Number of cadres reported in 2018]]/33</f>
        <v>0.69696969696969702</v>
      </c>
      <c r="J30">
        <f>Table2[[#This Row],[Number of cadres reported in 2022]]/33</f>
        <v>0.69696969696969702</v>
      </c>
    </row>
    <row r="31" spans="1:10" x14ac:dyDescent="0.35">
      <c r="A31">
        <v>30</v>
      </c>
      <c r="B31" t="s">
        <v>62</v>
      </c>
      <c r="C31">
        <v>6</v>
      </c>
      <c r="D31">
        <v>26</v>
      </c>
      <c r="E31">
        <v>26</v>
      </c>
      <c r="H31">
        <f>Table2[[#This Row],[Number of cadres reported in 2013 ]]/33</f>
        <v>0.18181818181818182</v>
      </c>
      <c r="I31">
        <f>Table2[[#This Row],[Number of cadres reported in 2018]]/33</f>
        <v>0.78787878787878785</v>
      </c>
      <c r="J31">
        <f>Table2[[#This Row],[Number of cadres reported in 2022]]/33</f>
        <v>0.78787878787878785</v>
      </c>
    </row>
    <row r="32" spans="1:10" x14ac:dyDescent="0.35">
      <c r="A32">
        <v>31</v>
      </c>
      <c r="B32" t="s">
        <v>63</v>
      </c>
      <c r="C32">
        <v>4</v>
      </c>
      <c r="D32">
        <v>26</v>
      </c>
      <c r="E32">
        <v>30</v>
      </c>
      <c r="H32">
        <f>Table2[[#This Row],[Number of cadres reported in 2013 ]]/33</f>
        <v>0.12121212121212122</v>
      </c>
      <c r="I32">
        <f>Table2[[#This Row],[Number of cadres reported in 2018]]/33</f>
        <v>0.78787878787878785</v>
      </c>
      <c r="J32">
        <f>Table2[[#This Row],[Number of cadres reported in 2022]]/33</f>
        <v>0.90909090909090906</v>
      </c>
    </row>
    <row r="33" spans="1:10" x14ac:dyDescent="0.35">
      <c r="A33">
        <v>32</v>
      </c>
      <c r="B33" t="s">
        <v>64</v>
      </c>
      <c r="C33">
        <v>17</v>
      </c>
      <c r="D33">
        <v>28</v>
      </c>
      <c r="E33">
        <v>31</v>
      </c>
      <c r="H33">
        <f>Table2[[#This Row],[Number of cadres reported in 2013 ]]/33</f>
        <v>0.51515151515151514</v>
      </c>
      <c r="I33">
        <f>Table2[[#This Row],[Number of cadres reported in 2018]]/33</f>
        <v>0.84848484848484851</v>
      </c>
      <c r="J33">
        <f>Table2[[#This Row],[Number of cadres reported in 2022]]/33</f>
        <v>0.93939393939393945</v>
      </c>
    </row>
    <row r="34" spans="1:10" x14ac:dyDescent="0.35">
      <c r="A34">
        <v>33</v>
      </c>
      <c r="B34" t="s">
        <v>65</v>
      </c>
      <c r="C34">
        <v>4</v>
      </c>
      <c r="D34">
        <v>28</v>
      </c>
      <c r="E34">
        <v>31</v>
      </c>
      <c r="H34">
        <f>Table2[[#This Row],[Number of cadres reported in 2013 ]]/33</f>
        <v>0.12121212121212122</v>
      </c>
      <c r="I34">
        <f>Table2[[#This Row],[Number of cadres reported in 2018]]/33</f>
        <v>0.84848484848484851</v>
      </c>
      <c r="J34">
        <f>Table2[[#This Row],[Number of cadres reported in 2022]]/33</f>
        <v>0.93939393939393945</v>
      </c>
    </row>
    <row r="35" spans="1:10" x14ac:dyDescent="0.35">
      <c r="A35">
        <v>34</v>
      </c>
      <c r="B35" t="s">
        <v>66</v>
      </c>
      <c r="C35">
        <v>8</v>
      </c>
      <c r="D35">
        <v>24</v>
      </c>
      <c r="E35">
        <v>26</v>
      </c>
      <c r="H35">
        <f>Table2[[#This Row],[Number of cadres reported in 2013 ]]/33</f>
        <v>0.24242424242424243</v>
      </c>
      <c r="I35">
        <f>Table2[[#This Row],[Number of cadres reported in 2018]]/33</f>
        <v>0.72727272727272729</v>
      </c>
      <c r="J35">
        <f>Table2[[#This Row],[Number of cadres reported in 2022]]/33</f>
        <v>0.78787878787878785</v>
      </c>
    </row>
    <row r="36" spans="1:10" x14ac:dyDescent="0.35">
      <c r="A36">
        <v>35</v>
      </c>
      <c r="B36" t="s">
        <v>67</v>
      </c>
      <c r="C36">
        <v>7</v>
      </c>
      <c r="D36">
        <v>26</v>
      </c>
      <c r="E36">
        <v>26</v>
      </c>
      <c r="H36">
        <f>Table2[[#This Row],[Number of cadres reported in 2013 ]]/33</f>
        <v>0.21212121212121213</v>
      </c>
      <c r="I36">
        <f>Table2[[#This Row],[Number of cadres reported in 2018]]/33</f>
        <v>0.78787878787878785</v>
      </c>
      <c r="J36">
        <f>Table2[[#This Row],[Number of cadres reported in 2022]]/33</f>
        <v>0.78787878787878785</v>
      </c>
    </row>
    <row r="37" spans="1:10" x14ac:dyDescent="0.35">
      <c r="A37">
        <v>36</v>
      </c>
      <c r="B37" t="s">
        <v>68</v>
      </c>
      <c r="C37">
        <v>13</v>
      </c>
      <c r="D37">
        <v>18</v>
      </c>
      <c r="E37">
        <v>20</v>
      </c>
      <c r="H37">
        <f>Table2[[#This Row],[Number of cadres reported in 2013 ]]/33</f>
        <v>0.39393939393939392</v>
      </c>
      <c r="I37">
        <f>Table2[[#This Row],[Number of cadres reported in 2018]]/33</f>
        <v>0.54545454545454541</v>
      </c>
      <c r="J37">
        <f>Table2[[#This Row],[Number of cadres reported in 2022]]/33</f>
        <v>0.60606060606060608</v>
      </c>
    </row>
    <row r="38" spans="1:10" x14ac:dyDescent="0.35">
      <c r="A38">
        <v>37</v>
      </c>
      <c r="B38" t="s">
        <v>69</v>
      </c>
      <c r="C38">
        <v>6</v>
      </c>
      <c r="D38">
        <v>14</v>
      </c>
      <c r="E38">
        <v>14</v>
      </c>
      <c r="H38">
        <f>Table2[[#This Row],[Number of cadres reported in 2013 ]]/33</f>
        <v>0.18181818181818182</v>
      </c>
      <c r="I38">
        <f>Table2[[#This Row],[Number of cadres reported in 2018]]/33</f>
        <v>0.42424242424242425</v>
      </c>
      <c r="J38">
        <f>Table2[[#This Row],[Number of cadres reported in 2022]]/33</f>
        <v>0.42424242424242425</v>
      </c>
    </row>
    <row r="39" spans="1:10" x14ac:dyDescent="0.35">
      <c r="A39">
        <v>38</v>
      </c>
      <c r="B39" t="s">
        <v>70</v>
      </c>
      <c r="C39">
        <v>15</v>
      </c>
      <c r="D39">
        <v>31</v>
      </c>
      <c r="E39">
        <v>32</v>
      </c>
      <c r="H39">
        <f>Table2[[#This Row],[Number of cadres reported in 2013 ]]/33</f>
        <v>0.45454545454545453</v>
      </c>
      <c r="I39">
        <f>Table2[[#This Row],[Number of cadres reported in 2018]]/33</f>
        <v>0.93939393939393945</v>
      </c>
      <c r="J39">
        <f>Table2[[#This Row],[Number of cadres reported in 2022]]/33</f>
        <v>0.96969696969696972</v>
      </c>
    </row>
    <row r="40" spans="1:10" x14ac:dyDescent="0.35">
      <c r="A40">
        <v>39</v>
      </c>
      <c r="B40" t="s">
        <v>71</v>
      </c>
      <c r="C40">
        <v>4</v>
      </c>
      <c r="D40">
        <v>20</v>
      </c>
      <c r="E40">
        <v>24</v>
      </c>
      <c r="H40">
        <f>Table2[[#This Row],[Number of cadres reported in 2013 ]]/33</f>
        <v>0.12121212121212122</v>
      </c>
      <c r="I40">
        <f>Table2[[#This Row],[Number of cadres reported in 2018]]/33</f>
        <v>0.60606060606060608</v>
      </c>
      <c r="J40">
        <f>Table2[[#This Row],[Number of cadres reported in 2022]]/33</f>
        <v>0.72727272727272729</v>
      </c>
    </row>
    <row r="41" spans="1:10" x14ac:dyDescent="0.35">
      <c r="A41">
        <v>40</v>
      </c>
      <c r="B41" t="s">
        <v>72</v>
      </c>
      <c r="C41">
        <v>8</v>
      </c>
      <c r="D41">
        <v>25</v>
      </c>
      <c r="E41">
        <v>26</v>
      </c>
      <c r="H41">
        <f>Table2[[#This Row],[Number of cadres reported in 2013 ]]/33</f>
        <v>0.24242424242424243</v>
      </c>
      <c r="I41">
        <f>Table2[[#This Row],[Number of cadres reported in 2018]]/33</f>
        <v>0.75757575757575757</v>
      </c>
      <c r="J41">
        <f>Table2[[#This Row],[Number of cadres reported in 2022]]/33</f>
        <v>0.78787878787878785</v>
      </c>
    </row>
    <row r="42" spans="1:10" x14ac:dyDescent="0.35">
      <c r="A42">
        <v>41</v>
      </c>
      <c r="B42" t="s">
        <v>73</v>
      </c>
      <c r="C42">
        <v>12</v>
      </c>
      <c r="D42">
        <v>25</v>
      </c>
      <c r="E42">
        <v>28</v>
      </c>
      <c r="H42">
        <f>Table2[[#This Row],[Number of cadres reported in 2013 ]]/33</f>
        <v>0.36363636363636365</v>
      </c>
      <c r="I42">
        <f>Table2[[#This Row],[Number of cadres reported in 2018]]/33</f>
        <v>0.75757575757575757</v>
      </c>
      <c r="J42">
        <f>Table2[[#This Row],[Number of cadres reported in 2022]]/33</f>
        <v>0.84848484848484851</v>
      </c>
    </row>
    <row r="43" spans="1:10" x14ac:dyDescent="0.35">
      <c r="A43">
        <v>42</v>
      </c>
      <c r="B43" t="s">
        <v>74</v>
      </c>
      <c r="D43">
        <v>27</v>
      </c>
      <c r="E43">
        <v>27</v>
      </c>
      <c r="H43">
        <f>Table2[[#This Row],[Number of cadres reported in 2013 ]]/33</f>
        <v>0</v>
      </c>
      <c r="I43">
        <f>Table2[[#This Row],[Number of cadres reported in 2018]]/33</f>
        <v>0.81818181818181823</v>
      </c>
      <c r="J43">
        <f>Table2[[#This Row],[Number of cadres reported in 2022]]/33</f>
        <v>0.81818181818181823</v>
      </c>
    </row>
    <row r="44" spans="1:10" x14ac:dyDescent="0.35">
      <c r="A44">
        <v>43</v>
      </c>
      <c r="B44" t="s">
        <v>75</v>
      </c>
      <c r="C44">
        <v>16</v>
      </c>
      <c r="D44">
        <v>26</v>
      </c>
      <c r="E44">
        <v>27</v>
      </c>
      <c r="H44">
        <f>Table2[[#This Row],[Number of cadres reported in 2013 ]]/33</f>
        <v>0.48484848484848486</v>
      </c>
      <c r="I44">
        <f>Table2[[#This Row],[Number of cadres reported in 2018]]/33</f>
        <v>0.78787878787878785</v>
      </c>
      <c r="J44">
        <f>Table2[[#This Row],[Number of cadres reported in 2022]]/33</f>
        <v>0.81818181818181823</v>
      </c>
    </row>
    <row r="45" spans="1:10" x14ac:dyDescent="0.35">
      <c r="A45">
        <v>44</v>
      </c>
      <c r="B45" t="s">
        <v>76</v>
      </c>
      <c r="C45">
        <v>11</v>
      </c>
      <c r="D45">
        <v>32</v>
      </c>
      <c r="E45">
        <v>32</v>
      </c>
      <c r="H45">
        <f>Table2[[#This Row],[Number of cadres reported in 2013 ]]/33</f>
        <v>0.33333333333333331</v>
      </c>
      <c r="I45">
        <f>Table2[[#This Row],[Number of cadres reported in 2018]]/33</f>
        <v>0.96969696969696972</v>
      </c>
      <c r="J45">
        <f>Table2[[#This Row],[Number of cadres reported in 2022]]/33</f>
        <v>0.96969696969696972</v>
      </c>
    </row>
    <row r="46" spans="1:10" x14ac:dyDescent="0.35">
      <c r="A46">
        <v>45</v>
      </c>
      <c r="B46" t="s">
        <v>77</v>
      </c>
      <c r="C46">
        <v>16</v>
      </c>
      <c r="D46">
        <v>23</v>
      </c>
      <c r="E46">
        <v>24</v>
      </c>
      <c r="H46">
        <f>Table2[[#This Row],[Number of cadres reported in 2013 ]]/33</f>
        <v>0.48484848484848486</v>
      </c>
      <c r="I46">
        <f>Table2[[#This Row],[Number of cadres reported in 2018]]/33</f>
        <v>0.69696969696969702</v>
      </c>
      <c r="J46">
        <f>Table2[[#This Row],[Number of cadres reported in 2022]]/33</f>
        <v>0.72727272727272729</v>
      </c>
    </row>
    <row r="47" spans="1:10" x14ac:dyDescent="0.35">
      <c r="A47">
        <v>46</v>
      </c>
      <c r="B47" t="s">
        <v>78</v>
      </c>
      <c r="C47">
        <v>12</v>
      </c>
      <c r="D47">
        <v>24</v>
      </c>
      <c r="E47">
        <v>27</v>
      </c>
      <c r="H47">
        <f>Table2[[#This Row],[Number of cadres reported in 2013 ]]/33</f>
        <v>0.36363636363636365</v>
      </c>
      <c r="I47">
        <f>Table2[[#This Row],[Number of cadres reported in 2018]]/33</f>
        <v>0.72727272727272729</v>
      </c>
      <c r="J47">
        <f>Table2[[#This Row],[Number of cadres reported in 2022]]/33</f>
        <v>0.81818181818181823</v>
      </c>
    </row>
    <row r="48" spans="1:10" x14ac:dyDescent="0.35">
      <c r="A48">
        <v>47</v>
      </c>
      <c r="B48" t="s">
        <v>79</v>
      </c>
      <c r="C48">
        <v>20</v>
      </c>
      <c r="D48">
        <v>30</v>
      </c>
      <c r="E48">
        <v>33</v>
      </c>
      <c r="H48">
        <f>Table2[[#This Row],[Number of cadres reported in 2013 ]]/33</f>
        <v>0.60606060606060608</v>
      </c>
      <c r="I48">
        <f>Table2[[#This Row],[Number of cadres reported in 2018]]/33</f>
        <v>0.90909090909090906</v>
      </c>
      <c r="J48">
        <f>Table2[[#This Row],[Number of cadres reported in 2022]]/33</f>
        <v>1</v>
      </c>
    </row>
    <row r="49" spans="1:5" x14ac:dyDescent="0.35">
      <c r="A49">
        <v>48</v>
      </c>
      <c r="B49" t="s">
        <v>92</v>
      </c>
      <c r="C49">
        <v>398</v>
      </c>
      <c r="D49">
        <v>1164</v>
      </c>
      <c r="E49">
        <v>1258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5AE2A-70F0-4C77-8E43-7E8C106C1AFC}">
  <dimension ref="A1:F35"/>
  <sheetViews>
    <sheetView workbookViewId="0">
      <selection activeCell="K15" sqref="K15"/>
    </sheetView>
  </sheetViews>
  <sheetFormatPr defaultRowHeight="14.5" x14ac:dyDescent="0.35"/>
  <cols>
    <col min="1" max="1" width="7.36328125" bestFit="1" customWidth="1"/>
    <col min="2" max="2" width="13.6328125" style="63" bestFit="1" customWidth="1"/>
    <col min="3" max="3" width="43.6328125" bestFit="1" customWidth="1"/>
    <col min="4" max="4" width="15.1796875" customWidth="1"/>
    <col min="5" max="5" width="15.6328125" customWidth="1"/>
  </cols>
  <sheetData>
    <row r="1" spans="1:6" s="2" customFormat="1" ht="87" x14ac:dyDescent="0.35">
      <c r="A1" s="2" t="s">
        <v>82</v>
      </c>
      <c r="B1" s="3" t="s">
        <v>310</v>
      </c>
      <c r="C1" s="2" t="s">
        <v>83</v>
      </c>
      <c r="D1" s="3" t="s">
        <v>85</v>
      </c>
      <c r="E1" s="3" t="s">
        <v>86</v>
      </c>
      <c r="F1" s="3" t="s">
        <v>87</v>
      </c>
    </row>
    <row r="2" spans="1:6" x14ac:dyDescent="0.35">
      <c r="A2" s="4">
        <v>1</v>
      </c>
      <c r="B2" s="62"/>
      <c r="C2" s="61" t="s">
        <v>323</v>
      </c>
      <c r="D2" s="61">
        <v>32</v>
      </c>
      <c r="E2" s="61">
        <v>47</v>
      </c>
      <c r="F2" s="61">
        <v>47</v>
      </c>
    </row>
    <row r="3" spans="1:6" x14ac:dyDescent="0.35">
      <c r="A3" s="4">
        <v>1.1000000000000001</v>
      </c>
      <c r="B3" s="62">
        <v>2211</v>
      </c>
      <c r="C3" s="4" t="s">
        <v>313</v>
      </c>
      <c r="D3" s="4">
        <v>5</v>
      </c>
      <c r="E3" s="4">
        <v>47</v>
      </c>
      <c r="F3" s="4">
        <v>47</v>
      </c>
    </row>
    <row r="4" spans="1:6" x14ac:dyDescent="0.35">
      <c r="A4" s="4">
        <v>1.2</v>
      </c>
      <c r="B4" s="62">
        <v>2212</v>
      </c>
      <c r="C4" s="4" t="s">
        <v>314</v>
      </c>
      <c r="D4" s="4">
        <v>8</v>
      </c>
      <c r="E4" s="4">
        <v>45</v>
      </c>
      <c r="F4" s="4">
        <v>47</v>
      </c>
    </row>
    <row r="5" spans="1:6" x14ac:dyDescent="0.35">
      <c r="A5" s="4">
        <v>2</v>
      </c>
      <c r="B5" s="62"/>
      <c r="C5" s="61" t="s">
        <v>325</v>
      </c>
      <c r="D5" s="61">
        <v>37</v>
      </c>
      <c r="E5" s="61">
        <v>47</v>
      </c>
      <c r="F5" s="61">
        <v>47</v>
      </c>
    </row>
    <row r="6" spans="1:6" x14ac:dyDescent="0.35">
      <c r="A6" s="4">
        <v>2.1</v>
      </c>
      <c r="B6" s="62">
        <v>2221</v>
      </c>
      <c r="C6" s="4" t="s">
        <v>315</v>
      </c>
      <c r="D6" s="4">
        <v>16</v>
      </c>
      <c r="E6" s="4">
        <v>47</v>
      </c>
      <c r="F6" s="4">
        <v>47</v>
      </c>
    </row>
    <row r="7" spans="1:6" x14ac:dyDescent="0.35">
      <c r="A7" s="4">
        <v>2.2000000000000002</v>
      </c>
      <c r="B7" s="62">
        <v>3221</v>
      </c>
      <c r="C7" s="4" t="s">
        <v>320</v>
      </c>
      <c r="D7" s="4">
        <v>16</v>
      </c>
      <c r="E7" s="4">
        <v>37</v>
      </c>
      <c r="F7" s="4">
        <v>39</v>
      </c>
    </row>
    <row r="8" spans="1:6" x14ac:dyDescent="0.35">
      <c r="A8" s="4">
        <v>3</v>
      </c>
      <c r="B8" s="62"/>
      <c r="C8" s="61" t="s">
        <v>324</v>
      </c>
      <c r="D8" s="61">
        <v>34</v>
      </c>
      <c r="E8" s="61">
        <v>42</v>
      </c>
      <c r="F8" s="61">
        <v>44</v>
      </c>
    </row>
    <row r="9" spans="1:6" x14ac:dyDescent="0.35">
      <c r="A9" s="4">
        <v>3.1</v>
      </c>
      <c r="B9" s="62">
        <v>2222</v>
      </c>
      <c r="C9" s="4" t="s">
        <v>316</v>
      </c>
      <c r="D9" s="4">
        <v>30</v>
      </c>
      <c r="E9" s="4">
        <v>41</v>
      </c>
      <c r="F9" s="4">
        <v>42</v>
      </c>
    </row>
    <row r="10" spans="1:6" x14ac:dyDescent="0.35">
      <c r="A10" s="4">
        <v>3.2</v>
      </c>
      <c r="B10" s="62">
        <v>3222</v>
      </c>
      <c r="C10" s="4" t="s">
        <v>321</v>
      </c>
      <c r="D10" s="4">
        <v>14</v>
      </c>
      <c r="E10" s="4">
        <v>26</v>
      </c>
      <c r="F10" s="4">
        <v>27</v>
      </c>
    </row>
    <row r="11" spans="1:6" x14ac:dyDescent="0.35">
      <c r="A11" s="4">
        <v>4</v>
      </c>
      <c r="B11" s="62" t="s">
        <v>326</v>
      </c>
      <c r="C11" s="4" t="s">
        <v>18</v>
      </c>
      <c r="D11" s="4">
        <v>7</v>
      </c>
      <c r="E11" s="4">
        <v>21</v>
      </c>
      <c r="F11" s="4">
        <v>26</v>
      </c>
    </row>
    <row r="12" spans="1:6" x14ac:dyDescent="0.35">
      <c r="A12" s="4">
        <v>5</v>
      </c>
      <c r="B12" s="62">
        <v>2240</v>
      </c>
      <c r="C12" s="4" t="s">
        <v>14</v>
      </c>
      <c r="D12" s="4">
        <v>6</v>
      </c>
      <c r="E12" s="4">
        <v>30</v>
      </c>
      <c r="F12" s="4">
        <v>33</v>
      </c>
    </row>
    <row r="13" spans="1:6" x14ac:dyDescent="0.35">
      <c r="A13" s="4">
        <v>6</v>
      </c>
      <c r="B13" s="62">
        <v>2261</v>
      </c>
      <c r="C13" s="4" t="s">
        <v>317</v>
      </c>
      <c r="D13" s="4">
        <v>21</v>
      </c>
      <c r="E13" s="4">
        <v>46</v>
      </c>
      <c r="F13" s="4">
        <v>46</v>
      </c>
    </row>
    <row r="14" spans="1:6" x14ac:dyDescent="0.35">
      <c r="A14" s="4">
        <v>7</v>
      </c>
      <c r="B14" s="62">
        <v>2262</v>
      </c>
      <c r="C14" s="4" t="s">
        <v>318</v>
      </c>
      <c r="D14" s="4">
        <v>27</v>
      </c>
      <c r="E14" s="4">
        <v>47</v>
      </c>
      <c r="F14" s="4">
        <v>47</v>
      </c>
    </row>
    <row r="15" spans="1:6" x14ac:dyDescent="0.35">
      <c r="A15" s="4">
        <v>8</v>
      </c>
      <c r="B15" s="62" t="s">
        <v>327</v>
      </c>
      <c r="C15" s="4" t="s">
        <v>2</v>
      </c>
      <c r="D15" s="4">
        <v>26</v>
      </c>
      <c r="E15" s="4">
        <v>44</v>
      </c>
      <c r="F15" s="4">
        <v>47</v>
      </c>
    </row>
    <row r="16" spans="1:6" x14ac:dyDescent="0.35">
      <c r="A16" s="4">
        <v>9</v>
      </c>
      <c r="B16" s="62" t="s">
        <v>328</v>
      </c>
      <c r="C16" s="4" t="s">
        <v>15</v>
      </c>
      <c r="D16" s="4">
        <v>11</v>
      </c>
      <c r="E16" s="4">
        <v>36</v>
      </c>
      <c r="F16" s="4">
        <v>40</v>
      </c>
    </row>
    <row r="17" spans="1:6" x14ac:dyDescent="0.35">
      <c r="A17" s="4">
        <v>10</v>
      </c>
      <c r="B17" s="62">
        <v>2265</v>
      </c>
      <c r="C17" s="4" t="s">
        <v>1</v>
      </c>
      <c r="D17" s="4">
        <v>21</v>
      </c>
      <c r="E17" s="4">
        <v>34</v>
      </c>
      <c r="F17" s="4">
        <v>40</v>
      </c>
    </row>
    <row r="18" spans="1:6" x14ac:dyDescent="0.35">
      <c r="A18" s="4">
        <v>11</v>
      </c>
      <c r="B18" s="62">
        <v>2266</v>
      </c>
      <c r="C18" s="4" t="s">
        <v>17</v>
      </c>
      <c r="D18" s="4">
        <v>1</v>
      </c>
      <c r="E18" s="4">
        <v>8</v>
      </c>
      <c r="F18" s="4">
        <v>20</v>
      </c>
    </row>
    <row r="19" spans="1:6" x14ac:dyDescent="0.35">
      <c r="A19" s="4">
        <v>12</v>
      </c>
      <c r="B19" s="62" t="s">
        <v>311</v>
      </c>
      <c r="C19" s="4" t="s">
        <v>10</v>
      </c>
      <c r="D19" s="4">
        <v>6</v>
      </c>
      <c r="E19" s="4">
        <v>32</v>
      </c>
      <c r="F19" s="4">
        <v>34</v>
      </c>
    </row>
    <row r="20" spans="1:6" x14ac:dyDescent="0.35">
      <c r="A20" s="4">
        <v>13</v>
      </c>
      <c r="B20" s="62">
        <v>2634</v>
      </c>
      <c r="C20" s="4" t="s">
        <v>31</v>
      </c>
      <c r="D20" s="4"/>
      <c r="E20" s="4">
        <v>12</v>
      </c>
      <c r="F20" s="4">
        <v>23</v>
      </c>
    </row>
    <row r="21" spans="1:6" x14ac:dyDescent="0.35">
      <c r="A21" s="4">
        <v>14</v>
      </c>
      <c r="B21" s="62" t="s">
        <v>329</v>
      </c>
      <c r="C21" s="4" t="s">
        <v>16</v>
      </c>
      <c r="D21" s="4">
        <v>7</v>
      </c>
      <c r="E21" s="4">
        <v>11</v>
      </c>
      <c r="F21" s="4">
        <v>18</v>
      </c>
    </row>
    <row r="22" spans="1:6" x14ac:dyDescent="0.35">
      <c r="A22" s="4">
        <v>15</v>
      </c>
      <c r="B22" s="62">
        <v>3211</v>
      </c>
      <c r="C22" s="4" t="s">
        <v>8</v>
      </c>
      <c r="D22" s="4">
        <v>13</v>
      </c>
      <c r="E22" s="4">
        <v>42</v>
      </c>
      <c r="F22" s="4">
        <v>42</v>
      </c>
    </row>
    <row r="23" spans="1:6" x14ac:dyDescent="0.35">
      <c r="A23" s="4">
        <v>16</v>
      </c>
      <c r="B23" s="62">
        <v>3212</v>
      </c>
      <c r="C23" s="4" t="s">
        <v>13</v>
      </c>
      <c r="D23" s="4">
        <v>14</v>
      </c>
      <c r="E23" s="4">
        <v>42</v>
      </c>
      <c r="F23" s="4">
        <v>43</v>
      </c>
    </row>
    <row r="24" spans="1:6" x14ac:dyDescent="0.35">
      <c r="A24" s="4">
        <v>17</v>
      </c>
      <c r="B24" s="62">
        <v>3213</v>
      </c>
      <c r="C24" s="4" t="s">
        <v>319</v>
      </c>
      <c r="D24" s="4">
        <v>12</v>
      </c>
      <c r="E24" s="4">
        <v>40</v>
      </c>
      <c r="F24" s="4">
        <v>44</v>
      </c>
    </row>
    <row r="25" spans="1:6" x14ac:dyDescent="0.35">
      <c r="A25" s="4">
        <v>18</v>
      </c>
      <c r="B25" s="62">
        <v>3214</v>
      </c>
      <c r="C25" s="4" t="s">
        <v>5</v>
      </c>
      <c r="D25" s="4">
        <v>8</v>
      </c>
      <c r="E25" s="4">
        <v>34</v>
      </c>
      <c r="F25" s="4">
        <v>38</v>
      </c>
    </row>
    <row r="26" spans="1:6" x14ac:dyDescent="0.35">
      <c r="A26" s="4">
        <v>19</v>
      </c>
      <c r="B26" s="62">
        <v>3251</v>
      </c>
      <c r="C26" s="4" t="s">
        <v>322</v>
      </c>
      <c r="D26" s="4">
        <v>6</v>
      </c>
      <c r="E26" s="4">
        <v>35</v>
      </c>
      <c r="F26" s="4">
        <v>38</v>
      </c>
    </row>
    <row r="27" spans="1:6" x14ac:dyDescent="0.35">
      <c r="A27" s="4">
        <v>20</v>
      </c>
      <c r="B27" s="62">
        <v>3252</v>
      </c>
      <c r="C27" s="4" t="s">
        <v>9</v>
      </c>
      <c r="D27" s="4">
        <v>1</v>
      </c>
      <c r="E27" s="4">
        <v>32</v>
      </c>
      <c r="F27" s="4">
        <v>33</v>
      </c>
    </row>
    <row r="28" spans="1:6" x14ac:dyDescent="0.35">
      <c r="A28" s="4">
        <v>21</v>
      </c>
      <c r="B28" s="62">
        <v>3253</v>
      </c>
      <c r="C28" s="4" t="s">
        <v>0</v>
      </c>
      <c r="D28" s="4">
        <v>9</v>
      </c>
      <c r="E28" s="4">
        <v>36</v>
      </c>
      <c r="F28" s="4">
        <v>40</v>
      </c>
    </row>
    <row r="29" spans="1:6" x14ac:dyDescent="0.35">
      <c r="A29" s="4">
        <v>22</v>
      </c>
      <c r="B29" s="62">
        <v>3256</v>
      </c>
      <c r="C29" s="4" t="s">
        <v>7</v>
      </c>
      <c r="D29" s="4"/>
      <c r="E29" s="4">
        <v>26</v>
      </c>
      <c r="F29" s="4">
        <v>29</v>
      </c>
    </row>
    <row r="30" spans="1:6" x14ac:dyDescent="0.35">
      <c r="A30" s="4">
        <v>23</v>
      </c>
      <c r="B30" s="62" t="s">
        <v>312</v>
      </c>
      <c r="C30" s="4" t="s">
        <v>3</v>
      </c>
      <c r="D30" s="4"/>
      <c r="E30" s="4">
        <v>32</v>
      </c>
      <c r="F30" s="4">
        <v>35</v>
      </c>
    </row>
    <row r="31" spans="1:6" x14ac:dyDescent="0.35">
      <c r="A31" s="4">
        <v>24</v>
      </c>
      <c r="B31" s="62">
        <v>1342</v>
      </c>
      <c r="C31" s="4" t="s">
        <v>4</v>
      </c>
      <c r="D31" s="4">
        <v>1</v>
      </c>
      <c r="E31" s="4">
        <v>36</v>
      </c>
      <c r="F31" s="4">
        <v>38</v>
      </c>
    </row>
    <row r="32" spans="1:6" x14ac:dyDescent="0.35">
      <c r="A32" s="4">
        <v>25</v>
      </c>
      <c r="B32" s="62"/>
      <c r="C32" s="4" t="s">
        <v>6</v>
      </c>
      <c r="D32" s="4">
        <v>9</v>
      </c>
      <c r="E32" s="4">
        <v>46</v>
      </c>
      <c r="F32" s="4">
        <v>47</v>
      </c>
    </row>
    <row r="33" spans="1:6" x14ac:dyDescent="0.35">
      <c r="A33" s="4">
        <v>26</v>
      </c>
      <c r="B33" s="62"/>
      <c r="C33" s="4" t="s">
        <v>11</v>
      </c>
      <c r="D33" s="4"/>
      <c r="E33" s="4">
        <v>34</v>
      </c>
      <c r="F33" s="4">
        <v>36</v>
      </c>
    </row>
    <row r="34" spans="1:6" x14ac:dyDescent="0.35">
      <c r="A34" s="4">
        <v>27</v>
      </c>
      <c r="B34" s="62"/>
      <c r="C34" s="4" t="s">
        <v>12</v>
      </c>
      <c r="D34" s="4"/>
      <c r="E34" s="4">
        <v>29</v>
      </c>
      <c r="F34" s="4">
        <v>34</v>
      </c>
    </row>
    <row r="35" spans="1:6" s="65" customFormat="1" x14ac:dyDescent="0.35">
      <c r="A35" s="61"/>
      <c r="B35" s="64"/>
      <c r="C35" s="61" t="s">
        <v>84</v>
      </c>
      <c r="D35" s="61">
        <v>398</v>
      </c>
      <c r="E35" s="61">
        <v>1164</v>
      </c>
      <c r="F35" s="61">
        <v>1258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C8921-0259-4069-90D1-E6E6A28C6412}">
  <dimension ref="A1:S49"/>
  <sheetViews>
    <sheetView topLeftCell="I1" workbookViewId="0">
      <selection activeCell="P2" sqref="P2:Q2"/>
    </sheetView>
  </sheetViews>
  <sheetFormatPr defaultRowHeight="14.5" x14ac:dyDescent="0.35"/>
  <cols>
    <col min="2" max="2" width="18" customWidth="1"/>
    <col min="7" max="7" width="4.08984375" bestFit="1" customWidth="1"/>
    <col min="8" max="8" width="27.7265625" customWidth="1"/>
    <col min="9" max="9" width="16.26953125" customWidth="1"/>
    <col min="10" max="10" width="14" customWidth="1"/>
    <col min="11" max="11" width="14.1796875" customWidth="1"/>
    <col min="12" max="12" width="11.90625" customWidth="1"/>
    <col min="14" max="14" width="4.08984375" bestFit="1" customWidth="1"/>
    <col min="15" max="15" width="50.26953125" bestFit="1" customWidth="1"/>
  </cols>
  <sheetData>
    <row r="1" spans="1:19" s="2" customFormat="1" ht="58" x14ac:dyDescent="0.35">
      <c r="A1" s="2" t="s">
        <v>81</v>
      </c>
      <c r="B1" s="5" t="s">
        <v>93</v>
      </c>
      <c r="C1" s="5" t="s">
        <v>94</v>
      </c>
      <c r="D1" s="5" t="s">
        <v>94</v>
      </c>
      <c r="G1" s="6" t="s">
        <v>88</v>
      </c>
      <c r="H1" s="6" t="s">
        <v>81</v>
      </c>
      <c r="I1" s="7" t="s">
        <v>93</v>
      </c>
      <c r="J1" s="7" t="s">
        <v>94</v>
      </c>
      <c r="K1" s="7" t="s">
        <v>94</v>
      </c>
      <c r="L1" s="6" t="s">
        <v>96</v>
      </c>
      <c r="N1" s="6" t="s">
        <v>88</v>
      </c>
      <c r="O1" s="6" t="s">
        <v>83</v>
      </c>
      <c r="P1" s="7" t="s">
        <v>97</v>
      </c>
      <c r="Q1" s="7" t="s">
        <v>98</v>
      </c>
      <c r="R1" s="7" t="s">
        <v>330</v>
      </c>
      <c r="S1" s="6" t="s">
        <v>99</v>
      </c>
    </row>
    <row r="2" spans="1:19" x14ac:dyDescent="0.35">
      <c r="A2" t="s">
        <v>33</v>
      </c>
      <c r="B2">
        <v>24</v>
      </c>
      <c r="C2">
        <v>9</v>
      </c>
      <c r="D2">
        <v>33</v>
      </c>
      <c r="G2" s="8">
        <v>1</v>
      </c>
      <c r="H2" s="8" t="s">
        <v>33</v>
      </c>
      <c r="I2" s="8">
        <v>21</v>
      </c>
      <c r="J2" s="8">
        <v>9</v>
      </c>
      <c r="K2" s="8">
        <v>30</v>
      </c>
      <c r="L2" s="10">
        <f>J2/K2</f>
        <v>0.3</v>
      </c>
      <c r="N2" s="8">
        <v>1</v>
      </c>
      <c r="O2" s="8" t="s">
        <v>30</v>
      </c>
      <c r="P2" s="8">
        <v>22</v>
      </c>
      <c r="Q2" s="8">
        <v>16</v>
      </c>
      <c r="R2" s="8">
        <v>38</v>
      </c>
      <c r="S2" s="10">
        <f>Q2/R2</f>
        <v>0.42105263157894735</v>
      </c>
    </row>
    <row r="3" spans="1:19" x14ac:dyDescent="0.35">
      <c r="A3" t="s">
        <v>34</v>
      </c>
      <c r="B3">
        <v>17</v>
      </c>
      <c r="C3">
        <v>16</v>
      </c>
      <c r="D3">
        <v>33</v>
      </c>
      <c r="G3" s="8">
        <v>2</v>
      </c>
      <c r="H3" s="8" t="s">
        <v>34</v>
      </c>
      <c r="I3" s="8">
        <v>16</v>
      </c>
      <c r="J3" s="8">
        <v>16</v>
      </c>
      <c r="K3" s="8">
        <v>32</v>
      </c>
      <c r="L3" s="10">
        <f t="shared" ref="L3:L49" si="0">J3/K3</f>
        <v>0.5</v>
      </c>
      <c r="N3" s="8">
        <v>2</v>
      </c>
      <c r="O3" s="8" t="s">
        <v>29</v>
      </c>
      <c r="P3" s="8">
        <v>22</v>
      </c>
      <c r="Q3" s="8">
        <v>24</v>
      </c>
      <c r="R3" s="8">
        <v>46</v>
      </c>
      <c r="S3" s="10">
        <f t="shared" ref="S3:S35" si="1">Q3/R3</f>
        <v>0.52173913043478259</v>
      </c>
    </row>
    <row r="4" spans="1:19" x14ac:dyDescent="0.35">
      <c r="A4" t="s">
        <v>35</v>
      </c>
      <c r="B4">
        <v>31</v>
      </c>
      <c r="C4">
        <v>2</v>
      </c>
      <c r="D4">
        <v>33</v>
      </c>
      <c r="G4" s="8">
        <v>3</v>
      </c>
      <c r="H4" s="8" t="s">
        <v>35</v>
      </c>
      <c r="I4" s="8">
        <v>24</v>
      </c>
      <c r="J4" s="8">
        <v>2</v>
      </c>
      <c r="K4" s="8">
        <v>26</v>
      </c>
      <c r="L4" s="10">
        <f t="shared" si="0"/>
        <v>7.6923076923076927E-2</v>
      </c>
      <c r="N4" s="8">
        <v>3</v>
      </c>
      <c r="O4" s="8" t="s">
        <v>20</v>
      </c>
      <c r="P4" s="8">
        <v>33</v>
      </c>
      <c r="Q4" s="8">
        <v>14</v>
      </c>
      <c r="R4" s="8">
        <v>47</v>
      </c>
      <c r="S4" s="10">
        <f t="shared" si="1"/>
        <v>0.2978723404255319</v>
      </c>
    </row>
    <row r="5" spans="1:19" x14ac:dyDescent="0.35">
      <c r="A5" t="s">
        <v>36</v>
      </c>
      <c r="B5">
        <v>22</v>
      </c>
      <c r="C5">
        <v>11</v>
      </c>
      <c r="D5">
        <v>33</v>
      </c>
      <c r="G5" s="8">
        <v>4</v>
      </c>
      <c r="H5" s="8" t="s">
        <v>36</v>
      </c>
      <c r="I5" s="8">
        <v>14</v>
      </c>
      <c r="J5" s="8">
        <v>11</v>
      </c>
      <c r="K5" s="8">
        <v>25</v>
      </c>
      <c r="L5" s="10">
        <f t="shared" si="0"/>
        <v>0.44</v>
      </c>
      <c r="N5" s="8">
        <v>4</v>
      </c>
      <c r="O5" s="8" t="s">
        <v>19</v>
      </c>
      <c r="P5" s="8">
        <v>28</v>
      </c>
      <c r="Q5" s="8">
        <v>19</v>
      </c>
      <c r="R5" s="8">
        <v>47</v>
      </c>
      <c r="S5" s="10">
        <f t="shared" si="1"/>
        <v>0.40425531914893614</v>
      </c>
    </row>
    <row r="6" spans="1:19" x14ac:dyDescent="0.35">
      <c r="A6" t="s">
        <v>37</v>
      </c>
      <c r="B6">
        <v>22</v>
      </c>
      <c r="C6">
        <v>11</v>
      </c>
      <c r="D6">
        <v>33</v>
      </c>
      <c r="G6" s="8">
        <v>5</v>
      </c>
      <c r="H6" s="8" t="s">
        <v>37</v>
      </c>
      <c r="I6" s="8">
        <v>21</v>
      </c>
      <c r="J6" s="8">
        <v>11</v>
      </c>
      <c r="K6" s="8">
        <v>32</v>
      </c>
      <c r="L6" s="10">
        <f t="shared" si="0"/>
        <v>0.34375</v>
      </c>
      <c r="N6" s="8">
        <v>5</v>
      </c>
      <c r="O6" s="8" t="s">
        <v>27</v>
      </c>
      <c r="P6" s="8">
        <v>22</v>
      </c>
      <c r="Q6" s="8">
        <v>5</v>
      </c>
      <c r="R6" s="8">
        <v>27</v>
      </c>
      <c r="S6" s="10">
        <f t="shared" si="1"/>
        <v>0.18518518518518517</v>
      </c>
    </row>
    <row r="7" spans="1:19" x14ac:dyDescent="0.35">
      <c r="A7" t="s">
        <v>38</v>
      </c>
      <c r="B7">
        <v>24</v>
      </c>
      <c r="C7">
        <v>9</v>
      </c>
      <c r="D7">
        <v>33</v>
      </c>
      <c r="G7" s="8">
        <v>6</v>
      </c>
      <c r="H7" s="8" t="s">
        <v>38</v>
      </c>
      <c r="I7" s="8">
        <v>18</v>
      </c>
      <c r="J7" s="8">
        <v>9</v>
      </c>
      <c r="K7" s="8">
        <v>27</v>
      </c>
      <c r="L7" s="10">
        <f t="shared" si="0"/>
        <v>0.33333333333333331</v>
      </c>
      <c r="N7" s="8">
        <v>6</v>
      </c>
      <c r="O7" s="8" t="s">
        <v>25</v>
      </c>
      <c r="P7" s="8">
        <v>31</v>
      </c>
      <c r="Q7" s="8">
        <v>13</v>
      </c>
      <c r="R7" s="8">
        <v>44</v>
      </c>
      <c r="S7" s="10">
        <f t="shared" si="1"/>
        <v>0.29545454545454547</v>
      </c>
    </row>
    <row r="8" spans="1:19" x14ac:dyDescent="0.35">
      <c r="A8" t="s">
        <v>39</v>
      </c>
      <c r="B8">
        <v>30</v>
      </c>
      <c r="C8">
        <v>3</v>
      </c>
      <c r="D8">
        <v>33</v>
      </c>
      <c r="G8" s="8">
        <v>7</v>
      </c>
      <c r="H8" s="8" t="s">
        <v>39</v>
      </c>
      <c r="I8" s="8">
        <v>30</v>
      </c>
      <c r="J8" s="8">
        <v>3</v>
      </c>
      <c r="K8" s="8">
        <v>33</v>
      </c>
      <c r="L8" s="10">
        <f t="shared" si="0"/>
        <v>9.0909090909090912E-2</v>
      </c>
      <c r="N8" s="8">
        <v>7</v>
      </c>
      <c r="O8" s="8" t="s">
        <v>26</v>
      </c>
      <c r="P8" s="8">
        <v>26</v>
      </c>
      <c r="Q8" s="8">
        <v>16</v>
      </c>
      <c r="R8" s="8">
        <v>42</v>
      </c>
      <c r="S8" s="10">
        <f t="shared" si="1"/>
        <v>0.38095238095238093</v>
      </c>
    </row>
    <row r="9" spans="1:19" x14ac:dyDescent="0.35">
      <c r="A9" t="s">
        <v>40</v>
      </c>
      <c r="B9">
        <v>24</v>
      </c>
      <c r="C9">
        <v>9</v>
      </c>
      <c r="D9">
        <v>33</v>
      </c>
      <c r="G9" s="8">
        <v>8</v>
      </c>
      <c r="H9" s="8" t="s">
        <v>40</v>
      </c>
      <c r="I9" s="8">
        <v>20</v>
      </c>
      <c r="J9" s="8">
        <v>9</v>
      </c>
      <c r="K9" s="8">
        <v>29</v>
      </c>
      <c r="L9" s="10">
        <f t="shared" si="0"/>
        <v>0.31034482758620691</v>
      </c>
      <c r="N9" s="8">
        <v>8</v>
      </c>
      <c r="O9" s="8" t="s">
        <v>24</v>
      </c>
      <c r="P9" s="8">
        <v>26</v>
      </c>
      <c r="Q9" s="8">
        <v>13</v>
      </c>
      <c r="R9" s="8">
        <v>39</v>
      </c>
      <c r="S9" s="10">
        <f t="shared" si="1"/>
        <v>0.33333333333333331</v>
      </c>
    </row>
    <row r="10" spans="1:19" x14ac:dyDescent="0.35">
      <c r="A10" t="s">
        <v>41</v>
      </c>
      <c r="B10">
        <v>22</v>
      </c>
      <c r="C10">
        <v>11</v>
      </c>
      <c r="D10">
        <v>33</v>
      </c>
      <c r="G10" s="8">
        <v>9</v>
      </c>
      <c r="H10" s="8" t="s">
        <v>41</v>
      </c>
      <c r="I10" s="8">
        <v>16</v>
      </c>
      <c r="J10" s="8">
        <v>11</v>
      </c>
      <c r="K10" s="8">
        <v>27</v>
      </c>
      <c r="L10" s="10">
        <f t="shared" si="0"/>
        <v>0.40740740740740738</v>
      </c>
      <c r="N10" s="8">
        <v>9</v>
      </c>
      <c r="O10" s="8" t="s">
        <v>22</v>
      </c>
      <c r="P10" s="8">
        <v>31</v>
      </c>
      <c r="Q10" s="8">
        <v>16</v>
      </c>
      <c r="R10" s="8">
        <v>47</v>
      </c>
      <c r="S10" s="10">
        <f t="shared" si="1"/>
        <v>0.34042553191489361</v>
      </c>
    </row>
    <row r="11" spans="1:19" x14ac:dyDescent="0.35">
      <c r="A11" t="s">
        <v>42</v>
      </c>
      <c r="B11">
        <v>22</v>
      </c>
      <c r="C11">
        <v>11</v>
      </c>
      <c r="D11">
        <v>33</v>
      </c>
      <c r="G11" s="8">
        <v>10</v>
      </c>
      <c r="H11" s="8" t="s">
        <v>42</v>
      </c>
      <c r="I11" s="8">
        <v>19</v>
      </c>
      <c r="J11" s="8">
        <v>11</v>
      </c>
      <c r="K11" s="8">
        <v>30</v>
      </c>
      <c r="L11" s="10">
        <f t="shared" si="0"/>
        <v>0.36666666666666664</v>
      </c>
      <c r="N11" s="8">
        <v>10</v>
      </c>
      <c r="O11" s="8" t="s">
        <v>23</v>
      </c>
      <c r="P11" s="8">
        <v>27</v>
      </c>
      <c r="Q11" s="8">
        <v>20</v>
      </c>
      <c r="R11" s="8">
        <v>47</v>
      </c>
      <c r="S11" s="10">
        <f t="shared" si="1"/>
        <v>0.42553191489361702</v>
      </c>
    </row>
    <row r="12" spans="1:19" x14ac:dyDescent="0.35">
      <c r="A12" t="s">
        <v>43</v>
      </c>
      <c r="B12">
        <v>30</v>
      </c>
      <c r="C12">
        <v>3</v>
      </c>
      <c r="D12">
        <v>33</v>
      </c>
      <c r="G12" s="8">
        <v>11</v>
      </c>
      <c r="H12" s="8" t="s">
        <v>43</v>
      </c>
      <c r="I12" s="8">
        <v>14</v>
      </c>
      <c r="J12" s="8">
        <v>3</v>
      </c>
      <c r="K12" s="8">
        <v>17</v>
      </c>
      <c r="L12" s="10">
        <f t="shared" si="0"/>
        <v>0.17647058823529413</v>
      </c>
      <c r="N12" s="8">
        <v>11</v>
      </c>
      <c r="O12" s="8" t="s">
        <v>28</v>
      </c>
      <c r="P12" s="8">
        <v>35</v>
      </c>
      <c r="Q12" s="8">
        <v>9</v>
      </c>
      <c r="R12" s="8">
        <v>44</v>
      </c>
      <c r="S12" s="10">
        <f t="shared" si="1"/>
        <v>0.20454545454545456</v>
      </c>
    </row>
    <row r="13" spans="1:19" x14ac:dyDescent="0.35">
      <c r="A13" t="s">
        <v>44</v>
      </c>
      <c r="B13">
        <v>27</v>
      </c>
      <c r="C13">
        <v>6</v>
      </c>
      <c r="D13">
        <v>33</v>
      </c>
      <c r="G13" s="8">
        <v>12</v>
      </c>
      <c r="H13" s="8" t="s">
        <v>44</v>
      </c>
      <c r="I13" s="8">
        <v>15</v>
      </c>
      <c r="J13" s="8">
        <v>6</v>
      </c>
      <c r="K13" s="8">
        <v>21</v>
      </c>
      <c r="L13" s="10">
        <f t="shared" si="0"/>
        <v>0.2857142857142857</v>
      </c>
      <c r="N13" s="8">
        <v>12</v>
      </c>
      <c r="O13" s="8" t="s">
        <v>100</v>
      </c>
      <c r="P13" s="8">
        <v>20</v>
      </c>
      <c r="Q13" s="8">
        <v>27</v>
      </c>
      <c r="R13" s="8">
        <v>47</v>
      </c>
      <c r="S13" s="10">
        <f t="shared" si="1"/>
        <v>0.57446808510638303</v>
      </c>
    </row>
    <row r="14" spans="1:19" x14ac:dyDescent="0.35">
      <c r="A14" t="s">
        <v>45</v>
      </c>
      <c r="B14">
        <v>23</v>
      </c>
      <c r="C14">
        <v>10</v>
      </c>
      <c r="D14">
        <v>33</v>
      </c>
      <c r="G14" s="8">
        <v>13</v>
      </c>
      <c r="H14" s="8" t="s">
        <v>45</v>
      </c>
      <c r="I14" s="8">
        <v>19</v>
      </c>
      <c r="J14" s="8">
        <v>10</v>
      </c>
      <c r="K14" s="8">
        <v>29</v>
      </c>
      <c r="L14" s="10">
        <f t="shared" si="0"/>
        <v>0.34482758620689657</v>
      </c>
      <c r="N14" s="8">
        <v>13</v>
      </c>
      <c r="O14" s="8" t="s">
        <v>31</v>
      </c>
      <c r="P14" s="8">
        <v>20</v>
      </c>
      <c r="Q14" s="8">
        <v>3</v>
      </c>
      <c r="R14" s="8">
        <v>23</v>
      </c>
      <c r="S14" s="10">
        <f t="shared" si="1"/>
        <v>0.13043478260869565</v>
      </c>
    </row>
    <row r="15" spans="1:19" x14ac:dyDescent="0.35">
      <c r="A15" t="s">
        <v>46</v>
      </c>
      <c r="B15">
        <v>26</v>
      </c>
      <c r="C15">
        <v>7</v>
      </c>
      <c r="D15">
        <v>33</v>
      </c>
      <c r="G15" s="8">
        <v>14</v>
      </c>
      <c r="H15" s="8" t="s">
        <v>46</v>
      </c>
      <c r="I15" s="8">
        <v>14</v>
      </c>
      <c r="J15" s="8">
        <v>7</v>
      </c>
      <c r="K15" s="8">
        <v>21</v>
      </c>
      <c r="L15" s="10">
        <f t="shared" si="0"/>
        <v>0.33333333333333331</v>
      </c>
      <c r="N15" s="8">
        <v>14</v>
      </c>
      <c r="O15" s="8" t="s">
        <v>21</v>
      </c>
      <c r="P15" s="8">
        <v>22</v>
      </c>
      <c r="Q15" s="8">
        <v>25</v>
      </c>
      <c r="R15" s="8">
        <v>47</v>
      </c>
      <c r="S15" s="10">
        <f t="shared" si="1"/>
        <v>0.53191489361702127</v>
      </c>
    </row>
    <row r="16" spans="1:19" x14ac:dyDescent="0.35">
      <c r="A16" t="s">
        <v>47</v>
      </c>
      <c r="B16">
        <v>29</v>
      </c>
      <c r="C16">
        <v>4</v>
      </c>
      <c r="D16">
        <v>33</v>
      </c>
      <c r="G16" s="8">
        <v>15</v>
      </c>
      <c r="H16" s="8" t="s">
        <v>47</v>
      </c>
      <c r="I16" s="8">
        <v>15</v>
      </c>
      <c r="J16" s="8">
        <v>4</v>
      </c>
      <c r="K16" s="8">
        <v>19</v>
      </c>
      <c r="L16" s="10">
        <f t="shared" si="0"/>
        <v>0.21052631578947367</v>
      </c>
      <c r="N16" s="8">
        <v>15</v>
      </c>
      <c r="O16" s="8" t="s">
        <v>17</v>
      </c>
      <c r="P16" s="8">
        <v>16</v>
      </c>
      <c r="Q16" s="8">
        <v>4</v>
      </c>
      <c r="R16" s="8">
        <v>20</v>
      </c>
      <c r="S16" s="10">
        <f t="shared" si="1"/>
        <v>0.2</v>
      </c>
    </row>
    <row r="17" spans="1:19" x14ac:dyDescent="0.35">
      <c r="A17" t="s">
        <v>48</v>
      </c>
      <c r="B17">
        <v>23</v>
      </c>
      <c r="C17">
        <v>10</v>
      </c>
      <c r="D17">
        <v>33</v>
      </c>
      <c r="G17" s="8">
        <v>16</v>
      </c>
      <c r="H17" s="8" t="s">
        <v>48</v>
      </c>
      <c r="I17" s="8">
        <v>13</v>
      </c>
      <c r="J17" s="8">
        <v>10</v>
      </c>
      <c r="K17" s="8">
        <v>23</v>
      </c>
      <c r="L17" s="10">
        <f t="shared" si="0"/>
        <v>0.43478260869565216</v>
      </c>
      <c r="N17" s="8">
        <v>16</v>
      </c>
      <c r="O17" s="8" t="s">
        <v>0</v>
      </c>
      <c r="P17" s="8">
        <v>36</v>
      </c>
      <c r="Q17" s="8">
        <v>4</v>
      </c>
      <c r="R17" s="8">
        <v>40</v>
      </c>
      <c r="S17" s="10">
        <f t="shared" si="1"/>
        <v>0.1</v>
      </c>
    </row>
    <row r="18" spans="1:19" x14ac:dyDescent="0.35">
      <c r="A18" t="s">
        <v>49</v>
      </c>
      <c r="B18">
        <v>19</v>
      </c>
      <c r="C18">
        <v>14</v>
      </c>
      <c r="D18">
        <v>33</v>
      </c>
      <c r="G18" s="8">
        <v>17</v>
      </c>
      <c r="H18" s="8" t="s">
        <v>49</v>
      </c>
      <c r="I18" s="8">
        <v>18</v>
      </c>
      <c r="J18" s="8">
        <v>14</v>
      </c>
      <c r="K18" s="8">
        <v>32</v>
      </c>
      <c r="L18" s="10">
        <f t="shared" si="0"/>
        <v>0.4375</v>
      </c>
      <c r="N18" s="8">
        <v>17</v>
      </c>
      <c r="O18" s="8" t="s">
        <v>1</v>
      </c>
      <c r="P18" s="8">
        <v>30</v>
      </c>
      <c r="Q18" s="8">
        <v>10</v>
      </c>
      <c r="R18" s="8">
        <v>40</v>
      </c>
      <c r="S18" s="10">
        <f t="shared" si="1"/>
        <v>0.25</v>
      </c>
    </row>
    <row r="19" spans="1:19" x14ac:dyDescent="0.35">
      <c r="A19" t="s">
        <v>50</v>
      </c>
      <c r="B19">
        <v>31</v>
      </c>
      <c r="C19">
        <v>2</v>
      </c>
      <c r="D19">
        <v>33</v>
      </c>
      <c r="G19" s="8">
        <v>18</v>
      </c>
      <c r="H19" s="8" t="s">
        <v>50</v>
      </c>
      <c r="I19" s="8">
        <v>26</v>
      </c>
      <c r="J19" s="8">
        <v>2</v>
      </c>
      <c r="K19" s="8">
        <v>28</v>
      </c>
      <c r="L19" s="10">
        <f t="shared" si="0"/>
        <v>7.1428571428571425E-2</v>
      </c>
      <c r="N19" s="8">
        <v>18</v>
      </c>
      <c r="O19" s="8" t="s">
        <v>2</v>
      </c>
      <c r="P19" s="8">
        <v>34</v>
      </c>
      <c r="Q19" s="8">
        <v>13</v>
      </c>
      <c r="R19" s="8">
        <v>47</v>
      </c>
      <c r="S19" s="10">
        <f t="shared" si="1"/>
        <v>0.27659574468085107</v>
      </c>
    </row>
    <row r="20" spans="1:19" x14ac:dyDescent="0.35">
      <c r="A20" t="s">
        <v>51</v>
      </c>
      <c r="B20">
        <v>15</v>
      </c>
      <c r="C20">
        <v>18</v>
      </c>
      <c r="D20">
        <v>33</v>
      </c>
      <c r="G20" s="8">
        <v>19</v>
      </c>
      <c r="H20" s="8" t="s">
        <v>51</v>
      </c>
      <c r="I20" s="8">
        <v>15</v>
      </c>
      <c r="J20" s="8">
        <v>18</v>
      </c>
      <c r="K20" s="8">
        <v>33</v>
      </c>
      <c r="L20" s="10">
        <f t="shared" si="0"/>
        <v>0.54545454545454541</v>
      </c>
      <c r="N20" s="8">
        <v>19</v>
      </c>
      <c r="O20" s="8" t="s">
        <v>4</v>
      </c>
      <c r="P20" s="8">
        <v>35</v>
      </c>
      <c r="Q20" s="8">
        <v>3</v>
      </c>
      <c r="R20" s="8">
        <v>38</v>
      </c>
      <c r="S20" s="10">
        <f t="shared" si="1"/>
        <v>7.8947368421052627E-2</v>
      </c>
    </row>
    <row r="21" spans="1:19" x14ac:dyDescent="0.35">
      <c r="A21" t="s">
        <v>52</v>
      </c>
      <c r="B21">
        <v>22</v>
      </c>
      <c r="C21">
        <v>11</v>
      </c>
      <c r="D21">
        <v>33</v>
      </c>
      <c r="G21" s="8">
        <v>20</v>
      </c>
      <c r="H21" s="8" t="s">
        <v>52</v>
      </c>
      <c r="I21" s="8">
        <v>14</v>
      </c>
      <c r="J21" s="8">
        <v>11</v>
      </c>
      <c r="K21" s="8">
        <v>25</v>
      </c>
      <c r="L21" s="10">
        <f t="shared" si="0"/>
        <v>0.44</v>
      </c>
      <c r="N21" s="8">
        <v>20</v>
      </c>
      <c r="O21" s="8" t="s">
        <v>5</v>
      </c>
      <c r="P21" s="8">
        <v>25</v>
      </c>
      <c r="Q21" s="8">
        <v>13</v>
      </c>
      <c r="R21" s="8">
        <v>38</v>
      </c>
      <c r="S21" s="10">
        <f t="shared" si="1"/>
        <v>0.34210526315789475</v>
      </c>
    </row>
    <row r="22" spans="1:19" x14ac:dyDescent="0.35">
      <c r="A22" t="s">
        <v>53</v>
      </c>
      <c r="B22">
        <v>26</v>
      </c>
      <c r="C22">
        <v>7</v>
      </c>
      <c r="D22">
        <v>33</v>
      </c>
      <c r="G22" s="8">
        <v>21</v>
      </c>
      <c r="H22" s="8" t="s">
        <v>53</v>
      </c>
      <c r="I22" s="8">
        <v>24</v>
      </c>
      <c r="J22" s="8">
        <v>7</v>
      </c>
      <c r="K22" s="8">
        <v>31</v>
      </c>
      <c r="L22" s="10">
        <f t="shared" si="0"/>
        <v>0.22580645161290322</v>
      </c>
      <c r="N22" s="8">
        <v>21</v>
      </c>
      <c r="O22" s="8" t="s">
        <v>6</v>
      </c>
      <c r="P22" s="8">
        <v>31</v>
      </c>
      <c r="Q22" s="8">
        <v>16</v>
      </c>
      <c r="R22" s="8">
        <v>47</v>
      </c>
      <c r="S22" s="10">
        <f t="shared" si="1"/>
        <v>0.34042553191489361</v>
      </c>
    </row>
    <row r="23" spans="1:19" x14ac:dyDescent="0.35">
      <c r="A23" t="s">
        <v>54</v>
      </c>
      <c r="B23">
        <v>26</v>
      </c>
      <c r="C23">
        <v>7</v>
      </c>
      <c r="D23">
        <v>33</v>
      </c>
      <c r="G23" s="8">
        <v>22</v>
      </c>
      <c r="H23" s="8" t="s">
        <v>54</v>
      </c>
      <c r="I23" s="8">
        <v>13</v>
      </c>
      <c r="J23" s="8">
        <v>7</v>
      </c>
      <c r="K23" s="8">
        <v>20</v>
      </c>
      <c r="L23" s="10">
        <f t="shared" si="0"/>
        <v>0.35</v>
      </c>
      <c r="N23" s="8">
        <v>22</v>
      </c>
      <c r="O23" s="8" t="s">
        <v>13</v>
      </c>
      <c r="P23" s="8">
        <v>28</v>
      </c>
      <c r="Q23" s="8">
        <v>15</v>
      </c>
      <c r="R23" s="8">
        <v>43</v>
      </c>
      <c r="S23" s="10">
        <f t="shared" si="1"/>
        <v>0.34883720930232559</v>
      </c>
    </row>
    <row r="24" spans="1:19" x14ac:dyDescent="0.35">
      <c r="A24" t="s">
        <v>55</v>
      </c>
      <c r="B24">
        <v>18</v>
      </c>
      <c r="C24">
        <v>15</v>
      </c>
      <c r="D24">
        <v>33</v>
      </c>
      <c r="G24" s="8">
        <v>23</v>
      </c>
      <c r="H24" s="8" t="s">
        <v>55</v>
      </c>
      <c r="I24" s="8">
        <v>14</v>
      </c>
      <c r="J24" s="8">
        <v>15</v>
      </c>
      <c r="K24" s="8">
        <v>29</v>
      </c>
      <c r="L24" s="10">
        <f t="shared" si="0"/>
        <v>0.51724137931034486</v>
      </c>
      <c r="N24" s="8">
        <v>23</v>
      </c>
      <c r="O24" s="8" t="s">
        <v>7</v>
      </c>
      <c r="P24" s="8">
        <v>22</v>
      </c>
      <c r="Q24" s="8">
        <v>7</v>
      </c>
      <c r="R24" s="8">
        <v>29</v>
      </c>
      <c r="S24" s="10">
        <f t="shared" si="1"/>
        <v>0.2413793103448276</v>
      </c>
    </row>
    <row r="25" spans="1:19" x14ac:dyDescent="0.35">
      <c r="A25" t="s">
        <v>56</v>
      </c>
      <c r="B25">
        <v>29</v>
      </c>
      <c r="C25">
        <v>4</v>
      </c>
      <c r="D25">
        <v>33</v>
      </c>
      <c r="G25" s="8">
        <v>24</v>
      </c>
      <c r="H25" s="8" t="s">
        <v>56</v>
      </c>
      <c r="I25" s="8">
        <v>21</v>
      </c>
      <c r="J25" s="8">
        <v>4</v>
      </c>
      <c r="K25" s="8">
        <v>25</v>
      </c>
      <c r="L25" s="10">
        <f t="shared" si="0"/>
        <v>0.16</v>
      </c>
      <c r="N25" s="8">
        <v>24</v>
      </c>
      <c r="O25" s="8" t="s">
        <v>8</v>
      </c>
      <c r="P25" s="8">
        <v>33</v>
      </c>
      <c r="Q25" s="8">
        <v>9</v>
      </c>
      <c r="R25" s="8">
        <v>42</v>
      </c>
      <c r="S25" s="10">
        <f t="shared" si="1"/>
        <v>0.21428571428571427</v>
      </c>
    </row>
    <row r="26" spans="1:19" x14ac:dyDescent="0.35">
      <c r="A26" t="s">
        <v>57</v>
      </c>
      <c r="B26">
        <v>21</v>
      </c>
      <c r="C26">
        <v>12</v>
      </c>
      <c r="D26">
        <v>33</v>
      </c>
      <c r="G26" s="8">
        <v>25</v>
      </c>
      <c r="H26" s="8" t="s">
        <v>57</v>
      </c>
      <c r="I26" s="8">
        <v>17</v>
      </c>
      <c r="J26" s="8">
        <v>12</v>
      </c>
      <c r="K26" s="8">
        <v>29</v>
      </c>
      <c r="L26" s="10">
        <f t="shared" si="0"/>
        <v>0.41379310344827586</v>
      </c>
      <c r="N26" s="8">
        <v>25</v>
      </c>
      <c r="O26" s="8" t="s">
        <v>9</v>
      </c>
      <c r="P26" s="8">
        <v>27</v>
      </c>
      <c r="Q26" s="8">
        <v>6</v>
      </c>
      <c r="R26" s="8">
        <v>33</v>
      </c>
      <c r="S26" s="10">
        <f t="shared" si="1"/>
        <v>0.18181818181818182</v>
      </c>
    </row>
    <row r="27" spans="1:19" x14ac:dyDescent="0.35">
      <c r="A27" t="s">
        <v>58</v>
      </c>
      <c r="B27">
        <v>26</v>
      </c>
      <c r="C27">
        <v>7</v>
      </c>
      <c r="D27">
        <v>33</v>
      </c>
      <c r="G27" s="8">
        <v>26</v>
      </c>
      <c r="H27" s="8" t="s">
        <v>58</v>
      </c>
      <c r="I27" s="8">
        <v>17</v>
      </c>
      <c r="J27" s="8">
        <v>7</v>
      </c>
      <c r="K27" s="8">
        <v>24</v>
      </c>
      <c r="L27" s="10">
        <f t="shared" si="0"/>
        <v>0.29166666666666669</v>
      </c>
      <c r="N27" s="8">
        <v>26</v>
      </c>
      <c r="O27" s="8" t="s">
        <v>10</v>
      </c>
      <c r="P27" s="8">
        <v>20</v>
      </c>
      <c r="Q27" s="8">
        <v>14</v>
      </c>
      <c r="R27" s="8">
        <v>34</v>
      </c>
      <c r="S27" s="10">
        <f t="shared" si="1"/>
        <v>0.41176470588235292</v>
      </c>
    </row>
    <row r="28" spans="1:19" x14ac:dyDescent="0.35">
      <c r="A28" t="s">
        <v>59</v>
      </c>
      <c r="B28">
        <v>29</v>
      </c>
      <c r="C28">
        <v>4</v>
      </c>
      <c r="D28">
        <v>33</v>
      </c>
      <c r="G28" s="8">
        <v>27</v>
      </c>
      <c r="H28" s="8" t="s">
        <v>59</v>
      </c>
      <c r="I28" s="8">
        <v>21</v>
      </c>
      <c r="J28" s="8">
        <v>4</v>
      </c>
      <c r="K28" s="8">
        <v>25</v>
      </c>
      <c r="L28" s="10">
        <f t="shared" si="0"/>
        <v>0.16</v>
      </c>
      <c r="N28" s="8">
        <v>27</v>
      </c>
      <c r="O28" s="8" t="s">
        <v>11</v>
      </c>
      <c r="P28" s="8">
        <v>26</v>
      </c>
      <c r="Q28" s="8">
        <v>10</v>
      </c>
      <c r="R28" s="8">
        <v>36</v>
      </c>
      <c r="S28" s="10">
        <f t="shared" si="1"/>
        <v>0.27777777777777779</v>
      </c>
    </row>
    <row r="29" spans="1:19" x14ac:dyDescent="0.35">
      <c r="A29" t="s">
        <v>60</v>
      </c>
      <c r="B29">
        <v>23</v>
      </c>
      <c r="C29">
        <v>10</v>
      </c>
      <c r="D29">
        <v>33</v>
      </c>
      <c r="G29" s="8">
        <v>28</v>
      </c>
      <c r="H29" s="8" t="s">
        <v>60</v>
      </c>
      <c r="I29" s="8">
        <v>19</v>
      </c>
      <c r="J29" s="8">
        <v>10</v>
      </c>
      <c r="K29" s="8">
        <v>29</v>
      </c>
      <c r="L29" s="10">
        <f t="shared" si="0"/>
        <v>0.34482758620689657</v>
      </c>
      <c r="N29" s="8">
        <v>28</v>
      </c>
      <c r="O29" s="8" t="s">
        <v>12</v>
      </c>
      <c r="P29" s="8">
        <v>28</v>
      </c>
      <c r="Q29" s="8">
        <v>6</v>
      </c>
      <c r="R29" s="8">
        <v>34</v>
      </c>
      <c r="S29" s="10">
        <f t="shared" si="1"/>
        <v>0.17647058823529413</v>
      </c>
    </row>
    <row r="30" spans="1:19" x14ac:dyDescent="0.35">
      <c r="A30" t="s">
        <v>61</v>
      </c>
      <c r="B30">
        <v>30</v>
      </c>
      <c r="C30">
        <v>3</v>
      </c>
      <c r="D30">
        <v>33</v>
      </c>
      <c r="G30" s="8">
        <v>29</v>
      </c>
      <c r="H30" s="8" t="s">
        <v>61</v>
      </c>
      <c r="I30" s="8">
        <v>20</v>
      </c>
      <c r="J30" s="8">
        <v>3</v>
      </c>
      <c r="K30" s="8">
        <v>23</v>
      </c>
      <c r="L30" s="10">
        <f t="shared" si="0"/>
        <v>0.13043478260869565</v>
      </c>
      <c r="N30" s="8">
        <v>29</v>
      </c>
      <c r="O30" s="8" t="s">
        <v>14</v>
      </c>
      <c r="P30" s="8">
        <v>23</v>
      </c>
      <c r="Q30" s="8">
        <v>10</v>
      </c>
      <c r="R30" s="8">
        <v>33</v>
      </c>
      <c r="S30" s="10">
        <f t="shared" si="1"/>
        <v>0.30303030303030304</v>
      </c>
    </row>
    <row r="31" spans="1:19" x14ac:dyDescent="0.35">
      <c r="A31" t="s">
        <v>62</v>
      </c>
      <c r="B31">
        <v>27</v>
      </c>
      <c r="C31">
        <v>6</v>
      </c>
      <c r="D31">
        <v>33</v>
      </c>
      <c r="G31" s="8">
        <v>30</v>
      </c>
      <c r="H31" s="8" t="s">
        <v>62</v>
      </c>
      <c r="I31" s="8">
        <v>20</v>
      </c>
      <c r="J31" s="8">
        <v>6</v>
      </c>
      <c r="K31" s="8">
        <v>26</v>
      </c>
      <c r="L31" s="10">
        <f t="shared" si="0"/>
        <v>0.23076923076923078</v>
      </c>
      <c r="N31" s="8">
        <v>30</v>
      </c>
      <c r="O31" s="8" t="s">
        <v>3</v>
      </c>
      <c r="P31" s="8">
        <v>28</v>
      </c>
      <c r="Q31" s="8">
        <v>7</v>
      </c>
      <c r="R31" s="8">
        <v>35</v>
      </c>
      <c r="S31" s="10">
        <f t="shared" si="1"/>
        <v>0.2</v>
      </c>
    </row>
    <row r="32" spans="1:19" x14ac:dyDescent="0.35">
      <c r="A32" t="s">
        <v>63</v>
      </c>
      <c r="B32">
        <v>23</v>
      </c>
      <c r="C32">
        <v>10</v>
      </c>
      <c r="D32">
        <v>33</v>
      </c>
      <c r="G32" s="8">
        <v>31</v>
      </c>
      <c r="H32" s="8" t="s">
        <v>63</v>
      </c>
      <c r="I32" s="8">
        <v>20</v>
      </c>
      <c r="J32" s="8">
        <v>10</v>
      </c>
      <c r="K32" s="8">
        <v>30</v>
      </c>
      <c r="L32" s="10">
        <f t="shared" si="0"/>
        <v>0.33333333333333331</v>
      </c>
      <c r="N32" s="8">
        <v>31</v>
      </c>
      <c r="O32" s="8" t="s">
        <v>15</v>
      </c>
      <c r="P32" s="8">
        <v>28</v>
      </c>
      <c r="Q32" s="8">
        <v>12</v>
      </c>
      <c r="R32" s="8">
        <v>40</v>
      </c>
      <c r="S32" s="10">
        <f t="shared" si="1"/>
        <v>0.3</v>
      </c>
    </row>
    <row r="33" spans="1:19" x14ac:dyDescent="0.35">
      <c r="A33" t="s">
        <v>64</v>
      </c>
      <c r="B33">
        <v>25</v>
      </c>
      <c r="C33">
        <v>8</v>
      </c>
      <c r="D33">
        <v>33</v>
      </c>
      <c r="G33" s="8">
        <v>32</v>
      </c>
      <c r="H33" s="8" t="s">
        <v>64</v>
      </c>
      <c r="I33" s="8">
        <v>23</v>
      </c>
      <c r="J33" s="8">
        <v>8</v>
      </c>
      <c r="K33" s="8">
        <v>31</v>
      </c>
      <c r="L33" s="10">
        <f t="shared" si="0"/>
        <v>0.25806451612903225</v>
      </c>
      <c r="N33" s="8">
        <v>32</v>
      </c>
      <c r="O33" s="8" t="s">
        <v>16</v>
      </c>
      <c r="P33" s="8">
        <v>15</v>
      </c>
      <c r="Q33" s="8">
        <v>3</v>
      </c>
      <c r="R33" s="8">
        <v>18</v>
      </c>
      <c r="S33" s="10">
        <f t="shared" si="1"/>
        <v>0.16666666666666666</v>
      </c>
    </row>
    <row r="34" spans="1:19" x14ac:dyDescent="0.35">
      <c r="A34" t="s">
        <v>65</v>
      </c>
      <c r="B34">
        <v>19</v>
      </c>
      <c r="C34">
        <v>14</v>
      </c>
      <c r="D34">
        <v>33</v>
      </c>
      <c r="G34" s="8">
        <v>33</v>
      </c>
      <c r="H34" s="8" t="s">
        <v>65</v>
      </c>
      <c r="I34" s="8">
        <v>17</v>
      </c>
      <c r="J34" s="8">
        <v>14</v>
      </c>
      <c r="K34" s="8">
        <v>31</v>
      </c>
      <c r="L34" s="10">
        <f t="shared" si="0"/>
        <v>0.45161290322580644</v>
      </c>
      <c r="N34" s="8">
        <v>33</v>
      </c>
      <c r="O34" s="8" t="s">
        <v>18</v>
      </c>
      <c r="P34" s="8">
        <v>22</v>
      </c>
      <c r="Q34" s="8">
        <v>4</v>
      </c>
      <c r="R34" s="8">
        <v>26</v>
      </c>
      <c r="S34" s="10">
        <f t="shared" si="1"/>
        <v>0.15384615384615385</v>
      </c>
    </row>
    <row r="35" spans="1:19" x14ac:dyDescent="0.35">
      <c r="A35" t="s">
        <v>66</v>
      </c>
      <c r="B35">
        <v>25</v>
      </c>
      <c r="C35">
        <v>8</v>
      </c>
      <c r="D35">
        <v>33</v>
      </c>
      <c r="G35" s="8">
        <v>34</v>
      </c>
      <c r="H35" s="8" t="s">
        <v>66</v>
      </c>
      <c r="I35" s="8">
        <v>18</v>
      </c>
      <c r="J35" s="8">
        <v>8</v>
      </c>
      <c r="K35" s="8">
        <v>26</v>
      </c>
      <c r="L35" s="10">
        <f t="shared" si="0"/>
        <v>0.30769230769230771</v>
      </c>
      <c r="N35" s="8">
        <v>34</v>
      </c>
      <c r="O35" s="8" t="s">
        <v>84</v>
      </c>
      <c r="P35" s="8">
        <v>872</v>
      </c>
      <c r="Q35" s="8">
        <v>386</v>
      </c>
      <c r="R35" s="8">
        <v>1258</v>
      </c>
      <c r="S35" s="10">
        <f t="shared" si="1"/>
        <v>0.30683624801271858</v>
      </c>
    </row>
    <row r="36" spans="1:19" x14ac:dyDescent="0.35">
      <c r="A36" t="s">
        <v>67</v>
      </c>
      <c r="B36">
        <v>25</v>
      </c>
      <c r="C36">
        <v>8</v>
      </c>
      <c r="D36">
        <v>33</v>
      </c>
      <c r="G36" s="8">
        <v>35</v>
      </c>
      <c r="H36" s="8" t="s">
        <v>67</v>
      </c>
      <c r="I36" s="8">
        <v>18</v>
      </c>
      <c r="J36" s="8">
        <v>8</v>
      </c>
      <c r="K36" s="8">
        <v>26</v>
      </c>
      <c r="L36" s="10">
        <f t="shared" si="0"/>
        <v>0.30769230769230771</v>
      </c>
    </row>
    <row r="37" spans="1:19" x14ac:dyDescent="0.35">
      <c r="A37" t="s">
        <v>68</v>
      </c>
      <c r="B37">
        <v>32</v>
      </c>
      <c r="C37">
        <v>1</v>
      </c>
      <c r="D37">
        <v>33</v>
      </c>
      <c r="G37" s="8">
        <v>36</v>
      </c>
      <c r="H37" s="8" t="s">
        <v>68</v>
      </c>
      <c r="I37" s="8">
        <v>19</v>
      </c>
      <c r="J37" s="8">
        <v>1</v>
      </c>
      <c r="K37" s="8">
        <v>20</v>
      </c>
      <c r="L37" s="10">
        <f t="shared" si="0"/>
        <v>0.05</v>
      </c>
    </row>
    <row r="38" spans="1:19" x14ac:dyDescent="0.35">
      <c r="A38" t="s">
        <v>69</v>
      </c>
      <c r="B38">
        <v>30</v>
      </c>
      <c r="C38">
        <v>3</v>
      </c>
      <c r="D38">
        <v>33</v>
      </c>
      <c r="G38" s="8">
        <v>37</v>
      </c>
      <c r="H38" s="8" t="s">
        <v>69</v>
      </c>
      <c r="I38" s="8">
        <v>11</v>
      </c>
      <c r="J38" s="8">
        <v>3</v>
      </c>
      <c r="K38" s="8">
        <v>14</v>
      </c>
      <c r="L38" s="10">
        <f t="shared" si="0"/>
        <v>0.21428571428571427</v>
      </c>
    </row>
    <row r="39" spans="1:19" x14ac:dyDescent="0.35">
      <c r="A39" t="s">
        <v>70</v>
      </c>
      <c r="B39">
        <v>15</v>
      </c>
      <c r="C39">
        <v>18</v>
      </c>
      <c r="D39">
        <v>33</v>
      </c>
      <c r="G39" s="8">
        <v>38</v>
      </c>
      <c r="H39" s="8" t="s">
        <v>70</v>
      </c>
      <c r="I39" s="8">
        <v>14</v>
      </c>
      <c r="J39" s="8">
        <v>18</v>
      </c>
      <c r="K39" s="8">
        <v>32</v>
      </c>
      <c r="L39" s="10">
        <f t="shared" si="0"/>
        <v>0.5625</v>
      </c>
    </row>
    <row r="40" spans="1:19" x14ac:dyDescent="0.35">
      <c r="A40" t="s">
        <v>71</v>
      </c>
      <c r="B40">
        <v>27</v>
      </c>
      <c r="C40">
        <v>6</v>
      </c>
      <c r="D40">
        <v>33</v>
      </c>
      <c r="G40" s="8">
        <v>39</v>
      </c>
      <c r="H40" s="8" t="s">
        <v>71</v>
      </c>
      <c r="I40" s="8">
        <v>18</v>
      </c>
      <c r="J40" s="8">
        <v>6</v>
      </c>
      <c r="K40" s="8">
        <v>24</v>
      </c>
      <c r="L40" s="10">
        <f t="shared" si="0"/>
        <v>0.25</v>
      </c>
    </row>
    <row r="41" spans="1:19" x14ac:dyDescent="0.35">
      <c r="A41" t="s">
        <v>72</v>
      </c>
      <c r="B41">
        <v>24</v>
      </c>
      <c r="C41">
        <v>9</v>
      </c>
      <c r="D41">
        <v>33</v>
      </c>
      <c r="G41" s="8">
        <v>40</v>
      </c>
      <c r="H41" s="8" t="s">
        <v>72</v>
      </c>
      <c r="I41" s="8">
        <v>17</v>
      </c>
      <c r="J41" s="8">
        <v>9</v>
      </c>
      <c r="K41" s="8">
        <v>26</v>
      </c>
      <c r="L41" s="10">
        <f t="shared" si="0"/>
        <v>0.34615384615384615</v>
      </c>
    </row>
    <row r="42" spans="1:19" x14ac:dyDescent="0.35">
      <c r="A42" t="s">
        <v>73</v>
      </c>
      <c r="B42">
        <v>23</v>
      </c>
      <c r="C42">
        <v>10</v>
      </c>
      <c r="D42">
        <v>33</v>
      </c>
      <c r="G42" s="8">
        <v>41</v>
      </c>
      <c r="H42" s="8" t="s">
        <v>73</v>
      </c>
      <c r="I42" s="8">
        <v>18</v>
      </c>
      <c r="J42" s="8">
        <v>10</v>
      </c>
      <c r="K42" s="8">
        <v>28</v>
      </c>
      <c r="L42" s="10">
        <f t="shared" si="0"/>
        <v>0.35714285714285715</v>
      </c>
    </row>
    <row r="43" spans="1:19" x14ac:dyDescent="0.35">
      <c r="A43" t="s">
        <v>74</v>
      </c>
      <c r="B43">
        <v>29</v>
      </c>
      <c r="C43">
        <v>4</v>
      </c>
      <c r="D43">
        <v>33</v>
      </c>
      <c r="G43" s="8">
        <v>42</v>
      </c>
      <c r="H43" s="8" t="s">
        <v>74</v>
      </c>
      <c r="I43" s="8">
        <v>23</v>
      </c>
      <c r="J43" s="8">
        <v>4</v>
      </c>
      <c r="K43" s="8">
        <v>27</v>
      </c>
      <c r="L43" s="10">
        <f t="shared" si="0"/>
        <v>0.14814814814814814</v>
      </c>
    </row>
    <row r="44" spans="1:19" x14ac:dyDescent="0.35">
      <c r="A44" t="s">
        <v>75</v>
      </c>
      <c r="B44">
        <v>21</v>
      </c>
      <c r="C44">
        <v>12</v>
      </c>
      <c r="D44">
        <v>33</v>
      </c>
      <c r="G44" s="8">
        <v>43</v>
      </c>
      <c r="H44" s="8" t="s">
        <v>75</v>
      </c>
      <c r="I44" s="8">
        <v>15</v>
      </c>
      <c r="J44" s="8">
        <v>12</v>
      </c>
      <c r="K44" s="8">
        <v>27</v>
      </c>
      <c r="L44" s="10">
        <f t="shared" si="0"/>
        <v>0.44444444444444442</v>
      </c>
    </row>
    <row r="45" spans="1:19" x14ac:dyDescent="0.35">
      <c r="A45" t="s">
        <v>76</v>
      </c>
      <c r="B45">
        <v>20</v>
      </c>
      <c r="C45">
        <v>13</v>
      </c>
      <c r="D45">
        <v>33</v>
      </c>
      <c r="G45" s="8">
        <v>44</v>
      </c>
      <c r="H45" s="8" t="s">
        <v>76</v>
      </c>
      <c r="I45" s="8">
        <v>19</v>
      </c>
      <c r="J45" s="8">
        <v>13</v>
      </c>
      <c r="K45" s="8">
        <v>32</v>
      </c>
      <c r="L45" s="10">
        <f t="shared" si="0"/>
        <v>0.40625</v>
      </c>
    </row>
    <row r="46" spans="1:19" x14ac:dyDescent="0.35">
      <c r="A46" t="s">
        <v>77</v>
      </c>
      <c r="B46">
        <v>29</v>
      </c>
      <c r="C46">
        <v>4</v>
      </c>
      <c r="D46">
        <v>33</v>
      </c>
      <c r="G46" s="8">
        <v>45</v>
      </c>
      <c r="H46" s="8" t="s">
        <v>77</v>
      </c>
      <c r="I46" s="8">
        <v>20</v>
      </c>
      <c r="J46" s="8">
        <v>4</v>
      </c>
      <c r="K46" s="8">
        <v>24</v>
      </c>
      <c r="L46" s="10">
        <f t="shared" si="0"/>
        <v>0.16666666666666666</v>
      </c>
    </row>
    <row r="47" spans="1:19" x14ac:dyDescent="0.35">
      <c r="A47" t="s">
        <v>78</v>
      </c>
      <c r="B47">
        <v>32</v>
      </c>
      <c r="C47">
        <v>1</v>
      </c>
      <c r="D47">
        <v>33</v>
      </c>
      <c r="G47" s="8">
        <v>46</v>
      </c>
      <c r="H47" s="8" t="s">
        <v>78</v>
      </c>
      <c r="I47" s="8">
        <v>26</v>
      </c>
      <c r="J47" s="8">
        <v>1</v>
      </c>
      <c r="K47" s="8">
        <v>27</v>
      </c>
      <c r="L47" s="10">
        <f t="shared" si="0"/>
        <v>3.7037037037037035E-2</v>
      </c>
    </row>
    <row r="48" spans="1:19" x14ac:dyDescent="0.35">
      <c r="A48" t="s">
        <v>79</v>
      </c>
      <c r="B48">
        <v>28</v>
      </c>
      <c r="C48">
        <v>5</v>
      </c>
      <c r="D48">
        <v>33</v>
      </c>
      <c r="G48" s="8">
        <v>47</v>
      </c>
      <c r="H48" s="8" t="s">
        <v>79</v>
      </c>
      <c r="I48" s="8">
        <v>28</v>
      </c>
      <c r="J48" s="8">
        <v>5</v>
      </c>
      <c r="K48" s="8">
        <v>33</v>
      </c>
      <c r="L48" s="10">
        <f t="shared" si="0"/>
        <v>0.15151515151515152</v>
      </c>
    </row>
    <row r="49" spans="1:12" x14ac:dyDescent="0.35">
      <c r="A49" t="s">
        <v>80</v>
      </c>
      <c r="B49">
        <v>1165</v>
      </c>
      <c r="C49">
        <v>386</v>
      </c>
      <c r="D49">
        <v>1551</v>
      </c>
      <c r="G49" s="8">
        <v>48</v>
      </c>
      <c r="H49" s="8" t="s">
        <v>95</v>
      </c>
      <c r="I49" s="8">
        <v>872</v>
      </c>
      <c r="J49" s="8">
        <v>386</v>
      </c>
      <c r="K49" s="8">
        <v>1258</v>
      </c>
      <c r="L49" s="10">
        <f t="shared" si="0"/>
        <v>0.30683624801271858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54EFC-D9C2-4111-8F5F-C05BE434F111}">
  <dimension ref="A1:AI68"/>
  <sheetViews>
    <sheetView tabSelected="1" zoomScale="70" zoomScaleNormal="70" workbookViewId="0">
      <selection activeCell="N14" sqref="N14"/>
    </sheetView>
  </sheetViews>
  <sheetFormatPr defaultRowHeight="14.5" x14ac:dyDescent="0.35"/>
  <cols>
    <col min="2" max="2" width="15.54296875" customWidth="1"/>
    <col min="3" max="3" width="23.453125" customWidth="1"/>
    <col min="16" max="16" width="7.90625" customWidth="1"/>
    <col min="29" max="29" width="12.7265625" bestFit="1" customWidth="1"/>
    <col min="30" max="30" width="91.08984375" bestFit="1" customWidth="1"/>
    <col min="31" max="31" width="23.26953125" bestFit="1" customWidth="1"/>
    <col min="32" max="32" width="11.08984375" bestFit="1" customWidth="1"/>
    <col min="33" max="33" width="18.453125" bestFit="1" customWidth="1"/>
    <col min="34" max="34" width="10" bestFit="1" customWidth="1"/>
  </cols>
  <sheetData>
    <row r="1" spans="1:35" x14ac:dyDescent="0.35">
      <c r="D1" s="76" t="s">
        <v>285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T1" s="77" t="s">
        <v>286</v>
      </c>
      <c r="U1" s="77"/>
      <c r="V1" s="77"/>
      <c r="W1" s="77"/>
      <c r="X1" s="77"/>
    </row>
    <row r="2" spans="1:35" ht="15" thickBot="1" x14ac:dyDescent="0.4">
      <c r="A2" s="66" t="s">
        <v>102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11"/>
    </row>
    <row r="3" spans="1:35" ht="48" thickTop="1" thickBot="1" x14ac:dyDescent="0.4">
      <c r="A3" s="67"/>
      <c r="B3" s="68"/>
      <c r="C3" s="69"/>
      <c r="D3" s="59" t="s">
        <v>103</v>
      </c>
      <c r="E3" s="60" t="s">
        <v>104</v>
      </c>
      <c r="F3" s="60" t="s">
        <v>105</v>
      </c>
      <c r="G3" s="60" t="s">
        <v>106</v>
      </c>
      <c r="H3" s="60" t="s">
        <v>107</v>
      </c>
      <c r="I3" s="60" t="s">
        <v>108</v>
      </c>
      <c r="J3" s="60" t="s">
        <v>109</v>
      </c>
      <c r="K3" s="60" t="s">
        <v>110</v>
      </c>
      <c r="L3" s="60" t="s">
        <v>111</v>
      </c>
      <c r="M3" s="60" t="s">
        <v>112</v>
      </c>
      <c r="N3" s="60" t="s">
        <v>113</v>
      </c>
      <c r="O3" s="60" t="s">
        <v>114</v>
      </c>
      <c r="P3" s="60" t="s">
        <v>115</v>
      </c>
      <c r="Q3" s="12" t="s">
        <v>116</v>
      </c>
      <c r="R3" s="12" t="s">
        <v>117</v>
      </c>
      <c r="S3" s="36" t="s">
        <v>118</v>
      </c>
      <c r="T3" s="56" t="s">
        <v>119</v>
      </c>
      <c r="U3" s="57" t="s">
        <v>120</v>
      </c>
      <c r="V3" s="57" t="s">
        <v>121</v>
      </c>
      <c r="W3" s="57" t="s">
        <v>122</v>
      </c>
      <c r="X3" s="58" t="s">
        <v>123</v>
      </c>
      <c r="Y3" s="11"/>
    </row>
    <row r="4" spans="1:35" ht="15" thickTop="1" x14ac:dyDescent="0.35">
      <c r="A4" s="70" t="s">
        <v>124</v>
      </c>
      <c r="B4" s="73" t="s">
        <v>103</v>
      </c>
      <c r="C4" s="13" t="s">
        <v>125</v>
      </c>
      <c r="D4" s="14">
        <v>1</v>
      </c>
      <c r="E4" s="15">
        <v>0.15795559666975023</v>
      </c>
      <c r="F4" s="15">
        <v>-0.2650323774283071</v>
      </c>
      <c r="G4" s="15">
        <v>2.8677150786308975E-2</v>
      </c>
      <c r="H4" s="16" t="s">
        <v>130</v>
      </c>
      <c r="I4" s="16" t="s">
        <v>131</v>
      </c>
      <c r="J4" s="15">
        <v>0.2650323774283071</v>
      </c>
      <c r="K4" s="16" t="s">
        <v>132</v>
      </c>
      <c r="L4" s="16" t="s">
        <v>133</v>
      </c>
      <c r="M4" s="15">
        <v>2.9139685476410732E-2</v>
      </c>
      <c r="N4" s="15">
        <v>-2.9486586493987048E-2</v>
      </c>
      <c r="O4" s="15">
        <v>-8.314061054579093E-2</v>
      </c>
      <c r="P4" s="16" t="s">
        <v>134</v>
      </c>
      <c r="Q4" s="15">
        <v>0.1244218316373728</v>
      </c>
      <c r="R4" s="16" t="s">
        <v>135</v>
      </c>
      <c r="S4" s="37" t="s">
        <v>136</v>
      </c>
      <c r="T4" s="44">
        <v>9.5687154271203653E-2</v>
      </c>
      <c r="U4" s="15">
        <v>8.793899574487736E-2</v>
      </c>
      <c r="V4" s="16" t="s">
        <v>137</v>
      </c>
      <c r="W4" s="16" t="s">
        <v>138</v>
      </c>
      <c r="X4" s="45">
        <v>-0.19380763790585462</v>
      </c>
      <c r="Y4" s="11"/>
      <c r="AC4" t="s">
        <v>103</v>
      </c>
      <c r="AD4" t="s">
        <v>252</v>
      </c>
      <c r="AE4" t="s">
        <v>253</v>
      </c>
      <c r="AF4" t="s">
        <v>254</v>
      </c>
      <c r="AG4" t="s">
        <v>255</v>
      </c>
      <c r="AH4" t="s">
        <v>256</v>
      </c>
      <c r="AI4" t="s">
        <v>257</v>
      </c>
    </row>
    <row r="5" spans="1:35" x14ac:dyDescent="0.35">
      <c r="A5" s="71"/>
      <c r="B5" s="74"/>
      <c r="C5" s="17" t="s">
        <v>126</v>
      </c>
      <c r="D5" s="18"/>
      <c r="E5" s="19">
        <v>0.28896083893878027</v>
      </c>
      <c r="F5" s="19">
        <v>7.1798819064211455E-2</v>
      </c>
      <c r="G5" s="19">
        <v>0.84825459075899678</v>
      </c>
      <c r="H5" s="19">
        <v>1.3808974388896804E-2</v>
      </c>
      <c r="I5" s="19">
        <v>1.3258993041543626E-2</v>
      </c>
      <c r="J5" s="19">
        <v>7.1798819064211455E-2</v>
      </c>
      <c r="K5" s="19">
        <v>1.2611458845021445E-4</v>
      </c>
      <c r="L5" s="19">
        <v>2.1305318656494574E-2</v>
      </c>
      <c r="M5" s="19">
        <v>0.845836506218969</v>
      </c>
      <c r="N5" s="19">
        <v>0.84402386183717082</v>
      </c>
      <c r="O5" s="19">
        <v>0.57848541516579344</v>
      </c>
      <c r="P5" s="19">
        <v>2.2201807964727528E-4</v>
      </c>
      <c r="Q5" s="19">
        <v>0.40469304216106794</v>
      </c>
      <c r="R5" s="19">
        <v>3.9523035684447668E-3</v>
      </c>
      <c r="S5" s="38">
        <v>4.1748160154054401E-2</v>
      </c>
      <c r="T5" s="46">
        <v>0.52229985669015888</v>
      </c>
      <c r="U5" s="19">
        <v>0.55667603577425484</v>
      </c>
      <c r="V5" s="19">
        <v>3.2573066912283857E-2</v>
      </c>
      <c r="W5" s="19">
        <v>4.7042892936484072E-3</v>
      </c>
      <c r="X5" s="47">
        <v>0.19178506663370007</v>
      </c>
      <c r="Y5" s="11"/>
      <c r="AC5" t="s">
        <v>104</v>
      </c>
      <c r="AD5" t="s">
        <v>258</v>
      </c>
      <c r="AE5" t="s">
        <v>259</v>
      </c>
      <c r="AF5" t="s">
        <v>254</v>
      </c>
      <c r="AG5" t="s">
        <v>255</v>
      </c>
      <c r="AH5" t="s">
        <v>260</v>
      </c>
      <c r="AI5" t="s">
        <v>261</v>
      </c>
    </row>
    <row r="6" spans="1:35" x14ac:dyDescent="0.35">
      <c r="A6" s="71"/>
      <c r="B6" s="74"/>
      <c r="C6" s="17" t="s">
        <v>127</v>
      </c>
      <c r="D6" s="20">
        <v>47</v>
      </c>
      <c r="E6" s="21">
        <v>47</v>
      </c>
      <c r="F6" s="21">
        <v>47</v>
      </c>
      <c r="G6" s="21">
        <v>47</v>
      </c>
      <c r="H6" s="21">
        <v>47</v>
      </c>
      <c r="I6" s="21">
        <v>47</v>
      </c>
      <c r="J6" s="21">
        <v>47</v>
      </c>
      <c r="K6" s="21">
        <v>47</v>
      </c>
      <c r="L6" s="21">
        <v>47</v>
      </c>
      <c r="M6" s="21">
        <v>47</v>
      </c>
      <c r="N6" s="21">
        <v>47</v>
      </c>
      <c r="O6" s="21">
        <v>47</v>
      </c>
      <c r="P6" s="21">
        <v>47</v>
      </c>
      <c r="Q6" s="21">
        <v>47</v>
      </c>
      <c r="R6" s="21">
        <v>47</v>
      </c>
      <c r="S6" s="39">
        <v>47</v>
      </c>
      <c r="T6" s="48">
        <v>47</v>
      </c>
      <c r="U6" s="21">
        <v>47</v>
      </c>
      <c r="V6" s="21">
        <v>47</v>
      </c>
      <c r="W6" s="21">
        <v>47</v>
      </c>
      <c r="X6" s="49">
        <v>47</v>
      </c>
      <c r="Y6" s="11"/>
      <c r="AC6" t="s">
        <v>105</v>
      </c>
      <c r="AD6" t="s">
        <v>262</v>
      </c>
      <c r="AE6" t="s">
        <v>263</v>
      </c>
      <c r="AF6" t="s">
        <v>254</v>
      </c>
      <c r="AG6" t="s">
        <v>264</v>
      </c>
      <c r="AH6" t="s">
        <v>256</v>
      </c>
    </row>
    <row r="7" spans="1:35" x14ac:dyDescent="0.35">
      <c r="A7" s="71"/>
      <c r="B7" s="74" t="s">
        <v>104</v>
      </c>
      <c r="C7" s="17" t="s">
        <v>125</v>
      </c>
      <c r="D7" s="22">
        <v>0.15795559666975023</v>
      </c>
      <c r="E7" s="23">
        <v>1</v>
      </c>
      <c r="F7" s="24" t="s">
        <v>139</v>
      </c>
      <c r="G7" s="24" t="s">
        <v>140</v>
      </c>
      <c r="H7" s="19">
        <v>-6.0592044403330249E-2</v>
      </c>
      <c r="I7" s="19">
        <v>-0.26422294172062905</v>
      </c>
      <c r="J7" s="24" t="s">
        <v>141</v>
      </c>
      <c r="K7" s="24" t="s">
        <v>142</v>
      </c>
      <c r="L7" s="24" t="s">
        <v>143</v>
      </c>
      <c r="M7" s="24" t="s">
        <v>144</v>
      </c>
      <c r="N7" s="24" t="s">
        <v>145</v>
      </c>
      <c r="O7" s="24" t="s">
        <v>146</v>
      </c>
      <c r="P7" s="19">
        <v>8.0827937095282146E-2</v>
      </c>
      <c r="Q7" s="30" t="s">
        <v>147</v>
      </c>
      <c r="R7" s="24" t="s">
        <v>148</v>
      </c>
      <c r="S7" s="40" t="s">
        <v>149</v>
      </c>
      <c r="T7" s="50" t="s">
        <v>150</v>
      </c>
      <c r="U7" s="19">
        <v>0.26567077370619735</v>
      </c>
      <c r="V7" s="24" t="s">
        <v>151</v>
      </c>
      <c r="W7" s="24" t="s">
        <v>152</v>
      </c>
      <c r="X7" s="47">
        <v>0.15524269325096052</v>
      </c>
      <c r="Y7" s="11"/>
      <c r="AC7" t="s">
        <v>106</v>
      </c>
      <c r="AD7" t="s">
        <v>265</v>
      </c>
      <c r="AE7" t="s">
        <v>266</v>
      </c>
      <c r="AF7" t="s">
        <v>254</v>
      </c>
      <c r="AG7" t="s">
        <v>264</v>
      </c>
      <c r="AH7" t="s">
        <v>256</v>
      </c>
      <c r="AI7" t="s">
        <v>257</v>
      </c>
    </row>
    <row r="8" spans="1:35" x14ac:dyDescent="0.35">
      <c r="A8" s="71"/>
      <c r="B8" s="74"/>
      <c r="C8" s="17" t="s">
        <v>126</v>
      </c>
      <c r="D8" s="22">
        <v>0.28896083893878027</v>
      </c>
      <c r="E8" s="24"/>
      <c r="F8" s="19">
        <v>2.4681268407435421E-6</v>
      </c>
      <c r="G8" s="19">
        <v>3.334899280311241E-6</v>
      </c>
      <c r="H8" s="19">
        <v>0.68578292013458575</v>
      </c>
      <c r="I8" s="19">
        <v>7.2703346126277144E-2</v>
      </c>
      <c r="J8" s="19">
        <v>2.4681268407435421E-6</v>
      </c>
      <c r="K8" s="19">
        <v>9.3214417064710125E-5</v>
      </c>
      <c r="L8" s="19">
        <v>6.5969972686164263E-4</v>
      </c>
      <c r="M8" s="19">
        <v>6.020180632025486E-16</v>
      </c>
      <c r="N8" s="19">
        <v>5.7190769513672547E-14</v>
      </c>
      <c r="O8" s="19">
        <v>1.4867987556500314E-8</v>
      </c>
      <c r="P8" s="19">
        <v>0.5891335379883671</v>
      </c>
      <c r="Q8" s="31">
        <v>2.4176063715521768E-9</v>
      </c>
      <c r="R8" s="19">
        <v>3.6260166466914514E-5</v>
      </c>
      <c r="S8" s="38">
        <v>5.0942115115628535E-8</v>
      </c>
      <c r="T8" s="46">
        <v>5.7160639937477266E-9</v>
      </c>
      <c r="U8" s="19">
        <v>7.10917265964503E-2</v>
      </c>
      <c r="V8" s="19">
        <v>7.1676008871044078E-3</v>
      </c>
      <c r="W8" s="19">
        <v>9.6802304331255467E-5</v>
      </c>
      <c r="X8" s="47">
        <v>0.29742788098101258</v>
      </c>
      <c r="Y8" s="11"/>
      <c r="AC8" t="s">
        <v>107</v>
      </c>
      <c r="AD8" t="s">
        <v>267</v>
      </c>
      <c r="AE8" t="s">
        <v>268</v>
      </c>
      <c r="AF8" t="s">
        <v>254</v>
      </c>
      <c r="AG8" t="s">
        <v>264</v>
      </c>
      <c r="AH8" t="s">
        <v>256</v>
      </c>
      <c r="AI8" t="s">
        <v>257</v>
      </c>
    </row>
    <row r="9" spans="1:35" x14ac:dyDescent="0.35">
      <c r="A9" s="71"/>
      <c r="B9" s="74"/>
      <c r="C9" s="17" t="s">
        <v>127</v>
      </c>
      <c r="D9" s="20">
        <v>47</v>
      </c>
      <c r="E9" s="21">
        <v>47</v>
      </c>
      <c r="F9" s="21">
        <v>47</v>
      </c>
      <c r="G9" s="21">
        <v>47</v>
      </c>
      <c r="H9" s="21">
        <v>47</v>
      </c>
      <c r="I9" s="21">
        <v>47</v>
      </c>
      <c r="J9" s="21">
        <v>47</v>
      </c>
      <c r="K9" s="21">
        <v>47</v>
      </c>
      <c r="L9" s="21">
        <v>47</v>
      </c>
      <c r="M9" s="21">
        <v>47</v>
      </c>
      <c r="N9" s="21">
        <v>47</v>
      </c>
      <c r="O9" s="21">
        <v>47</v>
      </c>
      <c r="P9" s="21">
        <v>47</v>
      </c>
      <c r="Q9" s="21">
        <v>47</v>
      </c>
      <c r="R9" s="21">
        <v>47</v>
      </c>
      <c r="S9" s="39">
        <v>47</v>
      </c>
      <c r="T9" s="48">
        <v>47</v>
      </c>
      <c r="U9" s="21">
        <v>47</v>
      </c>
      <c r="V9" s="21">
        <v>47</v>
      </c>
      <c r="W9" s="21">
        <v>47</v>
      </c>
      <c r="X9" s="49">
        <v>47</v>
      </c>
      <c r="Y9" s="11"/>
      <c r="AC9" t="s">
        <v>108</v>
      </c>
      <c r="AD9" t="s">
        <v>269</v>
      </c>
      <c r="AE9" t="s">
        <v>270</v>
      </c>
      <c r="AF9" t="s">
        <v>254</v>
      </c>
      <c r="AG9" t="s">
        <v>264</v>
      </c>
      <c r="AH9" t="s">
        <v>256</v>
      </c>
      <c r="AI9" t="s">
        <v>257</v>
      </c>
    </row>
    <row r="10" spans="1:35" x14ac:dyDescent="0.35">
      <c r="A10" s="71"/>
      <c r="B10" s="74" t="s">
        <v>105</v>
      </c>
      <c r="C10" s="17" t="s">
        <v>125</v>
      </c>
      <c r="D10" s="22">
        <v>-0.2650323774283071</v>
      </c>
      <c r="E10" s="24" t="s">
        <v>139</v>
      </c>
      <c r="F10" s="23">
        <v>1</v>
      </c>
      <c r="G10" s="24" t="s">
        <v>153</v>
      </c>
      <c r="H10" s="24" t="s">
        <v>154</v>
      </c>
      <c r="I10" s="19">
        <v>0.27462997224791857</v>
      </c>
      <c r="J10" s="24" t="s">
        <v>155</v>
      </c>
      <c r="K10" s="19">
        <v>0.1435013876040703</v>
      </c>
      <c r="L10" s="19">
        <v>0.23982423681776133</v>
      </c>
      <c r="M10" s="24" t="s">
        <v>156</v>
      </c>
      <c r="N10" s="24" t="s">
        <v>157</v>
      </c>
      <c r="O10" s="24" t="s">
        <v>158</v>
      </c>
      <c r="P10" s="24" t="s">
        <v>159</v>
      </c>
      <c r="Q10" s="28" t="s">
        <v>160</v>
      </c>
      <c r="R10" s="19">
        <v>0.14280758556891768</v>
      </c>
      <c r="S10" s="38">
        <v>0.27382053654024052</v>
      </c>
      <c r="T10" s="50" t="s">
        <v>161</v>
      </c>
      <c r="U10" s="19">
        <v>0.13775950716819391</v>
      </c>
      <c r="V10" s="19">
        <v>7.7733449795329312E-2</v>
      </c>
      <c r="W10" s="19">
        <v>8.794517299912924E-2</v>
      </c>
      <c r="X10" s="47">
        <v>0.24295336947505999</v>
      </c>
      <c r="Y10" s="11"/>
      <c r="AC10" t="s">
        <v>109</v>
      </c>
      <c r="AD10" t="s">
        <v>271</v>
      </c>
      <c r="AE10" t="s">
        <v>272</v>
      </c>
      <c r="AF10" t="s">
        <v>254</v>
      </c>
      <c r="AG10" t="s">
        <v>264</v>
      </c>
      <c r="AH10" t="s">
        <v>256</v>
      </c>
      <c r="AI10" t="s">
        <v>257</v>
      </c>
    </row>
    <row r="11" spans="1:35" x14ac:dyDescent="0.35">
      <c r="A11" s="71"/>
      <c r="B11" s="74"/>
      <c r="C11" s="17" t="s">
        <v>126</v>
      </c>
      <c r="D11" s="22">
        <v>7.1798819064211455E-2</v>
      </c>
      <c r="E11" s="19">
        <v>2.4681268407435421E-6</v>
      </c>
      <c r="F11" s="24"/>
      <c r="G11" s="19">
        <v>3.4680884502046538E-3</v>
      </c>
      <c r="H11" s="19">
        <v>5.2242510185059651E-4</v>
      </c>
      <c r="I11" s="19">
        <v>6.1738609177607498E-2</v>
      </c>
      <c r="J11" s="24"/>
      <c r="K11" s="19">
        <v>0.33590026976996967</v>
      </c>
      <c r="L11" s="19">
        <v>0.10444564252298889</v>
      </c>
      <c r="M11" s="19">
        <v>7.7558747815519949E-6</v>
      </c>
      <c r="N11" s="19">
        <v>4.2948903003784442E-14</v>
      </c>
      <c r="O11" s="19">
        <v>4.2533498219112763E-13</v>
      </c>
      <c r="P11" s="19">
        <v>1.5558825628623228E-6</v>
      </c>
      <c r="Q11" s="29">
        <v>4.4948305320177606E-3</v>
      </c>
      <c r="R11" s="19">
        <v>0.33826635022113427</v>
      </c>
      <c r="S11" s="38">
        <v>6.2540934900857312E-2</v>
      </c>
      <c r="T11" s="46">
        <v>1.1383025517859507E-2</v>
      </c>
      <c r="U11" s="19">
        <v>0.35579184758244597</v>
      </c>
      <c r="V11" s="19">
        <v>0.60351630925337618</v>
      </c>
      <c r="W11" s="19">
        <v>0.55664821075916271</v>
      </c>
      <c r="X11" s="47">
        <v>9.9864200095534941E-2</v>
      </c>
      <c r="Y11" s="11"/>
      <c r="AC11" t="s">
        <v>110</v>
      </c>
      <c r="AD11" t="s">
        <v>273</v>
      </c>
      <c r="AE11" t="s">
        <v>274</v>
      </c>
      <c r="AF11" t="s">
        <v>254</v>
      </c>
      <c r="AG11" t="s">
        <v>264</v>
      </c>
      <c r="AH11" t="s">
        <v>256</v>
      </c>
      <c r="AI11" t="s">
        <v>257</v>
      </c>
    </row>
    <row r="12" spans="1:35" x14ac:dyDescent="0.35">
      <c r="A12" s="71"/>
      <c r="B12" s="74"/>
      <c r="C12" s="17" t="s">
        <v>127</v>
      </c>
      <c r="D12" s="20">
        <v>47</v>
      </c>
      <c r="E12" s="21">
        <v>47</v>
      </c>
      <c r="F12" s="21">
        <v>47</v>
      </c>
      <c r="G12" s="21">
        <v>47</v>
      </c>
      <c r="H12" s="21">
        <v>47</v>
      </c>
      <c r="I12" s="21">
        <v>47</v>
      </c>
      <c r="J12" s="21">
        <v>47</v>
      </c>
      <c r="K12" s="21">
        <v>47</v>
      </c>
      <c r="L12" s="21">
        <v>47</v>
      </c>
      <c r="M12" s="21">
        <v>47</v>
      </c>
      <c r="N12" s="21">
        <v>47</v>
      </c>
      <c r="O12" s="21">
        <v>47</v>
      </c>
      <c r="P12" s="21">
        <v>47</v>
      </c>
      <c r="Q12" s="21">
        <v>47</v>
      </c>
      <c r="R12" s="21">
        <v>47</v>
      </c>
      <c r="S12" s="39">
        <v>47</v>
      </c>
      <c r="T12" s="48">
        <v>47</v>
      </c>
      <c r="U12" s="21">
        <v>47</v>
      </c>
      <c r="V12" s="21">
        <v>47</v>
      </c>
      <c r="W12" s="21">
        <v>47</v>
      </c>
      <c r="X12" s="49">
        <v>47</v>
      </c>
      <c r="Y12" s="11"/>
      <c r="AC12" t="s">
        <v>111</v>
      </c>
      <c r="AD12" t="s">
        <v>275</v>
      </c>
      <c r="AE12" t="s">
        <v>276</v>
      </c>
      <c r="AF12" t="s">
        <v>254</v>
      </c>
      <c r="AG12" t="s">
        <v>264</v>
      </c>
      <c r="AH12" t="s">
        <v>256</v>
      </c>
      <c r="AI12" t="s">
        <v>257</v>
      </c>
    </row>
    <row r="13" spans="1:35" x14ac:dyDescent="0.35">
      <c r="A13" s="71"/>
      <c r="B13" s="74" t="s">
        <v>106</v>
      </c>
      <c r="C13" s="17" t="s">
        <v>125</v>
      </c>
      <c r="D13" s="22">
        <v>2.8677150786308975E-2</v>
      </c>
      <c r="E13" s="24" t="s">
        <v>140</v>
      </c>
      <c r="F13" s="24" t="s">
        <v>153</v>
      </c>
      <c r="G13" s="23">
        <v>1</v>
      </c>
      <c r="H13" s="24" t="s">
        <v>162</v>
      </c>
      <c r="I13" s="24" t="s">
        <v>163</v>
      </c>
      <c r="J13" s="24" t="s">
        <v>164</v>
      </c>
      <c r="K13" s="24" t="s">
        <v>165</v>
      </c>
      <c r="L13" s="24" t="s">
        <v>166</v>
      </c>
      <c r="M13" s="24" t="s">
        <v>167</v>
      </c>
      <c r="N13" s="24" t="s">
        <v>168</v>
      </c>
      <c r="O13" s="19">
        <v>0.17946345975948197</v>
      </c>
      <c r="P13" s="19">
        <v>-2.2779833487511562E-2</v>
      </c>
      <c r="Q13" s="28" t="s">
        <v>169</v>
      </c>
      <c r="R13" s="24" t="s">
        <v>170</v>
      </c>
      <c r="S13" s="40" t="s">
        <v>171</v>
      </c>
      <c r="T13" s="50" t="s">
        <v>172</v>
      </c>
      <c r="U13" s="19">
        <v>0.20646546827058163</v>
      </c>
      <c r="V13" s="24" t="s">
        <v>173</v>
      </c>
      <c r="W13" s="24" t="s">
        <v>174</v>
      </c>
      <c r="X13" s="51" t="s">
        <v>175</v>
      </c>
      <c r="Y13" s="11"/>
      <c r="AC13" t="s">
        <v>112</v>
      </c>
      <c r="AD13" t="s">
        <v>277</v>
      </c>
      <c r="AE13" t="s">
        <v>278</v>
      </c>
      <c r="AF13" t="s">
        <v>254</v>
      </c>
      <c r="AG13" t="s">
        <v>264</v>
      </c>
      <c r="AH13" t="s">
        <v>260</v>
      </c>
      <c r="AI13" t="s">
        <v>261</v>
      </c>
    </row>
    <row r="14" spans="1:35" x14ac:dyDescent="0.35">
      <c r="A14" s="71"/>
      <c r="B14" s="74"/>
      <c r="C14" s="17" t="s">
        <v>126</v>
      </c>
      <c r="D14" s="22">
        <v>0.84825459075899678</v>
      </c>
      <c r="E14" s="19">
        <v>3.334899280311241E-6</v>
      </c>
      <c r="F14" s="19">
        <v>3.4680884502046538E-3</v>
      </c>
      <c r="G14" s="24"/>
      <c r="H14" s="19">
        <v>1.1213389355308847E-4</v>
      </c>
      <c r="I14" s="19">
        <v>1.6009930932018543E-6</v>
      </c>
      <c r="J14" s="19">
        <v>3.4680884502046538E-3</v>
      </c>
      <c r="K14" s="19">
        <v>3.1035164077367185E-13</v>
      </c>
      <c r="L14" s="19">
        <v>2.6914217844882939E-15</v>
      </c>
      <c r="M14" s="19">
        <v>3.1468105591860942E-16</v>
      </c>
      <c r="N14" s="19">
        <v>1.88224979963676E-2</v>
      </c>
      <c r="O14" s="19">
        <v>0.22741734469205635</v>
      </c>
      <c r="P14" s="19">
        <v>0.87919877077044462</v>
      </c>
      <c r="Q14" s="29">
        <v>1.9196821192136006E-6</v>
      </c>
      <c r="R14" s="19">
        <v>3.7442000883541302E-4</v>
      </c>
      <c r="S14" s="38">
        <v>3.1247103516284039E-6</v>
      </c>
      <c r="T14" s="46">
        <v>4.76401716474733E-6</v>
      </c>
      <c r="U14" s="19">
        <v>0.16380264228001279</v>
      </c>
      <c r="V14" s="19">
        <v>4.4036391223178685E-3</v>
      </c>
      <c r="W14" s="19">
        <v>5.5877768678688641E-7</v>
      </c>
      <c r="X14" s="47">
        <v>1.4311190659065766E-3</v>
      </c>
      <c r="Y14" s="11"/>
      <c r="AC14" t="s">
        <v>113</v>
      </c>
      <c r="AD14" t="s">
        <v>279</v>
      </c>
      <c r="AE14" t="s">
        <v>280</v>
      </c>
      <c r="AF14" t="s">
        <v>254</v>
      </c>
      <c r="AG14" t="s">
        <v>264</v>
      </c>
      <c r="AH14" t="s">
        <v>260</v>
      </c>
      <c r="AI14" t="s">
        <v>261</v>
      </c>
    </row>
    <row r="15" spans="1:35" x14ac:dyDescent="0.35">
      <c r="A15" s="71"/>
      <c r="B15" s="74"/>
      <c r="C15" s="17" t="s">
        <v>127</v>
      </c>
      <c r="D15" s="20">
        <v>47</v>
      </c>
      <c r="E15" s="21">
        <v>47</v>
      </c>
      <c r="F15" s="21">
        <v>47</v>
      </c>
      <c r="G15" s="21">
        <v>47</v>
      </c>
      <c r="H15" s="21">
        <v>47</v>
      </c>
      <c r="I15" s="21">
        <v>47</v>
      </c>
      <c r="J15" s="21">
        <v>47</v>
      </c>
      <c r="K15" s="21">
        <v>47</v>
      </c>
      <c r="L15" s="21">
        <v>47</v>
      </c>
      <c r="M15" s="21">
        <v>47</v>
      </c>
      <c r="N15" s="21">
        <v>47</v>
      </c>
      <c r="O15" s="21">
        <v>47</v>
      </c>
      <c r="P15" s="21">
        <v>47</v>
      </c>
      <c r="Q15" s="21">
        <v>47</v>
      </c>
      <c r="R15" s="21">
        <v>47</v>
      </c>
      <c r="S15" s="39">
        <v>47</v>
      </c>
      <c r="T15" s="48">
        <v>47</v>
      </c>
      <c r="U15" s="21">
        <v>47</v>
      </c>
      <c r="V15" s="21">
        <v>47</v>
      </c>
      <c r="W15" s="21">
        <v>47</v>
      </c>
      <c r="X15" s="49">
        <v>47</v>
      </c>
      <c r="Y15" s="11"/>
      <c r="AC15" t="s">
        <v>114</v>
      </c>
      <c r="AD15" t="s">
        <v>281</v>
      </c>
      <c r="AE15" t="s">
        <v>282</v>
      </c>
      <c r="AF15" t="s">
        <v>254</v>
      </c>
      <c r="AG15" t="s">
        <v>264</v>
      </c>
      <c r="AH15" t="s">
        <v>260</v>
      </c>
      <c r="AI15" t="s">
        <v>261</v>
      </c>
    </row>
    <row r="16" spans="1:35" x14ac:dyDescent="0.35">
      <c r="A16" s="71"/>
      <c r="B16" s="74" t="s">
        <v>107</v>
      </c>
      <c r="C16" s="17" t="s">
        <v>125</v>
      </c>
      <c r="D16" s="18" t="s">
        <v>130</v>
      </c>
      <c r="E16" s="19">
        <v>-6.0592044403330249E-2</v>
      </c>
      <c r="F16" s="24" t="s">
        <v>154</v>
      </c>
      <c r="G16" s="24" t="s">
        <v>162</v>
      </c>
      <c r="H16" s="23">
        <v>1</v>
      </c>
      <c r="I16" s="24" t="s">
        <v>176</v>
      </c>
      <c r="J16" s="24" t="s">
        <v>177</v>
      </c>
      <c r="K16" s="24" t="s">
        <v>178</v>
      </c>
      <c r="L16" s="24" t="s">
        <v>179</v>
      </c>
      <c r="M16" s="19">
        <v>-0.27520814061054577</v>
      </c>
      <c r="N16" s="24" t="s">
        <v>180</v>
      </c>
      <c r="O16" s="24" t="s">
        <v>181</v>
      </c>
      <c r="P16" s="24" t="s">
        <v>182</v>
      </c>
      <c r="Q16" s="19">
        <v>-0.24074930619796484</v>
      </c>
      <c r="R16" s="24" t="s">
        <v>183</v>
      </c>
      <c r="S16" s="40" t="s">
        <v>184</v>
      </c>
      <c r="T16" s="50" t="s">
        <v>185</v>
      </c>
      <c r="U16" s="19">
        <v>-8.1045227303744027E-2</v>
      </c>
      <c r="V16" s="24" t="s">
        <v>186</v>
      </c>
      <c r="W16" s="24" t="s">
        <v>187</v>
      </c>
      <c r="X16" s="47">
        <v>-0.14298516961252342</v>
      </c>
      <c r="Y16" s="11"/>
      <c r="AC16" t="s">
        <v>115</v>
      </c>
      <c r="AD16" t="s">
        <v>283</v>
      </c>
      <c r="AE16" t="s">
        <v>284</v>
      </c>
      <c r="AF16" t="s">
        <v>254</v>
      </c>
      <c r="AG16" t="s">
        <v>264</v>
      </c>
      <c r="AH16" t="s">
        <v>260</v>
      </c>
      <c r="AI16" t="s">
        <v>261</v>
      </c>
    </row>
    <row r="17" spans="1:25" x14ac:dyDescent="0.35">
      <c r="A17" s="71"/>
      <c r="B17" s="74"/>
      <c r="C17" s="17" t="s">
        <v>126</v>
      </c>
      <c r="D17" s="22">
        <v>1.3808974388896804E-2</v>
      </c>
      <c r="E17" s="19">
        <v>0.68578292013458575</v>
      </c>
      <c r="F17" s="19">
        <v>5.2242510185059651E-4</v>
      </c>
      <c r="G17" s="19">
        <v>1.1213389355308847E-4</v>
      </c>
      <c r="H17" s="24"/>
      <c r="I17" s="19">
        <v>1.9478079866936958E-16</v>
      </c>
      <c r="J17" s="19">
        <v>5.2242510185059651E-4</v>
      </c>
      <c r="K17" s="19">
        <v>2.4643586290848879E-7</v>
      </c>
      <c r="L17" s="19">
        <v>1.0533225604759791E-5</v>
      </c>
      <c r="M17" s="19">
        <v>6.1170574972325351E-2</v>
      </c>
      <c r="N17" s="19">
        <v>6.9219448044634006E-3</v>
      </c>
      <c r="O17" s="19">
        <v>1.1259146022297156E-4</v>
      </c>
      <c r="P17" s="19">
        <v>4.9444884881546383E-5</v>
      </c>
      <c r="Q17" s="19">
        <v>0.10307475175794431</v>
      </c>
      <c r="R17" s="19">
        <v>7.7024102722717414E-3</v>
      </c>
      <c r="S17" s="38">
        <v>1.0413786895442496E-2</v>
      </c>
      <c r="T17" s="46">
        <v>4.9028959627982191E-2</v>
      </c>
      <c r="U17" s="19">
        <v>0.58812937007944222</v>
      </c>
      <c r="V17" s="19">
        <v>7.2523813450711414E-3</v>
      </c>
      <c r="W17" s="19">
        <v>2.4034535006418287E-4</v>
      </c>
      <c r="X17" s="47">
        <v>0.33765975117503866</v>
      </c>
      <c r="Y17" s="11"/>
    </row>
    <row r="18" spans="1:25" x14ac:dyDescent="0.35">
      <c r="A18" s="71"/>
      <c r="B18" s="74"/>
      <c r="C18" s="17" t="s">
        <v>127</v>
      </c>
      <c r="D18" s="20">
        <v>47</v>
      </c>
      <c r="E18" s="21">
        <v>47</v>
      </c>
      <c r="F18" s="21">
        <v>47</v>
      </c>
      <c r="G18" s="21">
        <v>47</v>
      </c>
      <c r="H18" s="21">
        <v>47</v>
      </c>
      <c r="I18" s="21">
        <v>47</v>
      </c>
      <c r="J18" s="21">
        <v>47</v>
      </c>
      <c r="K18" s="21">
        <v>47</v>
      </c>
      <c r="L18" s="21">
        <v>47</v>
      </c>
      <c r="M18" s="21">
        <v>47</v>
      </c>
      <c r="N18" s="21">
        <v>47</v>
      </c>
      <c r="O18" s="21">
        <v>47</v>
      </c>
      <c r="P18" s="21">
        <v>47</v>
      </c>
      <c r="Q18" s="21">
        <v>47</v>
      </c>
      <c r="R18" s="21">
        <v>47</v>
      </c>
      <c r="S18" s="39">
        <v>47</v>
      </c>
      <c r="T18" s="48">
        <v>47</v>
      </c>
      <c r="U18" s="21">
        <v>47</v>
      </c>
      <c r="V18" s="21">
        <v>47</v>
      </c>
      <c r="W18" s="21">
        <v>47</v>
      </c>
      <c r="X18" s="49">
        <v>47</v>
      </c>
      <c r="Y18" s="11"/>
    </row>
    <row r="19" spans="1:25" x14ac:dyDescent="0.35">
      <c r="A19" s="71"/>
      <c r="B19" s="74" t="s">
        <v>108</v>
      </c>
      <c r="C19" s="17" t="s">
        <v>125</v>
      </c>
      <c r="D19" s="18" t="s">
        <v>131</v>
      </c>
      <c r="E19" s="19">
        <v>-0.26422294172062905</v>
      </c>
      <c r="F19" s="19">
        <v>0.27462997224791857</v>
      </c>
      <c r="G19" s="24" t="s">
        <v>163</v>
      </c>
      <c r="H19" s="24" t="s">
        <v>176</v>
      </c>
      <c r="I19" s="23">
        <v>1</v>
      </c>
      <c r="J19" s="19">
        <v>-0.27462997224791857</v>
      </c>
      <c r="K19" s="24" t="s">
        <v>188</v>
      </c>
      <c r="L19" s="24" t="s">
        <v>189</v>
      </c>
      <c r="M19" s="24" t="s">
        <v>190</v>
      </c>
      <c r="N19" s="19">
        <v>0.13783533765032377</v>
      </c>
      <c r="O19" s="24" t="s">
        <v>191</v>
      </c>
      <c r="P19" s="24" t="s">
        <v>192</v>
      </c>
      <c r="Q19" s="24" t="s">
        <v>193</v>
      </c>
      <c r="R19" s="24" t="s">
        <v>194</v>
      </c>
      <c r="S19" s="40" t="s">
        <v>195</v>
      </c>
      <c r="T19" s="50" t="s">
        <v>196</v>
      </c>
      <c r="U19" s="19">
        <v>-0.18393037647561636</v>
      </c>
      <c r="V19" s="24" t="s">
        <v>197</v>
      </c>
      <c r="W19" s="24" t="s">
        <v>198</v>
      </c>
      <c r="X19" s="47">
        <v>-9.5400537751986911E-2</v>
      </c>
      <c r="Y19" s="11"/>
    </row>
    <row r="20" spans="1:25" x14ac:dyDescent="0.35">
      <c r="A20" s="71"/>
      <c r="B20" s="74"/>
      <c r="C20" s="17" t="s">
        <v>126</v>
      </c>
      <c r="D20" s="22">
        <v>1.3258993041543626E-2</v>
      </c>
      <c r="E20" s="19">
        <v>7.2703346126277144E-2</v>
      </c>
      <c r="F20" s="19">
        <v>6.1738609177607498E-2</v>
      </c>
      <c r="G20" s="19">
        <v>1.6009930932018543E-6</v>
      </c>
      <c r="H20" s="19">
        <v>1.9478079866936958E-16</v>
      </c>
      <c r="I20" s="24"/>
      <c r="J20" s="19">
        <v>6.1738609177607498E-2</v>
      </c>
      <c r="K20" s="19">
        <v>2.1573394317959076E-9</v>
      </c>
      <c r="L20" s="19">
        <v>4.9849688934007521E-8</v>
      </c>
      <c r="M20" s="19">
        <v>1.1306108112668157E-3</v>
      </c>
      <c r="N20" s="19">
        <v>0.35552456280311162</v>
      </c>
      <c r="O20" s="19">
        <v>4.6595078469034417E-3</v>
      </c>
      <c r="P20" s="19">
        <v>6.5479008920685223E-5</v>
      </c>
      <c r="Q20" s="19">
        <v>5.5494972226711485E-3</v>
      </c>
      <c r="R20" s="19">
        <v>2.9842020088052734E-3</v>
      </c>
      <c r="S20" s="38">
        <v>8.341282838111089E-4</v>
      </c>
      <c r="T20" s="46">
        <v>3.3199394660507319E-3</v>
      </c>
      <c r="U20" s="19">
        <v>0.21586462405072887</v>
      </c>
      <c r="V20" s="19">
        <v>4.534036308737591E-3</v>
      </c>
      <c r="W20" s="19">
        <v>1.5895457025719545E-5</v>
      </c>
      <c r="X20" s="47">
        <v>0.52355243966376142</v>
      </c>
      <c r="Y20" s="11"/>
    </row>
    <row r="21" spans="1:25" x14ac:dyDescent="0.35">
      <c r="A21" s="71"/>
      <c r="B21" s="74"/>
      <c r="C21" s="17" t="s">
        <v>127</v>
      </c>
      <c r="D21" s="20">
        <v>47</v>
      </c>
      <c r="E21" s="21">
        <v>47</v>
      </c>
      <c r="F21" s="21">
        <v>47</v>
      </c>
      <c r="G21" s="21">
        <v>47</v>
      </c>
      <c r="H21" s="21">
        <v>47</v>
      </c>
      <c r="I21" s="21">
        <v>47</v>
      </c>
      <c r="J21" s="21">
        <v>47</v>
      </c>
      <c r="K21" s="21">
        <v>47</v>
      </c>
      <c r="L21" s="21">
        <v>47</v>
      </c>
      <c r="M21" s="21">
        <v>47</v>
      </c>
      <c r="N21" s="21">
        <v>47</v>
      </c>
      <c r="O21" s="21">
        <v>47</v>
      </c>
      <c r="P21" s="21">
        <v>47</v>
      </c>
      <c r="Q21" s="21">
        <v>47</v>
      </c>
      <c r="R21" s="21">
        <v>47</v>
      </c>
      <c r="S21" s="39">
        <v>47</v>
      </c>
      <c r="T21" s="48">
        <v>47</v>
      </c>
      <c r="U21" s="21">
        <v>47</v>
      </c>
      <c r="V21" s="21">
        <v>47</v>
      </c>
      <c r="W21" s="21">
        <v>47</v>
      </c>
      <c r="X21" s="49">
        <v>47</v>
      </c>
      <c r="Y21" s="11"/>
    </row>
    <row r="22" spans="1:25" x14ac:dyDescent="0.35">
      <c r="A22" s="71"/>
      <c r="B22" s="74" t="s">
        <v>109</v>
      </c>
      <c r="C22" s="17" t="s">
        <v>125</v>
      </c>
      <c r="D22" s="22">
        <v>0.2650323774283071</v>
      </c>
      <c r="E22" s="24" t="s">
        <v>141</v>
      </c>
      <c r="F22" s="24" t="s">
        <v>155</v>
      </c>
      <c r="G22" s="24" t="s">
        <v>164</v>
      </c>
      <c r="H22" s="24" t="s">
        <v>177</v>
      </c>
      <c r="I22" s="19">
        <v>-0.27462997224791857</v>
      </c>
      <c r="J22" s="23">
        <v>1</v>
      </c>
      <c r="K22" s="19">
        <v>-0.1435013876040703</v>
      </c>
      <c r="L22" s="19">
        <v>-0.23982423681776133</v>
      </c>
      <c r="M22" s="24" t="s">
        <v>199</v>
      </c>
      <c r="N22" s="24" t="s">
        <v>200</v>
      </c>
      <c r="O22" s="24" t="s">
        <v>201</v>
      </c>
      <c r="P22" s="24" t="s">
        <v>202</v>
      </c>
      <c r="Q22" s="28" t="s">
        <v>197</v>
      </c>
      <c r="R22" s="19">
        <v>-0.14280758556891768</v>
      </c>
      <c r="S22" s="38">
        <v>-0.27382053654024052</v>
      </c>
      <c r="T22" s="50" t="s">
        <v>203</v>
      </c>
      <c r="U22" s="19">
        <v>-0.13775950716819391</v>
      </c>
      <c r="V22" s="19">
        <v>-7.7733449795329312E-2</v>
      </c>
      <c r="W22" s="19">
        <v>-8.794517299912924E-2</v>
      </c>
      <c r="X22" s="47">
        <v>-0.24295336947505999</v>
      </c>
      <c r="Y22" s="11"/>
    </row>
    <row r="23" spans="1:25" x14ac:dyDescent="0.35">
      <c r="A23" s="71"/>
      <c r="B23" s="74"/>
      <c r="C23" s="17" t="s">
        <v>126</v>
      </c>
      <c r="D23" s="22">
        <v>7.1798819064211455E-2</v>
      </c>
      <c r="E23" s="19">
        <v>2.4681268407435421E-6</v>
      </c>
      <c r="F23" s="24"/>
      <c r="G23" s="19">
        <v>3.4680884502046538E-3</v>
      </c>
      <c r="H23" s="19">
        <v>5.2242510185059651E-4</v>
      </c>
      <c r="I23" s="19">
        <v>6.1738609177607498E-2</v>
      </c>
      <c r="J23" s="24"/>
      <c r="K23" s="19">
        <v>0.33590026976996967</v>
      </c>
      <c r="L23" s="19">
        <v>0.10444564252298889</v>
      </c>
      <c r="M23" s="19">
        <v>7.7558747815519949E-6</v>
      </c>
      <c r="N23" s="19">
        <v>4.2948903003784442E-14</v>
      </c>
      <c r="O23" s="19">
        <v>4.2533498219112763E-13</v>
      </c>
      <c r="P23" s="19">
        <v>1.5558825628623228E-6</v>
      </c>
      <c r="Q23" s="29">
        <v>4.4948305320177606E-3</v>
      </c>
      <c r="R23" s="19">
        <v>0.33826635022113427</v>
      </c>
      <c r="S23" s="38">
        <v>6.2540934900857312E-2</v>
      </c>
      <c r="T23" s="46">
        <v>1.1383025517859507E-2</v>
      </c>
      <c r="U23" s="19">
        <v>0.35579184758244597</v>
      </c>
      <c r="V23" s="19">
        <v>0.60351630925337618</v>
      </c>
      <c r="W23" s="19">
        <v>0.55664821075916271</v>
      </c>
      <c r="X23" s="47">
        <v>9.9864200095534941E-2</v>
      </c>
      <c r="Y23" s="11"/>
    </row>
    <row r="24" spans="1:25" x14ac:dyDescent="0.35">
      <c r="A24" s="71"/>
      <c r="B24" s="74"/>
      <c r="C24" s="17" t="s">
        <v>127</v>
      </c>
      <c r="D24" s="20">
        <v>47</v>
      </c>
      <c r="E24" s="21">
        <v>47</v>
      </c>
      <c r="F24" s="21">
        <v>47</v>
      </c>
      <c r="G24" s="21">
        <v>47</v>
      </c>
      <c r="H24" s="21">
        <v>47</v>
      </c>
      <c r="I24" s="21">
        <v>47</v>
      </c>
      <c r="J24" s="21">
        <v>47</v>
      </c>
      <c r="K24" s="21">
        <v>47</v>
      </c>
      <c r="L24" s="21">
        <v>47</v>
      </c>
      <c r="M24" s="21">
        <v>47</v>
      </c>
      <c r="N24" s="21">
        <v>47</v>
      </c>
      <c r="O24" s="21">
        <v>47</v>
      </c>
      <c r="P24" s="21">
        <v>47</v>
      </c>
      <c r="Q24" s="21">
        <v>47</v>
      </c>
      <c r="R24" s="21">
        <v>47</v>
      </c>
      <c r="S24" s="39">
        <v>47</v>
      </c>
      <c r="T24" s="48">
        <v>47</v>
      </c>
      <c r="U24" s="21">
        <v>47</v>
      </c>
      <c r="V24" s="21">
        <v>47</v>
      </c>
      <c r="W24" s="21">
        <v>47</v>
      </c>
      <c r="X24" s="49">
        <v>47</v>
      </c>
      <c r="Y24" s="11"/>
    </row>
    <row r="25" spans="1:25" x14ac:dyDescent="0.35">
      <c r="A25" s="71"/>
      <c r="B25" s="74" t="s">
        <v>110</v>
      </c>
      <c r="C25" s="17" t="s">
        <v>125</v>
      </c>
      <c r="D25" s="18" t="s">
        <v>132</v>
      </c>
      <c r="E25" s="24" t="s">
        <v>142</v>
      </c>
      <c r="F25" s="19">
        <v>0.1435013876040703</v>
      </c>
      <c r="G25" s="24" t="s">
        <v>165</v>
      </c>
      <c r="H25" s="24" t="s">
        <v>178</v>
      </c>
      <c r="I25" s="24" t="s">
        <v>188</v>
      </c>
      <c r="J25" s="19">
        <v>-0.1435013876040703</v>
      </c>
      <c r="K25" s="23">
        <v>1</v>
      </c>
      <c r="L25" s="24" t="s">
        <v>204</v>
      </c>
      <c r="M25" s="24" t="s">
        <v>205</v>
      </c>
      <c r="N25" s="19">
        <v>0.19357076780758556</v>
      </c>
      <c r="O25" s="19">
        <v>2.2664199814986123E-2</v>
      </c>
      <c r="P25" s="19">
        <v>0.27150786308973174</v>
      </c>
      <c r="Q25" s="28" t="s">
        <v>206</v>
      </c>
      <c r="R25" s="24" t="s">
        <v>140</v>
      </c>
      <c r="S25" s="40" t="s">
        <v>207</v>
      </c>
      <c r="T25" s="50" t="s">
        <v>208</v>
      </c>
      <c r="U25" s="19">
        <v>0.19140345318911384</v>
      </c>
      <c r="V25" s="24" t="s">
        <v>209</v>
      </c>
      <c r="W25" s="24" t="s">
        <v>150</v>
      </c>
      <c r="X25" s="51" t="s">
        <v>210</v>
      </c>
      <c r="Y25" s="11"/>
    </row>
    <row r="26" spans="1:25" x14ac:dyDescent="0.35">
      <c r="A26" s="71"/>
      <c r="B26" s="74"/>
      <c r="C26" s="17" t="s">
        <v>126</v>
      </c>
      <c r="D26" s="22">
        <v>1.2611458845021445E-4</v>
      </c>
      <c r="E26" s="19">
        <v>9.3214417064710125E-5</v>
      </c>
      <c r="F26" s="19">
        <v>0.33590026976996967</v>
      </c>
      <c r="G26" s="19">
        <v>3.1035164077367185E-13</v>
      </c>
      <c r="H26" s="19">
        <v>2.4643586290848879E-7</v>
      </c>
      <c r="I26" s="19">
        <v>2.1573394317959076E-9</v>
      </c>
      <c r="J26" s="19">
        <v>0.33590026976996967</v>
      </c>
      <c r="K26" s="24"/>
      <c r="L26" s="19">
        <v>3.7421504259961745E-18</v>
      </c>
      <c r="M26" s="19">
        <v>4.8322815273648819E-9</v>
      </c>
      <c r="N26" s="19">
        <v>0.19233919383359865</v>
      </c>
      <c r="O26" s="19">
        <v>0.87980746062411697</v>
      </c>
      <c r="P26" s="19">
        <v>6.4879273626041817E-2</v>
      </c>
      <c r="Q26" s="29">
        <v>5.5129466128113308E-5</v>
      </c>
      <c r="R26" s="19">
        <v>3.3529930477004541E-6</v>
      </c>
      <c r="S26" s="38">
        <v>8.8837470468715831E-7</v>
      </c>
      <c r="T26" s="46">
        <v>1.9348259916734316E-4</v>
      </c>
      <c r="U26" s="19">
        <v>0.19746221077462145</v>
      </c>
      <c r="V26" s="19">
        <v>4.7576170757546639E-5</v>
      </c>
      <c r="W26" s="19">
        <v>5.6345782016285598E-9</v>
      </c>
      <c r="X26" s="47">
        <v>4.8317561756456462E-2</v>
      </c>
      <c r="Y26" s="11"/>
    </row>
    <row r="27" spans="1:25" x14ac:dyDescent="0.35">
      <c r="A27" s="71"/>
      <c r="B27" s="74"/>
      <c r="C27" s="17" t="s">
        <v>127</v>
      </c>
      <c r="D27" s="20">
        <v>47</v>
      </c>
      <c r="E27" s="21">
        <v>47</v>
      </c>
      <c r="F27" s="21">
        <v>47</v>
      </c>
      <c r="G27" s="21">
        <v>47</v>
      </c>
      <c r="H27" s="21">
        <v>47</v>
      </c>
      <c r="I27" s="21">
        <v>47</v>
      </c>
      <c r="J27" s="21">
        <v>47</v>
      </c>
      <c r="K27" s="21">
        <v>47</v>
      </c>
      <c r="L27" s="21">
        <v>47</v>
      </c>
      <c r="M27" s="21">
        <v>47</v>
      </c>
      <c r="N27" s="21">
        <v>47</v>
      </c>
      <c r="O27" s="21">
        <v>47</v>
      </c>
      <c r="P27" s="21">
        <v>47</v>
      </c>
      <c r="Q27" s="21">
        <v>47</v>
      </c>
      <c r="R27" s="21">
        <v>47</v>
      </c>
      <c r="S27" s="39">
        <v>47</v>
      </c>
      <c r="T27" s="48">
        <v>47</v>
      </c>
      <c r="U27" s="21">
        <v>47</v>
      </c>
      <c r="V27" s="21">
        <v>47</v>
      </c>
      <c r="W27" s="21">
        <v>47</v>
      </c>
      <c r="X27" s="49">
        <v>47</v>
      </c>
      <c r="Y27" s="11"/>
    </row>
    <row r="28" spans="1:25" x14ac:dyDescent="0.35">
      <c r="A28" s="71"/>
      <c r="B28" s="74" t="s">
        <v>111</v>
      </c>
      <c r="C28" s="17" t="s">
        <v>125</v>
      </c>
      <c r="D28" s="18" t="s">
        <v>133</v>
      </c>
      <c r="E28" s="24" t="s">
        <v>143</v>
      </c>
      <c r="F28" s="19">
        <v>0.23982423681776133</v>
      </c>
      <c r="G28" s="24" t="s">
        <v>166</v>
      </c>
      <c r="H28" s="24" t="s">
        <v>179</v>
      </c>
      <c r="I28" s="24" t="s">
        <v>189</v>
      </c>
      <c r="J28" s="19">
        <v>-0.23982423681776133</v>
      </c>
      <c r="K28" s="24" t="s">
        <v>204</v>
      </c>
      <c r="L28" s="23">
        <v>1</v>
      </c>
      <c r="M28" s="24" t="s">
        <v>211</v>
      </c>
      <c r="N28" s="19">
        <v>0.19484273820536541</v>
      </c>
      <c r="O28" s="19">
        <v>2.8561517113783533E-2</v>
      </c>
      <c r="P28" s="19">
        <v>0.10696114708603145</v>
      </c>
      <c r="Q28" s="28" t="s">
        <v>212</v>
      </c>
      <c r="R28" s="24" t="s">
        <v>213</v>
      </c>
      <c r="S28" s="40" t="s">
        <v>214</v>
      </c>
      <c r="T28" s="50" t="s">
        <v>215</v>
      </c>
      <c r="U28" s="19">
        <v>0.18618967873783651</v>
      </c>
      <c r="V28" s="24" t="s">
        <v>216</v>
      </c>
      <c r="W28" s="24" t="s">
        <v>217</v>
      </c>
      <c r="X28" s="51" t="s">
        <v>218</v>
      </c>
      <c r="Y28" s="11"/>
    </row>
    <row r="29" spans="1:25" x14ac:dyDescent="0.35">
      <c r="A29" s="71"/>
      <c r="B29" s="74"/>
      <c r="C29" s="17" t="s">
        <v>126</v>
      </c>
      <c r="D29" s="22">
        <v>2.1305318656494574E-2</v>
      </c>
      <c r="E29" s="19">
        <v>6.5969972686164263E-4</v>
      </c>
      <c r="F29" s="19">
        <v>0.10444564252298889</v>
      </c>
      <c r="G29" s="19">
        <v>2.6914217844882939E-15</v>
      </c>
      <c r="H29" s="19">
        <v>1.0533225604759791E-5</v>
      </c>
      <c r="I29" s="19">
        <v>4.9849688934007521E-8</v>
      </c>
      <c r="J29" s="19">
        <v>0.10444564252298889</v>
      </c>
      <c r="K29" s="19">
        <v>3.7421504259961745E-18</v>
      </c>
      <c r="L29" s="24"/>
      <c r="M29" s="19">
        <v>8.52493083305395E-9</v>
      </c>
      <c r="N29" s="19">
        <v>0.18937689266482607</v>
      </c>
      <c r="O29" s="19">
        <v>0.84885932846995449</v>
      </c>
      <c r="P29" s="19">
        <v>0.47423848960249892</v>
      </c>
      <c r="Q29" s="29">
        <v>8.6836512095347354E-4</v>
      </c>
      <c r="R29" s="19">
        <v>1.3557188846248909E-4</v>
      </c>
      <c r="S29" s="38">
        <v>3.930073549885358E-5</v>
      </c>
      <c r="T29" s="46">
        <v>1.7643307482120545E-3</v>
      </c>
      <c r="U29" s="19">
        <v>0.21017965213769821</v>
      </c>
      <c r="V29" s="19">
        <v>9.7415465629718692E-4</v>
      </c>
      <c r="W29" s="19">
        <v>4.8316227321632314E-7</v>
      </c>
      <c r="X29" s="47">
        <v>9.0020760076985357E-3</v>
      </c>
      <c r="Y29" s="11"/>
    </row>
    <row r="30" spans="1:25" x14ac:dyDescent="0.35">
      <c r="A30" s="71"/>
      <c r="B30" s="74"/>
      <c r="C30" s="17" t="s">
        <v>127</v>
      </c>
      <c r="D30" s="20">
        <v>47</v>
      </c>
      <c r="E30" s="21">
        <v>47</v>
      </c>
      <c r="F30" s="21">
        <v>47</v>
      </c>
      <c r="G30" s="21">
        <v>47</v>
      </c>
      <c r="H30" s="21">
        <v>47</v>
      </c>
      <c r="I30" s="21">
        <v>47</v>
      </c>
      <c r="J30" s="21">
        <v>47</v>
      </c>
      <c r="K30" s="21">
        <v>47</v>
      </c>
      <c r="L30" s="21">
        <v>47</v>
      </c>
      <c r="M30" s="21">
        <v>47</v>
      </c>
      <c r="N30" s="21">
        <v>47</v>
      </c>
      <c r="O30" s="21">
        <v>47</v>
      </c>
      <c r="P30" s="21">
        <v>47</v>
      </c>
      <c r="Q30" s="21">
        <v>47</v>
      </c>
      <c r="R30" s="21">
        <v>47</v>
      </c>
      <c r="S30" s="39">
        <v>47</v>
      </c>
      <c r="T30" s="48">
        <v>47</v>
      </c>
      <c r="U30" s="21">
        <v>47</v>
      </c>
      <c r="V30" s="21">
        <v>47</v>
      </c>
      <c r="W30" s="21">
        <v>47</v>
      </c>
      <c r="X30" s="49">
        <v>47</v>
      </c>
      <c r="Y30" s="11"/>
    </row>
    <row r="31" spans="1:25" x14ac:dyDescent="0.35">
      <c r="A31" s="71"/>
      <c r="B31" s="74" t="s">
        <v>112</v>
      </c>
      <c r="C31" s="17" t="s">
        <v>125</v>
      </c>
      <c r="D31" s="22">
        <v>2.9139685476410732E-2</v>
      </c>
      <c r="E31" s="24" t="s">
        <v>144</v>
      </c>
      <c r="F31" s="24" t="s">
        <v>156</v>
      </c>
      <c r="G31" s="24" t="s">
        <v>167</v>
      </c>
      <c r="H31" s="19">
        <v>-0.27520814061054577</v>
      </c>
      <c r="I31" s="24" t="s">
        <v>190</v>
      </c>
      <c r="J31" s="24" t="s">
        <v>199</v>
      </c>
      <c r="K31" s="24" t="s">
        <v>205</v>
      </c>
      <c r="L31" s="24" t="s">
        <v>211</v>
      </c>
      <c r="M31" s="23">
        <v>1</v>
      </c>
      <c r="N31" s="24" t="s">
        <v>217</v>
      </c>
      <c r="O31" s="24" t="s">
        <v>219</v>
      </c>
      <c r="P31" s="19">
        <v>-2.6595744680851063E-3</v>
      </c>
      <c r="Q31" s="30" t="s">
        <v>220</v>
      </c>
      <c r="R31" s="24" t="s">
        <v>221</v>
      </c>
      <c r="S31" s="40" t="s">
        <v>222</v>
      </c>
      <c r="T31" s="50" t="s">
        <v>223</v>
      </c>
      <c r="U31" s="19">
        <v>0.23015917661027521</v>
      </c>
      <c r="V31" s="24" t="s">
        <v>224</v>
      </c>
      <c r="W31" s="24" t="s">
        <v>225</v>
      </c>
      <c r="X31" s="51" t="s">
        <v>226</v>
      </c>
      <c r="Y31" s="11"/>
    </row>
    <row r="32" spans="1:25" x14ac:dyDescent="0.35">
      <c r="A32" s="71"/>
      <c r="B32" s="74"/>
      <c r="C32" s="17" t="s">
        <v>126</v>
      </c>
      <c r="D32" s="22">
        <v>0.845836506218969</v>
      </c>
      <c r="E32" s="19">
        <v>6.020180632025486E-16</v>
      </c>
      <c r="F32" s="19">
        <v>7.7558747815519949E-6</v>
      </c>
      <c r="G32" s="19">
        <v>3.1468105591860942E-16</v>
      </c>
      <c r="H32" s="19">
        <v>6.1170574972325351E-2</v>
      </c>
      <c r="I32" s="19">
        <v>1.1306108112668157E-3</v>
      </c>
      <c r="J32" s="19">
        <v>7.7558747815519949E-6</v>
      </c>
      <c r="K32" s="19">
        <v>4.8322815273648819E-9</v>
      </c>
      <c r="L32" s="19">
        <v>8.52493083305395E-9</v>
      </c>
      <c r="M32" s="24"/>
      <c r="N32" s="19">
        <v>4.7754292161334189E-7</v>
      </c>
      <c r="O32" s="19">
        <v>5.584703010871521E-4</v>
      </c>
      <c r="P32" s="19">
        <v>0.98584454251197395</v>
      </c>
      <c r="Q32" s="31">
        <v>3.0245928264536848E-8</v>
      </c>
      <c r="R32" s="19">
        <v>8.7952010150887225E-5</v>
      </c>
      <c r="S32" s="38">
        <v>2.2639344455384179E-7</v>
      </c>
      <c r="T32" s="46">
        <v>9.3306669199842773E-9</v>
      </c>
      <c r="U32" s="19">
        <v>0.11961770753461311</v>
      </c>
      <c r="V32" s="19">
        <v>1.398821205048625E-3</v>
      </c>
      <c r="W32" s="19">
        <v>6.509004294682133E-6</v>
      </c>
      <c r="X32" s="47">
        <v>1.9825503343389308E-2</v>
      </c>
      <c r="Y32" s="11"/>
    </row>
    <row r="33" spans="1:25" x14ac:dyDescent="0.35">
      <c r="A33" s="71"/>
      <c r="B33" s="74"/>
      <c r="C33" s="17" t="s">
        <v>127</v>
      </c>
      <c r="D33" s="20">
        <v>47</v>
      </c>
      <c r="E33" s="21">
        <v>47</v>
      </c>
      <c r="F33" s="21">
        <v>47</v>
      </c>
      <c r="G33" s="21">
        <v>47</v>
      </c>
      <c r="H33" s="21">
        <v>47</v>
      </c>
      <c r="I33" s="21">
        <v>47</v>
      </c>
      <c r="J33" s="21">
        <v>47</v>
      </c>
      <c r="K33" s="21">
        <v>47</v>
      </c>
      <c r="L33" s="21">
        <v>47</v>
      </c>
      <c r="M33" s="21">
        <v>47</v>
      </c>
      <c r="N33" s="21">
        <v>47</v>
      </c>
      <c r="O33" s="21">
        <v>47</v>
      </c>
      <c r="P33" s="21">
        <v>47</v>
      </c>
      <c r="Q33" s="21">
        <v>47</v>
      </c>
      <c r="R33" s="21">
        <v>47</v>
      </c>
      <c r="S33" s="39">
        <v>47</v>
      </c>
      <c r="T33" s="48">
        <v>47</v>
      </c>
      <c r="U33" s="21">
        <v>47</v>
      </c>
      <c r="V33" s="21">
        <v>47</v>
      </c>
      <c r="W33" s="21">
        <v>47</v>
      </c>
      <c r="X33" s="49">
        <v>47</v>
      </c>
      <c r="Y33" s="11"/>
    </row>
    <row r="34" spans="1:25" x14ac:dyDescent="0.35">
      <c r="A34" s="71"/>
      <c r="B34" s="74" t="s">
        <v>113</v>
      </c>
      <c r="C34" s="17" t="s">
        <v>125</v>
      </c>
      <c r="D34" s="22">
        <v>-2.9486586493987048E-2</v>
      </c>
      <c r="E34" s="24" t="s">
        <v>145</v>
      </c>
      <c r="F34" s="24" t="s">
        <v>157</v>
      </c>
      <c r="G34" s="24" t="s">
        <v>168</v>
      </c>
      <c r="H34" s="24" t="s">
        <v>180</v>
      </c>
      <c r="I34" s="19">
        <v>0.13783533765032377</v>
      </c>
      <c r="J34" s="24" t="s">
        <v>200</v>
      </c>
      <c r="K34" s="19">
        <v>0.19357076780758556</v>
      </c>
      <c r="L34" s="19">
        <v>0.19484273820536541</v>
      </c>
      <c r="M34" s="24" t="s">
        <v>217</v>
      </c>
      <c r="N34" s="23">
        <v>1</v>
      </c>
      <c r="O34" s="24" t="s">
        <v>227</v>
      </c>
      <c r="P34" s="19">
        <v>-0.2444495837187789</v>
      </c>
      <c r="Q34" s="28" t="s">
        <v>228</v>
      </c>
      <c r="R34" s="24" t="s">
        <v>229</v>
      </c>
      <c r="S34" s="40" t="s">
        <v>230</v>
      </c>
      <c r="T34" s="50" t="s">
        <v>231</v>
      </c>
      <c r="U34" s="19">
        <v>0.22593022622201694</v>
      </c>
      <c r="V34" s="19">
        <v>0.19864571831539107</v>
      </c>
      <c r="W34" s="19">
        <v>0.20811762320912361</v>
      </c>
      <c r="X34" s="47">
        <v>0.108987887068179</v>
      </c>
      <c r="Y34" s="11"/>
    </row>
    <row r="35" spans="1:25" x14ac:dyDescent="0.35">
      <c r="A35" s="71"/>
      <c r="B35" s="74"/>
      <c r="C35" s="17" t="s">
        <v>126</v>
      </c>
      <c r="D35" s="22">
        <v>0.84402386183717082</v>
      </c>
      <c r="E35" s="19">
        <v>5.7190769513672547E-14</v>
      </c>
      <c r="F35" s="19">
        <v>4.2948903003784442E-14</v>
      </c>
      <c r="G35" s="19">
        <v>1.88224979963676E-2</v>
      </c>
      <c r="H35" s="19">
        <v>6.9219448044634006E-3</v>
      </c>
      <c r="I35" s="19">
        <v>0.35552456280311162</v>
      </c>
      <c r="J35" s="19">
        <v>4.2948903003784442E-14</v>
      </c>
      <c r="K35" s="19">
        <v>0.19233919383359865</v>
      </c>
      <c r="L35" s="19">
        <v>0.18937689266482607</v>
      </c>
      <c r="M35" s="19">
        <v>4.7754292161334189E-7</v>
      </c>
      <c r="N35" s="24"/>
      <c r="O35" s="19">
        <v>1.2900202965394899E-19</v>
      </c>
      <c r="P35" s="19">
        <v>9.7729029160516331E-2</v>
      </c>
      <c r="Q35" s="29">
        <v>2.4155133884279915E-5</v>
      </c>
      <c r="R35" s="19">
        <v>1.7900233491774175E-2</v>
      </c>
      <c r="S35" s="38">
        <v>8.8005390790450418E-4</v>
      </c>
      <c r="T35" s="46">
        <v>1.006838041054575E-4</v>
      </c>
      <c r="U35" s="19">
        <v>0.12675807807403755</v>
      </c>
      <c r="V35" s="19">
        <v>0.18071421475142496</v>
      </c>
      <c r="W35" s="19">
        <v>0.16038215585682344</v>
      </c>
      <c r="X35" s="47">
        <v>0.46585487417353444</v>
      </c>
      <c r="Y35" s="11"/>
    </row>
    <row r="36" spans="1:25" x14ac:dyDescent="0.35">
      <c r="A36" s="71"/>
      <c r="B36" s="74"/>
      <c r="C36" s="17" t="s">
        <v>127</v>
      </c>
      <c r="D36" s="20">
        <v>47</v>
      </c>
      <c r="E36" s="21">
        <v>47</v>
      </c>
      <c r="F36" s="21">
        <v>47</v>
      </c>
      <c r="G36" s="21">
        <v>47</v>
      </c>
      <c r="H36" s="21">
        <v>47</v>
      </c>
      <c r="I36" s="21">
        <v>47</v>
      </c>
      <c r="J36" s="21">
        <v>47</v>
      </c>
      <c r="K36" s="21">
        <v>47</v>
      </c>
      <c r="L36" s="21">
        <v>47</v>
      </c>
      <c r="M36" s="21">
        <v>47</v>
      </c>
      <c r="N36" s="21">
        <v>47</v>
      </c>
      <c r="O36" s="21">
        <v>47</v>
      </c>
      <c r="P36" s="21">
        <v>47</v>
      </c>
      <c r="Q36" s="21">
        <v>47</v>
      </c>
      <c r="R36" s="21">
        <v>47</v>
      </c>
      <c r="S36" s="39">
        <v>47</v>
      </c>
      <c r="T36" s="48">
        <v>47</v>
      </c>
      <c r="U36" s="21">
        <v>47</v>
      </c>
      <c r="V36" s="21">
        <v>47</v>
      </c>
      <c r="W36" s="21">
        <v>47</v>
      </c>
      <c r="X36" s="49">
        <v>47</v>
      </c>
      <c r="Y36" s="11"/>
    </row>
    <row r="37" spans="1:25" x14ac:dyDescent="0.35">
      <c r="A37" s="71"/>
      <c r="B37" s="74" t="s">
        <v>114</v>
      </c>
      <c r="C37" s="17" t="s">
        <v>125</v>
      </c>
      <c r="D37" s="22">
        <v>-8.314061054579093E-2</v>
      </c>
      <c r="E37" s="24" t="s">
        <v>146</v>
      </c>
      <c r="F37" s="24" t="s">
        <v>158</v>
      </c>
      <c r="G37" s="19">
        <v>0.17946345975948197</v>
      </c>
      <c r="H37" s="24" t="s">
        <v>181</v>
      </c>
      <c r="I37" s="24" t="s">
        <v>191</v>
      </c>
      <c r="J37" s="24" t="s">
        <v>201</v>
      </c>
      <c r="K37" s="19">
        <v>2.2664199814986123E-2</v>
      </c>
      <c r="L37" s="19">
        <v>2.8561517113783533E-2</v>
      </c>
      <c r="M37" s="24" t="s">
        <v>219</v>
      </c>
      <c r="N37" s="24" t="s">
        <v>227</v>
      </c>
      <c r="O37" s="23">
        <v>1</v>
      </c>
      <c r="P37" s="24" t="s">
        <v>232</v>
      </c>
      <c r="Q37" s="28" t="s">
        <v>233</v>
      </c>
      <c r="R37" s="19">
        <v>0.26907955596669753</v>
      </c>
      <c r="S37" s="40" t="s">
        <v>234</v>
      </c>
      <c r="T37" s="50" t="s">
        <v>235</v>
      </c>
      <c r="U37" s="19">
        <v>0.14059811770277822</v>
      </c>
      <c r="V37" s="19">
        <v>0.11199867859565318</v>
      </c>
      <c r="W37" s="19">
        <v>0.1053606315996147</v>
      </c>
      <c r="X37" s="47">
        <v>0.16460929150297379</v>
      </c>
      <c r="Y37" s="11"/>
    </row>
    <row r="38" spans="1:25" x14ac:dyDescent="0.35">
      <c r="A38" s="71"/>
      <c r="B38" s="74"/>
      <c r="C38" s="17" t="s">
        <v>126</v>
      </c>
      <c r="D38" s="22">
        <v>0.57848541516579344</v>
      </c>
      <c r="E38" s="19">
        <v>1.4867987556500314E-8</v>
      </c>
      <c r="F38" s="19">
        <v>4.2533498219112763E-13</v>
      </c>
      <c r="G38" s="19">
        <v>0.22741734469205635</v>
      </c>
      <c r="H38" s="19">
        <v>1.1259146022297156E-4</v>
      </c>
      <c r="I38" s="19">
        <v>4.6595078469034417E-3</v>
      </c>
      <c r="J38" s="19">
        <v>4.2533498219112763E-13</v>
      </c>
      <c r="K38" s="19">
        <v>0.87980746062411697</v>
      </c>
      <c r="L38" s="19">
        <v>0.84885932846995449</v>
      </c>
      <c r="M38" s="19">
        <v>5.584703010871521E-4</v>
      </c>
      <c r="N38" s="19">
        <v>1.2900202965394899E-19</v>
      </c>
      <c r="O38" s="24"/>
      <c r="P38" s="19">
        <v>6.9219448044634006E-3</v>
      </c>
      <c r="Q38" s="29">
        <v>2.5837250672192517E-3</v>
      </c>
      <c r="R38" s="19">
        <v>6.7408988285174193E-2</v>
      </c>
      <c r="S38" s="38">
        <v>1.6283317630407242E-2</v>
      </c>
      <c r="T38" s="46">
        <v>5.3779907851757881E-3</v>
      </c>
      <c r="U38" s="19">
        <v>0.34586999957531295</v>
      </c>
      <c r="V38" s="19">
        <v>0.45354901207638787</v>
      </c>
      <c r="W38" s="19">
        <v>0.48091519338190847</v>
      </c>
      <c r="X38" s="47">
        <v>0.26886517858328557</v>
      </c>
      <c r="Y38" s="11"/>
    </row>
    <row r="39" spans="1:25" x14ac:dyDescent="0.35">
      <c r="A39" s="71"/>
      <c r="B39" s="74"/>
      <c r="C39" s="17" t="s">
        <v>127</v>
      </c>
      <c r="D39" s="20">
        <v>47</v>
      </c>
      <c r="E39" s="21">
        <v>47</v>
      </c>
      <c r="F39" s="21">
        <v>47</v>
      </c>
      <c r="G39" s="21">
        <v>47</v>
      </c>
      <c r="H39" s="21">
        <v>47</v>
      </c>
      <c r="I39" s="21">
        <v>47</v>
      </c>
      <c r="J39" s="21">
        <v>47</v>
      </c>
      <c r="K39" s="21">
        <v>47</v>
      </c>
      <c r="L39" s="21">
        <v>47</v>
      </c>
      <c r="M39" s="21">
        <v>47</v>
      </c>
      <c r="N39" s="21">
        <v>47</v>
      </c>
      <c r="O39" s="21">
        <v>47</v>
      </c>
      <c r="P39" s="21">
        <v>47</v>
      </c>
      <c r="Q39" s="21">
        <v>47</v>
      </c>
      <c r="R39" s="21">
        <v>47</v>
      </c>
      <c r="S39" s="39">
        <v>47</v>
      </c>
      <c r="T39" s="48">
        <v>47</v>
      </c>
      <c r="U39" s="21">
        <v>47</v>
      </c>
      <c r="V39" s="21">
        <v>47</v>
      </c>
      <c r="W39" s="21">
        <v>47</v>
      </c>
      <c r="X39" s="49">
        <v>47</v>
      </c>
      <c r="Y39" s="11"/>
    </row>
    <row r="40" spans="1:25" x14ac:dyDescent="0.35">
      <c r="A40" s="71"/>
      <c r="B40" s="74" t="s">
        <v>115</v>
      </c>
      <c r="C40" s="17" t="s">
        <v>125</v>
      </c>
      <c r="D40" s="18" t="s">
        <v>134</v>
      </c>
      <c r="E40" s="19">
        <v>8.0827937095282146E-2</v>
      </c>
      <c r="F40" s="24" t="s">
        <v>159</v>
      </c>
      <c r="G40" s="19">
        <v>-2.2779833487511562E-2</v>
      </c>
      <c r="H40" s="24" t="s">
        <v>182</v>
      </c>
      <c r="I40" s="24" t="s">
        <v>192</v>
      </c>
      <c r="J40" s="24" t="s">
        <v>202</v>
      </c>
      <c r="K40" s="19">
        <v>0.27150786308973174</v>
      </c>
      <c r="L40" s="19">
        <v>0.10696114708603145</v>
      </c>
      <c r="M40" s="19">
        <v>-2.6595744680851063E-3</v>
      </c>
      <c r="N40" s="19">
        <v>-0.2444495837187789</v>
      </c>
      <c r="O40" s="24" t="s">
        <v>232</v>
      </c>
      <c r="P40" s="23">
        <v>1</v>
      </c>
      <c r="Q40" s="19">
        <v>0.10187326549491212</v>
      </c>
      <c r="R40" s="19">
        <v>0.27948658649398705</v>
      </c>
      <c r="S40" s="38">
        <v>0.21924144310823312</v>
      </c>
      <c r="T40" s="46">
        <v>0.12785284821001214</v>
      </c>
      <c r="U40" s="19">
        <v>0.13080780789982416</v>
      </c>
      <c r="V40" s="19">
        <v>0.25658405282404678</v>
      </c>
      <c r="W40" s="24" t="s">
        <v>236</v>
      </c>
      <c r="X40" s="47">
        <v>-0.28302159533089449</v>
      </c>
      <c r="Y40" s="11"/>
    </row>
    <row r="41" spans="1:25" x14ac:dyDescent="0.35">
      <c r="A41" s="71"/>
      <c r="B41" s="74"/>
      <c r="C41" s="17" t="s">
        <v>126</v>
      </c>
      <c r="D41" s="22">
        <v>2.2201807964727528E-4</v>
      </c>
      <c r="E41" s="19">
        <v>0.5891335379883671</v>
      </c>
      <c r="F41" s="19">
        <v>1.5558825628623228E-6</v>
      </c>
      <c r="G41" s="19">
        <v>0.87919877077044462</v>
      </c>
      <c r="H41" s="19">
        <v>4.9444884881546383E-5</v>
      </c>
      <c r="I41" s="19">
        <v>6.5479008920685223E-5</v>
      </c>
      <c r="J41" s="19">
        <v>1.5558825628623228E-6</v>
      </c>
      <c r="K41" s="19">
        <v>6.4879273626041817E-2</v>
      </c>
      <c r="L41" s="19">
        <v>0.47423848960249892</v>
      </c>
      <c r="M41" s="19">
        <v>0.98584454251197395</v>
      </c>
      <c r="N41" s="19">
        <v>9.7729029160516331E-2</v>
      </c>
      <c r="O41" s="19">
        <v>6.9219448044634006E-3</v>
      </c>
      <c r="P41" s="24"/>
      <c r="Q41" s="19">
        <v>0.49563269040507718</v>
      </c>
      <c r="R41" s="19">
        <v>5.7095954545084739E-2</v>
      </c>
      <c r="S41" s="38">
        <v>0.13869951060590818</v>
      </c>
      <c r="T41" s="46">
        <v>0.39175715896587349</v>
      </c>
      <c r="U41" s="19">
        <v>0.38081298430419075</v>
      </c>
      <c r="V41" s="19">
        <v>8.169016821769913E-2</v>
      </c>
      <c r="W41" s="19">
        <v>2.8772495214647531E-2</v>
      </c>
      <c r="X41" s="47">
        <v>5.3896470906941128E-2</v>
      </c>
      <c r="Y41" s="11"/>
    </row>
    <row r="42" spans="1:25" x14ac:dyDescent="0.35">
      <c r="A42" s="71"/>
      <c r="B42" s="74"/>
      <c r="C42" s="17" t="s">
        <v>127</v>
      </c>
      <c r="D42" s="20">
        <v>47</v>
      </c>
      <c r="E42" s="21">
        <v>47</v>
      </c>
      <c r="F42" s="21">
        <v>47</v>
      </c>
      <c r="G42" s="21">
        <v>47</v>
      </c>
      <c r="H42" s="21">
        <v>47</v>
      </c>
      <c r="I42" s="21">
        <v>47</v>
      </c>
      <c r="J42" s="21">
        <v>47</v>
      </c>
      <c r="K42" s="21">
        <v>47</v>
      </c>
      <c r="L42" s="21">
        <v>47</v>
      </c>
      <c r="M42" s="21">
        <v>47</v>
      </c>
      <c r="N42" s="21">
        <v>47</v>
      </c>
      <c r="O42" s="21">
        <v>47</v>
      </c>
      <c r="P42" s="21">
        <v>47</v>
      </c>
      <c r="Q42" s="21">
        <v>47</v>
      </c>
      <c r="R42" s="21">
        <v>47</v>
      </c>
      <c r="S42" s="39">
        <v>47</v>
      </c>
      <c r="T42" s="48">
        <v>47</v>
      </c>
      <c r="U42" s="21">
        <v>47</v>
      </c>
      <c r="V42" s="21">
        <v>47</v>
      </c>
      <c r="W42" s="21">
        <v>47</v>
      </c>
      <c r="X42" s="49">
        <v>47</v>
      </c>
      <c r="Y42" s="11"/>
    </row>
    <row r="43" spans="1:25" x14ac:dyDescent="0.35">
      <c r="A43" s="71"/>
      <c r="B43" s="74" t="s">
        <v>116</v>
      </c>
      <c r="C43" s="17" t="s">
        <v>125</v>
      </c>
      <c r="D43" s="22">
        <v>0.1244218316373728</v>
      </c>
      <c r="E43" s="24" t="s">
        <v>147</v>
      </c>
      <c r="F43" s="24" t="s">
        <v>160</v>
      </c>
      <c r="G43" s="24" t="s">
        <v>169</v>
      </c>
      <c r="H43" s="19">
        <v>-0.24074930619796484</v>
      </c>
      <c r="I43" s="24" t="s">
        <v>193</v>
      </c>
      <c r="J43" s="24" t="s">
        <v>197</v>
      </c>
      <c r="K43" s="24" t="s">
        <v>206</v>
      </c>
      <c r="L43" s="24" t="s">
        <v>212</v>
      </c>
      <c r="M43" s="24" t="s">
        <v>220</v>
      </c>
      <c r="N43" s="24" t="s">
        <v>228</v>
      </c>
      <c r="O43" s="24" t="s">
        <v>233</v>
      </c>
      <c r="P43" s="19">
        <v>0.10187326549491212</v>
      </c>
      <c r="Q43" s="23">
        <v>1</v>
      </c>
      <c r="R43" s="24" t="s">
        <v>237</v>
      </c>
      <c r="S43" s="40" t="s">
        <v>238</v>
      </c>
      <c r="T43" s="50" t="s">
        <v>239</v>
      </c>
      <c r="U43" s="24" t="s">
        <v>160</v>
      </c>
      <c r="V43" s="24" t="s">
        <v>136</v>
      </c>
      <c r="W43" s="24" t="s">
        <v>240</v>
      </c>
      <c r="X43" s="47">
        <v>0.24353155455234476</v>
      </c>
      <c r="Y43" s="11"/>
    </row>
    <row r="44" spans="1:25" x14ac:dyDescent="0.35">
      <c r="A44" s="71"/>
      <c r="B44" s="74"/>
      <c r="C44" s="17" t="s">
        <v>126</v>
      </c>
      <c r="D44" s="22">
        <v>0.40469304216106794</v>
      </c>
      <c r="E44" s="19">
        <v>2.4176063715521768E-9</v>
      </c>
      <c r="F44" s="19">
        <v>4.4948305320177606E-3</v>
      </c>
      <c r="G44" s="19">
        <v>1.9196821192136006E-6</v>
      </c>
      <c r="H44" s="19">
        <v>0.10307475175794431</v>
      </c>
      <c r="I44" s="19">
        <v>5.5494972226711485E-3</v>
      </c>
      <c r="J44" s="19">
        <v>4.4948305320177606E-3</v>
      </c>
      <c r="K44" s="19">
        <v>5.5129466128113308E-5</v>
      </c>
      <c r="L44" s="19">
        <v>8.6836512095347354E-4</v>
      </c>
      <c r="M44" s="19">
        <v>3.0245928264536848E-8</v>
      </c>
      <c r="N44" s="19">
        <v>2.4155133884279915E-5</v>
      </c>
      <c r="O44" s="19">
        <v>2.5837250672192517E-3</v>
      </c>
      <c r="P44" s="19">
        <v>0.49563269040507718</v>
      </c>
      <c r="Q44" s="24"/>
      <c r="R44" s="19">
        <v>1.3107637143361578E-7</v>
      </c>
      <c r="S44" s="38">
        <v>5.2103726836429283E-18</v>
      </c>
      <c r="T44" s="46">
        <v>1.0691921773519666E-8</v>
      </c>
      <c r="U44" s="19">
        <v>4.4832212932110543E-3</v>
      </c>
      <c r="V44" s="19">
        <v>4.1637267693850698E-2</v>
      </c>
      <c r="W44" s="19">
        <v>3.7122206162503315E-7</v>
      </c>
      <c r="X44" s="47">
        <v>9.9034880787506094E-2</v>
      </c>
      <c r="Y44" s="11"/>
    </row>
    <row r="45" spans="1:25" x14ac:dyDescent="0.35">
      <c r="A45" s="71"/>
      <c r="B45" s="74"/>
      <c r="C45" s="17" t="s">
        <v>127</v>
      </c>
      <c r="D45" s="20">
        <v>47</v>
      </c>
      <c r="E45" s="21">
        <v>47</v>
      </c>
      <c r="F45" s="21">
        <v>47</v>
      </c>
      <c r="G45" s="21">
        <v>47</v>
      </c>
      <c r="H45" s="21">
        <v>47</v>
      </c>
      <c r="I45" s="21">
        <v>47</v>
      </c>
      <c r="J45" s="21">
        <v>47</v>
      </c>
      <c r="K45" s="21">
        <v>47</v>
      </c>
      <c r="L45" s="21">
        <v>47</v>
      </c>
      <c r="M45" s="21">
        <v>47</v>
      </c>
      <c r="N45" s="21">
        <v>47</v>
      </c>
      <c r="O45" s="21">
        <v>47</v>
      </c>
      <c r="P45" s="21">
        <v>47</v>
      </c>
      <c r="Q45" s="21">
        <v>47</v>
      </c>
      <c r="R45" s="21">
        <v>47</v>
      </c>
      <c r="S45" s="39">
        <v>47</v>
      </c>
      <c r="T45" s="48">
        <v>47</v>
      </c>
      <c r="U45" s="21">
        <v>47</v>
      </c>
      <c r="V45" s="21">
        <v>47</v>
      </c>
      <c r="W45" s="21">
        <v>47</v>
      </c>
      <c r="X45" s="49">
        <v>47</v>
      </c>
      <c r="Y45" s="11"/>
    </row>
    <row r="46" spans="1:25" x14ac:dyDescent="0.35">
      <c r="A46" s="71"/>
      <c r="B46" s="74" t="s">
        <v>117</v>
      </c>
      <c r="C46" s="17" t="s">
        <v>125</v>
      </c>
      <c r="D46" s="18" t="s">
        <v>135</v>
      </c>
      <c r="E46" s="24" t="s">
        <v>148</v>
      </c>
      <c r="F46" s="19">
        <v>0.14280758556891768</v>
      </c>
      <c r="G46" s="24" t="s">
        <v>170</v>
      </c>
      <c r="H46" s="24" t="s">
        <v>183</v>
      </c>
      <c r="I46" s="24" t="s">
        <v>194</v>
      </c>
      <c r="J46" s="19">
        <v>-0.14280758556891768</v>
      </c>
      <c r="K46" s="24" t="s">
        <v>140</v>
      </c>
      <c r="L46" s="24" t="s">
        <v>213</v>
      </c>
      <c r="M46" s="24" t="s">
        <v>221</v>
      </c>
      <c r="N46" s="24" t="s">
        <v>229</v>
      </c>
      <c r="O46" s="19">
        <v>0.26907955596669753</v>
      </c>
      <c r="P46" s="19">
        <v>0.27948658649398705</v>
      </c>
      <c r="Q46" s="24" t="s">
        <v>237</v>
      </c>
      <c r="R46" s="23">
        <v>1</v>
      </c>
      <c r="S46" s="40" t="s">
        <v>227</v>
      </c>
      <c r="T46" s="50" t="s">
        <v>241</v>
      </c>
      <c r="U46" s="24" t="s">
        <v>242</v>
      </c>
      <c r="V46" s="24" t="s">
        <v>243</v>
      </c>
      <c r="W46" s="24" t="s">
        <v>244</v>
      </c>
      <c r="X46" s="47">
        <v>0.26122401791725869</v>
      </c>
      <c r="Y46" s="11"/>
    </row>
    <row r="47" spans="1:25" x14ac:dyDescent="0.35">
      <c r="A47" s="71"/>
      <c r="B47" s="74"/>
      <c r="C47" s="17" t="s">
        <v>126</v>
      </c>
      <c r="D47" s="22">
        <v>3.9523035684447668E-3</v>
      </c>
      <c r="E47" s="19">
        <v>3.6260166466914514E-5</v>
      </c>
      <c r="F47" s="19">
        <v>0.33826635022113427</v>
      </c>
      <c r="G47" s="19">
        <v>3.7442000883541302E-4</v>
      </c>
      <c r="H47" s="19">
        <v>7.7024102722717414E-3</v>
      </c>
      <c r="I47" s="19">
        <v>2.9842020088052734E-3</v>
      </c>
      <c r="J47" s="19">
        <v>0.33826635022113427</v>
      </c>
      <c r="K47" s="19">
        <v>3.3529930477004541E-6</v>
      </c>
      <c r="L47" s="19">
        <v>1.3557188846248909E-4</v>
      </c>
      <c r="M47" s="19">
        <v>8.7952010150887225E-5</v>
      </c>
      <c r="N47" s="19">
        <v>1.7900233491774175E-2</v>
      </c>
      <c r="O47" s="19">
        <v>6.7408988285174193E-2</v>
      </c>
      <c r="P47" s="19">
        <v>5.7095954545084739E-2</v>
      </c>
      <c r="Q47" s="19">
        <v>1.3107637143361578E-7</v>
      </c>
      <c r="R47" s="24"/>
      <c r="S47" s="38">
        <v>1.3703040750550892E-19</v>
      </c>
      <c r="T47" s="46">
        <v>6.1303343119977451E-5</v>
      </c>
      <c r="U47" s="19">
        <v>2.4882180208772899E-2</v>
      </c>
      <c r="V47" s="19">
        <v>8.0113300256741502E-4</v>
      </c>
      <c r="W47" s="19">
        <v>1.96913253833069E-7</v>
      </c>
      <c r="X47" s="47">
        <v>7.6133358677549501E-2</v>
      </c>
      <c r="Y47" s="11"/>
    </row>
    <row r="48" spans="1:25" x14ac:dyDescent="0.35">
      <c r="A48" s="71"/>
      <c r="B48" s="74"/>
      <c r="C48" s="17" t="s">
        <v>127</v>
      </c>
      <c r="D48" s="20">
        <v>47</v>
      </c>
      <c r="E48" s="21">
        <v>47</v>
      </c>
      <c r="F48" s="21">
        <v>47</v>
      </c>
      <c r="G48" s="21">
        <v>47</v>
      </c>
      <c r="H48" s="21">
        <v>47</v>
      </c>
      <c r="I48" s="21">
        <v>47</v>
      </c>
      <c r="J48" s="21">
        <v>47</v>
      </c>
      <c r="K48" s="21">
        <v>47</v>
      </c>
      <c r="L48" s="21">
        <v>47</v>
      </c>
      <c r="M48" s="21">
        <v>47</v>
      </c>
      <c r="N48" s="21">
        <v>47</v>
      </c>
      <c r="O48" s="21">
        <v>47</v>
      </c>
      <c r="P48" s="21">
        <v>47</v>
      </c>
      <c r="Q48" s="21">
        <v>47</v>
      </c>
      <c r="R48" s="21">
        <v>47</v>
      </c>
      <c r="S48" s="39">
        <v>47</v>
      </c>
      <c r="T48" s="48">
        <v>47</v>
      </c>
      <c r="U48" s="21">
        <v>47</v>
      </c>
      <c r="V48" s="21">
        <v>47</v>
      </c>
      <c r="W48" s="21">
        <v>47</v>
      </c>
      <c r="X48" s="49">
        <v>47</v>
      </c>
      <c r="Y48" s="11"/>
    </row>
    <row r="49" spans="1:25" x14ac:dyDescent="0.35">
      <c r="A49" s="71"/>
      <c r="B49" s="74" t="s">
        <v>118</v>
      </c>
      <c r="C49" s="17" t="s">
        <v>125</v>
      </c>
      <c r="D49" s="18" t="s">
        <v>136</v>
      </c>
      <c r="E49" s="24" t="s">
        <v>149</v>
      </c>
      <c r="F49" s="19">
        <v>0.27382053654024052</v>
      </c>
      <c r="G49" s="24" t="s">
        <v>171</v>
      </c>
      <c r="H49" s="24" t="s">
        <v>184</v>
      </c>
      <c r="I49" s="24" t="s">
        <v>195</v>
      </c>
      <c r="J49" s="19">
        <v>-0.27382053654024052</v>
      </c>
      <c r="K49" s="24" t="s">
        <v>207</v>
      </c>
      <c r="L49" s="24" t="s">
        <v>214</v>
      </c>
      <c r="M49" s="24" t="s">
        <v>222</v>
      </c>
      <c r="N49" s="24" t="s">
        <v>230</v>
      </c>
      <c r="O49" s="24" t="s">
        <v>234</v>
      </c>
      <c r="P49" s="19">
        <v>0.21924144310823312</v>
      </c>
      <c r="Q49" s="24" t="s">
        <v>238</v>
      </c>
      <c r="R49" s="24" t="s">
        <v>227</v>
      </c>
      <c r="S49" s="41">
        <v>1</v>
      </c>
      <c r="T49" s="50" t="s">
        <v>245</v>
      </c>
      <c r="U49" s="24" t="s">
        <v>246</v>
      </c>
      <c r="V49" s="24" t="s">
        <v>247</v>
      </c>
      <c r="W49" s="24" t="s">
        <v>248</v>
      </c>
      <c r="X49" s="47">
        <v>0.27434881917162296</v>
      </c>
      <c r="Y49" s="11"/>
    </row>
    <row r="50" spans="1:25" x14ac:dyDescent="0.35">
      <c r="A50" s="71"/>
      <c r="B50" s="74"/>
      <c r="C50" s="17" t="s">
        <v>126</v>
      </c>
      <c r="D50" s="22">
        <v>4.1748160154054401E-2</v>
      </c>
      <c r="E50" s="19">
        <v>5.0942115115628535E-8</v>
      </c>
      <c r="F50" s="19">
        <v>6.2540934900857312E-2</v>
      </c>
      <c r="G50" s="19">
        <v>3.1247103516284039E-6</v>
      </c>
      <c r="H50" s="19">
        <v>1.0413786895442496E-2</v>
      </c>
      <c r="I50" s="19">
        <v>8.341282838111089E-4</v>
      </c>
      <c r="J50" s="19">
        <v>6.2540934900857312E-2</v>
      </c>
      <c r="K50" s="19">
        <v>8.8837470468715831E-7</v>
      </c>
      <c r="L50" s="19">
        <v>3.930073549885358E-5</v>
      </c>
      <c r="M50" s="19">
        <v>2.2639344455384179E-7</v>
      </c>
      <c r="N50" s="19">
        <v>8.8005390790450418E-4</v>
      </c>
      <c r="O50" s="19">
        <v>1.6283317630407242E-2</v>
      </c>
      <c r="P50" s="19">
        <v>0.13869951060590818</v>
      </c>
      <c r="Q50" s="19">
        <v>5.2103726836429283E-18</v>
      </c>
      <c r="R50" s="19">
        <v>1.3703040750550892E-19</v>
      </c>
      <c r="S50" s="40"/>
      <c r="T50" s="46">
        <v>1.3924477531706072E-7</v>
      </c>
      <c r="U50" s="19">
        <v>6.7044503263838989E-3</v>
      </c>
      <c r="V50" s="19">
        <v>4.1526595186860658E-3</v>
      </c>
      <c r="W50" s="19">
        <v>7.8908544166847864E-9</v>
      </c>
      <c r="X50" s="47">
        <v>6.201635438248012E-2</v>
      </c>
      <c r="Y50" s="11"/>
    </row>
    <row r="51" spans="1:25" ht="15" thickBot="1" x14ac:dyDescent="0.4">
      <c r="A51" s="71"/>
      <c r="B51" s="78"/>
      <c r="C51" s="33" t="s">
        <v>127</v>
      </c>
      <c r="D51" s="34">
        <v>47</v>
      </c>
      <c r="E51" s="35">
        <v>47</v>
      </c>
      <c r="F51" s="35">
        <v>47</v>
      </c>
      <c r="G51" s="35">
        <v>47</v>
      </c>
      <c r="H51" s="35">
        <v>47</v>
      </c>
      <c r="I51" s="35">
        <v>47</v>
      </c>
      <c r="J51" s="35">
        <v>47</v>
      </c>
      <c r="K51" s="35">
        <v>47</v>
      </c>
      <c r="L51" s="35">
        <v>47</v>
      </c>
      <c r="M51" s="35">
        <v>47</v>
      </c>
      <c r="N51" s="35">
        <v>47</v>
      </c>
      <c r="O51" s="35">
        <v>47</v>
      </c>
      <c r="P51" s="35">
        <v>47</v>
      </c>
      <c r="Q51" s="35">
        <v>47</v>
      </c>
      <c r="R51" s="35">
        <v>47</v>
      </c>
      <c r="S51" s="42">
        <v>47</v>
      </c>
      <c r="T51" s="52">
        <v>47</v>
      </c>
      <c r="U51" s="35">
        <v>47</v>
      </c>
      <c r="V51" s="35">
        <v>47</v>
      </c>
      <c r="W51" s="35">
        <v>47</v>
      </c>
      <c r="X51" s="53">
        <v>47</v>
      </c>
      <c r="Y51" s="11"/>
    </row>
    <row r="52" spans="1:25" x14ac:dyDescent="0.35">
      <c r="A52" s="71"/>
      <c r="B52" s="74" t="s">
        <v>119</v>
      </c>
      <c r="C52" s="17" t="s">
        <v>125</v>
      </c>
      <c r="D52" s="22">
        <v>9.5687154271203653E-2</v>
      </c>
      <c r="E52" s="24" t="s">
        <v>150</v>
      </c>
      <c r="F52" s="24" t="s">
        <v>161</v>
      </c>
      <c r="G52" s="24" t="s">
        <v>172</v>
      </c>
      <c r="H52" s="24" t="s">
        <v>185</v>
      </c>
      <c r="I52" s="24" t="s">
        <v>196</v>
      </c>
      <c r="J52" s="24" t="s">
        <v>203</v>
      </c>
      <c r="K52" s="24" t="s">
        <v>208</v>
      </c>
      <c r="L52" s="24" t="s">
        <v>215</v>
      </c>
      <c r="M52" s="24" t="s">
        <v>223</v>
      </c>
      <c r="N52" s="24" t="s">
        <v>231</v>
      </c>
      <c r="O52" s="24" t="s">
        <v>235</v>
      </c>
      <c r="P52" s="19">
        <v>0.12785284821001214</v>
      </c>
      <c r="Q52" s="30" t="s">
        <v>239</v>
      </c>
      <c r="R52" s="24" t="s">
        <v>241</v>
      </c>
      <c r="S52" s="40" t="s">
        <v>245</v>
      </c>
      <c r="T52" s="54">
        <v>1</v>
      </c>
      <c r="U52" s="19">
        <v>0.15143624750703866</v>
      </c>
      <c r="V52" s="24" t="s">
        <v>234</v>
      </c>
      <c r="W52" s="24" t="s">
        <v>225</v>
      </c>
      <c r="X52" s="51" t="s">
        <v>249</v>
      </c>
      <c r="Y52" s="11"/>
    </row>
    <row r="53" spans="1:25" x14ac:dyDescent="0.35">
      <c r="A53" s="71"/>
      <c r="B53" s="74"/>
      <c r="C53" s="17" t="s">
        <v>126</v>
      </c>
      <c r="D53" s="22">
        <v>0.52229985669015888</v>
      </c>
      <c r="E53" s="19">
        <v>5.7160639937477266E-9</v>
      </c>
      <c r="F53" s="19">
        <v>1.1383025517859507E-2</v>
      </c>
      <c r="G53" s="19">
        <v>4.76401716474733E-6</v>
      </c>
      <c r="H53" s="19">
        <v>4.9028959627982191E-2</v>
      </c>
      <c r="I53" s="19">
        <v>3.3199394660507319E-3</v>
      </c>
      <c r="J53" s="19">
        <v>1.1383025517859507E-2</v>
      </c>
      <c r="K53" s="19">
        <v>1.9348259916734316E-4</v>
      </c>
      <c r="L53" s="19">
        <v>1.7643307482120545E-3</v>
      </c>
      <c r="M53" s="19">
        <v>9.3306669199842773E-9</v>
      </c>
      <c r="N53" s="19">
        <v>1.006838041054575E-4</v>
      </c>
      <c r="O53" s="19">
        <v>5.3779907851757881E-3</v>
      </c>
      <c r="P53" s="19">
        <v>0.39175715896587349</v>
      </c>
      <c r="Q53" s="31">
        <v>1.0691921773519666E-8</v>
      </c>
      <c r="R53" s="19">
        <v>6.1303343119977451E-5</v>
      </c>
      <c r="S53" s="38">
        <v>1.3924477531706072E-7</v>
      </c>
      <c r="T53" s="50"/>
      <c r="U53" s="19">
        <v>0.30957525344241099</v>
      </c>
      <c r="V53" s="19">
        <v>1.6089147149844288E-2</v>
      </c>
      <c r="W53" s="19">
        <v>6.5619472522838514E-6</v>
      </c>
      <c r="X53" s="47">
        <v>4.2247212227798031E-3</v>
      </c>
      <c r="Y53" s="11"/>
    </row>
    <row r="54" spans="1:25" x14ac:dyDescent="0.35">
      <c r="A54" s="71"/>
      <c r="B54" s="74"/>
      <c r="C54" s="17" t="s">
        <v>127</v>
      </c>
      <c r="D54" s="20">
        <v>47</v>
      </c>
      <c r="E54" s="21">
        <v>47</v>
      </c>
      <c r="F54" s="21">
        <v>47</v>
      </c>
      <c r="G54" s="21">
        <v>47</v>
      </c>
      <c r="H54" s="21">
        <v>47</v>
      </c>
      <c r="I54" s="21">
        <v>47</v>
      </c>
      <c r="J54" s="21">
        <v>47</v>
      </c>
      <c r="K54" s="21">
        <v>47</v>
      </c>
      <c r="L54" s="21">
        <v>47</v>
      </c>
      <c r="M54" s="21">
        <v>47</v>
      </c>
      <c r="N54" s="21">
        <v>47</v>
      </c>
      <c r="O54" s="21">
        <v>47</v>
      </c>
      <c r="P54" s="21">
        <v>47</v>
      </c>
      <c r="Q54" s="21">
        <v>47</v>
      </c>
      <c r="R54" s="21">
        <v>47</v>
      </c>
      <c r="S54" s="39">
        <v>47</v>
      </c>
      <c r="T54" s="48">
        <v>47</v>
      </c>
      <c r="U54" s="21">
        <v>47</v>
      </c>
      <c r="V54" s="21">
        <v>47</v>
      </c>
      <c r="W54" s="21">
        <v>47</v>
      </c>
      <c r="X54" s="49">
        <v>47</v>
      </c>
      <c r="Y54" s="11"/>
    </row>
    <row r="55" spans="1:25" x14ac:dyDescent="0.35">
      <c r="A55" s="71"/>
      <c r="B55" s="74" t="s">
        <v>120</v>
      </c>
      <c r="C55" s="17" t="s">
        <v>125</v>
      </c>
      <c r="D55" s="22">
        <v>8.793899574487736E-2</v>
      </c>
      <c r="E55" s="19">
        <v>0.26567077370619735</v>
      </c>
      <c r="F55" s="19">
        <v>0.13775950716819391</v>
      </c>
      <c r="G55" s="19">
        <v>0.20646546827058163</v>
      </c>
      <c r="H55" s="19">
        <v>-8.1045227303744027E-2</v>
      </c>
      <c r="I55" s="19">
        <v>-0.18393037647561636</v>
      </c>
      <c r="J55" s="19">
        <v>-0.13775950716819391</v>
      </c>
      <c r="K55" s="19">
        <v>0.19140345318911384</v>
      </c>
      <c r="L55" s="19">
        <v>0.18618967873783651</v>
      </c>
      <c r="M55" s="19">
        <v>0.23015917661027521</v>
      </c>
      <c r="N55" s="19">
        <v>0.22593022622201694</v>
      </c>
      <c r="O55" s="19">
        <v>0.14059811770277822</v>
      </c>
      <c r="P55" s="19">
        <v>0.13080780789982416</v>
      </c>
      <c r="Q55" s="28" t="s">
        <v>160</v>
      </c>
      <c r="R55" s="24" t="s">
        <v>242</v>
      </c>
      <c r="S55" s="40" t="s">
        <v>246</v>
      </c>
      <c r="T55" s="46">
        <v>0.15143624750703866</v>
      </c>
      <c r="U55" s="23">
        <v>1</v>
      </c>
      <c r="V55" s="19">
        <v>0.14901704878762609</v>
      </c>
      <c r="W55" s="19">
        <v>0.19658556097504171</v>
      </c>
      <c r="X55" s="47">
        <v>-9.799282712896315E-2</v>
      </c>
      <c r="Y55" s="11"/>
    </row>
    <row r="56" spans="1:25" x14ac:dyDescent="0.35">
      <c r="A56" s="71"/>
      <c r="B56" s="74"/>
      <c r="C56" s="17" t="s">
        <v>126</v>
      </c>
      <c r="D56" s="22">
        <v>0.55667603577425484</v>
      </c>
      <c r="E56" s="19">
        <v>7.10917265964503E-2</v>
      </c>
      <c r="F56" s="19">
        <v>0.35579184758244597</v>
      </c>
      <c r="G56" s="19">
        <v>0.16380264228001279</v>
      </c>
      <c r="H56" s="19">
        <v>0.58812937007944222</v>
      </c>
      <c r="I56" s="19">
        <v>0.21586462405072887</v>
      </c>
      <c r="J56" s="19">
        <v>0.35579184758244597</v>
      </c>
      <c r="K56" s="19">
        <v>0.19746221077462145</v>
      </c>
      <c r="L56" s="19">
        <v>0.21017965213769821</v>
      </c>
      <c r="M56" s="19">
        <v>0.11961770753461311</v>
      </c>
      <c r="N56" s="19">
        <v>0.12675807807403755</v>
      </c>
      <c r="O56" s="19">
        <v>0.34586999957531295</v>
      </c>
      <c r="P56" s="19">
        <v>0.38081298430419075</v>
      </c>
      <c r="Q56" s="29">
        <v>4.4832212932110543E-3</v>
      </c>
      <c r="R56" s="19">
        <v>2.4882180208772899E-2</v>
      </c>
      <c r="S56" s="38">
        <v>6.7044503263838989E-3</v>
      </c>
      <c r="T56" s="46">
        <v>0.30957525344241099</v>
      </c>
      <c r="U56" s="24"/>
      <c r="V56" s="19">
        <v>0.31745778143693049</v>
      </c>
      <c r="W56" s="19">
        <v>0.18537098270450558</v>
      </c>
      <c r="X56" s="47">
        <v>0.51227794939167459</v>
      </c>
      <c r="Y56" s="11"/>
    </row>
    <row r="57" spans="1:25" x14ac:dyDescent="0.35">
      <c r="A57" s="71"/>
      <c r="B57" s="74"/>
      <c r="C57" s="17" t="s">
        <v>127</v>
      </c>
      <c r="D57" s="20">
        <v>47</v>
      </c>
      <c r="E57" s="21">
        <v>47</v>
      </c>
      <c r="F57" s="21">
        <v>47</v>
      </c>
      <c r="G57" s="21">
        <v>47</v>
      </c>
      <c r="H57" s="21">
        <v>47</v>
      </c>
      <c r="I57" s="21">
        <v>47</v>
      </c>
      <c r="J57" s="21">
        <v>47</v>
      </c>
      <c r="K57" s="21">
        <v>47</v>
      </c>
      <c r="L57" s="21">
        <v>47</v>
      </c>
      <c r="M57" s="21">
        <v>47</v>
      </c>
      <c r="N57" s="21">
        <v>47</v>
      </c>
      <c r="O57" s="21">
        <v>47</v>
      </c>
      <c r="P57" s="21">
        <v>47</v>
      </c>
      <c r="Q57" s="32">
        <v>47</v>
      </c>
      <c r="R57" s="21">
        <v>47</v>
      </c>
      <c r="S57" s="39">
        <v>47</v>
      </c>
      <c r="T57" s="48">
        <v>47</v>
      </c>
      <c r="U57" s="21">
        <v>47</v>
      </c>
      <c r="V57" s="21">
        <v>47</v>
      </c>
      <c r="W57" s="21">
        <v>47</v>
      </c>
      <c r="X57" s="49">
        <v>47</v>
      </c>
      <c r="Y57" s="11"/>
    </row>
    <row r="58" spans="1:25" x14ac:dyDescent="0.35">
      <c r="A58" s="71"/>
      <c r="B58" s="74" t="s">
        <v>121</v>
      </c>
      <c r="C58" s="17" t="s">
        <v>125</v>
      </c>
      <c r="D58" s="18" t="s">
        <v>137</v>
      </c>
      <c r="E58" s="24" t="s">
        <v>151</v>
      </c>
      <c r="F58" s="19">
        <v>7.7733449795329312E-2</v>
      </c>
      <c r="G58" s="24" t="s">
        <v>173</v>
      </c>
      <c r="H58" s="24" t="s">
        <v>186</v>
      </c>
      <c r="I58" s="24" t="s">
        <v>197</v>
      </c>
      <c r="J58" s="19">
        <v>-7.7733449795329312E-2</v>
      </c>
      <c r="K58" s="24" t="s">
        <v>209</v>
      </c>
      <c r="L58" s="24" t="s">
        <v>216</v>
      </c>
      <c r="M58" s="24" t="s">
        <v>224</v>
      </c>
      <c r="N58" s="19">
        <v>0.19864571831539107</v>
      </c>
      <c r="O58" s="19">
        <v>0.11199867859565318</v>
      </c>
      <c r="P58" s="19">
        <v>0.25658405282404678</v>
      </c>
      <c r="Q58" s="28" t="s">
        <v>136</v>
      </c>
      <c r="R58" s="24" t="s">
        <v>243</v>
      </c>
      <c r="S58" s="40" t="s">
        <v>247</v>
      </c>
      <c r="T58" s="50" t="s">
        <v>234</v>
      </c>
      <c r="U58" s="19">
        <v>0.14901704878762609</v>
      </c>
      <c r="V58" s="23">
        <v>1</v>
      </c>
      <c r="W58" s="24" t="s">
        <v>250</v>
      </c>
      <c r="X58" s="47">
        <v>0.21700009547086979</v>
      </c>
      <c r="Y58" s="11"/>
    </row>
    <row r="59" spans="1:25" x14ac:dyDescent="0.35">
      <c r="A59" s="71"/>
      <c r="B59" s="74"/>
      <c r="C59" s="17" t="s">
        <v>126</v>
      </c>
      <c r="D59" s="22">
        <v>3.2573066912283857E-2</v>
      </c>
      <c r="E59" s="19">
        <v>7.1676008871044078E-3</v>
      </c>
      <c r="F59" s="19">
        <v>0.60351630925337618</v>
      </c>
      <c r="G59" s="19">
        <v>4.4036391223178685E-3</v>
      </c>
      <c r="H59" s="19">
        <v>7.2523813450711414E-3</v>
      </c>
      <c r="I59" s="19">
        <v>4.534036308737591E-3</v>
      </c>
      <c r="J59" s="19">
        <v>0.60351630925337618</v>
      </c>
      <c r="K59" s="19">
        <v>4.7576170757546639E-5</v>
      </c>
      <c r="L59" s="19">
        <v>9.7415465629718692E-4</v>
      </c>
      <c r="M59" s="19">
        <v>1.398821205048625E-3</v>
      </c>
      <c r="N59" s="19">
        <v>0.18071421475142496</v>
      </c>
      <c r="O59" s="19">
        <v>0.45354901207638787</v>
      </c>
      <c r="P59" s="19">
        <v>8.169016821769913E-2</v>
      </c>
      <c r="Q59" s="19">
        <v>4.1637267693850698E-2</v>
      </c>
      <c r="R59" s="19">
        <v>8.0113300256741502E-4</v>
      </c>
      <c r="S59" s="38">
        <v>4.1526595186860658E-3</v>
      </c>
      <c r="T59" s="46">
        <v>1.6089147149844288E-2</v>
      </c>
      <c r="U59" s="19">
        <v>0.31745778143693049</v>
      </c>
      <c r="V59" s="24"/>
      <c r="W59" s="19">
        <v>6.9035697689957517E-4</v>
      </c>
      <c r="X59" s="47">
        <v>0.14288255845321446</v>
      </c>
      <c r="Y59" s="11"/>
    </row>
    <row r="60" spans="1:25" x14ac:dyDescent="0.35">
      <c r="A60" s="71"/>
      <c r="B60" s="74"/>
      <c r="C60" s="17" t="s">
        <v>127</v>
      </c>
      <c r="D60" s="20">
        <v>47</v>
      </c>
      <c r="E60" s="21">
        <v>47</v>
      </c>
      <c r="F60" s="21">
        <v>47</v>
      </c>
      <c r="G60" s="21">
        <v>47</v>
      </c>
      <c r="H60" s="21">
        <v>47</v>
      </c>
      <c r="I60" s="21">
        <v>47</v>
      </c>
      <c r="J60" s="21">
        <v>47</v>
      </c>
      <c r="K60" s="21">
        <v>47</v>
      </c>
      <c r="L60" s="21">
        <v>47</v>
      </c>
      <c r="M60" s="21">
        <v>47</v>
      </c>
      <c r="N60" s="21">
        <v>47</v>
      </c>
      <c r="O60" s="21">
        <v>47</v>
      </c>
      <c r="P60" s="21">
        <v>47</v>
      </c>
      <c r="Q60" s="21">
        <v>47</v>
      </c>
      <c r="R60" s="21">
        <v>47</v>
      </c>
      <c r="S60" s="39">
        <v>47</v>
      </c>
      <c r="T60" s="48">
        <v>47</v>
      </c>
      <c r="U60" s="21">
        <v>47</v>
      </c>
      <c r="V60" s="21">
        <v>47</v>
      </c>
      <c r="W60" s="21">
        <v>47</v>
      </c>
      <c r="X60" s="49">
        <v>47</v>
      </c>
      <c r="Y60" s="11"/>
    </row>
    <row r="61" spans="1:25" x14ac:dyDescent="0.35">
      <c r="A61" s="71"/>
      <c r="B61" s="74" t="s">
        <v>122</v>
      </c>
      <c r="C61" s="17" t="s">
        <v>125</v>
      </c>
      <c r="D61" s="18" t="s">
        <v>138</v>
      </c>
      <c r="E61" s="24" t="s">
        <v>152</v>
      </c>
      <c r="F61" s="19">
        <v>8.794517299912924E-2</v>
      </c>
      <c r="G61" s="24" t="s">
        <v>174</v>
      </c>
      <c r="H61" s="24" t="s">
        <v>187</v>
      </c>
      <c r="I61" s="24" t="s">
        <v>198</v>
      </c>
      <c r="J61" s="19">
        <v>-8.794517299912924E-2</v>
      </c>
      <c r="K61" s="24" t="s">
        <v>150</v>
      </c>
      <c r="L61" s="24" t="s">
        <v>217</v>
      </c>
      <c r="M61" s="24" t="s">
        <v>225</v>
      </c>
      <c r="N61" s="19">
        <v>0.20811762320912361</v>
      </c>
      <c r="O61" s="19">
        <v>0.1053606315996147</v>
      </c>
      <c r="P61" s="24" t="s">
        <v>236</v>
      </c>
      <c r="Q61" s="28" t="s">
        <v>240</v>
      </c>
      <c r="R61" s="24" t="s">
        <v>244</v>
      </c>
      <c r="S61" s="40" t="s">
        <v>248</v>
      </c>
      <c r="T61" s="50" t="s">
        <v>225</v>
      </c>
      <c r="U61" s="19">
        <v>0.19658556097504171</v>
      </c>
      <c r="V61" s="24" t="s">
        <v>250</v>
      </c>
      <c r="W61" s="23">
        <v>1</v>
      </c>
      <c r="X61" s="51" t="s">
        <v>251</v>
      </c>
      <c r="Y61" s="11"/>
    </row>
    <row r="62" spans="1:25" x14ac:dyDescent="0.35">
      <c r="A62" s="71"/>
      <c r="B62" s="74"/>
      <c r="C62" s="17" t="s">
        <v>126</v>
      </c>
      <c r="D62" s="22">
        <v>4.7042892936484072E-3</v>
      </c>
      <c r="E62" s="19">
        <v>9.6802304331255467E-5</v>
      </c>
      <c r="F62" s="19">
        <v>0.55664821075916271</v>
      </c>
      <c r="G62" s="19">
        <v>5.5877768678688641E-7</v>
      </c>
      <c r="H62" s="19">
        <v>2.4034535006418287E-4</v>
      </c>
      <c r="I62" s="19">
        <v>1.5895457025719545E-5</v>
      </c>
      <c r="J62" s="19">
        <v>0.55664821075916271</v>
      </c>
      <c r="K62" s="19">
        <v>5.6345782016285598E-9</v>
      </c>
      <c r="L62" s="19">
        <v>4.8316227321632314E-7</v>
      </c>
      <c r="M62" s="19">
        <v>6.509004294682133E-6</v>
      </c>
      <c r="N62" s="19">
        <v>0.16038215585682344</v>
      </c>
      <c r="O62" s="19">
        <v>0.48091519338190847</v>
      </c>
      <c r="P62" s="19">
        <v>2.8772495214647531E-2</v>
      </c>
      <c r="Q62" s="29">
        <v>3.7122206162503315E-7</v>
      </c>
      <c r="R62" s="19">
        <v>1.96913253833069E-7</v>
      </c>
      <c r="S62" s="38">
        <v>7.8908544166847864E-9</v>
      </c>
      <c r="T62" s="46">
        <v>6.5619472522838514E-6</v>
      </c>
      <c r="U62" s="19">
        <v>0.18537098270450558</v>
      </c>
      <c r="V62" s="19">
        <v>6.9035697689957517E-4</v>
      </c>
      <c r="W62" s="24"/>
      <c r="X62" s="47">
        <v>1.7443783714521158E-2</v>
      </c>
      <c r="Y62" s="11"/>
    </row>
    <row r="63" spans="1:25" x14ac:dyDescent="0.35">
      <c r="A63" s="71"/>
      <c r="B63" s="74"/>
      <c r="C63" s="17" t="s">
        <v>127</v>
      </c>
      <c r="D63" s="20">
        <v>47</v>
      </c>
      <c r="E63" s="21">
        <v>47</v>
      </c>
      <c r="F63" s="21">
        <v>47</v>
      </c>
      <c r="G63" s="21">
        <v>47</v>
      </c>
      <c r="H63" s="21">
        <v>47</v>
      </c>
      <c r="I63" s="21">
        <v>47</v>
      </c>
      <c r="J63" s="21">
        <v>47</v>
      </c>
      <c r="K63" s="21">
        <v>47</v>
      </c>
      <c r="L63" s="21">
        <v>47</v>
      </c>
      <c r="M63" s="21">
        <v>47</v>
      </c>
      <c r="N63" s="21">
        <v>47</v>
      </c>
      <c r="O63" s="21">
        <v>47</v>
      </c>
      <c r="P63" s="21">
        <v>47</v>
      </c>
      <c r="Q63" s="21">
        <v>47</v>
      </c>
      <c r="R63" s="21">
        <v>47</v>
      </c>
      <c r="S63" s="39">
        <v>47</v>
      </c>
      <c r="T63" s="48">
        <v>47</v>
      </c>
      <c r="U63" s="21">
        <v>47</v>
      </c>
      <c r="V63" s="21">
        <v>47</v>
      </c>
      <c r="W63" s="21">
        <v>47</v>
      </c>
      <c r="X63" s="49">
        <v>47</v>
      </c>
      <c r="Y63" s="11"/>
    </row>
    <row r="64" spans="1:25" x14ac:dyDescent="0.35">
      <c r="A64" s="71"/>
      <c r="B64" s="74" t="s">
        <v>123</v>
      </c>
      <c r="C64" s="17" t="s">
        <v>125</v>
      </c>
      <c r="D64" s="22">
        <v>-0.19380763790585462</v>
      </c>
      <c r="E64" s="19">
        <v>0.15524269325096052</v>
      </c>
      <c r="F64" s="19">
        <v>0.24295336947505999</v>
      </c>
      <c r="G64" s="24" t="s">
        <v>175</v>
      </c>
      <c r="H64" s="19">
        <v>-0.14298516961252342</v>
      </c>
      <c r="I64" s="19">
        <v>-9.5400537751986911E-2</v>
      </c>
      <c r="J64" s="19">
        <v>-0.24295336947505999</v>
      </c>
      <c r="K64" s="24" t="s">
        <v>210</v>
      </c>
      <c r="L64" s="24" t="s">
        <v>218</v>
      </c>
      <c r="M64" s="24" t="s">
        <v>226</v>
      </c>
      <c r="N64" s="19">
        <v>0.108987887068179</v>
      </c>
      <c r="O64" s="19">
        <v>0.16460929150297379</v>
      </c>
      <c r="P64" s="19">
        <v>-0.28302159533089449</v>
      </c>
      <c r="Q64" s="19">
        <v>0.24353155455234476</v>
      </c>
      <c r="R64" s="19">
        <v>0.26122401791725869</v>
      </c>
      <c r="S64" s="38">
        <v>0.27434881917162296</v>
      </c>
      <c r="T64" s="50" t="s">
        <v>249</v>
      </c>
      <c r="U64" s="19">
        <v>-9.799282712896315E-2</v>
      </c>
      <c r="V64" s="19">
        <v>0.21700009547086979</v>
      </c>
      <c r="W64" s="24" t="s">
        <v>251</v>
      </c>
      <c r="X64" s="55">
        <v>1</v>
      </c>
      <c r="Y64" s="11"/>
    </row>
    <row r="65" spans="1:25" x14ac:dyDescent="0.35">
      <c r="A65" s="71"/>
      <c r="B65" s="74"/>
      <c r="C65" s="17" t="s">
        <v>126</v>
      </c>
      <c r="D65" s="22">
        <v>0.19178506663370007</v>
      </c>
      <c r="E65" s="19">
        <v>0.29742788098101258</v>
      </c>
      <c r="F65" s="19">
        <v>9.9864200095534941E-2</v>
      </c>
      <c r="G65" s="19">
        <v>1.4311190659065766E-3</v>
      </c>
      <c r="H65" s="19">
        <v>0.33765975117503866</v>
      </c>
      <c r="I65" s="19">
        <v>0.52355243966376142</v>
      </c>
      <c r="J65" s="19">
        <v>9.9864200095534941E-2</v>
      </c>
      <c r="K65" s="19">
        <v>4.8317561756456462E-2</v>
      </c>
      <c r="L65" s="19">
        <v>9.0020760076985357E-3</v>
      </c>
      <c r="M65" s="19">
        <v>1.9825503343389308E-2</v>
      </c>
      <c r="N65" s="19">
        <v>0.46585487417353444</v>
      </c>
      <c r="O65" s="19">
        <v>0.26886517858328557</v>
      </c>
      <c r="P65" s="19">
        <v>5.3896470906941128E-2</v>
      </c>
      <c r="Q65" s="19">
        <v>9.9034880787506094E-2</v>
      </c>
      <c r="R65" s="19">
        <v>7.6133358677549501E-2</v>
      </c>
      <c r="S65" s="38">
        <v>6.201635438248012E-2</v>
      </c>
      <c r="T65" s="46">
        <v>4.2247212227798031E-3</v>
      </c>
      <c r="U65" s="19">
        <v>0.51227794939167459</v>
      </c>
      <c r="V65" s="19">
        <v>0.14288255845321446</v>
      </c>
      <c r="W65" s="19">
        <v>1.7443783714521158E-2</v>
      </c>
      <c r="X65" s="51"/>
      <c r="Y65" s="11"/>
    </row>
    <row r="66" spans="1:25" ht="15" thickBot="1" x14ac:dyDescent="0.4">
      <c r="A66" s="72"/>
      <c r="B66" s="75"/>
      <c r="C66" s="25" t="s">
        <v>127</v>
      </c>
      <c r="D66" s="26">
        <v>47</v>
      </c>
      <c r="E66" s="27">
        <v>47</v>
      </c>
      <c r="F66" s="27">
        <v>47</v>
      </c>
      <c r="G66" s="27">
        <v>47</v>
      </c>
      <c r="H66" s="27">
        <v>47</v>
      </c>
      <c r="I66" s="27">
        <v>47</v>
      </c>
      <c r="J66" s="27">
        <v>47</v>
      </c>
      <c r="K66" s="27">
        <v>47</v>
      </c>
      <c r="L66" s="27">
        <v>47</v>
      </c>
      <c r="M66" s="27">
        <v>47</v>
      </c>
      <c r="N66" s="27">
        <v>47</v>
      </c>
      <c r="O66" s="27">
        <v>47</v>
      </c>
      <c r="P66" s="27">
        <v>47</v>
      </c>
      <c r="Q66" s="27">
        <v>47</v>
      </c>
      <c r="R66" s="27">
        <v>47</v>
      </c>
      <c r="S66" s="43">
        <v>47</v>
      </c>
      <c r="T66" s="52">
        <v>47</v>
      </c>
      <c r="U66" s="35">
        <v>47</v>
      </c>
      <c r="V66" s="35">
        <v>47</v>
      </c>
      <c r="W66" s="35">
        <v>47</v>
      </c>
      <c r="X66" s="53">
        <v>47</v>
      </c>
      <c r="Y66" s="11"/>
    </row>
    <row r="67" spans="1:25" ht="15" thickTop="1" x14ac:dyDescent="0.35">
      <c r="A67" s="74" t="s">
        <v>128</v>
      </c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11"/>
    </row>
    <row r="68" spans="1:25" x14ac:dyDescent="0.35">
      <c r="A68" s="74" t="s">
        <v>129</v>
      </c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11"/>
    </row>
  </sheetData>
  <mergeCells count="28">
    <mergeCell ref="A67:X67"/>
    <mergeCell ref="A68:X68"/>
    <mergeCell ref="D1:P1"/>
    <mergeCell ref="T1:X1"/>
    <mergeCell ref="B43:B45"/>
    <mergeCell ref="B46:B48"/>
    <mergeCell ref="B49:B51"/>
    <mergeCell ref="B52:B54"/>
    <mergeCell ref="B55:B57"/>
    <mergeCell ref="B58:B60"/>
    <mergeCell ref="B25:B27"/>
    <mergeCell ref="B28:B30"/>
    <mergeCell ref="B31:B33"/>
    <mergeCell ref="B34:B36"/>
    <mergeCell ref="B37:B39"/>
    <mergeCell ref="B40:B42"/>
    <mergeCell ref="A2:X2"/>
    <mergeCell ref="A3:C3"/>
    <mergeCell ref="A4:A66"/>
    <mergeCell ref="B4:B6"/>
    <mergeCell ref="B7:B9"/>
    <mergeCell ref="B10:B12"/>
    <mergeCell ref="B13:B15"/>
    <mergeCell ref="B16:B18"/>
    <mergeCell ref="B19:B21"/>
    <mergeCell ref="B22:B24"/>
    <mergeCell ref="B61:B63"/>
    <mergeCell ref="B64:B6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06FF4-F31A-4C87-9F60-351B14F43DDA}">
  <dimension ref="A1:Q80"/>
  <sheetViews>
    <sheetView topLeftCell="A65" workbookViewId="0">
      <selection activeCell="A71" sqref="A71:A80"/>
    </sheetView>
  </sheetViews>
  <sheetFormatPr defaultRowHeight="14.5" x14ac:dyDescent="0.35"/>
  <cols>
    <col min="1" max="1" width="10.90625" bestFit="1" customWidth="1"/>
  </cols>
  <sheetData>
    <row r="1" spans="1:12" x14ac:dyDescent="0.35">
      <c r="A1" t="s">
        <v>81</v>
      </c>
      <c r="B1" t="s">
        <v>287</v>
      </c>
      <c r="C1" t="s">
        <v>288</v>
      </c>
      <c r="D1" t="s">
        <v>289</v>
      </c>
      <c r="E1" t="s">
        <v>287</v>
      </c>
      <c r="F1" t="s">
        <v>288</v>
      </c>
      <c r="G1" t="s">
        <v>289</v>
      </c>
      <c r="H1" t="s">
        <v>287</v>
      </c>
      <c r="I1" t="s">
        <v>288</v>
      </c>
      <c r="J1" t="s">
        <v>289</v>
      </c>
      <c r="K1" t="s">
        <v>290</v>
      </c>
      <c r="L1" t="s">
        <v>291</v>
      </c>
    </row>
    <row r="2" spans="1:12" x14ac:dyDescent="0.35">
      <c r="A2" t="s">
        <v>71</v>
      </c>
      <c r="B2">
        <v>9.6159811402692483</v>
      </c>
      <c r="C2">
        <v>23.278144731864863</v>
      </c>
      <c r="D2">
        <v>77.297572314772893</v>
      </c>
      <c r="E2">
        <v>0</v>
      </c>
      <c r="F2">
        <v>12.124033714512949</v>
      </c>
      <c r="G2">
        <v>11.669319491964506</v>
      </c>
      <c r="H2">
        <v>0</v>
      </c>
      <c r="I2">
        <v>11.154111017351914</v>
      </c>
      <c r="J2">
        <v>32.300676353757751</v>
      </c>
      <c r="K2" t="b">
        <v>1</v>
      </c>
      <c r="L2">
        <v>67.681591174503637</v>
      </c>
    </row>
    <row r="3" spans="1:12" x14ac:dyDescent="0.35">
      <c r="A3" t="s">
        <v>40</v>
      </c>
      <c r="B3">
        <v>5.7043375189835919</v>
      </c>
      <c r="C3">
        <v>7.913144485790041</v>
      </c>
      <c r="D3">
        <v>44.57560867875636</v>
      </c>
      <c r="E3">
        <v>0</v>
      </c>
      <c r="F3">
        <v>2.8886478764499044</v>
      </c>
      <c r="G3">
        <v>3.1526621871888953</v>
      </c>
      <c r="H3">
        <v>0</v>
      </c>
      <c r="I3">
        <v>5.0244966093401366</v>
      </c>
      <c r="J3">
        <v>2.2640173571060558</v>
      </c>
      <c r="K3" t="b">
        <v>1</v>
      </c>
      <c r="L3">
        <v>38.871271159772768</v>
      </c>
    </row>
    <row r="4" spans="1:12" x14ac:dyDescent="0.35">
      <c r="A4" t="s">
        <v>33</v>
      </c>
      <c r="B4">
        <v>0</v>
      </c>
      <c r="C4">
        <v>17.451281461612556</v>
      </c>
      <c r="D4">
        <v>10.697188085900299</v>
      </c>
      <c r="E4">
        <v>0</v>
      </c>
      <c r="F4">
        <v>8.1276967850340451</v>
      </c>
      <c r="G4">
        <v>6.9960727016471811</v>
      </c>
      <c r="H4">
        <v>0</v>
      </c>
      <c r="I4">
        <v>9.499843382572001</v>
      </c>
      <c r="J4">
        <v>3.701115384253117</v>
      </c>
      <c r="K4" t="b">
        <v>0</v>
      </c>
      <c r="L4">
        <v>10.697188085900299</v>
      </c>
    </row>
    <row r="5" spans="1:12" x14ac:dyDescent="0.35">
      <c r="A5" t="s">
        <v>73</v>
      </c>
      <c r="B5">
        <v>0</v>
      </c>
      <c r="C5">
        <v>7.5868986609349687</v>
      </c>
      <c r="D5">
        <v>8.0176798681728538</v>
      </c>
      <c r="E5">
        <v>0</v>
      </c>
      <c r="F5">
        <v>5.1118218663233543</v>
      </c>
      <c r="G5">
        <v>4.8938217574814047</v>
      </c>
      <c r="H5">
        <v>0</v>
      </c>
      <c r="I5">
        <v>2.4750767946116148</v>
      </c>
      <c r="J5">
        <v>2.3695240142668652</v>
      </c>
      <c r="K5" t="b">
        <v>0</v>
      </c>
      <c r="L5">
        <v>8.0176798681728538</v>
      </c>
    </row>
    <row r="6" spans="1:12" x14ac:dyDescent="0.35">
      <c r="A6" t="s">
        <v>65</v>
      </c>
      <c r="B6">
        <v>0</v>
      </c>
      <c r="C6">
        <v>6.0066164230869381</v>
      </c>
      <c r="D6">
        <v>6.2212396706287967</v>
      </c>
      <c r="E6">
        <v>0</v>
      </c>
      <c r="F6">
        <v>4.3397284053306322</v>
      </c>
      <c r="G6">
        <v>5.2044935503820113</v>
      </c>
      <c r="H6">
        <v>0</v>
      </c>
      <c r="I6">
        <v>1.6668880177563061</v>
      </c>
      <c r="J6">
        <v>0.34225517909745962</v>
      </c>
      <c r="K6" t="b">
        <v>0</v>
      </c>
      <c r="L6">
        <v>6.2212396706287967</v>
      </c>
    </row>
    <row r="7" spans="1:12" x14ac:dyDescent="0.35">
      <c r="A7" t="s">
        <v>49</v>
      </c>
      <c r="B7">
        <v>0</v>
      </c>
      <c r="C7">
        <v>2.395668837562019</v>
      </c>
      <c r="D7">
        <v>5.7170414019483733</v>
      </c>
      <c r="E7">
        <v>0</v>
      </c>
      <c r="F7">
        <v>1.8182954126819642</v>
      </c>
      <c r="G7">
        <v>5.1844494809517272</v>
      </c>
      <c r="H7">
        <v>0</v>
      </c>
      <c r="I7">
        <v>0.57737342488005494</v>
      </c>
      <c r="J7">
        <v>0.3458895720680048</v>
      </c>
      <c r="K7" t="b">
        <v>0</v>
      </c>
      <c r="L7">
        <v>5.7170414019483733</v>
      </c>
    </row>
    <row r="8" spans="1:12" x14ac:dyDescent="0.35">
      <c r="A8" t="s">
        <v>51</v>
      </c>
      <c r="B8">
        <v>0</v>
      </c>
      <c r="C8">
        <v>6.2408431707589127</v>
      </c>
      <c r="D8">
        <v>5.2967509113158195</v>
      </c>
      <c r="E8">
        <v>0</v>
      </c>
      <c r="F8">
        <v>2.6003513211495468</v>
      </c>
      <c r="G8">
        <v>2.5617493566848784</v>
      </c>
      <c r="H8">
        <v>0</v>
      </c>
      <c r="I8">
        <v>3.6404918496093654</v>
      </c>
      <c r="J8">
        <v>2.450735496280454</v>
      </c>
      <c r="K8" t="b">
        <v>0</v>
      </c>
      <c r="L8">
        <v>5.2967509113158195</v>
      </c>
    </row>
    <row r="9" spans="1:12" x14ac:dyDescent="0.35">
      <c r="A9" t="s">
        <v>78</v>
      </c>
      <c r="B9">
        <v>0</v>
      </c>
      <c r="C9">
        <v>2.2544427688594029</v>
      </c>
      <c r="D9">
        <v>3.2626166625244934</v>
      </c>
      <c r="E9">
        <v>0</v>
      </c>
      <c r="F9">
        <v>0.95369488928869539</v>
      </c>
      <c r="G9">
        <v>2.3524210478989187</v>
      </c>
      <c r="H9">
        <v>0</v>
      </c>
      <c r="I9">
        <v>0.18221683657779308</v>
      </c>
      <c r="J9">
        <v>0.26676424709662833</v>
      </c>
      <c r="K9" t="b">
        <v>0</v>
      </c>
      <c r="L9">
        <v>3.2626166625244934</v>
      </c>
    </row>
    <row r="10" spans="1:12" x14ac:dyDescent="0.35">
      <c r="A10" t="s">
        <v>43</v>
      </c>
      <c r="B10">
        <v>1.7586691307098652</v>
      </c>
      <c r="C10">
        <v>2.8339066627077822</v>
      </c>
      <c r="D10">
        <v>4.2305355033351333</v>
      </c>
      <c r="E10">
        <v>0</v>
      </c>
      <c r="F10">
        <v>1.6745812097818713</v>
      </c>
      <c r="G10">
        <v>2.8801103285417149</v>
      </c>
      <c r="H10">
        <v>0</v>
      </c>
      <c r="I10">
        <v>1.1593254529259109</v>
      </c>
      <c r="J10">
        <v>1.3504251747934182</v>
      </c>
      <c r="K10" t="b">
        <v>0</v>
      </c>
      <c r="L10">
        <v>2.4718663726252679</v>
      </c>
    </row>
    <row r="11" spans="1:12" x14ac:dyDescent="0.35">
      <c r="A11" t="s">
        <v>34</v>
      </c>
      <c r="B11">
        <v>0</v>
      </c>
      <c r="C11">
        <v>2.1081724281039813</v>
      </c>
      <c r="D11">
        <v>2.4426095634584915</v>
      </c>
      <c r="E11">
        <v>0</v>
      </c>
      <c r="F11">
        <v>0.97302725598671558</v>
      </c>
      <c r="G11">
        <v>1.3425501546306997</v>
      </c>
      <c r="H11">
        <v>0</v>
      </c>
      <c r="I11">
        <v>1.1351451721172658</v>
      </c>
      <c r="J11">
        <v>1.1000594088277917</v>
      </c>
      <c r="K11" t="b">
        <v>0</v>
      </c>
      <c r="L11">
        <v>2.4426095634584915</v>
      </c>
    </row>
    <row r="18" spans="1:12" x14ac:dyDescent="0.35">
      <c r="A18" t="s">
        <v>81</v>
      </c>
      <c r="B18" t="s">
        <v>287</v>
      </c>
      <c r="C18" t="s">
        <v>288</v>
      </c>
      <c r="D18" t="s">
        <v>289</v>
      </c>
      <c r="E18" t="s">
        <v>287</v>
      </c>
      <c r="F18" t="s">
        <v>288</v>
      </c>
      <c r="G18" t="s">
        <v>289</v>
      </c>
      <c r="H18" t="s">
        <v>287</v>
      </c>
      <c r="I18" t="s">
        <v>288</v>
      </c>
      <c r="J18" t="s">
        <v>289</v>
      </c>
      <c r="K18" t="s">
        <v>292</v>
      </c>
      <c r="L18" t="s">
        <v>293</v>
      </c>
    </row>
    <row r="19" spans="1:12" x14ac:dyDescent="0.35">
      <c r="A19" t="s">
        <v>71</v>
      </c>
      <c r="B19">
        <v>43.323613954546396</v>
      </c>
      <c r="C19">
        <v>123.37416707888377</v>
      </c>
      <c r="D19">
        <v>119.21376792990939</v>
      </c>
      <c r="E19">
        <v>0</v>
      </c>
      <c r="F19">
        <v>123.37416707888377</v>
      </c>
      <c r="G19">
        <v>66.843080832126915</v>
      </c>
      <c r="H19">
        <v>0</v>
      </c>
      <c r="I19">
        <v>0</v>
      </c>
      <c r="J19">
        <v>0</v>
      </c>
      <c r="K19" t="b">
        <v>1</v>
      </c>
      <c r="L19">
        <v>75.890153975363006</v>
      </c>
    </row>
    <row r="20" spans="1:12" x14ac:dyDescent="0.35">
      <c r="A20" t="s">
        <v>73</v>
      </c>
      <c r="B20">
        <v>10.899955183999529</v>
      </c>
      <c r="C20">
        <v>50.132513051399776</v>
      </c>
      <c r="D20">
        <v>66.327513452394967</v>
      </c>
      <c r="E20">
        <v>0</v>
      </c>
      <c r="F20">
        <v>24.520211891826651</v>
      </c>
      <c r="G20">
        <v>23.474516442918034</v>
      </c>
      <c r="H20">
        <v>0</v>
      </c>
      <c r="I20">
        <v>25.612301159573121</v>
      </c>
      <c r="J20">
        <v>24.520032182583979</v>
      </c>
      <c r="K20" t="b">
        <v>1</v>
      </c>
      <c r="L20">
        <v>55.427558268395437</v>
      </c>
    </row>
    <row r="21" spans="1:12" x14ac:dyDescent="0.35">
      <c r="A21" t="s">
        <v>65</v>
      </c>
      <c r="B21">
        <v>18.643598804269427</v>
      </c>
      <c r="C21">
        <v>53.855863237034164</v>
      </c>
      <c r="D21">
        <v>60.6086714570691</v>
      </c>
      <c r="E21">
        <v>9.2628293815859291</v>
      </c>
      <c r="F21">
        <v>36.243383109269907</v>
      </c>
      <c r="G21">
        <v>50.512143673694041</v>
      </c>
      <c r="H21">
        <v>9.3807694226834961</v>
      </c>
      <c r="I21">
        <v>17.612480127764261</v>
      </c>
      <c r="J21">
        <v>0.26554281136871866</v>
      </c>
      <c r="K21" t="b">
        <v>1</v>
      </c>
      <c r="L21">
        <v>41.965072652799677</v>
      </c>
    </row>
    <row r="22" spans="1:12" x14ac:dyDescent="0.35">
      <c r="A22" t="s">
        <v>78</v>
      </c>
      <c r="B22">
        <v>0</v>
      </c>
      <c r="C22">
        <v>11.63160151274737</v>
      </c>
      <c r="D22">
        <v>24.965436795232208</v>
      </c>
      <c r="E22">
        <v>0</v>
      </c>
      <c r="F22">
        <v>11.63160151274737</v>
      </c>
      <c r="G22">
        <v>16.874587083664807</v>
      </c>
      <c r="H22">
        <v>0</v>
      </c>
      <c r="I22">
        <v>0</v>
      </c>
      <c r="J22">
        <v>0</v>
      </c>
      <c r="K22" t="b">
        <v>0</v>
      </c>
      <c r="L22">
        <v>24.965436795232208</v>
      </c>
    </row>
    <row r="23" spans="1:12" x14ac:dyDescent="0.35">
      <c r="A23" t="s">
        <v>53</v>
      </c>
      <c r="B23">
        <v>13.588806084750864</v>
      </c>
      <c r="C23">
        <v>40.499321677501314</v>
      </c>
      <c r="D23">
        <v>37.102627989308182</v>
      </c>
      <c r="E23">
        <v>5.5991519457325509</v>
      </c>
      <c r="F23">
        <v>19.607626864755204</v>
      </c>
      <c r="G23">
        <v>16.744713032991744</v>
      </c>
      <c r="H23">
        <v>7.989654139018314</v>
      </c>
      <c r="I23">
        <v>20.89169481274611</v>
      </c>
      <c r="J23">
        <v>20.357914956316442</v>
      </c>
      <c r="K23" t="b">
        <v>1</v>
      </c>
      <c r="L23">
        <v>23.513821904557318</v>
      </c>
    </row>
    <row r="24" spans="1:12" x14ac:dyDescent="0.35">
      <c r="A24" t="s">
        <v>51</v>
      </c>
      <c r="B24">
        <v>0</v>
      </c>
      <c r="C24">
        <v>27.75989085823683</v>
      </c>
      <c r="D24">
        <v>19.889555441350097</v>
      </c>
      <c r="E24">
        <v>0</v>
      </c>
      <c r="F24">
        <v>4.9132953910141435</v>
      </c>
      <c r="G24">
        <v>4.6131491694690885</v>
      </c>
      <c r="H24">
        <v>0</v>
      </c>
      <c r="I24">
        <v>19.502634908621602</v>
      </c>
      <c r="J24">
        <v>14.885776705111445</v>
      </c>
      <c r="K24" t="b">
        <v>0</v>
      </c>
      <c r="L24">
        <v>19.889555441350097</v>
      </c>
    </row>
    <row r="25" spans="1:12" x14ac:dyDescent="0.35">
      <c r="A25" t="s">
        <v>34</v>
      </c>
      <c r="B25">
        <v>0</v>
      </c>
      <c r="C25">
        <v>14.735143611692351</v>
      </c>
      <c r="D25">
        <v>18.746629066564807</v>
      </c>
      <c r="E25">
        <v>0</v>
      </c>
      <c r="F25">
        <v>2.97919649820185</v>
      </c>
      <c r="G25">
        <v>2.6005848541739307</v>
      </c>
      <c r="H25">
        <v>0</v>
      </c>
      <c r="I25">
        <v>12.426162403844808</v>
      </c>
      <c r="J25">
        <v>15.480584508478719</v>
      </c>
      <c r="K25" t="b">
        <v>0</v>
      </c>
      <c r="L25">
        <v>18.746629066564807</v>
      </c>
    </row>
    <row r="26" spans="1:12" x14ac:dyDescent="0.35">
      <c r="A26" t="s">
        <v>79</v>
      </c>
      <c r="B26">
        <v>13.811448061574467</v>
      </c>
      <c r="C26">
        <v>18.518242934048633</v>
      </c>
      <c r="D26">
        <v>28.514380378537798</v>
      </c>
      <c r="E26">
        <v>13.511199190670673</v>
      </c>
      <c r="F26">
        <v>12.736357727224163</v>
      </c>
      <c r="G26">
        <v>19.718713912416</v>
      </c>
      <c r="H26">
        <v>1.8959203887536791</v>
      </c>
      <c r="I26">
        <v>8.6711669216905616</v>
      </c>
      <c r="J26">
        <v>7.9972858736204593</v>
      </c>
      <c r="K26" t="b">
        <v>0</v>
      </c>
      <c r="L26">
        <v>14.702932316963331</v>
      </c>
    </row>
    <row r="27" spans="1:12" x14ac:dyDescent="0.35">
      <c r="A27" t="s">
        <v>56</v>
      </c>
      <c r="B27">
        <v>8.9952824106106632</v>
      </c>
      <c r="C27">
        <v>11.991399007360956</v>
      </c>
      <c r="D27">
        <v>20.296890728972834</v>
      </c>
      <c r="E27">
        <v>6.3180406090608994</v>
      </c>
      <c r="F27">
        <v>9.3493315277003521</v>
      </c>
      <c r="G27">
        <v>7.3675107723209976</v>
      </c>
      <c r="H27">
        <v>2.6772418015497634</v>
      </c>
      <c r="I27">
        <v>2.642067479660605</v>
      </c>
      <c r="J27">
        <v>2.4428306280467948</v>
      </c>
      <c r="K27" t="b">
        <v>0</v>
      </c>
      <c r="L27">
        <v>11.30160831836217</v>
      </c>
    </row>
    <row r="28" spans="1:12" x14ac:dyDescent="0.35">
      <c r="A28" t="s">
        <v>50</v>
      </c>
      <c r="B28">
        <v>0</v>
      </c>
      <c r="C28">
        <v>5.5585631594753488</v>
      </c>
      <c r="D28">
        <v>10.638845868316279</v>
      </c>
      <c r="E28">
        <v>0</v>
      </c>
      <c r="F28">
        <v>5.5585631594753488</v>
      </c>
      <c r="G28">
        <v>5.6934708206925491</v>
      </c>
      <c r="H28">
        <v>0</v>
      </c>
      <c r="I28">
        <v>0</v>
      </c>
      <c r="J28">
        <v>0</v>
      </c>
      <c r="K28" t="b">
        <v>0</v>
      </c>
      <c r="L28">
        <v>10.638845868316279</v>
      </c>
    </row>
    <row r="36" spans="1:11" x14ac:dyDescent="0.35">
      <c r="A36" t="s">
        <v>81</v>
      </c>
      <c r="B36" t="s">
        <v>287</v>
      </c>
      <c r="C36" t="s">
        <v>288</v>
      </c>
      <c r="D36" t="s">
        <v>289</v>
      </c>
      <c r="E36" t="s">
        <v>287</v>
      </c>
      <c r="F36" t="s">
        <v>288</v>
      </c>
      <c r="G36" t="s">
        <v>289</v>
      </c>
      <c r="H36" t="s">
        <v>287</v>
      </c>
      <c r="I36" t="s">
        <v>288</v>
      </c>
      <c r="J36" t="s">
        <v>289</v>
      </c>
      <c r="K36" t="s">
        <v>294</v>
      </c>
    </row>
    <row r="37" spans="1:11" x14ac:dyDescent="0.35">
      <c r="A37" t="s">
        <v>71</v>
      </c>
      <c r="B37">
        <v>0</v>
      </c>
      <c r="C37">
        <v>15.324778615144369</v>
      </c>
      <c r="D37">
        <v>16.737593274176241</v>
      </c>
      <c r="E37">
        <v>0</v>
      </c>
      <c r="F37">
        <v>15.324778615144369</v>
      </c>
      <c r="G37">
        <v>16.737593274176241</v>
      </c>
      <c r="H37">
        <v>0</v>
      </c>
      <c r="I37">
        <v>0</v>
      </c>
      <c r="J37">
        <v>0</v>
      </c>
      <c r="K37">
        <v>16.737593274176241</v>
      </c>
    </row>
    <row r="38" spans="1:11" x14ac:dyDescent="0.35">
      <c r="A38" t="s">
        <v>57</v>
      </c>
      <c r="B38">
        <v>0</v>
      </c>
      <c r="C38">
        <v>12.64321431544888</v>
      </c>
      <c r="D38">
        <v>12.052082865767586</v>
      </c>
      <c r="E38">
        <v>0</v>
      </c>
      <c r="F38">
        <v>12.64321431544888</v>
      </c>
      <c r="G38">
        <v>12.052082865767586</v>
      </c>
      <c r="H38">
        <v>0</v>
      </c>
      <c r="I38">
        <v>0</v>
      </c>
      <c r="J38">
        <v>0</v>
      </c>
      <c r="K38">
        <v>12.052082865767586</v>
      </c>
    </row>
    <row r="39" spans="1:11" x14ac:dyDescent="0.35">
      <c r="A39" t="s">
        <v>79</v>
      </c>
      <c r="B39">
        <v>0</v>
      </c>
      <c r="C39">
        <v>0.56735952736161055</v>
      </c>
      <c r="D39">
        <v>5.8827721171184519</v>
      </c>
      <c r="E39">
        <v>0</v>
      </c>
      <c r="F39">
        <v>0.56138032859550457</v>
      </c>
      <c r="G39">
        <v>1.7131789229729393</v>
      </c>
      <c r="H39">
        <v>0</v>
      </c>
      <c r="I39">
        <v>5.9791987661059658E-3</v>
      </c>
      <c r="J39">
        <v>5.5145244301704052E-3</v>
      </c>
      <c r="K39">
        <v>5.8827721171184519</v>
      </c>
    </row>
    <row r="40" spans="1:11" x14ac:dyDescent="0.35">
      <c r="A40" t="s">
        <v>77</v>
      </c>
      <c r="B40">
        <v>1.9844886695619415</v>
      </c>
      <c r="C40">
        <v>1.7432087542464663</v>
      </c>
      <c r="D40">
        <v>6.9750877177016513</v>
      </c>
      <c r="E40">
        <v>1.9844886695619415</v>
      </c>
      <c r="F40">
        <v>0</v>
      </c>
      <c r="G40">
        <v>0</v>
      </c>
      <c r="H40">
        <v>0</v>
      </c>
      <c r="I40">
        <v>1.7432087542464663</v>
      </c>
      <c r="J40">
        <v>1.8408627292705331</v>
      </c>
      <c r="K40">
        <v>4.9905990481397096</v>
      </c>
    </row>
    <row r="41" spans="1:11" x14ac:dyDescent="0.35">
      <c r="A41" t="s">
        <v>63</v>
      </c>
      <c r="B41">
        <v>0</v>
      </c>
      <c r="C41">
        <v>4.3770889116449458</v>
      </c>
      <c r="D41">
        <v>4.3633207102285674</v>
      </c>
      <c r="E41">
        <v>0</v>
      </c>
      <c r="F41">
        <v>4.3770889116449458</v>
      </c>
      <c r="G41">
        <v>4.3633207102285674</v>
      </c>
      <c r="H41">
        <v>0</v>
      </c>
      <c r="I41">
        <v>0</v>
      </c>
      <c r="J41">
        <v>0</v>
      </c>
      <c r="K41">
        <v>4.3633207102285674</v>
      </c>
    </row>
    <row r="42" spans="1:11" x14ac:dyDescent="0.35">
      <c r="A42" t="s">
        <v>37</v>
      </c>
      <c r="B42">
        <v>0.90211115840910339</v>
      </c>
      <c r="C42">
        <v>3.2212471085886865</v>
      </c>
      <c r="D42">
        <v>4.0990110066428311</v>
      </c>
      <c r="E42">
        <v>0</v>
      </c>
      <c r="F42">
        <v>1.7569992982300597</v>
      </c>
      <c r="G42">
        <v>2.5077444140059324</v>
      </c>
      <c r="H42">
        <v>0</v>
      </c>
      <c r="I42">
        <v>1.4642478103586265</v>
      </c>
      <c r="J42">
        <v>1.5912665926368985</v>
      </c>
      <c r="K42">
        <v>3.1968998482337279</v>
      </c>
    </row>
    <row r="43" spans="1:11" x14ac:dyDescent="0.35">
      <c r="A43" t="s">
        <v>53</v>
      </c>
      <c r="B43">
        <v>4.1005468473581175</v>
      </c>
      <c r="C43">
        <v>3.441781520535669</v>
      </c>
      <c r="D43">
        <v>7.1340937945138698</v>
      </c>
      <c r="E43">
        <v>1.5204029907144254</v>
      </c>
      <c r="F43">
        <v>3.441781520535669</v>
      </c>
      <c r="G43">
        <v>7.1340937945138698</v>
      </c>
      <c r="H43">
        <v>0</v>
      </c>
      <c r="I43">
        <v>0</v>
      </c>
      <c r="J43">
        <v>0</v>
      </c>
      <c r="K43">
        <v>3.0335469471557523</v>
      </c>
    </row>
    <row r="44" spans="1:11" x14ac:dyDescent="0.35">
      <c r="A44" t="s">
        <v>43</v>
      </c>
      <c r="B44">
        <v>4.2179462891008965</v>
      </c>
      <c r="C44">
        <v>6.2732388397213183</v>
      </c>
      <c r="D44">
        <v>7.0030898445039211</v>
      </c>
      <c r="E44">
        <v>4.0606669359479817</v>
      </c>
      <c r="F44">
        <v>6.2732388397213183</v>
      </c>
      <c r="G44">
        <v>7.0030898445039211</v>
      </c>
      <c r="H44">
        <v>0.15727935315291477</v>
      </c>
      <c r="I44">
        <v>0</v>
      </c>
      <c r="J44">
        <v>0</v>
      </c>
      <c r="K44">
        <v>2.7851435554030246</v>
      </c>
    </row>
    <row r="45" spans="1:11" x14ac:dyDescent="0.35">
      <c r="A45" t="s">
        <v>78</v>
      </c>
      <c r="B45">
        <v>1.8201538354901259</v>
      </c>
      <c r="C45">
        <v>1.9242097942614949</v>
      </c>
      <c r="D45">
        <v>4.5969374565227969</v>
      </c>
      <c r="E45">
        <v>1.8201538354901259</v>
      </c>
      <c r="F45">
        <v>1.9242097942614949</v>
      </c>
      <c r="G45">
        <v>4.5969374565227969</v>
      </c>
      <c r="H45">
        <v>0</v>
      </c>
      <c r="I45">
        <v>0</v>
      </c>
      <c r="J45">
        <v>0</v>
      </c>
      <c r="K45">
        <v>2.7767836210326711</v>
      </c>
    </row>
    <row r="46" spans="1:11" x14ac:dyDescent="0.35">
      <c r="A46" t="s">
        <v>74</v>
      </c>
      <c r="B46">
        <v>0</v>
      </c>
      <c r="C46">
        <v>1.6468934438297507</v>
      </c>
      <c r="D46">
        <v>2.7673002425007196</v>
      </c>
      <c r="E46">
        <v>0</v>
      </c>
      <c r="F46">
        <v>1.0697111621137165</v>
      </c>
      <c r="G46">
        <v>0.48022755437514469</v>
      </c>
      <c r="H46">
        <v>0</v>
      </c>
      <c r="I46">
        <v>0.57718228171603414</v>
      </c>
      <c r="J46">
        <v>2.349456232374783</v>
      </c>
      <c r="K46">
        <v>2.7673002425007196</v>
      </c>
    </row>
    <row r="52" spans="1:17" x14ac:dyDescent="0.35">
      <c r="A52" t="s">
        <v>81</v>
      </c>
      <c r="B52" t="s">
        <v>295</v>
      </c>
      <c r="E52" t="s">
        <v>30</v>
      </c>
      <c r="H52" t="s">
        <v>295</v>
      </c>
      <c r="K52" t="s">
        <v>30</v>
      </c>
      <c r="Q52" t="s">
        <v>296</v>
      </c>
    </row>
    <row r="53" spans="1:17" x14ac:dyDescent="0.35">
      <c r="A53" t="s">
        <v>71</v>
      </c>
      <c r="B53">
        <v>14</v>
      </c>
      <c r="C53">
        <v>38</v>
      </c>
      <c r="D53">
        <v>44</v>
      </c>
      <c r="E53">
        <v>0</v>
      </c>
      <c r="F53">
        <v>125</v>
      </c>
      <c r="G53">
        <v>131.02004545252734</v>
      </c>
      <c r="H53">
        <v>1.4475670533738652</v>
      </c>
      <c r="I53">
        <v>3.6857062492119366</v>
      </c>
      <c r="J53">
        <v>4.107600461171506</v>
      </c>
      <c r="K53">
        <v>0</v>
      </c>
      <c r="L53">
        <v>12.124033714512949</v>
      </c>
      <c r="M53">
        <v>12.231318161898024</v>
      </c>
      <c r="N53">
        <v>1.4475670533738652</v>
      </c>
      <c r="O53">
        <v>15.809739963724885</v>
      </c>
      <c r="P53">
        <v>16.338918623069532</v>
      </c>
      <c r="Q53">
        <v>14.891351569695667</v>
      </c>
    </row>
    <row r="54" spans="1:17" x14ac:dyDescent="0.35">
      <c r="A54" t="s">
        <v>33</v>
      </c>
      <c r="B54">
        <v>0</v>
      </c>
      <c r="C54">
        <v>15437</v>
      </c>
      <c r="D54">
        <v>7999.5581224544294</v>
      </c>
      <c r="E54">
        <v>0</v>
      </c>
      <c r="F54">
        <v>46</v>
      </c>
      <c r="G54">
        <v>46</v>
      </c>
      <c r="H54">
        <v>0</v>
      </c>
      <c r="I54">
        <v>3.6818750262807924</v>
      </c>
      <c r="J54">
        <v>1.7815108207605195</v>
      </c>
      <c r="K54">
        <v>0</v>
      </c>
      <c r="L54">
        <v>1.0971448546279489E-2</v>
      </c>
      <c r="M54">
        <v>1.0244253057547647E-2</v>
      </c>
      <c r="N54">
        <v>0</v>
      </c>
      <c r="O54">
        <v>3.6928464748270717</v>
      </c>
      <c r="P54">
        <v>1.7917550738180672</v>
      </c>
      <c r="Q54">
        <v>1.7917550738180672</v>
      </c>
    </row>
    <row r="55" spans="1:17" x14ac:dyDescent="0.35">
      <c r="A55" t="s">
        <v>40</v>
      </c>
      <c r="B55">
        <v>0</v>
      </c>
      <c r="C55">
        <v>81</v>
      </c>
      <c r="D55">
        <v>12.434266327396099</v>
      </c>
      <c r="E55">
        <v>0</v>
      </c>
      <c r="F55">
        <v>74</v>
      </c>
      <c r="G55">
        <v>74</v>
      </c>
      <c r="H55">
        <v>0</v>
      </c>
      <c r="I55">
        <v>1.4180635029844986</v>
      </c>
      <c r="J55">
        <v>0.20963123676907924</v>
      </c>
      <c r="K55">
        <v>0</v>
      </c>
      <c r="L55">
        <v>1.2955148051957146</v>
      </c>
      <c r="M55">
        <v>1.2475775500105788</v>
      </c>
      <c r="N55">
        <v>0</v>
      </c>
      <c r="O55">
        <v>2.713578308180213</v>
      </c>
      <c r="P55">
        <v>1.4572087867796579</v>
      </c>
      <c r="Q55">
        <v>1.4572087867796579</v>
      </c>
    </row>
    <row r="56" spans="1:17" x14ac:dyDescent="0.35">
      <c r="A56" t="s">
        <v>65</v>
      </c>
      <c r="B56">
        <v>68</v>
      </c>
      <c r="C56">
        <v>181</v>
      </c>
      <c r="D56">
        <v>224</v>
      </c>
      <c r="E56">
        <v>0</v>
      </c>
      <c r="F56">
        <v>108</v>
      </c>
      <c r="G56">
        <v>157.53728549141965</v>
      </c>
      <c r="H56">
        <v>0.30845856902440899</v>
      </c>
      <c r="I56">
        <v>0.75238586337628777</v>
      </c>
      <c r="J56">
        <v>0.87260969707003777</v>
      </c>
      <c r="K56">
        <v>0</v>
      </c>
      <c r="L56">
        <v>0.44893742124109987</v>
      </c>
      <c r="M56">
        <v>0.61369894182992757</v>
      </c>
      <c r="N56">
        <v>0.30845856902440899</v>
      </c>
      <c r="O56">
        <v>1.2013232846173876</v>
      </c>
      <c r="P56">
        <v>1.4863086388999653</v>
      </c>
      <c r="Q56">
        <v>1.1778500698755563</v>
      </c>
    </row>
    <row r="57" spans="1:17" x14ac:dyDescent="0.35">
      <c r="A57" t="s">
        <v>63</v>
      </c>
      <c r="B57">
        <v>351</v>
      </c>
      <c r="C57">
        <v>466</v>
      </c>
      <c r="D57">
        <v>413.89908688062309</v>
      </c>
      <c r="E57">
        <v>0</v>
      </c>
      <c r="F57">
        <v>65</v>
      </c>
      <c r="G57">
        <v>78</v>
      </c>
      <c r="H57">
        <v>2.7194724688277567</v>
      </c>
      <c r="I57">
        <v>3.5973958250909082</v>
      </c>
      <c r="J57">
        <v>3.1851401370915622</v>
      </c>
      <c r="K57">
        <v>0</v>
      </c>
      <c r="L57">
        <v>0.50178267946547006</v>
      </c>
      <c r="M57">
        <v>0.60024517706848013</v>
      </c>
      <c r="N57">
        <v>2.7194724688277567</v>
      </c>
      <c r="O57">
        <v>4.0991785045563782</v>
      </c>
      <c r="P57">
        <v>3.7853853141600422</v>
      </c>
      <c r="Q57">
        <v>1.0659128453322855</v>
      </c>
    </row>
    <row r="58" spans="1:17" x14ac:dyDescent="0.35">
      <c r="A58" t="s">
        <v>67</v>
      </c>
      <c r="B58">
        <v>0</v>
      </c>
      <c r="C58">
        <v>4358</v>
      </c>
      <c r="D58">
        <v>5048</v>
      </c>
      <c r="E58">
        <v>0</v>
      </c>
      <c r="F58">
        <v>21129</v>
      </c>
      <c r="G58">
        <v>13539.887328738811</v>
      </c>
      <c r="H58">
        <v>0</v>
      </c>
      <c r="I58">
        <v>0.21967096148011464</v>
      </c>
      <c r="J58">
        <v>0.23098618175272628</v>
      </c>
      <c r="K58">
        <v>0</v>
      </c>
      <c r="L58">
        <v>1.0650361966758473</v>
      </c>
      <c r="M58">
        <v>0.61955762191511465</v>
      </c>
      <c r="N58">
        <v>0</v>
      </c>
      <c r="O58">
        <v>1.2847071581559619</v>
      </c>
      <c r="P58">
        <v>0.85054380366784099</v>
      </c>
      <c r="Q58">
        <v>0.85054380366784099</v>
      </c>
    </row>
    <row r="59" spans="1:17" x14ac:dyDescent="0.35">
      <c r="A59" t="s">
        <v>49</v>
      </c>
      <c r="B59">
        <v>0</v>
      </c>
      <c r="C59">
        <v>74</v>
      </c>
      <c r="D59">
        <v>50.164087329003735</v>
      </c>
      <c r="E59">
        <v>0</v>
      </c>
      <c r="F59">
        <v>46</v>
      </c>
      <c r="G59">
        <v>40.131269863202988</v>
      </c>
      <c r="H59">
        <v>0</v>
      </c>
      <c r="I59">
        <v>0.63769602150931448</v>
      </c>
      <c r="J59">
        <v>0.41745293180621268</v>
      </c>
      <c r="K59">
        <v>0</v>
      </c>
      <c r="L59">
        <v>0.39640563499227655</v>
      </c>
      <c r="M59">
        <v>0.33396234544497017</v>
      </c>
      <c r="N59">
        <v>0</v>
      </c>
      <c r="O59">
        <v>1.034101656501591</v>
      </c>
      <c r="P59">
        <v>0.75141527725118284</v>
      </c>
      <c r="Q59">
        <v>0.75141527725118284</v>
      </c>
    </row>
    <row r="60" spans="1:17" x14ac:dyDescent="0.35">
      <c r="A60" t="s">
        <v>48</v>
      </c>
      <c r="B60">
        <v>0</v>
      </c>
      <c r="C60">
        <v>186</v>
      </c>
      <c r="D60">
        <v>66.659321370584081</v>
      </c>
      <c r="E60">
        <v>0</v>
      </c>
      <c r="F60">
        <v>164</v>
      </c>
      <c r="G60">
        <v>180.43988715830517</v>
      </c>
      <c r="H60">
        <v>0</v>
      </c>
      <c r="I60">
        <v>0.53985423065039828</v>
      </c>
      <c r="J60">
        <v>0.18094123617179722</v>
      </c>
      <c r="K60">
        <v>0</v>
      </c>
      <c r="L60">
        <v>0.4760005044444372</v>
      </c>
      <c r="M60">
        <v>0.48978920825814082</v>
      </c>
      <c r="N60">
        <v>0</v>
      </c>
      <c r="O60">
        <v>1.0158547350948355</v>
      </c>
      <c r="P60">
        <v>0.67073044442993801</v>
      </c>
      <c r="Q60">
        <v>0.67073044442993801</v>
      </c>
    </row>
    <row r="61" spans="1:17" x14ac:dyDescent="0.35">
      <c r="A61" t="s">
        <v>57</v>
      </c>
      <c r="B61">
        <v>0</v>
      </c>
      <c r="C61">
        <v>159</v>
      </c>
      <c r="D61">
        <v>84.324393779652084</v>
      </c>
      <c r="E61">
        <v>0</v>
      </c>
      <c r="F61">
        <v>120</v>
      </c>
      <c r="G61">
        <v>62.6044741697417</v>
      </c>
      <c r="H61">
        <v>0</v>
      </c>
      <c r="I61">
        <v>0.7233793005240633</v>
      </c>
      <c r="J61">
        <v>0.36570154063979265</v>
      </c>
      <c r="K61">
        <v>0</v>
      </c>
      <c r="L61">
        <v>0.54594664190495346</v>
      </c>
      <c r="M61">
        <v>0.27150568926287633</v>
      </c>
      <c r="N61">
        <v>0</v>
      </c>
      <c r="O61">
        <v>1.2693259424290169</v>
      </c>
      <c r="P61">
        <v>0.63720722990266898</v>
      </c>
      <c r="Q61">
        <v>0.63720722990266898</v>
      </c>
    </row>
    <row r="62" spans="1:17" x14ac:dyDescent="0.35">
      <c r="A62" t="s">
        <v>51</v>
      </c>
      <c r="B62">
        <v>0</v>
      </c>
      <c r="C62">
        <v>40</v>
      </c>
      <c r="D62">
        <v>44</v>
      </c>
      <c r="E62">
        <v>0</v>
      </c>
      <c r="F62">
        <v>3</v>
      </c>
      <c r="G62">
        <v>67</v>
      </c>
      <c r="H62">
        <v>0</v>
      </c>
      <c r="I62">
        <v>0.18248079446663487</v>
      </c>
      <c r="J62">
        <v>0.18417805832374942</v>
      </c>
      <c r="K62">
        <v>0</v>
      </c>
      <c r="L62">
        <v>1.3686059584997615E-2</v>
      </c>
      <c r="M62">
        <v>0.28045295244752749</v>
      </c>
      <c r="N62">
        <v>0</v>
      </c>
      <c r="O62">
        <v>0.19616685405163248</v>
      </c>
      <c r="P62">
        <v>0.46463101077127689</v>
      </c>
      <c r="Q62">
        <v>0.46463101077127689</v>
      </c>
    </row>
    <row r="70" spans="1:17" x14ac:dyDescent="0.35">
      <c r="A70" t="s">
        <v>81</v>
      </c>
      <c r="B70" t="s">
        <v>32</v>
      </c>
      <c r="E70" t="s">
        <v>297</v>
      </c>
      <c r="H70" t="s">
        <v>32</v>
      </c>
      <c r="K70" t="s">
        <v>297</v>
      </c>
      <c r="Q70" t="s">
        <v>296</v>
      </c>
    </row>
    <row r="71" spans="1:17" x14ac:dyDescent="0.35">
      <c r="A71" t="s">
        <v>71</v>
      </c>
      <c r="B71">
        <v>4</v>
      </c>
      <c r="C71">
        <v>124</v>
      </c>
      <c r="D71">
        <v>70.107217303545326</v>
      </c>
      <c r="E71">
        <v>0</v>
      </c>
      <c r="F71">
        <v>63</v>
      </c>
      <c r="G71">
        <v>63</v>
      </c>
      <c r="H71">
        <v>0.41359058667824722</v>
      </c>
      <c r="I71">
        <v>12.027041444796847</v>
      </c>
      <c r="J71">
        <v>6.5448281392612229</v>
      </c>
      <c r="K71">
        <v>0</v>
      </c>
      <c r="L71">
        <v>6.1105129921145265</v>
      </c>
      <c r="M71">
        <v>5.8813370239501115</v>
      </c>
      <c r="N71">
        <v>0.41359058667824722</v>
      </c>
      <c r="O71">
        <v>18.137554436911373</v>
      </c>
      <c r="P71">
        <v>12.426165163211333</v>
      </c>
      <c r="Q71">
        <v>12.012574576533087</v>
      </c>
    </row>
    <row r="72" spans="1:17" x14ac:dyDescent="0.35">
      <c r="A72" t="s">
        <v>65</v>
      </c>
      <c r="B72">
        <v>0</v>
      </c>
      <c r="C72">
        <v>598</v>
      </c>
      <c r="D72">
        <v>655</v>
      </c>
      <c r="E72">
        <v>0</v>
      </c>
      <c r="F72">
        <v>309</v>
      </c>
      <c r="G72">
        <v>402</v>
      </c>
      <c r="H72">
        <v>0</v>
      </c>
      <c r="I72">
        <v>2.4857831287238681</v>
      </c>
      <c r="J72">
        <v>2.5516042481289052</v>
      </c>
      <c r="K72">
        <v>0</v>
      </c>
      <c r="L72">
        <v>1.2844598441064803</v>
      </c>
      <c r="M72">
        <v>1.5660227599203358</v>
      </c>
      <c r="N72">
        <v>0</v>
      </c>
      <c r="O72">
        <v>3.7702429728303484</v>
      </c>
      <c r="P72">
        <v>4.117627008049241</v>
      </c>
      <c r="Q72">
        <v>4.117627008049241</v>
      </c>
    </row>
    <row r="73" spans="1:17" x14ac:dyDescent="0.35">
      <c r="A73" t="s">
        <v>50</v>
      </c>
      <c r="B73">
        <v>0</v>
      </c>
      <c r="C73">
        <v>10752</v>
      </c>
      <c r="D73">
        <v>22344</v>
      </c>
      <c r="E73">
        <v>0</v>
      </c>
      <c r="F73">
        <v>6845</v>
      </c>
      <c r="G73">
        <v>13620</v>
      </c>
      <c r="H73">
        <v>0</v>
      </c>
      <c r="I73">
        <v>0.96752041524766808</v>
      </c>
      <c r="J73">
        <v>1.8109915442524032</v>
      </c>
      <c r="K73">
        <v>0</v>
      </c>
      <c r="L73">
        <v>0.61594840423830799</v>
      </c>
      <c r="M73">
        <v>1.1039073054384949</v>
      </c>
      <c r="N73">
        <v>0</v>
      </c>
      <c r="O73">
        <v>1.5834688194859761</v>
      </c>
      <c r="P73">
        <v>2.9148988496908981</v>
      </c>
      <c r="Q73">
        <v>2.9148988496908981</v>
      </c>
    </row>
    <row r="74" spans="1:17" x14ac:dyDescent="0.35">
      <c r="A74" t="s">
        <v>57</v>
      </c>
      <c r="B74">
        <v>0</v>
      </c>
      <c r="C74">
        <v>398</v>
      </c>
      <c r="D74">
        <v>256.80610832894047</v>
      </c>
      <c r="E74">
        <v>0</v>
      </c>
      <c r="F74">
        <v>301</v>
      </c>
      <c r="G74">
        <v>347</v>
      </c>
      <c r="H74">
        <v>0</v>
      </c>
      <c r="I74">
        <v>1.8107230289847622</v>
      </c>
      <c r="J74">
        <v>1.1137274192211868</v>
      </c>
      <c r="K74">
        <v>0</v>
      </c>
      <c r="L74">
        <v>1.3694161601115915</v>
      </c>
      <c r="M74">
        <v>1.5048840426129373</v>
      </c>
      <c r="N74">
        <v>0</v>
      </c>
      <c r="O74">
        <v>3.1801391890963537</v>
      </c>
      <c r="P74">
        <v>2.6186114618341243</v>
      </c>
      <c r="Q74">
        <v>2.6186114618341243</v>
      </c>
    </row>
    <row r="75" spans="1:17" x14ac:dyDescent="0.35">
      <c r="A75" t="s">
        <v>36</v>
      </c>
      <c r="B75">
        <v>0</v>
      </c>
      <c r="C75">
        <v>156</v>
      </c>
      <c r="D75">
        <v>143.6623305400519</v>
      </c>
      <c r="E75">
        <v>0</v>
      </c>
      <c r="F75">
        <v>435</v>
      </c>
      <c r="G75">
        <v>449</v>
      </c>
      <c r="H75">
        <v>0</v>
      </c>
      <c r="I75">
        <v>0.63636884672628014</v>
      </c>
      <c r="J75">
        <v>0.54618313125234497</v>
      </c>
      <c r="K75">
        <v>0</v>
      </c>
      <c r="L75">
        <v>1.7744900533713581</v>
      </c>
      <c r="M75">
        <v>1.7070322123441608</v>
      </c>
      <c r="N75">
        <v>0</v>
      </c>
      <c r="O75">
        <v>2.4108589000976384</v>
      </c>
      <c r="P75">
        <v>2.2532153435965059</v>
      </c>
      <c r="Q75">
        <v>2.2532153435965059</v>
      </c>
    </row>
    <row r="76" spans="1:17" x14ac:dyDescent="0.35">
      <c r="A76" t="s">
        <v>53</v>
      </c>
      <c r="B76">
        <v>0</v>
      </c>
      <c r="C76">
        <v>918</v>
      </c>
      <c r="D76">
        <v>5736</v>
      </c>
      <c r="E76">
        <v>0</v>
      </c>
      <c r="F76">
        <v>1352</v>
      </c>
      <c r="G76">
        <v>1507</v>
      </c>
      <c r="H76">
        <v>0</v>
      </c>
      <c r="I76">
        <v>0.29736992337428181</v>
      </c>
      <c r="J76">
        <v>1.7134729924349534</v>
      </c>
      <c r="K76">
        <v>0</v>
      </c>
      <c r="L76">
        <v>0.43795657560133877</v>
      </c>
      <c r="M76">
        <v>0.45017499993017346</v>
      </c>
      <c r="N76">
        <v>0</v>
      </c>
      <c r="O76">
        <v>0.73532649897562052</v>
      </c>
      <c r="P76">
        <v>2.1636479923651271</v>
      </c>
      <c r="Q76">
        <v>2.1636479923651271</v>
      </c>
    </row>
    <row r="77" spans="1:17" x14ac:dyDescent="0.35">
      <c r="A77" t="s">
        <v>51</v>
      </c>
      <c r="B77">
        <v>0</v>
      </c>
      <c r="C77">
        <v>227</v>
      </c>
      <c r="D77">
        <v>186.64222105814565</v>
      </c>
      <c r="E77">
        <v>0</v>
      </c>
      <c r="F77">
        <v>106</v>
      </c>
      <c r="G77">
        <v>233</v>
      </c>
      <c r="H77">
        <v>0</v>
      </c>
      <c r="I77">
        <v>1.0355785085981528</v>
      </c>
      <c r="J77">
        <v>0.78125913353912002</v>
      </c>
      <c r="K77">
        <v>0</v>
      </c>
      <c r="L77">
        <v>0.4835741053365824</v>
      </c>
      <c r="M77">
        <v>0.97530653612349116</v>
      </c>
      <c r="N77">
        <v>0</v>
      </c>
      <c r="O77">
        <v>1.5191526139347351</v>
      </c>
      <c r="P77">
        <v>1.7565656696626113</v>
      </c>
      <c r="Q77">
        <v>1.7565656696626113</v>
      </c>
    </row>
    <row r="78" spans="1:17" x14ac:dyDescent="0.35">
      <c r="A78" t="s">
        <v>69</v>
      </c>
      <c r="B78">
        <v>0</v>
      </c>
      <c r="C78">
        <v>37</v>
      </c>
      <c r="D78">
        <v>37</v>
      </c>
      <c r="E78">
        <v>0</v>
      </c>
      <c r="F78">
        <v>0</v>
      </c>
      <c r="G78">
        <v>0</v>
      </c>
      <c r="H78">
        <v>0</v>
      </c>
      <c r="I78">
        <v>1.7507002801120448</v>
      </c>
      <c r="J78">
        <v>1.6272355247504722</v>
      </c>
      <c r="K78">
        <v>0</v>
      </c>
      <c r="L78">
        <v>0</v>
      </c>
      <c r="M78">
        <v>0</v>
      </c>
      <c r="N78">
        <v>0</v>
      </c>
      <c r="O78">
        <v>1.7507002801120448</v>
      </c>
      <c r="P78">
        <v>1.6272355247504722</v>
      </c>
      <c r="Q78">
        <v>1.6272355247504722</v>
      </c>
    </row>
    <row r="79" spans="1:17" x14ac:dyDescent="0.35">
      <c r="A79" t="s">
        <v>48</v>
      </c>
      <c r="B79">
        <v>0</v>
      </c>
      <c r="C79">
        <v>451</v>
      </c>
      <c r="D79">
        <v>228.71043021976263</v>
      </c>
      <c r="E79">
        <v>0</v>
      </c>
      <c r="F79">
        <v>300</v>
      </c>
      <c r="G79">
        <v>330.99800956427958</v>
      </c>
      <c r="H79">
        <v>0</v>
      </c>
      <c r="I79">
        <v>1.3090013872222024</v>
      </c>
      <c r="J79">
        <v>0.62081562065840779</v>
      </c>
      <c r="K79">
        <v>0</v>
      </c>
      <c r="L79">
        <v>0.87073263008128765</v>
      </c>
      <c r="M79">
        <v>0.89846682788754495</v>
      </c>
      <c r="N79">
        <v>0</v>
      </c>
      <c r="O79">
        <v>2.17973401730349</v>
      </c>
      <c r="P79">
        <v>1.5192824485459528</v>
      </c>
      <c r="Q79">
        <v>1.5192824485459528</v>
      </c>
    </row>
    <row r="80" spans="1:17" x14ac:dyDescent="0.35">
      <c r="A80" t="s">
        <v>49</v>
      </c>
      <c r="B80">
        <v>0</v>
      </c>
      <c r="C80">
        <v>281</v>
      </c>
      <c r="D80">
        <v>60.196904794804482</v>
      </c>
      <c r="E80">
        <v>0</v>
      </c>
      <c r="F80">
        <v>171</v>
      </c>
      <c r="G80">
        <v>114.66077103772281</v>
      </c>
      <c r="H80">
        <v>0</v>
      </c>
      <c r="I80">
        <v>2.4215213789745591</v>
      </c>
      <c r="J80">
        <v>0.5009435181674553</v>
      </c>
      <c r="K80">
        <v>0</v>
      </c>
      <c r="L80">
        <v>1.4735948605147673</v>
      </c>
      <c r="M80">
        <v>0.95417812984277195</v>
      </c>
      <c r="N80">
        <v>0</v>
      </c>
      <c r="O80">
        <v>3.8951162394893264</v>
      </c>
      <c r="P80">
        <v>1.4551216480102274</v>
      </c>
      <c r="Q80">
        <v>1.4551216480102274</v>
      </c>
    </row>
  </sheetData>
  <autoFilter ref="A1:L11" xr:uid="{14806FF4-F31A-4C87-9F60-351B14F43DDA}">
    <sortState xmlns:xlrd2="http://schemas.microsoft.com/office/spreadsheetml/2017/richdata2" ref="A2:L11">
      <sortCondition descending="1" ref="L2:L11"/>
    </sortState>
  </autoFilter>
  <sortState xmlns:xlrd2="http://schemas.microsoft.com/office/spreadsheetml/2017/richdata2" ref="A71:Q80">
    <sortCondition descending="1" ref="Q71:Q8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DFCB-4A49-4EE4-88A6-0249CD11F73D}">
  <dimension ref="A1:E26"/>
  <sheetViews>
    <sheetView topLeftCell="A13" workbookViewId="0">
      <selection activeCell="B26" sqref="B26:E26"/>
    </sheetView>
  </sheetViews>
  <sheetFormatPr defaultRowHeight="14.5" x14ac:dyDescent="0.35"/>
  <sheetData>
    <row r="1" spans="1:5" x14ac:dyDescent="0.35">
      <c r="A1" t="s">
        <v>298</v>
      </c>
      <c r="B1" t="s">
        <v>299</v>
      </c>
    </row>
    <row r="2" spans="1:5" x14ac:dyDescent="0.35">
      <c r="A2" t="s">
        <v>300</v>
      </c>
      <c r="B2" t="s">
        <v>301</v>
      </c>
      <c r="C2" t="s">
        <v>302</v>
      </c>
      <c r="D2" t="s">
        <v>303</v>
      </c>
      <c r="E2" t="s">
        <v>80</v>
      </c>
    </row>
    <row r="3" spans="1:5" x14ac:dyDescent="0.35">
      <c r="A3" t="s">
        <v>35</v>
      </c>
      <c r="D3">
        <v>1</v>
      </c>
      <c r="E3">
        <v>1</v>
      </c>
    </row>
    <row r="4" spans="1:5" x14ac:dyDescent="0.35">
      <c r="A4" t="s">
        <v>36</v>
      </c>
      <c r="D4">
        <v>1</v>
      </c>
      <c r="E4">
        <v>1</v>
      </c>
    </row>
    <row r="5" spans="1:5" x14ac:dyDescent="0.35">
      <c r="A5" t="s">
        <v>37</v>
      </c>
      <c r="D5">
        <v>1</v>
      </c>
      <c r="E5">
        <v>1</v>
      </c>
    </row>
    <row r="6" spans="1:5" x14ac:dyDescent="0.35">
      <c r="A6" t="s">
        <v>39</v>
      </c>
      <c r="D6">
        <v>1</v>
      </c>
      <c r="E6">
        <v>1</v>
      </c>
    </row>
    <row r="7" spans="1:5" x14ac:dyDescent="0.35">
      <c r="A7" t="s">
        <v>42</v>
      </c>
      <c r="D7">
        <v>1</v>
      </c>
      <c r="E7">
        <v>1</v>
      </c>
    </row>
    <row r="8" spans="1:5" x14ac:dyDescent="0.35">
      <c r="A8" t="s">
        <v>304</v>
      </c>
      <c r="B8">
        <v>1</v>
      </c>
      <c r="E8">
        <v>1</v>
      </c>
    </row>
    <row r="9" spans="1:5" x14ac:dyDescent="0.35">
      <c r="A9" t="s">
        <v>48</v>
      </c>
      <c r="C9">
        <v>1</v>
      </c>
      <c r="E9">
        <v>1</v>
      </c>
    </row>
    <row r="10" spans="1:5" x14ac:dyDescent="0.35">
      <c r="A10" t="s">
        <v>50</v>
      </c>
      <c r="B10">
        <v>1</v>
      </c>
      <c r="E10">
        <v>1</v>
      </c>
    </row>
    <row r="11" spans="1:5" x14ac:dyDescent="0.35">
      <c r="A11" t="s">
        <v>51</v>
      </c>
      <c r="D11">
        <v>1</v>
      </c>
      <c r="E11">
        <v>1</v>
      </c>
    </row>
    <row r="12" spans="1:5" x14ac:dyDescent="0.35">
      <c r="A12" t="s">
        <v>52</v>
      </c>
      <c r="D12">
        <v>1</v>
      </c>
      <c r="E12">
        <v>1</v>
      </c>
    </row>
    <row r="13" spans="1:5" x14ac:dyDescent="0.35">
      <c r="A13" t="s">
        <v>53</v>
      </c>
      <c r="D13">
        <v>1</v>
      </c>
      <c r="E13">
        <v>1</v>
      </c>
    </row>
    <row r="14" spans="1:5" x14ac:dyDescent="0.35">
      <c r="A14" t="s">
        <v>54</v>
      </c>
      <c r="D14">
        <v>1</v>
      </c>
      <c r="E14">
        <v>1</v>
      </c>
    </row>
    <row r="15" spans="1:5" x14ac:dyDescent="0.35">
      <c r="A15" t="s">
        <v>55</v>
      </c>
      <c r="D15">
        <v>1</v>
      </c>
      <c r="E15">
        <v>1</v>
      </c>
    </row>
    <row r="16" spans="1:5" x14ac:dyDescent="0.35">
      <c r="A16" t="s">
        <v>56</v>
      </c>
      <c r="D16">
        <v>1</v>
      </c>
      <c r="E16">
        <v>1</v>
      </c>
    </row>
    <row r="17" spans="1:5" x14ac:dyDescent="0.35">
      <c r="A17" t="s">
        <v>59</v>
      </c>
      <c r="D17">
        <v>1</v>
      </c>
      <c r="E17">
        <v>1</v>
      </c>
    </row>
    <row r="18" spans="1:5" x14ac:dyDescent="0.35">
      <c r="A18" t="s">
        <v>70</v>
      </c>
      <c r="D18">
        <v>1</v>
      </c>
      <c r="E18">
        <v>1</v>
      </c>
    </row>
    <row r="19" spans="1:5" x14ac:dyDescent="0.35">
      <c r="A19" t="s">
        <v>71</v>
      </c>
      <c r="D19">
        <v>1</v>
      </c>
      <c r="E19">
        <v>1</v>
      </c>
    </row>
    <row r="20" spans="1:5" x14ac:dyDescent="0.35">
      <c r="A20" t="s">
        <v>74</v>
      </c>
      <c r="C20">
        <v>1</v>
      </c>
      <c r="E20">
        <v>1</v>
      </c>
    </row>
    <row r="21" spans="1:5" x14ac:dyDescent="0.35">
      <c r="A21" t="s">
        <v>76</v>
      </c>
      <c r="D21">
        <v>1</v>
      </c>
      <c r="E21">
        <v>1</v>
      </c>
    </row>
    <row r="22" spans="1:5" x14ac:dyDescent="0.35">
      <c r="A22" t="s">
        <v>78</v>
      </c>
      <c r="D22">
        <v>1</v>
      </c>
      <c r="E22">
        <v>1</v>
      </c>
    </row>
    <row r="23" spans="1:5" x14ac:dyDescent="0.35">
      <c r="A23" t="s">
        <v>79</v>
      </c>
      <c r="D23">
        <v>1</v>
      </c>
      <c r="E23">
        <v>1</v>
      </c>
    </row>
    <row r="24" spans="1:5" x14ac:dyDescent="0.35">
      <c r="A24" t="s">
        <v>80</v>
      </c>
      <c r="B24">
        <f t="shared" ref="B24:D24" si="0">SUM(B3:B23)</f>
        <v>2</v>
      </c>
      <c r="C24">
        <f t="shared" si="0"/>
        <v>2</v>
      </c>
      <c r="D24">
        <f t="shared" si="0"/>
        <v>17</v>
      </c>
      <c r="E24">
        <f>SUM(E3:E23)</f>
        <v>21</v>
      </c>
    </row>
    <row r="26" spans="1:5" x14ac:dyDescent="0.35">
      <c r="B26" s="9">
        <f>B24/$E24</f>
        <v>9.5238095238095233E-2</v>
      </c>
      <c r="C26" s="9">
        <f t="shared" ref="C26:E26" si="1">C24/$E24</f>
        <v>9.5238095238095233E-2</v>
      </c>
      <c r="D26" s="9">
        <f t="shared" si="1"/>
        <v>0.80952380952380953</v>
      </c>
      <c r="E26" s="9">
        <f t="shared" si="1"/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B08B-00E8-4FD8-BCFA-28B3688CEDCF}">
  <dimension ref="A1:E21"/>
  <sheetViews>
    <sheetView topLeftCell="A13" workbookViewId="0">
      <selection activeCell="D28" sqref="D28"/>
    </sheetView>
  </sheetViews>
  <sheetFormatPr defaultRowHeight="14.5" x14ac:dyDescent="0.35"/>
  <sheetData>
    <row r="1" spans="1:5" x14ac:dyDescent="0.35">
      <c r="A1" t="s">
        <v>298</v>
      </c>
      <c r="B1" t="s">
        <v>299</v>
      </c>
    </row>
    <row r="2" spans="1:5" x14ac:dyDescent="0.35">
      <c r="A2" t="s">
        <v>300</v>
      </c>
      <c r="B2" t="s">
        <v>301</v>
      </c>
      <c r="C2" t="s">
        <v>302</v>
      </c>
      <c r="D2" t="s">
        <v>303</v>
      </c>
      <c r="E2" t="s">
        <v>80</v>
      </c>
    </row>
    <row r="3" spans="1:5" x14ac:dyDescent="0.35">
      <c r="A3" t="s">
        <v>35</v>
      </c>
      <c r="D3">
        <v>1</v>
      </c>
      <c r="E3">
        <v>1</v>
      </c>
    </row>
    <row r="4" spans="1:5" x14ac:dyDescent="0.35">
      <c r="A4" t="s">
        <v>36</v>
      </c>
      <c r="D4">
        <v>1</v>
      </c>
      <c r="E4">
        <v>1</v>
      </c>
    </row>
    <row r="5" spans="1:5" x14ac:dyDescent="0.35">
      <c r="A5" t="s">
        <v>37</v>
      </c>
      <c r="D5">
        <v>1</v>
      </c>
      <c r="E5">
        <v>1</v>
      </c>
    </row>
    <row r="6" spans="1:5" x14ac:dyDescent="0.35">
      <c r="A6" t="s">
        <v>39</v>
      </c>
      <c r="D6">
        <v>1</v>
      </c>
      <c r="E6">
        <v>1</v>
      </c>
    </row>
    <row r="7" spans="1:5" x14ac:dyDescent="0.35">
      <c r="A7" t="s">
        <v>48</v>
      </c>
      <c r="C7">
        <v>1</v>
      </c>
      <c r="E7">
        <v>1</v>
      </c>
    </row>
    <row r="8" spans="1:5" x14ac:dyDescent="0.35">
      <c r="A8" t="s">
        <v>49</v>
      </c>
      <c r="D8">
        <v>1</v>
      </c>
      <c r="E8">
        <v>1</v>
      </c>
    </row>
    <row r="9" spans="1:5" x14ac:dyDescent="0.35">
      <c r="A9" t="s">
        <v>50</v>
      </c>
      <c r="B9">
        <v>1</v>
      </c>
      <c r="E9">
        <v>1</v>
      </c>
    </row>
    <row r="10" spans="1:5" x14ac:dyDescent="0.35">
      <c r="A10" t="s">
        <v>52</v>
      </c>
      <c r="D10">
        <v>1</v>
      </c>
      <c r="E10">
        <v>1</v>
      </c>
    </row>
    <row r="11" spans="1:5" x14ac:dyDescent="0.35">
      <c r="A11" t="s">
        <v>54</v>
      </c>
      <c r="B11">
        <v>1</v>
      </c>
      <c r="D11">
        <v>1</v>
      </c>
      <c r="E11">
        <v>1</v>
      </c>
    </row>
    <row r="12" spans="1:5" x14ac:dyDescent="0.35">
      <c r="A12" t="s">
        <v>56</v>
      </c>
      <c r="D12">
        <v>1</v>
      </c>
      <c r="E12">
        <v>1</v>
      </c>
    </row>
    <row r="13" spans="1:5" x14ac:dyDescent="0.35">
      <c r="A13" t="s">
        <v>64</v>
      </c>
      <c r="D13">
        <v>1</v>
      </c>
      <c r="E13">
        <v>1</v>
      </c>
    </row>
    <row r="14" spans="1:5" x14ac:dyDescent="0.35">
      <c r="A14" t="s">
        <v>70</v>
      </c>
      <c r="D14">
        <v>1</v>
      </c>
      <c r="E14">
        <v>1</v>
      </c>
    </row>
    <row r="15" spans="1:5" x14ac:dyDescent="0.35">
      <c r="A15" t="s">
        <v>74</v>
      </c>
      <c r="B15">
        <v>1</v>
      </c>
      <c r="E15">
        <v>1</v>
      </c>
    </row>
    <row r="16" spans="1:5" x14ac:dyDescent="0.35">
      <c r="A16" t="s">
        <v>76</v>
      </c>
      <c r="B16">
        <v>1</v>
      </c>
      <c r="E16">
        <v>1</v>
      </c>
    </row>
    <row r="17" spans="1:5" x14ac:dyDescent="0.35">
      <c r="A17" t="s">
        <v>78</v>
      </c>
      <c r="D17">
        <v>1</v>
      </c>
      <c r="E17">
        <v>1</v>
      </c>
    </row>
    <row r="18" spans="1:5" x14ac:dyDescent="0.35">
      <c r="A18" t="s">
        <v>79</v>
      </c>
      <c r="B18">
        <v>1</v>
      </c>
      <c r="E18">
        <v>1</v>
      </c>
    </row>
    <row r="19" spans="1:5" x14ac:dyDescent="0.35">
      <c r="A19" t="s">
        <v>80</v>
      </c>
      <c r="B19">
        <f t="shared" ref="B19:D19" si="0">SUM(B3:B18)</f>
        <v>5</v>
      </c>
      <c r="C19">
        <f t="shared" si="0"/>
        <v>1</v>
      </c>
      <c r="D19">
        <f t="shared" si="0"/>
        <v>11</v>
      </c>
      <c r="E19">
        <f>SUM(E3:E18)</f>
        <v>16</v>
      </c>
    </row>
    <row r="21" spans="1:5" x14ac:dyDescent="0.35">
      <c r="B21" s="9">
        <f>B19/$E19</f>
        <v>0.3125</v>
      </c>
      <c r="C21" s="9">
        <f t="shared" ref="C21:E21" si="1">C19/$E19</f>
        <v>6.25E-2</v>
      </c>
      <c r="D21" s="9">
        <f t="shared" si="1"/>
        <v>0.6875</v>
      </c>
      <c r="E21" s="9">
        <f t="shared" si="1"/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5F625-70A1-4B34-A08B-361CB3EEF66D}">
  <dimension ref="A1:D27"/>
  <sheetViews>
    <sheetView topLeftCell="A19" workbookViewId="0">
      <selection activeCell="F33" sqref="F33"/>
    </sheetView>
  </sheetViews>
  <sheetFormatPr defaultRowHeight="14.5" x14ac:dyDescent="0.35"/>
  <cols>
    <col min="1" max="1" width="28.26953125" customWidth="1"/>
  </cols>
  <sheetData>
    <row r="1" spans="1:4" x14ac:dyDescent="0.35">
      <c r="A1" t="s">
        <v>298</v>
      </c>
      <c r="B1" t="s">
        <v>299</v>
      </c>
    </row>
    <row r="2" spans="1:4" x14ac:dyDescent="0.35">
      <c r="A2" t="s">
        <v>300</v>
      </c>
      <c r="B2" t="s">
        <v>301</v>
      </c>
      <c r="C2" t="s">
        <v>303</v>
      </c>
      <c r="D2" t="s">
        <v>80</v>
      </c>
    </row>
    <row r="3" spans="1:4" x14ac:dyDescent="0.35">
      <c r="A3" t="s">
        <v>35</v>
      </c>
      <c r="C3">
        <v>1</v>
      </c>
      <c r="D3">
        <v>1</v>
      </c>
    </row>
    <row r="4" spans="1:4" x14ac:dyDescent="0.35">
      <c r="A4" t="s">
        <v>36</v>
      </c>
      <c r="C4">
        <v>1</v>
      </c>
      <c r="D4">
        <v>1</v>
      </c>
    </row>
    <row r="5" spans="1:4" x14ac:dyDescent="0.35">
      <c r="A5" t="s">
        <v>37</v>
      </c>
      <c r="C5">
        <v>1</v>
      </c>
      <c r="D5">
        <v>1</v>
      </c>
    </row>
    <row r="6" spans="1:4" x14ac:dyDescent="0.35">
      <c r="A6" t="s">
        <v>39</v>
      </c>
      <c r="C6">
        <v>1</v>
      </c>
      <c r="D6">
        <v>1</v>
      </c>
    </row>
    <row r="7" spans="1:4" x14ac:dyDescent="0.35">
      <c r="A7" t="s">
        <v>42</v>
      </c>
      <c r="C7">
        <v>1</v>
      </c>
      <c r="D7">
        <v>1</v>
      </c>
    </row>
    <row r="8" spans="1:4" x14ac:dyDescent="0.35">
      <c r="A8" t="s">
        <v>44</v>
      </c>
      <c r="C8">
        <v>1</v>
      </c>
      <c r="D8">
        <v>1</v>
      </c>
    </row>
    <row r="9" spans="1:4" x14ac:dyDescent="0.35">
      <c r="A9" t="s">
        <v>49</v>
      </c>
      <c r="C9">
        <v>1</v>
      </c>
      <c r="D9">
        <v>1</v>
      </c>
    </row>
    <row r="10" spans="1:4" x14ac:dyDescent="0.35">
      <c r="A10" t="s">
        <v>50</v>
      </c>
      <c r="B10">
        <v>1</v>
      </c>
      <c r="D10">
        <v>1</v>
      </c>
    </row>
    <row r="11" spans="1:4" x14ac:dyDescent="0.35">
      <c r="A11" t="s">
        <v>51</v>
      </c>
      <c r="B11">
        <v>1</v>
      </c>
      <c r="D11">
        <v>1</v>
      </c>
    </row>
    <row r="12" spans="1:4" x14ac:dyDescent="0.35">
      <c r="A12" t="s">
        <v>52</v>
      </c>
      <c r="C12">
        <v>1</v>
      </c>
      <c r="D12">
        <v>1</v>
      </c>
    </row>
    <row r="13" spans="1:4" x14ac:dyDescent="0.35">
      <c r="A13" t="s">
        <v>53</v>
      </c>
      <c r="C13">
        <v>1</v>
      </c>
      <c r="D13">
        <v>1</v>
      </c>
    </row>
    <row r="14" spans="1:4" x14ac:dyDescent="0.35">
      <c r="A14" t="s">
        <v>54</v>
      </c>
      <c r="B14">
        <v>1</v>
      </c>
      <c r="C14">
        <v>1</v>
      </c>
      <c r="D14">
        <v>1</v>
      </c>
    </row>
    <row r="15" spans="1:4" x14ac:dyDescent="0.35">
      <c r="A15" t="s">
        <v>55</v>
      </c>
      <c r="C15">
        <v>1</v>
      </c>
      <c r="D15">
        <v>1</v>
      </c>
    </row>
    <row r="16" spans="1:4" x14ac:dyDescent="0.35">
      <c r="A16" t="s">
        <v>56</v>
      </c>
      <c r="C16">
        <v>1</v>
      </c>
      <c r="D16">
        <v>1</v>
      </c>
    </row>
    <row r="17" spans="1:4" x14ac:dyDescent="0.35">
      <c r="A17" t="s">
        <v>59</v>
      </c>
      <c r="B17">
        <v>1</v>
      </c>
      <c r="D17">
        <v>1</v>
      </c>
    </row>
    <row r="18" spans="1:4" x14ac:dyDescent="0.35">
      <c r="A18" t="s">
        <v>64</v>
      </c>
      <c r="C18">
        <v>1</v>
      </c>
      <c r="D18">
        <v>1</v>
      </c>
    </row>
    <row r="19" spans="1:4" x14ac:dyDescent="0.35">
      <c r="A19" t="s">
        <v>70</v>
      </c>
      <c r="C19">
        <v>1</v>
      </c>
      <c r="D19">
        <v>1</v>
      </c>
    </row>
    <row r="20" spans="1:4" x14ac:dyDescent="0.35">
      <c r="A20" t="s">
        <v>71</v>
      </c>
      <c r="C20">
        <v>1</v>
      </c>
      <c r="D20">
        <v>1</v>
      </c>
    </row>
    <row r="21" spans="1:4" x14ac:dyDescent="0.35">
      <c r="A21" t="s">
        <v>74</v>
      </c>
      <c r="B21">
        <v>1</v>
      </c>
      <c r="D21">
        <v>1</v>
      </c>
    </row>
    <row r="22" spans="1:4" x14ac:dyDescent="0.35">
      <c r="A22" t="s">
        <v>76</v>
      </c>
      <c r="B22">
        <v>1</v>
      </c>
      <c r="D22">
        <v>1</v>
      </c>
    </row>
    <row r="23" spans="1:4" x14ac:dyDescent="0.35">
      <c r="A23" t="s">
        <v>78</v>
      </c>
      <c r="C23">
        <v>1</v>
      </c>
      <c r="D23">
        <v>1</v>
      </c>
    </row>
    <row r="24" spans="1:4" x14ac:dyDescent="0.35">
      <c r="A24" t="s">
        <v>79</v>
      </c>
      <c r="C24">
        <v>1</v>
      </c>
      <c r="D24">
        <v>1</v>
      </c>
    </row>
    <row r="25" spans="1:4" x14ac:dyDescent="0.35">
      <c r="A25" t="s">
        <v>80</v>
      </c>
      <c r="B25">
        <f t="shared" ref="B25:C25" si="0">SUM(B3:B24)</f>
        <v>6</v>
      </c>
      <c r="C25">
        <f t="shared" si="0"/>
        <v>17</v>
      </c>
      <c r="D25">
        <f>SUM(D3:D24)</f>
        <v>22</v>
      </c>
    </row>
    <row r="27" spans="1:4" x14ac:dyDescent="0.35">
      <c r="B27" s="9">
        <f>B25/$D25</f>
        <v>0.27272727272727271</v>
      </c>
      <c r="C27" s="9">
        <f t="shared" ref="C27:D27" si="1">C25/$D25</f>
        <v>0.77272727272727271</v>
      </c>
      <c r="D27" s="9">
        <f t="shared" si="1"/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9F68-0DC6-4071-B8CC-6BE5F77B1CA7}">
  <dimension ref="A1:E25"/>
  <sheetViews>
    <sheetView topLeftCell="A16" workbookViewId="0">
      <selection activeCell="E33" sqref="E33"/>
    </sheetView>
  </sheetViews>
  <sheetFormatPr defaultRowHeight="14.5" x14ac:dyDescent="0.35"/>
  <sheetData>
    <row r="1" spans="1:5" x14ac:dyDescent="0.35">
      <c r="A1" t="s">
        <v>298</v>
      </c>
      <c r="B1" t="s">
        <v>299</v>
      </c>
    </row>
    <row r="2" spans="1:5" x14ac:dyDescent="0.35">
      <c r="A2" t="s">
        <v>300</v>
      </c>
      <c r="B2" t="s">
        <v>301</v>
      </c>
      <c r="C2" t="s">
        <v>302</v>
      </c>
      <c r="D2" t="s">
        <v>303</v>
      </c>
      <c r="E2" t="s">
        <v>80</v>
      </c>
    </row>
    <row r="3" spans="1:5" x14ac:dyDescent="0.35">
      <c r="A3" t="s">
        <v>35</v>
      </c>
      <c r="D3">
        <v>1</v>
      </c>
      <c r="E3">
        <v>1</v>
      </c>
    </row>
    <row r="4" spans="1:5" x14ac:dyDescent="0.35">
      <c r="A4" t="s">
        <v>36</v>
      </c>
      <c r="D4">
        <v>1</v>
      </c>
      <c r="E4">
        <v>1</v>
      </c>
    </row>
    <row r="5" spans="1:5" x14ac:dyDescent="0.35">
      <c r="A5" t="s">
        <v>37</v>
      </c>
      <c r="D5">
        <v>1</v>
      </c>
      <c r="E5">
        <v>1</v>
      </c>
    </row>
    <row r="6" spans="1:5" x14ac:dyDescent="0.35">
      <c r="A6" t="s">
        <v>39</v>
      </c>
      <c r="B6">
        <v>1</v>
      </c>
      <c r="D6">
        <v>1</v>
      </c>
      <c r="E6">
        <v>1</v>
      </c>
    </row>
    <row r="7" spans="1:5" x14ac:dyDescent="0.35">
      <c r="A7" t="s">
        <v>42</v>
      </c>
      <c r="B7">
        <v>1</v>
      </c>
      <c r="E7">
        <v>1</v>
      </c>
    </row>
    <row r="8" spans="1:5" x14ac:dyDescent="0.35">
      <c r="A8" t="s">
        <v>48</v>
      </c>
      <c r="C8">
        <v>1</v>
      </c>
      <c r="E8">
        <v>1</v>
      </c>
    </row>
    <row r="9" spans="1:5" x14ac:dyDescent="0.35">
      <c r="A9" t="s">
        <v>49</v>
      </c>
      <c r="D9">
        <v>1</v>
      </c>
      <c r="E9">
        <v>1</v>
      </c>
    </row>
    <row r="10" spans="1:5" x14ac:dyDescent="0.35">
      <c r="A10" t="s">
        <v>50</v>
      </c>
      <c r="D10">
        <v>1</v>
      </c>
      <c r="E10">
        <v>1</v>
      </c>
    </row>
    <row r="11" spans="1:5" x14ac:dyDescent="0.35">
      <c r="A11" t="s">
        <v>52</v>
      </c>
      <c r="D11">
        <v>1</v>
      </c>
      <c r="E11">
        <v>1</v>
      </c>
    </row>
    <row r="12" spans="1:5" x14ac:dyDescent="0.35">
      <c r="A12" t="s">
        <v>53</v>
      </c>
      <c r="D12">
        <v>1</v>
      </c>
      <c r="E12">
        <v>1</v>
      </c>
    </row>
    <row r="13" spans="1:5" x14ac:dyDescent="0.35">
      <c r="A13" t="s">
        <v>54</v>
      </c>
      <c r="B13">
        <v>1</v>
      </c>
      <c r="E13">
        <v>1</v>
      </c>
    </row>
    <row r="14" spans="1:5" x14ac:dyDescent="0.35">
      <c r="A14" t="s">
        <v>55</v>
      </c>
      <c r="B14">
        <v>1</v>
      </c>
      <c r="D14">
        <v>1</v>
      </c>
      <c r="E14">
        <v>1</v>
      </c>
    </row>
    <row r="15" spans="1:5" x14ac:dyDescent="0.35">
      <c r="A15" t="s">
        <v>56</v>
      </c>
      <c r="D15">
        <v>1</v>
      </c>
      <c r="E15">
        <v>1</v>
      </c>
    </row>
    <row r="16" spans="1:5" x14ac:dyDescent="0.35">
      <c r="A16" t="s">
        <v>64</v>
      </c>
      <c r="D16">
        <v>1</v>
      </c>
      <c r="E16">
        <v>1</v>
      </c>
    </row>
    <row r="17" spans="1:5" x14ac:dyDescent="0.35">
      <c r="A17" t="s">
        <v>70</v>
      </c>
      <c r="D17">
        <v>1</v>
      </c>
      <c r="E17">
        <v>1</v>
      </c>
    </row>
    <row r="18" spans="1:5" x14ac:dyDescent="0.35">
      <c r="A18" t="s">
        <v>71</v>
      </c>
      <c r="D18">
        <v>1</v>
      </c>
      <c r="E18">
        <v>1</v>
      </c>
    </row>
    <row r="19" spans="1:5" x14ac:dyDescent="0.35">
      <c r="A19" t="s">
        <v>74</v>
      </c>
      <c r="B19">
        <v>1</v>
      </c>
      <c r="E19">
        <v>1</v>
      </c>
    </row>
    <row r="20" spans="1:5" x14ac:dyDescent="0.35">
      <c r="A20" t="s">
        <v>76</v>
      </c>
      <c r="B20">
        <v>1</v>
      </c>
      <c r="E20">
        <v>1</v>
      </c>
    </row>
    <row r="21" spans="1:5" x14ac:dyDescent="0.35">
      <c r="A21" t="s">
        <v>78</v>
      </c>
      <c r="D21">
        <v>1</v>
      </c>
      <c r="E21">
        <v>1</v>
      </c>
    </row>
    <row r="22" spans="1:5" x14ac:dyDescent="0.35">
      <c r="A22" t="s">
        <v>79</v>
      </c>
      <c r="C22">
        <v>1</v>
      </c>
      <c r="D22">
        <v>1</v>
      </c>
      <c r="E22">
        <v>1</v>
      </c>
    </row>
    <row r="23" spans="1:5" x14ac:dyDescent="0.35">
      <c r="A23" t="s">
        <v>80</v>
      </c>
      <c r="B23">
        <f t="shared" ref="B23:D23" si="0">SUM(B3:B22)</f>
        <v>6</v>
      </c>
      <c r="C23">
        <f t="shared" si="0"/>
        <v>2</v>
      </c>
      <c r="D23">
        <f t="shared" si="0"/>
        <v>15</v>
      </c>
      <c r="E23">
        <f>SUM(B23:D23)</f>
        <v>23</v>
      </c>
    </row>
    <row r="25" spans="1:5" x14ac:dyDescent="0.35">
      <c r="B25" s="9">
        <f>B23/$E23</f>
        <v>0.2608695652173913</v>
      </c>
      <c r="C25" s="9">
        <f t="shared" ref="C25:E25" si="1">C23/$E23</f>
        <v>8.6956521739130432E-2</v>
      </c>
      <c r="D25" s="9">
        <f t="shared" si="1"/>
        <v>0.65217391304347827</v>
      </c>
      <c r="E25" s="9">
        <f t="shared" si="1"/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19C8-E6CA-4320-B352-26591930F4A3}">
  <dimension ref="A1:E26"/>
  <sheetViews>
    <sheetView topLeftCell="A2" workbookViewId="0">
      <selection activeCell="G12" sqref="G12"/>
    </sheetView>
  </sheetViews>
  <sheetFormatPr defaultRowHeight="14.5" x14ac:dyDescent="0.35"/>
  <cols>
    <col min="1" max="1" width="34.26953125" customWidth="1"/>
  </cols>
  <sheetData>
    <row r="1" spans="1:5" x14ac:dyDescent="0.35">
      <c r="A1" t="s">
        <v>298</v>
      </c>
      <c r="B1" t="s">
        <v>299</v>
      </c>
    </row>
    <row r="2" spans="1:5" x14ac:dyDescent="0.35">
      <c r="A2" t="s">
        <v>300</v>
      </c>
      <c r="B2" t="s">
        <v>301</v>
      </c>
      <c r="C2" t="s">
        <v>302</v>
      </c>
      <c r="D2" t="s">
        <v>303</v>
      </c>
      <c r="E2" t="s">
        <v>80</v>
      </c>
    </row>
    <row r="3" spans="1:5" x14ac:dyDescent="0.35">
      <c r="A3" t="s">
        <v>35</v>
      </c>
      <c r="D3">
        <v>1</v>
      </c>
      <c r="E3">
        <v>1</v>
      </c>
    </row>
    <row r="4" spans="1:5" x14ac:dyDescent="0.35">
      <c r="A4" t="s">
        <v>36</v>
      </c>
      <c r="D4">
        <v>1</v>
      </c>
      <c r="E4">
        <v>1</v>
      </c>
    </row>
    <row r="5" spans="1:5" x14ac:dyDescent="0.35">
      <c r="A5" t="s">
        <v>37</v>
      </c>
      <c r="D5">
        <v>1</v>
      </c>
      <c r="E5">
        <v>1</v>
      </c>
    </row>
    <row r="6" spans="1:5" x14ac:dyDescent="0.35">
      <c r="A6" t="s">
        <v>39</v>
      </c>
      <c r="D6">
        <v>1</v>
      </c>
      <c r="E6">
        <v>1</v>
      </c>
    </row>
    <row r="7" spans="1:5" x14ac:dyDescent="0.35">
      <c r="A7" t="s">
        <v>42</v>
      </c>
      <c r="B7">
        <v>1</v>
      </c>
      <c r="D7">
        <v>1</v>
      </c>
      <c r="E7">
        <v>1</v>
      </c>
    </row>
    <row r="8" spans="1:5" x14ac:dyDescent="0.35">
      <c r="A8" t="s">
        <v>44</v>
      </c>
      <c r="D8">
        <v>1</v>
      </c>
      <c r="E8">
        <v>1</v>
      </c>
    </row>
    <row r="9" spans="1:5" x14ac:dyDescent="0.35">
      <c r="A9" t="s">
        <v>48</v>
      </c>
      <c r="C9">
        <v>1</v>
      </c>
      <c r="E9">
        <v>1</v>
      </c>
    </row>
    <row r="10" spans="1:5" x14ac:dyDescent="0.35">
      <c r="A10" t="s">
        <v>49</v>
      </c>
      <c r="D10">
        <v>1</v>
      </c>
      <c r="E10">
        <v>1</v>
      </c>
    </row>
    <row r="11" spans="1:5" x14ac:dyDescent="0.35">
      <c r="A11" t="s">
        <v>50</v>
      </c>
      <c r="D11">
        <v>1</v>
      </c>
      <c r="E11">
        <v>1</v>
      </c>
    </row>
    <row r="12" spans="1:5" x14ac:dyDescent="0.35">
      <c r="A12" t="s">
        <v>52</v>
      </c>
      <c r="D12">
        <v>1</v>
      </c>
      <c r="E12">
        <v>1</v>
      </c>
    </row>
    <row r="13" spans="1:5" x14ac:dyDescent="0.35">
      <c r="A13" t="s">
        <v>53</v>
      </c>
      <c r="D13">
        <v>1</v>
      </c>
      <c r="E13">
        <v>1</v>
      </c>
    </row>
    <row r="14" spans="1:5" x14ac:dyDescent="0.35">
      <c r="A14" t="s">
        <v>54</v>
      </c>
      <c r="B14">
        <v>1</v>
      </c>
      <c r="D14">
        <v>1</v>
      </c>
      <c r="E14">
        <v>1</v>
      </c>
    </row>
    <row r="15" spans="1:5" x14ac:dyDescent="0.35">
      <c r="A15" t="s">
        <v>55</v>
      </c>
      <c r="D15">
        <v>1</v>
      </c>
      <c r="E15">
        <v>1</v>
      </c>
    </row>
    <row r="16" spans="1:5" x14ac:dyDescent="0.35">
      <c r="A16" t="s">
        <v>56</v>
      </c>
      <c r="D16">
        <v>1</v>
      </c>
      <c r="E16">
        <v>1</v>
      </c>
    </row>
    <row r="17" spans="1:5" x14ac:dyDescent="0.35">
      <c r="A17" t="s">
        <v>64</v>
      </c>
      <c r="D17">
        <v>1</v>
      </c>
      <c r="E17">
        <v>1</v>
      </c>
    </row>
    <row r="18" spans="1:5" x14ac:dyDescent="0.35">
      <c r="A18" t="s">
        <v>70</v>
      </c>
      <c r="D18">
        <v>1</v>
      </c>
      <c r="E18">
        <v>1</v>
      </c>
    </row>
    <row r="19" spans="1:5" x14ac:dyDescent="0.35">
      <c r="A19" t="s">
        <v>71</v>
      </c>
      <c r="D19">
        <v>1</v>
      </c>
      <c r="E19">
        <v>1</v>
      </c>
    </row>
    <row r="20" spans="1:5" x14ac:dyDescent="0.35">
      <c r="A20" t="s">
        <v>74</v>
      </c>
      <c r="B20">
        <v>1</v>
      </c>
      <c r="E20">
        <v>1</v>
      </c>
    </row>
    <row r="21" spans="1:5" x14ac:dyDescent="0.35">
      <c r="A21" t="s">
        <v>76</v>
      </c>
      <c r="B21">
        <v>1</v>
      </c>
      <c r="E21">
        <v>1</v>
      </c>
    </row>
    <row r="22" spans="1:5" x14ac:dyDescent="0.35">
      <c r="A22" t="s">
        <v>78</v>
      </c>
      <c r="D22">
        <v>1</v>
      </c>
      <c r="E22">
        <v>1</v>
      </c>
    </row>
    <row r="23" spans="1:5" x14ac:dyDescent="0.35">
      <c r="A23" t="s">
        <v>79</v>
      </c>
      <c r="D23">
        <v>1</v>
      </c>
      <c r="E23">
        <v>1</v>
      </c>
    </row>
    <row r="24" spans="1:5" x14ac:dyDescent="0.35">
      <c r="A24" t="s">
        <v>101</v>
      </c>
      <c r="B24">
        <f t="shared" ref="B24:D24" si="0">SUM(B3:B23)</f>
        <v>4</v>
      </c>
      <c r="C24">
        <f t="shared" si="0"/>
        <v>1</v>
      </c>
      <c r="D24">
        <f t="shared" si="0"/>
        <v>18</v>
      </c>
      <c r="E24">
        <f>SUM(B24:D24)</f>
        <v>23</v>
      </c>
    </row>
    <row r="26" spans="1:5" x14ac:dyDescent="0.35">
      <c r="B26" s="9">
        <f>B24/$E24</f>
        <v>0.17391304347826086</v>
      </c>
      <c r="C26" s="9">
        <f t="shared" ref="C26:E26" si="1">C24/$E24</f>
        <v>4.3478260869565216E-2</v>
      </c>
      <c r="D26" s="9">
        <f t="shared" si="1"/>
        <v>0.78260869565217395</v>
      </c>
      <c r="E26" s="9">
        <f t="shared" si="1"/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D44B8-976D-4C14-B0BD-94236432B496}">
  <dimension ref="A1:E19"/>
  <sheetViews>
    <sheetView workbookViewId="0">
      <selection activeCell="I18" sqref="I18"/>
    </sheetView>
  </sheetViews>
  <sheetFormatPr defaultRowHeight="14.5" x14ac:dyDescent="0.35"/>
  <cols>
    <col min="1" max="1" width="27.7265625" customWidth="1"/>
  </cols>
  <sheetData>
    <row r="1" spans="1:5" x14ac:dyDescent="0.35">
      <c r="A1" t="s">
        <v>298</v>
      </c>
      <c r="B1" t="s">
        <v>299</v>
      </c>
    </row>
    <row r="2" spans="1:5" x14ac:dyDescent="0.35">
      <c r="A2" t="s">
        <v>300</v>
      </c>
      <c r="B2" t="s">
        <v>301</v>
      </c>
      <c r="C2" t="s">
        <v>302</v>
      </c>
      <c r="D2" t="s">
        <v>303</v>
      </c>
      <c r="E2" t="s">
        <v>80</v>
      </c>
    </row>
    <row r="3" spans="1:5" x14ac:dyDescent="0.35">
      <c r="A3" t="s">
        <v>36</v>
      </c>
      <c r="D3">
        <v>1</v>
      </c>
      <c r="E3">
        <v>1</v>
      </c>
    </row>
    <row r="4" spans="1:5" x14ac:dyDescent="0.35">
      <c r="A4" t="s">
        <v>37</v>
      </c>
      <c r="D4">
        <v>1</v>
      </c>
      <c r="E4">
        <v>1</v>
      </c>
    </row>
    <row r="5" spans="1:5" x14ac:dyDescent="0.35">
      <c r="A5" t="s">
        <v>39</v>
      </c>
      <c r="B5">
        <v>1</v>
      </c>
      <c r="E5">
        <v>1</v>
      </c>
    </row>
    <row r="6" spans="1:5" x14ac:dyDescent="0.35">
      <c r="A6" t="s">
        <v>42</v>
      </c>
      <c r="B6">
        <v>1</v>
      </c>
      <c r="E6">
        <v>1</v>
      </c>
    </row>
    <row r="7" spans="1:5" x14ac:dyDescent="0.35">
      <c r="A7" t="s">
        <v>48</v>
      </c>
      <c r="C7">
        <v>1</v>
      </c>
      <c r="E7">
        <v>1</v>
      </c>
    </row>
    <row r="8" spans="1:5" x14ac:dyDescent="0.35">
      <c r="A8" t="s">
        <v>49</v>
      </c>
      <c r="B8">
        <v>1</v>
      </c>
      <c r="E8">
        <v>1</v>
      </c>
    </row>
    <row r="9" spans="1:5" x14ac:dyDescent="0.35">
      <c r="A9" t="s">
        <v>52</v>
      </c>
      <c r="D9">
        <v>1</v>
      </c>
      <c r="E9">
        <v>1</v>
      </c>
    </row>
    <row r="10" spans="1:5" x14ac:dyDescent="0.35">
      <c r="A10" t="s">
        <v>53</v>
      </c>
      <c r="D10">
        <v>1</v>
      </c>
      <c r="E10">
        <v>1</v>
      </c>
    </row>
    <row r="11" spans="1:5" x14ac:dyDescent="0.35">
      <c r="A11" t="s">
        <v>54</v>
      </c>
      <c r="B11">
        <v>1</v>
      </c>
      <c r="E11">
        <v>1</v>
      </c>
    </row>
    <row r="12" spans="1:5" x14ac:dyDescent="0.35">
      <c r="A12" t="s">
        <v>55</v>
      </c>
      <c r="B12">
        <v>1</v>
      </c>
      <c r="E12">
        <v>1</v>
      </c>
    </row>
    <row r="13" spans="1:5" x14ac:dyDescent="0.35">
      <c r="A13" t="s">
        <v>56</v>
      </c>
      <c r="D13">
        <v>1</v>
      </c>
      <c r="E13">
        <v>1</v>
      </c>
    </row>
    <row r="14" spans="1:5" x14ac:dyDescent="0.35">
      <c r="A14" t="s">
        <v>74</v>
      </c>
      <c r="B14">
        <v>1</v>
      </c>
      <c r="E14">
        <v>1</v>
      </c>
    </row>
    <row r="15" spans="1:5" x14ac:dyDescent="0.35">
      <c r="A15" t="s">
        <v>76</v>
      </c>
      <c r="B15">
        <v>1</v>
      </c>
      <c r="E15">
        <v>1</v>
      </c>
    </row>
    <row r="16" spans="1:5" x14ac:dyDescent="0.35">
      <c r="A16" t="s">
        <v>79</v>
      </c>
      <c r="B16">
        <v>1</v>
      </c>
      <c r="E16">
        <v>1</v>
      </c>
    </row>
    <row r="17" spans="1:5" x14ac:dyDescent="0.35">
      <c r="A17" t="s">
        <v>101</v>
      </c>
      <c r="B17">
        <f t="shared" ref="B17:D17" si="0">SUM(B3:B16)</f>
        <v>8</v>
      </c>
      <c r="C17">
        <f t="shared" si="0"/>
        <v>1</v>
      </c>
      <c r="D17">
        <f t="shared" si="0"/>
        <v>5</v>
      </c>
      <c r="E17">
        <f>SUM(B17:D17)</f>
        <v>14</v>
      </c>
    </row>
    <row r="19" spans="1:5" x14ac:dyDescent="0.35">
      <c r="B19" s="9">
        <f>B17/$E17</f>
        <v>0.5714285714285714</v>
      </c>
      <c r="C19" s="9">
        <f t="shared" ref="C19:D19" si="1">C17/$E17</f>
        <v>7.1428571428571425E-2</v>
      </c>
      <c r="D19" s="9">
        <f t="shared" si="1"/>
        <v>0.35714285714285715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D808-82D1-48AF-9173-83B86A22DD3A}">
  <dimension ref="B1:E7"/>
  <sheetViews>
    <sheetView workbookViewId="0">
      <selection activeCell="B6" sqref="B6"/>
    </sheetView>
  </sheetViews>
  <sheetFormatPr defaultRowHeight="14.5" x14ac:dyDescent="0.35"/>
  <cols>
    <col min="2" max="2" width="23.6328125" bestFit="1" customWidth="1"/>
  </cols>
  <sheetData>
    <row r="1" spans="2:5" x14ac:dyDescent="0.35">
      <c r="C1" t="s">
        <v>301</v>
      </c>
      <c r="D1" t="s">
        <v>302</v>
      </c>
      <c r="E1" t="s">
        <v>303</v>
      </c>
    </row>
    <row r="2" spans="2:5" x14ac:dyDescent="0.35">
      <c r="B2" t="s">
        <v>305</v>
      </c>
    </row>
    <row r="3" spans="2:5" x14ac:dyDescent="0.35">
      <c r="B3" t="s">
        <v>306</v>
      </c>
    </row>
    <row r="4" spans="2:5" x14ac:dyDescent="0.35">
      <c r="B4" t="s">
        <v>307</v>
      </c>
    </row>
    <row r="5" spans="2:5" x14ac:dyDescent="0.35">
      <c r="B5" t="s">
        <v>295</v>
      </c>
    </row>
    <row r="6" spans="2:5" x14ac:dyDescent="0.35">
      <c r="B6" t="s">
        <v>308</v>
      </c>
      <c r="C6">
        <v>0.19047619047619047</v>
      </c>
      <c r="D6">
        <v>4.7619047619047616E-2</v>
      </c>
      <c r="E6">
        <v>0.8571428571428571</v>
      </c>
    </row>
    <row r="7" spans="2:5" x14ac:dyDescent="0.35">
      <c r="B7" t="s">
        <v>309</v>
      </c>
      <c r="C7">
        <v>0.5714285714285714</v>
      </c>
      <c r="D7">
        <v>7.1428571428571425E-2</v>
      </c>
      <c r="E7">
        <v>0.35714285714285715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8C2A-8B8D-4DE7-86C2-E225E85A3525}">
  <dimension ref="A1:D49"/>
  <sheetViews>
    <sheetView topLeftCell="A32" workbookViewId="0">
      <selection activeCell="G44" sqref="G44"/>
    </sheetView>
  </sheetViews>
  <sheetFormatPr defaultRowHeight="14.5" x14ac:dyDescent="0.35"/>
  <cols>
    <col min="1" max="1" width="20.90625" bestFit="1" customWidth="1"/>
  </cols>
  <sheetData>
    <row r="1" spans="1:4" x14ac:dyDescent="0.35">
      <c r="A1" t="s">
        <v>81</v>
      </c>
      <c r="B1" t="s">
        <v>287</v>
      </c>
      <c r="C1" t="s">
        <v>288</v>
      </c>
      <c r="D1" t="s">
        <v>289</v>
      </c>
    </row>
    <row r="2" spans="1:4" x14ac:dyDescent="0.35">
      <c r="A2" t="s">
        <v>33</v>
      </c>
      <c r="B2">
        <v>2.931267462129866</v>
      </c>
      <c r="C2">
        <v>2.1341852520023665</v>
      </c>
      <c r="D2">
        <v>2.019899461564286</v>
      </c>
    </row>
    <row r="3" spans="1:4" x14ac:dyDescent="0.35">
      <c r="A3" t="s">
        <v>34</v>
      </c>
      <c r="B3">
        <v>1.147359073900709E-2</v>
      </c>
      <c r="C3">
        <v>0.45981373450834601</v>
      </c>
      <c r="D3">
        <v>9.1672595404304561E-3</v>
      </c>
    </row>
    <row r="4" spans="1:4" x14ac:dyDescent="0.35">
      <c r="A4" t="s">
        <v>35</v>
      </c>
      <c r="B4">
        <v>0.91475861164476124</v>
      </c>
      <c r="C4">
        <v>0.88353401210240634</v>
      </c>
      <c r="D4">
        <v>1.5389956791292114</v>
      </c>
    </row>
    <row r="5" spans="1:4" x14ac:dyDescent="0.35">
      <c r="A5" t="s">
        <v>36</v>
      </c>
      <c r="B5">
        <v>6.7695615975984937</v>
      </c>
    </row>
    <row r="6" spans="1:4" x14ac:dyDescent="0.35">
      <c r="A6" t="s">
        <v>37</v>
      </c>
      <c r="B6">
        <v>0.90211115840910339</v>
      </c>
      <c r="C6">
        <v>3.2212471085886865</v>
      </c>
      <c r="D6">
        <v>4.0990110066428311</v>
      </c>
    </row>
    <row r="7" spans="1:4" x14ac:dyDescent="0.35">
      <c r="A7" t="s">
        <v>38</v>
      </c>
      <c r="B7">
        <v>3.4484194046500945E-2</v>
      </c>
      <c r="C7">
        <v>0.13920945127767095</v>
      </c>
      <c r="D7">
        <v>0.13865896050318505</v>
      </c>
    </row>
    <row r="8" spans="1:4" x14ac:dyDescent="0.35">
      <c r="A8" t="s">
        <v>39</v>
      </c>
      <c r="B8">
        <v>5.870701271445971E-2</v>
      </c>
      <c r="C8">
        <v>0.27515531171477908</v>
      </c>
      <c r="D8">
        <v>0.59968754989000106</v>
      </c>
    </row>
    <row r="9" spans="1:4" x14ac:dyDescent="0.35">
      <c r="A9" t="s">
        <v>40</v>
      </c>
      <c r="C9">
        <v>0.47268783432816613</v>
      </c>
      <c r="D9">
        <v>0.45519721419304904</v>
      </c>
    </row>
    <row r="10" spans="1:4" x14ac:dyDescent="0.35">
      <c r="A10" t="s">
        <v>41</v>
      </c>
      <c r="B10">
        <v>1.0702918325592956</v>
      </c>
      <c r="C10">
        <v>0.87148022093201294</v>
      </c>
      <c r="D10">
        <v>0.96251333201951084</v>
      </c>
    </row>
    <row r="11" spans="1:4" x14ac:dyDescent="0.35">
      <c r="A11" t="s">
        <v>42</v>
      </c>
      <c r="B11">
        <v>0.3412332358296562</v>
      </c>
      <c r="C11">
        <v>0.5998381206097585</v>
      </c>
      <c r="D11">
        <v>0.51019876995240343</v>
      </c>
    </row>
    <row r="12" spans="1:4" x14ac:dyDescent="0.35">
      <c r="A12" t="s">
        <v>43</v>
      </c>
      <c r="B12">
        <v>4.2179462891008965</v>
      </c>
      <c r="C12">
        <v>6.2732388397213183</v>
      </c>
      <c r="D12">
        <v>7.0030898445039211</v>
      </c>
    </row>
    <row r="13" spans="1:4" x14ac:dyDescent="0.35">
      <c r="A13" t="s">
        <v>44</v>
      </c>
      <c r="B13">
        <v>2.6553072539493798</v>
      </c>
      <c r="C13">
        <v>1.9646899814778815</v>
      </c>
      <c r="D13">
        <v>1.7459628837057743</v>
      </c>
    </row>
    <row r="14" spans="1:4" x14ac:dyDescent="0.35">
      <c r="A14" t="s">
        <v>45</v>
      </c>
      <c r="B14">
        <v>1.7138965478069101</v>
      </c>
      <c r="C14">
        <v>2.1416813614707642</v>
      </c>
      <c r="D14">
        <v>2.6366679548165664</v>
      </c>
    </row>
    <row r="15" spans="1:4" x14ac:dyDescent="0.35">
      <c r="A15" t="s">
        <v>46</v>
      </c>
      <c r="B15">
        <v>0.21167976524264812</v>
      </c>
      <c r="C15">
        <v>0.41820078242128272</v>
      </c>
      <c r="D15">
        <v>0.30696678532959842</v>
      </c>
    </row>
    <row r="16" spans="1:4" x14ac:dyDescent="0.35">
      <c r="A16" t="s">
        <v>47</v>
      </c>
      <c r="C16">
        <v>0.33952658676252406</v>
      </c>
      <c r="D16">
        <v>0.15782281068195717</v>
      </c>
    </row>
    <row r="17" spans="1:4" x14ac:dyDescent="0.35">
      <c r="A17" t="s">
        <v>48</v>
      </c>
      <c r="C17">
        <v>0.13060989451219315</v>
      </c>
      <c r="D17">
        <v>0.18186598024473993</v>
      </c>
    </row>
    <row r="18" spans="1:4" x14ac:dyDescent="0.35">
      <c r="A18" t="s">
        <v>49</v>
      </c>
      <c r="C18">
        <v>0.12064519325851895</v>
      </c>
      <c r="D18">
        <v>0.11650448271801633</v>
      </c>
    </row>
    <row r="19" spans="1:4" x14ac:dyDescent="0.35">
      <c r="A19" t="s">
        <v>50</v>
      </c>
      <c r="B19">
        <v>0.71329713375271953</v>
      </c>
      <c r="C19">
        <v>1.4542501330745503</v>
      </c>
      <c r="D19">
        <v>2.7995640409068323</v>
      </c>
    </row>
    <row r="20" spans="1:4" x14ac:dyDescent="0.35">
      <c r="A20" t="s">
        <v>51</v>
      </c>
      <c r="B20">
        <v>2.2973079178531046</v>
      </c>
      <c r="C20">
        <v>3.3439605586010841</v>
      </c>
      <c r="D20">
        <v>3.8509957649511239</v>
      </c>
    </row>
    <row r="21" spans="1:4" x14ac:dyDescent="0.35">
      <c r="A21" t="s">
        <v>52</v>
      </c>
      <c r="B21">
        <v>1.2188983841125303</v>
      </c>
      <c r="C21">
        <v>1.3088386899260929</v>
      </c>
      <c r="D21">
        <v>1.4005954193508334</v>
      </c>
    </row>
    <row r="22" spans="1:4" x14ac:dyDescent="0.35">
      <c r="A22" t="s">
        <v>53</v>
      </c>
      <c r="B22">
        <v>4.1005468473581175</v>
      </c>
      <c r="C22">
        <v>3.441781520535669</v>
      </c>
      <c r="D22">
        <v>7.1340937945138698</v>
      </c>
    </row>
    <row r="23" spans="1:4" x14ac:dyDescent="0.35">
      <c r="A23" t="s">
        <v>54</v>
      </c>
      <c r="B23">
        <v>0.45226644282492839</v>
      </c>
      <c r="C23">
        <v>0.68977247822945453</v>
      </c>
      <c r="D23">
        <v>0.64433444480057489</v>
      </c>
    </row>
    <row r="24" spans="1:4" x14ac:dyDescent="0.35">
      <c r="A24" t="s">
        <v>55</v>
      </c>
      <c r="B24">
        <v>0.9011914280791814</v>
      </c>
      <c r="C24">
        <v>0.81560369348989858</v>
      </c>
      <c r="D24">
        <v>0.93561563389977698</v>
      </c>
    </row>
    <row r="25" spans="1:4" x14ac:dyDescent="0.35">
      <c r="A25" t="s">
        <v>56</v>
      </c>
      <c r="D25">
        <v>2.5357462952145089E-2</v>
      </c>
    </row>
    <row r="26" spans="1:4" x14ac:dyDescent="0.35">
      <c r="A26" t="s">
        <v>57</v>
      </c>
      <c r="C26">
        <v>12.64321431544888</v>
      </c>
      <c r="D26">
        <v>12.052082865767586</v>
      </c>
    </row>
    <row r="27" spans="1:4" x14ac:dyDescent="0.35">
      <c r="A27" t="s">
        <v>58</v>
      </c>
      <c r="B27">
        <v>1.8205175261515878</v>
      </c>
      <c r="C27">
        <v>1.8959416418118331</v>
      </c>
      <c r="D27">
        <v>1.864950965132705</v>
      </c>
    </row>
    <row r="28" spans="1:4" x14ac:dyDescent="0.35">
      <c r="A28" t="s">
        <v>59</v>
      </c>
      <c r="B28">
        <v>1.441406395482022</v>
      </c>
      <c r="C28">
        <v>1.4877149350450771</v>
      </c>
      <c r="D28">
        <v>1.3487905495777783</v>
      </c>
    </row>
    <row r="29" spans="1:4" x14ac:dyDescent="0.35">
      <c r="A29" t="s">
        <v>60</v>
      </c>
      <c r="B29">
        <v>2.9953617758950828E-2</v>
      </c>
      <c r="D29">
        <v>0.30188210998834514</v>
      </c>
    </row>
    <row r="30" spans="1:4" x14ac:dyDescent="0.35">
      <c r="A30" t="s">
        <v>61</v>
      </c>
      <c r="B30">
        <v>1.1532558526925896</v>
      </c>
      <c r="C30">
        <v>1.6228311626524292</v>
      </c>
      <c r="D30">
        <v>0.84980074523719307</v>
      </c>
    </row>
    <row r="31" spans="1:4" x14ac:dyDescent="0.35">
      <c r="A31" t="s">
        <v>62</v>
      </c>
      <c r="B31">
        <v>0.98317935088255093</v>
      </c>
      <c r="C31">
        <v>2.0020083304620333</v>
      </c>
      <c r="D31">
        <v>2.8293088526329151</v>
      </c>
    </row>
    <row r="32" spans="1:4" x14ac:dyDescent="0.35">
      <c r="A32" t="s">
        <v>63</v>
      </c>
      <c r="C32">
        <v>4.3770889116449458</v>
      </c>
      <c r="D32">
        <v>4.3633207102285674</v>
      </c>
    </row>
    <row r="33" spans="1:4" x14ac:dyDescent="0.35">
      <c r="A33" t="s">
        <v>64</v>
      </c>
      <c r="B33">
        <v>1.6889931228872987</v>
      </c>
      <c r="C33">
        <v>2.0462971936211609</v>
      </c>
      <c r="D33">
        <v>4.0595072688125535</v>
      </c>
    </row>
    <row r="34" spans="1:4" x14ac:dyDescent="0.35">
      <c r="A34" t="s">
        <v>65</v>
      </c>
      <c r="C34">
        <v>2.0784139872273143E-2</v>
      </c>
      <c r="D34">
        <v>6.6224843081208226E-2</v>
      </c>
    </row>
    <row r="35" spans="1:4" x14ac:dyDescent="0.35">
      <c r="A35" t="s">
        <v>66</v>
      </c>
      <c r="B35">
        <v>0.49160468400085156</v>
      </c>
      <c r="C35">
        <v>0.40129232072664212</v>
      </c>
      <c r="D35">
        <v>0.31486460872782684</v>
      </c>
    </row>
    <row r="36" spans="1:4" x14ac:dyDescent="0.35">
      <c r="A36" t="s">
        <v>67</v>
      </c>
      <c r="B36">
        <v>5.7962139817060594</v>
      </c>
      <c r="C36">
        <v>6.0926179701930829</v>
      </c>
      <c r="D36">
        <v>6.7166736650034533</v>
      </c>
    </row>
    <row r="37" spans="1:4" x14ac:dyDescent="0.35">
      <c r="A37" t="s">
        <v>68</v>
      </c>
      <c r="B37">
        <v>0.56029224194770211</v>
      </c>
      <c r="C37">
        <v>1.1738131151471967</v>
      </c>
      <c r="D37">
        <v>1.4444680954924072</v>
      </c>
    </row>
    <row r="38" spans="1:4" x14ac:dyDescent="0.35">
      <c r="A38" t="s">
        <v>69</v>
      </c>
      <c r="B38">
        <v>1.599942195636803</v>
      </c>
      <c r="C38">
        <v>2.3658111893406013</v>
      </c>
      <c r="D38">
        <v>1.1119986707266545</v>
      </c>
    </row>
    <row r="39" spans="1:4" x14ac:dyDescent="0.35">
      <c r="A39" t="s">
        <v>70</v>
      </c>
      <c r="B39">
        <v>2.9024169682386525</v>
      </c>
      <c r="C39">
        <v>1.9358058528624471</v>
      </c>
      <c r="D39">
        <v>1.8945373411734798</v>
      </c>
    </row>
    <row r="40" spans="1:4" x14ac:dyDescent="0.35">
      <c r="A40" t="s">
        <v>71</v>
      </c>
      <c r="C40">
        <v>15.324778615144369</v>
      </c>
      <c r="D40">
        <v>16.737593274176241</v>
      </c>
    </row>
    <row r="41" spans="1:4" x14ac:dyDescent="0.35">
      <c r="A41" t="s">
        <v>72</v>
      </c>
      <c r="B41">
        <v>3.140049435318752</v>
      </c>
      <c r="C41">
        <v>0.49737441009932098</v>
      </c>
      <c r="D41">
        <v>2.6389430841215091</v>
      </c>
    </row>
    <row r="42" spans="1:4" x14ac:dyDescent="0.35">
      <c r="A42" t="s">
        <v>73</v>
      </c>
    </row>
    <row r="43" spans="1:4" x14ac:dyDescent="0.35">
      <c r="A43" t="s">
        <v>74</v>
      </c>
      <c r="C43">
        <v>1.6468934438297507</v>
      </c>
      <c r="D43">
        <v>2.7673002425007196</v>
      </c>
    </row>
    <row r="44" spans="1:4" x14ac:dyDescent="0.35">
      <c r="A44" t="s">
        <v>75</v>
      </c>
    </row>
    <row r="45" spans="1:4" x14ac:dyDescent="0.35">
      <c r="A45" t="s">
        <v>76</v>
      </c>
      <c r="B45">
        <v>1.1187368152644672</v>
      </c>
      <c r="C45">
        <v>1.5969321008082962</v>
      </c>
      <c r="D45">
        <v>2.1065244792779407</v>
      </c>
    </row>
    <row r="46" spans="1:4" x14ac:dyDescent="0.35">
      <c r="A46" t="s">
        <v>77</v>
      </c>
      <c r="B46">
        <v>1.9844886695619415</v>
      </c>
      <c r="C46">
        <v>1.7432087542464663</v>
      </c>
      <c r="D46">
        <v>6.9750877177016513</v>
      </c>
    </row>
    <row r="47" spans="1:4" x14ac:dyDescent="0.35">
      <c r="A47" t="s">
        <v>78</v>
      </c>
      <c r="B47">
        <v>1.8201538354901259</v>
      </c>
      <c r="C47">
        <v>1.9242097942614949</v>
      </c>
      <c r="D47">
        <v>4.5969374565227969</v>
      </c>
    </row>
    <row r="48" spans="1:4" x14ac:dyDescent="0.35">
      <c r="A48" t="s">
        <v>79</v>
      </c>
      <c r="C48">
        <v>0.56735952736161055</v>
      </c>
      <c r="D48">
        <v>5.8827721171184519</v>
      </c>
    </row>
    <row r="49" spans="1:4" x14ac:dyDescent="0.35">
      <c r="A49" t="s">
        <v>101</v>
      </c>
      <c r="B49">
        <v>1.7072773940815269</v>
      </c>
      <c r="C49">
        <v>2.2110935353363184</v>
      </c>
      <c r="D49">
        <v>2.7317349136321054</v>
      </c>
    </row>
  </sheetData>
  <autoFilter ref="A1:D49" xr:uid="{5F838C2A-8B8D-4DE7-86C2-E225E85A35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Sheet2</vt:lpstr>
      <vt:lpstr>Number of countries rep</vt:lpstr>
      <vt:lpstr>Sheet4</vt:lpstr>
      <vt:lpstr>Corr synthesis</vt:lpstr>
      <vt:lpstr>Sheet3</vt:lpstr>
      <vt:lpstr>Accreditation Medical doctors</vt:lpstr>
      <vt:lpstr>Accreditation Nurses</vt:lpstr>
      <vt:lpstr>accreditation midwifrey</vt:lpstr>
      <vt:lpstr>Accreditation dentists</vt:lpstr>
      <vt:lpstr>Accreditation pharmacists</vt:lpstr>
      <vt:lpstr>Accreditation community workers</vt:lpstr>
      <vt:lpstr>Sheet11</vt:lpstr>
      <vt:lpstr>Midwives 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2024-02-23T08:09:35Z</dcterms:created>
  <dcterms:modified xsi:type="dcterms:W3CDTF">2024-03-17T15:23:21Z</dcterms:modified>
</cp:coreProperties>
</file>