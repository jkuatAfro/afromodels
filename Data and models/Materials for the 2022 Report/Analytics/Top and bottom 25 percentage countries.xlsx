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8_{7195711B-FF7F-47E5-9022-78C585BC5616}" xr6:coauthVersionLast="47" xr6:coauthVersionMax="47" xr10:uidLastSave="{00000000-0000-0000-0000-000000000000}"/>
  <bookViews>
    <workbookView xWindow="-110" yWindow="-110" windowWidth="19420" windowHeight="10300" xr2:uid="{39D85AC5-FC3D-4838-A364-90156740D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E14" i="1"/>
  <c r="M13" i="1"/>
  <c r="E13" i="1"/>
  <c r="M12" i="1"/>
  <c r="E12" i="1"/>
  <c r="M11" i="1"/>
  <c r="E11" i="1"/>
  <c r="M10" i="1"/>
  <c r="E10" i="1"/>
  <c r="M9" i="1"/>
  <c r="E9" i="1"/>
  <c r="M8" i="1"/>
  <c r="E8" i="1"/>
  <c r="M7" i="1"/>
  <c r="E7" i="1"/>
  <c r="M6" i="1"/>
  <c r="E6" i="1"/>
  <c r="M5" i="1"/>
  <c r="E5" i="1"/>
  <c r="M4" i="1"/>
  <c r="E4" i="1"/>
  <c r="M3" i="1"/>
  <c r="E3" i="1"/>
</calcChain>
</file>

<file path=xl/sharedStrings.xml><?xml version="1.0" encoding="utf-8"?>
<sst xmlns="http://schemas.openxmlformats.org/spreadsheetml/2006/main" count="60" uniqueCount="36">
  <si>
    <t>lower 25%</t>
  </si>
  <si>
    <t>Lower 25%</t>
  </si>
  <si>
    <t>Upper 25%</t>
  </si>
  <si>
    <t>Country</t>
  </si>
  <si>
    <t xml:space="preserve"> Density per 10,000 (2018)</t>
  </si>
  <si>
    <t xml:space="preserve"> Density per 10,000 (2022)</t>
  </si>
  <si>
    <t>Niger</t>
  </si>
  <si>
    <t>Seychelles</t>
  </si>
  <si>
    <t>Central African Republic</t>
  </si>
  <si>
    <t>Mauritius</t>
  </si>
  <si>
    <t>South Africa</t>
  </si>
  <si>
    <t>Equatorial Guinea</t>
  </si>
  <si>
    <t>Chad</t>
  </si>
  <si>
    <t>Namibia</t>
  </si>
  <si>
    <t>Guinea</t>
  </si>
  <si>
    <t>Cape-Verde</t>
  </si>
  <si>
    <t>Benin</t>
  </si>
  <si>
    <t>Madagascar</t>
  </si>
  <si>
    <t>Lesotho</t>
  </si>
  <si>
    <t>Togo</t>
  </si>
  <si>
    <t>Malawi</t>
  </si>
  <si>
    <t>Eswatini</t>
  </si>
  <si>
    <t>Ghana</t>
  </si>
  <si>
    <t>Algeria</t>
  </si>
  <si>
    <t>Cameroon</t>
  </si>
  <si>
    <t>Mali</t>
  </si>
  <si>
    <t>South Sudan</t>
  </si>
  <si>
    <t>Senegal</t>
  </si>
  <si>
    <t>Gabon</t>
  </si>
  <si>
    <t>Zimbabwe</t>
  </si>
  <si>
    <t>Tanzania</t>
  </si>
  <si>
    <t>Botswana</t>
  </si>
  <si>
    <t>Zambia</t>
  </si>
  <si>
    <t>Mozambique</t>
  </si>
  <si>
    <t>Gambia</t>
  </si>
  <si>
    <t>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</si>
</sst>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sz val="11"/>
      <color rgb="FF00B05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43" fontId="3" fillId="0" borderId="0" xfId="0" applyNumberFormat="1" applyFont="1"/>
    <xf numFmtId="0" fontId="4" fillId="0" borderId="1" xfId="0" applyFont="1" applyBorder="1" applyAlignment="1">
      <alignment horizontal="left"/>
    </xf>
    <xf numFmtId="43" fontId="5" fillId="0" borderId="1" xfId="0" applyNumberFormat="1" applyFont="1" applyBorder="1"/>
    <xf numFmtId="164" fontId="3" fillId="0" borderId="0" xfId="0" applyNumberFormat="1" applyFont="1"/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341F-3097-429F-965D-C66FE3F27D77}">
  <dimension ref="A1:O14"/>
  <sheetViews>
    <sheetView tabSelected="1" workbookViewId="0">
      <selection activeCell="L15" sqref="L15"/>
    </sheetView>
  </sheetViews>
  <sheetFormatPr defaultRowHeight="14.5" x14ac:dyDescent="0.35"/>
  <cols>
    <col min="2" max="2" width="18.54296875" bestFit="1" customWidth="1"/>
    <col min="6" max="6" width="18.54296875" bestFit="1" customWidth="1"/>
    <col min="10" max="10" width="18.08984375" bestFit="1" customWidth="1"/>
    <col min="14" max="14" width="9.7265625" bestFit="1" customWidth="1"/>
  </cols>
  <sheetData>
    <row r="1" spans="1:15" x14ac:dyDescent="0.35">
      <c r="B1" t="s">
        <v>0</v>
      </c>
      <c r="G1" t="s">
        <v>1</v>
      </c>
      <c r="K1" t="s">
        <v>2</v>
      </c>
      <c r="O1" t="s">
        <v>2</v>
      </c>
    </row>
    <row r="2" spans="1:15" ht="56.5" x14ac:dyDescent="0.35">
      <c r="B2" s="1" t="s">
        <v>3</v>
      </c>
      <c r="C2" s="2" t="s">
        <v>4</v>
      </c>
      <c r="D2" s="3"/>
      <c r="F2" s="1" t="s">
        <v>3</v>
      </c>
      <c r="G2" s="2" t="s">
        <v>5</v>
      </c>
      <c r="J2" s="1" t="s">
        <v>3</v>
      </c>
      <c r="K2" s="2" t="s">
        <v>4</v>
      </c>
      <c r="L2" s="3"/>
      <c r="M2">
        <v>2018</v>
      </c>
      <c r="N2" s="1" t="s">
        <v>3</v>
      </c>
      <c r="O2" s="2" t="s">
        <v>5</v>
      </c>
    </row>
    <row r="3" spans="1:15" x14ac:dyDescent="0.35">
      <c r="A3">
        <v>1</v>
      </c>
      <c r="B3" s="4" t="s">
        <v>6</v>
      </c>
      <c r="C3" s="5">
        <v>2.731976858986676</v>
      </c>
      <c r="D3" s="6"/>
      <c r="E3">
        <f>_xlfn.XLOOKUP(F3,B:B,A:A,,0)</f>
        <v>1</v>
      </c>
      <c r="F3" s="7" t="s">
        <v>6</v>
      </c>
      <c r="G3" s="8">
        <v>2.3568659730003425</v>
      </c>
      <c r="I3">
        <v>1</v>
      </c>
      <c r="J3" s="4" t="s">
        <v>7</v>
      </c>
      <c r="K3" s="5">
        <v>195.92438482652926</v>
      </c>
      <c r="L3" s="9"/>
      <c r="M3">
        <f>_xlfn.XLOOKUP(N3,J:J,I:I,,0)</f>
        <v>1</v>
      </c>
      <c r="N3" s="4" t="s">
        <v>7</v>
      </c>
      <c r="O3" s="5">
        <v>242.01401730513936</v>
      </c>
    </row>
    <row r="4" spans="1:15" x14ac:dyDescent="0.35">
      <c r="A4">
        <v>2</v>
      </c>
      <c r="B4" s="4" t="s">
        <v>8</v>
      </c>
      <c r="C4" s="5">
        <v>3.9785819996152929</v>
      </c>
      <c r="D4" s="6"/>
      <c r="E4">
        <f t="shared" ref="E4:E14" si="0">_xlfn.XLOOKUP(F4,B:B,A:A,,0)</f>
        <v>2</v>
      </c>
      <c r="F4" s="7" t="s">
        <v>8</v>
      </c>
      <c r="G4" s="5">
        <v>2.4089830338186218</v>
      </c>
      <c r="I4">
        <v>2</v>
      </c>
      <c r="J4" s="4" t="s">
        <v>9</v>
      </c>
      <c r="K4" s="5">
        <v>72.905163459567675</v>
      </c>
      <c r="L4" s="9"/>
      <c r="M4">
        <f t="shared" ref="M4:M14" si="1">_xlfn.XLOOKUP(N4,J:J,I:I,,0)</f>
        <v>4</v>
      </c>
      <c r="N4" s="4" t="s">
        <v>10</v>
      </c>
      <c r="O4" s="5">
        <v>78.187272031248852</v>
      </c>
    </row>
    <row r="5" spans="1:15" x14ac:dyDescent="0.35">
      <c r="A5">
        <v>3</v>
      </c>
      <c r="B5" s="10" t="s">
        <v>11</v>
      </c>
      <c r="C5" s="5">
        <v>4.4071882438586458</v>
      </c>
      <c r="D5" s="6"/>
      <c r="E5">
        <f t="shared" si="0"/>
        <v>4</v>
      </c>
      <c r="F5" s="7" t="s">
        <v>12</v>
      </c>
      <c r="G5" s="5">
        <v>3.5764373051455833</v>
      </c>
      <c r="I5">
        <v>3</v>
      </c>
      <c r="J5" s="4" t="s">
        <v>13</v>
      </c>
      <c r="K5" s="5">
        <v>64.854830057441106</v>
      </c>
      <c r="L5" s="9"/>
      <c r="M5">
        <f t="shared" si="1"/>
        <v>3</v>
      </c>
      <c r="N5" s="4" t="s">
        <v>13</v>
      </c>
      <c r="O5" s="5">
        <v>72.50007161772831</v>
      </c>
    </row>
    <row r="6" spans="1:15" x14ac:dyDescent="0.35">
      <c r="A6">
        <v>4</v>
      </c>
      <c r="B6" s="4" t="s">
        <v>12</v>
      </c>
      <c r="C6" s="5">
        <v>4.4808420291703328</v>
      </c>
      <c r="D6" s="6"/>
      <c r="E6" t="e">
        <f t="shared" si="0"/>
        <v>#N/A</v>
      </c>
      <c r="F6" s="11" t="s">
        <v>14</v>
      </c>
      <c r="G6" s="5">
        <v>4.7602626385103033</v>
      </c>
      <c r="I6">
        <v>4</v>
      </c>
      <c r="J6" s="4" t="s">
        <v>10</v>
      </c>
      <c r="K6" s="5">
        <v>61.781000175533016</v>
      </c>
      <c r="L6" s="9"/>
      <c r="M6">
        <f t="shared" si="1"/>
        <v>11</v>
      </c>
      <c r="N6" s="4" t="s">
        <v>15</v>
      </c>
      <c r="O6" s="5">
        <v>62.960411138791216</v>
      </c>
    </row>
    <row r="7" spans="1:15" x14ac:dyDescent="0.35">
      <c r="A7">
        <v>5</v>
      </c>
      <c r="B7" s="10" t="s">
        <v>16</v>
      </c>
      <c r="C7" s="5">
        <v>4.8313817211552434</v>
      </c>
      <c r="D7" s="6"/>
      <c r="E7">
        <f t="shared" si="0"/>
        <v>7</v>
      </c>
      <c r="F7" s="7" t="s">
        <v>17</v>
      </c>
      <c r="G7" s="5">
        <v>4.761050716296678</v>
      </c>
      <c r="I7">
        <v>5</v>
      </c>
      <c r="J7" s="12" t="s">
        <v>18</v>
      </c>
      <c r="K7" s="5">
        <v>52.870382713145531</v>
      </c>
      <c r="L7" s="9"/>
      <c r="M7">
        <f t="shared" si="1"/>
        <v>2</v>
      </c>
      <c r="N7" s="4" t="s">
        <v>9</v>
      </c>
      <c r="O7" s="5">
        <v>60.383936189147697</v>
      </c>
    </row>
    <row r="8" spans="1:15" x14ac:dyDescent="0.35">
      <c r="A8">
        <v>6</v>
      </c>
      <c r="B8" s="4" t="s">
        <v>19</v>
      </c>
      <c r="C8" s="5">
        <v>5.1412514405011063</v>
      </c>
      <c r="D8" s="6"/>
      <c r="E8">
        <f t="shared" si="0"/>
        <v>10</v>
      </c>
      <c r="F8" s="7" t="s">
        <v>20</v>
      </c>
      <c r="G8" s="5">
        <v>6.0858545949756246</v>
      </c>
      <c r="I8">
        <v>6</v>
      </c>
      <c r="J8" s="4" t="s">
        <v>21</v>
      </c>
      <c r="K8" s="5">
        <v>47.999551889282181</v>
      </c>
      <c r="L8" s="9"/>
      <c r="M8">
        <f t="shared" si="1"/>
        <v>6</v>
      </c>
      <c r="N8" s="4" t="s">
        <v>21</v>
      </c>
      <c r="O8" s="5">
        <v>51.66268983905934</v>
      </c>
    </row>
    <row r="9" spans="1:15" x14ac:dyDescent="0.35">
      <c r="A9">
        <v>7</v>
      </c>
      <c r="B9" s="4" t="s">
        <v>17</v>
      </c>
      <c r="C9" s="5">
        <v>5.4640186234792782</v>
      </c>
      <c r="D9" s="6"/>
      <c r="E9">
        <f t="shared" si="0"/>
        <v>6</v>
      </c>
      <c r="F9" s="4" t="s">
        <v>19</v>
      </c>
      <c r="G9" s="5">
        <v>6.3003257177536511</v>
      </c>
      <c r="I9">
        <v>7</v>
      </c>
      <c r="J9" s="4" t="s">
        <v>22</v>
      </c>
      <c r="K9" s="5">
        <v>46.40817219195695</v>
      </c>
      <c r="L9" s="9"/>
      <c r="M9">
        <f t="shared" si="1"/>
        <v>8</v>
      </c>
      <c r="N9" s="4" t="s">
        <v>23</v>
      </c>
      <c r="O9" s="8">
        <v>49.173528181995827</v>
      </c>
    </row>
    <row r="10" spans="1:15" x14ac:dyDescent="0.35">
      <c r="A10">
        <v>8</v>
      </c>
      <c r="B10" s="10" t="s">
        <v>24</v>
      </c>
      <c r="C10" s="5">
        <v>5.7950101302016952</v>
      </c>
      <c r="D10" s="6"/>
      <c r="E10">
        <f t="shared" si="0"/>
        <v>11</v>
      </c>
      <c r="F10" s="7" t="s">
        <v>25</v>
      </c>
      <c r="G10" s="5">
        <v>6.4341278578313545</v>
      </c>
      <c r="I10">
        <v>8</v>
      </c>
      <c r="J10" s="11" t="s">
        <v>23</v>
      </c>
      <c r="K10" s="5">
        <v>41.893522234964195</v>
      </c>
      <c r="L10" s="9"/>
      <c r="M10">
        <f t="shared" si="1"/>
        <v>7</v>
      </c>
      <c r="N10" s="4" t="s">
        <v>22</v>
      </c>
      <c r="O10" s="5">
        <v>48.030714224150685</v>
      </c>
    </row>
    <row r="11" spans="1:15" x14ac:dyDescent="0.35">
      <c r="A11">
        <v>9</v>
      </c>
      <c r="B11" s="4" t="s">
        <v>26</v>
      </c>
      <c r="C11" s="5">
        <v>6.1691166210748785</v>
      </c>
      <c r="D11" s="6"/>
      <c r="E11" t="e">
        <f t="shared" si="0"/>
        <v>#N/A</v>
      </c>
      <c r="F11" s="11" t="s">
        <v>27</v>
      </c>
      <c r="G11" s="5">
        <v>6.5171760234407232</v>
      </c>
      <c r="I11">
        <v>9</v>
      </c>
      <c r="J11" s="4" t="s">
        <v>28</v>
      </c>
      <c r="K11" s="5">
        <v>39.060014055583196</v>
      </c>
      <c r="L11" s="9"/>
      <c r="M11" t="e">
        <f t="shared" si="1"/>
        <v>#N/A</v>
      </c>
      <c r="N11" s="13" t="s">
        <v>29</v>
      </c>
      <c r="O11" s="5">
        <v>38.14728630825762</v>
      </c>
    </row>
    <row r="12" spans="1:15" x14ac:dyDescent="0.35">
      <c r="A12">
        <v>10</v>
      </c>
      <c r="B12" s="4" t="s">
        <v>20</v>
      </c>
      <c r="C12" s="5">
        <v>6.2979495241776151</v>
      </c>
      <c r="D12" s="6"/>
      <c r="E12" t="e">
        <f t="shared" si="0"/>
        <v>#N/A</v>
      </c>
      <c r="F12" s="11" t="s">
        <v>30</v>
      </c>
      <c r="G12" s="5">
        <v>7.605590561668536</v>
      </c>
      <c r="I12">
        <v>10</v>
      </c>
      <c r="J12" s="4" t="s">
        <v>31</v>
      </c>
      <c r="K12" s="5">
        <v>37.8721049551717</v>
      </c>
      <c r="L12" s="9"/>
      <c r="M12">
        <f t="shared" si="1"/>
        <v>10</v>
      </c>
      <c r="N12" s="14" t="s">
        <v>31</v>
      </c>
      <c r="O12" s="5">
        <v>37.02657488516612</v>
      </c>
    </row>
    <row r="13" spans="1:15" x14ac:dyDescent="0.35">
      <c r="A13">
        <v>11</v>
      </c>
      <c r="B13" s="4" t="s">
        <v>25</v>
      </c>
      <c r="C13" s="5">
        <v>6.4376483184910729</v>
      </c>
      <c r="D13" s="6"/>
      <c r="E13">
        <f t="shared" si="0"/>
        <v>9</v>
      </c>
      <c r="F13" s="4" t="s">
        <v>26</v>
      </c>
      <c r="G13" s="5">
        <v>7.8959074273939986</v>
      </c>
      <c r="I13">
        <v>11</v>
      </c>
      <c r="J13" s="4" t="s">
        <v>15</v>
      </c>
      <c r="K13" s="5">
        <v>29.16659007373055</v>
      </c>
      <c r="L13" s="9"/>
      <c r="M13" t="e">
        <f t="shared" si="1"/>
        <v>#N/A</v>
      </c>
      <c r="N13" s="13" t="s">
        <v>32</v>
      </c>
      <c r="O13" s="5">
        <v>34.960104008082851</v>
      </c>
    </row>
    <row r="14" spans="1:15" x14ac:dyDescent="0.35">
      <c r="A14">
        <v>12</v>
      </c>
      <c r="B14" s="10" t="s">
        <v>33</v>
      </c>
      <c r="C14" s="5">
        <v>6.6605767149290012</v>
      </c>
      <c r="D14" s="6"/>
      <c r="E14" t="e">
        <f t="shared" si="0"/>
        <v>#N/A</v>
      </c>
      <c r="F14" s="11" t="s">
        <v>34</v>
      </c>
      <c r="G14" s="5">
        <v>8.1498514118713352</v>
      </c>
      <c r="I14">
        <v>12</v>
      </c>
      <c r="J14" s="4" t="s">
        <v>35</v>
      </c>
      <c r="K14" s="5">
        <v>26.449769096827922</v>
      </c>
      <c r="L14" s="9"/>
      <c r="M14">
        <f t="shared" si="1"/>
        <v>9</v>
      </c>
      <c r="N14" s="4" t="s">
        <v>28</v>
      </c>
      <c r="O14" s="5">
        <v>31.25849879805093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2024-03-07T17:07:46Z</dcterms:created>
  <dcterms:modified xsi:type="dcterms:W3CDTF">2024-03-07T17:09:04Z</dcterms:modified>
</cp:coreProperties>
</file>