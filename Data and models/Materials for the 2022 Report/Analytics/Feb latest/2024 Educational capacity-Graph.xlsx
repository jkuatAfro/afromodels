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H:\Brazzaville\HRH 24\Analytics\Feb latest\"/>
    </mc:Choice>
  </mc:AlternateContent>
  <xr:revisionPtr revIDLastSave="0" documentId="13_ncr:1_{7D664D2B-2A52-4C28-9728-A445B1CC4FEC}" xr6:coauthVersionLast="47" xr6:coauthVersionMax="47" xr10:uidLastSave="{00000000-0000-0000-0000-000000000000}"/>
  <bookViews>
    <workbookView xWindow="-110" yWindow="-110" windowWidth="19420" windowHeight="10300" activeTab="4" xr2:uid="{A2A88114-6080-43A7-B086-6DF312C8D61B}"/>
  </bookViews>
  <sheets>
    <sheet name="Sheet2" sheetId="8" r:id="rId1"/>
    <sheet name="Sheet1" sheetId="5" r:id="rId2"/>
    <sheet name="Education capacity" sheetId="4" state="hidden" r:id="rId3"/>
    <sheet name="Education updated" sheetId="9" r:id="rId4"/>
    <sheet name="Graph" sheetId="6" r:id="rId5"/>
    <sheet name="summary" sheetId="10" r:id="rId6"/>
    <sheet name="CountryCodes" sheetId="7" r:id="rId7"/>
  </sheets>
  <externalReferences>
    <externalReference r:id="rId8"/>
  </externalReferences>
  <calcPr calcId="191029"/>
  <pivotCaches>
    <pivotCache cacheId="4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6" l="1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2" i="6"/>
  <c r="J3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2" i="6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2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3" i="6"/>
  <c r="H4" i="6"/>
  <c r="H5" i="6"/>
  <c r="H6" i="6"/>
  <c r="H7" i="6"/>
  <c r="H8" i="6"/>
  <c r="H9" i="6"/>
  <c r="H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2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2" i="6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2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6" i="6"/>
  <c r="C7" i="6"/>
  <c r="C3" i="6"/>
  <c r="C4" i="6"/>
  <c r="C5" i="6"/>
  <c r="C2" i="6"/>
  <c r="P2" i="9"/>
  <c r="P3" i="9"/>
  <c r="P4" i="9"/>
  <c r="P5" i="9"/>
  <c r="P6" i="9"/>
  <c r="P7" i="9"/>
  <c r="P8" i="9"/>
  <c r="P9" i="9"/>
  <c r="P10" i="9"/>
  <c r="P11" i="9"/>
  <c r="P12" i="9"/>
  <c r="P13" i="9"/>
  <c r="P14" i="9"/>
  <c r="P15" i="9"/>
  <c r="P16" i="9"/>
  <c r="P17" i="9"/>
  <c r="P18" i="9"/>
  <c r="P19" i="9"/>
  <c r="P20" i="9"/>
  <c r="P21" i="9"/>
  <c r="P22" i="9"/>
  <c r="P23" i="9"/>
  <c r="P24" i="9"/>
  <c r="P25" i="9"/>
  <c r="P26" i="9"/>
  <c r="P27" i="9"/>
  <c r="P28" i="9"/>
  <c r="P29" i="9"/>
  <c r="P30" i="9"/>
  <c r="P31" i="9"/>
  <c r="P32" i="9"/>
  <c r="P33" i="9"/>
  <c r="P34" i="9"/>
  <c r="P35" i="9"/>
  <c r="P36" i="9"/>
  <c r="P37" i="9"/>
  <c r="P38" i="9"/>
  <c r="P39" i="9"/>
  <c r="P40" i="9"/>
  <c r="P41" i="9"/>
  <c r="P42" i="9"/>
  <c r="P43" i="9"/>
  <c r="P44" i="9"/>
  <c r="P45" i="9"/>
  <c r="P46" i="9"/>
  <c r="P47" i="9"/>
  <c r="P48" i="9"/>
  <c r="P49" i="9"/>
  <c r="M49" i="9"/>
  <c r="L49" i="9"/>
  <c r="K49" i="9"/>
  <c r="I49" i="9"/>
  <c r="H49" i="9"/>
  <c r="G49" i="9"/>
  <c r="F49" i="9"/>
  <c r="E49" i="9"/>
  <c r="D49" i="9"/>
  <c r="N48" i="9"/>
  <c r="N47" i="9"/>
  <c r="N46" i="9"/>
  <c r="N45" i="9"/>
  <c r="N44" i="9"/>
  <c r="N43" i="9"/>
  <c r="N42" i="9"/>
  <c r="N41" i="9"/>
  <c r="N40" i="9"/>
  <c r="J39" i="9"/>
  <c r="N39" i="9" s="1"/>
  <c r="N38" i="9"/>
  <c r="N37" i="9"/>
  <c r="N36" i="9"/>
  <c r="N35" i="9"/>
  <c r="N34" i="9"/>
  <c r="N33" i="9"/>
  <c r="N32" i="9"/>
  <c r="N31" i="9"/>
  <c r="N30" i="9"/>
  <c r="N29" i="9"/>
  <c r="N28" i="9"/>
  <c r="N27" i="9"/>
  <c r="N26" i="9"/>
  <c r="N25" i="9"/>
  <c r="N24" i="9"/>
  <c r="N23" i="9"/>
  <c r="N22" i="9"/>
  <c r="N21" i="9"/>
  <c r="N20" i="9"/>
  <c r="N19" i="9"/>
  <c r="N18" i="9"/>
  <c r="N17" i="9"/>
  <c r="N16" i="9"/>
  <c r="N14" i="9"/>
  <c r="N13" i="9"/>
  <c r="N12" i="9"/>
  <c r="N11" i="9"/>
  <c r="N10" i="9"/>
  <c r="N9" i="9"/>
  <c r="N8" i="9"/>
  <c r="N7" i="9"/>
  <c r="N6" i="9"/>
  <c r="N5" i="9"/>
  <c r="N4" i="9"/>
  <c r="N3" i="9"/>
  <c r="C2" i="9"/>
  <c r="C49" i="9" s="1"/>
  <c r="M5" i="6" l="1"/>
  <c r="J49" i="9"/>
  <c r="N49" i="9" s="1"/>
  <c r="N50" i="9" s="1"/>
  <c r="M50" i="9" s="1"/>
  <c r="N2" i="9"/>
  <c r="B3" i="6" l="1"/>
  <c r="B4" i="6"/>
  <c r="B5" i="6"/>
  <c r="B6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3" i="6"/>
  <c r="B44" i="6"/>
  <c r="B45" i="6"/>
  <c r="B46" i="6"/>
  <c r="B47" i="6"/>
  <c r="B48" i="6"/>
  <c r="B2" i="6"/>
  <c r="M36" i="6"/>
  <c r="M35" i="6"/>
  <c r="M21" i="6"/>
  <c r="M38" i="6"/>
  <c r="M26" i="6"/>
  <c r="M37" i="6"/>
  <c r="M7" i="6"/>
  <c r="M40" i="6"/>
  <c r="M6" i="6"/>
  <c r="M17" i="6"/>
  <c r="M32" i="6"/>
  <c r="M48" i="6"/>
  <c r="M33" i="6"/>
  <c r="M20" i="6"/>
  <c r="M12" i="6"/>
  <c r="M45" i="6"/>
  <c r="M10" i="6"/>
  <c r="M9" i="6"/>
  <c r="M46" i="6"/>
  <c r="M34" i="6"/>
  <c r="M14" i="6"/>
  <c r="M31" i="6"/>
  <c r="M15" i="6"/>
  <c r="M11" i="6"/>
  <c r="M39" i="6"/>
  <c r="M30" i="6"/>
  <c r="M13" i="6"/>
  <c r="M16" i="6"/>
  <c r="M23" i="6"/>
  <c r="M27" i="6"/>
  <c r="M29" i="6"/>
  <c r="M43" i="6"/>
  <c r="M18" i="6"/>
  <c r="M24" i="6"/>
  <c r="M8" i="6"/>
  <c r="M25" i="6"/>
  <c r="M44" i="6"/>
  <c r="M22" i="6"/>
  <c r="M42" i="6"/>
  <c r="M19" i="6"/>
  <c r="M47" i="6"/>
  <c r="M41" i="6"/>
  <c r="M28" i="6"/>
  <c r="B54" i="4"/>
  <c r="B2" i="4" l="1"/>
  <c r="B52" i="4" s="1"/>
  <c r="C49" i="4" l="1"/>
  <c r="D49" i="4"/>
  <c r="E49" i="4"/>
  <c r="F49" i="4"/>
  <c r="G49" i="4"/>
  <c r="H49" i="4"/>
  <c r="I49" i="4"/>
  <c r="J49" i="4"/>
  <c r="K49" i="4"/>
  <c r="L49" i="4"/>
  <c r="B49" i="4"/>
  <c r="M3" i="4"/>
  <c r="M4" i="4"/>
  <c r="M5" i="4"/>
  <c r="M6" i="4"/>
  <c r="M7" i="4"/>
  <c r="M8" i="4"/>
  <c r="M9" i="4"/>
  <c r="M10" i="4"/>
  <c r="M11" i="4"/>
  <c r="M12" i="4"/>
  <c r="M13" i="4"/>
  <c r="M14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2" i="4"/>
  <c r="I54" i="4" l="1"/>
  <c r="C54" i="4"/>
  <c r="M51" i="4"/>
  <c r="M49" i="4"/>
  <c r="M50" i="4" s="1"/>
  <c r="J53" i="4" s="1"/>
  <c r="C52" i="4" l="1"/>
  <c r="H52" i="4"/>
  <c r="I52" i="4"/>
  <c r="B51" i="4"/>
  <c r="L50" i="4"/>
</calcChain>
</file>

<file path=xl/sharedStrings.xml><?xml version="1.0" encoding="utf-8"?>
<sst xmlns="http://schemas.openxmlformats.org/spreadsheetml/2006/main" count="1642" uniqueCount="657">
  <si>
    <t>Benin</t>
  </si>
  <si>
    <t>Botswana</t>
  </si>
  <si>
    <t>Comoros</t>
  </si>
  <si>
    <t>Congo</t>
  </si>
  <si>
    <t>Eritrea</t>
  </si>
  <si>
    <t>Ethiopia</t>
  </si>
  <si>
    <t>Mozambique</t>
  </si>
  <si>
    <t>Niger</t>
  </si>
  <si>
    <t>Zimbabwe</t>
  </si>
  <si>
    <t>Burkina Faso</t>
  </si>
  <si>
    <t>Cameroon</t>
  </si>
  <si>
    <t>Chad</t>
  </si>
  <si>
    <t>Eswatini</t>
  </si>
  <si>
    <t>Gabon</t>
  </si>
  <si>
    <t>Gambia</t>
  </si>
  <si>
    <t>Ghana</t>
  </si>
  <si>
    <t>Guinea</t>
  </si>
  <si>
    <t>Guinea-Bissau</t>
  </si>
  <si>
    <t>Kenya</t>
  </si>
  <si>
    <t>Madagascar</t>
  </si>
  <si>
    <t>Senegal</t>
  </si>
  <si>
    <t>Seychelles</t>
  </si>
  <si>
    <t>South Sudan</t>
  </si>
  <si>
    <t>Togo</t>
  </si>
  <si>
    <t>Zambia</t>
  </si>
  <si>
    <t>Angola</t>
  </si>
  <si>
    <t>Burundi</t>
  </si>
  <si>
    <t>Cote d'Ivoire</t>
  </si>
  <si>
    <t>Lesotho</t>
  </si>
  <si>
    <t>Liberia</t>
  </si>
  <si>
    <t>Malawi</t>
  </si>
  <si>
    <t>Mali</t>
  </si>
  <si>
    <t>Mauritania</t>
  </si>
  <si>
    <t>Mauritius</t>
  </si>
  <si>
    <t>Namibia</t>
  </si>
  <si>
    <t>Nigeria</t>
  </si>
  <si>
    <t>Rwanda</t>
  </si>
  <si>
    <t>Sierra Leone</t>
  </si>
  <si>
    <t>South Africa</t>
  </si>
  <si>
    <t>Tanzania</t>
  </si>
  <si>
    <t>Uganda</t>
  </si>
  <si>
    <t>Other Health Workers</t>
  </si>
  <si>
    <t>Med-2021; Pharm-2021;Mid-2021; Nur-2021;Biom-2021; others-2021</t>
  </si>
  <si>
    <t>2022 for all</t>
  </si>
  <si>
    <t>2021 for all</t>
  </si>
  <si>
    <t>Nurs-2022</t>
  </si>
  <si>
    <t>Total</t>
  </si>
  <si>
    <t>Algeria</t>
  </si>
  <si>
    <t>Equatorial Guinea</t>
  </si>
  <si>
    <t>Sao Tome and Principe</t>
  </si>
  <si>
    <t>Med-2021,2022; Nurs-2022; Midw-2022; Other-2021,2022, CHW-2021</t>
  </si>
  <si>
    <t>Other Pharmacy practitioners</t>
  </si>
  <si>
    <t>Other Dental practitioners</t>
  </si>
  <si>
    <t>capacity-HLMA data extracted</t>
  </si>
  <si>
    <t>2030 starategic plan</t>
  </si>
  <si>
    <t>Dent-2018;</t>
  </si>
  <si>
    <t>2018 dataset</t>
  </si>
  <si>
    <t>pharmacist from 2018</t>
  </si>
  <si>
    <t>Total (row)</t>
  </si>
  <si>
    <t>Total (column)</t>
  </si>
  <si>
    <t>2022 data set for -all</t>
  </si>
  <si>
    <t xml:space="preserve">HLMA 2023; Ismaila (2023) </t>
  </si>
  <si>
    <t>Democratic Republic of the Congo</t>
  </si>
  <si>
    <t>Central African Republic</t>
  </si>
  <si>
    <t>Cabo Verde</t>
  </si>
  <si>
    <t>Generalist Medical Practitioners</t>
  </si>
  <si>
    <t>Specialist Medical Practitioners</t>
  </si>
  <si>
    <t>Dentists</t>
  </si>
  <si>
    <t>Pharmacists</t>
  </si>
  <si>
    <t>Midwifery personnel</t>
  </si>
  <si>
    <t>Medical and Pathology Laboratory scientists</t>
  </si>
  <si>
    <t>Paramedical Practitioners</t>
  </si>
  <si>
    <t>Country</t>
  </si>
  <si>
    <t>Row Labels</t>
  </si>
  <si>
    <t>Grand Total</t>
  </si>
  <si>
    <t>Sum of Generalist Medical Practitioners</t>
  </si>
  <si>
    <t>Sum of Specialist Medical Practitioners</t>
  </si>
  <si>
    <t>Sum of Dentists</t>
  </si>
  <si>
    <t>Sum of Other Dental practitioners</t>
  </si>
  <si>
    <t>Sum of Pharmacists</t>
  </si>
  <si>
    <t>Sum of Other Pharmacy practitioners</t>
  </si>
  <si>
    <t>Sum of Midwifery personnel</t>
  </si>
  <si>
    <t>Count of Nursing Professionals</t>
  </si>
  <si>
    <t>Sum of Medical and Pathology Laboratory scientists</t>
  </si>
  <si>
    <t>Sum of Paramedical Practitioners</t>
  </si>
  <si>
    <t>Sum of Other Health Workers</t>
  </si>
  <si>
    <t>Sum of Total</t>
  </si>
  <si>
    <t>NHWA dataset, 2023</t>
  </si>
  <si>
    <t>HLMA data, Dentist-2018; CMHW-2022; Biom -2018;</t>
  </si>
  <si>
    <t>SADC dataset, 2022</t>
  </si>
  <si>
    <t>NHWA dataset, 2023; Other and Medical specialist from 2018 Survey dataset</t>
  </si>
  <si>
    <t>other occupations, Medical specialis taken from 2018 survey dataset</t>
  </si>
  <si>
    <t>NHWA dataset, 2023; Zambia HLMA</t>
  </si>
  <si>
    <t>NHWA dataset, 2023; HLMA dataset, 2019; 2018 survey dataset</t>
  </si>
  <si>
    <t>Data Sorce(s)</t>
  </si>
  <si>
    <t>Nursing Personnel</t>
  </si>
  <si>
    <t>uganda,nigeria,ghana</t>
  </si>
  <si>
    <t>ISO3</t>
  </si>
  <si>
    <t>AGO</t>
  </si>
  <si>
    <t>BFA</t>
  </si>
  <si>
    <t>BDI</t>
  </si>
  <si>
    <t>BEN</t>
  </si>
  <si>
    <t>BWA</t>
  </si>
  <si>
    <t>COD</t>
  </si>
  <si>
    <t>CAF</t>
  </si>
  <si>
    <t>COG</t>
  </si>
  <si>
    <t>CIV</t>
  </si>
  <si>
    <t>CMR</t>
  </si>
  <si>
    <t>CPV</t>
  </si>
  <si>
    <t>DZA</t>
  </si>
  <si>
    <t>ERI</t>
  </si>
  <si>
    <t>ETH</t>
  </si>
  <si>
    <t>GAB</t>
  </si>
  <si>
    <t>GHA</t>
  </si>
  <si>
    <t>GMB</t>
  </si>
  <si>
    <t>GIN</t>
  </si>
  <si>
    <t>GNQ</t>
  </si>
  <si>
    <t>GNB</t>
  </si>
  <si>
    <t>KEN</t>
  </si>
  <si>
    <t>COM</t>
  </si>
  <si>
    <t>LBR</t>
  </si>
  <si>
    <t>LSO</t>
  </si>
  <si>
    <t>MDG</t>
  </si>
  <si>
    <t>MLI</t>
  </si>
  <si>
    <t>MRT</t>
  </si>
  <si>
    <t>MUS</t>
  </si>
  <si>
    <t>MWI</t>
  </si>
  <si>
    <t>MOZ</t>
  </si>
  <si>
    <t>NAM</t>
  </si>
  <si>
    <t>NER</t>
  </si>
  <si>
    <t>NGA</t>
  </si>
  <si>
    <t>RWA</t>
  </si>
  <si>
    <t>SYC</t>
  </si>
  <si>
    <t>SLE</t>
  </si>
  <si>
    <t>SEN</t>
  </si>
  <si>
    <t>SSD</t>
  </si>
  <si>
    <t>STP</t>
  </si>
  <si>
    <t>SWZ</t>
  </si>
  <si>
    <t>TCD</t>
  </si>
  <si>
    <t>TGO</t>
  </si>
  <si>
    <t>TZA</t>
  </si>
  <si>
    <t>UGA</t>
  </si>
  <si>
    <t>ZAF</t>
  </si>
  <si>
    <t>ZMB</t>
  </si>
  <si>
    <t>ZWE</t>
  </si>
  <si>
    <t>Health workers graduation capacity among 29 countries in African region producing more than 1000 health workers annually, by occupation</t>
  </si>
  <si>
    <t>ISO2</t>
  </si>
  <si>
    <t>Reg</t>
  </si>
  <si>
    <t>WBI</t>
  </si>
  <si>
    <t>Notes</t>
  </si>
  <si>
    <t>unsd</t>
  </si>
  <si>
    <t xml:space="preserve">Andorra </t>
  </si>
  <si>
    <t>AD</t>
  </si>
  <si>
    <t>AND</t>
  </si>
  <si>
    <t>EUR</t>
  </si>
  <si>
    <t>HIN</t>
  </si>
  <si>
    <t>NULL</t>
  </si>
  <si>
    <t xml:space="preserve">United Arab Emirates </t>
  </si>
  <si>
    <t>AE</t>
  </si>
  <si>
    <t>ARE</t>
  </si>
  <si>
    <t>EMR</t>
  </si>
  <si>
    <t xml:space="preserve">Afghanistan </t>
  </si>
  <si>
    <t>AF</t>
  </si>
  <si>
    <t>AFG</t>
  </si>
  <si>
    <t>LIN</t>
  </si>
  <si>
    <t>AG</t>
  </si>
  <si>
    <t>ATG</t>
  </si>
  <si>
    <t>AMR</t>
  </si>
  <si>
    <t>UMI</t>
  </si>
  <si>
    <t xml:space="preserve">Albania </t>
  </si>
  <si>
    <t>AL</t>
  </si>
  <si>
    <t>ALB</t>
  </si>
  <si>
    <t>LMI</t>
  </si>
  <si>
    <t xml:space="preserve">Armenia </t>
  </si>
  <si>
    <t>AM</t>
  </si>
  <si>
    <t>ARM</t>
  </si>
  <si>
    <t>AO</t>
  </si>
  <si>
    <t>AFR</t>
  </si>
  <si>
    <t>AR</t>
  </si>
  <si>
    <t>ARG</t>
  </si>
  <si>
    <t xml:space="preserve">Austria </t>
  </si>
  <si>
    <t>AT</t>
  </si>
  <si>
    <t>AUT</t>
  </si>
  <si>
    <t xml:space="preserve">Australia </t>
  </si>
  <si>
    <t>AU</t>
  </si>
  <si>
    <t>AUS</t>
  </si>
  <si>
    <t>WPR</t>
  </si>
  <si>
    <t xml:space="preserve">Azerbaijan </t>
  </si>
  <si>
    <t>AZ</t>
  </si>
  <si>
    <t>AZE</t>
  </si>
  <si>
    <t xml:space="preserve">Bosnia and Herzegovina </t>
  </si>
  <si>
    <t>BA</t>
  </si>
  <si>
    <t>BIH</t>
  </si>
  <si>
    <t xml:space="preserve">Barbados </t>
  </si>
  <si>
    <t>BB</t>
  </si>
  <si>
    <t>BRB</t>
  </si>
  <si>
    <t xml:space="preserve">Bangladesh </t>
  </si>
  <si>
    <t>BD</t>
  </si>
  <si>
    <t>BGD</t>
  </si>
  <si>
    <t>SEAR</t>
  </si>
  <si>
    <t xml:space="preserve">Belgium </t>
  </si>
  <si>
    <t>BE</t>
  </si>
  <si>
    <t>BEL</t>
  </si>
  <si>
    <t>BF</t>
  </si>
  <si>
    <t xml:space="preserve">Bulgaria </t>
  </si>
  <si>
    <t>BG</t>
  </si>
  <si>
    <t>BGR</t>
  </si>
  <si>
    <t xml:space="preserve">Bahrain </t>
  </si>
  <si>
    <t>BH</t>
  </si>
  <si>
    <t>BHR</t>
  </si>
  <si>
    <t>BI</t>
  </si>
  <si>
    <t>BJ</t>
  </si>
  <si>
    <t>Brunei Darussalam</t>
  </si>
  <si>
    <t>BN</t>
  </si>
  <si>
    <t>BRN</t>
  </si>
  <si>
    <t xml:space="preserve">Bolivia </t>
  </si>
  <si>
    <t>BO</t>
  </si>
  <si>
    <t>BOL</t>
  </si>
  <si>
    <t xml:space="preserve">Brazil </t>
  </si>
  <si>
    <t>BR</t>
  </si>
  <si>
    <t>BRA</t>
  </si>
  <si>
    <t>Bahamas</t>
  </si>
  <si>
    <t>BS</t>
  </si>
  <si>
    <t>BHS</t>
  </si>
  <si>
    <t xml:space="preserve">Bhutan </t>
  </si>
  <si>
    <t>BT</t>
  </si>
  <si>
    <t>BTN</t>
  </si>
  <si>
    <t>BW</t>
  </si>
  <si>
    <t xml:space="preserve">Belarus </t>
  </si>
  <si>
    <t>BY</t>
  </si>
  <si>
    <t>BLR</t>
  </si>
  <si>
    <t xml:space="preserve">Belize </t>
  </si>
  <si>
    <t>BZ</t>
  </si>
  <si>
    <t>BLZ</t>
  </si>
  <si>
    <t xml:space="preserve">Canada </t>
  </si>
  <si>
    <t>CA</t>
  </si>
  <si>
    <t>CAN</t>
  </si>
  <si>
    <t>CD</t>
  </si>
  <si>
    <t>CF</t>
  </si>
  <si>
    <t>CG</t>
  </si>
  <si>
    <t xml:space="preserve">Switzerland </t>
  </si>
  <si>
    <t>CH</t>
  </si>
  <si>
    <t>CHE</t>
  </si>
  <si>
    <t>CI</t>
  </si>
  <si>
    <t>Cook Islands</t>
  </si>
  <si>
    <t>CK</t>
  </si>
  <si>
    <t>COK</t>
  </si>
  <si>
    <t xml:space="preserve">Chile </t>
  </si>
  <si>
    <t>CL</t>
  </si>
  <si>
    <t>CHL</t>
  </si>
  <si>
    <t>CM</t>
  </si>
  <si>
    <t xml:space="preserve">China </t>
  </si>
  <si>
    <t>CN</t>
  </si>
  <si>
    <t>CHN</t>
  </si>
  <si>
    <t xml:space="preserve">Colombia </t>
  </si>
  <si>
    <t>CO</t>
  </si>
  <si>
    <t>COL</t>
  </si>
  <si>
    <t xml:space="preserve">Costa Rica </t>
  </si>
  <si>
    <t>CR</t>
  </si>
  <si>
    <t>CRI</t>
  </si>
  <si>
    <t xml:space="preserve">Cuba </t>
  </si>
  <si>
    <t>CU</t>
  </si>
  <si>
    <t>CUB</t>
  </si>
  <si>
    <t>CV</t>
  </si>
  <si>
    <t xml:space="preserve">Cyprus </t>
  </si>
  <si>
    <t>CY</t>
  </si>
  <si>
    <t>CYP</t>
  </si>
  <si>
    <t xml:space="preserve">Czech Republic </t>
  </si>
  <si>
    <t>CZ</t>
  </si>
  <si>
    <t>CZE</t>
  </si>
  <si>
    <t xml:space="preserve">Germany </t>
  </si>
  <si>
    <t>DE</t>
  </si>
  <si>
    <t>DEU</t>
  </si>
  <si>
    <t xml:space="preserve">Djibouti </t>
  </si>
  <si>
    <t>DJ</t>
  </si>
  <si>
    <t>DJI</t>
  </si>
  <si>
    <t xml:space="preserve">Denmark </t>
  </si>
  <si>
    <t>DK</t>
  </si>
  <si>
    <t>DNK</t>
  </si>
  <si>
    <t xml:space="preserve">Dominica </t>
  </si>
  <si>
    <t>DM</t>
  </si>
  <si>
    <t>DMA</t>
  </si>
  <si>
    <t xml:space="preserve">Dominican Republic </t>
  </si>
  <si>
    <t>DO</t>
  </si>
  <si>
    <t>DOM</t>
  </si>
  <si>
    <t>DZ</t>
  </si>
  <si>
    <t xml:space="preserve">Ecuador </t>
  </si>
  <si>
    <t>EC</t>
  </si>
  <si>
    <t>ECU</t>
  </si>
  <si>
    <t xml:space="preserve">Estonia </t>
  </si>
  <si>
    <t>EE</t>
  </si>
  <si>
    <t>EST</t>
  </si>
  <si>
    <t>Egypt</t>
  </si>
  <si>
    <t>EG</t>
  </si>
  <si>
    <t>EGY</t>
  </si>
  <si>
    <t>ER</t>
  </si>
  <si>
    <t xml:space="preserve">Spain </t>
  </si>
  <si>
    <t>ES</t>
  </si>
  <si>
    <t>ESP</t>
  </si>
  <si>
    <t>ET</t>
  </si>
  <si>
    <t xml:space="preserve">Finland </t>
  </si>
  <si>
    <t>FI</t>
  </si>
  <si>
    <t>FIN</t>
  </si>
  <si>
    <t xml:space="preserve">Fiji </t>
  </si>
  <si>
    <t>FJ</t>
  </si>
  <si>
    <t>FJI</t>
  </si>
  <si>
    <t>Micronesia, Federated States of</t>
  </si>
  <si>
    <t>FM</t>
  </si>
  <si>
    <t>FSM</t>
  </si>
  <si>
    <t xml:space="preserve">France </t>
  </si>
  <si>
    <t>FR</t>
  </si>
  <si>
    <t>FRA</t>
  </si>
  <si>
    <t>GA</t>
  </si>
  <si>
    <t xml:space="preserve">United Kingdom </t>
  </si>
  <si>
    <t>GB</t>
  </si>
  <si>
    <t>GBR</t>
  </si>
  <si>
    <t xml:space="preserve">Grenada </t>
  </si>
  <si>
    <t>GD</t>
  </si>
  <si>
    <t>GRD</t>
  </si>
  <si>
    <t xml:space="preserve">Georgia </t>
  </si>
  <si>
    <t>GE</t>
  </si>
  <si>
    <t>GEO</t>
  </si>
  <si>
    <t>GH</t>
  </si>
  <si>
    <t>GM</t>
  </si>
  <si>
    <t>GN</t>
  </si>
  <si>
    <t>GQ</t>
  </si>
  <si>
    <t xml:space="preserve">Greece </t>
  </si>
  <si>
    <t>GR</t>
  </si>
  <si>
    <t>GRC</t>
  </si>
  <si>
    <t xml:space="preserve">Guatemala </t>
  </si>
  <si>
    <t>GT</t>
  </si>
  <si>
    <t>GTM</t>
  </si>
  <si>
    <t>GW</t>
  </si>
  <si>
    <t xml:space="preserve">Guyana </t>
  </si>
  <si>
    <t>GY</t>
  </si>
  <si>
    <t>GUY</t>
  </si>
  <si>
    <t xml:space="preserve">Honduras </t>
  </si>
  <si>
    <t>HN</t>
  </si>
  <si>
    <t>HND</t>
  </si>
  <si>
    <t xml:space="preserve">Croatia </t>
  </si>
  <si>
    <t>HR</t>
  </si>
  <si>
    <t>HRV</t>
  </si>
  <si>
    <t xml:space="preserve">Haiti </t>
  </si>
  <si>
    <t>HT</t>
  </si>
  <si>
    <t>HTI</t>
  </si>
  <si>
    <t xml:space="preserve">Hungary </t>
  </si>
  <si>
    <t>HU</t>
  </si>
  <si>
    <t>HUN</t>
  </si>
  <si>
    <t xml:space="preserve">Indonesia </t>
  </si>
  <si>
    <t>ID</t>
  </si>
  <si>
    <t>IDN</t>
  </si>
  <si>
    <t xml:space="preserve">Ireland </t>
  </si>
  <si>
    <t>IE</t>
  </si>
  <si>
    <t>IRL</t>
  </si>
  <si>
    <t xml:space="preserve">Israel </t>
  </si>
  <si>
    <t>IL</t>
  </si>
  <si>
    <t>ISR</t>
  </si>
  <si>
    <t xml:space="preserve">India </t>
  </si>
  <si>
    <t>IN</t>
  </si>
  <si>
    <t>IND</t>
  </si>
  <si>
    <t xml:space="preserve">Iraq </t>
  </si>
  <si>
    <t>IQ</t>
  </si>
  <si>
    <t>IRQ</t>
  </si>
  <si>
    <t>Iran, Islamic Republic of</t>
  </si>
  <si>
    <t>IR</t>
  </si>
  <si>
    <t>IRN</t>
  </si>
  <si>
    <t xml:space="preserve">Iceland </t>
  </si>
  <si>
    <t>IS</t>
  </si>
  <si>
    <t>ISL</t>
  </si>
  <si>
    <t xml:space="preserve">Italy </t>
  </si>
  <si>
    <t>IT</t>
  </si>
  <si>
    <t>ITA</t>
  </si>
  <si>
    <t xml:space="preserve">Jamaica </t>
  </si>
  <si>
    <t>JM</t>
  </si>
  <si>
    <t>JAM</t>
  </si>
  <si>
    <t xml:space="preserve">Jordan </t>
  </si>
  <si>
    <t>JO</t>
  </si>
  <si>
    <t>JOR</t>
  </si>
  <si>
    <t xml:space="preserve">Japan </t>
  </si>
  <si>
    <t>JP</t>
  </si>
  <si>
    <t>JPN</t>
  </si>
  <si>
    <t>KE</t>
  </si>
  <si>
    <t>Kyrgyzstan</t>
  </si>
  <si>
    <t>KG</t>
  </si>
  <si>
    <t>KGZ</t>
  </si>
  <si>
    <t xml:space="preserve">Cambodia </t>
  </si>
  <si>
    <t>KH</t>
  </si>
  <si>
    <t>KHM</t>
  </si>
  <si>
    <t xml:space="preserve">Kiribati </t>
  </si>
  <si>
    <t>KI</t>
  </si>
  <si>
    <t>KIR</t>
  </si>
  <si>
    <t>KM</t>
  </si>
  <si>
    <t>Saint Kitts and Nevis</t>
  </si>
  <si>
    <t>KN</t>
  </si>
  <si>
    <t>KNA</t>
  </si>
  <si>
    <t>Democratic People's Republic of Korea</t>
  </si>
  <si>
    <t>KP</t>
  </si>
  <si>
    <t>PRK</t>
  </si>
  <si>
    <t>Republic of Korea</t>
  </si>
  <si>
    <t>KR</t>
  </si>
  <si>
    <t>KOR</t>
  </si>
  <si>
    <t xml:space="preserve">Kuwait </t>
  </si>
  <si>
    <t>KW</t>
  </si>
  <si>
    <t>KWT</t>
  </si>
  <si>
    <t xml:space="preserve">Kazakhstan </t>
  </si>
  <si>
    <t>KZ</t>
  </si>
  <si>
    <t>KAZ</t>
  </si>
  <si>
    <t>Lao People's Democratic Republic</t>
  </si>
  <si>
    <t>LA</t>
  </si>
  <si>
    <t>LAO</t>
  </si>
  <si>
    <t xml:space="preserve">Lebanon </t>
  </si>
  <si>
    <t>LB</t>
  </si>
  <si>
    <t>LBN</t>
  </si>
  <si>
    <t>Saint Lucia</t>
  </si>
  <si>
    <t>LC</t>
  </si>
  <si>
    <t>LCA</t>
  </si>
  <si>
    <t xml:space="preserve">Sri Lanka </t>
  </si>
  <si>
    <t>LK</t>
  </si>
  <si>
    <t>LKA</t>
  </si>
  <si>
    <t>LR</t>
  </si>
  <si>
    <t>LS</t>
  </si>
  <si>
    <t xml:space="preserve">Lithuania </t>
  </si>
  <si>
    <t>LT</t>
  </si>
  <si>
    <t>LTU</t>
  </si>
  <si>
    <t xml:space="preserve">Luxembourg </t>
  </si>
  <si>
    <t>LU</t>
  </si>
  <si>
    <t>LUX</t>
  </si>
  <si>
    <t xml:space="preserve">Latvia </t>
  </si>
  <si>
    <t>LV</t>
  </si>
  <si>
    <t>LVA</t>
  </si>
  <si>
    <t>Libyan Arab Jamahiriya</t>
  </si>
  <si>
    <t>LY</t>
  </si>
  <si>
    <t>LBY</t>
  </si>
  <si>
    <t xml:space="preserve">Morocco </t>
  </si>
  <si>
    <t>MA</t>
  </si>
  <si>
    <t>MAR</t>
  </si>
  <si>
    <t xml:space="preserve">Monaco </t>
  </si>
  <si>
    <t>MC</t>
  </si>
  <si>
    <t>MCO</t>
  </si>
  <si>
    <t>Republic of Moldova</t>
  </si>
  <si>
    <t>MD</t>
  </si>
  <si>
    <t>MDA</t>
  </si>
  <si>
    <t>Montenegro</t>
  </si>
  <si>
    <t>ME</t>
  </si>
  <si>
    <t>MNE</t>
  </si>
  <si>
    <t>MG</t>
  </si>
  <si>
    <t xml:space="preserve">Marshall Islands </t>
  </si>
  <si>
    <t>MH</t>
  </si>
  <si>
    <t>MHL</t>
  </si>
  <si>
    <t>The former Yugoslav Republic of Macedonia</t>
  </si>
  <si>
    <t>MK</t>
  </si>
  <si>
    <t>MKD</t>
  </si>
  <si>
    <t>ML</t>
  </si>
  <si>
    <t xml:space="preserve">Myanmar </t>
  </si>
  <si>
    <t>MM</t>
  </si>
  <si>
    <t>MMR</t>
  </si>
  <si>
    <t xml:space="preserve">Mongolia </t>
  </si>
  <si>
    <t>MN</t>
  </si>
  <si>
    <t>MNG</t>
  </si>
  <si>
    <t>MR</t>
  </si>
  <si>
    <t xml:space="preserve">Malta </t>
  </si>
  <si>
    <t>MT</t>
  </si>
  <si>
    <t>MLT</t>
  </si>
  <si>
    <t>MU</t>
  </si>
  <si>
    <t xml:space="preserve">Maldives </t>
  </si>
  <si>
    <t>MV</t>
  </si>
  <si>
    <t>MDV</t>
  </si>
  <si>
    <t>MW</t>
  </si>
  <si>
    <t xml:space="preserve">Mexico </t>
  </si>
  <si>
    <t>MX</t>
  </si>
  <si>
    <t>MEX</t>
  </si>
  <si>
    <t xml:space="preserve">Malaysia </t>
  </si>
  <si>
    <t>MY</t>
  </si>
  <si>
    <t>MYS</t>
  </si>
  <si>
    <t>MZ</t>
  </si>
  <si>
    <t>NA</t>
  </si>
  <si>
    <t>NE</t>
  </si>
  <si>
    <t>NG</t>
  </si>
  <si>
    <t xml:space="preserve">Nicaragua </t>
  </si>
  <si>
    <t>NI</t>
  </si>
  <si>
    <t>NIC</t>
  </si>
  <si>
    <t xml:space="preserve">Netherlands </t>
  </si>
  <si>
    <t>NL</t>
  </si>
  <si>
    <t>NLD</t>
  </si>
  <si>
    <t xml:space="preserve">Norway </t>
  </si>
  <si>
    <t>NO</t>
  </si>
  <si>
    <t>NOR</t>
  </si>
  <si>
    <t xml:space="preserve">Nepal </t>
  </si>
  <si>
    <t>NP</t>
  </si>
  <si>
    <t>NPL</t>
  </si>
  <si>
    <t>Nauru</t>
  </si>
  <si>
    <t>NR</t>
  </si>
  <si>
    <t>NRU</t>
  </si>
  <si>
    <t>Niue</t>
  </si>
  <si>
    <t>NU</t>
  </si>
  <si>
    <t>NIU</t>
  </si>
  <si>
    <t xml:space="preserve">New Zealand </t>
  </si>
  <si>
    <t>NZ</t>
  </si>
  <si>
    <t>NZL</t>
  </si>
  <si>
    <t xml:space="preserve">Oman </t>
  </si>
  <si>
    <t>OM</t>
  </si>
  <si>
    <t>OMN</t>
  </si>
  <si>
    <t xml:space="preserve">Panama </t>
  </si>
  <si>
    <t>PA</t>
  </si>
  <si>
    <t>PAN</t>
  </si>
  <si>
    <t xml:space="preserve">Peru </t>
  </si>
  <si>
    <t>PE</t>
  </si>
  <si>
    <t>PER</t>
  </si>
  <si>
    <t xml:space="preserve">Papua New Guinea </t>
  </si>
  <si>
    <t>PG</t>
  </si>
  <si>
    <t>PNG</t>
  </si>
  <si>
    <t xml:space="preserve">Philippines </t>
  </si>
  <si>
    <t>PH</t>
  </si>
  <si>
    <t>PHL</t>
  </si>
  <si>
    <t xml:space="preserve">Pakistan </t>
  </si>
  <si>
    <t>PK</t>
  </si>
  <si>
    <t>PAK</t>
  </si>
  <si>
    <t xml:space="preserve">Poland </t>
  </si>
  <si>
    <t>PL</t>
  </si>
  <si>
    <t>POL</t>
  </si>
  <si>
    <t xml:space="preserve">Portugal </t>
  </si>
  <si>
    <t>PT</t>
  </si>
  <si>
    <t>PRT</t>
  </si>
  <si>
    <t xml:space="preserve">Palau </t>
  </si>
  <si>
    <t>PW</t>
  </si>
  <si>
    <t>PLW</t>
  </si>
  <si>
    <t xml:space="preserve">Paraguay </t>
  </si>
  <si>
    <t>PY</t>
  </si>
  <si>
    <t>PRY</t>
  </si>
  <si>
    <t xml:space="preserve">Qatar </t>
  </si>
  <si>
    <t>QA</t>
  </si>
  <si>
    <t>QAT</t>
  </si>
  <si>
    <t xml:space="preserve">Romania </t>
  </si>
  <si>
    <t>RO</t>
  </si>
  <si>
    <t>ROU</t>
  </si>
  <si>
    <t>Serbia</t>
  </si>
  <si>
    <t>RS</t>
  </si>
  <si>
    <t>SRB</t>
  </si>
  <si>
    <t xml:space="preserve">Russian Federation </t>
  </si>
  <si>
    <t>RU</t>
  </si>
  <si>
    <t>RUS</t>
  </si>
  <si>
    <t>RW</t>
  </si>
  <si>
    <t xml:space="preserve">Saudi Arabia </t>
  </si>
  <si>
    <t>SA</t>
  </si>
  <si>
    <t>SAU</t>
  </si>
  <si>
    <t xml:space="preserve">Solomon Islands </t>
  </si>
  <si>
    <t>SB</t>
  </si>
  <si>
    <t>SLB</t>
  </si>
  <si>
    <t>SC</t>
  </si>
  <si>
    <t xml:space="preserve">Sudan </t>
  </si>
  <si>
    <t>SD</t>
  </si>
  <si>
    <t>SDN</t>
  </si>
  <si>
    <t xml:space="preserve">Sweden </t>
  </si>
  <si>
    <t>SE</t>
  </si>
  <si>
    <t>SWE</t>
  </si>
  <si>
    <t xml:space="preserve">Singapore </t>
  </si>
  <si>
    <t>SG</t>
  </si>
  <si>
    <t>SGP</t>
  </si>
  <si>
    <t xml:space="preserve">Slovenia </t>
  </si>
  <si>
    <t>SI</t>
  </si>
  <si>
    <t>SVN</t>
  </si>
  <si>
    <t>Slovakia</t>
  </si>
  <si>
    <t>SK</t>
  </si>
  <si>
    <t>SVK</t>
  </si>
  <si>
    <t>SL</t>
  </si>
  <si>
    <t xml:space="preserve">San Marino </t>
  </si>
  <si>
    <t>SM</t>
  </si>
  <si>
    <t>SMR</t>
  </si>
  <si>
    <t>SN</t>
  </si>
  <si>
    <t xml:space="preserve">Somalia </t>
  </si>
  <si>
    <t>SO</t>
  </si>
  <si>
    <t>SOM</t>
  </si>
  <si>
    <t xml:space="preserve">Suriname </t>
  </si>
  <si>
    <t>SR</t>
  </si>
  <si>
    <t>SUR</t>
  </si>
  <si>
    <t>xxx</t>
  </si>
  <si>
    <t>ISO2, WBI not entered</t>
  </si>
  <si>
    <t>ST</t>
  </si>
  <si>
    <t xml:space="preserve">El Salvador </t>
  </si>
  <si>
    <t>SV</t>
  </si>
  <si>
    <t>SLV</t>
  </si>
  <si>
    <t xml:space="preserve">Syrian Arab Republic </t>
  </si>
  <si>
    <t>SY</t>
  </si>
  <si>
    <t>SYR</t>
  </si>
  <si>
    <t>SZ</t>
  </si>
  <si>
    <t>TD</t>
  </si>
  <si>
    <t>TG</t>
  </si>
  <si>
    <t xml:space="preserve">Thailand </t>
  </si>
  <si>
    <t>TH</t>
  </si>
  <si>
    <t>THA</t>
  </si>
  <si>
    <t xml:space="preserve">Tajikistan </t>
  </si>
  <si>
    <t>TJ</t>
  </si>
  <si>
    <t>TJK</t>
  </si>
  <si>
    <t xml:space="preserve">Timor-Leste </t>
  </si>
  <si>
    <t>TL</t>
  </si>
  <si>
    <t>TLS</t>
  </si>
  <si>
    <t xml:space="preserve">Turkmenistan </t>
  </si>
  <si>
    <t>TM</t>
  </si>
  <si>
    <t>TKM</t>
  </si>
  <si>
    <t xml:space="preserve">Tunisia </t>
  </si>
  <si>
    <t>TN</t>
  </si>
  <si>
    <t>TUN</t>
  </si>
  <si>
    <t xml:space="preserve">Tonga </t>
  </si>
  <si>
    <t>TO</t>
  </si>
  <si>
    <t>TON</t>
  </si>
  <si>
    <t xml:space="preserve">Türkiye </t>
  </si>
  <si>
    <t>TR</t>
  </si>
  <si>
    <t>TUR</t>
  </si>
  <si>
    <t xml:space="preserve">Trinidad and Tobago </t>
  </si>
  <si>
    <t>TT</t>
  </si>
  <si>
    <t>TTO</t>
  </si>
  <si>
    <t>Tuvalu</t>
  </si>
  <si>
    <t>TV</t>
  </si>
  <si>
    <t>TUV</t>
  </si>
  <si>
    <t>United Republic of Tanzania</t>
  </si>
  <si>
    <t>TZ</t>
  </si>
  <si>
    <t xml:space="preserve">Ukraine </t>
  </si>
  <si>
    <t>UA</t>
  </si>
  <si>
    <t>UKR</t>
  </si>
  <si>
    <t>UG</t>
  </si>
  <si>
    <t>United States of America</t>
  </si>
  <si>
    <t>US</t>
  </si>
  <si>
    <t>USA</t>
  </si>
  <si>
    <t xml:space="preserve">Uruguay </t>
  </si>
  <si>
    <t>UY</t>
  </si>
  <si>
    <t>URY</t>
  </si>
  <si>
    <t xml:space="preserve">Uzbekistan </t>
  </si>
  <si>
    <t>UZ</t>
  </si>
  <si>
    <t>UZB</t>
  </si>
  <si>
    <t>Saint Vincent and the Grenadines</t>
  </si>
  <si>
    <t>VC</t>
  </si>
  <si>
    <t>VCT</t>
  </si>
  <si>
    <t>Venezuela, Bolivarian Republic of</t>
  </si>
  <si>
    <t>VE</t>
  </si>
  <si>
    <t>VEN</t>
  </si>
  <si>
    <t>Viet Nam</t>
  </si>
  <si>
    <t>VN</t>
  </si>
  <si>
    <t>VNM</t>
  </si>
  <si>
    <t xml:space="preserve">Vanuatu </t>
  </si>
  <si>
    <t>VU</t>
  </si>
  <si>
    <t>VUT</t>
  </si>
  <si>
    <t xml:space="preserve">Samoa </t>
  </si>
  <si>
    <t>WS</t>
  </si>
  <si>
    <t>WSM</t>
  </si>
  <si>
    <t>Yemen</t>
  </si>
  <si>
    <t>YE</t>
  </si>
  <si>
    <t>YEM</t>
  </si>
  <si>
    <t>ZA</t>
  </si>
  <si>
    <t>ZM</t>
  </si>
  <si>
    <t>ZW</t>
  </si>
  <si>
    <t>Cape Verde</t>
  </si>
  <si>
    <t>Antigua and Barbuda</t>
  </si>
  <si>
    <t>Argentina</t>
  </si>
  <si>
    <t>Nursing Professionals</t>
  </si>
  <si>
    <t xml:space="preserve">Year </t>
  </si>
  <si>
    <t>Source</t>
  </si>
  <si>
    <t>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</si>
</sst>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(* #,##0_);_(* \(#,##0\);_(* &quot;-&quot;??_);_(@_)"/>
    <numFmt numFmtId="166" formatCode="_(* #,##0.000_);_(* \(#,##0.000\);_(* &quot;-&quot;??_);_(@_)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7030A0"/>
      <name val="Arial"/>
      <family val="2"/>
    </font>
    <font>
      <sz val="11"/>
      <name val="Arial"/>
      <family val="2"/>
    </font>
    <font>
      <sz val="11"/>
      <name val="Aptos Narrow"/>
      <family val="2"/>
      <scheme val="minor"/>
    </font>
    <font>
      <b/>
      <sz val="11"/>
      <name val="Arial"/>
      <family val="2"/>
    </font>
    <font>
      <sz val="11"/>
      <color rgb="FFFFC00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B050"/>
      <name val="Arial"/>
      <family val="2"/>
    </font>
    <font>
      <sz val="11"/>
      <color rgb="FFFF0000"/>
      <name val="Arial"/>
      <family val="2"/>
    </font>
    <font>
      <b/>
      <sz val="11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</cellStyleXfs>
  <cellXfs count="45">
    <xf numFmtId="0" fontId="0" fillId="0" borderId="0" xfId="0"/>
    <xf numFmtId="0" fontId="4" fillId="0" borderId="0" xfId="0" applyFont="1"/>
    <xf numFmtId="0" fontId="3" fillId="0" borderId="0" xfId="0" applyFont="1"/>
    <xf numFmtId="165" fontId="4" fillId="0" borderId="0" xfId="1" applyNumberFormat="1" applyFont="1" applyFill="1" applyAlignment="1"/>
    <xf numFmtId="165" fontId="0" fillId="0" borderId="0" xfId="1" applyNumberFormat="1" applyFont="1" applyAlignment="1"/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0" fontId="7" fillId="0" borderId="0" xfId="0" applyFont="1" applyAlignment="1">
      <alignment horizontal="center"/>
    </xf>
    <xf numFmtId="0" fontId="7" fillId="0" borderId="0" xfId="0" applyFont="1"/>
    <xf numFmtId="165" fontId="0" fillId="0" borderId="0" xfId="1" applyNumberFormat="1" applyFont="1" applyFill="1" applyAlignment="1">
      <alignment horizontal="center"/>
    </xf>
    <xf numFmtId="165" fontId="0" fillId="0" borderId="0" xfId="1" applyNumberFormat="1" applyFont="1" applyFill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pivotButton="1"/>
    <xf numFmtId="0" fontId="4" fillId="0" borderId="0" xfId="0" applyFont="1" applyAlignment="1">
      <alignment horizontal="left"/>
    </xf>
    <xf numFmtId="165" fontId="2" fillId="0" borderId="0" xfId="1" applyNumberFormat="1" applyFont="1" applyFill="1" applyAlignment="1">
      <alignment horizontal="left"/>
    </xf>
    <xf numFmtId="0" fontId="6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165" fontId="4" fillId="0" borderId="0" xfId="1" applyNumberFormat="1" applyFont="1" applyFill="1" applyAlignment="1">
      <alignment horizontal="left"/>
    </xf>
    <xf numFmtId="165" fontId="5" fillId="0" borderId="0" xfId="1" applyNumberFormat="1" applyFont="1" applyFill="1" applyAlignment="1"/>
    <xf numFmtId="3" fontId="2" fillId="0" borderId="0" xfId="1" applyNumberFormat="1" applyFont="1" applyFill="1" applyAlignment="1"/>
    <xf numFmtId="3" fontId="3" fillId="0" borderId="0" xfId="1" applyNumberFormat="1" applyFont="1" applyFill="1" applyAlignment="1"/>
    <xf numFmtId="0" fontId="2" fillId="0" borderId="0" xfId="2" applyFont="1" applyAlignment="1">
      <alignment horizontal="left" vertical="center" wrapText="1"/>
    </xf>
    <xf numFmtId="0" fontId="2" fillId="0" borderId="0" xfId="2" applyFont="1" applyAlignment="1">
      <alignment vertical="center" wrapText="1"/>
    </xf>
    <xf numFmtId="165" fontId="2" fillId="0" borderId="0" xfId="3" applyNumberFormat="1" applyFont="1" applyFill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9" fontId="0" fillId="0" borderId="0" xfId="4" applyFont="1"/>
    <xf numFmtId="166" fontId="0" fillId="0" borderId="0" xfId="1" applyNumberFormat="1" applyFont="1"/>
    <xf numFmtId="9" fontId="0" fillId="0" borderId="0" xfId="4" applyFont="1" applyAlignment="1"/>
    <xf numFmtId="166" fontId="0" fillId="0" borderId="0" xfId="1" applyNumberFormat="1" applyFont="1" applyAlignment="1"/>
    <xf numFmtId="165" fontId="4" fillId="2" borderId="0" xfId="1" applyNumberFormat="1" applyFont="1" applyFill="1" applyAlignment="1"/>
    <xf numFmtId="0" fontId="4" fillId="3" borderId="0" xfId="0" applyFont="1" applyFill="1" applyAlignment="1">
      <alignment horizontal="left"/>
    </xf>
    <xf numFmtId="0" fontId="4" fillId="4" borderId="0" xfId="0" applyFont="1" applyFill="1"/>
    <xf numFmtId="3" fontId="10" fillId="0" borderId="0" xfId="0" applyNumberFormat="1" applyFont="1"/>
    <xf numFmtId="9" fontId="4" fillId="0" borderId="0" xfId="0" applyNumberFormat="1" applyFont="1"/>
    <xf numFmtId="0" fontId="11" fillId="0" borderId="0" xfId="0" applyFont="1" applyAlignment="1">
      <alignment horizontal="left"/>
    </xf>
    <xf numFmtId="0" fontId="11" fillId="0" borderId="0" xfId="0" applyFont="1"/>
    <xf numFmtId="165" fontId="11" fillId="0" borderId="0" xfId="1" applyNumberFormat="1" applyFont="1" applyFill="1" applyAlignment="1"/>
    <xf numFmtId="0" fontId="12" fillId="0" borderId="0" xfId="0" applyFont="1"/>
    <xf numFmtId="0" fontId="9" fillId="0" borderId="0" xfId="0" applyFont="1"/>
    <xf numFmtId="0" fontId="2" fillId="0" borderId="0" xfId="0" applyFont="1" applyAlignment="1">
      <alignment horizontal="center" vertical="center" wrapText="1"/>
    </xf>
  </cellXfs>
  <cellStyles count="5">
    <cellStyle name="Comma" xfId="1" builtinId="3"/>
    <cellStyle name="Comma 2 2" xfId="3" xr:uid="{53379E01-D342-5D4A-B95A-59DEC7B47416}"/>
    <cellStyle name="Normal" xfId="0" builtinId="0"/>
    <cellStyle name="Normal 2" xfId="2" xr:uid="{5B8B15BB-476C-2940-8750-A242EB6EF789}"/>
    <cellStyle name="Percent" xfId="4" builtinId="5"/>
  </cellStyles>
  <dxfs count="5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Arial"/>
        <family val="2"/>
        <scheme val="none"/>
      </font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7030A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65" formatCode="_(* #,##0_);_(* \(#,##0\);_(* &quot;-&quot;??_);_(@_)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Arial"/>
        <family val="2"/>
        <scheme val="none"/>
      </font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7030A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65" formatCode="_(* #,##0_);_(* \(#,##0\);_(* &quot;-&quot;??_);_(@_)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1692257217847767E-2"/>
          <c:y val="2.5449195532172827E-2"/>
          <c:w val="0.84608552055993003"/>
          <c:h val="0.71073526123135955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Graph!$C$1</c:f>
              <c:strCache>
                <c:ptCount val="1"/>
                <c:pt idx="0">
                  <c:v>Generalist Medical Practitioners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Graph!$B$20:$B$48</c:f>
              <c:strCache>
                <c:ptCount val="29"/>
                <c:pt idx="0">
                  <c:v>ERI</c:v>
                </c:pt>
                <c:pt idx="1">
                  <c:v>BWA</c:v>
                </c:pt>
                <c:pt idx="2">
                  <c:v>SSD</c:v>
                </c:pt>
                <c:pt idx="3">
                  <c:v>MOZ</c:v>
                </c:pt>
                <c:pt idx="4">
                  <c:v>SEN</c:v>
                </c:pt>
                <c:pt idx="5">
                  <c:v>SLE</c:v>
                </c:pt>
                <c:pt idx="6">
                  <c:v>BDI</c:v>
                </c:pt>
                <c:pt idx="7">
                  <c:v>NAM</c:v>
                </c:pt>
                <c:pt idx="8">
                  <c:v>ZWE</c:v>
                </c:pt>
                <c:pt idx="9">
                  <c:v>NER</c:v>
                </c:pt>
                <c:pt idx="10">
                  <c:v>MWI</c:v>
                </c:pt>
                <c:pt idx="11">
                  <c:v>KEN</c:v>
                </c:pt>
                <c:pt idx="12">
                  <c:v>CIV</c:v>
                </c:pt>
                <c:pt idx="13">
                  <c:v>GNQ</c:v>
                </c:pt>
                <c:pt idx="14">
                  <c:v>GIN</c:v>
                </c:pt>
                <c:pt idx="15">
                  <c:v>BEN</c:v>
                </c:pt>
                <c:pt idx="16">
                  <c:v>AGO</c:v>
                </c:pt>
                <c:pt idx="17">
                  <c:v>CMR</c:v>
                </c:pt>
                <c:pt idx="18">
                  <c:v>BFA</c:v>
                </c:pt>
                <c:pt idx="19">
                  <c:v>MDG</c:v>
                </c:pt>
                <c:pt idx="20">
                  <c:v>TCD</c:v>
                </c:pt>
                <c:pt idx="21">
                  <c:v>ZMB</c:v>
                </c:pt>
                <c:pt idx="22">
                  <c:v>TZA</c:v>
                </c:pt>
                <c:pt idx="23">
                  <c:v>NGA</c:v>
                </c:pt>
                <c:pt idx="24">
                  <c:v>ZAF</c:v>
                </c:pt>
                <c:pt idx="25">
                  <c:v>ETH</c:v>
                </c:pt>
                <c:pt idx="26">
                  <c:v>GHA</c:v>
                </c:pt>
                <c:pt idx="27">
                  <c:v>UGA</c:v>
                </c:pt>
                <c:pt idx="28">
                  <c:v>COD</c:v>
                </c:pt>
              </c:strCache>
            </c:strRef>
          </c:cat>
          <c:val>
            <c:numRef>
              <c:f>Graph!$C$20:$C$48</c:f>
              <c:numCache>
                <c:formatCode>General</c:formatCode>
                <c:ptCount val="29"/>
                <c:pt idx="0">
                  <c:v>0</c:v>
                </c:pt>
                <c:pt idx="1">
                  <c:v>60</c:v>
                </c:pt>
                <c:pt idx="2">
                  <c:v>0</c:v>
                </c:pt>
                <c:pt idx="3">
                  <c:v>819</c:v>
                </c:pt>
                <c:pt idx="4">
                  <c:v>434</c:v>
                </c:pt>
                <c:pt idx="5">
                  <c:v>217</c:v>
                </c:pt>
                <c:pt idx="6">
                  <c:v>325</c:v>
                </c:pt>
                <c:pt idx="7">
                  <c:v>475</c:v>
                </c:pt>
                <c:pt idx="8">
                  <c:v>265</c:v>
                </c:pt>
                <c:pt idx="9">
                  <c:v>370</c:v>
                </c:pt>
                <c:pt idx="10">
                  <c:v>115</c:v>
                </c:pt>
                <c:pt idx="11">
                  <c:v>558</c:v>
                </c:pt>
                <c:pt idx="12">
                  <c:v>254</c:v>
                </c:pt>
                <c:pt idx="13">
                  <c:v>767</c:v>
                </c:pt>
                <c:pt idx="14">
                  <c:v>767</c:v>
                </c:pt>
                <c:pt idx="15">
                  <c:v>780</c:v>
                </c:pt>
                <c:pt idx="16">
                  <c:v>611</c:v>
                </c:pt>
                <c:pt idx="17">
                  <c:v>800</c:v>
                </c:pt>
                <c:pt idx="18">
                  <c:v>1492</c:v>
                </c:pt>
                <c:pt idx="19">
                  <c:v>316</c:v>
                </c:pt>
                <c:pt idx="20">
                  <c:v>330</c:v>
                </c:pt>
                <c:pt idx="21">
                  <c:v>115</c:v>
                </c:pt>
                <c:pt idx="22">
                  <c:v>891</c:v>
                </c:pt>
                <c:pt idx="23">
                  <c:v>4340</c:v>
                </c:pt>
                <c:pt idx="24">
                  <c:v>998</c:v>
                </c:pt>
                <c:pt idx="25">
                  <c:v>3114</c:v>
                </c:pt>
                <c:pt idx="26">
                  <c:v>1566</c:v>
                </c:pt>
                <c:pt idx="27">
                  <c:v>1997</c:v>
                </c:pt>
                <c:pt idx="28">
                  <c:v>6020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CB-49A0-A4C4-9F8473DA4100}"/>
            </c:ext>
          </c:extLst>
        </c:ser>
        <c:ser>
          <c:idx val="1"/>
          <c:order val="1"/>
          <c:tx>
            <c:strRef>
              <c:f>Graph!$D$1</c:f>
              <c:strCache>
                <c:ptCount val="1"/>
                <c:pt idx="0">
                  <c:v>Nursing Personnel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Graph!$B$20:$B$48</c:f>
              <c:strCache>
                <c:ptCount val="29"/>
                <c:pt idx="0">
                  <c:v>ERI</c:v>
                </c:pt>
                <c:pt idx="1">
                  <c:v>BWA</c:v>
                </c:pt>
                <c:pt idx="2">
                  <c:v>SSD</c:v>
                </c:pt>
                <c:pt idx="3">
                  <c:v>MOZ</c:v>
                </c:pt>
                <c:pt idx="4">
                  <c:v>SEN</c:v>
                </c:pt>
                <c:pt idx="5">
                  <c:v>SLE</c:v>
                </c:pt>
                <c:pt idx="6">
                  <c:v>BDI</c:v>
                </c:pt>
                <c:pt idx="7">
                  <c:v>NAM</c:v>
                </c:pt>
                <c:pt idx="8">
                  <c:v>ZWE</c:v>
                </c:pt>
                <c:pt idx="9">
                  <c:v>NER</c:v>
                </c:pt>
                <c:pt idx="10">
                  <c:v>MWI</c:v>
                </c:pt>
                <c:pt idx="11">
                  <c:v>KEN</c:v>
                </c:pt>
                <c:pt idx="12">
                  <c:v>CIV</c:v>
                </c:pt>
                <c:pt idx="13">
                  <c:v>GNQ</c:v>
                </c:pt>
                <c:pt idx="14">
                  <c:v>GIN</c:v>
                </c:pt>
                <c:pt idx="15">
                  <c:v>BEN</c:v>
                </c:pt>
                <c:pt idx="16">
                  <c:v>AGO</c:v>
                </c:pt>
                <c:pt idx="17">
                  <c:v>CMR</c:v>
                </c:pt>
                <c:pt idx="18">
                  <c:v>BFA</c:v>
                </c:pt>
                <c:pt idx="19">
                  <c:v>MDG</c:v>
                </c:pt>
                <c:pt idx="20">
                  <c:v>TCD</c:v>
                </c:pt>
                <c:pt idx="21">
                  <c:v>ZMB</c:v>
                </c:pt>
                <c:pt idx="22">
                  <c:v>TZA</c:v>
                </c:pt>
                <c:pt idx="23">
                  <c:v>NGA</c:v>
                </c:pt>
                <c:pt idx="24">
                  <c:v>ZAF</c:v>
                </c:pt>
                <c:pt idx="25">
                  <c:v>ETH</c:v>
                </c:pt>
                <c:pt idx="26">
                  <c:v>GHA</c:v>
                </c:pt>
                <c:pt idx="27">
                  <c:v>UGA</c:v>
                </c:pt>
                <c:pt idx="28">
                  <c:v>COD</c:v>
                </c:pt>
              </c:strCache>
            </c:strRef>
          </c:cat>
          <c:val>
            <c:numRef>
              <c:f>Graph!$D$20:$D$48</c:f>
              <c:numCache>
                <c:formatCode>General</c:formatCode>
                <c:ptCount val="29"/>
                <c:pt idx="0">
                  <c:v>400</c:v>
                </c:pt>
                <c:pt idx="1">
                  <c:v>490</c:v>
                </c:pt>
                <c:pt idx="2">
                  <c:v>241</c:v>
                </c:pt>
                <c:pt idx="3">
                  <c:v>580</c:v>
                </c:pt>
                <c:pt idx="4">
                  <c:v>582</c:v>
                </c:pt>
                <c:pt idx="5">
                  <c:v>1755</c:v>
                </c:pt>
                <c:pt idx="6">
                  <c:v>1467</c:v>
                </c:pt>
                <c:pt idx="7">
                  <c:v>200</c:v>
                </c:pt>
                <c:pt idx="8">
                  <c:v>1100</c:v>
                </c:pt>
                <c:pt idx="9">
                  <c:v>305</c:v>
                </c:pt>
                <c:pt idx="10">
                  <c:v>386</c:v>
                </c:pt>
                <c:pt idx="11">
                  <c:v>1070</c:v>
                </c:pt>
                <c:pt idx="12">
                  <c:v>1007</c:v>
                </c:pt>
                <c:pt idx="13">
                  <c:v>962</c:v>
                </c:pt>
                <c:pt idx="14">
                  <c:v>964</c:v>
                </c:pt>
                <c:pt idx="15">
                  <c:v>257</c:v>
                </c:pt>
                <c:pt idx="16">
                  <c:v>2950</c:v>
                </c:pt>
                <c:pt idx="17">
                  <c:v>2660</c:v>
                </c:pt>
                <c:pt idx="18">
                  <c:v>1170</c:v>
                </c:pt>
                <c:pt idx="19">
                  <c:v>2540</c:v>
                </c:pt>
                <c:pt idx="20">
                  <c:v>2920</c:v>
                </c:pt>
                <c:pt idx="21">
                  <c:v>5272</c:v>
                </c:pt>
                <c:pt idx="22">
                  <c:v>4607</c:v>
                </c:pt>
                <c:pt idx="23">
                  <c:v>12835</c:v>
                </c:pt>
                <c:pt idx="24">
                  <c:v>3154</c:v>
                </c:pt>
                <c:pt idx="25">
                  <c:v>6298</c:v>
                </c:pt>
                <c:pt idx="26">
                  <c:v>21271</c:v>
                </c:pt>
                <c:pt idx="27">
                  <c:v>14001</c:v>
                </c:pt>
                <c:pt idx="28">
                  <c:v>24061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9CB-49A0-A4C4-9F8473DA4100}"/>
            </c:ext>
          </c:extLst>
        </c:ser>
        <c:ser>
          <c:idx val="2"/>
          <c:order val="2"/>
          <c:tx>
            <c:strRef>
              <c:f>Graph!$E$1</c:f>
              <c:strCache>
                <c:ptCount val="1"/>
                <c:pt idx="0">
                  <c:v>Midwifery personnel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Graph!$B$20:$B$48</c:f>
              <c:strCache>
                <c:ptCount val="29"/>
                <c:pt idx="0">
                  <c:v>ERI</c:v>
                </c:pt>
                <c:pt idx="1">
                  <c:v>BWA</c:v>
                </c:pt>
                <c:pt idx="2">
                  <c:v>SSD</c:v>
                </c:pt>
                <c:pt idx="3">
                  <c:v>MOZ</c:v>
                </c:pt>
                <c:pt idx="4">
                  <c:v>SEN</c:v>
                </c:pt>
                <c:pt idx="5">
                  <c:v>SLE</c:v>
                </c:pt>
                <c:pt idx="6">
                  <c:v>BDI</c:v>
                </c:pt>
                <c:pt idx="7">
                  <c:v>NAM</c:v>
                </c:pt>
                <c:pt idx="8">
                  <c:v>ZWE</c:v>
                </c:pt>
                <c:pt idx="9">
                  <c:v>NER</c:v>
                </c:pt>
                <c:pt idx="10">
                  <c:v>MWI</c:v>
                </c:pt>
                <c:pt idx="11">
                  <c:v>KEN</c:v>
                </c:pt>
                <c:pt idx="12">
                  <c:v>CIV</c:v>
                </c:pt>
                <c:pt idx="13">
                  <c:v>GNQ</c:v>
                </c:pt>
                <c:pt idx="14">
                  <c:v>GIN</c:v>
                </c:pt>
                <c:pt idx="15">
                  <c:v>BEN</c:v>
                </c:pt>
                <c:pt idx="16">
                  <c:v>AGO</c:v>
                </c:pt>
                <c:pt idx="17">
                  <c:v>CMR</c:v>
                </c:pt>
                <c:pt idx="18">
                  <c:v>BFA</c:v>
                </c:pt>
                <c:pt idx="19">
                  <c:v>MDG</c:v>
                </c:pt>
                <c:pt idx="20">
                  <c:v>TCD</c:v>
                </c:pt>
                <c:pt idx="21">
                  <c:v>ZMB</c:v>
                </c:pt>
                <c:pt idx="22">
                  <c:v>TZA</c:v>
                </c:pt>
                <c:pt idx="23">
                  <c:v>NGA</c:v>
                </c:pt>
                <c:pt idx="24">
                  <c:v>ZAF</c:v>
                </c:pt>
                <c:pt idx="25">
                  <c:v>ETH</c:v>
                </c:pt>
                <c:pt idx="26">
                  <c:v>GHA</c:v>
                </c:pt>
                <c:pt idx="27">
                  <c:v>UGA</c:v>
                </c:pt>
                <c:pt idx="28">
                  <c:v>COD</c:v>
                </c:pt>
              </c:strCache>
            </c:strRef>
          </c:cat>
          <c:val>
            <c:numRef>
              <c:f>Graph!$E$20:$E$48</c:f>
              <c:numCache>
                <c:formatCode>General</c:formatCode>
                <c:ptCount val="29"/>
                <c:pt idx="0">
                  <c:v>0</c:v>
                </c:pt>
                <c:pt idx="1">
                  <c:v>40</c:v>
                </c:pt>
                <c:pt idx="2">
                  <c:v>307</c:v>
                </c:pt>
                <c:pt idx="3">
                  <c:v>140</c:v>
                </c:pt>
                <c:pt idx="4">
                  <c:v>104</c:v>
                </c:pt>
                <c:pt idx="5">
                  <c:v>120</c:v>
                </c:pt>
                <c:pt idx="6">
                  <c:v>196</c:v>
                </c:pt>
                <c:pt idx="7">
                  <c:v>1414</c:v>
                </c:pt>
                <c:pt idx="8">
                  <c:v>270</c:v>
                </c:pt>
                <c:pt idx="9">
                  <c:v>124</c:v>
                </c:pt>
                <c:pt idx="10">
                  <c:v>1171</c:v>
                </c:pt>
                <c:pt idx="11">
                  <c:v>0</c:v>
                </c:pt>
                <c:pt idx="12">
                  <c:v>0</c:v>
                </c:pt>
                <c:pt idx="13">
                  <c:v>492</c:v>
                </c:pt>
                <c:pt idx="14">
                  <c:v>492</c:v>
                </c:pt>
                <c:pt idx="15">
                  <c:v>247</c:v>
                </c:pt>
                <c:pt idx="16">
                  <c:v>0</c:v>
                </c:pt>
                <c:pt idx="17">
                  <c:v>0</c:v>
                </c:pt>
                <c:pt idx="18">
                  <c:v>1170</c:v>
                </c:pt>
                <c:pt idx="19">
                  <c:v>2473</c:v>
                </c:pt>
                <c:pt idx="20">
                  <c:v>2084</c:v>
                </c:pt>
                <c:pt idx="21">
                  <c:v>1939</c:v>
                </c:pt>
                <c:pt idx="22">
                  <c:v>0</c:v>
                </c:pt>
                <c:pt idx="23">
                  <c:v>375</c:v>
                </c:pt>
                <c:pt idx="24">
                  <c:v>0</c:v>
                </c:pt>
                <c:pt idx="25">
                  <c:v>2440</c:v>
                </c:pt>
                <c:pt idx="26">
                  <c:v>4827</c:v>
                </c:pt>
                <c:pt idx="27">
                  <c:v>8990</c:v>
                </c:pt>
                <c:pt idx="28">
                  <c:v>3453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F9CB-49A0-A4C4-9F8473DA4100}"/>
            </c:ext>
          </c:extLst>
        </c:ser>
        <c:ser>
          <c:idx val="3"/>
          <c:order val="3"/>
          <c:tx>
            <c:strRef>
              <c:f>Graph!$F$1</c:f>
              <c:strCache>
                <c:ptCount val="1"/>
                <c:pt idx="0">
                  <c:v>Dentists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Graph!$B$20:$B$48</c:f>
              <c:strCache>
                <c:ptCount val="29"/>
                <c:pt idx="0">
                  <c:v>ERI</c:v>
                </c:pt>
                <c:pt idx="1">
                  <c:v>BWA</c:v>
                </c:pt>
                <c:pt idx="2">
                  <c:v>SSD</c:v>
                </c:pt>
                <c:pt idx="3">
                  <c:v>MOZ</c:v>
                </c:pt>
                <c:pt idx="4">
                  <c:v>SEN</c:v>
                </c:pt>
                <c:pt idx="5">
                  <c:v>SLE</c:v>
                </c:pt>
                <c:pt idx="6">
                  <c:v>BDI</c:v>
                </c:pt>
                <c:pt idx="7">
                  <c:v>NAM</c:v>
                </c:pt>
                <c:pt idx="8">
                  <c:v>ZWE</c:v>
                </c:pt>
                <c:pt idx="9">
                  <c:v>NER</c:v>
                </c:pt>
                <c:pt idx="10">
                  <c:v>MWI</c:v>
                </c:pt>
                <c:pt idx="11">
                  <c:v>KEN</c:v>
                </c:pt>
                <c:pt idx="12">
                  <c:v>CIV</c:v>
                </c:pt>
                <c:pt idx="13">
                  <c:v>GNQ</c:v>
                </c:pt>
                <c:pt idx="14">
                  <c:v>GIN</c:v>
                </c:pt>
                <c:pt idx="15">
                  <c:v>BEN</c:v>
                </c:pt>
                <c:pt idx="16">
                  <c:v>AGO</c:v>
                </c:pt>
                <c:pt idx="17">
                  <c:v>CMR</c:v>
                </c:pt>
                <c:pt idx="18">
                  <c:v>BFA</c:v>
                </c:pt>
                <c:pt idx="19">
                  <c:v>MDG</c:v>
                </c:pt>
                <c:pt idx="20">
                  <c:v>TCD</c:v>
                </c:pt>
                <c:pt idx="21">
                  <c:v>ZMB</c:v>
                </c:pt>
                <c:pt idx="22">
                  <c:v>TZA</c:v>
                </c:pt>
                <c:pt idx="23">
                  <c:v>NGA</c:v>
                </c:pt>
                <c:pt idx="24">
                  <c:v>ZAF</c:v>
                </c:pt>
                <c:pt idx="25">
                  <c:v>ETH</c:v>
                </c:pt>
                <c:pt idx="26">
                  <c:v>GHA</c:v>
                </c:pt>
                <c:pt idx="27">
                  <c:v>UGA</c:v>
                </c:pt>
                <c:pt idx="28">
                  <c:v>COD</c:v>
                </c:pt>
              </c:strCache>
            </c:strRef>
          </c:cat>
          <c:val>
            <c:numRef>
              <c:f>Graph!$F$20:$F$48</c:f>
              <c:numCache>
                <c:formatCode>General</c:formatCode>
                <c:ptCount val="29"/>
                <c:pt idx="0">
                  <c:v>0</c:v>
                </c:pt>
                <c:pt idx="1">
                  <c:v>7</c:v>
                </c:pt>
                <c:pt idx="2">
                  <c:v>0</c:v>
                </c:pt>
                <c:pt idx="3">
                  <c:v>161</c:v>
                </c:pt>
                <c:pt idx="4">
                  <c:v>67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80</c:v>
                </c:pt>
                <c:pt idx="9">
                  <c:v>0</c:v>
                </c:pt>
                <c:pt idx="10">
                  <c:v>0</c:v>
                </c:pt>
                <c:pt idx="11">
                  <c:v>36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145</c:v>
                </c:pt>
                <c:pt idx="17">
                  <c:v>0</c:v>
                </c:pt>
                <c:pt idx="18">
                  <c:v>62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80</c:v>
                </c:pt>
                <c:pt idx="23">
                  <c:v>459</c:v>
                </c:pt>
                <c:pt idx="24">
                  <c:v>805</c:v>
                </c:pt>
                <c:pt idx="25">
                  <c:v>189</c:v>
                </c:pt>
                <c:pt idx="26">
                  <c:v>0</c:v>
                </c:pt>
                <c:pt idx="27">
                  <c:v>41</c:v>
                </c:pt>
                <c:pt idx="28">
                  <c:v>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F9CB-49A0-A4C4-9F8473DA4100}"/>
            </c:ext>
          </c:extLst>
        </c:ser>
        <c:ser>
          <c:idx val="4"/>
          <c:order val="4"/>
          <c:tx>
            <c:strRef>
              <c:f>Graph!$G$1</c:f>
              <c:strCache>
                <c:ptCount val="1"/>
                <c:pt idx="0">
                  <c:v>Other Dental practitioners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Graph!$B$20:$B$48</c:f>
              <c:strCache>
                <c:ptCount val="29"/>
                <c:pt idx="0">
                  <c:v>ERI</c:v>
                </c:pt>
                <c:pt idx="1">
                  <c:v>BWA</c:v>
                </c:pt>
                <c:pt idx="2">
                  <c:v>SSD</c:v>
                </c:pt>
                <c:pt idx="3">
                  <c:v>MOZ</c:v>
                </c:pt>
                <c:pt idx="4">
                  <c:v>SEN</c:v>
                </c:pt>
                <c:pt idx="5">
                  <c:v>SLE</c:v>
                </c:pt>
                <c:pt idx="6">
                  <c:v>BDI</c:v>
                </c:pt>
                <c:pt idx="7">
                  <c:v>NAM</c:v>
                </c:pt>
                <c:pt idx="8">
                  <c:v>ZWE</c:v>
                </c:pt>
                <c:pt idx="9">
                  <c:v>NER</c:v>
                </c:pt>
                <c:pt idx="10">
                  <c:v>MWI</c:v>
                </c:pt>
                <c:pt idx="11">
                  <c:v>KEN</c:v>
                </c:pt>
                <c:pt idx="12">
                  <c:v>CIV</c:v>
                </c:pt>
                <c:pt idx="13">
                  <c:v>GNQ</c:v>
                </c:pt>
                <c:pt idx="14">
                  <c:v>GIN</c:v>
                </c:pt>
                <c:pt idx="15">
                  <c:v>BEN</c:v>
                </c:pt>
                <c:pt idx="16">
                  <c:v>AGO</c:v>
                </c:pt>
                <c:pt idx="17">
                  <c:v>CMR</c:v>
                </c:pt>
                <c:pt idx="18">
                  <c:v>BFA</c:v>
                </c:pt>
                <c:pt idx="19">
                  <c:v>MDG</c:v>
                </c:pt>
                <c:pt idx="20">
                  <c:v>TCD</c:v>
                </c:pt>
                <c:pt idx="21">
                  <c:v>ZMB</c:v>
                </c:pt>
                <c:pt idx="22">
                  <c:v>TZA</c:v>
                </c:pt>
                <c:pt idx="23">
                  <c:v>NGA</c:v>
                </c:pt>
                <c:pt idx="24">
                  <c:v>ZAF</c:v>
                </c:pt>
                <c:pt idx="25">
                  <c:v>ETH</c:v>
                </c:pt>
                <c:pt idx="26">
                  <c:v>GHA</c:v>
                </c:pt>
                <c:pt idx="27">
                  <c:v>UGA</c:v>
                </c:pt>
                <c:pt idx="28">
                  <c:v>COD</c:v>
                </c:pt>
              </c:strCache>
            </c:strRef>
          </c:cat>
          <c:val>
            <c:numRef>
              <c:f>Graph!$G$20:$G$48</c:f>
              <c:numCache>
                <c:formatCode>General</c:formatCode>
                <c:ptCount val="29"/>
                <c:pt idx="0">
                  <c:v>0</c:v>
                </c:pt>
                <c:pt idx="1">
                  <c:v>10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30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36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64</c:v>
                </c:pt>
                <c:pt idx="26">
                  <c:v>0</c:v>
                </c:pt>
                <c:pt idx="27">
                  <c:v>220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F9CB-49A0-A4C4-9F8473DA4100}"/>
            </c:ext>
          </c:extLst>
        </c:ser>
        <c:ser>
          <c:idx val="5"/>
          <c:order val="5"/>
          <c:tx>
            <c:strRef>
              <c:f>Graph!$H$1</c:f>
              <c:strCache>
                <c:ptCount val="1"/>
                <c:pt idx="0">
                  <c:v>Pharmacists</c:v>
                </c:pt>
              </c:strCache>
            </c:strRef>
          </c:tx>
          <c:spPr>
            <a:solidFill>
              <a:schemeClr val="accent3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Graph!$B$20:$B$48</c:f>
              <c:strCache>
                <c:ptCount val="29"/>
                <c:pt idx="0">
                  <c:v>ERI</c:v>
                </c:pt>
                <c:pt idx="1">
                  <c:v>BWA</c:v>
                </c:pt>
                <c:pt idx="2">
                  <c:v>SSD</c:v>
                </c:pt>
                <c:pt idx="3">
                  <c:v>MOZ</c:v>
                </c:pt>
                <c:pt idx="4">
                  <c:v>SEN</c:v>
                </c:pt>
                <c:pt idx="5">
                  <c:v>SLE</c:v>
                </c:pt>
                <c:pt idx="6">
                  <c:v>BDI</c:v>
                </c:pt>
                <c:pt idx="7">
                  <c:v>NAM</c:v>
                </c:pt>
                <c:pt idx="8">
                  <c:v>ZWE</c:v>
                </c:pt>
                <c:pt idx="9">
                  <c:v>NER</c:v>
                </c:pt>
                <c:pt idx="10">
                  <c:v>MWI</c:v>
                </c:pt>
                <c:pt idx="11">
                  <c:v>KEN</c:v>
                </c:pt>
                <c:pt idx="12">
                  <c:v>CIV</c:v>
                </c:pt>
                <c:pt idx="13">
                  <c:v>GNQ</c:v>
                </c:pt>
                <c:pt idx="14">
                  <c:v>GIN</c:v>
                </c:pt>
                <c:pt idx="15">
                  <c:v>BEN</c:v>
                </c:pt>
                <c:pt idx="16">
                  <c:v>AGO</c:v>
                </c:pt>
                <c:pt idx="17">
                  <c:v>CMR</c:v>
                </c:pt>
                <c:pt idx="18">
                  <c:v>BFA</c:v>
                </c:pt>
                <c:pt idx="19">
                  <c:v>MDG</c:v>
                </c:pt>
                <c:pt idx="20">
                  <c:v>TCD</c:v>
                </c:pt>
                <c:pt idx="21">
                  <c:v>ZMB</c:v>
                </c:pt>
                <c:pt idx="22">
                  <c:v>TZA</c:v>
                </c:pt>
                <c:pt idx="23">
                  <c:v>NGA</c:v>
                </c:pt>
                <c:pt idx="24">
                  <c:v>ZAF</c:v>
                </c:pt>
                <c:pt idx="25">
                  <c:v>ETH</c:v>
                </c:pt>
                <c:pt idx="26">
                  <c:v>GHA</c:v>
                </c:pt>
                <c:pt idx="27">
                  <c:v>UGA</c:v>
                </c:pt>
                <c:pt idx="28">
                  <c:v>COD</c:v>
                </c:pt>
              </c:strCache>
            </c:strRef>
          </c:cat>
          <c:val>
            <c:numRef>
              <c:f>Graph!$H$20:$H$48</c:f>
              <c:numCache>
                <c:formatCode>General</c:formatCode>
                <c:ptCount val="29"/>
                <c:pt idx="0">
                  <c:v>0</c:v>
                </c:pt>
                <c:pt idx="1">
                  <c:v>95</c:v>
                </c:pt>
                <c:pt idx="2">
                  <c:v>0</c:v>
                </c:pt>
                <c:pt idx="3">
                  <c:v>0</c:v>
                </c:pt>
                <c:pt idx="4">
                  <c:v>171</c:v>
                </c:pt>
                <c:pt idx="5">
                  <c:v>69</c:v>
                </c:pt>
                <c:pt idx="6">
                  <c:v>39</c:v>
                </c:pt>
                <c:pt idx="7">
                  <c:v>247</c:v>
                </c:pt>
                <c:pt idx="8">
                  <c:v>155</c:v>
                </c:pt>
                <c:pt idx="9">
                  <c:v>0</c:v>
                </c:pt>
                <c:pt idx="10">
                  <c:v>110</c:v>
                </c:pt>
                <c:pt idx="11">
                  <c:v>379</c:v>
                </c:pt>
                <c:pt idx="12">
                  <c:v>0</c:v>
                </c:pt>
                <c:pt idx="13">
                  <c:v>0</c:v>
                </c:pt>
                <c:pt idx="14">
                  <c:v>113</c:v>
                </c:pt>
                <c:pt idx="15">
                  <c:v>143</c:v>
                </c:pt>
                <c:pt idx="16">
                  <c:v>529</c:v>
                </c:pt>
                <c:pt idx="17">
                  <c:v>0</c:v>
                </c:pt>
                <c:pt idx="18">
                  <c:v>594</c:v>
                </c:pt>
                <c:pt idx="19">
                  <c:v>0</c:v>
                </c:pt>
                <c:pt idx="20">
                  <c:v>80</c:v>
                </c:pt>
                <c:pt idx="21">
                  <c:v>0</c:v>
                </c:pt>
                <c:pt idx="22">
                  <c:v>164</c:v>
                </c:pt>
                <c:pt idx="23">
                  <c:v>0</c:v>
                </c:pt>
                <c:pt idx="24">
                  <c:v>1291</c:v>
                </c:pt>
                <c:pt idx="25">
                  <c:v>699</c:v>
                </c:pt>
                <c:pt idx="26">
                  <c:v>343</c:v>
                </c:pt>
                <c:pt idx="27">
                  <c:v>120</c:v>
                </c:pt>
                <c:pt idx="28">
                  <c:v>178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F9CB-49A0-A4C4-9F8473DA4100}"/>
            </c:ext>
          </c:extLst>
        </c:ser>
        <c:ser>
          <c:idx val="6"/>
          <c:order val="6"/>
          <c:tx>
            <c:strRef>
              <c:f>Graph!$I$1</c:f>
              <c:strCache>
                <c:ptCount val="1"/>
                <c:pt idx="0">
                  <c:v>Other Pharmacy practitioners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Graph!$B$20:$B$48</c:f>
              <c:strCache>
                <c:ptCount val="29"/>
                <c:pt idx="0">
                  <c:v>ERI</c:v>
                </c:pt>
                <c:pt idx="1">
                  <c:v>BWA</c:v>
                </c:pt>
                <c:pt idx="2">
                  <c:v>SSD</c:v>
                </c:pt>
                <c:pt idx="3">
                  <c:v>MOZ</c:v>
                </c:pt>
                <c:pt idx="4">
                  <c:v>SEN</c:v>
                </c:pt>
                <c:pt idx="5">
                  <c:v>SLE</c:v>
                </c:pt>
                <c:pt idx="6">
                  <c:v>BDI</c:v>
                </c:pt>
                <c:pt idx="7">
                  <c:v>NAM</c:v>
                </c:pt>
                <c:pt idx="8">
                  <c:v>ZWE</c:v>
                </c:pt>
                <c:pt idx="9">
                  <c:v>NER</c:v>
                </c:pt>
                <c:pt idx="10">
                  <c:v>MWI</c:v>
                </c:pt>
                <c:pt idx="11">
                  <c:v>KEN</c:v>
                </c:pt>
                <c:pt idx="12">
                  <c:v>CIV</c:v>
                </c:pt>
                <c:pt idx="13">
                  <c:v>GNQ</c:v>
                </c:pt>
                <c:pt idx="14">
                  <c:v>GIN</c:v>
                </c:pt>
                <c:pt idx="15">
                  <c:v>BEN</c:v>
                </c:pt>
                <c:pt idx="16">
                  <c:v>AGO</c:v>
                </c:pt>
                <c:pt idx="17">
                  <c:v>CMR</c:v>
                </c:pt>
                <c:pt idx="18">
                  <c:v>BFA</c:v>
                </c:pt>
                <c:pt idx="19">
                  <c:v>MDG</c:v>
                </c:pt>
                <c:pt idx="20">
                  <c:v>TCD</c:v>
                </c:pt>
                <c:pt idx="21">
                  <c:v>ZMB</c:v>
                </c:pt>
                <c:pt idx="22">
                  <c:v>TZA</c:v>
                </c:pt>
                <c:pt idx="23">
                  <c:v>NGA</c:v>
                </c:pt>
                <c:pt idx="24">
                  <c:v>ZAF</c:v>
                </c:pt>
                <c:pt idx="25">
                  <c:v>ETH</c:v>
                </c:pt>
                <c:pt idx="26">
                  <c:v>GHA</c:v>
                </c:pt>
                <c:pt idx="27">
                  <c:v>UGA</c:v>
                </c:pt>
                <c:pt idx="28">
                  <c:v>COD</c:v>
                </c:pt>
              </c:strCache>
            </c:strRef>
          </c:cat>
          <c:val>
            <c:numRef>
              <c:f>Graph!$I$20:$I$48</c:f>
              <c:numCache>
                <c:formatCode>General</c:formatCode>
                <c:ptCount val="29"/>
                <c:pt idx="0">
                  <c:v>0</c:v>
                </c:pt>
                <c:pt idx="1">
                  <c:v>60</c:v>
                </c:pt>
                <c:pt idx="2">
                  <c:v>0</c:v>
                </c:pt>
                <c:pt idx="3">
                  <c:v>112</c:v>
                </c:pt>
                <c:pt idx="4">
                  <c:v>0</c:v>
                </c:pt>
                <c:pt idx="5">
                  <c:v>51</c:v>
                </c:pt>
                <c:pt idx="6">
                  <c:v>0</c:v>
                </c:pt>
                <c:pt idx="7">
                  <c:v>31</c:v>
                </c:pt>
                <c:pt idx="8">
                  <c:v>30</c:v>
                </c:pt>
                <c:pt idx="9">
                  <c:v>0</c:v>
                </c:pt>
                <c:pt idx="10">
                  <c:v>189</c:v>
                </c:pt>
                <c:pt idx="11">
                  <c:v>20</c:v>
                </c:pt>
                <c:pt idx="12">
                  <c:v>151</c:v>
                </c:pt>
                <c:pt idx="13">
                  <c:v>0</c:v>
                </c:pt>
                <c:pt idx="14">
                  <c:v>34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180</c:v>
                </c:pt>
                <c:pt idx="21">
                  <c:v>180</c:v>
                </c:pt>
                <c:pt idx="22">
                  <c:v>629</c:v>
                </c:pt>
                <c:pt idx="23">
                  <c:v>0</c:v>
                </c:pt>
                <c:pt idx="24">
                  <c:v>0</c:v>
                </c:pt>
                <c:pt idx="25">
                  <c:v>2878</c:v>
                </c:pt>
                <c:pt idx="26">
                  <c:v>0</c:v>
                </c:pt>
                <c:pt idx="27">
                  <c:v>1860</c:v>
                </c:pt>
                <c:pt idx="28">
                  <c:v>328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F9CB-49A0-A4C4-9F8473DA4100}"/>
            </c:ext>
          </c:extLst>
        </c:ser>
        <c:ser>
          <c:idx val="7"/>
          <c:order val="7"/>
          <c:tx>
            <c:strRef>
              <c:f>Graph!$J$1</c:f>
              <c:strCache>
                <c:ptCount val="1"/>
                <c:pt idx="0">
                  <c:v>Medical and Pathology Laboratory scientists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Graph!$B$20:$B$48</c:f>
              <c:strCache>
                <c:ptCount val="29"/>
                <c:pt idx="0">
                  <c:v>ERI</c:v>
                </c:pt>
                <c:pt idx="1">
                  <c:v>BWA</c:v>
                </c:pt>
                <c:pt idx="2">
                  <c:v>SSD</c:v>
                </c:pt>
                <c:pt idx="3">
                  <c:v>MOZ</c:v>
                </c:pt>
                <c:pt idx="4">
                  <c:v>SEN</c:v>
                </c:pt>
                <c:pt idx="5">
                  <c:v>SLE</c:v>
                </c:pt>
                <c:pt idx="6">
                  <c:v>BDI</c:v>
                </c:pt>
                <c:pt idx="7">
                  <c:v>NAM</c:v>
                </c:pt>
                <c:pt idx="8">
                  <c:v>ZWE</c:v>
                </c:pt>
                <c:pt idx="9">
                  <c:v>NER</c:v>
                </c:pt>
                <c:pt idx="10">
                  <c:v>MWI</c:v>
                </c:pt>
                <c:pt idx="11">
                  <c:v>KEN</c:v>
                </c:pt>
                <c:pt idx="12">
                  <c:v>CIV</c:v>
                </c:pt>
                <c:pt idx="13">
                  <c:v>GNQ</c:v>
                </c:pt>
                <c:pt idx="14">
                  <c:v>GIN</c:v>
                </c:pt>
                <c:pt idx="15">
                  <c:v>BEN</c:v>
                </c:pt>
                <c:pt idx="16">
                  <c:v>AGO</c:v>
                </c:pt>
                <c:pt idx="17">
                  <c:v>CMR</c:v>
                </c:pt>
                <c:pt idx="18">
                  <c:v>BFA</c:v>
                </c:pt>
                <c:pt idx="19">
                  <c:v>MDG</c:v>
                </c:pt>
                <c:pt idx="20">
                  <c:v>TCD</c:v>
                </c:pt>
                <c:pt idx="21">
                  <c:v>ZMB</c:v>
                </c:pt>
                <c:pt idx="22">
                  <c:v>TZA</c:v>
                </c:pt>
                <c:pt idx="23">
                  <c:v>NGA</c:v>
                </c:pt>
                <c:pt idx="24">
                  <c:v>ZAF</c:v>
                </c:pt>
                <c:pt idx="25">
                  <c:v>ETH</c:v>
                </c:pt>
                <c:pt idx="26">
                  <c:v>GHA</c:v>
                </c:pt>
                <c:pt idx="27">
                  <c:v>UGA</c:v>
                </c:pt>
                <c:pt idx="28">
                  <c:v>COD</c:v>
                </c:pt>
              </c:strCache>
            </c:strRef>
          </c:cat>
          <c:val>
            <c:numRef>
              <c:f>Graph!$J$20:$J$48</c:f>
              <c:numCache>
                <c:formatCode>General</c:formatCode>
                <c:ptCount val="29"/>
                <c:pt idx="0">
                  <c:v>0</c:v>
                </c:pt>
                <c:pt idx="1">
                  <c:v>189</c:v>
                </c:pt>
                <c:pt idx="2">
                  <c:v>681</c:v>
                </c:pt>
                <c:pt idx="3">
                  <c:v>248</c:v>
                </c:pt>
                <c:pt idx="4">
                  <c:v>36</c:v>
                </c:pt>
                <c:pt idx="5">
                  <c:v>90</c:v>
                </c:pt>
                <c:pt idx="6">
                  <c:v>322</c:v>
                </c:pt>
                <c:pt idx="7">
                  <c:v>121</c:v>
                </c:pt>
                <c:pt idx="8">
                  <c:v>358</c:v>
                </c:pt>
                <c:pt idx="9">
                  <c:v>45</c:v>
                </c:pt>
                <c:pt idx="10">
                  <c:v>175</c:v>
                </c:pt>
                <c:pt idx="11">
                  <c:v>519</c:v>
                </c:pt>
                <c:pt idx="12">
                  <c:v>1106</c:v>
                </c:pt>
                <c:pt idx="13">
                  <c:v>27</c:v>
                </c:pt>
                <c:pt idx="14">
                  <c:v>27</c:v>
                </c:pt>
                <c:pt idx="15">
                  <c:v>1113</c:v>
                </c:pt>
                <c:pt idx="16">
                  <c:v>0</c:v>
                </c:pt>
                <c:pt idx="17">
                  <c:v>800</c:v>
                </c:pt>
                <c:pt idx="18">
                  <c:v>0</c:v>
                </c:pt>
                <c:pt idx="19">
                  <c:v>116</c:v>
                </c:pt>
                <c:pt idx="20">
                  <c:v>220</c:v>
                </c:pt>
                <c:pt idx="21">
                  <c:v>282</c:v>
                </c:pt>
                <c:pt idx="22">
                  <c:v>428</c:v>
                </c:pt>
                <c:pt idx="23">
                  <c:v>1774</c:v>
                </c:pt>
                <c:pt idx="24">
                  <c:v>451</c:v>
                </c:pt>
                <c:pt idx="25">
                  <c:v>1220</c:v>
                </c:pt>
                <c:pt idx="26">
                  <c:v>396</c:v>
                </c:pt>
                <c:pt idx="27">
                  <c:v>3610</c:v>
                </c:pt>
                <c:pt idx="28">
                  <c:v>2571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F9CB-49A0-A4C4-9F8473DA4100}"/>
            </c:ext>
          </c:extLst>
        </c:ser>
        <c:ser>
          <c:idx val="8"/>
          <c:order val="8"/>
          <c:tx>
            <c:strRef>
              <c:f>Graph!$K$1</c:f>
              <c:strCache>
                <c:ptCount val="1"/>
                <c:pt idx="0">
                  <c:v>Paramedical Practitioners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Graph!$B$20:$B$48</c:f>
              <c:strCache>
                <c:ptCount val="29"/>
                <c:pt idx="0">
                  <c:v>ERI</c:v>
                </c:pt>
                <c:pt idx="1">
                  <c:v>BWA</c:v>
                </c:pt>
                <c:pt idx="2">
                  <c:v>SSD</c:v>
                </c:pt>
                <c:pt idx="3">
                  <c:v>MOZ</c:v>
                </c:pt>
                <c:pt idx="4">
                  <c:v>SEN</c:v>
                </c:pt>
                <c:pt idx="5">
                  <c:v>SLE</c:v>
                </c:pt>
                <c:pt idx="6">
                  <c:v>BDI</c:v>
                </c:pt>
                <c:pt idx="7">
                  <c:v>NAM</c:v>
                </c:pt>
                <c:pt idx="8">
                  <c:v>ZWE</c:v>
                </c:pt>
                <c:pt idx="9">
                  <c:v>NER</c:v>
                </c:pt>
                <c:pt idx="10">
                  <c:v>MWI</c:v>
                </c:pt>
                <c:pt idx="11">
                  <c:v>KEN</c:v>
                </c:pt>
                <c:pt idx="12">
                  <c:v>CIV</c:v>
                </c:pt>
                <c:pt idx="13">
                  <c:v>GNQ</c:v>
                </c:pt>
                <c:pt idx="14">
                  <c:v>GIN</c:v>
                </c:pt>
                <c:pt idx="15">
                  <c:v>BEN</c:v>
                </c:pt>
                <c:pt idx="16">
                  <c:v>AGO</c:v>
                </c:pt>
                <c:pt idx="17">
                  <c:v>CMR</c:v>
                </c:pt>
                <c:pt idx="18">
                  <c:v>BFA</c:v>
                </c:pt>
                <c:pt idx="19">
                  <c:v>MDG</c:v>
                </c:pt>
                <c:pt idx="20">
                  <c:v>TCD</c:v>
                </c:pt>
                <c:pt idx="21">
                  <c:v>ZMB</c:v>
                </c:pt>
                <c:pt idx="22">
                  <c:v>TZA</c:v>
                </c:pt>
                <c:pt idx="23">
                  <c:v>NGA</c:v>
                </c:pt>
                <c:pt idx="24">
                  <c:v>ZAF</c:v>
                </c:pt>
                <c:pt idx="25">
                  <c:v>ETH</c:v>
                </c:pt>
                <c:pt idx="26">
                  <c:v>GHA</c:v>
                </c:pt>
                <c:pt idx="27">
                  <c:v>UGA</c:v>
                </c:pt>
                <c:pt idx="28">
                  <c:v>COD</c:v>
                </c:pt>
              </c:strCache>
            </c:strRef>
          </c:cat>
          <c:val>
            <c:numRef>
              <c:f>Graph!$K$20:$K$48</c:f>
              <c:numCache>
                <c:formatCode>General</c:formatCode>
                <c:ptCount val="29"/>
                <c:pt idx="0">
                  <c:v>0</c:v>
                </c:pt>
                <c:pt idx="1">
                  <c:v>30</c:v>
                </c:pt>
                <c:pt idx="2">
                  <c:v>0</c:v>
                </c:pt>
                <c:pt idx="3">
                  <c:v>20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100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1613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F9CB-49A0-A4C4-9F8473DA4100}"/>
            </c:ext>
          </c:extLst>
        </c:ser>
        <c:ser>
          <c:idx val="9"/>
          <c:order val="9"/>
          <c:tx>
            <c:strRef>
              <c:f>Graph!$L$1</c:f>
              <c:strCache>
                <c:ptCount val="1"/>
                <c:pt idx="0">
                  <c:v>Other Health Workers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Graph!$B$20:$B$48</c:f>
              <c:strCache>
                <c:ptCount val="29"/>
                <c:pt idx="0">
                  <c:v>ERI</c:v>
                </c:pt>
                <c:pt idx="1">
                  <c:v>BWA</c:v>
                </c:pt>
                <c:pt idx="2">
                  <c:v>SSD</c:v>
                </c:pt>
                <c:pt idx="3">
                  <c:v>MOZ</c:v>
                </c:pt>
                <c:pt idx="4">
                  <c:v>SEN</c:v>
                </c:pt>
                <c:pt idx="5">
                  <c:v>SLE</c:v>
                </c:pt>
                <c:pt idx="6">
                  <c:v>BDI</c:v>
                </c:pt>
                <c:pt idx="7">
                  <c:v>NAM</c:v>
                </c:pt>
                <c:pt idx="8">
                  <c:v>ZWE</c:v>
                </c:pt>
                <c:pt idx="9">
                  <c:v>NER</c:v>
                </c:pt>
                <c:pt idx="10">
                  <c:v>MWI</c:v>
                </c:pt>
                <c:pt idx="11">
                  <c:v>KEN</c:v>
                </c:pt>
                <c:pt idx="12">
                  <c:v>CIV</c:v>
                </c:pt>
                <c:pt idx="13">
                  <c:v>GNQ</c:v>
                </c:pt>
                <c:pt idx="14">
                  <c:v>GIN</c:v>
                </c:pt>
                <c:pt idx="15">
                  <c:v>BEN</c:v>
                </c:pt>
                <c:pt idx="16">
                  <c:v>AGO</c:v>
                </c:pt>
                <c:pt idx="17">
                  <c:v>CMR</c:v>
                </c:pt>
                <c:pt idx="18">
                  <c:v>BFA</c:v>
                </c:pt>
                <c:pt idx="19">
                  <c:v>MDG</c:v>
                </c:pt>
                <c:pt idx="20">
                  <c:v>TCD</c:v>
                </c:pt>
                <c:pt idx="21">
                  <c:v>ZMB</c:v>
                </c:pt>
                <c:pt idx="22">
                  <c:v>TZA</c:v>
                </c:pt>
                <c:pt idx="23">
                  <c:v>NGA</c:v>
                </c:pt>
                <c:pt idx="24">
                  <c:v>ZAF</c:v>
                </c:pt>
                <c:pt idx="25">
                  <c:v>ETH</c:v>
                </c:pt>
                <c:pt idx="26">
                  <c:v>GHA</c:v>
                </c:pt>
                <c:pt idx="27">
                  <c:v>UGA</c:v>
                </c:pt>
                <c:pt idx="28">
                  <c:v>COD</c:v>
                </c:pt>
              </c:strCache>
            </c:strRef>
          </c:cat>
          <c:val>
            <c:numRef>
              <c:f>Graph!$L$20:$L$48</c:f>
              <c:numCache>
                <c:formatCode>General</c:formatCode>
                <c:ptCount val="29"/>
                <c:pt idx="0">
                  <c:v>1023</c:v>
                </c:pt>
                <c:pt idx="1">
                  <c:v>597</c:v>
                </c:pt>
                <c:pt idx="2">
                  <c:v>484</c:v>
                </c:pt>
                <c:pt idx="4">
                  <c:v>710</c:v>
                </c:pt>
                <c:pt idx="5">
                  <c:v>186</c:v>
                </c:pt>
                <c:pt idx="6">
                  <c:v>194</c:v>
                </c:pt>
                <c:pt idx="7">
                  <c:v>175</c:v>
                </c:pt>
                <c:pt idx="8">
                  <c:v>421</c:v>
                </c:pt>
                <c:pt idx="9">
                  <c:v>1891</c:v>
                </c:pt>
                <c:pt idx="10">
                  <c:v>616</c:v>
                </c:pt>
                <c:pt idx="11">
                  <c:v>366</c:v>
                </c:pt>
                <c:pt idx="12">
                  <c:v>450</c:v>
                </c:pt>
                <c:pt idx="13">
                  <c:v>1304</c:v>
                </c:pt>
                <c:pt idx="14">
                  <c:v>1304</c:v>
                </c:pt>
                <c:pt idx="15">
                  <c:v>1194</c:v>
                </c:pt>
                <c:pt idx="19">
                  <c:v>297</c:v>
                </c:pt>
                <c:pt idx="21">
                  <c:v>400</c:v>
                </c:pt>
                <c:pt idx="22">
                  <c:v>5457</c:v>
                </c:pt>
                <c:pt idx="24">
                  <c:v>13559</c:v>
                </c:pt>
                <c:pt idx="25">
                  <c:v>3672</c:v>
                </c:pt>
                <c:pt idx="27">
                  <c:v>1020</c:v>
                </c:pt>
                <c:pt idx="28">
                  <c:v>3151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F9CB-49A0-A4C4-9F8473DA41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743708824"/>
        <c:axId val="743710792"/>
      </c:barChart>
      <c:catAx>
        <c:axId val="7437088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KE"/>
          </a:p>
        </c:txPr>
        <c:crossAx val="743710792"/>
        <c:crosses val="autoZero"/>
        <c:auto val="1"/>
        <c:lblAlgn val="ctr"/>
        <c:lblOffset val="100"/>
        <c:noMultiLvlLbl val="0"/>
      </c:catAx>
      <c:valAx>
        <c:axId val="743710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KE"/>
          </a:p>
        </c:txPr>
        <c:crossAx val="743708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0098425196850394E-3"/>
          <c:y val="0.77428763108647292"/>
          <c:w val="0.9864245406824147"/>
          <c:h val="0.2157472468407816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en-K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 Narrow" panose="020B0606020202030204" pitchFamily="34" charset="0"/>
        </a:defRPr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495299</xdr:colOff>
      <xdr:row>1</xdr:row>
      <xdr:rowOff>171450</xdr:rowOff>
    </xdr:from>
    <xdr:to>
      <xdr:col>22</xdr:col>
      <xdr:colOff>142875</xdr:colOff>
      <xdr:row>37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560D1C-EECC-9642-0320-FBB3C89D41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37212524\Desktop\CHPE%20ACTIVITIES\WHO%20PROJECT%20PROPOSAL\CONSULTANCY\2024\Education,%20migration,%20governance.xlsx" TargetMode="External"/><Relationship Id="rId1" Type="http://schemas.openxmlformats.org/officeDocument/2006/relationships/externalLinkPath" Target="file:///C:\Users\37212524\Desktop\CHPE%20ACTIVITIES\WHO%20PROJECT%20PROPOSAL\CONSULTANCY\2024\Education,%20migration,%20governanc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emale in leadership"/>
      <sheetName val="Sheet3"/>
      <sheetName val="Sheet6"/>
      <sheetName val="Sheet11"/>
      <sheetName val="Accreditation"/>
      <sheetName val="Accreditation-Pivot"/>
      <sheetName val="E_Applications"/>
      <sheetName val="Sheet4"/>
      <sheetName val="G_Existence of HWF Unit"/>
      <sheetName val="G_Alignment of educa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mes Avoka Asamani" refreshedDate="45355.95460740741" createdVersion="8" refreshedVersion="8" minRefreshableVersion="3" recordCount="48" xr:uid="{AB45801D-F58A-464A-8F97-6D798ACC670D}">
  <cacheSource type="worksheet">
    <worksheetSource name="Table1"/>
  </cacheSource>
  <cacheFields count="15">
    <cacheField name="Country" numFmtId="0">
      <sharedItems count="48">
        <s v="Algeria"/>
        <s v="Angola"/>
        <s v="Benin"/>
        <s v="Botswana"/>
        <s v="Burkina Faso"/>
        <s v="Burundi"/>
        <s v="Cameroon"/>
        <s v="Cabo Verde"/>
        <s v="Central African Republic"/>
        <s v="Chad"/>
        <s v="Comoros"/>
        <s v="Congo"/>
        <s v="Cote d'Ivoire"/>
        <s v="Democratic Republic of the Congo"/>
        <s v="Equatorial Guinea"/>
        <s v="Eritrea"/>
        <s v="Eswatini"/>
        <s v="Ethiopia"/>
        <s v="Gabon"/>
        <s v="Gambia"/>
        <s v="Ghana"/>
        <s v="Guinea"/>
        <s v="Guinea-Bissau"/>
        <s v="Kenya"/>
        <s v="Lesotho"/>
        <s v="Liberia"/>
        <s v="Madagascar"/>
        <s v="Malawi"/>
        <s v="Mali"/>
        <s v="Mauritania"/>
        <s v="Mauritius"/>
        <s v="Mozambique"/>
        <s v="Namibia"/>
        <s v="Niger"/>
        <s v="Nigeria"/>
        <s v="Rwanda"/>
        <s v="Sao Tome and Principe"/>
        <s v="Senegal"/>
        <s v="Seychelles"/>
        <s v="Sierra Leone"/>
        <s v="South Africa"/>
        <s v="South Sudan"/>
        <s v="Tanzania"/>
        <s v="Togo"/>
        <s v="Uganda"/>
        <s v="Zambia"/>
        <s v="Zimbabwe"/>
        <s v="Total (row)"/>
      </sharedItems>
    </cacheField>
    <cacheField name="Generalist Medical Practitioners" numFmtId="0">
      <sharedItems containsString="0" containsBlank="1" containsNumber="1" containsInteger="1" minValue="8" maxValue="26009"/>
    </cacheField>
    <cacheField name="Specialist Medical Practitioners" numFmtId="0">
      <sharedItems containsString="0" containsBlank="1" containsNumber="1" containsInteger="1" minValue="3" maxValue="4965"/>
    </cacheField>
    <cacheField name="Dentists" numFmtId="0">
      <sharedItems containsString="0" containsBlank="1" containsNumber="1" containsInteger="1" minValue="7" maxValue="2143"/>
    </cacheField>
    <cacheField name="Other Dental practitioners" numFmtId="0">
      <sharedItems containsString="0" containsBlank="1" containsNumber="1" containsInteger="1" minValue="7" maxValue="377"/>
    </cacheField>
    <cacheField name="Pharmacists" numFmtId="0">
      <sharedItems containsString="0" containsBlank="1" containsNumber="1" containsInteger="1" minValue="2" maxValue="5551"/>
    </cacheField>
    <cacheField name="Other Pharmacy practitioners" numFmtId="0">
      <sharedItems containsString="0" containsBlank="1" containsNumber="1" containsInteger="1" minValue="5" maxValue="6480"/>
    </cacheField>
    <cacheField name="Midwifery personnel" numFmtId="0">
      <sharedItems containsString="0" containsBlank="1" containsNumber="1" containsInteger="1" minValue="10" maxValue="35683"/>
    </cacheField>
    <cacheField name="Nursing Professionals" numFmtId="165">
      <sharedItems containsBlank="1" containsMixedTypes="1" containsNumber="1" containsInteger="1" minValue="40" maxValue="120139"/>
    </cacheField>
    <cacheField name="Medical and Pathology Laboratory scientists" numFmtId="0">
      <sharedItems containsString="0" containsBlank="1" containsNumber="1" containsInteger="1" minValue="6" maxValue="14347"/>
    </cacheField>
    <cacheField name="Paramedical Practitioners" numFmtId="0">
      <sharedItems containsString="0" containsBlank="1" containsNumber="1" containsInteger="1" minValue="20" maxValue="1813"/>
    </cacheField>
    <cacheField name="Other Health Workers" numFmtId="0">
      <sharedItems containsString="0" containsBlank="1" containsNumber="1" containsInteger="1" minValue="39" maxValue="37308"/>
    </cacheField>
    <cacheField name="Total" numFmtId="0">
      <sharedItems containsSemiMixedTypes="0" containsString="0" containsNumber="1" containsInteger="1" minValue="0" maxValue="254815"/>
    </cacheField>
    <cacheField name="Year " numFmtId="0">
      <sharedItems containsBlank="1" containsMixedTypes="1" containsNumber="1" containsInteger="1" minValue="2022" maxValue="2022"/>
    </cacheField>
    <cacheField name="Sourc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x v="0"/>
    <n v="3000"/>
    <m/>
    <m/>
    <m/>
    <m/>
    <m/>
    <m/>
    <m/>
    <m/>
    <m/>
    <m/>
    <n v="3000"/>
    <m/>
    <m/>
  </r>
  <r>
    <x v="1"/>
    <n v="611"/>
    <m/>
    <n v="145"/>
    <m/>
    <n v="529"/>
    <m/>
    <m/>
    <n v="2950"/>
    <m/>
    <m/>
    <m/>
    <n v="4235"/>
    <s v="Dent-2018;"/>
    <m/>
  </r>
  <r>
    <x v="2"/>
    <n v="780"/>
    <n v="385"/>
    <m/>
    <m/>
    <n v="143"/>
    <m/>
    <n v="247"/>
    <n v="257"/>
    <n v="1113"/>
    <m/>
    <n v="1194"/>
    <n v="4119"/>
    <s v="Med-2021; Pharm-2021;Mid-2021; Nur-2021;Biom-2021; others-2021"/>
    <s v="1900 doctors from HLMA dataset"/>
  </r>
  <r>
    <x v="3"/>
    <n v="60"/>
    <n v="48"/>
    <n v="7"/>
    <n v="10"/>
    <n v="95"/>
    <n v="60"/>
    <n v="40"/>
    <s v="490`"/>
    <n v="189"/>
    <n v="30"/>
    <n v="597"/>
    <n v="1136"/>
    <s v="2022 for all"/>
    <m/>
  </r>
  <r>
    <x v="4"/>
    <n v="1492"/>
    <n v="385"/>
    <n v="62"/>
    <m/>
    <n v="594"/>
    <m/>
    <n v="1170"/>
    <n v="1170"/>
    <m/>
    <m/>
    <m/>
    <n v="4873"/>
    <m/>
    <m/>
  </r>
  <r>
    <x v="5"/>
    <n v="325"/>
    <n v="240"/>
    <m/>
    <m/>
    <n v="39"/>
    <m/>
    <n v="196"/>
    <n v="1467"/>
    <n v="322"/>
    <m/>
    <n v="194"/>
    <n v="2783"/>
    <s v="2018 dataset"/>
    <m/>
  </r>
  <r>
    <x v="6"/>
    <n v="800"/>
    <m/>
    <m/>
    <m/>
    <m/>
    <m/>
    <m/>
    <n v="2660"/>
    <n v="800"/>
    <m/>
    <m/>
    <n v="4260"/>
    <m/>
    <m/>
  </r>
  <r>
    <x v="7"/>
    <m/>
    <m/>
    <m/>
    <n v="7"/>
    <m/>
    <m/>
    <m/>
    <m/>
    <m/>
    <m/>
    <n v="83"/>
    <n v="90"/>
    <m/>
    <m/>
  </r>
  <r>
    <x v="8"/>
    <n v="18"/>
    <m/>
    <m/>
    <m/>
    <m/>
    <m/>
    <m/>
    <m/>
    <m/>
    <m/>
    <m/>
    <n v="18"/>
    <m/>
    <m/>
  </r>
  <r>
    <x v="9"/>
    <n v="330"/>
    <n v="30"/>
    <m/>
    <m/>
    <n v="80"/>
    <n v="180"/>
    <n v="2084"/>
    <n v="29020"/>
    <n v="220"/>
    <m/>
    <m/>
    <n v="31944"/>
    <m/>
    <m/>
  </r>
  <r>
    <x v="10"/>
    <m/>
    <m/>
    <m/>
    <m/>
    <m/>
    <m/>
    <n v="29"/>
    <n v="40"/>
    <m/>
    <m/>
    <m/>
    <n v="69"/>
    <s v="2021 for all"/>
    <m/>
  </r>
  <r>
    <x v="11"/>
    <n v="60"/>
    <n v="315"/>
    <m/>
    <n v="10"/>
    <m/>
    <n v="5"/>
    <n v="120"/>
    <n v="60"/>
    <m/>
    <n v="50"/>
    <n v="408"/>
    <n v="1028"/>
    <s v="2022 for all"/>
    <m/>
  </r>
  <r>
    <x v="12"/>
    <n v="254"/>
    <n v="48"/>
    <m/>
    <m/>
    <m/>
    <n v="151"/>
    <m/>
    <n v="1007"/>
    <n v="1106"/>
    <m/>
    <n v="450"/>
    <n v="3016"/>
    <m/>
    <m/>
  </r>
  <r>
    <x v="13"/>
    <m/>
    <m/>
    <m/>
    <m/>
    <m/>
    <m/>
    <m/>
    <m/>
    <m/>
    <m/>
    <n v="84"/>
    <n v="84"/>
    <m/>
    <m/>
  </r>
  <r>
    <x v="14"/>
    <n v="767"/>
    <m/>
    <m/>
    <m/>
    <m/>
    <m/>
    <n v="492"/>
    <n v="962"/>
    <n v="27"/>
    <m/>
    <n v="1304"/>
    <n v="3552"/>
    <m/>
    <m/>
  </r>
  <r>
    <x v="15"/>
    <m/>
    <m/>
    <m/>
    <m/>
    <m/>
    <m/>
    <m/>
    <n v="400"/>
    <m/>
    <m/>
    <n v="1023"/>
    <n v="1423"/>
    <s v="Nurs-2022"/>
    <m/>
  </r>
  <r>
    <x v="16"/>
    <m/>
    <m/>
    <m/>
    <m/>
    <n v="44"/>
    <n v="30"/>
    <n v="80"/>
    <n v="160"/>
    <n v="78"/>
    <m/>
    <n v="58"/>
    <n v="450"/>
    <m/>
    <m/>
  </r>
  <r>
    <x v="17"/>
    <n v="3114"/>
    <n v="880"/>
    <n v="189"/>
    <n v="64"/>
    <n v="699"/>
    <n v="2878"/>
    <n v="2440"/>
    <n v="6298"/>
    <n v="1220"/>
    <n v="1613"/>
    <n v="3672"/>
    <n v="23067"/>
    <s v="2022-all"/>
    <s v="pharmacist from 2018"/>
  </r>
  <r>
    <x v="18"/>
    <n v="46"/>
    <n v="16"/>
    <m/>
    <m/>
    <n v="2"/>
    <m/>
    <n v="34"/>
    <n v="95"/>
    <n v="6"/>
    <m/>
    <m/>
    <n v="199"/>
    <m/>
    <m/>
  </r>
  <r>
    <x v="19"/>
    <n v="23"/>
    <m/>
    <m/>
    <m/>
    <m/>
    <m/>
    <m/>
    <n v="137"/>
    <n v="6"/>
    <m/>
    <m/>
    <n v="166"/>
    <m/>
    <m/>
  </r>
  <r>
    <x v="20"/>
    <n v="1566"/>
    <m/>
    <m/>
    <m/>
    <n v="343"/>
    <m/>
    <n v="4827"/>
    <n v="21271"/>
    <n v="396"/>
    <m/>
    <m/>
    <n v="28403"/>
    <n v="2022"/>
    <s v="HLMA 2023; Ismaila (2023) "/>
  </r>
  <r>
    <x v="21"/>
    <n v="767"/>
    <n v="74"/>
    <m/>
    <m/>
    <n v="113"/>
    <n v="34"/>
    <n v="492"/>
    <n v="964"/>
    <n v="27"/>
    <m/>
    <n v="1304"/>
    <n v="3775"/>
    <m/>
    <m/>
  </r>
  <r>
    <x v="22"/>
    <m/>
    <m/>
    <m/>
    <m/>
    <m/>
    <m/>
    <m/>
    <m/>
    <n v="23"/>
    <m/>
    <n v="489"/>
    <n v="512"/>
    <m/>
    <m/>
  </r>
  <r>
    <x v="23"/>
    <n v="558"/>
    <m/>
    <n v="36"/>
    <m/>
    <n v="379"/>
    <n v="20"/>
    <m/>
    <n v="1070"/>
    <n v="519"/>
    <m/>
    <n v="366"/>
    <n v="2948"/>
    <s v="Dentist-2018; CMHW-2022; Biom -2018;"/>
    <s v="HLMA data"/>
  </r>
  <r>
    <x v="24"/>
    <n v="8"/>
    <n v="22"/>
    <n v="8"/>
    <m/>
    <n v="33"/>
    <n v="20"/>
    <n v="69"/>
    <n v="376"/>
    <n v="20"/>
    <m/>
    <m/>
    <n v="556"/>
    <m/>
    <s v="HLMA extracted data"/>
  </r>
  <r>
    <x v="25"/>
    <n v="29"/>
    <n v="50"/>
    <m/>
    <m/>
    <n v="22"/>
    <m/>
    <m/>
    <n v="63"/>
    <n v="56"/>
    <m/>
    <n v="50"/>
    <n v="270"/>
    <m/>
    <m/>
  </r>
  <r>
    <x v="26"/>
    <n v="316"/>
    <n v="156"/>
    <m/>
    <m/>
    <m/>
    <m/>
    <n v="2473"/>
    <n v="2540"/>
    <n v="116"/>
    <m/>
    <n v="297"/>
    <n v="5898"/>
    <m/>
    <m/>
  </r>
  <r>
    <x v="27"/>
    <n v="115"/>
    <n v="167"/>
    <m/>
    <m/>
    <n v="110"/>
    <n v="189"/>
    <n v="1171"/>
    <n v="386"/>
    <n v="175"/>
    <m/>
    <n v="616"/>
    <n v="2929"/>
    <m/>
    <m/>
  </r>
  <r>
    <x v="28"/>
    <m/>
    <m/>
    <m/>
    <m/>
    <m/>
    <m/>
    <m/>
    <m/>
    <m/>
    <m/>
    <m/>
    <n v="0"/>
    <m/>
    <m/>
  </r>
  <r>
    <x v="29"/>
    <m/>
    <n v="76"/>
    <m/>
    <m/>
    <m/>
    <m/>
    <m/>
    <n v="113"/>
    <m/>
    <m/>
    <n v="366"/>
    <n v="555"/>
    <m/>
    <m/>
  </r>
  <r>
    <x v="30"/>
    <n v="432"/>
    <m/>
    <m/>
    <m/>
    <m/>
    <m/>
    <n v="40"/>
    <n v="175"/>
    <m/>
    <m/>
    <n v="39"/>
    <n v="686"/>
    <n v="2022"/>
    <s v="SADC dataset"/>
  </r>
  <r>
    <x v="31"/>
    <n v="819"/>
    <n v="146"/>
    <n v="161"/>
    <m/>
    <m/>
    <n v="112"/>
    <n v="140"/>
    <n v="580"/>
    <n v="248"/>
    <n v="20"/>
    <m/>
    <n v="2226"/>
    <m/>
    <s v="capacity-HLMA data extracted"/>
  </r>
  <r>
    <x v="32"/>
    <n v="475"/>
    <n v="3"/>
    <m/>
    <m/>
    <n v="247"/>
    <n v="31"/>
    <n v="1414"/>
    <n v="200"/>
    <n v="121"/>
    <m/>
    <n v="175"/>
    <n v="2666"/>
    <m/>
    <s v="capacity-HLMA data extracted, Nurs from 2018 dataset,"/>
  </r>
  <r>
    <x v="33"/>
    <n v="370"/>
    <n v="14"/>
    <m/>
    <m/>
    <m/>
    <m/>
    <n v="124"/>
    <n v="305"/>
    <n v="45"/>
    <m/>
    <n v="1891"/>
    <n v="2749"/>
    <s v="Med-2021,2022; Nurs-2022; Midw-2022; Other-2021,2022, CHW-2021"/>
    <m/>
  </r>
  <r>
    <x v="34"/>
    <n v="4340"/>
    <m/>
    <n v="459"/>
    <m/>
    <m/>
    <m/>
    <n v="375"/>
    <n v="12835"/>
    <n v="1774"/>
    <m/>
    <m/>
    <n v="19783"/>
    <m/>
    <m/>
  </r>
  <r>
    <x v="35"/>
    <n v="11"/>
    <m/>
    <m/>
    <m/>
    <n v="95"/>
    <m/>
    <n v="176"/>
    <n v="355"/>
    <m/>
    <m/>
    <n v="81"/>
    <n v="718"/>
    <m/>
    <m/>
  </r>
  <r>
    <x v="36"/>
    <m/>
    <m/>
    <m/>
    <m/>
    <m/>
    <m/>
    <m/>
    <m/>
    <m/>
    <m/>
    <m/>
    <n v="0"/>
    <m/>
    <m/>
  </r>
  <r>
    <x v="37"/>
    <n v="529"/>
    <m/>
    <n v="70"/>
    <m/>
    <n v="289"/>
    <m/>
    <n v="3600"/>
    <n v="3500"/>
    <n v="36"/>
    <m/>
    <n v="710"/>
    <n v="8734"/>
    <m/>
    <s v="Others from 2018 dataset"/>
  </r>
  <r>
    <x v="38"/>
    <n v="10"/>
    <m/>
    <m/>
    <m/>
    <m/>
    <n v="20"/>
    <n v="10"/>
    <n v="40"/>
    <m/>
    <m/>
    <n v="80"/>
    <n v="160"/>
    <m/>
    <m/>
  </r>
  <r>
    <x v="39"/>
    <n v="217"/>
    <m/>
    <m/>
    <m/>
    <n v="69"/>
    <n v="51"/>
    <n v="120"/>
    <n v="1755"/>
    <n v="90"/>
    <m/>
    <n v="186"/>
    <n v="2488"/>
    <m/>
    <s v="Lower figure sreoirted on extracted data"/>
  </r>
  <r>
    <x v="40"/>
    <n v="998"/>
    <m/>
    <n v="805"/>
    <m/>
    <n v="1291"/>
    <m/>
    <m/>
    <n v="3154"/>
    <n v="451"/>
    <m/>
    <n v="13559"/>
    <n v="20258"/>
    <m/>
    <s v="2030 starategic plan"/>
  </r>
  <r>
    <x v="41"/>
    <m/>
    <m/>
    <m/>
    <m/>
    <m/>
    <m/>
    <n v="307"/>
    <n v="241"/>
    <n v="681"/>
    <m/>
    <n v="484"/>
    <n v="1713"/>
    <m/>
    <s v="2018 dataset"/>
  </r>
  <r>
    <x v="42"/>
    <n v="330"/>
    <n v="1597"/>
    <n v="80"/>
    <m/>
    <m/>
    <n v="629"/>
    <n v="2084"/>
    <n v="2920"/>
    <n v="17"/>
    <m/>
    <n v="5457"/>
    <n v="13114"/>
    <m/>
    <s v="Other and Medical specialist from 2018 dataHLMA dsts extracted"/>
  </r>
  <r>
    <x v="43"/>
    <n v="77"/>
    <n v="37"/>
    <m/>
    <m/>
    <n v="60"/>
    <m/>
    <n v="130"/>
    <n v="240"/>
    <n v="215"/>
    <m/>
    <n v="250"/>
    <n v="1009"/>
    <m/>
    <s v="other, Med specialis-2018;"/>
  </r>
  <r>
    <x v="44"/>
    <n v="1997"/>
    <n v="246"/>
    <n v="41"/>
    <n v="220"/>
    <n v="120"/>
    <n v="1860"/>
    <n v="8990"/>
    <n v="14001"/>
    <n v="3610"/>
    <m/>
    <n v="1020"/>
    <n v="32105"/>
    <m/>
    <s v="Den-2018, specialist-2018"/>
  </r>
  <r>
    <x v="45"/>
    <n v="100"/>
    <m/>
    <m/>
    <n v="36"/>
    <m/>
    <n v="180"/>
    <n v="1939"/>
    <n v="5272"/>
    <n v="282"/>
    <n v="100"/>
    <n v="400"/>
    <n v="8309"/>
    <m/>
    <s v="Zambia HLMA"/>
  </r>
  <r>
    <x v="46"/>
    <n v="265"/>
    <n v="30"/>
    <n v="80"/>
    <n v="30"/>
    <n v="155"/>
    <n v="30"/>
    <n v="270"/>
    <n v="1100"/>
    <n v="358"/>
    <m/>
    <n v="421"/>
    <n v="2739"/>
    <s v="2022 data set for -all"/>
    <m/>
  </r>
  <r>
    <x v="47"/>
    <n v="26009"/>
    <n v="4965"/>
    <n v="2143"/>
    <n v="377"/>
    <n v="5551"/>
    <n v="6480"/>
    <n v="35683"/>
    <n v="120139"/>
    <n v="14347"/>
    <n v="1813"/>
    <n v="37308"/>
    <n v="254815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9EF861-4139-EE4A-A2C0-19491D335539}" name="PivotTable8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M52" firstHeaderRow="0" firstDataRow="1" firstDataCol="1"/>
  <pivotFields count="15">
    <pivotField axis="axisRow" showAll="0">
      <items count="49">
        <item x="0"/>
        <item x="1"/>
        <item x="2"/>
        <item x="3"/>
        <item x="4"/>
        <item x="5"/>
        <item x="7"/>
        <item x="6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7"/>
        <item x="44"/>
        <item x="45"/>
        <item x="46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</pivotFields>
  <rowFields count="1">
    <field x="0"/>
  </rowFields>
  <rowItems count="4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 t="grand">
      <x/>
    </i>
  </rowItems>
  <colFields count="1">
    <field x="-2"/>
  </colFields>
  <col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colItems>
  <dataFields count="12">
    <dataField name="Sum of Generalist Medical Practitioners" fld="1" baseField="0" baseItem="0"/>
    <dataField name="Sum of Specialist Medical Practitioners" fld="2" baseField="0" baseItem="0"/>
    <dataField name="Sum of Dentists" fld="3" baseField="0" baseItem="0"/>
    <dataField name="Sum of Other Dental practitioners" fld="4" baseField="0" baseItem="0"/>
    <dataField name="Sum of Pharmacists" fld="5" baseField="0" baseItem="0"/>
    <dataField name="Sum of Other Pharmacy practitioners" fld="6" baseField="0" baseItem="0"/>
    <dataField name="Sum of Midwifery personnel" fld="7" baseField="0" baseItem="0"/>
    <dataField name="Count of Nursing Professionals" fld="8" subtotal="count" baseField="0" baseItem="0"/>
    <dataField name="Sum of Medical and Pathology Laboratory scientists" fld="9" baseField="0" baseItem="0"/>
    <dataField name="Sum of Paramedical Practitioners" fld="10" baseField="0" baseItem="0"/>
    <dataField name="Sum of Other Health Workers" fld="11" baseField="0" baseItem="0"/>
    <dataField name="Sum of Total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9D67673-6D6E-467D-9D70-491181BAAE3D}" name="Table2" displayName="Table2" ref="A1:O2" totalsRowShown="0">
  <autoFilter ref="A1:O2" xr:uid="{79D67673-6D6E-467D-9D70-491181BAAE3D}"/>
  <tableColumns count="15">
    <tableColumn id="1" xr3:uid="{6AD65157-6618-4564-A6CD-9F4CE0AD7250}" name="Country"/>
    <tableColumn id="2" xr3:uid="{AD79221B-F04E-4C7F-9DC2-CD89E1CED381}" name="Generalist Medical Practitioners"/>
    <tableColumn id="3" xr3:uid="{24D9DDE4-4C5E-47F3-93D6-07C494FF56EE}" name="Specialist Medical Practitioners"/>
    <tableColumn id="4" xr3:uid="{689A800C-9E7F-4BE1-AA0D-827932708728}" name="Dentists"/>
    <tableColumn id="5" xr3:uid="{2289853D-6EBE-4F4C-B88D-1BEC8DA9DEBF}" name="Other Dental practitioners"/>
    <tableColumn id="6" xr3:uid="{2FCFDAB0-B493-46DD-9B8E-AB1B52DF5A0F}" name="Pharmacists"/>
    <tableColumn id="7" xr3:uid="{39142685-7F80-47A9-A048-74754D08D076}" name="Other Pharmacy practitioners"/>
    <tableColumn id="8" xr3:uid="{1B785DEB-844F-4194-BA0E-FD67CFC13E86}" name="Midwifery personnel"/>
    <tableColumn id="9" xr3:uid="{1C6074DB-F530-4D66-A32A-C94FB7C18246}" name="Nursing Professionals"/>
    <tableColumn id="10" xr3:uid="{96E3D330-72A1-4E8D-8CCF-214065FAEE90}" name="Medical and Pathology Laboratory scientists"/>
    <tableColumn id="11" xr3:uid="{49396682-6290-4A18-9AA3-3B5F5520805D}" name="Paramedical Practitioners"/>
    <tableColumn id="12" xr3:uid="{A5AB3550-8821-4ADA-A5BD-D751E598794B}" name="Other Health Workers"/>
    <tableColumn id="13" xr3:uid="{885B9260-C0CF-47C0-8FCB-9FD02C81B34B}" name="Total"/>
    <tableColumn id="14" xr3:uid="{D92DC4DD-F939-443D-AC3C-3322CB36A994}" name="Year "/>
    <tableColumn id="15" xr3:uid="{2FB35C2B-197A-4B24-9941-933B022B121E}" name="Sour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6C5B2E-0E53-9242-B9AB-92D2102473E2}" name="Table1" displayName="Table1" ref="A1:N50" totalsRowCount="1" headerRowDxfId="58">
  <autoFilter ref="A1:N49" xr:uid="{E96C5B2E-0E53-9242-B9AB-92D2102473E2}"/>
  <tableColumns count="14">
    <tableColumn id="1" xr3:uid="{DF7E5635-E61D-6843-890E-A49EAE18CABD}" name="Country" totalsRowLabel="Total" dataDxfId="57" totalsRowDxfId="56"/>
    <tableColumn id="2" xr3:uid="{0A8F987E-BDEA-3346-ABBD-A4C1610D3233}" name="Generalist Medical Practitioners" dataDxfId="55" totalsRowDxfId="54"/>
    <tableColumn id="3" xr3:uid="{A6EA4D98-859D-5249-B670-E2648DA43E07}" name="Specialist Medical Practitioners" dataDxfId="53" totalsRowDxfId="52"/>
    <tableColumn id="4" xr3:uid="{89A81064-ADC2-DB4F-BA7E-4F512F118DA3}" name="Dentists" dataDxfId="51" totalsRowDxfId="50"/>
    <tableColumn id="5" xr3:uid="{6F9497DC-98AA-674F-8F33-C4F020D8C0E0}" name="Other Dental practitioners" dataDxfId="49" totalsRowDxfId="48"/>
    <tableColumn id="6" xr3:uid="{5DF7402E-61B8-8E4B-ADFB-AB04929ABCC8}" name="Pharmacists" dataDxfId="47" totalsRowDxfId="46"/>
    <tableColumn id="7" xr3:uid="{051FC208-5128-6B4C-986C-EC612809BD96}" name="Other Pharmacy practitioners" dataDxfId="45" totalsRowDxfId="44"/>
    <tableColumn id="8" xr3:uid="{491E1509-B57B-9247-98E2-0FA3EB365D7B}" name="Midwifery personnel" dataDxfId="43" totalsRowDxfId="42"/>
    <tableColumn id="9" xr3:uid="{266ABA76-D23E-9345-B9B3-44ADCFE095ED}" name="Nursing Personnel" dataDxfId="41" totalsRowDxfId="40" dataCellStyle="Comma"/>
    <tableColumn id="10" xr3:uid="{430CFCE8-A0E0-D643-B2D8-23A807F0DF02}" name="Medical and Pathology Laboratory scientists" dataDxfId="39" totalsRowDxfId="38"/>
    <tableColumn id="11" xr3:uid="{D0D03E61-40AF-6E4A-BB67-1D5B6A731326}" name="Paramedical Practitioners" dataDxfId="37" totalsRowDxfId="36"/>
    <tableColumn id="12" xr3:uid="{0F81AA18-7627-6643-A0AB-A213866C623B}" name="Other Health Workers" totalsRowFunction="custom" dataDxfId="35" totalsRowDxfId="34">
      <totalsRowFormula>L49/Table1[[#Totals],[Total]]</totalsRowFormula>
    </tableColumn>
    <tableColumn id="13" xr3:uid="{DF15877D-A72A-3041-9A0E-93FADD6560E4}" name="Total" totalsRowFunction="custom" dataDxfId="33" totalsRowDxfId="32">
      <totalsRowFormula>M49-C49</totalsRowFormula>
    </tableColumn>
    <tableColumn id="14" xr3:uid="{4F805A75-8655-AC44-B81B-DA4A8637FF71}" name="Data Sorce(s)" dataDxfId="31" totalsRowDxfId="30"/>
  </tableColumns>
  <tableStyleInfo name="TableStyleMedium1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73D1598-207D-49F8-B3BA-E5C8074F14B5}" name="Table14" displayName="Table14" ref="B1:P50" totalsRowCount="1" headerRowDxfId="29">
  <autoFilter ref="B1:P49" xr:uid="{373D1598-207D-49F8-B3BA-E5C8074F14B5}"/>
  <tableColumns count="15">
    <tableColumn id="1" xr3:uid="{893DD5D4-363E-4560-825E-681431482DC9}" name="Country" totalsRowLabel="Total" dataDxfId="28" totalsRowDxfId="27"/>
    <tableColumn id="2" xr3:uid="{4A710BB3-57AE-42DB-ACBF-55C8868D9479}" name="Generalist Medical Practitioners" dataDxfId="26" totalsRowDxfId="25"/>
    <tableColumn id="3" xr3:uid="{83CCA8E1-C8E0-4D4F-B01F-9FC6E7C8BBC2}" name="Specialist Medical Practitioners" dataDxfId="24" totalsRowDxfId="23"/>
    <tableColumn id="4" xr3:uid="{7D26BCAA-2B27-4754-9F01-B35DDBEDE8DA}" name="Dentists" dataDxfId="22" totalsRowDxfId="21"/>
    <tableColumn id="5" xr3:uid="{B6A71C1B-A49D-4036-9A21-F3ECA1DE4B7F}" name="Other Dental practitioners" dataDxfId="20" totalsRowDxfId="19"/>
    <tableColumn id="6" xr3:uid="{45558062-5094-4E10-B336-E50CD83F87A0}" name="Pharmacists" dataDxfId="18" totalsRowDxfId="17"/>
    <tableColumn id="7" xr3:uid="{9DC1C60A-2DE0-4744-B678-06F917C4214F}" name="Other Pharmacy practitioners" dataDxfId="16" totalsRowDxfId="15"/>
    <tableColumn id="8" xr3:uid="{D84B84D5-230D-4AAD-A46D-0A12817DF4BB}" name="Midwifery personnel" dataDxfId="14" totalsRowDxfId="13"/>
    <tableColumn id="9" xr3:uid="{49BCA597-5218-4E2E-BF14-65C6FD0282E1}" name="Nursing Personnel" dataDxfId="12" totalsRowDxfId="11" dataCellStyle="Comma"/>
    <tableColumn id="10" xr3:uid="{F6648BED-BA93-4D6D-B63C-C514AE63C0F1}" name="Medical and Pathology Laboratory scientists" dataDxfId="10" totalsRowDxfId="9"/>
    <tableColumn id="11" xr3:uid="{67032EEB-361F-4947-895D-0780D68DDB7F}" name="Paramedical Practitioners" dataDxfId="8" totalsRowDxfId="7"/>
    <tableColumn id="12" xr3:uid="{2551BE05-581B-4F3C-AE98-69ACC69AA63C}" name="Other Health Workers" totalsRowFunction="custom" dataDxfId="6" totalsRowDxfId="5">
      <totalsRowFormula>M49/Table14[[#Totals],[Total]]</totalsRowFormula>
    </tableColumn>
    <tableColumn id="13" xr3:uid="{B4DB9243-DE5E-4D5C-8A22-B7F729989321}" name="Total" totalsRowFunction="custom" dataDxfId="4" totalsRowDxfId="3">
      <totalsRowFormula>N49-D49</totalsRowFormula>
    </tableColumn>
    <tableColumn id="14" xr3:uid="{00DD84F7-1F99-48C5-A147-372355EBCF92}" name="Data Sorce(s)" dataDxfId="2" totalsRowDxfId="1"/>
    <tableColumn id="15" xr3:uid="{64FC78FE-0141-40BE-9DEF-507C2D8200DA}" name="iso" dataDxfId="0">
      <calculatedColumnFormula>VLOOKUP(Table14[[#This Row],[Country]],Graph!A$2:B$48,2,FALSE)</calculatedColumnFormula>
    </tableColumn>
  </tableColumns>
  <tableStyleInfo name="TableStyleMedium1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1A42A-0FC7-4DF2-BEC5-FA9978756715}">
  <dimension ref="A1:O2"/>
  <sheetViews>
    <sheetView workbookViewId="0">
      <selection activeCell="C15" sqref="C15"/>
    </sheetView>
  </sheetViews>
  <sheetFormatPr defaultRowHeight="14.5" x14ac:dyDescent="0.35"/>
  <cols>
    <col min="1" max="1" width="9.453125" customWidth="1"/>
    <col min="2" max="2" width="29.54296875" customWidth="1"/>
    <col min="3" max="3" width="29.26953125" customWidth="1"/>
    <col min="4" max="4" width="9.81640625" customWidth="1"/>
    <col min="5" max="5" width="24.453125" customWidth="1"/>
    <col min="6" max="6" width="13.26953125" customWidth="1"/>
    <col min="7" max="7" width="27.26953125" customWidth="1"/>
    <col min="8" max="8" width="19.7265625" customWidth="1"/>
    <col min="9" max="9" width="20.90625" customWidth="1"/>
    <col min="10" max="10" width="39.26953125" customWidth="1"/>
    <col min="11" max="11" width="24.453125" customWidth="1"/>
    <col min="12" max="12" width="20.54296875" customWidth="1"/>
  </cols>
  <sheetData>
    <row r="1" spans="1:15" x14ac:dyDescent="0.35">
      <c r="A1" t="s">
        <v>72</v>
      </c>
      <c r="B1" t="s">
        <v>65</v>
      </c>
      <c r="C1" t="s">
        <v>66</v>
      </c>
      <c r="D1" t="s">
        <v>67</v>
      </c>
      <c r="E1" t="s">
        <v>52</v>
      </c>
      <c r="F1" t="s">
        <v>68</v>
      </c>
      <c r="G1" t="s">
        <v>51</v>
      </c>
      <c r="H1" t="s">
        <v>69</v>
      </c>
      <c r="I1" t="s">
        <v>653</v>
      </c>
      <c r="J1" t="s">
        <v>70</v>
      </c>
      <c r="K1" t="s">
        <v>71</v>
      </c>
      <c r="L1" t="s">
        <v>41</v>
      </c>
      <c r="M1" t="s">
        <v>46</v>
      </c>
      <c r="N1" t="s">
        <v>654</v>
      </c>
      <c r="O1" t="s">
        <v>655</v>
      </c>
    </row>
    <row r="2" spans="1:15" x14ac:dyDescent="0.35">
      <c r="A2" t="s">
        <v>10</v>
      </c>
      <c r="B2">
        <v>800</v>
      </c>
      <c r="I2">
        <v>2660</v>
      </c>
      <c r="J2">
        <v>800</v>
      </c>
      <c r="M2">
        <v>4260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EDCA2-029F-914F-88C3-CD56A7C82519}">
  <dimension ref="A3:M52"/>
  <sheetViews>
    <sheetView workbookViewId="0">
      <selection activeCell="C11" sqref="C11"/>
    </sheetView>
  </sheetViews>
  <sheetFormatPr defaultColWidth="11.54296875" defaultRowHeight="14.5" x14ac:dyDescent="0.35"/>
  <cols>
    <col min="1" max="1" width="26.7265625" bestFit="1" customWidth="1"/>
    <col min="2" max="2" width="32.453125" bestFit="1" customWidth="1"/>
    <col min="3" max="3" width="32" bestFit="1" customWidth="1"/>
    <col min="4" max="4" width="13.453125" bestFit="1" customWidth="1"/>
    <col min="5" max="5" width="27.7265625" bestFit="1" customWidth="1"/>
    <col min="6" max="6" width="16.453125" bestFit="1" customWidth="1"/>
    <col min="7" max="7" width="30.1796875" bestFit="1" customWidth="1"/>
    <col min="8" max="8" width="23" bestFit="1" customWidth="1"/>
    <col min="9" max="9" width="25.26953125" bestFit="1" customWidth="1"/>
    <col min="10" max="10" width="41.453125" bestFit="1" customWidth="1"/>
    <col min="11" max="11" width="27.26953125" bestFit="1" customWidth="1"/>
    <col min="12" max="12" width="24" bestFit="1" customWidth="1"/>
    <col min="13" max="13" width="10.7265625" bestFit="1" customWidth="1"/>
  </cols>
  <sheetData>
    <row r="3" spans="1:13" x14ac:dyDescent="0.35">
      <c r="A3" s="14" t="s">
        <v>73</v>
      </c>
      <c r="B3" t="s">
        <v>75</v>
      </c>
      <c r="C3" t="s">
        <v>76</v>
      </c>
      <c r="D3" t="s">
        <v>77</v>
      </c>
      <c r="E3" t="s">
        <v>78</v>
      </c>
      <c r="F3" t="s">
        <v>79</v>
      </c>
      <c r="G3" t="s">
        <v>80</v>
      </c>
      <c r="H3" t="s">
        <v>81</v>
      </c>
      <c r="I3" t="s">
        <v>82</v>
      </c>
      <c r="J3" t="s">
        <v>83</v>
      </c>
      <c r="K3" t="s">
        <v>84</v>
      </c>
      <c r="L3" t="s">
        <v>85</v>
      </c>
      <c r="M3" t="s">
        <v>86</v>
      </c>
    </row>
    <row r="4" spans="1:13" x14ac:dyDescent="0.35">
      <c r="A4" s="13" t="s">
        <v>47</v>
      </c>
      <c r="B4">
        <v>3000</v>
      </c>
      <c r="M4">
        <v>3000</v>
      </c>
    </row>
    <row r="5" spans="1:13" x14ac:dyDescent="0.35">
      <c r="A5" s="13" t="s">
        <v>25</v>
      </c>
      <c r="B5">
        <v>611</v>
      </c>
      <c r="D5">
        <v>145</v>
      </c>
      <c r="F5">
        <v>529</v>
      </c>
      <c r="I5">
        <v>1</v>
      </c>
      <c r="M5">
        <v>4235</v>
      </c>
    </row>
    <row r="6" spans="1:13" x14ac:dyDescent="0.35">
      <c r="A6" s="13" t="s">
        <v>0</v>
      </c>
      <c r="B6">
        <v>780</v>
      </c>
      <c r="C6">
        <v>385</v>
      </c>
      <c r="F6">
        <v>143</v>
      </c>
      <c r="H6">
        <v>247</v>
      </c>
      <c r="I6">
        <v>1</v>
      </c>
      <c r="J6">
        <v>1113</v>
      </c>
      <c r="L6">
        <v>1194</v>
      </c>
      <c r="M6">
        <v>4119</v>
      </c>
    </row>
    <row r="7" spans="1:13" x14ac:dyDescent="0.35">
      <c r="A7" s="13" t="s">
        <v>1</v>
      </c>
      <c r="B7">
        <v>60</v>
      </c>
      <c r="C7">
        <v>48</v>
      </c>
      <c r="D7">
        <v>7</v>
      </c>
      <c r="E7">
        <v>10</v>
      </c>
      <c r="F7">
        <v>95</v>
      </c>
      <c r="G7">
        <v>60</v>
      </c>
      <c r="H7">
        <v>40</v>
      </c>
      <c r="I7">
        <v>1</v>
      </c>
      <c r="J7">
        <v>189</v>
      </c>
      <c r="K7">
        <v>30</v>
      </c>
      <c r="L7">
        <v>597</v>
      </c>
      <c r="M7">
        <v>1136</v>
      </c>
    </row>
    <row r="8" spans="1:13" x14ac:dyDescent="0.35">
      <c r="A8" s="13" t="s">
        <v>9</v>
      </c>
      <c r="B8">
        <v>1492</v>
      </c>
      <c r="C8">
        <v>385</v>
      </c>
      <c r="D8">
        <v>62</v>
      </c>
      <c r="F8">
        <v>594</v>
      </c>
      <c r="H8">
        <v>1170</v>
      </c>
      <c r="I8">
        <v>1</v>
      </c>
      <c r="M8">
        <v>4873</v>
      </c>
    </row>
    <row r="9" spans="1:13" x14ac:dyDescent="0.35">
      <c r="A9" s="13" t="s">
        <v>26</v>
      </c>
      <c r="B9">
        <v>325</v>
      </c>
      <c r="C9">
        <v>240</v>
      </c>
      <c r="F9">
        <v>39</v>
      </c>
      <c r="H9">
        <v>196</v>
      </c>
      <c r="I9">
        <v>1</v>
      </c>
      <c r="J9">
        <v>322</v>
      </c>
      <c r="L9">
        <v>194</v>
      </c>
      <c r="M9">
        <v>2783</v>
      </c>
    </row>
    <row r="10" spans="1:13" x14ac:dyDescent="0.35">
      <c r="A10" s="13" t="s">
        <v>64</v>
      </c>
      <c r="E10">
        <v>7</v>
      </c>
      <c r="L10">
        <v>83</v>
      </c>
      <c r="M10">
        <v>90</v>
      </c>
    </row>
    <row r="11" spans="1:13" x14ac:dyDescent="0.35">
      <c r="A11" s="13" t="s">
        <v>10</v>
      </c>
      <c r="B11">
        <v>800</v>
      </c>
      <c r="I11">
        <v>1</v>
      </c>
      <c r="J11">
        <v>800</v>
      </c>
      <c r="M11">
        <v>4260</v>
      </c>
    </row>
    <row r="12" spans="1:13" x14ac:dyDescent="0.35">
      <c r="A12" s="13" t="s">
        <v>63</v>
      </c>
      <c r="B12">
        <v>18</v>
      </c>
      <c r="M12">
        <v>18</v>
      </c>
    </row>
    <row r="13" spans="1:13" x14ac:dyDescent="0.35">
      <c r="A13" s="13" t="s">
        <v>11</v>
      </c>
      <c r="B13">
        <v>330</v>
      </c>
      <c r="C13">
        <v>30</v>
      </c>
      <c r="F13">
        <v>80</v>
      </c>
      <c r="G13">
        <v>180</v>
      </c>
      <c r="H13">
        <v>2084</v>
      </c>
      <c r="I13">
        <v>1</v>
      </c>
      <c r="J13">
        <v>220</v>
      </c>
      <c r="M13">
        <v>31944</v>
      </c>
    </row>
    <row r="14" spans="1:13" x14ac:dyDescent="0.35">
      <c r="A14" s="13" t="s">
        <v>2</v>
      </c>
      <c r="H14">
        <v>29</v>
      </c>
      <c r="I14">
        <v>1</v>
      </c>
      <c r="M14">
        <v>69</v>
      </c>
    </row>
    <row r="15" spans="1:13" x14ac:dyDescent="0.35">
      <c r="A15" s="13" t="s">
        <v>3</v>
      </c>
      <c r="B15">
        <v>60</v>
      </c>
      <c r="C15">
        <v>315</v>
      </c>
      <c r="E15">
        <v>10</v>
      </c>
      <c r="G15">
        <v>5</v>
      </c>
      <c r="H15">
        <v>120</v>
      </c>
      <c r="I15">
        <v>1</v>
      </c>
      <c r="K15">
        <v>50</v>
      </c>
      <c r="L15">
        <v>408</v>
      </c>
      <c r="M15">
        <v>1028</v>
      </c>
    </row>
    <row r="16" spans="1:13" x14ac:dyDescent="0.35">
      <c r="A16" s="13" t="s">
        <v>27</v>
      </c>
      <c r="B16">
        <v>254</v>
      </c>
      <c r="C16">
        <v>48</v>
      </c>
      <c r="G16">
        <v>151</v>
      </c>
      <c r="I16">
        <v>1</v>
      </c>
      <c r="J16">
        <v>1106</v>
      </c>
      <c r="L16">
        <v>450</v>
      </c>
      <c r="M16">
        <v>3016</v>
      </c>
    </row>
    <row r="17" spans="1:13" x14ac:dyDescent="0.35">
      <c r="A17" s="13" t="s">
        <v>62</v>
      </c>
      <c r="L17">
        <v>84</v>
      </c>
      <c r="M17">
        <v>84</v>
      </c>
    </row>
    <row r="18" spans="1:13" x14ac:dyDescent="0.35">
      <c r="A18" s="13" t="s">
        <v>48</v>
      </c>
      <c r="B18">
        <v>767</v>
      </c>
      <c r="H18">
        <v>492</v>
      </c>
      <c r="I18">
        <v>1</v>
      </c>
      <c r="J18">
        <v>27</v>
      </c>
      <c r="L18">
        <v>1304</v>
      </c>
      <c r="M18">
        <v>3552</v>
      </c>
    </row>
    <row r="19" spans="1:13" x14ac:dyDescent="0.35">
      <c r="A19" s="13" t="s">
        <v>4</v>
      </c>
      <c r="I19">
        <v>1</v>
      </c>
      <c r="L19">
        <v>1023</v>
      </c>
      <c r="M19">
        <v>1423</v>
      </c>
    </row>
    <row r="20" spans="1:13" x14ac:dyDescent="0.35">
      <c r="A20" s="13" t="s">
        <v>12</v>
      </c>
      <c r="F20">
        <v>44</v>
      </c>
      <c r="G20">
        <v>30</v>
      </c>
      <c r="H20">
        <v>80</v>
      </c>
      <c r="I20">
        <v>1</v>
      </c>
      <c r="J20">
        <v>78</v>
      </c>
      <c r="L20">
        <v>58</v>
      </c>
      <c r="M20">
        <v>450</v>
      </c>
    </row>
    <row r="21" spans="1:13" x14ac:dyDescent="0.35">
      <c r="A21" s="13" t="s">
        <v>5</v>
      </c>
      <c r="B21">
        <v>3114</v>
      </c>
      <c r="C21">
        <v>880</v>
      </c>
      <c r="D21">
        <v>189</v>
      </c>
      <c r="E21">
        <v>64</v>
      </c>
      <c r="F21">
        <v>699</v>
      </c>
      <c r="G21">
        <v>2878</v>
      </c>
      <c r="H21">
        <v>2440</v>
      </c>
      <c r="I21">
        <v>1</v>
      </c>
      <c r="J21">
        <v>1220</v>
      </c>
      <c r="K21">
        <v>1613</v>
      </c>
      <c r="L21">
        <v>3672</v>
      </c>
      <c r="M21">
        <v>23067</v>
      </c>
    </row>
    <row r="22" spans="1:13" x14ac:dyDescent="0.35">
      <c r="A22" s="13" t="s">
        <v>13</v>
      </c>
      <c r="B22">
        <v>46</v>
      </c>
      <c r="C22">
        <v>16</v>
      </c>
      <c r="F22">
        <v>2</v>
      </c>
      <c r="H22">
        <v>34</v>
      </c>
      <c r="I22">
        <v>1</v>
      </c>
      <c r="J22">
        <v>6</v>
      </c>
      <c r="M22">
        <v>199</v>
      </c>
    </row>
    <row r="23" spans="1:13" x14ac:dyDescent="0.35">
      <c r="A23" s="13" t="s">
        <v>14</v>
      </c>
      <c r="B23">
        <v>23</v>
      </c>
      <c r="I23">
        <v>1</v>
      </c>
      <c r="J23">
        <v>6</v>
      </c>
      <c r="M23">
        <v>166</v>
      </c>
    </row>
    <row r="24" spans="1:13" x14ac:dyDescent="0.35">
      <c r="A24" s="13" t="s">
        <v>15</v>
      </c>
      <c r="B24">
        <v>1566</v>
      </c>
      <c r="F24">
        <v>343</v>
      </c>
      <c r="H24">
        <v>4827</v>
      </c>
      <c r="I24">
        <v>1</v>
      </c>
      <c r="J24">
        <v>396</v>
      </c>
      <c r="M24">
        <v>28403</v>
      </c>
    </row>
    <row r="25" spans="1:13" x14ac:dyDescent="0.35">
      <c r="A25" s="13" t="s">
        <v>16</v>
      </c>
      <c r="B25">
        <v>767</v>
      </c>
      <c r="C25">
        <v>74</v>
      </c>
      <c r="F25">
        <v>113</v>
      </c>
      <c r="G25">
        <v>34</v>
      </c>
      <c r="H25">
        <v>492</v>
      </c>
      <c r="I25">
        <v>1</v>
      </c>
      <c r="J25">
        <v>27</v>
      </c>
      <c r="L25">
        <v>1304</v>
      </c>
      <c r="M25">
        <v>3775</v>
      </c>
    </row>
    <row r="26" spans="1:13" x14ac:dyDescent="0.35">
      <c r="A26" s="13" t="s">
        <v>17</v>
      </c>
      <c r="J26">
        <v>23</v>
      </c>
      <c r="L26">
        <v>489</v>
      </c>
      <c r="M26">
        <v>512</v>
      </c>
    </row>
    <row r="27" spans="1:13" x14ac:dyDescent="0.35">
      <c r="A27" s="13" t="s">
        <v>18</v>
      </c>
      <c r="B27">
        <v>558</v>
      </c>
      <c r="D27">
        <v>36</v>
      </c>
      <c r="F27">
        <v>379</v>
      </c>
      <c r="G27">
        <v>20</v>
      </c>
      <c r="I27">
        <v>1</v>
      </c>
      <c r="J27">
        <v>519</v>
      </c>
      <c r="L27">
        <v>366</v>
      </c>
      <c r="M27">
        <v>2948</v>
      </c>
    </row>
    <row r="28" spans="1:13" x14ac:dyDescent="0.35">
      <c r="A28" s="13" t="s">
        <v>28</v>
      </c>
      <c r="B28">
        <v>8</v>
      </c>
      <c r="C28">
        <v>22</v>
      </c>
      <c r="D28">
        <v>8</v>
      </c>
      <c r="F28">
        <v>33</v>
      </c>
      <c r="G28">
        <v>20</v>
      </c>
      <c r="H28">
        <v>69</v>
      </c>
      <c r="I28">
        <v>1</v>
      </c>
      <c r="J28">
        <v>20</v>
      </c>
      <c r="M28">
        <v>556</v>
      </c>
    </row>
    <row r="29" spans="1:13" x14ac:dyDescent="0.35">
      <c r="A29" s="13" t="s">
        <v>29</v>
      </c>
      <c r="B29">
        <v>29</v>
      </c>
      <c r="C29">
        <v>50</v>
      </c>
      <c r="F29">
        <v>22</v>
      </c>
      <c r="I29">
        <v>1</v>
      </c>
      <c r="J29">
        <v>56</v>
      </c>
      <c r="L29">
        <v>50</v>
      </c>
      <c r="M29">
        <v>270</v>
      </c>
    </row>
    <row r="30" spans="1:13" x14ac:dyDescent="0.35">
      <c r="A30" s="13" t="s">
        <v>19</v>
      </c>
      <c r="B30">
        <v>316</v>
      </c>
      <c r="C30">
        <v>156</v>
      </c>
      <c r="H30">
        <v>2473</v>
      </c>
      <c r="I30">
        <v>1</v>
      </c>
      <c r="J30">
        <v>116</v>
      </c>
      <c r="L30">
        <v>297</v>
      </c>
      <c r="M30">
        <v>5898</v>
      </c>
    </row>
    <row r="31" spans="1:13" x14ac:dyDescent="0.35">
      <c r="A31" s="13" t="s">
        <v>30</v>
      </c>
      <c r="B31">
        <v>115</v>
      </c>
      <c r="C31">
        <v>167</v>
      </c>
      <c r="F31">
        <v>110</v>
      </c>
      <c r="G31">
        <v>189</v>
      </c>
      <c r="H31">
        <v>1171</v>
      </c>
      <c r="I31">
        <v>1</v>
      </c>
      <c r="J31">
        <v>175</v>
      </c>
      <c r="L31">
        <v>616</v>
      </c>
      <c r="M31">
        <v>2929</v>
      </c>
    </row>
    <row r="32" spans="1:13" x14ac:dyDescent="0.35">
      <c r="A32" s="13" t="s">
        <v>31</v>
      </c>
      <c r="M32">
        <v>0</v>
      </c>
    </row>
    <row r="33" spans="1:13" x14ac:dyDescent="0.35">
      <c r="A33" s="13" t="s">
        <v>32</v>
      </c>
      <c r="C33">
        <v>76</v>
      </c>
      <c r="I33">
        <v>1</v>
      </c>
      <c r="L33">
        <v>366</v>
      </c>
      <c r="M33">
        <v>555</v>
      </c>
    </row>
    <row r="34" spans="1:13" x14ac:dyDescent="0.35">
      <c r="A34" s="13" t="s">
        <v>33</v>
      </c>
      <c r="B34">
        <v>432</v>
      </c>
      <c r="H34">
        <v>40</v>
      </c>
      <c r="I34">
        <v>1</v>
      </c>
      <c r="L34">
        <v>39</v>
      </c>
      <c r="M34">
        <v>686</v>
      </c>
    </row>
    <row r="35" spans="1:13" x14ac:dyDescent="0.35">
      <c r="A35" s="13" t="s">
        <v>6</v>
      </c>
      <c r="B35">
        <v>819</v>
      </c>
      <c r="C35">
        <v>146</v>
      </c>
      <c r="D35">
        <v>161</v>
      </c>
      <c r="G35">
        <v>112</v>
      </c>
      <c r="H35">
        <v>140</v>
      </c>
      <c r="I35">
        <v>1</v>
      </c>
      <c r="J35">
        <v>248</v>
      </c>
      <c r="K35">
        <v>20</v>
      </c>
      <c r="M35">
        <v>2226</v>
      </c>
    </row>
    <row r="36" spans="1:13" x14ac:dyDescent="0.35">
      <c r="A36" s="13" t="s">
        <v>34</v>
      </c>
      <c r="B36">
        <v>475</v>
      </c>
      <c r="C36">
        <v>3</v>
      </c>
      <c r="F36">
        <v>247</v>
      </c>
      <c r="G36">
        <v>31</v>
      </c>
      <c r="H36">
        <v>1414</v>
      </c>
      <c r="I36">
        <v>1</v>
      </c>
      <c r="J36">
        <v>121</v>
      </c>
      <c r="L36">
        <v>175</v>
      </c>
      <c r="M36">
        <v>2666</v>
      </c>
    </row>
    <row r="37" spans="1:13" x14ac:dyDescent="0.35">
      <c r="A37" s="13" t="s">
        <v>7</v>
      </c>
      <c r="B37">
        <v>370</v>
      </c>
      <c r="C37">
        <v>14</v>
      </c>
      <c r="H37">
        <v>124</v>
      </c>
      <c r="I37">
        <v>1</v>
      </c>
      <c r="J37">
        <v>45</v>
      </c>
      <c r="L37">
        <v>1891</v>
      </c>
      <c r="M37">
        <v>2749</v>
      </c>
    </row>
    <row r="38" spans="1:13" x14ac:dyDescent="0.35">
      <c r="A38" s="13" t="s">
        <v>35</v>
      </c>
      <c r="B38">
        <v>4340</v>
      </c>
      <c r="D38">
        <v>459</v>
      </c>
      <c r="H38">
        <v>375</v>
      </c>
      <c r="I38">
        <v>1</v>
      </c>
      <c r="J38">
        <v>1774</v>
      </c>
      <c r="M38">
        <v>19783</v>
      </c>
    </row>
    <row r="39" spans="1:13" x14ac:dyDescent="0.35">
      <c r="A39" s="13" t="s">
        <v>36</v>
      </c>
      <c r="B39">
        <v>11</v>
      </c>
      <c r="F39">
        <v>95</v>
      </c>
      <c r="H39">
        <v>176</v>
      </c>
      <c r="I39">
        <v>1</v>
      </c>
      <c r="L39">
        <v>81</v>
      </c>
      <c r="M39">
        <v>718</v>
      </c>
    </row>
    <row r="40" spans="1:13" x14ac:dyDescent="0.35">
      <c r="A40" s="13" t="s">
        <v>49</v>
      </c>
      <c r="M40">
        <v>0</v>
      </c>
    </row>
    <row r="41" spans="1:13" x14ac:dyDescent="0.35">
      <c r="A41" s="13" t="s">
        <v>20</v>
      </c>
      <c r="B41">
        <v>529</v>
      </c>
      <c r="D41">
        <v>70</v>
      </c>
      <c r="F41">
        <v>289</v>
      </c>
      <c r="H41">
        <v>3600</v>
      </c>
      <c r="I41">
        <v>1</v>
      </c>
      <c r="J41">
        <v>36</v>
      </c>
      <c r="L41">
        <v>710</v>
      </c>
      <c r="M41">
        <v>8734</v>
      </c>
    </row>
    <row r="42" spans="1:13" x14ac:dyDescent="0.35">
      <c r="A42" s="13" t="s">
        <v>21</v>
      </c>
      <c r="B42">
        <v>10</v>
      </c>
      <c r="G42">
        <v>20</v>
      </c>
      <c r="H42">
        <v>10</v>
      </c>
      <c r="I42">
        <v>1</v>
      </c>
      <c r="L42">
        <v>80</v>
      </c>
      <c r="M42">
        <v>160</v>
      </c>
    </row>
    <row r="43" spans="1:13" x14ac:dyDescent="0.35">
      <c r="A43" s="13" t="s">
        <v>37</v>
      </c>
      <c r="B43">
        <v>217</v>
      </c>
      <c r="F43">
        <v>69</v>
      </c>
      <c r="G43">
        <v>51</v>
      </c>
      <c r="H43">
        <v>120</v>
      </c>
      <c r="I43">
        <v>1</v>
      </c>
      <c r="J43">
        <v>90</v>
      </c>
      <c r="L43">
        <v>186</v>
      </c>
      <c r="M43">
        <v>2488</v>
      </c>
    </row>
    <row r="44" spans="1:13" x14ac:dyDescent="0.35">
      <c r="A44" s="13" t="s">
        <v>38</v>
      </c>
      <c r="B44">
        <v>998</v>
      </c>
      <c r="D44">
        <v>805</v>
      </c>
      <c r="F44">
        <v>1291</v>
      </c>
      <c r="I44">
        <v>1</v>
      </c>
      <c r="J44">
        <v>451</v>
      </c>
      <c r="L44">
        <v>13559</v>
      </c>
      <c r="M44">
        <v>20258</v>
      </c>
    </row>
    <row r="45" spans="1:13" x14ac:dyDescent="0.35">
      <c r="A45" s="13" t="s">
        <v>22</v>
      </c>
      <c r="H45">
        <v>307</v>
      </c>
      <c r="I45">
        <v>1</v>
      </c>
      <c r="J45">
        <v>681</v>
      </c>
      <c r="L45">
        <v>484</v>
      </c>
      <c r="M45">
        <v>1713</v>
      </c>
    </row>
    <row r="46" spans="1:13" x14ac:dyDescent="0.35">
      <c r="A46" s="13" t="s">
        <v>39</v>
      </c>
      <c r="B46">
        <v>330</v>
      </c>
      <c r="C46">
        <v>1597</v>
      </c>
      <c r="D46">
        <v>80</v>
      </c>
      <c r="G46">
        <v>629</v>
      </c>
      <c r="H46">
        <v>2084</v>
      </c>
      <c r="I46">
        <v>1</v>
      </c>
      <c r="J46">
        <v>17</v>
      </c>
      <c r="L46">
        <v>5457</v>
      </c>
      <c r="M46">
        <v>13114</v>
      </c>
    </row>
    <row r="47" spans="1:13" x14ac:dyDescent="0.35">
      <c r="A47" s="13" t="s">
        <v>23</v>
      </c>
      <c r="B47">
        <v>77</v>
      </c>
      <c r="C47">
        <v>37</v>
      </c>
      <c r="F47">
        <v>60</v>
      </c>
      <c r="H47">
        <v>130</v>
      </c>
      <c r="I47">
        <v>1</v>
      </c>
      <c r="J47">
        <v>215</v>
      </c>
      <c r="L47">
        <v>250</v>
      </c>
      <c r="M47">
        <v>1009</v>
      </c>
    </row>
    <row r="48" spans="1:13" x14ac:dyDescent="0.35">
      <c r="A48" s="13" t="s">
        <v>58</v>
      </c>
      <c r="B48">
        <v>26009</v>
      </c>
      <c r="C48">
        <v>4965</v>
      </c>
      <c r="D48">
        <v>2143</v>
      </c>
      <c r="E48">
        <v>377</v>
      </c>
      <c r="F48">
        <v>5551</v>
      </c>
      <c r="G48">
        <v>6480</v>
      </c>
      <c r="H48">
        <v>35683</v>
      </c>
      <c r="I48">
        <v>1</v>
      </c>
      <c r="J48">
        <v>14347</v>
      </c>
      <c r="K48">
        <v>1813</v>
      </c>
      <c r="L48">
        <v>37308</v>
      </c>
      <c r="M48">
        <v>254815</v>
      </c>
    </row>
    <row r="49" spans="1:13" x14ac:dyDescent="0.35">
      <c r="A49" s="13" t="s">
        <v>40</v>
      </c>
      <c r="B49">
        <v>1997</v>
      </c>
      <c r="C49">
        <v>246</v>
      </c>
      <c r="D49">
        <v>41</v>
      </c>
      <c r="E49">
        <v>220</v>
      </c>
      <c r="F49">
        <v>120</v>
      </c>
      <c r="G49">
        <v>1860</v>
      </c>
      <c r="H49">
        <v>8990</v>
      </c>
      <c r="I49">
        <v>1</v>
      </c>
      <c r="J49">
        <v>3610</v>
      </c>
      <c r="L49">
        <v>1020</v>
      </c>
      <c r="M49">
        <v>32105</v>
      </c>
    </row>
    <row r="50" spans="1:13" x14ac:dyDescent="0.35">
      <c r="A50" s="13" t="s">
        <v>24</v>
      </c>
      <c r="B50">
        <v>100</v>
      </c>
      <c r="E50">
        <v>36</v>
      </c>
      <c r="G50">
        <v>180</v>
      </c>
      <c r="H50">
        <v>1939</v>
      </c>
      <c r="I50">
        <v>1</v>
      </c>
      <c r="J50">
        <v>282</v>
      </c>
      <c r="K50">
        <v>100</v>
      </c>
      <c r="L50">
        <v>400</v>
      </c>
      <c r="M50">
        <v>8309</v>
      </c>
    </row>
    <row r="51" spans="1:13" x14ac:dyDescent="0.35">
      <c r="A51" s="13" t="s">
        <v>8</v>
      </c>
      <c r="B51">
        <v>265</v>
      </c>
      <c r="C51">
        <v>30</v>
      </c>
      <c r="D51">
        <v>80</v>
      </c>
      <c r="E51">
        <v>30</v>
      </c>
      <c r="F51">
        <v>155</v>
      </c>
      <c r="G51">
        <v>30</v>
      </c>
      <c r="H51">
        <v>270</v>
      </c>
      <c r="I51">
        <v>1</v>
      </c>
      <c r="J51">
        <v>358</v>
      </c>
      <c r="L51">
        <v>421</v>
      </c>
      <c r="M51">
        <v>2739</v>
      </c>
    </row>
    <row r="52" spans="1:13" x14ac:dyDescent="0.35">
      <c r="A52" s="13" t="s">
        <v>74</v>
      </c>
      <c r="B52">
        <v>52018</v>
      </c>
      <c r="C52">
        <v>9930</v>
      </c>
      <c r="D52">
        <v>4286</v>
      </c>
      <c r="E52">
        <v>754</v>
      </c>
      <c r="F52">
        <v>11102</v>
      </c>
      <c r="G52">
        <v>12960</v>
      </c>
      <c r="H52">
        <v>71366</v>
      </c>
      <c r="I52">
        <v>41</v>
      </c>
      <c r="J52">
        <v>28694</v>
      </c>
      <c r="K52">
        <v>3626</v>
      </c>
      <c r="L52">
        <v>74616</v>
      </c>
      <c r="M52">
        <v>509630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62233-3D50-4782-B2C8-ABE347CC59C5}">
  <dimension ref="A1:O56"/>
  <sheetViews>
    <sheetView topLeftCell="H1" workbookViewId="0">
      <pane ySplit="1" topLeftCell="A41" activePane="bottomLeft" state="frozen"/>
      <selection pane="bottomLeft" activeCell="C29" sqref="C29"/>
    </sheetView>
  </sheetViews>
  <sheetFormatPr defaultColWidth="8.7265625" defaultRowHeight="14.5" x14ac:dyDescent="0.35"/>
  <cols>
    <col min="1" max="1" width="31.26953125" style="18" customWidth="1"/>
    <col min="2" max="2" width="19.7265625" customWidth="1"/>
    <col min="3" max="3" width="18.7265625" customWidth="1"/>
    <col min="4" max="4" width="10.7265625" customWidth="1"/>
    <col min="5" max="5" width="17.7265625" customWidth="1"/>
    <col min="6" max="6" width="14.26953125" customWidth="1"/>
    <col min="7" max="7" width="15.26953125" customWidth="1"/>
    <col min="8" max="8" width="14.7265625" customWidth="1"/>
    <col min="9" max="9" width="24" style="4" customWidth="1"/>
    <col min="10" max="10" width="13.453125" customWidth="1"/>
    <col min="11" max="11" width="12.7265625" customWidth="1"/>
    <col min="12" max="12" width="10.26953125" customWidth="1"/>
    <col min="13" max="13" width="10.1796875" customWidth="1"/>
    <col min="14" max="14" width="69.26953125" style="13" bestFit="1" customWidth="1"/>
    <col min="15" max="15" width="8.7265625" style="5"/>
  </cols>
  <sheetData>
    <row r="1" spans="1:15" s="29" customFormat="1" ht="56" x14ac:dyDescent="0.35">
      <c r="A1" s="23" t="s">
        <v>72</v>
      </c>
      <c r="B1" s="24" t="s">
        <v>65</v>
      </c>
      <c r="C1" s="24" t="s">
        <v>66</v>
      </c>
      <c r="D1" s="24" t="s">
        <v>67</v>
      </c>
      <c r="E1" s="24" t="s">
        <v>52</v>
      </c>
      <c r="F1" s="24" t="s">
        <v>68</v>
      </c>
      <c r="G1" s="24" t="s">
        <v>51</v>
      </c>
      <c r="H1" s="24" t="s">
        <v>69</v>
      </c>
      <c r="I1" s="25" t="s">
        <v>95</v>
      </c>
      <c r="J1" s="24" t="s">
        <v>70</v>
      </c>
      <c r="K1" s="24" t="s">
        <v>71</v>
      </c>
      <c r="L1" s="24" t="s">
        <v>41</v>
      </c>
      <c r="M1" s="26" t="s">
        <v>46</v>
      </c>
      <c r="N1" s="27" t="s">
        <v>94</v>
      </c>
      <c r="O1" s="28"/>
    </row>
    <row r="2" spans="1:15" x14ac:dyDescent="0.35">
      <c r="A2" s="39" t="s">
        <v>47</v>
      </c>
      <c r="B2" s="36">
        <f>+'[1]G_Alignment of education'!$H$25</f>
        <v>0</v>
      </c>
      <c r="C2" s="1"/>
      <c r="D2" s="1"/>
      <c r="E2" s="1"/>
      <c r="F2" s="1"/>
      <c r="G2" s="1"/>
      <c r="H2" s="1"/>
      <c r="I2" s="3"/>
      <c r="J2" s="1"/>
      <c r="K2" s="1"/>
      <c r="L2" s="1"/>
      <c r="M2" s="2">
        <f t="shared" ref="M2:M48" si="0">SUM(B2:L2)</f>
        <v>0</v>
      </c>
      <c r="N2" s="12" t="s">
        <v>87</v>
      </c>
    </row>
    <row r="3" spans="1:15" x14ac:dyDescent="0.35">
      <c r="A3" s="15" t="s">
        <v>25</v>
      </c>
      <c r="B3" s="1">
        <v>611</v>
      </c>
      <c r="C3" s="1"/>
      <c r="D3" s="1">
        <v>145</v>
      </c>
      <c r="E3" s="1"/>
      <c r="F3" s="1">
        <v>529</v>
      </c>
      <c r="G3" s="1"/>
      <c r="H3" s="1"/>
      <c r="I3" s="3">
        <v>2950</v>
      </c>
      <c r="J3" s="1"/>
      <c r="K3" s="1"/>
      <c r="L3" s="1"/>
      <c r="M3" s="2">
        <f t="shared" si="0"/>
        <v>4235</v>
      </c>
      <c r="N3" s="12" t="s">
        <v>55</v>
      </c>
    </row>
    <row r="4" spans="1:15" x14ac:dyDescent="0.35">
      <c r="A4" s="15" t="s">
        <v>0</v>
      </c>
      <c r="B4" s="1">
        <v>780</v>
      </c>
      <c r="C4" s="1">
        <v>385</v>
      </c>
      <c r="D4" s="1"/>
      <c r="E4" s="1"/>
      <c r="F4" s="1">
        <v>143</v>
      </c>
      <c r="G4" s="1"/>
      <c r="H4" s="1">
        <v>247</v>
      </c>
      <c r="I4" s="3">
        <v>257</v>
      </c>
      <c r="J4" s="1">
        <v>1113</v>
      </c>
      <c r="K4" s="1"/>
      <c r="L4" s="1">
        <v>1194</v>
      </c>
      <c r="M4" s="2">
        <f t="shared" si="0"/>
        <v>4119</v>
      </c>
      <c r="N4" s="12" t="s">
        <v>42</v>
      </c>
    </row>
    <row r="5" spans="1:15" x14ac:dyDescent="0.35">
      <c r="A5" s="15" t="s">
        <v>1</v>
      </c>
      <c r="B5" s="1">
        <v>60</v>
      </c>
      <c r="C5" s="1">
        <v>48</v>
      </c>
      <c r="D5" s="1">
        <v>7</v>
      </c>
      <c r="E5" s="1">
        <v>10</v>
      </c>
      <c r="F5" s="1">
        <v>95</v>
      </c>
      <c r="G5" s="1">
        <v>60</v>
      </c>
      <c r="H5" s="1">
        <v>40</v>
      </c>
      <c r="I5" s="3">
        <v>490</v>
      </c>
      <c r="J5" s="1">
        <v>189</v>
      </c>
      <c r="K5" s="1">
        <v>30</v>
      </c>
      <c r="L5" s="1">
        <v>597</v>
      </c>
      <c r="M5" s="2">
        <f t="shared" si="0"/>
        <v>1626</v>
      </c>
      <c r="N5" s="12" t="s">
        <v>43</v>
      </c>
    </row>
    <row r="6" spans="1:15" x14ac:dyDescent="0.35">
      <c r="A6" s="15" t="s">
        <v>9</v>
      </c>
      <c r="B6" s="36">
        <v>1492</v>
      </c>
      <c r="C6" s="1">
        <v>385</v>
      </c>
      <c r="D6" s="1">
        <v>62</v>
      </c>
      <c r="E6" s="1"/>
      <c r="F6" s="1">
        <v>594</v>
      </c>
      <c r="G6" s="1"/>
      <c r="H6" s="1">
        <v>1170</v>
      </c>
      <c r="I6" s="3">
        <v>1170</v>
      </c>
      <c r="J6" s="1"/>
      <c r="K6" s="1"/>
      <c r="L6" s="1"/>
      <c r="M6" s="2">
        <f t="shared" si="0"/>
        <v>4873</v>
      </c>
      <c r="N6" s="12" t="s">
        <v>87</v>
      </c>
    </row>
    <row r="7" spans="1:15" x14ac:dyDescent="0.35">
      <c r="A7" s="15" t="s">
        <v>26</v>
      </c>
      <c r="B7" s="1">
        <v>325</v>
      </c>
      <c r="C7" s="1">
        <v>240</v>
      </c>
      <c r="D7" s="1"/>
      <c r="E7" s="1"/>
      <c r="F7" s="1">
        <v>39</v>
      </c>
      <c r="G7" s="1"/>
      <c r="H7" s="1">
        <v>196</v>
      </c>
      <c r="I7" s="3">
        <v>1467</v>
      </c>
      <c r="J7" s="1">
        <v>322</v>
      </c>
      <c r="K7" s="1"/>
      <c r="L7" s="1">
        <v>194</v>
      </c>
      <c r="M7" s="2">
        <f t="shared" si="0"/>
        <v>2783</v>
      </c>
      <c r="N7" s="12" t="s">
        <v>56</v>
      </c>
    </row>
    <row r="8" spans="1:15" x14ac:dyDescent="0.35">
      <c r="A8" s="15" t="s">
        <v>10</v>
      </c>
      <c r="B8" s="1">
        <v>800</v>
      </c>
      <c r="C8" s="1"/>
      <c r="D8" s="1"/>
      <c r="E8" s="1"/>
      <c r="F8" s="1"/>
      <c r="G8" s="1"/>
      <c r="H8" s="1"/>
      <c r="I8" s="3">
        <v>2660</v>
      </c>
      <c r="J8" s="1">
        <v>800</v>
      </c>
      <c r="K8" s="1"/>
      <c r="L8" s="1"/>
      <c r="M8" s="2">
        <f t="shared" si="0"/>
        <v>4260</v>
      </c>
      <c r="N8" s="12" t="s">
        <v>87</v>
      </c>
    </row>
    <row r="9" spans="1:15" x14ac:dyDescent="0.35">
      <c r="A9" s="15" t="s">
        <v>64</v>
      </c>
      <c r="B9" s="1"/>
      <c r="C9" s="1"/>
      <c r="D9" s="1"/>
      <c r="E9" s="1">
        <v>7</v>
      </c>
      <c r="F9" s="1"/>
      <c r="G9" s="1"/>
      <c r="H9" s="1"/>
      <c r="I9" s="3"/>
      <c r="J9" s="1"/>
      <c r="K9" s="1"/>
      <c r="L9" s="1">
        <v>83</v>
      </c>
      <c r="M9" s="2">
        <f t="shared" si="0"/>
        <v>90</v>
      </c>
      <c r="N9" s="12" t="s">
        <v>87</v>
      </c>
    </row>
    <row r="10" spans="1:15" x14ac:dyDescent="0.35">
      <c r="A10" s="15" t="s">
        <v>63</v>
      </c>
      <c r="B10" s="1">
        <v>18</v>
      </c>
      <c r="C10" s="1"/>
      <c r="D10" s="1"/>
      <c r="E10" s="1"/>
      <c r="F10" s="1"/>
      <c r="G10" s="1"/>
      <c r="H10" s="1"/>
      <c r="I10" s="3"/>
      <c r="J10" s="1"/>
      <c r="K10" s="1"/>
      <c r="L10" s="1"/>
      <c r="M10" s="2">
        <f t="shared" si="0"/>
        <v>18</v>
      </c>
      <c r="N10" s="12" t="s">
        <v>87</v>
      </c>
    </row>
    <row r="11" spans="1:15" x14ac:dyDescent="0.35">
      <c r="A11" s="15" t="s">
        <v>11</v>
      </c>
      <c r="B11" s="1">
        <v>330</v>
      </c>
      <c r="C11" s="1">
        <v>30</v>
      </c>
      <c r="D11" s="1"/>
      <c r="E11" s="1"/>
      <c r="F11" s="1">
        <v>80</v>
      </c>
      <c r="G11" s="1">
        <v>180</v>
      </c>
      <c r="H11" s="1">
        <v>2084</v>
      </c>
      <c r="I11" s="34">
        <v>2920</v>
      </c>
      <c r="J11" s="1">
        <v>220</v>
      </c>
      <c r="K11" s="1"/>
      <c r="L11" s="1"/>
      <c r="M11" s="2">
        <f t="shared" si="0"/>
        <v>5844</v>
      </c>
      <c r="N11" s="12" t="s">
        <v>87</v>
      </c>
    </row>
    <row r="12" spans="1:15" x14ac:dyDescent="0.35">
      <c r="A12" s="15" t="s">
        <v>2</v>
      </c>
      <c r="B12" s="1"/>
      <c r="C12" s="1"/>
      <c r="D12" s="1"/>
      <c r="E12" s="1"/>
      <c r="F12" s="1"/>
      <c r="G12" s="1"/>
      <c r="H12" s="1">
        <v>29</v>
      </c>
      <c r="I12" s="3">
        <v>40</v>
      </c>
      <c r="J12" s="1"/>
      <c r="K12" s="1"/>
      <c r="L12" s="1"/>
      <c r="M12" s="2">
        <f t="shared" si="0"/>
        <v>69</v>
      </c>
      <c r="N12" s="12" t="s">
        <v>44</v>
      </c>
    </row>
    <row r="13" spans="1:15" x14ac:dyDescent="0.35">
      <c r="A13" s="15" t="s">
        <v>3</v>
      </c>
      <c r="B13" s="1">
        <v>60</v>
      </c>
      <c r="C13" s="1">
        <v>315</v>
      </c>
      <c r="D13" s="1"/>
      <c r="E13" s="1">
        <v>10</v>
      </c>
      <c r="F13" s="1"/>
      <c r="G13" s="1">
        <v>5</v>
      </c>
      <c r="H13" s="1">
        <v>120</v>
      </c>
      <c r="I13" s="3">
        <v>60</v>
      </c>
      <c r="J13" s="1"/>
      <c r="K13" s="1">
        <v>50</v>
      </c>
      <c r="L13" s="1">
        <v>408</v>
      </c>
      <c r="M13" s="2">
        <f t="shared" si="0"/>
        <v>1028</v>
      </c>
      <c r="N13" s="12" t="s">
        <v>43</v>
      </c>
    </row>
    <row r="14" spans="1:15" x14ac:dyDescent="0.35">
      <c r="A14" s="15" t="s">
        <v>27</v>
      </c>
      <c r="B14" s="1">
        <v>254</v>
      </c>
      <c r="C14" s="1">
        <v>48</v>
      </c>
      <c r="D14" s="1"/>
      <c r="E14" s="1"/>
      <c r="F14" s="1"/>
      <c r="G14" s="1">
        <v>151</v>
      </c>
      <c r="H14" s="1"/>
      <c r="I14" s="3">
        <v>1007</v>
      </c>
      <c r="J14" s="1">
        <v>1106</v>
      </c>
      <c r="K14" s="1"/>
      <c r="L14" s="1">
        <v>450</v>
      </c>
      <c r="M14" s="2">
        <f t="shared" si="0"/>
        <v>3016</v>
      </c>
      <c r="N14" s="12" t="s">
        <v>87</v>
      </c>
    </row>
    <row r="15" spans="1:15" x14ac:dyDescent="0.35">
      <c r="A15" s="35" t="s">
        <v>62</v>
      </c>
      <c r="B15" s="1">
        <v>6020</v>
      </c>
      <c r="C15" s="1"/>
      <c r="D15" s="1">
        <v>66</v>
      </c>
      <c r="E15" s="1"/>
      <c r="F15" s="1">
        <v>178</v>
      </c>
      <c r="G15" s="1">
        <v>328</v>
      </c>
      <c r="H15" s="1">
        <v>3453</v>
      </c>
      <c r="I15" s="34">
        <v>24061</v>
      </c>
      <c r="J15" s="1">
        <v>2571</v>
      </c>
      <c r="K15" s="1"/>
      <c r="L15" s="1">
        <v>3151</v>
      </c>
      <c r="M15" s="2">
        <v>39828</v>
      </c>
      <c r="N15" s="12" t="s">
        <v>87</v>
      </c>
    </row>
    <row r="16" spans="1:15" x14ac:dyDescent="0.35">
      <c r="A16" s="15" t="s">
        <v>48</v>
      </c>
      <c r="B16" s="1">
        <v>767</v>
      </c>
      <c r="C16" s="1"/>
      <c r="D16" s="1"/>
      <c r="E16" s="1"/>
      <c r="F16" s="1"/>
      <c r="G16" s="1"/>
      <c r="H16" s="1">
        <v>492</v>
      </c>
      <c r="I16" s="3">
        <v>962</v>
      </c>
      <c r="J16" s="1">
        <v>27</v>
      </c>
      <c r="K16" s="1"/>
      <c r="L16" s="1">
        <v>1304</v>
      </c>
      <c r="M16" s="2">
        <f t="shared" si="0"/>
        <v>3552</v>
      </c>
      <c r="N16" s="12" t="s">
        <v>87</v>
      </c>
    </row>
    <row r="17" spans="1:15" x14ac:dyDescent="0.35">
      <c r="A17" s="15" t="s">
        <v>4</v>
      </c>
      <c r="B17" s="1"/>
      <c r="C17" s="1"/>
      <c r="D17" s="1"/>
      <c r="E17" s="1"/>
      <c r="F17" s="1"/>
      <c r="G17" s="1"/>
      <c r="H17" s="1"/>
      <c r="I17" s="3">
        <v>400</v>
      </c>
      <c r="J17" s="1"/>
      <c r="K17" s="1"/>
      <c r="L17" s="1">
        <v>1023</v>
      </c>
      <c r="M17" s="2">
        <f t="shared" si="0"/>
        <v>1423</v>
      </c>
      <c r="N17" s="12" t="s">
        <v>45</v>
      </c>
    </row>
    <row r="18" spans="1:15" x14ac:dyDescent="0.35">
      <c r="A18" s="15" t="s">
        <v>12</v>
      </c>
      <c r="B18" s="1"/>
      <c r="C18" s="1"/>
      <c r="D18" s="1"/>
      <c r="E18" s="1"/>
      <c r="F18" s="1">
        <v>44</v>
      </c>
      <c r="G18" s="1">
        <v>30</v>
      </c>
      <c r="H18" s="1">
        <v>80</v>
      </c>
      <c r="I18" s="3">
        <v>160</v>
      </c>
      <c r="J18" s="1">
        <v>78</v>
      </c>
      <c r="K18" s="1"/>
      <c r="L18" s="1">
        <v>58</v>
      </c>
      <c r="M18" s="2">
        <f t="shared" si="0"/>
        <v>450</v>
      </c>
      <c r="N18" s="12" t="s">
        <v>87</v>
      </c>
    </row>
    <row r="19" spans="1:15" x14ac:dyDescent="0.35">
      <c r="A19" s="15" t="s">
        <v>5</v>
      </c>
      <c r="B19" s="36">
        <v>3114</v>
      </c>
      <c r="C19" s="1">
        <v>880</v>
      </c>
      <c r="D19" s="1">
        <v>189</v>
      </c>
      <c r="E19" s="1">
        <v>64</v>
      </c>
      <c r="F19" s="1">
        <v>699</v>
      </c>
      <c r="G19" s="1">
        <v>2878</v>
      </c>
      <c r="H19" s="1">
        <v>2440</v>
      </c>
      <c r="I19" s="34">
        <v>6298</v>
      </c>
      <c r="J19" s="1">
        <v>1220</v>
      </c>
      <c r="K19" s="1">
        <v>1613</v>
      </c>
      <c r="L19" s="1">
        <v>3672</v>
      </c>
      <c r="M19" s="2">
        <f t="shared" si="0"/>
        <v>23067</v>
      </c>
      <c r="N19" s="13" t="s">
        <v>57</v>
      </c>
    </row>
    <row r="20" spans="1:15" x14ac:dyDescent="0.35">
      <c r="A20" s="15" t="s">
        <v>13</v>
      </c>
      <c r="B20" s="1">
        <v>46</v>
      </c>
      <c r="C20" s="1">
        <v>16</v>
      </c>
      <c r="D20" s="1"/>
      <c r="E20" s="1"/>
      <c r="F20" s="1">
        <v>2</v>
      </c>
      <c r="G20" s="1"/>
      <c r="H20" s="1">
        <v>34</v>
      </c>
      <c r="I20" s="3">
        <v>95</v>
      </c>
      <c r="J20" s="1">
        <v>6</v>
      </c>
      <c r="K20" s="1"/>
      <c r="L20" s="1"/>
      <c r="M20" s="2">
        <f t="shared" si="0"/>
        <v>199</v>
      </c>
      <c r="N20" s="12" t="s">
        <v>87</v>
      </c>
    </row>
    <row r="21" spans="1:15" x14ac:dyDescent="0.35">
      <c r="A21" s="15" t="s">
        <v>14</v>
      </c>
      <c r="B21" s="1">
        <v>23</v>
      </c>
      <c r="C21" s="1"/>
      <c r="D21" s="1"/>
      <c r="E21" s="1"/>
      <c r="F21" s="1"/>
      <c r="G21" s="1"/>
      <c r="H21" s="1"/>
      <c r="I21" s="3">
        <v>137</v>
      </c>
      <c r="J21" s="1">
        <v>6</v>
      </c>
      <c r="K21" s="1"/>
      <c r="L21" s="1"/>
      <c r="M21" s="2">
        <f t="shared" si="0"/>
        <v>166</v>
      </c>
      <c r="N21" s="12" t="s">
        <v>87</v>
      </c>
    </row>
    <row r="22" spans="1:15" x14ac:dyDescent="0.35">
      <c r="A22" s="15" t="s">
        <v>15</v>
      </c>
      <c r="B22" s="36">
        <v>1566</v>
      </c>
      <c r="C22" s="1"/>
      <c r="D22" s="1"/>
      <c r="E22" s="1"/>
      <c r="F22" s="1">
        <v>343</v>
      </c>
      <c r="G22" s="1"/>
      <c r="H22" s="1">
        <v>4827</v>
      </c>
      <c r="I22" s="34">
        <v>21271</v>
      </c>
      <c r="J22" s="1">
        <v>396</v>
      </c>
      <c r="K22" s="1"/>
      <c r="L22" s="1"/>
      <c r="M22" s="2">
        <f t="shared" si="0"/>
        <v>28403</v>
      </c>
      <c r="N22" s="13" t="s">
        <v>61</v>
      </c>
    </row>
    <row r="23" spans="1:15" x14ac:dyDescent="0.35">
      <c r="A23" s="15" t="s">
        <v>16</v>
      </c>
      <c r="B23" s="1">
        <v>767</v>
      </c>
      <c r="C23" s="1">
        <v>74</v>
      </c>
      <c r="D23" s="1"/>
      <c r="E23" s="1"/>
      <c r="F23" s="1">
        <v>113</v>
      </c>
      <c r="G23" s="1">
        <v>34</v>
      </c>
      <c r="H23" s="1">
        <v>492</v>
      </c>
      <c r="I23" s="3">
        <v>964</v>
      </c>
      <c r="J23" s="1">
        <v>27</v>
      </c>
      <c r="K23" s="1"/>
      <c r="L23" s="1">
        <v>1304</v>
      </c>
      <c r="M23" s="2">
        <f t="shared" si="0"/>
        <v>3775</v>
      </c>
      <c r="N23" s="12" t="s">
        <v>87</v>
      </c>
    </row>
    <row r="24" spans="1:15" x14ac:dyDescent="0.35">
      <c r="A24" s="15" t="s">
        <v>17</v>
      </c>
      <c r="B24" s="1"/>
      <c r="C24" s="1"/>
      <c r="D24" s="1"/>
      <c r="E24" s="1"/>
      <c r="F24" s="1"/>
      <c r="G24" s="1"/>
      <c r="H24" s="1"/>
      <c r="I24" s="3"/>
      <c r="J24" s="1">
        <v>23</v>
      </c>
      <c r="K24" s="1"/>
      <c r="L24" s="1">
        <v>489</v>
      </c>
      <c r="M24" s="2">
        <f t="shared" si="0"/>
        <v>512</v>
      </c>
      <c r="N24" s="12" t="s">
        <v>87</v>
      </c>
    </row>
    <row r="25" spans="1:15" x14ac:dyDescent="0.35">
      <c r="A25" s="15" t="s">
        <v>18</v>
      </c>
      <c r="B25" s="1">
        <v>558</v>
      </c>
      <c r="C25" s="1"/>
      <c r="D25" s="1">
        <v>36</v>
      </c>
      <c r="E25" s="1"/>
      <c r="F25" s="1">
        <v>379</v>
      </c>
      <c r="G25" s="1">
        <v>20</v>
      </c>
      <c r="H25" s="1"/>
      <c r="I25" s="3">
        <v>1070</v>
      </c>
      <c r="J25" s="1">
        <v>519</v>
      </c>
      <c r="K25" s="1"/>
      <c r="L25" s="1">
        <v>366</v>
      </c>
      <c r="M25" s="2">
        <f t="shared" si="0"/>
        <v>2948</v>
      </c>
      <c r="N25" s="12" t="s">
        <v>88</v>
      </c>
    </row>
    <row r="26" spans="1:15" s="7" customFormat="1" x14ac:dyDescent="0.35">
      <c r="A26" s="15" t="s">
        <v>28</v>
      </c>
      <c r="B26" s="1">
        <v>8</v>
      </c>
      <c r="C26" s="1">
        <v>22</v>
      </c>
      <c r="D26" s="1">
        <v>8</v>
      </c>
      <c r="E26" s="1"/>
      <c r="F26" s="7">
        <v>33</v>
      </c>
      <c r="G26" s="1">
        <v>20</v>
      </c>
      <c r="H26" s="1">
        <v>69</v>
      </c>
      <c r="I26" s="3">
        <v>376</v>
      </c>
      <c r="J26" s="1">
        <v>20</v>
      </c>
      <c r="K26" s="1"/>
      <c r="L26" s="1"/>
      <c r="M26" s="2">
        <f t="shared" si="0"/>
        <v>556</v>
      </c>
      <c r="N26" s="12" t="s">
        <v>87</v>
      </c>
      <c r="O26" s="6"/>
    </row>
    <row r="27" spans="1:15" x14ac:dyDescent="0.35">
      <c r="A27" s="15" t="s">
        <v>29</v>
      </c>
      <c r="B27" s="1">
        <v>29</v>
      </c>
      <c r="C27" s="1">
        <v>50</v>
      </c>
      <c r="D27" s="1"/>
      <c r="E27" s="1"/>
      <c r="F27" s="1">
        <v>22</v>
      </c>
      <c r="G27" s="1"/>
      <c r="H27" s="1"/>
      <c r="I27" s="3">
        <v>63</v>
      </c>
      <c r="J27" s="1">
        <v>56</v>
      </c>
      <c r="K27" s="1"/>
      <c r="L27" s="1">
        <v>50</v>
      </c>
      <c r="M27" s="2">
        <f t="shared" si="0"/>
        <v>270</v>
      </c>
      <c r="N27" s="12" t="s">
        <v>87</v>
      </c>
    </row>
    <row r="28" spans="1:15" x14ac:dyDescent="0.35">
      <c r="A28" s="15" t="s">
        <v>19</v>
      </c>
      <c r="B28" s="1">
        <v>316</v>
      </c>
      <c r="C28" s="1">
        <v>156</v>
      </c>
      <c r="D28" s="1"/>
      <c r="E28" s="1"/>
      <c r="F28" s="1"/>
      <c r="G28" s="1"/>
      <c r="H28" s="1">
        <v>2473</v>
      </c>
      <c r="I28" s="20">
        <v>2540</v>
      </c>
      <c r="J28" s="1">
        <v>116</v>
      </c>
      <c r="K28" s="1"/>
      <c r="L28" s="1">
        <v>297</v>
      </c>
      <c r="M28" s="2">
        <f t="shared" si="0"/>
        <v>5898</v>
      </c>
      <c r="N28" s="12" t="s">
        <v>87</v>
      </c>
    </row>
    <row r="29" spans="1:15" x14ac:dyDescent="0.35">
      <c r="A29" s="15" t="s">
        <v>30</v>
      </c>
      <c r="B29" s="1">
        <v>115</v>
      </c>
      <c r="C29" s="1">
        <v>167</v>
      </c>
      <c r="D29" s="1"/>
      <c r="E29" s="1"/>
      <c r="F29" s="1">
        <v>110</v>
      </c>
      <c r="G29" s="1">
        <v>189</v>
      </c>
      <c r="H29" s="1">
        <v>1171</v>
      </c>
      <c r="I29" s="3">
        <v>386</v>
      </c>
      <c r="J29" s="7">
        <v>175</v>
      </c>
      <c r="K29" s="1"/>
      <c r="L29" s="1">
        <v>616</v>
      </c>
      <c r="M29" s="2">
        <f t="shared" si="0"/>
        <v>2929</v>
      </c>
      <c r="N29" s="12" t="s">
        <v>87</v>
      </c>
    </row>
    <row r="30" spans="1:15" x14ac:dyDescent="0.35">
      <c r="A30" s="39" t="s">
        <v>31</v>
      </c>
      <c r="B30" s="40"/>
      <c r="C30" s="40"/>
      <c r="D30" s="40"/>
      <c r="E30" s="40"/>
      <c r="F30" s="40"/>
      <c r="G30" s="40"/>
      <c r="H30" s="40"/>
      <c r="I30" s="41"/>
      <c r="J30" s="40"/>
      <c r="K30" s="40"/>
      <c r="L30" s="40"/>
      <c r="M30" s="42">
        <f t="shared" si="0"/>
        <v>0</v>
      </c>
      <c r="N30" s="39" t="s">
        <v>87</v>
      </c>
    </row>
    <row r="31" spans="1:15" x14ac:dyDescent="0.35">
      <c r="A31" s="15" t="s">
        <v>32</v>
      </c>
      <c r="B31" s="1"/>
      <c r="C31" s="1">
        <v>76</v>
      </c>
      <c r="D31" s="1"/>
      <c r="E31" s="1"/>
      <c r="F31" s="1"/>
      <c r="G31" s="1"/>
      <c r="H31" s="1"/>
      <c r="I31" s="3">
        <v>113</v>
      </c>
      <c r="J31" s="1"/>
      <c r="K31" s="1"/>
      <c r="L31" s="1">
        <v>366</v>
      </c>
      <c r="M31" s="2">
        <f t="shared" si="0"/>
        <v>555</v>
      </c>
      <c r="N31" s="12" t="s">
        <v>87</v>
      </c>
    </row>
    <row r="32" spans="1:15" x14ac:dyDescent="0.35">
      <c r="A32" s="15" t="s">
        <v>33</v>
      </c>
      <c r="B32" s="1">
        <v>432</v>
      </c>
      <c r="C32" s="1"/>
      <c r="D32" s="1"/>
      <c r="E32" s="1"/>
      <c r="F32" s="1"/>
      <c r="G32" s="1"/>
      <c r="H32" s="1">
        <v>40</v>
      </c>
      <c r="I32" s="20">
        <v>175</v>
      </c>
      <c r="J32" s="1"/>
      <c r="K32" s="1"/>
      <c r="L32" s="1">
        <v>39</v>
      </c>
      <c r="M32" s="2">
        <f t="shared" si="0"/>
        <v>686</v>
      </c>
      <c r="N32" s="13" t="s">
        <v>89</v>
      </c>
    </row>
    <row r="33" spans="1:15" x14ac:dyDescent="0.35">
      <c r="A33" s="15" t="s">
        <v>6</v>
      </c>
      <c r="B33" s="1">
        <v>819</v>
      </c>
      <c r="C33" s="1">
        <v>146</v>
      </c>
      <c r="D33" s="1">
        <v>161</v>
      </c>
      <c r="E33" s="1"/>
      <c r="F33" s="1"/>
      <c r="G33" s="1">
        <v>112</v>
      </c>
      <c r="H33" s="1">
        <v>140</v>
      </c>
      <c r="I33" s="3">
        <v>580</v>
      </c>
      <c r="J33" s="1">
        <v>248</v>
      </c>
      <c r="K33" s="1">
        <v>20</v>
      </c>
      <c r="L33" s="1"/>
      <c r="M33" s="2">
        <f t="shared" si="0"/>
        <v>2226</v>
      </c>
      <c r="N33" s="13" t="s">
        <v>53</v>
      </c>
    </row>
    <row r="34" spans="1:15" s="9" customFormat="1" x14ac:dyDescent="0.35">
      <c r="A34" s="15" t="s">
        <v>34</v>
      </c>
      <c r="B34" s="1">
        <v>475</v>
      </c>
      <c r="C34" s="1">
        <v>3</v>
      </c>
      <c r="D34" s="1"/>
      <c r="E34" s="1"/>
      <c r="F34" s="1">
        <v>247</v>
      </c>
      <c r="G34" s="1">
        <v>31</v>
      </c>
      <c r="H34" s="1">
        <v>1414</v>
      </c>
      <c r="I34" s="3">
        <v>200</v>
      </c>
      <c r="J34" s="1">
        <v>121</v>
      </c>
      <c r="K34" s="1"/>
      <c r="L34" s="1">
        <v>175</v>
      </c>
      <c r="M34" s="2">
        <f t="shared" si="0"/>
        <v>2666</v>
      </c>
      <c r="N34" s="12" t="s">
        <v>93</v>
      </c>
      <c r="O34" s="8"/>
    </row>
    <row r="35" spans="1:15" x14ac:dyDescent="0.35">
      <c r="A35" s="15" t="s">
        <v>7</v>
      </c>
      <c r="B35" s="1">
        <v>370</v>
      </c>
      <c r="C35" s="1">
        <v>14</v>
      </c>
      <c r="D35" s="1"/>
      <c r="E35" s="1"/>
      <c r="F35" s="1"/>
      <c r="G35" s="1"/>
      <c r="H35" s="1">
        <v>124</v>
      </c>
      <c r="I35" s="3">
        <v>305</v>
      </c>
      <c r="J35" s="1">
        <v>45</v>
      </c>
      <c r="K35" s="1"/>
      <c r="L35" s="1">
        <v>1891</v>
      </c>
      <c r="M35" s="2">
        <f t="shared" si="0"/>
        <v>2749</v>
      </c>
      <c r="N35" s="12" t="s">
        <v>50</v>
      </c>
    </row>
    <row r="36" spans="1:15" x14ac:dyDescent="0.35">
      <c r="A36" s="35" t="s">
        <v>35</v>
      </c>
      <c r="B36" s="36">
        <v>4340</v>
      </c>
      <c r="C36" s="1"/>
      <c r="D36" s="1">
        <v>459</v>
      </c>
      <c r="E36" s="1"/>
      <c r="F36" s="1"/>
      <c r="G36" s="1"/>
      <c r="H36" s="1">
        <v>375</v>
      </c>
      <c r="I36" s="34">
        <v>12835</v>
      </c>
      <c r="J36" s="1">
        <v>1774</v>
      </c>
      <c r="K36" s="1"/>
      <c r="L36" s="1"/>
      <c r="M36" s="2">
        <f t="shared" si="0"/>
        <v>19783</v>
      </c>
      <c r="N36" s="12" t="s">
        <v>87</v>
      </c>
    </row>
    <row r="37" spans="1:15" x14ac:dyDescent="0.35">
      <c r="A37" s="15" t="s">
        <v>36</v>
      </c>
      <c r="B37" s="1">
        <v>11</v>
      </c>
      <c r="C37" s="1"/>
      <c r="D37" s="1"/>
      <c r="E37" s="1"/>
      <c r="F37" s="1">
        <v>95</v>
      </c>
      <c r="G37" s="1"/>
      <c r="H37" s="1">
        <v>176</v>
      </c>
      <c r="I37" s="3">
        <v>355</v>
      </c>
      <c r="J37" s="1"/>
      <c r="K37" s="1"/>
      <c r="L37" s="1">
        <v>81</v>
      </c>
      <c r="M37" s="2">
        <f t="shared" si="0"/>
        <v>718</v>
      </c>
      <c r="N37" s="12" t="s">
        <v>87</v>
      </c>
    </row>
    <row r="38" spans="1:15" x14ac:dyDescent="0.35">
      <c r="A38" s="39" t="s">
        <v>49</v>
      </c>
      <c r="B38" s="1"/>
      <c r="C38" s="1"/>
      <c r="D38" s="1"/>
      <c r="E38" s="1"/>
      <c r="F38" s="1"/>
      <c r="G38" s="1"/>
      <c r="H38" s="1"/>
      <c r="I38" s="3"/>
      <c r="J38" s="1"/>
      <c r="K38" s="1"/>
      <c r="L38" s="1"/>
      <c r="M38" s="2">
        <f t="shared" si="0"/>
        <v>0</v>
      </c>
      <c r="N38" s="12" t="s">
        <v>87</v>
      </c>
    </row>
    <row r="39" spans="1:15" x14ac:dyDescent="0.35">
      <c r="A39" s="15" t="s">
        <v>20</v>
      </c>
      <c r="B39" s="1">
        <v>434</v>
      </c>
      <c r="C39" s="1">
        <v>137</v>
      </c>
      <c r="D39" s="1">
        <v>67</v>
      </c>
      <c r="E39" s="1"/>
      <c r="F39" s="1">
        <v>171</v>
      </c>
      <c r="G39" s="1"/>
      <c r="H39" s="1">
        <v>104</v>
      </c>
      <c r="I39" s="3">
        <v>582</v>
      </c>
      <c r="J39" s="1">
        <v>36</v>
      </c>
      <c r="K39" s="1"/>
      <c r="L39" s="1">
        <v>710</v>
      </c>
      <c r="M39" s="2">
        <f t="shared" si="0"/>
        <v>2241</v>
      </c>
      <c r="N39" s="12" t="s">
        <v>87</v>
      </c>
    </row>
    <row r="40" spans="1:15" x14ac:dyDescent="0.35">
      <c r="A40" s="15" t="s">
        <v>21</v>
      </c>
      <c r="B40" s="1">
        <v>10</v>
      </c>
      <c r="C40" s="1"/>
      <c r="D40" s="1"/>
      <c r="E40" s="1"/>
      <c r="F40" s="1"/>
      <c r="G40" s="1">
        <v>20</v>
      </c>
      <c r="H40" s="1">
        <v>10</v>
      </c>
      <c r="I40" s="3">
        <v>40</v>
      </c>
      <c r="J40" s="1"/>
      <c r="K40" s="1"/>
      <c r="L40" s="1">
        <v>80</v>
      </c>
      <c r="M40" s="2">
        <f t="shared" si="0"/>
        <v>160</v>
      </c>
      <c r="N40" s="12" t="s">
        <v>87</v>
      </c>
    </row>
    <row r="41" spans="1:15" x14ac:dyDescent="0.35">
      <c r="A41" s="15" t="s">
        <v>37</v>
      </c>
      <c r="B41" s="1">
        <v>217</v>
      </c>
      <c r="C41" s="1"/>
      <c r="D41" s="1"/>
      <c r="E41" s="1"/>
      <c r="F41" s="1">
        <v>69</v>
      </c>
      <c r="G41" s="1">
        <v>51</v>
      </c>
      <c r="H41" s="1">
        <v>120</v>
      </c>
      <c r="I41" s="3">
        <v>1755</v>
      </c>
      <c r="J41" s="1">
        <v>90</v>
      </c>
      <c r="K41" s="1"/>
      <c r="L41" s="1">
        <v>186</v>
      </c>
      <c r="M41" s="2">
        <f t="shared" si="0"/>
        <v>2488</v>
      </c>
      <c r="N41" s="12" t="s">
        <v>87</v>
      </c>
    </row>
    <row r="42" spans="1:15" x14ac:dyDescent="0.35">
      <c r="A42" s="15" t="s">
        <v>38</v>
      </c>
      <c r="B42" s="1">
        <v>998</v>
      </c>
      <c r="C42" s="1"/>
      <c r="D42" s="1">
        <v>805</v>
      </c>
      <c r="E42" s="1"/>
      <c r="F42" s="1">
        <v>1291</v>
      </c>
      <c r="G42" s="1"/>
      <c r="H42" s="1"/>
      <c r="I42" s="3">
        <v>3154</v>
      </c>
      <c r="J42" s="1">
        <v>451</v>
      </c>
      <c r="K42" s="1"/>
      <c r="L42" s="1">
        <v>13559</v>
      </c>
      <c r="M42" s="2">
        <f t="shared" si="0"/>
        <v>20258</v>
      </c>
      <c r="N42" s="13" t="s">
        <v>54</v>
      </c>
    </row>
    <row r="43" spans="1:15" x14ac:dyDescent="0.35">
      <c r="A43" s="15" t="s">
        <v>22</v>
      </c>
      <c r="B43" s="1"/>
      <c r="C43" s="1"/>
      <c r="D43" s="1"/>
      <c r="E43" s="1"/>
      <c r="F43" s="1"/>
      <c r="G43" s="1"/>
      <c r="H43" s="1">
        <v>307</v>
      </c>
      <c r="I43" s="3">
        <v>241</v>
      </c>
      <c r="J43" s="1">
        <v>681</v>
      </c>
      <c r="K43" s="1"/>
      <c r="L43" s="1">
        <v>484</v>
      </c>
      <c r="M43" s="2">
        <f t="shared" si="0"/>
        <v>1713</v>
      </c>
      <c r="N43" s="12" t="s">
        <v>87</v>
      </c>
    </row>
    <row r="44" spans="1:15" x14ac:dyDescent="0.35">
      <c r="A44" s="15" t="s">
        <v>39</v>
      </c>
      <c r="B44" s="1">
        <v>330</v>
      </c>
      <c r="C44" s="1">
        <v>1597</v>
      </c>
      <c r="D44" s="1">
        <v>80</v>
      </c>
      <c r="E44" s="1"/>
      <c r="F44" s="1"/>
      <c r="G44" s="1">
        <v>629</v>
      </c>
      <c r="H44" s="1">
        <v>2084</v>
      </c>
      <c r="I44" s="3">
        <v>2920</v>
      </c>
      <c r="J44" s="1">
        <v>17</v>
      </c>
      <c r="K44" s="1"/>
      <c r="L44" s="1">
        <v>5457</v>
      </c>
      <c r="M44" s="2">
        <f t="shared" si="0"/>
        <v>13114</v>
      </c>
      <c r="N44" s="12" t="s">
        <v>90</v>
      </c>
    </row>
    <row r="45" spans="1:15" x14ac:dyDescent="0.35">
      <c r="A45" s="15" t="s">
        <v>23</v>
      </c>
      <c r="B45" s="1">
        <v>77</v>
      </c>
      <c r="C45" s="1">
        <v>37</v>
      </c>
      <c r="D45" s="1"/>
      <c r="E45" s="1"/>
      <c r="F45" s="1">
        <v>60</v>
      </c>
      <c r="G45" s="1"/>
      <c r="H45" s="1">
        <v>130</v>
      </c>
      <c r="I45" s="3">
        <v>240</v>
      </c>
      <c r="J45" s="1">
        <v>215</v>
      </c>
      <c r="K45" s="1"/>
      <c r="L45" s="1">
        <v>250</v>
      </c>
      <c r="M45" s="2">
        <f t="shared" si="0"/>
        <v>1009</v>
      </c>
      <c r="N45" s="12" t="s">
        <v>91</v>
      </c>
    </row>
    <row r="46" spans="1:15" x14ac:dyDescent="0.35">
      <c r="A46" s="15" t="s">
        <v>40</v>
      </c>
      <c r="B46" s="36">
        <v>1997</v>
      </c>
      <c r="C46" s="1">
        <v>246</v>
      </c>
      <c r="D46" s="1">
        <v>41</v>
      </c>
      <c r="E46" s="1">
        <v>220</v>
      </c>
      <c r="F46" s="1">
        <v>120</v>
      </c>
      <c r="G46" s="1">
        <v>1860</v>
      </c>
      <c r="H46" s="1">
        <v>8990</v>
      </c>
      <c r="I46" s="34">
        <v>14001</v>
      </c>
      <c r="J46" s="1">
        <v>3610</v>
      </c>
      <c r="K46" s="1"/>
      <c r="L46" s="1">
        <v>1020</v>
      </c>
      <c r="M46" s="2">
        <f t="shared" si="0"/>
        <v>32105</v>
      </c>
      <c r="N46" s="12" t="s">
        <v>87</v>
      </c>
    </row>
    <row r="47" spans="1:15" x14ac:dyDescent="0.35">
      <c r="A47" s="15" t="s">
        <v>24</v>
      </c>
      <c r="B47" s="1">
        <v>100</v>
      </c>
      <c r="C47" s="1"/>
      <c r="D47" s="1"/>
      <c r="E47" s="1">
        <v>36</v>
      </c>
      <c r="F47" s="1"/>
      <c r="G47" s="1">
        <v>180</v>
      </c>
      <c r="H47" s="1">
        <v>1939</v>
      </c>
      <c r="I47" s="34">
        <v>5272</v>
      </c>
      <c r="J47" s="1">
        <v>282</v>
      </c>
      <c r="K47" s="1">
        <v>100</v>
      </c>
      <c r="L47" s="1">
        <v>400</v>
      </c>
      <c r="M47" s="2">
        <f t="shared" si="0"/>
        <v>8309</v>
      </c>
      <c r="N47" s="12" t="s">
        <v>92</v>
      </c>
    </row>
    <row r="48" spans="1:15" x14ac:dyDescent="0.35">
      <c r="A48" s="15" t="s">
        <v>8</v>
      </c>
      <c r="B48" s="1">
        <v>265</v>
      </c>
      <c r="C48" s="1">
        <v>30</v>
      </c>
      <c r="D48" s="1">
        <v>80</v>
      </c>
      <c r="E48" s="1">
        <v>30</v>
      </c>
      <c r="F48" s="1">
        <v>155</v>
      </c>
      <c r="G48" s="1">
        <v>30</v>
      </c>
      <c r="H48" s="1">
        <v>270</v>
      </c>
      <c r="I48" s="3">
        <v>1100</v>
      </c>
      <c r="J48" s="1">
        <v>358</v>
      </c>
      <c r="K48" s="1"/>
      <c r="L48" s="1">
        <v>421</v>
      </c>
      <c r="M48" s="2">
        <f t="shared" si="0"/>
        <v>2739</v>
      </c>
      <c r="N48" s="12" t="s">
        <v>60</v>
      </c>
    </row>
    <row r="49" spans="1:15" s="11" customFormat="1" x14ac:dyDescent="0.35">
      <c r="A49" s="19" t="s">
        <v>58</v>
      </c>
      <c r="B49" s="21">
        <f>SUM(B2:B48)</f>
        <v>28934</v>
      </c>
      <c r="C49" s="21">
        <f t="shared" ref="C49:L49" si="1">SUM(C2:C48)</f>
        <v>5102</v>
      </c>
      <c r="D49" s="21">
        <f t="shared" si="1"/>
        <v>2206</v>
      </c>
      <c r="E49" s="21">
        <f t="shared" si="1"/>
        <v>377</v>
      </c>
      <c r="F49" s="21">
        <f t="shared" si="1"/>
        <v>5611</v>
      </c>
      <c r="G49" s="21">
        <f t="shared" si="1"/>
        <v>6808</v>
      </c>
      <c r="H49" s="21">
        <f t="shared" si="1"/>
        <v>35640</v>
      </c>
      <c r="I49" s="21">
        <f t="shared" si="1"/>
        <v>115672</v>
      </c>
      <c r="J49" s="21">
        <f t="shared" si="1"/>
        <v>16918</v>
      </c>
      <c r="K49" s="21">
        <f t="shared" si="1"/>
        <v>1813</v>
      </c>
      <c r="L49" s="21">
        <f t="shared" si="1"/>
        <v>40375</v>
      </c>
      <c r="M49" s="22">
        <f>+SUM(B49:L49)</f>
        <v>259456</v>
      </c>
      <c r="N49" s="16"/>
      <c r="O49" s="10"/>
    </row>
    <row r="50" spans="1:15" x14ac:dyDescent="0.35">
      <c r="A50" s="17" t="s">
        <v>46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38">
        <f>L49/Table1[[#Totals],[Total]]</f>
        <v>0.15873546317337253</v>
      </c>
      <c r="M50" s="37">
        <f>M49-C49</f>
        <v>254354</v>
      </c>
      <c r="N50" s="12"/>
    </row>
    <row r="51" spans="1:15" x14ac:dyDescent="0.35">
      <c r="A51" s="18" t="s">
        <v>59</v>
      </c>
      <c r="B51" s="30">
        <f>B49/Table1[[#Totals],[Total]]</f>
        <v>0.11375484560887582</v>
      </c>
      <c r="M51" s="2">
        <f>SUM(M2:M48)</f>
        <v>259456</v>
      </c>
    </row>
    <row r="52" spans="1:15" x14ac:dyDescent="0.35">
      <c r="B52">
        <f>COUNTIF(B2:B48,"&gt;1000")</f>
        <v>6</v>
      </c>
      <c r="C52" s="31">
        <f>(B49)/M50</f>
        <v>0.11375484560887582</v>
      </c>
      <c r="H52" s="30">
        <f>(H49)/M50</f>
        <v>0.14011967572752934</v>
      </c>
      <c r="I52" s="32">
        <f>I49/M50</f>
        <v>0.45476776461152568</v>
      </c>
    </row>
    <row r="53" spans="1:15" x14ac:dyDescent="0.35">
      <c r="J53" s="30">
        <f>(H49+I49)/Table1[[#Totals],[Total]]</f>
        <v>0.59488744033905505</v>
      </c>
    </row>
    <row r="54" spans="1:15" x14ac:dyDescent="0.35">
      <c r="B54">
        <f>SUM(B46,B36,B22,B19,B6,B15)</f>
        <v>18529</v>
      </c>
      <c r="C54">
        <f>B54/B49</f>
        <v>0.64038847031174395</v>
      </c>
      <c r="I54" s="33">
        <f>COUNTIF(I4:I50,"&gt;500")</f>
        <v>22</v>
      </c>
    </row>
    <row r="56" spans="1:15" x14ac:dyDescent="0.35">
      <c r="C56" t="s">
        <v>96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6AFAE-6411-42DC-8A30-5514FB2FF978}">
  <dimension ref="A1:P50"/>
  <sheetViews>
    <sheetView workbookViewId="0">
      <selection activeCell="M4" sqref="M4"/>
    </sheetView>
  </sheetViews>
  <sheetFormatPr defaultRowHeight="14.5" x14ac:dyDescent="0.35"/>
  <sheetData>
    <row r="1" spans="1:16" ht="112" x14ac:dyDescent="0.35">
      <c r="A1" t="s">
        <v>656</v>
      </c>
      <c r="B1" s="23" t="s">
        <v>72</v>
      </c>
      <c r="C1" s="24" t="s">
        <v>65</v>
      </c>
      <c r="D1" s="24" t="s">
        <v>66</v>
      </c>
      <c r="E1" s="24" t="s">
        <v>67</v>
      </c>
      <c r="F1" s="24" t="s">
        <v>52</v>
      </c>
      <c r="G1" s="24" t="s">
        <v>68</v>
      </c>
      <c r="H1" s="24" t="s">
        <v>51</v>
      </c>
      <c r="I1" s="24" t="s">
        <v>69</v>
      </c>
      <c r="J1" s="25" t="s">
        <v>95</v>
      </c>
      <c r="K1" s="24" t="s">
        <v>70</v>
      </c>
      <c r="L1" s="24" t="s">
        <v>71</v>
      </c>
      <c r="M1" s="24" t="s">
        <v>41</v>
      </c>
      <c r="N1" s="26" t="s">
        <v>46</v>
      </c>
      <c r="O1" s="27" t="s">
        <v>94</v>
      </c>
      <c r="P1" s="44" t="s">
        <v>656</v>
      </c>
    </row>
    <row r="2" spans="1:16" x14ac:dyDescent="0.35">
      <c r="A2" t="s">
        <v>109</v>
      </c>
      <c r="B2" s="15" t="s">
        <v>47</v>
      </c>
      <c r="C2" s="36">
        <f>+'[1]G_Alignment of education'!$H$25</f>
        <v>0</v>
      </c>
      <c r="D2" s="1"/>
      <c r="E2" s="1"/>
      <c r="F2" s="1"/>
      <c r="G2" s="1"/>
      <c r="H2" s="1"/>
      <c r="I2" s="1"/>
      <c r="J2" s="3"/>
      <c r="K2" s="1"/>
      <c r="L2" s="1"/>
      <c r="M2" s="1"/>
      <c r="N2" s="2">
        <f t="shared" ref="N2:N48" si="0">SUM(C2:M2)</f>
        <v>0</v>
      </c>
      <c r="O2" s="12" t="s">
        <v>87</v>
      </c>
      <c r="P2" s="1" t="str">
        <f>VLOOKUP(Table14[[#This Row],[Country]],Graph!A$2:B$48,2,FALSE)</f>
        <v>DZA</v>
      </c>
    </row>
    <row r="3" spans="1:16" x14ac:dyDescent="0.35">
      <c r="A3" t="s">
        <v>98</v>
      </c>
      <c r="B3" s="15" t="s">
        <v>25</v>
      </c>
      <c r="C3" s="1">
        <v>611</v>
      </c>
      <c r="D3" s="1"/>
      <c r="E3" s="1">
        <v>145</v>
      </c>
      <c r="F3" s="1"/>
      <c r="G3" s="1">
        <v>529</v>
      </c>
      <c r="H3" s="1"/>
      <c r="I3" s="1"/>
      <c r="J3" s="3">
        <v>2950</v>
      </c>
      <c r="K3" s="1"/>
      <c r="L3" s="1"/>
      <c r="M3" s="1"/>
      <c r="N3" s="2">
        <f t="shared" si="0"/>
        <v>4235</v>
      </c>
      <c r="O3" s="12" t="s">
        <v>55</v>
      </c>
      <c r="P3" s="1" t="str">
        <f>VLOOKUP(Table14[[#This Row],[Country]],Graph!A$2:B$48,2,FALSE)</f>
        <v>AGO</v>
      </c>
    </row>
    <row r="4" spans="1:16" x14ac:dyDescent="0.35">
      <c r="A4" t="s">
        <v>101</v>
      </c>
      <c r="B4" s="15" t="s">
        <v>0</v>
      </c>
      <c r="C4" s="1">
        <v>780</v>
      </c>
      <c r="D4" s="1">
        <v>385</v>
      </c>
      <c r="E4" s="1"/>
      <c r="F4" s="1"/>
      <c r="G4" s="1">
        <v>143</v>
      </c>
      <c r="H4" s="1"/>
      <c r="I4" s="1">
        <v>247</v>
      </c>
      <c r="J4" s="3">
        <v>257</v>
      </c>
      <c r="K4" s="1">
        <v>1113</v>
      </c>
      <c r="L4" s="1"/>
      <c r="M4" s="1">
        <v>1194</v>
      </c>
      <c r="N4" s="2">
        <f t="shared" si="0"/>
        <v>4119</v>
      </c>
      <c r="O4" s="12" t="s">
        <v>42</v>
      </c>
      <c r="P4" s="1" t="str">
        <f>VLOOKUP(Table14[[#This Row],[Country]],Graph!A$2:B$48,2,FALSE)</f>
        <v>BEN</v>
      </c>
    </row>
    <row r="5" spans="1:16" x14ac:dyDescent="0.35">
      <c r="A5" t="s">
        <v>102</v>
      </c>
      <c r="B5" s="15" t="s">
        <v>1</v>
      </c>
      <c r="C5" s="1">
        <v>60</v>
      </c>
      <c r="D5" s="1">
        <v>48</v>
      </c>
      <c r="E5" s="1">
        <v>7</v>
      </c>
      <c r="F5" s="1">
        <v>10</v>
      </c>
      <c r="G5" s="1">
        <v>95</v>
      </c>
      <c r="H5" s="1">
        <v>60</v>
      </c>
      <c r="I5" s="1">
        <v>40</v>
      </c>
      <c r="J5" s="3">
        <v>490</v>
      </c>
      <c r="K5" s="1">
        <v>189</v>
      </c>
      <c r="L5" s="1">
        <v>30</v>
      </c>
      <c r="M5" s="1">
        <v>597</v>
      </c>
      <c r="N5" s="2">
        <f t="shared" si="0"/>
        <v>1626</v>
      </c>
      <c r="O5" s="12" t="s">
        <v>43</v>
      </c>
      <c r="P5" s="1" t="str">
        <f>VLOOKUP(Table14[[#This Row],[Country]],Graph!A$2:B$48,2,FALSE)</f>
        <v>BWA</v>
      </c>
    </row>
    <row r="6" spans="1:16" x14ac:dyDescent="0.35">
      <c r="A6" t="s">
        <v>99</v>
      </c>
      <c r="B6" s="15" t="s">
        <v>9</v>
      </c>
      <c r="C6" s="36">
        <v>1492</v>
      </c>
      <c r="D6" s="1">
        <v>385</v>
      </c>
      <c r="E6" s="1">
        <v>62</v>
      </c>
      <c r="F6" s="1"/>
      <c r="G6" s="1">
        <v>594</v>
      </c>
      <c r="H6" s="1"/>
      <c r="I6" s="1">
        <v>1170</v>
      </c>
      <c r="J6" s="3">
        <v>1170</v>
      </c>
      <c r="K6" s="1"/>
      <c r="L6" s="1"/>
      <c r="M6" s="1"/>
      <c r="N6" s="2">
        <f t="shared" si="0"/>
        <v>4873</v>
      </c>
      <c r="O6" s="12" t="s">
        <v>87</v>
      </c>
      <c r="P6" s="1" t="str">
        <f>VLOOKUP(Table14[[#This Row],[Country]],Graph!A$2:B$48,2,FALSE)</f>
        <v>BFA</v>
      </c>
    </row>
    <row r="7" spans="1:16" x14ac:dyDescent="0.35">
      <c r="A7" t="s">
        <v>100</v>
      </c>
      <c r="B7" s="15" t="s">
        <v>26</v>
      </c>
      <c r="C7" s="1">
        <v>325</v>
      </c>
      <c r="D7" s="1">
        <v>240</v>
      </c>
      <c r="E7" s="1"/>
      <c r="F7" s="1"/>
      <c r="G7" s="1">
        <v>39</v>
      </c>
      <c r="H7" s="1"/>
      <c r="I7" s="1">
        <v>196</v>
      </c>
      <c r="J7" s="3">
        <v>1467</v>
      </c>
      <c r="K7" s="1">
        <v>322</v>
      </c>
      <c r="L7" s="1"/>
      <c r="M7" s="1">
        <v>194</v>
      </c>
      <c r="N7" s="2">
        <f t="shared" si="0"/>
        <v>2783</v>
      </c>
      <c r="O7" s="12" t="s">
        <v>56</v>
      </c>
      <c r="P7" s="1" t="str">
        <f>VLOOKUP(Table14[[#This Row],[Country]],Graph!A$2:B$48,2,FALSE)</f>
        <v>BDI</v>
      </c>
    </row>
    <row r="8" spans="1:16" x14ac:dyDescent="0.35">
      <c r="A8" t="s">
        <v>107</v>
      </c>
      <c r="B8" s="15" t="s">
        <v>10</v>
      </c>
      <c r="C8" s="1">
        <v>800</v>
      </c>
      <c r="D8" s="1"/>
      <c r="E8" s="1"/>
      <c r="F8" s="1"/>
      <c r="G8" s="1"/>
      <c r="H8" s="1"/>
      <c r="I8" s="1"/>
      <c r="J8" s="3">
        <v>2660</v>
      </c>
      <c r="K8" s="1">
        <v>800</v>
      </c>
      <c r="L8" s="1"/>
      <c r="M8" s="1"/>
      <c r="N8" s="2">
        <f t="shared" si="0"/>
        <v>4260</v>
      </c>
      <c r="O8" s="12" t="s">
        <v>87</v>
      </c>
      <c r="P8" s="1" t="str">
        <f>VLOOKUP(Table14[[#This Row],[Country]],Graph!A$2:B$48,2,FALSE)</f>
        <v>CMR</v>
      </c>
    </row>
    <row r="9" spans="1:16" x14ac:dyDescent="0.35">
      <c r="A9" t="s">
        <v>108</v>
      </c>
      <c r="B9" s="15" t="s">
        <v>64</v>
      </c>
      <c r="C9" s="1"/>
      <c r="D9" s="1"/>
      <c r="E9" s="1"/>
      <c r="F9" s="1">
        <v>7</v>
      </c>
      <c r="G9" s="1"/>
      <c r="H9" s="1"/>
      <c r="I9" s="1"/>
      <c r="J9" s="3"/>
      <c r="K9" s="1"/>
      <c r="L9" s="1"/>
      <c r="M9" s="1">
        <v>83</v>
      </c>
      <c r="N9" s="2">
        <f t="shared" si="0"/>
        <v>90</v>
      </c>
      <c r="O9" s="12" t="s">
        <v>87</v>
      </c>
      <c r="P9" s="1" t="str">
        <f>VLOOKUP(Table14[[#This Row],[Country]],Graph!A$2:B$48,2,FALSE)</f>
        <v>CPV</v>
      </c>
    </row>
    <row r="10" spans="1:16" x14ac:dyDescent="0.35">
      <c r="A10" t="s">
        <v>104</v>
      </c>
      <c r="B10" s="15" t="s">
        <v>63</v>
      </c>
      <c r="C10" s="1">
        <v>18</v>
      </c>
      <c r="D10" s="1"/>
      <c r="E10" s="1"/>
      <c r="F10" s="1"/>
      <c r="G10" s="1"/>
      <c r="H10" s="1"/>
      <c r="I10" s="1"/>
      <c r="J10" s="3"/>
      <c r="K10" s="1"/>
      <c r="L10" s="1"/>
      <c r="M10" s="1"/>
      <c r="N10" s="2">
        <f t="shared" si="0"/>
        <v>18</v>
      </c>
      <c r="O10" s="12" t="s">
        <v>87</v>
      </c>
      <c r="P10" s="1" t="str">
        <f>VLOOKUP(Table14[[#This Row],[Country]],Graph!A$2:B$48,2,FALSE)</f>
        <v>CAF</v>
      </c>
    </row>
    <row r="11" spans="1:16" x14ac:dyDescent="0.35">
      <c r="A11" t="s">
        <v>138</v>
      </c>
      <c r="B11" s="15" t="s">
        <v>11</v>
      </c>
      <c r="C11" s="1">
        <v>330</v>
      </c>
      <c r="D11" s="1">
        <v>30</v>
      </c>
      <c r="E11" s="1"/>
      <c r="F11" s="1"/>
      <c r="G11" s="1">
        <v>80</v>
      </c>
      <c r="H11" s="1">
        <v>180</v>
      </c>
      <c r="I11" s="1">
        <v>2084</v>
      </c>
      <c r="J11" s="34">
        <v>2920</v>
      </c>
      <c r="K11" s="1">
        <v>220</v>
      </c>
      <c r="L11" s="1"/>
      <c r="M11" s="1"/>
      <c r="N11" s="2">
        <f t="shared" si="0"/>
        <v>5844</v>
      </c>
      <c r="O11" s="12" t="s">
        <v>87</v>
      </c>
      <c r="P11" s="1" t="str">
        <f>VLOOKUP(Table14[[#This Row],[Country]],Graph!A$2:B$48,2,FALSE)</f>
        <v>TCD</v>
      </c>
    </row>
    <row r="12" spans="1:16" x14ac:dyDescent="0.35">
      <c r="A12" t="s">
        <v>119</v>
      </c>
      <c r="B12" s="15" t="s">
        <v>2</v>
      </c>
      <c r="C12" s="1"/>
      <c r="D12" s="1"/>
      <c r="E12" s="1"/>
      <c r="F12" s="1"/>
      <c r="G12" s="1"/>
      <c r="H12" s="1"/>
      <c r="I12" s="1">
        <v>29</v>
      </c>
      <c r="J12" s="3">
        <v>40</v>
      </c>
      <c r="K12" s="1"/>
      <c r="L12" s="1"/>
      <c r="M12" s="1"/>
      <c r="N12" s="2">
        <f t="shared" si="0"/>
        <v>69</v>
      </c>
      <c r="O12" s="12" t="s">
        <v>44</v>
      </c>
      <c r="P12" s="1" t="str">
        <f>VLOOKUP(Table14[[#This Row],[Country]],Graph!A$2:B$48,2,FALSE)</f>
        <v>COM</v>
      </c>
    </row>
    <row r="13" spans="1:16" x14ac:dyDescent="0.35">
      <c r="A13" t="s">
        <v>105</v>
      </c>
      <c r="B13" s="15" t="s">
        <v>3</v>
      </c>
      <c r="C13" s="1">
        <v>60</v>
      </c>
      <c r="D13" s="1">
        <v>315</v>
      </c>
      <c r="E13" s="1"/>
      <c r="F13" s="1">
        <v>10</v>
      </c>
      <c r="G13" s="1"/>
      <c r="H13" s="1">
        <v>5</v>
      </c>
      <c r="I13" s="1">
        <v>120</v>
      </c>
      <c r="J13" s="3">
        <v>60</v>
      </c>
      <c r="K13" s="1"/>
      <c r="L13" s="1">
        <v>50</v>
      </c>
      <c r="M13" s="1">
        <v>408</v>
      </c>
      <c r="N13" s="2">
        <f t="shared" si="0"/>
        <v>1028</v>
      </c>
      <c r="O13" s="12" t="s">
        <v>43</v>
      </c>
      <c r="P13" s="1" t="str">
        <f>VLOOKUP(Table14[[#This Row],[Country]],Graph!A$2:B$48,2,FALSE)</f>
        <v>COG</v>
      </c>
    </row>
    <row r="14" spans="1:16" x14ac:dyDescent="0.35">
      <c r="A14" t="s">
        <v>106</v>
      </c>
      <c r="B14" s="15" t="s">
        <v>27</v>
      </c>
      <c r="C14" s="1">
        <v>254</v>
      </c>
      <c r="D14" s="1">
        <v>48</v>
      </c>
      <c r="E14" s="1"/>
      <c r="F14" s="1"/>
      <c r="G14" s="1"/>
      <c r="H14" s="1">
        <v>151</v>
      </c>
      <c r="I14" s="1"/>
      <c r="J14" s="3">
        <v>1007</v>
      </c>
      <c r="K14" s="1">
        <v>1106</v>
      </c>
      <c r="L14" s="1"/>
      <c r="M14" s="1">
        <v>450</v>
      </c>
      <c r="N14" s="2">
        <f t="shared" si="0"/>
        <v>3016</v>
      </c>
      <c r="O14" s="12" t="s">
        <v>87</v>
      </c>
      <c r="P14" s="1" t="str">
        <f>VLOOKUP(Table14[[#This Row],[Country]],Graph!A$2:B$48,2,FALSE)</f>
        <v>CIV</v>
      </c>
    </row>
    <row r="15" spans="1:16" x14ac:dyDescent="0.35">
      <c r="A15" t="s">
        <v>103</v>
      </c>
      <c r="B15" s="35" t="s">
        <v>62</v>
      </c>
      <c r="C15" s="1">
        <v>6020</v>
      </c>
      <c r="D15" s="1"/>
      <c r="E15" s="1">
        <v>66</v>
      </c>
      <c r="F15" s="1"/>
      <c r="G15" s="1">
        <v>178</v>
      </c>
      <c r="H15" s="1">
        <v>328</v>
      </c>
      <c r="I15" s="1">
        <v>3453</v>
      </c>
      <c r="J15" s="3">
        <v>24061</v>
      </c>
      <c r="K15" s="1">
        <v>2571</v>
      </c>
      <c r="L15" s="1"/>
      <c r="M15" s="1">
        <v>3151</v>
      </c>
      <c r="N15" s="2">
        <v>39828</v>
      </c>
      <c r="O15" s="12" t="s">
        <v>87</v>
      </c>
      <c r="P15" s="1" t="str">
        <f>VLOOKUP(Table14[[#This Row],[Country]],Graph!A$2:B$48,2,FALSE)</f>
        <v>COD</v>
      </c>
    </row>
    <row r="16" spans="1:16" x14ac:dyDescent="0.35">
      <c r="A16" t="s">
        <v>116</v>
      </c>
      <c r="B16" s="15" t="s">
        <v>48</v>
      </c>
      <c r="C16" s="1">
        <v>767</v>
      </c>
      <c r="D16" s="1"/>
      <c r="E16" s="1"/>
      <c r="F16" s="1"/>
      <c r="G16" s="1"/>
      <c r="H16" s="1"/>
      <c r="I16" s="1">
        <v>492</v>
      </c>
      <c r="J16" s="3">
        <v>962</v>
      </c>
      <c r="K16" s="1">
        <v>27</v>
      </c>
      <c r="L16" s="1"/>
      <c r="M16" s="1">
        <v>1304</v>
      </c>
      <c r="N16" s="2">
        <f t="shared" si="0"/>
        <v>3552</v>
      </c>
      <c r="O16" s="12" t="s">
        <v>87</v>
      </c>
      <c r="P16" s="1" t="str">
        <f>VLOOKUP(Table14[[#This Row],[Country]],Graph!A$2:B$48,2,FALSE)</f>
        <v>GNQ</v>
      </c>
    </row>
    <row r="17" spans="1:16" x14ac:dyDescent="0.35">
      <c r="A17" t="s">
        <v>110</v>
      </c>
      <c r="B17" s="15" t="s">
        <v>4</v>
      </c>
      <c r="C17" s="1"/>
      <c r="D17" s="1"/>
      <c r="E17" s="1"/>
      <c r="F17" s="1"/>
      <c r="G17" s="1"/>
      <c r="H17" s="1"/>
      <c r="I17" s="1"/>
      <c r="J17" s="3">
        <v>400</v>
      </c>
      <c r="K17" s="1"/>
      <c r="L17" s="1"/>
      <c r="M17" s="1">
        <v>1023</v>
      </c>
      <c r="N17" s="2">
        <f t="shared" si="0"/>
        <v>1423</v>
      </c>
      <c r="O17" s="12" t="s">
        <v>45</v>
      </c>
      <c r="P17" s="1" t="str">
        <f>VLOOKUP(Table14[[#This Row],[Country]],Graph!A$2:B$48,2,FALSE)</f>
        <v>ERI</v>
      </c>
    </row>
    <row r="18" spans="1:16" x14ac:dyDescent="0.35">
      <c r="A18" t="s">
        <v>137</v>
      </c>
      <c r="B18" s="15" t="s">
        <v>12</v>
      </c>
      <c r="C18" s="1"/>
      <c r="D18" s="1"/>
      <c r="E18" s="1"/>
      <c r="F18" s="1"/>
      <c r="G18" s="1">
        <v>44</v>
      </c>
      <c r="H18" s="1">
        <v>30</v>
      </c>
      <c r="I18" s="1">
        <v>80</v>
      </c>
      <c r="J18" s="3">
        <v>160</v>
      </c>
      <c r="K18" s="1">
        <v>78</v>
      </c>
      <c r="L18" s="1"/>
      <c r="M18" s="1">
        <v>58</v>
      </c>
      <c r="N18" s="2">
        <f t="shared" si="0"/>
        <v>450</v>
      </c>
      <c r="O18" s="12" t="s">
        <v>87</v>
      </c>
      <c r="P18" s="1" t="str">
        <f>VLOOKUP(Table14[[#This Row],[Country]],Graph!A$2:B$48,2,FALSE)</f>
        <v>SWZ</v>
      </c>
    </row>
    <row r="19" spans="1:16" x14ac:dyDescent="0.35">
      <c r="A19" t="s">
        <v>111</v>
      </c>
      <c r="B19" s="15" t="s">
        <v>5</v>
      </c>
      <c r="C19" s="36">
        <v>3114</v>
      </c>
      <c r="D19" s="1">
        <v>880</v>
      </c>
      <c r="E19" s="1">
        <v>189</v>
      </c>
      <c r="F19" s="1">
        <v>64</v>
      </c>
      <c r="G19" s="1">
        <v>699</v>
      </c>
      <c r="H19" s="1">
        <v>2878</v>
      </c>
      <c r="I19" s="1">
        <v>2440</v>
      </c>
      <c r="J19" s="3">
        <v>6298</v>
      </c>
      <c r="K19" s="1">
        <v>1220</v>
      </c>
      <c r="L19" s="1">
        <v>1613</v>
      </c>
      <c r="M19" s="1">
        <v>3672</v>
      </c>
      <c r="N19" s="2">
        <f t="shared" si="0"/>
        <v>23067</v>
      </c>
      <c r="O19" s="13" t="s">
        <v>57</v>
      </c>
      <c r="P19" s="1" t="str">
        <f>VLOOKUP(Table14[[#This Row],[Country]],Graph!A$2:B$48,2,FALSE)</f>
        <v>ETH</v>
      </c>
    </row>
    <row r="20" spans="1:16" x14ac:dyDescent="0.35">
      <c r="A20" t="s">
        <v>112</v>
      </c>
      <c r="B20" s="15" t="s">
        <v>13</v>
      </c>
      <c r="C20" s="1">
        <v>46</v>
      </c>
      <c r="D20" s="1">
        <v>16</v>
      </c>
      <c r="E20" s="1"/>
      <c r="F20" s="1"/>
      <c r="G20" s="1">
        <v>2</v>
      </c>
      <c r="H20" s="1"/>
      <c r="I20" s="1">
        <v>34</v>
      </c>
      <c r="J20" s="3">
        <v>95</v>
      </c>
      <c r="K20" s="1">
        <v>6</v>
      </c>
      <c r="L20" s="1"/>
      <c r="M20" s="1"/>
      <c r="N20" s="2">
        <f t="shared" si="0"/>
        <v>199</v>
      </c>
      <c r="O20" s="12" t="s">
        <v>87</v>
      </c>
      <c r="P20" s="1" t="str">
        <f>VLOOKUP(Table14[[#This Row],[Country]],Graph!A$2:B$48,2,FALSE)</f>
        <v>GAB</v>
      </c>
    </row>
    <row r="21" spans="1:16" x14ac:dyDescent="0.35">
      <c r="A21" t="s">
        <v>114</v>
      </c>
      <c r="B21" s="15" t="s">
        <v>14</v>
      </c>
      <c r="C21" s="1">
        <v>23</v>
      </c>
      <c r="D21" s="1"/>
      <c r="E21" s="1"/>
      <c r="F21" s="1"/>
      <c r="G21" s="1"/>
      <c r="H21" s="1"/>
      <c r="I21" s="1"/>
      <c r="J21" s="3">
        <v>137</v>
      </c>
      <c r="K21" s="1">
        <v>6</v>
      </c>
      <c r="L21" s="1"/>
      <c r="M21" s="1"/>
      <c r="N21" s="2">
        <f t="shared" si="0"/>
        <v>166</v>
      </c>
      <c r="O21" s="12" t="s">
        <v>87</v>
      </c>
      <c r="P21" s="1" t="str">
        <f>VLOOKUP(Table14[[#This Row],[Country]],Graph!A$2:B$48,2,FALSE)</f>
        <v>GMB</v>
      </c>
    </row>
    <row r="22" spans="1:16" x14ac:dyDescent="0.35">
      <c r="A22" t="s">
        <v>113</v>
      </c>
      <c r="B22" s="15" t="s">
        <v>15</v>
      </c>
      <c r="C22" s="36">
        <v>1566</v>
      </c>
      <c r="D22" s="1"/>
      <c r="E22" s="1"/>
      <c r="F22" s="1"/>
      <c r="G22" s="1">
        <v>343</v>
      </c>
      <c r="H22" s="1"/>
      <c r="I22" s="1">
        <v>4827</v>
      </c>
      <c r="J22" s="34">
        <v>21271</v>
      </c>
      <c r="K22" s="1">
        <v>396</v>
      </c>
      <c r="L22" s="1"/>
      <c r="M22" s="1"/>
      <c r="N22" s="2">
        <f t="shared" si="0"/>
        <v>28403</v>
      </c>
      <c r="O22" s="13" t="s">
        <v>61</v>
      </c>
      <c r="P22" s="1" t="str">
        <f>VLOOKUP(Table14[[#This Row],[Country]],Graph!A$2:B$48,2,FALSE)</f>
        <v>GHA</v>
      </c>
    </row>
    <row r="23" spans="1:16" x14ac:dyDescent="0.35">
      <c r="A23" t="s">
        <v>115</v>
      </c>
      <c r="B23" s="15" t="s">
        <v>16</v>
      </c>
      <c r="C23" s="1">
        <v>767</v>
      </c>
      <c r="D23" s="1">
        <v>74</v>
      </c>
      <c r="E23" s="1"/>
      <c r="F23" s="1"/>
      <c r="G23" s="1">
        <v>113</v>
      </c>
      <c r="H23" s="1">
        <v>34</v>
      </c>
      <c r="I23" s="1">
        <v>492</v>
      </c>
      <c r="J23" s="3">
        <v>964</v>
      </c>
      <c r="K23" s="1">
        <v>27</v>
      </c>
      <c r="L23" s="1"/>
      <c r="M23" s="1">
        <v>1304</v>
      </c>
      <c r="N23" s="2">
        <f t="shared" si="0"/>
        <v>3775</v>
      </c>
      <c r="O23" s="12" t="s">
        <v>87</v>
      </c>
      <c r="P23" s="1" t="str">
        <f>VLOOKUP(Table14[[#This Row],[Country]],Graph!A$2:B$48,2,FALSE)</f>
        <v>GIN</v>
      </c>
    </row>
    <row r="24" spans="1:16" x14ac:dyDescent="0.35">
      <c r="A24" t="s">
        <v>117</v>
      </c>
      <c r="B24" s="15" t="s">
        <v>17</v>
      </c>
      <c r="C24" s="1"/>
      <c r="D24" s="1"/>
      <c r="E24" s="1"/>
      <c r="F24" s="1"/>
      <c r="G24" s="1"/>
      <c r="H24" s="1"/>
      <c r="I24" s="1"/>
      <c r="J24" s="3"/>
      <c r="K24" s="1">
        <v>23</v>
      </c>
      <c r="L24" s="1"/>
      <c r="M24" s="1">
        <v>489</v>
      </c>
      <c r="N24" s="2">
        <f t="shared" si="0"/>
        <v>512</v>
      </c>
      <c r="O24" s="12" t="s">
        <v>87</v>
      </c>
      <c r="P24" s="1" t="str">
        <f>VLOOKUP(Table14[[#This Row],[Country]],Graph!A$2:B$48,2,FALSE)</f>
        <v>GNB</v>
      </c>
    </row>
    <row r="25" spans="1:16" x14ac:dyDescent="0.35">
      <c r="A25" t="s">
        <v>118</v>
      </c>
      <c r="B25" s="15" t="s">
        <v>18</v>
      </c>
      <c r="C25" s="1">
        <v>558</v>
      </c>
      <c r="D25" s="1"/>
      <c r="E25" s="1">
        <v>36</v>
      </c>
      <c r="F25" s="1"/>
      <c r="G25" s="1">
        <v>379</v>
      </c>
      <c r="H25" s="1">
        <v>20</v>
      </c>
      <c r="I25" s="1"/>
      <c r="J25" s="3">
        <v>1070</v>
      </c>
      <c r="K25" s="1">
        <v>519</v>
      </c>
      <c r="L25" s="1"/>
      <c r="M25" s="1">
        <v>366</v>
      </c>
      <c r="N25" s="2">
        <f t="shared" si="0"/>
        <v>2948</v>
      </c>
      <c r="O25" s="12" t="s">
        <v>88</v>
      </c>
      <c r="P25" s="1" t="str">
        <f>VLOOKUP(Table14[[#This Row],[Country]],Graph!A$2:B$48,2,FALSE)</f>
        <v>KEN</v>
      </c>
    </row>
    <row r="26" spans="1:16" x14ac:dyDescent="0.35">
      <c r="A26" t="s">
        <v>121</v>
      </c>
      <c r="B26" s="15" t="s">
        <v>28</v>
      </c>
      <c r="C26" s="1">
        <v>8</v>
      </c>
      <c r="D26" s="1">
        <v>22</v>
      </c>
      <c r="E26" s="1">
        <v>8</v>
      </c>
      <c r="F26" s="1"/>
      <c r="G26" s="7">
        <v>33</v>
      </c>
      <c r="H26" s="1">
        <v>20</v>
      </c>
      <c r="I26" s="1">
        <v>69</v>
      </c>
      <c r="J26" s="3">
        <v>376</v>
      </c>
      <c r="K26" s="1">
        <v>20</v>
      </c>
      <c r="L26" s="1"/>
      <c r="M26" s="1"/>
      <c r="N26" s="2">
        <f t="shared" si="0"/>
        <v>556</v>
      </c>
      <c r="O26" s="12" t="s">
        <v>87</v>
      </c>
      <c r="P26" s="1" t="str">
        <f>VLOOKUP(Table14[[#This Row],[Country]],Graph!A$2:B$48,2,FALSE)</f>
        <v>LSO</v>
      </c>
    </row>
    <row r="27" spans="1:16" x14ac:dyDescent="0.35">
      <c r="A27" t="s">
        <v>120</v>
      </c>
      <c r="B27" s="15" t="s">
        <v>29</v>
      </c>
      <c r="C27" s="1">
        <v>29</v>
      </c>
      <c r="D27" s="1">
        <v>50</v>
      </c>
      <c r="E27" s="1"/>
      <c r="F27" s="1"/>
      <c r="G27" s="1">
        <v>22</v>
      </c>
      <c r="H27" s="1"/>
      <c r="I27" s="1"/>
      <c r="J27" s="3">
        <v>63</v>
      </c>
      <c r="K27" s="1">
        <v>56</v>
      </c>
      <c r="L27" s="1"/>
      <c r="M27" s="1">
        <v>50</v>
      </c>
      <c r="N27" s="2">
        <f t="shared" si="0"/>
        <v>270</v>
      </c>
      <c r="O27" s="12" t="s">
        <v>87</v>
      </c>
      <c r="P27" s="1" t="str">
        <f>VLOOKUP(Table14[[#This Row],[Country]],Graph!A$2:B$48,2,FALSE)</f>
        <v>LBR</v>
      </c>
    </row>
    <row r="28" spans="1:16" x14ac:dyDescent="0.35">
      <c r="A28" t="s">
        <v>122</v>
      </c>
      <c r="B28" s="15" t="s">
        <v>19</v>
      </c>
      <c r="C28" s="1">
        <v>316</v>
      </c>
      <c r="D28" s="1">
        <v>156</v>
      </c>
      <c r="E28" s="1"/>
      <c r="F28" s="1"/>
      <c r="G28" s="1"/>
      <c r="H28" s="1"/>
      <c r="I28" s="1">
        <v>2473</v>
      </c>
      <c r="J28" s="20">
        <v>2540</v>
      </c>
      <c r="K28" s="1">
        <v>116</v>
      </c>
      <c r="L28" s="1"/>
      <c r="M28" s="1">
        <v>297</v>
      </c>
      <c r="N28" s="2">
        <f t="shared" si="0"/>
        <v>5898</v>
      </c>
      <c r="O28" s="12" t="s">
        <v>87</v>
      </c>
      <c r="P28" s="1" t="str">
        <f>VLOOKUP(Table14[[#This Row],[Country]],Graph!A$2:B$48,2,FALSE)</f>
        <v>MDG</v>
      </c>
    </row>
    <row r="29" spans="1:16" x14ac:dyDescent="0.35">
      <c r="A29" t="s">
        <v>126</v>
      </c>
      <c r="B29" s="15" t="s">
        <v>30</v>
      </c>
      <c r="C29" s="1">
        <v>115</v>
      </c>
      <c r="D29" s="1">
        <v>167</v>
      </c>
      <c r="E29" s="1"/>
      <c r="F29" s="1"/>
      <c r="G29" s="1">
        <v>110</v>
      </c>
      <c r="H29" s="1">
        <v>189</v>
      </c>
      <c r="I29" s="1">
        <v>1171</v>
      </c>
      <c r="J29" s="3">
        <v>386</v>
      </c>
      <c r="K29" s="7">
        <v>175</v>
      </c>
      <c r="L29" s="1"/>
      <c r="M29" s="1">
        <v>616</v>
      </c>
      <c r="N29" s="2">
        <f t="shared" si="0"/>
        <v>2929</v>
      </c>
      <c r="O29" s="12" t="s">
        <v>87</v>
      </c>
      <c r="P29" s="1" t="str">
        <f>VLOOKUP(Table14[[#This Row],[Country]],Graph!A$2:B$48,2,FALSE)</f>
        <v>MWI</v>
      </c>
    </row>
    <row r="30" spans="1:16" x14ac:dyDescent="0.35">
      <c r="A30" t="s">
        <v>123</v>
      </c>
      <c r="B30" s="15" t="s">
        <v>31</v>
      </c>
      <c r="C30" s="1"/>
      <c r="D30" s="1"/>
      <c r="E30" s="1"/>
      <c r="F30" s="1"/>
      <c r="G30" s="1"/>
      <c r="H30" s="1"/>
      <c r="I30" s="1"/>
      <c r="J30" s="3"/>
      <c r="K30" s="1"/>
      <c r="L30" s="1"/>
      <c r="M30" s="1"/>
      <c r="N30" s="2">
        <f t="shared" si="0"/>
        <v>0</v>
      </c>
      <c r="O30" s="12" t="s">
        <v>87</v>
      </c>
      <c r="P30" s="1" t="str">
        <f>VLOOKUP(Table14[[#This Row],[Country]],Graph!A$2:B$48,2,FALSE)</f>
        <v>MLI</v>
      </c>
    </row>
    <row r="31" spans="1:16" x14ac:dyDescent="0.35">
      <c r="A31" t="s">
        <v>124</v>
      </c>
      <c r="B31" s="15" t="s">
        <v>32</v>
      </c>
      <c r="C31" s="1"/>
      <c r="D31" s="1">
        <v>76</v>
      </c>
      <c r="E31" s="1"/>
      <c r="F31" s="1"/>
      <c r="G31" s="1"/>
      <c r="H31" s="1"/>
      <c r="I31" s="1"/>
      <c r="J31" s="3">
        <v>113</v>
      </c>
      <c r="K31" s="1"/>
      <c r="L31" s="1"/>
      <c r="M31" s="1">
        <v>366</v>
      </c>
      <c r="N31" s="2">
        <f t="shared" si="0"/>
        <v>555</v>
      </c>
      <c r="O31" s="12" t="s">
        <v>87</v>
      </c>
      <c r="P31" s="1" t="str">
        <f>VLOOKUP(Table14[[#This Row],[Country]],Graph!A$2:B$48,2,FALSE)</f>
        <v>MRT</v>
      </c>
    </row>
    <row r="32" spans="1:16" x14ac:dyDescent="0.35">
      <c r="A32" t="s">
        <v>125</v>
      </c>
      <c r="B32" s="15" t="s">
        <v>33</v>
      </c>
      <c r="C32" s="1">
        <v>432</v>
      </c>
      <c r="D32" s="1"/>
      <c r="E32" s="1"/>
      <c r="F32" s="1"/>
      <c r="G32" s="1"/>
      <c r="H32" s="1"/>
      <c r="I32" s="1">
        <v>40</v>
      </c>
      <c r="J32" s="20">
        <v>175</v>
      </c>
      <c r="K32" s="1"/>
      <c r="L32" s="1"/>
      <c r="M32" s="1">
        <v>39</v>
      </c>
      <c r="N32" s="2">
        <f t="shared" si="0"/>
        <v>686</v>
      </c>
      <c r="O32" s="13" t="s">
        <v>89</v>
      </c>
      <c r="P32" s="1" t="str">
        <f>VLOOKUP(Table14[[#This Row],[Country]],Graph!A$2:B$48,2,FALSE)</f>
        <v>MUS</v>
      </c>
    </row>
    <row r="33" spans="1:16" x14ac:dyDescent="0.35">
      <c r="A33" t="s">
        <v>127</v>
      </c>
      <c r="B33" s="15" t="s">
        <v>6</v>
      </c>
      <c r="C33" s="1">
        <v>819</v>
      </c>
      <c r="D33" s="1">
        <v>146</v>
      </c>
      <c r="E33" s="1">
        <v>161</v>
      </c>
      <c r="F33" s="1"/>
      <c r="G33" s="1"/>
      <c r="H33" s="1">
        <v>112</v>
      </c>
      <c r="I33" s="1">
        <v>140</v>
      </c>
      <c r="J33" s="3">
        <v>580</v>
      </c>
      <c r="K33" s="1">
        <v>248</v>
      </c>
      <c r="L33" s="1">
        <v>20</v>
      </c>
      <c r="M33" s="1"/>
      <c r="N33" s="2">
        <f t="shared" si="0"/>
        <v>2226</v>
      </c>
      <c r="O33" s="13" t="s">
        <v>53</v>
      </c>
      <c r="P33" s="1" t="str">
        <f>VLOOKUP(Table14[[#This Row],[Country]],Graph!A$2:B$48,2,FALSE)</f>
        <v>MOZ</v>
      </c>
    </row>
    <row r="34" spans="1:16" x14ac:dyDescent="0.35">
      <c r="A34" t="s">
        <v>128</v>
      </c>
      <c r="B34" s="15" t="s">
        <v>34</v>
      </c>
      <c r="C34" s="1">
        <v>475</v>
      </c>
      <c r="D34" s="1">
        <v>3</v>
      </c>
      <c r="E34" s="1"/>
      <c r="F34" s="1"/>
      <c r="G34" s="1">
        <v>247</v>
      </c>
      <c r="H34" s="1">
        <v>31</v>
      </c>
      <c r="I34" s="1">
        <v>1414</v>
      </c>
      <c r="J34" s="3">
        <v>200</v>
      </c>
      <c r="K34" s="1">
        <v>121</v>
      </c>
      <c r="L34" s="1"/>
      <c r="M34" s="1">
        <v>175</v>
      </c>
      <c r="N34" s="2">
        <f t="shared" si="0"/>
        <v>2666</v>
      </c>
      <c r="O34" s="12" t="s">
        <v>93</v>
      </c>
      <c r="P34" s="1" t="str">
        <f>VLOOKUP(Table14[[#This Row],[Country]],Graph!A$2:B$48,2,FALSE)</f>
        <v>NAM</v>
      </c>
    </row>
    <row r="35" spans="1:16" x14ac:dyDescent="0.35">
      <c r="A35" t="s">
        <v>129</v>
      </c>
      <c r="B35" s="15" t="s">
        <v>7</v>
      </c>
      <c r="C35" s="1">
        <v>370</v>
      </c>
      <c r="D35" s="1">
        <v>14</v>
      </c>
      <c r="E35" s="1"/>
      <c r="F35" s="1"/>
      <c r="G35" s="1"/>
      <c r="H35" s="1"/>
      <c r="I35" s="1">
        <v>124</v>
      </c>
      <c r="J35" s="3">
        <v>305</v>
      </c>
      <c r="K35" s="1">
        <v>45</v>
      </c>
      <c r="L35" s="1"/>
      <c r="M35" s="1">
        <v>1891</v>
      </c>
      <c r="N35" s="2">
        <f t="shared" si="0"/>
        <v>2749</v>
      </c>
      <c r="O35" s="12" t="s">
        <v>50</v>
      </c>
      <c r="P35" s="1" t="str">
        <f>VLOOKUP(Table14[[#This Row],[Country]],Graph!A$2:B$48,2,FALSE)</f>
        <v>NER</v>
      </c>
    </row>
    <row r="36" spans="1:16" x14ac:dyDescent="0.35">
      <c r="A36" t="s">
        <v>130</v>
      </c>
      <c r="B36" s="35" t="s">
        <v>35</v>
      </c>
      <c r="C36" s="36">
        <v>4340</v>
      </c>
      <c r="D36" s="1"/>
      <c r="E36" s="1">
        <v>459</v>
      </c>
      <c r="F36" s="1"/>
      <c r="G36" s="1"/>
      <c r="H36" s="1"/>
      <c r="I36" s="1">
        <v>375</v>
      </c>
      <c r="J36" s="34">
        <v>12835</v>
      </c>
      <c r="K36" s="1">
        <v>1774</v>
      </c>
      <c r="L36" s="1"/>
      <c r="M36" s="1"/>
      <c r="N36" s="2">
        <f t="shared" si="0"/>
        <v>19783</v>
      </c>
      <c r="O36" s="12" t="s">
        <v>87</v>
      </c>
      <c r="P36" s="1" t="str">
        <f>VLOOKUP(Table14[[#This Row],[Country]],Graph!A$2:B$48,2,FALSE)</f>
        <v>NGA</v>
      </c>
    </row>
    <row r="37" spans="1:16" x14ac:dyDescent="0.35">
      <c r="A37" t="s">
        <v>131</v>
      </c>
      <c r="B37" s="15" t="s">
        <v>36</v>
      </c>
      <c r="C37" s="1">
        <v>11</v>
      </c>
      <c r="D37" s="1"/>
      <c r="E37" s="1"/>
      <c r="F37" s="1"/>
      <c r="G37" s="1">
        <v>95</v>
      </c>
      <c r="H37" s="1"/>
      <c r="I37" s="1">
        <v>176</v>
      </c>
      <c r="J37" s="3">
        <v>355</v>
      </c>
      <c r="K37" s="1"/>
      <c r="L37" s="1"/>
      <c r="M37" s="1">
        <v>81</v>
      </c>
      <c r="N37" s="2">
        <f t="shared" si="0"/>
        <v>718</v>
      </c>
      <c r="O37" s="12" t="s">
        <v>87</v>
      </c>
      <c r="P37" s="1" t="str">
        <f>VLOOKUP(Table14[[#This Row],[Country]],Graph!A$2:B$48,2,FALSE)</f>
        <v>RWA</v>
      </c>
    </row>
    <row r="38" spans="1:16" x14ac:dyDescent="0.35">
      <c r="A38" t="s">
        <v>136</v>
      </c>
      <c r="B38" s="15" t="s">
        <v>49</v>
      </c>
      <c r="C38" s="1"/>
      <c r="D38" s="1"/>
      <c r="E38" s="1"/>
      <c r="F38" s="1"/>
      <c r="G38" s="1"/>
      <c r="H38" s="1"/>
      <c r="I38" s="1"/>
      <c r="J38" s="3"/>
      <c r="K38" s="1"/>
      <c r="L38" s="1"/>
      <c r="M38" s="1"/>
      <c r="N38" s="2">
        <f t="shared" si="0"/>
        <v>0</v>
      </c>
      <c r="O38" s="12" t="s">
        <v>87</v>
      </c>
      <c r="P38" s="1" t="str">
        <f>VLOOKUP(Table14[[#This Row],[Country]],Graph!A$2:B$48,2,FALSE)</f>
        <v>STP</v>
      </c>
    </row>
    <row r="39" spans="1:16" x14ac:dyDescent="0.35">
      <c r="A39" t="s">
        <v>134</v>
      </c>
      <c r="B39" s="15" t="s">
        <v>20</v>
      </c>
      <c r="C39" s="1">
        <v>434</v>
      </c>
      <c r="D39" s="1">
        <v>137</v>
      </c>
      <c r="E39" s="1">
        <v>67</v>
      </c>
      <c r="F39" s="1"/>
      <c r="G39" s="1">
        <v>171</v>
      </c>
      <c r="H39" s="1"/>
      <c r="I39" s="1">
        <v>104</v>
      </c>
      <c r="J39" s="3">
        <f>288+294</f>
        <v>582</v>
      </c>
      <c r="K39" s="1">
        <v>36</v>
      </c>
      <c r="L39" s="1"/>
      <c r="M39" s="1">
        <v>710</v>
      </c>
      <c r="N39" s="2">
        <f t="shared" si="0"/>
        <v>2241</v>
      </c>
      <c r="O39" s="12" t="s">
        <v>87</v>
      </c>
      <c r="P39" s="1" t="str">
        <f>VLOOKUP(Table14[[#This Row],[Country]],Graph!A$2:B$48,2,FALSE)</f>
        <v>SEN</v>
      </c>
    </row>
    <row r="40" spans="1:16" x14ac:dyDescent="0.35">
      <c r="A40" t="s">
        <v>132</v>
      </c>
      <c r="B40" s="15" t="s">
        <v>21</v>
      </c>
      <c r="C40" s="1">
        <v>10</v>
      </c>
      <c r="D40" s="1"/>
      <c r="E40" s="1"/>
      <c r="F40" s="1"/>
      <c r="G40" s="1"/>
      <c r="H40" s="1">
        <v>20</v>
      </c>
      <c r="I40" s="1">
        <v>10</v>
      </c>
      <c r="J40" s="3">
        <v>40</v>
      </c>
      <c r="K40" s="1"/>
      <c r="L40" s="1"/>
      <c r="M40" s="1">
        <v>80</v>
      </c>
      <c r="N40" s="2">
        <f t="shared" si="0"/>
        <v>160</v>
      </c>
      <c r="O40" s="12" t="s">
        <v>87</v>
      </c>
      <c r="P40" s="1" t="str">
        <f>VLOOKUP(Table14[[#This Row],[Country]],Graph!A$2:B$48,2,FALSE)</f>
        <v>SYC</v>
      </c>
    </row>
    <row r="41" spans="1:16" x14ac:dyDescent="0.35">
      <c r="A41" t="s">
        <v>133</v>
      </c>
      <c r="B41" s="15" t="s">
        <v>37</v>
      </c>
      <c r="C41" s="1">
        <v>217</v>
      </c>
      <c r="D41" s="1"/>
      <c r="E41" s="1"/>
      <c r="F41" s="1"/>
      <c r="G41" s="1">
        <v>69</v>
      </c>
      <c r="H41" s="1">
        <v>51</v>
      </c>
      <c r="I41" s="1">
        <v>120</v>
      </c>
      <c r="J41" s="3">
        <v>1755</v>
      </c>
      <c r="K41" s="1">
        <v>90</v>
      </c>
      <c r="L41" s="1"/>
      <c r="M41" s="1">
        <v>186</v>
      </c>
      <c r="N41" s="2">
        <f t="shared" si="0"/>
        <v>2488</v>
      </c>
      <c r="O41" s="12" t="s">
        <v>87</v>
      </c>
      <c r="P41" s="1" t="str">
        <f>VLOOKUP(Table14[[#This Row],[Country]],Graph!A$2:B$48,2,FALSE)</f>
        <v>SLE</v>
      </c>
    </row>
    <row r="42" spans="1:16" x14ac:dyDescent="0.35">
      <c r="A42" t="s">
        <v>142</v>
      </c>
      <c r="B42" s="15" t="s">
        <v>38</v>
      </c>
      <c r="C42" s="1">
        <v>998</v>
      </c>
      <c r="D42" s="1"/>
      <c r="E42" s="1">
        <v>805</v>
      </c>
      <c r="F42" s="1"/>
      <c r="G42" s="1">
        <v>1291</v>
      </c>
      <c r="H42" s="1"/>
      <c r="I42" s="1"/>
      <c r="J42" s="3">
        <v>3154</v>
      </c>
      <c r="K42" s="1">
        <v>451</v>
      </c>
      <c r="L42" s="1"/>
      <c r="M42" s="1">
        <v>13559</v>
      </c>
      <c r="N42" s="2">
        <f t="shared" si="0"/>
        <v>20258</v>
      </c>
      <c r="O42" s="13" t="s">
        <v>54</v>
      </c>
      <c r="P42" s="1" t="str">
        <f>VLOOKUP(Table14[[#This Row],[Country]],Graph!A$2:B$48,2,FALSE)</f>
        <v>ZAF</v>
      </c>
    </row>
    <row r="43" spans="1:16" x14ac:dyDescent="0.35">
      <c r="A43" t="s">
        <v>135</v>
      </c>
      <c r="B43" s="15" t="s">
        <v>22</v>
      </c>
      <c r="C43" s="1"/>
      <c r="D43" s="1"/>
      <c r="E43" s="1"/>
      <c r="F43" s="1"/>
      <c r="G43" s="1"/>
      <c r="H43" s="1"/>
      <c r="I43" s="1">
        <v>307</v>
      </c>
      <c r="J43" s="3">
        <v>241</v>
      </c>
      <c r="K43" s="1">
        <v>681</v>
      </c>
      <c r="L43" s="1"/>
      <c r="M43" s="1">
        <v>484</v>
      </c>
      <c r="N43" s="2">
        <f t="shared" si="0"/>
        <v>1713</v>
      </c>
      <c r="O43" s="12" t="s">
        <v>87</v>
      </c>
      <c r="P43" s="1" t="str">
        <f>VLOOKUP(Table14[[#This Row],[Country]],Graph!A$2:B$48,2,FALSE)</f>
        <v>SSD</v>
      </c>
    </row>
    <row r="44" spans="1:16" x14ac:dyDescent="0.35">
      <c r="A44" t="s">
        <v>140</v>
      </c>
      <c r="B44" s="15" t="s">
        <v>39</v>
      </c>
      <c r="C44" s="40">
        <v>891</v>
      </c>
      <c r="D44" s="1">
        <v>1597</v>
      </c>
      <c r="E44" s="1">
        <v>80</v>
      </c>
      <c r="F44" s="1"/>
      <c r="G44" s="40">
        <v>164</v>
      </c>
      <c r="H44" s="1">
        <v>629</v>
      </c>
      <c r="I44" s="1"/>
      <c r="J44" s="41">
        <v>4607</v>
      </c>
      <c r="K44" s="40">
        <v>428</v>
      </c>
      <c r="L44" s="1"/>
      <c r="M44" s="1">
        <v>5457</v>
      </c>
      <c r="N44" s="2">
        <f t="shared" si="0"/>
        <v>13853</v>
      </c>
      <c r="O44" s="12" t="s">
        <v>90</v>
      </c>
      <c r="P44" s="1" t="str">
        <f>VLOOKUP(Table14[[#This Row],[Country]],Graph!A$2:B$48,2,FALSE)</f>
        <v>TZA</v>
      </c>
    </row>
    <row r="45" spans="1:16" x14ac:dyDescent="0.35">
      <c r="A45" t="s">
        <v>139</v>
      </c>
      <c r="B45" s="15" t="s">
        <v>23</v>
      </c>
      <c r="C45" s="1">
        <v>77</v>
      </c>
      <c r="D45" s="1">
        <v>37</v>
      </c>
      <c r="E45" s="1"/>
      <c r="F45" s="1"/>
      <c r="G45" s="1">
        <v>60</v>
      </c>
      <c r="H45" s="1"/>
      <c r="I45" s="1">
        <v>130</v>
      </c>
      <c r="J45" s="3">
        <v>240</v>
      </c>
      <c r="K45" s="1">
        <v>215</v>
      </c>
      <c r="L45" s="1"/>
      <c r="M45" s="1">
        <v>250</v>
      </c>
      <c r="N45" s="2">
        <f t="shared" si="0"/>
        <v>1009</v>
      </c>
      <c r="O45" s="12" t="s">
        <v>91</v>
      </c>
      <c r="P45" s="1" t="str">
        <f>VLOOKUP(Table14[[#This Row],[Country]],Graph!A$2:B$48,2,FALSE)</f>
        <v>TGO</v>
      </c>
    </row>
    <row r="46" spans="1:16" x14ac:dyDescent="0.35">
      <c r="A46" t="s">
        <v>141</v>
      </c>
      <c r="B46" s="15" t="s">
        <v>40</v>
      </c>
      <c r="C46" s="36">
        <v>1997</v>
      </c>
      <c r="D46" s="1">
        <v>246</v>
      </c>
      <c r="E46" s="1">
        <v>41</v>
      </c>
      <c r="F46" s="1">
        <v>220</v>
      </c>
      <c r="G46" s="1">
        <v>120</v>
      </c>
      <c r="H46" s="1">
        <v>1860</v>
      </c>
      <c r="I46" s="1">
        <v>8990</v>
      </c>
      <c r="J46" s="34">
        <v>14001</v>
      </c>
      <c r="K46" s="1">
        <v>3610</v>
      </c>
      <c r="L46" s="1"/>
      <c r="M46" s="1">
        <v>1020</v>
      </c>
      <c r="N46" s="2">
        <f t="shared" si="0"/>
        <v>32105</v>
      </c>
      <c r="O46" s="12" t="s">
        <v>87</v>
      </c>
      <c r="P46" s="1" t="str">
        <f>VLOOKUP(Table14[[#This Row],[Country]],Graph!A$2:B$48,2,FALSE)</f>
        <v>UGA</v>
      </c>
    </row>
    <row r="47" spans="1:16" x14ac:dyDescent="0.35">
      <c r="A47" t="s">
        <v>143</v>
      </c>
      <c r="B47" s="15" t="s">
        <v>24</v>
      </c>
      <c r="C47" s="40">
        <v>115</v>
      </c>
      <c r="D47" s="1"/>
      <c r="E47" s="1"/>
      <c r="F47" s="1">
        <v>36</v>
      </c>
      <c r="G47" s="1"/>
      <c r="H47" s="1">
        <v>180</v>
      </c>
      <c r="I47" s="1">
        <v>1939</v>
      </c>
      <c r="J47" s="3">
        <v>5272</v>
      </c>
      <c r="K47" s="1">
        <v>282</v>
      </c>
      <c r="L47" s="1">
        <v>100</v>
      </c>
      <c r="M47" s="1">
        <v>400</v>
      </c>
      <c r="N47" s="2">
        <f t="shared" si="0"/>
        <v>8324</v>
      </c>
      <c r="O47" s="12" t="s">
        <v>92</v>
      </c>
      <c r="P47" s="1" t="str">
        <f>VLOOKUP(Table14[[#This Row],[Country]],Graph!A$2:B$48,2,FALSE)</f>
        <v>ZMB</v>
      </c>
    </row>
    <row r="48" spans="1:16" x14ac:dyDescent="0.35">
      <c r="A48" t="s">
        <v>144</v>
      </c>
      <c r="B48" s="15" t="s">
        <v>8</v>
      </c>
      <c r="C48" s="1">
        <v>265</v>
      </c>
      <c r="D48" s="1">
        <v>30</v>
      </c>
      <c r="E48" s="1">
        <v>80</v>
      </c>
      <c r="F48" s="1">
        <v>30</v>
      </c>
      <c r="G48" s="1">
        <v>155</v>
      </c>
      <c r="H48" s="1">
        <v>30</v>
      </c>
      <c r="I48" s="1">
        <v>270</v>
      </c>
      <c r="J48" s="3">
        <v>1100</v>
      </c>
      <c r="K48" s="1">
        <v>358</v>
      </c>
      <c r="L48" s="1"/>
      <c r="M48" s="1">
        <v>421</v>
      </c>
      <c r="N48" s="2">
        <f t="shared" si="0"/>
        <v>2739</v>
      </c>
      <c r="O48" s="12" t="s">
        <v>60</v>
      </c>
      <c r="P48" s="1" t="str">
        <f>VLOOKUP(Table14[[#This Row],[Country]],Graph!A$2:B$48,2,FALSE)</f>
        <v>ZWE</v>
      </c>
    </row>
    <row r="49" spans="1:16" x14ac:dyDescent="0.35">
      <c r="A49" t="e">
        <v>#N/A</v>
      </c>
      <c r="B49" s="19" t="s">
        <v>58</v>
      </c>
      <c r="C49" s="21">
        <f>SUM(C2:C48)</f>
        <v>29510</v>
      </c>
      <c r="D49" s="21">
        <f t="shared" ref="D49:M49" si="1">SUM(D2:D48)</f>
        <v>5102</v>
      </c>
      <c r="E49" s="21">
        <f t="shared" si="1"/>
        <v>2206</v>
      </c>
      <c r="F49" s="21">
        <f t="shared" si="1"/>
        <v>377</v>
      </c>
      <c r="G49" s="21">
        <f t="shared" si="1"/>
        <v>5775</v>
      </c>
      <c r="H49" s="21">
        <f t="shared" si="1"/>
        <v>6808</v>
      </c>
      <c r="I49" s="21">
        <f t="shared" si="1"/>
        <v>33556</v>
      </c>
      <c r="J49" s="21">
        <f t="shared" si="1"/>
        <v>117359</v>
      </c>
      <c r="K49" s="21">
        <f t="shared" si="1"/>
        <v>17329</v>
      </c>
      <c r="L49" s="21">
        <f t="shared" si="1"/>
        <v>1813</v>
      </c>
      <c r="M49" s="21">
        <f t="shared" si="1"/>
        <v>40375</v>
      </c>
      <c r="N49" s="22">
        <f>+SUM(C49:M49)</f>
        <v>260210</v>
      </c>
      <c r="O49" s="16"/>
      <c r="P49" s="1" t="e">
        <f>VLOOKUP(Table14[[#This Row],[Country]],Graph!A$2:B$48,2,FALSE)</f>
        <v>#N/A</v>
      </c>
    </row>
    <row r="50" spans="1:16" x14ac:dyDescent="0.35">
      <c r="B50" s="17" t="s">
        <v>46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38">
        <f>M49/Table14[[#Totals],[Total]]</f>
        <v>0.15826630289916427</v>
      </c>
      <c r="N50" s="37">
        <f>N49-D49</f>
        <v>255108</v>
      </c>
      <c r="O50" s="12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7614B-B5BE-4C8E-B266-BD3D0FA96659}">
  <dimension ref="A1:O48"/>
  <sheetViews>
    <sheetView tabSelected="1" topLeftCell="J1" workbookViewId="0">
      <selection activeCell="K2" sqref="K2:K48"/>
    </sheetView>
  </sheetViews>
  <sheetFormatPr defaultRowHeight="14.5" x14ac:dyDescent="0.35"/>
  <cols>
    <col min="1" max="1" width="28.54296875" bestFit="1" customWidth="1"/>
    <col min="3" max="3" width="27.08984375" bestFit="1" customWidth="1"/>
    <col min="4" max="4" width="15.54296875" bestFit="1" customWidth="1"/>
    <col min="5" max="5" width="17" bestFit="1" customWidth="1"/>
    <col min="6" max="6" width="7.6328125" bestFit="1" customWidth="1"/>
    <col min="7" max="7" width="22.1796875" bestFit="1" customWidth="1"/>
    <col min="8" max="8" width="11" bestFit="1" customWidth="1"/>
    <col min="9" max="9" width="24.90625" bestFit="1" customWidth="1"/>
  </cols>
  <sheetData>
    <row r="1" spans="1:15" x14ac:dyDescent="0.35">
      <c r="A1" t="s">
        <v>72</v>
      </c>
      <c r="B1" t="s">
        <v>97</v>
      </c>
      <c r="C1" t="s">
        <v>65</v>
      </c>
      <c r="D1" t="s">
        <v>95</v>
      </c>
      <c r="E1" t="s">
        <v>69</v>
      </c>
      <c r="F1" t="s">
        <v>67</v>
      </c>
      <c r="G1" t="s">
        <v>52</v>
      </c>
      <c r="H1" t="s">
        <v>68</v>
      </c>
      <c r="I1" t="s">
        <v>51</v>
      </c>
      <c r="J1" t="s">
        <v>70</v>
      </c>
      <c r="K1" t="s">
        <v>71</v>
      </c>
      <c r="L1" t="s">
        <v>41</v>
      </c>
      <c r="M1" t="s">
        <v>46</v>
      </c>
      <c r="O1" s="43" t="s">
        <v>145</v>
      </c>
    </row>
    <row r="2" spans="1:15" x14ac:dyDescent="0.35">
      <c r="A2" t="s">
        <v>47</v>
      </c>
      <c r="B2" t="str">
        <f>VLOOKUP(A2,CountryCodes!A$2:C$195,3,FALSE)</f>
        <v>DZA</v>
      </c>
      <c r="C2">
        <f>VLOOKUP(B2,'Education updated'!A$2:C$48,3,FALSE)</f>
        <v>0</v>
      </c>
      <c r="D2">
        <f>VLOOKUP(B2,'Education updated'!A$2:J$48,10,FALSE)</f>
        <v>0</v>
      </c>
      <c r="E2">
        <f>VLOOKUP(B2,'Education updated'!A$2:I$48,9,FALSE)</f>
        <v>0</v>
      </c>
      <c r="F2">
        <f>VLOOKUP(B2,'Education updated'!A$2:E$48,5,FALSE)</f>
        <v>0</v>
      </c>
      <c r="G2">
        <f>VLOOKUP(B2,'Education updated'!A$2:F$48,6,FALSE)</f>
        <v>0</v>
      </c>
      <c r="H2">
        <f>VLOOKUP(B2,'Education updated'!A$2:G$48,7,FALSE)</f>
        <v>0</v>
      </c>
      <c r="I2">
        <f>VLOOKUP(B2,'Education updated'!A$2:H$48,8,FALSE)</f>
        <v>0</v>
      </c>
      <c r="J2">
        <f>VLOOKUP(B2,'Education updated'!A$2:K$48,11,FALSE)</f>
        <v>0</v>
      </c>
      <c r="K2">
        <f>VLOOKUP(B2,'Education updated'!A$2:L$48,12,FALSE)</f>
        <v>0</v>
      </c>
    </row>
    <row r="3" spans="1:15" x14ac:dyDescent="0.35">
      <c r="A3" t="s">
        <v>31</v>
      </c>
      <c r="B3" t="str">
        <f>VLOOKUP(A3,CountryCodes!A$2:C$195,3,FALSE)</f>
        <v>MLI</v>
      </c>
      <c r="C3">
        <f>VLOOKUP(B3,'Education updated'!A$2:C$48,3,FALSE)</f>
        <v>0</v>
      </c>
      <c r="D3">
        <f>VLOOKUP(B3,'Education updated'!A$2:J$48,10,FALSE)</f>
        <v>0</v>
      </c>
      <c r="E3">
        <f>VLOOKUP(B3,'Education updated'!A$2:I$48,9,FALSE)</f>
        <v>0</v>
      </c>
      <c r="F3">
        <f>VLOOKUP(B3,'Education updated'!A$2:E$48,5,FALSE)</f>
        <v>0</v>
      </c>
      <c r="G3">
        <f>VLOOKUP(B3,'Education updated'!A$2:F$48,6,FALSE)</f>
        <v>0</v>
      </c>
      <c r="H3">
        <f>VLOOKUP(B3,'Education updated'!A$2:G$48,7,FALSE)</f>
        <v>0</v>
      </c>
      <c r="I3">
        <f>VLOOKUP(B3,'Education updated'!A$2:H$48,8,FALSE)</f>
        <v>0</v>
      </c>
      <c r="J3">
        <f>VLOOKUP(B3,'Education updated'!A$2:K$48,11,FALSE)</f>
        <v>0</v>
      </c>
      <c r="K3">
        <f>VLOOKUP(B3,'Education updated'!A$2:L$48,12,FALSE)</f>
        <v>0</v>
      </c>
    </row>
    <row r="4" spans="1:15" x14ac:dyDescent="0.35">
      <c r="A4" t="s">
        <v>49</v>
      </c>
      <c r="B4" t="str">
        <f>VLOOKUP(A4,CountryCodes!A$2:C$195,3,FALSE)</f>
        <v>STP</v>
      </c>
      <c r="C4">
        <f>VLOOKUP(B4,'Education updated'!A$2:C$48,3,FALSE)</f>
        <v>0</v>
      </c>
      <c r="D4">
        <f>VLOOKUP(B4,'Education updated'!A$2:J$48,10,FALSE)</f>
        <v>0</v>
      </c>
      <c r="E4">
        <f>VLOOKUP(B4,'Education updated'!A$2:I$48,9,FALSE)</f>
        <v>0</v>
      </c>
      <c r="F4">
        <f>VLOOKUP(B4,'Education updated'!A$2:E$48,5,FALSE)</f>
        <v>0</v>
      </c>
      <c r="G4">
        <f>VLOOKUP(B4,'Education updated'!A$2:F$48,6,FALSE)</f>
        <v>0</v>
      </c>
      <c r="H4">
        <f>VLOOKUP(B4,'Education updated'!A$2:G$48,7,FALSE)</f>
        <v>0</v>
      </c>
      <c r="I4">
        <f>VLOOKUP(B4,'Education updated'!A$2:H$48,8,FALSE)</f>
        <v>0</v>
      </c>
      <c r="J4">
        <f>VLOOKUP(B4,'Education updated'!A$2:K$48,11,FALSE)</f>
        <v>0</v>
      </c>
      <c r="K4">
        <f>VLOOKUP(B4,'Education updated'!A$2:L$48,12,FALSE)</f>
        <v>0</v>
      </c>
    </row>
    <row r="5" spans="1:15" x14ac:dyDescent="0.35">
      <c r="A5" t="s">
        <v>63</v>
      </c>
      <c r="B5" t="str">
        <f>VLOOKUP(A5,CountryCodes!A$2:C$195,3,FALSE)</f>
        <v>CAF</v>
      </c>
      <c r="C5">
        <f>VLOOKUP(B5,'Education updated'!A$2:C$48,3,FALSE)</f>
        <v>18</v>
      </c>
      <c r="D5">
        <f>VLOOKUP(B5,'Education updated'!A$2:J$48,10,FALSE)</f>
        <v>0</v>
      </c>
      <c r="E5">
        <f>VLOOKUP(B5,'Education updated'!A$2:I$48,9,FALSE)</f>
        <v>0</v>
      </c>
      <c r="F5">
        <f>VLOOKUP(B5,'Education updated'!A$2:E$48,5,FALSE)</f>
        <v>0</v>
      </c>
      <c r="G5">
        <f>VLOOKUP(B5,'Education updated'!A$2:F$48,6,FALSE)</f>
        <v>0</v>
      </c>
      <c r="H5">
        <f>VLOOKUP(B5,'Education updated'!A$2:G$48,7,FALSE)</f>
        <v>0</v>
      </c>
      <c r="I5">
        <f>VLOOKUP(B5,'Education updated'!A$2:H$48,8,FALSE)</f>
        <v>0</v>
      </c>
      <c r="J5">
        <f>VLOOKUP(B5,'Education updated'!A$2:K$48,11,FALSE)</f>
        <v>0</v>
      </c>
      <c r="K5">
        <f>VLOOKUP(B5,'Education updated'!A$2:L$48,12,FALSE)</f>
        <v>0</v>
      </c>
      <c r="M5">
        <f>SUM(C5:L5)</f>
        <v>18</v>
      </c>
    </row>
    <row r="6" spans="1:15" x14ac:dyDescent="0.35">
      <c r="A6" t="s">
        <v>2</v>
      </c>
      <c r="B6" t="str">
        <f>VLOOKUP(A6,CountryCodes!A$2:C$195,3,FALSE)</f>
        <v>COM</v>
      </c>
      <c r="C6">
        <f>VLOOKUP(B6,'Education updated'!A$2:C$48,3,FALSE)</f>
        <v>0</v>
      </c>
      <c r="D6">
        <f>VLOOKUP(B6,'Education updated'!A$2:J$48,10,FALSE)</f>
        <v>40</v>
      </c>
      <c r="E6">
        <f>VLOOKUP(B6,'Education updated'!A$2:I$48,9,FALSE)</f>
        <v>29</v>
      </c>
      <c r="F6">
        <f>VLOOKUP(B6,'Education updated'!A$2:E$48,5,FALSE)</f>
        <v>0</v>
      </c>
      <c r="G6">
        <f>VLOOKUP(B6,'Education updated'!A$2:F$48,6,FALSE)</f>
        <v>0</v>
      </c>
      <c r="H6">
        <f>VLOOKUP(B6,'Education updated'!A$2:G$48,7,FALSE)</f>
        <v>0</v>
      </c>
      <c r="I6">
        <f>VLOOKUP(B6,'Education updated'!A$2:H$48,8,FALSE)</f>
        <v>0</v>
      </c>
      <c r="J6">
        <f>VLOOKUP(B6,'Education updated'!A$2:K$48,11,FALSE)</f>
        <v>0</v>
      </c>
      <c r="K6">
        <f>VLOOKUP(B6,'Education updated'!A$2:L$48,12,FALSE)</f>
        <v>0</v>
      </c>
      <c r="M6">
        <f t="shared" ref="M6:M48" si="0">SUM(C6:L6)</f>
        <v>69</v>
      </c>
    </row>
    <row r="7" spans="1:15" x14ac:dyDescent="0.35">
      <c r="A7" t="s">
        <v>64</v>
      </c>
      <c r="B7" t="s">
        <v>108</v>
      </c>
      <c r="C7">
        <f>VLOOKUP(B7,'Education updated'!A$2:C$48,3,FALSE)</f>
        <v>0</v>
      </c>
      <c r="D7">
        <f>VLOOKUP(B7,'Education updated'!A$2:J$48,10,FALSE)</f>
        <v>0</v>
      </c>
      <c r="E7">
        <f>VLOOKUP(B7,'Education updated'!A$2:I$48,9,FALSE)</f>
        <v>0</v>
      </c>
      <c r="F7">
        <f>VLOOKUP(B7,'Education updated'!A$2:E$48,5,FALSE)</f>
        <v>0</v>
      </c>
      <c r="G7">
        <f>VLOOKUP(B7,'Education updated'!A$2:F$48,6,FALSE)</f>
        <v>7</v>
      </c>
      <c r="H7">
        <f>VLOOKUP(B7,'Education updated'!A$2:G$48,7,FALSE)</f>
        <v>0</v>
      </c>
      <c r="I7">
        <f>VLOOKUP(B7,'Education updated'!A$2:H$48,8,FALSE)</f>
        <v>0</v>
      </c>
      <c r="J7">
        <f>VLOOKUP(B7,'Education updated'!A$2:K$48,11,FALSE)</f>
        <v>0</v>
      </c>
      <c r="K7">
        <f>VLOOKUP(B7,'Education updated'!A$2:L$48,12,FALSE)</f>
        <v>0</v>
      </c>
      <c r="L7">
        <v>83</v>
      </c>
      <c r="M7">
        <f t="shared" si="0"/>
        <v>90</v>
      </c>
    </row>
    <row r="8" spans="1:15" x14ac:dyDescent="0.35">
      <c r="A8" t="s">
        <v>21</v>
      </c>
      <c r="B8" t="str">
        <f>VLOOKUP(A8,CountryCodes!A$2:C$195,3,FALSE)</f>
        <v>SYC</v>
      </c>
      <c r="C8">
        <f>VLOOKUP(B8,'Education updated'!A$2:C$48,3,FALSE)</f>
        <v>10</v>
      </c>
      <c r="D8">
        <f>VLOOKUP(B8,'Education updated'!A$2:J$48,10,FALSE)</f>
        <v>40</v>
      </c>
      <c r="E8">
        <f>VLOOKUP(B8,'Education updated'!A$2:I$48,9,FALSE)</f>
        <v>10</v>
      </c>
      <c r="F8">
        <f>VLOOKUP(B8,'Education updated'!A$2:E$48,5,FALSE)</f>
        <v>0</v>
      </c>
      <c r="G8">
        <f>VLOOKUP(B8,'Education updated'!A$2:F$48,6,FALSE)</f>
        <v>0</v>
      </c>
      <c r="H8">
        <f>VLOOKUP(B8,'Education updated'!A$2:G$48,7,FALSE)</f>
        <v>0</v>
      </c>
      <c r="I8">
        <f>VLOOKUP(B8,'Education updated'!A$2:H$48,8,FALSE)</f>
        <v>20</v>
      </c>
      <c r="J8">
        <f>VLOOKUP(B8,'Education updated'!A$2:K$48,11,FALSE)</f>
        <v>0</v>
      </c>
      <c r="K8">
        <f>VLOOKUP(B8,'Education updated'!A$2:L$48,12,FALSE)</f>
        <v>0</v>
      </c>
      <c r="L8">
        <v>80</v>
      </c>
      <c r="M8">
        <f t="shared" si="0"/>
        <v>160</v>
      </c>
    </row>
    <row r="9" spans="1:15" x14ac:dyDescent="0.35">
      <c r="A9" t="s">
        <v>14</v>
      </c>
      <c r="B9" t="str">
        <f>VLOOKUP(A9,CountryCodes!A$2:C$195,3,FALSE)</f>
        <v>GMB</v>
      </c>
      <c r="C9">
        <f>VLOOKUP(B9,'Education updated'!A$2:C$48,3,FALSE)</f>
        <v>23</v>
      </c>
      <c r="D9">
        <f>VLOOKUP(B9,'Education updated'!A$2:J$48,10,FALSE)</f>
        <v>137</v>
      </c>
      <c r="E9">
        <f>VLOOKUP(B9,'Education updated'!A$2:I$48,9,FALSE)</f>
        <v>0</v>
      </c>
      <c r="F9">
        <f>VLOOKUP(B9,'Education updated'!A$2:E$48,5,FALSE)</f>
        <v>0</v>
      </c>
      <c r="G9">
        <f>VLOOKUP(B9,'Education updated'!A$2:F$48,6,FALSE)</f>
        <v>0</v>
      </c>
      <c r="H9">
        <f>VLOOKUP(B9,'Education updated'!A$2:G$48,7,FALSE)</f>
        <v>0</v>
      </c>
      <c r="I9">
        <f>VLOOKUP(B9,'Education updated'!A$2:H$48,8,FALSE)</f>
        <v>0</v>
      </c>
      <c r="J9">
        <f>VLOOKUP(B9,'Education updated'!A$2:K$48,11,FALSE)</f>
        <v>6</v>
      </c>
      <c r="K9">
        <f>VLOOKUP(B9,'Education updated'!A$2:L$48,12,FALSE)</f>
        <v>0</v>
      </c>
      <c r="M9">
        <f t="shared" si="0"/>
        <v>166</v>
      </c>
    </row>
    <row r="10" spans="1:15" x14ac:dyDescent="0.35">
      <c r="A10" t="s">
        <v>13</v>
      </c>
      <c r="B10" t="str">
        <f>VLOOKUP(A10,CountryCodes!A$2:C$195,3,FALSE)</f>
        <v>GAB</v>
      </c>
      <c r="C10">
        <f>VLOOKUP(B10,'Education updated'!A$2:C$48,3,FALSE)</f>
        <v>46</v>
      </c>
      <c r="D10">
        <f>VLOOKUP(B10,'Education updated'!A$2:J$48,10,FALSE)</f>
        <v>95</v>
      </c>
      <c r="E10">
        <f>VLOOKUP(B10,'Education updated'!A$2:I$48,9,FALSE)</f>
        <v>34</v>
      </c>
      <c r="F10">
        <f>VLOOKUP(B10,'Education updated'!A$2:E$48,5,FALSE)</f>
        <v>0</v>
      </c>
      <c r="G10">
        <f>VLOOKUP(B10,'Education updated'!A$2:F$48,6,FALSE)</f>
        <v>0</v>
      </c>
      <c r="H10">
        <f>VLOOKUP(B10,'Education updated'!A$2:G$48,7,FALSE)</f>
        <v>2</v>
      </c>
      <c r="I10">
        <f>VLOOKUP(B10,'Education updated'!A$2:H$48,8,FALSE)</f>
        <v>0</v>
      </c>
      <c r="J10">
        <f>VLOOKUP(B10,'Education updated'!A$2:K$48,11,FALSE)</f>
        <v>6</v>
      </c>
      <c r="K10">
        <f>VLOOKUP(B10,'Education updated'!A$2:L$48,12,FALSE)</f>
        <v>0</v>
      </c>
      <c r="M10">
        <f t="shared" si="0"/>
        <v>183</v>
      </c>
    </row>
    <row r="11" spans="1:15" x14ac:dyDescent="0.35">
      <c r="A11" t="s">
        <v>29</v>
      </c>
      <c r="B11" t="str">
        <f>VLOOKUP(A11,CountryCodes!A$2:C$195,3,FALSE)</f>
        <v>LBR</v>
      </c>
      <c r="C11">
        <f>VLOOKUP(B11,'Education updated'!A$2:C$48,3,FALSE)</f>
        <v>29</v>
      </c>
      <c r="D11">
        <f>VLOOKUP(B11,'Education updated'!A$2:J$48,10,FALSE)</f>
        <v>63</v>
      </c>
      <c r="E11">
        <f>VLOOKUP(B11,'Education updated'!A$2:I$48,9,FALSE)</f>
        <v>0</v>
      </c>
      <c r="F11">
        <f>VLOOKUP(B11,'Education updated'!A$2:E$48,5,FALSE)</f>
        <v>0</v>
      </c>
      <c r="G11">
        <f>VLOOKUP(B11,'Education updated'!A$2:F$48,6,FALSE)</f>
        <v>0</v>
      </c>
      <c r="H11">
        <f>VLOOKUP(B11,'Education updated'!A$2:G$48,7,FALSE)</f>
        <v>22</v>
      </c>
      <c r="I11">
        <f>VLOOKUP(B11,'Education updated'!A$2:H$48,8,FALSE)</f>
        <v>0</v>
      </c>
      <c r="J11">
        <f>VLOOKUP(B11,'Education updated'!A$2:K$48,11,FALSE)</f>
        <v>56</v>
      </c>
      <c r="K11">
        <f>VLOOKUP(B11,'Education updated'!A$2:L$48,12,FALSE)</f>
        <v>0</v>
      </c>
      <c r="L11">
        <v>50</v>
      </c>
      <c r="M11">
        <f t="shared" si="0"/>
        <v>220</v>
      </c>
    </row>
    <row r="12" spans="1:15" x14ac:dyDescent="0.35">
      <c r="A12" t="s">
        <v>12</v>
      </c>
      <c r="B12" t="str">
        <f>VLOOKUP(A12,CountryCodes!A$2:C$195,3,FALSE)</f>
        <v>SWZ</v>
      </c>
      <c r="C12">
        <f>VLOOKUP(B12,'Education updated'!A$2:C$48,3,FALSE)</f>
        <v>0</v>
      </c>
      <c r="D12">
        <f>VLOOKUP(B12,'Education updated'!A$2:J$48,10,FALSE)</f>
        <v>160</v>
      </c>
      <c r="E12">
        <f>VLOOKUP(B12,'Education updated'!A$2:I$48,9,FALSE)</f>
        <v>80</v>
      </c>
      <c r="F12">
        <f>VLOOKUP(B12,'Education updated'!A$2:E$48,5,FALSE)</f>
        <v>0</v>
      </c>
      <c r="G12">
        <f>VLOOKUP(B12,'Education updated'!A$2:F$48,6,FALSE)</f>
        <v>0</v>
      </c>
      <c r="H12">
        <f>VLOOKUP(B12,'Education updated'!A$2:G$48,7,FALSE)</f>
        <v>44</v>
      </c>
      <c r="I12">
        <f>VLOOKUP(B12,'Education updated'!A$2:H$48,8,FALSE)</f>
        <v>30</v>
      </c>
      <c r="J12">
        <f>VLOOKUP(B12,'Education updated'!A$2:K$48,11,FALSE)</f>
        <v>78</v>
      </c>
      <c r="K12">
        <f>VLOOKUP(B12,'Education updated'!A$2:L$48,12,FALSE)</f>
        <v>0</v>
      </c>
      <c r="L12">
        <v>58</v>
      </c>
      <c r="M12">
        <f t="shared" si="0"/>
        <v>450</v>
      </c>
    </row>
    <row r="13" spans="1:15" x14ac:dyDescent="0.35">
      <c r="A13" t="s">
        <v>32</v>
      </c>
      <c r="B13" t="str">
        <f>VLOOKUP(A13,CountryCodes!A$2:C$195,3,FALSE)</f>
        <v>MRT</v>
      </c>
      <c r="C13">
        <f>VLOOKUP(B13,'Education updated'!A$2:C$48,3,FALSE)</f>
        <v>0</v>
      </c>
      <c r="D13">
        <f>VLOOKUP(B13,'Education updated'!A$2:J$48,10,FALSE)</f>
        <v>113</v>
      </c>
      <c r="E13">
        <f>VLOOKUP(B13,'Education updated'!A$2:I$48,9,FALSE)</f>
        <v>0</v>
      </c>
      <c r="F13">
        <f>VLOOKUP(B13,'Education updated'!A$2:E$48,5,FALSE)</f>
        <v>0</v>
      </c>
      <c r="G13">
        <f>VLOOKUP(B13,'Education updated'!A$2:F$48,6,FALSE)</f>
        <v>0</v>
      </c>
      <c r="H13">
        <f>VLOOKUP(B13,'Education updated'!A$2:G$48,7,FALSE)</f>
        <v>0</v>
      </c>
      <c r="I13">
        <f>VLOOKUP(B13,'Education updated'!A$2:H$48,8,FALSE)</f>
        <v>0</v>
      </c>
      <c r="J13">
        <f>VLOOKUP(B13,'Education updated'!A$2:K$48,11,FALSE)</f>
        <v>0</v>
      </c>
      <c r="K13">
        <f>VLOOKUP(B13,'Education updated'!A$2:L$48,12,FALSE)</f>
        <v>0</v>
      </c>
      <c r="L13">
        <v>366</v>
      </c>
      <c r="M13">
        <f t="shared" si="0"/>
        <v>479</v>
      </c>
    </row>
    <row r="14" spans="1:15" x14ac:dyDescent="0.35">
      <c r="A14" t="s">
        <v>17</v>
      </c>
      <c r="B14" t="str">
        <f>VLOOKUP(A14,CountryCodes!A$2:C$195,3,FALSE)</f>
        <v>GNB</v>
      </c>
      <c r="C14">
        <f>VLOOKUP(B14,'Education updated'!A$2:C$48,3,FALSE)</f>
        <v>0</v>
      </c>
      <c r="D14">
        <f>VLOOKUP(B14,'Education updated'!A$2:J$48,10,FALSE)</f>
        <v>0</v>
      </c>
      <c r="E14">
        <f>VLOOKUP(B14,'Education updated'!A$2:I$48,9,FALSE)</f>
        <v>0</v>
      </c>
      <c r="F14">
        <f>VLOOKUP(B14,'Education updated'!A$2:E$48,5,FALSE)</f>
        <v>0</v>
      </c>
      <c r="G14">
        <f>VLOOKUP(B14,'Education updated'!A$2:F$48,6,FALSE)</f>
        <v>0</v>
      </c>
      <c r="H14">
        <f>VLOOKUP(B14,'Education updated'!A$2:G$48,7,FALSE)</f>
        <v>0</v>
      </c>
      <c r="I14">
        <f>VLOOKUP(B14,'Education updated'!A$2:H$48,8,FALSE)</f>
        <v>0</v>
      </c>
      <c r="J14">
        <f>VLOOKUP(B14,'Education updated'!A$2:K$48,11,FALSE)</f>
        <v>23</v>
      </c>
      <c r="K14">
        <f>VLOOKUP(B14,'Education updated'!A$2:L$48,12,FALSE)</f>
        <v>0</v>
      </c>
      <c r="L14">
        <v>489</v>
      </c>
      <c r="M14">
        <f t="shared" si="0"/>
        <v>512</v>
      </c>
    </row>
    <row r="15" spans="1:15" x14ac:dyDescent="0.35">
      <c r="A15" t="s">
        <v>28</v>
      </c>
      <c r="B15" t="str">
        <f>VLOOKUP(A15,CountryCodes!A$2:C$195,3,FALSE)</f>
        <v>LSO</v>
      </c>
      <c r="C15">
        <f>VLOOKUP(B15,'Education updated'!A$2:C$48,3,FALSE)</f>
        <v>8</v>
      </c>
      <c r="D15">
        <f>VLOOKUP(B15,'Education updated'!A$2:J$48,10,FALSE)</f>
        <v>376</v>
      </c>
      <c r="E15">
        <f>VLOOKUP(B15,'Education updated'!A$2:I$48,9,FALSE)</f>
        <v>69</v>
      </c>
      <c r="F15">
        <f>VLOOKUP(B15,'Education updated'!A$2:E$48,5,FALSE)</f>
        <v>8</v>
      </c>
      <c r="G15">
        <f>VLOOKUP(B15,'Education updated'!A$2:F$48,6,FALSE)</f>
        <v>0</v>
      </c>
      <c r="H15">
        <f>VLOOKUP(B15,'Education updated'!A$2:G$48,7,FALSE)</f>
        <v>33</v>
      </c>
      <c r="I15">
        <f>VLOOKUP(B15,'Education updated'!A$2:H$48,8,FALSE)</f>
        <v>20</v>
      </c>
      <c r="J15">
        <f>VLOOKUP(B15,'Education updated'!A$2:K$48,11,FALSE)</f>
        <v>20</v>
      </c>
      <c r="K15">
        <f>VLOOKUP(B15,'Education updated'!A$2:L$48,12,FALSE)</f>
        <v>0</v>
      </c>
      <c r="M15">
        <f t="shared" si="0"/>
        <v>534</v>
      </c>
    </row>
    <row r="16" spans="1:15" x14ac:dyDescent="0.35">
      <c r="A16" t="s">
        <v>33</v>
      </c>
      <c r="B16" t="str">
        <f>VLOOKUP(A16,CountryCodes!A$2:C$195,3,FALSE)</f>
        <v>MUS</v>
      </c>
      <c r="C16">
        <f>VLOOKUP(B16,'Education updated'!A$2:C$48,3,FALSE)</f>
        <v>432</v>
      </c>
      <c r="D16">
        <f>VLOOKUP(B16,'Education updated'!A$2:J$48,10,FALSE)</f>
        <v>175</v>
      </c>
      <c r="E16">
        <f>VLOOKUP(B16,'Education updated'!A$2:I$48,9,FALSE)</f>
        <v>40</v>
      </c>
      <c r="F16">
        <f>VLOOKUP(B16,'Education updated'!A$2:E$48,5,FALSE)</f>
        <v>0</v>
      </c>
      <c r="G16">
        <f>VLOOKUP(B16,'Education updated'!A$2:F$48,6,FALSE)</f>
        <v>0</v>
      </c>
      <c r="H16">
        <f>VLOOKUP(B16,'Education updated'!A$2:G$48,7,FALSE)</f>
        <v>0</v>
      </c>
      <c r="I16">
        <f>VLOOKUP(B16,'Education updated'!A$2:H$48,8,FALSE)</f>
        <v>0</v>
      </c>
      <c r="J16">
        <f>VLOOKUP(B16,'Education updated'!A$2:K$48,11,FALSE)</f>
        <v>0</v>
      </c>
      <c r="K16">
        <f>VLOOKUP(B16,'Education updated'!A$2:L$48,12,FALSE)</f>
        <v>0</v>
      </c>
      <c r="L16">
        <v>39</v>
      </c>
      <c r="M16">
        <f t="shared" si="0"/>
        <v>686</v>
      </c>
    </row>
    <row r="17" spans="1:13" x14ac:dyDescent="0.35">
      <c r="A17" t="s">
        <v>3</v>
      </c>
      <c r="B17" t="str">
        <f>VLOOKUP(A17,CountryCodes!A$2:C$195,3,FALSE)</f>
        <v>COG</v>
      </c>
      <c r="C17">
        <f>VLOOKUP(B17,'Education updated'!A$2:C$48,3,FALSE)</f>
        <v>60</v>
      </c>
      <c r="D17">
        <f>VLOOKUP(B17,'Education updated'!A$2:J$48,10,FALSE)</f>
        <v>60</v>
      </c>
      <c r="E17">
        <f>VLOOKUP(B17,'Education updated'!A$2:I$48,9,FALSE)</f>
        <v>120</v>
      </c>
      <c r="F17">
        <f>VLOOKUP(B17,'Education updated'!A$2:E$48,5,FALSE)</f>
        <v>0</v>
      </c>
      <c r="G17">
        <f>VLOOKUP(B17,'Education updated'!A$2:F$48,6,FALSE)</f>
        <v>10</v>
      </c>
      <c r="H17">
        <f>VLOOKUP(B17,'Education updated'!A$2:G$48,7,FALSE)</f>
        <v>0</v>
      </c>
      <c r="I17">
        <f>VLOOKUP(B17,'Education updated'!A$2:H$48,8,FALSE)</f>
        <v>5</v>
      </c>
      <c r="J17">
        <f>VLOOKUP(B17,'Education updated'!A$2:K$48,11,FALSE)</f>
        <v>0</v>
      </c>
      <c r="K17">
        <f>VLOOKUP(B17,'Education updated'!A$2:L$48,12,FALSE)</f>
        <v>50</v>
      </c>
      <c r="L17">
        <v>408</v>
      </c>
      <c r="M17">
        <f t="shared" si="0"/>
        <v>713</v>
      </c>
    </row>
    <row r="18" spans="1:13" x14ac:dyDescent="0.35">
      <c r="A18" t="s">
        <v>36</v>
      </c>
      <c r="B18" t="str">
        <f>VLOOKUP(A18,CountryCodes!A$2:C$195,3,FALSE)</f>
        <v>RWA</v>
      </c>
      <c r="C18">
        <f>VLOOKUP(B18,'Education updated'!A$2:C$48,3,FALSE)</f>
        <v>11</v>
      </c>
      <c r="D18">
        <f>VLOOKUP(B18,'Education updated'!A$2:J$48,10,FALSE)</f>
        <v>355</v>
      </c>
      <c r="E18">
        <f>VLOOKUP(B18,'Education updated'!A$2:I$48,9,FALSE)</f>
        <v>176</v>
      </c>
      <c r="F18">
        <f>VLOOKUP(B18,'Education updated'!A$2:E$48,5,FALSE)</f>
        <v>0</v>
      </c>
      <c r="G18">
        <f>VLOOKUP(B18,'Education updated'!A$2:F$48,6,FALSE)</f>
        <v>0</v>
      </c>
      <c r="H18">
        <f>VLOOKUP(B18,'Education updated'!A$2:G$48,7,FALSE)</f>
        <v>95</v>
      </c>
      <c r="I18">
        <f>VLOOKUP(B18,'Education updated'!A$2:H$48,8,FALSE)</f>
        <v>0</v>
      </c>
      <c r="J18">
        <f>VLOOKUP(B18,'Education updated'!A$2:K$48,11,FALSE)</f>
        <v>0</v>
      </c>
      <c r="K18">
        <f>VLOOKUP(B18,'Education updated'!A$2:L$48,12,FALSE)</f>
        <v>0</v>
      </c>
      <c r="L18">
        <v>81</v>
      </c>
      <c r="M18">
        <f t="shared" si="0"/>
        <v>718</v>
      </c>
    </row>
    <row r="19" spans="1:13" x14ac:dyDescent="0.35">
      <c r="A19" t="s">
        <v>23</v>
      </c>
      <c r="B19" t="str">
        <f>VLOOKUP(A19,CountryCodes!A$2:C$195,3,FALSE)</f>
        <v>TGO</v>
      </c>
      <c r="C19">
        <f>VLOOKUP(B19,'Education updated'!A$2:C$48,3,FALSE)</f>
        <v>77</v>
      </c>
      <c r="D19">
        <f>VLOOKUP(B19,'Education updated'!A$2:J$48,10,FALSE)</f>
        <v>240</v>
      </c>
      <c r="E19">
        <f>VLOOKUP(B19,'Education updated'!A$2:I$48,9,FALSE)</f>
        <v>130</v>
      </c>
      <c r="F19">
        <f>VLOOKUP(B19,'Education updated'!A$2:E$48,5,FALSE)</f>
        <v>0</v>
      </c>
      <c r="G19">
        <f>VLOOKUP(B19,'Education updated'!A$2:F$48,6,FALSE)</f>
        <v>0</v>
      </c>
      <c r="H19">
        <f>VLOOKUP(B19,'Education updated'!A$2:G$48,7,FALSE)</f>
        <v>60</v>
      </c>
      <c r="I19">
        <f>VLOOKUP(B19,'Education updated'!A$2:H$48,8,FALSE)</f>
        <v>0</v>
      </c>
      <c r="J19">
        <f>VLOOKUP(B19,'Education updated'!A$2:K$48,11,FALSE)</f>
        <v>215</v>
      </c>
      <c r="K19">
        <f>VLOOKUP(B19,'Education updated'!A$2:L$48,12,FALSE)</f>
        <v>0</v>
      </c>
      <c r="L19">
        <v>250</v>
      </c>
      <c r="M19">
        <f t="shared" si="0"/>
        <v>972</v>
      </c>
    </row>
    <row r="20" spans="1:13" x14ac:dyDescent="0.35">
      <c r="A20" t="s">
        <v>4</v>
      </c>
      <c r="B20" t="str">
        <f>VLOOKUP(A20,CountryCodes!A$2:C$195,3,FALSE)</f>
        <v>ERI</v>
      </c>
      <c r="C20">
        <f>VLOOKUP(B20,'Education updated'!A$2:C$48,3,FALSE)</f>
        <v>0</v>
      </c>
      <c r="D20">
        <f>VLOOKUP(B20,'Education updated'!A$2:J$48,10,FALSE)</f>
        <v>400</v>
      </c>
      <c r="E20">
        <f>VLOOKUP(B20,'Education updated'!A$2:I$48,9,FALSE)</f>
        <v>0</v>
      </c>
      <c r="F20">
        <f>VLOOKUP(B20,'Education updated'!A$2:E$48,5,FALSE)</f>
        <v>0</v>
      </c>
      <c r="G20">
        <f>VLOOKUP(B20,'Education updated'!A$2:F$48,6,FALSE)</f>
        <v>0</v>
      </c>
      <c r="H20">
        <f>VLOOKUP(B20,'Education updated'!A$2:G$48,7,FALSE)</f>
        <v>0</v>
      </c>
      <c r="I20">
        <f>VLOOKUP(B20,'Education updated'!A$2:H$48,8,FALSE)</f>
        <v>0</v>
      </c>
      <c r="J20">
        <f>VLOOKUP(B20,'Education updated'!A$2:K$48,11,FALSE)</f>
        <v>0</v>
      </c>
      <c r="K20">
        <f>VLOOKUP(B20,'Education updated'!A$2:L$48,12,FALSE)</f>
        <v>0</v>
      </c>
      <c r="L20">
        <v>1023</v>
      </c>
      <c r="M20">
        <f t="shared" si="0"/>
        <v>1423</v>
      </c>
    </row>
    <row r="21" spans="1:13" x14ac:dyDescent="0.35">
      <c r="A21" t="s">
        <v>1</v>
      </c>
      <c r="B21" t="str">
        <f>VLOOKUP(A21,CountryCodes!A$2:C$195,3,FALSE)</f>
        <v>BWA</v>
      </c>
      <c r="C21">
        <f>VLOOKUP(B21,'Education updated'!A$2:C$48,3,FALSE)</f>
        <v>60</v>
      </c>
      <c r="D21">
        <f>VLOOKUP(B21,'Education updated'!A$2:J$48,10,FALSE)</f>
        <v>490</v>
      </c>
      <c r="E21">
        <f>VLOOKUP(B21,'Education updated'!A$2:I$48,9,FALSE)</f>
        <v>40</v>
      </c>
      <c r="F21">
        <f>VLOOKUP(B21,'Education updated'!A$2:E$48,5,FALSE)</f>
        <v>7</v>
      </c>
      <c r="G21">
        <f>VLOOKUP(B21,'Education updated'!A$2:F$48,6,FALSE)</f>
        <v>10</v>
      </c>
      <c r="H21">
        <f>VLOOKUP(B21,'Education updated'!A$2:G$48,7,FALSE)</f>
        <v>95</v>
      </c>
      <c r="I21">
        <f>VLOOKUP(B21,'Education updated'!A$2:H$48,8,FALSE)</f>
        <v>60</v>
      </c>
      <c r="J21">
        <f>VLOOKUP(B21,'Education updated'!A$2:K$48,11,FALSE)</f>
        <v>189</v>
      </c>
      <c r="K21">
        <f>VLOOKUP(B21,'Education updated'!A$2:L$48,12,FALSE)</f>
        <v>30</v>
      </c>
      <c r="L21">
        <v>597</v>
      </c>
      <c r="M21">
        <f t="shared" si="0"/>
        <v>1578</v>
      </c>
    </row>
    <row r="22" spans="1:13" x14ac:dyDescent="0.35">
      <c r="A22" t="s">
        <v>22</v>
      </c>
      <c r="B22" t="str">
        <f>VLOOKUP(A22,CountryCodes!A$2:C$195,3,FALSE)</f>
        <v>SSD</v>
      </c>
      <c r="C22">
        <f>VLOOKUP(B22,'Education updated'!A$2:C$48,3,FALSE)</f>
        <v>0</v>
      </c>
      <c r="D22">
        <f>VLOOKUP(B22,'Education updated'!A$2:J$48,10,FALSE)</f>
        <v>241</v>
      </c>
      <c r="E22">
        <f>VLOOKUP(B22,'Education updated'!A$2:I$48,9,FALSE)</f>
        <v>307</v>
      </c>
      <c r="F22">
        <f>VLOOKUP(B22,'Education updated'!A$2:E$48,5,FALSE)</f>
        <v>0</v>
      </c>
      <c r="G22">
        <f>VLOOKUP(B22,'Education updated'!A$2:F$48,6,FALSE)</f>
        <v>0</v>
      </c>
      <c r="H22">
        <f>VLOOKUP(B22,'Education updated'!A$2:G$48,7,FALSE)</f>
        <v>0</v>
      </c>
      <c r="I22">
        <f>VLOOKUP(B22,'Education updated'!A$2:H$48,8,FALSE)</f>
        <v>0</v>
      </c>
      <c r="J22">
        <f>VLOOKUP(B22,'Education updated'!A$2:K$48,11,FALSE)</f>
        <v>681</v>
      </c>
      <c r="K22">
        <f>VLOOKUP(B22,'Education updated'!A$2:L$48,12,FALSE)</f>
        <v>0</v>
      </c>
      <c r="L22">
        <v>484</v>
      </c>
      <c r="M22">
        <f t="shared" si="0"/>
        <v>1713</v>
      </c>
    </row>
    <row r="23" spans="1:13" x14ac:dyDescent="0.35">
      <c r="A23" t="s">
        <v>6</v>
      </c>
      <c r="B23" t="str">
        <f>VLOOKUP(A23,CountryCodes!A$2:C$195,3,FALSE)</f>
        <v>MOZ</v>
      </c>
      <c r="C23">
        <f>VLOOKUP(B23,'Education updated'!A$2:C$48,3,FALSE)</f>
        <v>819</v>
      </c>
      <c r="D23">
        <f>VLOOKUP(B23,'Education updated'!A$2:J$48,10,FALSE)</f>
        <v>580</v>
      </c>
      <c r="E23">
        <f>VLOOKUP(B23,'Education updated'!A$2:I$48,9,FALSE)</f>
        <v>140</v>
      </c>
      <c r="F23">
        <f>VLOOKUP(B23,'Education updated'!A$2:E$48,5,FALSE)</f>
        <v>161</v>
      </c>
      <c r="G23">
        <f>VLOOKUP(B23,'Education updated'!A$2:F$48,6,FALSE)</f>
        <v>0</v>
      </c>
      <c r="H23">
        <f>VLOOKUP(B23,'Education updated'!A$2:G$48,7,FALSE)</f>
        <v>0</v>
      </c>
      <c r="I23">
        <f>VLOOKUP(B23,'Education updated'!A$2:H$48,8,FALSE)</f>
        <v>112</v>
      </c>
      <c r="J23">
        <f>VLOOKUP(B23,'Education updated'!A$2:K$48,11,FALSE)</f>
        <v>248</v>
      </c>
      <c r="K23">
        <f>VLOOKUP(B23,'Education updated'!A$2:L$48,12,FALSE)</f>
        <v>20</v>
      </c>
      <c r="M23">
        <f t="shared" si="0"/>
        <v>2080</v>
      </c>
    </row>
    <row r="24" spans="1:13" x14ac:dyDescent="0.35">
      <c r="A24" t="s">
        <v>20</v>
      </c>
      <c r="B24" t="str">
        <f>VLOOKUP(A24,CountryCodes!A$2:C$195,3,FALSE)</f>
        <v>SEN</v>
      </c>
      <c r="C24">
        <f>VLOOKUP(B24,'Education updated'!A$2:C$48,3,FALSE)</f>
        <v>434</v>
      </c>
      <c r="D24">
        <f>VLOOKUP(B24,'Education updated'!A$2:J$48,10,FALSE)</f>
        <v>582</v>
      </c>
      <c r="E24">
        <f>VLOOKUP(B24,'Education updated'!A$2:I$48,9,FALSE)</f>
        <v>104</v>
      </c>
      <c r="F24">
        <f>VLOOKUP(B24,'Education updated'!A$2:E$48,5,FALSE)</f>
        <v>67</v>
      </c>
      <c r="G24">
        <f>VLOOKUP(B24,'Education updated'!A$2:F$48,6,FALSE)</f>
        <v>0</v>
      </c>
      <c r="H24">
        <f>VLOOKUP(B24,'Education updated'!A$2:G$48,7,FALSE)</f>
        <v>171</v>
      </c>
      <c r="I24">
        <f>VLOOKUP(B24,'Education updated'!A$2:H$48,8,FALSE)</f>
        <v>0</v>
      </c>
      <c r="J24">
        <f>VLOOKUP(B24,'Education updated'!A$2:K$48,11,FALSE)</f>
        <v>36</v>
      </c>
      <c r="K24">
        <f>VLOOKUP(B24,'Education updated'!A$2:L$48,12,FALSE)</f>
        <v>0</v>
      </c>
      <c r="L24">
        <v>710</v>
      </c>
      <c r="M24">
        <f t="shared" si="0"/>
        <v>2104</v>
      </c>
    </row>
    <row r="25" spans="1:13" x14ac:dyDescent="0.35">
      <c r="A25" t="s">
        <v>37</v>
      </c>
      <c r="B25" t="str">
        <f>VLOOKUP(A25,CountryCodes!A$2:C$195,3,FALSE)</f>
        <v>SLE</v>
      </c>
      <c r="C25">
        <f>VLOOKUP(B25,'Education updated'!A$2:C$48,3,FALSE)</f>
        <v>217</v>
      </c>
      <c r="D25">
        <f>VLOOKUP(B25,'Education updated'!A$2:J$48,10,FALSE)</f>
        <v>1755</v>
      </c>
      <c r="E25">
        <f>VLOOKUP(B25,'Education updated'!A$2:I$48,9,FALSE)</f>
        <v>120</v>
      </c>
      <c r="F25">
        <f>VLOOKUP(B25,'Education updated'!A$2:E$48,5,FALSE)</f>
        <v>0</v>
      </c>
      <c r="G25">
        <f>VLOOKUP(B25,'Education updated'!A$2:F$48,6,FALSE)</f>
        <v>0</v>
      </c>
      <c r="H25">
        <f>VLOOKUP(B25,'Education updated'!A$2:G$48,7,FALSE)</f>
        <v>69</v>
      </c>
      <c r="I25">
        <f>VLOOKUP(B25,'Education updated'!A$2:H$48,8,FALSE)</f>
        <v>51</v>
      </c>
      <c r="J25">
        <f>VLOOKUP(B25,'Education updated'!A$2:K$48,11,FALSE)</f>
        <v>90</v>
      </c>
      <c r="K25">
        <f>VLOOKUP(B25,'Education updated'!A$2:L$48,12,FALSE)</f>
        <v>0</v>
      </c>
      <c r="L25">
        <v>186</v>
      </c>
      <c r="M25">
        <f t="shared" si="0"/>
        <v>2488</v>
      </c>
    </row>
    <row r="26" spans="1:13" x14ac:dyDescent="0.35">
      <c r="A26" t="s">
        <v>26</v>
      </c>
      <c r="B26" t="str">
        <f>VLOOKUP(A26,CountryCodes!A$2:C$195,3,FALSE)</f>
        <v>BDI</v>
      </c>
      <c r="C26">
        <f>VLOOKUP(B26,'Education updated'!A$2:C$48,3,FALSE)</f>
        <v>325</v>
      </c>
      <c r="D26">
        <f>VLOOKUP(B26,'Education updated'!A$2:J$48,10,FALSE)</f>
        <v>1467</v>
      </c>
      <c r="E26">
        <f>VLOOKUP(B26,'Education updated'!A$2:I$48,9,FALSE)</f>
        <v>196</v>
      </c>
      <c r="F26">
        <f>VLOOKUP(B26,'Education updated'!A$2:E$48,5,FALSE)</f>
        <v>0</v>
      </c>
      <c r="G26">
        <f>VLOOKUP(B26,'Education updated'!A$2:F$48,6,FALSE)</f>
        <v>0</v>
      </c>
      <c r="H26">
        <f>VLOOKUP(B26,'Education updated'!A$2:G$48,7,FALSE)</f>
        <v>39</v>
      </c>
      <c r="I26">
        <f>VLOOKUP(B26,'Education updated'!A$2:H$48,8,FALSE)</f>
        <v>0</v>
      </c>
      <c r="J26">
        <f>VLOOKUP(B26,'Education updated'!A$2:K$48,11,FALSE)</f>
        <v>322</v>
      </c>
      <c r="K26">
        <f>VLOOKUP(B26,'Education updated'!A$2:L$48,12,FALSE)</f>
        <v>0</v>
      </c>
      <c r="L26">
        <v>194</v>
      </c>
      <c r="M26">
        <f t="shared" si="0"/>
        <v>2543</v>
      </c>
    </row>
    <row r="27" spans="1:13" x14ac:dyDescent="0.35">
      <c r="A27" t="s">
        <v>34</v>
      </c>
      <c r="B27" t="str">
        <f>VLOOKUP(A27,CountryCodes!A$2:C$195,3,FALSE)</f>
        <v>NAM</v>
      </c>
      <c r="C27">
        <f>VLOOKUP(B27,'Education updated'!A$2:C$48,3,FALSE)</f>
        <v>475</v>
      </c>
      <c r="D27">
        <f>VLOOKUP(B27,'Education updated'!A$2:J$48,10,FALSE)</f>
        <v>200</v>
      </c>
      <c r="E27">
        <f>VLOOKUP(B27,'Education updated'!A$2:I$48,9,FALSE)</f>
        <v>1414</v>
      </c>
      <c r="F27">
        <f>VLOOKUP(B27,'Education updated'!A$2:E$48,5,FALSE)</f>
        <v>0</v>
      </c>
      <c r="G27">
        <f>VLOOKUP(B27,'Education updated'!A$2:F$48,6,FALSE)</f>
        <v>0</v>
      </c>
      <c r="H27">
        <f>VLOOKUP(B27,'Education updated'!A$2:G$48,7,FALSE)</f>
        <v>247</v>
      </c>
      <c r="I27">
        <f>VLOOKUP(B27,'Education updated'!A$2:H$48,8,FALSE)</f>
        <v>31</v>
      </c>
      <c r="J27">
        <f>VLOOKUP(B27,'Education updated'!A$2:K$48,11,FALSE)</f>
        <v>121</v>
      </c>
      <c r="K27">
        <f>VLOOKUP(B27,'Education updated'!A$2:L$48,12,FALSE)</f>
        <v>0</v>
      </c>
      <c r="L27">
        <v>175</v>
      </c>
      <c r="M27">
        <f t="shared" si="0"/>
        <v>2663</v>
      </c>
    </row>
    <row r="28" spans="1:13" x14ac:dyDescent="0.35">
      <c r="A28" t="s">
        <v>8</v>
      </c>
      <c r="B28" t="str">
        <f>VLOOKUP(A28,CountryCodes!A$2:C$195,3,FALSE)</f>
        <v>ZWE</v>
      </c>
      <c r="C28">
        <f>VLOOKUP(B28,'Education updated'!A$2:C$48,3,FALSE)</f>
        <v>265</v>
      </c>
      <c r="D28">
        <f>VLOOKUP(B28,'Education updated'!A$2:J$48,10,FALSE)</f>
        <v>1100</v>
      </c>
      <c r="E28">
        <f>VLOOKUP(B28,'Education updated'!A$2:I$48,9,FALSE)</f>
        <v>270</v>
      </c>
      <c r="F28">
        <f>VLOOKUP(B28,'Education updated'!A$2:E$48,5,FALSE)</f>
        <v>80</v>
      </c>
      <c r="G28">
        <f>VLOOKUP(B28,'Education updated'!A$2:F$48,6,FALSE)</f>
        <v>30</v>
      </c>
      <c r="H28">
        <f>VLOOKUP(B28,'Education updated'!A$2:G$48,7,FALSE)</f>
        <v>155</v>
      </c>
      <c r="I28">
        <f>VLOOKUP(B28,'Education updated'!A$2:H$48,8,FALSE)</f>
        <v>30</v>
      </c>
      <c r="J28">
        <f>VLOOKUP(B28,'Education updated'!A$2:K$48,11,FALSE)</f>
        <v>358</v>
      </c>
      <c r="K28">
        <f>VLOOKUP(B28,'Education updated'!A$2:L$48,12,FALSE)</f>
        <v>0</v>
      </c>
      <c r="L28">
        <v>421</v>
      </c>
      <c r="M28">
        <f t="shared" si="0"/>
        <v>2709</v>
      </c>
    </row>
    <row r="29" spans="1:13" x14ac:dyDescent="0.35">
      <c r="A29" t="s">
        <v>7</v>
      </c>
      <c r="B29" t="str">
        <f>VLOOKUP(A29,CountryCodes!A$2:C$195,3,FALSE)</f>
        <v>NER</v>
      </c>
      <c r="C29">
        <f>VLOOKUP(B29,'Education updated'!A$2:C$48,3,FALSE)</f>
        <v>370</v>
      </c>
      <c r="D29">
        <f>VLOOKUP(B29,'Education updated'!A$2:J$48,10,FALSE)</f>
        <v>305</v>
      </c>
      <c r="E29">
        <f>VLOOKUP(B29,'Education updated'!A$2:I$48,9,FALSE)</f>
        <v>124</v>
      </c>
      <c r="F29">
        <f>VLOOKUP(B29,'Education updated'!A$2:E$48,5,FALSE)</f>
        <v>0</v>
      </c>
      <c r="G29">
        <f>VLOOKUP(B29,'Education updated'!A$2:F$48,6,FALSE)</f>
        <v>0</v>
      </c>
      <c r="H29">
        <f>VLOOKUP(B29,'Education updated'!A$2:G$48,7,FALSE)</f>
        <v>0</v>
      </c>
      <c r="I29">
        <f>VLOOKUP(B29,'Education updated'!A$2:H$48,8,FALSE)</f>
        <v>0</v>
      </c>
      <c r="J29">
        <f>VLOOKUP(B29,'Education updated'!A$2:K$48,11,FALSE)</f>
        <v>45</v>
      </c>
      <c r="K29">
        <f>VLOOKUP(B29,'Education updated'!A$2:L$48,12,FALSE)</f>
        <v>0</v>
      </c>
      <c r="L29">
        <v>1891</v>
      </c>
      <c r="M29">
        <f t="shared" si="0"/>
        <v>2735</v>
      </c>
    </row>
    <row r="30" spans="1:13" x14ac:dyDescent="0.35">
      <c r="A30" t="s">
        <v>30</v>
      </c>
      <c r="B30" t="str">
        <f>VLOOKUP(A30,CountryCodes!A$2:C$195,3,FALSE)</f>
        <v>MWI</v>
      </c>
      <c r="C30">
        <f>VLOOKUP(B30,'Education updated'!A$2:C$48,3,FALSE)</f>
        <v>115</v>
      </c>
      <c r="D30">
        <f>VLOOKUP(B30,'Education updated'!A$2:J$48,10,FALSE)</f>
        <v>386</v>
      </c>
      <c r="E30">
        <f>VLOOKUP(B30,'Education updated'!A$2:I$48,9,FALSE)</f>
        <v>1171</v>
      </c>
      <c r="F30">
        <f>VLOOKUP(B30,'Education updated'!A$2:E$48,5,FALSE)</f>
        <v>0</v>
      </c>
      <c r="G30">
        <f>VLOOKUP(B30,'Education updated'!A$2:F$48,6,FALSE)</f>
        <v>0</v>
      </c>
      <c r="H30">
        <f>VLOOKUP(B30,'Education updated'!A$2:G$48,7,FALSE)</f>
        <v>110</v>
      </c>
      <c r="I30">
        <f>VLOOKUP(B30,'Education updated'!A$2:H$48,8,FALSE)</f>
        <v>189</v>
      </c>
      <c r="J30">
        <f>VLOOKUP(B30,'Education updated'!A$2:K$48,11,FALSE)</f>
        <v>175</v>
      </c>
      <c r="K30">
        <f>VLOOKUP(B30,'Education updated'!A$2:L$48,12,FALSE)</f>
        <v>0</v>
      </c>
      <c r="L30">
        <v>616</v>
      </c>
      <c r="M30">
        <f t="shared" si="0"/>
        <v>2762</v>
      </c>
    </row>
    <row r="31" spans="1:13" x14ac:dyDescent="0.35">
      <c r="A31" t="s">
        <v>18</v>
      </c>
      <c r="B31" t="str">
        <f>VLOOKUP(A31,CountryCodes!A$2:C$195,3,FALSE)</f>
        <v>KEN</v>
      </c>
      <c r="C31">
        <f>VLOOKUP(B31,'Education updated'!A$2:C$48,3,FALSE)</f>
        <v>558</v>
      </c>
      <c r="D31">
        <f>VLOOKUP(B31,'Education updated'!A$2:J$48,10,FALSE)</f>
        <v>1070</v>
      </c>
      <c r="E31">
        <f>VLOOKUP(B31,'Education updated'!A$2:I$48,9,FALSE)</f>
        <v>0</v>
      </c>
      <c r="F31">
        <f>VLOOKUP(B31,'Education updated'!A$2:E$48,5,FALSE)</f>
        <v>36</v>
      </c>
      <c r="G31">
        <f>VLOOKUP(B31,'Education updated'!A$2:F$48,6,FALSE)</f>
        <v>0</v>
      </c>
      <c r="H31">
        <f>VLOOKUP(B31,'Education updated'!A$2:G$48,7,FALSE)</f>
        <v>379</v>
      </c>
      <c r="I31">
        <f>VLOOKUP(B31,'Education updated'!A$2:H$48,8,FALSE)</f>
        <v>20</v>
      </c>
      <c r="J31">
        <f>VLOOKUP(B31,'Education updated'!A$2:K$48,11,FALSE)</f>
        <v>519</v>
      </c>
      <c r="K31">
        <f>VLOOKUP(B31,'Education updated'!A$2:L$48,12,FALSE)</f>
        <v>0</v>
      </c>
      <c r="L31">
        <v>366</v>
      </c>
      <c r="M31">
        <f t="shared" si="0"/>
        <v>2948</v>
      </c>
    </row>
    <row r="32" spans="1:13" x14ac:dyDescent="0.35">
      <c r="A32" t="s">
        <v>27</v>
      </c>
      <c r="B32" t="str">
        <f>VLOOKUP(A32,CountryCodes!A$2:C$195,3,FALSE)</f>
        <v>CIV</v>
      </c>
      <c r="C32">
        <f>VLOOKUP(B32,'Education updated'!A$2:C$48,3,FALSE)</f>
        <v>254</v>
      </c>
      <c r="D32">
        <f>VLOOKUP(B32,'Education updated'!A$2:J$48,10,FALSE)</f>
        <v>1007</v>
      </c>
      <c r="E32">
        <f>VLOOKUP(B32,'Education updated'!A$2:I$48,9,FALSE)</f>
        <v>0</v>
      </c>
      <c r="F32">
        <f>VLOOKUP(B32,'Education updated'!A$2:E$48,5,FALSE)</f>
        <v>0</v>
      </c>
      <c r="G32">
        <f>VLOOKUP(B32,'Education updated'!A$2:F$48,6,FALSE)</f>
        <v>0</v>
      </c>
      <c r="H32">
        <f>VLOOKUP(B32,'Education updated'!A$2:G$48,7,FALSE)</f>
        <v>0</v>
      </c>
      <c r="I32">
        <f>VLOOKUP(B32,'Education updated'!A$2:H$48,8,FALSE)</f>
        <v>151</v>
      </c>
      <c r="J32">
        <f>VLOOKUP(B32,'Education updated'!A$2:K$48,11,FALSE)</f>
        <v>1106</v>
      </c>
      <c r="K32">
        <f>VLOOKUP(B32,'Education updated'!A$2:L$48,12,FALSE)</f>
        <v>0</v>
      </c>
      <c r="L32">
        <v>450</v>
      </c>
      <c r="M32">
        <f t="shared" si="0"/>
        <v>2968</v>
      </c>
    </row>
    <row r="33" spans="1:13" x14ac:dyDescent="0.35">
      <c r="A33" t="s">
        <v>48</v>
      </c>
      <c r="B33" t="str">
        <f>VLOOKUP(A33,CountryCodes!A$2:C$195,3,FALSE)</f>
        <v>GNQ</v>
      </c>
      <c r="C33">
        <f>VLOOKUP(B33,'Education updated'!A$2:C$48,3,FALSE)</f>
        <v>767</v>
      </c>
      <c r="D33">
        <f>VLOOKUP(B33,'Education updated'!A$2:J$48,10,FALSE)</f>
        <v>962</v>
      </c>
      <c r="E33">
        <f>VLOOKUP(B33,'Education updated'!A$2:I$48,9,FALSE)</f>
        <v>492</v>
      </c>
      <c r="F33">
        <f>VLOOKUP(B33,'Education updated'!A$2:E$48,5,FALSE)</f>
        <v>0</v>
      </c>
      <c r="G33">
        <f>VLOOKUP(B33,'Education updated'!A$2:F$48,6,FALSE)</f>
        <v>0</v>
      </c>
      <c r="H33">
        <f>VLOOKUP(B33,'Education updated'!A$2:G$48,7,FALSE)</f>
        <v>0</v>
      </c>
      <c r="I33">
        <f>VLOOKUP(B33,'Education updated'!A$2:H$48,8,FALSE)</f>
        <v>0</v>
      </c>
      <c r="J33">
        <f>VLOOKUP(B33,'Education updated'!A$2:K$48,11,FALSE)</f>
        <v>27</v>
      </c>
      <c r="K33">
        <f>VLOOKUP(B33,'Education updated'!A$2:L$48,12,FALSE)</f>
        <v>0</v>
      </c>
      <c r="L33">
        <v>1304</v>
      </c>
      <c r="M33">
        <f t="shared" si="0"/>
        <v>3552</v>
      </c>
    </row>
    <row r="34" spans="1:13" x14ac:dyDescent="0.35">
      <c r="A34" t="s">
        <v>16</v>
      </c>
      <c r="B34" t="str">
        <f>VLOOKUP(A34,CountryCodes!A$2:C$195,3,FALSE)</f>
        <v>GIN</v>
      </c>
      <c r="C34">
        <f>VLOOKUP(B34,'Education updated'!A$2:C$48,3,FALSE)</f>
        <v>767</v>
      </c>
      <c r="D34">
        <f>VLOOKUP(B34,'Education updated'!A$2:J$48,10,FALSE)</f>
        <v>964</v>
      </c>
      <c r="E34">
        <f>VLOOKUP(B34,'Education updated'!A$2:I$48,9,FALSE)</f>
        <v>492</v>
      </c>
      <c r="F34">
        <f>VLOOKUP(B34,'Education updated'!A$2:E$48,5,FALSE)</f>
        <v>0</v>
      </c>
      <c r="G34">
        <f>VLOOKUP(B34,'Education updated'!A$2:F$48,6,FALSE)</f>
        <v>0</v>
      </c>
      <c r="H34">
        <f>VLOOKUP(B34,'Education updated'!A$2:G$48,7,FALSE)</f>
        <v>113</v>
      </c>
      <c r="I34">
        <f>VLOOKUP(B34,'Education updated'!A$2:H$48,8,FALSE)</f>
        <v>34</v>
      </c>
      <c r="J34">
        <f>VLOOKUP(B34,'Education updated'!A$2:K$48,11,FALSE)</f>
        <v>27</v>
      </c>
      <c r="K34">
        <f>VLOOKUP(B34,'Education updated'!A$2:L$48,12,FALSE)</f>
        <v>0</v>
      </c>
      <c r="L34">
        <v>1304</v>
      </c>
      <c r="M34">
        <f t="shared" si="0"/>
        <v>3701</v>
      </c>
    </row>
    <row r="35" spans="1:13" x14ac:dyDescent="0.35">
      <c r="A35" t="s">
        <v>0</v>
      </c>
      <c r="B35" t="str">
        <f>VLOOKUP(A35,CountryCodes!A$2:C$195,3,FALSE)</f>
        <v>BEN</v>
      </c>
      <c r="C35">
        <f>VLOOKUP(B35,'Education updated'!A$2:C$48,3,FALSE)</f>
        <v>780</v>
      </c>
      <c r="D35">
        <f>VLOOKUP(B35,'Education updated'!A$2:J$48,10,FALSE)</f>
        <v>257</v>
      </c>
      <c r="E35">
        <f>VLOOKUP(B35,'Education updated'!A$2:I$48,9,FALSE)</f>
        <v>247</v>
      </c>
      <c r="F35">
        <f>VLOOKUP(B35,'Education updated'!A$2:E$48,5,FALSE)</f>
        <v>0</v>
      </c>
      <c r="G35">
        <f>VLOOKUP(B35,'Education updated'!A$2:F$48,6,FALSE)</f>
        <v>0</v>
      </c>
      <c r="H35">
        <f>VLOOKUP(B35,'Education updated'!A$2:G$48,7,FALSE)</f>
        <v>143</v>
      </c>
      <c r="I35">
        <f>VLOOKUP(B35,'Education updated'!A$2:H$48,8,FALSE)</f>
        <v>0</v>
      </c>
      <c r="J35">
        <f>VLOOKUP(B35,'Education updated'!A$2:K$48,11,FALSE)</f>
        <v>1113</v>
      </c>
      <c r="K35">
        <f>VLOOKUP(B35,'Education updated'!A$2:L$48,12,FALSE)</f>
        <v>0</v>
      </c>
      <c r="L35">
        <v>1194</v>
      </c>
      <c r="M35">
        <f t="shared" si="0"/>
        <v>3734</v>
      </c>
    </row>
    <row r="36" spans="1:13" x14ac:dyDescent="0.35">
      <c r="A36" t="s">
        <v>25</v>
      </c>
      <c r="B36" t="str">
        <f>VLOOKUP(A36,CountryCodes!A$2:C$195,3,FALSE)</f>
        <v>AGO</v>
      </c>
      <c r="C36">
        <f>VLOOKUP(B36,'Education updated'!A$2:C$48,3,FALSE)</f>
        <v>611</v>
      </c>
      <c r="D36">
        <f>VLOOKUP(B36,'Education updated'!A$2:J$48,10,FALSE)</f>
        <v>2950</v>
      </c>
      <c r="E36">
        <f>VLOOKUP(B36,'Education updated'!A$2:I$48,9,FALSE)</f>
        <v>0</v>
      </c>
      <c r="F36">
        <f>VLOOKUP(B36,'Education updated'!A$2:E$48,5,FALSE)</f>
        <v>145</v>
      </c>
      <c r="G36">
        <f>VLOOKUP(B36,'Education updated'!A$2:F$48,6,FALSE)</f>
        <v>0</v>
      </c>
      <c r="H36">
        <f>VLOOKUP(B36,'Education updated'!A$2:G$48,7,FALSE)</f>
        <v>529</v>
      </c>
      <c r="I36">
        <f>VLOOKUP(B36,'Education updated'!A$2:H$48,8,FALSE)</f>
        <v>0</v>
      </c>
      <c r="J36">
        <f>VLOOKUP(B36,'Education updated'!A$2:K$48,11,FALSE)</f>
        <v>0</v>
      </c>
      <c r="K36">
        <f>VLOOKUP(B36,'Education updated'!A$2:L$48,12,FALSE)</f>
        <v>0</v>
      </c>
      <c r="M36">
        <f t="shared" si="0"/>
        <v>4235</v>
      </c>
    </row>
    <row r="37" spans="1:13" x14ac:dyDescent="0.35">
      <c r="A37" t="s">
        <v>10</v>
      </c>
      <c r="B37" t="str">
        <f>VLOOKUP(A37,CountryCodes!A$2:C$195,3,FALSE)</f>
        <v>CMR</v>
      </c>
      <c r="C37">
        <f>VLOOKUP(B37,'Education updated'!A$2:C$48,3,FALSE)</f>
        <v>800</v>
      </c>
      <c r="D37">
        <f>VLOOKUP(B37,'Education updated'!A$2:J$48,10,FALSE)</f>
        <v>2660</v>
      </c>
      <c r="E37">
        <f>VLOOKUP(B37,'Education updated'!A$2:I$48,9,FALSE)</f>
        <v>0</v>
      </c>
      <c r="F37">
        <f>VLOOKUP(B37,'Education updated'!A$2:E$48,5,FALSE)</f>
        <v>0</v>
      </c>
      <c r="G37">
        <f>VLOOKUP(B37,'Education updated'!A$2:F$48,6,FALSE)</f>
        <v>0</v>
      </c>
      <c r="H37">
        <f>VLOOKUP(B37,'Education updated'!A$2:G$48,7,FALSE)</f>
        <v>0</v>
      </c>
      <c r="I37">
        <f>VLOOKUP(B37,'Education updated'!A$2:H$48,8,FALSE)</f>
        <v>0</v>
      </c>
      <c r="J37">
        <f>VLOOKUP(B37,'Education updated'!A$2:K$48,11,FALSE)</f>
        <v>800</v>
      </c>
      <c r="K37">
        <f>VLOOKUP(B37,'Education updated'!A$2:L$48,12,FALSE)</f>
        <v>0</v>
      </c>
      <c r="M37">
        <f t="shared" si="0"/>
        <v>4260</v>
      </c>
    </row>
    <row r="38" spans="1:13" x14ac:dyDescent="0.35">
      <c r="A38" t="s">
        <v>9</v>
      </c>
      <c r="B38" t="str">
        <f>VLOOKUP(A38,CountryCodes!A$2:C$195,3,FALSE)</f>
        <v>BFA</v>
      </c>
      <c r="C38">
        <f>VLOOKUP(B38,'Education updated'!A$2:C$48,3,FALSE)</f>
        <v>1492</v>
      </c>
      <c r="D38">
        <f>VLOOKUP(B38,'Education updated'!A$2:J$48,10,FALSE)</f>
        <v>1170</v>
      </c>
      <c r="E38">
        <f>VLOOKUP(B38,'Education updated'!A$2:I$48,9,FALSE)</f>
        <v>1170</v>
      </c>
      <c r="F38">
        <f>VLOOKUP(B38,'Education updated'!A$2:E$48,5,FALSE)</f>
        <v>62</v>
      </c>
      <c r="G38">
        <f>VLOOKUP(B38,'Education updated'!A$2:F$48,6,FALSE)</f>
        <v>0</v>
      </c>
      <c r="H38">
        <f>VLOOKUP(B38,'Education updated'!A$2:G$48,7,FALSE)</f>
        <v>594</v>
      </c>
      <c r="I38">
        <f>VLOOKUP(B38,'Education updated'!A$2:H$48,8,FALSE)</f>
        <v>0</v>
      </c>
      <c r="J38">
        <f>VLOOKUP(B38,'Education updated'!A$2:K$48,11,FALSE)</f>
        <v>0</v>
      </c>
      <c r="K38">
        <f>VLOOKUP(B38,'Education updated'!A$2:L$48,12,FALSE)</f>
        <v>0</v>
      </c>
      <c r="M38">
        <f t="shared" si="0"/>
        <v>4488</v>
      </c>
    </row>
    <row r="39" spans="1:13" x14ac:dyDescent="0.35">
      <c r="A39" t="s">
        <v>19</v>
      </c>
      <c r="B39" t="str">
        <f>VLOOKUP(A39,CountryCodes!A$2:C$195,3,FALSE)</f>
        <v>MDG</v>
      </c>
      <c r="C39">
        <f>VLOOKUP(B39,'Education updated'!A$2:C$48,3,FALSE)</f>
        <v>316</v>
      </c>
      <c r="D39">
        <f>VLOOKUP(B39,'Education updated'!A$2:J$48,10,FALSE)</f>
        <v>2540</v>
      </c>
      <c r="E39">
        <f>VLOOKUP(B39,'Education updated'!A$2:I$48,9,FALSE)</f>
        <v>2473</v>
      </c>
      <c r="F39">
        <f>VLOOKUP(B39,'Education updated'!A$2:E$48,5,FALSE)</f>
        <v>0</v>
      </c>
      <c r="G39">
        <f>VLOOKUP(B39,'Education updated'!A$2:F$48,6,FALSE)</f>
        <v>0</v>
      </c>
      <c r="H39">
        <f>VLOOKUP(B39,'Education updated'!A$2:G$48,7,FALSE)</f>
        <v>0</v>
      </c>
      <c r="I39">
        <f>VLOOKUP(B39,'Education updated'!A$2:H$48,8,FALSE)</f>
        <v>0</v>
      </c>
      <c r="J39">
        <f>VLOOKUP(B39,'Education updated'!A$2:K$48,11,FALSE)</f>
        <v>116</v>
      </c>
      <c r="K39">
        <f>VLOOKUP(B39,'Education updated'!A$2:L$48,12,FALSE)</f>
        <v>0</v>
      </c>
      <c r="L39">
        <v>297</v>
      </c>
      <c r="M39">
        <f t="shared" si="0"/>
        <v>5742</v>
      </c>
    </row>
    <row r="40" spans="1:13" x14ac:dyDescent="0.35">
      <c r="A40" t="s">
        <v>11</v>
      </c>
      <c r="B40" t="str">
        <f>VLOOKUP(A40,CountryCodes!A$2:C$195,3,FALSE)</f>
        <v>TCD</v>
      </c>
      <c r="C40">
        <f>VLOOKUP(B40,'Education updated'!A$2:C$48,3,FALSE)</f>
        <v>330</v>
      </c>
      <c r="D40">
        <f>VLOOKUP(B40,'Education updated'!A$2:J$48,10,FALSE)</f>
        <v>2920</v>
      </c>
      <c r="E40">
        <f>VLOOKUP(B40,'Education updated'!A$2:I$48,9,FALSE)</f>
        <v>2084</v>
      </c>
      <c r="F40">
        <f>VLOOKUP(B40,'Education updated'!A$2:E$48,5,FALSE)</f>
        <v>0</v>
      </c>
      <c r="G40">
        <f>VLOOKUP(B40,'Education updated'!A$2:F$48,6,FALSE)</f>
        <v>0</v>
      </c>
      <c r="H40">
        <f>VLOOKUP(B40,'Education updated'!A$2:G$48,7,FALSE)</f>
        <v>80</v>
      </c>
      <c r="I40">
        <f>VLOOKUP(B40,'Education updated'!A$2:H$48,8,FALSE)</f>
        <v>180</v>
      </c>
      <c r="J40">
        <f>VLOOKUP(B40,'Education updated'!A$2:K$48,11,FALSE)</f>
        <v>220</v>
      </c>
      <c r="K40">
        <f>VLOOKUP(B40,'Education updated'!A$2:L$48,12,FALSE)</f>
        <v>0</v>
      </c>
      <c r="M40">
        <f t="shared" si="0"/>
        <v>5814</v>
      </c>
    </row>
    <row r="41" spans="1:13" x14ac:dyDescent="0.35">
      <c r="A41" t="s">
        <v>24</v>
      </c>
      <c r="B41" t="str">
        <f>VLOOKUP(A41,CountryCodes!A$2:C$195,3,FALSE)</f>
        <v>ZMB</v>
      </c>
      <c r="C41">
        <f>VLOOKUP(B41,'Education updated'!A$2:C$48,3,FALSE)</f>
        <v>115</v>
      </c>
      <c r="D41">
        <f>VLOOKUP(B41,'Education updated'!A$2:J$48,10,FALSE)</f>
        <v>5272</v>
      </c>
      <c r="E41">
        <f>VLOOKUP(B41,'Education updated'!A$2:I$48,9,FALSE)</f>
        <v>1939</v>
      </c>
      <c r="F41">
        <f>VLOOKUP(B41,'Education updated'!A$2:E$48,5,FALSE)</f>
        <v>0</v>
      </c>
      <c r="G41">
        <f>VLOOKUP(B41,'Education updated'!A$2:F$48,6,FALSE)</f>
        <v>36</v>
      </c>
      <c r="H41">
        <f>VLOOKUP(B41,'Education updated'!A$2:G$48,7,FALSE)</f>
        <v>0</v>
      </c>
      <c r="I41">
        <f>VLOOKUP(B41,'Education updated'!A$2:H$48,8,FALSE)</f>
        <v>180</v>
      </c>
      <c r="J41">
        <f>VLOOKUP(B41,'Education updated'!A$2:K$48,11,FALSE)</f>
        <v>282</v>
      </c>
      <c r="K41">
        <f>VLOOKUP(B41,'Education updated'!A$2:L$48,12,FALSE)</f>
        <v>100</v>
      </c>
      <c r="L41">
        <v>400</v>
      </c>
      <c r="M41">
        <f t="shared" si="0"/>
        <v>8324</v>
      </c>
    </row>
    <row r="42" spans="1:13" x14ac:dyDescent="0.35">
      <c r="A42" t="s">
        <v>39</v>
      </c>
      <c r="B42" t="s">
        <v>140</v>
      </c>
      <c r="C42">
        <f>VLOOKUP(B42,'Education updated'!A$2:C$48,3,FALSE)</f>
        <v>891</v>
      </c>
      <c r="D42">
        <f>VLOOKUP(B42,'Education updated'!A$2:J$48,10,FALSE)</f>
        <v>4607</v>
      </c>
      <c r="E42">
        <f>VLOOKUP(B42,'Education updated'!A$2:I$48,9,FALSE)</f>
        <v>0</v>
      </c>
      <c r="F42">
        <f>VLOOKUP(B42,'Education updated'!A$2:E$48,5,FALSE)</f>
        <v>80</v>
      </c>
      <c r="G42">
        <f>VLOOKUP(B42,'Education updated'!A$2:F$48,6,FALSE)</f>
        <v>0</v>
      </c>
      <c r="H42">
        <f>VLOOKUP(B42,'Education updated'!A$2:G$48,7,FALSE)</f>
        <v>164</v>
      </c>
      <c r="I42">
        <f>VLOOKUP(B42,'Education updated'!A$2:H$48,8,FALSE)</f>
        <v>629</v>
      </c>
      <c r="J42">
        <f>VLOOKUP(B42,'Education updated'!A$2:K$48,11,FALSE)</f>
        <v>428</v>
      </c>
      <c r="K42">
        <f>VLOOKUP(B42,'Education updated'!A$2:L$48,12,FALSE)</f>
        <v>0</v>
      </c>
      <c r="L42">
        <v>5457</v>
      </c>
      <c r="M42">
        <f t="shared" si="0"/>
        <v>12256</v>
      </c>
    </row>
    <row r="43" spans="1:13" x14ac:dyDescent="0.35">
      <c r="A43" t="s">
        <v>35</v>
      </c>
      <c r="B43" t="str">
        <f>VLOOKUP(A43,CountryCodes!A$2:C$195,3,FALSE)</f>
        <v>NGA</v>
      </c>
      <c r="C43">
        <f>VLOOKUP(B43,'Education updated'!A$2:C$48,3,FALSE)</f>
        <v>4340</v>
      </c>
      <c r="D43">
        <f>VLOOKUP(B43,'Education updated'!A$2:J$48,10,FALSE)</f>
        <v>12835</v>
      </c>
      <c r="E43">
        <f>VLOOKUP(B43,'Education updated'!A$2:I$48,9,FALSE)</f>
        <v>375</v>
      </c>
      <c r="F43">
        <f>VLOOKUP(B43,'Education updated'!A$2:E$48,5,FALSE)</f>
        <v>459</v>
      </c>
      <c r="G43">
        <f>VLOOKUP(B43,'Education updated'!A$2:F$48,6,FALSE)</f>
        <v>0</v>
      </c>
      <c r="H43">
        <f>VLOOKUP(B43,'Education updated'!A$2:G$48,7,FALSE)</f>
        <v>0</v>
      </c>
      <c r="I43">
        <f>VLOOKUP(B43,'Education updated'!A$2:H$48,8,FALSE)</f>
        <v>0</v>
      </c>
      <c r="J43">
        <f>VLOOKUP(B43,'Education updated'!A$2:K$48,11,FALSE)</f>
        <v>1774</v>
      </c>
      <c r="K43">
        <f>VLOOKUP(B43,'Education updated'!A$2:L$48,12,FALSE)</f>
        <v>0</v>
      </c>
      <c r="M43">
        <f t="shared" si="0"/>
        <v>19783</v>
      </c>
    </row>
    <row r="44" spans="1:13" x14ac:dyDescent="0.35">
      <c r="A44" t="s">
        <v>38</v>
      </c>
      <c r="B44" t="str">
        <f>VLOOKUP(A44,CountryCodes!A$2:C$195,3,FALSE)</f>
        <v>ZAF</v>
      </c>
      <c r="C44">
        <f>VLOOKUP(B44,'Education updated'!A$2:C$48,3,FALSE)</f>
        <v>998</v>
      </c>
      <c r="D44">
        <f>VLOOKUP(B44,'Education updated'!A$2:J$48,10,FALSE)</f>
        <v>3154</v>
      </c>
      <c r="E44">
        <f>VLOOKUP(B44,'Education updated'!A$2:I$48,9,FALSE)</f>
        <v>0</v>
      </c>
      <c r="F44">
        <f>VLOOKUP(B44,'Education updated'!A$2:E$48,5,FALSE)</f>
        <v>805</v>
      </c>
      <c r="G44">
        <f>VLOOKUP(B44,'Education updated'!A$2:F$48,6,FALSE)</f>
        <v>0</v>
      </c>
      <c r="H44">
        <f>VLOOKUP(B44,'Education updated'!A$2:G$48,7,FALSE)</f>
        <v>1291</v>
      </c>
      <c r="I44">
        <f>VLOOKUP(B44,'Education updated'!A$2:H$48,8,FALSE)</f>
        <v>0</v>
      </c>
      <c r="J44">
        <f>VLOOKUP(B44,'Education updated'!A$2:K$48,11,FALSE)</f>
        <v>451</v>
      </c>
      <c r="K44">
        <f>VLOOKUP(B44,'Education updated'!A$2:L$48,12,FALSE)</f>
        <v>0</v>
      </c>
      <c r="L44">
        <v>13559</v>
      </c>
      <c r="M44">
        <f t="shared" si="0"/>
        <v>20258</v>
      </c>
    </row>
    <row r="45" spans="1:13" x14ac:dyDescent="0.35">
      <c r="A45" t="s">
        <v>5</v>
      </c>
      <c r="B45" t="str">
        <f>VLOOKUP(A45,CountryCodes!A$2:C$195,3,FALSE)</f>
        <v>ETH</v>
      </c>
      <c r="C45">
        <f>VLOOKUP(B45,'Education updated'!A$2:C$48,3,FALSE)</f>
        <v>3114</v>
      </c>
      <c r="D45">
        <f>VLOOKUP(B45,'Education updated'!A$2:J$48,10,FALSE)</f>
        <v>6298</v>
      </c>
      <c r="E45">
        <f>VLOOKUP(B45,'Education updated'!A$2:I$48,9,FALSE)</f>
        <v>2440</v>
      </c>
      <c r="F45">
        <f>VLOOKUP(B45,'Education updated'!A$2:E$48,5,FALSE)</f>
        <v>189</v>
      </c>
      <c r="G45">
        <f>VLOOKUP(B45,'Education updated'!A$2:F$48,6,FALSE)</f>
        <v>64</v>
      </c>
      <c r="H45">
        <f>VLOOKUP(B45,'Education updated'!A$2:G$48,7,FALSE)</f>
        <v>699</v>
      </c>
      <c r="I45">
        <f>VLOOKUP(B45,'Education updated'!A$2:H$48,8,FALSE)</f>
        <v>2878</v>
      </c>
      <c r="J45">
        <f>VLOOKUP(B45,'Education updated'!A$2:K$48,11,FALSE)</f>
        <v>1220</v>
      </c>
      <c r="K45">
        <f>VLOOKUP(B45,'Education updated'!A$2:L$48,12,FALSE)</f>
        <v>1613</v>
      </c>
      <c r="L45">
        <v>3672</v>
      </c>
      <c r="M45">
        <f t="shared" si="0"/>
        <v>22187</v>
      </c>
    </row>
    <row r="46" spans="1:13" x14ac:dyDescent="0.35">
      <c r="A46" t="s">
        <v>15</v>
      </c>
      <c r="B46" t="str">
        <f>VLOOKUP(A46,CountryCodes!A$2:C$195,3,FALSE)</f>
        <v>GHA</v>
      </c>
      <c r="C46">
        <f>VLOOKUP(B46,'Education updated'!A$2:C$48,3,FALSE)</f>
        <v>1566</v>
      </c>
      <c r="D46">
        <f>VLOOKUP(B46,'Education updated'!A$2:J$48,10,FALSE)</f>
        <v>21271</v>
      </c>
      <c r="E46">
        <f>VLOOKUP(B46,'Education updated'!A$2:I$48,9,FALSE)</f>
        <v>4827</v>
      </c>
      <c r="F46">
        <f>VLOOKUP(B46,'Education updated'!A$2:E$48,5,FALSE)</f>
        <v>0</v>
      </c>
      <c r="G46">
        <f>VLOOKUP(B46,'Education updated'!A$2:F$48,6,FALSE)</f>
        <v>0</v>
      </c>
      <c r="H46">
        <f>VLOOKUP(B46,'Education updated'!A$2:G$48,7,FALSE)</f>
        <v>343</v>
      </c>
      <c r="I46">
        <f>VLOOKUP(B46,'Education updated'!A$2:H$48,8,FALSE)</f>
        <v>0</v>
      </c>
      <c r="J46">
        <f>VLOOKUP(B46,'Education updated'!A$2:K$48,11,FALSE)</f>
        <v>396</v>
      </c>
      <c r="K46">
        <f>VLOOKUP(B46,'Education updated'!A$2:L$48,12,FALSE)</f>
        <v>0</v>
      </c>
      <c r="M46">
        <f t="shared" si="0"/>
        <v>28403</v>
      </c>
    </row>
    <row r="47" spans="1:13" x14ac:dyDescent="0.35">
      <c r="A47" t="s">
        <v>40</v>
      </c>
      <c r="B47" t="str">
        <f>VLOOKUP(A47,CountryCodes!A$2:C$195,3,FALSE)</f>
        <v>UGA</v>
      </c>
      <c r="C47">
        <f>VLOOKUP(B47,'Education updated'!A$2:C$48,3,FALSE)</f>
        <v>1997</v>
      </c>
      <c r="D47">
        <f>VLOOKUP(B47,'Education updated'!A$2:J$48,10,FALSE)</f>
        <v>14001</v>
      </c>
      <c r="E47">
        <f>VLOOKUP(B47,'Education updated'!A$2:I$48,9,FALSE)</f>
        <v>8990</v>
      </c>
      <c r="F47">
        <f>VLOOKUP(B47,'Education updated'!A$2:E$48,5,FALSE)</f>
        <v>41</v>
      </c>
      <c r="G47">
        <f>VLOOKUP(B47,'Education updated'!A$2:F$48,6,FALSE)</f>
        <v>220</v>
      </c>
      <c r="H47">
        <f>VLOOKUP(B47,'Education updated'!A$2:G$48,7,FALSE)</f>
        <v>120</v>
      </c>
      <c r="I47">
        <f>VLOOKUP(B47,'Education updated'!A$2:H$48,8,FALSE)</f>
        <v>1860</v>
      </c>
      <c r="J47">
        <f>VLOOKUP(B47,'Education updated'!A$2:K$48,11,FALSE)</f>
        <v>3610</v>
      </c>
      <c r="K47">
        <f>VLOOKUP(B47,'Education updated'!A$2:L$48,12,FALSE)</f>
        <v>0</v>
      </c>
      <c r="L47">
        <v>1020</v>
      </c>
      <c r="M47">
        <f t="shared" si="0"/>
        <v>31859</v>
      </c>
    </row>
    <row r="48" spans="1:13" x14ac:dyDescent="0.35">
      <c r="A48" t="s">
        <v>62</v>
      </c>
      <c r="B48" t="str">
        <f>VLOOKUP(A48,CountryCodes!A$2:C$195,3,FALSE)</f>
        <v>COD</v>
      </c>
      <c r="C48">
        <f>VLOOKUP(B48,'Education updated'!A$2:C$48,3,FALSE)</f>
        <v>6020</v>
      </c>
      <c r="D48">
        <f>VLOOKUP(B48,'Education updated'!A$2:J$48,10,FALSE)</f>
        <v>24061</v>
      </c>
      <c r="E48">
        <f>VLOOKUP(B48,'Education updated'!A$2:I$48,9,FALSE)</f>
        <v>3453</v>
      </c>
      <c r="F48">
        <f>VLOOKUP(B48,'Education updated'!A$2:E$48,5,FALSE)</f>
        <v>66</v>
      </c>
      <c r="G48">
        <f>VLOOKUP(B48,'Education updated'!A$2:F$48,6,FALSE)</f>
        <v>0</v>
      </c>
      <c r="H48">
        <f>VLOOKUP(B48,'Education updated'!A$2:G$48,7,FALSE)</f>
        <v>178</v>
      </c>
      <c r="I48">
        <f>VLOOKUP(B48,'Education updated'!A$2:H$48,8,FALSE)</f>
        <v>328</v>
      </c>
      <c r="J48">
        <f>VLOOKUP(B48,'Education updated'!A$2:K$48,11,FALSE)</f>
        <v>2571</v>
      </c>
      <c r="K48">
        <f>VLOOKUP(B48,'Education updated'!A$2:L$48,12,FALSE)</f>
        <v>0</v>
      </c>
      <c r="L48">
        <v>3151</v>
      </c>
      <c r="M48">
        <f t="shared" si="0"/>
        <v>39828</v>
      </c>
    </row>
  </sheetData>
  <sortState xmlns:xlrd2="http://schemas.microsoft.com/office/spreadsheetml/2017/richdata2" ref="A2:M48">
    <sortCondition ref="M2:M48"/>
  </sortState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97D33-B45A-43B1-B48E-7617C43E542D}">
  <dimension ref="B1:M49"/>
  <sheetViews>
    <sheetView workbookViewId="0">
      <selection activeCell="C11" sqref="C11"/>
    </sheetView>
  </sheetViews>
  <sheetFormatPr defaultRowHeight="14.5" x14ac:dyDescent="0.35"/>
  <cols>
    <col min="3" max="3" width="27.08984375" bestFit="1" customWidth="1"/>
    <col min="4" max="4" width="15.54296875" bestFit="1" customWidth="1"/>
  </cols>
  <sheetData>
    <row r="1" spans="2:13" x14ac:dyDescent="0.35">
      <c r="B1" t="s">
        <v>656</v>
      </c>
      <c r="C1" t="s">
        <v>65</v>
      </c>
      <c r="D1" t="s">
        <v>95</v>
      </c>
      <c r="E1" t="s">
        <v>69</v>
      </c>
      <c r="F1" t="s">
        <v>67</v>
      </c>
      <c r="G1" t="s">
        <v>52</v>
      </c>
      <c r="H1" t="s">
        <v>68</v>
      </c>
      <c r="I1" t="s">
        <v>51</v>
      </c>
      <c r="J1" t="s">
        <v>70</v>
      </c>
      <c r="K1" t="s">
        <v>71</v>
      </c>
      <c r="L1" t="s">
        <v>41</v>
      </c>
      <c r="M1" t="s">
        <v>46</v>
      </c>
    </row>
    <row r="2" spans="2:13" x14ac:dyDescent="0.35">
      <c r="B2" t="s">
        <v>109</v>
      </c>
    </row>
    <row r="3" spans="2:13" x14ac:dyDescent="0.35">
      <c r="B3" t="s">
        <v>98</v>
      </c>
    </row>
    <row r="4" spans="2:13" x14ac:dyDescent="0.35">
      <c r="B4" t="s">
        <v>101</v>
      </c>
    </row>
    <row r="5" spans="2:13" x14ac:dyDescent="0.35">
      <c r="B5" t="s">
        <v>102</v>
      </c>
    </row>
    <row r="6" spans="2:13" x14ac:dyDescent="0.35">
      <c r="B6" t="s">
        <v>99</v>
      </c>
    </row>
    <row r="7" spans="2:13" x14ac:dyDescent="0.35">
      <c r="B7" t="s">
        <v>100</v>
      </c>
    </row>
    <row r="8" spans="2:13" x14ac:dyDescent="0.35">
      <c r="B8" t="s">
        <v>107</v>
      </c>
    </row>
    <row r="9" spans="2:13" x14ac:dyDescent="0.35">
      <c r="B9" t="s">
        <v>108</v>
      </c>
    </row>
    <row r="10" spans="2:13" x14ac:dyDescent="0.35">
      <c r="B10" t="s">
        <v>104</v>
      </c>
    </row>
    <row r="11" spans="2:13" x14ac:dyDescent="0.35">
      <c r="B11" t="s">
        <v>138</v>
      </c>
    </row>
    <row r="12" spans="2:13" x14ac:dyDescent="0.35">
      <c r="B12" t="s">
        <v>119</v>
      </c>
    </row>
    <row r="13" spans="2:13" x14ac:dyDescent="0.35">
      <c r="B13" t="s">
        <v>105</v>
      </c>
    </row>
    <row r="14" spans="2:13" x14ac:dyDescent="0.35">
      <c r="B14" t="s">
        <v>106</v>
      </c>
    </row>
    <row r="15" spans="2:13" x14ac:dyDescent="0.35">
      <c r="B15" t="s">
        <v>103</v>
      </c>
    </row>
    <row r="16" spans="2:13" x14ac:dyDescent="0.35">
      <c r="B16" t="s">
        <v>116</v>
      </c>
    </row>
    <row r="17" spans="2:2" x14ac:dyDescent="0.35">
      <c r="B17" t="s">
        <v>110</v>
      </c>
    </row>
    <row r="18" spans="2:2" x14ac:dyDescent="0.35">
      <c r="B18" t="s">
        <v>137</v>
      </c>
    </row>
    <row r="19" spans="2:2" x14ac:dyDescent="0.35">
      <c r="B19" t="s">
        <v>111</v>
      </c>
    </row>
    <row r="20" spans="2:2" x14ac:dyDescent="0.35">
      <c r="B20" t="s">
        <v>112</v>
      </c>
    </row>
    <row r="21" spans="2:2" x14ac:dyDescent="0.35">
      <c r="B21" t="s">
        <v>114</v>
      </c>
    </row>
    <row r="22" spans="2:2" x14ac:dyDescent="0.35">
      <c r="B22" t="s">
        <v>113</v>
      </c>
    </row>
    <row r="23" spans="2:2" x14ac:dyDescent="0.35">
      <c r="B23" t="s">
        <v>115</v>
      </c>
    </row>
    <row r="24" spans="2:2" x14ac:dyDescent="0.35">
      <c r="B24" t="s">
        <v>117</v>
      </c>
    </row>
    <row r="25" spans="2:2" x14ac:dyDescent="0.35">
      <c r="B25" t="s">
        <v>118</v>
      </c>
    </row>
    <row r="26" spans="2:2" x14ac:dyDescent="0.35">
      <c r="B26" t="s">
        <v>121</v>
      </c>
    </row>
    <row r="27" spans="2:2" x14ac:dyDescent="0.35">
      <c r="B27" t="s">
        <v>120</v>
      </c>
    </row>
    <row r="28" spans="2:2" x14ac:dyDescent="0.35">
      <c r="B28" t="s">
        <v>122</v>
      </c>
    </row>
    <row r="29" spans="2:2" x14ac:dyDescent="0.35">
      <c r="B29" t="s">
        <v>126</v>
      </c>
    </row>
    <row r="30" spans="2:2" x14ac:dyDescent="0.35">
      <c r="B30" t="s">
        <v>123</v>
      </c>
    </row>
    <row r="31" spans="2:2" x14ac:dyDescent="0.35">
      <c r="B31" t="s">
        <v>124</v>
      </c>
    </row>
    <row r="32" spans="2:2" x14ac:dyDescent="0.35">
      <c r="B32" t="s">
        <v>125</v>
      </c>
    </row>
    <row r="33" spans="2:2" x14ac:dyDescent="0.35">
      <c r="B33" t="s">
        <v>127</v>
      </c>
    </row>
    <row r="34" spans="2:2" x14ac:dyDescent="0.35">
      <c r="B34" t="s">
        <v>128</v>
      </c>
    </row>
    <row r="35" spans="2:2" x14ac:dyDescent="0.35">
      <c r="B35" t="s">
        <v>129</v>
      </c>
    </row>
    <row r="36" spans="2:2" x14ac:dyDescent="0.35">
      <c r="B36" t="s">
        <v>130</v>
      </c>
    </row>
    <row r="37" spans="2:2" x14ac:dyDescent="0.35">
      <c r="B37" t="s">
        <v>131</v>
      </c>
    </row>
    <row r="38" spans="2:2" x14ac:dyDescent="0.35">
      <c r="B38" t="s">
        <v>136</v>
      </c>
    </row>
    <row r="39" spans="2:2" x14ac:dyDescent="0.35">
      <c r="B39" t="s">
        <v>134</v>
      </c>
    </row>
    <row r="40" spans="2:2" x14ac:dyDescent="0.35">
      <c r="B40" t="s">
        <v>132</v>
      </c>
    </row>
    <row r="41" spans="2:2" x14ac:dyDescent="0.35">
      <c r="B41" t="s">
        <v>133</v>
      </c>
    </row>
    <row r="42" spans="2:2" x14ac:dyDescent="0.35">
      <c r="B42" t="s">
        <v>142</v>
      </c>
    </row>
    <row r="43" spans="2:2" x14ac:dyDescent="0.35">
      <c r="B43" t="s">
        <v>135</v>
      </c>
    </row>
    <row r="44" spans="2:2" x14ac:dyDescent="0.35">
      <c r="B44" t="s">
        <v>140</v>
      </c>
    </row>
    <row r="45" spans="2:2" x14ac:dyDescent="0.35">
      <c r="B45" t="s">
        <v>139</v>
      </c>
    </row>
    <row r="46" spans="2:2" x14ac:dyDescent="0.35">
      <c r="B46" t="s">
        <v>141</v>
      </c>
    </row>
    <row r="47" spans="2:2" x14ac:dyDescent="0.35">
      <c r="B47" t="s">
        <v>143</v>
      </c>
    </row>
    <row r="48" spans="2:2" x14ac:dyDescent="0.35">
      <c r="B48" t="s">
        <v>144</v>
      </c>
    </row>
    <row r="49" spans="2:2" x14ac:dyDescent="0.35">
      <c r="B49" t="e">
        <v>#N/A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B8865-8E87-4861-8813-9E21B30279F1}">
  <dimension ref="A1:G195"/>
  <sheetViews>
    <sheetView topLeftCell="A14" workbookViewId="0">
      <selection activeCell="C48" sqref="C48"/>
    </sheetView>
  </sheetViews>
  <sheetFormatPr defaultRowHeight="14.5" x14ac:dyDescent="0.35"/>
  <sheetData>
    <row r="1" spans="1:7" x14ac:dyDescent="0.35">
      <c r="A1" t="s">
        <v>72</v>
      </c>
      <c r="B1" t="s">
        <v>146</v>
      </c>
      <c r="C1" t="s">
        <v>97</v>
      </c>
      <c r="D1" t="s">
        <v>147</v>
      </c>
      <c r="E1" t="s">
        <v>148</v>
      </c>
      <c r="F1" t="s">
        <v>149</v>
      </c>
      <c r="G1" t="s">
        <v>150</v>
      </c>
    </row>
    <row r="2" spans="1:7" x14ac:dyDescent="0.35">
      <c r="A2" t="s">
        <v>47</v>
      </c>
      <c r="B2" t="s">
        <v>285</v>
      </c>
      <c r="C2" t="s">
        <v>109</v>
      </c>
      <c r="D2" t="s">
        <v>177</v>
      </c>
      <c r="E2" t="s">
        <v>172</v>
      </c>
      <c r="F2" t="s">
        <v>156</v>
      </c>
      <c r="G2">
        <v>12</v>
      </c>
    </row>
    <row r="3" spans="1:7" x14ac:dyDescent="0.35">
      <c r="A3" t="s">
        <v>25</v>
      </c>
      <c r="B3" t="s">
        <v>176</v>
      </c>
      <c r="C3" t="s">
        <v>98</v>
      </c>
      <c r="D3" t="s">
        <v>177</v>
      </c>
      <c r="E3" t="s">
        <v>172</v>
      </c>
      <c r="F3" t="s">
        <v>156</v>
      </c>
      <c r="G3">
        <v>24</v>
      </c>
    </row>
    <row r="4" spans="1:7" x14ac:dyDescent="0.35">
      <c r="A4" t="s">
        <v>0</v>
      </c>
      <c r="B4" t="s">
        <v>211</v>
      </c>
      <c r="C4" t="s">
        <v>101</v>
      </c>
      <c r="D4" t="s">
        <v>177</v>
      </c>
      <c r="E4" t="s">
        <v>164</v>
      </c>
      <c r="F4" t="s">
        <v>156</v>
      </c>
      <c r="G4">
        <v>204</v>
      </c>
    </row>
    <row r="5" spans="1:7" x14ac:dyDescent="0.35">
      <c r="A5" t="s">
        <v>1</v>
      </c>
      <c r="B5" t="s">
        <v>227</v>
      </c>
      <c r="C5" t="s">
        <v>102</v>
      </c>
      <c r="D5" t="s">
        <v>177</v>
      </c>
      <c r="E5" t="s">
        <v>168</v>
      </c>
      <c r="F5" t="s">
        <v>156</v>
      </c>
      <c r="G5">
        <v>72</v>
      </c>
    </row>
    <row r="6" spans="1:7" x14ac:dyDescent="0.35">
      <c r="A6" t="s">
        <v>9</v>
      </c>
      <c r="B6" t="s">
        <v>203</v>
      </c>
      <c r="C6" t="s">
        <v>99</v>
      </c>
      <c r="D6" t="s">
        <v>177</v>
      </c>
      <c r="E6" t="s">
        <v>164</v>
      </c>
      <c r="F6" t="s">
        <v>156</v>
      </c>
      <c r="G6">
        <v>854</v>
      </c>
    </row>
    <row r="7" spans="1:7" x14ac:dyDescent="0.35">
      <c r="A7" t="s">
        <v>26</v>
      </c>
      <c r="B7" t="s">
        <v>210</v>
      </c>
      <c r="C7" t="s">
        <v>100</v>
      </c>
      <c r="D7" t="s">
        <v>177</v>
      </c>
      <c r="E7" t="s">
        <v>164</v>
      </c>
      <c r="F7" t="s">
        <v>156</v>
      </c>
      <c r="G7">
        <v>108</v>
      </c>
    </row>
    <row r="8" spans="1:7" x14ac:dyDescent="0.35">
      <c r="A8" t="s">
        <v>10</v>
      </c>
      <c r="B8" t="s">
        <v>250</v>
      </c>
      <c r="C8" t="s">
        <v>107</v>
      </c>
      <c r="D8" t="s">
        <v>177</v>
      </c>
      <c r="E8" t="s">
        <v>164</v>
      </c>
      <c r="F8" t="s">
        <v>156</v>
      </c>
      <c r="G8">
        <v>120</v>
      </c>
    </row>
    <row r="9" spans="1:7" x14ac:dyDescent="0.35">
      <c r="A9" t="s">
        <v>650</v>
      </c>
      <c r="B9" t="s">
        <v>263</v>
      </c>
      <c r="C9" t="s">
        <v>108</v>
      </c>
      <c r="D9" t="s">
        <v>177</v>
      </c>
      <c r="E9" t="s">
        <v>172</v>
      </c>
      <c r="F9" t="s">
        <v>156</v>
      </c>
      <c r="G9">
        <v>132</v>
      </c>
    </row>
    <row r="10" spans="1:7" x14ac:dyDescent="0.35">
      <c r="A10" t="s">
        <v>63</v>
      </c>
      <c r="B10" t="s">
        <v>238</v>
      </c>
      <c r="C10" t="s">
        <v>104</v>
      </c>
      <c r="D10" t="s">
        <v>177</v>
      </c>
      <c r="E10" t="s">
        <v>164</v>
      </c>
      <c r="F10" t="s">
        <v>156</v>
      </c>
      <c r="G10">
        <v>140</v>
      </c>
    </row>
    <row r="11" spans="1:7" x14ac:dyDescent="0.35">
      <c r="A11" t="s">
        <v>11</v>
      </c>
      <c r="B11" t="s">
        <v>585</v>
      </c>
      <c r="C11" t="s">
        <v>138</v>
      </c>
      <c r="D11" t="s">
        <v>177</v>
      </c>
      <c r="E11" t="s">
        <v>164</v>
      </c>
      <c r="F11" t="s">
        <v>156</v>
      </c>
      <c r="G11">
        <v>148</v>
      </c>
    </row>
    <row r="12" spans="1:7" x14ac:dyDescent="0.35">
      <c r="A12" t="s">
        <v>2</v>
      </c>
      <c r="B12" t="s">
        <v>391</v>
      </c>
      <c r="C12" t="s">
        <v>119</v>
      </c>
      <c r="D12" t="s">
        <v>177</v>
      </c>
      <c r="E12" t="s">
        <v>164</v>
      </c>
      <c r="F12" t="s">
        <v>156</v>
      </c>
      <c r="G12">
        <v>174</v>
      </c>
    </row>
    <row r="13" spans="1:7" x14ac:dyDescent="0.35">
      <c r="A13" t="s">
        <v>3</v>
      </c>
      <c r="B13" t="s">
        <v>239</v>
      </c>
      <c r="C13" t="s">
        <v>105</v>
      </c>
      <c r="D13" t="s">
        <v>177</v>
      </c>
      <c r="E13" t="s">
        <v>164</v>
      </c>
      <c r="F13" t="s">
        <v>156</v>
      </c>
      <c r="G13">
        <v>178</v>
      </c>
    </row>
    <row r="14" spans="1:7" x14ac:dyDescent="0.35">
      <c r="A14" t="s">
        <v>27</v>
      </c>
      <c r="B14" t="s">
        <v>243</v>
      </c>
      <c r="C14" t="s">
        <v>106</v>
      </c>
      <c r="D14" t="s">
        <v>177</v>
      </c>
      <c r="E14" t="s">
        <v>164</v>
      </c>
      <c r="F14" t="s">
        <v>156</v>
      </c>
      <c r="G14">
        <v>384</v>
      </c>
    </row>
    <row r="15" spans="1:7" x14ac:dyDescent="0.35">
      <c r="A15" t="s">
        <v>62</v>
      </c>
      <c r="B15" t="s">
        <v>237</v>
      </c>
      <c r="C15" t="s">
        <v>103</v>
      </c>
      <c r="D15" t="s">
        <v>177</v>
      </c>
      <c r="E15" t="s">
        <v>164</v>
      </c>
      <c r="F15" t="s">
        <v>156</v>
      </c>
      <c r="G15">
        <v>180</v>
      </c>
    </row>
    <row r="16" spans="1:7" x14ac:dyDescent="0.35">
      <c r="A16" t="s">
        <v>48</v>
      </c>
      <c r="B16" t="s">
        <v>325</v>
      </c>
      <c r="C16" t="s">
        <v>116</v>
      </c>
      <c r="D16" t="s">
        <v>177</v>
      </c>
      <c r="E16" t="s">
        <v>168</v>
      </c>
      <c r="F16" t="s">
        <v>156</v>
      </c>
      <c r="G16">
        <v>226</v>
      </c>
    </row>
    <row r="17" spans="1:7" x14ac:dyDescent="0.35">
      <c r="A17" t="s">
        <v>4</v>
      </c>
      <c r="B17" t="s">
        <v>295</v>
      </c>
      <c r="C17" t="s">
        <v>110</v>
      </c>
      <c r="D17" t="s">
        <v>177</v>
      </c>
      <c r="E17" t="s">
        <v>164</v>
      </c>
      <c r="F17" t="s">
        <v>156</v>
      </c>
      <c r="G17">
        <v>232</v>
      </c>
    </row>
    <row r="18" spans="1:7" x14ac:dyDescent="0.35">
      <c r="A18" t="s">
        <v>12</v>
      </c>
      <c r="B18" t="s">
        <v>584</v>
      </c>
      <c r="C18" t="s">
        <v>137</v>
      </c>
      <c r="D18" t="s">
        <v>177</v>
      </c>
      <c r="E18" t="s">
        <v>172</v>
      </c>
      <c r="F18" t="s">
        <v>156</v>
      </c>
      <c r="G18">
        <v>748</v>
      </c>
    </row>
    <row r="19" spans="1:7" x14ac:dyDescent="0.35">
      <c r="A19" t="s">
        <v>5</v>
      </c>
      <c r="B19" t="s">
        <v>299</v>
      </c>
      <c r="C19" t="s">
        <v>111</v>
      </c>
      <c r="D19" t="s">
        <v>177</v>
      </c>
      <c r="E19" t="s">
        <v>164</v>
      </c>
      <c r="F19" t="s">
        <v>156</v>
      </c>
      <c r="G19">
        <v>231</v>
      </c>
    </row>
    <row r="20" spans="1:7" x14ac:dyDescent="0.35">
      <c r="A20" t="s">
        <v>13</v>
      </c>
      <c r="B20" t="s">
        <v>312</v>
      </c>
      <c r="C20" t="s">
        <v>112</v>
      </c>
      <c r="D20" t="s">
        <v>177</v>
      </c>
      <c r="E20" t="s">
        <v>168</v>
      </c>
      <c r="F20" t="s">
        <v>156</v>
      </c>
      <c r="G20">
        <v>266</v>
      </c>
    </row>
    <row r="21" spans="1:7" x14ac:dyDescent="0.35">
      <c r="A21" t="s">
        <v>14</v>
      </c>
      <c r="B21" t="s">
        <v>323</v>
      </c>
      <c r="C21" t="s">
        <v>114</v>
      </c>
      <c r="D21" t="s">
        <v>177</v>
      </c>
      <c r="E21" t="s">
        <v>164</v>
      </c>
      <c r="F21" t="s">
        <v>156</v>
      </c>
      <c r="G21">
        <v>270</v>
      </c>
    </row>
    <row r="22" spans="1:7" x14ac:dyDescent="0.35">
      <c r="A22" t="s">
        <v>15</v>
      </c>
      <c r="B22" t="s">
        <v>322</v>
      </c>
      <c r="C22" t="s">
        <v>113</v>
      </c>
      <c r="D22" t="s">
        <v>177</v>
      </c>
      <c r="E22" t="s">
        <v>164</v>
      </c>
      <c r="F22" t="s">
        <v>156</v>
      </c>
      <c r="G22">
        <v>288</v>
      </c>
    </row>
    <row r="23" spans="1:7" x14ac:dyDescent="0.35">
      <c r="A23" t="s">
        <v>16</v>
      </c>
      <c r="B23" t="s">
        <v>324</v>
      </c>
      <c r="C23" t="s">
        <v>115</v>
      </c>
      <c r="D23" t="s">
        <v>177</v>
      </c>
      <c r="E23" t="s">
        <v>164</v>
      </c>
      <c r="F23" t="s">
        <v>156</v>
      </c>
      <c r="G23">
        <v>324</v>
      </c>
    </row>
    <row r="24" spans="1:7" x14ac:dyDescent="0.35">
      <c r="A24" t="s">
        <v>17</v>
      </c>
      <c r="B24" t="s">
        <v>332</v>
      </c>
      <c r="C24" t="s">
        <v>117</v>
      </c>
      <c r="D24" t="s">
        <v>177</v>
      </c>
      <c r="E24" t="s">
        <v>164</v>
      </c>
      <c r="F24" t="s">
        <v>156</v>
      </c>
      <c r="G24">
        <v>624</v>
      </c>
    </row>
    <row r="25" spans="1:7" x14ac:dyDescent="0.35">
      <c r="A25" t="s">
        <v>18</v>
      </c>
      <c r="B25" t="s">
        <v>381</v>
      </c>
      <c r="C25" t="s">
        <v>118</v>
      </c>
      <c r="D25" t="s">
        <v>177</v>
      </c>
      <c r="E25" t="s">
        <v>164</v>
      </c>
      <c r="F25" t="s">
        <v>156</v>
      </c>
      <c r="G25">
        <v>404</v>
      </c>
    </row>
    <row r="26" spans="1:7" x14ac:dyDescent="0.35">
      <c r="A26" t="s">
        <v>28</v>
      </c>
      <c r="B26" t="s">
        <v>420</v>
      </c>
      <c r="C26" t="s">
        <v>121</v>
      </c>
      <c r="D26" t="s">
        <v>177</v>
      </c>
      <c r="E26" t="s">
        <v>164</v>
      </c>
      <c r="F26" t="s">
        <v>156</v>
      </c>
      <c r="G26">
        <v>426</v>
      </c>
    </row>
    <row r="27" spans="1:7" x14ac:dyDescent="0.35">
      <c r="A27" t="s">
        <v>29</v>
      </c>
      <c r="B27" t="s">
        <v>419</v>
      </c>
      <c r="C27" t="s">
        <v>120</v>
      </c>
      <c r="D27" t="s">
        <v>177</v>
      </c>
      <c r="E27" t="s">
        <v>164</v>
      </c>
      <c r="F27" t="s">
        <v>156</v>
      </c>
      <c r="G27">
        <v>430</v>
      </c>
    </row>
    <row r="28" spans="1:7" x14ac:dyDescent="0.35">
      <c r="A28" t="s">
        <v>19</v>
      </c>
      <c r="B28" t="s">
        <v>445</v>
      </c>
      <c r="C28" t="s">
        <v>122</v>
      </c>
      <c r="D28" t="s">
        <v>177</v>
      </c>
      <c r="E28" t="s">
        <v>164</v>
      </c>
      <c r="F28" t="s">
        <v>156</v>
      </c>
      <c r="G28">
        <v>450</v>
      </c>
    </row>
    <row r="29" spans="1:7" x14ac:dyDescent="0.35">
      <c r="A29" t="s">
        <v>30</v>
      </c>
      <c r="B29" t="s">
        <v>467</v>
      </c>
      <c r="C29" t="s">
        <v>126</v>
      </c>
      <c r="D29" t="s">
        <v>177</v>
      </c>
      <c r="E29" t="s">
        <v>164</v>
      </c>
      <c r="F29" t="s">
        <v>156</v>
      </c>
      <c r="G29">
        <v>454</v>
      </c>
    </row>
    <row r="30" spans="1:7" x14ac:dyDescent="0.35">
      <c r="A30" t="s">
        <v>31</v>
      </c>
      <c r="B30" t="s">
        <v>452</v>
      </c>
      <c r="C30" t="s">
        <v>123</v>
      </c>
      <c r="D30" t="s">
        <v>177</v>
      </c>
      <c r="E30" t="s">
        <v>164</v>
      </c>
      <c r="F30" t="s">
        <v>156</v>
      </c>
      <c r="G30">
        <v>466</v>
      </c>
    </row>
    <row r="31" spans="1:7" x14ac:dyDescent="0.35">
      <c r="A31" t="s">
        <v>32</v>
      </c>
      <c r="B31" t="s">
        <v>459</v>
      </c>
      <c r="C31" t="s">
        <v>124</v>
      </c>
      <c r="D31" t="s">
        <v>177</v>
      </c>
      <c r="E31" t="s">
        <v>164</v>
      </c>
      <c r="F31" t="s">
        <v>156</v>
      </c>
      <c r="G31">
        <v>478</v>
      </c>
    </row>
    <row r="32" spans="1:7" x14ac:dyDescent="0.35">
      <c r="A32" t="s">
        <v>33</v>
      </c>
      <c r="B32" t="s">
        <v>463</v>
      </c>
      <c r="C32" t="s">
        <v>125</v>
      </c>
      <c r="D32" t="s">
        <v>177</v>
      </c>
      <c r="E32" t="s">
        <v>168</v>
      </c>
      <c r="F32" t="s">
        <v>156</v>
      </c>
      <c r="G32">
        <v>480</v>
      </c>
    </row>
    <row r="33" spans="1:7" x14ac:dyDescent="0.35">
      <c r="A33" t="s">
        <v>6</v>
      </c>
      <c r="B33" t="s">
        <v>474</v>
      </c>
      <c r="C33" t="s">
        <v>127</v>
      </c>
      <c r="D33" t="s">
        <v>177</v>
      </c>
      <c r="E33" t="s">
        <v>164</v>
      </c>
      <c r="F33" t="s">
        <v>156</v>
      </c>
      <c r="G33">
        <v>508</v>
      </c>
    </row>
    <row r="34" spans="1:7" x14ac:dyDescent="0.35">
      <c r="A34" t="s">
        <v>34</v>
      </c>
      <c r="B34" t="s">
        <v>475</v>
      </c>
      <c r="C34" t="s">
        <v>128</v>
      </c>
      <c r="D34" t="s">
        <v>177</v>
      </c>
      <c r="E34" t="s">
        <v>172</v>
      </c>
      <c r="F34" t="s">
        <v>156</v>
      </c>
      <c r="G34">
        <v>516</v>
      </c>
    </row>
    <row r="35" spans="1:7" x14ac:dyDescent="0.35">
      <c r="A35" t="s">
        <v>7</v>
      </c>
      <c r="B35" t="s">
        <v>476</v>
      </c>
      <c r="C35" t="s">
        <v>129</v>
      </c>
      <c r="D35" t="s">
        <v>177</v>
      </c>
      <c r="E35" t="s">
        <v>164</v>
      </c>
      <c r="F35" t="s">
        <v>156</v>
      </c>
      <c r="G35">
        <v>562</v>
      </c>
    </row>
    <row r="36" spans="1:7" x14ac:dyDescent="0.35">
      <c r="A36" t="s">
        <v>35</v>
      </c>
      <c r="B36" t="s">
        <v>477</v>
      </c>
      <c r="C36" t="s">
        <v>130</v>
      </c>
      <c r="D36" t="s">
        <v>177</v>
      </c>
      <c r="E36" t="s">
        <v>164</v>
      </c>
      <c r="F36" t="s">
        <v>156</v>
      </c>
      <c r="G36">
        <v>566</v>
      </c>
    </row>
    <row r="37" spans="1:7" x14ac:dyDescent="0.35">
      <c r="A37" t="s">
        <v>36</v>
      </c>
      <c r="B37" t="s">
        <v>541</v>
      </c>
      <c r="C37" t="s">
        <v>131</v>
      </c>
      <c r="D37" t="s">
        <v>177</v>
      </c>
      <c r="E37" t="s">
        <v>164</v>
      </c>
      <c r="F37" t="s">
        <v>156</v>
      </c>
      <c r="G37">
        <v>646</v>
      </c>
    </row>
    <row r="38" spans="1:7" x14ac:dyDescent="0.35">
      <c r="A38" t="s">
        <v>49</v>
      </c>
      <c r="B38" t="s">
        <v>577</v>
      </c>
      <c r="C38" t="s">
        <v>136</v>
      </c>
      <c r="D38" t="s">
        <v>177</v>
      </c>
      <c r="E38" t="s">
        <v>164</v>
      </c>
      <c r="F38" t="s">
        <v>156</v>
      </c>
      <c r="G38">
        <v>678</v>
      </c>
    </row>
    <row r="39" spans="1:7" x14ac:dyDescent="0.35">
      <c r="A39" t="s">
        <v>20</v>
      </c>
      <c r="B39" t="s">
        <v>568</v>
      </c>
      <c r="C39" t="s">
        <v>134</v>
      </c>
      <c r="D39" t="s">
        <v>177</v>
      </c>
      <c r="E39" t="s">
        <v>164</v>
      </c>
      <c r="F39" t="s">
        <v>156</v>
      </c>
      <c r="G39">
        <v>686</v>
      </c>
    </row>
    <row r="40" spans="1:7" x14ac:dyDescent="0.35">
      <c r="A40" t="s">
        <v>21</v>
      </c>
      <c r="B40" t="s">
        <v>548</v>
      </c>
      <c r="C40" t="s">
        <v>132</v>
      </c>
      <c r="D40" t="s">
        <v>177</v>
      </c>
      <c r="E40" t="s">
        <v>168</v>
      </c>
      <c r="F40" t="s">
        <v>156</v>
      </c>
      <c r="G40">
        <v>690</v>
      </c>
    </row>
    <row r="41" spans="1:7" x14ac:dyDescent="0.35">
      <c r="A41" t="s">
        <v>37</v>
      </c>
      <c r="B41" t="s">
        <v>564</v>
      </c>
      <c r="C41" t="s">
        <v>133</v>
      </c>
      <c r="D41" t="s">
        <v>177</v>
      </c>
      <c r="E41" t="s">
        <v>164</v>
      </c>
      <c r="F41" t="s">
        <v>156</v>
      </c>
      <c r="G41">
        <v>694</v>
      </c>
    </row>
    <row r="42" spans="1:7" x14ac:dyDescent="0.35">
      <c r="A42" t="s">
        <v>38</v>
      </c>
      <c r="B42" t="s">
        <v>647</v>
      </c>
      <c r="C42" t="s">
        <v>142</v>
      </c>
      <c r="D42" t="s">
        <v>177</v>
      </c>
      <c r="E42" t="s">
        <v>168</v>
      </c>
      <c r="F42" t="s">
        <v>156</v>
      </c>
      <c r="G42">
        <v>710</v>
      </c>
    </row>
    <row r="43" spans="1:7" x14ac:dyDescent="0.35">
      <c r="A43" t="s">
        <v>22</v>
      </c>
      <c r="B43" t="s">
        <v>135</v>
      </c>
      <c r="C43" t="s">
        <v>135</v>
      </c>
      <c r="D43" t="s">
        <v>177</v>
      </c>
      <c r="E43" t="s">
        <v>575</v>
      </c>
      <c r="F43" t="s">
        <v>576</v>
      </c>
      <c r="G43">
        <v>728</v>
      </c>
    </row>
    <row r="44" spans="1:7" x14ac:dyDescent="0.35">
      <c r="A44" t="s">
        <v>23</v>
      </c>
      <c r="B44" t="s">
        <v>586</v>
      </c>
      <c r="C44" t="s">
        <v>139</v>
      </c>
      <c r="D44" t="s">
        <v>177</v>
      </c>
      <c r="E44" t="s">
        <v>164</v>
      </c>
      <c r="F44" t="s">
        <v>156</v>
      </c>
      <c r="G44">
        <v>768</v>
      </c>
    </row>
    <row r="45" spans="1:7" x14ac:dyDescent="0.35">
      <c r="A45" t="s">
        <v>40</v>
      </c>
      <c r="B45" t="s">
        <v>619</v>
      </c>
      <c r="C45" t="s">
        <v>141</v>
      </c>
      <c r="D45" t="s">
        <v>177</v>
      </c>
      <c r="E45" t="s">
        <v>164</v>
      </c>
      <c r="F45" t="s">
        <v>156</v>
      </c>
      <c r="G45">
        <v>800</v>
      </c>
    </row>
    <row r="46" spans="1:7" x14ac:dyDescent="0.35">
      <c r="A46" t="s">
        <v>614</v>
      </c>
      <c r="B46" t="s">
        <v>615</v>
      </c>
      <c r="C46" t="s">
        <v>140</v>
      </c>
      <c r="D46" t="s">
        <v>177</v>
      </c>
      <c r="E46" t="s">
        <v>164</v>
      </c>
      <c r="F46" t="s">
        <v>156</v>
      </c>
      <c r="G46">
        <v>834</v>
      </c>
    </row>
    <row r="47" spans="1:7" x14ac:dyDescent="0.35">
      <c r="A47" t="s">
        <v>24</v>
      </c>
      <c r="B47" t="s">
        <v>648</v>
      </c>
      <c r="C47" t="s">
        <v>143</v>
      </c>
      <c r="D47" t="s">
        <v>177</v>
      </c>
      <c r="E47" t="s">
        <v>164</v>
      </c>
      <c r="F47" t="s">
        <v>156</v>
      </c>
      <c r="G47">
        <v>894</v>
      </c>
    </row>
    <row r="48" spans="1:7" x14ac:dyDescent="0.35">
      <c r="A48" t="s">
        <v>8</v>
      </c>
      <c r="B48" t="s">
        <v>649</v>
      </c>
      <c r="C48" t="s">
        <v>144</v>
      </c>
      <c r="D48" t="s">
        <v>177</v>
      </c>
      <c r="E48" t="s">
        <v>164</v>
      </c>
      <c r="F48" t="s">
        <v>156</v>
      </c>
      <c r="G48">
        <v>716</v>
      </c>
    </row>
    <row r="49" spans="1:7" x14ac:dyDescent="0.35">
      <c r="A49" t="s">
        <v>651</v>
      </c>
      <c r="B49" t="s">
        <v>165</v>
      </c>
      <c r="C49" t="s">
        <v>166</v>
      </c>
      <c r="D49" t="s">
        <v>167</v>
      </c>
      <c r="E49" t="s">
        <v>168</v>
      </c>
      <c r="F49" t="s">
        <v>156</v>
      </c>
      <c r="G49">
        <v>28</v>
      </c>
    </row>
    <row r="50" spans="1:7" x14ac:dyDescent="0.35">
      <c r="A50" t="s">
        <v>652</v>
      </c>
      <c r="B50" t="s">
        <v>178</v>
      </c>
      <c r="C50" t="s">
        <v>179</v>
      </c>
      <c r="D50" t="s">
        <v>167</v>
      </c>
      <c r="E50" t="s">
        <v>168</v>
      </c>
      <c r="F50" t="s">
        <v>156</v>
      </c>
      <c r="G50">
        <v>32</v>
      </c>
    </row>
    <row r="51" spans="1:7" x14ac:dyDescent="0.35">
      <c r="A51" t="s">
        <v>221</v>
      </c>
      <c r="B51" t="s">
        <v>222</v>
      </c>
      <c r="C51" t="s">
        <v>223</v>
      </c>
      <c r="D51" t="s">
        <v>167</v>
      </c>
      <c r="E51" t="s">
        <v>155</v>
      </c>
      <c r="F51" t="s">
        <v>156</v>
      </c>
      <c r="G51">
        <v>44</v>
      </c>
    </row>
    <row r="52" spans="1:7" x14ac:dyDescent="0.35">
      <c r="A52" t="s">
        <v>193</v>
      </c>
      <c r="B52" t="s">
        <v>194</v>
      </c>
      <c r="C52" t="s">
        <v>195</v>
      </c>
      <c r="D52" t="s">
        <v>167</v>
      </c>
      <c r="E52" t="s">
        <v>168</v>
      </c>
      <c r="F52" t="s">
        <v>156</v>
      </c>
      <c r="G52">
        <v>52</v>
      </c>
    </row>
    <row r="53" spans="1:7" x14ac:dyDescent="0.35">
      <c r="A53" t="s">
        <v>231</v>
      </c>
      <c r="B53" t="s">
        <v>232</v>
      </c>
      <c r="C53" t="s">
        <v>233</v>
      </c>
      <c r="D53" t="s">
        <v>167</v>
      </c>
      <c r="E53" t="s">
        <v>168</v>
      </c>
      <c r="F53" t="s">
        <v>156</v>
      </c>
      <c r="G53">
        <v>84</v>
      </c>
    </row>
    <row r="54" spans="1:7" x14ac:dyDescent="0.35">
      <c r="A54" t="s">
        <v>215</v>
      </c>
      <c r="B54" t="s">
        <v>216</v>
      </c>
      <c r="C54" t="s">
        <v>217</v>
      </c>
      <c r="D54" t="s">
        <v>167</v>
      </c>
      <c r="E54" t="s">
        <v>172</v>
      </c>
      <c r="F54" t="s">
        <v>156</v>
      </c>
      <c r="G54">
        <v>68</v>
      </c>
    </row>
    <row r="55" spans="1:7" x14ac:dyDescent="0.35">
      <c r="A55" t="s">
        <v>218</v>
      </c>
      <c r="B55" t="s">
        <v>219</v>
      </c>
      <c r="C55" t="s">
        <v>220</v>
      </c>
      <c r="D55" t="s">
        <v>167</v>
      </c>
      <c r="E55" t="s">
        <v>172</v>
      </c>
      <c r="F55" t="s">
        <v>156</v>
      </c>
      <c r="G55">
        <v>76</v>
      </c>
    </row>
    <row r="56" spans="1:7" x14ac:dyDescent="0.35">
      <c r="A56" t="s">
        <v>234</v>
      </c>
      <c r="B56" t="s">
        <v>235</v>
      </c>
      <c r="C56" t="s">
        <v>236</v>
      </c>
      <c r="D56" t="s">
        <v>167</v>
      </c>
      <c r="E56" t="s">
        <v>155</v>
      </c>
      <c r="F56" t="s">
        <v>156</v>
      </c>
      <c r="G56">
        <v>124</v>
      </c>
    </row>
    <row r="57" spans="1:7" x14ac:dyDescent="0.35">
      <c r="A57" t="s">
        <v>247</v>
      </c>
      <c r="B57" t="s">
        <v>248</v>
      </c>
      <c r="C57" t="s">
        <v>249</v>
      </c>
      <c r="D57" t="s">
        <v>167</v>
      </c>
      <c r="E57" t="s">
        <v>168</v>
      </c>
      <c r="F57" t="s">
        <v>156</v>
      </c>
      <c r="G57">
        <v>152</v>
      </c>
    </row>
    <row r="58" spans="1:7" x14ac:dyDescent="0.35">
      <c r="A58" t="s">
        <v>254</v>
      </c>
      <c r="B58" t="s">
        <v>255</v>
      </c>
      <c r="C58" t="s">
        <v>256</v>
      </c>
      <c r="D58" t="s">
        <v>167</v>
      </c>
      <c r="E58" t="s">
        <v>172</v>
      </c>
      <c r="F58" t="s">
        <v>156</v>
      </c>
      <c r="G58">
        <v>170</v>
      </c>
    </row>
    <row r="59" spans="1:7" x14ac:dyDescent="0.35">
      <c r="A59" t="s">
        <v>257</v>
      </c>
      <c r="B59" t="s">
        <v>258</v>
      </c>
      <c r="C59" t="s">
        <v>259</v>
      </c>
      <c r="D59" t="s">
        <v>167</v>
      </c>
      <c r="E59" t="s">
        <v>168</v>
      </c>
      <c r="F59" t="s">
        <v>156</v>
      </c>
      <c r="G59">
        <v>188</v>
      </c>
    </row>
    <row r="60" spans="1:7" x14ac:dyDescent="0.35">
      <c r="A60" t="s">
        <v>260</v>
      </c>
      <c r="B60" t="s">
        <v>261</v>
      </c>
      <c r="C60" t="s">
        <v>262</v>
      </c>
      <c r="D60" t="s">
        <v>167</v>
      </c>
      <c r="E60" t="s">
        <v>172</v>
      </c>
      <c r="F60" t="s">
        <v>156</v>
      </c>
      <c r="G60">
        <v>192</v>
      </c>
    </row>
    <row r="61" spans="1:7" x14ac:dyDescent="0.35">
      <c r="A61" t="s">
        <v>279</v>
      </c>
      <c r="B61" t="s">
        <v>280</v>
      </c>
      <c r="C61" t="s">
        <v>281</v>
      </c>
      <c r="D61" t="s">
        <v>167</v>
      </c>
      <c r="E61" t="s">
        <v>168</v>
      </c>
      <c r="F61" t="s">
        <v>156</v>
      </c>
      <c r="G61">
        <v>212</v>
      </c>
    </row>
    <row r="62" spans="1:7" x14ac:dyDescent="0.35">
      <c r="A62" t="s">
        <v>282</v>
      </c>
      <c r="B62" t="s">
        <v>283</v>
      </c>
      <c r="C62" t="s">
        <v>284</v>
      </c>
      <c r="D62" t="s">
        <v>167</v>
      </c>
      <c r="E62" t="s">
        <v>172</v>
      </c>
      <c r="F62" t="s">
        <v>156</v>
      </c>
      <c r="G62">
        <v>214</v>
      </c>
    </row>
    <row r="63" spans="1:7" x14ac:dyDescent="0.35">
      <c r="A63" t="s">
        <v>286</v>
      </c>
      <c r="B63" t="s">
        <v>287</v>
      </c>
      <c r="C63" t="s">
        <v>288</v>
      </c>
      <c r="D63" t="s">
        <v>167</v>
      </c>
      <c r="E63" t="s">
        <v>172</v>
      </c>
      <c r="F63" t="s">
        <v>156</v>
      </c>
      <c r="G63">
        <v>218</v>
      </c>
    </row>
    <row r="64" spans="1:7" x14ac:dyDescent="0.35">
      <c r="A64" t="s">
        <v>578</v>
      </c>
      <c r="B64" t="s">
        <v>579</v>
      </c>
      <c r="C64" t="s">
        <v>580</v>
      </c>
      <c r="D64" t="s">
        <v>167</v>
      </c>
      <c r="E64" t="s">
        <v>172</v>
      </c>
      <c r="F64" t="s">
        <v>156</v>
      </c>
      <c r="G64">
        <v>222</v>
      </c>
    </row>
    <row r="65" spans="1:7" x14ac:dyDescent="0.35">
      <c r="A65" t="s">
        <v>316</v>
      </c>
      <c r="B65" t="s">
        <v>317</v>
      </c>
      <c r="C65" t="s">
        <v>318</v>
      </c>
      <c r="D65" t="s">
        <v>167</v>
      </c>
      <c r="E65" t="s">
        <v>168</v>
      </c>
      <c r="F65" t="s">
        <v>156</v>
      </c>
      <c r="G65">
        <v>308</v>
      </c>
    </row>
    <row r="66" spans="1:7" x14ac:dyDescent="0.35">
      <c r="A66" t="s">
        <v>329</v>
      </c>
      <c r="B66" t="s">
        <v>330</v>
      </c>
      <c r="C66" t="s">
        <v>331</v>
      </c>
      <c r="D66" t="s">
        <v>167</v>
      </c>
      <c r="E66" t="s">
        <v>172</v>
      </c>
      <c r="F66" t="s">
        <v>156</v>
      </c>
      <c r="G66">
        <v>320</v>
      </c>
    </row>
    <row r="67" spans="1:7" x14ac:dyDescent="0.35">
      <c r="A67" t="s">
        <v>333</v>
      </c>
      <c r="B67" t="s">
        <v>334</v>
      </c>
      <c r="C67" t="s">
        <v>335</v>
      </c>
      <c r="D67" t="s">
        <v>167</v>
      </c>
      <c r="E67" t="s">
        <v>172</v>
      </c>
      <c r="F67" t="s">
        <v>156</v>
      </c>
      <c r="G67">
        <v>328</v>
      </c>
    </row>
    <row r="68" spans="1:7" x14ac:dyDescent="0.35">
      <c r="A68" t="s">
        <v>342</v>
      </c>
      <c r="B68" t="s">
        <v>343</v>
      </c>
      <c r="C68" t="s">
        <v>344</v>
      </c>
      <c r="D68" t="s">
        <v>167</v>
      </c>
      <c r="E68" t="s">
        <v>164</v>
      </c>
      <c r="F68" t="s">
        <v>156</v>
      </c>
      <c r="G68">
        <v>332</v>
      </c>
    </row>
    <row r="69" spans="1:7" x14ac:dyDescent="0.35">
      <c r="A69" t="s">
        <v>336</v>
      </c>
      <c r="B69" t="s">
        <v>337</v>
      </c>
      <c r="C69" t="s">
        <v>338</v>
      </c>
      <c r="D69" t="s">
        <v>167</v>
      </c>
      <c r="E69" t="s">
        <v>172</v>
      </c>
      <c r="F69" t="s">
        <v>156</v>
      </c>
      <c r="G69">
        <v>340</v>
      </c>
    </row>
    <row r="70" spans="1:7" x14ac:dyDescent="0.35">
      <c r="A70" t="s">
        <v>372</v>
      </c>
      <c r="B70" t="s">
        <v>373</v>
      </c>
      <c r="C70" t="s">
        <v>374</v>
      </c>
      <c r="D70" t="s">
        <v>167</v>
      </c>
      <c r="E70" t="s">
        <v>172</v>
      </c>
      <c r="F70" t="s">
        <v>156</v>
      </c>
      <c r="G70">
        <v>388</v>
      </c>
    </row>
    <row r="71" spans="1:7" x14ac:dyDescent="0.35">
      <c r="A71" t="s">
        <v>468</v>
      </c>
      <c r="B71" t="s">
        <v>469</v>
      </c>
      <c r="C71" t="s">
        <v>470</v>
      </c>
      <c r="D71" t="s">
        <v>167</v>
      </c>
      <c r="E71" t="s">
        <v>168</v>
      </c>
      <c r="F71" t="s">
        <v>156</v>
      </c>
      <c r="G71">
        <v>484</v>
      </c>
    </row>
    <row r="72" spans="1:7" x14ac:dyDescent="0.35">
      <c r="A72" t="s">
        <v>478</v>
      </c>
      <c r="B72" t="s">
        <v>479</v>
      </c>
      <c r="C72" t="s">
        <v>480</v>
      </c>
      <c r="D72" t="s">
        <v>167</v>
      </c>
      <c r="E72" t="s">
        <v>164</v>
      </c>
      <c r="F72" t="s">
        <v>156</v>
      </c>
      <c r="G72">
        <v>558</v>
      </c>
    </row>
    <row r="73" spans="1:7" x14ac:dyDescent="0.35">
      <c r="A73" t="s">
        <v>502</v>
      </c>
      <c r="B73" t="s">
        <v>503</v>
      </c>
      <c r="C73" t="s">
        <v>504</v>
      </c>
      <c r="D73" t="s">
        <v>167</v>
      </c>
      <c r="E73" t="s">
        <v>168</v>
      </c>
      <c r="F73" t="s">
        <v>156</v>
      </c>
      <c r="G73">
        <v>591</v>
      </c>
    </row>
    <row r="74" spans="1:7" x14ac:dyDescent="0.35">
      <c r="A74" t="s">
        <v>526</v>
      </c>
      <c r="B74" t="s">
        <v>527</v>
      </c>
      <c r="C74" t="s">
        <v>528</v>
      </c>
      <c r="D74" t="s">
        <v>167</v>
      </c>
      <c r="E74" t="s">
        <v>172</v>
      </c>
      <c r="F74" t="s">
        <v>156</v>
      </c>
      <c r="G74">
        <v>600</v>
      </c>
    </row>
    <row r="75" spans="1:7" x14ac:dyDescent="0.35">
      <c r="A75" t="s">
        <v>505</v>
      </c>
      <c r="B75" t="s">
        <v>506</v>
      </c>
      <c r="C75" t="s">
        <v>507</v>
      </c>
      <c r="D75" t="s">
        <v>167</v>
      </c>
      <c r="E75" t="s">
        <v>172</v>
      </c>
      <c r="F75" t="s">
        <v>156</v>
      </c>
      <c r="G75">
        <v>604</v>
      </c>
    </row>
    <row r="76" spans="1:7" x14ac:dyDescent="0.35">
      <c r="A76" t="s">
        <v>392</v>
      </c>
      <c r="B76" t="s">
        <v>393</v>
      </c>
      <c r="C76" t="s">
        <v>394</v>
      </c>
      <c r="D76" t="s">
        <v>167</v>
      </c>
      <c r="E76" t="s">
        <v>168</v>
      </c>
      <c r="F76" t="s">
        <v>156</v>
      </c>
      <c r="G76">
        <v>659</v>
      </c>
    </row>
    <row r="77" spans="1:7" x14ac:dyDescent="0.35">
      <c r="A77" t="s">
        <v>413</v>
      </c>
      <c r="B77" t="s">
        <v>414</v>
      </c>
      <c r="C77" t="s">
        <v>415</v>
      </c>
      <c r="D77" t="s">
        <v>167</v>
      </c>
      <c r="E77" t="s">
        <v>168</v>
      </c>
      <c r="F77" t="s">
        <v>156</v>
      </c>
      <c r="G77">
        <v>662</v>
      </c>
    </row>
    <row r="78" spans="1:7" x14ac:dyDescent="0.35">
      <c r="A78" t="s">
        <v>629</v>
      </c>
      <c r="B78" t="s">
        <v>630</v>
      </c>
      <c r="C78" t="s">
        <v>631</v>
      </c>
      <c r="D78" t="s">
        <v>167</v>
      </c>
      <c r="E78" t="s">
        <v>168</v>
      </c>
      <c r="F78" t="s">
        <v>156</v>
      </c>
      <c r="G78">
        <v>670</v>
      </c>
    </row>
    <row r="79" spans="1:7" x14ac:dyDescent="0.35">
      <c r="A79" t="s">
        <v>572</v>
      </c>
      <c r="B79" t="s">
        <v>573</v>
      </c>
      <c r="C79" t="s">
        <v>574</v>
      </c>
      <c r="D79" t="s">
        <v>167</v>
      </c>
      <c r="E79" t="s">
        <v>172</v>
      </c>
      <c r="F79" t="s">
        <v>156</v>
      </c>
      <c r="G79">
        <v>740</v>
      </c>
    </row>
    <row r="80" spans="1:7" x14ac:dyDescent="0.35">
      <c r="A80" t="s">
        <v>608</v>
      </c>
      <c r="B80" t="s">
        <v>609</v>
      </c>
      <c r="C80" t="s">
        <v>610</v>
      </c>
      <c r="D80" t="s">
        <v>167</v>
      </c>
      <c r="E80" t="s">
        <v>168</v>
      </c>
      <c r="F80" t="s">
        <v>156</v>
      </c>
      <c r="G80">
        <v>780</v>
      </c>
    </row>
    <row r="81" spans="1:7" x14ac:dyDescent="0.35">
      <c r="A81" t="s">
        <v>620</v>
      </c>
      <c r="B81" t="s">
        <v>621</v>
      </c>
      <c r="C81" t="s">
        <v>622</v>
      </c>
      <c r="D81" t="s">
        <v>167</v>
      </c>
      <c r="E81" t="s">
        <v>155</v>
      </c>
      <c r="F81" t="s">
        <v>156</v>
      </c>
      <c r="G81">
        <v>840</v>
      </c>
    </row>
    <row r="82" spans="1:7" x14ac:dyDescent="0.35">
      <c r="A82" t="s">
        <v>623</v>
      </c>
      <c r="B82" t="s">
        <v>624</v>
      </c>
      <c r="C82" t="s">
        <v>625</v>
      </c>
      <c r="D82" t="s">
        <v>167</v>
      </c>
      <c r="E82" t="s">
        <v>168</v>
      </c>
      <c r="F82" t="s">
        <v>156</v>
      </c>
      <c r="G82">
        <v>858</v>
      </c>
    </row>
    <row r="83" spans="1:7" x14ac:dyDescent="0.35">
      <c r="A83" t="s">
        <v>632</v>
      </c>
      <c r="B83" t="s">
        <v>633</v>
      </c>
      <c r="C83" t="s">
        <v>634</v>
      </c>
      <c r="D83" t="s">
        <v>167</v>
      </c>
      <c r="E83" t="s">
        <v>168</v>
      </c>
      <c r="F83" t="s">
        <v>156</v>
      </c>
      <c r="G83">
        <v>862</v>
      </c>
    </row>
    <row r="84" spans="1:7" x14ac:dyDescent="0.35">
      <c r="A84" t="s">
        <v>161</v>
      </c>
      <c r="B84" t="s">
        <v>162</v>
      </c>
      <c r="C84" t="s">
        <v>163</v>
      </c>
      <c r="D84" t="s">
        <v>160</v>
      </c>
      <c r="E84" t="s">
        <v>164</v>
      </c>
      <c r="F84" t="s">
        <v>156</v>
      </c>
      <c r="G84">
        <v>4</v>
      </c>
    </row>
    <row r="85" spans="1:7" x14ac:dyDescent="0.35">
      <c r="A85" t="s">
        <v>207</v>
      </c>
      <c r="B85" t="s">
        <v>208</v>
      </c>
      <c r="C85" t="s">
        <v>209</v>
      </c>
      <c r="D85" t="s">
        <v>160</v>
      </c>
      <c r="E85" t="s">
        <v>155</v>
      </c>
      <c r="F85" t="s">
        <v>156</v>
      </c>
      <c r="G85">
        <v>48</v>
      </c>
    </row>
    <row r="86" spans="1:7" x14ac:dyDescent="0.35">
      <c r="A86" t="s">
        <v>273</v>
      </c>
      <c r="B86" t="s">
        <v>274</v>
      </c>
      <c r="C86" t="s">
        <v>275</v>
      </c>
      <c r="D86" t="s">
        <v>160</v>
      </c>
      <c r="E86" t="s">
        <v>172</v>
      </c>
      <c r="F86" t="s">
        <v>156</v>
      </c>
      <c r="G86">
        <v>262</v>
      </c>
    </row>
    <row r="87" spans="1:7" x14ac:dyDescent="0.35">
      <c r="A87" t="s">
        <v>292</v>
      </c>
      <c r="B87" t="s">
        <v>293</v>
      </c>
      <c r="C87" t="s">
        <v>294</v>
      </c>
      <c r="D87" t="s">
        <v>160</v>
      </c>
      <c r="E87" t="s">
        <v>172</v>
      </c>
      <c r="F87" t="s">
        <v>156</v>
      </c>
      <c r="G87">
        <v>818</v>
      </c>
    </row>
    <row r="88" spans="1:7" x14ac:dyDescent="0.35">
      <c r="A88" t="s">
        <v>363</v>
      </c>
      <c r="B88" t="s">
        <v>364</v>
      </c>
      <c r="C88" t="s">
        <v>365</v>
      </c>
      <c r="D88" t="s">
        <v>160</v>
      </c>
      <c r="E88" t="s">
        <v>172</v>
      </c>
      <c r="F88" t="s">
        <v>156</v>
      </c>
      <c r="G88">
        <v>364</v>
      </c>
    </row>
    <row r="89" spans="1:7" x14ac:dyDescent="0.35">
      <c r="A89" t="s">
        <v>360</v>
      </c>
      <c r="B89" t="s">
        <v>361</v>
      </c>
      <c r="C89" t="s">
        <v>362</v>
      </c>
      <c r="D89" t="s">
        <v>160</v>
      </c>
      <c r="E89" t="s">
        <v>172</v>
      </c>
      <c r="F89" t="s">
        <v>156</v>
      </c>
      <c r="G89">
        <v>368</v>
      </c>
    </row>
    <row r="90" spans="1:7" x14ac:dyDescent="0.35">
      <c r="A90" t="s">
        <v>375</v>
      </c>
      <c r="B90" t="s">
        <v>376</v>
      </c>
      <c r="C90" t="s">
        <v>377</v>
      </c>
      <c r="D90" t="s">
        <v>160</v>
      </c>
      <c r="E90" t="s">
        <v>172</v>
      </c>
      <c r="F90" t="s">
        <v>156</v>
      </c>
      <c r="G90">
        <v>400</v>
      </c>
    </row>
    <row r="91" spans="1:7" x14ac:dyDescent="0.35">
      <c r="A91" t="s">
        <v>401</v>
      </c>
      <c r="B91" t="s">
        <v>402</v>
      </c>
      <c r="C91" t="s">
        <v>403</v>
      </c>
      <c r="D91" t="s">
        <v>160</v>
      </c>
      <c r="E91" t="s">
        <v>155</v>
      </c>
      <c r="F91" t="s">
        <v>156</v>
      </c>
      <c r="G91">
        <v>414</v>
      </c>
    </row>
    <row r="92" spans="1:7" x14ac:dyDescent="0.35">
      <c r="A92" t="s">
        <v>410</v>
      </c>
      <c r="B92" t="s">
        <v>411</v>
      </c>
      <c r="C92" t="s">
        <v>412</v>
      </c>
      <c r="D92" t="s">
        <v>160</v>
      </c>
      <c r="E92" t="s">
        <v>168</v>
      </c>
      <c r="F92" t="s">
        <v>156</v>
      </c>
      <c r="G92">
        <v>422</v>
      </c>
    </row>
    <row r="93" spans="1:7" x14ac:dyDescent="0.35">
      <c r="A93" t="s">
        <v>430</v>
      </c>
      <c r="B93" t="s">
        <v>431</v>
      </c>
      <c r="C93" t="s">
        <v>432</v>
      </c>
      <c r="D93" t="s">
        <v>160</v>
      </c>
      <c r="E93" t="s">
        <v>168</v>
      </c>
      <c r="F93" t="s">
        <v>156</v>
      </c>
      <c r="G93">
        <v>434</v>
      </c>
    </row>
    <row r="94" spans="1:7" x14ac:dyDescent="0.35">
      <c r="A94" t="s">
        <v>433</v>
      </c>
      <c r="B94" t="s">
        <v>434</v>
      </c>
      <c r="C94" t="s">
        <v>435</v>
      </c>
      <c r="D94" t="s">
        <v>160</v>
      </c>
      <c r="E94" t="s">
        <v>172</v>
      </c>
      <c r="F94" t="s">
        <v>156</v>
      </c>
      <c r="G94">
        <v>504</v>
      </c>
    </row>
    <row r="95" spans="1:7" x14ac:dyDescent="0.35">
      <c r="A95" t="s">
        <v>499</v>
      </c>
      <c r="B95" t="s">
        <v>500</v>
      </c>
      <c r="C95" t="s">
        <v>501</v>
      </c>
      <c r="D95" t="s">
        <v>160</v>
      </c>
      <c r="E95" t="s">
        <v>168</v>
      </c>
      <c r="F95" t="s">
        <v>156</v>
      </c>
      <c r="G95">
        <v>512</v>
      </c>
    </row>
    <row r="96" spans="1:7" x14ac:dyDescent="0.35">
      <c r="A96" t="s">
        <v>514</v>
      </c>
      <c r="B96" t="s">
        <v>515</v>
      </c>
      <c r="C96" t="s">
        <v>516</v>
      </c>
      <c r="D96" t="s">
        <v>160</v>
      </c>
      <c r="E96" t="s">
        <v>164</v>
      </c>
      <c r="F96" t="s">
        <v>156</v>
      </c>
      <c r="G96">
        <v>586</v>
      </c>
    </row>
    <row r="97" spans="1:7" x14ac:dyDescent="0.35">
      <c r="A97" t="s">
        <v>529</v>
      </c>
      <c r="B97" t="s">
        <v>530</v>
      </c>
      <c r="C97" t="s">
        <v>531</v>
      </c>
      <c r="D97" t="s">
        <v>160</v>
      </c>
      <c r="E97" t="s">
        <v>155</v>
      </c>
      <c r="F97" t="s">
        <v>156</v>
      </c>
      <c r="G97">
        <v>634</v>
      </c>
    </row>
    <row r="98" spans="1:7" x14ac:dyDescent="0.35">
      <c r="A98" t="s">
        <v>542</v>
      </c>
      <c r="B98" t="s">
        <v>543</v>
      </c>
      <c r="C98" t="s">
        <v>544</v>
      </c>
      <c r="D98" t="s">
        <v>160</v>
      </c>
      <c r="E98" t="s">
        <v>155</v>
      </c>
      <c r="F98" t="s">
        <v>156</v>
      </c>
      <c r="G98">
        <v>682</v>
      </c>
    </row>
    <row r="99" spans="1:7" x14ac:dyDescent="0.35">
      <c r="A99" t="s">
        <v>569</v>
      </c>
      <c r="B99" t="s">
        <v>570</v>
      </c>
      <c r="C99" t="s">
        <v>571</v>
      </c>
      <c r="D99" t="s">
        <v>160</v>
      </c>
      <c r="E99" t="s">
        <v>164</v>
      </c>
      <c r="F99" t="s">
        <v>156</v>
      </c>
      <c r="G99">
        <v>706</v>
      </c>
    </row>
    <row r="100" spans="1:7" x14ac:dyDescent="0.35">
      <c r="A100" t="s">
        <v>549</v>
      </c>
      <c r="B100" t="s">
        <v>550</v>
      </c>
      <c r="C100" t="s">
        <v>551</v>
      </c>
      <c r="D100" t="s">
        <v>160</v>
      </c>
      <c r="E100" t="s">
        <v>164</v>
      </c>
      <c r="F100" t="s">
        <v>156</v>
      </c>
      <c r="G100">
        <v>729</v>
      </c>
    </row>
    <row r="101" spans="1:7" x14ac:dyDescent="0.35">
      <c r="A101" t="s">
        <v>581</v>
      </c>
      <c r="B101" t="s">
        <v>582</v>
      </c>
      <c r="C101" t="s">
        <v>583</v>
      </c>
      <c r="D101" t="s">
        <v>160</v>
      </c>
      <c r="E101" t="s">
        <v>172</v>
      </c>
      <c r="F101" t="s">
        <v>156</v>
      </c>
      <c r="G101">
        <v>760</v>
      </c>
    </row>
    <row r="102" spans="1:7" x14ac:dyDescent="0.35">
      <c r="A102" t="s">
        <v>599</v>
      </c>
      <c r="B102" t="s">
        <v>600</v>
      </c>
      <c r="C102" t="s">
        <v>601</v>
      </c>
      <c r="D102" t="s">
        <v>160</v>
      </c>
      <c r="E102" t="s">
        <v>172</v>
      </c>
      <c r="F102" t="s">
        <v>156</v>
      </c>
      <c r="G102">
        <v>788</v>
      </c>
    </row>
    <row r="103" spans="1:7" x14ac:dyDescent="0.35">
      <c r="A103" t="s">
        <v>157</v>
      </c>
      <c r="B103" t="s">
        <v>158</v>
      </c>
      <c r="C103" t="s">
        <v>159</v>
      </c>
      <c r="D103" t="s">
        <v>160</v>
      </c>
      <c r="E103" t="s">
        <v>155</v>
      </c>
      <c r="F103" t="s">
        <v>156</v>
      </c>
      <c r="G103">
        <v>784</v>
      </c>
    </row>
    <row r="104" spans="1:7" x14ac:dyDescent="0.35">
      <c r="A104" t="s">
        <v>644</v>
      </c>
      <c r="B104" t="s">
        <v>645</v>
      </c>
      <c r="C104" t="s">
        <v>646</v>
      </c>
      <c r="D104" t="s">
        <v>160</v>
      </c>
      <c r="E104" t="s">
        <v>164</v>
      </c>
      <c r="F104" t="s">
        <v>156</v>
      </c>
      <c r="G104">
        <v>887</v>
      </c>
    </row>
    <row r="105" spans="1:7" x14ac:dyDescent="0.35">
      <c r="A105" t="s">
        <v>169</v>
      </c>
      <c r="B105" t="s">
        <v>170</v>
      </c>
      <c r="C105" t="s">
        <v>171</v>
      </c>
      <c r="D105" t="s">
        <v>154</v>
      </c>
      <c r="E105" t="s">
        <v>172</v>
      </c>
      <c r="F105" t="s">
        <v>156</v>
      </c>
      <c r="G105">
        <v>8</v>
      </c>
    </row>
    <row r="106" spans="1:7" x14ac:dyDescent="0.35">
      <c r="A106" t="s">
        <v>151</v>
      </c>
      <c r="B106" t="s">
        <v>152</v>
      </c>
      <c r="C106" t="s">
        <v>153</v>
      </c>
      <c r="D106" t="s">
        <v>154</v>
      </c>
      <c r="E106" t="s">
        <v>155</v>
      </c>
      <c r="F106" t="s">
        <v>156</v>
      </c>
      <c r="G106">
        <v>20</v>
      </c>
    </row>
    <row r="107" spans="1:7" x14ac:dyDescent="0.35">
      <c r="A107" t="s">
        <v>173</v>
      </c>
      <c r="B107" t="s">
        <v>174</v>
      </c>
      <c r="C107" t="s">
        <v>175</v>
      </c>
      <c r="D107" t="s">
        <v>154</v>
      </c>
      <c r="E107" t="s">
        <v>172</v>
      </c>
      <c r="F107" t="s">
        <v>156</v>
      </c>
      <c r="G107">
        <v>51</v>
      </c>
    </row>
    <row r="108" spans="1:7" x14ac:dyDescent="0.35">
      <c r="A108" t="s">
        <v>180</v>
      </c>
      <c r="B108" t="s">
        <v>181</v>
      </c>
      <c r="C108" t="s">
        <v>182</v>
      </c>
      <c r="D108" t="s">
        <v>154</v>
      </c>
      <c r="E108" t="s">
        <v>155</v>
      </c>
      <c r="F108" t="s">
        <v>156</v>
      </c>
      <c r="G108">
        <v>40</v>
      </c>
    </row>
    <row r="109" spans="1:7" x14ac:dyDescent="0.35">
      <c r="A109" t="s">
        <v>187</v>
      </c>
      <c r="B109" t="s">
        <v>188</v>
      </c>
      <c r="C109" t="s">
        <v>189</v>
      </c>
      <c r="D109" t="s">
        <v>154</v>
      </c>
      <c r="E109" t="s">
        <v>172</v>
      </c>
      <c r="F109" t="s">
        <v>156</v>
      </c>
      <c r="G109">
        <v>31</v>
      </c>
    </row>
    <row r="110" spans="1:7" x14ac:dyDescent="0.35">
      <c r="A110" t="s">
        <v>228</v>
      </c>
      <c r="B110" t="s">
        <v>229</v>
      </c>
      <c r="C110" t="s">
        <v>230</v>
      </c>
      <c r="D110" t="s">
        <v>154</v>
      </c>
      <c r="E110" t="s">
        <v>172</v>
      </c>
      <c r="F110" t="s">
        <v>156</v>
      </c>
      <c r="G110">
        <v>112</v>
      </c>
    </row>
    <row r="111" spans="1:7" x14ac:dyDescent="0.35">
      <c r="A111" t="s">
        <v>200</v>
      </c>
      <c r="B111" t="s">
        <v>201</v>
      </c>
      <c r="C111" t="s">
        <v>202</v>
      </c>
      <c r="D111" t="s">
        <v>154</v>
      </c>
      <c r="E111" t="s">
        <v>155</v>
      </c>
      <c r="F111" t="s">
        <v>156</v>
      </c>
      <c r="G111">
        <v>56</v>
      </c>
    </row>
    <row r="112" spans="1:7" x14ac:dyDescent="0.35">
      <c r="A112" t="s">
        <v>190</v>
      </c>
      <c r="B112" t="s">
        <v>191</v>
      </c>
      <c r="C112" t="s">
        <v>192</v>
      </c>
      <c r="D112" t="s">
        <v>154</v>
      </c>
      <c r="E112" t="s">
        <v>172</v>
      </c>
      <c r="F112" t="s">
        <v>156</v>
      </c>
      <c r="G112">
        <v>70</v>
      </c>
    </row>
    <row r="113" spans="1:7" x14ac:dyDescent="0.35">
      <c r="A113" t="s">
        <v>204</v>
      </c>
      <c r="B113" t="s">
        <v>205</v>
      </c>
      <c r="C113" t="s">
        <v>206</v>
      </c>
      <c r="D113" t="s">
        <v>154</v>
      </c>
      <c r="E113" t="s">
        <v>172</v>
      </c>
      <c r="F113" t="s">
        <v>156</v>
      </c>
      <c r="G113">
        <v>100</v>
      </c>
    </row>
    <row r="114" spans="1:7" x14ac:dyDescent="0.35">
      <c r="A114" t="s">
        <v>339</v>
      </c>
      <c r="B114" t="s">
        <v>340</v>
      </c>
      <c r="C114" t="s">
        <v>341</v>
      </c>
      <c r="D114" t="s">
        <v>154</v>
      </c>
      <c r="E114" t="s">
        <v>168</v>
      </c>
      <c r="F114" t="s">
        <v>156</v>
      </c>
      <c r="G114">
        <v>191</v>
      </c>
    </row>
    <row r="115" spans="1:7" x14ac:dyDescent="0.35">
      <c r="A115" t="s">
        <v>264</v>
      </c>
      <c r="B115" t="s">
        <v>265</v>
      </c>
      <c r="C115" t="s">
        <v>266</v>
      </c>
      <c r="D115" t="s">
        <v>154</v>
      </c>
      <c r="E115" t="s">
        <v>155</v>
      </c>
      <c r="F115" t="s">
        <v>156</v>
      </c>
      <c r="G115">
        <v>196</v>
      </c>
    </row>
    <row r="116" spans="1:7" x14ac:dyDescent="0.35">
      <c r="A116" t="s">
        <v>267</v>
      </c>
      <c r="B116" t="s">
        <v>268</v>
      </c>
      <c r="C116" t="s">
        <v>269</v>
      </c>
      <c r="D116" t="s">
        <v>154</v>
      </c>
      <c r="E116" t="s">
        <v>168</v>
      </c>
      <c r="F116" t="s">
        <v>156</v>
      </c>
      <c r="G116">
        <v>203</v>
      </c>
    </row>
    <row r="117" spans="1:7" x14ac:dyDescent="0.35">
      <c r="A117" t="s">
        <v>276</v>
      </c>
      <c r="B117" t="s">
        <v>277</v>
      </c>
      <c r="C117" t="s">
        <v>278</v>
      </c>
      <c r="D117" t="s">
        <v>154</v>
      </c>
      <c r="E117" t="s">
        <v>155</v>
      </c>
      <c r="F117" t="s">
        <v>156</v>
      </c>
      <c r="G117">
        <v>208</v>
      </c>
    </row>
    <row r="118" spans="1:7" x14ac:dyDescent="0.35">
      <c r="A118" t="s">
        <v>289</v>
      </c>
      <c r="B118" t="s">
        <v>290</v>
      </c>
      <c r="C118" t="s">
        <v>291</v>
      </c>
      <c r="D118" t="s">
        <v>154</v>
      </c>
      <c r="E118" t="s">
        <v>168</v>
      </c>
      <c r="F118" t="s">
        <v>156</v>
      </c>
      <c r="G118">
        <v>233</v>
      </c>
    </row>
    <row r="119" spans="1:7" x14ac:dyDescent="0.35">
      <c r="A119" t="s">
        <v>300</v>
      </c>
      <c r="B119" t="s">
        <v>301</v>
      </c>
      <c r="C119" t="s">
        <v>302</v>
      </c>
      <c r="D119" t="s">
        <v>154</v>
      </c>
      <c r="E119" t="s">
        <v>155</v>
      </c>
      <c r="F119" t="s">
        <v>156</v>
      </c>
      <c r="G119">
        <v>246</v>
      </c>
    </row>
    <row r="120" spans="1:7" x14ac:dyDescent="0.35">
      <c r="A120" t="s">
        <v>309</v>
      </c>
      <c r="B120" t="s">
        <v>310</v>
      </c>
      <c r="C120" t="s">
        <v>311</v>
      </c>
      <c r="D120" t="s">
        <v>154</v>
      </c>
      <c r="E120" t="s">
        <v>155</v>
      </c>
      <c r="F120" t="s">
        <v>156</v>
      </c>
      <c r="G120">
        <v>250</v>
      </c>
    </row>
    <row r="121" spans="1:7" x14ac:dyDescent="0.35">
      <c r="A121" t="s">
        <v>319</v>
      </c>
      <c r="B121" t="s">
        <v>320</v>
      </c>
      <c r="C121" t="s">
        <v>321</v>
      </c>
      <c r="D121" t="s">
        <v>154</v>
      </c>
      <c r="E121" t="s">
        <v>172</v>
      </c>
      <c r="F121" t="s">
        <v>156</v>
      </c>
      <c r="G121">
        <v>268</v>
      </c>
    </row>
    <row r="122" spans="1:7" x14ac:dyDescent="0.35">
      <c r="A122" t="s">
        <v>270</v>
      </c>
      <c r="B122" t="s">
        <v>271</v>
      </c>
      <c r="C122" t="s">
        <v>272</v>
      </c>
      <c r="D122" t="s">
        <v>154</v>
      </c>
      <c r="E122" t="s">
        <v>155</v>
      </c>
      <c r="F122" t="s">
        <v>156</v>
      </c>
      <c r="G122">
        <v>276</v>
      </c>
    </row>
    <row r="123" spans="1:7" x14ac:dyDescent="0.35">
      <c r="A123" t="s">
        <v>326</v>
      </c>
      <c r="B123" t="s">
        <v>327</v>
      </c>
      <c r="C123" t="s">
        <v>328</v>
      </c>
      <c r="D123" t="s">
        <v>154</v>
      </c>
      <c r="E123" t="s">
        <v>155</v>
      </c>
      <c r="F123" t="s">
        <v>156</v>
      </c>
      <c r="G123">
        <v>300</v>
      </c>
    </row>
    <row r="124" spans="1:7" x14ac:dyDescent="0.35">
      <c r="A124" t="s">
        <v>345</v>
      </c>
      <c r="B124" t="s">
        <v>346</v>
      </c>
      <c r="C124" t="s">
        <v>347</v>
      </c>
      <c r="D124" t="s">
        <v>154</v>
      </c>
      <c r="E124" t="s">
        <v>168</v>
      </c>
      <c r="F124" t="s">
        <v>156</v>
      </c>
      <c r="G124">
        <v>348</v>
      </c>
    </row>
    <row r="125" spans="1:7" x14ac:dyDescent="0.35">
      <c r="A125" t="s">
        <v>366</v>
      </c>
      <c r="B125" t="s">
        <v>367</v>
      </c>
      <c r="C125" t="s">
        <v>368</v>
      </c>
      <c r="D125" t="s">
        <v>154</v>
      </c>
      <c r="E125" t="s">
        <v>155</v>
      </c>
      <c r="F125" t="s">
        <v>156</v>
      </c>
      <c r="G125">
        <v>352</v>
      </c>
    </row>
    <row r="126" spans="1:7" x14ac:dyDescent="0.35">
      <c r="A126" t="s">
        <v>351</v>
      </c>
      <c r="B126" t="s">
        <v>352</v>
      </c>
      <c r="C126" t="s">
        <v>353</v>
      </c>
      <c r="D126" t="s">
        <v>154</v>
      </c>
      <c r="E126" t="s">
        <v>155</v>
      </c>
      <c r="F126" t="s">
        <v>156</v>
      </c>
      <c r="G126">
        <v>372</v>
      </c>
    </row>
    <row r="127" spans="1:7" x14ac:dyDescent="0.35">
      <c r="A127" t="s">
        <v>354</v>
      </c>
      <c r="B127" t="s">
        <v>355</v>
      </c>
      <c r="C127" t="s">
        <v>356</v>
      </c>
      <c r="D127" t="s">
        <v>154</v>
      </c>
      <c r="E127" t="s">
        <v>155</v>
      </c>
      <c r="F127" t="s">
        <v>156</v>
      </c>
      <c r="G127">
        <v>376</v>
      </c>
    </row>
    <row r="128" spans="1:7" x14ac:dyDescent="0.35">
      <c r="A128" t="s">
        <v>369</v>
      </c>
      <c r="B128" t="s">
        <v>370</v>
      </c>
      <c r="C128" t="s">
        <v>371</v>
      </c>
      <c r="D128" t="s">
        <v>154</v>
      </c>
      <c r="E128" t="s">
        <v>155</v>
      </c>
      <c r="F128" t="s">
        <v>156</v>
      </c>
      <c r="G128">
        <v>380</v>
      </c>
    </row>
    <row r="129" spans="1:7" x14ac:dyDescent="0.35">
      <c r="A129" t="s">
        <v>404</v>
      </c>
      <c r="B129" t="s">
        <v>405</v>
      </c>
      <c r="C129" t="s">
        <v>406</v>
      </c>
      <c r="D129" t="s">
        <v>154</v>
      </c>
      <c r="E129" t="s">
        <v>172</v>
      </c>
      <c r="F129" t="s">
        <v>156</v>
      </c>
      <c r="G129">
        <v>398</v>
      </c>
    </row>
    <row r="130" spans="1:7" x14ac:dyDescent="0.35">
      <c r="A130" t="s">
        <v>382</v>
      </c>
      <c r="B130" t="s">
        <v>383</v>
      </c>
      <c r="C130" t="s">
        <v>384</v>
      </c>
      <c r="D130" t="s">
        <v>154</v>
      </c>
      <c r="E130" t="s">
        <v>164</v>
      </c>
      <c r="F130" t="s">
        <v>156</v>
      </c>
      <c r="G130">
        <v>417</v>
      </c>
    </row>
    <row r="131" spans="1:7" x14ac:dyDescent="0.35">
      <c r="A131" t="s">
        <v>427</v>
      </c>
      <c r="B131" t="s">
        <v>428</v>
      </c>
      <c r="C131" t="s">
        <v>429</v>
      </c>
      <c r="D131" t="s">
        <v>154</v>
      </c>
      <c r="E131" t="s">
        <v>168</v>
      </c>
      <c r="F131" t="s">
        <v>156</v>
      </c>
      <c r="G131">
        <v>428</v>
      </c>
    </row>
    <row r="132" spans="1:7" x14ac:dyDescent="0.35">
      <c r="A132" t="s">
        <v>421</v>
      </c>
      <c r="B132" t="s">
        <v>422</v>
      </c>
      <c r="C132" t="s">
        <v>423</v>
      </c>
      <c r="D132" t="s">
        <v>154</v>
      </c>
      <c r="E132" t="s">
        <v>168</v>
      </c>
      <c r="F132" t="s">
        <v>156</v>
      </c>
      <c r="G132">
        <v>440</v>
      </c>
    </row>
    <row r="133" spans="1:7" x14ac:dyDescent="0.35">
      <c r="A133" t="s">
        <v>424</v>
      </c>
      <c r="B133" t="s">
        <v>425</v>
      </c>
      <c r="C133" t="s">
        <v>426</v>
      </c>
      <c r="D133" t="s">
        <v>154</v>
      </c>
      <c r="E133" t="s">
        <v>155</v>
      </c>
      <c r="F133" t="s">
        <v>156</v>
      </c>
      <c r="G133">
        <v>442</v>
      </c>
    </row>
    <row r="134" spans="1:7" x14ac:dyDescent="0.35">
      <c r="A134" t="s">
        <v>460</v>
      </c>
      <c r="B134" t="s">
        <v>461</v>
      </c>
      <c r="C134" t="s">
        <v>462</v>
      </c>
      <c r="D134" t="s">
        <v>154</v>
      </c>
      <c r="E134" t="s">
        <v>155</v>
      </c>
      <c r="F134" t="s">
        <v>156</v>
      </c>
      <c r="G134">
        <v>470</v>
      </c>
    </row>
    <row r="135" spans="1:7" x14ac:dyDescent="0.35">
      <c r="A135" t="s">
        <v>436</v>
      </c>
      <c r="B135" t="s">
        <v>437</v>
      </c>
      <c r="C135" t="s">
        <v>438</v>
      </c>
      <c r="D135" t="s">
        <v>154</v>
      </c>
      <c r="E135" t="s">
        <v>155</v>
      </c>
      <c r="F135" t="s">
        <v>156</v>
      </c>
      <c r="G135">
        <v>492</v>
      </c>
    </row>
    <row r="136" spans="1:7" x14ac:dyDescent="0.35">
      <c r="A136" t="s">
        <v>442</v>
      </c>
      <c r="B136" t="s">
        <v>443</v>
      </c>
      <c r="C136" t="s">
        <v>444</v>
      </c>
      <c r="D136" t="s">
        <v>154</v>
      </c>
      <c r="E136" t="s">
        <v>172</v>
      </c>
      <c r="F136" t="s">
        <v>156</v>
      </c>
      <c r="G136">
        <v>499</v>
      </c>
    </row>
    <row r="137" spans="1:7" x14ac:dyDescent="0.35">
      <c r="A137" t="s">
        <v>481</v>
      </c>
      <c r="B137" t="s">
        <v>482</v>
      </c>
      <c r="C137" t="s">
        <v>483</v>
      </c>
      <c r="D137" t="s">
        <v>154</v>
      </c>
      <c r="E137" t="s">
        <v>155</v>
      </c>
      <c r="F137" t="s">
        <v>156</v>
      </c>
      <c r="G137">
        <v>528</v>
      </c>
    </row>
    <row r="138" spans="1:7" x14ac:dyDescent="0.35">
      <c r="A138" t="s">
        <v>484</v>
      </c>
      <c r="B138" t="s">
        <v>485</v>
      </c>
      <c r="C138" t="s">
        <v>486</v>
      </c>
      <c r="D138" t="s">
        <v>154</v>
      </c>
      <c r="E138" t="s">
        <v>155</v>
      </c>
      <c r="F138" t="s">
        <v>156</v>
      </c>
      <c r="G138">
        <v>578</v>
      </c>
    </row>
    <row r="139" spans="1:7" x14ac:dyDescent="0.35">
      <c r="A139" t="s">
        <v>517</v>
      </c>
      <c r="B139" t="s">
        <v>518</v>
      </c>
      <c r="C139" t="s">
        <v>519</v>
      </c>
      <c r="D139" t="s">
        <v>154</v>
      </c>
      <c r="E139" t="s">
        <v>168</v>
      </c>
      <c r="F139" t="s">
        <v>156</v>
      </c>
      <c r="G139">
        <v>616</v>
      </c>
    </row>
    <row r="140" spans="1:7" x14ac:dyDescent="0.35">
      <c r="A140" t="s">
        <v>520</v>
      </c>
      <c r="B140" t="s">
        <v>521</v>
      </c>
      <c r="C140" t="s">
        <v>522</v>
      </c>
      <c r="D140" t="s">
        <v>154</v>
      </c>
      <c r="E140" t="s">
        <v>155</v>
      </c>
      <c r="F140" t="s">
        <v>156</v>
      </c>
      <c r="G140">
        <v>620</v>
      </c>
    </row>
    <row r="141" spans="1:7" x14ac:dyDescent="0.35">
      <c r="A141" t="s">
        <v>439</v>
      </c>
      <c r="B141" t="s">
        <v>440</v>
      </c>
      <c r="C141" t="s">
        <v>441</v>
      </c>
      <c r="D141" t="s">
        <v>154</v>
      </c>
      <c r="E141" t="s">
        <v>164</v>
      </c>
      <c r="F141" t="s">
        <v>156</v>
      </c>
      <c r="G141">
        <v>498</v>
      </c>
    </row>
    <row r="142" spans="1:7" x14ac:dyDescent="0.35">
      <c r="A142" t="s">
        <v>532</v>
      </c>
      <c r="B142" t="s">
        <v>533</v>
      </c>
      <c r="C142" t="s">
        <v>534</v>
      </c>
      <c r="D142" t="s">
        <v>154</v>
      </c>
      <c r="E142" t="s">
        <v>172</v>
      </c>
      <c r="F142" t="s">
        <v>156</v>
      </c>
      <c r="G142">
        <v>642</v>
      </c>
    </row>
    <row r="143" spans="1:7" x14ac:dyDescent="0.35">
      <c r="A143" t="s">
        <v>538</v>
      </c>
      <c r="B143" t="s">
        <v>539</v>
      </c>
      <c r="C143" t="s">
        <v>540</v>
      </c>
      <c r="D143" t="s">
        <v>154</v>
      </c>
      <c r="E143" t="s">
        <v>168</v>
      </c>
      <c r="F143" t="s">
        <v>156</v>
      </c>
      <c r="G143">
        <v>643</v>
      </c>
    </row>
    <row r="144" spans="1:7" x14ac:dyDescent="0.35">
      <c r="A144" t="s">
        <v>565</v>
      </c>
      <c r="B144" t="s">
        <v>566</v>
      </c>
      <c r="C144" t="s">
        <v>567</v>
      </c>
      <c r="D144" t="s">
        <v>154</v>
      </c>
      <c r="E144" t="s">
        <v>155</v>
      </c>
      <c r="F144" t="s">
        <v>156</v>
      </c>
      <c r="G144">
        <v>674</v>
      </c>
    </row>
    <row r="145" spans="1:7" x14ac:dyDescent="0.35">
      <c r="A145" t="s">
        <v>535</v>
      </c>
      <c r="B145" t="s">
        <v>536</v>
      </c>
      <c r="C145" t="s">
        <v>537</v>
      </c>
      <c r="D145" t="s">
        <v>154</v>
      </c>
      <c r="E145" t="s">
        <v>172</v>
      </c>
      <c r="F145" t="s">
        <v>156</v>
      </c>
      <c r="G145">
        <v>688</v>
      </c>
    </row>
    <row r="146" spans="1:7" x14ac:dyDescent="0.35">
      <c r="A146" t="s">
        <v>561</v>
      </c>
      <c r="B146" t="s">
        <v>562</v>
      </c>
      <c r="C146" t="s">
        <v>563</v>
      </c>
      <c r="D146" t="s">
        <v>154</v>
      </c>
      <c r="E146" t="s">
        <v>168</v>
      </c>
      <c r="F146" t="s">
        <v>156</v>
      </c>
      <c r="G146">
        <v>703</v>
      </c>
    </row>
    <row r="147" spans="1:7" x14ac:dyDescent="0.35">
      <c r="A147" t="s">
        <v>558</v>
      </c>
      <c r="B147" t="s">
        <v>559</v>
      </c>
      <c r="C147" t="s">
        <v>560</v>
      </c>
      <c r="D147" t="s">
        <v>154</v>
      </c>
      <c r="E147" t="s">
        <v>155</v>
      </c>
      <c r="F147" t="s">
        <v>156</v>
      </c>
      <c r="G147">
        <v>705</v>
      </c>
    </row>
    <row r="148" spans="1:7" x14ac:dyDescent="0.35">
      <c r="A148" t="s">
        <v>296</v>
      </c>
      <c r="B148" t="s">
        <v>297</v>
      </c>
      <c r="C148" t="s">
        <v>298</v>
      </c>
      <c r="D148" t="s">
        <v>154</v>
      </c>
      <c r="E148" t="s">
        <v>155</v>
      </c>
      <c r="F148" t="s">
        <v>156</v>
      </c>
      <c r="G148">
        <v>724</v>
      </c>
    </row>
    <row r="149" spans="1:7" x14ac:dyDescent="0.35">
      <c r="A149" t="s">
        <v>552</v>
      </c>
      <c r="B149" t="s">
        <v>553</v>
      </c>
      <c r="C149" t="s">
        <v>554</v>
      </c>
      <c r="D149" t="s">
        <v>154</v>
      </c>
      <c r="E149" t="s">
        <v>155</v>
      </c>
      <c r="F149" t="s">
        <v>156</v>
      </c>
      <c r="G149">
        <v>752</v>
      </c>
    </row>
    <row r="150" spans="1:7" x14ac:dyDescent="0.35">
      <c r="A150" t="s">
        <v>240</v>
      </c>
      <c r="B150" t="s">
        <v>241</v>
      </c>
      <c r="C150" t="s">
        <v>242</v>
      </c>
      <c r="D150" t="s">
        <v>154</v>
      </c>
      <c r="E150" t="s">
        <v>155</v>
      </c>
      <c r="F150" t="s">
        <v>156</v>
      </c>
      <c r="G150">
        <v>756</v>
      </c>
    </row>
    <row r="151" spans="1:7" x14ac:dyDescent="0.35">
      <c r="A151" t="s">
        <v>590</v>
      </c>
      <c r="B151" t="s">
        <v>591</v>
      </c>
      <c r="C151" t="s">
        <v>592</v>
      </c>
      <c r="D151" t="s">
        <v>154</v>
      </c>
      <c r="E151" t="s">
        <v>164</v>
      </c>
      <c r="F151" t="s">
        <v>156</v>
      </c>
      <c r="G151">
        <v>762</v>
      </c>
    </row>
    <row r="152" spans="1:7" x14ac:dyDescent="0.35">
      <c r="A152" t="s">
        <v>449</v>
      </c>
      <c r="B152" t="s">
        <v>450</v>
      </c>
      <c r="C152" t="s">
        <v>451</v>
      </c>
      <c r="D152" t="s">
        <v>154</v>
      </c>
      <c r="E152" t="s">
        <v>172</v>
      </c>
      <c r="F152" t="s">
        <v>156</v>
      </c>
      <c r="G152">
        <v>807</v>
      </c>
    </row>
    <row r="153" spans="1:7" x14ac:dyDescent="0.35">
      <c r="A153" t="s">
        <v>605</v>
      </c>
      <c r="B153" t="s">
        <v>606</v>
      </c>
      <c r="C153" t="s">
        <v>607</v>
      </c>
      <c r="D153" t="s">
        <v>154</v>
      </c>
      <c r="E153" t="s">
        <v>168</v>
      </c>
      <c r="F153" t="s">
        <v>156</v>
      </c>
      <c r="G153">
        <v>792</v>
      </c>
    </row>
    <row r="154" spans="1:7" x14ac:dyDescent="0.35">
      <c r="A154" t="s">
        <v>596</v>
      </c>
      <c r="B154" t="s">
        <v>597</v>
      </c>
      <c r="C154" t="s">
        <v>598</v>
      </c>
      <c r="D154" t="s">
        <v>154</v>
      </c>
      <c r="E154" t="s">
        <v>172</v>
      </c>
      <c r="F154" t="s">
        <v>156</v>
      </c>
      <c r="G154">
        <v>795</v>
      </c>
    </row>
    <row r="155" spans="1:7" x14ac:dyDescent="0.35">
      <c r="A155" t="s">
        <v>616</v>
      </c>
      <c r="B155" t="s">
        <v>617</v>
      </c>
      <c r="C155" t="s">
        <v>618</v>
      </c>
      <c r="D155" t="s">
        <v>154</v>
      </c>
      <c r="E155" t="s">
        <v>172</v>
      </c>
      <c r="F155" t="s">
        <v>156</v>
      </c>
      <c r="G155">
        <v>804</v>
      </c>
    </row>
    <row r="156" spans="1:7" x14ac:dyDescent="0.35">
      <c r="A156" t="s">
        <v>313</v>
      </c>
      <c r="B156" t="s">
        <v>314</v>
      </c>
      <c r="C156" t="s">
        <v>315</v>
      </c>
      <c r="D156" t="s">
        <v>154</v>
      </c>
      <c r="E156" t="s">
        <v>155</v>
      </c>
      <c r="F156" t="s">
        <v>156</v>
      </c>
      <c r="G156">
        <v>826</v>
      </c>
    </row>
    <row r="157" spans="1:7" x14ac:dyDescent="0.35">
      <c r="A157" t="s">
        <v>626</v>
      </c>
      <c r="B157" t="s">
        <v>627</v>
      </c>
      <c r="C157" t="s">
        <v>628</v>
      </c>
      <c r="D157" t="s">
        <v>154</v>
      </c>
      <c r="E157" t="s">
        <v>164</v>
      </c>
      <c r="F157" t="s">
        <v>156</v>
      </c>
      <c r="G157">
        <v>860</v>
      </c>
    </row>
    <row r="158" spans="1:7" x14ac:dyDescent="0.35">
      <c r="A158" t="s">
        <v>196</v>
      </c>
      <c r="B158" t="s">
        <v>197</v>
      </c>
      <c r="C158" t="s">
        <v>198</v>
      </c>
      <c r="D158" t="s">
        <v>199</v>
      </c>
      <c r="E158" t="s">
        <v>164</v>
      </c>
      <c r="F158" t="s">
        <v>156</v>
      </c>
      <c r="G158">
        <v>50</v>
      </c>
    </row>
    <row r="159" spans="1:7" x14ac:dyDescent="0.35">
      <c r="A159" t="s">
        <v>224</v>
      </c>
      <c r="B159" t="s">
        <v>225</v>
      </c>
      <c r="C159" t="s">
        <v>226</v>
      </c>
      <c r="D159" t="s">
        <v>199</v>
      </c>
      <c r="E159" t="s">
        <v>164</v>
      </c>
      <c r="F159" t="s">
        <v>156</v>
      </c>
      <c r="G159">
        <v>64</v>
      </c>
    </row>
    <row r="160" spans="1:7" x14ac:dyDescent="0.35">
      <c r="A160" t="s">
        <v>395</v>
      </c>
      <c r="B160" t="s">
        <v>396</v>
      </c>
      <c r="C160" t="s">
        <v>397</v>
      </c>
      <c r="D160" t="s">
        <v>199</v>
      </c>
      <c r="E160" t="s">
        <v>164</v>
      </c>
      <c r="F160" t="s">
        <v>156</v>
      </c>
      <c r="G160">
        <v>408</v>
      </c>
    </row>
    <row r="161" spans="1:7" x14ac:dyDescent="0.35">
      <c r="A161" t="s">
        <v>357</v>
      </c>
      <c r="B161" t="s">
        <v>358</v>
      </c>
      <c r="C161" t="s">
        <v>359</v>
      </c>
      <c r="D161" t="s">
        <v>199</v>
      </c>
      <c r="E161" t="s">
        <v>164</v>
      </c>
      <c r="F161" t="s">
        <v>156</v>
      </c>
      <c r="G161">
        <v>356</v>
      </c>
    </row>
    <row r="162" spans="1:7" x14ac:dyDescent="0.35">
      <c r="A162" t="s">
        <v>348</v>
      </c>
      <c r="B162" t="s">
        <v>349</v>
      </c>
      <c r="C162" t="s">
        <v>350</v>
      </c>
      <c r="D162" t="s">
        <v>199</v>
      </c>
      <c r="E162" t="s">
        <v>172</v>
      </c>
      <c r="F162" t="s">
        <v>156</v>
      </c>
      <c r="G162">
        <v>360</v>
      </c>
    </row>
    <row r="163" spans="1:7" x14ac:dyDescent="0.35">
      <c r="A163" t="s">
        <v>464</v>
      </c>
      <c r="B163" t="s">
        <v>465</v>
      </c>
      <c r="C163" t="s">
        <v>466</v>
      </c>
      <c r="D163" t="s">
        <v>199</v>
      </c>
      <c r="E163" t="s">
        <v>172</v>
      </c>
      <c r="F163" t="s">
        <v>156</v>
      </c>
      <c r="G163">
        <v>462</v>
      </c>
    </row>
    <row r="164" spans="1:7" x14ac:dyDescent="0.35">
      <c r="A164" t="s">
        <v>453</v>
      </c>
      <c r="B164" t="s">
        <v>454</v>
      </c>
      <c r="C164" t="s">
        <v>455</v>
      </c>
      <c r="D164" t="s">
        <v>199</v>
      </c>
      <c r="E164" t="s">
        <v>164</v>
      </c>
      <c r="F164" t="s">
        <v>156</v>
      </c>
      <c r="G164">
        <v>104</v>
      </c>
    </row>
    <row r="165" spans="1:7" x14ac:dyDescent="0.35">
      <c r="A165" t="s">
        <v>487</v>
      </c>
      <c r="B165" t="s">
        <v>488</v>
      </c>
      <c r="C165" t="s">
        <v>489</v>
      </c>
      <c r="D165" t="s">
        <v>199</v>
      </c>
      <c r="E165" t="s">
        <v>164</v>
      </c>
      <c r="F165" t="s">
        <v>156</v>
      </c>
      <c r="G165">
        <v>524</v>
      </c>
    </row>
    <row r="166" spans="1:7" x14ac:dyDescent="0.35">
      <c r="A166" t="s">
        <v>416</v>
      </c>
      <c r="B166" t="s">
        <v>417</v>
      </c>
      <c r="C166" t="s">
        <v>418</v>
      </c>
      <c r="D166" t="s">
        <v>199</v>
      </c>
      <c r="E166" t="s">
        <v>172</v>
      </c>
      <c r="F166" t="s">
        <v>156</v>
      </c>
      <c r="G166">
        <v>144</v>
      </c>
    </row>
    <row r="167" spans="1:7" x14ac:dyDescent="0.35">
      <c r="A167" t="s">
        <v>587</v>
      </c>
      <c r="B167" t="s">
        <v>588</v>
      </c>
      <c r="C167" t="s">
        <v>589</v>
      </c>
      <c r="D167" t="s">
        <v>199</v>
      </c>
      <c r="E167" t="s">
        <v>172</v>
      </c>
      <c r="F167" t="s">
        <v>156</v>
      </c>
      <c r="G167">
        <v>764</v>
      </c>
    </row>
    <row r="168" spans="1:7" x14ac:dyDescent="0.35">
      <c r="A168" t="s">
        <v>593</v>
      </c>
      <c r="B168" t="s">
        <v>594</v>
      </c>
      <c r="C168" t="s">
        <v>595</v>
      </c>
      <c r="D168" t="s">
        <v>199</v>
      </c>
      <c r="E168" t="s">
        <v>164</v>
      </c>
      <c r="F168" t="s">
        <v>156</v>
      </c>
      <c r="G168">
        <v>626</v>
      </c>
    </row>
    <row r="169" spans="1:7" x14ac:dyDescent="0.35">
      <c r="A169" t="s">
        <v>183</v>
      </c>
      <c r="B169" t="s">
        <v>184</v>
      </c>
      <c r="C169" t="s">
        <v>185</v>
      </c>
      <c r="D169" t="s">
        <v>186</v>
      </c>
      <c r="E169" t="s">
        <v>155</v>
      </c>
      <c r="F169" t="s">
        <v>156</v>
      </c>
      <c r="G169">
        <v>36</v>
      </c>
    </row>
    <row r="170" spans="1:7" x14ac:dyDescent="0.35">
      <c r="A170" t="s">
        <v>212</v>
      </c>
      <c r="B170" t="s">
        <v>213</v>
      </c>
      <c r="C170" t="s">
        <v>214</v>
      </c>
      <c r="D170" t="s">
        <v>186</v>
      </c>
      <c r="E170" t="s">
        <v>155</v>
      </c>
      <c r="F170" t="s">
        <v>156</v>
      </c>
      <c r="G170">
        <v>96</v>
      </c>
    </row>
    <row r="171" spans="1:7" x14ac:dyDescent="0.35">
      <c r="A171" t="s">
        <v>385</v>
      </c>
      <c r="B171" t="s">
        <v>386</v>
      </c>
      <c r="C171" t="s">
        <v>387</v>
      </c>
      <c r="D171" t="s">
        <v>186</v>
      </c>
      <c r="E171" t="s">
        <v>164</v>
      </c>
      <c r="F171" t="s">
        <v>156</v>
      </c>
      <c r="G171">
        <v>116</v>
      </c>
    </row>
    <row r="172" spans="1:7" x14ac:dyDescent="0.35">
      <c r="A172" t="s">
        <v>251</v>
      </c>
      <c r="B172" t="s">
        <v>252</v>
      </c>
      <c r="C172" t="s">
        <v>253</v>
      </c>
      <c r="D172" t="s">
        <v>186</v>
      </c>
      <c r="E172" t="s">
        <v>172</v>
      </c>
      <c r="F172" t="s">
        <v>156</v>
      </c>
      <c r="G172">
        <v>156</v>
      </c>
    </row>
    <row r="173" spans="1:7" x14ac:dyDescent="0.35">
      <c r="A173" t="s">
        <v>244</v>
      </c>
      <c r="B173" t="s">
        <v>245</v>
      </c>
      <c r="C173" t="s">
        <v>246</v>
      </c>
      <c r="D173" t="s">
        <v>186</v>
      </c>
      <c r="E173" t="s">
        <v>168</v>
      </c>
      <c r="F173" t="s">
        <v>156</v>
      </c>
      <c r="G173">
        <v>184</v>
      </c>
    </row>
    <row r="174" spans="1:7" x14ac:dyDescent="0.35">
      <c r="A174" t="s">
        <v>303</v>
      </c>
      <c r="B174" t="s">
        <v>304</v>
      </c>
      <c r="C174" t="s">
        <v>305</v>
      </c>
      <c r="D174" t="s">
        <v>186</v>
      </c>
      <c r="E174" t="s">
        <v>172</v>
      </c>
      <c r="F174" t="s">
        <v>156</v>
      </c>
      <c r="G174">
        <v>242</v>
      </c>
    </row>
    <row r="175" spans="1:7" x14ac:dyDescent="0.35">
      <c r="A175" t="s">
        <v>378</v>
      </c>
      <c r="B175" t="s">
        <v>379</v>
      </c>
      <c r="C175" t="s">
        <v>380</v>
      </c>
      <c r="D175" t="s">
        <v>186</v>
      </c>
      <c r="E175" t="s">
        <v>155</v>
      </c>
      <c r="F175" t="s">
        <v>156</v>
      </c>
      <c r="G175">
        <v>392</v>
      </c>
    </row>
    <row r="176" spans="1:7" x14ac:dyDescent="0.35">
      <c r="A176" t="s">
        <v>388</v>
      </c>
      <c r="B176" t="s">
        <v>389</v>
      </c>
      <c r="C176" t="s">
        <v>390</v>
      </c>
      <c r="D176" t="s">
        <v>186</v>
      </c>
      <c r="E176" t="s">
        <v>172</v>
      </c>
      <c r="F176" t="s">
        <v>156</v>
      </c>
      <c r="G176">
        <v>296</v>
      </c>
    </row>
    <row r="177" spans="1:7" x14ac:dyDescent="0.35">
      <c r="A177" t="s">
        <v>407</v>
      </c>
      <c r="B177" t="s">
        <v>408</v>
      </c>
      <c r="C177" t="s">
        <v>409</v>
      </c>
      <c r="D177" t="s">
        <v>186</v>
      </c>
      <c r="E177" t="s">
        <v>164</v>
      </c>
      <c r="F177" t="s">
        <v>156</v>
      </c>
      <c r="G177">
        <v>418</v>
      </c>
    </row>
    <row r="178" spans="1:7" x14ac:dyDescent="0.35">
      <c r="A178" t="s">
        <v>471</v>
      </c>
      <c r="B178" t="s">
        <v>472</v>
      </c>
      <c r="C178" t="s">
        <v>473</v>
      </c>
      <c r="D178" t="s">
        <v>186</v>
      </c>
      <c r="E178" t="s">
        <v>168</v>
      </c>
      <c r="F178" t="s">
        <v>156</v>
      </c>
      <c r="G178">
        <v>458</v>
      </c>
    </row>
    <row r="179" spans="1:7" x14ac:dyDescent="0.35">
      <c r="A179" t="s">
        <v>446</v>
      </c>
      <c r="B179" t="s">
        <v>447</v>
      </c>
      <c r="C179" t="s">
        <v>448</v>
      </c>
      <c r="D179" t="s">
        <v>186</v>
      </c>
      <c r="E179" t="s">
        <v>172</v>
      </c>
      <c r="F179" t="s">
        <v>156</v>
      </c>
      <c r="G179">
        <v>584</v>
      </c>
    </row>
    <row r="180" spans="1:7" x14ac:dyDescent="0.35">
      <c r="A180" t="s">
        <v>306</v>
      </c>
      <c r="B180" t="s">
        <v>307</v>
      </c>
      <c r="C180" t="s">
        <v>308</v>
      </c>
      <c r="D180" t="s">
        <v>186</v>
      </c>
      <c r="E180" t="s">
        <v>172</v>
      </c>
      <c r="F180" t="s">
        <v>156</v>
      </c>
      <c r="G180">
        <v>583</v>
      </c>
    </row>
    <row r="181" spans="1:7" x14ac:dyDescent="0.35">
      <c r="A181" t="s">
        <v>456</v>
      </c>
      <c r="B181" t="s">
        <v>457</v>
      </c>
      <c r="C181" t="s">
        <v>458</v>
      </c>
      <c r="D181" t="s">
        <v>186</v>
      </c>
      <c r="E181" t="s">
        <v>164</v>
      </c>
      <c r="F181" t="s">
        <v>156</v>
      </c>
      <c r="G181">
        <v>496</v>
      </c>
    </row>
    <row r="182" spans="1:7" x14ac:dyDescent="0.35">
      <c r="A182" t="s">
        <v>490</v>
      </c>
      <c r="B182" t="s">
        <v>491</v>
      </c>
      <c r="C182" t="s">
        <v>492</v>
      </c>
      <c r="D182" t="s">
        <v>186</v>
      </c>
      <c r="E182" t="s">
        <v>168</v>
      </c>
      <c r="F182" t="s">
        <v>156</v>
      </c>
      <c r="G182">
        <v>520</v>
      </c>
    </row>
    <row r="183" spans="1:7" x14ac:dyDescent="0.35">
      <c r="A183" t="s">
        <v>496</v>
      </c>
      <c r="B183" t="s">
        <v>497</v>
      </c>
      <c r="C183" t="s">
        <v>498</v>
      </c>
      <c r="D183" t="s">
        <v>186</v>
      </c>
      <c r="E183" t="s">
        <v>155</v>
      </c>
      <c r="F183" t="s">
        <v>156</v>
      </c>
      <c r="G183">
        <v>554</v>
      </c>
    </row>
    <row r="184" spans="1:7" x14ac:dyDescent="0.35">
      <c r="A184" t="s">
        <v>493</v>
      </c>
      <c r="B184" t="s">
        <v>494</v>
      </c>
      <c r="C184" t="s">
        <v>495</v>
      </c>
      <c r="D184" t="s">
        <v>186</v>
      </c>
      <c r="E184" t="s">
        <v>164</v>
      </c>
      <c r="F184" t="s">
        <v>156</v>
      </c>
      <c r="G184">
        <v>570</v>
      </c>
    </row>
    <row r="185" spans="1:7" x14ac:dyDescent="0.35">
      <c r="A185" t="s">
        <v>523</v>
      </c>
      <c r="B185" t="s">
        <v>524</v>
      </c>
      <c r="C185" t="s">
        <v>525</v>
      </c>
      <c r="D185" t="s">
        <v>186</v>
      </c>
      <c r="E185" t="s">
        <v>168</v>
      </c>
      <c r="F185" t="s">
        <v>156</v>
      </c>
      <c r="G185">
        <v>585</v>
      </c>
    </row>
    <row r="186" spans="1:7" x14ac:dyDescent="0.35">
      <c r="A186" t="s">
        <v>508</v>
      </c>
      <c r="B186" t="s">
        <v>509</v>
      </c>
      <c r="C186" t="s">
        <v>510</v>
      </c>
      <c r="D186" t="s">
        <v>186</v>
      </c>
      <c r="E186" t="s">
        <v>164</v>
      </c>
      <c r="F186" t="s">
        <v>156</v>
      </c>
      <c r="G186">
        <v>598</v>
      </c>
    </row>
    <row r="187" spans="1:7" x14ac:dyDescent="0.35">
      <c r="A187" t="s">
        <v>511</v>
      </c>
      <c r="B187" t="s">
        <v>512</v>
      </c>
      <c r="C187" t="s">
        <v>513</v>
      </c>
      <c r="D187" t="s">
        <v>186</v>
      </c>
      <c r="E187" t="s">
        <v>172</v>
      </c>
      <c r="F187" t="s">
        <v>156</v>
      </c>
      <c r="G187">
        <v>608</v>
      </c>
    </row>
    <row r="188" spans="1:7" x14ac:dyDescent="0.35">
      <c r="A188" t="s">
        <v>398</v>
      </c>
      <c r="B188" t="s">
        <v>399</v>
      </c>
      <c r="C188" t="s">
        <v>400</v>
      </c>
      <c r="D188" t="s">
        <v>186</v>
      </c>
      <c r="E188" t="s">
        <v>155</v>
      </c>
      <c r="F188" t="s">
        <v>156</v>
      </c>
      <c r="G188">
        <v>410</v>
      </c>
    </row>
    <row r="189" spans="1:7" x14ac:dyDescent="0.35">
      <c r="A189" t="s">
        <v>641</v>
      </c>
      <c r="B189" t="s">
        <v>642</v>
      </c>
      <c r="C189" t="s">
        <v>643</v>
      </c>
      <c r="D189" t="s">
        <v>186</v>
      </c>
      <c r="E189" t="s">
        <v>172</v>
      </c>
      <c r="F189" t="s">
        <v>156</v>
      </c>
      <c r="G189">
        <v>882</v>
      </c>
    </row>
    <row r="190" spans="1:7" x14ac:dyDescent="0.35">
      <c r="A190" t="s">
        <v>555</v>
      </c>
      <c r="B190" t="s">
        <v>556</v>
      </c>
      <c r="C190" t="s">
        <v>557</v>
      </c>
      <c r="D190" t="s">
        <v>186</v>
      </c>
      <c r="E190" t="s">
        <v>155</v>
      </c>
      <c r="F190" t="s">
        <v>156</v>
      </c>
      <c r="G190">
        <v>702</v>
      </c>
    </row>
    <row r="191" spans="1:7" x14ac:dyDescent="0.35">
      <c r="A191" t="s">
        <v>545</v>
      </c>
      <c r="B191" t="s">
        <v>546</v>
      </c>
      <c r="C191" t="s">
        <v>547</v>
      </c>
      <c r="D191" t="s">
        <v>186</v>
      </c>
      <c r="E191" t="s">
        <v>164</v>
      </c>
      <c r="F191" t="s">
        <v>156</v>
      </c>
      <c r="G191">
        <v>90</v>
      </c>
    </row>
    <row r="192" spans="1:7" x14ac:dyDescent="0.35">
      <c r="A192" t="s">
        <v>602</v>
      </c>
      <c r="B192" t="s">
        <v>603</v>
      </c>
      <c r="C192" t="s">
        <v>604</v>
      </c>
      <c r="D192" t="s">
        <v>186</v>
      </c>
      <c r="E192" t="s">
        <v>172</v>
      </c>
      <c r="F192" t="s">
        <v>156</v>
      </c>
      <c r="G192">
        <v>776</v>
      </c>
    </row>
    <row r="193" spans="1:7" x14ac:dyDescent="0.35">
      <c r="A193" t="s">
        <v>611</v>
      </c>
      <c r="B193" t="s">
        <v>612</v>
      </c>
      <c r="C193" t="s">
        <v>613</v>
      </c>
      <c r="D193" t="s">
        <v>186</v>
      </c>
      <c r="E193" t="s">
        <v>164</v>
      </c>
      <c r="F193" t="s">
        <v>156</v>
      </c>
      <c r="G193">
        <v>798</v>
      </c>
    </row>
    <row r="194" spans="1:7" x14ac:dyDescent="0.35">
      <c r="A194" t="s">
        <v>638</v>
      </c>
      <c r="B194" t="s">
        <v>639</v>
      </c>
      <c r="C194" t="s">
        <v>640</v>
      </c>
      <c r="D194" t="s">
        <v>186</v>
      </c>
      <c r="E194" t="s">
        <v>172</v>
      </c>
      <c r="F194" t="s">
        <v>156</v>
      </c>
      <c r="G194">
        <v>548</v>
      </c>
    </row>
    <row r="195" spans="1:7" x14ac:dyDescent="0.35">
      <c r="A195" t="s">
        <v>635</v>
      </c>
      <c r="B195" t="s">
        <v>636</v>
      </c>
      <c r="C195" t="s">
        <v>637</v>
      </c>
      <c r="D195" t="s">
        <v>186</v>
      </c>
      <c r="E195" t="s">
        <v>164</v>
      </c>
      <c r="F195" t="s">
        <v>156</v>
      </c>
      <c r="G195">
        <v>704</v>
      </c>
    </row>
  </sheetData>
  <sortState xmlns:xlrd2="http://schemas.microsoft.com/office/spreadsheetml/2017/richdata2" ref="A2:G195">
    <sortCondition ref="D2:D195"/>
    <sortCondition ref="A2:A195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7b579aa-cd57-4af3-b3ac-eec62c9809c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9F4648E7CBA8746A78147EA35BC0F37" ma:contentTypeVersion="14" ma:contentTypeDescription="Create a new document." ma:contentTypeScope="" ma:versionID="3621c4fdbede44c71e2127befc4a048b">
  <xsd:schema xmlns:xsd="http://www.w3.org/2001/XMLSchema" xmlns:xs="http://www.w3.org/2001/XMLSchema" xmlns:p="http://schemas.microsoft.com/office/2006/metadata/properties" xmlns:ns3="b9d6d7d9-67e6-428c-a46b-eed888099665" xmlns:ns4="f7b579aa-cd57-4af3-b3ac-eec62c9809c6" targetNamespace="http://schemas.microsoft.com/office/2006/metadata/properties" ma:root="true" ma:fieldsID="dbfab14afbe79ee49e978264e81cd23f" ns3:_="" ns4:_="">
    <xsd:import namespace="b9d6d7d9-67e6-428c-a46b-eed888099665"/>
    <xsd:import namespace="f7b579aa-cd57-4af3-b3ac-eec62c9809c6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LengthInSeconds" minOccurs="0"/>
                <xsd:element ref="ns4:_activity" minOccurs="0"/>
                <xsd:element ref="ns4:MediaServiceAutoTags" minOccurs="0"/>
                <xsd:element ref="ns4:MediaServiceObjectDetectorVersions" minOccurs="0"/>
                <xsd:element ref="ns4:MediaServiceGenerationTime" minOccurs="0"/>
                <xsd:element ref="ns4:MediaServiceEventHashCode" minOccurs="0"/>
                <xsd:element ref="ns4:MediaServiceSystemTag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d6d7d9-67e6-428c-a46b-eed88809966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b579aa-cd57-4af3-b3ac-eec62c9809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ystemTags" ma:index="20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00D0194-70B3-4172-961B-0CDB2EB86AE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44A2CDE-7809-4BFF-9F94-65DEB07802B3}">
  <ds:schemaRefs>
    <ds:schemaRef ds:uri="http://purl.org/dc/terms/"/>
    <ds:schemaRef ds:uri="http://purl.org/dc/elements/1.1/"/>
    <ds:schemaRef ds:uri="http://schemas.microsoft.com/office/infopath/2007/PartnerControls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f7b579aa-cd57-4af3-b3ac-eec62c9809c6"/>
    <ds:schemaRef ds:uri="b9d6d7d9-67e6-428c-a46b-eed888099665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5B8C2630-7D74-47D3-B94F-12AF0D2417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9d6d7d9-67e6-428c-a46b-eed888099665"/>
    <ds:schemaRef ds:uri="f7b579aa-cd57-4af3-b3ac-eec62c9809c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Sheet2</vt:lpstr>
      <vt:lpstr>Sheet1</vt:lpstr>
      <vt:lpstr>Education capacity</vt:lpstr>
      <vt:lpstr>Education updated</vt:lpstr>
      <vt:lpstr>Graph</vt:lpstr>
      <vt:lpstr>summary</vt:lpstr>
      <vt:lpstr>CountryCodes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Christmal Christmals</dc:creator>
  <cp:lastModifiedBy>Joseph Mung'atu</cp:lastModifiedBy>
  <dcterms:created xsi:type="dcterms:W3CDTF">2024-02-25T20:47:38Z</dcterms:created>
  <dcterms:modified xsi:type="dcterms:W3CDTF">2024-03-18T10:26:49Z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0x01010039F4648E7CBA8746A78147EA35BC0F37</vt:lpwstr>
  </property>
</Properties>
</file>