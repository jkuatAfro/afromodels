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:\Brazzaville\HRH 24\Analytics\Feb latest\"/>
    </mc:Choice>
  </mc:AlternateContent>
  <xr:revisionPtr revIDLastSave="0" documentId="8_{6BA56672-D351-4FD1-8A04-7AE4F1580BF2}" xr6:coauthVersionLast="47" xr6:coauthVersionMax="47" xr10:uidLastSave="{00000000-0000-0000-0000-000000000000}"/>
  <bookViews>
    <workbookView xWindow="-110" yWindow="-110" windowWidth="19420" windowHeight="10300" xr2:uid="{B0977A1A-308A-174A-AB38-E76C123699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1" i="1" l="1"/>
  <c r="D41" i="1"/>
  <c r="C41" i="1"/>
  <c r="B41" i="1"/>
</calcChain>
</file>

<file path=xl/sharedStrings.xml><?xml version="1.0" encoding="utf-8"?>
<sst xmlns="http://schemas.openxmlformats.org/spreadsheetml/2006/main" count="52" uniqueCount="32">
  <si>
    <t>Estimated Salaries of Health Workers</t>
  </si>
  <si>
    <t>Occupation</t>
  </si>
  <si>
    <t>Median</t>
  </si>
  <si>
    <t>Minimum</t>
  </si>
  <si>
    <t>Maximum</t>
  </si>
  <si>
    <t>Number of Countries</t>
  </si>
  <si>
    <t>Audiologists and Speech Therapists</t>
  </si>
  <si>
    <t>Community Health Workers</t>
  </si>
  <si>
    <t>Dentists</t>
  </si>
  <si>
    <t>Dieticians and nutritionists</t>
  </si>
  <si>
    <t>Environmental and occupational health &amp; hygiene workers</t>
  </si>
  <si>
    <t>Generalist Medical Practitioners</t>
  </si>
  <si>
    <t>Medical and dental Prosthetic Technicians</t>
  </si>
  <si>
    <t>Medical and Pathology Laboratory scientists</t>
  </si>
  <si>
    <t>Medical and Pathology Laboratory Technicians</t>
  </si>
  <si>
    <t>Medical Imaging and Therapeutic Equipment Technicians</t>
  </si>
  <si>
    <t>Midwifery personnel</t>
  </si>
  <si>
    <t>Nursing Associate Professionals</t>
  </si>
  <si>
    <t>Nursing Professionals</t>
  </si>
  <si>
    <t>Optometrists and Ophthalmic Opticians</t>
  </si>
  <si>
    <t>Paramedical Practitioners</t>
  </si>
  <si>
    <t>Pharmaceutical Technicians and Assistants</t>
  </si>
  <si>
    <t>Pharmacists</t>
  </si>
  <si>
    <t>Physiotherapists and physiotherapy assistants</t>
  </si>
  <si>
    <t>Psychologists</t>
  </si>
  <si>
    <t>Social workers</t>
  </si>
  <si>
    <t>Specialist Medical Practitioners</t>
  </si>
  <si>
    <t>Mean</t>
  </si>
  <si>
    <t>Average</t>
  </si>
  <si>
    <t>Number of countries</t>
  </si>
  <si>
    <t>Inputed with average</t>
  </si>
  <si>
    <t xml:space="preserve">Summary of overall cost of tuition Fees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</si>
</sst>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$-409]#,##0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</font>
    <font>
      <sz val="12"/>
      <color rgb="FFFFFFFF"/>
      <name val="Aptos Narrow"/>
      <family val="2"/>
    </font>
    <font>
      <b/>
      <sz val="18"/>
      <color theme="1"/>
      <name val="Aptos Narrow"/>
    </font>
    <font>
      <b/>
      <sz val="20"/>
      <color theme="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/>
      <right style="thin">
        <color rgb="FFD9D9D9"/>
      </right>
      <top/>
      <bottom/>
      <diagonal/>
    </border>
    <border>
      <left/>
      <right style="thin">
        <color rgb="FFD9D9D9"/>
      </right>
      <top/>
      <bottom style="double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vertical="top" wrapText="1"/>
    </xf>
    <xf numFmtId="3" fontId="2" fillId="3" borderId="1" xfId="0" applyNumberFormat="1" applyFont="1" applyFill="1" applyBorder="1" applyAlignment="1">
      <alignment vertical="top"/>
    </xf>
    <xf numFmtId="164" fontId="2" fillId="0" borderId="0" xfId="1" applyFont="1" applyFill="1" applyBorder="1"/>
    <xf numFmtId="0" fontId="2" fillId="0" borderId="0" xfId="0" applyFont="1" applyAlignment="1">
      <alignment horizontal="left"/>
    </xf>
    <xf numFmtId="3" fontId="2" fillId="3" borderId="2" xfId="0" applyNumberFormat="1" applyFont="1" applyFill="1" applyBorder="1" applyAlignment="1">
      <alignment vertical="top"/>
    </xf>
    <xf numFmtId="164" fontId="3" fillId="2" borderId="0" xfId="0" applyNumberFormat="1" applyFont="1" applyFill="1" applyAlignment="1">
      <alignment vertical="top" wrapText="1"/>
    </xf>
    <xf numFmtId="165" fontId="3" fillId="2" borderId="0" xfId="0" applyNumberFormat="1" applyFont="1" applyFill="1" applyAlignment="1">
      <alignment vertical="top" wrapText="1"/>
    </xf>
    <xf numFmtId="165" fontId="3" fillId="2" borderId="0" xfId="0" applyNumberFormat="1" applyFont="1" applyFill="1" applyAlignment="1">
      <alignment horizontal="center" vertical="top" wrapText="1"/>
    </xf>
    <xf numFmtId="165" fontId="2" fillId="0" borderId="0" xfId="1" applyNumberFormat="1" applyFont="1" applyFill="1" applyBorder="1"/>
    <xf numFmtId="165" fontId="2" fillId="0" borderId="0" xfId="0" applyNumberFormat="1" applyFont="1" applyAlignment="1">
      <alignment horizontal="center"/>
    </xf>
    <xf numFmtId="0" fontId="4" fillId="0" borderId="0" xfId="0" applyFont="1"/>
    <xf numFmtId="0" fontId="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C1FDD-EF93-4841-A935-52C90B41B14B}">
  <dimension ref="A1:F43"/>
  <sheetViews>
    <sheetView tabSelected="1" topLeftCell="A13" workbookViewId="0">
      <selection activeCell="I25" sqref="I25"/>
    </sheetView>
  </sheetViews>
  <sheetFormatPr defaultColWidth="10.6640625" defaultRowHeight="16" x14ac:dyDescent="0.4"/>
  <cols>
    <col min="1" max="1" width="54.83203125" customWidth="1"/>
    <col min="2" max="2" width="18.83203125" customWidth="1"/>
    <col min="3" max="3" width="16.1640625" customWidth="1"/>
    <col min="4" max="4" width="18.1640625" customWidth="1"/>
    <col min="5" max="5" width="36.33203125" customWidth="1"/>
  </cols>
  <sheetData>
    <row r="1" spans="1:6" ht="26" x14ac:dyDescent="0.6">
      <c r="A1" s="13" t="s">
        <v>0</v>
      </c>
      <c r="B1" s="1"/>
      <c r="C1" s="1"/>
      <c r="D1" s="1"/>
      <c r="E1" s="1"/>
      <c r="F1" s="1"/>
    </row>
    <row r="2" spans="1:6" x14ac:dyDescent="0.4">
      <c r="A2" s="1"/>
      <c r="B2" s="1"/>
      <c r="C2" s="1"/>
      <c r="D2" s="1"/>
      <c r="E2" s="1"/>
      <c r="F2" s="1"/>
    </row>
    <row r="3" spans="1:6" x14ac:dyDescent="0.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1"/>
    </row>
    <row r="4" spans="1:6" x14ac:dyDescent="0.4">
      <c r="A4" s="3" t="s">
        <v>6</v>
      </c>
      <c r="B4" s="4">
        <v>8475.8804521094607</v>
      </c>
      <c r="C4" s="4">
        <v>3176.4688150002776</v>
      </c>
      <c r="D4" s="4">
        <v>42931.28204089748</v>
      </c>
      <c r="E4" s="5" t="s">
        <v>30</v>
      </c>
      <c r="F4" s="1"/>
    </row>
    <row r="5" spans="1:6" x14ac:dyDescent="0.4">
      <c r="A5" s="3" t="s">
        <v>7</v>
      </c>
      <c r="B5" s="4">
        <v>2100.5641752577299</v>
      </c>
      <c r="C5" s="4">
        <v>18.910955873175599</v>
      </c>
      <c r="D5" s="4">
        <v>6691.2</v>
      </c>
      <c r="E5" s="5">
        <v>10</v>
      </c>
      <c r="F5" s="1"/>
    </row>
    <row r="6" spans="1:6" x14ac:dyDescent="0.4">
      <c r="A6" s="3" t="s">
        <v>8</v>
      </c>
      <c r="B6" s="4">
        <v>24122.614972365849</v>
      </c>
      <c r="C6" s="4">
        <v>4350</v>
      </c>
      <c r="D6" s="4">
        <v>65003.377969762398</v>
      </c>
      <c r="E6" s="5">
        <v>14</v>
      </c>
      <c r="F6" s="1"/>
    </row>
    <row r="7" spans="1:6" x14ac:dyDescent="0.4">
      <c r="A7" s="3" t="s">
        <v>9</v>
      </c>
      <c r="B7" s="4">
        <v>8475.8804521094607</v>
      </c>
      <c r="C7" s="4">
        <v>3176.4688150002776</v>
      </c>
      <c r="D7" s="4">
        <v>42931.28204089748</v>
      </c>
      <c r="E7" s="5" t="s">
        <v>30</v>
      </c>
      <c r="F7" s="1"/>
    </row>
    <row r="8" spans="1:6" x14ac:dyDescent="0.4">
      <c r="A8" s="3" t="s">
        <v>10</v>
      </c>
      <c r="B8" s="4">
        <v>8373.3580953286855</v>
      </c>
      <c r="C8" s="4">
        <v>2274.6189276658902</v>
      </c>
      <c r="D8" s="4">
        <v>23780.7408207343</v>
      </c>
      <c r="E8" s="5">
        <v>14</v>
      </c>
      <c r="F8" s="1"/>
    </row>
    <row r="9" spans="1:6" x14ac:dyDescent="0.4">
      <c r="A9" s="3" t="s">
        <v>11</v>
      </c>
      <c r="B9" s="4">
        <v>16711.450960483198</v>
      </c>
      <c r="C9" s="4">
        <v>4350</v>
      </c>
      <c r="D9" s="4">
        <v>70131.642857142899</v>
      </c>
      <c r="E9" s="5">
        <v>17</v>
      </c>
      <c r="F9" s="1"/>
    </row>
    <row r="10" spans="1:6" x14ac:dyDescent="0.4">
      <c r="A10" s="3" t="s">
        <v>12</v>
      </c>
      <c r="B10" s="4">
        <v>8475.8804521094607</v>
      </c>
      <c r="C10" s="4">
        <v>3176.4688150002776</v>
      </c>
      <c r="D10" s="4">
        <v>42931.28204089748</v>
      </c>
      <c r="E10" s="5" t="s">
        <v>30</v>
      </c>
      <c r="F10" s="1"/>
    </row>
    <row r="11" spans="1:6" x14ac:dyDescent="0.4">
      <c r="A11" s="3" t="s">
        <v>13</v>
      </c>
      <c r="B11" s="4">
        <v>7741.2876192288004</v>
      </c>
      <c r="C11" s="4">
        <v>3030.4285714285702</v>
      </c>
      <c r="D11" s="4">
        <v>96426.689528447998</v>
      </c>
      <c r="E11" s="5">
        <v>15</v>
      </c>
      <c r="F11" s="1"/>
    </row>
    <row r="12" spans="1:6" x14ac:dyDescent="0.4">
      <c r="A12" s="3" t="s">
        <v>14</v>
      </c>
      <c r="B12" s="4">
        <v>8475.8804521094607</v>
      </c>
      <c r="C12" s="4">
        <v>3176.4688150002776</v>
      </c>
      <c r="D12" s="4">
        <v>42931.28204089748</v>
      </c>
      <c r="E12" s="5" t="s">
        <v>30</v>
      </c>
      <c r="F12" s="1"/>
    </row>
    <row r="13" spans="1:6" x14ac:dyDescent="0.4">
      <c r="A13" s="3" t="s">
        <v>15</v>
      </c>
      <c r="B13" s="4">
        <v>7741.2876192288004</v>
      </c>
      <c r="C13" s="4">
        <v>3525.7655253023099</v>
      </c>
      <c r="D13" s="4">
        <v>43430.122712447999</v>
      </c>
      <c r="E13" s="5">
        <v>15</v>
      </c>
      <c r="F13" s="1"/>
    </row>
    <row r="14" spans="1:6" x14ac:dyDescent="0.4">
      <c r="A14" s="3" t="s">
        <v>16</v>
      </c>
      <c r="B14" s="4">
        <v>9854.51</v>
      </c>
      <c r="C14" s="4">
        <v>2784.5829582510801</v>
      </c>
      <c r="D14" s="4">
        <v>50651.835853131699</v>
      </c>
      <c r="E14" s="5">
        <v>15</v>
      </c>
      <c r="F14" s="1"/>
    </row>
    <row r="15" spans="1:6" x14ac:dyDescent="0.4">
      <c r="A15" s="3" t="s">
        <v>17</v>
      </c>
      <c r="B15" s="4">
        <v>8475.8804521094607</v>
      </c>
      <c r="C15" s="4">
        <v>3176.4688150002776</v>
      </c>
      <c r="D15" s="4">
        <v>42931.28204089748</v>
      </c>
      <c r="E15" s="5" t="s">
        <v>30</v>
      </c>
      <c r="F15" s="1"/>
    </row>
    <row r="16" spans="1:6" x14ac:dyDescent="0.4">
      <c r="A16" s="3" t="s">
        <v>18</v>
      </c>
      <c r="B16" s="4">
        <v>6642.0428366591996</v>
      </c>
      <c r="C16" s="4">
        <v>2784.5829582510801</v>
      </c>
      <c r="D16" s="4">
        <v>50651.835853131699</v>
      </c>
      <c r="E16" s="5">
        <v>17</v>
      </c>
      <c r="F16" s="1"/>
    </row>
    <row r="17" spans="1:6" x14ac:dyDescent="0.4">
      <c r="A17" s="3" t="s">
        <v>19</v>
      </c>
      <c r="B17" s="4">
        <v>8475.8804521094607</v>
      </c>
      <c r="C17" s="4">
        <v>3176.4688150002776</v>
      </c>
      <c r="D17" s="4">
        <v>42931.28204089748</v>
      </c>
      <c r="E17" s="5" t="s">
        <v>30</v>
      </c>
      <c r="F17" s="1"/>
    </row>
    <row r="18" spans="1:6" x14ac:dyDescent="0.4">
      <c r="A18" s="3" t="s">
        <v>20</v>
      </c>
      <c r="B18" s="4">
        <v>6335.0389267610099</v>
      </c>
      <c r="C18" s="4">
        <v>3525.7655253023099</v>
      </c>
      <c r="D18" s="4">
        <v>12006</v>
      </c>
      <c r="E18" s="5">
        <v>10</v>
      </c>
      <c r="F18" s="1"/>
    </row>
    <row r="19" spans="1:6" x14ac:dyDescent="0.4">
      <c r="A19" s="3" t="s">
        <v>21</v>
      </c>
      <c r="B19" s="4">
        <v>8475.8804521094607</v>
      </c>
      <c r="C19" s="4">
        <v>3176.4688150002776</v>
      </c>
      <c r="D19" s="4">
        <v>42931.28204089748</v>
      </c>
      <c r="E19" s="5" t="s">
        <v>30</v>
      </c>
      <c r="F19" s="1"/>
    </row>
    <row r="20" spans="1:6" x14ac:dyDescent="0.4">
      <c r="A20" s="3" t="s">
        <v>22</v>
      </c>
      <c r="B20" s="4">
        <v>16211.28</v>
      </c>
      <c r="C20" s="4">
        <v>3577.84</v>
      </c>
      <c r="D20" s="4">
        <v>96426.689528447998</v>
      </c>
      <c r="E20" s="5">
        <v>17</v>
      </c>
      <c r="F20" s="1"/>
    </row>
    <row r="21" spans="1:6" x14ac:dyDescent="0.4">
      <c r="A21" s="3" t="s">
        <v>23</v>
      </c>
      <c r="B21" s="4">
        <v>12188.43</v>
      </c>
      <c r="C21" s="4">
        <v>3525.7655253023099</v>
      </c>
      <c r="D21" s="4">
        <v>39012.857142857101</v>
      </c>
      <c r="E21" s="5">
        <v>13</v>
      </c>
      <c r="F21" s="1"/>
    </row>
    <row r="22" spans="1:6" x14ac:dyDescent="0.4">
      <c r="A22" s="3" t="s">
        <v>24</v>
      </c>
      <c r="B22" s="4">
        <v>8475.8804521094607</v>
      </c>
      <c r="C22" s="4">
        <v>3176.4688150002776</v>
      </c>
      <c r="D22" s="4">
        <v>42931.28204089748</v>
      </c>
      <c r="E22" s="5" t="s">
        <v>30</v>
      </c>
      <c r="F22" s="1"/>
    </row>
    <row r="23" spans="1:6" x14ac:dyDescent="0.4">
      <c r="A23" s="3" t="s">
        <v>25</v>
      </c>
      <c r="B23" s="4">
        <v>8475.8804521094607</v>
      </c>
      <c r="C23" s="4">
        <v>3176.4688150002776</v>
      </c>
      <c r="D23" s="4">
        <v>42931.28204089748</v>
      </c>
      <c r="E23" s="5" t="s">
        <v>30</v>
      </c>
      <c r="F23" s="1"/>
    </row>
    <row r="24" spans="1:6" ht="16.5" thickBot="1" x14ac:dyDescent="0.45">
      <c r="A24" s="6" t="s">
        <v>26</v>
      </c>
      <c r="B24" s="4">
        <v>33928.980000000003</v>
      </c>
      <c r="C24" s="4">
        <v>5391</v>
      </c>
      <c r="D24" s="4">
        <v>184378.438712448</v>
      </c>
      <c r="E24" s="5">
        <v>15</v>
      </c>
      <c r="F24" s="1"/>
    </row>
    <row r="25" spans="1:6" ht="16.5" thickTop="1" x14ac:dyDescent="0.4">
      <c r="A25" s="2" t="s">
        <v>27</v>
      </c>
      <c r="B25" s="7">
        <v>10868.274727347543</v>
      </c>
      <c r="C25" s="7">
        <v>3225.1181086847246</v>
      </c>
      <c r="D25" s="7">
        <v>53570.141397458545</v>
      </c>
      <c r="E25" s="2" t="s">
        <v>30</v>
      </c>
      <c r="F25" s="1"/>
    </row>
    <row r="26" spans="1:6" x14ac:dyDescent="0.4">
      <c r="A26" s="2" t="s">
        <v>2</v>
      </c>
      <c r="B26" s="7">
        <v>8475.8804521094607</v>
      </c>
      <c r="C26" s="7">
        <v>3176.4688150002776</v>
      </c>
      <c r="D26" s="7">
        <v>42931.28204089748</v>
      </c>
      <c r="E26" s="2" t="s">
        <v>30</v>
      </c>
      <c r="F26" s="1"/>
    </row>
    <row r="27" spans="1:6" x14ac:dyDescent="0.4">
      <c r="A27" s="1"/>
      <c r="B27" s="1"/>
      <c r="C27" s="1"/>
      <c r="D27" s="1"/>
      <c r="E27" s="1"/>
      <c r="F27" s="1"/>
    </row>
    <row r="28" spans="1:6" x14ac:dyDescent="0.4">
      <c r="A28" s="1"/>
      <c r="B28" s="1"/>
      <c r="C28" s="1"/>
      <c r="D28" s="1"/>
      <c r="E28" s="1"/>
      <c r="F28" s="1"/>
    </row>
    <row r="29" spans="1:6" x14ac:dyDescent="0.4">
      <c r="A29" s="1"/>
      <c r="B29" s="1"/>
      <c r="C29" s="1"/>
      <c r="D29" s="1"/>
      <c r="E29" s="1"/>
      <c r="F29" s="1"/>
    </row>
    <row r="30" spans="1:6" x14ac:dyDescent="0.4">
      <c r="A30" s="1"/>
      <c r="B30" s="1"/>
      <c r="C30" s="1"/>
      <c r="D30" s="1"/>
      <c r="E30" s="1"/>
      <c r="F30" s="1"/>
    </row>
    <row r="31" spans="1:6" x14ac:dyDescent="0.4">
      <c r="A31" s="1"/>
      <c r="B31" s="1"/>
      <c r="C31" s="1"/>
      <c r="D31" s="1"/>
      <c r="E31" s="1"/>
      <c r="F31" s="1"/>
    </row>
    <row r="32" spans="1:6" x14ac:dyDescent="0.4">
      <c r="A32" s="1"/>
      <c r="B32" s="1"/>
      <c r="C32" s="1"/>
      <c r="D32" s="1"/>
      <c r="E32" s="1"/>
      <c r="F32" s="1"/>
    </row>
    <row r="33" spans="1:6" ht="23.5" x14ac:dyDescent="0.55000000000000004">
      <c r="A33" s="12" t="s">
        <v>31</v>
      </c>
      <c r="B33" s="1"/>
      <c r="C33" s="1"/>
      <c r="D33" s="1"/>
      <c r="E33" s="1"/>
      <c r="F33" s="1"/>
    </row>
    <row r="34" spans="1:6" x14ac:dyDescent="0.4">
      <c r="A34" s="1"/>
      <c r="B34" s="1"/>
      <c r="C34" s="1"/>
      <c r="D34" s="1"/>
      <c r="E34" s="1"/>
      <c r="F34" s="1"/>
    </row>
    <row r="35" spans="1:6" ht="32" x14ac:dyDescent="0.4">
      <c r="A35" s="2" t="s">
        <v>1</v>
      </c>
      <c r="B35" s="8" t="s">
        <v>2</v>
      </c>
      <c r="C35" s="8" t="s">
        <v>28</v>
      </c>
      <c r="D35" s="8" t="s">
        <v>3</v>
      </c>
      <c r="E35" s="9" t="s">
        <v>4</v>
      </c>
      <c r="F35" s="2" t="s">
        <v>29</v>
      </c>
    </row>
    <row r="36" spans="1:6" x14ac:dyDescent="0.4">
      <c r="A36" s="3" t="s">
        <v>11</v>
      </c>
      <c r="B36" s="10">
        <v>21063</v>
      </c>
      <c r="C36" s="10">
        <v>35059.000000000015</v>
      </c>
      <c r="D36" s="10">
        <v>5106</v>
      </c>
      <c r="E36" s="11">
        <v>123600</v>
      </c>
      <c r="F36" s="5">
        <v>6</v>
      </c>
    </row>
    <row r="37" spans="1:6" x14ac:dyDescent="0.4">
      <c r="A37" s="3" t="s">
        <v>18</v>
      </c>
      <c r="B37" s="10">
        <v>5643</v>
      </c>
      <c r="C37" s="10">
        <v>15060.300000000001</v>
      </c>
      <c r="D37" s="10">
        <v>1200</v>
      </c>
      <c r="E37" s="11">
        <v>34615.5</v>
      </c>
      <c r="F37" s="5">
        <v>5</v>
      </c>
    </row>
    <row r="38" spans="1:6" x14ac:dyDescent="0.4">
      <c r="A38" s="3" t="s">
        <v>16</v>
      </c>
      <c r="B38" s="10">
        <v>4302</v>
      </c>
      <c r="C38" s="10">
        <v>13525.800000000001</v>
      </c>
      <c r="D38" s="10">
        <v>1212</v>
      </c>
      <c r="E38" s="11">
        <v>30000</v>
      </c>
      <c r="F38" s="5">
        <v>5</v>
      </c>
    </row>
    <row r="39" spans="1:6" x14ac:dyDescent="0.4">
      <c r="A39" s="3" t="s">
        <v>22</v>
      </c>
      <c r="B39" s="10">
        <v>4660</v>
      </c>
      <c r="C39" s="10">
        <v>21190.400000000001</v>
      </c>
      <c r="D39" s="10">
        <v>2548</v>
      </c>
      <c r="E39" s="11">
        <v>74400</v>
      </c>
      <c r="F39" s="5">
        <v>5</v>
      </c>
    </row>
    <row r="40" spans="1:6" x14ac:dyDescent="0.4">
      <c r="A40" s="3" t="s">
        <v>8</v>
      </c>
      <c r="B40" s="10">
        <v>31752</v>
      </c>
      <c r="C40" s="10">
        <v>47974.5</v>
      </c>
      <c r="D40" s="10">
        <v>2397</v>
      </c>
      <c r="E40" s="11">
        <v>61800</v>
      </c>
      <c r="F40" s="5">
        <v>4</v>
      </c>
    </row>
    <row r="41" spans="1:6" x14ac:dyDescent="0.4">
      <c r="A41" s="2"/>
      <c r="B41" s="8">
        <f>MEDIAN(B36:B40)</f>
        <v>5643</v>
      </c>
      <c r="C41" s="8">
        <f>AVERAGE(C36:C40)</f>
        <v>26562.000000000007</v>
      </c>
      <c r="D41" s="8">
        <f>MIN(D36:D40)</f>
        <v>1200</v>
      </c>
      <c r="E41" s="9">
        <f>MAX(E36:E40)</f>
        <v>123600</v>
      </c>
      <c r="F41" s="2"/>
    </row>
    <row r="42" spans="1:6" x14ac:dyDescent="0.4">
      <c r="A42" s="1"/>
      <c r="B42" s="1"/>
      <c r="C42" s="1"/>
      <c r="D42" s="1"/>
      <c r="E42" s="1"/>
      <c r="F42" s="1"/>
    </row>
    <row r="43" spans="1:6" x14ac:dyDescent="0.4">
      <c r="A43" s="1"/>
      <c r="B43" s="1"/>
      <c r="C43" s="1"/>
      <c r="D43" s="1"/>
      <c r="E43" s="1"/>
      <c r="F4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Avoka Asamani</dc:creator>
  <cp:lastModifiedBy>Joseph Mung'atu</cp:lastModifiedBy>
  <dcterms:created xsi:type="dcterms:W3CDTF">2024-02-25T21:56:17Z</dcterms:created>
  <dcterms:modified xsi:type="dcterms:W3CDTF">2024-02-26T08:48:29Z</dcterms:modified>
</cp:coreProperties>
</file>