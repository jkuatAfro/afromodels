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ROI HRH\Deliverables\Data and models\"/>
    </mc:Choice>
  </mc:AlternateContent>
  <xr:revisionPtr revIDLastSave="0" documentId="8_{B8547CE7-2487-4561-95AE-FB55FBE74E53}" xr6:coauthVersionLast="47" xr6:coauthVersionMax="47" xr10:uidLastSave="{00000000-0000-0000-0000-000000000000}"/>
  <bookViews>
    <workbookView xWindow="-110" yWindow="-110" windowWidth="19420" windowHeight="10300" tabRatio="737" firstSheet="4" activeTab="4" xr2:uid="{123A028B-70F3-428A-B189-3D2F083D75F5}"/>
  </bookViews>
  <sheets>
    <sheet name="SEM_HWF" sheetId="21" r:id="rId1"/>
    <sheet name="Sheet5" sheetId="26" r:id="rId2"/>
    <sheet name="Sheet1" sheetId="23" r:id="rId3"/>
    <sheet name="SEM_Vars_HWF" sheetId="22" r:id="rId4"/>
    <sheet name="SEM" sheetId="15" r:id="rId5"/>
    <sheet name="Model_1" sheetId="17" r:id="rId6"/>
    <sheet name="Model_2" sheetId="20" r:id="rId7"/>
    <sheet name="Model_3" sheetId="27" r:id="rId8"/>
    <sheet name="Coef." sheetId="24" r:id="rId9"/>
    <sheet name="SEM_Vars" sheetId="16" r:id="rId10"/>
    <sheet name="COMBINED" sheetId="10" r:id="rId11"/>
    <sheet name="Sheet2" sheetId="19" state="hidden" r:id="rId12"/>
    <sheet name="Variables" sheetId="11" r:id="rId13"/>
    <sheet name="Tuition and salaries" sheetId="12" r:id="rId14"/>
    <sheet name="Graduates" sheetId="13" r:id="rId15"/>
    <sheet name="Salaries_total" sheetId="14" r:id="rId16"/>
  </sheets>
  <definedNames>
    <definedName name="_xlnm._FilterDatabase" localSheetId="14" hidden="1">Graduates!$A$1:$M$48</definedName>
    <definedName name="_R²_Impact" localSheetId="6">Model_2!$AB$3</definedName>
    <definedName name="_R²_Impact" localSheetId="7">Model_3!$AB$3</definedName>
    <definedName name="_R²_Impact">Model_1!$AA$3</definedName>
    <definedName name="_R²_Outcome" localSheetId="6">Model_2!$U$3</definedName>
    <definedName name="_R²_Outcome" localSheetId="7">Model_3!$U$3</definedName>
    <definedName name="_R²_Outcome">Model_1!$T$3</definedName>
    <definedName name="_R²_Output" localSheetId="6">Model_2!$O$3</definedName>
    <definedName name="_R²_Output" localSheetId="7">Model_3!$O$3</definedName>
    <definedName name="_R²_Output">Model_1!$N$3</definedName>
    <definedName name="coef1_Dentists">'Coef.'!$G$4</definedName>
    <definedName name="coef1_Medical_and_Pathology_Laboratory_Scientists">'Coef.'!$I$4</definedName>
    <definedName name="coef1_Medical_and_Pathology_Laboratory_Technicians">'Coef.'!$J$4</definedName>
    <definedName name="coef1_Medical_Doctors">'Coef.'!$D$4</definedName>
    <definedName name="coef1_Midwifery_Personnel">'Coef.'!$F$4</definedName>
    <definedName name="coef1_Nursing_Personnel">'Coef.'!$E$4</definedName>
    <definedName name="coef1_Pharmacists">'Coef.'!$H$4</definedName>
    <definedName name="GDP_per_capita_growth__annual">'Coef.'!$D$10</definedName>
    <definedName name="HWF_In_service_training_coef." localSheetId="6">Model_2!$K$3</definedName>
    <definedName name="HWF_In_service_training_coef." localSheetId="7">Model_3!$K$3</definedName>
    <definedName name="HWF_In_service_training_coef.">Model_1!$J$3</definedName>
    <definedName name="Impact_1_Coef." localSheetId="6">Model_2!$AC$3</definedName>
    <definedName name="Impact_1_Coef." localSheetId="7">Model_3!$AC$3</definedName>
    <definedName name="Impact_1_Coef.">Model_1!$AB$3</definedName>
    <definedName name="Impact_2_Coef." localSheetId="6">Model_2!$AD$3</definedName>
    <definedName name="Impact_2_Coef." localSheetId="7">Model_3!$AD$3</definedName>
    <definedName name="Impact_2_Coef.">Model_1!$AC$3</definedName>
    <definedName name="Incentive" localSheetId="6">Model_2!$L$3</definedName>
    <definedName name="Incentive" localSheetId="7">Model_3!$L$3</definedName>
    <definedName name="Incentive">Model_1!$K$3</definedName>
    <definedName name="Input_1_coef." localSheetId="6">Model_2!$D$3</definedName>
    <definedName name="Input_1_coef." localSheetId="7">Model_3!$D$3</definedName>
    <definedName name="Input_1_coef.">Model_1!$D$3</definedName>
    <definedName name="Input_2_coef." localSheetId="6">Model_2!$E$3</definedName>
    <definedName name="Input_2_coef." localSheetId="7">Model_3!$E$3</definedName>
    <definedName name="Input_2_coef.">Model_1!$E$3</definedName>
    <definedName name="Input_3_coef." localSheetId="7">Model_3!$F$3</definedName>
    <definedName name="Input_3_coef.">Model_2!$F$3</definedName>
    <definedName name="Outcome_1_Coef." localSheetId="6">Model_2!$V$3</definedName>
    <definedName name="Outcome_1_Coef." localSheetId="7">Model_3!$V$3</definedName>
    <definedName name="Outcome_1_Coef.">Model_1!$U$3</definedName>
    <definedName name="Outcome_2_Coef." localSheetId="6">Model_2!$W$3</definedName>
    <definedName name="Outcome_2_Coef." localSheetId="7">Model_3!$W$3</definedName>
    <definedName name="Outcome_2_Coef.">Model_1!$V$3</definedName>
    <definedName name="Outcome_3_Coef." localSheetId="6">Model_2!$X$3</definedName>
    <definedName name="Outcome_3_Coef." localSheetId="7">Model_3!$X$3</definedName>
    <definedName name="Outcome_3_Coef.">Model_1!$W$3</definedName>
    <definedName name="OUTcome1_DALYS_2021_Communicable__maternal__perinatal_and_nutritional_conditions_per_capita_2021">'Coef.'!$D$8</definedName>
    <definedName name="OUTcome1_DALYS_2021_Injuries_per_capita_2021">'Coef.'!$F$8</definedName>
    <definedName name="OUTcome1_DALYS_2021_Noncommunicable_diseases_per_capita__2021">'Coef.'!$E$8</definedName>
    <definedName name="Output_1_Coef." localSheetId="6">Model_2!$P$3</definedName>
    <definedName name="Output_1_Coef." localSheetId="7">Model_3!$P$3</definedName>
    <definedName name="Output_1_Coef.">Model_1!$O$3</definedName>
    <definedName name="Output_2_Coef." localSheetId="6">Model_2!$Q$3</definedName>
    <definedName name="Output_2_Coef." localSheetId="7">Model_3!$Q$3</definedName>
    <definedName name="Output_2_Coef.">Model_1!$P$3</definedName>
    <definedName name="Output_3_Coef." localSheetId="6">Model_2!$R$3</definedName>
    <definedName name="Output_3_Coef." localSheetId="7">Model_3!$R$3</definedName>
    <definedName name="Output_3_Coef.">Model_1!$Q$3</definedName>
    <definedName name="OUTput1_SCI_Infectiousdiseases">'Coef.'!$D$6</definedName>
    <definedName name="OUTput1_SCI_NCD">'Coef.'!$E$6</definedName>
    <definedName name="OUTput1_SCI_RMNCH">'Coef.'!$F$6</definedName>
    <definedName name="Percentage_of_HWF_benefiting_from_the_salary_increase" localSheetId="7">Model_3!$G$3</definedName>
    <definedName name="Percentage_of_HWF_benefiting_from_the_salary_increase">Model_2!$G$3</definedName>
    <definedName name="Percentage_of_people_incentivised" localSheetId="6">Model_2!$J$3</definedName>
    <definedName name="Percentage_of_people_incentivised" localSheetId="7">Model_3!$J$3</definedName>
    <definedName name="Percentage_of_people_incentivised">Model_1!$I$3</definedName>
    <definedName name="Percentage_of_people_trained" localSheetId="6">Model_2!$I$3</definedName>
    <definedName name="Percentage_of_people_trained" localSheetId="7">Model_3!$I$3</definedName>
    <definedName name="Percentage_of_people_trained">Model_1!$H$3</definedName>
    <definedName name="Total_Impact_coef." localSheetId="6">Model_2!$AA$3</definedName>
    <definedName name="Total_Impact_coef." localSheetId="7">Model_3!$AA$3</definedName>
    <definedName name="Total_Impact_coef.">Model_1!$Z$3</definedName>
    <definedName name="Total_Outcome_coef." localSheetId="6">Model_2!$T$3</definedName>
    <definedName name="Total_Outcome_coef." localSheetId="7">Model_3!$T$3</definedName>
    <definedName name="Total_Outcome_coef.">Model_1!$S$3</definedName>
    <definedName name="Total_Output_coef." localSheetId="6">Model_2!$N$3</definedName>
    <definedName name="Total_Output_coef." localSheetId="7">Model_3!$N$3</definedName>
    <definedName name="Total_Output_coef.">Model_1!$M$3</definedName>
  </definedNames>
  <calcPr calcId="191028"/>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7" l="1"/>
  <c r="H6" i="27" s="1"/>
  <c r="J52" i="27"/>
  <c r="I52" i="27"/>
  <c r="E52" i="27"/>
  <c r="F52" i="27" s="1"/>
  <c r="H52" i="27" s="1"/>
  <c r="D52" i="27"/>
  <c r="J51" i="27"/>
  <c r="I51" i="27"/>
  <c r="E51" i="27"/>
  <c r="F51" i="27" s="1"/>
  <c r="H51" i="27" s="1"/>
  <c r="D51" i="27"/>
  <c r="J50" i="27"/>
  <c r="I50" i="27"/>
  <c r="E50" i="27"/>
  <c r="F50" i="27" s="1"/>
  <c r="H50" i="27" s="1"/>
  <c r="D50" i="27"/>
  <c r="J49" i="27"/>
  <c r="I49" i="27"/>
  <c r="E49" i="27"/>
  <c r="F49" i="27" s="1"/>
  <c r="H49" i="27" s="1"/>
  <c r="D49" i="27"/>
  <c r="J48" i="27"/>
  <c r="I48" i="27"/>
  <c r="E48" i="27"/>
  <c r="F48" i="27" s="1"/>
  <c r="H48" i="27" s="1"/>
  <c r="D48" i="27"/>
  <c r="J47" i="27"/>
  <c r="I47" i="27"/>
  <c r="E47" i="27"/>
  <c r="F47" i="27" s="1"/>
  <c r="H47" i="27" s="1"/>
  <c r="D47" i="27"/>
  <c r="J46" i="27"/>
  <c r="I46" i="27"/>
  <c r="E46" i="27"/>
  <c r="F46" i="27" s="1"/>
  <c r="H46" i="27" s="1"/>
  <c r="D46" i="27"/>
  <c r="J45" i="27"/>
  <c r="I45" i="27"/>
  <c r="E45" i="27"/>
  <c r="F45" i="27" s="1"/>
  <c r="H45" i="27" s="1"/>
  <c r="D45" i="27"/>
  <c r="J44" i="27"/>
  <c r="I44" i="27"/>
  <c r="E44" i="27"/>
  <c r="F44" i="27" s="1"/>
  <c r="H44" i="27" s="1"/>
  <c r="D44" i="27"/>
  <c r="J43" i="27"/>
  <c r="I43" i="27"/>
  <c r="E43" i="27"/>
  <c r="F43" i="27" s="1"/>
  <c r="H43" i="27" s="1"/>
  <c r="D43" i="27"/>
  <c r="J42" i="27"/>
  <c r="I42" i="27"/>
  <c r="E42" i="27"/>
  <c r="F42" i="27" s="1"/>
  <c r="H42" i="27" s="1"/>
  <c r="D42" i="27"/>
  <c r="J41" i="27"/>
  <c r="I41" i="27"/>
  <c r="E41" i="27"/>
  <c r="F41" i="27" s="1"/>
  <c r="H41" i="27" s="1"/>
  <c r="D41" i="27"/>
  <c r="J40" i="27"/>
  <c r="I40" i="27"/>
  <c r="E40" i="27"/>
  <c r="F40" i="27" s="1"/>
  <c r="H40" i="27" s="1"/>
  <c r="D40" i="27"/>
  <c r="J39" i="27"/>
  <c r="I39" i="27"/>
  <c r="E39" i="27"/>
  <c r="F39" i="27" s="1"/>
  <c r="H39" i="27" s="1"/>
  <c r="D39" i="27"/>
  <c r="J38" i="27"/>
  <c r="I38" i="27"/>
  <c r="E38" i="27"/>
  <c r="F38" i="27" s="1"/>
  <c r="H38" i="27" s="1"/>
  <c r="D38" i="27"/>
  <c r="J37" i="27"/>
  <c r="I37" i="27"/>
  <c r="E37" i="27"/>
  <c r="F37" i="27" s="1"/>
  <c r="H37" i="27" s="1"/>
  <c r="D37" i="27"/>
  <c r="J36" i="27"/>
  <c r="I36" i="27"/>
  <c r="E36" i="27"/>
  <c r="F36" i="27" s="1"/>
  <c r="H36" i="27" s="1"/>
  <c r="D36" i="27"/>
  <c r="J35" i="27"/>
  <c r="I35" i="27"/>
  <c r="E35" i="27"/>
  <c r="F35" i="27" s="1"/>
  <c r="H35" i="27" s="1"/>
  <c r="D35" i="27"/>
  <c r="J34" i="27"/>
  <c r="I34" i="27"/>
  <c r="E34" i="27"/>
  <c r="F34" i="27" s="1"/>
  <c r="H34" i="27" s="1"/>
  <c r="D34" i="27"/>
  <c r="J33" i="27"/>
  <c r="I33" i="27"/>
  <c r="E33" i="27"/>
  <c r="F33" i="27" s="1"/>
  <c r="H33" i="27" s="1"/>
  <c r="D33" i="27"/>
  <c r="J32" i="27"/>
  <c r="I32" i="27"/>
  <c r="E32" i="27"/>
  <c r="F32" i="27" s="1"/>
  <c r="H32" i="27" s="1"/>
  <c r="D32" i="27"/>
  <c r="J31" i="27"/>
  <c r="I31" i="27"/>
  <c r="E31" i="27"/>
  <c r="F31" i="27" s="1"/>
  <c r="H31" i="27" s="1"/>
  <c r="D31" i="27"/>
  <c r="J30" i="27"/>
  <c r="I30" i="27"/>
  <c r="E30" i="27"/>
  <c r="F30" i="27" s="1"/>
  <c r="H30" i="27" s="1"/>
  <c r="D30" i="27"/>
  <c r="J29" i="27"/>
  <c r="I29" i="27"/>
  <c r="E29" i="27"/>
  <c r="F29" i="27" s="1"/>
  <c r="H29" i="27" s="1"/>
  <c r="D29" i="27"/>
  <c r="J28" i="27"/>
  <c r="I28" i="27"/>
  <c r="E28" i="27"/>
  <c r="F28" i="27" s="1"/>
  <c r="H28" i="27" s="1"/>
  <c r="D28" i="27"/>
  <c r="J27" i="27"/>
  <c r="I27" i="27"/>
  <c r="E27" i="27"/>
  <c r="F27" i="27" s="1"/>
  <c r="H27" i="27" s="1"/>
  <c r="D27" i="27"/>
  <c r="J26" i="27"/>
  <c r="I26" i="27"/>
  <c r="E26" i="27"/>
  <c r="F26" i="27" s="1"/>
  <c r="H26" i="27" s="1"/>
  <c r="D26" i="27"/>
  <c r="J25" i="27"/>
  <c r="I25" i="27"/>
  <c r="E25" i="27"/>
  <c r="F25" i="27" s="1"/>
  <c r="H25" i="27" s="1"/>
  <c r="D25" i="27"/>
  <c r="J24" i="27"/>
  <c r="I24" i="27"/>
  <c r="E24" i="27"/>
  <c r="F24" i="27" s="1"/>
  <c r="H24" i="27" s="1"/>
  <c r="D24" i="27"/>
  <c r="J23" i="27"/>
  <c r="I23" i="27"/>
  <c r="E23" i="27"/>
  <c r="F23" i="27" s="1"/>
  <c r="H23" i="27" s="1"/>
  <c r="D23" i="27"/>
  <c r="J22" i="27"/>
  <c r="I22" i="27"/>
  <c r="E22" i="27"/>
  <c r="F22" i="27" s="1"/>
  <c r="H22" i="27" s="1"/>
  <c r="D22" i="27"/>
  <c r="J21" i="27"/>
  <c r="I21" i="27"/>
  <c r="E21" i="27"/>
  <c r="F21" i="27" s="1"/>
  <c r="H21" i="27" s="1"/>
  <c r="D21" i="27"/>
  <c r="J20" i="27"/>
  <c r="E20" i="27"/>
  <c r="F20" i="27" s="1"/>
  <c r="D20" i="27"/>
  <c r="J19" i="27"/>
  <c r="I19" i="27"/>
  <c r="E19" i="27"/>
  <c r="F19" i="27" s="1"/>
  <c r="H19" i="27" s="1"/>
  <c r="D19" i="27"/>
  <c r="J18" i="27"/>
  <c r="I18" i="27"/>
  <c r="E18" i="27"/>
  <c r="F18" i="27" s="1"/>
  <c r="H18" i="27" s="1"/>
  <c r="D18" i="27"/>
  <c r="J17" i="27"/>
  <c r="I17" i="27"/>
  <c r="E17" i="27"/>
  <c r="F17" i="27" s="1"/>
  <c r="H17" i="27" s="1"/>
  <c r="D17" i="27"/>
  <c r="J16" i="27"/>
  <c r="I16" i="27"/>
  <c r="E16" i="27"/>
  <c r="F16" i="27" s="1"/>
  <c r="H16" i="27" s="1"/>
  <c r="D16" i="27"/>
  <c r="J15" i="27"/>
  <c r="E15" i="27"/>
  <c r="F15" i="27" s="1"/>
  <c r="D15" i="27"/>
  <c r="J14" i="27"/>
  <c r="I14" i="27"/>
  <c r="E14" i="27"/>
  <c r="F14" i="27" s="1"/>
  <c r="H14" i="27" s="1"/>
  <c r="D14" i="27"/>
  <c r="J13" i="27"/>
  <c r="I13" i="27"/>
  <c r="E13" i="27"/>
  <c r="F13" i="27" s="1"/>
  <c r="H13" i="27" s="1"/>
  <c r="D13" i="27"/>
  <c r="J12" i="27"/>
  <c r="I12" i="27"/>
  <c r="E12" i="27"/>
  <c r="F12" i="27" s="1"/>
  <c r="H12" i="27" s="1"/>
  <c r="D12" i="27"/>
  <c r="J11" i="27"/>
  <c r="I11" i="27"/>
  <c r="E11" i="27"/>
  <c r="F11" i="27" s="1"/>
  <c r="H11" i="27" s="1"/>
  <c r="D11" i="27"/>
  <c r="J10" i="27"/>
  <c r="I10" i="27"/>
  <c r="E10" i="27"/>
  <c r="F10" i="27" s="1"/>
  <c r="H10" i="27" s="1"/>
  <c r="D10" i="27"/>
  <c r="J9" i="27"/>
  <c r="I9" i="27"/>
  <c r="E9" i="27"/>
  <c r="F9" i="27" s="1"/>
  <c r="H9" i="27" s="1"/>
  <c r="D9" i="27"/>
  <c r="J8" i="27"/>
  <c r="I8" i="27"/>
  <c r="E8" i="27"/>
  <c r="F8" i="27" s="1"/>
  <c r="H8" i="27" s="1"/>
  <c r="D8" i="27"/>
  <c r="J7" i="27"/>
  <c r="I7" i="27"/>
  <c r="E7" i="27"/>
  <c r="F7" i="27" s="1"/>
  <c r="H7" i="27" s="1"/>
  <c r="D7" i="27"/>
  <c r="J6" i="27"/>
  <c r="J53" i="27" s="1"/>
  <c r="I6" i="27"/>
  <c r="E6" i="27"/>
  <c r="D6" i="27"/>
  <c r="D4" i="24"/>
  <c r="N5" i="23"/>
  <c r="M5" i="23"/>
  <c r="K5" i="23"/>
  <c r="J5" i="23"/>
  <c r="I5" i="23"/>
  <c r="E5" i="23"/>
  <c r="AF3" i="21"/>
  <c r="AF4" i="21"/>
  <c r="AF5" i="21"/>
  <c r="AF6" i="21"/>
  <c r="AF7" i="21"/>
  <c r="AF8" i="21"/>
  <c r="AF9" i="21"/>
  <c r="AF10" i="21"/>
  <c r="AF11" i="21"/>
  <c r="AF12" i="21"/>
  <c r="AF13" i="21"/>
  <c r="AF14" i="21"/>
  <c r="AF15" i="21"/>
  <c r="AF16" i="21"/>
  <c r="AF17" i="21"/>
  <c r="AF18" i="21"/>
  <c r="AF19" i="21"/>
  <c r="AF20" i="21"/>
  <c r="AF21" i="21"/>
  <c r="AF22" i="21"/>
  <c r="AF23" i="21"/>
  <c r="AF24" i="21"/>
  <c r="AF25" i="21"/>
  <c r="AF26" i="21"/>
  <c r="AF27" i="21"/>
  <c r="AF28" i="21"/>
  <c r="AF29" i="21"/>
  <c r="AF30" i="21"/>
  <c r="AF31" i="21"/>
  <c r="AF32" i="21"/>
  <c r="AF33" i="21"/>
  <c r="AF34" i="21"/>
  <c r="AF35" i="21"/>
  <c r="AF36" i="21"/>
  <c r="AF37" i="21"/>
  <c r="AF38" i="21"/>
  <c r="AF39" i="21"/>
  <c r="AF40" i="21"/>
  <c r="AF41" i="21"/>
  <c r="AF42" i="21"/>
  <c r="AF43" i="21"/>
  <c r="AF44" i="21"/>
  <c r="AF45" i="21"/>
  <c r="AF46" i="21"/>
  <c r="AF47" i="21"/>
  <c r="AF48" i="21"/>
  <c r="AE3" i="21"/>
  <c r="AE4" i="21"/>
  <c r="AE5" i="21"/>
  <c r="AE6" i="21"/>
  <c r="AE7" i="21"/>
  <c r="AE8" i="21"/>
  <c r="AE9" i="21"/>
  <c r="AE10" i="21"/>
  <c r="AE11" i="21"/>
  <c r="AE12" i="21"/>
  <c r="AE13" i="21"/>
  <c r="AE14" i="21"/>
  <c r="AE15" i="21"/>
  <c r="AE16" i="21"/>
  <c r="AE17" i="21"/>
  <c r="AE18" i="21"/>
  <c r="AE19" i="21"/>
  <c r="AE20" i="21"/>
  <c r="AE21" i="21"/>
  <c r="AE22" i="21"/>
  <c r="AE23" i="21"/>
  <c r="AE24" i="21"/>
  <c r="AE25" i="21"/>
  <c r="AE26" i="21"/>
  <c r="AE27" i="21"/>
  <c r="AE28" i="21"/>
  <c r="AE29" i="21"/>
  <c r="AE30" i="21"/>
  <c r="AE31" i="21"/>
  <c r="AE32" i="21"/>
  <c r="AE33" i="21"/>
  <c r="AE34" i="21"/>
  <c r="AE35" i="21"/>
  <c r="AE36" i="21"/>
  <c r="AE37" i="21"/>
  <c r="AE38" i="21"/>
  <c r="AE39" i="21"/>
  <c r="AE40" i="21"/>
  <c r="AE41" i="21"/>
  <c r="AE42" i="21"/>
  <c r="AE43" i="21"/>
  <c r="AE44" i="21"/>
  <c r="AE45" i="21"/>
  <c r="AE46" i="21"/>
  <c r="AE47" i="21"/>
  <c r="AE48" i="21"/>
  <c r="AD3" i="21"/>
  <c r="AD4" i="21"/>
  <c r="AD5" i="21"/>
  <c r="AD6" i="21"/>
  <c r="AD7" i="21"/>
  <c r="AD8" i="21"/>
  <c r="AD9" i="21"/>
  <c r="AD10" i="21"/>
  <c r="AD11" i="21"/>
  <c r="AD12" i="21"/>
  <c r="AD13" i="21"/>
  <c r="AD14" i="21"/>
  <c r="AD15" i="21"/>
  <c r="AD16" i="21"/>
  <c r="AD17" i="21"/>
  <c r="AD18" i="21"/>
  <c r="AD19" i="21"/>
  <c r="AD20" i="21"/>
  <c r="AD21" i="21"/>
  <c r="AD22" i="21"/>
  <c r="AD23" i="21"/>
  <c r="AD24" i="21"/>
  <c r="AD25" i="21"/>
  <c r="AD26" i="21"/>
  <c r="AD27" i="21"/>
  <c r="AD28" i="21"/>
  <c r="AD29" i="21"/>
  <c r="AD30" i="21"/>
  <c r="AD31" i="21"/>
  <c r="AD32" i="21"/>
  <c r="AD33" i="21"/>
  <c r="AD34" i="21"/>
  <c r="AD35" i="21"/>
  <c r="AD36" i="21"/>
  <c r="AD37" i="21"/>
  <c r="AD38" i="21"/>
  <c r="AD39" i="21"/>
  <c r="AD40" i="21"/>
  <c r="AD41" i="21"/>
  <c r="AD42" i="21"/>
  <c r="AD43" i="21"/>
  <c r="AD44" i="21"/>
  <c r="AD45" i="21"/>
  <c r="AD46" i="21"/>
  <c r="AD47" i="21"/>
  <c r="AD48" i="21"/>
  <c r="AD2" i="21"/>
  <c r="AE2" i="21"/>
  <c r="AF2" i="21"/>
  <c r="AC3" i="21"/>
  <c r="AC4" i="21"/>
  <c r="AC5" i="21"/>
  <c r="AC6" i="21"/>
  <c r="AC7" i="21"/>
  <c r="AC8" i="21"/>
  <c r="AC9" i="21"/>
  <c r="AC10" i="21"/>
  <c r="AC11" i="21"/>
  <c r="AC12" i="21"/>
  <c r="AC13" i="21"/>
  <c r="AC14" i="21"/>
  <c r="AC15" i="21"/>
  <c r="AC16" i="21"/>
  <c r="AC17" i="21"/>
  <c r="AC18" i="21"/>
  <c r="AC19" i="21"/>
  <c r="AC20" i="21"/>
  <c r="AC21" i="21"/>
  <c r="AC22" i="21"/>
  <c r="AC23" i="21"/>
  <c r="AC24" i="21"/>
  <c r="AC25" i="21"/>
  <c r="AC26" i="21"/>
  <c r="AC27" i="21"/>
  <c r="AC28" i="21"/>
  <c r="AC29" i="21"/>
  <c r="AC30" i="21"/>
  <c r="AC31" i="21"/>
  <c r="AC32" i="21"/>
  <c r="AC33" i="21"/>
  <c r="AC34" i="21"/>
  <c r="AC35" i="21"/>
  <c r="AC36" i="21"/>
  <c r="AC37" i="21"/>
  <c r="AC38" i="21"/>
  <c r="AC39" i="21"/>
  <c r="AC40" i="21"/>
  <c r="AC41" i="21"/>
  <c r="AC42" i="21"/>
  <c r="AC43" i="21"/>
  <c r="AC44" i="21"/>
  <c r="AC45" i="21"/>
  <c r="AC46" i="21"/>
  <c r="AC47" i="21"/>
  <c r="AC48" i="21"/>
  <c r="AC2" i="21"/>
  <c r="I44" i="20"/>
  <c r="Z44" i="20" s="1"/>
  <c r="I45" i="20"/>
  <c r="Z45" i="20" s="1"/>
  <c r="I46" i="20"/>
  <c r="N46" i="20" s="1"/>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H42" i="20" s="1"/>
  <c r="D43" i="20"/>
  <c r="D44" i="20"/>
  <c r="D45" i="20"/>
  <c r="D46" i="20"/>
  <c r="D47" i="20"/>
  <c r="D48" i="20"/>
  <c r="D49" i="20"/>
  <c r="D50" i="20"/>
  <c r="D51" i="20"/>
  <c r="D52" i="20"/>
  <c r="D6" i="20"/>
  <c r="E7" i="20"/>
  <c r="F7" i="20" s="1"/>
  <c r="I7" i="20" s="1"/>
  <c r="Z7" i="20" s="1"/>
  <c r="E8" i="20"/>
  <c r="F8" i="20" s="1"/>
  <c r="I8" i="20" s="1"/>
  <c r="Z8" i="20" s="1"/>
  <c r="E9" i="20"/>
  <c r="F9" i="20" s="1"/>
  <c r="I9" i="20" s="1"/>
  <c r="E10" i="20"/>
  <c r="F10" i="20" s="1"/>
  <c r="I10" i="20" s="1"/>
  <c r="E11" i="20"/>
  <c r="F11" i="20" s="1"/>
  <c r="I11" i="20" s="1"/>
  <c r="N11" i="20" s="1"/>
  <c r="E12" i="20"/>
  <c r="F12" i="20" s="1"/>
  <c r="I12" i="20" s="1"/>
  <c r="Z12" i="20" s="1"/>
  <c r="E13" i="20"/>
  <c r="F13" i="20" s="1"/>
  <c r="I13" i="20" s="1"/>
  <c r="Z13" i="20" s="1"/>
  <c r="E14" i="20"/>
  <c r="F14" i="20" s="1"/>
  <c r="I14" i="20" s="1"/>
  <c r="N14" i="20" s="1"/>
  <c r="T14" i="20" s="1"/>
  <c r="X14" i="20" s="1"/>
  <c r="E15" i="20"/>
  <c r="F15" i="20" s="1"/>
  <c r="I15" i="20" s="1"/>
  <c r="N15" i="20" s="1"/>
  <c r="E16" i="20"/>
  <c r="F16" i="20" s="1"/>
  <c r="I16" i="20" s="1"/>
  <c r="Z16" i="20" s="1"/>
  <c r="E17" i="20"/>
  <c r="F17" i="20" s="1"/>
  <c r="I17" i="20" s="1"/>
  <c r="Z17" i="20" s="1"/>
  <c r="E18" i="20"/>
  <c r="F18" i="20" s="1"/>
  <c r="I18" i="20" s="1"/>
  <c r="Z18" i="20" s="1"/>
  <c r="E19" i="20"/>
  <c r="F19" i="20" s="1"/>
  <c r="I19" i="20" s="1"/>
  <c r="N19" i="20" s="1"/>
  <c r="E20" i="20"/>
  <c r="F20" i="20" s="1"/>
  <c r="H20" i="20" s="1"/>
  <c r="E21" i="20"/>
  <c r="F21" i="20" s="1"/>
  <c r="H21" i="20" s="1"/>
  <c r="E22" i="20"/>
  <c r="F22" i="20" s="1"/>
  <c r="H22" i="20" s="1"/>
  <c r="E23" i="20"/>
  <c r="F23" i="20" s="1"/>
  <c r="I23" i="20" s="1"/>
  <c r="N23" i="20" s="1"/>
  <c r="E24" i="20"/>
  <c r="F24" i="20" s="1"/>
  <c r="I24" i="20" s="1"/>
  <c r="Z24" i="20" s="1"/>
  <c r="E25" i="20"/>
  <c r="F25" i="20" s="1"/>
  <c r="I25" i="20" s="1"/>
  <c r="Z25" i="20" s="1"/>
  <c r="E26" i="20"/>
  <c r="F26" i="20" s="1"/>
  <c r="I26" i="20" s="1"/>
  <c r="N26" i="20" s="1"/>
  <c r="E27" i="20"/>
  <c r="F27" i="20" s="1"/>
  <c r="I27" i="20" s="1"/>
  <c r="N27" i="20" s="1"/>
  <c r="E28" i="20"/>
  <c r="F28" i="20" s="1"/>
  <c r="I28" i="20" s="1"/>
  <c r="Z28" i="20" s="1"/>
  <c r="E29" i="20"/>
  <c r="F29" i="20" s="1"/>
  <c r="I29" i="20" s="1"/>
  <c r="N29" i="20" s="1"/>
  <c r="E30" i="20"/>
  <c r="F30" i="20" s="1"/>
  <c r="I30" i="20" s="1"/>
  <c r="N30" i="20" s="1"/>
  <c r="E31" i="20"/>
  <c r="F31" i="20" s="1"/>
  <c r="I31" i="20" s="1"/>
  <c r="N31" i="20" s="1"/>
  <c r="E32" i="20"/>
  <c r="F32" i="20" s="1"/>
  <c r="I32" i="20" s="1"/>
  <c r="Z32" i="20" s="1"/>
  <c r="E33" i="20"/>
  <c r="F33" i="20" s="1"/>
  <c r="I33" i="20" s="1"/>
  <c r="Z33" i="20" s="1"/>
  <c r="E34" i="20"/>
  <c r="F34" i="20" s="1"/>
  <c r="H34" i="20" s="1"/>
  <c r="E35" i="20"/>
  <c r="F35" i="20" s="1"/>
  <c r="I35" i="20" s="1"/>
  <c r="N35" i="20" s="1"/>
  <c r="E36" i="20"/>
  <c r="F36" i="20" s="1"/>
  <c r="I36" i="20" s="1"/>
  <c r="Z36" i="20" s="1"/>
  <c r="E37" i="20"/>
  <c r="F37" i="20" s="1"/>
  <c r="I37" i="20" s="1"/>
  <c r="Z37" i="20" s="1"/>
  <c r="E38" i="20"/>
  <c r="F38" i="20" s="1"/>
  <c r="I38" i="20" s="1"/>
  <c r="Z38" i="20" s="1"/>
  <c r="E39" i="20"/>
  <c r="F39" i="20" s="1"/>
  <c r="I39" i="20" s="1"/>
  <c r="Z39" i="20" s="1"/>
  <c r="E40" i="20"/>
  <c r="F40" i="20" s="1"/>
  <c r="I40" i="20" s="1"/>
  <c r="Z40" i="20" s="1"/>
  <c r="E41" i="20"/>
  <c r="F41" i="20" s="1"/>
  <c r="I41" i="20" s="1"/>
  <c r="Z41" i="20" s="1"/>
  <c r="E42" i="20"/>
  <c r="F42" i="20" s="1"/>
  <c r="I42" i="20" s="1"/>
  <c r="Z42" i="20" s="1"/>
  <c r="E43" i="20"/>
  <c r="F43" i="20" s="1"/>
  <c r="I43" i="20" s="1"/>
  <c r="N43" i="20" s="1"/>
  <c r="E44" i="20"/>
  <c r="F44" i="20" s="1"/>
  <c r="H44" i="20" s="1"/>
  <c r="E45" i="20"/>
  <c r="F45" i="20" s="1"/>
  <c r="H45" i="20" s="1"/>
  <c r="E46" i="20"/>
  <c r="F46" i="20" s="1"/>
  <c r="H46" i="20" s="1"/>
  <c r="E47" i="20"/>
  <c r="F47" i="20" s="1"/>
  <c r="I47" i="20" s="1"/>
  <c r="N47" i="20" s="1"/>
  <c r="E48" i="20"/>
  <c r="F48" i="20" s="1"/>
  <c r="I48" i="20" s="1"/>
  <c r="Z48" i="20" s="1"/>
  <c r="E49" i="20"/>
  <c r="F49" i="20" s="1"/>
  <c r="I49" i="20" s="1"/>
  <c r="Z49" i="20" s="1"/>
  <c r="E50" i="20"/>
  <c r="F50" i="20" s="1"/>
  <c r="I50" i="20" s="1"/>
  <c r="Z50" i="20" s="1"/>
  <c r="E51" i="20"/>
  <c r="F51" i="20" s="1"/>
  <c r="I51" i="20" s="1"/>
  <c r="Z51" i="20" s="1"/>
  <c r="E52" i="20"/>
  <c r="F52" i="20" s="1"/>
  <c r="I52" i="20" s="1"/>
  <c r="Z52" i="20" s="1"/>
  <c r="E6" i="20"/>
  <c r="F6" i="20" s="1"/>
  <c r="I6" i="20" s="1"/>
  <c r="J52" i="20"/>
  <c r="J51" i="20"/>
  <c r="J50" i="20"/>
  <c r="J49" i="20"/>
  <c r="J48" i="20"/>
  <c r="J47" i="20"/>
  <c r="J46" i="20"/>
  <c r="J45" i="20"/>
  <c r="J44" i="20"/>
  <c r="J43" i="20"/>
  <c r="J42" i="20"/>
  <c r="J41" i="20"/>
  <c r="J40" i="20"/>
  <c r="J39" i="20"/>
  <c r="J38" i="20"/>
  <c r="J37" i="20"/>
  <c r="J36" i="20"/>
  <c r="J35" i="20"/>
  <c r="J34" i="20"/>
  <c r="J33" i="20"/>
  <c r="J32" i="20"/>
  <c r="J31" i="20"/>
  <c r="J30" i="20"/>
  <c r="J29" i="20"/>
  <c r="J28" i="20"/>
  <c r="J27" i="20"/>
  <c r="J26" i="20"/>
  <c r="J25" i="20"/>
  <c r="J24" i="20"/>
  <c r="J23" i="20"/>
  <c r="J22" i="20"/>
  <c r="J21" i="20"/>
  <c r="J20" i="20"/>
  <c r="J19" i="20"/>
  <c r="J18" i="20"/>
  <c r="J17" i="20"/>
  <c r="J16" i="20"/>
  <c r="J15" i="20"/>
  <c r="J14" i="20"/>
  <c r="J13" i="20"/>
  <c r="J12" i="20"/>
  <c r="J11" i="20"/>
  <c r="J10" i="20"/>
  <c r="J9" i="20"/>
  <c r="J8" i="20"/>
  <c r="J7" i="20"/>
  <c r="J6" i="20"/>
  <c r="J53" i="20" s="1"/>
  <c r="I20" i="27" l="1"/>
  <c r="H20" i="27"/>
  <c r="H15" i="27"/>
  <c r="I15" i="27"/>
  <c r="I53" i="27" s="1"/>
  <c r="Z52" i="27"/>
  <c r="N52" i="27"/>
  <c r="N51" i="27"/>
  <c r="Z51" i="27"/>
  <c r="N50" i="27"/>
  <c r="Z50" i="27"/>
  <c r="Z49" i="27"/>
  <c r="N49" i="27"/>
  <c r="Z48" i="27"/>
  <c r="N48" i="27"/>
  <c r="Z47" i="27"/>
  <c r="N47" i="27"/>
  <c r="N46" i="27"/>
  <c r="Z46" i="27"/>
  <c r="N45" i="27"/>
  <c r="Z45" i="27"/>
  <c r="Z44" i="27"/>
  <c r="N44" i="27"/>
  <c r="Z43" i="27"/>
  <c r="N43" i="27"/>
  <c r="Z42" i="27"/>
  <c r="N42" i="27"/>
  <c r="Z41" i="27"/>
  <c r="N41" i="27"/>
  <c r="N40" i="27"/>
  <c r="Z40" i="27"/>
  <c r="N39" i="27"/>
  <c r="Z39" i="27"/>
  <c r="Z38" i="27"/>
  <c r="N38" i="27"/>
  <c r="N37" i="27"/>
  <c r="Z37" i="27"/>
  <c r="N36" i="27"/>
  <c r="Z36" i="27"/>
  <c r="Z35" i="27"/>
  <c r="N35" i="27"/>
  <c r="Z34" i="27"/>
  <c r="N34" i="27"/>
  <c r="N33" i="27"/>
  <c r="Z33" i="27"/>
  <c r="Z32" i="27"/>
  <c r="N32" i="27"/>
  <c r="Z31" i="27"/>
  <c r="N31" i="27"/>
  <c r="Z30" i="27"/>
  <c r="N30" i="27"/>
  <c r="Z29" i="27"/>
  <c r="N29" i="27"/>
  <c r="N28" i="27"/>
  <c r="Z28" i="27"/>
  <c r="N27" i="27"/>
  <c r="Z27" i="27"/>
  <c r="Z26" i="27"/>
  <c r="N26" i="27"/>
  <c r="Z25" i="27"/>
  <c r="N25" i="27"/>
  <c r="Z24" i="27"/>
  <c r="N24" i="27"/>
  <c r="N23" i="27"/>
  <c r="Z23" i="27"/>
  <c r="N22" i="27"/>
  <c r="Z22" i="27"/>
  <c r="N21" i="27"/>
  <c r="Z21" i="27"/>
  <c r="N20" i="27"/>
  <c r="Z20" i="27"/>
  <c r="N19" i="27"/>
  <c r="Z19" i="27"/>
  <c r="N18" i="27"/>
  <c r="Z18" i="27"/>
  <c r="N17" i="27"/>
  <c r="Z17" i="27"/>
  <c r="N16" i="27"/>
  <c r="Z16" i="27"/>
  <c r="N15" i="27"/>
  <c r="Z15" i="27"/>
  <c r="N14" i="27"/>
  <c r="Z14" i="27"/>
  <c r="N13" i="27"/>
  <c r="Z13" i="27"/>
  <c r="Z12" i="27"/>
  <c r="N12" i="27"/>
  <c r="N11" i="27"/>
  <c r="Z11" i="27"/>
  <c r="N10" i="27"/>
  <c r="Z10" i="27"/>
  <c r="N9" i="27"/>
  <c r="Z9" i="27"/>
  <c r="N8" i="27"/>
  <c r="Z8" i="27"/>
  <c r="Z7" i="27"/>
  <c r="N7" i="27"/>
  <c r="Z6" i="27"/>
  <c r="N6" i="27"/>
  <c r="H13" i="20"/>
  <c r="H15" i="20"/>
  <c r="H18" i="20"/>
  <c r="H39" i="20"/>
  <c r="H12" i="20"/>
  <c r="H16" i="20"/>
  <c r="H24" i="20"/>
  <c r="H25" i="20"/>
  <c r="H36" i="20"/>
  <c r="H37" i="20"/>
  <c r="H48" i="20"/>
  <c r="H49" i="20"/>
  <c r="E53" i="27"/>
  <c r="F53" i="27"/>
  <c r="H53" i="27" s="1"/>
  <c r="D53" i="27"/>
  <c r="H40" i="20"/>
  <c r="H30" i="20"/>
  <c r="H52" i="20"/>
  <c r="H28" i="20"/>
  <c r="H51" i="20"/>
  <c r="H27" i="20"/>
  <c r="H50" i="20"/>
  <c r="H26" i="20"/>
  <c r="H38" i="20"/>
  <c r="H14" i="20"/>
  <c r="F53" i="20"/>
  <c r="Z10" i="20"/>
  <c r="N10" i="20"/>
  <c r="H6" i="20"/>
  <c r="H41" i="20"/>
  <c r="H29" i="20"/>
  <c r="H17" i="20"/>
  <c r="I34" i="20"/>
  <c r="H47" i="20"/>
  <c r="H35" i="20"/>
  <c r="H23" i="20"/>
  <c r="H11" i="20"/>
  <c r="I22" i="20"/>
  <c r="N22" i="20" s="1"/>
  <c r="T22" i="20" s="1"/>
  <c r="H10" i="20"/>
  <c r="I21" i="20"/>
  <c r="N21" i="20" s="1"/>
  <c r="H33" i="20"/>
  <c r="H9" i="20"/>
  <c r="I20" i="20"/>
  <c r="H32" i="20"/>
  <c r="H8" i="20"/>
  <c r="H43" i="20"/>
  <c r="H31" i="20"/>
  <c r="H19" i="20"/>
  <c r="H7" i="20"/>
  <c r="N45" i="20"/>
  <c r="T45" i="20" s="1"/>
  <c r="AA45" i="20" s="1"/>
  <c r="AD45" i="20" s="1"/>
  <c r="N9" i="20"/>
  <c r="T9" i="20" s="1"/>
  <c r="V9" i="20" s="1"/>
  <c r="Z9" i="20"/>
  <c r="Z46" i="20"/>
  <c r="Z29" i="20"/>
  <c r="N17" i="20"/>
  <c r="T17" i="20" s="1"/>
  <c r="AA17" i="20" s="1"/>
  <c r="R29" i="20"/>
  <c r="P29" i="20"/>
  <c r="N18" i="20"/>
  <c r="R18" i="20" s="1"/>
  <c r="N42" i="20"/>
  <c r="T42" i="20" s="1"/>
  <c r="X42" i="20" s="1"/>
  <c r="T29" i="20"/>
  <c r="V29" i="20" s="1"/>
  <c r="Z26" i="20"/>
  <c r="Z14" i="20"/>
  <c r="AA14" i="20" s="1"/>
  <c r="N51" i="20"/>
  <c r="R51" i="20" s="1"/>
  <c r="N39" i="20"/>
  <c r="Q29" i="20"/>
  <c r="R10" i="20"/>
  <c r="Q10" i="20"/>
  <c r="P10" i="20"/>
  <c r="T10" i="20"/>
  <c r="V10" i="20" s="1"/>
  <c r="T46" i="20"/>
  <c r="AA46" i="20" s="1"/>
  <c r="R46" i="20"/>
  <c r="Q46" i="20"/>
  <c r="P46" i="20"/>
  <c r="Q30" i="20"/>
  <c r="T30" i="20"/>
  <c r="X30" i="20" s="1"/>
  <c r="R30" i="20"/>
  <c r="P30" i="20"/>
  <c r="T26" i="20"/>
  <c r="X26" i="20" s="1"/>
  <c r="R26" i="20"/>
  <c r="P26" i="20"/>
  <c r="Q26" i="20"/>
  <c r="N36" i="20"/>
  <c r="Q36" i="20" s="1"/>
  <c r="N41" i="20"/>
  <c r="Q41" i="20" s="1"/>
  <c r="Z43" i="20"/>
  <c r="N48" i="20"/>
  <c r="Q48" i="20" s="1"/>
  <c r="N38" i="20"/>
  <c r="E53" i="20"/>
  <c r="R14" i="20"/>
  <c r="Z30" i="20"/>
  <c r="Q14" i="20"/>
  <c r="N25" i="20"/>
  <c r="P25" i="20" s="1"/>
  <c r="N33" i="20"/>
  <c r="T33" i="20" s="1"/>
  <c r="X33" i="20" s="1"/>
  <c r="Z47" i="20"/>
  <c r="N50" i="20"/>
  <c r="N8" i="20"/>
  <c r="P8" i="20" s="1"/>
  <c r="N13" i="20"/>
  <c r="P13" i="20" s="1"/>
  <c r="N37" i="20"/>
  <c r="N49" i="20"/>
  <c r="P14" i="20"/>
  <c r="Q17" i="20"/>
  <c r="Z27" i="20"/>
  <c r="Z35" i="20"/>
  <c r="D53" i="20"/>
  <c r="N6" i="20"/>
  <c r="R6" i="20" s="1"/>
  <c r="R19" i="20"/>
  <c r="Q19" i="20"/>
  <c r="P19" i="20"/>
  <c r="T19" i="20"/>
  <c r="N24" i="20"/>
  <c r="N32" i="20"/>
  <c r="R11" i="20"/>
  <c r="Q11" i="20"/>
  <c r="P11" i="20"/>
  <c r="T11" i="20"/>
  <c r="W14" i="20"/>
  <c r="N16" i="20"/>
  <c r="V14" i="20"/>
  <c r="Z23" i="20"/>
  <c r="Z6" i="20"/>
  <c r="N7" i="20"/>
  <c r="Z19" i="20"/>
  <c r="R35" i="20"/>
  <c r="Q35" i="20"/>
  <c r="P35" i="20"/>
  <c r="T35" i="20"/>
  <c r="R31" i="20"/>
  <c r="Q31" i="20"/>
  <c r="P31" i="20"/>
  <c r="T31" i="20"/>
  <c r="N12" i="20"/>
  <c r="N52" i="20"/>
  <c r="R27" i="20"/>
  <c r="Q27" i="20"/>
  <c r="P27" i="20"/>
  <c r="T27" i="20"/>
  <c r="N40" i="20"/>
  <c r="R43" i="20"/>
  <c r="Q43" i="20"/>
  <c r="P43" i="20"/>
  <c r="T43" i="20"/>
  <c r="N44" i="20"/>
  <c r="R15" i="20"/>
  <c r="Q15" i="20"/>
  <c r="P15" i="20"/>
  <c r="T15" i="20"/>
  <c r="Z15" i="20"/>
  <c r="Z31" i="20"/>
  <c r="R47" i="20"/>
  <c r="Q47" i="20"/>
  <c r="P47" i="20"/>
  <c r="T47" i="20"/>
  <c r="Z11" i="20"/>
  <c r="N28" i="20"/>
  <c r="R23" i="20"/>
  <c r="Q23" i="20"/>
  <c r="P23" i="20"/>
  <c r="T23" i="20"/>
  <c r="AI7" i="17"/>
  <c r="AI6" i="17"/>
  <c r="AF7" i="17"/>
  <c r="AF8" i="17"/>
  <c r="AF9" i="17"/>
  <c r="AF10" i="17"/>
  <c r="AF11" i="17"/>
  <c r="AF12" i="17"/>
  <c r="AF13" i="17"/>
  <c r="AF14" i="17"/>
  <c r="AF15" i="17"/>
  <c r="AF16" i="17"/>
  <c r="AF17" i="17"/>
  <c r="AF18" i="17"/>
  <c r="AF19" i="17"/>
  <c r="AF20" i="17"/>
  <c r="AF21" i="17"/>
  <c r="AF22" i="17"/>
  <c r="AF23" i="17"/>
  <c r="AF24" i="17"/>
  <c r="AF25" i="17"/>
  <c r="AF26" i="17"/>
  <c r="AF27" i="17"/>
  <c r="AF28" i="17"/>
  <c r="AF29" i="17"/>
  <c r="AF30" i="17"/>
  <c r="AF31" i="17"/>
  <c r="AF32" i="17"/>
  <c r="AF33" i="17"/>
  <c r="AF34" i="17"/>
  <c r="AF35" i="17"/>
  <c r="AF36" i="17"/>
  <c r="AF37" i="17"/>
  <c r="AF38" i="17"/>
  <c r="AF39" i="17"/>
  <c r="AF40" i="17"/>
  <c r="AF41" i="17"/>
  <c r="AF42" i="17"/>
  <c r="AF43" i="17"/>
  <c r="AF44" i="17"/>
  <c r="AF45" i="17"/>
  <c r="AF46" i="17"/>
  <c r="AF47" i="17"/>
  <c r="AF48" i="17"/>
  <c r="AF49" i="17"/>
  <c r="AF50" i="17"/>
  <c r="AF51" i="17"/>
  <c r="AF52" i="17"/>
  <c r="AF6" i="17"/>
  <c r="AE7" i="17"/>
  <c r="AE8" i="17"/>
  <c r="AE9" i="17"/>
  <c r="AE10" i="17"/>
  <c r="AE11" i="17"/>
  <c r="AE12" i="17"/>
  <c r="AE13" i="17"/>
  <c r="AE14" i="17"/>
  <c r="AE15" i="17"/>
  <c r="AE16" i="17"/>
  <c r="AE17" i="17"/>
  <c r="AE18" i="17"/>
  <c r="AE19" i="17"/>
  <c r="AE20" i="17"/>
  <c r="AE21" i="17"/>
  <c r="AE22" i="17"/>
  <c r="AE23" i="17"/>
  <c r="AE24" i="17"/>
  <c r="AE25" i="17"/>
  <c r="AE26" i="17"/>
  <c r="AE27" i="17"/>
  <c r="AE28" i="17"/>
  <c r="AE29" i="17"/>
  <c r="AE30" i="17"/>
  <c r="AE31" i="17"/>
  <c r="AE32" i="17"/>
  <c r="AE33" i="17"/>
  <c r="AE34" i="17"/>
  <c r="AE35" i="17"/>
  <c r="AE36" i="17"/>
  <c r="AE37" i="17"/>
  <c r="AE38" i="17"/>
  <c r="AE39" i="17"/>
  <c r="AE40" i="17"/>
  <c r="AE41" i="17"/>
  <c r="AE42" i="17"/>
  <c r="AE43" i="17"/>
  <c r="AE44" i="17"/>
  <c r="AE45" i="17"/>
  <c r="AE46" i="17"/>
  <c r="AE47" i="17"/>
  <c r="AE48" i="17"/>
  <c r="AE49" i="17"/>
  <c r="AE50" i="17"/>
  <c r="AE51" i="17"/>
  <c r="AE52" i="17"/>
  <c r="AE6" i="17"/>
  <c r="AD6" i="17"/>
  <c r="AD7" i="17"/>
  <c r="AD8" i="17"/>
  <c r="AD9" i="17"/>
  <c r="AD10" i="17"/>
  <c r="AD11" i="17"/>
  <c r="AD12" i="17"/>
  <c r="AD13" i="17"/>
  <c r="AD14" i="17"/>
  <c r="AD15" i="17"/>
  <c r="AD16" i="17"/>
  <c r="AD17" i="17"/>
  <c r="AD18" i="17"/>
  <c r="AD19" i="17"/>
  <c r="AD20" i="17"/>
  <c r="AD21" i="17"/>
  <c r="AD22" i="17"/>
  <c r="AD23" i="17"/>
  <c r="AD24" i="17"/>
  <c r="AD25" i="17"/>
  <c r="AD26" i="17"/>
  <c r="AD27" i="17"/>
  <c r="AD28" i="17"/>
  <c r="AD29" i="17"/>
  <c r="AD30" i="17"/>
  <c r="AD31" i="17"/>
  <c r="AD32" i="17"/>
  <c r="AD33" i="17"/>
  <c r="AD34" i="17"/>
  <c r="AD35" i="17"/>
  <c r="AD36" i="17"/>
  <c r="AD37" i="17"/>
  <c r="AD38" i="17"/>
  <c r="AD39" i="17"/>
  <c r="AD40" i="17"/>
  <c r="AD41" i="17"/>
  <c r="AD42" i="17"/>
  <c r="AD43" i="17"/>
  <c r="AD44" i="17"/>
  <c r="AD45" i="17"/>
  <c r="AD46" i="17"/>
  <c r="AD47" i="17"/>
  <c r="AD48" i="17"/>
  <c r="AD49" i="17"/>
  <c r="AD50" i="17"/>
  <c r="AD51" i="17"/>
  <c r="AD52" i="17"/>
  <c r="P52" i="27" l="1"/>
  <c r="T52" i="27"/>
  <c r="R52" i="27"/>
  <c r="Q52" i="27"/>
  <c r="P51" i="27"/>
  <c r="Q51" i="27"/>
  <c r="T51" i="27"/>
  <c r="R51" i="27"/>
  <c r="T50" i="27"/>
  <c r="R50" i="27"/>
  <c r="P50" i="27"/>
  <c r="Q50" i="27"/>
  <c r="T49" i="27"/>
  <c r="Q49" i="27"/>
  <c r="P49" i="27"/>
  <c r="R49" i="27"/>
  <c r="P48" i="27"/>
  <c r="R48" i="27"/>
  <c r="T48" i="27"/>
  <c r="Q48" i="27"/>
  <c r="P47" i="27"/>
  <c r="Q47" i="27"/>
  <c r="R47" i="27"/>
  <c r="T47" i="27"/>
  <c r="P46" i="27"/>
  <c r="Q46" i="27"/>
  <c r="T46" i="27"/>
  <c r="R46" i="27"/>
  <c r="P45" i="27"/>
  <c r="R45" i="27"/>
  <c r="T45" i="27"/>
  <c r="Q45" i="27"/>
  <c r="P44" i="27"/>
  <c r="Q44" i="27"/>
  <c r="T44" i="27"/>
  <c r="R44" i="27"/>
  <c r="P43" i="27"/>
  <c r="Q43" i="27"/>
  <c r="R43" i="27"/>
  <c r="T43" i="27"/>
  <c r="P42" i="27"/>
  <c r="Q42" i="27"/>
  <c r="T42" i="27"/>
  <c r="R42" i="27"/>
  <c r="P41" i="27"/>
  <c r="T41" i="27"/>
  <c r="R41" i="27"/>
  <c r="Q41" i="27"/>
  <c r="R40" i="27"/>
  <c r="Q40" i="27"/>
  <c r="P39" i="27"/>
  <c r="R39" i="27"/>
  <c r="T39" i="27"/>
  <c r="Q39" i="27"/>
  <c r="Q38" i="27"/>
  <c r="R38" i="27"/>
  <c r="R37" i="27"/>
  <c r="Q37" i="27"/>
  <c r="Q36" i="27"/>
  <c r="R36" i="27"/>
  <c r="Q35" i="27"/>
  <c r="R35" i="27"/>
  <c r="P40" i="27"/>
  <c r="T40" i="27"/>
  <c r="T38" i="27"/>
  <c r="P38" i="27"/>
  <c r="T37" i="27"/>
  <c r="P37" i="27"/>
  <c r="P36" i="27"/>
  <c r="T36" i="27"/>
  <c r="P35" i="27"/>
  <c r="T35" i="27"/>
  <c r="P34" i="27"/>
  <c r="T34" i="27"/>
  <c r="AA34" i="27" s="1"/>
  <c r="AC34" i="27" s="1"/>
  <c r="P33" i="27"/>
  <c r="T33" i="27"/>
  <c r="T32" i="27"/>
  <c r="P32" i="27"/>
  <c r="P31" i="27"/>
  <c r="T31" i="27"/>
  <c r="P30" i="27"/>
  <c r="T30" i="27"/>
  <c r="T29" i="27"/>
  <c r="P29" i="27"/>
  <c r="T28" i="27"/>
  <c r="P28" i="27"/>
  <c r="P27" i="27"/>
  <c r="T27" i="27"/>
  <c r="P26" i="27"/>
  <c r="T26" i="27"/>
  <c r="P25" i="27"/>
  <c r="T25" i="27"/>
  <c r="P24" i="27"/>
  <c r="T24" i="27"/>
  <c r="P23" i="27"/>
  <c r="T23" i="27"/>
  <c r="P22" i="27"/>
  <c r="T22" i="27"/>
  <c r="P21" i="27"/>
  <c r="T21" i="27"/>
  <c r="P20" i="27"/>
  <c r="T20" i="27"/>
  <c r="P19" i="27"/>
  <c r="T19" i="27"/>
  <c r="R34" i="27"/>
  <c r="Q34" i="27"/>
  <c r="R33" i="27"/>
  <c r="Q33" i="27"/>
  <c r="Q32" i="27"/>
  <c r="R32" i="27"/>
  <c r="R31" i="27"/>
  <c r="Q31" i="27"/>
  <c r="Q30" i="27"/>
  <c r="R30" i="27"/>
  <c r="R29" i="27"/>
  <c r="Q29" i="27"/>
  <c r="R28" i="27"/>
  <c r="Q28" i="27"/>
  <c r="R27" i="27"/>
  <c r="Q27" i="27"/>
  <c r="R26" i="27"/>
  <c r="Q26" i="27"/>
  <c r="R25" i="27"/>
  <c r="Q25" i="27"/>
  <c r="R24" i="27"/>
  <c r="Q24" i="27"/>
  <c r="R23" i="27"/>
  <c r="Q23" i="27"/>
  <c r="R22" i="27"/>
  <c r="Q22" i="27"/>
  <c r="R21" i="27"/>
  <c r="Q21" i="27"/>
  <c r="R20" i="27"/>
  <c r="Q20" i="27"/>
  <c r="R19" i="27"/>
  <c r="Q19" i="27"/>
  <c r="P18" i="27"/>
  <c r="T18" i="27"/>
  <c r="R18" i="27"/>
  <c r="Q18" i="27"/>
  <c r="P17" i="27"/>
  <c r="Q17" i="27"/>
  <c r="R17" i="27"/>
  <c r="T17" i="27"/>
  <c r="P16" i="27"/>
  <c r="Q16" i="27"/>
  <c r="T16" i="27"/>
  <c r="R16" i="27"/>
  <c r="P15" i="27"/>
  <c r="T15" i="27"/>
  <c r="R15" i="27"/>
  <c r="Q15" i="27"/>
  <c r="P14" i="27"/>
  <c r="Q14" i="27"/>
  <c r="T14" i="27"/>
  <c r="R14" i="27"/>
  <c r="P13" i="27"/>
  <c r="Q13" i="27"/>
  <c r="R13" i="27"/>
  <c r="T13" i="27"/>
  <c r="P12" i="27"/>
  <c r="R12" i="27"/>
  <c r="T12" i="27"/>
  <c r="Q12" i="27"/>
  <c r="P11" i="27"/>
  <c r="Q11" i="27"/>
  <c r="R11" i="27"/>
  <c r="T11" i="27"/>
  <c r="P10" i="27"/>
  <c r="T10" i="27"/>
  <c r="R10" i="27"/>
  <c r="Q10" i="27"/>
  <c r="R9" i="27"/>
  <c r="T9" i="27"/>
  <c r="Q9" i="27"/>
  <c r="P9" i="27"/>
  <c r="R8" i="27"/>
  <c r="P8" i="27"/>
  <c r="Q8" i="27"/>
  <c r="T8" i="27"/>
  <c r="R7" i="27"/>
  <c r="T7" i="27"/>
  <c r="Q7" i="27"/>
  <c r="P7" i="27"/>
  <c r="T6" i="27"/>
  <c r="P6" i="27"/>
  <c r="P53" i="27" s="1"/>
  <c r="Q6" i="27"/>
  <c r="Q53" i="27" s="1"/>
  <c r="R6" i="27"/>
  <c r="R53" i="27" s="1"/>
  <c r="N53" i="27"/>
  <c r="Z53" i="27"/>
  <c r="T21" i="20"/>
  <c r="V21" i="20" s="1"/>
  <c r="R21" i="20"/>
  <c r="R39" i="20"/>
  <c r="P39" i="20"/>
  <c r="I53" i="20"/>
  <c r="W9" i="20"/>
  <c r="Q9" i="20"/>
  <c r="P9" i="20"/>
  <c r="R9" i="20"/>
  <c r="AA9" i="20"/>
  <c r="AC9" i="20" s="1"/>
  <c r="H53" i="20"/>
  <c r="P21" i="20"/>
  <c r="X9" i="20"/>
  <c r="W21" i="20"/>
  <c r="W17" i="20"/>
  <c r="Z34" i="20"/>
  <c r="N34" i="20"/>
  <c r="X45" i="20"/>
  <c r="P22" i="20"/>
  <c r="Q18" i="20"/>
  <c r="W45" i="20"/>
  <c r="N20" i="20"/>
  <c r="N53" i="20" s="1"/>
  <c r="Z20" i="20"/>
  <c r="Q22" i="20"/>
  <c r="V45" i="20"/>
  <c r="X21" i="20"/>
  <c r="R45" i="20"/>
  <c r="Z21" i="20"/>
  <c r="AA21" i="20" s="1"/>
  <c r="AC21" i="20" s="1"/>
  <c r="Q45" i="20"/>
  <c r="R22" i="20"/>
  <c r="P18" i="20"/>
  <c r="Z22" i="20"/>
  <c r="AA22" i="20" s="1"/>
  <c r="AD22" i="20" s="1"/>
  <c r="Q21" i="20"/>
  <c r="P45" i="20"/>
  <c r="V17" i="20"/>
  <c r="X29" i="20"/>
  <c r="X17" i="20"/>
  <c r="Q42" i="20"/>
  <c r="AC45" i="20"/>
  <c r="P17" i="20"/>
  <c r="AA26" i="20"/>
  <c r="AD26" i="20" s="1"/>
  <c r="W42" i="20"/>
  <c r="AA29" i="20"/>
  <c r="AD29" i="20" s="1"/>
  <c r="W29" i="20"/>
  <c r="AA42" i="20"/>
  <c r="AD42" i="20" s="1"/>
  <c r="R17" i="20"/>
  <c r="V42" i="20"/>
  <c r="P42" i="20"/>
  <c r="R42" i="20"/>
  <c r="AD46" i="20"/>
  <c r="AC46" i="20"/>
  <c r="T18" i="20"/>
  <c r="AA18" i="20" s="1"/>
  <c r="AC26" i="20"/>
  <c r="T39" i="20"/>
  <c r="AA39" i="20" s="1"/>
  <c r="AD39" i="20" s="1"/>
  <c r="Q39" i="20"/>
  <c r="Q6" i="20"/>
  <c r="P6" i="20"/>
  <c r="T51" i="20"/>
  <c r="AA51" i="20" s="1"/>
  <c r="AD51" i="20" s="1"/>
  <c r="AA47" i="20"/>
  <c r="AD47" i="20" s="1"/>
  <c r="R8" i="20"/>
  <c r="P51" i="20"/>
  <c r="T8" i="20"/>
  <c r="AA8" i="20" s="1"/>
  <c r="AD8" i="20" s="1"/>
  <c r="Q51" i="20"/>
  <c r="AA31" i="20"/>
  <c r="AD31" i="20" s="1"/>
  <c r="AA30" i="20"/>
  <c r="AC30" i="20" s="1"/>
  <c r="Q49" i="20"/>
  <c r="P49" i="20"/>
  <c r="T49" i="20"/>
  <c r="R49" i="20"/>
  <c r="W22" i="20"/>
  <c r="X22" i="20"/>
  <c r="AA15" i="20"/>
  <c r="AD15" i="20" s="1"/>
  <c r="Q25" i="20"/>
  <c r="Q38" i="20"/>
  <c r="T38" i="20"/>
  <c r="R38" i="20"/>
  <c r="P38" i="20"/>
  <c r="T48" i="20"/>
  <c r="AA48" i="20" s="1"/>
  <c r="AD48" i="20" s="1"/>
  <c r="P33" i="20"/>
  <c r="Q33" i="20"/>
  <c r="X46" i="20"/>
  <c r="W46" i="20"/>
  <c r="V46" i="20"/>
  <c r="W30" i="20"/>
  <c r="R25" i="20"/>
  <c r="W33" i="20"/>
  <c r="V22" i="20"/>
  <c r="W10" i="20"/>
  <c r="X10" i="20"/>
  <c r="AA10" i="20"/>
  <c r="AD10" i="20" s="1"/>
  <c r="AA33" i="20"/>
  <c r="AD33" i="20" s="1"/>
  <c r="T41" i="20"/>
  <c r="P41" i="20"/>
  <c r="P48" i="20"/>
  <c r="R36" i="20"/>
  <c r="R33" i="20"/>
  <c r="V33" i="20"/>
  <c r="Q13" i="20"/>
  <c r="R13" i="20"/>
  <c r="T36" i="20"/>
  <c r="X36" i="20" s="1"/>
  <c r="T13" i="20"/>
  <c r="AA13" i="20" s="1"/>
  <c r="AC13" i="20" s="1"/>
  <c r="P50" i="20"/>
  <c r="T50" i="20"/>
  <c r="R50" i="20"/>
  <c r="Q50" i="20"/>
  <c r="R48" i="20"/>
  <c r="P36" i="20"/>
  <c r="T37" i="20"/>
  <c r="Q37" i="20"/>
  <c r="P37" i="20"/>
  <c r="R37" i="20"/>
  <c r="V30" i="20"/>
  <c r="R41" i="20"/>
  <c r="T25" i="20"/>
  <c r="AA25" i="20" s="1"/>
  <c r="AC25" i="20" s="1"/>
  <c r="Q8" i="20"/>
  <c r="V26" i="20"/>
  <c r="W26" i="20"/>
  <c r="T6" i="20"/>
  <c r="AA6" i="20" s="1"/>
  <c r="AC6" i="20" s="1"/>
  <c r="Q12" i="20"/>
  <c r="T12" i="20"/>
  <c r="R12" i="20"/>
  <c r="P12" i="20"/>
  <c r="Q32" i="20"/>
  <c r="T32" i="20"/>
  <c r="R32" i="20"/>
  <c r="P32" i="20"/>
  <c r="X23" i="20"/>
  <c r="W23" i="20"/>
  <c r="V23" i="20"/>
  <c r="X15" i="20"/>
  <c r="W15" i="20"/>
  <c r="V15" i="20"/>
  <c r="V27" i="20"/>
  <c r="AA27" i="20"/>
  <c r="X27" i="20"/>
  <c r="W27" i="20"/>
  <c r="Q52" i="20"/>
  <c r="P52" i="20"/>
  <c r="T52" i="20"/>
  <c r="R52" i="20"/>
  <c r="V31" i="20"/>
  <c r="X31" i="20"/>
  <c r="W31" i="20"/>
  <c r="AA19" i="20"/>
  <c r="T24" i="20"/>
  <c r="R24" i="20"/>
  <c r="Q24" i="20"/>
  <c r="P24" i="20"/>
  <c r="V19" i="20"/>
  <c r="W19" i="20"/>
  <c r="X19" i="20"/>
  <c r="T44" i="20"/>
  <c r="R44" i="20"/>
  <c r="Q44" i="20"/>
  <c r="P44" i="20"/>
  <c r="W43" i="20"/>
  <c r="V43" i="20"/>
  <c r="X43" i="20"/>
  <c r="AA43" i="20"/>
  <c r="T16" i="20"/>
  <c r="R16" i="20"/>
  <c r="Q16" i="20"/>
  <c r="P16" i="20"/>
  <c r="X11" i="20"/>
  <c r="W11" i="20"/>
  <c r="V11" i="20"/>
  <c r="W47" i="20"/>
  <c r="V47" i="20"/>
  <c r="X47" i="20"/>
  <c r="V35" i="20"/>
  <c r="W35" i="20"/>
  <c r="X35" i="20"/>
  <c r="AA35" i="20"/>
  <c r="Q28" i="20"/>
  <c r="T28" i="20"/>
  <c r="R28" i="20"/>
  <c r="P28" i="20"/>
  <c r="AA11" i="20"/>
  <c r="AA23" i="20"/>
  <c r="T7" i="20"/>
  <c r="P7" i="20"/>
  <c r="R7" i="20"/>
  <c r="Q7" i="20"/>
  <c r="Q40" i="20"/>
  <c r="P40" i="20"/>
  <c r="T40" i="20"/>
  <c r="R40" i="20"/>
  <c r="AD14" i="20"/>
  <c r="AC14" i="20"/>
  <c r="AC17" i="20"/>
  <c r="AD17" i="20"/>
  <c r="Y17" i="17"/>
  <c r="H7" i="17"/>
  <c r="M7" i="17" s="1"/>
  <c r="S7" i="17" s="1"/>
  <c r="H8" i="17"/>
  <c r="H9" i="17"/>
  <c r="M9" i="17" s="1"/>
  <c r="S9" i="17" s="1"/>
  <c r="H10" i="17"/>
  <c r="M10" i="17" s="1"/>
  <c r="S10" i="17" s="1"/>
  <c r="H11" i="17"/>
  <c r="Y11" i="17" s="1"/>
  <c r="H12" i="17"/>
  <c r="Y12" i="17" s="1"/>
  <c r="H13" i="17"/>
  <c r="M13" i="17" s="1"/>
  <c r="S13" i="17" s="1"/>
  <c r="H14" i="17"/>
  <c r="M14" i="17" s="1"/>
  <c r="S14" i="17" s="1"/>
  <c r="H15" i="17"/>
  <c r="M15" i="17" s="1"/>
  <c r="S15" i="17" s="1"/>
  <c r="H16" i="17"/>
  <c r="M16" i="17" s="1"/>
  <c r="S16" i="17" s="1"/>
  <c r="H17" i="17"/>
  <c r="M17" i="17" s="1"/>
  <c r="S17" i="17" s="1"/>
  <c r="H18" i="17"/>
  <c r="M18" i="17" s="1"/>
  <c r="S18" i="17" s="1"/>
  <c r="H19" i="17"/>
  <c r="M19" i="17" s="1"/>
  <c r="S19" i="17" s="1"/>
  <c r="H20" i="17"/>
  <c r="M20" i="17" s="1"/>
  <c r="S20" i="17" s="1"/>
  <c r="H21" i="17"/>
  <c r="M21" i="17" s="1"/>
  <c r="S21" i="17" s="1"/>
  <c r="H22" i="17"/>
  <c r="Y22" i="17" s="1"/>
  <c r="H23" i="17"/>
  <c r="Y23" i="17" s="1"/>
  <c r="H24" i="17"/>
  <c r="Y24" i="17" s="1"/>
  <c r="H25" i="17"/>
  <c r="M25" i="17" s="1"/>
  <c r="S25" i="17" s="1"/>
  <c r="H26" i="17"/>
  <c r="M26" i="17" s="1"/>
  <c r="S26" i="17" s="1"/>
  <c r="H27" i="17"/>
  <c r="M27" i="17" s="1"/>
  <c r="S27" i="17" s="1"/>
  <c r="H28" i="17"/>
  <c r="M28" i="17" s="1"/>
  <c r="S28" i="17" s="1"/>
  <c r="H29" i="17"/>
  <c r="M29" i="17" s="1"/>
  <c r="S29" i="17" s="1"/>
  <c r="H30" i="17"/>
  <c r="M30" i="17" s="1"/>
  <c r="S30" i="17" s="1"/>
  <c r="H31" i="17"/>
  <c r="M31" i="17" s="1"/>
  <c r="S31" i="17" s="1"/>
  <c r="H32" i="17"/>
  <c r="M32" i="17" s="1"/>
  <c r="S32" i="17" s="1"/>
  <c r="H33" i="17"/>
  <c r="Y33" i="17" s="1"/>
  <c r="H34" i="17"/>
  <c r="M34" i="17" s="1"/>
  <c r="S34" i="17" s="1"/>
  <c r="H35" i="17"/>
  <c r="Y35" i="17" s="1"/>
  <c r="H36" i="17"/>
  <c r="Y36" i="17" s="1"/>
  <c r="H37" i="17"/>
  <c r="M37" i="17" s="1"/>
  <c r="S37" i="17" s="1"/>
  <c r="H38" i="17"/>
  <c r="M38" i="17" s="1"/>
  <c r="S38" i="17" s="1"/>
  <c r="H39" i="17"/>
  <c r="M39" i="17" s="1"/>
  <c r="S39" i="17" s="1"/>
  <c r="H40" i="17"/>
  <c r="M40" i="17" s="1"/>
  <c r="S40" i="17" s="1"/>
  <c r="H41" i="17"/>
  <c r="M41" i="17" s="1"/>
  <c r="S41" i="17" s="1"/>
  <c r="H42" i="17"/>
  <c r="M42" i="17" s="1"/>
  <c r="S42" i="17" s="1"/>
  <c r="H43" i="17"/>
  <c r="M43" i="17" s="1"/>
  <c r="S43" i="17" s="1"/>
  <c r="H44" i="17"/>
  <c r="M44" i="17" s="1"/>
  <c r="S44" i="17" s="1"/>
  <c r="H45" i="17"/>
  <c r="M45" i="17" s="1"/>
  <c r="S45" i="17" s="1"/>
  <c r="H46" i="17"/>
  <c r="M46" i="17" s="1"/>
  <c r="S46" i="17" s="1"/>
  <c r="H47" i="17"/>
  <c r="Y47" i="17" s="1"/>
  <c r="H48" i="17"/>
  <c r="Y48" i="17" s="1"/>
  <c r="H49" i="17"/>
  <c r="M49" i="17" s="1"/>
  <c r="S49" i="17" s="1"/>
  <c r="H50" i="17"/>
  <c r="M50" i="17" s="1"/>
  <c r="S50" i="17" s="1"/>
  <c r="H51" i="17"/>
  <c r="M51" i="17" s="1"/>
  <c r="S51" i="17" s="1"/>
  <c r="H52" i="17"/>
  <c r="M52" i="17" s="1"/>
  <c r="S52" i="17" s="1"/>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H6" i="17"/>
  <c r="M6" i="17" s="1"/>
  <c r="S6" i="17" s="1"/>
  <c r="U6" i="17" s="1"/>
  <c r="I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6" i="17"/>
  <c r="AC4" i="14"/>
  <c r="AC5" i="14"/>
  <c r="AC6" i="14"/>
  <c r="AC7" i="14"/>
  <c r="AC8" i="14"/>
  <c r="AC9" i="14"/>
  <c r="AC10" i="14"/>
  <c r="AC11" i="14"/>
  <c r="AC12" i="14"/>
  <c r="AC13" i="14"/>
  <c r="AC14" i="14"/>
  <c r="AC15" i="14"/>
  <c r="AC16" i="14"/>
  <c r="AC17" i="14"/>
  <c r="AC18" i="14"/>
  <c r="AC19" i="14"/>
  <c r="AC20" i="14"/>
  <c r="AC21" i="14"/>
  <c r="AC22" i="14"/>
  <c r="AC23" i="14"/>
  <c r="AC24" i="14"/>
  <c r="AC25" i="14"/>
  <c r="AC26" i="14"/>
  <c r="AC27" i="14"/>
  <c r="AC28" i="14"/>
  <c r="AC29" i="14"/>
  <c r="AC30" i="14"/>
  <c r="AC31" i="14"/>
  <c r="AC32" i="14"/>
  <c r="AC33" i="14"/>
  <c r="AC34" i="14"/>
  <c r="AC35" i="14"/>
  <c r="AC36" i="14"/>
  <c r="AC37" i="14"/>
  <c r="AC38" i="14"/>
  <c r="AC39" i="14"/>
  <c r="AC40" i="14"/>
  <c r="AC41" i="14"/>
  <c r="AC42" i="14"/>
  <c r="AC43" i="14"/>
  <c r="AC44" i="14"/>
  <c r="AC45" i="14"/>
  <c r="AC46" i="14"/>
  <c r="AC47" i="14"/>
  <c r="AC48" i="14"/>
  <c r="AC49" i="14"/>
  <c r="AC3" i="14"/>
  <c r="AB3" i="13"/>
  <c r="AB4" i="13"/>
  <c r="AB5" i="13"/>
  <c r="AB6" i="13"/>
  <c r="AB7"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2" i="13"/>
  <c r="AA3" i="13"/>
  <c r="AA4" i="13"/>
  <c r="AA5" i="13"/>
  <c r="AA6" i="13"/>
  <c r="AA7"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2" i="13"/>
  <c r="Z3" i="13"/>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2" i="13"/>
  <c r="AA3"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3" i="14"/>
  <c r="AA4"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Z4" i="14"/>
  <c r="Z5" i="14"/>
  <c r="Z6" i="14"/>
  <c r="Z7" i="14"/>
  <c r="Z8" i="14"/>
  <c r="Z9" i="14"/>
  <c r="Z10" i="14"/>
  <c r="Z11" i="14"/>
  <c r="Z12" i="14"/>
  <c r="Z13" i="14"/>
  <c r="Z14" i="14"/>
  <c r="Z15" i="14"/>
  <c r="Z16" i="14"/>
  <c r="Z17" i="14"/>
  <c r="Z18" i="14"/>
  <c r="Z19" i="14"/>
  <c r="Z20" i="14"/>
  <c r="Z21" i="14"/>
  <c r="Z22" i="14"/>
  <c r="Z23" i="14"/>
  <c r="Z24" i="14"/>
  <c r="Z25" i="14"/>
  <c r="Z26" i="14"/>
  <c r="Z27" i="14"/>
  <c r="Z28" i="14"/>
  <c r="Z29" i="14"/>
  <c r="Z30" i="14"/>
  <c r="Z31" i="14"/>
  <c r="Z32" i="14"/>
  <c r="Z33" i="14"/>
  <c r="Z34" i="14"/>
  <c r="Z35" i="14"/>
  <c r="Z36" i="14"/>
  <c r="Z37" i="14"/>
  <c r="Z38" i="14"/>
  <c r="Z39" i="14"/>
  <c r="Z40" i="14"/>
  <c r="Z41" i="14"/>
  <c r="Z42" i="14"/>
  <c r="Z43" i="14"/>
  <c r="Z44" i="14"/>
  <c r="Z45" i="14"/>
  <c r="Z46" i="14"/>
  <c r="Z47" i="14"/>
  <c r="Z48" i="14"/>
  <c r="Z49" i="14"/>
  <c r="Z3" i="14"/>
  <c r="Y4" i="14"/>
  <c r="Y5" i="14"/>
  <c r="Y6" i="14"/>
  <c r="Y7" i="14"/>
  <c r="Y8" i="14"/>
  <c r="Y9" i="14"/>
  <c r="Y10" i="14"/>
  <c r="Y11" i="14"/>
  <c r="Y12" i="14"/>
  <c r="Y13" i="14"/>
  <c r="Y14" i="14"/>
  <c r="Y15" i="14"/>
  <c r="Y16" i="14"/>
  <c r="Y17" i="14"/>
  <c r="Y18" i="14"/>
  <c r="Y19" i="14"/>
  <c r="Y20" i="14"/>
  <c r="Y21" i="14"/>
  <c r="Y22" i="14"/>
  <c r="Y23" i="14"/>
  <c r="Y24" i="14"/>
  <c r="Y25" i="14"/>
  <c r="Y26" i="14"/>
  <c r="Y27" i="14"/>
  <c r="Y28" i="14"/>
  <c r="Y29" i="14"/>
  <c r="Y30" i="14"/>
  <c r="Y31" i="14"/>
  <c r="Y32" i="14"/>
  <c r="Y33" i="14"/>
  <c r="Y34" i="14"/>
  <c r="Y35" i="14"/>
  <c r="Y36" i="14"/>
  <c r="Y37" i="14"/>
  <c r="Y38" i="14"/>
  <c r="Y39" i="14"/>
  <c r="Y40" i="14"/>
  <c r="Y41" i="14"/>
  <c r="Y42" i="14"/>
  <c r="Y43" i="14"/>
  <c r="Y44" i="14"/>
  <c r="Y45" i="14"/>
  <c r="Y46" i="14"/>
  <c r="Y47" i="14"/>
  <c r="Y48" i="14"/>
  <c r="Y49" i="14"/>
  <c r="Y3" i="14"/>
  <c r="X4" i="14"/>
  <c r="X5" i="14"/>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3"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3" i="14"/>
  <c r="V4" i="14"/>
  <c r="V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3" i="14"/>
  <c r="U3" i="14"/>
  <c r="U4" i="14"/>
  <c r="U5" i="14"/>
  <c r="U6" i="14"/>
  <c r="U7" i="14"/>
  <c r="U8" i="14"/>
  <c r="U9" i="14"/>
  <c r="U10" i="14"/>
  <c r="U11" i="14"/>
  <c r="U12" i="14"/>
  <c r="U13" i="14"/>
  <c r="U14" i="14"/>
  <c r="U15" i="14"/>
  <c r="U16" i="14"/>
  <c r="U17" i="14"/>
  <c r="U18" i="14"/>
  <c r="U19" i="14"/>
  <c r="U20" i="14"/>
  <c r="U21" i="14"/>
  <c r="U22" i="14"/>
  <c r="U23" i="14"/>
  <c r="U24" i="14"/>
  <c r="U25" i="14"/>
  <c r="U26" i="14"/>
  <c r="U27" i="14"/>
  <c r="U28" i="14"/>
  <c r="U29" i="14"/>
  <c r="U30" i="14"/>
  <c r="U31" i="14"/>
  <c r="U32" i="14"/>
  <c r="U33" i="14"/>
  <c r="U34" i="14"/>
  <c r="U35" i="14"/>
  <c r="U36" i="14"/>
  <c r="U37" i="14"/>
  <c r="U38" i="14"/>
  <c r="U39" i="14"/>
  <c r="U40" i="14"/>
  <c r="U41" i="14"/>
  <c r="U42" i="14"/>
  <c r="U43" i="14"/>
  <c r="U44" i="14"/>
  <c r="U45" i="14"/>
  <c r="U46" i="14"/>
  <c r="U47" i="14"/>
  <c r="U48" i="14"/>
  <c r="U49" i="14"/>
  <c r="R4" i="14"/>
  <c r="R3" i="14"/>
  <c r="T4" i="14"/>
  <c r="T5"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3" i="14"/>
  <c r="S4" i="14"/>
  <c r="S5"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P4" i="14"/>
  <c r="P5"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S3" i="14"/>
  <c r="Q3" i="14"/>
  <c r="P3" i="14"/>
  <c r="O3" i="14"/>
  <c r="N3" i="14"/>
  <c r="M3" i="14"/>
  <c r="L3" i="14"/>
  <c r="H18" i="12"/>
  <c r="H19" i="12"/>
  <c r="H20" i="12"/>
  <c r="H21" i="12"/>
  <c r="H22" i="12"/>
  <c r="H23" i="12"/>
  <c r="H24" i="12"/>
  <c r="H25" i="12"/>
  <c r="H26" i="12"/>
  <c r="H27" i="12"/>
  <c r="H28" i="12"/>
  <c r="H29" i="12"/>
  <c r="H30" i="12"/>
  <c r="H31" i="12"/>
  <c r="H32" i="12"/>
  <c r="H33" i="12"/>
  <c r="H34" i="12"/>
  <c r="H35" i="12"/>
  <c r="H36" i="12"/>
  <c r="H37" i="12"/>
  <c r="H38" i="12"/>
  <c r="H39" i="12"/>
  <c r="H40" i="12"/>
  <c r="H41" i="12"/>
  <c r="V52" i="27" l="1"/>
  <c r="W52" i="27"/>
  <c r="X52" i="27"/>
  <c r="V49" i="27"/>
  <c r="W49" i="27"/>
  <c r="X49" i="27"/>
  <c r="V51" i="27"/>
  <c r="W51" i="27"/>
  <c r="X51" i="27"/>
  <c r="X50" i="27"/>
  <c r="W50" i="27"/>
  <c r="V50" i="27"/>
  <c r="W48" i="27"/>
  <c r="V48" i="27"/>
  <c r="X48" i="27"/>
  <c r="V47" i="27"/>
  <c r="W47" i="27"/>
  <c r="X47" i="27"/>
  <c r="W46" i="27"/>
  <c r="V46" i="27"/>
  <c r="X46" i="27"/>
  <c r="W45" i="27"/>
  <c r="X45" i="27"/>
  <c r="V45" i="27"/>
  <c r="V44" i="27"/>
  <c r="W44" i="27"/>
  <c r="X44" i="27"/>
  <c r="AA44" i="27"/>
  <c r="W43" i="27"/>
  <c r="V43" i="27"/>
  <c r="X43" i="27"/>
  <c r="X42" i="27"/>
  <c r="V42" i="27"/>
  <c r="W42" i="27"/>
  <c r="X41" i="27"/>
  <c r="W41" i="27"/>
  <c r="V41" i="27"/>
  <c r="V39" i="27"/>
  <c r="W39" i="27"/>
  <c r="X39" i="27"/>
  <c r="W18" i="27"/>
  <c r="V18" i="27"/>
  <c r="X18" i="27"/>
  <c r="X17" i="27"/>
  <c r="W17" i="27"/>
  <c r="V17" i="27"/>
  <c r="V16" i="27"/>
  <c r="X16" i="27"/>
  <c r="W16" i="27"/>
  <c r="W15" i="27"/>
  <c r="X15" i="27"/>
  <c r="V15" i="27"/>
  <c r="W14" i="27"/>
  <c r="X14" i="27"/>
  <c r="V14" i="27"/>
  <c r="W13" i="27"/>
  <c r="V13" i="27"/>
  <c r="X13" i="27"/>
  <c r="X12" i="27"/>
  <c r="W12" i="27"/>
  <c r="V12" i="27"/>
  <c r="W11" i="27"/>
  <c r="X11" i="27"/>
  <c r="V11" i="27"/>
  <c r="W10" i="27"/>
  <c r="V10" i="27"/>
  <c r="X10" i="27"/>
  <c r="W9" i="27"/>
  <c r="V9" i="27"/>
  <c r="X9" i="27"/>
  <c r="V8" i="27"/>
  <c r="X8" i="27"/>
  <c r="W8" i="27"/>
  <c r="V7" i="27"/>
  <c r="W7" i="27"/>
  <c r="X7" i="27"/>
  <c r="X6" i="27"/>
  <c r="AA6" i="27"/>
  <c r="W40" i="27"/>
  <c r="V40" i="27"/>
  <c r="X40" i="27"/>
  <c r="X38" i="27"/>
  <c r="V38" i="27"/>
  <c r="W38" i="27"/>
  <c r="W37" i="27"/>
  <c r="V37" i="27"/>
  <c r="X37" i="27"/>
  <c r="W36" i="27"/>
  <c r="X36" i="27"/>
  <c r="V36" i="27"/>
  <c r="V35" i="27"/>
  <c r="X35" i="27"/>
  <c r="W35" i="27"/>
  <c r="W34" i="27"/>
  <c r="V34" i="27"/>
  <c r="X34" i="27"/>
  <c r="W33" i="27"/>
  <c r="V33" i="27"/>
  <c r="X33" i="27"/>
  <c r="W32" i="27"/>
  <c r="V32" i="27"/>
  <c r="X32" i="27"/>
  <c r="W31" i="27"/>
  <c r="V31" i="27"/>
  <c r="X31" i="27"/>
  <c r="W30" i="27"/>
  <c r="X30" i="27"/>
  <c r="V30" i="27"/>
  <c r="W29" i="27"/>
  <c r="V29" i="27"/>
  <c r="X29" i="27"/>
  <c r="X28" i="27"/>
  <c r="V28" i="27"/>
  <c r="W28" i="27"/>
  <c r="X27" i="27"/>
  <c r="V27" i="27"/>
  <c r="W27" i="27"/>
  <c r="X26" i="27"/>
  <c r="V26" i="27"/>
  <c r="W26" i="27"/>
  <c r="X25" i="27"/>
  <c r="V25" i="27"/>
  <c r="W25" i="27"/>
  <c r="V24" i="27"/>
  <c r="W24" i="27"/>
  <c r="X24" i="27"/>
  <c r="W23" i="27"/>
  <c r="V23" i="27"/>
  <c r="X23" i="27"/>
  <c r="V22" i="27"/>
  <c r="W22" i="27"/>
  <c r="X22" i="27"/>
  <c r="W21" i="27"/>
  <c r="X21" i="27"/>
  <c r="V21" i="27"/>
  <c r="X20" i="27"/>
  <c r="W20" i="27"/>
  <c r="V20" i="27"/>
  <c r="W19" i="27"/>
  <c r="X19" i="27"/>
  <c r="V19" i="27"/>
  <c r="W6" i="27"/>
  <c r="V6" i="27"/>
  <c r="AA52" i="27"/>
  <c r="AC52" i="27" s="1"/>
  <c r="AA51" i="27"/>
  <c r="AC51" i="27" s="1"/>
  <c r="AA50" i="27"/>
  <c r="AC50" i="27" s="1"/>
  <c r="AA49" i="27"/>
  <c r="AC49" i="27" s="1"/>
  <c r="AA48" i="27"/>
  <c r="AC48" i="27" s="1"/>
  <c r="AA47" i="27"/>
  <c r="AC47" i="27" s="1"/>
  <c r="AA46" i="27"/>
  <c r="AC46" i="27" s="1"/>
  <c r="AA45" i="27"/>
  <c r="AC45" i="27" s="1"/>
  <c r="AA43" i="27"/>
  <c r="AC43" i="27" s="1"/>
  <c r="AA42" i="27"/>
  <c r="AC42" i="27" s="1"/>
  <c r="AA41" i="27"/>
  <c r="AC41" i="27" s="1"/>
  <c r="AA40" i="27"/>
  <c r="AC40" i="27" s="1"/>
  <c r="AA39" i="27"/>
  <c r="AC39" i="27" s="1"/>
  <c r="AA38" i="27"/>
  <c r="AC38" i="27" s="1"/>
  <c r="AA37" i="27"/>
  <c r="AC37" i="27" s="1"/>
  <c r="AA36" i="27"/>
  <c r="AC36" i="27" s="1"/>
  <c r="AA35" i="27"/>
  <c r="AC35" i="27" s="1"/>
  <c r="AD34" i="27"/>
  <c r="AA33" i="27"/>
  <c r="AC33" i="27" s="1"/>
  <c r="AA32" i="27"/>
  <c r="AC32" i="27" s="1"/>
  <c r="AA31" i="27"/>
  <c r="AC31" i="27" s="1"/>
  <c r="AA30" i="27"/>
  <c r="AC30" i="27" s="1"/>
  <c r="AA29" i="27"/>
  <c r="AC29" i="27" s="1"/>
  <c r="AA28" i="27"/>
  <c r="AC28" i="27" s="1"/>
  <c r="AA27" i="27"/>
  <c r="AC27" i="27" s="1"/>
  <c r="AA26" i="27"/>
  <c r="AC26" i="27" s="1"/>
  <c r="AA25" i="27"/>
  <c r="AC25" i="27" s="1"/>
  <c r="AA24" i="27"/>
  <c r="AC24" i="27" s="1"/>
  <c r="AA23" i="27"/>
  <c r="AC23" i="27" s="1"/>
  <c r="AA22" i="27"/>
  <c r="AC22" i="27" s="1"/>
  <c r="AA21" i="27"/>
  <c r="AC21" i="27" s="1"/>
  <c r="AA20" i="27"/>
  <c r="AC20" i="27" s="1"/>
  <c r="AA19" i="27"/>
  <c r="AC19" i="27" s="1"/>
  <c r="AA18" i="27"/>
  <c r="AC18" i="27" s="1"/>
  <c r="AA17" i="27"/>
  <c r="AC17" i="27" s="1"/>
  <c r="AA16" i="27"/>
  <c r="AC16" i="27" s="1"/>
  <c r="AA15" i="27"/>
  <c r="AC15" i="27" s="1"/>
  <c r="AA14" i="27"/>
  <c r="AC14" i="27" s="1"/>
  <c r="AA13" i="27"/>
  <c r="AC13" i="27" s="1"/>
  <c r="AA12" i="27"/>
  <c r="AC12" i="27" s="1"/>
  <c r="AA11" i="27"/>
  <c r="AC11" i="27" s="1"/>
  <c r="AA10" i="27"/>
  <c r="AC10" i="27" s="1"/>
  <c r="AA9" i="27"/>
  <c r="AC9" i="27" s="1"/>
  <c r="AA8" i="27"/>
  <c r="AC8" i="27" s="1"/>
  <c r="AA7" i="27"/>
  <c r="AC7" i="27" s="1"/>
  <c r="T53" i="27"/>
  <c r="M8" i="17"/>
  <c r="S8" i="17" s="1"/>
  <c r="Y8" i="17"/>
  <c r="Z8" i="17" s="1"/>
  <c r="AD21" i="20"/>
  <c r="Y31" i="17"/>
  <c r="Y29" i="17"/>
  <c r="AD9" i="20"/>
  <c r="Y20" i="17"/>
  <c r="Z20" i="17" s="1"/>
  <c r="Y42" i="17"/>
  <c r="Z42" i="17" s="1"/>
  <c r="AC42" i="17" s="1"/>
  <c r="Y41" i="17"/>
  <c r="Z41" i="17" s="1"/>
  <c r="AC41" i="17" s="1"/>
  <c r="Y32" i="17"/>
  <c r="Z32" i="17" s="1"/>
  <c r="AC32" i="17" s="1"/>
  <c r="AC42" i="20"/>
  <c r="Y30" i="17"/>
  <c r="Z30" i="17" s="1"/>
  <c r="AB30" i="17" s="1"/>
  <c r="AG30" i="17" s="1"/>
  <c r="AH30" i="17" s="1"/>
  <c r="Z53" i="20"/>
  <c r="P20" i="20"/>
  <c r="Q20" i="20"/>
  <c r="T20" i="20"/>
  <c r="R20" i="20"/>
  <c r="Q34" i="20"/>
  <c r="Q53" i="20" s="1"/>
  <c r="R34" i="20"/>
  <c r="P34" i="20"/>
  <c r="T34" i="20"/>
  <c r="V18" i="20"/>
  <c r="V39" i="20"/>
  <c r="X13" i="20"/>
  <c r="AC29" i="20"/>
  <c r="AD30" i="20"/>
  <c r="AC39" i="20"/>
  <c r="AC22" i="20"/>
  <c r="X8" i="20"/>
  <c r="X39" i="20"/>
  <c r="V8" i="20"/>
  <c r="W39" i="20"/>
  <c r="W8" i="20"/>
  <c r="V6" i="20"/>
  <c r="AC8" i="20"/>
  <c r="AC18" i="20"/>
  <c r="AD18" i="20"/>
  <c r="X51" i="20"/>
  <c r="AC51" i="20"/>
  <c r="V51" i="20"/>
  <c r="W51" i="20"/>
  <c r="W18" i="20"/>
  <c r="X18" i="20"/>
  <c r="X6" i="20"/>
  <c r="AC47" i="20"/>
  <c r="W6" i="20"/>
  <c r="AC48" i="20"/>
  <c r="W13" i="20"/>
  <c r="AC31" i="20"/>
  <c r="W41" i="20"/>
  <c r="X41" i="20"/>
  <c r="V41" i="20"/>
  <c r="AA41" i="20"/>
  <c r="X50" i="20"/>
  <c r="V50" i="20"/>
  <c r="W50" i="20"/>
  <c r="AA50" i="20"/>
  <c r="X48" i="20"/>
  <c r="V48" i="20"/>
  <c r="V36" i="20"/>
  <c r="W48" i="20"/>
  <c r="W37" i="20"/>
  <c r="X37" i="20"/>
  <c r="AA37" i="20"/>
  <c r="V37" i="20"/>
  <c r="X38" i="20"/>
  <c r="W38" i="20"/>
  <c r="V38" i="20"/>
  <c r="AA38" i="20"/>
  <c r="W25" i="20"/>
  <c r="AC15" i="20"/>
  <c r="W36" i="20"/>
  <c r="AD25" i="20"/>
  <c r="X25" i="20"/>
  <c r="X49" i="20"/>
  <c r="W49" i="20"/>
  <c r="AA49" i="20"/>
  <c r="V49" i="20"/>
  <c r="AA36" i="20"/>
  <c r="AD36" i="20" s="1"/>
  <c r="V25" i="20"/>
  <c r="AD13" i="20"/>
  <c r="AD6" i="20"/>
  <c r="AC10" i="20"/>
  <c r="AC33" i="20"/>
  <c r="V13" i="20"/>
  <c r="Z31" i="17"/>
  <c r="AB31" i="17" s="1"/>
  <c r="AG31" i="17" s="1"/>
  <c r="AH31" i="17" s="1"/>
  <c r="Y44" i="17"/>
  <c r="Z44" i="17" s="1"/>
  <c r="W16" i="20"/>
  <c r="V16" i="20"/>
  <c r="X16" i="20"/>
  <c r="AA16" i="20"/>
  <c r="W44" i="20"/>
  <c r="V44" i="20"/>
  <c r="X44" i="20"/>
  <c r="AA44" i="20"/>
  <c r="AD11" i="20"/>
  <c r="AC11" i="20"/>
  <c r="Z29" i="17"/>
  <c r="AC29" i="17" s="1"/>
  <c r="Z17" i="17"/>
  <c r="AC17" i="17" s="1"/>
  <c r="Y43" i="17"/>
  <c r="Z43" i="17" s="1"/>
  <c r="AB43" i="17" s="1"/>
  <c r="AG43" i="17" s="1"/>
  <c r="AH43" i="17" s="1"/>
  <c r="Y7" i="17"/>
  <c r="Z7" i="17" s="1"/>
  <c r="AC7" i="17" s="1"/>
  <c r="W12" i="20"/>
  <c r="V12" i="20"/>
  <c r="X12" i="20"/>
  <c r="AA12" i="20"/>
  <c r="AD23" i="20"/>
  <c r="AC23" i="20"/>
  <c r="W28" i="20"/>
  <c r="V28" i="20"/>
  <c r="X28" i="20"/>
  <c r="AA28" i="20"/>
  <c r="W52" i="20"/>
  <c r="V52" i="20"/>
  <c r="X52" i="20"/>
  <c r="AA52" i="20"/>
  <c r="V7" i="20"/>
  <c r="X7" i="20"/>
  <c r="W7" i="20"/>
  <c r="AA7" i="20"/>
  <c r="Y19" i="17"/>
  <c r="Z19" i="17" s="1"/>
  <c r="AB19" i="17" s="1"/>
  <c r="AG19" i="17" s="1"/>
  <c r="AH19" i="17" s="1"/>
  <c r="AC35" i="20"/>
  <c r="AD35" i="20"/>
  <c r="AD27" i="20"/>
  <c r="AC27" i="20"/>
  <c r="W32" i="20"/>
  <c r="V32" i="20"/>
  <c r="X32" i="20"/>
  <c r="AA32" i="20"/>
  <c r="AC43" i="20"/>
  <c r="AD43" i="20"/>
  <c r="Y18" i="17"/>
  <c r="Z18" i="17" s="1"/>
  <c r="W40" i="20"/>
  <c r="V40" i="20"/>
  <c r="X40" i="20"/>
  <c r="AA40" i="20"/>
  <c r="W24" i="20"/>
  <c r="V24" i="20"/>
  <c r="X24" i="20"/>
  <c r="AA24" i="20"/>
  <c r="AD19" i="20"/>
  <c r="AC19" i="20"/>
  <c r="M22" i="17"/>
  <c r="S22" i="17" s="1"/>
  <c r="Z22" i="17" s="1"/>
  <c r="M33" i="17"/>
  <c r="S33" i="17" s="1"/>
  <c r="Z33" i="17" s="1"/>
  <c r="M48" i="17"/>
  <c r="S48" i="17" s="1"/>
  <c r="Z48" i="17" s="1"/>
  <c r="M36" i="17"/>
  <c r="S36" i="17" s="1"/>
  <c r="Z36" i="17" s="1"/>
  <c r="M24" i="17"/>
  <c r="S24" i="17" s="1"/>
  <c r="Z24" i="17" s="1"/>
  <c r="M12" i="17"/>
  <c r="S12" i="17" s="1"/>
  <c r="Z12" i="17" s="1"/>
  <c r="Y46" i="17"/>
  <c r="Z46" i="17" s="1"/>
  <c r="Y34" i="17"/>
  <c r="Z34" i="17" s="1"/>
  <c r="Y10" i="17"/>
  <c r="Z10" i="17" s="1"/>
  <c r="M47" i="17"/>
  <c r="S47" i="17" s="1"/>
  <c r="Z47" i="17" s="1"/>
  <c r="M35" i="17"/>
  <c r="S35" i="17" s="1"/>
  <c r="Z35" i="17" s="1"/>
  <c r="M23" i="17"/>
  <c r="S23" i="17" s="1"/>
  <c r="Z23" i="17" s="1"/>
  <c r="M11" i="17"/>
  <c r="S11" i="17" s="1"/>
  <c r="Z11" i="17" s="1"/>
  <c r="Y45" i="17"/>
  <c r="Z45" i="17" s="1"/>
  <c r="Y21" i="17"/>
  <c r="Z21" i="17" s="1"/>
  <c r="Y9" i="17"/>
  <c r="Z9" i="17" s="1"/>
  <c r="Y6" i="17"/>
  <c r="Z6" i="17" s="1"/>
  <c r="Y52" i="17"/>
  <c r="Z52" i="17" s="1"/>
  <c r="Y40" i="17"/>
  <c r="Z40" i="17" s="1"/>
  <c r="Y28" i="17"/>
  <c r="Z28" i="17" s="1"/>
  <c r="Y16" i="17"/>
  <c r="Z16" i="17" s="1"/>
  <c r="Y51" i="17"/>
  <c r="Z51" i="17" s="1"/>
  <c r="Y39" i="17"/>
  <c r="Z39" i="17" s="1"/>
  <c r="Y27" i="17"/>
  <c r="Z27" i="17" s="1"/>
  <c r="Y15" i="17"/>
  <c r="Z15" i="17" s="1"/>
  <c r="Y50" i="17"/>
  <c r="Z50" i="17" s="1"/>
  <c r="Y38" i="17"/>
  <c r="Z38" i="17" s="1"/>
  <c r="Y26" i="17"/>
  <c r="Z26" i="17" s="1"/>
  <c r="Y14" i="17"/>
  <c r="Z14" i="17" s="1"/>
  <c r="Y49" i="17"/>
  <c r="Z49" i="17" s="1"/>
  <c r="Y37" i="17"/>
  <c r="Z37" i="17" s="1"/>
  <c r="Y25" i="17"/>
  <c r="Z25" i="17" s="1"/>
  <c r="Y13" i="17"/>
  <c r="Z13" i="17" s="1"/>
  <c r="Q17" i="17"/>
  <c r="Q46" i="17"/>
  <c r="O34" i="17"/>
  <c r="Q10" i="17"/>
  <c r="Q6" i="17"/>
  <c r="Q45" i="17"/>
  <c r="Q21" i="17"/>
  <c r="Q9" i="17"/>
  <c r="Q41" i="17"/>
  <c r="Q44" i="17"/>
  <c r="Q32" i="17"/>
  <c r="Q20" i="17"/>
  <c r="Q8" i="17"/>
  <c r="Q43" i="17"/>
  <c r="Q31" i="17"/>
  <c r="Q19" i="17"/>
  <c r="P7" i="17"/>
  <c r="Q16" i="17"/>
  <c r="P42" i="17"/>
  <c r="P30" i="17"/>
  <c r="P18" i="17"/>
  <c r="P49" i="17"/>
  <c r="P37" i="17"/>
  <c r="P25" i="17"/>
  <c r="P13" i="17"/>
  <c r="P39" i="17"/>
  <c r="O50" i="17"/>
  <c r="O28" i="17"/>
  <c r="O52" i="17"/>
  <c r="O51" i="17"/>
  <c r="O15" i="17"/>
  <c r="O14" i="17"/>
  <c r="O40" i="17"/>
  <c r="O26" i="17"/>
  <c r="O30" i="17"/>
  <c r="P6" i="17"/>
  <c r="P52" i="17"/>
  <c r="O7" i="17"/>
  <c r="O17" i="17"/>
  <c r="P16" i="17"/>
  <c r="P46" i="17"/>
  <c r="Q52" i="17"/>
  <c r="O19" i="17"/>
  <c r="O18" i="17"/>
  <c r="P40" i="17"/>
  <c r="Q40" i="17"/>
  <c r="Q30" i="17"/>
  <c r="Q18" i="17"/>
  <c r="P41" i="17"/>
  <c r="O6" i="17"/>
  <c r="O41" i="17"/>
  <c r="P10" i="17"/>
  <c r="Q51" i="17"/>
  <c r="P51" i="17"/>
  <c r="P17" i="17"/>
  <c r="Q42" i="17"/>
  <c r="P34" i="17"/>
  <c r="O16" i="17"/>
  <c r="Q28" i="17"/>
  <c r="P28" i="17"/>
  <c r="P15" i="17"/>
  <c r="O42" i="17"/>
  <c r="Q15" i="17"/>
  <c r="P29" i="17"/>
  <c r="O29" i="17"/>
  <c r="Q29" i="17"/>
  <c r="P27" i="17"/>
  <c r="O27" i="17"/>
  <c r="Q27" i="17"/>
  <c r="O38" i="17"/>
  <c r="P38" i="17"/>
  <c r="Q38" i="17"/>
  <c r="Q37" i="17"/>
  <c r="O49" i="17"/>
  <c r="O37" i="17"/>
  <c r="O25" i="17"/>
  <c r="O13" i="17"/>
  <c r="Q39" i="17"/>
  <c r="O10" i="17"/>
  <c r="Q50" i="17"/>
  <c r="Q26" i="17"/>
  <c r="Q14" i="17"/>
  <c r="Q13" i="17"/>
  <c r="Q49" i="17"/>
  <c r="Q25" i="17"/>
  <c r="O46" i="17"/>
  <c r="P45" i="17"/>
  <c r="P33" i="17"/>
  <c r="P21" i="17"/>
  <c r="P9" i="17"/>
  <c r="O45" i="17"/>
  <c r="O39" i="17"/>
  <c r="O21" i="17"/>
  <c r="O9" i="17"/>
  <c r="Q34" i="17"/>
  <c r="P50" i="17"/>
  <c r="P44" i="17"/>
  <c r="P32" i="17"/>
  <c r="P26" i="17"/>
  <c r="P20" i="17"/>
  <c r="P14" i="17"/>
  <c r="P8" i="17"/>
  <c r="O44" i="17"/>
  <c r="O32" i="17"/>
  <c r="O20" i="17"/>
  <c r="O8" i="17"/>
  <c r="P19" i="17"/>
  <c r="AC44" i="27" l="1"/>
  <c r="AD44" i="27"/>
  <c r="AC6" i="27"/>
  <c r="AD6" i="27"/>
  <c r="AA53" i="27"/>
  <c r="AD52" i="27"/>
  <c r="AD51" i="27"/>
  <c r="AD50" i="27"/>
  <c r="AD49" i="27"/>
  <c r="AD48" i="27"/>
  <c r="AD47" i="27"/>
  <c r="AD46" i="27"/>
  <c r="AD45" i="27"/>
  <c r="AD43" i="27"/>
  <c r="AD42" i="27"/>
  <c r="AD41" i="27"/>
  <c r="AD40" i="27"/>
  <c r="AD39" i="27"/>
  <c r="AD38" i="27"/>
  <c r="AD37" i="27"/>
  <c r="AD36" i="27"/>
  <c r="AD35" i="27"/>
  <c r="AD33" i="27"/>
  <c r="AD32" i="27"/>
  <c r="AD31" i="27"/>
  <c r="AD30" i="27"/>
  <c r="AD29" i="27"/>
  <c r="AD28" i="27"/>
  <c r="AD27" i="27"/>
  <c r="AD26" i="27"/>
  <c r="AD25" i="27"/>
  <c r="AD24" i="27"/>
  <c r="AD23" i="27"/>
  <c r="AD22" i="27"/>
  <c r="AD21" i="27"/>
  <c r="AD20" i="27"/>
  <c r="AD19" i="27"/>
  <c r="AD18" i="27"/>
  <c r="AD17" i="27"/>
  <c r="AD16" i="27"/>
  <c r="AD15" i="27"/>
  <c r="AD14" i="27"/>
  <c r="AD13" i="27"/>
  <c r="AD12" i="27"/>
  <c r="AD11" i="27"/>
  <c r="AD10" i="27"/>
  <c r="AD9" i="27"/>
  <c r="AD8" i="27"/>
  <c r="AD7" i="27"/>
  <c r="V53" i="27"/>
  <c r="W53" i="27"/>
  <c r="X53" i="27"/>
  <c r="O24" i="17"/>
  <c r="R53" i="20"/>
  <c r="O36" i="17"/>
  <c r="AB32" i="17"/>
  <c r="AG32" i="17" s="1"/>
  <c r="AH32" i="17" s="1"/>
  <c r="Q24" i="17"/>
  <c r="P12" i="17"/>
  <c r="Q36" i="17"/>
  <c r="P24" i="17"/>
  <c r="Q48" i="17"/>
  <c r="AC30" i="17"/>
  <c r="O11" i="17"/>
  <c r="AB42" i="17"/>
  <c r="AG42" i="17" s="1"/>
  <c r="AH42" i="17" s="1"/>
  <c r="Q22" i="17"/>
  <c r="Q33" i="17"/>
  <c r="P48" i="17"/>
  <c r="AB41" i="17"/>
  <c r="AG41" i="17" s="1"/>
  <c r="AH41" i="17" s="1"/>
  <c r="O33" i="17"/>
  <c r="O23" i="17"/>
  <c r="O48" i="17"/>
  <c r="AC31" i="17"/>
  <c r="T53" i="20"/>
  <c r="P53" i="20"/>
  <c r="W34" i="20"/>
  <c r="AA34" i="20"/>
  <c r="X34" i="20"/>
  <c r="V34" i="20"/>
  <c r="W20" i="20"/>
  <c r="V20" i="20"/>
  <c r="X20" i="20"/>
  <c r="AA20" i="20"/>
  <c r="X53" i="20"/>
  <c r="V53" i="20"/>
  <c r="AC36" i="20"/>
  <c r="AD41" i="20"/>
  <c r="AC41" i="20"/>
  <c r="AC38" i="20"/>
  <c r="AD38" i="20"/>
  <c r="AC50" i="20"/>
  <c r="AD50" i="20"/>
  <c r="AD49" i="20"/>
  <c r="AC49" i="20"/>
  <c r="AC37" i="20"/>
  <c r="AD37" i="20"/>
  <c r="AC18" i="17"/>
  <c r="AB18" i="17"/>
  <c r="AG18" i="17" s="1"/>
  <c r="AH18" i="17" s="1"/>
  <c r="AD16" i="20"/>
  <c r="AC16" i="20"/>
  <c r="AD40" i="20"/>
  <c r="AC40" i="20"/>
  <c r="AD28" i="20"/>
  <c r="AC28" i="20"/>
  <c r="O12" i="17"/>
  <c r="AC43" i="17"/>
  <c r="AC44" i="20"/>
  <c r="AD44" i="20"/>
  <c r="AB17" i="17"/>
  <c r="AG17" i="17" s="1"/>
  <c r="AH17" i="17" s="1"/>
  <c r="AD32" i="20"/>
  <c r="AC32" i="20"/>
  <c r="AB29" i="17"/>
  <c r="AG29" i="17" s="1"/>
  <c r="AH29" i="17" s="1"/>
  <c r="AD24" i="20"/>
  <c r="AC24" i="20"/>
  <c r="AC52" i="20"/>
  <c r="AD52" i="20"/>
  <c r="AB7" i="17"/>
  <c r="AC19" i="17"/>
  <c r="AC7" i="20"/>
  <c r="AD7" i="20"/>
  <c r="O35" i="17"/>
  <c r="AD12" i="20"/>
  <c r="AC12" i="20"/>
  <c r="Q12" i="17"/>
  <c r="AB22" i="17"/>
  <c r="AG22" i="17" s="1"/>
  <c r="AH22" i="17" s="1"/>
  <c r="AC22" i="17"/>
  <c r="AB35" i="17"/>
  <c r="AG35" i="17" s="1"/>
  <c r="AH35" i="17" s="1"/>
  <c r="AC35" i="17"/>
  <c r="AB11" i="17"/>
  <c r="AG11" i="17" s="1"/>
  <c r="AH11" i="17" s="1"/>
  <c r="AC11" i="17"/>
  <c r="AB23" i="17"/>
  <c r="AG23" i="17" s="1"/>
  <c r="AH23" i="17" s="1"/>
  <c r="AC23" i="17"/>
  <c r="AB47" i="17"/>
  <c r="AG47" i="17" s="1"/>
  <c r="AH47" i="17" s="1"/>
  <c r="AC47" i="17"/>
  <c r="AC15" i="17"/>
  <c r="AB15" i="17"/>
  <c r="AG15" i="17" s="1"/>
  <c r="AH15" i="17" s="1"/>
  <c r="AC20" i="17"/>
  <c r="AB20" i="17"/>
  <c r="AG20" i="17" s="1"/>
  <c r="AH20" i="17" s="1"/>
  <c r="P47" i="17"/>
  <c r="AC27" i="17"/>
  <c r="AB27" i="17"/>
  <c r="AG27" i="17" s="1"/>
  <c r="AH27" i="17" s="1"/>
  <c r="AC8" i="17"/>
  <c r="AB8" i="17"/>
  <c r="AG8" i="17" s="1"/>
  <c r="AH8" i="17" s="1"/>
  <c r="AC44" i="17"/>
  <c r="AB44" i="17"/>
  <c r="AG44" i="17" s="1"/>
  <c r="AH44" i="17" s="1"/>
  <c r="AB36" i="17"/>
  <c r="AG36" i="17" s="1"/>
  <c r="AH36" i="17" s="1"/>
  <c r="AC36" i="17"/>
  <c r="AB34" i="17"/>
  <c r="AG34" i="17" s="1"/>
  <c r="AH34" i="17" s="1"/>
  <c r="AC34" i="17"/>
  <c r="AB37" i="17"/>
  <c r="AG37" i="17" s="1"/>
  <c r="AH37" i="17" s="1"/>
  <c r="AC37" i="17"/>
  <c r="AC40" i="17"/>
  <c r="AB40" i="17"/>
  <c r="AG40" i="17" s="1"/>
  <c r="AH40" i="17" s="1"/>
  <c r="AB46" i="17"/>
  <c r="AG46" i="17" s="1"/>
  <c r="AH46" i="17" s="1"/>
  <c r="AC46" i="17"/>
  <c r="O22" i="17"/>
  <c r="AB13" i="17"/>
  <c r="AG13" i="17" s="1"/>
  <c r="AH13" i="17" s="1"/>
  <c r="AC13" i="17"/>
  <c r="AB48" i="17"/>
  <c r="AG48" i="17" s="1"/>
  <c r="AH48" i="17" s="1"/>
  <c r="AC48" i="17"/>
  <c r="AB49" i="17"/>
  <c r="AG49" i="17" s="1"/>
  <c r="AH49" i="17" s="1"/>
  <c r="AC49" i="17"/>
  <c r="AC52" i="17"/>
  <c r="AB52" i="17"/>
  <c r="AG52" i="17" s="1"/>
  <c r="AH52" i="17" s="1"/>
  <c r="AC39" i="17"/>
  <c r="AB39" i="17"/>
  <c r="AG39" i="17" s="1"/>
  <c r="AH39" i="17" s="1"/>
  <c r="AB10" i="17"/>
  <c r="AG10" i="17" s="1"/>
  <c r="AH10" i="17" s="1"/>
  <c r="AC10" i="17"/>
  <c r="P35" i="17"/>
  <c r="P36" i="17"/>
  <c r="Q11" i="17"/>
  <c r="AB14" i="17"/>
  <c r="AG14" i="17" s="1"/>
  <c r="AH14" i="17" s="1"/>
  <c r="AC14" i="17"/>
  <c r="AC6" i="17"/>
  <c r="AB6" i="17"/>
  <c r="P11" i="17"/>
  <c r="P23" i="17"/>
  <c r="P22" i="17"/>
  <c r="Q23" i="17"/>
  <c r="AC26" i="17"/>
  <c r="AB26" i="17"/>
  <c r="AG26" i="17" s="1"/>
  <c r="AH26" i="17" s="1"/>
  <c r="AB9" i="17"/>
  <c r="AG9" i="17" s="1"/>
  <c r="AH9" i="17" s="1"/>
  <c r="AC9" i="17"/>
  <c r="AB33" i="17"/>
  <c r="AG33" i="17" s="1"/>
  <c r="AH33" i="17" s="1"/>
  <c r="AC33" i="17"/>
  <c r="AB12" i="17"/>
  <c r="AG12" i="17" s="1"/>
  <c r="AH12" i="17" s="1"/>
  <c r="AC12" i="17"/>
  <c r="AB24" i="17"/>
  <c r="AG24" i="17" s="1"/>
  <c r="AH24" i="17" s="1"/>
  <c r="AC24" i="17"/>
  <c r="AB25" i="17"/>
  <c r="AG25" i="17" s="1"/>
  <c r="AH25" i="17" s="1"/>
  <c r="AC25" i="17"/>
  <c r="Q35" i="17"/>
  <c r="AC38" i="17"/>
  <c r="AB38" i="17"/>
  <c r="AG38" i="17" s="1"/>
  <c r="AH38" i="17" s="1"/>
  <c r="AB21" i="17"/>
  <c r="AG21" i="17" s="1"/>
  <c r="AH21" i="17" s="1"/>
  <c r="AC21" i="17"/>
  <c r="AB51" i="17"/>
  <c r="AG51" i="17" s="1"/>
  <c r="AH51" i="17" s="1"/>
  <c r="AC51" i="17"/>
  <c r="AB16" i="17"/>
  <c r="AG16" i="17" s="1"/>
  <c r="AH16" i="17" s="1"/>
  <c r="AC16" i="17"/>
  <c r="AB28" i="17"/>
  <c r="AG28" i="17" s="1"/>
  <c r="AH28" i="17" s="1"/>
  <c r="AC28" i="17"/>
  <c r="O47" i="17"/>
  <c r="Q47" i="17"/>
  <c r="AB50" i="17"/>
  <c r="AG50" i="17" s="1"/>
  <c r="AH50" i="17" s="1"/>
  <c r="AC50" i="17"/>
  <c r="AB45" i="17"/>
  <c r="AG45" i="17" s="1"/>
  <c r="AH45" i="17" s="1"/>
  <c r="AC45" i="17"/>
  <c r="V12" i="17"/>
  <c r="W16" i="17"/>
  <c r="V28" i="17"/>
  <c r="V33" i="17"/>
  <c r="V21" i="17"/>
  <c r="U38" i="17"/>
  <c r="V24" i="17"/>
  <c r="V45" i="17"/>
  <c r="U52" i="17"/>
  <c r="V9" i="17"/>
  <c r="O43" i="17"/>
  <c r="P43" i="17"/>
  <c r="P31" i="17"/>
  <c r="O31" i="17"/>
  <c r="U29" i="17"/>
  <c r="W29" i="17"/>
  <c r="V29" i="17"/>
  <c r="W45" i="17"/>
  <c r="Q7" i="17"/>
  <c r="V27" i="17"/>
  <c r="W27" i="17"/>
  <c r="W24" i="17"/>
  <c r="U27" i="17"/>
  <c r="W52" i="17"/>
  <c r="V52" i="17"/>
  <c r="W38" i="17"/>
  <c r="V38" i="17"/>
  <c r="V44" i="17"/>
  <c r="V8" i="17"/>
  <c r="V32" i="17"/>
  <c r="V20" i="17"/>
  <c r="U16" i="17"/>
  <c r="U26" i="17"/>
  <c r="V16" i="17"/>
  <c r="U33" i="17"/>
  <c r="U21" i="17"/>
  <c r="U45" i="17"/>
  <c r="U36" i="17"/>
  <c r="U9" i="17"/>
  <c r="U28" i="17"/>
  <c r="U24" i="17"/>
  <c r="U12" i="17"/>
  <c r="U40" i="17"/>
  <c r="U14" i="17"/>
  <c r="V36" i="17"/>
  <c r="V40" i="17"/>
  <c r="W21" i="17"/>
  <c r="W36" i="17"/>
  <c r="W9" i="17"/>
  <c r="W33" i="17"/>
  <c r="W12" i="17"/>
  <c r="W32" i="17"/>
  <c r="U32" i="17"/>
  <c r="W8" i="17"/>
  <c r="U8" i="17"/>
  <c r="W14" i="17"/>
  <c r="W26" i="17"/>
  <c r="W28" i="17"/>
  <c r="W40" i="17"/>
  <c r="V14" i="17"/>
  <c r="W44" i="17"/>
  <c r="U44" i="17"/>
  <c r="V26" i="17"/>
  <c r="W20" i="17"/>
  <c r="U20" i="17"/>
  <c r="U17" i="17"/>
  <c r="V17" i="17"/>
  <c r="W17" i="17"/>
  <c r="W41" i="17"/>
  <c r="V41" i="17"/>
  <c r="U41" i="17"/>
  <c r="V18" i="17"/>
  <c r="W18" i="17"/>
  <c r="U18" i="17"/>
  <c r="U39" i="17"/>
  <c r="W39" i="17"/>
  <c r="V39" i="17"/>
  <c r="U35" i="17"/>
  <c r="W35" i="17"/>
  <c r="V35" i="17"/>
  <c r="U47" i="17"/>
  <c r="W47" i="17"/>
  <c r="V47" i="17"/>
  <c r="W7" i="17"/>
  <c r="V7" i="17"/>
  <c r="U7" i="17"/>
  <c r="U15" i="17"/>
  <c r="W15" i="17"/>
  <c r="V15" i="17"/>
  <c r="U23" i="17"/>
  <c r="W23" i="17"/>
  <c r="V23" i="17"/>
  <c r="V42" i="17"/>
  <c r="W42" i="17"/>
  <c r="U42" i="17"/>
  <c r="U10" i="17"/>
  <c r="W10" i="17"/>
  <c r="V10" i="17"/>
  <c r="U49" i="17"/>
  <c r="V49" i="17"/>
  <c r="W49" i="17"/>
  <c r="U11" i="17"/>
  <c r="W11" i="17"/>
  <c r="V11" i="17"/>
  <c r="W30" i="17"/>
  <c r="U30" i="17"/>
  <c r="V30" i="17"/>
  <c r="U22" i="17"/>
  <c r="W22" i="17"/>
  <c r="V22" i="17"/>
  <c r="U50" i="17"/>
  <c r="W50" i="17"/>
  <c r="V50" i="17"/>
  <c r="W6" i="17"/>
  <c r="V6" i="17"/>
  <c r="U48" i="17"/>
  <c r="W48" i="17"/>
  <c r="V48" i="17"/>
  <c r="W31" i="17"/>
  <c r="V31" i="17"/>
  <c r="U51" i="17"/>
  <c r="W51" i="17"/>
  <c r="V51" i="17"/>
  <c r="U37" i="17"/>
  <c r="W37" i="17"/>
  <c r="V37" i="17"/>
  <c r="U34" i="17"/>
  <c r="W34" i="17"/>
  <c r="V34" i="17"/>
  <c r="W19" i="17"/>
  <c r="V19" i="17"/>
  <c r="U19" i="17"/>
  <c r="V13" i="17"/>
  <c r="U13" i="17"/>
  <c r="W13" i="17"/>
  <c r="U46" i="17"/>
  <c r="W46" i="17"/>
  <c r="V46" i="17"/>
  <c r="V25" i="17"/>
  <c r="U25" i="17"/>
  <c r="W25" i="17"/>
  <c r="AD53" i="27" l="1"/>
  <c r="AC53" i="27"/>
  <c r="AA53" i="20"/>
  <c r="W53" i="20"/>
  <c r="AC20" i="20"/>
  <c r="AD20" i="20"/>
  <c r="AD34" i="20"/>
  <c r="AC34" i="20"/>
  <c r="AC53" i="20"/>
  <c r="AG6" i="17"/>
  <c r="AH6" i="17" s="1"/>
  <c r="AJ6" i="17"/>
  <c r="AG7" i="17"/>
  <c r="AH7" i="17" s="1"/>
  <c r="AJ7" i="17"/>
  <c r="AF53" i="17"/>
  <c r="U31" i="17"/>
  <c r="W43" i="17"/>
  <c r="U43" i="17"/>
  <c r="V43" i="17"/>
  <c r="AH53" i="17" l="1"/>
  <c r="AD53" i="20"/>
</calcChain>
</file>

<file path=xl/sharedStrings.xml><?xml version="1.0" encoding="utf-8"?>
<sst xmlns="http://schemas.openxmlformats.org/spreadsheetml/2006/main" count="2117" uniqueCount="338">
  <si>
    <t>Country</t>
  </si>
  <si>
    <t>ISO</t>
  </si>
  <si>
    <t>Population_2023</t>
  </si>
  <si>
    <t>Invest_1</t>
  </si>
  <si>
    <t>Invest_2</t>
  </si>
  <si>
    <t>Output_1</t>
  </si>
  <si>
    <t>Output_2</t>
  </si>
  <si>
    <t>Output_3</t>
  </si>
  <si>
    <t>Output_4</t>
  </si>
  <si>
    <t>SCI_Average</t>
  </si>
  <si>
    <t>DALYS_2021_All Causes per capita 2021</t>
  </si>
  <si>
    <t>Outcome_1</t>
  </si>
  <si>
    <t>Outcome_2</t>
  </si>
  <si>
    <t>Outcome_3</t>
  </si>
  <si>
    <t>Outcome_4</t>
  </si>
  <si>
    <t>Outcome_5</t>
  </si>
  <si>
    <t>Impact_1</t>
  </si>
  <si>
    <t>Impact_2</t>
  </si>
  <si>
    <t>Impact_3</t>
  </si>
  <si>
    <t>GDP_Growth_per_capita</t>
  </si>
  <si>
    <t>HR_1</t>
  </si>
  <si>
    <t>HR_2</t>
  </si>
  <si>
    <t>HR_3</t>
  </si>
  <si>
    <t>HR_4</t>
  </si>
  <si>
    <t>HR_5</t>
  </si>
  <si>
    <t>HR_6</t>
  </si>
  <si>
    <t>HR_7</t>
  </si>
  <si>
    <t>HR_8</t>
  </si>
  <si>
    <t>DADLYs All</t>
  </si>
  <si>
    <t>Outcome_1a</t>
  </si>
  <si>
    <t>Outcome_2a</t>
  </si>
  <si>
    <t>Outcome_3a</t>
  </si>
  <si>
    <t>HR_1d</t>
  </si>
  <si>
    <t>HR_2d</t>
  </si>
  <si>
    <t>HR_3d</t>
  </si>
  <si>
    <t>HR_4d</t>
  </si>
  <si>
    <t>HR_5d</t>
  </si>
  <si>
    <t>HR_6d</t>
  </si>
  <si>
    <t>HR_7d</t>
  </si>
  <si>
    <t>Algeria</t>
  </si>
  <si>
    <t>DZA</t>
  </si>
  <si>
    <t>Angola</t>
  </si>
  <si>
    <t>AGO</t>
  </si>
  <si>
    <t>Benin</t>
  </si>
  <si>
    <t>BEN</t>
  </si>
  <si>
    <t>Botswana</t>
  </si>
  <si>
    <t>BWA</t>
  </si>
  <si>
    <t>Burkina Faso</t>
  </si>
  <si>
    <t>BFA</t>
  </si>
  <si>
    <t>Burundi</t>
  </si>
  <si>
    <t>BDI</t>
  </si>
  <si>
    <t>Cabo Verde</t>
  </si>
  <si>
    <t>CPV</t>
  </si>
  <si>
    <t>Cameroon</t>
  </si>
  <si>
    <t>CMR</t>
  </si>
  <si>
    <t>Central African Republic</t>
  </si>
  <si>
    <t>CAF</t>
  </si>
  <si>
    <t>Chad</t>
  </si>
  <si>
    <t>TCD</t>
  </si>
  <si>
    <t>Comoros</t>
  </si>
  <si>
    <t>COM</t>
  </si>
  <si>
    <t>Congo</t>
  </si>
  <si>
    <t>COG</t>
  </si>
  <si>
    <t>Côte d'Ivoire</t>
  </si>
  <si>
    <t>CIV</t>
  </si>
  <si>
    <t>Democratic Republic of the Congo</t>
  </si>
  <si>
    <t>COD</t>
  </si>
  <si>
    <t>Equatorial Guinea</t>
  </si>
  <si>
    <t>GNQ</t>
  </si>
  <si>
    <t>Eritrea</t>
  </si>
  <si>
    <t>ERI</t>
  </si>
  <si>
    <t>Eswatini</t>
  </si>
  <si>
    <t>SWZ</t>
  </si>
  <si>
    <t>Ethiopia</t>
  </si>
  <si>
    <t>ETH</t>
  </si>
  <si>
    <t>Gabon</t>
  </si>
  <si>
    <t>GAB</t>
  </si>
  <si>
    <t>Gambia</t>
  </si>
  <si>
    <t>GMB</t>
  </si>
  <si>
    <t>Ghana</t>
  </si>
  <si>
    <t>GHA</t>
  </si>
  <si>
    <t>Guinea</t>
  </si>
  <si>
    <t>GIN</t>
  </si>
  <si>
    <t>Guinea-Bissau</t>
  </si>
  <si>
    <t>GNB</t>
  </si>
  <si>
    <t>Kenya</t>
  </si>
  <si>
    <t>KEN</t>
  </si>
  <si>
    <t>Lesotho</t>
  </si>
  <si>
    <t>LSO</t>
  </si>
  <si>
    <t>Liberia</t>
  </si>
  <si>
    <t>LBR</t>
  </si>
  <si>
    <t>Madagascar</t>
  </si>
  <si>
    <t>MDG</t>
  </si>
  <si>
    <t>Malawi</t>
  </si>
  <si>
    <t>MWI</t>
  </si>
  <si>
    <t>Mali</t>
  </si>
  <si>
    <t>MLI</t>
  </si>
  <si>
    <t>Mauritania</t>
  </si>
  <si>
    <t>MRT</t>
  </si>
  <si>
    <t>Mauritius</t>
  </si>
  <si>
    <t>MUS</t>
  </si>
  <si>
    <t>Mozambique</t>
  </si>
  <si>
    <t>MOZ</t>
  </si>
  <si>
    <t>Namibia</t>
  </si>
  <si>
    <t>NAM</t>
  </si>
  <si>
    <t>Niger</t>
  </si>
  <si>
    <t>NER</t>
  </si>
  <si>
    <t>Nigeria</t>
  </si>
  <si>
    <t>NGA</t>
  </si>
  <si>
    <t>Rwanda</t>
  </si>
  <si>
    <t>RWA</t>
  </si>
  <si>
    <t>Sao Tome and Principe</t>
  </si>
  <si>
    <t>STP</t>
  </si>
  <si>
    <t>Senegal</t>
  </si>
  <si>
    <t>SEN</t>
  </si>
  <si>
    <t>Seychelles</t>
  </si>
  <si>
    <t>SYC</t>
  </si>
  <si>
    <t>Sierra Leone</t>
  </si>
  <si>
    <t>SLE</t>
  </si>
  <si>
    <t>South Africa</t>
  </si>
  <si>
    <t>ZAF</t>
  </si>
  <si>
    <t>South Sudan</t>
  </si>
  <si>
    <t>SSD</t>
  </si>
  <si>
    <t>Togo</t>
  </si>
  <si>
    <t>UGA</t>
  </si>
  <si>
    <t>Uganda</t>
  </si>
  <si>
    <t>TZA</t>
  </si>
  <si>
    <t>United Republic of Tanzania</t>
  </si>
  <si>
    <t>TGO</t>
  </si>
  <si>
    <t>Zambia</t>
  </si>
  <si>
    <t>ZMB</t>
  </si>
  <si>
    <t>Zimbabwe</t>
  </si>
  <si>
    <t>ZWE</t>
  </si>
  <si>
    <t>Unit increase</t>
  </si>
  <si>
    <t>SCI</t>
  </si>
  <si>
    <t>Increased SCI</t>
  </si>
  <si>
    <t>DALYS Coef</t>
  </si>
  <si>
    <t>DALYS per capita</t>
  </si>
  <si>
    <t>varname</t>
  </si>
  <si>
    <t>variable definition</t>
  </si>
  <si>
    <t>Salary per capita</t>
  </si>
  <si>
    <t>Total core cadre training per capita</t>
  </si>
  <si>
    <t>SCI_Infectious diseases</t>
  </si>
  <si>
    <t>SCI_NCD</t>
  </si>
  <si>
    <t>SCI_RMNCH</t>
  </si>
  <si>
    <t>DALYS_2021_Communicable, maternal, perinatal and nutritional conditions per capita 2021</t>
  </si>
  <si>
    <t>DALYS_2021_Noncommunicable diseases per capita (2021)</t>
  </si>
  <si>
    <t>DALYS_2021_Injuries per capita 2021</t>
  </si>
  <si>
    <t>Health_Security_Index_2021</t>
  </si>
  <si>
    <t>HAQ</t>
  </si>
  <si>
    <t>GDP per capita growth (annual %)</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</si>
  <si>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</si>
  <si>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GDP growth (annual %)</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</si>
  <si>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</si>
  <si>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GDP per capita, PPP (constant 2017 international $)</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</si>
  <si>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</si>
  <si>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Density_2023_Medical Doctors</t>
  </si>
  <si>
    <t>Density_2023_Nursing Personnel</t>
  </si>
  <si>
    <t>Density_2023_Midwifery Personnel</t>
  </si>
  <si>
    <t>Density_2023_Dentists</t>
  </si>
  <si>
    <t>Density_2023_Pharmacists</t>
  </si>
  <si>
    <t>Density_2023_Medical and Pathology Laboratory Scientists</t>
  </si>
  <si>
    <t>Density_2023_Medical and Pathology Laboratory Technicians</t>
  </si>
  <si>
    <t>Density_7_cadres_2023</t>
  </si>
  <si>
    <t>Construct</t>
  </si>
  <si>
    <t>Var_code</t>
  </si>
  <si>
    <t>Var_name</t>
  </si>
  <si>
    <t>HRH AVAILABILITY</t>
  </si>
  <si>
    <t>OUTPUT</t>
  </si>
  <si>
    <t>OUTCOME</t>
  </si>
  <si>
    <t>IMPACT</t>
  </si>
  <si>
    <t>HWF Performance</t>
  </si>
  <si>
    <t>Borrowed from Model 1</t>
  </si>
  <si>
    <t>Input 1 coef.</t>
  </si>
  <si>
    <t>Input 2 coef.</t>
  </si>
  <si>
    <t>Input 3 coef.</t>
  </si>
  <si>
    <t>Percentage of people trained</t>
  </si>
  <si>
    <t>Percentage of people incentivised</t>
  </si>
  <si>
    <t>HWF In-service training coef.</t>
  </si>
  <si>
    <t>Incentive</t>
  </si>
  <si>
    <t>Total Output coef.</t>
  </si>
  <si>
    <t>R²_Output</t>
  </si>
  <si>
    <t>Output 1 Coef.</t>
  </si>
  <si>
    <t>Output 2 Coef.</t>
  </si>
  <si>
    <t>Output 3 Coef.</t>
  </si>
  <si>
    <t>Total Outcome coef.</t>
  </si>
  <si>
    <t>R²_Outcome</t>
  </si>
  <si>
    <t>Outcome 1 Coef.</t>
  </si>
  <si>
    <t>Outcome 2 Coef.</t>
  </si>
  <si>
    <t>Outcome 3 Coef.</t>
  </si>
  <si>
    <t>Direct effect from HWF availability to Outcome</t>
  </si>
  <si>
    <t>Total Impact coef.</t>
  </si>
  <si>
    <t>R²_Impact</t>
  </si>
  <si>
    <t>Impact 1 Coef.</t>
  </si>
  <si>
    <t>Impact 2 Coef.</t>
  </si>
  <si>
    <t>Investments</t>
  </si>
  <si>
    <t>HWF Availability</t>
  </si>
  <si>
    <t>GDP_PPP_2024</t>
  </si>
  <si>
    <t>Productivity</t>
  </si>
  <si>
    <t>Education</t>
  </si>
  <si>
    <t>Employment</t>
  </si>
  <si>
    <t>Retention</t>
  </si>
  <si>
    <t>HWF Availability Estimation</t>
  </si>
  <si>
    <t>Real value</t>
  </si>
  <si>
    <t>Total Output</t>
  </si>
  <si>
    <t>Total Outcome from output</t>
  </si>
  <si>
    <t>Direct Outcome from HWF availability</t>
  </si>
  <si>
    <t>Total Impact</t>
  </si>
  <si>
    <t>Initial investment per HWF</t>
  </si>
  <si>
    <t>Intial investment per population</t>
  </si>
  <si>
    <t>Population</t>
  </si>
  <si>
    <t>GDP_PP</t>
  </si>
  <si>
    <t>ROI on GDP</t>
  </si>
  <si>
    <t>Percentage of HWF benefiting from the salary increase</t>
  </si>
  <si>
    <t>Employement</t>
  </si>
  <si>
    <t>Average</t>
  </si>
  <si>
    <t>1st level Model</t>
  </si>
  <si>
    <t>coef1_Medical Doctors</t>
  </si>
  <si>
    <t>coef1_Nursing Personnel</t>
  </si>
  <si>
    <t>coef1_Midwifery Personnel</t>
  </si>
  <si>
    <t>coef1_Dentists</t>
  </si>
  <si>
    <t>coef1_Pharmacists</t>
  </si>
  <si>
    <t>coef1_Medical and Pathology Laboratory Scientists</t>
  </si>
  <si>
    <t>coef1_Medical and Pathology Laboratory Technicians</t>
  </si>
  <si>
    <t>HWFav1</t>
  </si>
  <si>
    <t>OUTput1_SCI_Infectiousdiseases</t>
  </si>
  <si>
    <t>OUTput1_SCI_NCD</t>
  </si>
  <si>
    <t>OUTput1_SCI_RMNCH</t>
  </si>
  <si>
    <t>OUTput1</t>
  </si>
  <si>
    <t>OUTcome1_DALYS_2021_Communicable, maternal, perinatal and nutritional conditions per capita 2021</t>
  </si>
  <si>
    <t>OUTcome1_DALYS_2021_Noncommunicable diseases per capita (2021)</t>
  </si>
  <si>
    <t>OUTcome1_DALYS_2021_Injuries per capita 2021</t>
  </si>
  <si>
    <t>OUTcome1</t>
  </si>
  <si>
    <t>Impact1</t>
  </si>
  <si>
    <t>2nd Level</t>
  </si>
  <si>
    <t>OUTput2</t>
  </si>
  <si>
    <t>OUTcome2</t>
  </si>
  <si>
    <t>Impact2</t>
  </si>
  <si>
    <t>GINI INDEX</t>
  </si>
  <si>
    <t>GDP_PPP_2023</t>
  </si>
  <si>
    <t>HALE_2021</t>
  </si>
  <si>
    <t>SCI_Capacity and Access</t>
  </si>
  <si>
    <t>Salary_per_capita</t>
  </si>
  <si>
    <t>Stock_7_cadres_2023</t>
  </si>
  <si>
    <t>Occupations</t>
  </si>
  <si>
    <t>Density 2014</t>
  </si>
  <si>
    <t>Density 2015</t>
  </si>
  <si>
    <t>Density 2016</t>
  </si>
  <si>
    <t>Density 2017</t>
  </si>
  <si>
    <t>Density 2018</t>
  </si>
  <si>
    <t>Density 2019</t>
  </si>
  <si>
    <t>Density 2020</t>
  </si>
  <si>
    <t>Density 2021</t>
  </si>
  <si>
    <t>Density 2022</t>
  </si>
  <si>
    <t>Density 2023</t>
  </si>
  <si>
    <t>Row Labels</t>
  </si>
  <si>
    <t>Sum of 2023</t>
  </si>
  <si>
    <t>Dentists</t>
  </si>
  <si>
    <t>Medical and Pathology Laboratory scientists</t>
  </si>
  <si>
    <t>Medical and Pathology Laboratory Technicians</t>
  </si>
  <si>
    <t>Medical Doctors</t>
  </si>
  <si>
    <t>Midwifery personnel</t>
  </si>
  <si>
    <t>Nursing Personnel</t>
  </si>
  <si>
    <t>Pharmacists</t>
  </si>
  <si>
    <t>Grand Total</t>
  </si>
  <si>
    <r>
      <t>Healthcare Access and Quality (HAQ) Index</t>
    </r>
    <r>
      <rPr>
        <sz val="11"/>
        <color rgb="FF404040"/>
        <rFont val="Aptos Narrow"/>
        <family val="2"/>
        <scheme val="minor"/>
      </rPr>
      <t> is a metric developed by the Institute for Health Metrics and Evaluation (IHME) to assess health system performance.</t>
    </r>
  </si>
  <si>
    <r>
      <t>The </t>
    </r>
    <r>
      <rPr>
        <sz val="11"/>
        <color rgb="FF404040"/>
        <rFont val="Aptos Narrow"/>
        <family val="2"/>
        <scheme val="minor"/>
      </rPr>
      <t>Productivity Index</t>
    </r>
    <r>
      <rPr>
        <sz val="11"/>
        <color rgb="FF404040"/>
        <rFont val="Aptos Narrow"/>
        <family val="2"/>
        <scheme val="minor"/>
      </rPr>
      <t> developed by the </t>
    </r>
    <r>
      <rPr>
        <sz val="11"/>
        <color rgb="FF404040"/>
        <rFont val="Aptos Narrow"/>
        <family val="2"/>
        <scheme val="minor"/>
      </rPr>
      <t>International Labour Organization (ILO)</t>
    </r>
    <r>
      <rPr>
        <sz val="11"/>
        <color rgb="FF404040"/>
        <rFont val="Aptos Narrow"/>
        <family val="2"/>
        <scheme val="minor"/>
      </rPr>
      <t> measures the efficiency of labour in generating economic output.</t>
    </r>
  </si>
  <si>
    <r>
      <t>The </t>
    </r>
    <r>
      <rPr>
        <sz val="11"/>
        <color rgb="FF404040"/>
        <rFont val="Aptos Narrow"/>
        <family val="2"/>
        <scheme val="minor"/>
      </rPr>
      <t>Gini coefficient</t>
    </r>
    <r>
      <rPr>
        <sz val="11"/>
        <color rgb="FF404040"/>
        <rFont val="Aptos Narrow"/>
        <family val="2"/>
        <scheme val="minor"/>
      </rPr>
      <t> is a key economic metric for measuring </t>
    </r>
    <r>
      <rPr>
        <sz val="11"/>
        <color rgb="FF404040"/>
        <rFont val="Aptos Narrow"/>
        <family val="2"/>
        <scheme val="minor"/>
      </rPr>
      <t>income or wealth inequality</t>
    </r>
    <r>
      <rPr>
        <sz val="11"/>
        <color rgb="FF404040"/>
        <rFont val="Aptos Narrow"/>
        <family val="2"/>
        <scheme val="minor"/>
      </rPr>
      <t> within a population</t>
    </r>
  </si>
  <si>
    <t>per 10000 population</t>
  </si>
  <si>
    <r>
      <t>Measures a country’s economic output adjusted for </t>
    </r>
    <r>
      <rPr>
        <sz val="11"/>
        <color rgb="FF404040"/>
        <rFont val="Aptos Narrow"/>
        <family val="2"/>
        <scheme val="minor"/>
      </rPr>
      <t>price differences across countries</t>
    </r>
    <r>
      <rPr>
        <sz val="11"/>
        <color rgb="FF404040"/>
        <rFont val="Aptos Narrow"/>
        <family val="2"/>
        <scheme val="minor"/>
      </rPr>
      <t> (PPP) and </t>
    </r>
    <r>
      <rPr>
        <sz val="11"/>
        <color rgb="FF404040"/>
        <rFont val="Aptos Narrow"/>
        <family val="2"/>
        <scheme val="minor"/>
      </rPr>
      <t>inflation</t>
    </r>
    <r>
      <rPr>
        <sz val="11"/>
        <color rgb="FF404040"/>
        <rFont val="Aptos Narrow"/>
        <family val="2"/>
        <scheme val="minor"/>
      </rPr>
      <t> (constant currency).</t>
    </r>
  </si>
  <si>
    <r>
      <t>HALE estimates the average number of years a person can expect to live in </t>
    </r>
    <r>
      <rPr>
        <sz val="11"/>
        <color rgb="FF404040"/>
        <rFont val="Aptos Narrow"/>
        <family val="2"/>
        <scheme val="minor"/>
      </rPr>
      <t>full health</t>
    </r>
    <r>
      <rPr>
        <sz val="11"/>
        <color rgb="FF404040"/>
        <rFont val="Aptos Narrow"/>
        <family val="2"/>
        <scheme val="minor"/>
      </rPr>
      <t> (discounting years lived with illness/disability). It combines mortality and morbidity data into a single metric.</t>
    </r>
  </si>
  <si>
    <r>
      <t>The </t>
    </r>
    <r>
      <rPr>
        <sz val="11"/>
        <color rgb="FF404040"/>
        <rFont val="Aptos Narrow"/>
        <family val="2"/>
        <scheme val="minor"/>
      </rPr>
      <t>UHC Service Coverage Index (SCI)</t>
    </r>
    <r>
      <rPr>
        <sz val="11"/>
        <color rgb="FF404040"/>
        <rFont val="Aptos Narrow"/>
        <family val="2"/>
        <scheme val="minor"/>
      </rPr>
      <t> is a WHO-developed metric to track progress toward </t>
    </r>
    <r>
      <rPr>
        <sz val="11"/>
        <color rgb="FF404040"/>
        <rFont val="Aptos Narrow"/>
        <family val="2"/>
        <scheme val="minor"/>
      </rPr>
      <t>Universal Health Coverage (UHC)</t>
    </r>
    <r>
      <rPr>
        <sz val="11"/>
        <color rgb="FF404040"/>
        <rFont val="Aptos Narrow"/>
        <family val="2"/>
        <scheme val="minor"/>
      </rPr>
      <t> by measuring </t>
    </r>
    <r>
      <rPr>
        <sz val="11"/>
        <color rgb="FF404040"/>
        <rFont val="Aptos Narrow"/>
        <family val="2"/>
        <scheme val="minor"/>
      </rPr>
      <t>health service capacity and access</t>
    </r>
    <r>
      <rPr>
        <sz val="11"/>
        <color rgb="FF404040"/>
        <rFont val="Aptos Narrow"/>
        <family val="2"/>
        <scheme val="minor"/>
      </rPr>
      <t>.</t>
    </r>
  </si>
  <si>
    <r>
      <t>measures a country's capacity to prevent, detect, and treat </t>
    </r>
    <r>
      <rPr>
        <sz val="11"/>
        <color rgb="FF404040"/>
        <rFont val="Aptos Narrow"/>
        <family val="2"/>
        <scheme val="minor"/>
      </rPr>
      <t>communicable diseases</t>
    </r>
  </si>
  <si>
    <r>
      <t>evaluates a health system's capacity to </t>
    </r>
    <r>
      <rPr>
        <sz val="11"/>
        <color rgb="FF404040"/>
        <rFont val="Aptos Narrow"/>
        <family val="2"/>
        <scheme val="minor"/>
      </rPr>
      <t>prevent, diagnose, and manage chronic diseases</t>
    </r>
    <r>
      <rPr>
        <sz val="11"/>
        <color rgb="FF404040"/>
        <rFont val="Aptos Narrow"/>
        <family val="2"/>
        <scheme val="minor"/>
      </rPr>
      <t> </t>
    </r>
  </si>
  <si>
    <r>
      <t>measures coverage of essential health services for </t>
    </r>
    <r>
      <rPr>
        <sz val="11"/>
        <color rgb="FF404040"/>
        <rFont val="Aptos Narrow"/>
        <family val="2"/>
        <scheme val="minor"/>
      </rPr>
      <t>women and children</t>
    </r>
    <r>
      <rPr>
        <sz val="11"/>
        <color rgb="FF404040"/>
        <rFont val="Aptos Narrow"/>
        <family val="2"/>
        <scheme val="minor"/>
      </rPr>
      <t>, including prenatal care, skilled birth attendance, immunization, and postnatal care.</t>
    </r>
  </si>
  <si>
    <t>measures the average number of healthy life years lost per person in 2021 due to all diseases and injuries, combining premature death and disability.</t>
  </si>
  <si>
    <t>measures the average number of healthy life years lost per person in 2021 due to infectious diseases, pregnancy-related complications, birth conditions, and nutritional deficiencies.</t>
  </si>
  <si>
    <t>measures the average number of healthy life years lost per person in 2021 due to Noncommunicable diseases deficiencies.</t>
  </si>
  <si>
    <t xml:space="preserve">measures the average number of healthy life years lost per person in 2021 due to Injuries </t>
  </si>
  <si>
    <t>global benchmark that assesses how well 195 countries are prepared to prevent, detect, and respond to infectious disease threats, revealing widespread gaps in pandemic readiness</t>
  </si>
  <si>
    <t>Tuition fees</t>
  </si>
  <si>
    <t>Generalist Medical Practitioners</t>
  </si>
  <si>
    <t>Nursing Professionals</t>
  </si>
  <si>
    <t>Paramedical Practitioners</t>
  </si>
  <si>
    <t>Variable</t>
  </si>
  <si>
    <t>Dentist</t>
  </si>
  <si>
    <t>Clinical Officer/Physician Assistant</t>
  </si>
  <si>
    <t>Median</t>
  </si>
  <si>
    <t>Minimum</t>
  </si>
  <si>
    <t>Maximum</t>
  </si>
  <si>
    <t>Number of countries</t>
  </si>
  <si>
    <t>Estimated Salaries of Health Workers</t>
  </si>
  <si>
    <t>Occupation</t>
  </si>
  <si>
    <t>Number of Countries</t>
  </si>
  <si>
    <t>Audiologists and Speech Therapists</t>
  </si>
  <si>
    <t>Inputed with average</t>
  </si>
  <si>
    <t>Min</t>
  </si>
  <si>
    <t>Max</t>
  </si>
  <si>
    <t>Community Health Workers</t>
  </si>
  <si>
    <t>Dental Assistants and Therapists</t>
  </si>
  <si>
    <t>Dieticians and nutritionists</t>
  </si>
  <si>
    <t>Environmental and occupational health &amp; hygiene workers</t>
  </si>
  <si>
    <t>Medical and dental Prosthetic Technicians</t>
  </si>
  <si>
    <t>Other Health Workers</t>
  </si>
  <si>
    <t>Medical Imaging and Therapeutic Equipment Technicians</t>
  </si>
  <si>
    <t>Optometrists and Ophthalmic Opticians</t>
  </si>
  <si>
    <t>Pharmaceutical Technicians and Assistants</t>
  </si>
  <si>
    <t>Pharmacist</t>
  </si>
  <si>
    <t>Physiotherapists and physiotherapy assistants</t>
  </si>
  <si>
    <t>Psychologists</t>
  </si>
  <si>
    <t>Social workers</t>
  </si>
  <si>
    <t>Specialist Medical Practitioners</t>
  </si>
  <si>
    <t>Mean</t>
  </si>
  <si>
    <t>Training Cost</t>
  </si>
  <si>
    <t>Other</t>
  </si>
  <si>
    <t>ISO3</t>
  </si>
  <si>
    <t>Other Dental practitioners</t>
  </si>
  <si>
    <t>Other Pharmacy practitioners</t>
  </si>
  <si>
    <t>Total</t>
  </si>
  <si>
    <t>Midwifery Personnel</t>
  </si>
  <si>
    <t>Medical and Pathology Laboratory Scientists</t>
  </si>
  <si>
    <t xml:space="preserve">Total core cadre training </t>
  </si>
  <si>
    <t>Total_2023_Medical Doctors</t>
  </si>
  <si>
    <t>Total_2023_Nursing Personnel</t>
  </si>
  <si>
    <t>Total__2023_Midwifery Personnel</t>
  </si>
  <si>
    <t>Total_2023_Dentists</t>
  </si>
  <si>
    <t>Total_2023_Pharmacists</t>
  </si>
  <si>
    <t>Total_2023_Medical and Pathology Laboratory Scientists</t>
  </si>
  <si>
    <t>Total_2023_Medical and Pathology Laboratory Technicians</t>
  </si>
  <si>
    <t>Salary_Exp_2023_Medical Doctors</t>
  </si>
  <si>
    <t>Salary_Exp_2023_Nursing Personnel</t>
  </si>
  <si>
    <t>Salary_Exp_2023_Midwifery Personnel</t>
  </si>
  <si>
    <t>Salary_Exp_2023_Dentists</t>
  </si>
  <si>
    <t>Salary_Exp_2023_Pharmacists</t>
  </si>
  <si>
    <t>Salary_Exp_2023_Medical and Pathology Laboratory Scientists</t>
  </si>
  <si>
    <t>Salary_Exp_2023_Medical and Pathology Laboratory Technicians</t>
  </si>
  <si>
    <t>Salary_Exp_7_cadres_2023</t>
  </si>
  <si>
    <t>salary per population for the 7 core cadres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</si>
</sst>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0_-;\-* #,##0_-;_-* &quot;-&quot;??_-;_-@_-"/>
    <numFmt numFmtId="166" formatCode="_(* #,##0_);_(* \(#,##0\);_(* &quot;-&quot;??_);_(@_)"/>
    <numFmt numFmtId="167" formatCode="[$$-C09]#,##0;\-[$$-C09]#,##0"/>
    <numFmt numFmtId="168" formatCode="_-* #,##0.0_-;\-* #,##0.0_-;_-* &quot;-&quot;??_-;_-@_-"/>
    <numFmt numFmtId="169" formatCode="_-* #,##0.000_-;\-* #,##0.000_-;_-* &quot;-&quot;??_-;_-@_-"/>
  </numFmts>
  <fonts count="16"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404040"/>
      <name val="Aptos Narrow"/>
      <family val="2"/>
      <scheme val="minor"/>
    </font>
    <font>
      <b/>
      <sz val="12"/>
      <color theme="0"/>
      <name val="Garamond"/>
      <family val="1"/>
    </font>
    <font>
      <sz val="12"/>
      <color theme="0"/>
      <name val="Aptos Narrow"/>
      <family val="2"/>
      <scheme val="minor"/>
    </font>
    <font>
      <b/>
      <sz val="12"/>
      <color theme="0"/>
      <name val="Aptos Narrow"/>
      <family val="2"/>
      <scheme val="minor"/>
    </font>
    <font>
      <b/>
      <sz val="9"/>
      <color theme="1"/>
      <name val="Aptos Narrow"/>
      <family val="2"/>
      <scheme val="minor"/>
    </font>
    <font>
      <sz val="9"/>
      <color theme="1"/>
      <name val="Aptos Narrow"/>
      <family val="2"/>
      <scheme val="minor"/>
    </font>
    <font>
      <sz val="8"/>
      <name val="Aptos Narrow"/>
      <family val="2"/>
      <scheme val="minor"/>
    </font>
    <font>
      <b/>
      <sz val="14"/>
      <color theme="1"/>
      <name val="Aptos Narrow"/>
      <family val="2"/>
      <scheme val="minor"/>
    </font>
    <font>
      <sz val="11"/>
      <color rgb="FFFF0000"/>
      <name val="Aptos Narrow"/>
      <family val="2"/>
      <scheme val="minor"/>
    </font>
    <font>
      <b/>
      <sz val="10"/>
      <name val="Arial"/>
      <family val="2"/>
    </font>
    <font>
      <sz val="10"/>
      <name val="Arial"/>
      <family val="2"/>
    </font>
    <font>
      <sz val="11"/>
      <name val="Aptos Narrow"/>
      <family val="2"/>
      <scheme val="minor"/>
    </font>
    <font>
      <b/>
      <sz val="11"/>
      <name val="Aptos Narrow"/>
      <family val="2"/>
      <scheme val="minor"/>
    </font>
  </fonts>
  <fills count="15">
    <fill>
      <patternFill patternType="none"/>
    </fill>
    <fill>
      <patternFill patternType="gray125"/>
    </fill>
    <fill>
      <patternFill patternType="solid">
        <fgColor theme="8" tint="0.39994506668294322"/>
        <bgColor indexed="64"/>
      </patternFill>
    </fill>
    <fill>
      <patternFill patternType="solid">
        <fgColor theme="1"/>
        <bgColor theme="1"/>
      </patternFill>
    </fill>
    <fill>
      <patternFill patternType="solid">
        <fgColor theme="0" tint="-4.9989318521683403E-2"/>
        <bgColor theme="0" tint="-4.9989318521683403E-2"/>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theme="0" tint="-0.14999847407452621"/>
      </right>
      <top/>
      <bottom/>
      <diagonal/>
    </border>
    <border>
      <left/>
      <right style="thin">
        <color theme="0" tint="-0.14999847407452621"/>
      </right>
      <top/>
      <bottom style="double">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cellStyleXfs>
  <cellXfs count="85">
    <xf numFmtId="0" fontId="0" fillId="0" borderId="0" xfId="0"/>
    <xf numFmtId="0" fontId="1" fillId="0" borderId="0" xfId="0" applyFont="1"/>
    <xf numFmtId="0" fontId="1" fillId="0" borderId="0" xfId="0" applyFont="1" applyAlignment="1">
      <alignment horizontal="center" vertical="center" wrapText="1"/>
    </xf>
    <xf numFmtId="165" fontId="2" fillId="0" borderId="0" xfId="1" applyNumberFormat="1" applyFont="1"/>
    <xf numFmtId="0" fontId="0" fillId="0" borderId="0" xfId="0" applyAlignment="1">
      <alignment horizontal="left"/>
    </xf>
    <xf numFmtId="0" fontId="0" fillId="0" borderId="0" xfId="0" applyAlignment="1">
      <alignment horizontal="left" vertical="center" wrapText="1"/>
    </xf>
    <xf numFmtId="0" fontId="3" fillId="0" borderId="0" xfId="0" applyFont="1"/>
    <xf numFmtId="0" fontId="4" fillId="2" borderId="1" xfId="2" applyFont="1" applyFill="1" applyBorder="1" applyAlignment="1">
      <alignment vertical="center"/>
    </xf>
    <xf numFmtId="0" fontId="4" fillId="2" borderId="2" xfId="2" applyFont="1" applyFill="1" applyBorder="1" applyAlignment="1">
      <alignment vertical="center" wrapText="1"/>
    </xf>
    <xf numFmtId="0" fontId="4" fillId="2" borderId="2" xfId="2" applyFont="1" applyFill="1" applyBorder="1" applyAlignment="1">
      <alignment horizontal="center" vertical="center" wrapText="1"/>
    </xf>
    <xf numFmtId="165" fontId="0" fillId="0" borderId="0" xfId="1" applyNumberFormat="1" applyFont="1"/>
    <xf numFmtId="166" fontId="0" fillId="0" borderId="0" xfId="0" applyNumberFormat="1"/>
    <xf numFmtId="0" fontId="5" fillId="3" borderId="0" xfId="0" applyFont="1" applyFill="1" applyAlignment="1">
      <alignment vertical="top" wrapText="1"/>
    </xf>
    <xf numFmtId="3" fontId="0" fillId="4" borderId="3" xfId="0" applyNumberFormat="1" applyFill="1" applyBorder="1" applyAlignment="1">
      <alignment vertical="top"/>
    </xf>
    <xf numFmtId="43" fontId="0" fillId="0" borderId="0" xfId="1" applyFont="1"/>
    <xf numFmtId="166" fontId="0" fillId="0" borderId="0" xfId="1" applyNumberFormat="1" applyFont="1"/>
    <xf numFmtId="164" fontId="0" fillId="5" borderId="0" xfId="0" applyNumberFormat="1" applyFill="1"/>
    <xf numFmtId="3" fontId="0" fillId="4" borderId="4" xfId="0" applyNumberFormat="1" applyFill="1" applyBorder="1" applyAlignment="1">
      <alignment vertical="top"/>
    </xf>
    <xf numFmtId="164" fontId="5" fillId="3" borderId="0" xfId="0" applyNumberFormat="1" applyFont="1" applyFill="1" applyAlignment="1">
      <alignment vertical="top" wrapText="1"/>
    </xf>
    <xf numFmtId="0" fontId="4" fillId="2" borderId="2" xfId="2" applyFont="1" applyFill="1" applyBorder="1" applyAlignment="1">
      <alignment vertical="center"/>
    </xf>
    <xf numFmtId="167" fontId="0" fillId="0" borderId="0" xfId="1" applyNumberFormat="1" applyFont="1"/>
    <xf numFmtId="43" fontId="0" fillId="0" borderId="0" xfId="1" applyFont="1" applyFill="1" applyBorder="1"/>
    <xf numFmtId="167" fontId="5" fillId="3" borderId="0" xfId="0" applyNumberFormat="1" applyFont="1" applyFill="1" applyAlignment="1">
      <alignment vertical="top" wrapText="1"/>
    </xf>
    <xf numFmtId="0" fontId="1" fillId="0" borderId="5" xfId="3" applyFont="1" applyBorder="1" applyAlignment="1">
      <alignment vertical="center" wrapText="1"/>
    </xf>
    <xf numFmtId="0" fontId="2" fillId="0" borderId="0" xfId="3"/>
    <xf numFmtId="165" fontId="0" fillId="0" borderId="0" xfId="0" applyNumberFormat="1"/>
    <xf numFmtId="0" fontId="6" fillId="3" borderId="0" xfId="0" applyFont="1" applyFill="1" applyAlignment="1">
      <alignment vertical="top" wrapText="1"/>
    </xf>
    <xf numFmtId="43" fontId="1" fillId="0" borderId="0" xfId="1" applyFont="1"/>
    <xf numFmtId="164" fontId="6" fillId="3" borderId="0" xfId="0" applyNumberFormat="1" applyFont="1" applyFill="1" applyAlignment="1">
      <alignment vertical="top" wrapText="1"/>
    </xf>
    <xf numFmtId="43" fontId="0" fillId="0" borderId="0" xfId="0" applyNumberFormat="1"/>
    <xf numFmtId="0" fontId="7" fillId="0" borderId="0" xfId="0" applyFont="1" applyAlignment="1">
      <alignment horizontal="center" vertical="center" wrapText="1"/>
    </xf>
    <xf numFmtId="0" fontId="8" fillId="0" borderId="0" xfId="0" applyFont="1"/>
    <xf numFmtId="0" fontId="7" fillId="5" borderId="0" xfId="0" applyFont="1" applyFill="1" applyAlignment="1">
      <alignment horizontal="center" vertical="center" wrapText="1"/>
    </xf>
    <xf numFmtId="2" fontId="0" fillId="0" borderId="0" xfId="0" applyNumberFormat="1"/>
    <xf numFmtId="0" fontId="4" fillId="2" borderId="0" xfId="2" applyFont="1" applyFill="1" applyAlignment="1">
      <alignment horizontal="center" vertical="center" wrapText="1"/>
    </xf>
    <xf numFmtId="168" fontId="0" fillId="0" borderId="0" xfId="0" applyNumberFormat="1"/>
    <xf numFmtId="0" fontId="0" fillId="0" borderId="0" xfId="0" applyAlignment="1">
      <alignment vertical="center" wrapText="1"/>
    </xf>
    <xf numFmtId="0" fontId="1" fillId="0" borderId="0" xfId="0" applyFont="1" applyAlignment="1">
      <alignment vertical="center"/>
    </xf>
    <xf numFmtId="165" fontId="1" fillId="0" borderId="0" xfId="1" applyNumberFormat="1" applyFont="1" applyAlignment="1">
      <alignment horizontal="center" vertical="center" wrapText="1"/>
    </xf>
    <xf numFmtId="43" fontId="1" fillId="0" borderId="0" xfId="1" applyFont="1" applyAlignment="1">
      <alignment horizontal="center" vertical="center" wrapText="1"/>
    </xf>
    <xf numFmtId="0" fontId="1" fillId="0" borderId="0" xfId="0" applyFont="1" applyAlignment="1">
      <alignment horizontal="center" vertical="center"/>
    </xf>
    <xf numFmtId="0" fontId="10" fillId="6" borderId="0" xfId="0" applyFont="1" applyFill="1" applyAlignment="1">
      <alignment horizontal="center" vertical="center"/>
    </xf>
    <xf numFmtId="0" fontId="0" fillId="0" borderId="0" xfId="0" applyAlignment="1">
      <alignment horizontal="left" vertical="center"/>
    </xf>
    <xf numFmtId="0" fontId="1" fillId="0" borderId="0" xfId="0" applyFont="1" applyAlignment="1">
      <alignment horizontal="centerContinuous" vertical="center"/>
    </xf>
    <xf numFmtId="0" fontId="0" fillId="0" borderId="0" xfId="0" applyAlignment="1">
      <alignment horizontal="centerContinuous"/>
    </xf>
    <xf numFmtId="9" fontId="10" fillId="6" borderId="0" xfId="4" applyFont="1" applyFill="1" applyAlignment="1">
      <alignment horizontal="center" vertical="center"/>
    </xf>
    <xf numFmtId="10" fontId="10" fillId="6" borderId="0" xfId="4" applyNumberFormat="1" applyFont="1" applyFill="1" applyAlignment="1">
      <alignment horizontal="center" vertical="center"/>
    </xf>
    <xf numFmtId="10" fontId="10" fillId="7" borderId="0" xfId="4" applyNumberFormat="1" applyFont="1" applyFill="1" applyAlignment="1">
      <alignment horizontal="center" vertical="center"/>
    </xf>
    <xf numFmtId="2" fontId="1" fillId="0" borderId="0" xfId="0" applyNumberFormat="1" applyFont="1"/>
    <xf numFmtId="0" fontId="12" fillId="0" borderId="0" xfId="0" applyFont="1"/>
    <xf numFmtId="0" fontId="12" fillId="6" borderId="0" xfId="0" applyFont="1" applyFill="1"/>
    <xf numFmtId="0" fontId="0" fillId="6" borderId="0" xfId="0" applyFill="1"/>
    <xf numFmtId="0" fontId="13" fillId="0" borderId="0" xfId="0" applyFont="1" applyAlignment="1">
      <alignment horizontal="left" indent="1"/>
    </xf>
    <xf numFmtId="169" fontId="0" fillId="6" borderId="0" xfId="1" applyNumberFormat="1" applyFont="1" applyFill="1"/>
    <xf numFmtId="0" fontId="0" fillId="0" borderId="0" xfId="0" applyAlignment="1">
      <alignment horizontal="left" indent="1"/>
    </xf>
    <xf numFmtId="0" fontId="0" fillId="0" borderId="0" xfId="0" pivotButton="1"/>
    <xf numFmtId="0" fontId="11" fillId="5" borderId="0" xfId="0" applyFont="1" applyFill="1"/>
    <xf numFmtId="0" fontId="11" fillId="0" borderId="0" xfId="0" applyFont="1" applyAlignment="1">
      <alignment vertical="center" wrapText="1"/>
    </xf>
    <xf numFmtId="0" fontId="11" fillId="8" borderId="0" xfId="0" applyFont="1" applyFill="1"/>
    <xf numFmtId="0" fontId="11" fillId="9" borderId="0" xfId="0" applyFont="1" applyFill="1"/>
    <xf numFmtId="0" fontId="0" fillId="10" borderId="0" xfId="0" applyFill="1" applyAlignment="1">
      <alignment vertical="center" wrapText="1"/>
    </xf>
    <xf numFmtId="0" fontId="11" fillId="11" borderId="0" xfId="0" applyFont="1" applyFill="1"/>
    <xf numFmtId="0" fontId="0" fillId="12" borderId="0" xfId="0" applyFill="1"/>
    <xf numFmtId="0" fontId="1" fillId="12" borderId="0" xfId="0" applyFont="1" applyFill="1" applyAlignment="1">
      <alignment horizontal="center" vertical="center"/>
    </xf>
    <xf numFmtId="0" fontId="1" fillId="12" borderId="0" xfId="0" applyFont="1" applyFill="1" applyAlignment="1">
      <alignment horizontal="center" vertical="center" wrapText="1"/>
    </xf>
    <xf numFmtId="2" fontId="0" fillId="12" borderId="0" xfId="0" applyNumberFormat="1" applyFill="1"/>
    <xf numFmtId="0" fontId="0" fillId="9" borderId="0" xfId="0" applyFill="1"/>
    <xf numFmtId="0" fontId="0" fillId="0" borderId="0" xfId="0" applyAlignment="1">
      <alignment horizontal="center" vertical="center"/>
    </xf>
    <xf numFmtId="0" fontId="14" fillId="0" borderId="0" xfId="0" applyFont="1"/>
    <xf numFmtId="0" fontId="1" fillId="13" borderId="5" xfId="0" applyFont="1" applyFill="1" applyBorder="1" applyAlignment="1">
      <alignment horizontal="center" vertical="center"/>
    </xf>
    <xf numFmtId="0" fontId="15" fillId="13" borderId="5" xfId="0" applyFont="1" applyFill="1" applyBorder="1" applyAlignment="1">
      <alignment horizontal="center" vertical="center"/>
    </xf>
    <xf numFmtId="0" fontId="14" fillId="0" borderId="6" xfId="0" applyFont="1" applyBorder="1"/>
    <xf numFmtId="0" fontId="14" fillId="0" borderId="6" xfId="0" applyFont="1" applyBorder="1" applyAlignment="1">
      <alignment vertical="center" wrapText="1"/>
    </xf>
    <xf numFmtId="0" fontId="14" fillId="0" borderId="0" xfId="0" applyFont="1" applyAlignment="1">
      <alignment vertical="center" wrapText="1"/>
    </xf>
    <xf numFmtId="0" fontId="1" fillId="0" borderId="7" xfId="0" applyFont="1" applyBorder="1" applyAlignment="1">
      <alignment horizontal="center" vertical="center"/>
    </xf>
    <xf numFmtId="0" fontId="14" fillId="0" borderId="7" xfId="0" applyFont="1" applyBorder="1"/>
    <xf numFmtId="0" fontId="0" fillId="0" borderId="0" xfId="0" applyAlignment="1">
      <alignment horizontal="center" vertical="center" wrapText="1"/>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0" fontId="3" fillId="0" borderId="0" xfId="0" applyFont="1" applyAlignment="1">
      <alignment horizontal="left" vertical="center" wrapText="1"/>
    </xf>
    <xf numFmtId="9" fontId="10" fillId="14" borderId="0" xfId="4" applyFont="1" applyFill="1" applyAlignment="1">
      <alignment horizontal="center" vertical="center"/>
    </xf>
    <xf numFmtId="0" fontId="1" fillId="0" borderId="0" xfId="0" applyFont="1" applyAlignment="1">
      <alignment horizontal="center" vertical="center" textRotation="90"/>
    </xf>
    <xf numFmtId="0" fontId="1" fillId="0" borderId="6" xfId="0" applyFont="1" applyBorder="1" applyAlignment="1">
      <alignment horizontal="center" textRotation="90"/>
    </xf>
    <xf numFmtId="0" fontId="1" fillId="0" borderId="0" xfId="0" applyFont="1" applyAlignment="1">
      <alignment horizontal="center" textRotation="90"/>
    </xf>
    <xf numFmtId="0" fontId="1" fillId="0" borderId="6" xfId="0" applyFont="1" applyBorder="1" applyAlignment="1">
      <alignment horizontal="center" vertical="center" textRotation="90"/>
    </xf>
  </cellXfs>
  <cellStyles count="5">
    <cellStyle name="Comma" xfId="1" builtinId="3"/>
    <cellStyle name="Normal" xfId="0" builtinId="0"/>
    <cellStyle name="Normal 2" xfId="3" xr:uid="{81A95A6C-767F-4597-89C4-A80E320DD472}"/>
    <cellStyle name="Normal 6" xfId="2" xr:uid="{092E1887-6A4E-4134-8997-47E3343D61FD}"/>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11</xdr:col>
      <xdr:colOff>73025</xdr:colOff>
      <xdr:row>3</xdr:row>
      <xdr:rowOff>301624</xdr:rowOff>
    </xdr:from>
    <xdr:to>
      <xdr:col>11</xdr:col>
      <xdr:colOff>511175</xdr:colOff>
      <xdr:row>3</xdr:row>
      <xdr:rowOff>454024</xdr:rowOff>
    </xdr:to>
    <xdr:sp macro="" textlink="">
      <xdr:nvSpPr>
        <xdr:cNvPr id="3" name="Arrow: Right 2">
          <a:extLst>
            <a:ext uri="{FF2B5EF4-FFF2-40B4-BE49-F238E27FC236}">
              <a16:creationId xmlns:a16="http://schemas.microsoft.com/office/drawing/2014/main" id="{EA688FCD-4E1C-A91C-B5F5-42F3B376F50C}"/>
            </a:ext>
          </a:extLst>
        </xdr:cNvPr>
        <xdr:cNvSpPr/>
      </xdr:nvSpPr>
      <xdr:spPr>
        <a:xfrm>
          <a:off x="4981575" y="92392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17</xdr:col>
      <xdr:colOff>73025</xdr:colOff>
      <xdr:row>3</xdr:row>
      <xdr:rowOff>301624</xdr:rowOff>
    </xdr:from>
    <xdr:to>
      <xdr:col>17</xdr:col>
      <xdr:colOff>511175</xdr:colOff>
      <xdr:row>3</xdr:row>
      <xdr:rowOff>454024</xdr:rowOff>
    </xdr:to>
    <xdr:sp macro="" textlink="">
      <xdr:nvSpPr>
        <xdr:cNvPr id="4" name="Arrow: Right 3">
          <a:extLst>
            <a:ext uri="{FF2B5EF4-FFF2-40B4-BE49-F238E27FC236}">
              <a16:creationId xmlns:a16="http://schemas.microsoft.com/office/drawing/2014/main" id="{0E6B3FEB-A4F6-4C98-B44D-3D05CCE1C002}"/>
            </a:ext>
          </a:extLst>
        </xdr:cNvPr>
        <xdr:cNvSpPr/>
      </xdr:nvSpPr>
      <xdr:spPr>
        <a:xfrm>
          <a:off x="9375775" y="92392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23</xdr:col>
      <xdr:colOff>73025</xdr:colOff>
      <xdr:row>3</xdr:row>
      <xdr:rowOff>301624</xdr:rowOff>
    </xdr:from>
    <xdr:to>
      <xdr:col>23</xdr:col>
      <xdr:colOff>511175</xdr:colOff>
      <xdr:row>3</xdr:row>
      <xdr:rowOff>454024</xdr:rowOff>
    </xdr:to>
    <xdr:sp macro="" textlink="">
      <xdr:nvSpPr>
        <xdr:cNvPr id="5" name="Arrow: Right 4">
          <a:extLst>
            <a:ext uri="{FF2B5EF4-FFF2-40B4-BE49-F238E27FC236}">
              <a16:creationId xmlns:a16="http://schemas.microsoft.com/office/drawing/2014/main" id="{6FCC2A25-7E5C-47A5-8E6E-73390D014DD7}"/>
            </a:ext>
          </a:extLst>
        </xdr:cNvPr>
        <xdr:cNvSpPr/>
      </xdr:nvSpPr>
      <xdr:spPr>
        <a:xfrm>
          <a:off x="24006175" y="117157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98425</xdr:colOff>
      <xdr:row>3</xdr:row>
      <xdr:rowOff>346074</xdr:rowOff>
    </xdr:from>
    <xdr:to>
      <xdr:col>6</xdr:col>
      <xdr:colOff>498475</xdr:colOff>
      <xdr:row>3</xdr:row>
      <xdr:rowOff>517524</xdr:rowOff>
    </xdr:to>
    <xdr:sp macro="" textlink="">
      <xdr:nvSpPr>
        <xdr:cNvPr id="6" name="Arrow: Right 5">
          <a:extLst>
            <a:ext uri="{FF2B5EF4-FFF2-40B4-BE49-F238E27FC236}">
              <a16:creationId xmlns:a16="http://schemas.microsoft.com/office/drawing/2014/main" id="{D77BBAA9-5A62-4F27-9DC5-4E3566225769}"/>
            </a:ext>
          </a:extLst>
        </xdr:cNvPr>
        <xdr:cNvSpPr/>
      </xdr:nvSpPr>
      <xdr:spPr>
        <a:xfrm>
          <a:off x="4581525" y="1216024"/>
          <a:ext cx="400050" cy="1714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73025</xdr:colOff>
      <xdr:row>3</xdr:row>
      <xdr:rowOff>301624</xdr:rowOff>
    </xdr:from>
    <xdr:to>
      <xdr:col>12</xdr:col>
      <xdr:colOff>511175</xdr:colOff>
      <xdr:row>3</xdr:row>
      <xdr:rowOff>454024</xdr:rowOff>
    </xdr:to>
    <xdr:sp macro="" textlink="">
      <xdr:nvSpPr>
        <xdr:cNvPr id="2" name="Arrow: Right 1">
          <a:extLst>
            <a:ext uri="{FF2B5EF4-FFF2-40B4-BE49-F238E27FC236}">
              <a16:creationId xmlns:a16="http://schemas.microsoft.com/office/drawing/2014/main" id="{20461DCE-5F6B-4F6D-802F-277B69C583DE}"/>
            </a:ext>
          </a:extLst>
        </xdr:cNvPr>
        <xdr:cNvSpPr/>
      </xdr:nvSpPr>
      <xdr:spPr>
        <a:xfrm>
          <a:off x="9725025" y="117157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18</xdr:col>
      <xdr:colOff>73025</xdr:colOff>
      <xdr:row>3</xdr:row>
      <xdr:rowOff>301624</xdr:rowOff>
    </xdr:from>
    <xdr:to>
      <xdr:col>18</xdr:col>
      <xdr:colOff>511175</xdr:colOff>
      <xdr:row>3</xdr:row>
      <xdr:rowOff>454024</xdr:rowOff>
    </xdr:to>
    <xdr:sp macro="" textlink="">
      <xdr:nvSpPr>
        <xdr:cNvPr id="3" name="Arrow: Right 2">
          <a:extLst>
            <a:ext uri="{FF2B5EF4-FFF2-40B4-BE49-F238E27FC236}">
              <a16:creationId xmlns:a16="http://schemas.microsoft.com/office/drawing/2014/main" id="{13405DDF-CC7E-4AC7-A035-955E52FD29CC}"/>
            </a:ext>
          </a:extLst>
        </xdr:cNvPr>
        <xdr:cNvSpPr/>
      </xdr:nvSpPr>
      <xdr:spPr>
        <a:xfrm>
          <a:off x="15744825" y="117157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24</xdr:col>
      <xdr:colOff>73025</xdr:colOff>
      <xdr:row>3</xdr:row>
      <xdr:rowOff>301624</xdr:rowOff>
    </xdr:from>
    <xdr:to>
      <xdr:col>24</xdr:col>
      <xdr:colOff>511175</xdr:colOff>
      <xdr:row>3</xdr:row>
      <xdr:rowOff>454024</xdr:rowOff>
    </xdr:to>
    <xdr:sp macro="" textlink="">
      <xdr:nvSpPr>
        <xdr:cNvPr id="4" name="Arrow: Right 3">
          <a:extLst>
            <a:ext uri="{FF2B5EF4-FFF2-40B4-BE49-F238E27FC236}">
              <a16:creationId xmlns:a16="http://schemas.microsoft.com/office/drawing/2014/main" id="{C9E46FFE-559D-4C28-87B9-E461DAD10F91}"/>
            </a:ext>
          </a:extLst>
        </xdr:cNvPr>
        <xdr:cNvSpPr/>
      </xdr:nvSpPr>
      <xdr:spPr>
        <a:xfrm>
          <a:off x="22679025" y="117157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98425</xdr:colOff>
      <xdr:row>3</xdr:row>
      <xdr:rowOff>346074</xdr:rowOff>
    </xdr:from>
    <xdr:to>
      <xdr:col>7</xdr:col>
      <xdr:colOff>498475</xdr:colOff>
      <xdr:row>3</xdr:row>
      <xdr:rowOff>517524</xdr:rowOff>
    </xdr:to>
    <xdr:sp macro="" textlink="">
      <xdr:nvSpPr>
        <xdr:cNvPr id="5" name="Arrow: Right 4">
          <a:extLst>
            <a:ext uri="{FF2B5EF4-FFF2-40B4-BE49-F238E27FC236}">
              <a16:creationId xmlns:a16="http://schemas.microsoft.com/office/drawing/2014/main" id="{49D5ACCA-47FF-440D-A966-1A0F064FDD18}"/>
            </a:ext>
          </a:extLst>
        </xdr:cNvPr>
        <xdr:cNvSpPr/>
      </xdr:nvSpPr>
      <xdr:spPr>
        <a:xfrm>
          <a:off x="4581525" y="1216024"/>
          <a:ext cx="400050" cy="1714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73025</xdr:colOff>
      <xdr:row>3</xdr:row>
      <xdr:rowOff>301624</xdr:rowOff>
    </xdr:from>
    <xdr:to>
      <xdr:col>12</xdr:col>
      <xdr:colOff>511175</xdr:colOff>
      <xdr:row>3</xdr:row>
      <xdr:rowOff>454024</xdr:rowOff>
    </xdr:to>
    <xdr:sp macro="" textlink="">
      <xdr:nvSpPr>
        <xdr:cNvPr id="2" name="Arrow: Right 1">
          <a:extLst>
            <a:ext uri="{FF2B5EF4-FFF2-40B4-BE49-F238E27FC236}">
              <a16:creationId xmlns:a16="http://schemas.microsoft.com/office/drawing/2014/main" id="{541139C9-3A60-AB43-ABD0-FCAD3C73B0BC}"/>
            </a:ext>
          </a:extLst>
        </xdr:cNvPr>
        <xdr:cNvSpPr/>
      </xdr:nvSpPr>
      <xdr:spPr>
        <a:xfrm>
          <a:off x="11922125" y="130492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18</xdr:col>
      <xdr:colOff>73025</xdr:colOff>
      <xdr:row>3</xdr:row>
      <xdr:rowOff>301624</xdr:rowOff>
    </xdr:from>
    <xdr:to>
      <xdr:col>18</xdr:col>
      <xdr:colOff>511175</xdr:colOff>
      <xdr:row>3</xdr:row>
      <xdr:rowOff>454024</xdr:rowOff>
    </xdr:to>
    <xdr:sp macro="" textlink="">
      <xdr:nvSpPr>
        <xdr:cNvPr id="3" name="Arrow: Right 2">
          <a:extLst>
            <a:ext uri="{FF2B5EF4-FFF2-40B4-BE49-F238E27FC236}">
              <a16:creationId xmlns:a16="http://schemas.microsoft.com/office/drawing/2014/main" id="{A77A9700-8E9D-5349-B3BD-067E15D9F6EC}"/>
            </a:ext>
          </a:extLst>
        </xdr:cNvPr>
        <xdr:cNvSpPr/>
      </xdr:nvSpPr>
      <xdr:spPr>
        <a:xfrm>
          <a:off x="18780125" y="130492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24</xdr:col>
      <xdr:colOff>73025</xdr:colOff>
      <xdr:row>3</xdr:row>
      <xdr:rowOff>301624</xdr:rowOff>
    </xdr:from>
    <xdr:to>
      <xdr:col>24</xdr:col>
      <xdr:colOff>511175</xdr:colOff>
      <xdr:row>3</xdr:row>
      <xdr:rowOff>454024</xdr:rowOff>
    </xdr:to>
    <xdr:sp macro="" textlink="">
      <xdr:nvSpPr>
        <xdr:cNvPr id="4" name="Arrow: Right 3">
          <a:extLst>
            <a:ext uri="{FF2B5EF4-FFF2-40B4-BE49-F238E27FC236}">
              <a16:creationId xmlns:a16="http://schemas.microsoft.com/office/drawing/2014/main" id="{0E89259A-33F8-E847-A4F4-8B60A755F37F}"/>
            </a:ext>
          </a:extLst>
        </xdr:cNvPr>
        <xdr:cNvSpPr/>
      </xdr:nvSpPr>
      <xdr:spPr>
        <a:xfrm>
          <a:off x="26692225" y="1304924"/>
          <a:ext cx="438150" cy="152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98425</xdr:colOff>
      <xdr:row>3</xdr:row>
      <xdr:rowOff>346074</xdr:rowOff>
    </xdr:from>
    <xdr:to>
      <xdr:col>7</xdr:col>
      <xdr:colOff>498475</xdr:colOff>
      <xdr:row>3</xdr:row>
      <xdr:rowOff>517524</xdr:rowOff>
    </xdr:to>
    <xdr:sp macro="" textlink="">
      <xdr:nvSpPr>
        <xdr:cNvPr id="5" name="Arrow: Right 4">
          <a:extLst>
            <a:ext uri="{FF2B5EF4-FFF2-40B4-BE49-F238E27FC236}">
              <a16:creationId xmlns:a16="http://schemas.microsoft.com/office/drawing/2014/main" id="{47EC96C6-9FB4-834B-988A-794F1F4EA4EE}"/>
            </a:ext>
          </a:extLst>
        </xdr:cNvPr>
        <xdr:cNvSpPr/>
      </xdr:nvSpPr>
      <xdr:spPr>
        <a:xfrm>
          <a:off x="6067425" y="1349374"/>
          <a:ext cx="400050" cy="1714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DIAKON, Kouadjo San Boris" refreshedDate="45850.015138888892" createdVersion="8" refreshedVersion="8" minRefreshableVersion="3" recordCount="376" xr:uid="{5A6771E9-48EF-419D-9671-8B27B2124DED}">
  <cacheSource type="worksheet">
    <worksheetSource ref="B1:V377" sheet="Sheet2"/>
  </cacheSource>
  <cacheFields count="21">
    <cacheField name="Occupations" numFmtId="0">
      <sharedItems count="54">
        <s v="AGO"/>
        <s v="Dentists"/>
        <s v="Medical and Pathology Laboratory scientists"/>
        <s v="Medical and Pathology Laboratory Technicians"/>
        <s v="Medical Doctors"/>
        <s v="Midwifery personnel"/>
        <s v="Nursing Personnel"/>
        <s v="Pharmacists"/>
        <s v="BDI"/>
        <s v="BEN"/>
        <s v="BFA"/>
        <s v="BWA"/>
        <s v="CAF"/>
        <s v="CIV"/>
        <s v="CMR"/>
        <s v="COD"/>
        <s v="COG"/>
        <s v="COM"/>
        <s v="CPV"/>
        <s v="DZA"/>
        <s v="ERI"/>
        <s v="ETH"/>
        <s v="GAB"/>
        <s v="GHA"/>
        <s v="GIN"/>
        <s v="GMB"/>
        <s v="GNB"/>
        <s v="GNQ"/>
        <s v="KEN"/>
        <s v="LBR"/>
        <s v="LSO"/>
        <s v="MDG"/>
        <s v="MLI"/>
        <s v="MOZ"/>
        <s v="MRT"/>
        <s v="MUS"/>
        <s v="MWI"/>
        <s v="NAM"/>
        <s v="NER"/>
        <s v="NGA"/>
        <s v="RWA"/>
        <s v="SEN"/>
        <s v="SLE"/>
        <s v="SSD"/>
        <s v="STP"/>
        <s v="SWZ"/>
        <s v="SYC"/>
        <s v="TCD"/>
        <s v="TGO"/>
        <s v="TZA"/>
        <s v="UGA"/>
        <s v="ZAF"/>
        <s v="ZMB"/>
        <s v="ZWE"/>
      </sharedItems>
    </cacheField>
    <cacheField name="2014" numFmtId="0">
      <sharedItems containsSemiMixedTypes="0" containsString="0" containsNumber="1" containsInteger="1" minValue="0" maxValue="286920"/>
    </cacheField>
    <cacheField name="2015" numFmtId="0">
      <sharedItems containsSemiMixedTypes="0" containsString="0" containsNumber="1" containsInteger="1" minValue="0" maxValue="290517"/>
    </cacheField>
    <cacheField name="2016" numFmtId="0">
      <sharedItems containsSemiMixedTypes="0" containsString="0" containsNumber="1" containsInteger="1" minValue="0" maxValue="293514"/>
    </cacheField>
    <cacheField name="2017" numFmtId="0">
      <sharedItems containsSemiMixedTypes="0" containsString="0" containsNumber="1" containsInteger="1" minValue="0" maxValue="465060"/>
    </cacheField>
    <cacheField name="2018" numFmtId="0">
      <sharedItems containsSemiMixedTypes="0" containsString="0" containsNumber="1" containsInteger="1" minValue="0" maxValue="466466"/>
    </cacheField>
    <cacheField name="2019" numFmtId="0">
      <sharedItems containsSemiMixedTypes="0" containsString="0" containsNumber="1" containsInteger="1" minValue="0" maxValue="486941"/>
    </cacheField>
    <cacheField name="2020" numFmtId="0">
      <sharedItems containsSemiMixedTypes="0" containsString="0" containsNumber="1" containsInteger="1" minValue="0" maxValue="389716"/>
    </cacheField>
    <cacheField name="2021" numFmtId="0">
      <sharedItems containsSemiMixedTypes="0" containsString="0" containsNumber="1" containsInteger="1" minValue="0" maxValue="393062"/>
    </cacheField>
    <cacheField name="2022" numFmtId="0">
      <sharedItems containsSemiMixedTypes="0" containsString="0" containsNumber="1" containsInteger="1" minValue="0" maxValue="552519"/>
    </cacheField>
    <cacheField name="2023" numFmtId="0">
      <sharedItems containsSemiMixedTypes="0" containsString="0" containsNumber="1" containsInteger="1" minValue="0" maxValue="552980"/>
    </cacheField>
    <cacheField name="Density 2014" numFmtId="0">
      <sharedItems containsString="0" containsBlank="1" containsNumber="1" minValue="0" maxValue="34.16928317338224"/>
    </cacheField>
    <cacheField name="Density 2015" numFmtId="0">
      <sharedItems containsString="0" containsBlank="1" containsNumber="1" minValue="0" maxValue="35.063707299177381"/>
    </cacheField>
    <cacheField name="Density 2016" numFmtId="0">
      <sharedItems containsString="0" containsBlank="1" containsNumber="1" minValue="0" maxValue="36.760715748640727"/>
    </cacheField>
    <cacheField name="Density 2017" numFmtId="0">
      <sharedItems containsString="0" containsBlank="1" containsNumber="1" minValue="0" maxValue="67.18331025134809"/>
    </cacheField>
    <cacheField name="Density 2018" numFmtId="0">
      <sharedItems containsString="0" containsBlank="1" containsNumber="1" minValue="0" maxValue="66.342712485814886"/>
    </cacheField>
    <cacheField name="Density 2019" numFmtId="0">
      <sharedItems containsString="0" containsBlank="1" containsNumber="1" minValue="0" maxValue="66.013240972282105"/>
    </cacheField>
    <cacheField name="Density 2020" numFmtId="0">
      <sharedItems containsString="0" containsBlank="1" containsNumber="1" minValue="0" maxValue="65.289491139960205"/>
    </cacheField>
    <cacheField name="Density 2021" numFmtId="0">
      <sharedItems containsString="0" containsBlank="1" containsNumber="1" minValue="0" maxValue="64.712456913150064"/>
    </cacheField>
    <cacheField name="Density 2022" numFmtId="0">
      <sharedItems containsString="0" containsBlank="1" containsNumber="1" minValue="0" maxValue="77.297933120483947"/>
    </cacheField>
    <cacheField name="Density 2023" numFmtId="0">
      <sharedItems containsString="0" containsBlank="1" containsNumber="1" minValue="0" maxValue="82.8729281767955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6">
  <r>
    <x v="0"/>
    <n v="0"/>
    <n v="0"/>
    <n v="0"/>
    <n v="0"/>
    <n v="6400"/>
    <n v="23199"/>
    <n v="23199"/>
    <n v="23199"/>
    <n v="77163"/>
    <n v="77163"/>
    <m/>
    <m/>
    <m/>
    <m/>
    <m/>
    <m/>
    <m/>
    <m/>
    <m/>
    <m/>
  </r>
  <r>
    <x v="1"/>
    <n v="0"/>
    <n v="0"/>
    <n v="0"/>
    <n v="0"/>
    <n v="0"/>
    <n v="1652"/>
    <n v="1652"/>
    <n v="1652"/>
    <n v="254"/>
    <n v="254"/>
    <n v="0"/>
    <n v="0"/>
    <n v="0"/>
    <n v="0"/>
    <n v="0"/>
    <n v="0.51060797337222685"/>
    <n v="0.49418929711623794"/>
    <n v="0.47878820444395442"/>
    <n v="7.137039331858476E-2"/>
    <n v="7.0265445147086603E-2"/>
  </r>
  <r>
    <x v="2"/>
    <n v="0"/>
    <n v="0"/>
    <n v="0"/>
    <n v="0"/>
    <n v="0"/>
    <n v="98"/>
    <n v="98"/>
    <n v="98"/>
    <n v="13"/>
    <n v="13"/>
    <n v="0"/>
    <n v="0"/>
    <n v="0"/>
    <n v="0"/>
    <n v="0"/>
    <n v="3.0290303505132104E-2"/>
    <n v="2.9316314235709028E-2"/>
    <n v="2.8402690094132894E-2"/>
    <n v="3.6528154060692991E-3"/>
    <n v="3.5962629405989206E-3"/>
  </r>
  <r>
    <x v="3"/>
    <n v="0"/>
    <n v="0"/>
    <n v="0"/>
    <n v="0"/>
    <n v="0"/>
    <n v="0"/>
    <n v="0"/>
    <n v="0"/>
    <n v="18"/>
    <n v="18"/>
    <n v="0"/>
    <n v="0"/>
    <n v="0"/>
    <n v="0"/>
    <n v="0"/>
    <n v="0"/>
    <n v="0"/>
    <n v="0"/>
    <n v="5.0577444084036445E-3"/>
    <n v="4.9794409946754279E-3"/>
  </r>
  <r>
    <x v="4"/>
    <n v="0"/>
    <n v="0"/>
    <n v="0"/>
    <n v="0"/>
    <n v="6400"/>
    <n v="6593"/>
    <n v="6593"/>
    <n v="6593"/>
    <n v="8693"/>
    <n v="8693"/>
    <n v="0"/>
    <n v="0"/>
    <n v="0"/>
    <n v="0"/>
    <n v="2.0464589018452117"/>
    <n v="2.0377956225442446"/>
    <n v="1.9722699975105062"/>
    <n v="1.9108054672512058"/>
    <n v="2.4426095634584937"/>
    <n v="2.4047933648174165"/>
  </r>
  <r>
    <x v="5"/>
    <n v="0"/>
    <n v="0"/>
    <n v="0"/>
    <n v="0"/>
    <n v="0"/>
    <n v="0"/>
    <n v="0"/>
    <n v="0"/>
    <n v="33"/>
    <n v="33"/>
    <n v="0"/>
    <n v="0"/>
    <n v="0"/>
    <n v="0"/>
    <n v="0"/>
    <n v="0"/>
    <n v="0"/>
    <n v="0"/>
    <n v="9.2725314154066818E-3"/>
    <n v="9.1289751569049518E-3"/>
  </r>
  <r>
    <x v="6"/>
    <n v="0"/>
    <n v="0"/>
    <n v="0"/>
    <n v="0"/>
    <n v="0"/>
    <n v="12554"/>
    <n v="12554"/>
    <n v="12554"/>
    <n v="66718"/>
    <n v="66718"/>
    <n v="0"/>
    <n v="0"/>
    <n v="0"/>
    <n v="0"/>
    <n v="0"/>
    <n v="3.8802496959533519"/>
    <n v="3.7554796828070529"/>
    <n v="3.6384425657320847"/>
    <n v="18.746810635548577"/>
    <n v="18.45657468237529"/>
  </r>
  <r>
    <x v="7"/>
    <n v="0"/>
    <n v="0"/>
    <n v="0"/>
    <n v="0"/>
    <n v="0"/>
    <n v="2302"/>
    <n v="2302"/>
    <n v="2302"/>
    <n v="1434"/>
    <n v="1434"/>
    <n v="0"/>
    <n v="0"/>
    <n v="0"/>
    <n v="0"/>
    <n v="0"/>
    <n v="0.71151304764096024"/>
    <n v="0.68863423847553251"/>
    <n v="0.66717339384381547"/>
    <n v="0.40293363786949032"/>
    <n v="0.39669546590914251"/>
  </r>
  <r>
    <x v="8"/>
    <n v="7467"/>
    <n v="7467"/>
    <n v="7511"/>
    <n v="7511"/>
    <n v="11392"/>
    <n v="11606"/>
    <n v="11606"/>
    <n v="14017"/>
    <n v="13216"/>
    <n v="14717"/>
    <m/>
    <m/>
    <m/>
    <m/>
    <m/>
    <m/>
    <m/>
    <m/>
    <m/>
    <m/>
  </r>
  <r>
    <x v="1"/>
    <n v="4"/>
    <n v="4"/>
    <n v="4"/>
    <n v="4"/>
    <n v="4"/>
    <n v="14"/>
    <n v="14"/>
    <n v="8"/>
    <n v="14"/>
    <n v="14"/>
    <n v="3.8113703277006679E-3"/>
    <n v="3.7288569151837933E-3"/>
    <n v="3.6686050046926045E-3"/>
    <n v="3.5856453350350806E-3"/>
    <n v="3.4802364333423354E-3"/>
    <n v="1.1789634519645657E-2"/>
    <n v="1.1456415662327713E-2"/>
    <n v="6.3738859343714432E-3"/>
    <n v="1.0861489935743426E-2"/>
    <n v="1.0769942413887195E-2"/>
  </r>
  <r>
    <x v="2"/>
    <n v="0"/>
    <n v="0"/>
    <n v="0"/>
    <n v="0"/>
    <n v="1073"/>
    <n v="1073"/>
    <n v="1073"/>
    <n v="1140"/>
    <n v="1274"/>
    <n v="1274"/>
    <n v="0"/>
    <n v="0"/>
    <n v="0"/>
    <n v="0"/>
    <n v="0.93357342324408155"/>
    <n v="0.90359127425569929"/>
    <n v="0.878052428976974"/>
    <n v="0.90827874564793065"/>
    <n v="0.98839558415265172"/>
    <n v="0.98006475966373474"/>
  </r>
  <r>
    <x v="3"/>
    <n v="0"/>
    <n v="0"/>
    <n v="0"/>
    <n v="0"/>
    <n v="0"/>
    <n v="0"/>
    <n v="0"/>
    <n v="0"/>
    <n v="911"/>
    <n v="911"/>
    <n v="0"/>
    <n v="0"/>
    <n v="0"/>
    <n v="0"/>
    <n v="0"/>
    <n v="0"/>
    <n v="0"/>
    <n v="0"/>
    <n v="0.70677266653301862"/>
    <n v="0.70081553850365952"/>
  </r>
  <r>
    <x v="4"/>
    <n v="609"/>
    <n v="609"/>
    <n v="609"/>
    <n v="609"/>
    <n v="1084"/>
    <n v="1084"/>
    <n v="1084"/>
    <n v="871"/>
    <n v="1038"/>
    <n v="1038"/>
    <n v="0.58028113239242674"/>
    <n v="0.56771846533673254"/>
    <n v="0.558545111964449"/>
    <n v="0.54591450225909111"/>
    <n v="0.94314407343577289"/>
    <n v="0.91285455852113517"/>
    <n v="0.88705389842594584"/>
    <n v="0.69395683110469075"/>
    <n v="0.80530189666440544"/>
    <n v="0.79851430182963623"/>
  </r>
  <r>
    <x v="5"/>
    <n v="35"/>
    <n v="35"/>
    <n v="79"/>
    <n v="79"/>
    <n v="160"/>
    <n v="160"/>
    <n v="160"/>
    <n v="346"/>
    <n v="483"/>
    <n v="483"/>
    <n v="3.3349490367380843E-2"/>
    <n v="3.2627498007858198E-2"/>
    <n v="7.2454948842678932E-2"/>
    <n v="7.0816495366942844E-2"/>
    <n v="0.13920945733369341"/>
    <n v="0.13473868022452179"/>
    <n v="0.1309304647123167"/>
    <n v="0.27567056666156492"/>
    <n v="0.37472140278314819"/>
    <n v="0.37156301327910818"/>
  </r>
  <r>
    <x v="6"/>
    <n v="6819"/>
    <n v="6819"/>
    <n v="6819"/>
    <n v="6819"/>
    <n v="9071"/>
    <n v="9156"/>
    <n v="9156"/>
    <n v="11586"/>
    <n v="9372"/>
    <n v="10873"/>
    <n v="6.4974335661477136"/>
    <n v="6.3567688261595716"/>
    <n v="6.2540543817497181"/>
    <n v="6.1126288849010537"/>
    <n v="7.8923061717120815"/>
    <n v="7.7104209758482591"/>
    <n v="7.4924958431623248"/>
    <n v="9.2309803044534426"/>
    <n v="7.2709916912705275"/>
    <n v="8.3643988475853899"/>
  </r>
  <r>
    <x v="7"/>
    <n v="0"/>
    <n v="0"/>
    <n v="0"/>
    <n v="0"/>
    <n v="0"/>
    <n v="119"/>
    <n v="119"/>
    <n v="66"/>
    <n v="124"/>
    <n v="124"/>
    <n v="0"/>
    <n v="0"/>
    <n v="0"/>
    <n v="0"/>
    <n v="0"/>
    <n v="0.10021189341698808"/>
    <n v="9.7379533129785562E-2"/>
    <n v="5.2584558958564405E-2"/>
    <n v="9.6201768002298918E-2"/>
    <n v="9.539091852300087E-2"/>
  </r>
  <r>
    <x v="9"/>
    <n v="0"/>
    <n v="0"/>
    <n v="0"/>
    <n v="4322"/>
    <n v="4322"/>
    <n v="9525"/>
    <n v="9938"/>
    <n v="9938"/>
    <n v="13264"/>
    <n v="14457"/>
    <m/>
    <m/>
    <m/>
    <m/>
    <m/>
    <m/>
    <m/>
    <m/>
    <m/>
    <m/>
  </r>
  <r>
    <x v="1"/>
    <n v="0"/>
    <n v="0"/>
    <n v="0"/>
    <n v="9"/>
    <n v="9"/>
    <n v="12"/>
    <n v="12"/>
    <n v="12"/>
    <n v="50"/>
    <n v="66"/>
    <n v="0"/>
    <n v="0"/>
    <n v="0"/>
    <n v="7.76077564296086E-3"/>
    <n v="7.5372572908936611E-3"/>
    <n v="9.7636830695457377E-3"/>
    <n v="9.4913258377696715E-3"/>
    <n v="9.2329744912150163E-3"/>
    <n v="3.7445150343776434E-2"/>
    <n v="5.0288216244206284E-2"/>
  </r>
  <r>
    <x v="2"/>
    <n v="0"/>
    <n v="0"/>
    <n v="0"/>
    <n v="0"/>
    <n v="0"/>
    <n v="668"/>
    <n v="668"/>
    <n v="668"/>
    <n v="668"/>
    <n v="668"/>
    <n v="0"/>
    <n v="0"/>
    <n v="0"/>
    <n v="0"/>
    <n v="0"/>
    <n v="0.5435116908713794"/>
    <n v="0.52835047163584503"/>
    <n v="0.51396891334430261"/>
    <n v="0.50026720859285323"/>
    <n v="0.50897770380499696"/>
  </r>
  <r>
    <x v="3"/>
    <n v="0"/>
    <n v="0"/>
    <n v="0"/>
    <n v="1166"/>
    <n v="1166"/>
    <n v="1166"/>
    <n v="1166"/>
    <n v="1166"/>
    <n v="1602"/>
    <n v="1632"/>
    <n v="0"/>
    <n v="0"/>
    <n v="0"/>
    <n v="1.0054515999658182"/>
    <n v="0.97649355568688989"/>
    <n v="0.94870453825752754"/>
    <n v="0.92224049390328633"/>
    <n v="0.89713735472972578"/>
    <n v="1.1997426170145971"/>
    <n v="1.2434904380385554"/>
  </r>
  <r>
    <x v="4"/>
    <n v="0"/>
    <n v="0"/>
    <n v="0"/>
    <n v="523"/>
    <n v="523"/>
    <n v="908"/>
    <n v="908"/>
    <n v="908"/>
    <n v="2608"/>
    <n v="3042"/>
    <n v="0"/>
    <n v="0"/>
    <n v="0"/>
    <n v="0.45098729569650331"/>
    <n v="0.4379983959041539"/>
    <n v="0.73878535226229425"/>
    <n v="0.71817698839123856"/>
    <n v="0.69862840316860297"/>
    <n v="1.953139041931379"/>
    <n v="2.3178296032556895"/>
  </r>
  <r>
    <x v="5"/>
    <n v="0"/>
    <n v="0"/>
    <n v="0"/>
    <n v="1034"/>
    <n v="1034"/>
    <n v="1055"/>
    <n v="1208"/>
    <n v="1208"/>
    <n v="2061"/>
    <n v="2426"/>
    <n v="0"/>
    <n v="0"/>
    <n v="0"/>
    <n v="0.89162689053572552"/>
    <n v="0.86594711542044966"/>
    <n v="0.85839046986422951"/>
    <n v="0.95546013433548027"/>
    <n v="0.92945276544897837"/>
    <n v="1.5434890971704647"/>
    <n v="1.8484729183097643"/>
  </r>
  <r>
    <x v="6"/>
    <n v="0"/>
    <n v="0"/>
    <n v="0"/>
    <n v="1577"/>
    <n v="1577"/>
    <n v="5410"/>
    <n v="5670"/>
    <n v="5670"/>
    <n v="5893"/>
    <n v="6190"/>
    <n v="0"/>
    <n v="0"/>
    <n v="0"/>
    <n v="1.3598603543276975"/>
    <n v="1.3206949719710337"/>
    <n v="4.4017937838535373"/>
    <n v="4.4846514583461694"/>
    <n v="4.3625804470990959"/>
    <n v="4.4132854195174911"/>
    <n v="4.7164251295702559"/>
  </r>
  <r>
    <x v="7"/>
    <n v="0"/>
    <n v="0"/>
    <n v="0"/>
    <n v="13"/>
    <n v="13"/>
    <n v="306"/>
    <n v="306"/>
    <n v="306"/>
    <n v="382"/>
    <n v="433"/>
    <n v="0"/>
    <n v="0"/>
    <n v="0"/>
    <n v="1.1210009262054574E-2"/>
    <n v="1.0887149420179732E-2"/>
    <n v="0.24897391827341633"/>
    <n v="0.24202880886312661"/>
    <n v="0.23544084952598293"/>
    <n v="0.28608094862645195"/>
    <n v="0.3299211762688079"/>
  </r>
  <r>
    <x v="10"/>
    <n v="7432"/>
    <n v="12939"/>
    <n v="13788"/>
    <n v="18201"/>
    <n v="19692"/>
    <n v="19929"/>
    <n v="22805"/>
    <n v="24888"/>
    <n v="30815"/>
    <n v="27315"/>
    <m/>
    <m/>
    <m/>
    <m/>
    <m/>
    <m/>
    <m/>
    <m/>
    <m/>
    <m/>
  </r>
  <r>
    <x v="1"/>
    <n v="0"/>
    <n v="0"/>
    <n v="0"/>
    <n v="0"/>
    <n v="80"/>
    <n v="91"/>
    <n v="91"/>
    <n v="103"/>
    <n v="109"/>
    <n v="133"/>
    <n v="0"/>
    <n v="0"/>
    <n v="0"/>
    <n v="0"/>
    <n v="3.9229680116774988E-2"/>
    <n v="4.3433356216189101E-2"/>
    <n v="4.228108596042137E-2"/>
    <n v="4.6604894518418274E-2"/>
    <n v="4.8073186972677935E-2"/>
    <n v="5.8536563037584609E-2"/>
  </r>
  <r>
    <x v="2"/>
    <n v="0"/>
    <n v="0"/>
    <n v="0"/>
    <n v="0"/>
    <n v="699"/>
    <n v="699"/>
    <n v="699"/>
    <n v="699"/>
    <n v="899"/>
    <n v="6"/>
    <n v="0"/>
    <n v="0"/>
    <n v="0"/>
    <n v="0"/>
    <n v="0.34276933002032151"/>
    <n v="0.33362545049578224"/>
    <n v="0.32477449545422571"/>
    <n v="0.31627981813955702"/>
    <n v="0.39649353292144462"/>
    <n v="2.640747204703065E-3"/>
  </r>
  <r>
    <x v="3"/>
    <n v="0"/>
    <n v="0"/>
    <n v="0"/>
    <n v="0"/>
    <n v="0"/>
    <n v="0"/>
    <n v="800"/>
    <n v="906"/>
    <n v="945"/>
    <n v="1104"/>
    <n v="0"/>
    <n v="0"/>
    <n v="0"/>
    <n v="0"/>
    <n v="0"/>
    <n v="0"/>
    <n v="0.37170185459711097"/>
    <n v="0.40994208188045594"/>
    <n v="0.41678129990073992"/>
    <n v="0.485897485665364"/>
  </r>
  <r>
    <x v="4"/>
    <n v="857"/>
    <n v="1189"/>
    <n v="1202"/>
    <n v="1626"/>
    <n v="1684"/>
    <n v="1910"/>
    <n v="2061"/>
    <n v="2221"/>
    <n v="3323"/>
    <n v="3323"/>
    <n v="0.47166067817210516"/>
    <n v="0.63521679297365807"/>
    <n v="0.62358959545429127"/>
    <n v="0.81972758627330367"/>
    <n v="0.82578476645811361"/>
    <n v="0.91162319091122179"/>
    <n v="0.95759690290580712"/>
    <n v="1.0049463177223981"/>
    <n v="1.465570645047787"/>
    <n v="1.4625338268713808"/>
  </r>
  <r>
    <x v="5"/>
    <n v="0"/>
    <n v="1744"/>
    <n v="2580"/>
    <n v="6569"/>
    <n v="6569"/>
    <n v="6569"/>
    <n v="7477"/>
    <n v="8052"/>
    <n v="9294"/>
    <n v="8229"/>
    <n v="0"/>
    <n v="0.93172252897061392"/>
    <n v="1.3384868188619561"/>
    <n v="3.311679283043869"/>
    <n v="3.2212471085886865"/>
    <n v="3.1353155712543539"/>
    <n v="3.4740184585282483"/>
    <n v="3.6433263171097474"/>
    <n v="4.099011006642832"/>
    <n v="3.6217847912502541"/>
  </r>
  <r>
    <x v="6"/>
    <n v="6358"/>
    <n v="9748"/>
    <n v="9748"/>
    <n v="9748"/>
    <n v="10376"/>
    <n v="10376"/>
    <n v="11364"/>
    <n v="12189"/>
    <n v="15405"/>
    <n v="13619"/>
    <n v="3.4992048912698306"/>
    <n v="5.2078160621591421"/>
    <n v="5.0571974845993601"/>
    <n v="4.9143324175843563"/>
    <n v="5.0880895111457161"/>
    <n v="4.9523571879030559"/>
    <n v="5.2800248445519609"/>
    <n v="5.5152141678155377"/>
    <n v="6.7941967460009511"/>
    <n v="5.9940560301418406"/>
  </r>
  <r>
    <x v="7"/>
    <n v="217"/>
    <n v="258"/>
    <n v="258"/>
    <n v="258"/>
    <n v="284"/>
    <n v="284"/>
    <n v="313"/>
    <n v="718"/>
    <n v="840"/>
    <n v="901"/>
    <n v="0.11942866646831601"/>
    <n v="0.13783509889588208"/>
    <n v="0.13384868188619561"/>
    <n v="0.13006747678875299"/>
    <n v="0.13926536441455123"/>
    <n v="0.13555025456480993"/>
    <n v="0.14542835061111967"/>
    <n v="0.32487683751674096"/>
    <n v="0.37047226657843546"/>
    <n v="0.39655220523957696"/>
  </r>
  <r>
    <x v="11"/>
    <n v="0"/>
    <n v="0"/>
    <n v="0"/>
    <n v="9809"/>
    <n v="9809"/>
    <n v="10761"/>
    <n v="10907"/>
    <n v="11110"/>
    <n v="9819"/>
    <n v="9108"/>
    <m/>
    <m/>
    <m/>
    <m/>
    <m/>
    <m/>
    <m/>
    <m/>
    <m/>
    <m/>
  </r>
  <r>
    <x v="1"/>
    <n v="0"/>
    <n v="0"/>
    <n v="0"/>
    <n v="91"/>
    <n v="91"/>
    <n v="96"/>
    <n v="96"/>
    <n v="89"/>
    <n v="99"/>
    <n v="89"/>
    <n v="0"/>
    <n v="0"/>
    <n v="0"/>
    <n v="0.37887619491723012"/>
    <n v="0.37121508487567761"/>
    <n v="0.38404577825676817"/>
    <n v="0.37700253141491408"/>
    <n v="0.34383870024335283"/>
    <n v="0.37638349448122949"/>
    <n v="0.35832856232944166"/>
  </r>
  <r>
    <x v="2"/>
    <n v="0"/>
    <n v="0"/>
    <n v="0"/>
    <n v="0"/>
    <n v="0"/>
    <n v="160"/>
    <n v="160"/>
    <n v="167"/>
    <n v="191"/>
    <n v="150"/>
    <n v="0"/>
    <n v="0"/>
    <n v="0"/>
    <n v="0"/>
    <n v="0"/>
    <n v="0.64007629709461378"/>
    <n v="0.62833755235819011"/>
    <n v="0.6451804824791002"/>
    <n v="0.72615401460520024"/>
    <n v="0.60392454325186795"/>
  </r>
  <r>
    <x v="3"/>
    <n v="0"/>
    <n v="0"/>
    <n v="0"/>
    <n v="0"/>
    <n v="0"/>
    <n v="318"/>
    <n v="338"/>
    <n v="338"/>
    <n v="365"/>
    <n v="311"/>
    <n v="0"/>
    <n v="0"/>
    <n v="0"/>
    <n v="0"/>
    <n v="0"/>
    <n v="1.2721516404755449"/>
    <n v="1.3273630793566766"/>
    <n v="1.3058143896882388"/>
    <n v="1.387676520057058"/>
    <n v="1.252136886342206"/>
  </r>
  <r>
    <x v="4"/>
    <n v="0"/>
    <n v="0"/>
    <n v="0"/>
    <n v="830"/>
    <n v="830"/>
    <n v="925"/>
    <n v="925"/>
    <n v="1024"/>
    <n v="992"/>
    <n v="941"/>
    <n v="0"/>
    <n v="0"/>
    <n v="0"/>
    <n v="3.4556839756186926"/>
    <n v="3.3858079169979387"/>
    <n v="3.7004410925782354"/>
    <n v="3.6325764745707865"/>
    <n v="3.9560767308898122"/>
    <n v="3.7714386517715113"/>
    <n v="3.7886199680000514"/>
  </r>
  <r>
    <x v="5"/>
    <n v="0"/>
    <n v="0"/>
    <n v="0"/>
    <n v="1461"/>
    <n v="1461"/>
    <n v="1461"/>
    <n v="1461"/>
    <n v="1461"/>
    <n v="0"/>
    <n v="0"/>
    <n v="0"/>
    <n v="0"/>
    <n v="0"/>
    <n v="6.0828364920227829"/>
    <n v="5.9598377912457696"/>
    <n v="5.8446966878451905"/>
    <n v="5.7375072749707243"/>
    <n v="5.6443633826464996"/>
    <n v="0"/>
    <n v="0"/>
  </r>
  <r>
    <x v="6"/>
    <n v="0"/>
    <n v="0"/>
    <n v="0"/>
    <n v="7427"/>
    <n v="7427"/>
    <n v="7645"/>
    <n v="7771"/>
    <n v="7886"/>
    <n v="8028"/>
    <n v="7485"/>
    <n v="0"/>
    <n v="0"/>
    <n v="0"/>
    <n v="30.922126369783165"/>
    <n v="30.296861927161071"/>
    <n v="30.583645570552012"/>
    <n v="30.517569496096844"/>
    <n v="30.466426855270566"/>
    <n v="30.521279734296066"/>
    <n v="30.135834708268209"/>
  </r>
  <r>
    <x v="7"/>
    <n v="0"/>
    <n v="0"/>
    <n v="0"/>
    <n v="0"/>
    <n v="0"/>
    <n v="156"/>
    <n v="156"/>
    <n v="145"/>
    <n v="144"/>
    <n v="132"/>
    <n v="0"/>
    <n v="0"/>
    <n v="0"/>
    <n v="0"/>
    <n v="0"/>
    <n v="0.62407438966724826"/>
    <n v="0.61262911354923533"/>
    <n v="0.56018664646388938"/>
    <n v="0.54746690106360651"/>
    <n v="0.53145359806164372"/>
  </r>
  <r>
    <x v="12"/>
    <n v="0"/>
    <n v="0"/>
    <n v="1271"/>
    <n v="1271"/>
    <n v="1271"/>
    <n v="2293"/>
    <n v="2293"/>
    <n v="2293"/>
    <n v="2812"/>
    <n v="6451"/>
    <m/>
    <m/>
    <m/>
    <m/>
    <m/>
    <m/>
    <m/>
    <m/>
    <m/>
    <m/>
  </r>
  <r>
    <x v="1"/>
    <n v="0"/>
    <n v="0"/>
    <n v="0"/>
    <n v="0"/>
    <n v="0"/>
    <n v="10"/>
    <n v="10"/>
    <n v="10"/>
    <n v="3"/>
    <n v="3"/>
    <n v="0"/>
    <n v="0"/>
    <n v="0"/>
    <n v="0"/>
    <n v="0"/>
    <n v="1.91963487009063E-2"/>
    <n v="1.8716007052191459E-2"/>
    <n v="1.8324569913181852E-2"/>
    <n v="5.3771689707238241E-3"/>
    <n v="5.8603639364142703E-3"/>
  </r>
  <r>
    <x v="2"/>
    <n v="0"/>
    <n v="0"/>
    <n v="0"/>
    <n v="0"/>
    <n v="0"/>
    <n v="112"/>
    <n v="112"/>
    <n v="112"/>
    <n v="112"/>
    <n v="112"/>
    <n v="0"/>
    <n v="0"/>
    <n v="0"/>
    <n v="0"/>
    <n v="0"/>
    <n v="0.21499910545015052"/>
    <n v="0.2096192789845443"/>
    <n v="0.20523518302763674"/>
    <n v="0.20074764157368943"/>
    <n v="0.21878692029279939"/>
  </r>
  <r>
    <x v="3"/>
    <n v="0"/>
    <n v="0"/>
    <n v="0"/>
    <n v="0"/>
    <n v="0"/>
    <n v="0"/>
    <n v="0"/>
    <n v="0"/>
    <n v="3"/>
    <n v="287"/>
    <n v="0"/>
    <n v="0"/>
    <n v="0"/>
    <n v="0"/>
    <n v="0"/>
    <n v="0"/>
    <n v="0"/>
    <n v="0"/>
    <n v="5.3771689707238241E-3"/>
    <n v="0.5606414832502985"/>
  </r>
  <r>
    <x v="4"/>
    <n v="0"/>
    <n v="0"/>
    <n v="324"/>
    <n v="324"/>
    <n v="324"/>
    <n v="335"/>
    <n v="335"/>
    <n v="335"/>
    <n v="146"/>
    <n v="383"/>
    <n v="0"/>
    <n v="0"/>
    <n v="0.66066130973657755"/>
    <n v="0.64842264187797605"/>
    <n v="0.63594502608552284"/>
    <n v="0.64307768148036093"/>
    <n v="0.62698623624841388"/>
    <n v="0.61387309209159202"/>
    <n v="0.26168888990855943"/>
    <n v="0.74817312921555512"/>
  </r>
  <r>
    <x v="5"/>
    <n v="0"/>
    <n v="0"/>
    <n v="605"/>
    <n v="605"/>
    <n v="605"/>
    <n v="605"/>
    <n v="605"/>
    <n v="605"/>
    <n v="1897"/>
    <n v="1897"/>
    <n v="0"/>
    <n v="0"/>
    <n v="1.2336422604649058"/>
    <n v="1.2107891923956036"/>
    <n v="1.1874899406843866"/>
    <n v="1.1613790964048309"/>
    <n v="1.1323184266575832"/>
    <n v="1.1086364797475021"/>
    <n v="3.4001631791543652"/>
    <n v="3.7057034624592897"/>
  </r>
  <r>
    <x v="6"/>
    <n v="0"/>
    <n v="0"/>
    <n v="322"/>
    <n v="322"/>
    <n v="322"/>
    <n v="1195"/>
    <n v="1195"/>
    <n v="1195"/>
    <n v="648"/>
    <n v="3756"/>
    <n v="0"/>
    <n v="0"/>
    <n v="0.65658315350363583"/>
    <n v="0.64442003297749473"/>
    <n v="0.63201943950474804"/>
    <n v="2.2939636697583028"/>
    <n v="2.2365628427368791"/>
    <n v="2.1897861046252314"/>
    <n v="1.1614684976763461"/>
    <n v="7.3371756483906667"/>
  </r>
  <r>
    <x v="7"/>
    <n v="0"/>
    <n v="0"/>
    <n v="20"/>
    <n v="20"/>
    <n v="20"/>
    <n v="36"/>
    <n v="36"/>
    <n v="36"/>
    <n v="3"/>
    <n v="13"/>
    <n v="0"/>
    <n v="0"/>
    <n v="4.0781562329418368E-2"/>
    <n v="4.0026089004813331E-2"/>
    <n v="3.9255865807748321E-2"/>
    <n v="6.9106855323262675E-2"/>
    <n v="6.7377625387889245E-2"/>
    <n v="6.596845168745466E-2"/>
    <n v="5.3771689707238241E-3"/>
    <n v="2.5394910391128504E-2"/>
  </r>
  <r>
    <x v="13"/>
    <n v="14168"/>
    <n v="28331"/>
    <n v="29572"/>
    <n v="31023"/>
    <n v="32603"/>
    <n v="33046"/>
    <n v="33793"/>
    <n v="29969"/>
    <n v="27921"/>
    <n v="32021"/>
    <m/>
    <m/>
    <m/>
    <m/>
    <m/>
    <m/>
    <m/>
    <m/>
    <m/>
    <m/>
  </r>
  <r>
    <x v="1"/>
    <n v="0"/>
    <n v="490"/>
    <n v="490"/>
    <n v="490"/>
    <n v="490"/>
    <n v="506"/>
    <n v="506"/>
    <n v="397"/>
    <n v="418"/>
    <n v="425"/>
    <n v="0"/>
    <n v="0.20765579450145255"/>
    <n v="0.20236542884827391"/>
    <n v="0.19719884275670138"/>
    <n v="0.19220217723488375"/>
    <n v="0.19351716724828266"/>
    <n v="0.18872294613675553"/>
    <n v="0.14447791051023667"/>
    <n v="0.14843464305481052"/>
    <n v="0.14941531502057045"/>
  </r>
  <r>
    <x v="2"/>
    <n v="0"/>
    <n v="2380"/>
    <n v="2380"/>
    <n v="2380"/>
    <n v="2380"/>
    <n v="2380"/>
    <n v="2380"/>
    <n v="2380"/>
    <n v="497"/>
    <n v="497"/>
    <n v="0"/>
    <n v="1.0086138590070552"/>
    <n v="0.98291779726304473"/>
    <n v="0.95782295053254951"/>
    <n v="0.93355343228372123"/>
    <n v="0.91021908705713972"/>
    <n v="0.88766919329145877"/>
    <n v="0.86613961464575129"/>
    <n v="0.17648808037856659"/>
    <n v="0.17472802721229061"/>
  </r>
  <r>
    <x v="3"/>
    <n v="0"/>
    <n v="1600"/>
    <n v="1600"/>
    <n v="1600"/>
    <n v="1600"/>
    <n v="1600"/>
    <n v="1600"/>
    <n v="1600"/>
    <n v="0"/>
    <n v="0"/>
    <n v="0"/>
    <n v="0.67805973714760015"/>
    <n v="0.66078507379028228"/>
    <n v="0.64391458859331063"/>
    <n v="0.62759894607308986"/>
    <n v="0.61191199129891738"/>
    <n v="0.59675239885140074"/>
    <n v="0.58227873253495888"/>
    <n v="0"/>
    <n v="0"/>
  </r>
  <r>
    <x v="4"/>
    <n v="0"/>
    <n v="5240"/>
    <n v="5240"/>
    <n v="5240"/>
    <n v="5240"/>
    <n v="5602"/>
    <n v="5602"/>
    <n v="4435"/>
    <n v="4930"/>
    <n v="5169"/>
    <n v="0"/>
    <n v="2.2206456391583904"/>
    <n v="2.1640711166631741"/>
    <n v="2.1088202776430922"/>
    <n v="2.0553865483893694"/>
    <n v="2.1424568595353346"/>
    <n v="2.0893793364784674"/>
    <n v="1.6140038617453392"/>
    <n v="1.7506765317230044"/>
    <n v="1.8172417960972438"/>
  </r>
  <r>
    <x v="5"/>
    <n v="5300"/>
    <n v="5300"/>
    <n v="5300"/>
    <n v="5300"/>
    <n v="5300"/>
    <n v="5300"/>
    <n v="6047"/>
    <n v="7134"/>
    <n v="7425"/>
    <n v="8648"/>
    <n v="2.3047932524350903"/>
    <n v="2.2460728793014253"/>
    <n v="2.1888505569303094"/>
    <n v="2.1329670747153417"/>
    <n v="2.0789215088671105"/>
    <n v="2.026958471177664"/>
    <n v="2.255351097409013"/>
    <n v="2.5962352986902473"/>
    <n v="2.6366680016315027"/>
    <n v="3.0403379865832783"/>
  </r>
  <r>
    <x v="6"/>
    <n v="8868"/>
    <n v="10891"/>
    <n v="12132"/>
    <n v="13583"/>
    <n v="15163"/>
    <n v="15163"/>
    <n v="15163"/>
    <n v="12994"/>
    <n v="13489"/>
    <n v="16064"/>
    <n v="3.8563974646404486"/>
    <n v="4.6154678732965708"/>
    <n v="5.0104028220148145"/>
    <n v="5.466432410539336"/>
    <n v="5.947676762066413"/>
    <n v="5.7990134525409287"/>
    <n v="5.6553478898648697"/>
    <n v="4.7288311565995347"/>
    <n v="4.7900356463309546"/>
    <n v="5.6475473423304559"/>
  </r>
  <r>
    <x v="7"/>
    <n v="0"/>
    <n v="2430"/>
    <n v="2430"/>
    <n v="2430"/>
    <n v="2430"/>
    <n v="2495"/>
    <n v="2495"/>
    <n v="1029"/>
    <n v="1162"/>
    <n v="1218"/>
    <n v="0"/>
    <n v="1.0298032257929177"/>
    <n v="1.0035673308189912"/>
    <n v="0.9779452814260905"/>
    <n v="0.95316589934850515"/>
    <n v="0.95420026143174941"/>
    <n v="0.93056077195890319"/>
    <n v="0.37447800986154545"/>
    <n v="0.41263410342031059"/>
    <n v="0.42820671457659953"/>
  </r>
  <r>
    <x v="14"/>
    <n v="0"/>
    <n v="0"/>
    <n v="0"/>
    <n v="287"/>
    <n v="287"/>
    <n v="12758"/>
    <n v="12970"/>
    <n v="16095"/>
    <n v="23421"/>
    <n v="23421"/>
    <m/>
    <m/>
    <m/>
    <m/>
    <m/>
    <m/>
    <m/>
    <m/>
    <m/>
    <m/>
  </r>
  <r>
    <x v="1"/>
    <n v="0"/>
    <n v="0"/>
    <n v="0"/>
    <n v="88"/>
    <n v="88"/>
    <n v="88"/>
    <n v="300"/>
    <n v="300"/>
    <n v="317"/>
    <n v="317"/>
    <n v="0"/>
    <n v="0"/>
    <n v="0"/>
    <n v="3.6075655733460922E-2"/>
    <n v="3.5092270939288892E-2"/>
    <n v="3.4131888954536747E-2"/>
    <n v="0.11324563616434463"/>
    <n v="0.11029968129274756"/>
    <n v="0.11356090604550977"/>
    <n v="0.11080766589104796"/>
  </r>
  <r>
    <x v="2"/>
    <n v="0"/>
    <n v="0"/>
    <n v="0"/>
    <n v="0"/>
    <n v="0"/>
    <n v="241"/>
    <n v="241"/>
    <n v="112"/>
    <n v="293"/>
    <n v="293"/>
    <n v="0"/>
    <n v="0"/>
    <n v="0"/>
    <n v="0"/>
    <n v="0"/>
    <n v="9.3474832250492704E-2"/>
    <n v="9.0973994385356846E-2"/>
    <n v="4.117854768262575E-2"/>
    <n v="0.104963234925345"/>
    <n v="0.10241844197500648"/>
  </r>
  <r>
    <x v="3"/>
    <n v="0"/>
    <n v="0"/>
    <n v="0"/>
    <n v="0"/>
    <n v="0"/>
    <n v="0"/>
    <n v="0"/>
    <n v="48"/>
    <n v="239"/>
    <n v="239"/>
    <n v="0"/>
    <n v="0"/>
    <n v="0"/>
    <n v="0"/>
    <n v="0"/>
    <n v="0"/>
    <n v="0"/>
    <n v="1.7647949006839612E-2"/>
    <n v="8.5618474904974234E-2"/>
    <n v="8.3542688163913137E-2"/>
  </r>
  <r>
    <x v="4"/>
    <n v="0"/>
    <n v="0"/>
    <n v="0"/>
    <n v="0"/>
    <n v="0"/>
    <n v="3259"/>
    <n v="3259"/>
    <n v="2562"/>
    <n v="3762"/>
    <n v="3762"/>
    <n v="0"/>
    <n v="0"/>
    <n v="0"/>
    <n v="0"/>
    <n v="0"/>
    <n v="1.2640434784413099"/>
    <n v="1.2302250941986641"/>
    <n v="0.9419592782400642"/>
    <n v="1.3476849480858291"/>
    <n v="1.3150108488395031"/>
  </r>
  <r>
    <x v="5"/>
    <n v="0"/>
    <n v="0"/>
    <n v="0"/>
    <n v="0"/>
    <n v="0"/>
    <n v="0"/>
    <n v="0"/>
    <n v="1258"/>
    <n v="1673"/>
    <n v="1673"/>
    <n v="0"/>
    <n v="0"/>
    <n v="0"/>
    <n v="0"/>
    <n v="0"/>
    <n v="0"/>
    <n v="0"/>
    <n v="0.46252333022092146"/>
    <n v="0.59932932433481967"/>
    <n v="0.5847988171473919"/>
  </r>
  <r>
    <x v="6"/>
    <n v="0"/>
    <n v="0"/>
    <n v="0"/>
    <n v="0"/>
    <n v="0"/>
    <n v="9156"/>
    <n v="9156"/>
    <n v="11478"/>
    <n v="16535"/>
    <n v="16535"/>
    <n v="0"/>
    <n v="0"/>
    <n v="0"/>
    <n v="0"/>
    <n v="0"/>
    <n v="3.5512679007697558"/>
    <n v="3.4562568157357982"/>
    <n v="4.2200658062605214"/>
    <n v="5.9234371654968578"/>
    <n v="5.7798257271560827"/>
  </r>
  <r>
    <x v="7"/>
    <n v="0"/>
    <n v="0"/>
    <n v="0"/>
    <n v="199"/>
    <n v="199"/>
    <n v="14"/>
    <n v="14"/>
    <n v="337"/>
    <n v="602"/>
    <n v="602"/>
    <n v="0"/>
    <n v="0"/>
    <n v="0"/>
    <n v="8.158017603362186E-2"/>
    <n v="7.9356385419528302E-2"/>
    <n v="5.4300732427672105E-3"/>
    <n v="5.2847963543360826E-3"/>
    <n v="0.12390330865218642"/>
    <n v="0.21565825059746649"/>
    <n v="0.21042969989404062"/>
  </r>
  <r>
    <x v="15"/>
    <n v="70195"/>
    <n v="70195"/>
    <n v="82652"/>
    <n v="83158"/>
    <n v="83934"/>
    <n v="107200"/>
    <n v="117172"/>
    <n v="117172"/>
    <n v="148145"/>
    <n v="148145"/>
    <m/>
    <m/>
    <m/>
    <m/>
    <m/>
    <m/>
    <m/>
    <m/>
    <m/>
    <m/>
  </r>
  <r>
    <x v="1"/>
    <n v="0"/>
    <n v="0"/>
    <n v="0"/>
    <n v="147"/>
    <n v="147"/>
    <n v="404"/>
    <n v="422"/>
    <n v="422"/>
    <n v="451"/>
    <n v="451"/>
    <n v="0"/>
    <n v="0"/>
    <n v="0"/>
    <n v="1.744118313962487E-2"/>
    <n v="1.6879603244351605E-2"/>
    <n v="4.4935377032839195E-2"/>
    <n v="4.5448101262332861E-2"/>
    <n v="4.4006870160691193E-2"/>
    <n v="4.5550856915648259E-2"/>
    <n v="4.5949163048221019E-2"/>
  </r>
  <r>
    <x v="2"/>
    <n v="2126"/>
    <n v="2126"/>
    <n v="2126"/>
    <n v="2126"/>
    <n v="2126"/>
    <n v="2934"/>
    <n v="2934"/>
    <n v="2934"/>
    <n v="2934"/>
    <n v="2934"/>
    <n v="0.27960591295749565"/>
    <n v="0.27028778045980556"/>
    <n v="0.26108000644521312"/>
    <n v="0.25224459425062906"/>
    <n v="0.24412269726184702"/>
    <n v="0.32633761439195597"/>
    <n v="0.31598277038787825"/>
    <n v="0.30596245746793355"/>
    <n v="0.29633306915856317"/>
    <n v="0.29892426692567731"/>
  </r>
  <r>
    <x v="3"/>
    <n v="0"/>
    <n v="0"/>
    <n v="0"/>
    <n v="0"/>
    <n v="0"/>
    <n v="0"/>
    <n v="0"/>
    <n v="0"/>
    <n v="2934"/>
    <n v="2934"/>
    <n v="0"/>
    <n v="0"/>
    <n v="0"/>
    <n v="0"/>
    <n v="0"/>
    <n v="0"/>
    <n v="0"/>
    <n v="0"/>
    <n v="0.29633306915856317"/>
    <n v="0.29892426692567731"/>
  </r>
  <r>
    <x v="4"/>
    <n v="6418"/>
    <n v="6418"/>
    <n v="6418"/>
    <n v="6418"/>
    <n v="6418"/>
    <n v="6418"/>
    <n v="15016"/>
    <n v="15016"/>
    <n v="21290"/>
    <n v="21290"/>
    <n v="0.84407843337780208"/>
    <n v="0.81594871824601689"/>
    <n v="0.78815215492256707"/>
    <n v="0.76147968292593471"/>
    <n v="0.73696118110373199"/>
    <n v="0.7138496282098068"/>
    <n v="1.6171769870976074"/>
    <n v="1.5658937496041205"/>
    <n v="2.1502832455302694"/>
    <n v="2.1690857678417417"/>
  </r>
  <r>
    <x v="5"/>
    <n v="1555"/>
    <n v="1555"/>
    <n v="1555"/>
    <n v="1793"/>
    <n v="1793"/>
    <n v="1793"/>
    <n v="3149"/>
    <n v="3149"/>
    <n v="4292"/>
    <n v="4292"/>
    <n v="0.20450949889412312"/>
    <n v="0.19769402568908634"/>
    <n v="0.19095927094181864"/>
    <n v="0.21273497530168292"/>
    <n v="0.20588522868790768"/>
    <n v="0.19942854212841754"/>
    <n v="0.33913760870873499"/>
    <n v="0.32838301927966007"/>
    <n v="0.43349063831920692"/>
    <n v="0.43728117029482172"/>
  </r>
  <r>
    <x v="6"/>
    <n v="59813"/>
    <n v="59813"/>
    <n v="72270"/>
    <n v="72270"/>
    <n v="73046"/>
    <n v="93964"/>
    <n v="93964"/>
    <n v="93964"/>
    <n v="115316"/>
    <n v="115316"/>
    <n v="7.8664480111602471"/>
    <n v="7.6042911630490817"/>
    <n v="8.8750009716818212"/>
    <n v="8.5746551394604715"/>
    <n v="8.3876700584143364"/>
    <n v="10.451256850281441"/>
    <n v="10.11963361851622"/>
    <n v="9.7987240468701131"/>
    <n v="11.646879414822383"/>
    <n v="11.748722142059101"/>
  </r>
  <r>
    <x v="7"/>
    <n v="283"/>
    <n v="283"/>
    <n v="283"/>
    <n v="404"/>
    <n v="404"/>
    <n v="1687"/>
    <n v="1687"/>
    <n v="1687"/>
    <n v="928"/>
    <n v="928"/>
    <n v="3.7219413625104072E-2"/>
    <n v="3.5979041331197066E-2"/>
    <n v="3.4753359277514259E-2"/>
    <n v="4.7933591757880596E-2"/>
    <n v="4.639020211372822E-2"/>
    <n v="0.18763856696633596"/>
    <n v="0.18168470812690887"/>
    <n v="0.17592319895991954"/>
    <n v="9.3727705582531226E-2"/>
    <n v="9.4547280063745243E-2"/>
  </r>
  <r>
    <x v="16"/>
    <n v="4740"/>
    <n v="5134"/>
    <n v="5134"/>
    <n v="5403"/>
    <n v="5403"/>
    <n v="7050"/>
    <n v="7050"/>
    <n v="7050"/>
    <n v="8944"/>
    <n v="8944"/>
    <m/>
    <m/>
    <m/>
    <m/>
    <m/>
    <m/>
    <m/>
    <m/>
    <m/>
    <m/>
  </r>
  <r>
    <x v="1"/>
    <n v="0"/>
    <n v="0"/>
    <n v="0"/>
    <n v="27"/>
    <n v="27"/>
    <n v="27"/>
    <n v="27"/>
    <n v="27"/>
    <n v="10"/>
    <n v="10"/>
    <n v="0"/>
    <n v="0"/>
    <n v="0"/>
    <n v="5.0825060142987835E-2"/>
    <n v="4.9622665575213075E-2"/>
    <n v="4.8467589453667942E-2"/>
    <n v="4.7350361458629635E-2"/>
    <n v="4.6266102745704703E-2"/>
    <n v="1.6749229200472195E-2"/>
    <n v="1.6832902803789289E-2"/>
  </r>
  <r>
    <x v="2"/>
    <n v="0"/>
    <n v="0"/>
    <n v="0"/>
    <n v="0"/>
    <n v="0"/>
    <n v="320"/>
    <n v="320"/>
    <n v="320"/>
    <n v="320"/>
    <n v="320"/>
    <n v="0"/>
    <n v="0"/>
    <n v="0"/>
    <n v="0"/>
    <n v="0"/>
    <n v="0.57443068982124978"/>
    <n v="0.56118946913931422"/>
    <n v="0.54833899550464837"/>
    <n v="0.53597533441511025"/>
    <n v="0.53865288972125724"/>
  </r>
  <r>
    <x v="3"/>
    <n v="0"/>
    <n v="0"/>
    <n v="0"/>
    <n v="0"/>
    <n v="0"/>
    <n v="0"/>
    <n v="0"/>
    <n v="0"/>
    <n v="777"/>
    <n v="777"/>
    <n v="0"/>
    <n v="0"/>
    <n v="0"/>
    <n v="0"/>
    <n v="0"/>
    <n v="0"/>
    <n v="0"/>
    <n v="0"/>
    <n v="1.3014151088766897"/>
    <n v="1.3079165478544277"/>
  </r>
  <r>
    <x v="4"/>
    <n v="0"/>
    <n v="0"/>
    <n v="0"/>
    <n v="530"/>
    <n v="530"/>
    <n v="544"/>
    <n v="544"/>
    <n v="544"/>
    <n v="1042"/>
    <n v="1042"/>
    <n v="0"/>
    <n v="0"/>
    <n v="0"/>
    <n v="0.9976771065105019"/>
    <n v="0.97407454647640479"/>
    <n v="0.97653217269612458"/>
    <n v="0.9540220975368342"/>
    <n v="0.93217629235790223"/>
    <n v="1.7452696826892027"/>
    <n v="1.7539884721548438"/>
  </r>
  <r>
    <x v="5"/>
    <n v="1282"/>
    <n v="1282"/>
    <n v="1282"/>
    <n v="921"/>
    <n v="921"/>
    <n v="921"/>
    <n v="921"/>
    <n v="921"/>
    <n v="1190"/>
    <n v="1190"/>
    <n v="2.5925905702910557"/>
    <n v="2.5314026221539985"/>
    <n v="2.471647389616459"/>
    <n v="1.7336992737663628"/>
    <n v="1.6926842590656017"/>
    <n v="1.6532833291417843"/>
    <n v="1.6151734408665888"/>
    <n v="1.578188171436816"/>
    <n v="1.9931582748561909"/>
    <n v="2.0031154336509251"/>
  </r>
  <r>
    <x v="6"/>
    <n v="3458"/>
    <n v="3852"/>
    <n v="3852"/>
    <n v="3852"/>
    <n v="3852"/>
    <n v="5081"/>
    <n v="5081"/>
    <n v="5081"/>
    <n v="5573"/>
    <n v="5573"/>
    <n v="6.9931187145604294"/>
    <n v="7.6060553046312025"/>
    <n v="7.4265099413436815"/>
    <n v="7.2510419137329318"/>
    <n v="7.0795002887303982"/>
    <n v="9.1208822968180314"/>
    <n v="8.9106365396776734"/>
    <n v="8.7065951129972454"/>
    <n v="9.3343454334231541"/>
    <n v="9.3809767325517708"/>
  </r>
  <r>
    <x v="7"/>
    <n v="0"/>
    <n v="0"/>
    <n v="0"/>
    <n v="73"/>
    <n v="73"/>
    <n v="157"/>
    <n v="157"/>
    <n v="157"/>
    <n v="32"/>
    <n v="32"/>
    <n v="0"/>
    <n v="0"/>
    <n v="0"/>
    <n v="0.13741590334955969"/>
    <n v="0.13416498470335386"/>
    <n v="0.28183005719355064"/>
    <n v="0.27533358329647606"/>
    <n v="0.26902881966946812"/>
    <n v="5.3597533441511025E-2"/>
    <n v="5.3865288972125724E-2"/>
  </r>
  <r>
    <x v="17"/>
    <n v="0"/>
    <n v="0"/>
    <n v="0"/>
    <n v="216"/>
    <n v="216"/>
    <n v="1459"/>
    <n v="1459"/>
    <n v="1706"/>
    <n v="1974"/>
    <n v="1974"/>
    <m/>
    <m/>
    <m/>
    <m/>
    <m/>
    <m/>
    <m/>
    <m/>
    <m/>
    <m/>
  </r>
  <r>
    <x v="1"/>
    <n v="0"/>
    <n v="0"/>
    <n v="0"/>
    <n v="0"/>
    <n v="0"/>
    <n v="32"/>
    <n v="32"/>
    <n v="32"/>
    <n v="32"/>
    <n v="32"/>
    <n v="0"/>
    <n v="0"/>
    <n v="0"/>
    <n v="0"/>
    <n v="0"/>
    <n v="0.40455836133635742"/>
    <n v="0.39694058047598135"/>
    <n v="0.38947208276281758"/>
    <n v="0.38242105992777026"/>
    <n v="0.34538884307689649"/>
  </r>
  <r>
    <x v="2"/>
    <n v="0"/>
    <n v="0"/>
    <n v="0"/>
    <n v="0"/>
    <n v="0"/>
    <n v="0"/>
    <n v="0"/>
    <n v="0"/>
    <n v="161"/>
    <n v="161"/>
    <n v="0"/>
    <n v="0"/>
    <n v="0"/>
    <n v="0"/>
    <n v="0"/>
    <n v="0"/>
    <n v="0"/>
    <n v="0"/>
    <n v="1.9240559577615941"/>
    <n v="1.7377376167306355"/>
  </r>
  <r>
    <x v="3"/>
    <n v="0"/>
    <n v="0"/>
    <n v="0"/>
    <n v="0"/>
    <n v="0"/>
    <n v="8"/>
    <n v="8"/>
    <n v="16"/>
    <n v="16"/>
    <n v="16"/>
    <n v="0"/>
    <n v="0"/>
    <n v="0"/>
    <n v="0"/>
    <n v="0"/>
    <n v="0.10113959033408935"/>
    <n v="9.9235145118995338E-2"/>
    <n v="0.19473604138140879"/>
    <n v="0.19121052996388513"/>
    <n v="0.17269442153844825"/>
  </r>
  <r>
    <x v="4"/>
    <n v="0"/>
    <n v="0"/>
    <n v="0"/>
    <n v="216"/>
    <n v="216"/>
    <n v="220"/>
    <n v="220"/>
    <n v="354"/>
    <n v="354"/>
    <n v="354"/>
    <n v="0"/>
    <n v="0"/>
    <n v="0"/>
    <n v="2.8358961431812451"/>
    <n v="2.7823828790706839"/>
    <n v="2.7813387341874569"/>
    <n v="2.7289664907723719"/>
    <n v="4.3085349155636692"/>
    <n v="4.2305329754509584"/>
    <n v="3.8208640765381676"/>
  </r>
  <r>
    <x v="5"/>
    <n v="0"/>
    <n v="0"/>
    <n v="0"/>
    <n v="0"/>
    <n v="0"/>
    <n v="484"/>
    <n v="484"/>
    <n v="586"/>
    <n v="586"/>
    <n v="586"/>
    <n v="0"/>
    <n v="0"/>
    <n v="0"/>
    <n v="0"/>
    <n v="0"/>
    <n v="6.1189452152124053"/>
    <n v="6.0037262796992179"/>
    <n v="7.1322075155940974"/>
    <n v="7.0030856599272919"/>
    <n v="6.3249331888456668"/>
  </r>
  <r>
    <x v="6"/>
    <n v="0"/>
    <n v="0"/>
    <n v="0"/>
    <n v="0"/>
    <n v="0"/>
    <n v="679"/>
    <n v="679"/>
    <n v="683"/>
    <n v="785"/>
    <n v="785"/>
    <n v="0"/>
    <n v="0"/>
    <n v="0"/>
    <n v="0"/>
    <n v="0"/>
    <n v="8.584222729605834"/>
    <n v="8.4225829419747296"/>
    <n v="8.3127947664688886"/>
    <n v="9.3812666263531135"/>
    <n v="8.472820056730118"/>
  </r>
  <r>
    <x v="7"/>
    <n v="0"/>
    <n v="0"/>
    <n v="0"/>
    <n v="0"/>
    <n v="0"/>
    <n v="36"/>
    <n v="36"/>
    <n v="35"/>
    <n v="40"/>
    <n v="40"/>
    <n v="0"/>
    <n v="0"/>
    <n v="0"/>
    <n v="0"/>
    <n v="0"/>
    <n v="0.4551281565034021"/>
    <n v="0.44655815303547908"/>
    <n v="0.4259850905218317"/>
    <n v="0.47802632490971281"/>
    <n v="0.43173605384612063"/>
  </r>
  <r>
    <x v="18"/>
    <n v="308"/>
    <n v="852"/>
    <n v="1100"/>
    <n v="1172"/>
    <n v="1188"/>
    <n v="1453"/>
    <n v="1509"/>
    <n v="1627"/>
    <n v="1343"/>
    <n v="1376"/>
    <m/>
    <m/>
    <m/>
    <m/>
    <m/>
    <m/>
    <m/>
    <m/>
    <m/>
    <m/>
  </r>
  <r>
    <x v="1"/>
    <n v="0"/>
    <n v="0"/>
    <n v="0"/>
    <n v="4"/>
    <n v="4"/>
    <n v="81"/>
    <n v="120"/>
    <n v="120"/>
    <n v="8"/>
    <n v="8"/>
    <n v="0"/>
    <n v="0"/>
    <n v="0"/>
    <n v="7.0802224605897121E-2"/>
    <n v="7.0027766009222656E-2"/>
    <n v="1.40373984021628"/>
    <n v="2.0595908279555126"/>
    <n v="2.0410766679423396"/>
    <n v="0.13487336234234568"/>
    <n v="0.13953764202315627"/>
  </r>
  <r>
    <x v="2"/>
    <n v="0"/>
    <n v="0"/>
    <n v="0"/>
    <n v="0"/>
    <n v="0"/>
    <n v="65"/>
    <n v="65"/>
    <n v="65"/>
    <n v="2"/>
    <n v="4"/>
    <n v="0"/>
    <n v="0"/>
    <n v="0"/>
    <n v="0"/>
    <n v="0"/>
    <n v="1.1264578964698544"/>
    <n v="1.1156116984759028"/>
    <n v="1.105583195135434"/>
    <n v="3.3718340585586419E-2"/>
    <n v="6.9768821011578136E-2"/>
  </r>
  <r>
    <x v="3"/>
    <n v="0"/>
    <n v="0"/>
    <n v="0"/>
    <n v="0"/>
    <n v="0"/>
    <n v="0"/>
    <n v="0"/>
    <n v="0"/>
    <n v="0"/>
    <n v="8"/>
    <n v="0"/>
    <n v="0"/>
    <n v="0"/>
    <n v="0"/>
    <n v="0"/>
    <n v="0"/>
    <n v="0"/>
    <n v="0"/>
    <n v="0"/>
    <n v="0.13953764202315627"/>
  </r>
  <r>
    <x v="4"/>
    <n v="308"/>
    <n v="308"/>
    <n v="410"/>
    <n v="410"/>
    <n v="410"/>
    <n v="365"/>
    <n v="382"/>
    <n v="382"/>
    <n v="373"/>
    <n v="381"/>
    <n v="5.6402405525970742"/>
    <n v="5.5780326930669393"/>
    <n v="7.3424857716952543"/>
    <n v="7.2572280221044547"/>
    <n v="7.177846015945323"/>
    <n v="6.3254943417153351"/>
    <n v="6.5563641356583826"/>
    <n v="6.4974273929497812"/>
    <n v="6.2884705192118675"/>
    <n v="6.6454802013528171"/>
  </r>
  <r>
    <x v="5"/>
    <n v="0"/>
    <n v="0"/>
    <n v="0"/>
    <n v="0"/>
    <n v="0"/>
    <n v="0"/>
    <n v="0"/>
    <n v="0"/>
    <n v="26"/>
    <n v="26"/>
    <n v="0"/>
    <n v="0"/>
    <n v="0"/>
    <n v="0"/>
    <n v="0"/>
    <n v="0"/>
    <n v="0"/>
    <n v="0"/>
    <n v="0.43833842761262348"/>
    <n v="0.45349733657525787"/>
  </r>
  <r>
    <x v="6"/>
    <n v="0"/>
    <n v="544"/>
    <n v="690"/>
    <n v="754"/>
    <n v="770"/>
    <n v="770"/>
    <n v="770"/>
    <n v="888"/>
    <n v="924"/>
    <n v="939"/>
    <n v="0"/>
    <n v="9.8521096916506981"/>
    <n v="12.356866298706649"/>
    <n v="13.346219338211606"/>
    <n v="13.480344956775362"/>
    <n v="13.344193542796734"/>
    <n v="13.215707812714539"/>
    <n v="15.103967342773313"/>
    <n v="15.577873350540926"/>
    <n v="16.378230732467966"/>
  </r>
  <r>
    <x v="7"/>
    <n v="0"/>
    <n v="0"/>
    <n v="0"/>
    <n v="4"/>
    <n v="4"/>
    <n v="172"/>
    <n v="172"/>
    <n v="172"/>
    <n v="10"/>
    <n v="10"/>
    <n v="0"/>
    <n v="0"/>
    <n v="0"/>
    <n v="7.0802224605897121E-2"/>
    <n v="7.0027766009222656E-2"/>
    <n v="2.980780895274076"/>
    <n v="2.952080186736235"/>
    <n v="2.9255432240506867"/>
    <n v="0.16859170292793213"/>
    <n v="0.17442205252894535"/>
  </r>
  <r>
    <x v="19"/>
    <n v="0"/>
    <n v="0"/>
    <n v="0"/>
    <n v="165267"/>
    <n v="180572"/>
    <n v="223170"/>
    <n v="223292"/>
    <n v="223292"/>
    <n v="234805"/>
    <n v="234805"/>
    <m/>
    <m/>
    <m/>
    <m/>
    <m/>
    <m/>
    <m/>
    <m/>
    <m/>
    <m/>
  </r>
  <r>
    <x v="1"/>
    <n v="0"/>
    <n v="0"/>
    <n v="0"/>
    <n v="0"/>
    <n v="14263"/>
    <n v="15437"/>
    <n v="15437"/>
    <n v="15437"/>
    <n v="16222"/>
    <n v="16222"/>
    <n v="0"/>
    <n v="0"/>
    <n v="0"/>
    <n v="0"/>
    <n v="3.40186457859966"/>
    <n v="3.6147680544516088"/>
    <n v="3.552683112311505"/>
    <n v="3.4942756195967273"/>
    <n v="3.6126581108595208"/>
    <n v="3.5224267648672867"/>
  </r>
  <r>
    <x v="2"/>
    <n v="0"/>
    <n v="0"/>
    <n v="0"/>
    <n v="0"/>
    <n v="0"/>
    <n v="136"/>
    <n v="136"/>
    <n v="136"/>
    <n v="136"/>
    <n v="136"/>
    <n v="0"/>
    <n v="0"/>
    <n v="0"/>
    <n v="0"/>
    <n v="0"/>
    <n v="3.1846113584596672E-2"/>
    <n v="3.1299145123687547E-2"/>
    <n v="3.0784574999362237E-2"/>
    <n v="3.028735686579305E-2"/>
    <n v="2.9530886451852485E-2"/>
  </r>
  <r>
    <x v="3"/>
    <n v="0"/>
    <n v="0"/>
    <n v="0"/>
    <n v="0"/>
    <n v="0"/>
    <n v="15238"/>
    <n v="15238"/>
    <n v="15238"/>
    <n v="15238"/>
    <n v="15238"/>
    <n v="0"/>
    <n v="0"/>
    <n v="0"/>
    <n v="0"/>
    <n v="0"/>
    <n v="3.5681696970741479"/>
    <n v="3.5068850984908151"/>
    <n v="3.4492305429432486"/>
    <n v="3.3935201758893712"/>
    <n v="3.3087621158332956"/>
  </r>
  <r>
    <x v="4"/>
    <n v="0"/>
    <n v="0"/>
    <n v="0"/>
    <n v="74309"/>
    <n v="74309"/>
    <n v="72604"/>
    <n v="72604"/>
    <n v="72604"/>
    <n v="75512"/>
    <n v="75512"/>
    <n v="0"/>
    <n v="0"/>
    <n v="0"/>
    <n v="18.063986217997009"/>
    <n v="17.723421087510491"/>
    <n v="17.001141402176888"/>
    <n v="16.709140680589783"/>
    <n v="16.434435906277177"/>
    <n v="16.816609497424739"/>
    <n v="16.396590424649155"/>
  </r>
  <r>
    <x v="5"/>
    <n v="0"/>
    <n v="0"/>
    <n v="0"/>
    <n v="0"/>
    <n v="0"/>
    <n v="8948"/>
    <n v="9070"/>
    <n v="9070"/>
    <n v="9279"/>
    <n v="9279"/>
    <n v="0"/>
    <n v="0"/>
    <n v="0"/>
    <n v="0"/>
    <n v="0"/>
    <n v="2.0952869437865518"/>
    <n v="2.0873768108223976"/>
    <n v="2.0530595238545257"/>
    <n v="2.0664440026301008"/>
    <n v="2.0148315837260236"/>
  </r>
  <r>
    <x v="6"/>
    <n v="0"/>
    <n v="0"/>
    <n v="0"/>
    <n v="90958"/>
    <n v="92000"/>
    <n v="92000"/>
    <n v="92000"/>
    <n v="92000"/>
    <n v="104776"/>
    <n v="104776"/>
    <n v="0"/>
    <n v="0"/>
    <n v="0"/>
    <n v="22.111238994153762"/>
    <n v="21.942897092558979"/>
    <n v="21.542959189580099"/>
    <n v="21.172951113082753"/>
    <n v="20.824859558392102"/>
    <n v="23.333736051252444"/>
    <n v="22.750942344700707"/>
  </r>
  <r>
    <x v="7"/>
    <n v="0"/>
    <n v="0"/>
    <n v="0"/>
    <n v="0"/>
    <n v="0"/>
    <n v="18807"/>
    <n v="18807"/>
    <n v="18807"/>
    <n v="13642"/>
    <n v="13642"/>
    <n v="0"/>
    <n v="0"/>
    <n v="0"/>
    <n v="0"/>
    <n v="0"/>
    <n v="4.4038960160699236"/>
    <n v="4.3282575172146451"/>
    <n v="4.2570992795073943"/>
    <n v="3.0380891350231529"/>
    <n v="2.9622084777659672"/>
  </r>
  <r>
    <x v="20"/>
    <n v="4466"/>
    <n v="4474"/>
    <n v="4488"/>
    <n v="5086"/>
    <n v="5573"/>
    <n v="6813"/>
    <n v="6813"/>
    <n v="6824"/>
    <n v="6503"/>
    <n v="6503"/>
    <m/>
    <m/>
    <m/>
    <m/>
    <m/>
    <m/>
    <m/>
    <m/>
    <m/>
    <m/>
  </r>
  <r>
    <x v="1"/>
    <n v="0"/>
    <n v="0"/>
    <n v="0"/>
    <n v="0"/>
    <n v="0"/>
    <n v="186"/>
    <n v="186"/>
    <n v="186"/>
    <n v="67"/>
    <n v="67"/>
    <n v="0"/>
    <n v="0"/>
    <n v="0"/>
    <n v="0"/>
    <n v="0"/>
    <n v="0.53160810307938278"/>
    <n v="0.52307903442984949"/>
    <n v="0.5137678741500733"/>
    <n v="0.18186595556173238"/>
    <n v="0.17973761527351237"/>
  </r>
  <r>
    <x v="2"/>
    <n v="0"/>
    <n v="0"/>
    <n v="0"/>
    <n v="0"/>
    <n v="0"/>
    <n v="549"/>
    <n v="549"/>
    <n v="549"/>
    <n v="340"/>
    <n v="340"/>
    <n v="0"/>
    <n v="0"/>
    <n v="0"/>
    <n v="0"/>
    <n v="0"/>
    <n v="1.5691013365085009"/>
    <n v="1.5439268274300395"/>
    <n v="1.5164438866042484"/>
    <n v="0.92290186404461205"/>
    <n v="0.91210133123871939"/>
  </r>
  <r>
    <x v="3"/>
    <n v="0"/>
    <n v="0"/>
    <n v="0"/>
    <n v="0"/>
    <n v="0"/>
    <n v="0"/>
    <n v="0"/>
    <n v="0"/>
    <n v="307"/>
    <n v="307"/>
    <n v="0"/>
    <n v="0"/>
    <n v="0"/>
    <n v="0"/>
    <n v="0"/>
    <n v="0"/>
    <n v="0"/>
    <n v="0"/>
    <n v="0.83332609488734077"/>
    <n v="0.82357384908907905"/>
  </r>
  <r>
    <x v="4"/>
    <n v="204"/>
    <n v="212"/>
    <n v="226"/>
    <n v="226"/>
    <n v="226"/>
    <n v="280"/>
    <n v="280"/>
    <n v="291"/>
    <n v="299"/>
    <n v="299"/>
    <n v="0.61382459360448938"/>
    <n v="0.63472939868970291"/>
    <n v="0.67156233628810857"/>
    <n v="0.66530602752541779"/>
    <n v="0.65595200985437285"/>
    <n v="0.80027026270014623"/>
    <n v="0.78743080451805292"/>
    <n v="0.80379812568640485"/>
    <n v="0.81161075690982054"/>
    <n v="0.80211264129522675"/>
  </r>
  <r>
    <x v="5"/>
    <n v="0"/>
    <n v="0"/>
    <n v="0"/>
    <n v="376"/>
    <n v="376"/>
    <n v="376"/>
    <n v="376"/>
    <n v="376"/>
    <n v="67"/>
    <n v="67"/>
    <n v="0"/>
    <n v="0"/>
    <n v="0"/>
    <n v="1.1068808245555624"/>
    <n v="1.0913183880763018"/>
    <n v="1.0746486384830534"/>
    <n v="1.0574070803528139"/>
    <n v="1.038584519787245"/>
    <n v="0.18186595556173238"/>
    <n v="0.17973761527351237"/>
  </r>
  <r>
    <x v="6"/>
    <n v="4262"/>
    <n v="4262"/>
    <n v="4262"/>
    <n v="4484"/>
    <n v="4971"/>
    <n v="4971"/>
    <n v="4971"/>
    <n v="4971"/>
    <n v="5194"/>
    <n v="5194"/>
    <n v="12.824119695795753"/>
    <n v="12.760456118941104"/>
    <n v="12.664595917079287"/>
    <n v="13.20014259922112"/>
    <n v="14.428041774274723"/>
    <n v="14.207655271008667"/>
    <n v="13.979709033068719"/>
    <n v="13.730860765591475"/>
    <n v="14.098683181905042"/>
    <n v="13.933689160158554"/>
  </r>
  <r>
    <x v="7"/>
    <n v="0"/>
    <n v="0"/>
    <n v="0"/>
    <n v="0"/>
    <n v="0"/>
    <n v="451"/>
    <n v="451"/>
    <n v="451"/>
    <n v="229"/>
    <n v="229"/>
    <n v="0"/>
    <n v="0"/>
    <n v="0"/>
    <n v="0"/>
    <n v="0"/>
    <n v="1.2890067445634499"/>
    <n v="1.2683260458487211"/>
    <n v="1.2457489851703387"/>
    <n v="0.62160154960651803"/>
    <n v="0.6143270730990199"/>
  </r>
  <r>
    <x v="21"/>
    <n v="0"/>
    <n v="0"/>
    <n v="0"/>
    <n v="0"/>
    <n v="88164"/>
    <n v="135809"/>
    <n v="139588"/>
    <n v="129503"/>
    <n v="224659"/>
    <n v="239596"/>
    <m/>
    <m/>
    <m/>
    <m/>
    <m/>
    <m/>
    <m/>
    <m/>
    <m/>
    <m/>
  </r>
  <r>
    <x v="1"/>
    <n v="0"/>
    <n v="0"/>
    <n v="0"/>
    <n v="0"/>
    <n v="0"/>
    <n v="1889"/>
    <n v="1889"/>
    <n v="1889"/>
    <n v="3522"/>
    <n v="3522"/>
    <n v="0"/>
    <n v="0"/>
    <n v="0"/>
    <n v="0"/>
    <n v="0"/>
    <n v="0.16552665332253705"/>
    <n v="0.16118997487782988"/>
    <n v="0.1570462651978842"/>
    <n v="0.28545973168211713"/>
    <n v="0.28455688227845422"/>
  </r>
  <r>
    <x v="2"/>
    <n v="0"/>
    <n v="0"/>
    <n v="0"/>
    <n v="0"/>
    <n v="0"/>
    <n v="10450"/>
    <n v="10450"/>
    <n v="8005"/>
    <n v="23757"/>
    <n v="23757"/>
    <n v="0"/>
    <n v="0"/>
    <n v="0"/>
    <n v="0"/>
    <n v="0"/>
    <n v="0.91569800276363789"/>
    <n v="0.89170737822833379"/>
    <n v="0.6655136860291494"/>
    <n v="1.9255158562101238"/>
    <n v="1.9194258524387386"/>
  </r>
  <r>
    <x v="3"/>
    <n v="0"/>
    <n v="0"/>
    <n v="0"/>
    <n v="0"/>
    <n v="0"/>
    <n v="0"/>
    <n v="0"/>
    <n v="4752"/>
    <n v="13915"/>
    <n v="21722"/>
    <n v="0"/>
    <n v="0"/>
    <n v="0"/>
    <n v="0"/>
    <n v="0"/>
    <n v="0"/>
    <n v="0"/>
    <n v="0.39506821186889662"/>
    <n v="1.1278171965805395"/>
    <n v="1.7550098230700122"/>
  </r>
  <r>
    <x v="4"/>
    <n v="0"/>
    <n v="0"/>
    <n v="0"/>
    <n v="0"/>
    <n v="0"/>
    <n v="8395"/>
    <n v="12174"/>
    <n v="12174"/>
    <n v="13117"/>
    <n v="18413"/>
    <n v="0"/>
    <n v="0"/>
    <n v="0"/>
    <n v="0"/>
    <n v="0"/>
    <n v="0.73562533332064506"/>
    <n v="1.0388177629236111"/>
    <n v="1.0121128811641302"/>
    <n v="1.0631389268808433"/>
    <n v="1.4876620878458768"/>
  </r>
  <r>
    <x v="5"/>
    <n v="0"/>
    <n v="0"/>
    <n v="0"/>
    <n v="0"/>
    <n v="0"/>
    <n v="16159"/>
    <n v="16159"/>
    <n v="20355"/>
    <n v="21995"/>
    <n v="21995"/>
    <n v="0"/>
    <n v="0"/>
    <n v="0"/>
    <n v="0"/>
    <n v="0"/>
    <n v="1.4159582800629307"/>
    <n v="1.3788611985446551"/>
    <n v="1.6922587231884239"/>
    <n v="1.7827049399057824"/>
    <n v="1.7770666171818854"/>
  </r>
  <r>
    <x v="6"/>
    <n v="0"/>
    <n v="0"/>
    <n v="0"/>
    <n v="0"/>
    <n v="88164"/>
    <n v="88164"/>
    <n v="88164"/>
    <n v="69824"/>
    <n v="131262"/>
    <n v="131262"/>
    <n v="0"/>
    <n v="0"/>
    <n v="0"/>
    <n v="0"/>
    <n v="7.9334514406524761"/>
    <n v="7.7255118388185045"/>
    <n v="7.5231090233610347"/>
    <n v="5.804975342073619"/>
    <n v="10.638845911430453"/>
    <n v="10.60519746781217"/>
  </r>
  <r>
    <x v="7"/>
    <n v="0"/>
    <n v="0"/>
    <n v="0"/>
    <n v="0"/>
    <n v="0"/>
    <n v="10752"/>
    <n v="10752"/>
    <n v="12504"/>
    <n v="17091"/>
    <n v="18925"/>
    <n v="0"/>
    <n v="0"/>
    <n v="0"/>
    <n v="0"/>
    <n v="0"/>
    <n v="0.94216123691049136"/>
    <n v="0.91747729480488471"/>
    <n v="1.0395481736550258"/>
    <n v="1.3852334679667981"/>
    <n v="1.5290286760703424"/>
  </r>
  <r>
    <x v="22"/>
    <n v="0"/>
    <n v="0"/>
    <n v="0"/>
    <n v="6157"/>
    <n v="8932"/>
    <n v="9374"/>
    <n v="8908"/>
    <n v="8361"/>
    <n v="7767"/>
    <n v="7767"/>
    <m/>
    <m/>
    <m/>
    <m/>
    <m/>
    <m/>
    <m/>
    <m/>
    <m/>
    <m/>
  </r>
  <r>
    <x v="1"/>
    <n v="0"/>
    <n v="0"/>
    <n v="0"/>
    <n v="0"/>
    <n v="37"/>
    <n v="40"/>
    <n v="40"/>
    <n v="40"/>
    <n v="44"/>
    <n v="44"/>
    <n v="0"/>
    <n v="0"/>
    <n v="0"/>
    <n v="0"/>
    <n v="0.16879469637939939"/>
    <n v="0.17834968577014737"/>
    <n v="0.17447645069535411"/>
    <n v="0.17085408676568514"/>
    <n v="0.18417809687098158"/>
    <n v="0.18457111336231938"/>
  </r>
  <r>
    <x v="2"/>
    <n v="0"/>
    <n v="0"/>
    <n v="0"/>
    <n v="0"/>
    <n v="0"/>
    <n v="439"/>
    <n v="469"/>
    <n v="469"/>
    <n v="257"/>
    <n v="257"/>
    <n v="0"/>
    <n v="0"/>
    <n v="0"/>
    <n v="0"/>
    <n v="0"/>
    <n v="1.9573878013273676"/>
    <n v="2.0457363844030265"/>
    <n v="2.0032641673276581"/>
    <n v="1.0757675203600514"/>
    <n v="1.0780630939571838"/>
  </r>
  <r>
    <x v="3"/>
    <n v="0"/>
    <n v="0"/>
    <n v="0"/>
    <n v="287"/>
    <n v="442"/>
    <n v="442"/>
    <n v="72"/>
    <n v="74"/>
    <n v="253"/>
    <n v="253"/>
    <n v="0"/>
    <n v="0"/>
    <n v="0"/>
    <n v="1.3409867700207692"/>
    <n v="2.0164123189106631"/>
    <n v="1.9707640277601286"/>
    <n v="0.31405761125163739"/>
    <n v="0.31608006051651755"/>
    <n v="1.0590240570081439"/>
    <n v="1.0612839018333364"/>
  </r>
  <r>
    <x v="4"/>
    <n v="0"/>
    <n v="0"/>
    <n v="0"/>
    <n v="715"/>
    <n v="1408"/>
    <n v="1408"/>
    <n v="1408"/>
    <n v="1408"/>
    <n v="1266"/>
    <n v="1266"/>
    <n v="0"/>
    <n v="0"/>
    <n v="0"/>
    <n v="3.3407858556266543"/>
    <n v="6.4233225000593057"/>
    <n v="6.2779089391091887"/>
    <n v="6.1415710644764641"/>
    <n v="6.0140638541521172"/>
    <n v="5.2993061508786967"/>
    <n v="5.3106143071976444"/>
  </r>
  <r>
    <x v="5"/>
    <n v="0"/>
    <n v="0"/>
    <n v="0"/>
    <n v="513"/>
    <n v="733"/>
    <n v="733"/>
    <n v="607"/>
    <n v="662"/>
    <n v="925"/>
    <n v="925"/>
    <n v="0"/>
    <n v="0"/>
    <n v="0"/>
    <n v="2.396955446064998"/>
    <n v="3.3439597958405338"/>
    <n v="3.2682579917379506"/>
    <n v="2.6476801393019986"/>
    <n v="2.8276351359720895"/>
    <n v="3.8719259001285899"/>
    <n v="3.8801881786396688"/>
  </r>
  <r>
    <x v="6"/>
    <n v="0"/>
    <n v="0"/>
    <n v="0"/>
    <n v="4596"/>
    <n v="6085"/>
    <n v="6085"/>
    <n v="6085"/>
    <n v="5481"/>
    <n v="4835"/>
    <n v="4835"/>
    <n v="0"/>
    <n v="0"/>
    <n v="0"/>
    <n v="21.474478031412733"/>
    <n v="27.759884526179601"/>
    <n v="27.131445947783671"/>
    <n v="26.54223006203074"/>
    <n v="23.411281239068007"/>
    <n v="20.238661326618086"/>
    <n v="20.281848479700326"/>
  </r>
  <r>
    <x v="7"/>
    <n v="0"/>
    <n v="0"/>
    <n v="0"/>
    <n v="46"/>
    <n v="227"/>
    <n v="227"/>
    <n v="227"/>
    <n v="227"/>
    <n v="187"/>
    <n v="187"/>
    <n v="0"/>
    <n v="0"/>
    <n v="0"/>
    <n v="0.21493167742493161"/>
    <n v="1.0355782723817206"/>
    <n v="1.0121344667455863"/>
    <n v="0.9901538576961344"/>
    <n v="0.96959694239526317"/>
    <n v="0.78275691170167161"/>
    <n v="0.7844272317898574"/>
  </r>
  <r>
    <x v="23"/>
    <n v="7003"/>
    <n v="48839"/>
    <n v="67872"/>
    <n v="76737"/>
    <n v="144436"/>
    <n v="149504"/>
    <n v="153781"/>
    <n v="127866"/>
    <n v="166767"/>
    <n v="160236"/>
    <m/>
    <m/>
    <m/>
    <m/>
    <m/>
    <m/>
    <m/>
    <m/>
    <m/>
    <m/>
  </r>
  <r>
    <x v="1"/>
    <n v="0"/>
    <n v="0"/>
    <n v="0"/>
    <n v="400"/>
    <n v="400"/>
    <n v="713"/>
    <n v="713"/>
    <n v="713"/>
    <n v="244"/>
    <n v="244"/>
    <n v="0"/>
    <n v="0"/>
    <n v="0"/>
    <n v="0.13235276697687287"/>
    <n v="0.12957294926269913"/>
    <n v="0.22618915059787853"/>
    <n v="0.22156342924378103"/>
    <n v="0.21715936003593456"/>
    <n v="7.2888322245247106E-2"/>
    <n v="7.3799083990041842E-2"/>
  </r>
  <r>
    <x v="2"/>
    <n v="0"/>
    <n v="0"/>
    <n v="0"/>
    <n v="0"/>
    <n v="0"/>
    <n v="1563"/>
    <n v="1563"/>
    <n v="1563"/>
    <n v="4227"/>
    <n v="2680"/>
    <n v="0"/>
    <n v="0"/>
    <n v="0"/>
    <n v="0"/>
    <n v="0"/>
    <n v="0.49583961063742515"/>
    <n v="0.48569935470971914"/>
    <n v="0.47604499261734318"/>
    <n v="1.2627005661092601"/>
    <n v="0.81058010284144311"/>
  </r>
  <r>
    <x v="3"/>
    <n v="3987"/>
    <n v="3987"/>
    <n v="3987"/>
    <n v="3987"/>
    <n v="3987"/>
    <n v="3987"/>
    <n v="3987"/>
    <n v="3987"/>
    <n v="3748"/>
    <n v="3743"/>
    <n v="1.4140124054319356"/>
    <n v="1.3809734418405997"/>
    <n v="1.3490421344059442"/>
    <n v="1.3192262048419805"/>
    <n v="1.2915183717759537"/>
    <n v="1.264819275503144"/>
    <n v="1.2389528645090533"/>
    <n v="1.2143259024730308"/>
    <n v="1.1196124253081399"/>
    <n v="1.1320900466177319"/>
  </r>
  <r>
    <x v="4"/>
    <n v="3016"/>
    <n v="3263"/>
    <n v="3618"/>
    <n v="3618"/>
    <n v="3618"/>
    <n v="4406"/>
    <n v="4406"/>
    <n v="5285"/>
    <n v="4726"/>
    <n v="8977"/>
    <n v="1.0696416891855325"/>
    <n v="1.1302022424694951"/>
    <n v="1.2241872190320306"/>
    <n v="1.1971307773058151"/>
    <n v="1.1719873260811138"/>
    <n v="1.3977410905108734"/>
    <n v="1.3691563383563805"/>
    <n v="1.6096594919914642"/>
    <n v="1.4117631595534337"/>
    <n v="2.7151408892565807"/>
  </r>
  <r>
    <x v="5"/>
    <n v="0"/>
    <n v="4185"/>
    <n v="7662"/>
    <n v="9554"/>
    <n v="10489"/>
    <n v="12673"/>
    <n v="16700"/>
    <n v="19141"/>
    <n v="23882"/>
    <n v="26056"/>
    <n v="0"/>
    <n v="1.449554515701758"/>
    <n v="2.5925158850810996"/>
    <n v="3.1612458392426088"/>
    <n v="3.3977266620411282"/>
    <n v="4.0203297412719694"/>
    <n v="5.1894940650366665"/>
    <n v="5.829799874400873"/>
    <n v="7.1340939010696358"/>
    <n v="7.8807743132972554"/>
  </r>
  <r>
    <x v="6"/>
    <n v="0"/>
    <n v="37404"/>
    <n v="52605"/>
    <n v="58608"/>
    <n v="125024"/>
    <n v="125024"/>
    <n v="125024"/>
    <n v="95789"/>
    <n v="124204"/>
    <n v="112800"/>
    <n v="0"/>
    <n v="12.955588316680659"/>
    <n v="17.799438545378653"/>
    <n v="19.392327417451412"/>
    <n v="40.499321021549243"/>
    <n v="39.662093077628562"/>
    <n v="38.850976406415818"/>
    <n v="29.174583363930061"/>
    <n v="37.102545803887999"/>
    <n v="34.116953582281639"/>
  </r>
  <r>
    <x v="7"/>
    <n v="0"/>
    <n v="0"/>
    <n v="0"/>
    <n v="570"/>
    <n v="918"/>
    <n v="1138"/>
    <n v="1388"/>
    <n v="1388"/>
    <n v="5736"/>
    <n v="5736"/>
    <n v="0"/>
    <n v="0"/>
    <n v="0"/>
    <n v="0.18860269294204382"/>
    <n v="0.29736991855789452"/>
    <n v="0.36101438061765184"/>
    <n v="0.43131842887849658"/>
    <n v="0.42274500943881788"/>
    <n v="1.7134730180276121"/>
    <n v="1.7348833842904918"/>
  </r>
  <r>
    <x v="24"/>
    <n v="0"/>
    <n v="8133"/>
    <n v="8275"/>
    <n v="8477"/>
    <n v="8477"/>
    <n v="11143"/>
    <n v="11143"/>
    <n v="11143"/>
    <n v="9514"/>
    <n v="9650"/>
    <m/>
    <m/>
    <m/>
    <m/>
    <m/>
    <m/>
    <m/>
    <m/>
    <m/>
    <m/>
  </r>
  <r>
    <x v="1"/>
    <n v="0"/>
    <n v="0"/>
    <n v="0"/>
    <n v="50"/>
    <n v="50"/>
    <n v="73"/>
    <n v="73"/>
    <n v="73"/>
    <n v="39"/>
    <n v="39"/>
    <n v="0"/>
    <n v="0"/>
    <n v="0"/>
    <n v="4.0847040170368103E-2"/>
    <n v="3.9825202407608722E-2"/>
    <n v="5.6687850062034369E-2"/>
    <n v="5.5281449597744156E-2"/>
    <n v="5.3946576335957404E-2"/>
    <n v="2.8139866101858667E-2"/>
    <n v="2.7390110175664714E-2"/>
  </r>
  <r>
    <x v="2"/>
    <n v="0"/>
    <n v="0"/>
    <n v="0"/>
    <n v="0"/>
    <n v="0"/>
    <n v="181"/>
    <n v="181"/>
    <n v="181"/>
    <n v="181"/>
    <n v="181"/>
    <n v="0"/>
    <n v="0"/>
    <n v="0"/>
    <n v="0"/>
    <n v="0"/>
    <n v="0.14055480631819481"/>
    <n v="0.13706770379714647"/>
    <n v="0.13375794954531905"/>
    <n v="0.13059784011375433"/>
    <n v="0.12711820363577728"/>
  </r>
  <r>
    <x v="3"/>
    <n v="0"/>
    <n v="0"/>
    <n v="0"/>
    <n v="209"/>
    <n v="209"/>
    <n v="209"/>
    <n v="209"/>
    <n v="209"/>
    <n v="181"/>
    <n v="317"/>
    <n v="0"/>
    <n v="0"/>
    <n v="0"/>
    <n v="0.17074062791213868"/>
    <n v="0.16646934606380442"/>
    <n v="0.16229809127349568"/>
    <n v="0.15827154747847297"/>
    <n v="0.15444978704404241"/>
    <n v="0.13059784011375433"/>
    <n v="0.22263243399194141"/>
  </r>
  <r>
    <x v="4"/>
    <n v="0"/>
    <n v="1844"/>
    <n v="1844"/>
    <n v="1844"/>
    <n v="1844"/>
    <n v="2787"/>
    <n v="2787"/>
    <n v="2787"/>
    <n v="2946"/>
    <n v="2946"/>
    <n v="0"/>
    <n v="1.5861003932737645"/>
    <n v="1.5455555429832493"/>
    <n v="1.5064388414831758"/>
    <n v="1.4687534647926095"/>
    <n v="2.1642333989436957"/>
    <n v="2.1105397264234651"/>
    <n v="2.0595768253193598"/>
    <n v="2.1256421932327085"/>
    <n v="2.069006784038673"/>
  </r>
  <r>
    <x v="5"/>
    <n v="0"/>
    <n v="500"/>
    <n v="500"/>
    <n v="443"/>
    <n v="443"/>
    <n v="443"/>
    <n v="443"/>
    <n v="443"/>
    <n v="893"/>
    <n v="893"/>
    <n v="0"/>
    <n v="0.4300706055514546"/>
    <n v="0.41907688258764886"/>
    <n v="0.36190477590946135"/>
    <n v="0.35285129333141324"/>
    <n v="0.34400982982850997"/>
    <n v="0.33547509824384469"/>
    <n v="0.32737442899765928"/>
    <n v="0.64433078022973822"/>
    <n v="0.62716329197098952"/>
  </r>
  <r>
    <x v="6"/>
    <n v="0"/>
    <n v="5789"/>
    <n v="5789"/>
    <n v="5789"/>
    <n v="5789"/>
    <n v="7195"/>
    <n v="7195"/>
    <n v="7195"/>
    <n v="5019"/>
    <n v="5019"/>
    <n v="0"/>
    <n v="4.9793574710747412"/>
    <n v="4.8520721465997987"/>
    <n v="4.7292703109252185"/>
    <n v="4.6109619347529369"/>
    <n v="5.5872476876210584"/>
    <n v="5.4486305459694409"/>
    <n v="5.3170632429755278"/>
    <n v="3.6213843068007345"/>
    <n v="3.5248964864528514"/>
  </r>
  <r>
    <x v="7"/>
    <n v="0"/>
    <n v="0"/>
    <n v="142"/>
    <n v="142"/>
    <n v="142"/>
    <n v="255"/>
    <n v="255"/>
    <n v="255"/>
    <n v="255"/>
    <n v="255"/>
    <n v="0"/>
    <n v="0"/>
    <n v="0.11901783465489228"/>
    <n v="0.11600559408384542"/>
    <n v="0.11310357483760876"/>
    <n v="0.19801920227148989"/>
    <n v="0.19310643352636658"/>
    <n v="0.18844352007765941"/>
    <n v="0.18399143220446054"/>
    <n v="0.17908918191780776"/>
  </r>
  <r>
    <x v="25"/>
    <n v="0"/>
    <n v="0"/>
    <n v="3609"/>
    <n v="3609"/>
    <n v="1955"/>
    <n v="2503"/>
    <n v="2430"/>
    <n v="2258"/>
    <n v="2258"/>
    <n v="2263"/>
    <m/>
    <m/>
    <m/>
    <m/>
    <m/>
    <m/>
    <m/>
    <m/>
    <m/>
    <m/>
  </r>
  <r>
    <x v="1"/>
    <n v="0"/>
    <n v="0"/>
    <n v="17"/>
    <n v="17"/>
    <n v="17"/>
    <n v="4"/>
    <n v="12"/>
    <n v="12"/>
    <n v="9"/>
    <n v="9"/>
    <n v="0"/>
    <n v="0"/>
    <n v="7.3364215352454645E-2"/>
    <n v="7.1393114848004049E-2"/>
    <n v="6.9532041182600951E-2"/>
    <n v="1.5943350088465664E-2"/>
    <n v="4.6620137179753655E-2"/>
    <n v="4.5455991781556689E-2"/>
    <n v="3.3259521831550128E-2"/>
    <n v="3.4204262535197136E-2"/>
  </r>
  <r>
    <x v="2"/>
    <n v="0"/>
    <n v="0"/>
    <n v="11"/>
    <n v="11"/>
    <n v="11"/>
    <n v="138"/>
    <n v="138"/>
    <n v="138"/>
    <n v="18"/>
    <n v="51"/>
    <n v="0"/>
    <n v="0"/>
    <n v="4.7470962875117713E-2"/>
    <n v="4.6195544901649684E-2"/>
    <n v="4.4991320765212381E-2"/>
    <n v="0.55004557805206544"/>
    <n v="0.53613157756716701"/>
    <n v="0.52274390548790184"/>
    <n v="6.6519043663100255E-2"/>
    <n v="0.19382415436611711"/>
  </r>
  <r>
    <x v="3"/>
    <n v="0"/>
    <n v="0"/>
    <n v="141"/>
    <n v="141"/>
    <n v="141"/>
    <n v="141"/>
    <n v="141"/>
    <n v="141"/>
    <n v="138"/>
    <n v="177"/>
    <n v="0"/>
    <n v="0"/>
    <n v="0.60849143321741794"/>
    <n v="0.59214289373932782"/>
    <n v="0.57670692980863147"/>
    <n v="0.56200309061841469"/>
    <n v="0.54778661186210542"/>
    <n v="0.53410790343329106"/>
    <n v="0.50997933475043533"/>
    <n v="0.67268382985887709"/>
  </r>
  <r>
    <x v="4"/>
    <n v="0"/>
    <n v="0"/>
    <n v="213"/>
    <n v="213"/>
    <n v="232"/>
    <n v="298"/>
    <n v="298"/>
    <n v="196"/>
    <n v="274"/>
    <n v="242"/>
    <n v="0"/>
    <n v="0"/>
    <n v="0.91921046294546105"/>
    <n v="0.89451373309558024"/>
    <n v="0.94890785613902484"/>
    <n v="1.187779581590692"/>
    <n v="1.1577334066305489"/>
    <n v="0.74244786576542587"/>
    <n v="1.0125676646494151"/>
    <n v="0.91971461483530081"/>
  </r>
  <r>
    <x v="5"/>
    <n v="0"/>
    <n v="0"/>
    <n v="850"/>
    <n v="850"/>
    <n v="422"/>
    <n v="422"/>
    <n v="341"/>
    <n v="540"/>
    <n v="386"/>
    <n v="429"/>
    <n v="0"/>
    <n v="0"/>
    <n v="3.6682107676227318"/>
    <n v="3.5696557424002027"/>
    <n v="1.7260306693563296"/>
    <n v="1.6820234343331275"/>
    <n v="1.3247888981913327"/>
    <n v="2.0455196301700509"/>
    <n v="1.4264639363309277"/>
    <n v="1.6304031808443968"/>
  </r>
  <r>
    <x v="6"/>
    <n v="0"/>
    <n v="0"/>
    <n v="2372"/>
    <n v="2372"/>
    <n v="1127"/>
    <n v="1498"/>
    <n v="1498"/>
    <n v="1229"/>
    <n v="1429"/>
    <n v="1345"/>
    <n v="0"/>
    <n v="0"/>
    <n v="10.2364658127072"/>
    <n v="9.9614393187920953"/>
    <n v="4.6095653183994871"/>
    <n v="5.9707846081303915"/>
    <n v="5.8197471246059145"/>
    <n v="4.6554511582944302"/>
    <n v="5.2808729663650151"/>
    <n v="5.1116370122044614"/>
  </r>
  <r>
    <x v="7"/>
    <n v="0"/>
    <n v="0"/>
    <n v="5"/>
    <n v="5"/>
    <n v="5"/>
    <n v="2"/>
    <n v="2"/>
    <n v="2"/>
    <n v="4"/>
    <n v="10"/>
    <n v="0"/>
    <n v="0"/>
    <n v="2.1577710397780777E-2"/>
    <n v="2.0997974955295311E-2"/>
    <n v="2.0450600347823811E-2"/>
    <n v="7.9716750442328319E-3"/>
    <n v="7.770022863292275E-3"/>
    <n v="7.5759986302594475E-3"/>
    <n v="1.4782009702911169E-2"/>
    <n v="3.8004736150219036E-2"/>
  </r>
  <r>
    <x v="26"/>
    <n v="1038"/>
    <n v="1117"/>
    <n v="1471"/>
    <n v="1629"/>
    <n v="1629"/>
    <n v="1534"/>
    <n v="1534"/>
    <n v="2245"/>
    <n v="2836"/>
    <n v="2811"/>
    <m/>
    <m/>
    <m/>
    <m/>
    <m/>
    <m/>
    <m/>
    <m/>
    <m/>
    <m/>
  </r>
  <r>
    <x v="1"/>
    <n v="0"/>
    <n v="0"/>
    <n v="0"/>
    <n v="7"/>
    <n v="7"/>
    <n v="7"/>
    <n v="7"/>
    <n v="5"/>
    <n v="20"/>
    <n v="21"/>
    <n v="0"/>
    <n v="0"/>
    <n v="0"/>
    <n v="3.7237489001641644E-2"/>
    <n v="3.6364486442540214E-2"/>
    <n v="3.5524753902267343E-2"/>
    <n v="3.4725184886805822E-2"/>
    <n v="2.4263352486823785E-2"/>
    <n v="9.49863362155354E-2"/>
    <n v="9.9450088368507092E-2"/>
  </r>
  <r>
    <x v="2"/>
    <n v="0"/>
    <n v="0"/>
    <n v="0"/>
    <n v="158"/>
    <n v="158"/>
    <n v="53"/>
    <n v="53"/>
    <n v="285"/>
    <n v="1"/>
    <n v="1"/>
    <n v="0"/>
    <n v="0"/>
    <n v="0"/>
    <n v="0.84050332317991128"/>
    <n v="0.82079840827447903"/>
    <n v="0.26897313668859557"/>
    <n v="0.26291925700010121"/>
    <n v="1.383011091748956"/>
    <n v="4.7493168107767695E-3"/>
    <n v="4.7357184937384328E-3"/>
  </r>
  <r>
    <x v="3"/>
    <n v="0"/>
    <n v="0"/>
    <n v="0"/>
    <n v="16"/>
    <n v="16"/>
    <n v="16"/>
    <n v="16"/>
    <n v="1"/>
    <n v="197"/>
    <n v="171"/>
    <n v="0"/>
    <n v="0"/>
    <n v="0"/>
    <n v="8.51142605751809E-2"/>
    <n v="8.3118826154377629E-2"/>
    <n v="8.1199437490896781E-2"/>
    <n v="7.9371851169841884E-2"/>
    <n v="4.8526704973647569E-3"/>
    <n v="0.93561541172302354"/>
    <n v="0.80980786242927205"/>
  </r>
  <r>
    <x v="4"/>
    <n v="0"/>
    <n v="0"/>
    <n v="354"/>
    <n v="354"/>
    <n v="354"/>
    <n v="578"/>
    <n v="578"/>
    <n v="385"/>
    <n v="531"/>
    <n v="531"/>
    <n v="0"/>
    <n v="0"/>
    <n v="1.9296264156044638"/>
    <n v="1.8831530152258773"/>
    <n v="1.8390040286656053"/>
    <n v="2.9333296793586463"/>
    <n v="2.8673081235105373"/>
    <n v="1.8682781414854315"/>
    <n v="2.5218872265224643"/>
    <n v="2.5146665201751079"/>
  </r>
  <r>
    <x v="5"/>
    <n v="153"/>
    <n v="153"/>
    <n v="153"/>
    <n v="125"/>
    <n v="125"/>
    <n v="125"/>
    <n v="125"/>
    <n v="185"/>
    <n v="203"/>
    <n v="203"/>
    <n v="0.87764131315790839"/>
    <n v="0.8552651070283227"/>
    <n v="0.83399107793074279"/>
    <n v="0.66495516074360084"/>
    <n v="0.64936582933107523"/>
    <n v="0.63437060539763113"/>
    <n v="0.62009258726438965"/>
    <n v="0.89774404201248004"/>
    <n v="0.96411131258768434"/>
    <n v="0.96135085422890187"/>
  </r>
  <r>
    <x v="6"/>
    <n v="885"/>
    <n v="964"/>
    <n v="964"/>
    <n v="964"/>
    <n v="964"/>
    <n v="744"/>
    <n v="744"/>
    <n v="1371"/>
    <n v="1882"/>
    <n v="1882"/>
    <n v="5.0765526937565282"/>
    <n v="5.3887291710804126"/>
    <n v="5.254688883171478"/>
    <n v="5.1281341996546486"/>
    <n v="5.0079092758012518"/>
    <n v="3.7757738433267005"/>
    <n v="3.6907910793976466"/>
    <n v="6.6530112518870821"/>
    <n v="8.9382142378818799"/>
    <n v="8.9126222052157313"/>
  </r>
  <r>
    <x v="7"/>
    <n v="0"/>
    <n v="0"/>
    <n v="0"/>
    <n v="5"/>
    <n v="5"/>
    <n v="11"/>
    <n v="11"/>
    <n v="13"/>
    <n v="2"/>
    <n v="2"/>
    <n v="0"/>
    <n v="0"/>
    <n v="0"/>
    <n v="2.6598206429744031E-2"/>
    <n v="2.5974633173243007E-2"/>
    <n v="5.5824613274991532E-2"/>
    <n v="5.4568147679266286E-2"/>
    <n v="6.3084716465741847E-2"/>
    <n v="9.4986336215535389E-3"/>
    <n v="9.4714369874768656E-3"/>
  </r>
  <r>
    <x v="27"/>
    <n v="0"/>
    <n v="0"/>
    <n v="0"/>
    <n v="0"/>
    <n v="1141"/>
    <n v="1153"/>
    <n v="1153"/>
    <n v="1153"/>
    <n v="3130"/>
    <n v="3130"/>
    <m/>
    <m/>
    <m/>
    <m/>
    <m/>
    <m/>
    <m/>
    <m/>
    <m/>
    <m/>
  </r>
  <r>
    <x v="1"/>
    <n v="0"/>
    <n v="0"/>
    <n v="0"/>
    <n v="0"/>
    <n v="0"/>
    <n v="0"/>
    <n v="0"/>
    <n v="0"/>
    <n v="0"/>
    <n v="0"/>
    <n v="0"/>
    <n v="0"/>
    <n v="0"/>
    <n v="0"/>
    <n v="0"/>
    <n v="0"/>
    <n v="0"/>
    <n v="0"/>
    <n v="0"/>
    <n v="0"/>
  </r>
  <r>
    <x v="2"/>
    <n v="0"/>
    <n v="0"/>
    <n v="0"/>
    <n v="0"/>
    <n v="0"/>
    <n v="2"/>
    <n v="2"/>
    <n v="2"/>
    <n v="134"/>
    <n v="134"/>
    <n v="0"/>
    <n v="0"/>
    <n v="0"/>
    <n v="0"/>
    <n v="0"/>
    <n v="1.2878043001073385E-2"/>
    <n v="1.253094359884941E-2"/>
    <n v="1.223641238178096E-2"/>
    <n v="0.80004394271207735"/>
    <n v="0.86821922405822516"/>
  </r>
  <r>
    <x v="3"/>
    <n v="0"/>
    <n v="0"/>
    <n v="0"/>
    <n v="0"/>
    <n v="0"/>
    <n v="0"/>
    <n v="0"/>
    <n v="0"/>
    <n v="228"/>
    <n v="228"/>
    <n v="0"/>
    <n v="0"/>
    <n v="0"/>
    <n v="0"/>
    <n v="0"/>
    <n v="0"/>
    <n v="0"/>
    <n v="0"/>
    <n v="1.3612687980474152"/>
    <n v="1.4772685304871294"/>
  </r>
  <r>
    <x v="4"/>
    <n v="0"/>
    <n v="0"/>
    <n v="0"/>
    <n v="0"/>
    <n v="507"/>
    <n v="507"/>
    <n v="507"/>
    <n v="507"/>
    <n v="275"/>
    <n v="275"/>
    <n v="0"/>
    <n v="0"/>
    <n v="0"/>
    <n v="0"/>
    <n v="3.3752948389944417"/>
    <n v="3.2645839007721027"/>
    <n v="3.1765942023083253"/>
    <n v="3.1019305387814735"/>
    <n v="1.6418812257150839"/>
    <n v="1.7817931837015812"/>
  </r>
  <r>
    <x v="5"/>
    <n v="0"/>
    <n v="0"/>
    <n v="0"/>
    <n v="0"/>
    <n v="0"/>
    <n v="0"/>
    <n v="0"/>
    <n v="0"/>
    <n v="26"/>
    <n v="26"/>
    <n v="0"/>
    <n v="0"/>
    <n v="0"/>
    <n v="0"/>
    <n v="0"/>
    <n v="0"/>
    <n v="0"/>
    <n v="0"/>
    <n v="0.15523240679488068"/>
    <n v="0.16846044645905858"/>
  </r>
  <r>
    <x v="6"/>
    <n v="0"/>
    <n v="0"/>
    <n v="0"/>
    <n v="0"/>
    <n v="634"/>
    <n v="634"/>
    <n v="634"/>
    <n v="634"/>
    <n v="2453"/>
    <n v="2453"/>
    <n v="0"/>
    <n v="0"/>
    <n v="0"/>
    <n v="0"/>
    <n v="4.2207828953106032"/>
    <n v="4.0823396313402629"/>
    <n v="3.9723091208352628"/>
    <n v="3.8789427250245647"/>
    <n v="14.645580533378549"/>
    <n v="15.893595198618105"/>
  </r>
  <r>
    <x v="7"/>
    <n v="0"/>
    <n v="0"/>
    <n v="0"/>
    <n v="0"/>
    <n v="0"/>
    <n v="10"/>
    <n v="10"/>
    <n v="10"/>
    <n v="14"/>
    <n v="14"/>
    <n v="0"/>
    <n v="0"/>
    <n v="0"/>
    <n v="0"/>
    <n v="0"/>
    <n v="6.4390215005366916E-2"/>
    <n v="6.2654717994247044E-2"/>
    <n v="6.1182061908904808E-2"/>
    <n v="8.3586680581858822E-2"/>
    <n v="9.0709471170262332E-2"/>
  </r>
  <r>
    <x v="28"/>
    <n v="12594"/>
    <n v="55905"/>
    <n v="55905"/>
    <n v="63423"/>
    <n v="74587"/>
    <n v="71840"/>
    <n v="72299"/>
    <n v="39007"/>
    <n v="136469"/>
    <n v="155136"/>
    <m/>
    <m/>
    <m/>
    <m/>
    <m/>
    <m/>
    <m/>
    <m/>
    <m/>
    <m/>
  </r>
  <r>
    <x v="1"/>
    <n v="1090"/>
    <n v="1090"/>
    <n v="1090"/>
    <n v="1090"/>
    <n v="1090"/>
    <n v="841"/>
    <n v="1300"/>
    <n v="1300"/>
    <n v="1344"/>
    <n v="1344"/>
    <n v="0.23782581127020735"/>
    <n v="0.23265002810583091"/>
    <n v="0.22758273519788319"/>
    <n v="0.22268467541471496"/>
    <n v="0.21820378487877401"/>
    <n v="0.1650590905656267"/>
    <n v="0.25006838408503246"/>
    <n v="0.24525704013163585"/>
    <n v="0.24876226428965686"/>
    <n v="0.23390636331471074"/>
  </r>
  <r>
    <x v="2"/>
    <n v="0"/>
    <n v="0"/>
    <n v="0"/>
    <n v="0"/>
    <n v="0"/>
    <n v="0"/>
    <n v="0"/>
    <n v="0"/>
    <n v="10000"/>
    <n v="10000"/>
    <n v="0"/>
    <n v="0"/>
    <n v="0"/>
    <n v="0"/>
    <n v="0"/>
    <n v="0"/>
    <n v="0"/>
    <n v="0"/>
    <n v="1.8509097045361373"/>
    <n v="1.7403747270439789"/>
  </r>
  <r>
    <x v="3"/>
    <n v="0"/>
    <n v="0"/>
    <n v="0"/>
    <n v="0"/>
    <n v="0"/>
    <n v="0"/>
    <n v="0"/>
    <n v="0"/>
    <n v="1200"/>
    <n v="836"/>
    <n v="0"/>
    <n v="0"/>
    <n v="0"/>
    <n v="0"/>
    <n v="0"/>
    <n v="0"/>
    <n v="0"/>
    <n v="0"/>
    <n v="0.22210916454433649"/>
    <n v="0.14549532718087663"/>
  </r>
  <r>
    <x v="4"/>
    <n v="9149"/>
    <n v="9149"/>
    <n v="9149"/>
    <n v="9149"/>
    <n v="9149"/>
    <n v="8042"/>
    <n v="8042"/>
    <n v="3887"/>
    <n v="12792"/>
    <n v="15994"/>
    <n v="1.9962094929459884"/>
    <n v="1.9527661533396763"/>
    <n v="1.910233435160948"/>
    <n v="1.869121188412135"/>
    <n v="1.8315104842714709"/>
    <n v="1.5783652869545421"/>
    <n v="1.5469614960091009"/>
    <n v="0.73331854999359125"/>
    <n v="2.3676836940426269"/>
    <n v="2.7835553384341396"/>
  </r>
  <r>
    <x v="5"/>
    <n v="0"/>
    <n v="0"/>
    <n v="0"/>
    <n v="2092"/>
    <n v="2092"/>
    <n v="2092"/>
    <n v="2092"/>
    <n v="2092"/>
    <n v="137"/>
    <n v="277"/>
    <n v="0"/>
    <n v="0"/>
    <n v="0"/>
    <n v="0.42739113850237037"/>
    <n v="0.41879111740036251"/>
    <n v="0.41058694109784899"/>
    <n v="0.40241773808145226"/>
    <n v="0.39467517535029406"/>
    <n v="2.5357462952145082E-2"/>
    <n v="4.8208379939118216E-2"/>
  </r>
  <r>
    <x v="6"/>
    <n v="0"/>
    <n v="43311"/>
    <n v="43311"/>
    <n v="48737"/>
    <n v="59901"/>
    <n v="59901"/>
    <n v="59901"/>
    <n v="30830"/>
    <n v="109659"/>
    <n v="125499"/>
    <n v="0"/>
    <n v="9.2443168507262783"/>
    <n v="9.0429686643628617"/>
    <n v="9.9568651611807013"/>
    <n v="11.991399007360954"/>
    <n v="11.756485831119624"/>
    <n v="11.522574057751948"/>
    <n v="5.8163650363525639"/>
    <n v="20.296890728972826"/>
    <n v="21.841528786929231"/>
  </r>
  <r>
    <x v="7"/>
    <n v="2355"/>
    <n v="2355"/>
    <n v="2355"/>
    <n v="2355"/>
    <n v="2355"/>
    <n v="964"/>
    <n v="964"/>
    <n v="898"/>
    <n v="1337"/>
    <n v="1186"/>
    <n v="0.51383466563425539"/>
    <n v="0.50265212494424938"/>
    <n v="0.49170398292753664"/>
    <n v="0.48112147761619606"/>
    <n v="0.4714402875133144"/>
    <n v="0.18919971855560538"/>
    <n v="0.18543532481382408"/>
    <n v="0.16941601695246844"/>
    <n v="0.24746662749648157"/>
    <n v="0.20640844262741587"/>
  </r>
  <r>
    <x v="29"/>
    <n v="0"/>
    <n v="0"/>
    <n v="168"/>
    <n v="248"/>
    <n v="693"/>
    <n v="3983"/>
    <n v="4031"/>
    <n v="4308"/>
    <n v="6660"/>
    <n v="6660"/>
    <m/>
    <m/>
    <m/>
    <m/>
    <m/>
    <m/>
    <m/>
    <m/>
    <m/>
    <m/>
  </r>
  <r>
    <x v="1"/>
    <n v="0"/>
    <n v="0"/>
    <n v="0"/>
    <n v="0"/>
    <n v="0"/>
    <n v="3"/>
    <n v="6"/>
    <n v="6"/>
    <n v="8"/>
    <n v="8"/>
    <n v="0"/>
    <n v="0"/>
    <n v="0"/>
    <n v="0"/>
    <n v="0"/>
    <n v="6.0177052925116277E-3"/>
    <n v="1.1793417071836062E-2"/>
    <n v="1.1553089527201365E-2"/>
    <n v="1.5086708025619493E-2"/>
    <n v="1.4726803076134626E-2"/>
  </r>
  <r>
    <x v="2"/>
    <n v="0"/>
    <n v="0"/>
    <n v="0"/>
    <n v="0"/>
    <n v="0"/>
    <n v="0"/>
    <n v="0"/>
    <n v="0"/>
    <n v="115"/>
    <n v="115"/>
    <n v="0"/>
    <n v="0"/>
    <n v="0"/>
    <n v="0"/>
    <n v="0"/>
    <n v="0"/>
    <n v="0"/>
    <n v="0"/>
    <n v="0.2168714278682802"/>
    <n v="0.21169779421943524"/>
  </r>
  <r>
    <x v="3"/>
    <n v="0"/>
    <n v="0"/>
    <n v="0"/>
    <n v="0"/>
    <n v="0"/>
    <n v="0"/>
    <n v="0"/>
    <n v="0"/>
    <n v="0"/>
    <n v="0"/>
    <n v="0"/>
    <n v="0"/>
    <n v="0"/>
    <n v="0"/>
    <n v="0"/>
    <n v="0"/>
    <n v="0"/>
    <n v="0"/>
    <n v="0"/>
    <n v="0"/>
  </r>
  <r>
    <x v="4"/>
    <n v="0"/>
    <n v="0"/>
    <n v="168"/>
    <n v="248"/>
    <n v="693"/>
    <n v="732"/>
    <n v="777"/>
    <n v="887"/>
    <n v="954"/>
    <n v="954"/>
    <n v="0"/>
    <n v="0"/>
    <n v="0.35698371708020465"/>
    <n v="0.51702955678683649"/>
    <n v="1.4173544312573896"/>
    <n v="1.4683200913728371"/>
    <n v="1.5272475108027701"/>
    <n v="1.7079317351046017"/>
    <n v="1.7990899320551246"/>
    <n v="1.7561712668290541"/>
  </r>
  <r>
    <x v="5"/>
    <n v="0"/>
    <n v="0"/>
    <n v="0"/>
    <n v="0"/>
    <n v="0"/>
    <n v="892"/>
    <n v="892"/>
    <n v="872"/>
    <n v="989"/>
    <n v="989"/>
    <n v="0"/>
    <n v="0"/>
    <n v="0"/>
    <n v="0"/>
    <n v="0"/>
    <n v="1.7892643736401239"/>
    <n v="1.753288004679628"/>
    <n v="1.6790490112865983"/>
    <n v="1.8650942796672099"/>
    <n v="1.8206010302871434"/>
  </r>
  <r>
    <x v="6"/>
    <n v="0"/>
    <n v="0"/>
    <n v="0"/>
    <n v="0"/>
    <n v="0"/>
    <n v="2263"/>
    <n v="2263"/>
    <n v="2416"/>
    <n v="4424"/>
    <n v="4424"/>
    <n v="0"/>
    <n v="0"/>
    <n v="0"/>
    <n v="0"/>
    <n v="0"/>
    <n v="4.5393556923179377"/>
    <n v="4.4480838055941678"/>
    <n v="4.6520440496197493"/>
    <n v="8.3429495381675789"/>
    <n v="8.143922101102449"/>
  </r>
  <r>
    <x v="7"/>
    <n v="0"/>
    <n v="0"/>
    <n v="0"/>
    <n v="0"/>
    <n v="0"/>
    <n v="93"/>
    <n v="93"/>
    <n v="127"/>
    <n v="170"/>
    <n v="170"/>
    <n v="0"/>
    <n v="0"/>
    <n v="0"/>
    <n v="0"/>
    <n v="0"/>
    <n v="0.18654886406786048"/>
    <n v="0.18279796461345896"/>
    <n v="0.24454039499242886"/>
    <n v="0.32059254554441424"/>
    <n v="0.31294456536786081"/>
  </r>
  <r>
    <x v="30"/>
    <n v="0"/>
    <n v="0"/>
    <n v="0"/>
    <n v="0"/>
    <n v="0"/>
    <n v="8626"/>
    <n v="8626"/>
    <n v="8626"/>
    <n v="5581"/>
    <n v="5581"/>
    <m/>
    <m/>
    <m/>
    <m/>
    <m/>
    <m/>
    <m/>
    <m/>
    <m/>
    <m/>
  </r>
  <r>
    <x v="1"/>
    <n v="0"/>
    <n v="0"/>
    <n v="0"/>
    <n v="0"/>
    <n v="0"/>
    <n v="159"/>
    <n v="159"/>
    <n v="159"/>
    <n v="84"/>
    <n v="84"/>
    <n v="0"/>
    <n v="0"/>
    <n v="0"/>
    <n v="0"/>
    <n v="0"/>
    <n v="0.71438135024365346"/>
    <n v="0.70538130517723263"/>
    <n v="0.69692397918169724"/>
    <n v="0.36429477518892367"/>
    <n v="0.38314176245210729"/>
  </r>
  <r>
    <x v="2"/>
    <n v="0"/>
    <n v="0"/>
    <n v="0"/>
    <n v="0"/>
    <n v="0"/>
    <n v="205"/>
    <n v="205"/>
    <n v="205"/>
    <n v="416"/>
    <n v="416"/>
    <n v="0"/>
    <n v="0"/>
    <n v="0"/>
    <n v="0"/>
    <n v="0"/>
    <n v="0.92105771572294948"/>
    <n v="0.90945388403353888"/>
    <n v="0.89854978447954681"/>
    <n v="1.8041265056975269"/>
    <n v="1.8974639664294839"/>
  </r>
  <r>
    <x v="3"/>
    <n v="0"/>
    <n v="0"/>
    <n v="0"/>
    <n v="0"/>
    <n v="0"/>
    <n v="0"/>
    <n v="0"/>
    <n v="0"/>
    <n v="273"/>
    <n v="273"/>
    <n v="0"/>
    <n v="0"/>
    <n v="0"/>
    <n v="0"/>
    <n v="0"/>
    <n v="0"/>
    <n v="0"/>
    <n v="0"/>
    <n v="1.183958019364002"/>
    <n v="1.2452107279693487"/>
  </r>
  <r>
    <x v="4"/>
    <n v="0"/>
    <n v="0"/>
    <n v="0"/>
    <n v="0"/>
    <n v="0"/>
    <n v="998"/>
    <n v="998"/>
    <n v="998"/>
    <n v="537"/>
    <n v="537"/>
    <n v="0"/>
    <n v="0"/>
    <n v="0"/>
    <n v="0"/>
    <n v="0"/>
    <n v="4.4839785380073343"/>
    <n v="4.4274876890998627"/>
    <n v="4.3744033410272571"/>
    <n v="2.328884455672048"/>
    <n v="2.449370552818829"/>
  </r>
  <r>
    <x v="5"/>
    <n v="0"/>
    <n v="0"/>
    <n v="0"/>
    <n v="0"/>
    <n v="0"/>
    <n v="0"/>
    <n v="0"/>
    <n v="0"/>
    <n v="2779"/>
    <n v="2779"/>
    <n v="0"/>
    <n v="0"/>
    <n v="0"/>
    <n v="0"/>
    <n v="0"/>
    <n v="0"/>
    <n v="0"/>
    <n v="0"/>
    <n v="12.052085479166891"/>
    <n v="12.675606641123881"/>
  </r>
  <r>
    <x v="6"/>
    <n v="0"/>
    <n v="0"/>
    <n v="0"/>
    <n v="0"/>
    <n v="0"/>
    <n v="6866"/>
    <n v="6866"/>
    <n v="6866"/>
    <n v="1235"/>
    <n v="1235"/>
    <n v="0"/>
    <n v="0"/>
    <n v="0"/>
    <n v="0"/>
    <n v="0"/>
    <n v="30.848694030018393"/>
    <n v="30.460050574508674"/>
    <n v="30.094843025544236"/>
    <n v="5.3560005637895332"/>
    <n v="5.6330961503375301"/>
  </r>
  <r>
    <x v="7"/>
    <n v="0"/>
    <n v="0"/>
    <n v="0"/>
    <n v="0"/>
    <n v="0"/>
    <n v="398"/>
    <n v="398"/>
    <n v="398"/>
    <n v="257"/>
    <n v="257"/>
    <n v="0"/>
    <n v="0"/>
    <n v="0"/>
    <n v="0"/>
    <n v="0"/>
    <n v="1.7881998578426044"/>
    <n v="1.7656714431480414"/>
    <n v="1.7445015327944373"/>
    <n v="1.1145685383756356"/>
    <n v="1.1722313446451378"/>
  </r>
  <r>
    <x v="31"/>
    <n v="11130"/>
    <n v="11130"/>
    <n v="11130"/>
    <n v="11117"/>
    <n v="11117"/>
    <n v="12660"/>
    <n v="12660"/>
    <n v="12660"/>
    <n v="14677"/>
    <n v="14677"/>
    <m/>
    <m/>
    <m/>
    <m/>
    <m/>
    <m/>
    <m/>
    <m/>
    <m/>
    <m/>
  </r>
  <r>
    <x v="1"/>
    <n v="0"/>
    <n v="0"/>
    <n v="0"/>
    <n v="0"/>
    <n v="0"/>
    <n v="225"/>
    <n v="225"/>
    <n v="225"/>
    <n v="251"/>
    <n v="251"/>
    <n v="0"/>
    <n v="0"/>
    <n v="0"/>
    <n v="0"/>
    <n v="0"/>
    <n v="8.171971995632607E-2"/>
    <n v="7.9716063428052195E-2"/>
    <n v="7.7812525969930546E-2"/>
    <n v="8.4763752614927995E-2"/>
    <n v="8.3827080963033554E-2"/>
  </r>
  <r>
    <x v="2"/>
    <n v="0"/>
    <n v="0"/>
    <n v="0"/>
    <n v="0"/>
    <n v="0"/>
    <n v="306"/>
    <n v="306"/>
    <n v="306"/>
    <n v="306"/>
    <n v="306"/>
    <n v="0"/>
    <n v="0"/>
    <n v="0"/>
    <n v="0"/>
    <n v="0"/>
    <n v="0.11113881914060347"/>
    <n v="0.10841384626215099"/>
    <n v="0.10582503531910553"/>
    <n v="0.10333748326760146"/>
    <n v="0.1021955648393955"/>
  </r>
  <r>
    <x v="3"/>
    <n v="0"/>
    <n v="0"/>
    <n v="0"/>
    <n v="0"/>
    <n v="0"/>
    <n v="0"/>
    <n v="0"/>
    <n v="0"/>
    <n v="306"/>
    <n v="306"/>
    <n v="0"/>
    <n v="0"/>
    <n v="0"/>
    <n v="0"/>
    <n v="0"/>
    <n v="0"/>
    <n v="0"/>
    <n v="0"/>
    <n v="0.10333748326760146"/>
    <n v="0.1021955648393955"/>
  </r>
  <r>
    <x v="4"/>
    <n v="4275"/>
    <n v="4275"/>
    <n v="4275"/>
    <n v="4275"/>
    <n v="4275"/>
    <n v="4275"/>
    <n v="4275"/>
    <n v="4275"/>
    <n v="5230"/>
    <n v="5230"/>
    <n v="1.7653634939182299"/>
    <n v="1.7202587977455315"/>
    <n v="1.6763429889513117"/>
    <n v="1.6335784554425905"/>
    <n v="1.5923839126984738"/>
    <n v="1.5526746791701953"/>
    <n v="1.5146052051329917"/>
    <n v="1.4784379934286804"/>
    <n v="1.766192932972404"/>
    <n v="1.7466758304249621"/>
  </r>
  <r>
    <x v="5"/>
    <n v="3400"/>
    <n v="3400"/>
    <n v="3400"/>
    <n v="3400"/>
    <n v="3400"/>
    <n v="3994"/>
    <n v="3994"/>
    <n v="3994"/>
    <n v="3994"/>
    <n v="3994"/>
    <n v="1.4040317846367207"/>
    <n v="1.3681590438210074"/>
    <n v="1.3332318508618617"/>
    <n v="1.2992202920479083"/>
    <n v="1.2664573808596051"/>
    <n v="1.4506158289136282"/>
    <n v="1.4150486992517355"/>
    <n v="1.381258794328456"/>
    <n v="1.3487905495777786"/>
    <n v="1.3338859018579923"/>
  </r>
  <r>
    <x v="6"/>
    <n v="3438"/>
    <n v="3438"/>
    <n v="3438"/>
    <n v="3438"/>
    <n v="3438"/>
    <n v="3833"/>
    <n v="3833"/>
    <n v="3833"/>
    <n v="4560"/>
    <n v="4560"/>
    <n v="1.4197239045826606"/>
    <n v="1.383450233134301"/>
    <n v="1.3481326774303179"/>
    <n v="1.3137409894296201"/>
    <n v="1.2806119045280357"/>
    <n v="1.3921408293004349"/>
    <n v="1.3580074271987737"/>
    <n v="1.3255796090788612"/>
    <n v="1.5399311232034727"/>
    <n v="1.5229142995674625"/>
  </r>
  <r>
    <x v="7"/>
    <n v="17"/>
    <n v="17"/>
    <n v="17"/>
    <n v="4"/>
    <n v="4"/>
    <n v="27"/>
    <n v="27"/>
    <n v="27"/>
    <n v="30"/>
    <n v="30"/>
    <n v="7.0201589231836036E-3"/>
    <n v="6.8407952191050373E-3"/>
    <n v="6.6661592543093093E-3"/>
    <n v="1.5284944612328332E-3"/>
    <n v="1.4899498598348294E-3"/>
    <n v="9.8063663947591286E-3"/>
    <n v="9.5659276113662633E-3"/>
    <n v="9.3375031163916659E-3"/>
    <n v="1.0131125810549162E-2"/>
    <n v="1.0019173023470147E-2"/>
  </r>
  <r>
    <x v="32"/>
    <n v="1971"/>
    <n v="1971"/>
    <n v="1971"/>
    <n v="9970"/>
    <n v="9970"/>
    <n v="11075"/>
    <n v="11075"/>
    <n v="11075"/>
    <n v="17238"/>
    <n v="17334"/>
    <m/>
    <m/>
    <m/>
    <m/>
    <m/>
    <m/>
    <m/>
    <m/>
    <m/>
    <m/>
  </r>
  <r>
    <x v="1"/>
    <n v="0"/>
    <n v="0"/>
    <n v="0"/>
    <n v="107"/>
    <n v="107"/>
    <n v="30"/>
    <n v="30"/>
    <n v="30"/>
    <n v="30"/>
    <n v="30"/>
    <n v="0"/>
    <n v="0"/>
    <n v="0"/>
    <n v="5.5407815764352109E-2"/>
    <n v="5.367633211864295E-2"/>
    <n v="1.4586172774966859E-2"/>
    <n v="1.4134914936081915E-2"/>
    <n v="1.3695513938540833E-2"/>
    <n v="1.3278102329023409E-2"/>
    <n v="1.3571143803594426E-2"/>
  </r>
  <r>
    <x v="2"/>
    <n v="0"/>
    <n v="0"/>
    <n v="0"/>
    <n v="0"/>
    <n v="0"/>
    <n v="0"/>
    <n v="0"/>
    <n v="0"/>
    <n v="1496"/>
    <n v="1496"/>
    <n v="0"/>
    <n v="0"/>
    <n v="0"/>
    <n v="0"/>
    <n v="0"/>
    <n v="0"/>
    <n v="0"/>
    <n v="0"/>
    <n v="0.66213470280730058"/>
    <n v="0.67674770433924203"/>
  </r>
  <r>
    <x v="3"/>
    <n v="0"/>
    <n v="0"/>
    <n v="0"/>
    <n v="0"/>
    <n v="0"/>
    <n v="0"/>
    <n v="0"/>
    <n v="0"/>
    <n v="0"/>
    <n v="0"/>
    <n v="0"/>
    <n v="0"/>
    <n v="0"/>
    <n v="0"/>
    <n v="0"/>
    <n v="0"/>
    <n v="0"/>
    <n v="0"/>
    <n v="0"/>
    <n v="0"/>
  </r>
  <r>
    <x v="4"/>
    <n v="1971"/>
    <n v="1971"/>
    <n v="1971"/>
    <n v="2247"/>
    <n v="2247"/>
    <n v="2454"/>
    <n v="2454"/>
    <n v="2454"/>
    <n v="4402"/>
    <n v="4456"/>
    <n v="1.1229608517957175"/>
    <n v="1.0881743057588713"/>
    <n v="1.0540047206149528"/>
    <n v="1.1635641310513942"/>
    <n v="1.1272029744915022"/>
    <n v="1.1931489329922891"/>
    <n v="1.1562360417715005"/>
    <n v="1.1202930401726403"/>
    <n v="1.9483402150787015"/>
    <n v="2.0157672262938919"/>
  </r>
  <r>
    <x v="5"/>
    <n v="0"/>
    <n v="0"/>
    <n v="0"/>
    <n v="2657"/>
    <n v="2657"/>
    <n v="3235"/>
    <n v="3235"/>
    <n v="3235"/>
    <n v="3262"/>
    <n v="3262"/>
    <n v="0"/>
    <n v="0"/>
    <n v="0"/>
    <n v="1.3758744531390987"/>
    <n v="1.3328786396190124"/>
    <n v="1.5728756309005931"/>
    <n v="1.5242149939408332"/>
    <n v="1.4768329197059864"/>
    <n v="1.443772326575812"/>
    <n v="1.475635702910834"/>
  </r>
  <r>
    <x v="6"/>
    <n v="0"/>
    <n v="0"/>
    <n v="0"/>
    <n v="4765"/>
    <n v="4765"/>
    <n v="5174"/>
    <n v="5174"/>
    <n v="5174"/>
    <n v="6327"/>
    <n v="6369"/>
    <n v="0"/>
    <n v="0"/>
    <n v="0"/>
    <n v="2.4674602067022224"/>
    <n v="2.3903525471526512"/>
    <n v="2.5156285979226181"/>
    <n v="2.4378016626429275"/>
    <n v="2.362019637267009"/>
    <n v="2.8003517811910372"/>
    <n v="2.8811538295030967"/>
  </r>
  <r>
    <x v="7"/>
    <n v="0"/>
    <n v="0"/>
    <n v="0"/>
    <n v="194"/>
    <n v="194"/>
    <n v="182"/>
    <n v="182"/>
    <n v="182"/>
    <n v="1721"/>
    <n v="1721"/>
    <n v="0"/>
    <n v="0"/>
    <n v="0"/>
    <n v="0.10045903045125525"/>
    <n v="9.7319704962773215E-2"/>
    <n v="8.8489448168132284E-2"/>
    <n v="8.5751817278896941E-2"/>
    <n v="8.3086117893814385E-2"/>
    <n v="0.76172047027497625"/>
    <n v="0.77853128286620032"/>
  </r>
  <r>
    <x v="33"/>
    <n v="14237"/>
    <n v="14746"/>
    <n v="28017"/>
    <n v="28132"/>
    <n v="18592"/>
    <n v="19555"/>
    <n v="22452"/>
    <n v="25541"/>
    <n v="41291"/>
    <n v="39554"/>
    <m/>
    <m/>
    <m/>
    <m/>
    <m/>
    <m/>
    <m/>
    <m/>
    <m/>
    <m/>
  </r>
  <r>
    <x v="1"/>
    <n v="136"/>
    <n v="136"/>
    <n v="189"/>
    <n v="189"/>
    <n v="217"/>
    <n v="288"/>
    <n v="288"/>
    <n v="288"/>
    <n v="348"/>
    <n v="366"/>
    <n v="5.2229942012474967E-2"/>
    <n v="5.0664513524184072E-2"/>
    <n v="6.8239686519156059E-2"/>
    <n v="6.615460204489125E-2"/>
    <n v="7.3749626069004232E-2"/>
    <n v="9.5094714170218558E-2"/>
    <n v="9.2372118899980218E-2"/>
    <n v="8.9783755824097672E-2"/>
    <n v="0.10555204355732468"/>
    <n v="0.10753695363441408"/>
  </r>
  <r>
    <x v="2"/>
    <n v="0"/>
    <n v="0"/>
    <n v="0"/>
    <n v="0"/>
    <n v="0"/>
    <n v="0"/>
    <n v="2055"/>
    <n v="2055"/>
    <n v="2193"/>
    <n v="323"/>
    <n v="0"/>
    <n v="0"/>
    <n v="0"/>
    <n v="0"/>
    <n v="0"/>
    <n v="0"/>
    <n v="0.65911355673423366"/>
    <n v="0.64064450770319692"/>
    <n v="0.66515986069314093"/>
    <n v="9.4902830666436469E-2"/>
  </r>
  <r>
    <x v="3"/>
    <n v="1465"/>
    <n v="1465"/>
    <n v="1465"/>
    <n v="1465"/>
    <n v="1958"/>
    <n v="1958"/>
    <n v="1958"/>
    <n v="1958"/>
    <n v="2040"/>
    <n v="2151"/>
    <n v="0.56262400770791055"/>
    <n v="0.54576111994801224"/>
    <n v="0.52894783465906681"/>
    <n v="0.51278567193526814"/>
    <n v="0.66544593476087688"/>
    <n v="0.64651198036558299"/>
    <n v="0.62800211391028216"/>
    <n v="0.61040483994299732"/>
    <n v="0.61875335878431703"/>
    <n v="0.63199996521208934"/>
  </r>
  <r>
    <x v="4"/>
    <n v="1452"/>
    <n v="1452"/>
    <n v="1452"/>
    <n v="1452"/>
    <n v="2180"/>
    <n v="2570"/>
    <n v="2573"/>
    <n v="2611"/>
    <n v="5719"/>
    <n v="5719"/>
    <n v="0.55763143972142393"/>
    <n v="0.5409181885082005"/>
    <n v="0.52425409960748459"/>
    <n v="0.50823535539249787"/>
    <n v="0.7408948609697199"/>
    <n v="0.84858824797729737"/>
    <n v="0.8252550761446148"/>
    <n v="0.81397703630805207"/>
    <n v="1.7346325778860341"/>
    <n v="1.6803383547410222"/>
  </r>
  <r>
    <x v="5"/>
    <n v="4649"/>
    <n v="5158"/>
    <n v="5705"/>
    <n v="5820"/>
    <n v="6021"/>
    <n v="6175"/>
    <n v="6324"/>
    <n v="7278"/>
    <n v="13325"/>
    <n v="13325"/>
    <n v="1.7854191207058538"/>
    <n v="1.9215261820422167"/>
    <n v="2.0598275745597103"/>
    <n v="2.0371417137633179"/>
    <n v="2.0462972283938914"/>
    <n v="2.038923125003818"/>
    <n v="2.0283377775120655"/>
    <n v="2.2689103294714679"/>
    <n v="4.041612012647561"/>
    <n v="3.9151090360070158"/>
  </r>
  <r>
    <x v="6"/>
    <n v="6432"/>
    <n v="6432"/>
    <n v="19012"/>
    <n v="19012"/>
    <n v="7961"/>
    <n v="8179"/>
    <n v="8831"/>
    <n v="10928"/>
    <n v="17168"/>
    <n v="17168"/>
    <n v="2.4701690222370516"/>
    <n v="2.3961334631437645"/>
    <n v="6.8644069846676974"/>
    <n v="6.6546629316268389"/>
    <n v="2.7056256826513487"/>
    <n v="2.7006238444382551"/>
    <n v="2.8324242430754349"/>
    <n v="3.4067947348810392"/>
    <n v="5.207234148828018"/>
    <n v="5.0442470491683631"/>
  </r>
  <r>
    <x v="7"/>
    <n v="103"/>
    <n v="103"/>
    <n v="194"/>
    <n v="194"/>
    <n v="255"/>
    <n v="385"/>
    <n v="423"/>
    <n v="423"/>
    <n v="498"/>
    <n v="502"/>
    <n v="3.9556500200624421E-2"/>
    <n v="3.8370918330815872E-2"/>
    <n v="7.0044969231303031E-2"/>
    <n v="6.79047237921106E-2"/>
    <n v="8.6664307131779153E-2"/>
    <n v="0.12712314220671578"/>
    <n v="0.13567154963434594"/>
    <n v="0.13186989136664343"/>
    <n v="0.15104861405617154"/>
    <n v="0.1474960402308084"/>
  </r>
  <r>
    <x v="34"/>
    <n v="0"/>
    <n v="4468"/>
    <n v="4829"/>
    <n v="4829"/>
    <n v="5362"/>
    <n v="6329"/>
    <n v="6526"/>
    <n v="6850"/>
    <n v="9698"/>
    <n v="9698"/>
    <m/>
    <m/>
    <m/>
    <m/>
    <m/>
    <m/>
    <m/>
    <m/>
    <m/>
    <m/>
  </r>
  <r>
    <x v="1"/>
    <n v="0"/>
    <n v="0"/>
    <n v="0"/>
    <n v="0"/>
    <n v="0"/>
    <n v="112"/>
    <n v="118"/>
    <n v="118"/>
    <n v="149"/>
    <n v="149"/>
    <n v="0"/>
    <n v="0"/>
    <n v="0"/>
    <n v="0"/>
    <n v="0"/>
    <n v="0.25548325227442825"/>
    <n v="0.26230359462624403"/>
    <n v="0.25568941450157684"/>
    <n v="0.31460225301664496"/>
    <n v="0.2962089430052246"/>
  </r>
  <r>
    <x v="2"/>
    <n v="0"/>
    <n v="0"/>
    <n v="0"/>
    <n v="0"/>
    <n v="0"/>
    <n v="0"/>
    <n v="0"/>
    <n v="0"/>
    <n v="326"/>
    <n v="326"/>
    <n v="0"/>
    <n v="0"/>
    <n v="0"/>
    <n v="0"/>
    <n v="0"/>
    <n v="0"/>
    <n v="0"/>
    <n v="0"/>
    <n v="0.68832439250621658"/>
    <n v="0.64808131154163229"/>
  </r>
  <r>
    <x v="3"/>
    <n v="0"/>
    <n v="0"/>
    <n v="0"/>
    <n v="0"/>
    <n v="0"/>
    <n v="0"/>
    <n v="0"/>
    <n v="0"/>
    <n v="9"/>
    <n v="9"/>
    <n v="0"/>
    <n v="0"/>
    <n v="0"/>
    <n v="0"/>
    <n v="0"/>
    <n v="0"/>
    <n v="0"/>
    <n v="0"/>
    <n v="1.9002820652012115E-2"/>
    <n v="1.7891815349308868E-2"/>
  </r>
  <r>
    <x v="4"/>
    <n v="0"/>
    <n v="622"/>
    <n v="692"/>
    <n v="692"/>
    <n v="791"/>
    <n v="897"/>
    <n v="934"/>
    <n v="1035"/>
    <n v="1273"/>
    <n v="1273"/>
    <n v="0"/>
    <n v="1.5761919000968014"/>
    <n v="1.7078449809841827"/>
    <n v="1.663455540424734"/>
    <n v="1.8521501801104827"/>
    <n v="2.0461471186621618"/>
    <n v="2.0761996388212878"/>
    <n v="2.2426995255011186"/>
    <n v="2.6878434100012689"/>
    <n v="2.5306978821855766"/>
  </r>
  <r>
    <x v="5"/>
    <n v="0"/>
    <n v="0"/>
    <n v="0"/>
    <n v="0"/>
    <n v="0"/>
    <n v="671"/>
    <n v="1027"/>
    <n v="1252"/>
    <n v="1341"/>
    <n v="1341"/>
    <n v="0"/>
    <n v="0"/>
    <n v="0"/>
    <n v="0"/>
    <n v="0"/>
    <n v="1.5306184131798335"/>
    <n v="2.2829304379758701"/>
    <n v="2.7129080250506288"/>
    <n v="2.8314202771498049"/>
    <n v="2.6658804870470219"/>
  </r>
  <r>
    <x v="6"/>
    <n v="0"/>
    <n v="3846"/>
    <n v="4137"/>
    <n v="4137"/>
    <n v="4571"/>
    <n v="4571"/>
    <n v="4369"/>
    <n v="4369"/>
    <n v="6503"/>
    <n v="6503"/>
    <n v="0"/>
    <n v="9.746035446579258"/>
    <n v="10.210050124756595"/>
    <n v="9.9446756802559619"/>
    <n v="10.703133341700401"/>
    <n v="10.426910233450103"/>
    <n v="9.7119017366276292"/>
    <n v="9.4670089148931282"/>
    <n v="13.730593633337197"/>
    <n v="12.927830579617286"/>
  </r>
  <r>
    <x v="7"/>
    <n v="0"/>
    <n v="0"/>
    <n v="0"/>
    <n v="0"/>
    <n v="0"/>
    <n v="78"/>
    <n v="78"/>
    <n v="76"/>
    <n v="97"/>
    <n v="97"/>
    <n v="0"/>
    <n v="0"/>
    <n v="0"/>
    <n v="0"/>
    <n v="0"/>
    <n v="0.17792583640540538"/>
    <n v="0.17338712187158506"/>
    <n v="0.1646813178145749"/>
    <n v="0.20480817813835278"/>
    <n v="0.19283400987588448"/>
  </r>
  <r>
    <x v="35"/>
    <n v="7414"/>
    <n v="7688"/>
    <n v="7929"/>
    <n v="8120"/>
    <n v="8304"/>
    <n v="8595"/>
    <n v="9023"/>
    <n v="9183"/>
    <n v="8036"/>
    <n v="8036"/>
    <m/>
    <m/>
    <m/>
    <m/>
    <m/>
    <m/>
    <m/>
    <m/>
    <m/>
    <m/>
  </r>
  <r>
    <x v="1"/>
    <n v="366"/>
    <n v="380"/>
    <n v="385"/>
    <n v="401"/>
    <n v="401"/>
    <n v="401"/>
    <n v="412"/>
    <n v="412"/>
    <n v="414"/>
    <n v="414"/>
    <n v="2.832569597241108"/>
    <n v="2.9385540612750383"/>
    <n v="2.9754751292785979"/>
    <n v="3.0971445254301826"/>
    <n v="3.0956143404913306"/>
    <n v="3.0934698471548181"/>
    <n v="3.1745346841029782"/>
    <n v="3.1718780674639993"/>
    <n v="3.1859167090557756"/>
    <n v="3.2453864949590678"/>
  </r>
  <r>
    <x v="2"/>
    <n v="0"/>
    <n v="0"/>
    <n v="0"/>
    <n v="0"/>
    <n v="0"/>
    <n v="291"/>
    <n v="291"/>
    <n v="291"/>
    <n v="318"/>
    <n v="318"/>
    <n v="0"/>
    <n v="0"/>
    <n v="0"/>
    <n v="0"/>
    <n v="0"/>
    <n v="2.2448870960649674"/>
    <n v="2.2422077501795306"/>
    <n v="2.2403313534757854"/>
    <n v="2.4471534142022624"/>
    <n v="2.4928331048236321"/>
  </r>
  <r>
    <x v="3"/>
    <n v="0"/>
    <n v="0"/>
    <n v="0"/>
    <n v="0"/>
    <n v="0"/>
    <n v="0"/>
    <n v="0"/>
    <n v="0"/>
    <n v="264"/>
    <n v="264"/>
    <n v="0"/>
    <n v="0"/>
    <n v="0"/>
    <n v="0"/>
    <n v="0"/>
    <n v="0"/>
    <n v="0"/>
    <n v="0"/>
    <n v="2.0315990608471615"/>
    <n v="2.0695218228724492"/>
  </r>
  <r>
    <x v="4"/>
    <n v="2429"/>
    <n v="2550"/>
    <n v="2769"/>
    <n v="2927"/>
    <n v="2927"/>
    <n v="2927"/>
    <n v="3290"/>
    <n v="3450"/>
    <n v="1833"/>
    <n v="1833"/>
    <n v="18.798665441799596"/>
    <n v="19.719244358556178"/>
    <n v="21.400235410318018"/>
    <n v="22.606837969910586"/>
    <n v="22.595668764633725"/>
    <n v="22.580015567636288"/>
    <n v="25.350046385191259"/>
    <n v="26.560629448424262"/>
    <n v="14.105761661109268"/>
    <n v="14.369066292898482"/>
  </r>
  <r>
    <x v="5"/>
    <n v="0"/>
    <n v="0"/>
    <n v="0"/>
    <n v="0"/>
    <n v="0"/>
    <n v="0"/>
    <n v="0"/>
    <n v="0"/>
    <n v="567"/>
    <n v="567"/>
    <n v="0"/>
    <n v="0"/>
    <n v="0"/>
    <n v="0"/>
    <n v="0"/>
    <n v="0"/>
    <n v="0"/>
    <n v="0"/>
    <n v="4.3633207102285629"/>
    <n v="4.4447684604874196"/>
  </r>
  <r>
    <x v="6"/>
    <n v="4125"/>
    <n v="4261"/>
    <n v="4261"/>
    <n v="4261"/>
    <n v="4445"/>
    <n v="4445"/>
    <n v="4494"/>
    <n v="4494"/>
    <n v="4599"/>
    <n v="4599"/>
    <n v="31.924452427922326"/>
    <n v="32.950470671297211"/>
    <n v="32.931167599626249"/>
    <n v="32.910056914857876"/>
    <n v="34.314228786743051"/>
    <n v="34.290457532676221"/>
    <n v="34.627084636793164"/>
    <n v="34.598106881512642"/>
    <n v="35.391379094076122"/>
    <n v="36.052010846175733"/>
  </r>
  <r>
    <x v="7"/>
    <n v="494"/>
    <n v="497"/>
    <n v="514"/>
    <n v="531"/>
    <n v="531"/>
    <n v="531"/>
    <n v="536"/>
    <n v="536"/>
    <n v="41"/>
    <n v="41"/>
    <n v="3.8231950301560311"/>
    <n v="3.8433193906676166"/>
    <n v="3.9724525102576607"/>
    <n v="4.1012063416544313"/>
    <n v="4.0991800867852781"/>
    <n v="4.0963403711700952"/>
    <n v="4.1299771618427101"/>
    <n v="4.1265209809725807"/>
    <n v="0.3155134905103546"/>
    <n v="0.32140301037034252"/>
  </r>
  <r>
    <x v="36"/>
    <n v="3963"/>
    <n v="3963"/>
    <n v="3963"/>
    <n v="6247"/>
    <n v="6247"/>
    <n v="10502"/>
    <n v="10502"/>
    <n v="16415"/>
    <n v="12073"/>
    <n v="12073"/>
    <m/>
    <m/>
    <m/>
    <m/>
    <m/>
    <m/>
    <m/>
    <m/>
    <m/>
    <m/>
  </r>
  <r>
    <x v="1"/>
    <n v="0"/>
    <n v="0"/>
    <n v="0"/>
    <n v="0"/>
    <n v="0"/>
    <n v="112"/>
    <n v="112"/>
    <n v="149"/>
    <n v="101"/>
    <n v="101"/>
    <n v="0"/>
    <n v="0"/>
    <n v="0"/>
    <n v="0"/>
    <n v="0"/>
    <n v="5.936184846859946E-2"/>
    <n v="5.7800303152268556E-2"/>
    <n v="7.49129878105005E-2"/>
    <n v="4.9496903184596451E-2"/>
    <n v="4.872599141351544E-2"/>
  </r>
  <r>
    <x v="2"/>
    <n v="0"/>
    <n v="0"/>
    <n v="0"/>
    <n v="0"/>
    <n v="0"/>
    <n v="542"/>
    <n v="542"/>
    <n v="743"/>
    <n v="90"/>
    <n v="90"/>
    <n v="0"/>
    <n v="0"/>
    <n v="0"/>
    <n v="0"/>
    <n v="0"/>
    <n v="0.2872689452676867"/>
    <n v="0.27971218132615672"/>
    <n v="0.37355939559195889"/>
    <n v="4.4106151352610694E-2"/>
    <n v="4.3419200269469202E-2"/>
  </r>
  <r>
    <x v="3"/>
    <n v="0"/>
    <n v="0"/>
    <n v="0"/>
    <n v="397"/>
    <n v="397"/>
    <n v="397"/>
    <n v="397"/>
    <n v="282"/>
    <n v="209"/>
    <n v="209"/>
    <n v="0"/>
    <n v="0"/>
    <n v="0"/>
    <n v="0.22202130319570307"/>
    <n v="0.21613813633285883"/>
    <n v="0.21041655216101773"/>
    <n v="0.20488143170938047"/>
    <n v="0.14178162793665197"/>
    <n v="0.10242428480772928"/>
    <n v="0.10082903173687849"/>
  </r>
  <r>
    <x v="4"/>
    <n v="200"/>
    <n v="200"/>
    <n v="200"/>
    <n v="539"/>
    <n v="539"/>
    <n v="539"/>
    <n v="539"/>
    <n v="958"/>
    <n v="1115"/>
    <n v="1115"/>
    <n v="0.12137420358799138"/>
    <n v="0.11807112864546086"/>
    <n v="0.11490538920063997"/>
    <n v="0.30143446454026185"/>
    <n v="0.29344699114209294"/>
    <n v="0.28567889575513489"/>
    <n v="0.27816395892029239"/>
    <n v="0.4816553176003992"/>
    <n v="0.54642620842401024"/>
    <n v="0.53791564778286849"/>
  </r>
  <r>
    <x v="5"/>
    <n v="48"/>
    <n v="48"/>
    <n v="48"/>
    <n v="568"/>
    <n v="568"/>
    <n v="568"/>
    <n v="568"/>
    <n v="568"/>
    <n v="616"/>
    <n v="616"/>
    <n v="2.9129808861117934E-2"/>
    <n v="2.8337070874910605E-2"/>
    <n v="2.7577293408153594E-2"/>
    <n v="0.31765264537823512"/>
    <n v="0.30923541923693659"/>
    <n v="0.30104937437646873"/>
    <n v="0.29313010884364765"/>
    <n v="0.2855743427943912"/>
    <n v="0.30188210259120213"/>
    <n v="0.29718030406658924"/>
  </r>
  <r>
    <x v="6"/>
    <n v="3545"/>
    <n v="3545"/>
    <n v="3545"/>
    <n v="4573"/>
    <n v="4573"/>
    <n v="7957"/>
    <n v="7957"/>
    <n v="13564"/>
    <n v="9819"/>
    <n v="9819"/>
    <n v="2.1513577585971473"/>
    <n v="2.0928107552407935"/>
    <n v="2.0366980235813434"/>
    <n v="2.5574393438638539"/>
    <n v="2.489671781990336"/>
    <n v="4.2173413237914819"/>
    <n v="4.106401894487508"/>
    <n v="6.819595749406905"/>
    <n v="4.8119811125698266"/>
    <n v="4.7370347493990899"/>
  </r>
  <r>
    <x v="7"/>
    <n v="170"/>
    <n v="170"/>
    <n v="170"/>
    <n v="170"/>
    <n v="170"/>
    <n v="387"/>
    <n v="387"/>
    <n v="151"/>
    <n v="123"/>
    <n v="123"/>
    <n v="0.10316807304979268"/>
    <n v="0.10036045934864173"/>
    <n v="9.7669580820543972E-2"/>
    <n v="9.507209456742953E-2"/>
    <n v="9.2552854349083127E-2"/>
    <n v="0.20511638711917848"/>
    <n v="0.19972069035649936"/>
    <n v="7.5918531271044143E-2"/>
    <n v="6.0278406848567952E-2"/>
    <n v="5.9339573701607917E-2"/>
  </r>
  <r>
    <x v="37"/>
    <n v="4212"/>
    <n v="4433"/>
    <n v="4884"/>
    <n v="4921"/>
    <n v="6796"/>
    <n v="8020"/>
    <n v="9193"/>
    <n v="9573"/>
    <n v="19203"/>
    <n v="19203"/>
    <m/>
    <m/>
    <m/>
    <m/>
    <m/>
    <m/>
    <m/>
    <m/>
    <m/>
    <m/>
  </r>
  <r>
    <x v="1"/>
    <n v="0"/>
    <n v="68"/>
    <n v="68"/>
    <n v="68"/>
    <n v="68"/>
    <n v="87"/>
    <n v="138"/>
    <n v="161"/>
    <n v="224"/>
    <n v="224"/>
    <n v="0"/>
    <n v="0.29789232419095946"/>
    <n v="0.29268057530671204"/>
    <n v="0.28758309248249336"/>
    <n v="0.28266436101227094"/>
    <n v="0.35558912534884518"/>
    <n v="0.55441770472677254"/>
    <n v="0.63632565803384855"/>
    <n v="0.87260986703607157"/>
    <n v="0.83566592314783406"/>
  </r>
  <r>
    <x v="2"/>
    <n v="0"/>
    <n v="0"/>
    <n v="0"/>
    <n v="0"/>
    <n v="0"/>
    <n v="0"/>
    <n v="503"/>
    <n v="503"/>
    <n v="97"/>
    <n v="97"/>
    <n v="0"/>
    <n v="0"/>
    <n v="0"/>
    <n v="0"/>
    <n v="0"/>
    <n v="0"/>
    <n v="2.020812358533091"/>
    <n v="1.9880236396958126"/>
    <n v="0.37787123706472742"/>
    <n v="0.3618731899345532"/>
  </r>
  <r>
    <x v="3"/>
    <n v="0"/>
    <n v="0"/>
    <n v="0"/>
    <n v="0"/>
    <n v="0"/>
    <n v="140"/>
    <n v="140"/>
    <n v="99"/>
    <n v="1065"/>
    <n v="1065"/>
    <n v="0"/>
    <n v="0"/>
    <n v="0"/>
    <n v="0"/>
    <n v="0"/>
    <n v="0.57221238561883137"/>
    <n v="0.56245274392571121"/>
    <n v="0.39128099469162114"/>
    <n v="4.1487924481848939"/>
    <n v="3.9731437863948367"/>
  </r>
  <r>
    <x v="4"/>
    <n v="0"/>
    <n v="0"/>
    <n v="0"/>
    <n v="0"/>
    <n v="1421"/>
    <n v="1421"/>
    <n v="1421"/>
    <n v="1036"/>
    <n v="1597"/>
    <n v="1597"/>
    <n v="0"/>
    <n v="0"/>
    <n v="0"/>
    <n v="0"/>
    <n v="5.9068537793887801"/>
    <n v="5.807955714031138"/>
    <n v="5.7088953508459692"/>
    <n v="4.0946172777830254"/>
    <n v="6.2212408823955636"/>
    <n v="5.957850353870942"/>
  </r>
  <r>
    <x v="5"/>
    <n v="0"/>
    <n v="0"/>
    <n v="0"/>
    <n v="0"/>
    <n v="0"/>
    <n v="5"/>
    <n v="5"/>
    <n v="5"/>
    <n v="7"/>
    <n v="7"/>
    <n v="0"/>
    <n v="0"/>
    <n v="0"/>
    <n v="0"/>
    <n v="0"/>
    <n v="2.0436156629243977E-2"/>
    <n v="2.0087597997346829E-2"/>
    <n v="1.9761666398566725E-2"/>
    <n v="2.7269058344877237E-2"/>
    <n v="2.6114560098369814E-2"/>
  </r>
  <r>
    <x v="6"/>
    <n v="4212"/>
    <n v="4365"/>
    <n v="4816"/>
    <n v="4853"/>
    <n v="5307"/>
    <n v="5903"/>
    <n v="6440"/>
    <n v="7166"/>
    <n v="15558"/>
    <n v="15558"/>
    <n v="18.778413384568264"/>
    <n v="19.122058751375562"/>
    <n v="20.728671333487135"/>
    <n v="20.524128644375594"/>
    <n v="22.060290645472381"/>
    <n v="24.12692651648544"/>
    <n v="25.87282622058272"/>
    <n v="28.322420282425831"/>
    <n v="60.60742996137143"/>
    <n v="58.041475144348226"/>
  </r>
  <r>
    <x v="7"/>
    <n v="0"/>
    <n v="0"/>
    <n v="0"/>
    <n v="0"/>
    <n v="0"/>
    <n v="464"/>
    <n v="546"/>
    <n v="603"/>
    <n v="655"/>
    <n v="655"/>
    <n v="0"/>
    <n v="0"/>
    <n v="0"/>
    <n v="0"/>
    <n v="0"/>
    <n v="1.8964753351938413"/>
    <n v="2.1935657013102738"/>
    <n v="2.3832569676671471"/>
    <n v="2.5516047451277988"/>
    <n v="2.4435766949188902"/>
  </r>
  <r>
    <x v="38"/>
    <n v="5929"/>
    <n v="5929"/>
    <n v="6613"/>
    <n v="6363"/>
    <n v="6363"/>
    <n v="6353"/>
    <n v="6423"/>
    <n v="6423"/>
    <n v="7091"/>
    <n v="13159"/>
    <m/>
    <m/>
    <m/>
    <m/>
    <m/>
    <m/>
    <m/>
    <m/>
    <m/>
    <m/>
  </r>
  <r>
    <x v="1"/>
    <n v="30"/>
    <n v="30"/>
    <n v="30"/>
    <n v="30"/>
    <n v="30"/>
    <n v="30"/>
    <n v="30"/>
    <n v="30"/>
    <n v="28"/>
    <n v="28"/>
    <n v="1.5486257649824123E-2"/>
    <n v="1.4904518672480355E-2"/>
    <n v="1.4339149467613669E-2"/>
    <n v="1.3800767157044725E-2"/>
    <n v="1.328782518962391E-2"/>
    <n v="1.2796782445271469E-2"/>
    <n v="1.2328612255651529E-2"/>
    <n v="1.1879907441265143E-2"/>
    <n v="1.068377005977989E-2"/>
    <n v="1.0344994482053836E-2"/>
  </r>
  <r>
    <x v="2"/>
    <n v="0"/>
    <n v="0"/>
    <n v="0"/>
    <n v="0"/>
    <n v="0"/>
    <n v="432"/>
    <n v="432"/>
    <n v="432"/>
    <n v="432"/>
    <n v="432"/>
    <n v="0"/>
    <n v="0"/>
    <n v="0"/>
    <n v="0"/>
    <n v="0"/>
    <n v="0.18427366721190913"/>
    <n v="0.177532016481382"/>
    <n v="0.17107066715421806"/>
    <n v="0.16483530949374689"/>
    <n v="0.15960848629454488"/>
  </r>
  <r>
    <x v="3"/>
    <n v="0"/>
    <n v="0"/>
    <n v="0"/>
    <n v="0"/>
    <n v="0"/>
    <n v="0"/>
    <n v="0"/>
    <n v="0"/>
    <n v="480"/>
    <n v="649"/>
    <n v="0"/>
    <n v="0"/>
    <n v="0"/>
    <n v="0"/>
    <n v="0"/>
    <n v="0"/>
    <n v="0"/>
    <n v="0"/>
    <n v="0.18315034388194099"/>
    <n v="0.23978219353046215"/>
  </r>
  <r>
    <x v="4"/>
    <n v="0"/>
    <n v="0"/>
    <n v="634"/>
    <n v="681"/>
    <n v="681"/>
    <n v="818"/>
    <n v="888"/>
    <n v="888"/>
    <n v="706"/>
    <n v="994"/>
    <n v="0"/>
    <n v="0"/>
    <n v="0.30303402541556884"/>
    <n v="0.31327741446491525"/>
    <n v="0.30163363180446273"/>
    <n v="0.34892560134106865"/>
    <n v="0.36492692276728528"/>
    <n v="0.35164526026144827"/>
    <n v="0.26938363079302152"/>
    <n v="0.36724730411291118"/>
  </r>
  <r>
    <x v="5"/>
    <n v="959"/>
    <n v="959"/>
    <n v="959"/>
    <n v="856"/>
    <n v="856"/>
    <n v="906"/>
    <n v="906"/>
    <n v="906"/>
    <n v="831"/>
    <n v="1722"/>
    <n v="0.49504403620604448"/>
    <n v="0.47644778023028878"/>
    <n v="0.45837481131471697"/>
    <n v="0.39378188954767618"/>
    <n v="0.3791459454106022"/>
    <n v="0.38646282984719832"/>
    <n v="0.37232409012067613"/>
    <n v="0.35877320472620733"/>
    <n v="0.31707903284561034"/>
    <n v="0.63621716064631084"/>
  </r>
  <r>
    <x v="6"/>
    <n v="4940"/>
    <n v="4940"/>
    <n v="4940"/>
    <n v="4746"/>
    <n v="4746"/>
    <n v="4107"/>
    <n v="4107"/>
    <n v="4107"/>
    <n v="4565"/>
    <n v="9278"/>
    <n v="2.5500704263377054"/>
    <n v="2.4542774080684322"/>
    <n v="2.3611799456670508"/>
    <n v="2.1832813642444755"/>
    <n v="2.1021339449985024"/>
    <n v="1.751879516757664"/>
    <n v="1.6877870177986942"/>
    <n v="1.6263593287091982"/>
    <n v="1.741836082960543"/>
    <n v="3.4278878144462674"/>
  </r>
  <r>
    <x v="7"/>
    <n v="0"/>
    <n v="0"/>
    <n v="50"/>
    <n v="50"/>
    <n v="50"/>
    <n v="60"/>
    <n v="60"/>
    <n v="60"/>
    <n v="49"/>
    <n v="56"/>
    <n v="0"/>
    <n v="0"/>
    <n v="2.3898582446022779E-2"/>
    <n v="2.3001278595074542E-2"/>
    <n v="2.2146375316039846E-2"/>
    <n v="2.5593564890542937E-2"/>
    <n v="2.4657224511303057E-2"/>
    <n v="2.3759814882530286E-2"/>
    <n v="1.8696597604614808E-2"/>
    <n v="2.0689988964107672E-2"/>
  </r>
  <r>
    <x v="39"/>
    <n v="286920"/>
    <n v="290517"/>
    <n v="293514"/>
    <n v="465060"/>
    <n v="466466"/>
    <n v="486941"/>
    <n v="389716"/>
    <n v="393062"/>
    <n v="552519"/>
    <n v="552980"/>
    <m/>
    <m/>
    <m/>
    <m/>
    <m/>
    <m/>
    <m/>
    <m/>
    <m/>
    <m/>
  </r>
  <r>
    <x v="1"/>
    <n v="3930"/>
    <n v="3930"/>
    <n v="3772"/>
    <n v="4183"/>
    <n v="4358"/>
    <n v="4609"/>
    <n v="4722"/>
    <n v="4892"/>
    <n v="5048"/>
    <n v="5048"/>
    <n v="0.21908917150041674"/>
    <n v="0.21359184940024578"/>
    <n v="0.19992904850930129"/>
    <n v="0.21618028333798295"/>
    <n v="0.2196709620337555"/>
    <n v="0.22670428747831112"/>
    <n v="0.22666244990667456"/>
    <n v="0.22923944103195651"/>
    <n v="0.23098618122425349"/>
    <n v="0.22720071436801473"/>
  </r>
  <r>
    <x v="2"/>
    <n v="21973"/>
    <n v="24126"/>
    <n v="25896"/>
    <n v="27499"/>
    <n v="27499"/>
    <n v="27499"/>
    <n v="31378"/>
    <n v="34554"/>
    <n v="36833"/>
    <n v="36833"/>
    <n v="1.2249481845747219"/>
    <n v="1.3112256892189131"/>
    <n v="1.372577582236709"/>
    <n v="1.421167012075351"/>
    <n v="1.3861247785604045"/>
    <n v="1.3526016926374653"/>
    <n v="1.5061868600532897"/>
    <n v="1.6192027075670943"/>
    <n v="1.6854029344360002"/>
    <n v="1.6577820745477589"/>
  </r>
  <r>
    <x v="3"/>
    <n v="0"/>
    <n v="0"/>
    <n v="0"/>
    <n v="0"/>
    <n v="0"/>
    <n v="29246"/>
    <n v="29803"/>
    <n v="29803"/>
    <n v="38712"/>
    <n v="38712"/>
    <n v="0"/>
    <n v="0"/>
    <n v="0"/>
    <n v="0"/>
    <n v="0"/>
    <n v="1.438531913992338"/>
    <n v="1.4305847087184713"/>
    <n v="1.3965705357881029"/>
    <n v="1.7713821409574686"/>
    <n v="1.7423522295195299"/>
  </r>
  <r>
    <x v="4"/>
    <n v="65759"/>
    <n v="65759"/>
    <n v="65759"/>
    <n v="83565"/>
    <n v="83565"/>
    <n v="74543"/>
    <n v="74543"/>
    <n v="74543"/>
    <n v="86181"/>
    <n v="86642"/>
    <n v="3.6659248927979404"/>
    <n v="3.5739405660841634"/>
    <n v="3.4854544806264962"/>
    <n v="4.3186960021846872"/>
    <n v="4.2122083392268879"/>
    <n v="3.6665692561283891"/>
    <n v="3.578165820286582"/>
    <n v="3.4930898717999042"/>
    <n v="3.9434667361504339"/>
    <n v="3.8995888063140915"/>
  </r>
  <r>
    <x v="5"/>
    <n v="101275"/>
    <n v="101275"/>
    <n v="101275"/>
    <n v="141275"/>
    <n v="141275"/>
    <n v="141275"/>
    <n v="120870"/>
    <n v="120870"/>
    <n v="146787"/>
    <n v="146787"/>
    <n v="5.6458666268968711"/>
    <n v="5.5042021750661299"/>
    <n v="5.3679253414049546"/>
    <n v="7.3011880297809091"/>
    <n v="7.1211599727670514"/>
    <n v="6.9489364750484706"/>
    <n v="5.8019250995806342"/>
    <n v="5.6639761319567823"/>
    <n v="6.7166736496363901"/>
    <n v="6.6065989025233316"/>
  </r>
  <r>
    <x v="6"/>
    <n v="74920"/>
    <n v="74920"/>
    <n v="74920"/>
    <n v="185101"/>
    <n v="185101"/>
    <n v="185101"/>
    <n v="103732"/>
    <n v="103732"/>
    <n v="220681"/>
    <n v="220681"/>
    <n v="4.1766312287051459"/>
    <n v="4.0718324063782223"/>
    <n v="3.9710191713459313"/>
    <n v="9.5661454999148887"/>
    <n v="9.3302695602134413"/>
    <n v="9.1046192919337958"/>
    <n v="4.9792776903259561"/>
    <n v="4.860888327294953"/>
    <n v="10.097912333349738"/>
    <n v="9.9324248905403838"/>
  </r>
  <r>
    <x v="7"/>
    <n v="19063"/>
    <n v="20507"/>
    <n v="21892"/>
    <n v="23437"/>
    <n v="24668"/>
    <n v="24668"/>
    <n v="24668"/>
    <n v="24668"/>
    <n v="18277"/>
    <n v="18277"/>
    <n v="1.0627218514789936"/>
    <n v="1.1145364009289669"/>
    <n v="1.160351731167981"/>
    <n v="1.2112400909854906"/>
    <n v="1.2434243440680772"/>
    <n v="1.2133524329605074"/>
    <n v="1.1840976946839998"/>
    <n v="1.1559440988095468"/>
    <n v="0.83631823182164833"/>
    <n v="0.82261241214425618"/>
  </r>
  <r>
    <x v="40"/>
    <n v="1796"/>
    <n v="11597"/>
    <n v="15421"/>
    <n v="15785"/>
    <n v="16995"/>
    <n v="21558"/>
    <n v="21552"/>
    <n v="18524"/>
    <n v="18546"/>
    <n v="18546"/>
    <m/>
    <m/>
    <m/>
    <m/>
    <m/>
    <m/>
    <m/>
    <m/>
    <m/>
    <m/>
  </r>
  <r>
    <x v="1"/>
    <n v="0"/>
    <n v="0"/>
    <n v="127"/>
    <n v="127"/>
    <n v="127"/>
    <n v="228"/>
    <n v="242"/>
    <n v="242"/>
    <n v="274"/>
    <n v="274"/>
    <n v="0"/>
    <n v="0"/>
    <n v="0.10644629545518741"/>
    <n v="0.10384013067830744"/>
    <n v="0.10134212078576371"/>
    <n v="0.17763888010217041"/>
    <n v="0.18408134508999524"/>
    <n v="0.17976676079907958"/>
    <n v="0.19888655467369612"/>
    <n v="0.19677549596401966"/>
  </r>
  <r>
    <x v="2"/>
    <n v="0"/>
    <n v="0"/>
    <n v="0"/>
    <n v="0"/>
    <n v="0"/>
    <n v="1990"/>
    <n v="1990"/>
    <n v="1990"/>
    <n v="0"/>
    <n v="0"/>
    <n v="0"/>
    <n v="0"/>
    <n v="0"/>
    <n v="0"/>
    <n v="0"/>
    <n v="1.5504446114180661"/>
    <n v="1.5137267633433493"/>
    <n v="1.4782473305378858"/>
    <n v="0"/>
    <n v="0"/>
  </r>
  <r>
    <x v="3"/>
    <n v="0"/>
    <n v="0"/>
    <n v="1545"/>
    <n v="1545"/>
    <n v="1990"/>
    <n v="1990"/>
    <n v="1879"/>
    <n v="1879"/>
    <n v="1875"/>
    <n v="1875"/>
    <n v="0"/>
    <n v="0"/>
    <n v="1.2949569014036579"/>
    <n v="1.2632519834487008"/>
    <n v="1.5879592154619668"/>
    <n v="1.5504446114180661"/>
    <n v="1.4292927579508308"/>
    <n v="1.3957923286837628"/>
    <n v="1.3609937591721906"/>
    <n v="1.3465476457391858"/>
  </r>
  <r>
    <x v="4"/>
    <n v="1104"/>
    <n v="1104"/>
    <n v="1284"/>
    <n v="1648"/>
    <n v="1648"/>
    <n v="1648"/>
    <n v="1648"/>
    <n v="1518"/>
    <n v="1223"/>
    <n v="1223"/>
    <n v="0.97110855295941367"/>
    <n v="0.94821256349008864"/>
    <n v="1.0761971918461466"/>
    <n v="1.3474687823452809"/>
    <n v="1.3150536618499102"/>
    <n v="1.2839862912648106"/>
    <n v="1.2535787467285626"/>
    <n v="1.1276278631942265"/>
    <n v="0.88773086264938095"/>
    <n v="0.87830814439414617"/>
  </r>
  <r>
    <x v="5"/>
    <n v="692"/>
    <n v="868"/>
    <n v="1070"/>
    <n v="1070"/>
    <n v="1070"/>
    <n v="1471"/>
    <n v="1562"/>
    <n v="1562"/>
    <n v="1592"/>
    <n v="1592"/>
    <n v="0.60870210022456006"/>
    <n v="0.74551495028025094"/>
    <n v="0.89683099320512227"/>
    <n v="0.87487354193534617"/>
    <n v="0.85382731685643443"/>
    <n v="1.146082423817073"/>
    <n v="1.1881614092172419"/>
    <n v="1.1603127287940591"/>
    <n v="1.1555744344544681"/>
    <n v="1.1433087210756179"/>
  </r>
  <r>
    <x v="6"/>
    <n v="0"/>
    <n v="9625"/>
    <n v="11281"/>
    <n v="11281"/>
    <n v="11281"/>
    <n v="13345"/>
    <n v="13345"/>
    <n v="10447"/>
    <n v="13501"/>
    <n v="13501"/>
    <n v="0"/>
    <n v="8.2667988438334277"/>
    <n v="9.4552807797635356"/>
    <n v="9.2237835762361122"/>
    <n v="9.0018934219228388"/>
    <n v="10.397328311243262"/>
    <n v="10.151097314983414"/>
    <n v="7.7604270663966304"/>
    <n v="9.7998809293779985"/>
    <n v="9.6958612080665318"/>
  </r>
  <r>
    <x v="7"/>
    <n v="0"/>
    <n v="0"/>
    <n v="114"/>
    <n v="114"/>
    <n v="879"/>
    <n v="886"/>
    <n v="886"/>
    <n v="886"/>
    <n v="81"/>
    <n v="81"/>
    <n v="0"/>
    <n v="0"/>
    <n v="9.5550217967648537E-2"/>
    <n v="9.321082596320511E-2"/>
    <n v="0.70141515095028595"/>
    <n v="0.69029845513387267"/>
    <n v="0.67395070970965198"/>
    <n v="0.65815433912390287"/>
    <n v="5.8794930396238634E-2"/>
    <n v="5.8170858295932819E-2"/>
  </r>
  <r>
    <x v="41"/>
    <n v="600"/>
    <n v="600"/>
    <n v="3541"/>
    <n v="6304"/>
    <n v="6341"/>
    <n v="7019"/>
    <n v="11401"/>
    <n v="11792"/>
    <n v="10555"/>
    <n v="10465"/>
    <m/>
    <m/>
    <m/>
    <m/>
    <m/>
    <m/>
    <m/>
    <m/>
    <m/>
    <m/>
  </r>
  <r>
    <x v="1"/>
    <n v="54"/>
    <n v="54"/>
    <n v="54"/>
    <n v="121"/>
    <n v="121"/>
    <n v="121"/>
    <n v="219"/>
    <n v="219"/>
    <n v="223"/>
    <n v="197"/>
    <n v="3.8653406925602506E-2"/>
    <n v="3.7614460280209615E-2"/>
    <n v="3.6606804147361095E-2"/>
    <n v="7.9826924671685395E-2"/>
    <n v="7.7689057444894224E-2"/>
    <n v="7.5621308734867373E-2"/>
    <n v="0.13324312550650641"/>
    <n v="0.12976455140572338"/>
    <n v="0.12877928956450596"/>
    <n v="0.10874049472840433"/>
  </r>
  <r>
    <x v="2"/>
    <n v="0"/>
    <n v="0"/>
    <n v="0"/>
    <n v="0"/>
    <n v="37"/>
    <n v="715"/>
    <n v="715"/>
    <n v="715"/>
    <n v="0"/>
    <n v="0"/>
    <n v="0"/>
    <n v="0"/>
    <n v="0"/>
    <n v="0"/>
    <n v="2.3756158061661866E-2"/>
    <n v="0.44685318797876178"/>
    <n v="0.43501751021530627"/>
    <n v="0.42366052171274987"/>
    <n v="0"/>
    <n v="0"/>
  </r>
  <r>
    <x v="3"/>
    <n v="546"/>
    <n v="546"/>
    <n v="546"/>
    <n v="37"/>
    <n v="37"/>
    <n v="37"/>
    <n v="37"/>
    <n v="323"/>
    <n v="252"/>
    <n v="260"/>
    <n v="0.39082889224775863"/>
    <n v="0.38032398727767502"/>
    <n v="0.37013546415665111"/>
    <n v="2.4409886056631067E-2"/>
    <n v="2.3756158061661866E-2"/>
    <n v="2.3123871266033828E-2"/>
    <n v="2.2511395633519345E-2"/>
    <n v="0.19138790001848699"/>
    <n v="0.14552637206392605"/>
    <n v="0.14351537375322398"/>
  </r>
  <r>
    <x v="4"/>
    <n v="0"/>
    <n v="0"/>
    <n v="0"/>
    <n v="1154"/>
    <n v="1154"/>
    <n v="1154"/>
    <n v="1435"/>
    <n v="1435"/>
    <n v="2188"/>
    <n v="1973"/>
    <n v="0"/>
    <n v="0"/>
    <n v="0"/>
    <n v="0.76132455430681756"/>
    <n v="0.74093530819345399"/>
    <n v="0.72121479570278479"/>
    <n v="0.87307710092162871"/>
    <n v="0.85028370441649792"/>
    <n v="1.263538500301072"/>
    <n v="1.089060893904273"/>
  </r>
  <r>
    <x v="5"/>
    <n v="0"/>
    <n v="0"/>
    <n v="1116"/>
    <n v="2002"/>
    <n v="2002"/>
    <n v="2002"/>
    <n v="2656"/>
    <n v="2656"/>
    <n v="2803"/>
    <n v="2890"/>
    <n v="0"/>
    <n v="0"/>
    <n v="0.75654061904546277"/>
    <n v="1.3207727536587945"/>
    <n v="1.2854007686337043"/>
    <n v="1.2511889263405331"/>
    <n v="1.6159531568277672"/>
    <n v="1.5737655184182711"/>
    <n v="1.618692146409463"/>
    <n v="1.5952285774877588"/>
  </r>
  <r>
    <x v="6"/>
    <n v="0"/>
    <n v="0"/>
    <n v="1682"/>
    <n v="2820"/>
    <n v="2820"/>
    <n v="2820"/>
    <n v="6151"/>
    <n v="6151"/>
    <n v="4737"/>
    <n v="4780"/>
    <n v="0"/>
    <n v="0"/>
    <n v="1.1402341588122475"/>
    <n v="1.860429153505395"/>
    <n v="1.8106044792942289"/>
    <n v="1.7624139721679835"/>
    <n v="3.7423674200480406"/>
    <n v="3.6446655511260482"/>
    <n v="2.7355493034397527"/>
    <n v="2.6384749482323491"/>
  </r>
  <r>
    <x v="7"/>
    <n v="0"/>
    <n v="0"/>
    <n v="143"/>
    <n v="170"/>
    <n v="170"/>
    <n v="170"/>
    <n v="188"/>
    <n v="293"/>
    <n v="352"/>
    <n v="365"/>
    <n v="0"/>
    <n v="0"/>
    <n v="9.6940240612456235E-2"/>
    <n v="0.11215353053046706"/>
    <n v="0.10914991541844642"/>
    <n v="0.10624481392502028"/>
    <n v="0.11438222646220642"/>
    <n v="0.1736119340724975"/>
    <n v="0.20327493240675384"/>
    <n v="0.20147350546125675"/>
  </r>
  <r>
    <x v="42"/>
    <n v="8295"/>
    <n v="8295"/>
    <n v="8295"/>
    <n v="6556"/>
    <n v="6428"/>
    <n v="7341"/>
    <n v="9780"/>
    <n v="9593"/>
    <n v="11135"/>
    <n v="11135"/>
    <m/>
    <m/>
    <m/>
    <m/>
    <m/>
    <m/>
    <m/>
    <m/>
    <m/>
    <m/>
  </r>
  <r>
    <x v="1"/>
    <n v="0"/>
    <n v="0"/>
    <n v="0"/>
    <n v="53"/>
    <n v="53"/>
    <n v="15"/>
    <n v="15"/>
    <n v="15"/>
    <n v="15"/>
    <n v="15"/>
    <n v="0"/>
    <n v="0"/>
    <n v="0"/>
    <n v="6.9032303861966654E-2"/>
    <n v="6.7419037686097208E-2"/>
    <n v="1.8640885576279249E-2"/>
    <n v="1.8217214782176763E-2"/>
    <n v="1.7813370739828475E-2"/>
    <n v="1.7430271361436663E-2"/>
    <n v="1.7704939394812123E-2"/>
  </r>
  <r>
    <x v="2"/>
    <n v="0"/>
    <n v="0"/>
    <n v="0"/>
    <n v="0"/>
    <n v="0"/>
    <n v="311"/>
    <n v="311"/>
    <n v="114"/>
    <n v="0"/>
    <n v="0"/>
    <n v="0"/>
    <n v="0"/>
    <n v="0"/>
    <n v="0"/>
    <n v="0"/>
    <n v="0.38648769428152308"/>
    <n v="0.3777035864837982"/>
    <n v="0.13538161762269643"/>
    <n v="0"/>
    <n v="0"/>
  </r>
  <r>
    <x v="3"/>
    <n v="0"/>
    <n v="0"/>
    <n v="0"/>
    <n v="0"/>
    <n v="0"/>
    <n v="0"/>
    <n v="342"/>
    <n v="342"/>
    <n v="298"/>
    <n v="298"/>
    <n v="0"/>
    <n v="0"/>
    <n v="0"/>
    <n v="0"/>
    <n v="0"/>
    <n v="0"/>
    <n v="0.41535249703363025"/>
    <n v="0.40614485286808927"/>
    <n v="0.3462813910472084"/>
    <n v="0.35173812931026754"/>
  </r>
  <r>
    <x v="4"/>
    <n v="0"/>
    <n v="0"/>
    <n v="0"/>
    <n v="0"/>
    <n v="0"/>
    <n v="566"/>
    <n v="566"/>
    <n v="576"/>
    <n v="1106"/>
    <n v="1106"/>
    <n v="0"/>
    <n v="0"/>
    <n v="0"/>
    <n v="0"/>
    <n v="0"/>
    <n v="0.70338274907827025"/>
    <n v="0.68739623778080317"/>
    <n v="0.6840334364094135"/>
    <n v="1.2851920083832633"/>
    <n v="1.3054441980441471"/>
  </r>
  <r>
    <x v="5"/>
    <n v="2187"/>
    <n v="2187"/>
    <n v="2187"/>
    <n v="313"/>
    <n v="313"/>
    <n v="313"/>
    <n v="2373"/>
    <n v="2373"/>
    <n v="2271"/>
    <n v="2271"/>
    <n v="3.0627300898736931"/>
    <n v="2.9898398760973168"/>
    <n v="2.9183685479134867"/>
    <n v="0.40768134167538794"/>
    <n v="0.39815393954242317"/>
    <n v="0.38897314569169367"/>
    <n v="2.8819633785403638"/>
    <n v="2.8180752510408649"/>
    <n v="2.6389430841215109"/>
    <n v="2.6805278243745554"/>
  </r>
  <r>
    <x v="6"/>
    <n v="6108"/>
    <n v="6108"/>
    <n v="6108"/>
    <n v="6108"/>
    <n v="5980"/>
    <n v="5980"/>
    <n v="5980"/>
    <n v="5980"/>
    <n v="7356"/>
    <n v="7356"/>
    <n v="8.5537976172604093"/>
    <n v="8.3502249488808467"/>
    <n v="8.1506150391657872"/>
    <n v="7.9556473960168361"/>
    <n v="7.6069027426954969"/>
    <n v="7.431499716409995"/>
    <n v="7.2625962931611356"/>
    <n v="7.1015971349449529"/>
    <n v="8.5478050756485402"/>
    <n v="8.6825022792158641"/>
  </r>
  <r>
    <x v="7"/>
    <n v="0"/>
    <n v="0"/>
    <n v="0"/>
    <n v="82"/>
    <n v="82"/>
    <n v="156"/>
    <n v="193"/>
    <n v="193"/>
    <n v="89"/>
    <n v="89"/>
    <n v="0"/>
    <n v="0"/>
    <n v="0"/>
    <n v="0.10680469654115596"/>
    <n v="0.10430869981622588"/>
    <n v="0.1938652099933042"/>
    <n v="0.234394830197341"/>
    <n v="0.22919870351912641"/>
    <n v="0.10341961007785755"/>
    <n v="0.10504930707588526"/>
  </r>
  <r>
    <x v="43"/>
    <n v="0"/>
    <n v="0"/>
    <n v="0"/>
    <n v="0"/>
    <n v="0"/>
    <n v="4801"/>
    <n v="7544"/>
    <n v="8808"/>
    <n v="9173"/>
    <n v="9173"/>
    <m/>
    <m/>
    <m/>
    <m/>
    <m/>
    <m/>
    <m/>
    <m/>
    <m/>
    <m/>
  </r>
  <r>
    <x v="1"/>
    <n v="0"/>
    <n v="0"/>
    <n v="0"/>
    <n v="0"/>
    <n v="0"/>
    <n v="32"/>
    <n v="32"/>
    <n v="28"/>
    <n v="32"/>
    <n v="32"/>
    <n v="0"/>
    <n v="0"/>
    <n v="0"/>
    <n v="0"/>
    <n v="0"/>
    <n v="3.0628850501154995E-2"/>
    <n v="3.0170955232242339E-2"/>
    <n v="2.6050699126333982E-2"/>
    <n v="2.9322385332063185E-2"/>
    <n v="2.691105718994909E-2"/>
  </r>
  <r>
    <x v="2"/>
    <n v="0"/>
    <n v="0"/>
    <n v="0"/>
    <n v="0"/>
    <n v="0"/>
    <n v="272"/>
    <n v="635"/>
    <n v="635"/>
    <n v="635"/>
    <n v="635"/>
    <n v="0"/>
    <n v="0"/>
    <n v="0"/>
    <n v="0"/>
    <n v="0"/>
    <n v="0.26034522925981746"/>
    <n v="0.59870489288980899"/>
    <n v="0.59079264090078853"/>
    <n v="0.58186608393312877"/>
    <n v="0.53401629111305227"/>
  </r>
  <r>
    <x v="3"/>
    <n v="0"/>
    <n v="0"/>
    <n v="0"/>
    <n v="0"/>
    <n v="0"/>
    <n v="0"/>
    <n v="0"/>
    <n v="0"/>
    <n v="272"/>
    <n v="272"/>
    <n v="0"/>
    <n v="0"/>
    <n v="0"/>
    <n v="0"/>
    <n v="0"/>
    <n v="0"/>
    <n v="0"/>
    <n v="0"/>
    <n v="0.24924027532253706"/>
    <n v="0.22874398611456728"/>
  </r>
  <r>
    <x v="4"/>
    <n v="0"/>
    <n v="0"/>
    <n v="0"/>
    <n v="0"/>
    <n v="0"/>
    <n v="411"/>
    <n v="411"/>
    <n v="456"/>
    <n v="456"/>
    <n v="456"/>
    <n v="0"/>
    <n v="0"/>
    <n v="0"/>
    <n v="0"/>
    <n v="0"/>
    <n v="0.39338929862420946"/>
    <n v="0.38750820626411259"/>
    <n v="0.42425424291458197"/>
    <n v="0.41784399098190039"/>
    <n v="0.38348256495677452"/>
  </r>
  <r>
    <x v="5"/>
    <n v="0"/>
    <n v="0"/>
    <n v="0"/>
    <n v="0"/>
    <n v="0"/>
    <n v="0"/>
    <n v="2380"/>
    <n v="3020"/>
    <n v="3088"/>
    <n v="3088"/>
    <n v="0"/>
    <n v="0"/>
    <n v="0"/>
    <n v="0"/>
    <n v="0"/>
    <n v="0"/>
    <n v="2.2439647953980244"/>
    <n v="2.8097539771974507"/>
    <n v="2.8296101845440975"/>
    <n v="2.5969170188300872"/>
  </r>
  <r>
    <x v="6"/>
    <n v="0"/>
    <n v="0"/>
    <n v="0"/>
    <n v="0"/>
    <n v="0"/>
    <n v="3726"/>
    <n v="3726"/>
    <n v="4530"/>
    <n v="4530"/>
    <n v="4530"/>
    <n v="0"/>
    <n v="0"/>
    <n v="0"/>
    <n v="0"/>
    <n v="0"/>
    <n v="3.5663467802282347"/>
    <n v="3.5130305998542175"/>
    <n v="4.214630965796176"/>
    <n v="4.1509501735701946"/>
    <n v="3.8095965334521678"/>
  </r>
  <r>
    <x v="7"/>
    <n v="0"/>
    <n v="0"/>
    <n v="0"/>
    <n v="0"/>
    <n v="0"/>
    <n v="360"/>
    <n v="360"/>
    <n v="139"/>
    <n v="160"/>
    <n v="160"/>
    <n v="0"/>
    <n v="0"/>
    <n v="0"/>
    <n v="0"/>
    <n v="0"/>
    <n v="0.3445745681379937"/>
    <n v="0.33942324636272636"/>
    <n v="0.12932311352001513"/>
    <n v="0.14661192666031592"/>
    <n v="0.13455528594974545"/>
  </r>
  <r>
    <x v="44"/>
    <n v="0"/>
    <n v="0"/>
    <n v="505"/>
    <n v="505"/>
    <n v="505"/>
    <n v="469"/>
    <n v="610"/>
    <n v="610"/>
    <n v="784"/>
    <n v="784"/>
    <m/>
    <m/>
    <m/>
    <m/>
    <m/>
    <m/>
    <m/>
    <m/>
    <m/>
    <m/>
  </r>
  <r>
    <x v="1"/>
    <n v="0"/>
    <n v="0"/>
    <n v="0"/>
    <n v="0"/>
    <n v="0"/>
    <n v="0"/>
    <n v="6"/>
    <n v="6"/>
    <n v="6"/>
    <n v="6"/>
    <n v="0"/>
    <n v="0"/>
    <n v="0"/>
    <n v="0"/>
    <n v="0"/>
    <n v="0"/>
    <n v="0.27442245507475727"/>
    <n v="0.26892925815864138"/>
    <n v="0.2638754507872284"/>
    <n v="0.25847362707425087"/>
  </r>
  <r>
    <x v="2"/>
    <n v="0"/>
    <n v="0"/>
    <n v="0"/>
    <n v="0"/>
    <n v="0"/>
    <n v="0"/>
    <n v="0"/>
    <n v="0"/>
    <n v="146"/>
    <n v="146"/>
    <n v="0"/>
    <n v="0"/>
    <n v="0"/>
    <n v="0"/>
    <n v="0"/>
    <n v="0"/>
    <n v="0"/>
    <n v="0"/>
    <n v="6.4209693024892252"/>
    <n v="6.2895249254734376"/>
  </r>
  <r>
    <x v="3"/>
    <n v="0"/>
    <n v="0"/>
    <n v="0"/>
    <n v="0"/>
    <n v="0"/>
    <n v="0"/>
    <n v="0"/>
    <n v="0"/>
    <n v="0"/>
    <n v="0"/>
    <n v="0"/>
    <n v="0"/>
    <n v="0"/>
    <n v="0"/>
    <n v="0"/>
    <n v="0"/>
    <n v="0"/>
    <n v="0"/>
    <n v="0"/>
    <n v="0"/>
  </r>
  <r>
    <x v="4"/>
    <n v="0"/>
    <n v="0"/>
    <n v="63"/>
    <n v="63"/>
    <n v="63"/>
    <n v="63"/>
    <n v="105"/>
    <n v="105"/>
    <n v="105"/>
    <n v="105"/>
    <n v="0"/>
    <n v="0"/>
    <n v="3.0786973689354546"/>
    <n v="3.0283220211886404"/>
    <n v="2.9809220985691574"/>
    <n v="2.9357079949114397"/>
    <n v="4.8023929638082521"/>
    <n v="4.7062620177762238"/>
    <n v="4.6178203887764973"/>
    <n v="4.5232884737993899"/>
  </r>
  <r>
    <x v="5"/>
    <n v="0"/>
    <n v="0"/>
    <n v="0"/>
    <n v="0"/>
    <n v="0"/>
    <n v="0"/>
    <n v="22"/>
    <n v="22"/>
    <n v="50"/>
    <n v="50"/>
    <n v="0"/>
    <n v="0"/>
    <n v="0"/>
    <n v="0"/>
    <n v="0"/>
    <n v="0"/>
    <n v="1.0062156686074433"/>
    <n v="0.98607394658168501"/>
    <n v="2.1989620898935702"/>
    <n v="2.1539468922854241"/>
  </r>
  <r>
    <x v="6"/>
    <n v="0"/>
    <n v="0"/>
    <n v="442"/>
    <n v="442"/>
    <n v="442"/>
    <n v="406"/>
    <n v="440"/>
    <n v="440"/>
    <n v="440"/>
    <n v="440"/>
    <n v="0"/>
    <n v="0"/>
    <n v="21.59974979475351"/>
    <n v="21.246322751831414"/>
    <n v="20.913770913770914"/>
    <n v="18.919007078318167"/>
    <n v="20.124313372148865"/>
    <n v="19.721478931633701"/>
    <n v="19.350866391063416"/>
    <n v="18.95473265211173"/>
  </r>
  <r>
    <x v="7"/>
    <n v="0"/>
    <n v="0"/>
    <n v="0"/>
    <n v="0"/>
    <n v="0"/>
    <n v="0"/>
    <n v="37"/>
    <n v="37"/>
    <n v="37"/>
    <n v="37"/>
    <n v="0"/>
    <n v="0"/>
    <n v="0"/>
    <n v="0"/>
    <n v="0"/>
    <n v="0"/>
    <n v="1.6922718062943365"/>
    <n v="1.6583970919782884"/>
    <n v="1.6272319465212421"/>
    <n v="1.5939207002912137"/>
  </r>
  <r>
    <x v="45"/>
    <n v="3847"/>
    <n v="3976"/>
    <n v="4200"/>
    <n v="4538"/>
    <n v="4984"/>
    <n v="5396"/>
    <n v="5396"/>
    <n v="3522"/>
    <n v="6066"/>
    <n v="6004"/>
    <m/>
    <m/>
    <m/>
    <m/>
    <m/>
    <m/>
    <m/>
    <m/>
    <m/>
    <m/>
  </r>
  <r>
    <x v="1"/>
    <n v="0"/>
    <n v="0"/>
    <n v="0"/>
    <n v="0"/>
    <n v="0"/>
    <n v="14"/>
    <n v="14"/>
    <n v="22"/>
    <n v="34"/>
    <n v="35"/>
    <n v="0"/>
    <n v="0"/>
    <n v="0"/>
    <n v="0"/>
    <n v="0"/>
    <n v="0.11969771197823553"/>
    <n v="0.11857824682062075"/>
    <n v="0.18452180754207725"/>
    <n v="0.2829395757570714"/>
    <n v="0.29227264528455665"/>
  </r>
  <r>
    <x v="2"/>
    <n v="0"/>
    <n v="0"/>
    <n v="0"/>
    <n v="0"/>
    <n v="0"/>
    <n v="370"/>
    <n v="370"/>
    <n v="370"/>
    <n v="0"/>
    <n v="0"/>
    <n v="0"/>
    <n v="0"/>
    <n v="0"/>
    <n v="0"/>
    <n v="0"/>
    <n v="3.1634395308533678"/>
    <n v="3.1338536659735485"/>
    <n v="3.1033213086622089"/>
    <n v="0"/>
    <n v="0"/>
  </r>
  <r>
    <x v="3"/>
    <n v="0"/>
    <n v="0"/>
    <n v="0"/>
    <n v="0"/>
    <n v="0"/>
    <n v="0"/>
    <n v="0"/>
    <n v="0"/>
    <n v="0"/>
    <n v="0"/>
    <n v="0"/>
    <n v="0"/>
    <n v="0"/>
    <n v="0"/>
    <n v="0"/>
    <n v="0"/>
    <n v="0"/>
    <n v="0"/>
    <n v="0"/>
    <n v="0"/>
  </r>
  <r>
    <x v="4"/>
    <n v="0"/>
    <n v="0"/>
    <n v="0"/>
    <n v="107"/>
    <n v="278"/>
    <n v="278"/>
    <n v="278"/>
    <n v="165"/>
    <n v="684"/>
    <n v="685"/>
    <n v="0"/>
    <n v="0"/>
    <n v="0"/>
    <n v="0.92931152780552206"/>
    <n v="2.3956678053270002"/>
    <n v="2.3768545664249627"/>
    <n v="2.3546251868666124"/>
    <n v="1.3839135565655794"/>
    <n v="5.6920785240540255"/>
    <n v="5.72019320056918"/>
  </r>
  <r>
    <x v="5"/>
    <n v="0"/>
    <n v="0"/>
    <n v="0"/>
    <n v="0"/>
    <n v="0"/>
    <n v="0"/>
    <n v="0"/>
    <n v="0"/>
    <n v="0"/>
    <n v="0"/>
    <n v="0"/>
    <n v="0"/>
    <n v="0"/>
    <n v="0"/>
    <n v="0"/>
    <n v="0"/>
    <n v="0"/>
    <n v="0"/>
    <n v="0"/>
    <n v="0"/>
  </r>
  <r>
    <x v="6"/>
    <n v="3847"/>
    <n v="3976"/>
    <n v="4200"/>
    <n v="4431"/>
    <n v="4706"/>
    <n v="4706"/>
    <n v="4706"/>
    <n v="2917"/>
    <n v="5320"/>
    <n v="5242"/>
    <n v="34.16928317338224"/>
    <n v="35.063707299177381"/>
    <n v="36.760715748640727"/>
    <n v="38.483919436507179"/>
    <n v="40.554002488736913"/>
    <n v="40.235530897826891"/>
    <n v="39.859230681274376"/>
    <n v="24.465914209101786"/>
    <n v="44.271721853753526"/>
    <n v="43.774091616618456"/>
  </r>
  <r>
    <x v="7"/>
    <n v="0"/>
    <n v="0"/>
    <n v="0"/>
    <n v="0"/>
    <n v="0"/>
    <n v="28"/>
    <n v="28"/>
    <n v="48"/>
    <n v="28"/>
    <n v="42"/>
    <n v="0"/>
    <n v="0"/>
    <n v="0"/>
    <n v="0"/>
    <n v="0"/>
    <n v="0.23939542395647107"/>
    <n v="0.2371564936412415"/>
    <n v="0.40259303463725943"/>
    <n v="0.23300906238817645"/>
    <n v="0.350727174341468"/>
  </r>
  <r>
    <x v="46"/>
    <n v="0"/>
    <n v="0"/>
    <n v="0"/>
    <n v="1055"/>
    <n v="1055"/>
    <n v="1316"/>
    <n v="1324"/>
    <n v="1324"/>
    <n v="1822"/>
    <n v="1894"/>
    <m/>
    <m/>
    <m/>
    <m/>
    <m/>
    <m/>
    <m/>
    <m/>
    <m/>
    <m/>
  </r>
  <r>
    <x v="1"/>
    <n v="0"/>
    <n v="0"/>
    <n v="0"/>
    <n v="34"/>
    <n v="34"/>
    <n v="34"/>
    <n v="42"/>
    <n v="42"/>
    <n v="44"/>
    <n v="44"/>
    <n v="0"/>
    <n v="0"/>
    <n v="0"/>
    <n v="3.3395212698038526"/>
    <n v="3.2977371703475233"/>
    <n v="3.257547450011018"/>
    <n v="3.9799109258030891"/>
    <n v="3.9447361253299023"/>
    <n v="4.1076196344218525"/>
    <n v="4.4038754103611177"/>
  </r>
  <r>
    <x v="2"/>
    <n v="0"/>
    <n v="0"/>
    <n v="0"/>
    <n v="0"/>
    <n v="0"/>
    <n v="71"/>
    <n v="71"/>
    <n v="71"/>
    <n v="0"/>
    <n v="10"/>
    <n v="0"/>
    <n v="0"/>
    <n v="0"/>
    <n v="0"/>
    <n v="0"/>
    <n v="6.8025255573759491"/>
    <n v="6.727944660286175"/>
    <n v="6.6684824975815005"/>
    <n v="0"/>
    <n v="1.0008807750820721"/>
  </r>
  <r>
    <x v="3"/>
    <n v="0"/>
    <n v="0"/>
    <n v="0"/>
    <n v="0"/>
    <n v="0"/>
    <n v="0"/>
    <n v="0"/>
    <n v="0"/>
    <n v="0"/>
    <n v="21"/>
    <n v="0"/>
    <n v="0"/>
    <n v="0"/>
    <n v="0"/>
    <n v="0"/>
    <n v="0"/>
    <n v="0"/>
    <n v="0"/>
    <n v="0"/>
    <n v="2.1018496276723515"/>
  </r>
  <r>
    <x v="4"/>
    <n v="0"/>
    <n v="0"/>
    <n v="0"/>
    <n v="203"/>
    <n v="203"/>
    <n v="240"/>
    <n v="240"/>
    <n v="240"/>
    <n v="828"/>
    <n v="828"/>
    <n v="0"/>
    <n v="0"/>
    <n v="0"/>
    <n v="19.938906405005355"/>
    <n v="19.689430752369034"/>
    <n v="22.99445258831307"/>
    <n v="22.742348147446226"/>
    <n v="22.541349287599441"/>
    <n v="77.297933120483947"/>
    <n v="82.872928176795583"/>
  </r>
  <r>
    <x v="5"/>
    <n v="0"/>
    <n v="0"/>
    <n v="0"/>
    <n v="89"/>
    <n v="89"/>
    <n v="158"/>
    <n v="158"/>
    <n v="158"/>
    <n v="292"/>
    <n v="312"/>
    <n v="0"/>
    <n v="0"/>
    <n v="0"/>
    <n v="8.7416880297806721"/>
    <n v="8.6323120047332225"/>
    <n v="15.138014620639437"/>
    <n v="14.972045863735431"/>
    <n v="14.839721614336298"/>
    <n v="27.259657573890475"/>
    <n v="31.227480182560654"/>
  </r>
  <r>
    <x v="6"/>
    <n v="0"/>
    <n v="0"/>
    <n v="0"/>
    <n v="684"/>
    <n v="684"/>
    <n v="689"/>
    <n v="689"/>
    <n v="689"/>
    <n v="623"/>
    <n v="625"/>
    <n v="0"/>
    <n v="0"/>
    <n v="0"/>
    <n v="67.18331025134809"/>
    <n v="66.342712485814886"/>
    <n v="66.013240972282105"/>
    <n v="65.289491139960205"/>
    <n v="64.712456913150064"/>
    <n v="58.160159823745772"/>
    <n v="62.555048442629513"/>
  </r>
  <r>
    <x v="7"/>
    <n v="0"/>
    <n v="0"/>
    <n v="0"/>
    <n v="45"/>
    <n v="45"/>
    <n v="124"/>
    <n v="124"/>
    <n v="124"/>
    <n v="35"/>
    <n v="54"/>
    <n v="0"/>
    <n v="0"/>
    <n v="0"/>
    <n v="4.4199546217992163"/>
    <n v="4.3646521372246632"/>
    <n v="11.880467170628419"/>
    <n v="11.75021320951388"/>
    <n v="11.646363798593043"/>
    <n v="3.2674247091992008"/>
    <n v="5.4047561854431896"/>
  </r>
  <r>
    <x v="47"/>
    <n v="4743"/>
    <n v="4832"/>
    <n v="4832"/>
    <n v="4832"/>
    <n v="4660"/>
    <n v="7130"/>
    <n v="7274"/>
    <n v="5142"/>
    <n v="7609"/>
    <n v="7115"/>
    <m/>
    <m/>
    <m/>
    <m/>
    <m/>
    <m/>
    <m/>
    <m/>
    <m/>
    <m/>
  </r>
  <r>
    <x v="1"/>
    <n v="0"/>
    <n v="0"/>
    <n v="0"/>
    <n v="0"/>
    <n v="0"/>
    <n v="3"/>
    <n v="3"/>
    <n v="3"/>
    <n v="21"/>
    <n v="13"/>
    <n v="0"/>
    <n v="0"/>
    <n v="0"/>
    <n v="0"/>
    <n v="0"/>
    <n v="1.8602498464363752E-3"/>
    <n v="1.8023754226645465E-3"/>
    <n v="1.7462429582752708E-3"/>
    <n v="1.1848799166521613E-2"/>
    <n v="7.2539854093337476E-3"/>
  </r>
  <r>
    <x v="2"/>
    <n v="0"/>
    <n v="0"/>
    <n v="0"/>
    <n v="0"/>
    <n v="0"/>
    <n v="749"/>
    <n v="749"/>
    <n v="749"/>
    <n v="1028"/>
    <n v="1028"/>
    <n v="0"/>
    <n v="0"/>
    <n v="0"/>
    <n v="0"/>
    <n v="0"/>
    <n v="0.46444237832694835"/>
    <n v="0.44999306385858179"/>
    <n v="0.43597865858272594"/>
    <n v="0.58002693062781985"/>
    <n v="0.57362284621500714"/>
  </r>
  <r>
    <x v="3"/>
    <n v="0"/>
    <n v="0"/>
    <n v="0"/>
    <n v="0"/>
    <n v="0"/>
    <n v="0"/>
    <n v="0"/>
    <n v="0"/>
    <n v="1028"/>
    <n v="1048"/>
    <n v="0"/>
    <n v="0"/>
    <n v="0"/>
    <n v="0"/>
    <n v="0"/>
    <n v="0"/>
    <n v="0"/>
    <n v="0"/>
    <n v="0.58002693062781985"/>
    <n v="0.58478282376782831"/>
  </r>
  <r>
    <x v="4"/>
    <n v="608"/>
    <n v="696"/>
    <n v="696"/>
    <n v="696"/>
    <n v="651"/>
    <n v="859"/>
    <n v="1003"/>
    <n v="1003"/>
    <n v="1506"/>
    <n v="1641"/>
    <n v="0.44388873987141536"/>
    <n v="0.49221111274081397"/>
    <n v="0.47695456288245025"/>
    <n v="0.46135844608111792"/>
    <n v="0.41719510311640251"/>
    <n v="0.53265153936294873"/>
    <n v="0.60259418297751333"/>
    <n v="0.58382722905003215"/>
    <n v="0.84972816879912139"/>
    <n v="0.91567615820897541"/>
  </r>
  <r>
    <x v="5"/>
    <n v="451"/>
    <n v="451"/>
    <n v="451"/>
    <n v="451"/>
    <n v="451"/>
    <n v="451"/>
    <n v="451"/>
    <n v="710"/>
    <n v="905"/>
    <n v="845"/>
    <n v="0.32926615408225052"/>
    <n v="0.31894714345705044"/>
    <n v="0.30906107451147274"/>
    <n v="0.29895497008991984"/>
    <n v="0.28902456452457381"/>
    <n v="0.27965756024760174"/>
    <n v="0.27095710520723681"/>
    <n v="0.41327750012514741"/>
    <n v="0.51062682122390757"/>
    <n v="0.4715090516066936"/>
  </r>
  <r>
    <x v="6"/>
    <n v="3606"/>
    <n v="3606"/>
    <n v="3606"/>
    <n v="3606"/>
    <n v="3487"/>
    <n v="4799"/>
    <n v="4799"/>
    <n v="2623"/>
    <n v="2933"/>
    <n v="2377"/>
    <n v="2.6326690723294801"/>
    <n v="2.550162747907148"/>
    <n v="2.4711180370030394"/>
    <n v="2.3903140180582056"/>
    <n v="2.234653340348534"/>
    <n v="2.9757796710160549"/>
    <n v="2.8831998844557196"/>
    <n v="1.5267984265186785"/>
    <n v="1.6548822835908521"/>
    <n v="1.3263633321527937"/>
  </r>
  <r>
    <x v="7"/>
    <n v="78"/>
    <n v="79"/>
    <n v="79"/>
    <n v="79"/>
    <n v="71"/>
    <n v="269"/>
    <n v="269"/>
    <n v="54"/>
    <n v="188"/>
    <n v="163"/>
    <n v="5.6946252812451317E-2"/>
    <n v="5.5868790095580892E-2"/>
    <n v="5.4137084005335581E-2"/>
    <n v="5.2366835115529198E-2"/>
    <n v="4.5500541200099207E-2"/>
    <n v="0.1668024028971283"/>
    <n v="0.16161299623225434"/>
    <n v="3.143237324895487E-2"/>
    <n v="0.1060749639669554"/>
    <n v="9.0953817055492367E-2"/>
  </r>
  <r>
    <x v="48"/>
    <n v="0"/>
    <n v="0"/>
    <n v="3013"/>
    <n v="4166"/>
    <n v="4764"/>
    <n v="5206"/>
    <n v="5625"/>
    <n v="6099"/>
    <n v="6926"/>
    <n v="6041"/>
    <m/>
    <m/>
    <m/>
    <m/>
    <m/>
    <m/>
    <m/>
    <m/>
    <m/>
    <m/>
  </r>
  <r>
    <x v="1"/>
    <n v="0"/>
    <n v="0"/>
    <n v="18"/>
    <n v="18"/>
    <n v="57"/>
    <n v="57"/>
    <n v="57"/>
    <n v="57"/>
    <n v="22"/>
    <n v="22"/>
    <n v="0"/>
    <n v="0"/>
    <n v="2.3494541565368208E-2"/>
    <n v="2.2921774985848988E-2"/>
    <n v="7.0836676845192903E-2"/>
    <n v="6.9148792916834373E-2"/>
    <n v="6.7514906580689787E-2"/>
    <n v="6.5935370150178793E-2"/>
    <n v="2.4862411977173142E-2"/>
    <n v="2.4756277263553637E-2"/>
  </r>
  <r>
    <x v="2"/>
    <n v="0"/>
    <n v="0"/>
    <n v="407"/>
    <n v="407"/>
    <n v="454"/>
    <n v="518"/>
    <n v="589"/>
    <n v="589"/>
    <n v="538"/>
    <n v="126"/>
    <n v="0"/>
    <n v="0"/>
    <n v="0.53123768983915898"/>
    <n v="0.51828680106891878"/>
    <n v="0.56420791732837861"/>
    <n v="0.62840481984070551"/>
    <n v="0.69765403466712783"/>
    <n v="0.68133215821851423"/>
    <n v="0.60799898380541595"/>
    <n v="0.14178595160035265"/>
  </r>
  <r>
    <x v="3"/>
    <n v="0"/>
    <n v="0"/>
    <n v="0"/>
    <n v="129"/>
    <n v="201"/>
    <n v="201"/>
    <n v="195"/>
    <n v="338"/>
    <n v="887"/>
    <n v="414"/>
    <n v="0"/>
    <n v="0"/>
    <n v="0"/>
    <n v="0.16427272073191776"/>
    <n v="0.24979249203304865"/>
    <n v="0.24384048028567915"/>
    <n v="0.23097204882867561"/>
    <n v="0.39098517738176197"/>
    <n v="1.002407246534208"/>
    <n v="0.46586812668687305"/>
  </r>
  <r>
    <x v="4"/>
    <n v="0"/>
    <n v="0"/>
    <n v="361"/>
    <n v="361"/>
    <n v="583"/>
    <n v="627"/>
    <n v="685"/>
    <n v="685"/>
    <n v="730"/>
    <n v="730"/>
    <n v="0"/>
    <n v="0"/>
    <n v="0.47119608361655135"/>
    <n v="0.45970893166063803"/>
    <n v="0.72452250176749944"/>
    <n v="0.76063672208517819"/>
    <n v="0.81136335101355284"/>
    <n v="0.79238120268197332"/>
    <n v="0.82498003378801787"/>
    <n v="0.82145829101791623"/>
  </r>
  <r>
    <x v="5"/>
    <n v="0"/>
    <n v="0"/>
    <n v="869"/>
    <n v="1268"/>
    <n v="1285"/>
    <n v="1619"/>
    <n v="1743"/>
    <n v="1743"/>
    <n v="1864"/>
    <n v="1864"/>
    <n v="0"/>
    <n v="0"/>
    <n v="1.1342642566836096"/>
    <n v="1.6147117045586952"/>
    <n v="1.5969321008082962"/>
    <n v="1.9640683461816641"/>
    <n v="2.0645347749147773"/>
    <n v="2.0162342135396778"/>
    <n v="2.1065243602477608"/>
    <n v="2.09753185542109"/>
  </r>
  <r>
    <x v="6"/>
    <n v="0"/>
    <n v="0"/>
    <n v="1341"/>
    <n v="1966"/>
    <n v="1966"/>
    <n v="1966"/>
    <n v="2134"/>
    <n v="2455"/>
    <n v="2630"/>
    <n v="2630"/>
    <n v="0"/>
    <n v="0"/>
    <n v="1.7503433466199319"/>
    <n v="2.5035672012321726"/>
    <n v="2.4432439768008645"/>
    <n v="2.3850267872718667"/>
    <n v="2.5276633446174039"/>
    <n v="2.839847959976999"/>
    <n v="2.972188340907516"/>
    <n v="2.9595004183248217"/>
  </r>
  <r>
    <x v="7"/>
    <n v="0"/>
    <n v="0"/>
    <n v="17"/>
    <n v="17"/>
    <n v="218"/>
    <n v="218"/>
    <n v="222"/>
    <n v="232"/>
    <n v="255"/>
    <n v="255"/>
    <n v="0"/>
    <n v="0"/>
    <n v="2.2189289256181084E-2"/>
    <n v="2.164834304219071E-2"/>
    <n v="0.2709192202149483"/>
    <n v="0.26446380448894552"/>
    <n v="0.26295279405110761"/>
    <n v="0.26836852412002599"/>
    <n v="0.28817795700814319"/>
    <n v="0.28694775919118992"/>
  </r>
  <r>
    <x v="49"/>
    <n v="0"/>
    <n v="27979"/>
    <n v="27979"/>
    <n v="27979"/>
    <n v="38367"/>
    <n v="44221"/>
    <n v="44221"/>
    <n v="44221"/>
    <n v="49945"/>
    <n v="64161"/>
    <m/>
    <m/>
    <m/>
    <m/>
    <m/>
    <m/>
    <m/>
    <m/>
    <m/>
    <m/>
  </r>
  <r>
    <x v="1"/>
    <n v="0"/>
    <n v="104"/>
    <n v="104"/>
    <n v="104"/>
    <n v="104"/>
    <n v="682"/>
    <n v="682"/>
    <n v="682"/>
    <n v="755"/>
    <n v="755"/>
    <n v="0"/>
    <n v="1.979337882168988E-2"/>
    <n v="1.9117013807741147E-2"/>
    <n v="1.8483292312272664E-2"/>
    <n v="1.7903117041128437E-2"/>
    <n v="0.11390857240340356"/>
    <n v="0.11052675267635995"/>
    <n v="0.10725237745653157"/>
    <n v="0.11527113878785572"/>
    <n v="0.11591090047294411"/>
  </r>
  <r>
    <x v="2"/>
    <n v="0"/>
    <n v="93"/>
    <n v="93"/>
    <n v="93"/>
    <n v="93"/>
    <n v="4361"/>
    <n v="4361"/>
    <n v="4361"/>
    <n v="1552"/>
    <n v="1552"/>
    <n v="0"/>
    <n v="1.7699848369395761E-2"/>
    <n v="1.7095021962691605E-2"/>
    <n v="1.6528328702320749E-2"/>
    <n v="1.6009518123316774E-2"/>
    <n v="0.72838018218657319"/>
    <n v="0.70675537891731044"/>
    <n v="0.68581762182981554"/>
    <n v="0.2369547117864266"/>
    <n v="0.23826982454835663"/>
  </r>
  <r>
    <x v="3"/>
    <n v="0"/>
    <n v="2508"/>
    <n v="2508"/>
    <n v="2508"/>
    <n v="2508"/>
    <n v="2508"/>
    <n v="2508"/>
    <n v="2508"/>
    <n v="4743"/>
    <n v="4743"/>
    <n v="0"/>
    <n v="0.47732494312305984"/>
    <n v="0.46101414067129615"/>
    <n v="0.44573170306903692"/>
    <n v="0.43174055326105876"/>
    <n v="0.41888958883832278"/>
    <n v="0.40645321951951718"/>
    <n v="0.39441196871111606"/>
    <n v="0.72414703479576126"/>
    <n v="0.72816609396446885"/>
  </r>
  <r>
    <x v="4"/>
    <n v="0"/>
    <n v="3015"/>
    <n v="3015"/>
    <n v="3015"/>
    <n v="3015"/>
    <n v="2885"/>
    <n v="2885"/>
    <n v="2885"/>
    <n v="8693"/>
    <n v="8693"/>
    <n v="0"/>
    <n v="0.57381766487879793"/>
    <n v="0.55420958298403422"/>
    <n v="0.53583775309136616"/>
    <n v="0.51901824883655989"/>
    <n v="0.4818566442577995"/>
    <n v="0.46755085259721174"/>
    <n v="0.4536995732582017"/>
    <n v="1.3272212046130198"/>
    <n v="1.3345873613394743"/>
  </r>
  <r>
    <x v="5"/>
    <n v="0"/>
    <n v="0"/>
    <n v="0"/>
    <n v="0"/>
    <n v="0"/>
    <n v="0"/>
    <n v="0"/>
    <n v="0"/>
    <n v="0"/>
    <n v="0"/>
    <n v="0"/>
    <n v="0"/>
    <n v="0"/>
    <n v="0"/>
    <n v="0"/>
    <n v="0"/>
    <n v="0"/>
    <n v="0"/>
    <n v="0"/>
    <n v="0"/>
  </r>
  <r>
    <x v="6"/>
    <n v="0"/>
    <n v="21552"/>
    <n v="21552"/>
    <n v="21552"/>
    <n v="31940"/>
    <n v="31940"/>
    <n v="31940"/>
    <n v="31940"/>
    <n v="31940"/>
    <n v="46156"/>
    <n v="0"/>
    <n v="4.1017971188948108"/>
    <n v="3.9616334767734349"/>
    <n v="3.8303068837894272"/>
    <n v="5.4983226759004058"/>
    <n v="5.3346624671036809"/>
    <n v="5.1762822294471205"/>
    <n v="5.022933923697388"/>
    <n v="4.8765035402438572"/>
    <n v="7.086070890369812"/>
  </r>
  <r>
    <x v="7"/>
    <n v="0"/>
    <n v="707"/>
    <n v="707"/>
    <n v="707"/>
    <n v="707"/>
    <n v="1845"/>
    <n v="1845"/>
    <n v="1845"/>
    <n v="2262"/>
    <n v="2262"/>
    <n v="0"/>
    <n v="0.13455691179744947"/>
    <n v="0.12995893040454801"/>
    <n v="0.1256508429305459"/>
    <n v="0.12170676680844042"/>
    <n v="0.30815442241096713"/>
    <n v="0.29900565790012329"/>
    <n v="0.29014756071451725"/>
    <n v="0.34535538534851606"/>
    <n v="0.34727212830437032"/>
  </r>
  <r>
    <x v="50"/>
    <n v="7000"/>
    <n v="52388"/>
    <n v="70456"/>
    <n v="76671"/>
    <n v="79944"/>
    <n v="83847"/>
    <n v="84131"/>
    <n v="90252"/>
    <n v="135574"/>
    <n v="135574"/>
    <m/>
    <m/>
    <m/>
    <m/>
    <m/>
    <m/>
    <m/>
    <m/>
    <m/>
    <m/>
  </r>
  <r>
    <x v="1"/>
    <n v="0"/>
    <n v="0"/>
    <n v="276"/>
    <n v="276"/>
    <n v="276"/>
    <n v="26"/>
    <n v="310"/>
    <n v="310"/>
    <n v="504"/>
    <n v="504"/>
    <n v="0"/>
    <n v="0"/>
    <n v="7.1228933172008402E-2"/>
    <n v="6.8781472663663454E-2"/>
    <n v="6.6481361914056222E-2"/>
    <n v="6.0536803116620899E-3"/>
    <n v="6.9812569690116191E-2"/>
    <n v="6.7606206842978134E-2"/>
    <n v="0.10666760353556544"/>
    <n v="0.10140690409590936"/>
  </r>
  <r>
    <x v="2"/>
    <n v="0"/>
    <n v="0"/>
    <n v="0"/>
    <n v="0"/>
    <n v="0"/>
    <n v="3874"/>
    <n v="3874"/>
    <n v="3874"/>
    <n v="3772"/>
    <n v="3772"/>
    <n v="0"/>
    <n v="0"/>
    <n v="0"/>
    <n v="0"/>
    <n v="0"/>
    <n v="0.9019983664376513"/>
    <n v="0.87243191928874231"/>
    <n v="0.84485950099902341"/>
    <n v="0.79831388995268426"/>
    <n v="0.75894214732097243"/>
  </r>
  <r>
    <x v="3"/>
    <n v="0"/>
    <n v="0"/>
    <n v="2447"/>
    <n v="2447"/>
    <n v="2447"/>
    <n v="2447"/>
    <n v="2447"/>
    <n v="2447"/>
    <n v="13380"/>
    <n v="13380"/>
    <n v="0"/>
    <n v="0"/>
    <n v="0.63151159228950926"/>
    <n v="0.60981254930429163"/>
    <n v="0.58941990073802741"/>
    <n v="0.56974445087065895"/>
    <n v="0.55106889687649785"/>
    <n v="0.53365286498312092"/>
    <n v="2.8317709033846539"/>
    <n v="2.6921118587366415"/>
  </r>
  <r>
    <x v="4"/>
    <n v="0"/>
    <n v="0"/>
    <n v="3645"/>
    <n v="3645"/>
    <n v="6918"/>
    <n v="6918"/>
    <n v="6918"/>
    <n v="7031"/>
    <n v="9052"/>
    <n v="9052"/>
    <n v="0"/>
    <n v="0"/>
    <n v="0.94068645439119791"/>
    <n v="0.90836401398207722"/>
    <n v="1.6663697888458004"/>
    <n v="1.6107446306183975"/>
    <n v="1.5579463132781415"/>
    <n v="1.5333523881063846"/>
    <n v="1.9157840222300366"/>
    <n v="1.8213001902304993"/>
  </r>
  <r>
    <x v="5"/>
    <n v="7000"/>
    <n v="7000"/>
    <n v="8815"/>
    <n v="9802"/>
    <n v="9802"/>
    <n v="9802"/>
    <n v="9802"/>
    <n v="23546"/>
    <n v="32957"/>
    <n v="32957"/>
    <n v="1.9264355364169383"/>
    <n v="1.8677945157070313"/>
    <n v="2.2749385721422248"/>
    <n v="2.4427391124972075"/>
    <n v="2.3610518459477503"/>
    <n v="2.2822374774966079"/>
    <n v="2.2074284132339321"/>
    <n v="5.1350185365314935"/>
    <n v="6.9750877177016468"/>
    <n v="6.6310859886684224"/>
  </r>
  <r>
    <x v="6"/>
    <n v="0"/>
    <n v="45388"/>
    <n v="55228"/>
    <n v="60456"/>
    <n v="60456"/>
    <n v="60456"/>
    <n v="60456"/>
    <n v="51327"/>
    <n v="74197"/>
    <n v="74197"/>
    <n v="0"/>
    <n v="12.11077963984439"/>
    <n v="14.253012758056812"/>
    <n v="15.066133012153761"/>
    <n v="14.562308753174577"/>
    <n v="14.076203727763202"/>
    <n v="13.614802300598917"/>
    <n v="11.193625092353349"/>
    <n v="15.703206705413391"/>
    <n v="14.928746157151163"/>
  </r>
  <r>
    <x v="7"/>
    <n v="0"/>
    <n v="0"/>
    <n v="45"/>
    <n v="45"/>
    <n v="45"/>
    <n v="324"/>
    <n v="324"/>
    <n v="1717"/>
    <n v="1712"/>
    <n v="1712"/>
    <n v="0"/>
    <n v="0"/>
    <n v="1.1613413017175283E-2"/>
    <n v="1.1214370542988607E-2"/>
    <n v="1.0839352485987427E-2"/>
    <n v="7.5438170037635255E-2"/>
    <n v="7.2965395418056925E-2"/>
    <n v="0.37445115209481755"/>
    <n v="0.36233122470811119"/>
    <n v="0.34446154724642225"/>
  </r>
  <r>
    <x v="51"/>
    <n v="114311"/>
    <n v="135158"/>
    <n v="148956"/>
    <n v="152007"/>
    <n v="153896"/>
    <n v="158380"/>
    <n v="160120"/>
    <n v="160120"/>
    <n v="467637"/>
    <n v="467459"/>
    <m/>
    <m/>
    <m/>
    <m/>
    <m/>
    <m/>
    <m/>
    <m/>
    <m/>
    <m/>
  </r>
  <r>
    <x v="1"/>
    <n v="5817"/>
    <n v="5985"/>
    <n v="6158"/>
    <n v="6314"/>
    <n v="6433"/>
    <n v="6433"/>
    <n v="6433"/>
    <n v="6433"/>
    <n v="1348"/>
    <n v="1170"/>
    <n v="1.0628627302277704"/>
    <n v="1.0711121082306796"/>
    <n v="1.0914129409247135"/>
    <n v="1.1147360925858769"/>
    <n v="1.1219115712892138"/>
    <n v="1.107475667341028"/>
    <n v="1.0940117659749484"/>
    <n v="1.0831378603152886"/>
    <n v="0.22506471236587841"/>
    <n v="0.19039034512009043"/>
  </r>
  <r>
    <x v="2"/>
    <n v="145"/>
    <n v="149"/>
    <n v="4802"/>
    <n v="5267"/>
    <n v="5455"/>
    <n v="9939"/>
    <n v="9939"/>
    <n v="9939"/>
    <n v="13"/>
    <n v="13"/>
    <n v="2.6493913681111689E-2"/>
    <n v="2.6665948893295113E-2"/>
    <n v="0.85108232255934957"/>
    <n v="0.92988834330849113"/>
    <n v="0.95134892295704354"/>
    <n v="1.7110524883728395"/>
    <n v="1.6902507293681037"/>
    <n v="1.6734505197689495"/>
    <n v="2.1705053863178185E-3"/>
    <n v="2.115448279112116E-3"/>
  </r>
  <r>
    <x v="3"/>
    <n v="326"/>
    <n v="453"/>
    <n v="5377"/>
    <n v="5525"/>
    <n v="5731"/>
    <n v="5731"/>
    <n v="5731"/>
    <n v="5731"/>
    <n v="1110"/>
    <n v="1110"/>
    <n v="5.9565626620982144E-2"/>
    <n v="8.1071643279615344E-2"/>
    <n v="0.95299242990454447"/>
    <n v="0.97543821848859191"/>
    <n v="0.99948316727164377"/>
    <n v="0.98662257881725968"/>
    <n v="0.97462792333319281"/>
    <n v="0.96494063072701985"/>
    <n v="0.18532776760098296"/>
    <n v="0.1806267376780345"/>
  </r>
  <r>
    <x v="4"/>
    <n v="41132"/>
    <n v="43277"/>
    <n v="43277"/>
    <n v="43277"/>
    <n v="44653"/>
    <n v="44653"/>
    <n v="46393"/>
    <n v="46393"/>
    <n v="49533"/>
    <n v="49533"/>
    <n v="7.5155010864240417"/>
    <n v="7.7451159077525684"/>
    <n v="7.6701977662226097"/>
    <n v="7.6405501867024066"/>
    <n v="7.7874580122458053"/>
    <n v="7.68725493141286"/>
    <n v="7.8897074240441132"/>
    <n v="7.8112878522628924"/>
    <n v="8.2701264077292702"/>
    <n v="8.0603461237892642"/>
  </r>
  <r>
    <x v="5"/>
    <n v="0"/>
    <n v="0"/>
    <n v="0"/>
    <n v="1284"/>
    <n v="1284"/>
    <n v="1284"/>
    <n v="1284"/>
    <n v="1284"/>
    <n v="1543"/>
    <n v="1543"/>
    <n v="0"/>
    <n v="0"/>
    <n v="0"/>
    <n v="0.22669007647771078"/>
    <n v="0.22392887572444437"/>
    <n v="0.22104752943663608"/>
    <n v="0.21836019081483504"/>
    <n v="0.21618980454606415"/>
    <n v="0.25762229316064567"/>
    <n v="0.25108743805153805"/>
  </r>
  <r>
    <x v="6"/>
    <n v="66891"/>
    <n v="70300"/>
    <n v="73558"/>
    <n v="74556"/>
    <n v="74556"/>
    <n v="74556"/>
    <n v="74556"/>
    <n v="74556"/>
    <n v="397261"/>
    <n v="397261"/>
    <n v="12.222099172712014"/>
    <n v="12.581316826836552"/>
    <n v="13.037049871474519"/>
    <n v="13.162854627626329"/>
    <n v="13.00252434463526"/>
    <n v="12.835217760652524"/>
    <n v="12.679176313388504"/>
    <n v="12.553151921913051"/>
    <n v="66.32747232876946"/>
    <n v="64.645007600642941"/>
  </r>
  <r>
    <x v="7"/>
    <n v="0"/>
    <n v="14994"/>
    <n v="15784"/>
    <n v="15784"/>
    <n v="15784"/>
    <n v="15784"/>
    <n v="15784"/>
    <n v="15784"/>
    <n v="16829"/>
    <n v="16829"/>
    <n v="0"/>
    <n v="2.683417702725281"/>
    <n v="2.7974767553679243"/>
    <n v="2.7866636815608934"/>
    <n v="2.7527206966001789"/>
    <n v="2.7173007824204554"/>
    <n v="2.6842657724465391"/>
    <n v="2.6575855723949191"/>
    <n v="2.809802703564813"/>
    <n v="2.7385291607059843"/>
  </r>
  <r>
    <x v="52"/>
    <n v="0"/>
    <n v="0"/>
    <n v="0"/>
    <n v="3906"/>
    <n v="19597"/>
    <n v="31810"/>
    <n v="39615"/>
    <n v="46907"/>
    <n v="70314"/>
    <n v="69368"/>
    <m/>
    <m/>
    <m/>
    <m/>
    <m/>
    <m/>
    <m/>
    <m/>
    <m/>
    <m/>
  </r>
  <r>
    <x v="1"/>
    <n v="0"/>
    <n v="0"/>
    <n v="0"/>
    <n v="312"/>
    <n v="312"/>
    <n v="160"/>
    <n v="205"/>
    <n v="269"/>
    <n v="306"/>
    <n v="283"/>
    <n v="0"/>
    <n v="0"/>
    <n v="0"/>
    <n v="0.18036710950260645"/>
    <n v="0.17492816311468115"/>
    <n v="8.7048883443014022E-2"/>
    <n v="0.10830678716369092"/>
    <n v="0.13813910196745516"/>
    <n v="0.15286490563964097"/>
    <n v="0.14126831290342273"/>
  </r>
  <r>
    <x v="2"/>
    <n v="0"/>
    <n v="0"/>
    <n v="0"/>
    <n v="921"/>
    <n v="921"/>
    <n v="18"/>
    <n v="18"/>
    <n v="19"/>
    <n v="640"/>
    <n v="419"/>
    <n v="0"/>
    <n v="0"/>
    <n v="0"/>
    <n v="0.53242983285865564"/>
    <n v="0.5163744815019915"/>
    <n v="9.7929993873390776E-3"/>
    <n v="9.5098642387631046E-3"/>
    <n v="9.7570369419392108E-3"/>
    <n v="0.31971744970382421"/>
    <n v="0.20915697210789444"/>
  </r>
  <r>
    <x v="3"/>
    <n v="0"/>
    <n v="0"/>
    <n v="0"/>
    <n v="0"/>
    <n v="0"/>
    <n v="1712"/>
    <n v="2506"/>
    <n v="3182"/>
    <n v="2235"/>
    <n v="1533"/>
    <n v="0"/>
    <n v="0"/>
    <n v="0"/>
    <n v="0"/>
    <n v="0"/>
    <n v="0.93142305284024995"/>
    <n v="1.3239844323522412"/>
    <n v="1.6340469236447668"/>
    <n v="1.1165132813875738"/>
    <n v="0.76524496000334652"/>
  </r>
  <r>
    <x v="4"/>
    <n v="0"/>
    <n v="0"/>
    <n v="0"/>
    <n v="1514"/>
    <n v="1514"/>
    <n v="4021"/>
    <n v="4818"/>
    <n v="5773"/>
    <n v="6531"/>
    <n v="6531"/>
    <n v="0"/>
    <n v="0"/>
    <n v="0"/>
    <n v="0.87524296085559683"/>
    <n v="0.84885012485777978"/>
    <n v="2.1876472520272463"/>
    <n v="2.5454736612422577"/>
    <n v="2.9645986455692137"/>
    <n v="3.2626166625244943"/>
    <n v="3.260153185767682"/>
  </r>
  <r>
    <x v="5"/>
    <n v="0"/>
    <n v="0"/>
    <n v="0"/>
    <n v="0"/>
    <n v="0"/>
    <n v="2137"/>
    <n v="3312"/>
    <n v="3746"/>
    <n v="9202"/>
    <n v="9202"/>
    <n v="0"/>
    <n v="0"/>
    <n v="0"/>
    <n v="0"/>
    <n v="0"/>
    <n v="1.1626466494857559"/>
    <n v="1.7498150199324114"/>
    <n v="1.9236768623423308"/>
    <n v="4.5969374565227978"/>
    <n v="4.5934664852907989"/>
  </r>
  <r>
    <x v="6"/>
    <n v="0"/>
    <n v="0"/>
    <n v="0"/>
    <n v="0"/>
    <n v="15691"/>
    <n v="23035"/>
    <n v="27674"/>
    <n v="32542"/>
    <n v="49975"/>
    <n v="49975"/>
    <n v="0"/>
    <n v="0"/>
    <n v="0"/>
    <n v="0"/>
    <n v="8.7974288699758389"/>
    <n v="12.532318938186425"/>
    <n v="14.620887941307231"/>
    <n v="16.71123664024136"/>
    <n v="24.965436795232215"/>
    <n v="24.946586351054954"/>
  </r>
  <r>
    <x v="7"/>
    <n v="0"/>
    <n v="0"/>
    <n v="0"/>
    <n v="1159"/>
    <n v="1159"/>
    <n v="727"/>
    <n v="1082"/>
    <n v="1376"/>
    <n v="1425"/>
    <n v="1425"/>
    <n v="0"/>
    <n v="0"/>
    <n v="0"/>
    <n v="0.67001756382538746"/>
    <n v="0.64981327259588295"/>
    <n v="0.3955283641441949"/>
    <n v="0.57164850590787109"/>
    <n v="0.70661488590043975"/>
    <n v="0.71187088410617116"/>
    <n v="0.71133337769391314"/>
  </r>
  <r>
    <x v="53"/>
    <n v="23200"/>
    <n v="24542"/>
    <n v="24667"/>
    <n v="23149"/>
    <n v="41936"/>
    <n v="43305"/>
    <n v="43638"/>
    <n v="42592"/>
    <n v="55162"/>
    <n v="56462"/>
    <m/>
    <m/>
    <m/>
    <m/>
    <m/>
    <m/>
    <m/>
    <m/>
    <m/>
    <m/>
  </r>
  <r>
    <x v="1"/>
    <n v="236"/>
    <n v="236"/>
    <n v="236"/>
    <n v="136"/>
    <n v="136"/>
    <n v="136"/>
    <n v="469"/>
    <n v="469"/>
    <n v="201"/>
    <n v="492"/>
    <n v="0.17032636190902076"/>
    <n v="0.16672628073159207"/>
    <n v="0.16329124293972946"/>
    <n v="9.2196507908121575E-2"/>
    <n v="9.0352336910045739E-2"/>
    <n v="8.8572759395746214E-2"/>
    <n v="0.29930440125526608"/>
    <n v="0.29324369038368281"/>
    <n v="0.12315771227380569"/>
    <n v="0.3157687399601426"/>
  </r>
  <r>
    <x v="2"/>
    <n v="0"/>
    <n v="0"/>
    <n v="0"/>
    <n v="0"/>
    <n v="0"/>
    <n v="644"/>
    <n v="644"/>
    <n v="644"/>
    <n v="757"/>
    <n v="1449"/>
    <n v="0"/>
    <n v="0"/>
    <n v="0"/>
    <n v="0"/>
    <n v="0"/>
    <n v="0.41941806655044528"/>
    <n v="0.41098514799230568"/>
    <n v="0.40266297784028082"/>
    <n v="0.46383277707099957"/>
    <n v="0.92997744756554179"/>
  </r>
  <r>
    <x v="3"/>
    <n v="0"/>
    <n v="519"/>
    <n v="644"/>
    <n v="644"/>
    <n v="781"/>
    <n v="1126"/>
    <n v="1126"/>
    <n v="1126"/>
    <n v="919"/>
    <n v="1055"/>
    <n v="0"/>
    <n v="0.36665652415125549"/>
    <n v="0.44559135785248216"/>
    <n v="0.4365775815649286"/>
    <n v="0.51886158181430675"/>
    <n v="0.73333034617360471"/>
    <n v="0.71858583329089465"/>
    <n v="0.70403495814931083"/>
    <n v="0.56309421681406679"/>
    <n v="0.67710573304461452"/>
  </r>
  <r>
    <x v="4"/>
    <n v="1685"/>
    <n v="2508"/>
    <n v="2508"/>
    <n v="2508"/>
    <n v="2646"/>
    <n v="3026"/>
    <n v="3026"/>
    <n v="1980"/>
    <n v="2041"/>
    <n v="2222"/>
    <n v="1.2161013551555082"/>
    <n v="1.7718199664187837"/>
    <n v="1.7353154122578029"/>
    <n v="1.7002120723056535"/>
    <n v="1.7578844372351548"/>
    <n v="1.9707438965553534"/>
    <n v="1.9311196550073244"/>
    <n v="1.2380010809375093"/>
    <n v="1.2505715957753105"/>
    <n v="1.4260937808769039"/>
  </r>
  <r>
    <x v="5"/>
    <n v="0"/>
    <n v="0"/>
    <n v="0"/>
    <n v="0"/>
    <n v="8806"/>
    <n v="8806"/>
    <n v="8806"/>
    <n v="8806"/>
    <n v="2805"/>
    <n v="2805"/>
    <n v="0"/>
    <n v="0"/>
    <n v="0"/>
    <n v="0"/>
    <n v="5.8503138149254621"/>
    <n v="5.7350861708745677"/>
    <n v="5.6197751758078311"/>
    <n v="5.5059785448160143"/>
    <n v="1.7186934474031093"/>
    <n v="1.8002669016020323"/>
  </r>
  <r>
    <x v="6"/>
    <n v="20885"/>
    <n v="20885"/>
    <n v="20885"/>
    <n v="19642"/>
    <n v="28170"/>
    <n v="28170"/>
    <n v="28170"/>
    <n v="28170"/>
    <n v="46537"/>
    <n v="46537"/>
    <n v="15.073161307075841"/>
    <n v="14.754569377454665"/>
    <n v="14.450583088119705"/>
    <n v="13.315616237730323"/>
    <n v="18.714892137911683"/>
    <n v="18.346284060133609"/>
    <n v="17.977409346185169"/>
    <n v="17.613379015156383"/>
    <n v="28.514380378537791"/>
    <n v="29.867743600660884"/>
  </r>
  <r>
    <x v="7"/>
    <n v="394"/>
    <n v="394"/>
    <n v="394"/>
    <n v="219"/>
    <n v="1397"/>
    <n v="1397"/>
    <n v="1397"/>
    <n v="1397"/>
    <n v="1902"/>
    <n v="1902"/>
    <n v="0.28435841776336518"/>
    <n v="0.27834811274681054"/>
    <n v="0.27261334626378564"/>
    <n v="0.1484634943520487"/>
    <n v="0.92810451958333751"/>
    <n v="0.90982459467542254"/>
    <n v="0.891531446809396"/>
    <n v="0.87347854043924278"/>
    <n v="1.1654028295760122"/>
    <n v="1.2207157386264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B4F126-D7DD-4E7D-85BC-7255977A57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Z50" firstHeaderRow="1" firstDataRow="1" firstDataCol="1"/>
  <pivotFields count="21">
    <pivotField axis="axisRow" showAll="0">
      <items count="55">
        <item x="0"/>
        <item x="8"/>
        <item x="9"/>
        <item x="10"/>
        <item x="11"/>
        <item x="12"/>
        <item x="13"/>
        <item x="14"/>
        <item x="15"/>
        <item x="16"/>
        <item x="17"/>
        <item x="18"/>
        <item h="1" x="1"/>
        <item x="19"/>
        <item x="20"/>
        <item x="21"/>
        <item x="22"/>
        <item x="23"/>
        <item x="24"/>
        <item x="25"/>
        <item x="26"/>
        <item x="27"/>
        <item x="28"/>
        <item x="29"/>
        <item x="30"/>
        <item x="31"/>
        <item h="1" x="2"/>
        <item h="1" x="3"/>
        <item h="1" x="4"/>
        <item h="1" x="5"/>
        <item x="32"/>
        <item x="33"/>
        <item x="34"/>
        <item x="35"/>
        <item x="36"/>
        <item x="37"/>
        <item x="38"/>
        <item x="39"/>
        <item h="1" x="6"/>
        <item h="1" x="7"/>
        <item x="40"/>
        <item x="41"/>
        <item x="42"/>
        <item x="43"/>
        <item x="44"/>
        <item x="45"/>
        <item x="46"/>
        <item x="47"/>
        <item x="48"/>
        <item x="49"/>
        <item x="50"/>
        <item x="51"/>
        <item x="52"/>
        <item x="5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48">
    <i>
      <x/>
    </i>
    <i>
      <x v="1"/>
    </i>
    <i>
      <x v="2"/>
    </i>
    <i>
      <x v="3"/>
    </i>
    <i>
      <x v="4"/>
    </i>
    <i>
      <x v="5"/>
    </i>
    <i>
      <x v="6"/>
    </i>
    <i>
      <x v="7"/>
    </i>
    <i>
      <x v="8"/>
    </i>
    <i>
      <x v="9"/>
    </i>
    <i>
      <x v="10"/>
    </i>
    <i>
      <x v="11"/>
    </i>
    <i>
      <x v="13"/>
    </i>
    <i>
      <x v="14"/>
    </i>
    <i>
      <x v="15"/>
    </i>
    <i>
      <x v="16"/>
    </i>
    <i>
      <x v="17"/>
    </i>
    <i>
      <x v="18"/>
    </i>
    <i>
      <x v="19"/>
    </i>
    <i>
      <x v="20"/>
    </i>
    <i>
      <x v="21"/>
    </i>
    <i>
      <x v="22"/>
    </i>
    <i>
      <x v="23"/>
    </i>
    <i>
      <x v="24"/>
    </i>
    <i>
      <x v="25"/>
    </i>
    <i>
      <x v="30"/>
    </i>
    <i>
      <x v="31"/>
    </i>
    <i>
      <x v="32"/>
    </i>
    <i>
      <x v="33"/>
    </i>
    <i>
      <x v="34"/>
    </i>
    <i>
      <x v="35"/>
    </i>
    <i>
      <x v="36"/>
    </i>
    <i>
      <x v="37"/>
    </i>
    <i>
      <x v="40"/>
    </i>
    <i>
      <x v="41"/>
    </i>
    <i>
      <x v="42"/>
    </i>
    <i>
      <x v="43"/>
    </i>
    <i>
      <x v="44"/>
    </i>
    <i>
      <x v="45"/>
    </i>
    <i>
      <x v="46"/>
    </i>
    <i>
      <x v="47"/>
    </i>
    <i>
      <x v="48"/>
    </i>
    <i>
      <x v="49"/>
    </i>
    <i>
      <x v="50"/>
    </i>
    <i>
      <x v="51"/>
    </i>
    <i>
      <x v="52"/>
    </i>
    <i>
      <x v="53"/>
    </i>
    <i t="grand">
      <x/>
    </i>
  </rowItems>
  <colItems count="1">
    <i/>
  </colItems>
  <dataFields count="1">
    <dataField name="Sum of 2023"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9060-7B3E-43FC-8DD5-06345B7D8D6D}">
  <sheetPr>
    <tabColor rgb="FF00B0F0"/>
  </sheetPr>
  <dimension ref="A1:AN48"/>
  <sheetViews>
    <sheetView topLeftCell="W1" zoomScale="339" workbookViewId="0">
      <selection activeCell="AD1" sqref="AD1:AF48"/>
    </sheetView>
  </sheetViews>
  <sheetFormatPr defaultColWidth="8.81640625" defaultRowHeight="14.5" x14ac:dyDescent="0.35"/>
  <cols>
    <col min="3" max="3" width="15.453125" customWidth="1"/>
    <col min="10" max="10" width="12.26953125" customWidth="1"/>
    <col min="11" max="11" width="13.26953125" customWidth="1"/>
    <col min="12" max="13" width="12.453125" bestFit="1" customWidth="1"/>
    <col min="14" max="14" width="11.81640625" bestFit="1" customWidth="1"/>
    <col min="15" max="15" width="10.1796875" bestFit="1" customWidth="1"/>
    <col min="16" max="16" width="10.81640625" bestFit="1" customWidth="1"/>
    <col min="20" max="20" width="11.453125" customWidth="1"/>
    <col min="29" max="29" width="14.26953125" bestFit="1" customWidth="1"/>
    <col min="30" max="31" width="14.453125" bestFit="1" customWidth="1"/>
    <col min="32" max="32" width="13.26953125" bestFit="1" customWidth="1"/>
  </cols>
  <sheetData>
    <row r="1" spans="1:40" s="37" customFormat="1" ht="43.5" x14ac:dyDescent="0.35">
      <c r="A1" s="2" t="s">
        <v>0</v>
      </c>
      <c r="B1" s="2" t="s">
        <v>1</v>
      </c>
      <c r="C1" s="2" t="s">
        <v>2</v>
      </c>
      <c r="D1" s="37" t="s">
        <v>3</v>
      </c>
      <c r="E1" s="37" t="s">
        <v>4</v>
      </c>
      <c r="F1" s="37" t="s">
        <v>5</v>
      </c>
      <c r="G1" s="37" t="s">
        <v>6</v>
      </c>
      <c r="H1" s="37" t="s">
        <v>7</v>
      </c>
      <c r="I1" s="37" t="s">
        <v>8</v>
      </c>
      <c r="J1" s="2" t="s">
        <v>9</v>
      </c>
      <c r="K1" s="2" t="s">
        <v>10</v>
      </c>
      <c r="L1" s="37" t="s">
        <v>11</v>
      </c>
      <c r="M1" s="37" t="s">
        <v>12</v>
      </c>
      <c r="N1" s="37" t="s">
        <v>13</v>
      </c>
      <c r="O1" s="37" t="s">
        <v>14</v>
      </c>
      <c r="P1" s="37" t="s">
        <v>15</v>
      </c>
      <c r="Q1" s="37" t="s">
        <v>16</v>
      </c>
      <c r="R1" s="37" t="s">
        <v>17</v>
      </c>
      <c r="S1" s="37" t="s">
        <v>18</v>
      </c>
      <c r="T1" s="39" t="s">
        <v>19</v>
      </c>
      <c r="U1" s="40" t="s">
        <v>20</v>
      </c>
      <c r="V1" s="40" t="s">
        <v>21</v>
      </c>
      <c r="W1" s="40" t="s">
        <v>22</v>
      </c>
      <c r="X1" s="40" t="s">
        <v>23</v>
      </c>
      <c r="Y1" s="40" t="s">
        <v>24</v>
      </c>
      <c r="Z1" s="40" t="s">
        <v>25</v>
      </c>
      <c r="AA1" s="40" t="s">
        <v>26</v>
      </c>
      <c r="AB1" s="40" t="s">
        <v>27</v>
      </c>
      <c r="AC1" s="37" t="s">
        <v>28</v>
      </c>
      <c r="AD1" s="37" t="s">
        <v>29</v>
      </c>
      <c r="AE1" s="37" t="s">
        <v>30</v>
      </c>
      <c r="AF1" s="37" t="s">
        <v>31</v>
      </c>
      <c r="AG1" s="40" t="s">
        <v>32</v>
      </c>
      <c r="AH1" s="40" t="s">
        <v>33</v>
      </c>
      <c r="AI1" s="40" t="s">
        <v>34</v>
      </c>
      <c r="AJ1" s="40" t="s">
        <v>35</v>
      </c>
      <c r="AK1" s="40" t="s">
        <v>36</v>
      </c>
      <c r="AL1" s="40" t="s">
        <v>37</v>
      </c>
      <c r="AM1" s="40" t="s">
        <v>38</v>
      </c>
      <c r="AN1" s="40"/>
    </row>
    <row r="2" spans="1:40" x14ac:dyDescent="0.35">
      <c r="A2" s="1" t="s">
        <v>39</v>
      </c>
      <c r="B2" s="1" t="s">
        <v>40</v>
      </c>
      <c r="C2" s="3">
        <v>46053477</v>
      </c>
      <c r="D2">
        <v>61.013029589926525</v>
      </c>
      <c r="E2">
        <v>0.13419182225915322</v>
      </c>
      <c r="F2">
        <v>88.72</v>
      </c>
      <c r="G2">
        <v>82.21</v>
      </c>
      <c r="H2">
        <v>60.71</v>
      </c>
      <c r="I2">
        <v>68.12</v>
      </c>
      <c r="J2">
        <v>74.94</v>
      </c>
      <c r="K2">
        <v>0.25858506591674785</v>
      </c>
      <c r="L2">
        <v>5.4826069439724012E-2</v>
      </c>
      <c r="M2">
        <v>0.17657851132276614</v>
      </c>
      <c r="N2">
        <v>2.4002849501539029E-2</v>
      </c>
      <c r="O2">
        <v>0.26200000000000001</v>
      </c>
      <c r="P2">
        <v>0.58663449999999995</v>
      </c>
      <c r="Q2">
        <v>15545.11</v>
      </c>
      <c r="R2">
        <v>28.18</v>
      </c>
      <c r="S2">
        <v>37.36</v>
      </c>
      <c r="T2" s="14">
        <v>3.2999999993960927</v>
      </c>
      <c r="U2" s="14">
        <v>16.396590424649155</v>
      </c>
      <c r="V2" s="14">
        <v>22.750942344700707</v>
      </c>
      <c r="W2" s="14">
        <v>2.0148315837260236</v>
      </c>
      <c r="X2" s="14">
        <v>3.5224267648672867</v>
      </c>
      <c r="Y2" s="14">
        <v>2.9622084777659672</v>
      </c>
      <c r="Z2" s="14">
        <v>2.9530886451852485E-2</v>
      </c>
      <c r="AA2" s="14">
        <v>3.3087621158332956</v>
      </c>
      <c r="AB2" s="14">
        <v>50.985292597994288</v>
      </c>
      <c r="AC2" s="29">
        <f>K2*$C2</f>
        <v>11908741.385740431</v>
      </c>
      <c r="AD2" s="29">
        <f t="shared" ref="AD2:AF17" si="0">L2*$C2</f>
        <v>2524931.1279427325</v>
      </c>
      <c r="AE2" s="29">
        <f t="shared" si="0"/>
        <v>8132054.4098972501</v>
      </c>
      <c r="AF2" s="29">
        <f t="shared" si="0"/>
        <v>1105414.6774535892</v>
      </c>
      <c r="AG2">
        <v>75512.000000000015</v>
      </c>
      <c r="AH2">
        <v>104776.00000000001</v>
      </c>
      <c r="AI2">
        <v>9279</v>
      </c>
      <c r="AJ2">
        <v>16222</v>
      </c>
      <c r="AK2">
        <v>13641.999999999996</v>
      </c>
      <c r="AL2">
        <v>136</v>
      </c>
      <c r="AM2">
        <v>15238</v>
      </c>
    </row>
    <row r="3" spans="1:40" x14ac:dyDescent="0.35">
      <c r="A3" s="1" t="s">
        <v>41</v>
      </c>
      <c r="B3" s="1" t="s">
        <v>42</v>
      </c>
      <c r="C3" s="3">
        <v>36148636</v>
      </c>
      <c r="D3">
        <v>18.553569489316274</v>
      </c>
      <c r="E3">
        <v>2.4607173283108108</v>
      </c>
      <c r="F3">
        <v>21.08</v>
      </c>
      <c r="G3">
        <v>36.07</v>
      </c>
      <c r="H3">
        <v>53.76</v>
      </c>
      <c r="I3">
        <v>44.51</v>
      </c>
      <c r="J3">
        <v>38.854999999999997</v>
      </c>
      <c r="K3">
        <v>0.55586602736035773</v>
      </c>
      <c r="L3">
        <v>0.34291113134334789</v>
      </c>
      <c r="M3">
        <v>0.16924786589235383</v>
      </c>
      <c r="N3">
        <v>4.0767474174770127E-2</v>
      </c>
      <c r="O3">
        <v>0.29100000000000004</v>
      </c>
      <c r="P3">
        <v>0.2930257</v>
      </c>
      <c r="Q3">
        <v>8866.6910000000007</v>
      </c>
      <c r="R3">
        <v>9.49</v>
      </c>
      <c r="S3">
        <v>45</v>
      </c>
      <c r="T3" s="14">
        <v>4.423904529447455</v>
      </c>
      <c r="U3" s="14">
        <v>2.4047933648174165</v>
      </c>
      <c r="V3" s="14">
        <v>18.45657468237529</v>
      </c>
      <c r="W3" s="14">
        <v>9.1289751569049518E-3</v>
      </c>
      <c r="X3" s="14">
        <v>7.0265445147086603E-2</v>
      </c>
      <c r="Y3" s="14">
        <v>0.39669546590914251</v>
      </c>
      <c r="Z3" s="14">
        <v>3.5962629405989206E-3</v>
      </c>
      <c r="AA3" s="14">
        <v>4.9794409946754279E-3</v>
      </c>
      <c r="AB3" s="14">
        <v>21.346033637341112</v>
      </c>
      <c r="AC3" s="29">
        <f t="shared" ref="AC3:AF48" si="1">K3*$C3</f>
        <v>20093798.687815614</v>
      </c>
      <c r="AD3" s="29">
        <f t="shared" si="0"/>
        <v>12395769.667278875</v>
      </c>
      <c r="AE3" s="29">
        <f t="shared" si="0"/>
        <v>6118079.4979195138</v>
      </c>
      <c r="AF3" s="29">
        <f t="shared" si="0"/>
        <v>1473688.5845831656</v>
      </c>
      <c r="AG3">
        <v>8693</v>
      </c>
      <c r="AH3">
        <v>66718</v>
      </c>
      <c r="AI3">
        <v>33</v>
      </c>
      <c r="AJ3">
        <v>254</v>
      </c>
      <c r="AK3">
        <v>1434.0000000000002</v>
      </c>
      <c r="AL3">
        <v>13</v>
      </c>
      <c r="AM3">
        <v>17.999999999999996</v>
      </c>
    </row>
    <row r="4" spans="1:40" x14ac:dyDescent="0.35">
      <c r="A4" s="1" t="s">
        <v>43</v>
      </c>
      <c r="B4" s="1" t="s">
        <v>44</v>
      </c>
      <c r="C4" s="3">
        <v>13124347</v>
      </c>
      <c r="D4">
        <v>10.88486024942803</v>
      </c>
      <c r="E4">
        <v>2.827229804271405</v>
      </c>
      <c r="F4">
        <v>16.86</v>
      </c>
      <c r="G4">
        <v>47</v>
      </c>
      <c r="H4">
        <v>60.77</v>
      </c>
      <c r="I4">
        <v>42.82</v>
      </c>
      <c r="J4">
        <v>41.862499999999997</v>
      </c>
      <c r="K4">
        <v>0.54153340249256254</v>
      </c>
      <c r="L4">
        <v>0.325239308880447</v>
      </c>
      <c r="M4">
        <v>0.1662778788855776</v>
      </c>
      <c r="N4">
        <v>4.7324914602763002E-2</v>
      </c>
      <c r="O4">
        <v>0.254</v>
      </c>
      <c r="P4">
        <v>0.3140346</v>
      </c>
      <c r="Q4">
        <v>3966.8029999999999</v>
      </c>
      <c r="R4">
        <v>4.16</v>
      </c>
      <c r="S4">
        <v>37.6</v>
      </c>
      <c r="T4" s="14">
        <v>7.4531156622620074</v>
      </c>
      <c r="U4" s="14">
        <v>2.3178296032556895</v>
      </c>
      <c r="V4" s="14">
        <v>4.7164251295702559</v>
      </c>
      <c r="W4" s="14">
        <v>1.8484729183097643</v>
      </c>
      <c r="X4" s="14">
        <v>5.0288216244206284E-2</v>
      </c>
      <c r="Y4" s="14">
        <v>0.3299211762688079</v>
      </c>
      <c r="Z4" s="14">
        <v>0.50897770380499696</v>
      </c>
      <c r="AA4" s="14">
        <v>1.2434904380385554</v>
      </c>
      <c r="AB4" s="14">
        <v>11.015405185492277</v>
      </c>
      <c r="AC4" s="29">
        <f t="shared" si="1"/>
        <v>7107272.2864030553</v>
      </c>
      <c r="AD4" s="29">
        <f t="shared" si="0"/>
        <v>4268553.5477871681</v>
      </c>
      <c r="AE4" s="29">
        <f t="shared" si="0"/>
        <v>2182288.5809182939</v>
      </c>
      <c r="AF4" s="29">
        <f t="shared" si="0"/>
        <v>621108.60099202883</v>
      </c>
      <c r="AG4">
        <v>3042</v>
      </c>
      <c r="AH4">
        <v>6190</v>
      </c>
      <c r="AI4">
        <v>2426</v>
      </c>
      <c r="AJ4">
        <v>66</v>
      </c>
      <c r="AK4">
        <v>433</v>
      </c>
      <c r="AL4">
        <v>668</v>
      </c>
      <c r="AM4">
        <v>1632</v>
      </c>
    </row>
    <row r="5" spans="1:40" x14ac:dyDescent="0.35">
      <c r="A5" s="1" t="s">
        <v>45</v>
      </c>
      <c r="B5" s="1" t="s">
        <v>46</v>
      </c>
      <c r="C5" s="3">
        <v>2483754</v>
      </c>
      <c r="D5">
        <v>32.040540701695896</v>
      </c>
      <c r="E5">
        <v>6.3942892492573744</v>
      </c>
      <c r="F5">
        <v>43.33</v>
      </c>
      <c r="G5">
        <v>66.05</v>
      </c>
      <c r="H5">
        <v>60.17</v>
      </c>
      <c r="I5">
        <v>53.85</v>
      </c>
      <c r="J5">
        <v>55.85</v>
      </c>
      <c r="K5">
        <v>0.51046946627320211</v>
      </c>
      <c r="L5">
        <v>0.2905673858089361</v>
      </c>
      <c r="M5">
        <v>0.16281769439857324</v>
      </c>
      <c r="N5">
        <v>3.6818540319200059E-2</v>
      </c>
      <c r="O5">
        <v>0.33600000000000002</v>
      </c>
      <c r="P5">
        <v>0.37506129999999999</v>
      </c>
      <c r="Q5">
        <v>16749.388999999999</v>
      </c>
      <c r="R5">
        <v>23.79</v>
      </c>
      <c r="S5">
        <v>57.4</v>
      </c>
      <c r="T5" s="14">
        <v>-2.9898687946792819</v>
      </c>
      <c r="U5" s="14">
        <v>3.7886199680000514</v>
      </c>
      <c r="V5" s="14">
        <v>30.135834708268209</v>
      </c>
      <c r="W5" s="14">
        <v>0</v>
      </c>
      <c r="X5" s="14">
        <v>0.35832856232944166</v>
      </c>
      <c r="Y5" s="14">
        <v>0.53145359806164372</v>
      </c>
      <c r="Z5" s="14">
        <v>0.60392454325186795</v>
      </c>
      <c r="AA5" s="14">
        <v>1.252136886342206</v>
      </c>
      <c r="AB5" s="14">
        <v>36.670298266253425</v>
      </c>
      <c r="AC5" s="29">
        <f t="shared" si="1"/>
        <v>1267880.5787339308</v>
      </c>
      <c r="AD5" s="29">
        <f t="shared" si="0"/>
        <v>721697.90677248826</v>
      </c>
      <c r="AE5" s="29">
        <f t="shared" si="0"/>
        <v>404399.09973323386</v>
      </c>
      <c r="AF5" s="29">
        <f t="shared" si="0"/>
        <v>91448.19679197442</v>
      </c>
      <c r="AG5">
        <v>941</v>
      </c>
      <c r="AH5">
        <v>7485</v>
      </c>
      <c r="AI5">
        <v>0</v>
      </c>
      <c r="AJ5">
        <v>89</v>
      </c>
      <c r="AK5">
        <v>131.99999999999997</v>
      </c>
      <c r="AL5">
        <v>150</v>
      </c>
      <c r="AM5">
        <v>310.99999999999994</v>
      </c>
    </row>
    <row r="6" spans="1:40" x14ac:dyDescent="0.35">
      <c r="A6" s="1" t="s">
        <v>47</v>
      </c>
      <c r="B6" s="1" t="s">
        <v>48</v>
      </c>
      <c r="C6" s="3">
        <v>22720842</v>
      </c>
      <c r="D6">
        <v>10.935549276298829</v>
      </c>
      <c r="E6">
        <v>3.0043272604069866</v>
      </c>
      <c r="F6">
        <v>14.92</v>
      </c>
      <c r="G6">
        <v>50.01</v>
      </c>
      <c r="H6">
        <v>54.76</v>
      </c>
      <c r="I6">
        <v>60.22</v>
      </c>
      <c r="J6">
        <v>44.977499999999999</v>
      </c>
      <c r="K6">
        <v>0.53931545729379993</v>
      </c>
      <c r="L6">
        <v>0.30772700766077493</v>
      </c>
      <c r="M6">
        <v>0.16837414140323015</v>
      </c>
      <c r="N6">
        <v>5.9056872943486417E-2</v>
      </c>
      <c r="O6">
        <v>0.29799999999999999</v>
      </c>
      <c r="P6">
        <v>0.28462350000000003</v>
      </c>
      <c r="Q6">
        <v>2508.5279999999998</v>
      </c>
      <c r="R6">
        <v>4.3</v>
      </c>
      <c r="S6">
        <v>0</v>
      </c>
      <c r="T6" s="14">
        <v>4.9851030062518333</v>
      </c>
      <c r="U6" s="14">
        <v>1.4625338268713808</v>
      </c>
      <c r="V6" s="14">
        <v>5.9940560301418406</v>
      </c>
      <c r="W6" s="14">
        <v>3.6217847912502541</v>
      </c>
      <c r="X6" s="14">
        <v>5.8536563037584609E-2</v>
      </c>
      <c r="Y6" s="14">
        <v>0.39655220523957696</v>
      </c>
      <c r="Z6" s="14">
        <v>2.640747204703065E-3</v>
      </c>
      <c r="AA6" s="14">
        <v>0.485897485665364</v>
      </c>
      <c r="AB6" s="14">
        <v>12.022001649410702</v>
      </c>
      <c r="AC6" s="29">
        <f t="shared" si="1"/>
        <v>12253701.293330176</v>
      </c>
      <c r="AD6" s="29">
        <f t="shared" si="0"/>
        <v>6991816.7201932566</v>
      </c>
      <c r="AE6" s="29">
        <f t="shared" si="0"/>
        <v>3825602.2637084504</v>
      </c>
      <c r="AF6" s="29">
        <f t="shared" si="0"/>
        <v>1341821.8791630298</v>
      </c>
      <c r="AG6">
        <v>3322.9999999999995</v>
      </c>
      <c r="AH6">
        <v>13619</v>
      </c>
      <c r="AI6">
        <v>8229</v>
      </c>
      <c r="AJ6">
        <v>133</v>
      </c>
      <c r="AK6">
        <v>901</v>
      </c>
      <c r="AL6">
        <v>5.9999999999999991</v>
      </c>
      <c r="AM6">
        <v>1104</v>
      </c>
    </row>
    <row r="7" spans="1:40" x14ac:dyDescent="0.35">
      <c r="A7" s="1" t="s">
        <v>49</v>
      </c>
      <c r="B7" s="1" t="s">
        <v>50</v>
      </c>
      <c r="C7" s="3">
        <v>12999141</v>
      </c>
      <c r="D7">
        <v>9.4270120648741322</v>
      </c>
      <c r="E7">
        <v>3.2873538720750854</v>
      </c>
      <c r="F7">
        <v>13.85</v>
      </c>
      <c r="G7">
        <v>60.47</v>
      </c>
      <c r="H7">
        <v>59.39</v>
      </c>
      <c r="I7">
        <v>59.42</v>
      </c>
      <c r="J7">
        <v>48.282499999999999</v>
      </c>
      <c r="K7">
        <v>0.46057152861854272</v>
      </c>
      <c r="L7">
        <v>0.25291884815631899</v>
      </c>
      <c r="M7">
        <v>0.1545390833870478</v>
      </c>
      <c r="N7">
        <v>5.1080320762151438E-2</v>
      </c>
      <c r="O7">
        <v>0.221</v>
      </c>
      <c r="P7">
        <v>0.25839420000000002</v>
      </c>
      <c r="Q7">
        <v>879.67</v>
      </c>
      <c r="R7">
        <v>0.9</v>
      </c>
      <c r="S7">
        <v>33.33</v>
      </c>
      <c r="T7" s="14">
        <v>3.4892317483896846</v>
      </c>
      <c r="U7" s="14">
        <v>0.79851430182963623</v>
      </c>
      <c r="V7" s="14">
        <v>8.3643988475853899</v>
      </c>
      <c r="W7" s="14">
        <v>0.37156301327910818</v>
      </c>
      <c r="X7" s="14">
        <v>1.0769942413887195E-2</v>
      </c>
      <c r="Y7" s="14">
        <v>9.539091852300087E-2</v>
      </c>
      <c r="Z7" s="14">
        <v>0.98006475966373474</v>
      </c>
      <c r="AA7" s="14">
        <v>0.70081553850365952</v>
      </c>
      <c r="AB7" s="14">
        <v>11.321517321798417</v>
      </c>
      <c r="AC7" s="29">
        <f t="shared" si="1"/>
        <v>5987034.2410979718</v>
      </c>
      <c r="AD7" s="29">
        <f t="shared" si="0"/>
        <v>3287727.7687415807</v>
      </c>
      <c r="AE7" s="29">
        <f t="shared" si="0"/>
        <v>2008875.334958992</v>
      </c>
      <c r="AF7" s="29">
        <f t="shared" si="0"/>
        <v>664000.29191243404</v>
      </c>
      <c r="AG7">
        <v>1038</v>
      </c>
      <c r="AH7">
        <v>10872.999999999998</v>
      </c>
      <c r="AI7">
        <v>483</v>
      </c>
      <c r="AJ7">
        <v>14</v>
      </c>
      <c r="AK7">
        <v>124</v>
      </c>
      <c r="AL7">
        <v>1274</v>
      </c>
      <c r="AM7">
        <v>911</v>
      </c>
    </row>
    <row r="8" spans="1:40" x14ac:dyDescent="0.35">
      <c r="A8" s="1" t="s">
        <v>51</v>
      </c>
      <c r="B8" s="1" t="s">
        <v>52</v>
      </c>
      <c r="C8" s="3">
        <v>573322</v>
      </c>
      <c r="D8">
        <v>24.528465242917587</v>
      </c>
      <c r="F8">
        <v>66.2</v>
      </c>
      <c r="G8">
        <v>90.4</v>
      </c>
      <c r="H8">
        <v>56.77</v>
      </c>
      <c r="I8">
        <v>75.55</v>
      </c>
      <c r="J8">
        <v>72.23</v>
      </c>
      <c r="K8">
        <v>0.28416803571937194</v>
      </c>
      <c r="L8">
        <v>6.4726853200502851E-2</v>
      </c>
      <c r="M8">
        <v>0.18145936291550335</v>
      </c>
      <c r="N8">
        <v>3.4756189241051116E-2</v>
      </c>
      <c r="O8">
        <v>0.34100000000000003</v>
      </c>
      <c r="P8">
        <v>0.50242220000000004</v>
      </c>
      <c r="Q8">
        <v>10052.799000000001</v>
      </c>
      <c r="R8">
        <v>11.35</v>
      </c>
      <c r="S8">
        <v>52.5</v>
      </c>
      <c r="T8" s="14">
        <v>7.2718814720441145</v>
      </c>
      <c r="U8" s="14">
        <v>6.6454802013528171</v>
      </c>
      <c r="V8" s="14">
        <v>16.378230732467966</v>
      </c>
      <c r="W8" s="14">
        <v>0.45349733657525787</v>
      </c>
      <c r="X8" s="14">
        <v>0.13953764202315627</v>
      </c>
      <c r="Y8" s="14">
        <v>0.17442205252894535</v>
      </c>
      <c r="Z8" s="14">
        <v>6.9768821011578136E-2</v>
      </c>
      <c r="AA8" s="14">
        <v>0.13953764202315627</v>
      </c>
      <c r="AB8" s="14">
        <v>24.00047442798288</v>
      </c>
      <c r="AC8" s="29">
        <f t="shared" si="1"/>
        <v>162919.78657470175</v>
      </c>
      <c r="AD8" s="29">
        <f t="shared" si="0"/>
        <v>37109.328930618693</v>
      </c>
      <c r="AE8" s="29">
        <f t="shared" si="0"/>
        <v>104034.64486544221</v>
      </c>
      <c r="AF8" s="29">
        <f t="shared" si="0"/>
        <v>19926.487928057908</v>
      </c>
      <c r="AG8">
        <v>381</v>
      </c>
      <c r="AH8">
        <v>938.99999999999977</v>
      </c>
      <c r="AI8">
        <v>26</v>
      </c>
      <c r="AJ8">
        <v>8</v>
      </c>
      <c r="AK8">
        <v>10.000000000000002</v>
      </c>
      <c r="AL8">
        <v>4</v>
      </c>
      <c r="AM8">
        <v>8</v>
      </c>
    </row>
    <row r="9" spans="1:40" x14ac:dyDescent="0.35">
      <c r="A9" s="1" t="s">
        <v>53</v>
      </c>
      <c r="B9" s="1" t="s">
        <v>54</v>
      </c>
      <c r="C9" s="3">
        <v>28608129</v>
      </c>
      <c r="D9">
        <v>7.6903690506988429</v>
      </c>
      <c r="E9">
        <v>2.9013854768342244</v>
      </c>
      <c r="F9">
        <v>28.28</v>
      </c>
      <c r="G9">
        <v>56.12</v>
      </c>
      <c r="H9">
        <v>49.14</v>
      </c>
      <c r="I9">
        <v>47.52</v>
      </c>
      <c r="J9">
        <v>45.265000000000008</v>
      </c>
      <c r="K9">
        <v>0.5498101903642878</v>
      </c>
      <c r="L9">
        <v>0.32608298886421361</v>
      </c>
      <c r="M9">
        <v>0.17512170372939165</v>
      </c>
      <c r="N9">
        <v>4.2805911751659313E-2</v>
      </c>
      <c r="O9">
        <v>0.28600000000000003</v>
      </c>
      <c r="P9">
        <v>0.33725690000000003</v>
      </c>
      <c r="Q9">
        <v>4880.5190000000002</v>
      </c>
      <c r="R9">
        <v>6.23</v>
      </c>
      <c r="S9">
        <v>49</v>
      </c>
      <c r="T9" s="14">
        <v>3.6707428468098442</v>
      </c>
      <c r="U9" s="14">
        <v>1.3150108488395031</v>
      </c>
      <c r="V9" s="14">
        <v>5.7798257271560827</v>
      </c>
      <c r="W9" s="14">
        <v>0.5847988171473919</v>
      </c>
      <c r="X9" s="14">
        <v>0.11080766589104796</v>
      </c>
      <c r="Y9" s="14">
        <v>0.21042969989404062</v>
      </c>
      <c r="Z9" s="14">
        <v>0.10241844197500648</v>
      </c>
      <c r="AA9" s="14">
        <v>8.3542688163913137E-2</v>
      </c>
      <c r="AB9" s="14">
        <v>8.1868338890669854</v>
      </c>
      <c r="AC9" s="29">
        <f t="shared" si="1"/>
        <v>15729040.851456102</v>
      </c>
      <c r="AD9" s="29">
        <f t="shared" si="0"/>
        <v>9328624.2101329863</v>
      </c>
      <c r="AE9" s="29">
        <f t="shared" si="0"/>
        <v>5009904.2909902176</v>
      </c>
      <c r="AF9" s="29">
        <f t="shared" si="0"/>
        <v>1224597.0453540855</v>
      </c>
      <c r="AG9">
        <v>3762.0000000000009</v>
      </c>
      <c r="AH9">
        <v>16535.000000000004</v>
      </c>
      <c r="AI9">
        <v>1673</v>
      </c>
      <c r="AJ9">
        <v>317</v>
      </c>
      <c r="AK9">
        <v>602</v>
      </c>
      <c r="AL9">
        <v>293</v>
      </c>
      <c r="AM9">
        <v>239</v>
      </c>
    </row>
    <row r="10" spans="1:40" x14ac:dyDescent="0.35">
      <c r="A10" s="1" t="s">
        <v>55</v>
      </c>
      <c r="B10" s="1" t="s">
        <v>56</v>
      </c>
      <c r="C10" s="3">
        <v>5119136</v>
      </c>
      <c r="D10">
        <v>10.51026065922062</v>
      </c>
      <c r="E10">
        <v>7.243409825408037E-2</v>
      </c>
      <c r="F10">
        <v>16.760000000000002</v>
      </c>
      <c r="G10">
        <v>38.69</v>
      </c>
      <c r="H10">
        <v>43.77</v>
      </c>
      <c r="I10">
        <v>38.17</v>
      </c>
      <c r="J10">
        <v>34.347499999999997</v>
      </c>
      <c r="K10">
        <v>0.83557862180849396</v>
      </c>
      <c r="L10">
        <v>0.58633455797762413</v>
      </c>
      <c r="M10">
        <v>0.16570338837932277</v>
      </c>
      <c r="N10">
        <v>7.5570310126372137E-2</v>
      </c>
      <c r="O10">
        <v>0.18600000000000003</v>
      </c>
      <c r="P10">
        <v>0.15160310000000002</v>
      </c>
      <c r="Q10">
        <v>1145.1610000000001</v>
      </c>
      <c r="R10">
        <v>1.57</v>
      </c>
      <c r="S10">
        <v>59.27</v>
      </c>
      <c r="T10" s="14">
        <v>1.539632474828494</v>
      </c>
      <c r="U10" s="14">
        <v>0.74817312921555512</v>
      </c>
      <c r="V10" s="14">
        <v>7.3371756483906667</v>
      </c>
      <c r="W10" s="14">
        <v>3.7057034624592897</v>
      </c>
      <c r="X10" s="14">
        <v>5.8603639364142703E-3</v>
      </c>
      <c r="Y10" s="14">
        <v>2.5394910391128504E-2</v>
      </c>
      <c r="Z10" s="14">
        <v>0.21878692029279939</v>
      </c>
      <c r="AA10" s="14">
        <v>0.5606414832502985</v>
      </c>
      <c r="AB10" s="14">
        <v>12.601735917936152</v>
      </c>
      <c r="AC10" s="29">
        <f t="shared" si="1"/>
        <v>4277440.6037302464</v>
      </c>
      <c r="AD10" s="29">
        <f t="shared" si="0"/>
        <v>3001526.3437873428</v>
      </c>
      <c r="AE10" s="29">
        <f t="shared" si="0"/>
        <v>848258.18077457289</v>
      </c>
      <c r="AF10" s="29">
        <f t="shared" si="0"/>
        <v>386854.69509907614</v>
      </c>
      <c r="AG10">
        <v>383</v>
      </c>
      <c r="AH10">
        <v>3756.0000000000009</v>
      </c>
      <c r="AI10">
        <v>1897</v>
      </c>
      <c r="AJ10">
        <v>3.0000000000000004</v>
      </c>
      <c r="AK10">
        <v>13</v>
      </c>
      <c r="AL10">
        <v>112</v>
      </c>
      <c r="AM10">
        <v>287</v>
      </c>
    </row>
    <row r="11" spans="1:40" x14ac:dyDescent="0.35">
      <c r="A11" s="1" t="s">
        <v>57</v>
      </c>
      <c r="B11" s="1" t="s">
        <v>58</v>
      </c>
      <c r="C11" s="3">
        <v>17921183</v>
      </c>
      <c r="D11">
        <v>3.975771554255096</v>
      </c>
      <c r="E11">
        <v>4.1133941883189298</v>
      </c>
      <c r="F11">
        <v>10.76</v>
      </c>
      <c r="G11">
        <v>41.09</v>
      </c>
      <c r="H11">
        <v>58.54</v>
      </c>
      <c r="I11">
        <v>28.87</v>
      </c>
      <c r="J11">
        <v>34.814999999999998</v>
      </c>
      <c r="K11">
        <v>0.72291647714166141</v>
      </c>
      <c r="L11">
        <v>0.50936099410263569</v>
      </c>
      <c r="M11">
        <v>0.15067298815289831</v>
      </c>
      <c r="N11">
        <v>5.6395952595388391E-2</v>
      </c>
      <c r="O11">
        <v>0.23899999999999999</v>
      </c>
      <c r="P11">
        <v>0.23751449999999999</v>
      </c>
      <c r="Q11">
        <v>2588.8200000000002</v>
      </c>
      <c r="R11">
        <v>3.29</v>
      </c>
      <c r="S11">
        <v>36.9</v>
      </c>
      <c r="T11" s="14">
        <v>3.6544511046340489</v>
      </c>
      <c r="U11" s="14">
        <v>0.91567615820897541</v>
      </c>
      <c r="V11" s="14">
        <v>1.3263633321527937</v>
      </c>
      <c r="W11" s="14">
        <v>0.4715090516066936</v>
      </c>
      <c r="X11" s="14">
        <v>7.2539854093337476E-3</v>
      </c>
      <c r="Y11" s="14">
        <v>9.0953817055492367E-2</v>
      </c>
      <c r="Z11" s="14">
        <v>0.57362284621500714</v>
      </c>
      <c r="AA11" s="14">
        <v>0.58478282376782831</v>
      </c>
      <c r="AB11" s="14">
        <v>3.9701620144161245</v>
      </c>
      <c r="AC11" s="29">
        <f t="shared" si="1"/>
        <v>12955518.480571032</v>
      </c>
      <c r="AD11" s="29">
        <f t="shared" si="0"/>
        <v>9128351.5883752555</v>
      </c>
      <c r="AE11" s="29">
        <f t="shared" si="0"/>
        <v>2700238.1938449228</v>
      </c>
      <c r="AF11" s="29">
        <f t="shared" si="0"/>
        <v>1010682.1869212803</v>
      </c>
      <c r="AG11">
        <v>1641</v>
      </c>
      <c r="AH11">
        <v>2377</v>
      </c>
      <c r="AI11">
        <v>845</v>
      </c>
      <c r="AJ11">
        <v>13</v>
      </c>
      <c r="AK11">
        <v>162.99999999999997</v>
      </c>
      <c r="AL11">
        <v>1028</v>
      </c>
      <c r="AM11">
        <v>1048</v>
      </c>
    </row>
    <row r="12" spans="1:40" x14ac:dyDescent="0.35">
      <c r="A12" s="1" t="s">
        <v>59</v>
      </c>
      <c r="B12" s="1" t="s">
        <v>60</v>
      </c>
      <c r="C12" s="3">
        <v>926492</v>
      </c>
      <c r="D12">
        <v>20.789888741618917</v>
      </c>
      <c r="E12">
        <v>0.92989469957646698</v>
      </c>
      <c r="F12">
        <v>37.44</v>
      </c>
      <c r="G12">
        <v>51.48</v>
      </c>
      <c r="H12">
        <v>56.05</v>
      </c>
      <c r="I12">
        <v>49.64</v>
      </c>
      <c r="J12">
        <v>48.652499999999989</v>
      </c>
      <c r="K12">
        <v>0.39984340446251848</v>
      </c>
      <c r="L12">
        <v>0.18043054077648474</v>
      </c>
      <c r="M12">
        <v>0.17489083430940955</v>
      </c>
      <c r="N12">
        <v>3.9609689235262514E-2</v>
      </c>
      <c r="O12">
        <v>0.249</v>
      </c>
      <c r="P12">
        <v>0.31806439999999997</v>
      </c>
      <c r="Q12">
        <v>3392.3159999999998</v>
      </c>
      <c r="R12">
        <v>6.02</v>
      </c>
      <c r="S12">
        <v>55.92</v>
      </c>
      <c r="T12" s="14">
        <v>3.3887835062683962</v>
      </c>
      <c r="U12" s="14">
        <v>3.8208640765381676</v>
      </c>
      <c r="V12" s="14">
        <v>8.472820056730118</v>
      </c>
      <c r="W12" s="14">
        <v>6.3249331888456668</v>
      </c>
      <c r="X12" s="14">
        <v>0.34538884307689649</v>
      </c>
      <c r="Y12" s="14">
        <v>0.43173605384612063</v>
      </c>
      <c r="Z12" s="14">
        <v>1.7377376167306355</v>
      </c>
      <c r="AA12" s="14">
        <v>0.17269442153844825</v>
      </c>
      <c r="AB12" s="14">
        <v>21.306174257306051</v>
      </c>
      <c r="AC12" s="29">
        <f t="shared" si="1"/>
        <v>370451.71548728767</v>
      </c>
      <c r="AD12" s="29">
        <f t="shared" si="0"/>
        <v>167167.4525850869</v>
      </c>
      <c r="AE12" s="29">
        <f t="shared" si="0"/>
        <v>162034.95886099347</v>
      </c>
      <c r="AF12" s="29">
        <f t="shared" si="0"/>
        <v>36698.060198956839</v>
      </c>
      <c r="AG12">
        <v>354</v>
      </c>
      <c r="AH12">
        <v>785</v>
      </c>
      <c r="AI12">
        <v>585.99999999999989</v>
      </c>
      <c r="AJ12">
        <v>32</v>
      </c>
      <c r="AK12">
        <v>40</v>
      </c>
      <c r="AL12">
        <v>161</v>
      </c>
      <c r="AM12">
        <v>16</v>
      </c>
    </row>
    <row r="13" spans="1:40" x14ac:dyDescent="0.35">
      <c r="A13" s="1" t="s">
        <v>61</v>
      </c>
      <c r="B13" s="1" t="s">
        <v>62</v>
      </c>
      <c r="C13" s="3">
        <v>5940746</v>
      </c>
      <c r="D13">
        <v>13.271802888054802</v>
      </c>
      <c r="E13">
        <v>0.42558796487848494</v>
      </c>
      <c r="F13">
        <v>28.57</v>
      </c>
      <c r="G13">
        <v>36.21</v>
      </c>
      <c r="H13">
        <v>52.47</v>
      </c>
      <c r="I13">
        <v>52.06</v>
      </c>
      <c r="J13">
        <v>42.327500000000001</v>
      </c>
      <c r="K13">
        <v>0.45539964839499342</v>
      </c>
      <c r="L13">
        <v>0.27170786700174843</v>
      </c>
      <c r="M13">
        <v>0.15151453240979784</v>
      </c>
      <c r="N13">
        <v>2.7856400828118095E-2</v>
      </c>
      <c r="O13">
        <v>0.26300000000000001</v>
      </c>
      <c r="P13">
        <v>0.33953130000000004</v>
      </c>
      <c r="Q13">
        <v>5622.1610000000001</v>
      </c>
      <c r="R13">
        <v>7.57</v>
      </c>
      <c r="S13">
        <v>41.9</v>
      </c>
      <c r="T13" s="14">
        <v>2.5796663953513814</v>
      </c>
      <c r="U13" s="14">
        <v>1.7539884721548438</v>
      </c>
      <c r="V13" s="14">
        <v>9.3809767325517708</v>
      </c>
      <c r="W13" s="14">
        <v>2.0031154336509251</v>
      </c>
      <c r="X13" s="14">
        <v>1.6832902803789289E-2</v>
      </c>
      <c r="Y13" s="14">
        <v>5.3865288972125724E-2</v>
      </c>
      <c r="Z13" s="14">
        <v>0.53865288972125724</v>
      </c>
      <c r="AA13" s="14">
        <v>1.3079165478544277</v>
      </c>
      <c r="AB13" s="14">
        <v>15.055348267709141</v>
      </c>
      <c r="AC13" s="29">
        <f t="shared" si="1"/>
        <v>2705413.6396039636</v>
      </c>
      <c r="AD13" s="29">
        <f t="shared" si="0"/>
        <v>1614147.4240591689</v>
      </c>
      <c r="AE13" s="29">
        <f t="shared" si="0"/>
        <v>900109.35235537693</v>
      </c>
      <c r="AF13" s="29">
        <f t="shared" si="0"/>
        <v>165487.80179403926</v>
      </c>
      <c r="AG13">
        <v>1042</v>
      </c>
      <c r="AH13">
        <v>5573</v>
      </c>
      <c r="AI13">
        <v>1189.9999999999998</v>
      </c>
      <c r="AJ13">
        <v>10</v>
      </c>
      <c r="AK13">
        <v>32</v>
      </c>
      <c r="AL13">
        <v>320</v>
      </c>
      <c r="AM13">
        <v>777</v>
      </c>
    </row>
    <row r="14" spans="1:40" x14ac:dyDescent="0.35">
      <c r="A14" s="1" t="s">
        <v>63</v>
      </c>
      <c r="B14" s="1" t="s">
        <v>64</v>
      </c>
      <c r="C14" s="3">
        <v>28444206</v>
      </c>
      <c r="D14">
        <v>10.770365265601015</v>
      </c>
      <c r="E14">
        <v>1.3951259704700494</v>
      </c>
      <c r="F14">
        <v>19.16</v>
      </c>
      <c r="G14">
        <v>58.23</v>
      </c>
      <c r="H14">
        <v>58.65</v>
      </c>
      <c r="I14">
        <v>51.18</v>
      </c>
      <c r="J14">
        <v>46.805</v>
      </c>
      <c r="K14">
        <v>0.5078316369366449</v>
      </c>
      <c r="L14">
        <v>0.29631260176667984</v>
      </c>
      <c r="M14">
        <v>0.16206600409758018</v>
      </c>
      <c r="N14">
        <v>4.5583166487203272E-2</v>
      </c>
      <c r="O14">
        <v>0.312</v>
      </c>
      <c r="P14">
        <v>0.34320339999999999</v>
      </c>
      <c r="Q14">
        <v>6726.0720000000001</v>
      </c>
      <c r="R14">
        <v>8.59</v>
      </c>
      <c r="S14">
        <v>45.6</v>
      </c>
      <c r="T14" s="14">
        <v>5.9500000000203102</v>
      </c>
      <c r="U14" s="14">
        <v>1.8172417960972438</v>
      </c>
      <c r="V14" s="14">
        <v>5.6475473423304559</v>
      </c>
      <c r="W14" s="14">
        <v>3.0403379865832783</v>
      </c>
      <c r="X14" s="14">
        <v>0.14941531502057045</v>
      </c>
      <c r="Y14" s="14">
        <v>0.42820671457659953</v>
      </c>
      <c r="Z14" s="14">
        <v>0.17472802721229061</v>
      </c>
      <c r="AA14" s="14">
        <v>0</v>
      </c>
      <c r="AB14" s="14">
        <v>11.257477181820439</v>
      </c>
      <c r="AC14" s="29">
        <f t="shared" si="1"/>
        <v>14444867.694343137</v>
      </c>
      <c r="AD14" s="29">
        <f t="shared" si="0"/>
        <v>8428376.6850474048</v>
      </c>
      <c r="AE14" s="29">
        <f t="shared" si="0"/>
        <v>4609838.8061484145</v>
      </c>
      <c r="AF14" s="29">
        <f t="shared" si="0"/>
        <v>1296576.9776943063</v>
      </c>
      <c r="AG14">
        <v>5169</v>
      </c>
      <c r="AH14">
        <v>16064</v>
      </c>
      <c r="AI14">
        <v>8648</v>
      </c>
      <c r="AJ14">
        <v>425</v>
      </c>
      <c r="AK14">
        <v>1218</v>
      </c>
      <c r="AL14">
        <v>497</v>
      </c>
      <c r="AM14">
        <v>0</v>
      </c>
    </row>
    <row r="15" spans="1:40" x14ac:dyDescent="0.35">
      <c r="A15" s="1" t="s">
        <v>65</v>
      </c>
      <c r="B15" s="1" t="s">
        <v>66</v>
      </c>
      <c r="C15" s="3">
        <v>98151951</v>
      </c>
      <c r="D15">
        <v>13.539166857722474</v>
      </c>
      <c r="E15">
        <v>6.893247919239017</v>
      </c>
      <c r="F15">
        <v>24.44</v>
      </c>
      <c r="G15">
        <v>48.21</v>
      </c>
      <c r="H15">
        <v>59.59</v>
      </c>
      <c r="I15">
        <v>43.22</v>
      </c>
      <c r="J15">
        <v>43.865000000000002</v>
      </c>
      <c r="K15">
        <v>0.61083886137873322</v>
      </c>
      <c r="L15">
        <v>0.39012942784630578</v>
      </c>
      <c r="M15">
        <v>0.16891107812394099</v>
      </c>
      <c r="N15">
        <v>4.7809794046407894E-2</v>
      </c>
      <c r="O15">
        <v>0.26100000000000001</v>
      </c>
      <c r="P15">
        <v>0.29041299999999998</v>
      </c>
      <c r="Q15">
        <v>1592.4770000000001</v>
      </c>
      <c r="R15">
        <v>2.41</v>
      </c>
      <c r="S15">
        <v>41.64</v>
      </c>
      <c r="T15" s="14">
        <v>6.675930289867793</v>
      </c>
      <c r="U15" s="14">
        <v>2.1690857678417417</v>
      </c>
      <c r="V15" s="14">
        <v>11.748722142059101</v>
      </c>
      <c r="W15" s="14">
        <v>0.43728117029482172</v>
      </c>
      <c r="X15" s="14">
        <v>4.5949163048221019E-2</v>
      </c>
      <c r="Y15" s="14">
        <v>9.4547280063745243E-2</v>
      </c>
      <c r="Z15" s="14">
        <v>0.29892426692567731</v>
      </c>
      <c r="AA15" s="14">
        <v>0.29892426692567731</v>
      </c>
      <c r="AB15" s="14">
        <v>15.093434057158985</v>
      </c>
      <c r="AC15" s="29">
        <f t="shared" si="1"/>
        <v>59955025.990941219</v>
      </c>
      <c r="AD15" s="29">
        <f t="shared" si="0"/>
        <v>38291964.485628642</v>
      </c>
      <c r="AE15" s="29">
        <f t="shared" si="0"/>
        <v>16578951.863378229</v>
      </c>
      <c r="AF15" s="29">
        <f t="shared" si="0"/>
        <v>4692624.5625631195</v>
      </c>
      <c r="AG15">
        <v>21290</v>
      </c>
      <c r="AH15">
        <v>115316</v>
      </c>
      <c r="AI15">
        <v>4292</v>
      </c>
      <c r="AJ15">
        <v>451</v>
      </c>
      <c r="AK15">
        <v>928</v>
      </c>
      <c r="AL15">
        <v>2934</v>
      </c>
      <c r="AM15">
        <v>2934</v>
      </c>
    </row>
    <row r="16" spans="1:40" x14ac:dyDescent="0.35">
      <c r="A16" s="1" t="s">
        <v>67</v>
      </c>
      <c r="B16" s="1" t="s">
        <v>68</v>
      </c>
      <c r="C16" s="3">
        <v>1543389</v>
      </c>
      <c r="D16">
        <v>17.115683712920074</v>
      </c>
      <c r="E16">
        <v>23.864221204116397</v>
      </c>
      <c r="F16">
        <v>41.09</v>
      </c>
      <c r="G16">
        <v>43.59</v>
      </c>
      <c r="H16">
        <v>50.27</v>
      </c>
      <c r="I16">
        <v>48.65</v>
      </c>
      <c r="J16">
        <v>45.900000000000006</v>
      </c>
      <c r="K16">
        <v>0.58306554041901237</v>
      </c>
      <c r="L16">
        <v>0.37725803356263643</v>
      </c>
      <c r="M16">
        <v>0.17062503821141639</v>
      </c>
      <c r="N16">
        <v>3.1497727378208405E-2</v>
      </c>
      <c r="O16">
        <v>0.17399999999999999</v>
      </c>
      <c r="P16">
        <v>0.42420960000000002</v>
      </c>
      <c r="Q16">
        <v>18565.41</v>
      </c>
      <c r="R16">
        <v>18.850000000000001</v>
      </c>
      <c r="S16">
        <v>50.2</v>
      </c>
      <c r="T16" s="14">
        <v>0.90724824598673592</v>
      </c>
      <c r="U16" s="14">
        <v>1.7817931837015812</v>
      </c>
      <c r="V16" s="14">
        <v>15.893595198618105</v>
      </c>
      <c r="W16" s="14">
        <v>0.16846044645905858</v>
      </c>
      <c r="X16" s="14">
        <v>0</v>
      </c>
      <c r="Y16" s="14">
        <v>9.0709471170262332E-2</v>
      </c>
      <c r="Z16" s="14">
        <v>0.86821922405822516</v>
      </c>
      <c r="AA16" s="14">
        <v>1.4772685304871294</v>
      </c>
      <c r="AB16" s="14">
        <v>20.280046054494363</v>
      </c>
      <c r="AC16" s="29">
        <f t="shared" si="1"/>
        <v>899896.94136175909</v>
      </c>
      <c r="AD16" s="29">
        <f t="shared" si="0"/>
        <v>582255.89916220389</v>
      </c>
      <c r="AE16" s="29">
        <f t="shared" si="0"/>
        <v>263340.80710007972</v>
      </c>
      <c r="AF16" s="29">
        <f t="shared" si="0"/>
        <v>48613.245960525695</v>
      </c>
      <c r="AG16">
        <v>275</v>
      </c>
      <c r="AH16">
        <v>2452.9999999999995</v>
      </c>
      <c r="AI16">
        <v>25.999999999999996</v>
      </c>
      <c r="AJ16">
        <v>0</v>
      </c>
      <c r="AK16">
        <v>14</v>
      </c>
      <c r="AL16">
        <v>134</v>
      </c>
      <c r="AM16">
        <v>228</v>
      </c>
    </row>
    <row r="17" spans="1:39" x14ac:dyDescent="0.35">
      <c r="A17" s="1" t="s">
        <v>69</v>
      </c>
      <c r="B17" s="1" t="s">
        <v>70</v>
      </c>
      <c r="C17" s="3">
        <v>3727656</v>
      </c>
      <c r="D17">
        <v>14.517287311382807</v>
      </c>
      <c r="E17">
        <v>2.6869968688097829</v>
      </c>
      <c r="F17">
        <v>35.700000000000003</v>
      </c>
      <c r="G17">
        <v>36.43</v>
      </c>
      <c r="H17">
        <v>60.09</v>
      </c>
      <c r="I17">
        <v>51.96</v>
      </c>
      <c r="J17">
        <v>46.045000000000002</v>
      </c>
      <c r="K17">
        <v>0.43861376693852167</v>
      </c>
      <c r="L17">
        <v>0.18328272635143175</v>
      </c>
      <c r="M17">
        <v>0.20161049336352013</v>
      </c>
      <c r="N17">
        <v>4.9832601104196059E-2</v>
      </c>
      <c r="O17">
        <v>0.214</v>
      </c>
      <c r="P17">
        <v>0.2559651</v>
      </c>
      <c r="Q17">
        <v>650</v>
      </c>
      <c r="R17">
        <v>2.78</v>
      </c>
      <c r="S17">
        <v>0</v>
      </c>
      <c r="T17" s="14"/>
      <c r="U17" s="14">
        <v>0.80211264129522675</v>
      </c>
      <c r="V17" s="14">
        <v>13.933689160158554</v>
      </c>
      <c r="W17" s="14">
        <v>0.17973761527351237</v>
      </c>
      <c r="X17" s="14">
        <v>0.17973761527351237</v>
      </c>
      <c r="Y17" s="14">
        <v>0.6143270730990199</v>
      </c>
      <c r="Z17" s="14">
        <v>0.91210133123871939</v>
      </c>
      <c r="AA17" s="14">
        <v>0.82357384908907905</v>
      </c>
      <c r="AB17" s="14">
        <v>17.44527928542762</v>
      </c>
      <c r="AC17" s="29">
        <f t="shared" si="1"/>
        <v>1635001.2400109819</v>
      </c>
      <c r="AD17" s="29">
        <f t="shared" si="0"/>
        <v>683214.95458027266</v>
      </c>
      <c r="AE17" s="29">
        <f t="shared" si="0"/>
        <v>751534.56524948601</v>
      </c>
      <c r="AF17" s="29">
        <f t="shared" si="0"/>
        <v>185758.79450166307</v>
      </c>
      <c r="AG17">
        <v>298.99999999999994</v>
      </c>
      <c r="AH17">
        <v>5193.9999999999991</v>
      </c>
      <c r="AI17">
        <v>67</v>
      </c>
      <c r="AJ17">
        <v>67</v>
      </c>
      <c r="AK17">
        <v>229</v>
      </c>
      <c r="AL17">
        <v>340</v>
      </c>
      <c r="AM17">
        <v>307</v>
      </c>
    </row>
    <row r="18" spans="1:39" x14ac:dyDescent="0.35">
      <c r="A18" s="1" t="s">
        <v>71</v>
      </c>
      <c r="B18" s="1" t="s">
        <v>72</v>
      </c>
      <c r="C18" s="3">
        <v>1197512</v>
      </c>
      <c r="D18">
        <v>43.650797545243812</v>
      </c>
      <c r="E18">
        <v>4.3127442564249874</v>
      </c>
      <c r="F18">
        <v>32.979999999999997</v>
      </c>
      <c r="G18">
        <v>65.08</v>
      </c>
      <c r="H18">
        <v>62</v>
      </c>
      <c r="I18">
        <v>73.19</v>
      </c>
      <c r="J18">
        <v>58.3125</v>
      </c>
      <c r="K18">
        <v>0.71206086397362212</v>
      </c>
      <c r="L18">
        <v>0.38181597001458345</v>
      </c>
      <c r="M18">
        <v>0.23565534232671201</v>
      </c>
      <c r="N18">
        <v>7.5562409677964362E-2</v>
      </c>
      <c r="O18">
        <v>0.29299999999999998</v>
      </c>
      <c r="P18">
        <v>0.32523240000000003</v>
      </c>
      <c r="Q18">
        <v>11315.553</v>
      </c>
      <c r="R18">
        <v>24.95</v>
      </c>
      <c r="S18">
        <v>63.7</v>
      </c>
      <c r="T18" s="14">
        <v>2.6407046161200043</v>
      </c>
      <c r="U18" s="14">
        <v>5.72019320056918</v>
      </c>
      <c r="V18" s="14">
        <v>43.774091616618456</v>
      </c>
      <c r="W18" s="14">
        <v>0</v>
      </c>
      <c r="X18" s="14">
        <v>0.29227264528455665</v>
      </c>
      <c r="Y18" s="14">
        <v>0.350727174341468</v>
      </c>
      <c r="Z18" s="14">
        <v>0</v>
      </c>
      <c r="AA18" s="14">
        <v>0</v>
      </c>
      <c r="AB18" s="14">
        <v>50.137284636813654</v>
      </c>
      <c r="AC18" s="29">
        <f t="shared" si="1"/>
        <v>852701.42933878012</v>
      </c>
      <c r="AD18" s="29">
        <f t="shared" si="1"/>
        <v>457229.20588410384</v>
      </c>
      <c r="AE18" s="29">
        <f t="shared" si="1"/>
        <v>282200.10030034557</v>
      </c>
      <c r="AF18" s="29">
        <f t="shared" si="1"/>
        <v>90486.892338278456</v>
      </c>
      <c r="AG18">
        <v>685</v>
      </c>
      <c r="AH18">
        <v>5242</v>
      </c>
      <c r="AI18">
        <v>0</v>
      </c>
      <c r="AJ18">
        <v>35</v>
      </c>
      <c r="AK18">
        <v>42</v>
      </c>
      <c r="AL18">
        <v>0</v>
      </c>
      <c r="AM18">
        <v>0</v>
      </c>
    </row>
    <row r="19" spans="1:39" x14ac:dyDescent="0.35">
      <c r="A19" s="1" t="s">
        <v>73</v>
      </c>
      <c r="B19" s="1" t="s">
        <v>74</v>
      </c>
      <c r="C19" s="3">
        <v>123771387</v>
      </c>
      <c r="D19">
        <v>17.313518936569729</v>
      </c>
      <c r="E19">
        <v>1.8644829681031205</v>
      </c>
      <c r="F19">
        <v>20.87</v>
      </c>
      <c r="G19">
        <v>29.04</v>
      </c>
      <c r="H19">
        <v>52.49</v>
      </c>
      <c r="I19">
        <v>47.93</v>
      </c>
      <c r="J19">
        <v>37.582500000000003</v>
      </c>
      <c r="K19">
        <v>0.38864962867377678</v>
      </c>
      <c r="L19">
        <v>0.20396757926685294</v>
      </c>
      <c r="M19">
        <v>0.13963053062677852</v>
      </c>
      <c r="N19">
        <v>4.1155728503339851E-2</v>
      </c>
      <c r="O19">
        <v>0.37799999999999995</v>
      </c>
      <c r="P19">
        <v>0.31205269999999996</v>
      </c>
      <c r="Q19">
        <v>3591.681</v>
      </c>
      <c r="R19">
        <v>4.7</v>
      </c>
      <c r="S19">
        <v>30.98</v>
      </c>
      <c r="T19" s="14">
        <v>7.316691128483825</v>
      </c>
      <c r="U19" s="14">
        <v>1.4876620878458768</v>
      </c>
      <c r="V19" s="14">
        <v>10.60519746781217</v>
      </c>
      <c r="W19" s="14">
        <v>1.7770666171818854</v>
      </c>
      <c r="X19" s="14">
        <v>0.28455688227845422</v>
      </c>
      <c r="Y19" s="14">
        <v>1.5290286760703424</v>
      </c>
      <c r="Z19" s="14">
        <v>1.9194258524387386</v>
      </c>
      <c r="AA19" s="14">
        <v>1.7550098230700122</v>
      </c>
      <c r="AB19" s="14">
        <v>19.35794740669748</v>
      </c>
      <c r="AC19" s="29">
        <f t="shared" si="1"/>
        <v>48103703.597988322</v>
      </c>
      <c r="AD19" s="29">
        <f t="shared" si="1"/>
        <v>25245350.18889083</v>
      </c>
      <c r="AE19" s="29">
        <f t="shared" si="1"/>
        <v>17282264.443222355</v>
      </c>
      <c r="AF19" s="29">
        <f t="shared" si="1"/>
        <v>5093901.5998538071</v>
      </c>
      <c r="AG19">
        <v>18413.000000000004</v>
      </c>
      <c r="AH19">
        <v>131262.00000000003</v>
      </c>
      <c r="AI19">
        <v>21995</v>
      </c>
      <c r="AJ19">
        <v>3522</v>
      </c>
      <c r="AK19">
        <v>18925</v>
      </c>
      <c r="AL19">
        <v>23757</v>
      </c>
      <c r="AM19">
        <v>21722</v>
      </c>
    </row>
    <row r="20" spans="1:39" x14ac:dyDescent="0.35">
      <c r="A20" s="1" t="s">
        <v>75</v>
      </c>
      <c r="B20" s="1" t="s">
        <v>76</v>
      </c>
      <c r="C20" s="3">
        <v>2383905</v>
      </c>
      <c r="D20">
        <v>30.406050199148034</v>
      </c>
      <c r="E20">
        <v>1.3004664615410431</v>
      </c>
      <c r="F20">
        <v>48.48</v>
      </c>
      <c r="G20">
        <v>34.369999999999997</v>
      </c>
      <c r="H20">
        <v>53.8</v>
      </c>
      <c r="I20">
        <v>64.17</v>
      </c>
      <c r="J20">
        <v>50.204999999999998</v>
      </c>
      <c r="K20">
        <v>0.44235278336803757</v>
      </c>
      <c r="L20">
        <v>0.24190195271789894</v>
      </c>
      <c r="M20">
        <v>0.16573109722475374</v>
      </c>
      <c r="N20">
        <v>3.1464039541019249E-2</v>
      </c>
      <c r="O20">
        <v>0.218</v>
      </c>
      <c r="P20">
        <v>0.39623849999999999</v>
      </c>
      <c r="Q20">
        <v>21218.077000000001</v>
      </c>
      <c r="R20">
        <v>34.92</v>
      </c>
      <c r="S20">
        <v>69</v>
      </c>
      <c r="T20" s="14">
        <v>3.3839076078346721</v>
      </c>
      <c r="U20" s="14">
        <v>5.3106143071976444</v>
      </c>
      <c r="V20" s="14">
        <v>20.281848479700326</v>
      </c>
      <c r="W20" s="14">
        <v>3.8801881786396688</v>
      </c>
      <c r="X20" s="14">
        <v>0.18457111336231938</v>
      </c>
      <c r="Y20" s="14">
        <v>0.7844272317898574</v>
      </c>
      <c r="Z20" s="14">
        <v>1.0780630939571838</v>
      </c>
      <c r="AA20" s="14">
        <v>1.0612839018333364</v>
      </c>
      <c r="AB20" s="14">
        <v>32.580996306480337</v>
      </c>
      <c r="AC20" s="29">
        <f t="shared" si="1"/>
        <v>1054527.0120349815</v>
      </c>
      <c r="AD20" s="29">
        <f t="shared" si="1"/>
        <v>576671.27459396282</v>
      </c>
      <c r="AE20" s="29">
        <f t="shared" si="1"/>
        <v>395087.19132957654</v>
      </c>
      <c r="AF20" s="29">
        <f t="shared" si="1"/>
        <v>75007.28118203349</v>
      </c>
      <c r="AG20">
        <v>1266</v>
      </c>
      <c r="AH20">
        <v>4835.0000000000009</v>
      </c>
      <c r="AI20">
        <v>925</v>
      </c>
      <c r="AJ20">
        <v>44</v>
      </c>
      <c r="AK20">
        <v>187</v>
      </c>
      <c r="AL20">
        <v>257.00000000000006</v>
      </c>
      <c r="AM20">
        <v>253</v>
      </c>
    </row>
    <row r="21" spans="1:39" x14ac:dyDescent="0.35">
      <c r="A21" s="1" t="s">
        <v>77</v>
      </c>
      <c r="B21" s="1" t="s">
        <v>78</v>
      </c>
      <c r="C21" s="3">
        <v>2631251</v>
      </c>
      <c r="D21">
        <v>7.574651806308105</v>
      </c>
      <c r="E21">
        <v>1.3278115618768411</v>
      </c>
      <c r="F21">
        <v>28.12</v>
      </c>
      <c r="G21">
        <v>43.85</v>
      </c>
      <c r="H21">
        <v>57.74</v>
      </c>
      <c r="I21">
        <v>63.72</v>
      </c>
      <c r="J21">
        <v>48.357500000000002</v>
      </c>
      <c r="K21">
        <v>0.43458984739430023</v>
      </c>
      <c r="L21">
        <v>0.23410544769086855</v>
      </c>
      <c r="M21">
        <v>0.15868965386219419</v>
      </c>
      <c r="N21">
        <v>3.6390078838956785E-2</v>
      </c>
      <c r="O21">
        <v>0.28699999999999998</v>
      </c>
      <c r="P21">
        <v>0.34679810000000005</v>
      </c>
      <c r="Q21">
        <v>3073.5410000000002</v>
      </c>
      <c r="R21">
        <v>5.97</v>
      </c>
      <c r="S21">
        <v>67.2</v>
      </c>
      <c r="T21" s="14">
        <v>5.7467176553559653</v>
      </c>
      <c r="U21" s="14">
        <v>0.91971461483530081</v>
      </c>
      <c r="V21" s="14">
        <v>5.1116370122044614</v>
      </c>
      <c r="W21" s="14">
        <v>1.6304031808443968</v>
      </c>
      <c r="X21" s="14">
        <v>3.4204262535197136E-2</v>
      </c>
      <c r="Y21" s="14">
        <v>3.8004736150219036E-2</v>
      </c>
      <c r="Z21" s="14">
        <v>0.19382415436611711</v>
      </c>
      <c r="AA21" s="14">
        <v>0.67268382985887709</v>
      </c>
      <c r="AB21" s="14">
        <v>8.60047179079457</v>
      </c>
      <c r="AC21" s="29">
        <f t="shared" si="1"/>
        <v>1143514.9705460998</v>
      </c>
      <c r="AD21" s="29">
        <f t="shared" si="1"/>
        <v>615990.19334204553</v>
      </c>
      <c r="AE21" s="29">
        <f t="shared" si="1"/>
        <v>417552.31041455234</v>
      </c>
      <c r="AF21" s="29">
        <f t="shared" si="1"/>
        <v>95751.431335083878</v>
      </c>
      <c r="AG21">
        <v>242</v>
      </c>
      <c r="AH21">
        <v>1345.0000000000002</v>
      </c>
      <c r="AI21">
        <v>429</v>
      </c>
      <c r="AJ21">
        <v>9</v>
      </c>
      <c r="AK21">
        <v>9.9999999999999982</v>
      </c>
      <c r="AL21">
        <v>51</v>
      </c>
      <c r="AM21">
        <v>177.00000000000003</v>
      </c>
    </row>
    <row r="22" spans="1:39" x14ac:dyDescent="0.35">
      <c r="A22" s="1" t="s">
        <v>79</v>
      </c>
      <c r="B22" s="1" t="s">
        <v>80</v>
      </c>
      <c r="C22" s="3">
        <v>33062741</v>
      </c>
      <c r="D22">
        <v>40.416606624659472</v>
      </c>
      <c r="E22">
        <v>15.163717959742055</v>
      </c>
      <c r="F22">
        <v>25.98</v>
      </c>
      <c r="G22">
        <v>41.42</v>
      </c>
      <c r="H22">
        <v>70.510000000000005</v>
      </c>
      <c r="I22">
        <v>68.739999999999995</v>
      </c>
      <c r="J22">
        <v>51.662500000000009</v>
      </c>
      <c r="K22">
        <v>0.40610833867673551</v>
      </c>
      <c r="L22">
        <v>0.19130623036279376</v>
      </c>
      <c r="M22">
        <v>0.17586458070213506</v>
      </c>
      <c r="N22">
        <v>3.571769450100705E-2</v>
      </c>
      <c r="O22">
        <v>0.34299999999999997</v>
      </c>
      <c r="P22">
        <v>0.36055259999999995</v>
      </c>
      <c r="Q22">
        <v>7061.9350000000004</v>
      </c>
      <c r="R22">
        <v>10.84</v>
      </c>
      <c r="S22">
        <v>47.5</v>
      </c>
      <c r="T22" s="14">
        <v>5.6848726038983557</v>
      </c>
      <c r="U22" s="14">
        <v>2.7151408892565807</v>
      </c>
      <c r="V22" s="14">
        <v>34.116953582281639</v>
      </c>
      <c r="W22" s="14">
        <v>7.8807743132972554</v>
      </c>
      <c r="X22" s="14">
        <v>7.3799083990041842E-2</v>
      </c>
      <c r="Y22" s="14">
        <v>1.7348833842904918</v>
      </c>
      <c r="Z22" s="14">
        <v>0.81058010284144311</v>
      </c>
      <c r="AA22" s="14">
        <v>1.1320900466177319</v>
      </c>
      <c r="AB22" s="14">
        <v>48.464221402575184</v>
      </c>
      <c r="AC22" s="29">
        <f t="shared" si="1"/>
        <v>13427054.819609189</v>
      </c>
      <c r="AD22" s="29">
        <f t="shared" si="1"/>
        <v>6325108.3461713865</v>
      </c>
      <c r="AE22" s="29">
        <f t="shared" si="1"/>
        <v>5814565.0828282898</v>
      </c>
      <c r="AF22" s="29">
        <f t="shared" si="1"/>
        <v>1180924.8824039204</v>
      </c>
      <c r="AG22">
        <v>8977.0000000000018</v>
      </c>
      <c r="AH22">
        <v>112800</v>
      </c>
      <c r="AI22">
        <v>26056</v>
      </c>
      <c r="AJ22">
        <v>244</v>
      </c>
      <c r="AK22">
        <v>5736</v>
      </c>
      <c r="AL22">
        <v>2679.9999999999995</v>
      </c>
      <c r="AM22">
        <v>3743</v>
      </c>
    </row>
    <row r="23" spans="1:39" x14ac:dyDescent="0.35">
      <c r="A23" s="1" t="s">
        <v>81</v>
      </c>
      <c r="B23" s="1" t="s">
        <v>82</v>
      </c>
      <c r="C23" s="3">
        <v>14238716</v>
      </c>
      <c r="D23">
        <v>7.1826171713797784</v>
      </c>
      <c r="E23">
        <v>2.7373713683171994</v>
      </c>
      <c r="F23">
        <v>18.03</v>
      </c>
      <c r="G23">
        <v>47.87</v>
      </c>
      <c r="H23">
        <v>58.4</v>
      </c>
      <c r="I23">
        <v>50.42</v>
      </c>
      <c r="J23">
        <v>43.680000000000007</v>
      </c>
      <c r="K23">
        <v>0.62038057824360393</v>
      </c>
      <c r="L23">
        <v>0.39821246299625696</v>
      </c>
      <c r="M23">
        <v>0.16588446968476117</v>
      </c>
      <c r="N23">
        <v>5.3108951240738007E-2</v>
      </c>
      <c r="O23">
        <v>0.26800000000000002</v>
      </c>
      <c r="P23">
        <v>0.25688559999999999</v>
      </c>
      <c r="Q23">
        <v>3895.7669999999998</v>
      </c>
      <c r="R23">
        <v>6.82</v>
      </c>
      <c r="S23">
        <v>68.5</v>
      </c>
      <c r="T23" s="14">
        <v>5.6685239347435044</v>
      </c>
      <c r="U23" s="14">
        <v>2.069006784038673</v>
      </c>
      <c r="V23" s="14">
        <v>3.5248964864528514</v>
      </c>
      <c r="W23" s="14">
        <v>0.62716329197098952</v>
      </c>
      <c r="X23" s="14">
        <v>2.7390110175664714E-2</v>
      </c>
      <c r="Y23" s="14">
        <v>0.17908918191780776</v>
      </c>
      <c r="Z23" s="14">
        <v>0.12711820363577728</v>
      </c>
      <c r="AA23" s="14">
        <v>0.22263243399194141</v>
      </c>
      <c r="AB23" s="14">
        <v>6.7772964921837051</v>
      </c>
      <c r="AC23" s="29">
        <f t="shared" si="1"/>
        <v>8833422.8655264545</v>
      </c>
      <c r="AD23" s="29">
        <f t="shared" si="1"/>
        <v>5670034.1682642121</v>
      </c>
      <c r="AE23" s="29">
        <f t="shared" si="1"/>
        <v>2361981.8526519239</v>
      </c>
      <c r="AF23" s="29">
        <f t="shared" si="1"/>
        <v>756203.27377471607</v>
      </c>
      <c r="AG23">
        <v>2945.9999999999995</v>
      </c>
      <c r="AH23">
        <v>5019</v>
      </c>
      <c r="AI23">
        <v>893</v>
      </c>
      <c r="AJ23">
        <v>39</v>
      </c>
      <c r="AK23">
        <v>255</v>
      </c>
      <c r="AL23">
        <v>181</v>
      </c>
      <c r="AM23">
        <v>317</v>
      </c>
    </row>
    <row r="24" spans="1:39" x14ac:dyDescent="0.35">
      <c r="A24" s="1" t="s">
        <v>83</v>
      </c>
      <c r="B24" s="1" t="s">
        <v>84</v>
      </c>
      <c r="C24" s="3">
        <v>2111612</v>
      </c>
      <c r="D24">
        <v>12.653131943747242</v>
      </c>
      <c r="E24">
        <v>0.12567910203200208</v>
      </c>
      <c r="F24">
        <v>17.329999999999998</v>
      </c>
      <c r="G24">
        <v>29.95</v>
      </c>
      <c r="H24">
        <v>61.51</v>
      </c>
      <c r="I24">
        <v>60.3</v>
      </c>
      <c r="J24">
        <v>42.272499999999994</v>
      </c>
      <c r="K24">
        <v>0.59333547971526324</v>
      </c>
      <c r="L24">
        <v>0.36455418034516718</v>
      </c>
      <c r="M24">
        <v>0.17227405256931699</v>
      </c>
      <c r="N24">
        <v>4.9926094455427172E-2</v>
      </c>
      <c r="O24">
        <v>0.214</v>
      </c>
      <c r="P24">
        <v>0.24262920000000002</v>
      </c>
      <c r="Q24">
        <v>2729.1590000000001</v>
      </c>
      <c r="R24">
        <v>3.06</v>
      </c>
      <c r="S24">
        <v>55.76</v>
      </c>
      <c r="T24" s="14">
        <v>4.8134859518829529</v>
      </c>
      <c r="U24" s="14">
        <v>2.5146665201751079</v>
      </c>
      <c r="V24" s="14">
        <v>8.9126222052157313</v>
      </c>
      <c r="W24" s="14">
        <v>0.96135085422890187</v>
      </c>
      <c r="X24" s="14">
        <v>9.9450088368507092E-2</v>
      </c>
      <c r="Y24" s="14">
        <v>9.4714369874768656E-3</v>
      </c>
      <c r="Z24" s="14">
        <v>4.7357184937384328E-3</v>
      </c>
      <c r="AA24" s="14">
        <v>0.80980786242927205</v>
      </c>
      <c r="AB24" s="14">
        <v>13.312104685898735</v>
      </c>
      <c r="AC24" s="29">
        <f t="shared" si="1"/>
        <v>1252894.3189925065</v>
      </c>
      <c r="AD24" s="29">
        <f t="shared" si="1"/>
        <v>769796.9818670192</v>
      </c>
      <c r="AE24" s="29">
        <f t="shared" si="1"/>
        <v>363775.95669400058</v>
      </c>
      <c r="AF24" s="29">
        <f t="shared" si="1"/>
        <v>105424.54016521348</v>
      </c>
      <c r="AG24">
        <v>531</v>
      </c>
      <c r="AH24">
        <v>1882</v>
      </c>
      <c r="AI24">
        <v>203</v>
      </c>
      <c r="AJ24">
        <v>21</v>
      </c>
      <c r="AK24">
        <v>2</v>
      </c>
      <c r="AL24">
        <v>1</v>
      </c>
      <c r="AM24">
        <v>171</v>
      </c>
    </row>
    <row r="25" spans="1:39" x14ac:dyDescent="0.35">
      <c r="A25" s="1" t="s">
        <v>85</v>
      </c>
      <c r="B25" s="1" t="s">
        <v>86</v>
      </c>
      <c r="C25" s="3">
        <v>57458890</v>
      </c>
      <c r="D25">
        <v>23.424520390839444</v>
      </c>
      <c r="E25">
        <v>0.84095736099322493</v>
      </c>
      <c r="F25">
        <v>40.619999999999997</v>
      </c>
      <c r="G25">
        <v>53.15</v>
      </c>
      <c r="H25">
        <v>50.91</v>
      </c>
      <c r="I25">
        <v>73.63</v>
      </c>
      <c r="J25">
        <v>54.577500000000001</v>
      </c>
      <c r="K25">
        <v>0.3550140055913259</v>
      </c>
      <c r="L25">
        <v>0.18481356088142981</v>
      </c>
      <c r="M25">
        <v>0.13523830496780934</v>
      </c>
      <c r="N25">
        <v>3.1453024298790933E-2</v>
      </c>
      <c r="O25">
        <v>0.38799999999999996</v>
      </c>
      <c r="P25">
        <v>0.33363419999999999</v>
      </c>
      <c r="Q25">
        <v>6267.1480000000001</v>
      </c>
      <c r="R25">
        <v>7.39</v>
      </c>
      <c r="S25">
        <v>50</v>
      </c>
      <c r="T25" s="14">
        <v>4.4964982846120876</v>
      </c>
      <c r="U25" s="14">
        <v>2.7835553384341396</v>
      </c>
      <c r="V25" s="14">
        <v>21.841528786929231</v>
      </c>
      <c r="W25" s="14">
        <v>4.8208379939118216E-2</v>
      </c>
      <c r="X25" s="14">
        <v>0.23390636331471074</v>
      </c>
      <c r="Y25" s="14">
        <v>0.20640844262741587</v>
      </c>
      <c r="Z25" s="14">
        <v>1.7403747270439789</v>
      </c>
      <c r="AA25" s="14">
        <v>0.14549532718087663</v>
      </c>
      <c r="AB25" s="14">
        <v>26.999477365469474</v>
      </c>
      <c r="AC25" s="29">
        <f t="shared" si="1"/>
        <v>20398710.695731379</v>
      </c>
      <c r="AD25" s="29">
        <f t="shared" si="1"/>
        <v>10619182.065194378</v>
      </c>
      <c r="AE25" s="29">
        <f t="shared" si="1"/>
        <v>7770642.8889318099</v>
      </c>
      <c r="AF25" s="29">
        <f t="shared" si="1"/>
        <v>1807255.8633515553</v>
      </c>
      <c r="AG25">
        <v>15994</v>
      </c>
      <c r="AH25">
        <v>125499.00000000003</v>
      </c>
      <c r="AI25">
        <v>277.00000000000006</v>
      </c>
      <c r="AJ25">
        <v>1344</v>
      </c>
      <c r="AK25">
        <v>1186</v>
      </c>
      <c r="AL25">
        <v>10000.000000000002</v>
      </c>
      <c r="AM25">
        <v>836</v>
      </c>
    </row>
    <row r="26" spans="1:39" x14ac:dyDescent="0.35">
      <c r="A26" s="1" t="s">
        <v>87</v>
      </c>
      <c r="B26" s="1" t="s">
        <v>88</v>
      </c>
      <c r="C26" s="3">
        <v>2192400</v>
      </c>
      <c r="D26">
        <v>23.526333520343005</v>
      </c>
      <c r="E26">
        <v>4.2294499178981937</v>
      </c>
      <c r="F26">
        <v>32.270000000000003</v>
      </c>
      <c r="G26">
        <v>50.71</v>
      </c>
      <c r="H26">
        <v>65.78</v>
      </c>
      <c r="I26">
        <v>74.680000000000007</v>
      </c>
      <c r="J26">
        <v>55.86</v>
      </c>
      <c r="K26">
        <v>0.80615459710445958</v>
      </c>
      <c r="L26">
        <v>0.4663514433682352</v>
      </c>
      <c r="M26">
        <v>0.24303600774076528</v>
      </c>
      <c r="N26">
        <v>8.4683657155983097E-2</v>
      </c>
      <c r="O26">
        <v>0.309</v>
      </c>
      <c r="P26">
        <v>0.26338650000000002</v>
      </c>
      <c r="Q26">
        <v>2891.0540000000001</v>
      </c>
      <c r="R26">
        <v>3.19</v>
      </c>
      <c r="S26">
        <v>56.01</v>
      </c>
      <c r="T26" s="14">
        <v>2.7622381853268791</v>
      </c>
      <c r="U26" s="14">
        <v>2.449370552818829</v>
      </c>
      <c r="V26" s="14">
        <v>5.6330961503375301</v>
      </c>
      <c r="W26" s="14">
        <v>12.675606641123881</v>
      </c>
      <c r="X26" s="14">
        <v>0.38314176245210729</v>
      </c>
      <c r="Y26" s="14">
        <v>1.1722313446451378</v>
      </c>
      <c r="Z26" s="14">
        <v>1.8974639664294839</v>
      </c>
      <c r="AA26" s="14">
        <v>1.2452107279693487</v>
      </c>
      <c r="AB26" s="14">
        <v>25.456121145776319</v>
      </c>
      <c r="AC26" s="29">
        <f t="shared" si="1"/>
        <v>1767413.3386918171</v>
      </c>
      <c r="AD26" s="29">
        <f t="shared" si="1"/>
        <v>1022428.9044405188</v>
      </c>
      <c r="AE26" s="29">
        <f t="shared" si="1"/>
        <v>532832.14337085385</v>
      </c>
      <c r="AF26" s="29">
        <f t="shared" si="1"/>
        <v>185660.44994877733</v>
      </c>
      <c r="AG26">
        <v>537.00000000000011</v>
      </c>
      <c r="AH26">
        <v>1235.0000000000002</v>
      </c>
      <c r="AI26">
        <v>2778.9999999999995</v>
      </c>
      <c r="AJ26">
        <v>84</v>
      </c>
      <c r="AK26">
        <v>257</v>
      </c>
      <c r="AL26">
        <v>416.00000000000006</v>
      </c>
      <c r="AM26">
        <v>273</v>
      </c>
    </row>
    <row r="27" spans="1:39" x14ac:dyDescent="0.35">
      <c r="A27" s="1" t="s">
        <v>89</v>
      </c>
      <c r="B27" s="1" t="s">
        <v>90</v>
      </c>
      <c r="C27" s="3">
        <v>5432272</v>
      </c>
      <c r="D27">
        <v>11.114929521202178</v>
      </c>
      <c r="E27">
        <v>0.55403733465481841</v>
      </c>
      <c r="F27">
        <v>29.07</v>
      </c>
      <c r="G27">
        <v>42.02</v>
      </c>
      <c r="H27">
        <v>53.05</v>
      </c>
      <c r="I27">
        <v>61.65</v>
      </c>
      <c r="J27">
        <v>46.447499999999998</v>
      </c>
      <c r="K27">
        <v>0.53500919481581555</v>
      </c>
      <c r="L27">
        <v>0.33742173029304895</v>
      </c>
      <c r="M27">
        <v>0.15837176614969409</v>
      </c>
      <c r="N27">
        <v>3.7012274193028341E-2</v>
      </c>
      <c r="O27">
        <v>0.35700000000000004</v>
      </c>
      <c r="P27">
        <v>0.35735259999999996</v>
      </c>
      <c r="Q27">
        <v>1670.3019999999999</v>
      </c>
      <c r="R27">
        <v>1.53</v>
      </c>
      <c r="S27">
        <v>43</v>
      </c>
      <c r="T27" s="14">
        <v>4.7929148215681181</v>
      </c>
      <c r="U27" s="14">
        <v>1.7561712668290541</v>
      </c>
      <c r="V27" s="14">
        <v>8.143922101102449</v>
      </c>
      <c r="W27" s="14">
        <v>1.8206010302871434</v>
      </c>
      <c r="X27" s="14">
        <v>1.4726803076134626E-2</v>
      </c>
      <c r="Y27" s="14">
        <v>0.31294456536786081</v>
      </c>
      <c r="Z27" s="14">
        <v>0.21169779421943524</v>
      </c>
      <c r="AA27" s="14">
        <v>0</v>
      </c>
      <c r="AB27" s="14">
        <v>12.260063560882079</v>
      </c>
      <c r="AC27" s="29">
        <f t="shared" si="1"/>
        <v>2906315.4687405</v>
      </c>
      <c r="AD27" s="29">
        <f t="shared" si="1"/>
        <v>1832966.6176624815</v>
      </c>
      <c r="AE27" s="29">
        <f t="shared" si="1"/>
        <v>860318.51084553101</v>
      </c>
      <c r="AF27" s="29">
        <f t="shared" si="1"/>
        <v>201060.74075511046</v>
      </c>
      <c r="AG27">
        <v>954</v>
      </c>
      <c r="AH27">
        <v>4424</v>
      </c>
      <c r="AI27">
        <v>989</v>
      </c>
      <c r="AJ27">
        <v>8</v>
      </c>
      <c r="AK27">
        <v>170</v>
      </c>
      <c r="AL27">
        <v>115</v>
      </c>
      <c r="AM27">
        <v>0</v>
      </c>
    </row>
    <row r="28" spans="1:39" x14ac:dyDescent="0.35">
      <c r="A28" s="1" t="s">
        <v>91</v>
      </c>
      <c r="B28" s="1" t="s">
        <v>92</v>
      </c>
      <c r="C28" s="3">
        <v>29942591</v>
      </c>
      <c r="D28">
        <v>5.546029247769507</v>
      </c>
      <c r="E28">
        <v>2.0891931496509435</v>
      </c>
      <c r="F28">
        <v>18.98</v>
      </c>
      <c r="G28">
        <v>29.47</v>
      </c>
      <c r="H28">
        <v>45.77</v>
      </c>
      <c r="I28">
        <v>58.24</v>
      </c>
      <c r="J28">
        <v>38.115000000000002</v>
      </c>
      <c r="K28">
        <v>0.50996008202158039</v>
      </c>
      <c r="L28">
        <v>0.28997473886399255</v>
      </c>
      <c r="M28">
        <v>0.17565735709921348</v>
      </c>
      <c r="N28">
        <v>3.9462753054174259E-2</v>
      </c>
      <c r="O28">
        <v>0.30399999999999999</v>
      </c>
      <c r="P28">
        <v>0.29017929999999997</v>
      </c>
      <c r="Q28">
        <v>1731.3050000000001</v>
      </c>
      <c r="R28">
        <v>1.89</v>
      </c>
      <c r="S28">
        <v>56.2</v>
      </c>
      <c r="T28" s="14">
        <v>4.1999999999822393</v>
      </c>
      <c r="U28" s="14">
        <v>1.7466758304249621</v>
      </c>
      <c r="V28" s="14">
        <v>1.5229142995674625</v>
      </c>
      <c r="W28" s="14">
        <v>1.3338859018579923</v>
      </c>
      <c r="X28" s="14">
        <v>8.3827080963033554E-2</v>
      </c>
      <c r="Y28" s="14">
        <v>1.0019173023470147E-2</v>
      </c>
      <c r="Z28" s="14">
        <v>0.1021955648393955</v>
      </c>
      <c r="AA28" s="14">
        <v>0.1021955648393955</v>
      </c>
      <c r="AB28" s="14">
        <v>4.9017134155157125</v>
      </c>
      <c r="AC28" s="29">
        <f t="shared" si="1"/>
        <v>15269526.162298635</v>
      </c>
      <c r="AD28" s="29">
        <f t="shared" si="1"/>
        <v>8682595.0061363336</v>
      </c>
      <c r="AE28" s="29">
        <f t="shared" si="1"/>
        <v>5259636.3997626957</v>
      </c>
      <c r="AF28" s="29">
        <f t="shared" si="1"/>
        <v>1181617.0744351407</v>
      </c>
      <c r="AG28">
        <v>5230</v>
      </c>
      <c r="AH28">
        <v>4560.0000000000009</v>
      </c>
      <c r="AI28">
        <v>3994</v>
      </c>
      <c r="AJ28">
        <v>251</v>
      </c>
      <c r="AK28">
        <v>30</v>
      </c>
      <c r="AL28">
        <v>306</v>
      </c>
      <c r="AM28">
        <v>306</v>
      </c>
    </row>
    <row r="29" spans="1:39" x14ac:dyDescent="0.35">
      <c r="A29" s="1" t="s">
        <v>93</v>
      </c>
      <c r="B29" s="1" t="s">
        <v>94</v>
      </c>
      <c r="C29" s="3">
        <v>20728157</v>
      </c>
      <c r="D29">
        <v>5.0174020724563215</v>
      </c>
      <c r="E29">
        <v>0.71150071373928714</v>
      </c>
      <c r="F29">
        <v>22.25</v>
      </c>
      <c r="G29">
        <v>57.77</v>
      </c>
      <c r="H29">
        <v>58.77</v>
      </c>
      <c r="I29">
        <v>71.89</v>
      </c>
      <c r="J29">
        <v>52.67</v>
      </c>
      <c r="K29">
        <v>0.4448113398104841</v>
      </c>
      <c r="L29">
        <v>0.24303617762927013</v>
      </c>
      <c r="M29">
        <v>0.16367846891482588</v>
      </c>
      <c r="N29">
        <v>3.3520621590401881E-2</v>
      </c>
      <c r="O29">
        <v>0.28499999999999998</v>
      </c>
      <c r="P29">
        <v>0.29890059999999996</v>
      </c>
      <c r="Q29">
        <v>1514.5540000000001</v>
      </c>
      <c r="R29">
        <v>2.77</v>
      </c>
      <c r="S29">
        <v>47</v>
      </c>
      <c r="T29" s="14">
        <v>1.8268500001019419</v>
      </c>
      <c r="U29" s="14">
        <v>0.53791564778286849</v>
      </c>
      <c r="V29" s="14">
        <v>4.7370347493990899</v>
      </c>
      <c r="W29" s="14">
        <v>0.29718030406658924</v>
      </c>
      <c r="X29" s="14">
        <v>4.872599141351544E-2</v>
      </c>
      <c r="Y29" s="14">
        <v>5.9339573701607917E-2</v>
      </c>
      <c r="Z29" s="14">
        <v>4.3419200269469202E-2</v>
      </c>
      <c r="AA29" s="14">
        <v>0.10082903173687849</v>
      </c>
      <c r="AB29" s="14">
        <v>5.8244444983700179</v>
      </c>
      <c r="AC29" s="29">
        <f t="shared" si="1"/>
        <v>9220119.2869720645</v>
      </c>
      <c r="AD29" s="29">
        <f t="shared" si="1"/>
        <v>5037692.0465793991</v>
      </c>
      <c r="AE29" s="29">
        <f t="shared" si="1"/>
        <v>3392753.0011861306</v>
      </c>
      <c r="AF29" s="29">
        <f t="shared" si="1"/>
        <v>694820.70706343988</v>
      </c>
      <c r="AG29">
        <v>1115</v>
      </c>
      <c r="AH29">
        <v>9818.9999999999982</v>
      </c>
      <c r="AI29">
        <v>616</v>
      </c>
      <c r="AJ29">
        <v>101</v>
      </c>
      <c r="AK29">
        <v>123</v>
      </c>
      <c r="AL29">
        <v>89.999999999999986</v>
      </c>
      <c r="AM29">
        <v>209</v>
      </c>
    </row>
    <row r="30" spans="1:39" x14ac:dyDescent="0.35">
      <c r="A30" s="1" t="s">
        <v>95</v>
      </c>
      <c r="B30" s="1" t="s">
        <v>96</v>
      </c>
      <c r="C30" s="3">
        <v>22105727</v>
      </c>
      <c r="D30">
        <v>8.1755817250434699</v>
      </c>
      <c r="F30">
        <v>15.25</v>
      </c>
      <c r="G30">
        <v>59.37</v>
      </c>
      <c r="H30">
        <v>67.760000000000005</v>
      </c>
      <c r="I30">
        <v>47.33</v>
      </c>
      <c r="J30">
        <v>47.427499999999995</v>
      </c>
      <c r="K30">
        <v>0.63970272370162862</v>
      </c>
      <c r="L30">
        <v>0.42599321031519566</v>
      </c>
      <c r="M30">
        <v>0.15654855723368269</v>
      </c>
      <c r="N30">
        <v>5.3925054752561812E-2</v>
      </c>
      <c r="O30">
        <v>0.28999999999999998</v>
      </c>
      <c r="P30">
        <v>0.29593610000000004</v>
      </c>
      <c r="Q30">
        <v>2472.828</v>
      </c>
      <c r="R30">
        <v>2.99</v>
      </c>
      <c r="S30">
        <v>36.5</v>
      </c>
      <c r="T30" s="14">
        <v>5.0045459374303647</v>
      </c>
      <c r="U30" s="14">
        <v>2.0157672262938919</v>
      </c>
      <c r="V30" s="14">
        <v>2.8811538295030967</v>
      </c>
      <c r="W30" s="14">
        <v>1.475635702910834</v>
      </c>
      <c r="X30" s="14">
        <v>1.3571143803594426E-2</v>
      </c>
      <c r="Y30" s="14">
        <v>0.77853128286620032</v>
      </c>
      <c r="Z30" s="14">
        <v>0.67674770433924203</v>
      </c>
      <c r="AA30" s="14">
        <v>0</v>
      </c>
      <c r="AB30" s="14">
        <v>7.8414068897168594</v>
      </c>
      <c r="AC30" s="29">
        <f t="shared" si="1"/>
        <v>14141093.771304632</v>
      </c>
      <c r="AD30" s="29">
        <f t="shared" si="1"/>
        <v>9416889.6110812984</v>
      </c>
      <c r="AE30" s="29">
        <f t="shared" si="1"/>
        <v>3460619.6684516645</v>
      </c>
      <c r="AF30" s="29">
        <f t="shared" si="1"/>
        <v>1192052.5388201841</v>
      </c>
      <c r="AG30">
        <v>4456</v>
      </c>
      <c r="AH30">
        <v>6369</v>
      </c>
      <c r="AI30">
        <v>3262.0000000000005</v>
      </c>
      <c r="AJ30">
        <v>30</v>
      </c>
      <c r="AK30">
        <v>1721.0000000000005</v>
      </c>
      <c r="AL30">
        <v>1496</v>
      </c>
      <c r="AM30">
        <v>0</v>
      </c>
    </row>
    <row r="31" spans="1:39" x14ac:dyDescent="0.35">
      <c r="A31" s="1" t="s">
        <v>97</v>
      </c>
      <c r="B31" s="1" t="s">
        <v>98</v>
      </c>
      <c r="C31" s="3">
        <v>5030233</v>
      </c>
      <c r="D31">
        <v>17.62192288707104</v>
      </c>
      <c r="E31">
        <v>0.48384448593136742</v>
      </c>
      <c r="F31">
        <v>22.04</v>
      </c>
      <c r="G31">
        <v>47.04</v>
      </c>
      <c r="H31">
        <v>60.5</v>
      </c>
      <c r="I31">
        <v>41.31</v>
      </c>
      <c r="J31">
        <v>42.722499999999997</v>
      </c>
      <c r="K31">
        <v>0.35641087386771675</v>
      </c>
      <c r="L31">
        <v>0.18769681627792961</v>
      </c>
      <c r="M31">
        <v>0.13676511724373536</v>
      </c>
      <c r="N31">
        <v>2.6374756088042517E-2</v>
      </c>
      <c r="O31">
        <v>0.26200000000000001</v>
      </c>
      <c r="P31">
        <v>0.42141039999999996</v>
      </c>
      <c r="Q31">
        <v>7258.2529999999997</v>
      </c>
      <c r="R31">
        <v>15.14</v>
      </c>
      <c r="S31">
        <v>76</v>
      </c>
      <c r="T31" s="14">
        <v>5.2000000000000028</v>
      </c>
      <c r="U31" s="14">
        <v>2.5306978821855766</v>
      </c>
      <c r="V31" s="14">
        <v>12.927830579617286</v>
      </c>
      <c r="W31" s="14">
        <v>2.6658804870470219</v>
      </c>
      <c r="X31" s="14">
        <v>0.2962089430052246</v>
      </c>
      <c r="Y31" s="14">
        <v>0.19283400987588448</v>
      </c>
      <c r="Z31" s="14">
        <v>0.64808131154163229</v>
      </c>
      <c r="AA31" s="14">
        <v>1.7891815349308868E-2</v>
      </c>
      <c r="AB31" s="14">
        <v>19.279425028621933</v>
      </c>
      <c r="AC31" s="29">
        <f t="shared" si="1"/>
        <v>1792829.7392882265</v>
      </c>
      <c r="AD31" s="29">
        <f t="shared" si="1"/>
        <v>944158.71923617867</v>
      </c>
      <c r="AE31" s="29">
        <f t="shared" si="1"/>
        <v>687960.40600830666</v>
      </c>
      <c r="AF31" s="29">
        <f t="shared" si="1"/>
        <v>132671.16844102237</v>
      </c>
      <c r="AG31">
        <v>1273</v>
      </c>
      <c r="AH31">
        <v>6503</v>
      </c>
      <c r="AI31">
        <v>1341.0000000000002</v>
      </c>
      <c r="AJ31">
        <v>149</v>
      </c>
      <c r="AK31">
        <v>97</v>
      </c>
      <c r="AL31">
        <v>325.99999999999994</v>
      </c>
      <c r="AM31">
        <v>9</v>
      </c>
    </row>
    <row r="32" spans="1:39" x14ac:dyDescent="0.35">
      <c r="A32" s="1" t="s">
        <v>99</v>
      </c>
      <c r="B32" s="1" t="s">
        <v>100</v>
      </c>
      <c r="C32" s="3">
        <v>1275657</v>
      </c>
      <c r="D32">
        <v>66.876465201852838</v>
      </c>
      <c r="E32">
        <v>9.9309120711915515</v>
      </c>
      <c r="F32">
        <v>77.61</v>
      </c>
      <c r="G32">
        <v>52.41</v>
      </c>
      <c r="H32">
        <v>61.3</v>
      </c>
      <c r="I32">
        <v>74.5</v>
      </c>
      <c r="J32">
        <v>66.454999999999998</v>
      </c>
      <c r="K32">
        <v>0.38045249500622641</v>
      </c>
      <c r="L32">
        <v>5.6210977567414437E-2</v>
      </c>
      <c r="M32">
        <v>0.30203463470943331</v>
      </c>
      <c r="N32">
        <v>2.2206882729378607E-2</v>
      </c>
      <c r="O32">
        <v>0.39700000000000002</v>
      </c>
      <c r="P32">
        <v>0.56651220000000002</v>
      </c>
      <c r="Q32">
        <v>27341.633999999998</v>
      </c>
      <c r="R32">
        <v>32.83</v>
      </c>
      <c r="S32">
        <v>41.9</v>
      </c>
      <c r="T32" s="14">
        <v>4.6939031839850429</v>
      </c>
      <c r="U32" s="14">
        <v>14.369066292898482</v>
      </c>
      <c r="V32" s="14">
        <v>36.052010846175733</v>
      </c>
      <c r="W32" s="14">
        <v>4.4447684604874196</v>
      </c>
      <c r="X32" s="14">
        <v>3.2453864949590678</v>
      </c>
      <c r="Y32" s="14">
        <v>0.32140301037034252</v>
      </c>
      <c r="Z32" s="14">
        <v>2.4928331048236321</v>
      </c>
      <c r="AA32" s="14">
        <v>2.0695218228724492</v>
      </c>
      <c r="AB32" s="14">
        <v>62.994990032587125</v>
      </c>
      <c r="AC32" s="29">
        <f t="shared" si="1"/>
        <v>485326.88842215779</v>
      </c>
      <c r="AD32" s="29">
        <f t="shared" si="1"/>
        <v>71705.927010715197</v>
      </c>
      <c r="AE32" s="29">
        <f t="shared" si="1"/>
        <v>385292.59600953158</v>
      </c>
      <c r="AF32" s="29">
        <f t="shared" si="1"/>
        <v>28328.365401910927</v>
      </c>
      <c r="AG32">
        <v>1833</v>
      </c>
      <c r="AH32">
        <v>4599</v>
      </c>
      <c r="AI32">
        <v>567</v>
      </c>
      <c r="AJ32">
        <v>413.99999999999994</v>
      </c>
      <c r="AK32">
        <v>41.000000000000007</v>
      </c>
      <c r="AL32">
        <v>318</v>
      </c>
      <c r="AM32">
        <v>264</v>
      </c>
    </row>
    <row r="33" spans="1:39" x14ac:dyDescent="0.35">
      <c r="A33" s="1" t="s">
        <v>101</v>
      </c>
      <c r="B33" s="1" t="s">
        <v>102</v>
      </c>
      <c r="C33" s="3">
        <v>34034812</v>
      </c>
      <c r="D33">
        <v>10.863930015832027</v>
      </c>
      <c r="E33">
        <v>1.0442801329415305</v>
      </c>
      <c r="F33">
        <v>23.4</v>
      </c>
      <c r="G33">
        <v>57.76</v>
      </c>
      <c r="H33">
        <v>49.78</v>
      </c>
      <c r="I33">
        <v>55.67</v>
      </c>
      <c r="J33">
        <v>46.652500000000003</v>
      </c>
      <c r="K33">
        <v>0.63336596926197108</v>
      </c>
      <c r="L33">
        <v>0.40815360662518763</v>
      </c>
      <c r="M33">
        <v>0.17392551446158355</v>
      </c>
      <c r="N33">
        <v>4.3108830943495102E-2</v>
      </c>
      <c r="O33">
        <v>0.30399999999999999</v>
      </c>
      <c r="P33">
        <v>0.2511178</v>
      </c>
      <c r="Q33">
        <v>1485.598</v>
      </c>
      <c r="R33">
        <v>2.4300000000000002</v>
      </c>
      <c r="S33">
        <v>40</v>
      </c>
      <c r="T33" s="14">
        <v>1.851775024744569</v>
      </c>
      <c r="U33" s="14">
        <v>1.6803383547410222</v>
      </c>
      <c r="V33" s="14">
        <v>5.0442470491683631</v>
      </c>
      <c r="W33" s="14">
        <v>3.9151090360070158</v>
      </c>
      <c r="X33" s="14">
        <v>0.10753695363441408</v>
      </c>
      <c r="Y33" s="14">
        <v>0.1474960402308084</v>
      </c>
      <c r="Z33" s="14">
        <v>9.4902830666436469E-2</v>
      </c>
      <c r="AA33" s="14">
        <v>0.63199996521208934</v>
      </c>
      <c r="AB33" s="14">
        <v>11.621630229660148</v>
      </c>
      <c r="AC33" s="29">
        <f t="shared" si="1"/>
        <v>21556491.691028964</v>
      </c>
      <c r="AD33" s="29">
        <f t="shared" si="1"/>
        <v>13891431.268610215</v>
      </c>
      <c r="AE33" s="29">
        <f t="shared" si="1"/>
        <v>5919522.1867032778</v>
      </c>
      <c r="AF33" s="29">
        <f t="shared" si="1"/>
        <v>1467200.9567016384</v>
      </c>
      <c r="AG33">
        <v>5719</v>
      </c>
      <c r="AH33">
        <v>17168</v>
      </c>
      <c r="AI33">
        <v>13325.000000000002</v>
      </c>
      <c r="AJ33">
        <v>366</v>
      </c>
      <c r="AK33">
        <v>502</v>
      </c>
      <c r="AL33">
        <v>323</v>
      </c>
      <c r="AM33">
        <v>2151</v>
      </c>
    </row>
    <row r="34" spans="1:39" x14ac:dyDescent="0.35">
      <c r="A34" s="1" t="s">
        <v>103</v>
      </c>
      <c r="B34" s="1" t="s">
        <v>104</v>
      </c>
      <c r="C34" s="3">
        <v>2680497</v>
      </c>
      <c r="D34">
        <v>62.136352366743921</v>
      </c>
      <c r="E34">
        <v>7.4922891165332395</v>
      </c>
      <c r="F34">
        <v>55.5</v>
      </c>
      <c r="G34">
        <v>57.25</v>
      </c>
      <c r="H34">
        <v>64.709999999999994</v>
      </c>
      <c r="I34">
        <v>74.87</v>
      </c>
      <c r="J34">
        <v>63.082499999999996</v>
      </c>
      <c r="K34">
        <v>0.53297666036275093</v>
      </c>
      <c r="L34">
        <v>0.2976211391108608</v>
      </c>
      <c r="M34">
        <v>0.16825144960481977</v>
      </c>
      <c r="N34">
        <v>4.6707970963014753E-2</v>
      </c>
      <c r="O34">
        <v>0.30299999999999999</v>
      </c>
      <c r="P34">
        <v>0.39937230000000001</v>
      </c>
      <c r="Q34">
        <v>10419.859</v>
      </c>
      <c r="R34">
        <v>15.64</v>
      </c>
      <c r="S34">
        <v>70.100000000000009</v>
      </c>
      <c r="T34" s="14">
        <v>3.7115449741623934</v>
      </c>
      <c r="U34" s="14">
        <v>5.957850353870942</v>
      </c>
      <c r="V34" s="14">
        <v>58.041475144348226</v>
      </c>
      <c r="W34" s="14">
        <v>2.6114560098369814E-2</v>
      </c>
      <c r="X34" s="14">
        <v>0.83566592314783406</v>
      </c>
      <c r="Y34" s="14">
        <v>2.4435766949188902</v>
      </c>
      <c r="Z34" s="14">
        <v>0.3618731899345532</v>
      </c>
      <c r="AA34" s="14">
        <v>3.9731437863948367</v>
      </c>
      <c r="AB34" s="14">
        <v>71.639699652713645</v>
      </c>
      <c r="AC34" s="29">
        <f t="shared" si="1"/>
        <v>1428642.3391723728</v>
      </c>
      <c r="AD34" s="29">
        <f t="shared" si="1"/>
        <v>797772.57052324503</v>
      </c>
      <c r="AE34" s="29">
        <f t="shared" si="1"/>
        <v>450997.50591137056</v>
      </c>
      <c r="AF34" s="29">
        <f t="shared" si="1"/>
        <v>125200.57604244816</v>
      </c>
      <c r="AG34">
        <v>1596.9999999999998</v>
      </c>
      <c r="AH34">
        <v>15558</v>
      </c>
      <c r="AI34">
        <v>6.9999999999999982</v>
      </c>
      <c r="AJ34">
        <v>223.99999999999994</v>
      </c>
      <c r="AK34">
        <v>655</v>
      </c>
      <c r="AL34">
        <v>97</v>
      </c>
      <c r="AM34">
        <v>1065</v>
      </c>
    </row>
    <row r="35" spans="1:39" x14ac:dyDescent="0.35">
      <c r="A35" s="1" t="s">
        <v>105</v>
      </c>
      <c r="B35" s="1" t="s">
        <v>106</v>
      </c>
      <c r="C35" s="3">
        <v>27066230</v>
      </c>
      <c r="D35">
        <v>4.0944273458106286</v>
      </c>
      <c r="E35">
        <v>0.54349922394068184</v>
      </c>
      <c r="F35">
        <v>11.68</v>
      </c>
      <c r="G35">
        <v>49.68</v>
      </c>
      <c r="H35">
        <v>49.3</v>
      </c>
      <c r="I35">
        <v>52.36</v>
      </c>
      <c r="J35">
        <v>40.754999999999995</v>
      </c>
      <c r="K35">
        <v>0.74303883168019547</v>
      </c>
      <c r="L35">
        <v>0.52283857722050142</v>
      </c>
      <c r="M35">
        <v>0.15281918930952315</v>
      </c>
      <c r="N35">
        <v>6.2854541304058556E-2</v>
      </c>
      <c r="O35">
        <v>0.28699999999999998</v>
      </c>
      <c r="P35">
        <v>0.26459189999999999</v>
      </c>
      <c r="Q35">
        <v>1747.635</v>
      </c>
      <c r="R35">
        <v>2.34</v>
      </c>
      <c r="S35">
        <v>29.2</v>
      </c>
      <c r="T35" s="14">
        <v>8.4215978952545356</v>
      </c>
      <c r="U35" s="14">
        <v>0.36724730411291118</v>
      </c>
      <c r="V35" s="14">
        <v>3.4278878144462674</v>
      </c>
      <c r="W35" s="14">
        <v>0.63621716064631084</v>
      </c>
      <c r="X35" s="14">
        <v>1.0344994482053836E-2</v>
      </c>
      <c r="Y35" s="14">
        <v>2.0689988964107672E-2</v>
      </c>
      <c r="Z35" s="14">
        <v>0.15960848629454488</v>
      </c>
      <c r="AA35" s="14">
        <v>0.23978219353046215</v>
      </c>
      <c r="AB35" s="14">
        <v>4.8617779424766576</v>
      </c>
      <c r="AC35" s="29">
        <f t="shared" si="1"/>
        <v>20111259.917187456</v>
      </c>
      <c r="AD35" s="29">
        <f t="shared" si="1"/>
        <v>14151269.183922851</v>
      </c>
      <c r="AE35" s="29">
        <f t="shared" si="1"/>
        <v>4136239.3262650948</v>
      </c>
      <c r="AF35" s="29">
        <f t="shared" si="1"/>
        <v>1701235.4714801488</v>
      </c>
      <c r="AG35">
        <v>994</v>
      </c>
      <c r="AH35">
        <v>9278</v>
      </c>
      <c r="AI35">
        <v>1721.9999999999995</v>
      </c>
      <c r="AJ35">
        <v>28</v>
      </c>
      <c r="AK35">
        <v>56</v>
      </c>
      <c r="AL35">
        <v>431.99999999999989</v>
      </c>
      <c r="AM35">
        <v>649.00000000000011</v>
      </c>
    </row>
    <row r="36" spans="1:39" x14ac:dyDescent="0.35">
      <c r="A36" s="1" t="s">
        <v>107</v>
      </c>
      <c r="B36" s="1" t="s">
        <v>108</v>
      </c>
      <c r="C36" s="3">
        <v>222182400</v>
      </c>
      <c r="D36">
        <v>23.664466103615773</v>
      </c>
      <c r="E36">
        <v>1.7813082696919289</v>
      </c>
      <c r="F36">
        <v>14.08</v>
      </c>
      <c r="G36">
        <v>53.21</v>
      </c>
      <c r="H36">
        <v>62.66</v>
      </c>
      <c r="I36">
        <v>46.44</v>
      </c>
      <c r="J36">
        <v>44.097499999999997</v>
      </c>
      <c r="K36">
        <v>0.60520174664925264</v>
      </c>
      <c r="L36">
        <v>0.41661934185884308</v>
      </c>
      <c r="M36">
        <v>0.14433401847649949</v>
      </c>
      <c r="N36">
        <v>4.2283574865925044E-2</v>
      </c>
      <c r="O36">
        <v>0.38</v>
      </c>
      <c r="P36">
        <v>0.3161699</v>
      </c>
      <c r="Q36">
        <v>5789.0159999999996</v>
      </c>
      <c r="R36">
        <v>5.8</v>
      </c>
      <c r="S36">
        <v>46.800000000000004</v>
      </c>
      <c r="T36" s="14">
        <v>3.4264394713514861</v>
      </c>
      <c r="U36" s="14">
        <v>3.8995888063140915</v>
      </c>
      <c r="V36" s="14">
        <v>9.9324248905403838</v>
      </c>
      <c r="W36" s="14">
        <v>6.6065989025233316</v>
      </c>
      <c r="X36" s="14">
        <v>0.22720071436801473</v>
      </c>
      <c r="Y36" s="14">
        <v>0.82261241214425618</v>
      </c>
      <c r="Z36" s="14">
        <v>1.6577820745477589</v>
      </c>
      <c r="AA36" s="14">
        <v>1.7423522295195299</v>
      </c>
      <c r="AB36" s="14">
        <v>24.888560029957361</v>
      </c>
      <c r="AC36" s="29">
        <f t="shared" si="1"/>
        <v>134465176.55472291</v>
      </c>
      <c r="AD36" s="29">
        <f t="shared" si="1"/>
        <v>92565485.260618225</v>
      </c>
      <c r="AE36" s="29">
        <f t="shared" si="1"/>
        <v>32068478.626752999</v>
      </c>
      <c r="AF36" s="29">
        <f t="shared" si="1"/>
        <v>9394666.1442909054</v>
      </c>
      <c r="AG36">
        <v>86642</v>
      </c>
      <c r="AH36">
        <v>220681</v>
      </c>
      <c r="AI36">
        <v>146786.99999999997</v>
      </c>
      <c r="AJ36">
        <v>5047.9999999999991</v>
      </c>
      <c r="AK36">
        <v>18276.999999999996</v>
      </c>
      <c r="AL36">
        <v>36833</v>
      </c>
      <c r="AM36">
        <v>38712</v>
      </c>
    </row>
    <row r="37" spans="1:39" x14ac:dyDescent="0.35">
      <c r="A37" s="1" t="s">
        <v>109</v>
      </c>
      <c r="B37" s="1" t="s">
        <v>110</v>
      </c>
      <c r="C37" s="3">
        <v>13924498</v>
      </c>
      <c r="D37">
        <v>11.403763826171689</v>
      </c>
      <c r="E37">
        <v>0.6922883324052328</v>
      </c>
      <c r="F37">
        <v>26.82</v>
      </c>
      <c r="G37">
        <v>70.06</v>
      </c>
      <c r="H37">
        <v>44.01</v>
      </c>
      <c r="I37">
        <v>67.2</v>
      </c>
      <c r="J37">
        <v>52.022499999999994</v>
      </c>
      <c r="K37">
        <v>0.38275530190051499</v>
      </c>
      <c r="L37">
        <v>0.1659740372163217</v>
      </c>
      <c r="M37">
        <v>0.17304009943129375</v>
      </c>
      <c r="N37">
        <v>4.0846173442570521E-2</v>
      </c>
      <c r="O37">
        <v>0.33100000000000002</v>
      </c>
      <c r="P37">
        <v>0.31762669999999998</v>
      </c>
      <c r="Q37">
        <v>3355.683</v>
      </c>
      <c r="R37">
        <v>6</v>
      </c>
      <c r="S37">
        <v>28.900000000000002</v>
      </c>
      <c r="T37" s="14">
        <v>8.8906552957311362</v>
      </c>
      <c r="U37" s="14">
        <v>0.87830814439414617</v>
      </c>
      <c r="V37" s="14">
        <v>9.6958612080665318</v>
      </c>
      <c r="W37" s="14">
        <v>1.1433087210756179</v>
      </c>
      <c r="X37" s="14">
        <v>0.19677549596401966</v>
      </c>
      <c r="Y37" s="14">
        <v>5.8170858295932819E-2</v>
      </c>
      <c r="Z37" s="14">
        <v>0</v>
      </c>
      <c r="AA37" s="14">
        <v>1.3465476457391858</v>
      </c>
      <c r="AB37" s="14">
        <v>13.318972073535434</v>
      </c>
      <c r="AC37" s="29">
        <f t="shared" si="1"/>
        <v>5329675.4358031172</v>
      </c>
      <c r="AD37" s="29">
        <f t="shared" si="1"/>
        <v>2311105.1492705969</v>
      </c>
      <c r="AE37" s="29">
        <f t="shared" si="1"/>
        <v>2409496.5184508511</v>
      </c>
      <c r="AF37" s="29">
        <f t="shared" si="1"/>
        <v>568762.46040872636</v>
      </c>
      <c r="AG37">
        <v>1223</v>
      </c>
      <c r="AH37">
        <v>13501</v>
      </c>
      <c r="AI37">
        <v>1591.9999999999998</v>
      </c>
      <c r="AJ37">
        <v>274</v>
      </c>
      <c r="AK37">
        <v>81</v>
      </c>
      <c r="AL37">
        <v>0</v>
      </c>
      <c r="AM37">
        <v>1875</v>
      </c>
    </row>
    <row r="38" spans="1:39" x14ac:dyDescent="0.35">
      <c r="A38" s="1" t="s">
        <v>111</v>
      </c>
      <c r="B38" s="1" t="s">
        <v>112</v>
      </c>
      <c r="C38" s="3">
        <v>232132</v>
      </c>
      <c r="D38">
        <v>30.890154351834301</v>
      </c>
      <c r="F38">
        <v>44.77</v>
      </c>
      <c r="G38">
        <v>53.47</v>
      </c>
      <c r="H38">
        <v>62.61</v>
      </c>
      <c r="I38">
        <v>79.7</v>
      </c>
      <c r="J38">
        <v>60.137500000000003</v>
      </c>
      <c r="K38">
        <v>0.26640417665325467</v>
      </c>
      <c r="L38">
        <v>8.5742941444987494E-2</v>
      </c>
      <c r="M38">
        <v>0.15520468546613181</v>
      </c>
      <c r="N38">
        <v>2.1865646872572111E-2</v>
      </c>
      <c r="O38">
        <v>0.26600000000000001</v>
      </c>
      <c r="P38">
        <v>0.4141126</v>
      </c>
      <c r="Q38">
        <v>5449.7889999999998</v>
      </c>
      <c r="R38">
        <v>16.63</v>
      </c>
      <c r="S38">
        <v>32.130000000000003</v>
      </c>
      <c r="T38" s="14">
        <v>0.90000059899249152</v>
      </c>
      <c r="U38" s="14">
        <v>4.5232884737993899</v>
      </c>
      <c r="V38" s="14">
        <v>18.95473265211173</v>
      </c>
      <c r="W38" s="14">
        <v>2.1539468922854241</v>
      </c>
      <c r="X38" s="14">
        <v>0.25847362707425087</v>
      </c>
      <c r="Y38" s="14">
        <v>1.5939207002912137</v>
      </c>
      <c r="Z38" s="14">
        <v>6.2895249254734376</v>
      </c>
      <c r="AA38" s="14">
        <v>0</v>
      </c>
      <c r="AB38" s="14">
        <v>33.773887271035449</v>
      </c>
      <c r="AC38" s="29">
        <f t="shared" si="1"/>
        <v>61840.934334873309</v>
      </c>
      <c r="AD38" s="29">
        <f t="shared" si="1"/>
        <v>19903.680483507836</v>
      </c>
      <c r="AE38" s="29">
        <f t="shared" si="1"/>
        <v>36027.974046624106</v>
      </c>
      <c r="AF38" s="29">
        <f t="shared" si="1"/>
        <v>5075.716339823909</v>
      </c>
      <c r="AG38">
        <v>105</v>
      </c>
      <c r="AH38">
        <v>440</v>
      </c>
      <c r="AI38">
        <v>50.000000000000007</v>
      </c>
      <c r="AJ38">
        <v>6</v>
      </c>
      <c r="AK38">
        <v>37</v>
      </c>
      <c r="AL38">
        <v>146</v>
      </c>
      <c r="AM38">
        <v>0</v>
      </c>
    </row>
    <row r="39" spans="1:39" x14ac:dyDescent="0.35">
      <c r="A39" s="1" t="s">
        <v>113</v>
      </c>
      <c r="B39" s="1" t="s">
        <v>114</v>
      </c>
      <c r="C39" s="3">
        <v>18116526</v>
      </c>
      <c r="D39">
        <v>5.732720728576771</v>
      </c>
      <c r="E39">
        <v>1.4601029468894864</v>
      </c>
      <c r="F39">
        <v>30.05</v>
      </c>
      <c r="G39">
        <v>63.69</v>
      </c>
      <c r="H39">
        <v>55.65</v>
      </c>
      <c r="I39">
        <v>59.11</v>
      </c>
      <c r="J39">
        <v>52.125</v>
      </c>
      <c r="K39">
        <v>0.36508063195709667</v>
      </c>
      <c r="L39">
        <v>0.1649072122431515</v>
      </c>
      <c r="M39">
        <v>0.1580066279516382</v>
      </c>
      <c r="N39">
        <v>3.6505767161045893E-2</v>
      </c>
      <c r="O39">
        <v>0.32799999999999996</v>
      </c>
      <c r="P39">
        <v>0.3396112</v>
      </c>
      <c r="Q39">
        <v>4464.78</v>
      </c>
      <c r="R39">
        <v>6.73</v>
      </c>
      <c r="S39">
        <v>58.7</v>
      </c>
      <c r="T39" s="14">
        <v>6.8920074029138476</v>
      </c>
      <c r="U39" s="14">
        <v>1.089060893904273</v>
      </c>
      <c r="V39" s="14">
        <v>2.6384749482323491</v>
      </c>
      <c r="W39" s="14">
        <v>1.5952285774877588</v>
      </c>
      <c r="X39" s="14">
        <v>0.10874049472840433</v>
      </c>
      <c r="Y39" s="14">
        <v>0.20147350546125675</v>
      </c>
      <c r="Z39" s="14">
        <v>0</v>
      </c>
      <c r="AA39" s="14">
        <v>0.14351537375322398</v>
      </c>
      <c r="AB39" s="14">
        <v>5.7764937935672656</v>
      </c>
      <c r="AC39" s="29">
        <f t="shared" si="1"/>
        <v>6613992.7609471725</v>
      </c>
      <c r="AD39" s="29">
        <f t="shared" si="1"/>
        <v>2987545.7981905723</v>
      </c>
      <c r="AE39" s="29">
        <f t="shared" si="1"/>
        <v>2862531.1834581802</v>
      </c>
      <c r="AF39" s="29">
        <f t="shared" si="1"/>
        <v>661357.67992303416</v>
      </c>
      <c r="AG39">
        <v>1973.0000000000005</v>
      </c>
      <c r="AH39">
        <v>4780.0000000000009</v>
      </c>
      <c r="AI39">
        <v>2889.9999999999995</v>
      </c>
      <c r="AJ39">
        <v>197</v>
      </c>
      <c r="AK39">
        <v>365</v>
      </c>
      <c r="AL39">
        <v>0</v>
      </c>
      <c r="AM39">
        <v>260</v>
      </c>
    </row>
    <row r="40" spans="1:39" x14ac:dyDescent="0.35">
      <c r="A40" s="1" t="s">
        <v>115</v>
      </c>
      <c r="B40" s="1" t="s">
        <v>116</v>
      </c>
      <c r="C40" s="3">
        <v>99912</v>
      </c>
      <c r="D40">
        <v>230.71805128513097</v>
      </c>
      <c r="E40">
        <v>10.684802626311154</v>
      </c>
      <c r="F40">
        <v>78.3</v>
      </c>
      <c r="G40">
        <v>87.12</v>
      </c>
      <c r="H40">
        <v>57.3</v>
      </c>
      <c r="I40">
        <v>79.13</v>
      </c>
      <c r="J40">
        <v>75.462500000000006</v>
      </c>
      <c r="K40">
        <v>0.3120941327811978</v>
      </c>
      <c r="L40">
        <v>6.782598305724101E-2</v>
      </c>
      <c r="M40">
        <v>0.22109037588065925</v>
      </c>
      <c r="N40">
        <v>2.314529161372509E-2</v>
      </c>
      <c r="O40">
        <v>0.318</v>
      </c>
      <c r="P40">
        <v>0.52842650999999996</v>
      </c>
      <c r="Q40">
        <v>35085.182000000001</v>
      </c>
      <c r="S40">
        <v>46</v>
      </c>
      <c r="T40" s="14">
        <v>3.4656806641534104</v>
      </c>
      <c r="U40" s="14">
        <v>82.872928176795583</v>
      </c>
      <c r="V40" s="14">
        <v>62.555048442629513</v>
      </c>
      <c r="W40" s="14">
        <v>31.227480182560654</v>
      </c>
      <c r="X40" s="14">
        <v>4.4038754103611177</v>
      </c>
      <c r="Y40" s="14">
        <v>5.4047561854431896</v>
      </c>
      <c r="Z40" s="14">
        <v>1.0008807750820721</v>
      </c>
      <c r="AA40" s="14">
        <v>2.1018496276723515</v>
      </c>
      <c r="AB40" s="14">
        <v>189.56681880054444</v>
      </c>
      <c r="AC40" s="29">
        <f t="shared" si="1"/>
        <v>31181.948994435035</v>
      </c>
      <c r="AD40" s="29">
        <f t="shared" si="1"/>
        <v>6776.6296192150639</v>
      </c>
      <c r="AE40" s="29">
        <f t="shared" si="1"/>
        <v>22089.581634988426</v>
      </c>
      <c r="AF40" s="29">
        <f t="shared" si="1"/>
        <v>2312.4923757105012</v>
      </c>
      <c r="AG40">
        <v>828</v>
      </c>
      <c r="AH40">
        <v>625</v>
      </c>
      <c r="AI40">
        <v>312</v>
      </c>
      <c r="AJ40">
        <v>44</v>
      </c>
      <c r="AK40">
        <v>54</v>
      </c>
      <c r="AL40">
        <v>9.9999999999999982</v>
      </c>
      <c r="AM40">
        <v>20.999999999999996</v>
      </c>
    </row>
    <row r="41" spans="1:39" x14ac:dyDescent="0.35">
      <c r="A41" s="1" t="s">
        <v>117</v>
      </c>
      <c r="B41" s="1" t="s">
        <v>118</v>
      </c>
      <c r="C41" s="3">
        <v>8472212</v>
      </c>
      <c r="D41">
        <v>11.384249263356487</v>
      </c>
      <c r="E41">
        <v>5.2633400226528799</v>
      </c>
      <c r="F41">
        <v>14.19</v>
      </c>
      <c r="G41">
        <v>50.54</v>
      </c>
      <c r="H41">
        <v>54.72</v>
      </c>
      <c r="I41">
        <v>72.06</v>
      </c>
      <c r="J41">
        <v>47.877499999999998</v>
      </c>
      <c r="K41">
        <v>0.62214615616470859</v>
      </c>
      <c r="L41">
        <v>0.39564768663342004</v>
      </c>
      <c r="M41">
        <v>0.17921992752953569</v>
      </c>
      <c r="N41">
        <v>4.5723569546007918E-2</v>
      </c>
      <c r="O41">
        <v>0.32700000000000001</v>
      </c>
      <c r="P41">
        <v>0.30919380000000002</v>
      </c>
      <c r="Q41">
        <v>2966.491</v>
      </c>
      <c r="R41">
        <v>2.63</v>
      </c>
      <c r="S41">
        <v>59</v>
      </c>
      <c r="T41" s="14">
        <v>4.0000000257011266</v>
      </c>
      <c r="U41" s="14">
        <v>1.3054441980441471</v>
      </c>
      <c r="V41" s="14">
        <v>8.6825022792158641</v>
      </c>
      <c r="W41" s="14">
        <v>2.6805278243745554</v>
      </c>
      <c r="X41" s="14">
        <v>1.7704939394812123E-2</v>
      </c>
      <c r="Y41" s="14">
        <v>0.10504930707588526</v>
      </c>
      <c r="Z41" s="14">
        <v>0</v>
      </c>
      <c r="AA41" s="14">
        <v>0.35173812931026754</v>
      </c>
      <c r="AB41" s="14">
        <v>13.142966677415535</v>
      </c>
      <c r="AC41" s="29">
        <f t="shared" si="1"/>
        <v>5270954.1300125178</v>
      </c>
      <c r="AD41" s="29">
        <f t="shared" si="1"/>
        <v>3352011.0784679009</v>
      </c>
      <c r="AE41" s="29">
        <f t="shared" si="1"/>
        <v>1518389.2206548627</v>
      </c>
      <c r="AF41" s="29">
        <f t="shared" si="1"/>
        <v>387379.77459052281</v>
      </c>
      <c r="AG41">
        <v>1106</v>
      </c>
      <c r="AH41">
        <v>7356</v>
      </c>
      <c r="AI41">
        <v>2271</v>
      </c>
      <c r="AJ41">
        <v>15</v>
      </c>
      <c r="AK41">
        <v>89</v>
      </c>
      <c r="AL41">
        <v>0</v>
      </c>
      <c r="AM41">
        <v>298.00000000000006</v>
      </c>
    </row>
    <row r="42" spans="1:39" x14ac:dyDescent="0.35">
      <c r="A42" s="1" t="s">
        <v>119</v>
      </c>
      <c r="B42" s="1" t="s">
        <v>120</v>
      </c>
      <c r="C42" s="3">
        <v>61452696</v>
      </c>
      <c r="D42">
        <v>66.053003462858655</v>
      </c>
      <c r="E42">
        <v>2.1852693411530715</v>
      </c>
      <c r="F42">
        <v>79.53</v>
      </c>
      <c r="G42">
        <v>68.77</v>
      </c>
      <c r="H42">
        <v>60.66</v>
      </c>
      <c r="I42">
        <v>76.38</v>
      </c>
      <c r="J42">
        <v>71.335000000000008</v>
      </c>
      <c r="K42">
        <v>0.59898341166070868</v>
      </c>
      <c r="L42">
        <v>0.2728903357757716</v>
      </c>
      <c r="M42">
        <v>0.23352653702763926</v>
      </c>
      <c r="N42">
        <v>6.6110008896233377E-2</v>
      </c>
      <c r="O42">
        <v>0.45799999999999996</v>
      </c>
      <c r="P42">
        <v>0.44564129999999996</v>
      </c>
      <c r="Q42">
        <v>13771.97</v>
      </c>
      <c r="R42">
        <v>21.64</v>
      </c>
      <c r="S42">
        <v>54</v>
      </c>
      <c r="T42" s="14">
        <v>0.5798536923039137</v>
      </c>
      <c r="U42" s="14">
        <v>8.0603461237892642</v>
      </c>
      <c r="V42" s="14">
        <v>64.645007600642941</v>
      </c>
      <c r="W42" s="14">
        <v>0.25108743805153805</v>
      </c>
      <c r="X42" s="14">
        <v>0.19039034512009043</v>
      </c>
      <c r="Y42" s="14">
        <v>2.7385291607059843</v>
      </c>
      <c r="Z42" s="14">
        <v>2.115448279112116E-3</v>
      </c>
      <c r="AA42" s="14">
        <v>0.1806267376780345</v>
      </c>
      <c r="AB42" s="14">
        <v>76.068102854266968</v>
      </c>
      <c r="AC42" s="29">
        <f t="shared" si="1"/>
        <v>36809145.505828388</v>
      </c>
      <c r="AD42" s="29">
        <f t="shared" si="1"/>
        <v>16769846.845766416</v>
      </c>
      <c r="AE42" s="29">
        <f t="shared" si="1"/>
        <v>14350835.28789226</v>
      </c>
      <c r="AF42" s="29">
        <f t="shared" si="1"/>
        <v>4062638.2792575252</v>
      </c>
      <c r="AG42">
        <v>49533</v>
      </c>
      <c r="AH42">
        <v>397261</v>
      </c>
      <c r="AI42">
        <v>1543</v>
      </c>
      <c r="AJ42">
        <v>1170</v>
      </c>
      <c r="AK42">
        <v>16829</v>
      </c>
      <c r="AL42">
        <v>13.000000000000002</v>
      </c>
      <c r="AM42">
        <v>1110</v>
      </c>
    </row>
    <row r="43" spans="1:39" x14ac:dyDescent="0.35">
      <c r="A43" s="1" t="s">
        <v>121</v>
      </c>
      <c r="B43" s="1" t="s">
        <v>122</v>
      </c>
      <c r="C43" s="3">
        <v>11891023</v>
      </c>
      <c r="D43">
        <v>6.4682067236771807</v>
      </c>
      <c r="E43">
        <v>1.0973401531558722</v>
      </c>
      <c r="F43">
        <v>21.91</v>
      </c>
      <c r="G43">
        <v>35.58</v>
      </c>
      <c r="H43">
        <v>59.48</v>
      </c>
      <c r="I43">
        <v>29.42</v>
      </c>
      <c r="J43">
        <v>36.597499999999997</v>
      </c>
      <c r="K43">
        <v>0.63690565705921587</v>
      </c>
      <c r="L43">
        <v>0.41618333128777973</v>
      </c>
      <c r="M43">
        <v>0.15884744607502699</v>
      </c>
      <c r="N43">
        <v>5.7924879340651249E-2</v>
      </c>
      <c r="O43">
        <v>0.21299999999999999</v>
      </c>
      <c r="P43">
        <v>0.29113900000000004</v>
      </c>
      <c r="Q43">
        <v>660.09400000000005</v>
      </c>
      <c r="R43">
        <v>3.35</v>
      </c>
      <c r="S43">
        <v>46.32</v>
      </c>
      <c r="T43" s="14"/>
      <c r="U43" s="14">
        <v>0.38348256495677452</v>
      </c>
      <c r="V43" s="14">
        <v>3.8095965334521678</v>
      </c>
      <c r="W43" s="14">
        <v>2.5969170188300872</v>
      </c>
      <c r="X43" s="14">
        <v>2.691105718994909E-2</v>
      </c>
      <c r="Y43" s="14">
        <v>0.13455528594974545</v>
      </c>
      <c r="Z43" s="14">
        <v>0.53401629111305227</v>
      </c>
      <c r="AA43" s="14">
        <v>0.22874398611456728</v>
      </c>
      <c r="AB43" s="14">
        <v>7.7142227376063435</v>
      </c>
      <c r="AC43" s="29">
        <f t="shared" si="1"/>
        <v>7573459.8169212481</v>
      </c>
      <c r="AD43" s="29">
        <f t="shared" si="1"/>
        <v>4948845.5645596087</v>
      </c>
      <c r="AE43" s="29">
        <f t="shared" si="1"/>
        <v>1888858.6347694057</v>
      </c>
      <c r="AF43" s="29">
        <f t="shared" si="1"/>
        <v>688786.07251190883</v>
      </c>
      <c r="AG43">
        <v>456</v>
      </c>
      <c r="AH43">
        <v>4529.9999999999991</v>
      </c>
      <c r="AI43">
        <v>3088</v>
      </c>
      <c r="AJ43">
        <v>32</v>
      </c>
      <c r="AK43">
        <v>160</v>
      </c>
      <c r="AL43">
        <v>635</v>
      </c>
      <c r="AM43">
        <v>272</v>
      </c>
    </row>
    <row r="44" spans="1:39" x14ac:dyDescent="0.35">
      <c r="A44" s="1" t="s">
        <v>123</v>
      </c>
      <c r="B44" s="1" t="s">
        <v>124</v>
      </c>
      <c r="C44" s="3">
        <v>49700758</v>
      </c>
      <c r="D44">
        <v>23.242417004183313</v>
      </c>
      <c r="E44">
        <v>0.2082909379370029</v>
      </c>
      <c r="F44">
        <v>22.84</v>
      </c>
      <c r="G44">
        <v>55.37</v>
      </c>
      <c r="H44">
        <v>56.9</v>
      </c>
      <c r="I44">
        <v>52.14</v>
      </c>
      <c r="J44">
        <v>46.8125</v>
      </c>
      <c r="K44">
        <v>0.39850536567927758</v>
      </c>
      <c r="L44">
        <v>0.21625225487927172</v>
      </c>
      <c r="M44">
        <v>0.13944238339201867</v>
      </c>
      <c r="N44">
        <v>4.0092692100191125E-2</v>
      </c>
      <c r="O44">
        <v>0.27800000000000002</v>
      </c>
      <c r="P44">
        <v>0.32356370000000001</v>
      </c>
      <c r="Q44">
        <v>3240.9789999999998</v>
      </c>
      <c r="R44">
        <v>4.33</v>
      </c>
      <c r="S44">
        <v>40.1</v>
      </c>
      <c r="T44" s="14">
        <v>6.1364520184639844</v>
      </c>
      <c r="U44" s="14">
        <v>1.8213001902304993</v>
      </c>
      <c r="V44" s="14">
        <v>14.928746157151163</v>
      </c>
      <c r="W44" s="14">
        <v>6.6310859886684224</v>
      </c>
      <c r="X44" s="14">
        <v>0.10140690409590936</v>
      </c>
      <c r="Y44" s="14">
        <v>0.34446154724642225</v>
      </c>
      <c r="Z44" s="14">
        <v>0.75894214732097243</v>
      </c>
      <c r="AA44" s="14">
        <v>2.6921118587366415</v>
      </c>
      <c r="AB44" s="14">
        <v>27.278054793450032</v>
      </c>
      <c r="AC44" s="29">
        <f t="shared" si="1"/>
        <v>19806018.741327282</v>
      </c>
      <c r="AD44" s="29">
        <f t="shared" si="1"/>
        <v>10747900.986709002</v>
      </c>
      <c r="AE44" s="29">
        <f t="shared" si="1"/>
        <v>6930392.151909939</v>
      </c>
      <c r="AF44" s="29">
        <f t="shared" si="1"/>
        <v>1992637.187640111</v>
      </c>
      <c r="AG44">
        <v>9052.0000000000018</v>
      </c>
      <c r="AH44">
        <v>74197</v>
      </c>
      <c r="AI44">
        <v>32957</v>
      </c>
      <c r="AJ44">
        <v>504</v>
      </c>
      <c r="AK44">
        <v>1712</v>
      </c>
      <c r="AL44">
        <v>3772</v>
      </c>
      <c r="AM44">
        <v>13380</v>
      </c>
    </row>
    <row r="45" spans="1:39" x14ac:dyDescent="0.35">
      <c r="A45" s="1" t="s">
        <v>125</v>
      </c>
      <c r="B45" s="1" t="s">
        <v>126</v>
      </c>
      <c r="C45" s="3">
        <v>65136238</v>
      </c>
      <c r="D45">
        <v>9.0431618115556525</v>
      </c>
      <c r="E45">
        <v>5.9479843386104063</v>
      </c>
      <c r="F45">
        <v>27.27</v>
      </c>
      <c r="G45">
        <v>54.91</v>
      </c>
      <c r="H45">
        <v>54.5</v>
      </c>
      <c r="I45">
        <v>68.17</v>
      </c>
      <c r="J45">
        <v>51.212500000000006</v>
      </c>
      <c r="K45">
        <v>0.40710627607488364</v>
      </c>
      <c r="L45">
        <v>0.22733352917512639</v>
      </c>
      <c r="M45">
        <v>0.14378753375303649</v>
      </c>
      <c r="N45">
        <v>3.3397869842837262E-2</v>
      </c>
      <c r="O45">
        <v>0.36499999999999999</v>
      </c>
      <c r="P45">
        <v>0.32460880000000003</v>
      </c>
      <c r="Q45">
        <v>3638.1469999999999</v>
      </c>
      <c r="R45">
        <v>3.2</v>
      </c>
      <c r="S45">
        <v>41.2</v>
      </c>
      <c r="T45" s="14">
        <v>5.5263138305945034</v>
      </c>
      <c r="U45" s="14">
        <v>1.3345873613394743</v>
      </c>
      <c r="V45" s="14">
        <v>7.086070890369812</v>
      </c>
      <c r="W45" s="14">
        <v>0</v>
      </c>
      <c r="X45" s="14">
        <v>0.11591090047294411</v>
      </c>
      <c r="Y45" s="14">
        <v>0.34727212830437032</v>
      </c>
      <c r="Z45" s="14">
        <v>0.23826982454835663</v>
      </c>
      <c r="AA45" s="14">
        <v>0.72816609396446885</v>
      </c>
      <c r="AB45" s="14">
        <v>9.8502771989994251</v>
      </c>
      <c r="AC45" s="29">
        <f t="shared" si="1"/>
        <v>26517371.289707325</v>
      </c>
      <c r="AD45" s="29">
        <f t="shared" si="1"/>
        <v>14807650.861730976</v>
      </c>
      <c r="AE45" s="29">
        <f t="shared" si="1"/>
        <v>9365779.0199708175</v>
      </c>
      <c r="AF45" s="29">
        <f t="shared" si="1"/>
        <v>2175411.5987760704</v>
      </c>
      <c r="AG45">
        <v>8693</v>
      </c>
      <c r="AH45">
        <v>46156</v>
      </c>
      <c r="AI45">
        <v>0</v>
      </c>
      <c r="AJ45">
        <v>755</v>
      </c>
      <c r="AK45">
        <v>2262</v>
      </c>
      <c r="AL45">
        <v>1552</v>
      </c>
      <c r="AM45">
        <v>4743.0000000000009</v>
      </c>
    </row>
    <row r="46" spans="1:39" x14ac:dyDescent="0.35">
      <c r="A46" s="1" t="s">
        <v>127</v>
      </c>
      <c r="B46" s="1" t="s">
        <v>128</v>
      </c>
      <c r="C46" s="3">
        <v>8886635</v>
      </c>
      <c r="D46">
        <v>6.2109685522135205</v>
      </c>
      <c r="E46">
        <v>9.3501279730741729</v>
      </c>
      <c r="F46">
        <v>19.600000000000001</v>
      </c>
      <c r="G46">
        <v>52.66</v>
      </c>
      <c r="H46">
        <v>50.72</v>
      </c>
      <c r="I46">
        <v>63.1</v>
      </c>
      <c r="J46">
        <v>46.519999999999996</v>
      </c>
      <c r="K46">
        <v>0.4825229129974139</v>
      </c>
      <c r="L46">
        <v>0.25168431894204213</v>
      </c>
      <c r="M46">
        <v>0.18194218749659744</v>
      </c>
      <c r="N46">
        <v>4.5928544433521477E-2</v>
      </c>
      <c r="O46">
        <v>0.313</v>
      </c>
      <c r="P46">
        <v>0.33478419999999998</v>
      </c>
      <c r="Q46">
        <v>2895.085</v>
      </c>
      <c r="R46">
        <v>3.7</v>
      </c>
      <c r="S46">
        <v>33.799999999999997</v>
      </c>
      <c r="T46" s="14">
        <v>5.3000053141664125</v>
      </c>
      <c r="U46" s="14">
        <v>0.82145829101791623</v>
      </c>
      <c r="V46" s="14">
        <v>2.9595004183248217</v>
      </c>
      <c r="W46" s="14">
        <v>2.09753185542109</v>
      </c>
      <c r="X46" s="14">
        <v>2.4756277263553637E-2</v>
      </c>
      <c r="Y46" s="14">
        <v>0.28694775919118992</v>
      </c>
      <c r="Z46" s="14">
        <v>0.14178595160035265</v>
      </c>
      <c r="AA46" s="14">
        <v>0.46586812668687305</v>
      </c>
      <c r="AB46" s="14">
        <v>6.7978486795057966</v>
      </c>
      <c r="AC46" s="29">
        <f t="shared" si="1"/>
        <v>4288005.0069447737</v>
      </c>
      <c r="AD46" s="29">
        <f t="shared" si="1"/>
        <v>2236626.6776615144</v>
      </c>
      <c r="AE46" s="29">
        <f t="shared" si="1"/>
        <v>1616853.8113838253</v>
      </c>
      <c r="AF46" s="29">
        <f t="shared" si="1"/>
        <v>408150.21046198712</v>
      </c>
      <c r="AG46">
        <v>730</v>
      </c>
      <c r="AH46">
        <v>2630</v>
      </c>
      <c r="AI46">
        <v>1863.9999999999995</v>
      </c>
      <c r="AJ46">
        <v>21.999999999999996</v>
      </c>
      <c r="AK46">
        <v>255</v>
      </c>
      <c r="AL46">
        <v>125.99999999999997</v>
      </c>
      <c r="AM46">
        <v>414</v>
      </c>
    </row>
    <row r="47" spans="1:39" x14ac:dyDescent="0.35">
      <c r="A47" s="1" t="s">
        <v>129</v>
      </c>
      <c r="B47" s="1" t="s">
        <v>130</v>
      </c>
      <c r="C47" s="3">
        <v>20032801</v>
      </c>
      <c r="D47">
        <v>29.96820612604299</v>
      </c>
      <c r="E47">
        <v>5.948934899318373</v>
      </c>
      <c r="F47">
        <v>37.54</v>
      </c>
      <c r="G47">
        <v>60.64</v>
      </c>
      <c r="H47">
        <v>57.47</v>
      </c>
      <c r="I47">
        <v>74.31</v>
      </c>
      <c r="J47">
        <v>57.49</v>
      </c>
      <c r="K47">
        <v>0.50513805423928626</v>
      </c>
      <c r="L47">
        <v>0.30859836329964879</v>
      </c>
      <c r="M47">
        <v>0.1537962183167122</v>
      </c>
      <c r="N47">
        <v>3.6071446539086352E-2</v>
      </c>
      <c r="O47">
        <v>0.26500000000000001</v>
      </c>
      <c r="P47">
        <v>0.31617059999999997</v>
      </c>
      <c r="Q47">
        <v>3747.732</v>
      </c>
      <c r="R47">
        <v>5.23</v>
      </c>
      <c r="S47">
        <v>52.300000000000004</v>
      </c>
      <c r="T47" s="14">
        <v>4.0431482994442973</v>
      </c>
      <c r="U47" s="14">
        <v>3.260153185767682</v>
      </c>
      <c r="V47" s="14">
        <v>24.946586351054954</v>
      </c>
      <c r="W47" s="14">
        <v>4.5934664852907989</v>
      </c>
      <c r="X47" s="14">
        <v>0.14126831290342273</v>
      </c>
      <c r="Y47" s="14">
        <v>0.71133337769391314</v>
      </c>
      <c r="Z47" s="14">
        <v>0.20915697210789444</v>
      </c>
      <c r="AA47" s="14">
        <v>0.76524496000334652</v>
      </c>
      <c r="AB47" s="14">
        <v>34.627209644822003</v>
      </c>
      <c r="AC47" s="29">
        <f t="shared" si="1"/>
        <v>10119330.118102828</v>
      </c>
      <c r="AD47" s="29">
        <f t="shared" si="1"/>
        <v>6182089.6009075679</v>
      </c>
      <c r="AE47" s="29">
        <f t="shared" si="1"/>
        <v>3080969.0360912504</v>
      </c>
      <c r="AF47" s="29">
        <f t="shared" si="1"/>
        <v>722612.11029965559</v>
      </c>
      <c r="AG47">
        <v>6531.0000000000009</v>
      </c>
      <c r="AH47">
        <v>49975.000000000007</v>
      </c>
      <c r="AI47">
        <v>9202</v>
      </c>
      <c r="AJ47">
        <v>283</v>
      </c>
      <c r="AK47">
        <v>1425</v>
      </c>
      <c r="AL47">
        <v>419</v>
      </c>
      <c r="AM47">
        <v>1533</v>
      </c>
    </row>
    <row r="48" spans="1:39" x14ac:dyDescent="0.35">
      <c r="A48" s="1" t="s">
        <v>131</v>
      </c>
      <c r="B48" s="1" t="s">
        <v>132</v>
      </c>
      <c r="C48" s="3">
        <v>15581023</v>
      </c>
      <c r="D48">
        <v>29.796678813708194</v>
      </c>
      <c r="E48">
        <v>2.4268710084055458</v>
      </c>
      <c r="F48">
        <v>40.409999999999997</v>
      </c>
      <c r="G48">
        <v>47.83</v>
      </c>
      <c r="H48">
        <v>66.739999999999995</v>
      </c>
      <c r="I48">
        <v>71.16</v>
      </c>
      <c r="J48">
        <v>56.534999999999997</v>
      </c>
      <c r="K48">
        <v>0.55124774450300362</v>
      </c>
      <c r="L48">
        <v>0.29968261517066563</v>
      </c>
      <c r="M48">
        <v>0.18528360365862584</v>
      </c>
      <c r="N48">
        <v>5.7561610933959804E-2</v>
      </c>
      <c r="O48">
        <v>0.32400000000000001</v>
      </c>
      <c r="P48">
        <v>0.285771</v>
      </c>
      <c r="Q48">
        <v>4465.3609999999999</v>
      </c>
      <c r="R48">
        <v>4.5</v>
      </c>
      <c r="S48">
        <v>46</v>
      </c>
      <c r="T48" s="14">
        <v>2.0294841433712349</v>
      </c>
      <c r="U48" s="14">
        <v>1.4260937808769039</v>
      </c>
      <c r="V48" s="14">
        <v>29.867743600660884</v>
      </c>
      <c r="W48" s="14">
        <v>1.8002669016020323</v>
      </c>
      <c r="X48" s="14">
        <v>0.3157687399601426</v>
      </c>
      <c r="Y48" s="14">
        <v>1.2207157386264047</v>
      </c>
      <c r="Z48" s="14">
        <v>0.92997744756554179</v>
      </c>
      <c r="AA48" s="14">
        <v>0.67710573304461452</v>
      </c>
      <c r="AB48" s="14">
        <v>36.237671942336519</v>
      </c>
      <c r="AC48" s="29">
        <f t="shared" si="1"/>
        <v>8589003.7857994232</v>
      </c>
      <c r="AD48" s="29">
        <f t="shared" si="1"/>
        <v>4669361.7196742902</v>
      </c>
      <c r="AE48" s="29">
        <f t="shared" si="1"/>
        <v>2886908.0901279333</v>
      </c>
      <c r="AF48" s="29">
        <f t="shared" si="1"/>
        <v>896868.78387907916</v>
      </c>
      <c r="AG48">
        <v>2222</v>
      </c>
      <c r="AH48">
        <v>46537.000000000007</v>
      </c>
      <c r="AI48">
        <v>2805.0000000000005</v>
      </c>
      <c r="AJ48">
        <v>492.00000000000011</v>
      </c>
      <c r="AK48">
        <v>1902</v>
      </c>
      <c r="AL48">
        <v>1449</v>
      </c>
      <c r="AM48">
        <v>1054.9999999999998</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E309-1043-4062-8D46-8AC56763E3EB}">
  <dimension ref="A1"/>
  <sheetViews>
    <sheetView topLeftCell="A28" workbookViewId="0">
      <selection activeCell="E40" sqref="E40"/>
    </sheetView>
  </sheetViews>
  <sheetFormatPr defaultColWidth="8.81640625" defaultRowHeight="14.5" x14ac:dyDescent="0.35"/>
  <cols>
    <col min="1" max="1" width="12"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12D2-CBE1-4D7E-BF07-CE081100C5F7}">
  <dimension ref="D4:N5"/>
  <sheetViews>
    <sheetView zoomScale="156" workbookViewId="0">
      <selection activeCell="H11" sqref="H11"/>
    </sheetView>
  </sheetViews>
  <sheetFormatPr defaultColWidth="8.81640625" defaultRowHeight="14.5" x14ac:dyDescent="0.35"/>
  <cols>
    <col min="4" max="4" width="12" bestFit="1" customWidth="1"/>
    <col min="5" max="5" width="11.453125" customWidth="1"/>
    <col min="10" max="10" width="12.81640625" bestFit="1" customWidth="1"/>
    <col min="11" max="11" width="10.7265625" bestFit="1" customWidth="1"/>
    <col min="12" max="12" width="15.7265625" bestFit="1" customWidth="1"/>
    <col min="14" max="14" width="14.81640625" bestFit="1" customWidth="1"/>
  </cols>
  <sheetData>
    <row r="4" spans="4:14" x14ac:dyDescent="0.35">
      <c r="D4" s="67" t="s">
        <v>42</v>
      </c>
      <c r="E4" t="s">
        <v>133</v>
      </c>
      <c r="I4" t="s">
        <v>134</v>
      </c>
      <c r="J4" t="s">
        <v>135</v>
      </c>
      <c r="K4" t="s">
        <v>136</v>
      </c>
      <c r="L4" t="s">
        <v>137</v>
      </c>
    </row>
    <row r="5" spans="4:14" x14ac:dyDescent="0.35">
      <c r="D5" s="3">
        <v>36148636</v>
      </c>
      <c r="E5" s="25">
        <f>D5/10000</f>
        <v>3614.8636000000001</v>
      </c>
      <c r="F5">
        <v>21.08</v>
      </c>
      <c r="G5">
        <v>36.07</v>
      </c>
      <c r="H5">
        <v>53.76</v>
      </c>
      <c r="I5" s="25">
        <f>AVERAGE(F5:H5)</f>
        <v>36.97</v>
      </c>
      <c r="J5" s="25">
        <f>I5*1.073</f>
        <v>39.668810000000001</v>
      </c>
      <c r="K5">
        <f>-0.56</f>
        <v>-0.56000000000000005</v>
      </c>
      <c r="L5">
        <v>0.55586602736035773</v>
      </c>
      <c r="M5">
        <f>L5*K5</f>
        <v>-0.31128497532180038</v>
      </c>
      <c r="N5" s="29">
        <f>M5*D5</f>
        <v>-11252527.265176745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BB22-6264-45B5-A010-45ABC9842362}">
  <dimension ref="A2:D41"/>
  <sheetViews>
    <sheetView zoomScale="140" zoomScaleNormal="140" workbookViewId="0">
      <selection activeCell="C41" sqref="C41"/>
    </sheetView>
  </sheetViews>
  <sheetFormatPr defaultColWidth="8.81640625" defaultRowHeight="14.5" x14ac:dyDescent="0.35"/>
  <cols>
    <col min="1" max="1" width="14.81640625" customWidth="1"/>
    <col min="2" max="2" width="10.81640625" bestFit="1" customWidth="1"/>
    <col min="3" max="3" width="72.81640625" customWidth="1"/>
  </cols>
  <sheetData>
    <row r="2" spans="2:4" x14ac:dyDescent="0.35">
      <c r="B2" s="1" t="s">
        <v>138</v>
      </c>
      <c r="C2" s="1" t="s">
        <v>139</v>
      </c>
    </row>
    <row r="3" spans="2:4" x14ac:dyDescent="0.35">
      <c r="B3" s="56" t="s">
        <v>3</v>
      </c>
      <c r="C3" s="57" t="s">
        <v>140</v>
      </c>
    </row>
    <row r="4" spans="2:4" x14ac:dyDescent="0.35">
      <c r="B4" s="56" t="s">
        <v>4</v>
      </c>
      <c r="C4" s="57" t="s">
        <v>141</v>
      </c>
    </row>
    <row r="5" spans="2:4" x14ac:dyDescent="0.35">
      <c r="B5" s="58" t="s">
        <v>5</v>
      </c>
      <c r="C5" s="57" t="s">
        <v>142</v>
      </c>
    </row>
    <row r="6" spans="2:4" x14ac:dyDescent="0.35">
      <c r="B6" s="58" t="s">
        <v>6</v>
      </c>
      <c r="C6" s="57" t="s">
        <v>143</v>
      </c>
    </row>
    <row r="7" spans="2:4" x14ac:dyDescent="0.35">
      <c r="B7" s="58" t="s">
        <v>7</v>
      </c>
      <c r="C7" s="57" t="s">
        <v>144</v>
      </c>
    </row>
    <row r="8" spans="2:4" ht="29" x14ac:dyDescent="0.35">
      <c r="B8" s="59" t="s">
        <v>11</v>
      </c>
      <c r="C8" s="60" t="s">
        <v>145</v>
      </c>
    </row>
    <row r="9" spans="2:4" x14ac:dyDescent="0.35">
      <c r="B9" s="59" t="s">
        <v>12</v>
      </c>
      <c r="C9" s="60" t="s">
        <v>146</v>
      </c>
    </row>
    <row r="10" spans="2:4" x14ac:dyDescent="0.35">
      <c r="B10" s="59" t="s">
        <v>13</v>
      </c>
      <c r="C10" s="60" t="s">
        <v>147</v>
      </c>
    </row>
    <row r="11" spans="2:4" x14ac:dyDescent="0.35">
      <c r="B11" t="s">
        <v>14</v>
      </c>
      <c r="C11" s="36" t="s">
        <v>148</v>
      </c>
    </row>
    <row r="12" spans="2:4" x14ac:dyDescent="0.35">
      <c r="B12" t="s">
        <v>15</v>
      </c>
      <c r="C12" s="36" t="s">
        <v>149</v>
      </c>
    </row>
    <row r="13" spans="2:4" x14ac:dyDescent="0.35">
      <c r="B13" s="61" t="s">
        <v>16</v>
      </c>
      <c r="C13" s="61" t="s">
        <v>150</v>
      </c>
      <c r="D13" t="s">
        <v>151</v>
      </c>
    </row>
    <row r="14" spans="2:4" x14ac:dyDescent="0.35">
      <c r="B14" t="s">
        <v>17</v>
      </c>
      <c r="C14" t="s">
        <v>152</v>
      </c>
      <c r="D14" t="s">
        <v>153</v>
      </c>
    </row>
    <row r="15" spans="2:4" x14ac:dyDescent="0.35">
      <c r="B15" t="s">
        <v>18</v>
      </c>
      <c r="C15" t="s">
        <v>154</v>
      </c>
      <c r="D15" t="s">
        <v>155</v>
      </c>
    </row>
    <row r="16" spans="2:4" x14ac:dyDescent="0.35">
      <c r="B16" s="66" t="s">
        <v>20</v>
      </c>
      <c r="C16" s="66" t="s">
        <v>156</v>
      </c>
    </row>
    <row r="17" spans="1:3" x14ac:dyDescent="0.35">
      <c r="B17" s="66" t="s">
        <v>21</v>
      </c>
      <c r="C17" s="66" t="s">
        <v>157</v>
      </c>
    </row>
    <row r="18" spans="1:3" x14ac:dyDescent="0.35">
      <c r="B18" s="66" t="s">
        <v>22</v>
      </c>
      <c r="C18" s="66" t="s">
        <v>158</v>
      </c>
    </row>
    <row r="19" spans="1:3" x14ac:dyDescent="0.35">
      <c r="B19" s="66" t="s">
        <v>23</v>
      </c>
      <c r="C19" s="66" t="s">
        <v>159</v>
      </c>
    </row>
    <row r="20" spans="1:3" x14ac:dyDescent="0.35">
      <c r="B20" s="66" t="s">
        <v>24</v>
      </c>
      <c r="C20" s="66" t="s">
        <v>160</v>
      </c>
    </row>
    <row r="21" spans="1:3" x14ac:dyDescent="0.35">
      <c r="B21" s="66" t="s">
        <v>25</v>
      </c>
      <c r="C21" s="66" t="s">
        <v>161</v>
      </c>
    </row>
    <row r="22" spans="1:3" x14ac:dyDescent="0.35">
      <c r="B22" s="66" t="s">
        <v>26</v>
      </c>
      <c r="C22" s="66" t="s">
        <v>162</v>
      </c>
    </row>
    <row r="23" spans="1:3" x14ac:dyDescent="0.35">
      <c r="B23" s="66" t="s">
        <v>27</v>
      </c>
      <c r="C23" s="66" t="s">
        <v>163</v>
      </c>
    </row>
    <row r="27" spans="1:3" ht="15" thickBot="1" x14ac:dyDescent="0.4">
      <c r="A27" s="69" t="s">
        <v>164</v>
      </c>
      <c r="B27" s="70" t="s">
        <v>165</v>
      </c>
      <c r="C27" s="70" t="s">
        <v>166</v>
      </c>
    </row>
    <row r="28" spans="1:3" ht="15" thickTop="1" x14ac:dyDescent="0.35">
      <c r="A28" s="81" t="s">
        <v>167</v>
      </c>
      <c r="B28" s="68" t="s">
        <v>20</v>
      </c>
      <c r="C28" s="68" t="s">
        <v>156</v>
      </c>
    </row>
    <row r="29" spans="1:3" x14ac:dyDescent="0.35">
      <c r="A29" s="81"/>
      <c r="B29" s="68" t="s">
        <v>21</v>
      </c>
      <c r="C29" s="68" t="s">
        <v>157</v>
      </c>
    </row>
    <row r="30" spans="1:3" x14ac:dyDescent="0.35">
      <c r="A30" s="81"/>
      <c r="B30" s="68" t="s">
        <v>22</v>
      </c>
      <c r="C30" s="68" t="s">
        <v>158</v>
      </c>
    </row>
    <row r="31" spans="1:3" x14ac:dyDescent="0.35">
      <c r="A31" s="81"/>
      <c r="B31" s="68" t="s">
        <v>23</v>
      </c>
      <c r="C31" s="68" t="s">
        <v>159</v>
      </c>
    </row>
    <row r="32" spans="1:3" x14ac:dyDescent="0.35">
      <c r="A32" s="81"/>
      <c r="B32" s="68" t="s">
        <v>24</v>
      </c>
      <c r="C32" s="68" t="s">
        <v>160</v>
      </c>
    </row>
    <row r="33" spans="1:3" x14ac:dyDescent="0.35">
      <c r="A33" s="81"/>
      <c r="B33" s="68" t="s">
        <v>25</v>
      </c>
      <c r="C33" s="68" t="s">
        <v>161</v>
      </c>
    </row>
    <row r="34" spans="1:3" x14ac:dyDescent="0.35">
      <c r="A34" s="81"/>
      <c r="B34" s="68" t="s">
        <v>26</v>
      </c>
      <c r="C34" s="68" t="s">
        <v>162</v>
      </c>
    </row>
    <row r="35" spans="1:3" x14ac:dyDescent="0.35">
      <c r="A35" s="82" t="s">
        <v>168</v>
      </c>
      <c r="B35" s="71" t="s">
        <v>5</v>
      </c>
      <c r="C35" s="72" t="s">
        <v>142</v>
      </c>
    </row>
    <row r="36" spans="1:3" x14ac:dyDescent="0.35">
      <c r="A36" s="83"/>
      <c r="B36" s="68" t="s">
        <v>6</v>
      </c>
      <c r="C36" s="73" t="s">
        <v>143</v>
      </c>
    </row>
    <row r="37" spans="1:3" x14ac:dyDescent="0.35">
      <c r="A37" s="83"/>
      <c r="B37" s="68" t="s">
        <v>7</v>
      </c>
      <c r="C37" s="73" t="s">
        <v>144</v>
      </c>
    </row>
    <row r="38" spans="1:3" ht="29" x14ac:dyDescent="0.35">
      <c r="A38" s="84" t="s">
        <v>169</v>
      </c>
      <c r="B38" s="71" t="s">
        <v>11</v>
      </c>
      <c r="C38" s="72" t="s">
        <v>145</v>
      </c>
    </row>
    <row r="39" spans="1:3" x14ac:dyDescent="0.35">
      <c r="A39" s="81"/>
      <c r="B39" s="68" t="s">
        <v>12</v>
      </c>
      <c r="C39" s="73" t="s">
        <v>146</v>
      </c>
    </row>
    <row r="40" spans="1:3" x14ac:dyDescent="0.35">
      <c r="A40" s="81"/>
      <c r="B40" s="68" t="s">
        <v>13</v>
      </c>
      <c r="C40" s="73" t="s">
        <v>147</v>
      </c>
    </row>
    <row r="41" spans="1:3" x14ac:dyDescent="0.35">
      <c r="A41" s="74" t="s">
        <v>170</v>
      </c>
      <c r="B41" s="75" t="s">
        <v>16</v>
      </c>
      <c r="C41" s="75" t="s">
        <v>150</v>
      </c>
    </row>
  </sheetData>
  <mergeCells count="3">
    <mergeCell ref="A28:A34"/>
    <mergeCell ref="A35:A37"/>
    <mergeCell ref="A38:A40"/>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3C999-648C-4BF7-A084-1E357196E1B3}">
  <sheetPr>
    <tabColor rgb="FF00B0F0"/>
  </sheetPr>
  <dimension ref="A1:T48"/>
  <sheetViews>
    <sheetView tabSelected="1" topLeftCell="C1" zoomScale="150" workbookViewId="0">
      <selection activeCell="K1" sqref="K1"/>
    </sheetView>
  </sheetViews>
  <sheetFormatPr defaultColWidth="8.81640625" defaultRowHeight="14.5" x14ac:dyDescent="0.35"/>
  <cols>
    <col min="3" max="3" width="12.1796875" bestFit="1" customWidth="1"/>
    <col min="10" max="10" width="12.26953125" customWidth="1"/>
    <col min="11" max="11" width="13.26953125" customWidth="1"/>
    <col min="12" max="13" width="12.453125" bestFit="1" customWidth="1"/>
    <col min="14" max="14" width="11.81640625" bestFit="1" customWidth="1"/>
    <col min="15" max="15" width="10.1796875" bestFit="1" customWidth="1"/>
    <col min="16" max="16" width="10.81640625" bestFit="1" customWidth="1"/>
  </cols>
  <sheetData>
    <row r="1" spans="1:20" s="37" customFormat="1" ht="58" x14ac:dyDescent="0.35">
      <c r="A1" s="2" t="s">
        <v>0</v>
      </c>
      <c r="B1" s="2" t="s">
        <v>1</v>
      </c>
      <c r="C1" s="2" t="s">
        <v>2</v>
      </c>
      <c r="D1" s="37" t="s">
        <v>3</v>
      </c>
      <c r="E1" s="37" t="s">
        <v>4</v>
      </c>
      <c r="F1" s="37" t="s">
        <v>5</v>
      </c>
      <c r="G1" s="37" t="s">
        <v>6</v>
      </c>
      <c r="H1" s="37" t="s">
        <v>7</v>
      </c>
      <c r="I1" s="37" t="s">
        <v>8</v>
      </c>
      <c r="J1" s="2" t="s">
        <v>9</v>
      </c>
      <c r="K1" s="2" t="s">
        <v>10</v>
      </c>
      <c r="L1" s="37" t="s">
        <v>11</v>
      </c>
      <c r="M1" s="37" t="s">
        <v>12</v>
      </c>
      <c r="N1" s="37" t="s">
        <v>13</v>
      </c>
      <c r="O1" s="37" t="s">
        <v>14</v>
      </c>
      <c r="P1" s="37" t="s">
        <v>15</v>
      </c>
      <c r="Q1" s="37" t="s">
        <v>16</v>
      </c>
      <c r="R1" s="37" t="s">
        <v>17</v>
      </c>
      <c r="S1" s="37" t="s">
        <v>18</v>
      </c>
      <c r="T1" s="39" t="s">
        <v>19</v>
      </c>
    </row>
    <row r="2" spans="1:20" x14ac:dyDescent="0.35">
      <c r="A2" s="1" t="s">
        <v>39</v>
      </c>
      <c r="B2" s="1" t="s">
        <v>40</v>
      </c>
      <c r="C2" s="3">
        <v>46053477</v>
      </c>
      <c r="D2">
        <v>61.013029589926525</v>
      </c>
      <c r="E2">
        <v>0.13419182225915322</v>
      </c>
      <c r="F2">
        <v>88.72</v>
      </c>
      <c r="G2">
        <v>82.21</v>
      </c>
      <c r="H2">
        <v>60.71</v>
      </c>
      <c r="I2">
        <v>68.12</v>
      </c>
      <c r="J2">
        <v>74.94</v>
      </c>
      <c r="K2">
        <v>0.25858506591674785</v>
      </c>
      <c r="L2">
        <v>5.4826069439724012E-2</v>
      </c>
      <c r="M2">
        <v>0.17657851132276614</v>
      </c>
      <c r="N2">
        <v>2.4002849501539029E-2</v>
      </c>
      <c r="O2">
        <v>0.26200000000000001</v>
      </c>
      <c r="P2">
        <v>0.58663449999999995</v>
      </c>
      <c r="Q2">
        <v>15545.11</v>
      </c>
      <c r="R2">
        <v>28.18</v>
      </c>
      <c r="S2">
        <v>37.36</v>
      </c>
      <c r="T2" s="14">
        <v>3.2999999993960927</v>
      </c>
    </row>
    <row r="3" spans="1:20" x14ac:dyDescent="0.35">
      <c r="A3" s="1" t="s">
        <v>41</v>
      </c>
      <c r="B3" s="1" t="s">
        <v>42</v>
      </c>
      <c r="C3" s="3">
        <v>36148636</v>
      </c>
      <c r="D3">
        <v>18.553569489316274</v>
      </c>
      <c r="E3">
        <v>2.4607173283108108</v>
      </c>
      <c r="F3">
        <v>21.08</v>
      </c>
      <c r="G3">
        <v>36.07</v>
      </c>
      <c r="H3">
        <v>53.76</v>
      </c>
      <c r="I3">
        <v>44.51</v>
      </c>
      <c r="J3">
        <v>38.854999999999997</v>
      </c>
      <c r="K3">
        <v>0.55586602736035773</v>
      </c>
      <c r="L3">
        <v>0.34291113134334789</v>
      </c>
      <c r="M3">
        <v>0.16924786589235383</v>
      </c>
      <c r="N3">
        <v>4.0767474174770127E-2</v>
      </c>
      <c r="O3">
        <v>0.29100000000000004</v>
      </c>
      <c r="P3">
        <v>0.2930257</v>
      </c>
      <c r="Q3">
        <v>8866.6910000000007</v>
      </c>
      <c r="R3">
        <v>9.49</v>
      </c>
      <c r="S3">
        <v>45</v>
      </c>
      <c r="T3" s="14">
        <v>4.423904529447455</v>
      </c>
    </row>
    <row r="4" spans="1:20" x14ac:dyDescent="0.35">
      <c r="A4" s="1" t="s">
        <v>43</v>
      </c>
      <c r="B4" s="1" t="s">
        <v>44</v>
      </c>
      <c r="C4" s="3">
        <v>13124347</v>
      </c>
      <c r="D4">
        <v>10.88486024942803</v>
      </c>
      <c r="E4">
        <v>2.827229804271405</v>
      </c>
      <c r="F4">
        <v>16.86</v>
      </c>
      <c r="G4">
        <v>47</v>
      </c>
      <c r="H4">
        <v>60.77</v>
      </c>
      <c r="I4">
        <v>42.82</v>
      </c>
      <c r="J4">
        <v>41.862499999999997</v>
      </c>
      <c r="K4">
        <v>0.54153340249256254</v>
      </c>
      <c r="L4">
        <v>0.325239308880447</v>
      </c>
      <c r="M4">
        <v>0.1662778788855776</v>
      </c>
      <c r="N4">
        <v>4.7324914602763002E-2</v>
      </c>
      <c r="O4">
        <v>0.254</v>
      </c>
      <c r="P4">
        <v>0.3140346</v>
      </c>
      <c r="Q4">
        <v>3966.8029999999999</v>
      </c>
      <c r="R4">
        <v>4.16</v>
      </c>
      <c r="S4">
        <v>37.6</v>
      </c>
      <c r="T4" s="14">
        <v>7.4531156622620074</v>
      </c>
    </row>
    <row r="5" spans="1:20" x14ac:dyDescent="0.35">
      <c r="A5" s="1" t="s">
        <v>45</v>
      </c>
      <c r="B5" s="1" t="s">
        <v>46</v>
      </c>
      <c r="C5" s="3">
        <v>2483754</v>
      </c>
      <c r="D5">
        <v>32.040540701695896</v>
      </c>
      <c r="E5">
        <v>6.3942892492573744</v>
      </c>
      <c r="F5">
        <v>43.33</v>
      </c>
      <c r="G5">
        <v>66.05</v>
      </c>
      <c r="H5">
        <v>60.17</v>
      </c>
      <c r="I5">
        <v>53.85</v>
      </c>
      <c r="J5">
        <v>55.85</v>
      </c>
      <c r="K5">
        <v>0.51046946627320211</v>
      </c>
      <c r="L5">
        <v>0.2905673858089361</v>
      </c>
      <c r="M5">
        <v>0.16281769439857324</v>
      </c>
      <c r="N5">
        <v>3.6818540319200059E-2</v>
      </c>
      <c r="O5">
        <v>0.33600000000000002</v>
      </c>
      <c r="P5">
        <v>0.37506129999999999</v>
      </c>
      <c r="Q5">
        <v>16749.388999999999</v>
      </c>
      <c r="R5">
        <v>23.79</v>
      </c>
      <c r="S5">
        <v>57.4</v>
      </c>
      <c r="T5" s="14">
        <v>-2.9898687946792819</v>
      </c>
    </row>
    <row r="6" spans="1:20" x14ac:dyDescent="0.35">
      <c r="A6" s="1" t="s">
        <v>47</v>
      </c>
      <c r="B6" s="1" t="s">
        <v>48</v>
      </c>
      <c r="C6" s="3">
        <v>22720842</v>
      </c>
      <c r="D6">
        <v>10.935549276298829</v>
      </c>
      <c r="E6">
        <v>3.0043272604069866</v>
      </c>
      <c r="F6">
        <v>14.92</v>
      </c>
      <c r="G6">
        <v>50.01</v>
      </c>
      <c r="H6">
        <v>54.76</v>
      </c>
      <c r="I6">
        <v>60.22</v>
      </c>
      <c r="J6">
        <v>44.977499999999999</v>
      </c>
      <c r="K6">
        <v>0.53931545729379993</v>
      </c>
      <c r="L6">
        <v>0.30772700766077493</v>
      </c>
      <c r="M6">
        <v>0.16837414140323015</v>
      </c>
      <c r="N6">
        <v>5.9056872943486417E-2</v>
      </c>
      <c r="O6">
        <v>0.29799999999999999</v>
      </c>
      <c r="P6">
        <v>0.28462350000000003</v>
      </c>
      <c r="Q6">
        <v>2508.5279999999998</v>
      </c>
      <c r="R6">
        <v>4.3</v>
      </c>
      <c r="S6">
        <v>0</v>
      </c>
      <c r="T6" s="14">
        <v>4.9851030062518333</v>
      </c>
    </row>
    <row r="7" spans="1:20" x14ac:dyDescent="0.35">
      <c r="A7" s="1" t="s">
        <v>49</v>
      </c>
      <c r="B7" s="1" t="s">
        <v>50</v>
      </c>
      <c r="C7" s="3">
        <v>12999141</v>
      </c>
      <c r="D7">
        <v>9.4270120648741322</v>
      </c>
      <c r="E7">
        <v>3.2873538720750854</v>
      </c>
      <c r="F7">
        <v>13.85</v>
      </c>
      <c r="G7">
        <v>60.47</v>
      </c>
      <c r="H7">
        <v>59.39</v>
      </c>
      <c r="I7">
        <v>59.42</v>
      </c>
      <c r="J7">
        <v>48.282499999999999</v>
      </c>
      <c r="K7">
        <v>0.46057152861854272</v>
      </c>
      <c r="L7">
        <v>0.25291884815631899</v>
      </c>
      <c r="M7">
        <v>0.1545390833870478</v>
      </c>
      <c r="N7">
        <v>5.1080320762151438E-2</v>
      </c>
      <c r="O7">
        <v>0.221</v>
      </c>
      <c r="P7">
        <v>0.25839420000000002</v>
      </c>
      <c r="Q7">
        <v>879.67</v>
      </c>
      <c r="R7">
        <v>0.9</v>
      </c>
      <c r="S7">
        <v>33.33</v>
      </c>
      <c r="T7" s="14">
        <v>3.4892317483896846</v>
      </c>
    </row>
    <row r="8" spans="1:20" x14ac:dyDescent="0.35">
      <c r="A8" s="1" t="s">
        <v>51</v>
      </c>
      <c r="B8" s="1" t="s">
        <v>52</v>
      </c>
      <c r="C8" s="3">
        <v>573322</v>
      </c>
      <c r="D8">
        <v>24.528465242917587</v>
      </c>
      <c r="F8">
        <v>66.2</v>
      </c>
      <c r="G8">
        <v>90.4</v>
      </c>
      <c r="H8">
        <v>56.77</v>
      </c>
      <c r="I8">
        <v>75.55</v>
      </c>
      <c r="J8">
        <v>72.23</v>
      </c>
      <c r="K8">
        <v>0.28416803571937194</v>
      </c>
      <c r="L8">
        <v>6.4726853200502851E-2</v>
      </c>
      <c r="M8">
        <v>0.18145936291550335</v>
      </c>
      <c r="N8">
        <v>3.4756189241051116E-2</v>
      </c>
      <c r="O8">
        <v>0.34100000000000003</v>
      </c>
      <c r="P8">
        <v>0.50242220000000004</v>
      </c>
      <c r="Q8">
        <v>10052.799000000001</v>
      </c>
      <c r="R8">
        <v>11.35</v>
      </c>
      <c r="S8">
        <v>52.5</v>
      </c>
      <c r="T8" s="14">
        <v>7.2718814720441145</v>
      </c>
    </row>
    <row r="9" spans="1:20" x14ac:dyDescent="0.35">
      <c r="A9" s="1" t="s">
        <v>53</v>
      </c>
      <c r="B9" s="1" t="s">
        <v>54</v>
      </c>
      <c r="C9" s="3">
        <v>28608129</v>
      </c>
      <c r="D9">
        <v>7.6903690506988429</v>
      </c>
      <c r="E9">
        <v>2.9013854768342244</v>
      </c>
      <c r="F9">
        <v>28.28</v>
      </c>
      <c r="G9">
        <v>56.12</v>
      </c>
      <c r="H9">
        <v>49.14</v>
      </c>
      <c r="I9">
        <v>47.52</v>
      </c>
      <c r="J9">
        <v>45.265000000000008</v>
      </c>
      <c r="K9">
        <v>0.5498101903642878</v>
      </c>
      <c r="L9">
        <v>0.32608298886421361</v>
      </c>
      <c r="M9">
        <v>0.17512170372939165</v>
      </c>
      <c r="N9">
        <v>4.2805911751659313E-2</v>
      </c>
      <c r="O9">
        <v>0.28600000000000003</v>
      </c>
      <c r="P9">
        <v>0.33725690000000003</v>
      </c>
      <c r="Q9">
        <v>4880.5190000000002</v>
      </c>
      <c r="R9">
        <v>6.23</v>
      </c>
      <c r="S9">
        <v>49</v>
      </c>
      <c r="T9" s="14">
        <v>3.6707428468098442</v>
      </c>
    </row>
    <row r="10" spans="1:20" x14ac:dyDescent="0.35">
      <c r="A10" s="1" t="s">
        <v>55</v>
      </c>
      <c r="B10" s="1" t="s">
        <v>56</v>
      </c>
      <c r="C10" s="3">
        <v>5119136</v>
      </c>
      <c r="D10">
        <v>10.51026065922062</v>
      </c>
      <c r="E10">
        <v>7.243409825408037E-2</v>
      </c>
      <c r="F10">
        <v>16.760000000000002</v>
      </c>
      <c r="G10">
        <v>38.69</v>
      </c>
      <c r="H10">
        <v>43.77</v>
      </c>
      <c r="I10">
        <v>38.17</v>
      </c>
      <c r="J10">
        <v>34.347499999999997</v>
      </c>
      <c r="K10">
        <v>0.83557862180849396</v>
      </c>
      <c r="L10">
        <v>0.58633455797762413</v>
      </c>
      <c r="M10">
        <v>0.16570338837932277</v>
      </c>
      <c r="N10">
        <v>7.5570310126372137E-2</v>
      </c>
      <c r="O10">
        <v>0.18600000000000003</v>
      </c>
      <c r="P10">
        <v>0.15160310000000002</v>
      </c>
      <c r="Q10">
        <v>1145.1610000000001</v>
      </c>
      <c r="R10">
        <v>1.57</v>
      </c>
      <c r="S10">
        <v>59.27</v>
      </c>
      <c r="T10" s="14">
        <v>1.539632474828494</v>
      </c>
    </row>
    <row r="11" spans="1:20" x14ac:dyDescent="0.35">
      <c r="A11" s="1" t="s">
        <v>57</v>
      </c>
      <c r="B11" s="1" t="s">
        <v>58</v>
      </c>
      <c r="C11" s="3">
        <v>17921183</v>
      </c>
      <c r="D11">
        <v>3.975771554255096</v>
      </c>
      <c r="E11">
        <v>4.1133941883189298</v>
      </c>
      <c r="F11">
        <v>10.76</v>
      </c>
      <c r="G11">
        <v>41.09</v>
      </c>
      <c r="H11">
        <v>58.54</v>
      </c>
      <c r="I11">
        <v>28.87</v>
      </c>
      <c r="J11">
        <v>34.814999999999998</v>
      </c>
      <c r="K11">
        <v>0.72291647714166141</v>
      </c>
      <c r="L11">
        <v>0.50936099410263569</v>
      </c>
      <c r="M11">
        <v>0.15067298815289831</v>
      </c>
      <c r="N11">
        <v>5.6395952595388391E-2</v>
      </c>
      <c r="O11">
        <v>0.23899999999999999</v>
      </c>
      <c r="P11">
        <v>0.23751449999999999</v>
      </c>
      <c r="Q11">
        <v>2588.8200000000002</v>
      </c>
      <c r="R11">
        <v>3.29</v>
      </c>
      <c r="S11">
        <v>36.9</v>
      </c>
      <c r="T11" s="14">
        <v>3.6544511046340489</v>
      </c>
    </row>
    <row r="12" spans="1:20" x14ac:dyDescent="0.35">
      <c r="A12" s="1" t="s">
        <v>59</v>
      </c>
      <c r="B12" s="1" t="s">
        <v>60</v>
      </c>
      <c r="C12" s="3">
        <v>926492</v>
      </c>
      <c r="D12">
        <v>20.789888741618917</v>
      </c>
      <c r="E12">
        <v>0.92989469957646698</v>
      </c>
      <c r="F12">
        <v>37.44</v>
      </c>
      <c r="G12">
        <v>51.48</v>
      </c>
      <c r="H12">
        <v>56.05</v>
      </c>
      <c r="I12">
        <v>49.64</v>
      </c>
      <c r="J12">
        <v>48.652499999999989</v>
      </c>
      <c r="K12">
        <v>0.39984340446251848</v>
      </c>
      <c r="L12">
        <v>0.18043054077648474</v>
      </c>
      <c r="M12">
        <v>0.17489083430940955</v>
      </c>
      <c r="N12">
        <v>3.9609689235262514E-2</v>
      </c>
      <c r="O12">
        <v>0.249</v>
      </c>
      <c r="P12">
        <v>0.31806439999999997</v>
      </c>
      <c r="Q12">
        <v>3392.3159999999998</v>
      </c>
      <c r="R12">
        <v>6.02</v>
      </c>
      <c r="S12">
        <v>55.92</v>
      </c>
      <c r="T12" s="14">
        <v>3.3887835062683962</v>
      </c>
    </row>
    <row r="13" spans="1:20" x14ac:dyDescent="0.35">
      <c r="A13" s="1" t="s">
        <v>61</v>
      </c>
      <c r="B13" s="1" t="s">
        <v>62</v>
      </c>
      <c r="C13" s="3">
        <v>5940746</v>
      </c>
      <c r="D13">
        <v>13.271802888054802</v>
      </c>
      <c r="E13">
        <v>0.42558796487848494</v>
      </c>
      <c r="F13">
        <v>28.57</v>
      </c>
      <c r="G13">
        <v>36.21</v>
      </c>
      <c r="H13">
        <v>52.47</v>
      </c>
      <c r="I13">
        <v>52.06</v>
      </c>
      <c r="J13">
        <v>42.327500000000001</v>
      </c>
      <c r="K13">
        <v>0.45539964839499342</v>
      </c>
      <c r="L13">
        <v>0.27170786700174843</v>
      </c>
      <c r="M13">
        <v>0.15151453240979784</v>
      </c>
      <c r="N13">
        <v>2.7856400828118095E-2</v>
      </c>
      <c r="O13">
        <v>0.26300000000000001</v>
      </c>
      <c r="P13">
        <v>0.33953130000000004</v>
      </c>
      <c r="Q13">
        <v>5622.1610000000001</v>
      </c>
      <c r="R13">
        <v>7.57</v>
      </c>
      <c r="S13">
        <v>41.9</v>
      </c>
      <c r="T13" s="14">
        <v>2.5796663953513814</v>
      </c>
    </row>
    <row r="14" spans="1:20" x14ac:dyDescent="0.35">
      <c r="A14" s="1" t="s">
        <v>63</v>
      </c>
      <c r="B14" s="1" t="s">
        <v>64</v>
      </c>
      <c r="C14" s="3">
        <v>28444206</v>
      </c>
      <c r="D14">
        <v>10.770365265601015</v>
      </c>
      <c r="E14">
        <v>1.3951259704700494</v>
      </c>
      <c r="F14">
        <v>19.16</v>
      </c>
      <c r="G14">
        <v>58.23</v>
      </c>
      <c r="H14">
        <v>58.65</v>
      </c>
      <c r="I14">
        <v>51.18</v>
      </c>
      <c r="J14">
        <v>46.805</v>
      </c>
      <c r="K14">
        <v>0.5078316369366449</v>
      </c>
      <c r="L14">
        <v>0.29631260176667984</v>
      </c>
      <c r="M14">
        <v>0.16206600409758018</v>
      </c>
      <c r="N14">
        <v>4.5583166487203272E-2</v>
      </c>
      <c r="O14">
        <v>0.312</v>
      </c>
      <c r="P14">
        <v>0.34320339999999999</v>
      </c>
      <c r="Q14">
        <v>6726.0720000000001</v>
      </c>
      <c r="R14">
        <v>8.59</v>
      </c>
      <c r="S14">
        <v>45.6</v>
      </c>
      <c r="T14" s="14">
        <v>5.9500000000203102</v>
      </c>
    </row>
    <row r="15" spans="1:20" x14ac:dyDescent="0.35">
      <c r="A15" s="1" t="s">
        <v>65</v>
      </c>
      <c r="B15" s="1" t="s">
        <v>66</v>
      </c>
      <c r="C15" s="3">
        <v>98151951</v>
      </c>
      <c r="D15">
        <v>13.539166857722474</v>
      </c>
      <c r="E15">
        <v>6.893247919239017</v>
      </c>
      <c r="F15">
        <v>24.44</v>
      </c>
      <c r="G15">
        <v>48.21</v>
      </c>
      <c r="H15">
        <v>59.59</v>
      </c>
      <c r="I15">
        <v>43.22</v>
      </c>
      <c r="J15">
        <v>43.865000000000002</v>
      </c>
      <c r="K15">
        <v>0.61083886137873322</v>
      </c>
      <c r="L15">
        <v>0.39012942784630578</v>
      </c>
      <c r="M15">
        <v>0.16891107812394099</v>
      </c>
      <c r="N15">
        <v>4.7809794046407894E-2</v>
      </c>
      <c r="O15">
        <v>0.26100000000000001</v>
      </c>
      <c r="P15">
        <v>0.29041299999999998</v>
      </c>
      <c r="Q15">
        <v>1592.4770000000001</v>
      </c>
      <c r="R15">
        <v>2.41</v>
      </c>
      <c r="S15">
        <v>41.64</v>
      </c>
      <c r="T15" s="14">
        <v>6.675930289867793</v>
      </c>
    </row>
    <row r="16" spans="1:20" x14ac:dyDescent="0.35">
      <c r="A16" s="1" t="s">
        <v>67</v>
      </c>
      <c r="B16" s="1" t="s">
        <v>68</v>
      </c>
      <c r="C16" s="3">
        <v>1543389</v>
      </c>
      <c r="D16">
        <v>17.115683712920074</v>
      </c>
      <c r="E16">
        <v>23.864221204116397</v>
      </c>
      <c r="F16">
        <v>41.09</v>
      </c>
      <c r="G16">
        <v>43.59</v>
      </c>
      <c r="H16">
        <v>50.27</v>
      </c>
      <c r="I16">
        <v>48.65</v>
      </c>
      <c r="J16">
        <v>45.900000000000006</v>
      </c>
      <c r="K16">
        <v>0.58306554041901237</v>
      </c>
      <c r="L16">
        <v>0.37725803356263643</v>
      </c>
      <c r="M16">
        <v>0.17062503821141639</v>
      </c>
      <c r="N16">
        <v>3.1497727378208405E-2</v>
      </c>
      <c r="O16">
        <v>0.17399999999999999</v>
      </c>
      <c r="P16">
        <v>0.42420960000000002</v>
      </c>
      <c r="Q16">
        <v>18565.41</v>
      </c>
      <c r="R16">
        <v>18.850000000000001</v>
      </c>
      <c r="S16">
        <v>50.2</v>
      </c>
      <c r="T16" s="14">
        <v>0.90724824598673592</v>
      </c>
    </row>
    <row r="17" spans="1:20" x14ac:dyDescent="0.35">
      <c r="A17" s="1" t="s">
        <v>69</v>
      </c>
      <c r="B17" s="1" t="s">
        <v>70</v>
      </c>
      <c r="C17" s="3">
        <v>3727656</v>
      </c>
      <c r="D17">
        <v>14.517287311382807</v>
      </c>
      <c r="E17">
        <v>2.6869968688097829</v>
      </c>
      <c r="F17">
        <v>35.700000000000003</v>
      </c>
      <c r="G17">
        <v>36.43</v>
      </c>
      <c r="H17">
        <v>60.09</v>
      </c>
      <c r="I17">
        <v>51.96</v>
      </c>
      <c r="J17">
        <v>46.045000000000002</v>
      </c>
      <c r="K17">
        <v>0.43861376693852167</v>
      </c>
      <c r="L17">
        <v>0.18328272635143175</v>
      </c>
      <c r="M17">
        <v>0.20161049336352013</v>
      </c>
      <c r="N17">
        <v>4.9832601104196059E-2</v>
      </c>
      <c r="O17">
        <v>0.214</v>
      </c>
      <c r="P17">
        <v>0.2559651</v>
      </c>
      <c r="Q17">
        <v>650</v>
      </c>
      <c r="R17">
        <v>2.78</v>
      </c>
      <c r="S17">
        <v>0</v>
      </c>
      <c r="T17" s="14"/>
    </row>
    <row r="18" spans="1:20" x14ac:dyDescent="0.35">
      <c r="A18" s="1" t="s">
        <v>71</v>
      </c>
      <c r="B18" s="1" t="s">
        <v>72</v>
      </c>
      <c r="C18" s="3">
        <v>1197512</v>
      </c>
      <c r="D18">
        <v>43.650797545243812</v>
      </c>
      <c r="E18">
        <v>4.3127442564249874</v>
      </c>
      <c r="F18">
        <v>32.979999999999997</v>
      </c>
      <c r="G18">
        <v>65.08</v>
      </c>
      <c r="H18">
        <v>62</v>
      </c>
      <c r="I18">
        <v>73.19</v>
      </c>
      <c r="J18">
        <v>58.3125</v>
      </c>
      <c r="K18">
        <v>0.71206086397362212</v>
      </c>
      <c r="L18">
        <v>0.38181597001458345</v>
      </c>
      <c r="M18">
        <v>0.23565534232671201</v>
      </c>
      <c r="N18">
        <v>7.5562409677964362E-2</v>
      </c>
      <c r="O18">
        <v>0.29299999999999998</v>
      </c>
      <c r="P18">
        <v>0.32523240000000003</v>
      </c>
      <c r="Q18">
        <v>11315.553</v>
      </c>
      <c r="R18">
        <v>24.95</v>
      </c>
      <c r="S18">
        <v>63.7</v>
      </c>
      <c r="T18" s="14">
        <v>2.6407046161200043</v>
      </c>
    </row>
    <row r="19" spans="1:20" x14ac:dyDescent="0.35">
      <c r="A19" s="1" t="s">
        <v>73</v>
      </c>
      <c r="B19" s="1" t="s">
        <v>74</v>
      </c>
      <c r="C19" s="3">
        <v>123771387</v>
      </c>
      <c r="D19">
        <v>17.313518936569729</v>
      </c>
      <c r="E19">
        <v>1.8644829681031205</v>
      </c>
      <c r="F19">
        <v>20.87</v>
      </c>
      <c r="G19">
        <v>29.04</v>
      </c>
      <c r="H19">
        <v>52.49</v>
      </c>
      <c r="I19">
        <v>47.93</v>
      </c>
      <c r="J19">
        <v>37.582500000000003</v>
      </c>
      <c r="K19">
        <v>0.38864962867377678</v>
      </c>
      <c r="L19">
        <v>0.20396757926685294</v>
      </c>
      <c r="M19">
        <v>0.13963053062677852</v>
      </c>
      <c r="N19">
        <v>4.1155728503339851E-2</v>
      </c>
      <c r="O19">
        <v>0.37799999999999995</v>
      </c>
      <c r="P19">
        <v>0.31205269999999996</v>
      </c>
      <c r="Q19">
        <v>3591.681</v>
      </c>
      <c r="R19">
        <v>4.7</v>
      </c>
      <c r="S19">
        <v>30.98</v>
      </c>
      <c r="T19" s="14">
        <v>7.316691128483825</v>
      </c>
    </row>
    <row r="20" spans="1:20" x14ac:dyDescent="0.35">
      <c r="A20" s="1" t="s">
        <v>75</v>
      </c>
      <c r="B20" s="1" t="s">
        <v>76</v>
      </c>
      <c r="C20" s="3">
        <v>2383905</v>
      </c>
      <c r="D20">
        <v>30.406050199148034</v>
      </c>
      <c r="E20">
        <v>1.3004664615410431</v>
      </c>
      <c r="F20">
        <v>48.48</v>
      </c>
      <c r="G20">
        <v>34.369999999999997</v>
      </c>
      <c r="H20">
        <v>53.8</v>
      </c>
      <c r="I20">
        <v>64.17</v>
      </c>
      <c r="J20">
        <v>50.204999999999998</v>
      </c>
      <c r="K20">
        <v>0.44235278336803757</v>
      </c>
      <c r="L20">
        <v>0.24190195271789894</v>
      </c>
      <c r="M20">
        <v>0.16573109722475374</v>
      </c>
      <c r="N20">
        <v>3.1464039541019249E-2</v>
      </c>
      <c r="O20">
        <v>0.218</v>
      </c>
      <c r="P20">
        <v>0.39623849999999999</v>
      </c>
      <c r="Q20">
        <v>21218.077000000001</v>
      </c>
      <c r="R20">
        <v>34.92</v>
      </c>
      <c r="S20">
        <v>69</v>
      </c>
      <c r="T20" s="14">
        <v>3.3839076078346721</v>
      </c>
    </row>
    <row r="21" spans="1:20" x14ac:dyDescent="0.35">
      <c r="A21" s="1" t="s">
        <v>77</v>
      </c>
      <c r="B21" s="1" t="s">
        <v>78</v>
      </c>
      <c r="C21" s="3">
        <v>2631251</v>
      </c>
      <c r="D21">
        <v>7.574651806308105</v>
      </c>
      <c r="E21">
        <v>1.3278115618768411</v>
      </c>
      <c r="F21">
        <v>28.12</v>
      </c>
      <c r="G21">
        <v>43.85</v>
      </c>
      <c r="H21">
        <v>57.74</v>
      </c>
      <c r="I21">
        <v>63.72</v>
      </c>
      <c r="J21">
        <v>48.357500000000002</v>
      </c>
      <c r="K21">
        <v>0.43458984739430023</v>
      </c>
      <c r="L21">
        <v>0.23410544769086855</v>
      </c>
      <c r="M21">
        <v>0.15868965386219419</v>
      </c>
      <c r="N21">
        <v>3.6390078838956785E-2</v>
      </c>
      <c r="O21">
        <v>0.28699999999999998</v>
      </c>
      <c r="P21">
        <v>0.34679810000000005</v>
      </c>
      <c r="Q21">
        <v>3073.5410000000002</v>
      </c>
      <c r="R21">
        <v>5.97</v>
      </c>
      <c r="S21">
        <v>67.2</v>
      </c>
      <c r="T21" s="14">
        <v>5.7467176553559653</v>
      </c>
    </row>
    <row r="22" spans="1:20" x14ac:dyDescent="0.35">
      <c r="A22" s="1" t="s">
        <v>79</v>
      </c>
      <c r="B22" s="1" t="s">
        <v>80</v>
      </c>
      <c r="C22" s="3">
        <v>33062741</v>
      </c>
      <c r="D22">
        <v>40.416606624659472</v>
      </c>
      <c r="E22">
        <v>15.163717959742055</v>
      </c>
      <c r="F22">
        <v>25.98</v>
      </c>
      <c r="G22">
        <v>41.42</v>
      </c>
      <c r="H22">
        <v>70.510000000000005</v>
      </c>
      <c r="I22">
        <v>68.739999999999995</v>
      </c>
      <c r="J22">
        <v>51.662500000000009</v>
      </c>
      <c r="K22">
        <v>0.40610833867673551</v>
      </c>
      <c r="L22">
        <v>0.19130623036279376</v>
      </c>
      <c r="M22">
        <v>0.17586458070213506</v>
      </c>
      <c r="N22">
        <v>3.571769450100705E-2</v>
      </c>
      <c r="O22">
        <v>0.34299999999999997</v>
      </c>
      <c r="P22">
        <v>0.36055259999999995</v>
      </c>
      <c r="Q22">
        <v>7061.9350000000004</v>
      </c>
      <c r="R22">
        <v>10.84</v>
      </c>
      <c r="S22">
        <v>47.5</v>
      </c>
      <c r="T22" s="14">
        <v>5.6848726038983557</v>
      </c>
    </row>
    <row r="23" spans="1:20" x14ac:dyDescent="0.35">
      <c r="A23" s="1" t="s">
        <v>81</v>
      </c>
      <c r="B23" s="1" t="s">
        <v>82</v>
      </c>
      <c r="C23" s="3">
        <v>14238716</v>
      </c>
      <c r="D23">
        <v>7.1826171713797784</v>
      </c>
      <c r="E23">
        <v>2.7373713683171994</v>
      </c>
      <c r="F23">
        <v>18.03</v>
      </c>
      <c r="G23">
        <v>47.87</v>
      </c>
      <c r="H23">
        <v>58.4</v>
      </c>
      <c r="I23">
        <v>50.42</v>
      </c>
      <c r="J23">
        <v>43.680000000000007</v>
      </c>
      <c r="K23">
        <v>0.62038057824360393</v>
      </c>
      <c r="L23">
        <v>0.39821246299625696</v>
      </c>
      <c r="M23">
        <v>0.16588446968476117</v>
      </c>
      <c r="N23">
        <v>5.3108951240738007E-2</v>
      </c>
      <c r="O23">
        <v>0.26800000000000002</v>
      </c>
      <c r="P23">
        <v>0.25688559999999999</v>
      </c>
      <c r="Q23">
        <v>3895.7669999999998</v>
      </c>
      <c r="R23">
        <v>6.82</v>
      </c>
      <c r="S23">
        <v>68.5</v>
      </c>
      <c r="T23" s="14">
        <v>5.6685239347435044</v>
      </c>
    </row>
    <row r="24" spans="1:20" x14ac:dyDescent="0.35">
      <c r="A24" s="1" t="s">
        <v>83</v>
      </c>
      <c r="B24" s="1" t="s">
        <v>84</v>
      </c>
      <c r="C24" s="3">
        <v>2111612</v>
      </c>
      <c r="D24">
        <v>12.653131943747242</v>
      </c>
      <c r="E24">
        <v>0.12567910203200208</v>
      </c>
      <c r="F24">
        <v>17.329999999999998</v>
      </c>
      <c r="G24">
        <v>29.95</v>
      </c>
      <c r="H24">
        <v>61.51</v>
      </c>
      <c r="I24">
        <v>60.3</v>
      </c>
      <c r="J24">
        <v>42.272499999999994</v>
      </c>
      <c r="K24">
        <v>0.59333547971526324</v>
      </c>
      <c r="L24">
        <v>0.36455418034516718</v>
      </c>
      <c r="M24">
        <v>0.17227405256931699</v>
      </c>
      <c r="N24">
        <v>4.9926094455427172E-2</v>
      </c>
      <c r="O24">
        <v>0.214</v>
      </c>
      <c r="P24">
        <v>0.24262920000000002</v>
      </c>
      <c r="Q24">
        <v>2729.1590000000001</v>
      </c>
      <c r="R24">
        <v>3.06</v>
      </c>
      <c r="S24">
        <v>55.76</v>
      </c>
      <c r="T24" s="14">
        <v>4.8134859518829529</v>
      </c>
    </row>
    <row r="25" spans="1:20" x14ac:dyDescent="0.35">
      <c r="A25" s="1" t="s">
        <v>85</v>
      </c>
      <c r="B25" s="1" t="s">
        <v>86</v>
      </c>
      <c r="C25" s="3">
        <v>57458890</v>
      </c>
      <c r="D25">
        <v>23.424520390839444</v>
      </c>
      <c r="E25">
        <v>0.84095736099322493</v>
      </c>
      <c r="F25">
        <v>40.619999999999997</v>
      </c>
      <c r="G25">
        <v>53.15</v>
      </c>
      <c r="H25">
        <v>50.91</v>
      </c>
      <c r="I25">
        <v>73.63</v>
      </c>
      <c r="J25">
        <v>54.577500000000001</v>
      </c>
      <c r="K25">
        <v>0.3550140055913259</v>
      </c>
      <c r="L25">
        <v>0.18481356088142981</v>
      </c>
      <c r="M25">
        <v>0.13523830496780934</v>
      </c>
      <c r="N25">
        <v>3.1453024298790933E-2</v>
      </c>
      <c r="O25">
        <v>0.38799999999999996</v>
      </c>
      <c r="P25">
        <v>0.33363419999999999</v>
      </c>
      <c r="Q25">
        <v>6267.1480000000001</v>
      </c>
      <c r="R25">
        <v>7.39</v>
      </c>
      <c r="S25">
        <v>50</v>
      </c>
      <c r="T25" s="14">
        <v>4.4964982846120876</v>
      </c>
    </row>
    <row r="26" spans="1:20" x14ac:dyDescent="0.35">
      <c r="A26" s="1" t="s">
        <v>87</v>
      </c>
      <c r="B26" s="1" t="s">
        <v>88</v>
      </c>
      <c r="C26" s="3">
        <v>2192400</v>
      </c>
      <c r="D26">
        <v>23.526333520343005</v>
      </c>
      <c r="E26">
        <v>4.2294499178981937</v>
      </c>
      <c r="F26">
        <v>32.270000000000003</v>
      </c>
      <c r="G26">
        <v>50.71</v>
      </c>
      <c r="H26">
        <v>65.78</v>
      </c>
      <c r="I26">
        <v>74.680000000000007</v>
      </c>
      <c r="J26">
        <v>55.86</v>
      </c>
      <c r="K26">
        <v>0.80615459710445958</v>
      </c>
      <c r="L26">
        <v>0.4663514433682352</v>
      </c>
      <c r="M26">
        <v>0.24303600774076528</v>
      </c>
      <c r="N26">
        <v>8.4683657155983097E-2</v>
      </c>
      <c r="O26">
        <v>0.309</v>
      </c>
      <c r="P26">
        <v>0.26338650000000002</v>
      </c>
      <c r="Q26">
        <v>2891.0540000000001</v>
      </c>
      <c r="R26">
        <v>3.19</v>
      </c>
      <c r="S26">
        <v>56.01</v>
      </c>
      <c r="T26" s="14">
        <v>2.7622381853268791</v>
      </c>
    </row>
    <row r="27" spans="1:20" x14ac:dyDescent="0.35">
      <c r="A27" s="1" t="s">
        <v>89</v>
      </c>
      <c r="B27" s="1" t="s">
        <v>90</v>
      </c>
      <c r="C27" s="3">
        <v>5432272</v>
      </c>
      <c r="D27">
        <v>11.114929521202178</v>
      </c>
      <c r="E27">
        <v>0.55403733465481841</v>
      </c>
      <c r="F27">
        <v>29.07</v>
      </c>
      <c r="G27">
        <v>42.02</v>
      </c>
      <c r="H27">
        <v>53.05</v>
      </c>
      <c r="I27">
        <v>61.65</v>
      </c>
      <c r="J27">
        <v>46.447499999999998</v>
      </c>
      <c r="K27">
        <v>0.53500919481581555</v>
      </c>
      <c r="L27">
        <v>0.33742173029304895</v>
      </c>
      <c r="M27">
        <v>0.15837176614969409</v>
      </c>
      <c r="N27">
        <v>3.7012274193028341E-2</v>
      </c>
      <c r="O27">
        <v>0.35700000000000004</v>
      </c>
      <c r="P27">
        <v>0.35735259999999996</v>
      </c>
      <c r="Q27">
        <v>1670.3019999999999</v>
      </c>
      <c r="R27">
        <v>1.53</v>
      </c>
      <c r="S27">
        <v>43</v>
      </c>
      <c r="T27" s="14">
        <v>4.7929148215681181</v>
      </c>
    </row>
    <row r="28" spans="1:20" x14ac:dyDescent="0.35">
      <c r="A28" s="1" t="s">
        <v>91</v>
      </c>
      <c r="B28" s="1" t="s">
        <v>92</v>
      </c>
      <c r="C28" s="3">
        <v>29942591</v>
      </c>
      <c r="D28">
        <v>5.546029247769507</v>
      </c>
      <c r="E28">
        <v>2.0891931496509435</v>
      </c>
      <c r="F28">
        <v>18.98</v>
      </c>
      <c r="G28">
        <v>29.47</v>
      </c>
      <c r="H28">
        <v>45.77</v>
      </c>
      <c r="I28">
        <v>58.24</v>
      </c>
      <c r="J28">
        <v>38.115000000000002</v>
      </c>
      <c r="K28">
        <v>0.50996008202158039</v>
      </c>
      <c r="L28">
        <v>0.28997473886399255</v>
      </c>
      <c r="M28">
        <v>0.17565735709921348</v>
      </c>
      <c r="N28">
        <v>3.9462753054174259E-2</v>
      </c>
      <c r="O28">
        <v>0.30399999999999999</v>
      </c>
      <c r="P28">
        <v>0.29017929999999997</v>
      </c>
      <c r="Q28">
        <v>1731.3050000000001</v>
      </c>
      <c r="R28">
        <v>1.89</v>
      </c>
      <c r="S28">
        <v>56.2</v>
      </c>
      <c r="T28" s="14">
        <v>4.1999999999822393</v>
      </c>
    </row>
    <row r="29" spans="1:20" x14ac:dyDescent="0.35">
      <c r="A29" s="1" t="s">
        <v>93</v>
      </c>
      <c r="B29" s="1" t="s">
        <v>94</v>
      </c>
      <c r="C29" s="3">
        <v>20728157</v>
      </c>
      <c r="D29">
        <v>5.0174020724563215</v>
      </c>
      <c r="E29">
        <v>0.71150071373928714</v>
      </c>
      <c r="F29">
        <v>22.25</v>
      </c>
      <c r="G29">
        <v>57.77</v>
      </c>
      <c r="H29">
        <v>58.77</v>
      </c>
      <c r="I29">
        <v>71.89</v>
      </c>
      <c r="J29">
        <v>52.67</v>
      </c>
      <c r="K29">
        <v>0.4448113398104841</v>
      </c>
      <c r="L29">
        <v>0.24303617762927013</v>
      </c>
      <c r="M29">
        <v>0.16367846891482588</v>
      </c>
      <c r="N29">
        <v>3.3520621590401881E-2</v>
      </c>
      <c r="O29">
        <v>0.28499999999999998</v>
      </c>
      <c r="P29">
        <v>0.29890059999999996</v>
      </c>
      <c r="Q29">
        <v>1514.5540000000001</v>
      </c>
      <c r="R29">
        <v>2.77</v>
      </c>
      <c r="S29">
        <v>47</v>
      </c>
      <c r="T29" s="14">
        <v>1.8268500001019419</v>
      </c>
    </row>
    <row r="30" spans="1:20" x14ac:dyDescent="0.35">
      <c r="A30" s="1" t="s">
        <v>95</v>
      </c>
      <c r="B30" s="1" t="s">
        <v>96</v>
      </c>
      <c r="C30" s="3">
        <v>22105727</v>
      </c>
      <c r="D30">
        <v>8.1755817250434699</v>
      </c>
      <c r="F30">
        <v>15.25</v>
      </c>
      <c r="G30">
        <v>59.37</v>
      </c>
      <c r="H30">
        <v>67.760000000000005</v>
      </c>
      <c r="I30">
        <v>47.33</v>
      </c>
      <c r="J30">
        <v>47.427499999999995</v>
      </c>
      <c r="K30">
        <v>0.63970272370162862</v>
      </c>
      <c r="L30">
        <v>0.42599321031519566</v>
      </c>
      <c r="M30">
        <v>0.15654855723368269</v>
      </c>
      <c r="N30">
        <v>5.3925054752561812E-2</v>
      </c>
      <c r="O30">
        <v>0.28999999999999998</v>
      </c>
      <c r="P30">
        <v>0.29593610000000004</v>
      </c>
      <c r="Q30">
        <v>2472.828</v>
      </c>
      <c r="R30">
        <v>2.99</v>
      </c>
      <c r="S30">
        <v>36.5</v>
      </c>
      <c r="T30" s="14">
        <v>5.0045459374303647</v>
      </c>
    </row>
    <row r="31" spans="1:20" x14ac:dyDescent="0.35">
      <c r="A31" s="1" t="s">
        <v>97</v>
      </c>
      <c r="B31" s="1" t="s">
        <v>98</v>
      </c>
      <c r="C31" s="3">
        <v>5030233</v>
      </c>
      <c r="D31">
        <v>17.62192288707104</v>
      </c>
      <c r="E31">
        <v>0.48384448593136742</v>
      </c>
      <c r="F31">
        <v>22.04</v>
      </c>
      <c r="G31">
        <v>47.04</v>
      </c>
      <c r="H31">
        <v>60.5</v>
      </c>
      <c r="I31">
        <v>41.31</v>
      </c>
      <c r="J31">
        <v>42.722499999999997</v>
      </c>
      <c r="K31">
        <v>0.35641087386771675</v>
      </c>
      <c r="L31">
        <v>0.18769681627792961</v>
      </c>
      <c r="M31">
        <v>0.13676511724373536</v>
      </c>
      <c r="N31">
        <v>2.6374756088042517E-2</v>
      </c>
      <c r="O31">
        <v>0.26200000000000001</v>
      </c>
      <c r="P31">
        <v>0.42141039999999996</v>
      </c>
      <c r="Q31">
        <v>7258.2529999999997</v>
      </c>
      <c r="R31">
        <v>15.14</v>
      </c>
      <c r="S31">
        <v>76</v>
      </c>
      <c r="T31" s="14">
        <v>5.2000000000000028</v>
      </c>
    </row>
    <row r="32" spans="1:20" x14ac:dyDescent="0.35">
      <c r="A32" s="1" t="s">
        <v>99</v>
      </c>
      <c r="B32" s="1" t="s">
        <v>100</v>
      </c>
      <c r="C32" s="3">
        <v>1275657</v>
      </c>
      <c r="D32">
        <v>66.876465201852838</v>
      </c>
      <c r="E32">
        <v>9.9309120711915515</v>
      </c>
      <c r="F32">
        <v>77.61</v>
      </c>
      <c r="G32">
        <v>52.41</v>
      </c>
      <c r="H32">
        <v>61.3</v>
      </c>
      <c r="I32">
        <v>74.5</v>
      </c>
      <c r="J32">
        <v>66.454999999999998</v>
      </c>
      <c r="K32">
        <v>0.38045249500622641</v>
      </c>
      <c r="L32">
        <v>5.6210977567414437E-2</v>
      </c>
      <c r="M32">
        <v>0.30203463470943331</v>
      </c>
      <c r="N32">
        <v>2.2206882729378607E-2</v>
      </c>
      <c r="O32">
        <v>0.39700000000000002</v>
      </c>
      <c r="P32">
        <v>0.56651220000000002</v>
      </c>
      <c r="Q32">
        <v>27341.633999999998</v>
      </c>
      <c r="R32">
        <v>32.83</v>
      </c>
      <c r="S32">
        <v>41.9</v>
      </c>
      <c r="T32" s="14">
        <v>4.6939031839850429</v>
      </c>
    </row>
    <row r="33" spans="1:20" x14ac:dyDescent="0.35">
      <c r="A33" s="1" t="s">
        <v>101</v>
      </c>
      <c r="B33" s="1" t="s">
        <v>102</v>
      </c>
      <c r="C33" s="3">
        <v>34034812</v>
      </c>
      <c r="D33">
        <v>10.863930015832027</v>
      </c>
      <c r="E33">
        <v>1.0442801329415305</v>
      </c>
      <c r="F33">
        <v>23.4</v>
      </c>
      <c r="G33">
        <v>57.76</v>
      </c>
      <c r="H33">
        <v>49.78</v>
      </c>
      <c r="I33">
        <v>55.67</v>
      </c>
      <c r="J33">
        <v>46.652500000000003</v>
      </c>
      <c r="K33">
        <v>0.63336596926197108</v>
      </c>
      <c r="L33">
        <v>0.40815360662518763</v>
      </c>
      <c r="M33">
        <v>0.17392551446158355</v>
      </c>
      <c r="N33">
        <v>4.3108830943495102E-2</v>
      </c>
      <c r="O33">
        <v>0.30399999999999999</v>
      </c>
      <c r="P33">
        <v>0.2511178</v>
      </c>
      <c r="Q33">
        <v>1485.598</v>
      </c>
      <c r="R33">
        <v>2.4300000000000002</v>
      </c>
      <c r="S33">
        <v>40</v>
      </c>
      <c r="T33" s="14">
        <v>1.851775024744569</v>
      </c>
    </row>
    <row r="34" spans="1:20" x14ac:dyDescent="0.35">
      <c r="A34" s="1" t="s">
        <v>103</v>
      </c>
      <c r="B34" s="1" t="s">
        <v>104</v>
      </c>
      <c r="C34" s="3">
        <v>2680497</v>
      </c>
      <c r="D34">
        <v>62.136352366743921</v>
      </c>
      <c r="E34">
        <v>7.4922891165332395</v>
      </c>
      <c r="F34">
        <v>55.5</v>
      </c>
      <c r="G34">
        <v>57.25</v>
      </c>
      <c r="H34">
        <v>64.709999999999994</v>
      </c>
      <c r="I34">
        <v>74.87</v>
      </c>
      <c r="J34">
        <v>63.082499999999996</v>
      </c>
      <c r="K34">
        <v>0.53297666036275093</v>
      </c>
      <c r="L34">
        <v>0.2976211391108608</v>
      </c>
      <c r="M34">
        <v>0.16825144960481977</v>
      </c>
      <c r="N34">
        <v>4.6707970963014753E-2</v>
      </c>
      <c r="O34">
        <v>0.30299999999999999</v>
      </c>
      <c r="P34">
        <v>0.39937230000000001</v>
      </c>
      <c r="Q34">
        <v>10419.859</v>
      </c>
      <c r="R34">
        <v>15.64</v>
      </c>
      <c r="S34">
        <v>70.100000000000009</v>
      </c>
      <c r="T34" s="14">
        <v>3.7115449741623934</v>
      </c>
    </row>
    <row r="35" spans="1:20" x14ac:dyDescent="0.35">
      <c r="A35" s="1" t="s">
        <v>105</v>
      </c>
      <c r="B35" s="1" t="s">
        <v>106</v>
      </c>
      <c r="C35" s="3">
        <v>27066230</v>
      </c>
      <c r="D35">
        <v>4.0944273458106286</v>
      </c>
      <c r="E35">
        <v>0.54349922394068184</v>
      </c>
      <c r="F35">
        <v>11.68</v>
      </c>
      <c r="G35">
        <v>49.68</v>
      </c>
      <c r="H35">
        <v>49.3</v>
      </c>
      <c r="I35">
        <v>52.36</v>
      </c>
      <c r="J35">
        <v>40.754999999999995</v>
      </c>
      <c r="K35">
        <v>0.74303883168019547</v>
      </c>
      <c r="L35">
        <v>0.52283857722050142</v>
      </c>
      <c r="M35">
        <v>0.15281918930952315</v>
      </c>
      <c r="N35">
        <v>6.2854541304058556E-2</v>
      </c>
      <c r="O35">
        <v>0.28699999999999998</v>
      </c>
      <c r="P35">
        <v>0.26459189999999999</v>
      </c>
      <c r="Q35">
        <v>1747.635</v>
      </c>
      <c r="R35">
        <v>2.34</v>
      </c>
      <c r="S35">
        <v>29.2</v>
      </c>
      <c r="T35" s="14">
        <v>8.4215978952545356</v>
      </c>
    </row>
    <row r="36" spans="1:20" x14ac:dyDescent="0.35">
      <c r="A36" s="1" t="s">
        <v>107</v>
      </c>
      <c r="B36" s="1" t="s">
        <v>108</v>
      </c>
      <c r="C36" s="3">
        <v>222182400</v>
      </c>
      <c r="D36">
        <v>23.664466103615773</v>
      </c>
      <c r="E36">
        <v>1.7813082696919289</v>
      </c>
      <c r="F36">
        <v>14.08</v>
      </c>
      <c r="G36">
        <v>53.21</v>
      </c>
      <c r="H36">
        <v>62.66</v>
      </c>
      <c r="I36">
        <v>46.44</v>
      </c>
      <c r="J36">
        <v>44.097499999999997</v>
      </c>
      <c r="K36">
        <v>0.60520174664925264</v>
      </c>
      <c r="L36">
        <v>0.41661934185884308</v>
      </c>
      <c r="M36">
        <v>0.14433401847649949</v>
      </c>
      <c r="N36">
        <v>4.2283574865925044E-2</v>
      </c>
      <c r="O36">
        <v>0.38</v>
      </c>
      <c r="P36">
        <v>0.3161699</v>
      </c>
      <c r="Q36">
        <v>5789.0159999999996</v>
      </c>
      <c r="R36">
        <v>5.8</v>
      </c>
      <c r="S36">
        <v>46.800000000000004</v>
      </c>
      <c r="T36" s="14">
        <v>3.4264394713514861</v>
      </c>
    </row>
    <row r="37" spans="1:20" x14ac:dyDescent="0.35">
      <c r="A37" s="1" t="s">
        <v>109</v>
      </c>
      <c r="B37" s="1" t="s">
        <v>110</v>
      </c>
      <c r="C37" s="3">
        <v>13924498</v>
      </c>
      <c r="D37">
        <v>11.403763826171689</v>
      </c>
      <c r="E37">
        <v>0.6922883324052328</v>
      </c>
      <c r="F37">
        <v>26.82</v>
      </c>
      <c r="G37">
        <v>70.06</v>
      </c>
      <c r="H37">
        <v>44.01</v>
      </c>
      <c r="I37">
        <v>67.2</v>
      </c>
      <c r="J37">
        <v>52.022499999999994</v>
      </c>
      <c r="K37">
        <v>0.38275530190051499</v>
      </c>
      <c r="L37">
        <v>0.1659740372163217</v>
      </c>
      <c r="M37">
        <v>0.17304009943129375</v>
      </c>
      <c r="N37">
        <v>4.0846173442570521E-2</v>
      </c>
      <c r="O37">
        <v>0.33100000000000002</v>
      </c>
      <c r="P37">
        <v>0.31762669999999998</v>
      </c>
      <c r="Q37">
        <v>3355.683</v>
      </c>
      <c r="R37">
        <v>6</v>
      </c>
      <c r="S37">
        <v>28.900000000000002</v>
      </c>
      <c r="T37" s="14">
        <v>8.8906552957311362</v>
      </c>
    </row>
    <row r="38" spans="1:20" x14ac:dyDescent="0.35">
      <c r="A38" s="1" t="s">
        <v>111</v>
      </c>
      <c r="B38" s="1" t="s">
        <v>112</v>
      </c>
      <c r="C38" s="3">
        <v>232132</v>
      </c>
      <c r="D38">
        <v>30.890154351834301</v>
      </c>
      <c r="F38">
        <v>44.77</v>
      </c>
      <c r="G38">
        <v>53.47</v>
      </c>
      <c r="H38">
        <v>62.61</v>
      </c>
      <c r="I38">
        <v>79.7</v>
      </c>
      <c r="J38">
        <v>60.137500000000003</v>
      </c>
      <c r="K38">
        <v>0.26640417665325467</v>
      </c>
      <c r="L38">
        <v>8.5742941444987494E-2</v>
      </c>
      <c r="M38">
        <v>0.15520468546613181</v>
      </c>
      <c r="N38">
        <v>2.1865646872572111E-2</v>
      </c>
      <c r="O38">
        <v>0.26600000000000001</v>
      </c>
      <c r="P38">
        <v>0.4141126</v>
      </c>
      <c r="Q38">
        <v>5449.7889999999998</v>
      </c>
      <c r="R38">
        <v>16.63</v>
      </c>
      <c r="S38">
        <v>32.130000000000003</v>
      </c>
      <c r="T38" s="14">
        <v>0.90000059899249152</v>
      </c>
    </row>
    <row r="39" spans="1:20" x14ac:dyDescent="0.35">
      <c r="A39" s="1" t="s">
        <v>113</v>
      </c>
      <c r="B39" s="1" t="s">
        <v>114</v>
      </c>
      <c r="C39" s="3">
        <v>18116526</v>
      </c>
      <c r="D39">
        <v>5.732720728576771</v>
      </c>
      <c r="E39">
        <v>1.4601029468894864</v>
      </c>
      <c r="F39">
        <v>30.05</v>
      </c>
      <c r="G39">
        <v>63.69</v>
      </c>
      <c r="H39">
        <v>55.65</v>
      </c>
      <c r="I39">
        <v>59.11</v>
      </c>
      <c r="J39">
        <v>52.125</v>
      </c>
      <c r="K39">
        <v>0.36508063195709667</v>
      </c>
      <c r="L39">
        <v>0.1649072122431515</v>
      </c>
      <c r="M39">
        <v>0.1580066279516382</v>
      </c>
      <c r="N39">
        <v>3.6505767161045893E-2</v>
      </c>
      <c r="O39">
        <v>0.32799999999999996</v>
      </c>
      <c r="P39">
        <v>0.3396112</v>
      </c>
      <c r="Q39">
        <v>4464.78</v>
      </c>
      <c r="R39">
        <v>6.73</v>
      </c>
      <c r="S39">
        <v>58.7</v>
      </c>
      <c r="T39" s="14">
        <v>6.8920074029138476</v>
      </c>
    </row>
    <row r="40" spans="1:20" x14ac:dyDescent="0.35">
      <c r="A40" s="1" t="s">
        <v>115</v>
      </c>
      <c r="B40" s="1" t="s">
        <v>116</v>
      </c>
      <c r="C40" s="3">
        <v>99912</v>
      </c>
      <c r="D40">
        <v>230.71805128513097</v>
      </c>
      <c r="E40">
        <v>10.684802626311154</v>
      </c>
      <c r="F40">
        <v>78.3</v>
      </c>
      <c r="G40">
        <v>87.12</v>
      </c>
      <c r="H40">
        <v>57.3</v>
      </c>
      <c r="I40">
        <v>79.13</v>
      </c>
      <c r="J40">
        <v>75.462500000000006</v>
      </c>
      <c r="K40">
        <v>0.3120941327811978</v>
      </c>
      <c r="L40">
        <v>6.782598305724101E-2</v>
      </c>
      <c r="M40">
        <v>0.22109037588065925</v>
      </c>
      <c r="N40">
        <v>2.314529161372509E-2</v>
      </c>
      <c r="O40">
        <v>0.318</v>
      </c>
      <c r="P40">
        <v>0.52842650999999996</v>
      </c>
      <c r="Q40">
        <v>35085.182000000001</v>
      </c>
      <c r="S40">
        <v>46</v>
      </c>
      <c r="T40" s="14">
        <v>3.4656806641534104</v>
      </c>
    </row>
    <row r="41" spans="1:20" x14ac:dyDescent="0.35">
      <c r="A41" s="1" t="s">
        <v>117</v>
      </c>
      <c r="B41" s="1" t="s">
        <v>118</v>
      </c>
      <c r="C41" s="3">
        <v>8472212</v>
      </c>
      <c r="D41">
        <v>11.384249263356487</v>
      </c>
      <c r="E41">
        <v>5.2633400226528799</v>
      </c>
      <c r="F41">
        <v>14.19</v>
      </c>
      <c r="G41">
        <v>50.54</v>
      </c>
      <c r="H41">
        <v>54.72</v>
      </c>
      <c r="I41">
        <v>72.06</v>
      </c>
      <c r="J41">
        <v>47.877499999999998</v>
      </c>
      <c r="K41">
        <v>0.62214615616470859</v>
      </c>
      <c r="L41">
        <v>0.39564768663342004</v>
      </c>
      <c r="M41">
        <v>0.17921992752953569</v>
      </c>
      <c r="N41">
        <v>4.5723569546007918E-2</v>
      </c>
      <c r="O41">
        <v>0.32700000000000001</v>
      </c>
      <c r="P41">
        <v>0.30919380000000002</v>
      </c>
      <c r="Q41">
        <v>2966.491</v>
      </c>
      <c r="R41">
        <v>2.63</v>
      </c>
      <c r="S41">
        <v>59</v>
      </c>
      <c r="T41" s="14">
        <v>4.0000000257011266</v>
      </c>
    </row>
    <row r="42" spans="1:20" x14ac:dyDescent="0.35">
      <c r="A42" s="1" t="s">
        <v>119</v>
      </c>
      <c r="B42" s="1" t="s">
        <v>120</v>
      </c>
      <c r="C42" s="3">
        <v>61452696</v>
      </c>
      <c r="D42">
        <v>66.053003462858655</v>
      </c>
      <c r="E42">
        <v>2.1852693411530715</v>
      </c>
      <c r="F42">
        <v>79.53</v>
      </c>
      <c r="G42">
        <v>68.77</v>
      </c>
      <c r="H42">
        <v>60.66</v>
      </c>
      <c r="I42">
        <v>76.38</v>
      </c>
      <c r="J42">
        <v>71.335000000000008</v>
      </c>
      <c r="K42">
        <v>0.59898341166070868</v>
      </c>
      <c r="L42">
        <v>0.2728903357757716</v>
      </c>
      <c r="M42">
        <v>0.23352653702763926</v>
      </c>
      <c r="N42">
        <v>6.6110008896233377E-2</v>
      </c>
      <c r="O42">
        <v>0.45799999999999996</v>
      </c>
      <c r="P42">
        <v>0.44564129999999996</v>
      </c>
      <c r="Q42">
        <v>13771.97</v>
      </c>
      <c r="R42">
        <v>21.64</v>
      </c>
      <c r="S42">
        <v>54</v>
      </c>
      <c r="T42" s="14">
        <v>0.5798536923039137</v>
      </c>
    </row>
    <row r="43" spans="1:20" x14ac:dyDescent="0.35">
      <c r="A43" s="1" t="s">
        <v>121</v>
      </c>
      <c r="B43" s="1" t="s">
        <v>122</v>
      </c>
      <c r="C43" s="3">
        <v>11891023</v>
      </c>
      <c r="D43">
        <v>6.4682067236771807</v>
      </c>
      <c r="E43">
        <v>1.0973401531558722</v>
      </c>
      <c r="F43">
        <v>21.91</v>
      </c>
      <c r="G43">
        <v>35.58</v>
      </c>
      <c r="H43">
        <v>59.48</v>
      </c>
      <c r="I43">
        <v>29.42</v>
      </c>
      <c r="J43">
        <v>36.597499999999997</v>
      </c>
      <c r="K43">
        <v>0.63690565705921587</v>
      </c>
      <c r="L43">
        <v>0.41618333128777973</v>
      </c>
      <c r="M43">
        <v>0.15884744607502699</v>
      </c>
      <c r="N43">
        <v>5.7924879340651249E-2</v>
      </c>
      <c r="O43">
        <v>0.21299999999999999</v>
      </c>
      <c r="P43">
        <v>0.29113900000000004</v>
      </c>
      <c r="Q43">
        <v>660.09400000000005</v>
      </c>
      <c r="R43">
        <v>3.35</v>
      </c>
      <c r="S43">
        <v>46.32</v>
      </c>
      <c r="T43" s="14"/>
    </row>
    <row r="44" spans="1:20" x14ac:dyDescent="0.35">
      <c r="A44" s="1" t="s">
        <v>123</v>
      </c>
      <c r="B44" s="1" t="s">
        <v>124</v>
      </c>
      <c r="C44" s="3">
        <v>49700758</v>
      </c>
      <c r="D44">
        <v>23.242417004183313</v>
      </c>
      <c r="E44">
        <v>0.2082909379370029</v>
      </c>
      <c r="F44">
        <v>22.84</v>
      </c>
      <c r="G44">
        <v>55.37</v>
      </c>
      <c r="H44">
        <v>56.9</v>
      </c>
      <c r="I44">
        <v>52.14</v>
      </c>
      <c r="J44">
        <v>46.8125</v>
      </c>
      <c r="K44">
        <v>0.39850536567927758</v>
      </c>
      <c r="L44">
        <v>0.21625225487927172</v>
      </c>
      <c r="M44">
        <v>0.13944238339201867</v>
      </c>
      <c r="N44">
        <v>4.0092692100191125E-2</v>
      </c>
      <c r="O44">
        <v>0.27800000000000002</v>
      </c>
      <c r="P44">
        <v>0.32356370000000001</v>
      </c>
      <c r="Q44">
        <v>3240.9789999999998</v>
      </c>
      <c r="R44">
        <v>4.33</v>
      </c>
      <c r="S44">
        <v>40.1</v>
      </c>
      <c r="T44" s="14">
        <v>6.1364520184639844</v>
      </c>
    </row>
    <row r="45" spans="1:20" x14ac:dyDescent="0.35">
      <c r="A45" s="1" t="s">
        <v>125</v>
      </c>
      <c r="B45" s="1" t="s">
        <v>126</v>
      </c>
      <c r="C45" s="3">
        <v>65136238</v>
      </c>
      <c r="D45">
        <v>9.0431618115556525</v>
      </c>
      <c r="E45">
        <v>5.9479843386104063</v>
      </c>
      <c r="F45">
        <v>27.27</v>
      </c>
      <c r="G45">
        <v>54.91</v>
      </c>
      <c r="H45">
        <v>54.5</v>
      </c>
      <c r="I45">
        <v>68.17</v>
      </c>
      <c r="J45">
        <v>51.212500000000006</v>
      </c>
      <c r="K45">
        <v>0.40710627607488364</v>
      </c>
      <c r="L45">
        <v>0.22733352917512639</v>
      </c>
      <c r="M45">
        <v>0.14378753375303649</v>
      </c>
      <c r="N45">
        <v>3.3397869842837262E-2</v>
      </c>
      <c r="O45">
        <v>0.36499999999999999</v>
      </c>
      <c r="P45">
        <v>0.32460880000000003</v>
      </c>
      <c r="Q45">
        <v>3638.1469999999999</v>
      </c>
      <c r="R45">
        <v>3.2</v>
      </c>
      <c r="S45">
        <v>41.2</v>
      </c>
      <c r="T45" s="14">
        <v>5.5263138305945034</v>
      </c>
    </row>
    <row r="46" spans="1:20" x14ac:dyDescent="0.35">
      <c r="A46" s="1" t="s">
        <v>127</v>
      </c>
      <c r="B46" s="1" t="s">
        <v>128</v>
      </c>
      <c r="C46" s="3">
        <v>8886635</v>
      </c>
      <c r="D46">
        <v>6.2109685522135205</v>
      </c>
      <c r="E46">
        <v>9.3501279730741729</v>
      </c>
      <c r="F46">
        <v>19.600000000000001</v>
      </c>
      <c r="G46">
        <v>52.66</v>
      </c>
      <c r="H46">
        <v>50.72</v>
      </c>
      <c r="I46">
        <v>63.1</v>
      </c>
      <c r="J46">
        <v>46.519999999999996</v>
      </c>
      <c r="K46">
        <v>0.4825229129974139</v>
      </c>
      <c r="L46">
        <v>0.25168431894204213</v>
      </c>
      <c r="M46">
        <v>0.18194218749659744</v>
      </c>
      <c r="N46">
        <v>4.5928544433521477E-2</v>
      </c>
      <c r="O46">
        <v>0.313</v>
      </c>
      <c r="P46">
        <v>0.33478419999999998</v>
      </c>
      <c r="Q46">
        <v>2895.085</v>
      </c>
      <c r="R46">
        <v>3.7</v>
      </c>
      <c r="S46">
        <v>33.799999999999997</v>
      </c>
      <c r="T46" s="14">
        <v>5.3000053141664125</v>
      </c>
    </row>
    <row r="47" spans="1:20" x14ac:dyDescent="0.35">
      <c r="A47" s="1" t="s">
        <v>129</v>
      </c>
      <c r="B47" s="1" t="s">
        <v>130</v>
      </c>
      <c r="C47" s="3">
        <v>20032801</v>
      </c>
      <c r="D47">
        <v>29.96820612604299</v>
      </c>
      <c r="E47">
        <v>5.948934899318373</v>
      </c>
      <c r="F47">
        <v>37.54</v>
      </c>
      <c r="G47">
        <v>60.64</v>
      </c>
      <c r="H47">
        <v>57.47</v>
      </c>
      <c r="I47">
        <v>74.31</v>
      </c>
      <c r="J47">
        <v>57.49</v>
      </c>
      <c r="K47">
        <v>0.50513805423928626</v>
      </c>
      <c r="L47">
        <v>0.30859836329964879</v>
      </c>
      <c r="M47">
        <v>0.1537962183167122</v>
      </c>
      <c r="N47">
        <v>3.6071446539086352E-2</v>
      </c>
      <c r="O47">
        <v>0.26500000000000001</v>
      </c>
      <c r="P47">
        <v>0.31617059999999997</v>
      </c>
      <c r="Q47">
        <v>3747.732</v>
      </c>
      <c r="R47">
        <v>5.23</v>
      </c>
      <c r="S47">
        <v>52.300000000000004</v>
      </c>
      <c r="T47" s="14">
        <v>4.0431482994442973</v>
      </c>
    </row>
    <row r="48" spans="1:20" x14ac:dyDescent="0.35">
      <c r="A48" s="1" t="s">
        <v>131</v>
      </c>
      <c r="B48" s="1" t="s">
        <v>132</v>
      </c>
      <c r="C48" s="3">
        <v>15581023</v>
      </c>
      <c r="D48">
        <v>29.796678813708194</v>
      </c>
      <c r="E48">
        <v>2.4268710084055458</v>
      </c>
      <c r="F48">
        <v>40.409999999999997</v>
      </c>
      <c r="G48">
        <v>47.83</v>
      </c>
      <c r="H48">
        <v>66.739999999999995</v>
      </c>
      <c r="I48">
        <v>71.16</v>
      </c>
      <c r="J48">
        <v>56.534999999999997</v>
      </c>
      <c r="K48">
        <v>0.55124774450300362</v>
      </c>
      <c r="L48">
        <v>0.29968261517066563</v>
      </c>
      <c r="M48">
        <v>0.18528360365862584</v>
      </c>
      <c r="N48">
        <v>5.7561610933959804E-2</v>
      </c>
      <c r="O48">
        <v>0.32400000000000001</v>
      </c>
      <c r="P48">
        <v>0.285771</v>
      </c>
      <c r="Q48">
        <v>4465.3609999999999</v>
      </c>
      <c r="R48">
        <v>4.5</v>
      </c>
      <c r="S48">
        <v>46</v>
      </c>
      <c r="T48" s="14">
        <v>2.0294841433712349</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3B92-8362-423D-818E-316AB0A9A38D}">
  <sheetPr>
    <tabColor rgb="FFFF0000"/>
  </sheetPr>
  <dimension ref="B1:AJ53"/>
  <sheetViews>
    <sheetView zoomScale="135" workbookViewId="0">
      <selection activeCell="D3" sqref="D3"/>
    </sheetView>
  </sheetViews>
  <sheetFormatPr defaultColWidth="8.81640625" defaultRowHeight="14.5" x14ac:dyDescent="0.35"/>
  <cols>
    <col min="1" max="1" width="2.7265625" customWidth="1"/>
    <col min="2" max="2" width="15.26953125" bestFit="1" customWidth="1"/>
    <col min="3" max="3" width="5.1796875" bestFit="1" customWidth="1"/>
    <col min="4" max="4" width="15.453125" bestFit="1" customWidth="1"/>
    <col min="5" max="5" width="15.453125" customWidth="1"/>
    <col min="6" max="6" width="12.7265625" customWidth="1"/>
    <col min="7" max="7" width="8.453125" customWidth="1"/>
    <col min="8" max="8" width="20.453125" customWidth="1"/>
    <col min="9" max="9" width="17.1796875" customWidth="1"/>
    <col min="10" max="11" width="15.453125" customWidth="1"/>
    <col min="12" max="12" width="8.7265625" customWidth="1"/>
    <col min="13" max="14" width="12.1796875" customWidth="1"/>
    <col min="15" max="15" width="23" bestFit="1" customWidth="1"/>
    <col min="16" max="17" width="17" bestFit="1" customWidth="1"/>
    <col min="18" max="18" width="8.7265625" customWidth="1"/>
    <col min="19" max="19" width="18.7265625" customWidth="1"/>
    <col min="20" max="20" width="14.1796875" customWidth="1"/>
    <col min="21" max="21" width="24.81640625" customWidth="1"/>
    <col min="22" max="22" width="19.453125" customWidth="1"/>
    <col min="23" max="23" width="18" customWidth="1"/>
    <col min="24" max="24" width="8.7265625" customWidth="1"/>
    <col min="25" max="25" width="29.453125" customWidth="1"/>
    <col min="26" max="27" width="14.7265625" customWidth="1"/>
    <col min="28" max="28" width="14.26953125" bestFit="1" customWidth="1"/>
    <col min="29" max="29" width="17.453125" bestFit="1" customWidth="1"/>
    <col min="30" max="31" width="18.453125" customWidth="1"/>
    <col min="32" max="32" width="12.81640625" customWidth="1"/>
    <col min="33" max="33" width="12.453125" bestFit="1" customWidth="1"/>
    <col min="34" max="36" width="12" bestFit="1" customWidth="1"/>
  </cols>
  <sheetData>
    <row r="1" spans="2:36" x14ac:dyDescent="0.35">
      <c r="J1" s="44" t="s">
        <v>171</v>
      </c>
      <c r="K1" s="44"/>
      <c r="Z1" s="44" t="s">
        <v>172</v>
      </c>
      <c r="AA1" s="44"/>
      <c r="AB1" s="44"/>
      <c r="AC1" s="44"/>
    </row>
    <row r="2" spans="2:36" s="40" customFormat="1" ht="34.5" customHeight="1" x14ac:dyDescent="0.35">
      <c r="D2" s="40" t="s">
        <v>173</v>
      </c>
      <c r="E2" s="40" t="s">
        <v>174</v>
      </c>
      <c r="F2" s="40" t="s">
        <v>175</v>
      </c>
      <c r="H2" s="2" t="s">
        <v>176</v>
      </c>
      <c r="I2" s="2" t="s">
        <v>177</v>
      </c>
      <c r="J2" s="2" t="s">
        <v>178</v>
      </c>
      <c r="K2" s="40" t="s">
        <v>179</v>
      </c>
      <c r="M2" s="2" t="s">
        <v>180</v>
      </c>
      <c r="N2" s="2" t="s">
        <v>181</v>
      </c>
      <c r="O2" s="40" t="s">
        <v>182</v>
      </c>
      <c r="P2" s="40" t="s">
        <v>183</v>
      </c>
      <c r="Q2" s="40" t="s">
        <v>184</v>
      </c>
      <c r="S2" s="2" t="s">
        <v>185</v>
      </c>
      <c r="T2" s="2" t="s">
        <v>186</v>
      </c>
      <c r="U2" s="40" t="s">
        <v>187</v>
      </c>
      <c r="V2" s="40" t="s">
        <v>188</v>
      </c>
      <c r="W2" s="40" t="s">
        <v>189</v>
      </c>
      <c r="Y2" s="2" t="s">
        <v>190</v>
      </c>
      <c r="Z2" s="2" t="s">
        <v>191</v>
      </c>
      <c r="AA2" s="2" t="s">
        <v>192</v>
      </c>
      <c r="AB2" s="40" t="s">
        <v>193</v>
      </c>
      <c r="AC2" s="40" t="s">
        <v>194</v>
      </c>
    </row>
    <row r="3" spans="2:36" ht="18.5" x14ac:dyDescent="0.35">
      <c r="D3" s="41">
        <v>0.95</v>
      </c>
      <c r="E3" s="41">
        <v>0.59499999999999997</v>
      </c>
      <c r="F3" s="41"/>
      <c r="G3" s="41"/>
      <c r="H3" s="46">
        <v>0.1</v>
      </c>
      <c r="I3" s="46">
        <v>0.1</v>
      </c>
      <c r="J3" s="47">
        <v>0.115</v>
      </c>
      <c r="K3" s="47">
        <v>1.2E-2</v>
      </c>
      <c r="M3" s="41">
        <v>0.52500000000000002</v>
      </c>
      <c r="N3" s="41">
        <v>0.27600000000000002</v>
      </c>
      <c r="O3" s="41">
        <v>0.80500000000000005</v>
      </c>
      <c r="P3" s="41">
        <v>0.41</v>
      </c>
      <c r="Q3" s="41">
        <v>0.874</v>
      </c>
      <c r="S3" s="41">
        <v>-0.41599999999999998</v>
      </c>
      <c r="T3" s="41">
        <v>0.44400000000000001</v>
      </c>
      <c r="U3" s="41">
        <v>0.86899999999999999</v>
      </c>
      <c r="V3" s="41">
        <v>-0.60399999999999998</v>
      </c>
      <c r="W3" s="41">
        <v>0.57399999999999995</v>
      </c>
      <c r="Y3" s="41">
        <v>-0.34599999999999997</v>
      </c>
      <c r="Z3" s="41">
        <v>-0.64900000000000002</v>
      </c>
      <c r="AA3" s="41">
        <v>0.42099999999999999</v>
      </c>
      <c r="AB3" s="41">
        <v>0.94799999999999995</v>
      </c>
      <c r="AC3" s="41">
        <v>0.92600000000000005</v>
      </c>
    </row>
    <row r="4" spans="2:36" s="40" customFormat="1" ht="58" x14ac:dyDescent="0.35">
      <c r="B4" s="37"/>
      <c r="C4" s="37"/>
      <c r="D4" s="43" t="s">
        <v>195</v>
      </c>
      <c r="E4" s="43"/>
      <c r="F4" s="43"/>
      <c r="G4" s="37"/>
      <c r="H4" s="43" t="s">
        <v>196</v>
      </c>
      <c r="I4" s="43"/>
      <c r="J4" s="43"/>
      <c r="K4" s="43"/>
      <c r="O4" s="40" t="s">
        <v>142</v>
      </c>
      <c r="P4" s="40" t="s">
        <v>143</v>
      </c>
      <c r="Q4" s="40" t="s">
        <v>144</v>
      </c>
      <c r="U4" s="2" t="s">
        <v>145</v>
      </c>
      <c r="V4" s="2" t="s">
        <v>146</v>
      </c>
      <c r="W4" s="2" t="s">
        <v>147</v>
      </c>
      <c r="AB4" s="2" t="s">
        <v>197</v>
      </c>
      <c r="AC4" s="2" t="s">
        <v>198</v>
      </c>
    </row>
    <row r="5" spans="2:36" s="40" customFormat="1" ht="29" x14ac:dyDescent="0.35">
      <c r="B5" s="40" t="s">
        <v>0</v>
      </c>
      <c r="C5" s="40" t="s">
        <v>1</v>
      </c>
      <c r="D5" s="40" t="s">
        <v>199</v>
      </c>
      <c r="E5" s="40" t="s">
        <v>200</v>
      </c>
      <c r="F5" s="40" t="s">
        <v>201</v>
      </c>
      <c r="H5" s="2" t="s">
        <v>202</v>
      </c>
      <c r="I5" s="40" t="s">
        <v>203</v>
      </c>
      <c r="M5" s="40" t="s">
        <v>204</v>
      </c>
      <c r="S5" s="2" t="s">
        <v>205</v>
      </c>
      <c r="V5" s="42"/>
      <c r="Y5" s="2" t="s">
        <v>206</v>
      </c>
      <c r="Z5" s="40" t="s">
        <v>207</v>
      </c>
      <c r="AD5" s="2" t="s">
        <v>208</v>
      </c>
      <c r="AE5" s="2" t="s">
        <v>209</v>
      </c>
      <c r="AF5" s="2" t="s">
        <v>210</v>
      </c>
      <c r="AG5" s="40" t="s">
        <v>211</v>
      </c>
      <c r="AH5" s="40" t="s">
        <v>212</v>
      </c>
    </row>
    <row r="6" spans="2:36" x14ac:dyDescent="0.35">
      <c r="B6" t="s">
        <v>39</v>
      </c>
      <c r="C6" t="s">
        <v>40</v>
      </c>
      <c r="D6" s="33">
        <f>_xlfn.XLOOKUP($C6,SEM!$B:$B,SEM!$D:$D)*Model_1!$D$3</f>
        <v>57.962378110430194</v>
      </c>
      <c r="E6" s="33">
        <f>_xlfn.XLOOKUP($C6,SEM!$B:$B,SEM!$E:$E)*Model_1!$E$3</f>
        <v>7.984413424419616E-2</v>
      </c>
      <c r="F6" s="33"/>
      <c r="G6" s="33"/>
      <c r="H6" s="33">
        <f>Input_1_coef.*_xlfn.XLOOKUP($C6,COMBINED!$B:$B,COMBINED!$AB:$AB)+Input_2_coef.*_xlfn.XLOOKUP($C6,COMBINED!$B:$B,COMBINED!$AC:$AC)</f>
        <v>58.042222244674392</v>
      </c>
      <c r="I6" s="33">
        <f>_xlfn.XLOOKUP($C6,COMBINED!$B:$B,COMBINED!$N:$N)</f>
        <v>50.985292597994288</v>
      </c>
      <c r="J6" s="33"/>
      <c r="K6" s="33"/>
      <c r="L6" s="33"/>
      <c r="M6" s="33">
        <f t="shared" ref="M6:M52" si="0">Total_Output_coef.*$H6*_R²_Output+(HWF_In_service_training_coef.*Percentage_of_people_trained*$H6)+($H6*Incentive*Percentage_of_people_incentivised)</f>
        <v>9.1474542257606846</v>
      </c>
      <c r="N6" s="33"/>
      <c r="O6" s="33">
        <f t="shared" ref="O6:O52" si="1">Output_1_Coef.*$M6*_R²_Output</f>
        <v>2.0323813798795092</v>
      </c>
      <c r="P6" s="33">
        <f t="shared" ref="P6:P52" si="2">Output_2_Coef.*$M6*_R²_Output</f>
        <v>1.0351259201870791</v>
      </c>
      <c r="Q6" s="33">
        <f t="shared" ref="Q6:Q52" si="3">Output_3_Coef.*$M6*_R²_Output</f>
        <v>2.2065854981548956</v>
      </c>
      <c r="R6" s="33"/>
      <c r="S6" s="33">
        <f t="shared" ref="S6:S52" si="4">Total_Outcome_coef.*M6*_R²_Outcome</f>
        <v>-1.6895713853149015</v>
      </c>
      <c r="T6" s="33"/>
      <c r="U6" s="33">
        <f t="shared" ref="U6:U52" si="5">Outcome_1_Coef.*$S6*_R²_Outcome</f>
        <v>-0.6518974650243603</v>
      </c>
      <c r="V6" s="33">
        <f t="shared" ref="V6:V52" si="6">Outcome_2_Coef.*$S6*_R²_Outcome</f>
        <v>0.45310249582820905</v>
      </c>
      <c r="W6" s="33">
        <f t="shared" ref="W6:W52" si="7">Outcome_3_Coef.*$S6*_R²_Outcome</f>
        <v>-0.4305974049758145</v>
      </c>
      <c r="X6" s="33"/>
      <c r="Y6" s="33">
        <f t="shared" ref="Y6:Y52" si="8">H6*$Y$3*_R²_Outcome</f>
        <v>-8.9166783501158573</v>
      </c>
      <c r="Z6" s="33">
        <f>Y6+S6</f>
        <v>-10.606249735430758</v>
      </c>
      <c r="AA6" s="33"/>
      <c r="AB6" s="33">
        <f t="shared" ref="AB6:AB52" si="9">_R²_Impact*$Z6*Impact_1_Coef.*Total_Impact_coef.</f>
        <v>2.7472423884959856</v>
      </c>
      <c r="AC6" s="33">
        <f t="shared" ref="AC6:AC52" si="10">_R²_Impact*$Z6*Impact_2_Coef.*Total_Impact_coef.</f>
        <v>2.6834878182988215</v>
      </c>
      <c r="AD6" s="33">
        <f>_xlfn.XLOOKUP($C6,SEM!$B:$B,SEM!$D:$D)+_xlfn.XLOOKUP($C6,SEM!$B:$B,SEM!$E:$E)</f>
        <v>61.147221412185679</v>
      </c>
      <c r="AE6" s="33">
        <f>_xlfn.XLOOKUP($C6,SEM!$B:$B,COMBINED!$AE:$AE)*AD6</f>
        <v>14357673.323688259</v>
      </c>
      <c r="AF6" s="33">
        <f>_xlfn.XLOOKUP($C6,SEM!$B:$B,SEM!C:C)</f>
        <v>46053477</v>
      </c>
      <c r="AG6">
        <f>AF6*AB6</f>
        <v>126520064.15202494</v>
      </c>
      <c r="AH6">
        <f>AG6/AE6</f>
        <v>8.8120171910642089</v>
      </c>
      <c r="AI6">
        <f>AE6/AF6</f>
        <v>0.31176089752546282</v>
      </c>
      <c r="AJ6">
        <f>AB6/AI6</f>
        <v>8.8120171910642089</v>
      </c>
    </row>
    <row r="7" spans="2:36" x14ac:dyDescent="0.35">
      <c r="B7" t="s">
        <v>41</v>
      </c>
      <c r="C7" t="s">
        <v>42</v>
      </c>
      <c r="D7" s="33">
        <f>_xlfn.XLOOKUP($C7,SEM!$B:$B,SEM!$D:$D)*Model_1!$D$3</f>
        <v>17.62589101485046</v>
      </c>
      <c r="E7" s="33">
        <f>_xlfn.XLOOKUP($C7,SEM!$B:$B,SEM!$E:$E)*Model_1!$E$3</f>
        <v>1.4641268103449323</v>
      </c>
      <c r="F7" s="33"/>
      <c r="G7" s="33"/>
      <c r="H7" s="33">
        <f>Input_1_coef.*_xlfn.XLOOKUP($C7,COMBINED!$B:$B,COMBINED!$AB:$AB)+Input_2_coef.*_xlfn.XLOOKUP($C7,COMBINED!$B:$B,COMBINED!$AC:$AC)</f>
        <v>19.090017825195392</v>
      </c>
      <c r="I7" s="33">
        <f>_xlfn.XLOOKUP($C7,COMBINED!$B:$B,COMBINED!$N:$N)</f>
        <v>21.346033637341112</v>
      </c>
      <c r="J7" s="33"/>
      <c r="K7" s="33"/>
      <c r="L7" s="33"/>
      <c r="M7" s="33">
        <f t="shared" si="0"/>
        <v>3.0085868092507941</v>
      </c>
      <c r="N7" s="33"/>
      <c r="O7" s="33">
        <f t="shared" si="1"/>
        <v>0.66844781727934155</v>
      </c>
      <c r="P7" s="33">
        <f t="shared" si="2"/>
        <v>0.3404516833348199</v>
      </c>
      <c r="Q7" s="33">
        <f t="shared" si="3"/>
        <v>0.72574334447471367</v>
      </c>
      <c r="R7" s="33"/>
      <c r="S7" s="33">
        <f t="shared" si="4"/>
        <v>-0.55569801801585872</v>
      </c>
      <c r="T7" s="33"/>
      <c r="U7" s="33">
        <f t="shared" si="5"/>
        <v>-0.21440830047916687</v>
      </c>
      <c r="V7" s="33">
        <f t="shared" si="6"/>
        <v>0.14902487167942094</v>
      </c>
      <c r="W7" s="33">
        <f t="shared" si="7"/>
        <v>-0.14162297407944968</v>
      </c>
      <c r="X7" s="33"/>
      <c r="Y7" s="33">
        <f t="shared" si="8"/>
        <v>-2.9326848983778171</v>
      </c>
      <c r="Z7" s="33">
        <f t="shared" ref="Z7:Z52" si="11">Y7+S7</f>
        <v>-3.4883829163936757</v>
      </c>
      <c r="AA7" s="33"/>
      <c r="AB7" s="33">
        <f t="shared" si="9"/>
        <v>0.90356475231843458</v>
      </c>
      <c r="AC7" s="33">
        <f t="shared" si="10"/>
        <v>0.88259595004944136</v>
      </c>
      <c r="AD7" s="33">
        <f>_xlfn.XLOOKUP($C7,SEM!$B:$B,SEM!$D:$D)+_xlfn.XLOOKUP($C7,SEM!$B:$B,SEM!$E:$E)</f>
        <v>21.014286817627085</v>
      </c>
      <c r="AE7" s="33">
        <f>_xlfn.XLOOKUP($C7,SEM!$B:$B,COMBINED!$AE:$AE)*AD7</f>
        <v>1621525.4137085588</v>
      </c>
      <c r="AF7" s="33">
        <f>_xlfn.XLOOKUP($C7,SEM!$B:$B,SEM!C:C)</f>
        <v>36148636</v>
      </c>
      <c r="AG7">
        <f t="shared" ref="AG7:AG52" si="12">AF7*AB7</f>
        <v>32662633.333989248</v>
      </c>
      <c r="AH7">
        <f t="shared" ref="AH7:AH52" si="13">AG7/AE7</f>
        <v>20.143152279856771</v>
      </c>
      <c r="AI7">
        <f>AE7/AF7</f>
        <v>4.4857167327380175E-2</v>
      </c>
      <c r="AJ7">
        <f>AB7/AI7</f>
        <v>20.143152279856771</v>
      </c>
    </row>
    <row r="8" spans="2:36" x14ac:dyDescent="0.35">
      <c r="B8" t="s">
        <v>43</v>
      </c>
      <c r="C8" t="s">
        <v>44</v>
      </c>
      <c r="D8" s="33">
        <f>_xlfn.XLOOKUP($C8,SEM!$B:$B,SEM!$D:$D)*Model_1!$D$3</f>
        <v>10.340617236956628</v>
      </c>
      <c r="E8" s="33">
        <f>_xlfn.XLOOKUP($C8,SEM!$B:$B,SEM!$E:$E)*Model_1!$E$3</f>
        <v>1.6822017335414858</v>
      </c>
      <c r="F8" s="33"/>
      <c r="G8" s="33"/>
      <c r="H8" s="33">
        <f>Input_1_coef.*_xlfn.XLOOKUP($C8,COMBINED!$B:$B,COMBINED!$AB:$AB)+Input_2_coef.*_xlfn.XLOOKUP($C8,COMBINED!$B:$B,COMBINED!$AC:$AC)</f>
        <v>12.022818970498115</v>
      </c>
      <c r="I8" s="33">
        <f>_xlfn.XLOOKUP($C8,COMBINED!$B:$B,COMBINED!$N:$N)</f>
        <v>11.015405185492277</v>
      </c>
      <c r="J8" s="33"/>
      <c r="K8" s="33"/>
      <c r="L8" s="33"/>
      <c r="M8" s="33">
        <f t="shared" si="0"/>
        <v>1.8947962697505032</v>
      </c>
      <c r="N8" s="33"/>
      <c r="O8" s="33">
        <f t="shared" si="1"/>
        <v>0.42098583521316685</v>
      </c>
      <c r="P8" s="33">
        <f t="shared" si="2"/>
        <v>0.21441514588496696</v>
      </c>
      <c r="Q8" s="33">
        <f t="shared" si="3"/>
        <v>0.45707033537429542</v>
      </c>
      <c r="R8" s="33"/>
      <c r="S8" s="33">
        <f t="shared" si="4"/>
        <v>-0.34997645020799695</v>
      </c>
      <c r="T8" s="33"/>
      <c r="U8" s="33">
        <f t="shared" si="5"/>
        <v>-0.13503351364245272</v>
      </c>
      <c r="V8" s="33">
        <f t="shared" si="6"/>
        <v>9.3855284510979783E-2</v>
      </c>
      <c r="W8" s="33">
        <f t="shared" si="7"/>
        <v>-8.9193598194209259E-2</v>
      </c>
      <c r="X8" s="33"/>
      <c r="Y8" s="33">
        <f t="shared" si="8"/>
        <v>-1.8469935415238021</v>
      </c>
      <c r="Z8" s="33">
        <f t="shared" si="11"/>
        <v>-2.1969699917317991</v>
      </c>
      <c r="AA8" s="33"/>
      <c r="AB8" s="33">
        <f t="shared" si="9"/>
        <v>0.56906156634960148</v>
      </c>
      <c r="AC8" s="33">
        <f t="shared" si="10"/>
        <v>0.55585549624444208</v>
      </c>
      <c r="AD8" s="33">
        <f>_xlfn.XLOOKUP($C8,SEM!$B:$B,SEM!$D:$D)+_xlfn.XLOOKUP($C8,SEM!$B:$B,SEM!$E:$E)</f>
        <v>13.712090053699434</v>
      </c>
      <c r="AE8" s="33">
        <f>_xlfn.XLOOKUP($C8,SEM!$B:$B,COMBINED!$AE:$AE)*AD8</f>
        <v>198235.68590633271</v>
      </c>
      <c r="AF8" s="33">
        <f>_xlfn.XLOOKUP($C8,SEM!$B:$B,SEM!C:C)</f>
        <v>13124347</v>
      </c>
      <c r="AG8">
        <f t="shared" si="12"/>
        <v>7468561.4611356929</v>
      </c>
      <c r="AH8">
        <f t="shared" si="13"/>
        <v>37.675161396846697</v>
      </c>
    </row>
    <row r="9" spans="2:36" x14ac:dyDescent="0.35">
      <c r="B9" t="s">
        <v>45</v>
      </c>
      <c r="C9" t="s">
        <v>46</v>
      </c>
      <c r="D9" s="33">
        <f>_xlfn.XLOOKUP($C9,SEM!$B:$B,SEM!$D:$D)*Model_1!$D$3</f>
        <v>30.438513666611101</v>
      </c>
      <c r="E9" s="33">
        <f>_xlfn.XLOOKUP($C9,SEM!$B:$B,SEM!$E:$E)*Model_1!$E$3</f>
        <v>3.8046021033081376</v>
      </c>
      <c r="F9" s="33"/>
      <c r="G9" s="33"/>
      <c r="H9" s="33">
        <f>Input_1_coef.*_xlfn.XLOOKUP($C9,COMBINED!$B:$B,COMBINED!$AB:$AB)+Input_2_coef.*_xlfn.XLOOKUP($C9,COMBINED!$B:$B,COMBINED!$AC:$AC)</f>
        <v>34.243115769919235</v>
      </c>
      <c r="I9" s="33">
        <f>_xlfn.XLOOKUP($C9,COMBINED!$B:$B,COMBINED!$N:$N)</f>
        <v>36.670298266253425</v>
      </c>
      <c r="J9" s="33"/>
      <c r="K9" s="33"/>
      <c r="L9" s="33"/>
      <c r="M9" s="33">
        <f t="shared" si="0"/>
        <v>5.3967150453392723</v>
      </c>
      <c r="N9" s="33"/>
      <c r="O9" s="33">
        <f t="shared" si="1"/>
        <v>1.1990421487734797</v>
      </c>
      <c r="P9" s="33">
        <f t="shared" si="2"/>
        <v>0.61069227453059205</v>
      </c>
      <c r="Q9" s="33">
        <f t="shared" si="3"/>
        <v>1.3018171900969207</v>
      </c>
      <c r="R9" s="33"/>
      <c r="S9" s="33">
        <f t="shared" si="4"/>
        <v>-0.99679485573434501</v>
      </c>
      <c r="T9" s="33"/>
      <c r="U9" s="33">
        <f t="shared" si="5"/>
        <v>-0.38459933995711676</v>
      </c>
      <c r="V9" s="33">
        <f t="shared" si="6"/>
        <v>0.26731645723141367</v>
      </c>
      <c r="W9" s="33">
        <f t="shared" si="7"/>
        <v>-0.25403914975303221</v>
      </c>
      <c r="X9" s="33"/>
      <c r="Y9" s="33">
        <f t="shared" si="8"/>
        <v>-5.2605644170380721</v>
      </c>
      <c r="Z9" s="33">
        <f t="shared" si="11"/>
        <v>-6.2573592727724172</v>
      </c>
      <c r="AA9" s="33"/>
      <c r="AB9" s="33">
        <f t="shared" si="9"/>
        <v>1.6207880318698373</v>
      </c>
      <c r="AC9" s="33">
        <f t="shared" si="10"/>
        <v>1.5831748075015499</v>
      </c>
      <c r="AD9" s="33">
        <f>_xlfn.XLOOKUP($C9,SEM!$B:$B,SEM!$D:$D)+_xlfn.XLOOKUP($C9,SEM!$B:$B,SEM!$E:$E)</f>
        <v>38.434829950953272</v>
      </c>
      <c r="AE9" s="33">
        <f>_xlfn.XLOOKUP($C9,SEM!$B:$B,COMBINED!$AE:$AE)*AD9</f>
        <v>350064.43119328242</v>
      </c>
      <c r="AF9" s="33">
        <f>_xlfn.XLOOKUP($C9,SEM!$B:$B,SEM!C:C)</f>
        <v>2483754</v>
      </c>
      <c r="AG9">
        <f t="shared" si="12"/>
        <v>4025638.7573088361</v>
      </c>
      <c r="AH9">
        <f t="shared" si="13"/>
        <v>11.499708049705125</v>
      </c>
    </row>
    <row r="10" spans="2:36" x14ac:dyDescent="0.35">
      <c r="B10" t="s">
        <v>47</v>
      </c>
      <c r="C10" t="s">
        <v>48</v>
      </c>
      <c r="D10" s="33">
        <f>_xlfn.XLOOKUP($C10,SEM!$B:$B,SEM!$D:$D)*Model_1!$D$3</f>
        <v>10.388771812483887</v>
      </c>
      <c r="E10" s="33">
        <f>_xlfn.XLOOKUP($C10,SEM!$B:$B,SEM!$E:$E)*Model_1!$E$3</f>
        <v>1.787574719942157</v>
      </c>
      <c r="F10" s="33"/>
      <c r="G10" s="33"/>
      <c r="H10" s="33">
        <f>Input_1_coef.*_xlfn.XLOOKUP($C10,COMBINED!$B:$B,COMBINED!$AB:$AB)+Input_2_coef.*_xlfn.XLOOKUP($C10,COMBINED!$B:$B,COMBINED!$AC:$AC)</f>
        <v>12.176346532426043</v>
      </c>
      <c r="I10" s="33">
        <f>_xlfn.XLOOKUP($C10,COMBINED!$B:$B,COMBINED!$N:$N)</f>
        <v>12.022001649410702</v>
      </c>
      <c r="J10" s="33"/>
      <c r="K10" s="33"/>
      <c r="L10" s="33"/>
      <c r="M10" s="33">
        <f t="shared" si="0"/>
        <v>1.9189922135103448</v>
      </c>
      <c r="N10" s="33"/>
      <c r="O10" s="33">
        <f t="shared" si="1"/>
        <v>0.42636168999772844</v>
      </c>
      <c r="P10" s="33">
        <f t="shared" si="2"/>
        <v>0.21715315888083064</v>
      </c>
      <c r="Q10" s="33">
        <f t="shared" si="3"/>
        <v>0.46290697771181943</v>
      </c>
      <c r="R10" s="33"/>
      <c r="S10" s="33">
        <f t="shared" si="4"/>
        <v>-0.35444553780421473</v>
      </c>
      <c r="T10" s="33"/>
      <c r="U10" s="33">
        <f t="shared" si="5"/>
        <v>-0.13675784852422698</v>
      </c>
      <c r="V10" s="33">
        <f t="shared" si="6"/>
        <v>9.5053786546183086E-2</v>
      </c>
      <c r="W10" s="33">
        <f t="shared" si="7"/>
        <v>-9.0332571982630949E-2</v>
      </c>
      <c r="X10" s="33"/>
      <c r="Y10" s="33">
        <f t="shared" si="8"/>
        <v>-1.8705790596974183</v>
      </c>
      <c r="Z10" s="33">
        <f t="shared" si="11"/>
        <v>-2.225024597501633</v>
      </c>
      <c r="AA10" s="33"/>
      <c r="AB10" s="33">
        <f t="shared" si="9"/>
        <v>0.57632830097173338</v>
      </c>
      <c r="AC10" s="33">
        <f t="shared" si="10"/>
        <v>0.56295359356521646</v>
      </c>
      <c r="AD10" s="33">
        <f>_xlfn.XLOOKUP($C10,SEM!$B:$B,SEM!$D:$D)+_xlfn.XLOOKUP($C10,SEM!$B:$B,SEM!$E:$E)</f>
        <v>13.939876536705816</v>
      </c>
      <c r="AE10" s="33">
        <f>_xlfn.XLOOKUP($C10,SEM!$B:$B,COMBINED!$AE:$AE)*AD10</f>
        <v>380767.72760011937</v>
      </c>
      <c r="AF10" s="33">
        <f>_xlfn.XLOOKUP($C10,SEM!$B:$B,SEM!C:C)</f>
        <v>22720842</v>
      </c>
      <c r="AG10">
        <f t="shared" si="12"/>
        <v>13094664.266507201</v>
      </c>
      <c r="AH10">
        <f t="shared" si="13"/>
        <v>34.390163129211309</v>
      </c>
    </row>
    <row r="11" spans="2:36" x14ac:dyDescent="0.35">
      <c r="B11" t="s">
        <v>49</v>
      </c>
      <c r="C11" t="s">
        <v>50</v>
      </c>
      <c r="D11" s="33">
        <f>_xlfn.XLOOKUP($C11,SEM!$B:$B,SEM!$D:$D)*Model_1!$D$3</f>
        <v>8.9556614616304255</v>
      </c>
      <c r="E11" s="33">
        <f>_xlfn.XLOOKUP($C11,SEM!$B:$B,SEM!$E:$E)*Model_1!$E$3</f>
        <v>1.9559755538846757</v>
      </c>
      <c r="F11" s="33"/>
      <c r="G11" s="33"/>
      <c r="H11" s="33">
        <f>Input_1_coef.*_xlfn.XLOOKUP($C11,COMBINED!$B:$B,COMBINED!$AB:$AB)+Input_2_coef.*_xlfn.XLOOKUP($C11,COMBINED!$B:$B,COMBINED!$AC:$AC)</f>
        <v>10.911637015515101</v>
      </c>
      <c r="I11" s="33">
        <f>_xlfn.XLOOKUP($C11,COMBINED!$B:$B,COMBINED!$N:$N)</f>
        <v>11.321517321798417</v>
      </c>
      <c r="J11" s="33"/>
      <c r="K11" s="33"/>
      <c r="L11" s="33"/>
      <c r="M11" s="33">
        <f t="shared" si="0"/>
        <v>1.7196739936451801</v>
      </c>
      <c r="N11" s="33"/>
      <c r="O11" s="33">
        <f t="shared" si="1"/>
        <v>0.38207716790808616</v>
      </c>
      <c r="P11" s="33">
        <f t="shared" si="2"/>
        <v>0.1945983091208886</v>
      </c>
      <c r="Q11" s="33">
        <f t="shared" si="3"/>
        <v>0.41482663944306497</v>
      </c>
      <c r="R11" s="33"/>
      <c r="S11" s="33">
        <f t="shared" si="4"/>
        <v>-0.31763066532223933</v>
      </c>
      <c r="T11" s="33"/>
      <c r="U11" s="33">
        <f t="shared" si="5"/>
        <v>-0.12255334538527154</v>
      </c>
      <c r="V11" s="33">
        <f t="shared" si="6"/>
        <v>8.518092130345685E-2</v>
      </c>
      <c r="W11" s="33">
        <f t="shared" si="7"/>
        <v>-8.0950080841364624E-2</v>
      </c>
      <c r="X11" s="33"/>
      <c r="Y11" s="33">
        <f t="shared" si="8"/>
        <v>-1.6762893248714918</v>
      </c>
      <c r="Z11" s="33">
        <f t="shared" si="11"/>
        <v>-1.9939199901937312</v>
      </c>
      <c r="AA11" s="33"/>
      <c r="AB11" s="33">
        <f t="shared" si="9"/>
        <v>0.51646733322060956</v>
      </c>
      <c r="AC11" s="33">
        <f t="shared" si="10"/>
        <v>0.50448180439059542</v>
      </c>
      <c r="AD11" s="33">
        <f>_xlfn.XLOOKUP($C11,SEM!$B:$B,SEM!$D:$D)+_xlfn.XLOOKUP($C11,SEM!$B:$B,SEM!$E:$E)</f>
        <v>12.714365936949218</v>
      </c>
      <c r="AE11" s="33">
        <f>_xlfn.XLOOKUP($C11,SEM!$B:$B,COMBINED!$AE:$AE)*AD11</f>
        <v>187117.32349408165</v>
      </c>
      <c r="AF11" s="33">
        <f>_xlfn.XLOOKUP($C11,SEM!$B:$B,SEM!C:C)</f>
        <v>12999141</v>
      </c>
      <c r="AG11">
        <f t="shared" si="12"/>
        <v>6713631.6864286875</v>
      </c>
      <c r="AH11">
        <f t="shared" si="13"/>
        <v>35.879263133223652</v>
      </c>
    </row>
    <row r="12" spans="2:36" x14ac:dyDescent="0.35">
      <c r="B12" t="s">
        <v>51</v>
      </c>
      <c r="C12" t="s">
        <v>52</v>
      </c>
      <c r="D12" s="33">
        <f>_xlfn.XLOOKUP($C12,SEM!$B:$B,SEM!$D:$D)*Model_1!$D$3</f>
        <v>23.302041980771708</v>
      </c>
      <c r="E12" s="33">
        <f>_xlfn.XLOOKUP($C12,SEM!$B:$B,SEM!$E:$E)*Model_1!$E$3</f>
        <v>0</v>
      </c>
      <c r="F12" s="33"/>
      <c r="G12" s="33"/>
      <c r="H12" s="33">
        <f>Input_1_coef.*_xlfn.XLOOKUP($C12,COMBINED!$B:$B,COMBINED!$AB:$AB)+Input_2_coef.*_xlfn.XLOOKUP($C12,COMBINED!$B:$B,COMBINED!$AC:$AC)</f>
        <v>23.302041980771708</v>
      </c>
      <c r="I12" s="33">
        <f>_xlfn.XLOOKUP($C12,COMBINED!$B:$B,COMBINED!$N:$N)</f>
        <v>24.00047442798288</v>
      </c>
      <c r="J12" s="33"/>
      <c r="K12" s="33"/>
      <c r="L12" s="33"/>
      <c r="M12" s="33">
        <f t="shared" si="0"/>
        <v>3.6724018161696219</v>
      </c>
      <c r="N12" s="33"/>
      <c r="O12" s="33">
        <f t="shared" si="1"/>
        <v>0.81593423551656674</v>
      </c>
      <c r="P12" s="33">
        <f t="shared" si="2"/>
        <v>0.41556898951775445</v>
      </c>
      <c r="Q12" s="33">
        <f t="shared" si="3"/>
        <v>0.88587145570370096</v>
      </c>
      <c r="R12" s="33"/>
      <c r="S12" s="33">
        <f t="shared" si="4"/>
        <v>-0.67830730505379377</v>
      </c>
      <c r="T12" s="33"/>
      <c r="U12" s="33">
        <f t="shared" si="5"/>
        <v>-0.26171537735273559</v>
      </c>
      <c r="V12" s="33">
        <f t="shared" si="6"/>
        <v>0.18190573984010619</v>
      </c>
      <c r="W12" s="33">
        <f t="shared" si="7"/>
        <v>-0.17287068653678966</v>
      </c>
      <c r="X12" s="33"/>
      <c r="Y12" s="33">
        <f t="shared" si="8"/>
        <v>-3.5797528972540729</v>
      </c>
      <c r="Z12" s="33">
        <f t="shared" si="11"/>
        <v>-4.2580602023078669</v>
      </c>
      <c r="AA12" s="33"/>
      <c r="AB12" s="33">
        <f t="shared" si="9"/>
        <v>1.1029274034035246</v>
      </c>
      <c r="AC12" s="33">
        <f t="shared" si="10"/>
        <v>1.0773320417211645</v>
      </c>
      <c r="AD12" s="33">
        <f>_xlfn.XLOOKUP($C12,SEM!$B:$B,SEM!$D:$D)+_xlfn.XLOOKUP($C12,SEM!$B:$B,SEM!$E:$E)</f>
        <v>24.528465242917587</v>
      </c>
      <c r="AE12" s="33">
        <f>_xlfn.XLOOKUP($C12,SEM!$B:$B,COMBINED!$AE:$AE)*AD12</f>
        <v>33751.168174254599</v>
      </c>
      <c r="AF12" s="33">
        <f>_xlfn.XLOOKUP($C12,SEM!$B:$B,SEM!C:C)</f>
        <v>573322</v>
      </c>
      <c r="AG12">
        <f t="shared" si="12"/>
        <v>632332.54477411555</v>
      </c>
      <c r="AH12">
        <f t="shared" si="13"/>
        <v>18.735130633388238</v>
      </c>
    </row>
    <row r="13" spans="2:36" x14ac:dyDescent="0.35">
      <c r="B13" t="s">
        <v>53</v>
      </c>
      <c r="C13" t="s">
        <v>54</v>
      </c>
      <c r="D13" s="33">
        <f>_xlfn.XLOOKUP($C13,SEM!$B:$B,SEM!$D:$D)*Model_1!$D$3</f>
        <v>7.3058505981639001</v>
      </c>
      <c r="E13" s="33">
        <f>_xlfn.XLOOKUP($C13,SEM!$B:$B,SEM!$E:$E)*Model_1!$E$3</f>
        <v>1.7263243587163635</v>
      </c>
      <c r="F13" s="33"/>
      <c r="G13" s="33"/>
      <c r="H13" s="33">
        <f>Input_1_coef.*_xlfn.XLOOKUP($C13,COMBINED!$B:$B,COMBINED!$AB:$AB)+Input_2_coef.*_xlfn.XLOOKUP($C13,COMBINED!$B:$B,COMBINED!$AC:$AC)</f>
        <v>9.0321749568802634</v>
      </c>
      <c r="I13" s="33">
        <f>_xlfn.XLOOKUP($C13,COMBINED!$B:$B,COMBINED!$N:$N)</f>
        <v>8.1868338890669854</v>
      </c>
      <c r="J13" s="33"/>
      <c r="K13" s="33"/>
      <c r="L13" s="33"/>
      <c r="M13" s="33">
        <f t="shared" si="0"/>
        <v>1.4234707732043297</v>
      </c>
      <c r="N13" s="33"/>
      <c r="O13" s="33">
        <f t="shared" si="1"/>
        <v>0.31626673639053798</v>
      </c>
      <c r="P13" s="33">
        <f t="shared" si="2"/>
        <v>0.16107995269580197</v>
      </c>
      <c r="Q13" s="33">
        <f t="shared" si="3"/>
        <v>0.34337531379544128</v>
      </c>
      <c r="R13" s="33"/>
      <c r="S13" s="33">
        <f t="shared" si="4"/>
        <v>-0.26292074569393253</v>
      </c>
      <c r="T13" s="33"/>
      <c r="U13" s="33">
        <f t="shared" si="5"/>
        <v>-0.10144428883556415</v>
      </c>
      <c r="V13" s="33">
        <f t="shared" si="6"/>
        <v>7.050903389721605E-2</v>
      </c>
      <c r="W13" s="33">
        <f t="shared" si="7"/>
        <v>-6.7006929564572867E-2</v>
      </c>
      <c r="X13" s="33"/>
      <c r="Y13" s="33">
        <f t="shared" si="8"/>
        <v>-1.3875588455757735</v>
      </c>
      <c r="Z13" s="33">
        <f t="shared" si="11"/>
        <v>-1.6504795912697059</v>
      </c>
      <c r="AA13" s="33"/>
      <c r="AB13" s="33">
        <f t="shared" si="9"/>
        <v>0.42750902605439295</v>
      </c>
      <c r="AC13" s="33">
        <f t="shared" si="10"/>
        <v>0.41758793051304627</v>
      </c>
      <c r="AD13" s="33">
        <f>_xlfn.XLOOKUP($C13,SEM!$B:$B,SEM!$D:$D)+_xlfn.XLOOKUP($C13,SEM!$B:$B,SEM!$E:$E)</f>
        <v>10.591754527533068</v>
      </c>
      <c r="AE13" s="33">
        <f>_xlfn.XLOOKUP($C13,SEM!$B:$B,COMBINED!$AE:$AE)*AD13</f>
        <v>248069.48278935198</v>
      </c>
      <c r="AF13" s="33">
        <f>_xlfn.XLOOKUP($C13,SEM!$B:$B,SEM!C:C)</f>
        <v>28608129</v>
      </c>
      <c r="AG13">
        <f t="shared" si="12"/>
        <v>12230233.366028434</v>
      </c>
      <c r="AH13">
        <f t="shared" si="13"/>
        <v>49.301644154326418</v>
      </c>
    </row>
    <row r="14" spans="2:36" x14ac:dyDescent="0.35">
      <c r="B14" t="s">
        <v>55</v>
      </c>
      <c r="C14" t="s">
        <v>56</v>
      </c>
      <c r="D14" s="33">
        <f>_xlfn.XLOOKUP($C14,SEM!$B:$B,SEM!$D:$D)*Model_1!$D$3</f>
        <v>9.9847476262595887</v>
      </c>
      <c r="E14" s="33">
        <f>_xlfn.XLOOKUP($C14,SEM!$B:$B,SEM!$E:$E)*Model_1!$E$3</f>
        <v>4.3098288461177817E-2</v>
      </c>
      <c r="F14" s="33"/>
      <c r="G14" s="33"/>
      <c r="H14" s="33">
        <f>Input_1_coef.*_xlfn.XLOOKUP($C14,COMBINED!$B:$B,COMBINED!$AB:$AB)+Input_2_coef.*_xlfn.XLOOKUP($C14,COMBINED!$B:$B,COMBINED!$AC:$AC)</f>
        <v>10.027845914720766</v>
      </c>
      <c r="I14" s="33">
        <f>_xlfn.XLOOKUP($C14,COMBINED!$B:$B,COMBINED!$N:$N)</f>
        <v>12.601735917936152</v>
      </c>
      <c r="J14" s="33"/>
      <c r="K14" s="33"/>
      <c r="L14" s="33"/>
      <c r="M14" s="33">
        <f t="shared" si="0"/>
        <v>1.5803885161599929</v>
      </c>
      <c r="N14" s="33"/>
      <c r="O14" s="33">
        <f t="shared" si="1"/>
        <v>0.35113072052042726</v>
      </c>
      <c r="P14" s="33">
        <f t="shared" si="2"/>
        <v>0.17883676448866481</v>
      </c>
      <c r="Q14" s="33">
        <f t="shared" si="3"/>
        <v>0.38122763942217819</v>
      </c>
      <c r="R14" s="33"/>
      <c r="S14" s="33">
        <f t="shared" si="4"/>
        <v>-0.29190408048881533</v>
      </c>
      <c r="T14" s="33"/>
      <c r="U14" s="33">
        <f t="shared" si="5"/>
        <v>-0.11262710279948254</v>
      </c>
      <c r="V14" s="33">
        <f t="shared" si="6"/>
        <v>7.828166868916854E-2</v>
      </c>
      <c r="W14" s="33">
        <f t="shared" si="7"/>
        <v>-7.4393506337057505E-2</v>
      </c>
      <c r="X14" s="33"/>
      <c r="Y14" s="33">
        <f t="shared" si="8"/>
        <v>-1.5405178008030629</v>
      </c>
      <c r="Z14" s="33">
        <f t="shared" si="11"/>
        <v>-1.8324218812918782</v>
      </c>
      <c r="AA14" s="33"/>
      <c r="AB14" s="33">
        <f t="shared" si="9"/>
        <v>0.47463591669691668</v>
      </c>
      <c r="AC14" s="33">
        <f t="shared" si="10"/>
        <v>0.46362115913643975</v>
      </c>
      <c r="AD14" s="33">
        <f>_xlfn.XLOOKUP($C14,SEM!$B:$B,SEM!$D:$D)+_xlfn.XLOOKUP($C14,SEM!$B:$B,SEM!$E:$E)</f>
        <v>10.5826947574747</v>
      </c>
      <c r="AE14" s="33">
        <f>_xlfn.XLOOKUP($C14,SEM!$B:$B,COMBINED!$AE:$AE)*AD14</f>
        <v>68268.963880469295</v>
      </c>
      <c r="AF14" s="33">
        <f>_xlfn.XLOOKUP($C14,SEM!$B:$B,SEM!C:C)</f>
        <v>5119136</v>
      </c>
      <c r="AG14">
        <f t="shared" si="12"/>
        <v>2429725.8080561874</v>
      </c>
      <c r="AH14">
        <f t="shared" si="13"/>
        <v>35.590489000394726</v>
      </c>
    </row>
    <row r="15" spans="2:36" x14ac:dyDescent="0.35">
      <c r="B15" t="s">
        <v>57</v>
      </c>
      <c r="C15" t="s">
        <v>58</v>
      </c>
      <c r="D15" s="33">
        <f>_xlfn.XLOOKUP($C15,SEM!$B:$B,SEM!$D:$D)*Model_1!$D$3</f>
        <v>3.7769829765423411</v>
      </c>
      <c r="E15" s="33">
        <f>_xlfn.XLOOKUP($C15,SEM!$B:$B,SEM!$E:$E)*Model_1!$E$3</f>
        <v>2.4474695420497632</v>
      </c>
      <c r="F15" s="33"/>
      <c r="G15" s="33"/>
      <c r="H15" s="33">
        <f>Input_1_coef.*_xlfn.XLOOKUP($C15,COMBINED!$B:$B,COMBINED!$AB:$AB)+Input_2_coef.*_xlfn.XLOOKUP($C15,COMBINED!$B:$B,COMBINED!$AC:$AC)</f>
        <v>6.2244525185921038</v>
      </c>
      <c r="I15" s="33">
        <f>_xlfn.XLOOKUP($C15,COMBINED!$B:$B,COMBINED!$N:$N)</f>
        <v>3.9701620144161245</v>
      </c>
      <c r="J15" s="33"/>
      <c r="K15" s="33"/>
      <c r="L15" s="33"/>
      <c r="M15" s="33">
        <f t="shared" si="0"/>
        <v>0.9809737169301157</v>
      </c>
      <c r="N15" s="33"/>
      <c r="O15" s="33">
        <f t="shared" si="1"/>
        <v>0.21795274042753315</v>
      </c>
      <c r="P15" s="33">
        <f t="shared" si="2"/>
        <v>0.1110069858078119</v>
      </c>
      <c r="Q15" s="33">
        <f t="shared" si="3"/>
        <v>0.23663440389275026</v>
      </c>
      <c r="R15" s="33"/>
      <c r="S15" s="33">
        <f t="shared" si="4"/>
        <v>-0.18118976941186007</v>
      </c>
      <c r="T15" s="33"/>
      <c r="U15" s="33">
        <f t="shared" si="5"/>
        <v>-6.9909535870794445E-2</v>
      </c>
      <c r="V15" s="33">
        <f t="shared" si="6"/>
        <v>4.8590747601794985E-2</v>
      </c>
      <c r="W15" s="33">
        <f t="shared" si="7"/>
        <v>-4.6177299873229008E-2</v>
      </c>
      <c r="X15" s="33"/>
      <c r="Y15" s="33">
        <f t="shared" si="8"/>
        <v>-0.95622529371619325</v>
      </c>
      <c r="Z15" s="33">
        <f t="shared" si="11"/>
        <v>-1.1374150631280533</v>
      </c>
      <c r="AA15" s="33"/>
      <c r="AB15" s="33">
        <f t="shared" si="9"/>
        <v>0.29461449170867726</v>
      </c>
      <c r="AC15" s="33">
        <f t="shared" si="10"/>
        <v>0.28777744654244214</v>
      </c>
      <c r="AD15" s="33">
        <f>_xlfn.XLOOKUP($C15,SEM!$B:$B,SEM!$D:$D)+_xlfn.XLOOKUP($C15,SEM!$B:$B,SEM!$E:$E)</f>
        <v>8.0891657425740249</v>
      </c>
      <c r="AE15" s="33">
        <f>_xlfn.XLOOKUP($C15,SEM!$B:$B,COMBINED!$AE:$AE)*AD15</f>
        <v>57554.414258414188</v>
      </c>
      <c r="AF15" s="33">
        <f>_xlfn.XLOOKUP($C15,SEM!$B:$B,SEM!C:C)</f>
        <v>17921183</v>
      </c>
      <c r="AG15">
        <f t="shared" si="12"/>
        <v>5279840.2203631876</v>
      </c>
      <c r="AH15">
        <f t="shared" si="13"/>
        <v>91.736494731006658</v>
      </c>
    </row>
    <row r="16" spans="2:36" x14ac:dyDescent="0.35">
      <c r="B16" t="s">
        <v>59</v>
      </c>
      <c r="C16" t="s">
        <v>60</v>
      </c>
      <c r="D16" s="33">
        <f>_xlfn.XLOOKUP($C16,SEM!$B:$B,SEM!$D:$D)*Model_1!$D$3</f>
        <v>19.75039430453797</v>
      </c>
      <c r="E16" s="33">
        <f>_xlfn.XLOOKUP($C16,SEM!$B:$B,SEM!$E:$E)*Model_1!$E$3</f>
        <v>0.5532873462479978</v>
      </c>
      <c r="F16" s="33"/>
      <c r="G16" s="33"/>
      <c r="H16" s="33">
        <f>Input_1_coef.*_xlfn.XLOOKUP($C16,COMBINED!$B:$B,COMBINED!$AB:$AB)+Input_2_coef.*_xlfn.XLOOKUP($C16,COMBINED!$B:$B,COMBINED!$AC:$AC)</f>
        <v>20.303681650785968</v>
      </c>
      <c r="I16" s="33">
        <f>_xlfn.XLOOKUP($C16,COMBINED!$B:$B,COMBINED!$N:$N)</f>
        <v>21.306174257306051</v>
      </c>
      <c r="J16" s="33"/>
      <c r="K16" s="33"/>
      <c r="L16" s="33"/>
      <c r="M16" s="33">
        <f t="shared" si="0"/>
        <v>3.1998602281638688</v>
      </c>
      <c r="N16" s="33"/>
      <c r="O16" s="33">
        <f t="shared" si="1"/>
        <v>0.71094494549344855</v>
      </c>
      <c r="P16" s="33">
        <f t="shared" si="2"/>
        <v>0.36209618341902339</v>
      </c>
      <c r="Q16" s="33">
        <f t="shared" si="3"/>
        <v>0.77188308367860115</v>
      </c>
      <c r="R16" s="33"/>
      <c r="S16" s="33">
        <f t="shared" si="4"/>
        <v>-0.59102698358277916</v>
      </c>
      <c r="T16" s="33"/>
      <c r="U16" s="33">
        <f t="shared" si="5"/>
        <v>-0.22803948723764517</v>
      </c>
      <c r="V16" s="33">
        <f t="shared" si="6"/>
        <v>0.15849925234929538</v>
      </c>
      <c r="W16" s="33">
        <f t="shared" si="7"/>
        <v>-0.15062677292797275</v>
      </c>
      <c r="X16" s="33"/>
      <c r="Y16" s="33">
        <f t="shared" si="8"/>
        <v>-3.1191327899203434</v>
      </c>
      <c r="Z16" s="33">
        <f t="shared" si="11"/>
        <v>-3.7101597735031224</v>
      </c>
      <c r="AA16" s="33"/>
      <c r="AB16" s="33">
        <f t="shared" si="9"/>
        <v>0.96100963602725142</v>
      </c>
      <c r="AC16" s="33">
        <f t="shared" si="10"/>
        <v>0.93870772464265284</v>
      </c>
      <c r="AD16" s="33">
        <f>_xlfn.XLOOKUP($C16,SEM!$B:$B,SEM!$D:$D)+_xlfn.XLOOKUP($C16,SEM!$B:$B,SEM!$E:$E)</f>
        <v>21.719783441195382</v>
      </c>
      <c r="AE16" s="33">
        <f>_xlfn.XLOOKUP($C16,SEM!$B:$B,COMBINED!$AE:$AE)*AD16</f>
        <v>42874.852512919686</v>
      </c>
      <c r="AF16" s="33">
        <f>_xlfn.XLOOKUP($C16,SEM!$B:$B,SEM!C:C)</f>
        <v>926492</v>
      </c>
      <c r="AG16">
        <f t="shared" si="12"/>
        <v>890367.73970216024</v>
      </c>
      <c r="AH16">
        <f t="shared" si="13"/>
        <v>20.766665947920437</v>
      </c>
    </row>
    <row r="17" spans="2:34" x14ac:dyDescent="0.35">
      <c r="B17" t="s">
        <v>61</v>
      </c>
      <c r="C17" t="s">
        <v>62</v>
      </c>
      <c r="D17" s="33">
        <f>_xlfn.XLOOKUP($C17,SEM!$B:$B,SEM!$D:$D)*Model_1!$D$3</f>
        <v>12.608212743652061</v>
      </c>
      <c r="E17" s="33">
        <f>_xlfn.XLOOKUP($C17,SEM!$B:$B,SEM!$E:$E)*Model_1!$E$3</f>
        <v>0.25322483910269855</v>
      </c>
      <c r="F17" s="33"/>
      <c r="G17" s="33"/>
      <c r="H17" s="33">
        <f>Input_1_coef.*_xlfn.XLOOKUP($C17,COMBINED!$B:$B,COMBINED!$AB:$AB)+Input_2_coef.*_xlfn.XLOOKUP($C17,COMBINED!$B:$B,COMBINED!$AC:$AC)</f>
        <v>12.861437582754759</v>
      </c>
      <c r="I17" s="33">
        <f>_xlfn.XLOOKUP($C17,COMBINED!$B:$B,COMBINED!$N:$N)</f>
        <v>15.055348267709141</v>
      </c>
      <c r="J17" s="33"/>
      <c r="K17" s="33"/>
      <c r="L17" s="33"/>
      <c r="M17" s="33">
        <f t="shared" si="0"/>
        <v>2.0269625630421504</v>
      </c>
      <c r="N17" s="33"/>
      <c r="O17" s="33">
        <f t="shared" si="1"/>
        <v>0.45035054225670507</v>
      </c>
      <c r="P17" s="33">
        <f t="shared" si="2"/>
        <v>0.22937108363384973</v>
      </c>
      <c r="Q17" s="33">
        <f t="shared" si="3"/>
        <v>0.48895201730727977</v>
      </c>
      <c r="R17" s="33"/>
      <c r="S17" s="33">
        <f t="shared" si="4"/>
        <v>-0.3743880932441373</v>
      </c>
      <c r="T17" s="33"/>
      <c r="U17" s="33">
        <f t="shared" si="5"/>
        <v>-0.14445240434494494</v>
      </c>
      <c r="V17" s="33">
        <f t="shared" si="6"/>
        <v>0.10040190129383976</v>
      </c>
      <c r="W17" s="33">
        <f t="shared" si="7"/>
        <v>-9.5415051891827848E-2</v>
      </c>
      <c r="X17" s="33"/>
      <c r="Y17" s="33">
        <f t="shared" si="8"/>
        <v>-1.9758254872131171</v>
      </c>
      <c r="Z17" s="33">
        <f t="shared" si="11"/>
        <v>-2.3502135804572544</v>
      </c>
      <c r="AA17" s="33"/>
      <c r="AB17" s="33">
        <f t="shared" si="9"/>
        <v>0.60875488804326783</v>
      </c>
      <c r="AC17" s="33">
        <f t="shared" si="10"/>
        <v>0.59462766490302321</v>
      </c>
      <c r="AD17" s="33">
        <f>_xlfn.XLOOKUP($C17,SEM!$B:$B,SEM!$D:$D)+_xlfn.XLOOKUP($C17,SEM!$B:$B,SEM!$E:$E)</f>
        <v>13.697390852933287</v>
      </c>
      <c r="AE17" s="33">
        <f>_xlfn.XLOOKUP($C17,SEM!$B:$B,COMBINED!$AE:$AE)*AD17</f>
        <v>122509.46378863532</v>
      </c>
      <c r="AF17" s="33">
        <f>_xlfn.XLOOKUP($C17,SEM!$B:$B,SEM!C:C)</f>
        <v>5940746</v>
      </c>
      <c r="AG17">
        <f t="shared" si="12"/>
        <v>3616458.1661234912</v>
      </c>
      <c r="AH17">
        <f t="shared" si="13"/>
        <v>29.519826912008529</v>
      </c>
    </row>
    <row r="18" spans="2:34" x14ac:dyDescent="0.35">
      <c r="B18" t="s">
        <v>63</v>
      </c>
      <c r="C18" t="s">
        <v>64</v>
      </c>
      <c r="D18" s="33">
        <f>_xlfn.XLOOKUP($C18,SEM!$B:$B,SEM!$D:$D)*Model_1!$D$3</f>
        <v>10.231847002320963</v>
      </c>
      <c r="E18" s="33">
        <f>_xlfn.XLOOKUP($C18,SEM!$B:$B,SEM!$E:$E)*Model_1!$E$3</f>
        <v>0.83009995242967938</v>
      </c>
      <c r="F18" s="33"/>
      <c r="G18" s="33"/>
      <c r="H18" s="33">
        <f>Input_1_coef.*_xlfn.XLOOKUP($C18,COMBINED!$B:$B,COMBINED!$AB:$AB)+Input_2_coef.*_xlfn.XLOOKUP($C18,COMBINED!$B:$B,COMBINED!$AC:$AC)</f>
        <v>11.061946954750642</v>
      </c>
      <c r="I18" s="33">
        <f>_xlfn.XLOOKUP($C18,COMBINED!$B:$B,COMBINED!$N:$N)</f>
        <v>11.257477181820439</v>
      </c>
      <c r="J18" s="33"/>
      <c r="K18" s="33"/>
      <c r="L18" s="33"/>
      <c r="M18" s="33">
        <f t="shared" si="0"/>
        <v>1.7433628400687016</v>
      </c>
      <c r="N18" s="33"/>
      <c r="O18" s="33">
        <f t="shared" si="1"/>
        <v>0.38734035580646414</v>
      </c>
      <c r="P18" s="33">
        <f t="shared" si="2"/>
        <v>0.19727893898217427</v>
      </c>
      <c r="Q18" s="33">
        <f t="shared" si="3"/>
        <v>0.42054095773273248</v>
      </c>
      <c r="R18" s="33"/>
      <c r="S18" s="33">
        <f t="shared" si="4"/>
        <v>-0.32200609001204944</v>
      </c>
      <c r="T18" s="33"/>
      <c r="U18" s="33">
        <f t="shared" si="5"/>
        <v>-0.12424154174588911</v>
      </c>
      <c r="V18" s="33">
        <f t="shared" si="6"/>
        <v>8.6354305195071368E-2</v>
      </c>
      <c r="W18" s="33">
        <f t="shared" si="7"/>
        <v>-8.2065184076110867E-2</v>
      </c>
      <c r="X18" s="33"/>
      <c r="Y18" s="33">
        <f t="shared" si="8"/>
        <v>-1.6993805389766126</v>
      </c>
      <c r="Z18" s="33">
        <f t="shared" si="11"/>
        <v>-2.0213866289886622</v>
      </c>
      <c r="AA18" s="33"/>
      <c r="AB18" s="33">
        <f t="shared" si="9"/>
        <v>0.52358177199484213</v>
      </c>
      <c r="AC18" s="33">
        <f t="shared" si="10"/>
        <v>0.51143114015529945</v>
      </c>
      <c r="AD18" s="33">
        <f>_xlfn.XLOOKUP($C18,SEM!$B:$B,SEM!$D:$D)+_xlfn.XLOOKUP($C18,SEM!$B:$B,SEM!$E:$E)</f>
        <v>12.165491236071064</v>
      </c>
      <c r="AE18" s="33">
        <f>_xlfn.XLOOKUP($C18,SEM!$B:$B,COMBINED!$AE:$AE)*AD18</f>
        <v>389551.19487023156</v>
      </c>
      <c r="AF18" s="33">
        <f>_xlfn.XLOOKUP($C18,SEM!$B:$B,SEM!C:C)</f>
        <v>28444206</v>
      </c>
      <c r="AG18">
        <f t="shared" si="12"/>
        <v>14892867.78046632</v>
      </c>
      <c r="AH18">
        <f t="shared" si="13"/>
        <v>38.230835835139658</v>
      </c>
    </row>
    <row r="19" spans="2:34" x14ac:dyDescent="0.35">
      <c r="B19" t="s">
        <v>65</v>
      </c>
      <c r="C19" t="s">
        <v>66</v>
      </c>
      <c r="D19" s="33">
        <f>_xlfn.XLOOKUP($C19,SEM!$B:$B,SEM!$D:$D)*Model_1!$D$3</f>
        <v>12.86220851483635</v>
      </c>
      <c r="E19" s="33">
        <f>_xlfn.XLOOKUP($C19,SEM!$B:$B,SEM!$E:$E)*Model_1!$E$3</f>
        <v>4.1014825119472151</v>
      </c>
      <c r="F19" s="33"/>
      <c r="G19" s="33"/>
      <c r="H19" s="33">
        <f>Input_1_coef.*_xlfn.XLOOKUP($C19,COMBINED!$B:$B,COMBINED!$AB:$AB)+Input_2_coef.*_xlfn.XLOOKUP($C19,COMBINED!$B:$B,COMBINED!$AC:$AC)</f>
        <v>16.963691026783565</v>
      </c>
      <c r="I19" s="33">
        <f>_xlfn.XLOOKUP($C19,COMBINED!$B:$B,COMBINED!$N:$N)</f>
        <v>15.093434057158985</v>
      </c>
      <c r="J19" s="33"/>
      <c r="K19" s="33"/>
      <c r="L19" s="33"/>
      <c r="M19" s="33">
        <f t="shared" si="0"/>
        <v>2.6734777058210897</v>
      </c>
      <c r="N19" s="33"/>
      <c r="O19" s="33">
        <f t="shared" si="1"/>
        <v>0.59399327667932977</v>
      </c>
      <c r="P19" s="33">
        <f t="shared" si="2"/>
        <v>0.30253073719071455</v>
      </c>
      <c r="Q19" s="33">
        <f t="shared" si="3"/>
        <v>0.64490698610898656</v>
      </c>
      <c r="R19" s="33"/>
      <c r="S19" s="33">
        <f t="shared" si="4"/>
        <v>-0.49380202617597851</v>
      </c>
      <c r="T19" s="33"/>
      <c r="U19" s="33">
        <f t="shared" si="5"/>
        <v>-0.19052659857163484</v>
      </c>
      <c r="V19" s="33">
        <f t="shared" si="6"/>
        <v>0.13242585217176919</v>
      </c>
      <c r="W19" s="33">
        <f t="shared" si="7"/>
        <v>-0.12584840918310516</v>
      </c>
      <c r="X19" s="33"/>
      <c r="Y19" s="33">
        <f t="shared" si="8"/>
        <v>-2.6060300702985981</v>
      </c>
      <c r="Z19" s="33">
        <f t="shared" si="11"/>
        <v>-3.0998320964745765</v>
      </c>
      <c r="AA19" s="33"/>
      <c r="AB19" s="33">
        <f t="shared" si="9"/>
        <v>0.80292189464549413</v>
      </c>
      <c r="AC19" s="33">
        <f t="shared" si="10"/>
        <v>0.78428868611996583</v>
      </c>
      <c r="AD19" s="33">
        <f>_xlfn.XLOOKUP($C19,SEM!$B:$B,SEM!$D:$D)+_xlfn.XLOOKUP($C19,SEM!$B:$B,SEM!$E:$E)</f>
        <v>20.43241477696149</v>
      </c>
      <c r="AE19" s="33">
        <f>_xlfn.XLOOKUP($C19,SEM!$B:$B,COMBINED!$AE:$AE)*AD19</f>
        <v>3026960.0871329601</v>
      </c>
      <c r="AF19" s="33">
        <f>_xlfn.XLOOKUP($C19,SEM!$B:$B,SEM!C:C)</f>
        <v>98151951</v>
      </c>
      <c r="AG19">
        <f t="shared" si="12"/>
        <v>78808350.460071698</v>
      </c>
      <c r="AH19">
        <f t="shared" si="13"/>
        <v>26.035477241695794</v>
      </c>
    </row>
    <row r="20" spans="2:34" x14ac:dyDescent="0.35">
      <c r="B20" t="s">
        <v>67</v>
      </c>
      <c r="C20" t="s">
        <v>68</v>
      </c>
      <c r="D20" s="33">
        <f>_xlfn.XLOOKUP($C20,SEM!$B:$B,SEM!$D:$D)*Model_1!$D$3</f>
        <v>16.259899527274069</v>
      </c>
      <c r="E20" s="33">
        <f>_xlfn.XLOOKUP($C20,SEM!$B:$B,SEM!$E:$E)*Model_1!$E$3</f>
        <v>14.199211616449256</v>
      </c>
      <c r="F20" s="33"/>
      <c r="G20" s="33"/>
      <c r="H20" s="33">
        <f>Input_1_coef.*_xlfn.XLOOKUP($C20,COMBINED!$B:$B,COMBINED!$AB:$AB)+Input_2_coef.*_xlfn.XLOOKUP($C20,COMBINED!$B:$B,COMBINED!$AC:$AC)</f>
        <v>30.459111143723327</v>
      </c>
      <c r="I20" s="33">
        <f>_xlfn.XLOOKUP($C20,COMBINED!$B:$B,COMBINED!$N:$N)</f>
        <v>20.280046054494363</v>
      </c>
      <c r="J20" s="33"/>
      <c r="K20" s="33"/>
      <c r="L20" s="33"/>
      <c r="M20" s="33">
        <f t="shared" si="0"/>
        <v>4.8003559162507976</v>
      </c>
      <c r="N20" s="33"/>
      <c r="O20" s="33">
        <f t="shared" si="1"/>
        <v>1.0665430774726024</v>
      </c>
      <c r="P20" s="33">
        <f t="shared" si="2"/>
        <v>0.54320827548294026</v>
      </c>
      <c r="Q20" s="33">
        <f t="shared" si="3"/>
        <v>1.1579610555416824</v>
      </c>
      <c r="R20" s="33"/>
      <c r="S20" s="33">
        <f t="shared" si="4"/>
        <v>-0.88664493915518727</v>
      </c>
      <c r="T20" s="33"/>
      <c r="U20" s="33">
        <f t="shared" si="5"/>
        <v>-0.34209953674388083</v>
      </c>
      <c r="V20" s="33">
        <f t="shared" si="6"/>
        <v>0.23777689320288151</v>
      </c>
      <c r="W20" s="33">
        <f t="shared" si="7"/>
        <v>-0.22596678261333439</v>
      </c>
      <c r="X20" s="33"/>
      <c r="Y20" s="33">
        <f t="shared" si="8"/>
        <v>-4.6792504903433514</v>
      </c>
      <c r="Z20" s="33">
        <f t="shared" si="11"/>
        <v>-5.5658954294985383</v>
      </c>
      <c r="AA20" s="33"/>
      <c r="AB20" s="33">
        <f t="shared" si="9"/>
        <v>1.4416843121065204</v>
      </c>
      <c r="AC20" s="33">
        <f t="shared" si="10"/>
        <v>1.4082275031757785</v>
      </c>
      <c r="AD20" s="33">
        <f>_xlfn.XLOOKUP($C20,SEM!$B:$B,SEM!$D:$D)+_xlfn.XLOOKUP($C20,SEM!$B:$B,SEM!$E:$E)</f>
        <v>40.979904917036471</v>
      </c>
      <c r="AE20" s="33">
        <f>_xlfn.XLOOKUP($C20,SEM!$B:$B,COMBINED!$AE:$AE)*AD20</f>
        <v>128267.10239032416</v>
      </c>
      <c r="AF20" s="33">
        <f>_xlfn.XLOOKUP($C20,SEM!$B:$B,SEM!C:C)</f>
        <v>1543389</v>
      </c>
      <c r="AG20">
        <f t="shared" si="12"/>
        <v>2225079.7087777704</v>
      </c>
      <c r="AH20">
        <f t="shared" si="13"/>
        <v>17.347236098050498</v>
      </c>
    </row>
    <row r="21" spans="2:34" x14ac:dyDescent="0.35">
      <c r="B21" t="s">
        <v>69</v>
      </c>
      <c r="C21" t="s">
        <v>70</v>
      </c>
      <c r="D21" s="33">
        <f>_xlfn.XLOOKUP($C21,SEM!$B:$B,SEM!$D:$D)*Model_1!$D$3</f>
        <v>13.791422945813666</v>
      </c>
      <c r="E21" s="33">
        <f>_xlfn.XLOOKUP($C21,SEM!$B:$B,SEM!$E:$E)*Model_1!$E$3</f>
        <v>1.5987631369418207</v>
      </c>
      <c r="F21" s="33"/>
      <c r="G21" s="33"/>
      <c r="H21" s="33">
        <f>Input_1_coef.*_xlfn.XLOOKUP($C21,COMBINED!$B:$B,COMBINED!$AB:$AB)+Input_2_coef.*_xlfn.XLOOKUP($C21,COMBINED!$B:$B,COMBINED!$AC:$AC)</f>
        <v>15.390186082755488</v>
      </c>
      <c r="I21" s="33">
        <f>_xlfn.XLOOKUP($C21,COMBINED!$B:$B,COMBINED!$N:$N)</f>
        <v>17.44527928542762</v>
      </c>
      <c r="J21" s="33"/>
      <c r="K21" s="33"/>
      <c r="L21" s="33"/>
      <c r="M21" s="33">
        <f t="shared" si="0"/>
        <v>2.4254933266422647</v>
      </c>
      <c r="N21" s="33"/>
      <c r="O21" s="33">
        <f t="shared" si="1"/>
        <v>0.53889610731337845</v>
      </c>
      <c r="P21" s="33">
        <f t="shared" si="2"/>
        <v>0.27446882484283869</v>
      </c>
      <c r="Q21" s="33">
        <f t="shared" si="3"/>
        <v>0.58508720222595367</v>
      </c>
      <c r="R21" s="33"/>
      <c r="S21" s="33">
        <f t="shared" si="4"/>
        <v>-0.44799831940413287</v>
      </c>
      <c r="T21" s="33"/>
      <c r="U21" s="33">
        <f t="shared" si="5"/>
        <v>-0.17285387956561302</v>
      </c>
      <c r="V21" s="33">
        <f t="shared" si="6"/>
        <v>0.12014239730452274</v>
      </c>
      <c r="W21" s="33">
        <f t="shared" si="7"/>
        <v>-0.11417505969005967</v>
      </c>
      <c r="X21" s="33"/>
      <c r="Y21" s="33">
        <f t="shared" si="8"/>
        <v>-2.3643019467772293</v>
      </c>
      <c r="Z21" s="33">
        <f t="shared" si="11"/>
        <v>-2.8123002661813623</v>
      </c>
      <c r="AA21" s="33"/>
      <c r="AB21" s="33">
        <f t="shared" si="9"/>
        <v>0.72844508597818713</v>
      </c>
      <c r="AC21" s="33">
        <f t="shared" si="10"/>
        <v>0.71154024221076084</v>
      </c>
      <c r="AD21" s="33">
        <f>_xlfn.XLOOKUP($C21,SEM!$B:$B,SEM!$D:$D)+_xlfn.XLOOKUP($C21,SEM!$B:$B,SEM!$E:$E)</f>
        <v>17.204284180192591</v>
      </c>
      <c r="AE21" s="33">
        <f>_xlfn.XLOOKUP($C21,SEM!$B:$B,COMBINED!$AE:$AE)*AD21</f>
        <v>111879.46002379242</v>
      </c>
      <c r="AF21" s="33">
        <f>_xlfn.XLOOKUP($C21,SEM!$B:$B,SEM!C:C)</f>
        <v>3727656</v>
      </c>
      <c r="AG21">
        <f t="shared" si="12"/>
        <v>2715392.6954171052</v>
      </c>
      <c r="AH21">
        <f t="shared" si="13"/>
        <v>24.270698972265745</v>
      </c>
    </row>
    <row r="22" spans="2:34" x14ac:dyDescent="0.35">
      <c r="B22" t="s">
        <v>71</v>
      </c>
      <c r="C22" t="s">
        <v>72</v>
      </c>
      <c r="D22" s="33">
        <f>_xlfn.XLOOKUP($C22,SEM!$B:$B,SEM!$D:$D)*Model_1!$D$3</f>
        <v>41.468257667981618</v>
      </c>
      <c r="E22" s="33">
        <f>_xlfn.XLOOKUP($C22,SEM!$B:$B,SEM!$E:$E)*Model_1!$E$3</f>
        <v>2.5660828325728673</v>
      </c>
      <c r="F22" s="33"/>
      <c r="G22" s="33"/>
      <c r="H22" s="33">
        <f>Input_1_coef.*_xlfn.XLOOKUP($C22,COMBINED!$B:$B,COMBINED!$AB:$AB)+Input_2_coef.*_xlfn.XLOOKUP($C22,COMBINED!$B:$B,COMBINED!$AC:$AC)</f>
        <v>44.034340500554485</v>
      </c>
      <c r="I22" s="33">
        <f>_xlfn.XLOOKUP($C22,COMBINED!$B:$B,COMBINED!$N:$N)</f>
        <v>50.137284636813654</v>
      </c>
      <c r="J22" s="33"/>
      <c r="K22" s="33"/>
      <c r="L22" s="33"/>
      <c r="M22" s="33">
        <f t="shared" si="0"/>
        <v>6.9398120628873876</v>
      </c>
      <c r="N22" s="33"/>
      <c r="O22" s="33">
        <f t="shared" si="1"/>
        <v>1.54188744413232</v>
      </c>
      <c r="P22" s="33">
        <f t="shared" si="2"/>
        <v>0.78530913303633687</v>
      </c>
      <c r="Q22" s="33">
        <f t="shared" si="3"/>
        <v>1.6740492250579473</v>
      </c>
      <c r="R22" s="33"/>
      <c r="S22" s="33">
        <f t="shared" si="4"/>
        <v>-1.281811047263552</v>
      </c>
      <c r="T22" s="33"/>
      <c r="U22" s="33">
        <f t="shared" si="5"/>
        <v>-0.49456884723197986</v>
      </c>
      <c r="V22" s="33">
        <f t="shared" si="6"/>
        <v>0.34375095941095035</v>
      </c>
      <c r="W22" s="33">
        <f t="shared" si="7"/>
        <v>-0.32667723626139977</v>
      </c>
      <c r="X22" s="33"/>
      <c r="Y22" s="33">
        <f t="shared" si="8"/>
        <v>-6.764731525057182</v>
      </c>
      <c r="Z22" s="33">
        <f t="shared" si="11"/>
        <v>-8.0465425723207336</v>
      </c>
      <c r="AA22" s="33"/>
      <c r="AB22" s="33">
        <f t="shared" si="9"/>
        <v>2.0842242439070051</v>
      </c>
      <c r="AC22" s="33">
        <f t="shared" si="10"/>
        <v>2.0358561707361678</v>
      </c>
      <c r="AD22" s="33">
        <f>_xlfn.XLOOKUP($C22,SEM!$B:$B,SEM!$D:$D)+_xlfn.XLOOKUP($C22,SEM!$B:$B,SEM!$E:$E)</f>
        <v>47.963541801668796</v>
      </c>
      <c r="AE22" s="33">
        <f>_xlfn.XLOOKUP($C22,SEM!$B:$B,COMBINED!$AE:$AE)*AD22</f>
        <v>287973.10497721948</v>
      </c>
      <c r="AF22" s="33">
        <f>_xlfn.XLOOKUP($C22,SEM!$B:$B,SEM!C:C)</f>
        <v>1197512</v>
      </c>
      <c r="AG22">
        <f t="shared" si="12"/>
        <v>2495883.5427695657</v>
      </c>
      <c r="AH22">
        <f t="shared" si="13"/>
        <v>8.6670716800688936</v>
      </c>
    </row>
    <row r="23" spans="2:34" x14ac:dyDescent="0.35">
      <c r="B23" t="s">
        <v>73</v>
      </c>
      <c r="C23" t="s">
        <v>74</v>
      </c>
      <c r="D23" s="33">
        <f>_xlfn.XLOOKUP($C23,SEM!$B:$B,SEM!$D:$D)*Model_1!$D$3</f>
        <v>16.44784298974124</v>
      </c>
      <c r="E23" s="33">
        <f>_xlfn.XLOOKUP($C23,SEM!$B:$B,SEM!$E:$E)*Model_1!$E$3</f>
        <v>1.1093673660213568</v>
      </c>
      <c r="F23" s="33"/>
      <c r="G23" s="33"/>
      <c r="H23" s="33">
        <f>Input_1_coef.*_xlfn.XLOOKUP($C23,COMBINED!$B:$B,COMBINED!$AB:$AB)+Input_2_coef.*_xlfn.XLOOKUP($C23,COMBINED!$B:$B,COMBINED!$AC:$AC)</f>
        <v>17.557210355762596</v>
      </c>
      <c r="I23" s="33">
        <f>_xlfn.XLOOKUP($C23,COMBINED!$B:$B,COMBINED!$N:$N)</f>
        <v>19.35794740669748</v>
      </c>
      <c r="J23" s="33"/>
      <c r="K23" s="33"/>
      <c r="L23" s="33"/>
      <c r="M23" s="33">
        <f t="shared" si="0"/>
        <v>2.7670163520681856</v>
      </c>
      <c r="N23" s="33"/>
      <c r="O23" s="33">
        <f t="shared" si="1"/>
        <v>0.61477569310250957</v>
      </c>
      <c r="P23" s="33">
        <f t="shared" si="2"/>
        <v>0.3131155704000359</v>
      </c>
      <c r="Q23" s="33">
        <f t="shared" si="3"/>
        <v>0.66747075251129606</v>
      </c>
      <c r="R23" s="33"/>
      <c r="S23" s="33">
        <f t="shared" si="4"/>
        <v>-0.51107898829240206</v>
      </c>
      <c r="T23" s="33"/>
      <c r="U23" s="33">
        <f t="shared" si="5"/>
        <v>-0.19719267252678724</v>
      </c>
      <c r="V23" s="33">
        <f t="shared" si="6"/>
        <v>0.13705911876430321</v>
      </c>
      <c r="W23" s="33">
        <f t="shared" si="7"/>
        <v>-0.13025154664024841</v>
      </c>
      <c r="X23" s="33"/>
      <c r="Y23" s="33">
        <f t="shared" si="8"/>
        <v>-2.6972088836936732</v>
      </c>
      <c r="Z23" s="33">
        <f t="shared" si="11"/>
        <v>-3.2082878719860752</v>
      </c>
      <c r="AA23" s="33"/>
      <c r="AB23" s="33">
        <f t="shared" si="9"/>
        <v>0.83101422805218927</v>
      </c>
      <c r="AC23" s="33">
        <f t="shared" si="10"/>
        <v>0.81172908773874197</v>
      </c>
      <c r="AD23" s="33">
        <f>_xlfn.XLOOKUP($C23,SEM!$B:$B,SEM!$D:$D)+_xlfn.XLOOKUP($C23,SEM!$B:$B,SEM!$E:$E)</f>
        <v>19.17800190467285</v>
      </c>
      <c r="AE23" s="33">
        <f>_xlfn.XLOOKUP($C23,SEM!$B:$B,COMBINED!$AE:$AE)*AD23</f>
        <v>4594972.5443519959</v>
      </c>
      <c r="AF23" s="33">
        <f>_xlfn.XLOOKUP($C23,SEM!$B:$B,SEM!C:C)</f>
        <v>123771387</v>
      </c>
      <c r="AG23">
        <f t="shared" si="12"/>
        <v>102855783.62275377</v>
      </c>
      <c r="AH23">
        <f t="shared" si="13"/>
        <v>22.384417454067499</v>
      </c>
    </row>
    <row r="24" spans="2:34" x14ac:dyDescent="0.35">
      <c r="B24" t="s">
        <v>75</v>
      </c>
      <c r="C24" t="s">
        <v>76</v>
      </c>
      <c r="D24" s="33">
        <f>_xlfn.XLOOKUP($C24,SEM!$B:$B,SEM!$D:$D)*Model_1!$D$3</f>
        <v>28.88574768919063</v>
      </c>
      <c r="E24" s="33">
        <f>_xlfn.XLOOKUP($C24,SEM!$B:$B,SEM!$E:$E)*Model_1!$E$3</f>
        <v>0.77377754461692061</v>
      </c>
      <c r="F24" s="33"/>
      <c r="G24" s="33"/>
      <c r="H24" s="33">
        <f>Input_1_coef.*_xlfn.XLOOKUP($C24,COMBINED!$B:$B,COMBINED!$AB:$AB)+Input_2_coef.*_xlfn.XLOOKUP($C24,COMBINED!$B:$B,COMBINED!$AC:$AC)</f>
        <v>29.65952523380755</v>
      </c>
      <c r="I24" s="33">
        <f>_xlfn.XLOOKUP($C24,COMBINED!$B:$B,COMBINED!$N:$N)</f>
        <v>32.580996306480337</v>
      </c>
      <c r="J24" s="33"/>
      <c r="K24" s="33"/>
      <c r="L24" s="33"/>
      <c r="M24" s="33">
        <f t="shared" si="0"/>
        <v>4.6743411768480696</v>
      </c>
      <c r="N24" s="33"/>
      <c r="O24" s="33">
        <f t="shared" si="1"/>
        <v>1.0385451226721043</v>
      </c>
      <c r="P24" s="33">
        <f t="shared" si="2"/>
        <v>0.52894844757212756</v>
      </c>
      <c r="Q24" s="33">
        <f t="shared" si="3"/>
        <v>1.1275632760439989</v>
      </c>
      <c r="R24" s="33"/>
      <c r="S24" s="33">
        <f t="shared" si="4"/>
        <v>-0.86336951272854578</v>
      </c>
      <c r="T24" s="33"/>
      <c r="U24" s="33">
        <f t="shared" si="5"/>
        <v>-0.33311903931313119</v>
      </c>
      <c r="V24" s="33">
        <f t="shared" si="6"/>
        <v>0.23153498244549048</v>
      </c>
      <c r="W24" s="33">
        <f t="shared" si="7"/>
        <v>-0.22003490053594627</v>
      </c>
      <c r="X24" s="33"/>
      <c r="Y24" s="33">
        <f t="shared" si="8"/>
        <v>-4.5564149045184514</v>
      </c>
      <c r="Z24" s="33">
        <f t="shared" si="11"/>
        <v>-5.4197844172469969</v>
      </c>
      <c r="AA24" s="33"/>
      <c r="AB24" s="33">
        <f t="shared" si="9"/>
        <v>1.4038384781599007</v>
      </c>
      <c r="AC24" s="33">
        <f t="shared" si="10"/>
        <v>1.3712599480760213</v>
      </c>
      <c r="AD24" s="33">
        <f>_xlfn.XLOOKUP($C24,SEM!$B:$B,SEM!$D:$D)+_xlfn.XLOOKUP($C24,SEM!$B:$B,SEM!$E:$E)</f>
        <v>31.706516660689076</v>
      </c>
      <c r="AE24" s="33">
        <f>_xlfn.XLOOKUP($C24,SEM!$B:$B,COMBINED!$AE:$AE)*AD24</f>
        <v>246264.51490357204</v>
      </c>
      <c r="AF24" s="33">
        <f>_xlfn.XLOOKUP($C24,SEM!$B:$B,SEM!C:C)</f>
        <v>2383905</v>
      </c>
      <c r="AG24">
        <f t="shared" si="12"/>
        <v>3346617.5672777779</v>
      </c>
      <c r="AH24">
        <f t="shared" si="13"/>
        <v>13.589524128509494</v>
      </c>
    </row>
    <row r="25" spans="2:34" x14ac:dyDescent="0.35">
      <c r="B25" t="s">
        <v>77</v>
      </c>
      <c r="C25" t="s">
        <v>78</v>
      </c>
      <c r="D25" s="33">
        <f>_xlfn.XLOOKUP($C25,SEM!$B:$B,SEM!$D:$D)*Model_1!$D$3</f>
        <v>7.1959192159926992</v>
      </c>
      <c r="E25" s="33">
        <f>_xlfn.XLOOKUP($C25,SEM!$B:$B,SEM!$E:$E)*Model_1!$E$3</f>
        <v>0.79004787931672049</v>
      </c>
      <c r="F25" s="33"/>
      <c r="G25" s="33"/>
      <c r="H25" s="33">
        <f>Input_1_coef.*_xlfn.XLOOKUP($C25,COMBINED!$B:$B,COMBINED!$AB:$AB)+Input_2_coef.*_xlfn.XLOOKUP($C25,COMBINED!$B:$B,COMBINED!$AC:$AC)</f>
        <v>7.9859670953094195</v>
      </c>
      <c r="I25" s="33">
        <f>_xlfn.XLOOKUP($C25,COMBINED!$B:$B,COMBINED!$N:$N)</f>
        <v>8.60047179079457</v>
      </c>
      <c r="J25" s="33"/>
      <c r="K25" s="33"/>
      <c r="L25" s="33"/>
      <c r="M25" s="33">
        <f t="shared" si="0"/>
        <v>1.2585884142207646</v>
      </c>
      <c r="N25" s="33"/>
      <c r="O25" s="33">
        <f t="shared" si="1"/>
        <v>0.27963317387156955</v>
      </c>
      <c r="P25" s="33">
        <f t="shared" si="2"/>
        <v>0.14242186495322173</v>
      </c>
      <c r="Q25" s="33">
        <f t="shared" si="3"/>
        <v>0.30360173163198972</v>
      </c>
      <c r="R25" s="33"/>
      <c r="S25" s="33">
        <f t="shared" si="4"/>
        <v>-0.23246631446023211</v>
      </c>
      <c r="T25" s="33"/>
      <c r="U25" s="33">
        <f t="shared" si="5"/>
        <v>-8.9693872906078123E-2</v>
      </c>
      <c r="V25" s="33">
        <f t="shared" si="6"/>
        <v>6.2341886346687206E-2</v>
      </c>
      <c r="W25" s="33">
        <f t="shared" si="7"/>
        <v>-5.9245435038076909E-2</v>
      </c>
      <c r="X25" s="33"/>
      <c r="Y25" s="33">
        <f t="shared" si="8"/>
        <v>-1.2268362090498142</v>
      </c>
      <c r="Z25" s="33">
        <f t="shared" si="11"/>
        <v>-1.4593025235100463</v>
      </c>
      <c r="AA25" s="33"/>
      <c r="AB25" s="33">
        <f t="shared" si="9"/>
        <v>0.37799013319792785</v>
      </c>
      <c r="AC25" s="33">
        <f t="shared" si="10"/>
        <v>0.36921821027561313</v>
      </c>
      <c r="AD25" s="33">
        <f>_xlfn.XLOOKUP($C25,SEM!$B:$B,SEM!$D:$D)+_xlfn.XLOOKUP($C25,SEM!$B:$B,SEM!$E:$E)</f>
        <v>8.9024633681849465</v>
      </c>
      <c r="AE25" s="33">
        <f>_xlfn.XLOOKUP($C25,SEM!$B:$B,COMBINED!$AE:$AE)*AD25</f>
        <v>20146.274602202535</v>
      </c>
      <c r="AF25" s="33">
        <f>_xlfn.XLOOKUP($C25,SEM!$B:$B,SEM!C:C)</f>
        <v>2631251</v>
      </c>
      <c r="AG25">
        <f t="shared" si="12"/>
        <v>994586.91596718086</v>
      </c>
      <c r="AH25">
        <f t="shared" si="13"/>
        <v>49.368279525905272</v>
      </c>
    </row>
    <row r="26" spans="2:34" x14ac:dyDescent="0.35">
      <c r="B26" t="s">
        <v>79</v>
      </c>
      <c r="C26" t="s">
        <v>80</v>
      </c>
      <c r="D26" s="33">
        <f>_xlfn.XLOOKUP($C26,SEM!$B:$B,SEM!$D:$D)*Model_1!$D$3</f>
        <v>38.395776293426493</v>
      </c>
      <c r="E26" s="33">
        <f>_xlfn.XLOOKUP($C26,SEM!$B:$B,SEM!$E:$E)*Model_1!$E$3</f>
        <v>9.0224121860465214</v>
      </c>
      <c r="F26" s="33"/>
      <c r="G26" s="33"/>
      <c r="H26" s="33">
        <f>Input_1_coef.*_xlfn.XLOOKUP($C26,COMBINED!$B:$B,COMBINED!$AB:$AB)+Input_2_coef.*_xlfn.XLOOKUP($C26,COMBINED!$B:$B,COMBINED!$AC:$AC)</f>
        <v>47.418188479473017</v>
      </c>
      <c r="I26" s="33">
        <f>_xlfn.XLOOKUP($C26,COMBINED!$B:$B,COMBINED!$N:$N)</f>
        <v>48.464221402575184</v>
      </c>
      <c r="J26" s="33"/>
      <c r="K26" s="33"/>
      <c r="L26" s="33"/>
      <c r="M26" s="33">
        <f t="shared" si="0"/>
        <v>7.4731065043649485</v>
      </c>
      <c r="N26" s="33"/>
      <c r="O26" s="33">
        <f t="shared" si="1"/>
        <v>1.6603748031398045</v>
      </c>
      <c r="P26" s="33">
        <f t="shared" si="2"/>
        <v>0.84565673203393754</v>
      </c>
      <c r="Q26" s="33">
        <f t="shared" si="3"/>
        <v>1.8026926434089305</v>
      </c>
      <c r="R26" s="33"/>
      <c r="S26" s="33">
        <f t="shared" si="4"/>
        <v>-1.3803126637822234</v>
      </c>
      <c r="T26" s="33"/>
      <c r="U26" s="33">
        <f t="shared" si="5"/>
        <v>-0.532574316943078</v>
      </c>
      <c r="V26" s="33">
        <f t="shared" si="6"/>
        <v>0.37016672892246155</v>
      </c>
      <c r="W26" s="33">
        <f t="shared" si="7"/>
        <v>-0.35178096424088229</v>
      </c>
      <c r="X26" s="33"/>
      <c r="Y26" s="33">
        <f t="shared" si="8"/>
        <v>-7.2845717869705613</v>
      </c>
      <c r="Z26" s="33">
        <f t="shared" si="11"/>
        <v>-8.6648844507527851</v>
      </c>
      <c r="AA26" s="33"/>
      <c r="AB26" s="33">
        <f t="shared" si="9"/>
        <v>2.2443878324878064</v>
      </c>
      <c r="AC26" s="33">
        <f t="shared" si="10"/>
        <v>2.1923028827887228</v>
      </c>
      <c r="AD26" s="33">
        <f>_xlfn.XLOOKUP($C26,SEM!$B:$B,SEM!$D:$D)+_xlfn.XLOOKUP($C26,SEM!$B:$B,SEM!$E:$E)</f>
        <v>55.580324584401524</v>
      </c>
      <c r="AE26" s="33">
        <f>_xlfn.XLOOKUP($C26,SEM!$B:$B,COMBINED!$AE:$AE)*AD26</f>
        <v>8905968.8901061621</v>
      </c>
      <c r="AF26" s="33">
        <f>_xlfn.XLOOKUP($C26,SEM!$B:$B,SEM!C:C)</f>
        <v>33062741</v>
      </c>
      <c r="AG26">
        <f t="shared" si="12"/>
        <v>74205613.609095722</v>
      </c>
      <c r="AH26">
        <f t="shared" si="13"/>
        <v>8.3321213586915146</v>
      </c>
    </row>
    <row r="27" spans="2:34" x14ac:dyDescent="0.35">
      <c r="B27" t="s">
        <v>81</v>
      </c>
      <c r="C27" t="s">
        <v>82</v>
      </c>
      <c r="D27" s="33">
        <f>_xlfn.XLOOKUP($C27,SEM!$B:$B,SEM!$D:$D)*Model_1!$D$3</f>
        <v>6.8234863128107888</v>
      </c>
      <c r="E27" s="33">
        <f>_xlfn.XLOOKUP($C27,SEM!$B:$B,SEM!$E:$E)*Model_1!$E$3</f>
        <v>1.6287359641487336</v>
      </c>
      <c r="F27" s="33"/>
      <c r="G27" s="33"/>
      <c r="H27" s="33">
        <f>Input_1_coef.*_xlfn.XLOOKUP($C27,COMBINED!$B:$B,COMBINED!$AB:$AB)+Input_2_coef.*_xlfn.XLOOKUP($C27,COMBINED!$B:$B,COMBINED!$AC:$AC)</f>
        <v>8.4522222769595228</v>
      </c>
      <c r="I27" s="33">
        <f>_xlfn.XLOOKUP($C27,COMBINED!$B:$B,COMBINED!$N:$N)</f>
        <v>6.7772964921837051</v>
      </c>
      <c r="J27" s="33"/>
      <c r="K27" s="33"/>
      <c r="L27" s="33"/>
      <c r="M27" s="33">
        <f t="shared" si="0"/>
        <v>1.3320702308488208</v>
      </c>
      <c r="N27" s="33"/>
      <c r="O27" s="33">
        <f t="shared" si="1"/>
        <v>0.29595936388999106</v>
      </c>
      <c r="P27" s="33">
        <f t="shared" si="2"/>
        <v>0.15073706732285255</v>
      </c>
      <c r="Q27" s="33">
        <f t="shared" si="3"/>
        <v>0.32132730936627596</v>
      </c>
      <c r="R27" s="33"/>
      <c r="S27" s="33">
        <f t="shared" si="4"/>
        <v>-0.24603869991870059</v>
      </c>
      <c r="T27" s="33"/>
      <c r="U27" s="33">
        <f t="shared" si="5"/>
        <v>-9.4930587821831766E-2</v>
      </c>
      <c r="V27" s="33">
        <f t="shared" si="6"/>
        <v>6.5981674389397449E-2</v>
      </c>
      <c r="W27" s="33">
        <f t="shared" si="7"/>
        <v>-6.270443890648035E-2</v>
      </c>
      <c r="X27" s="33"/>
      <c r="Y27" s="33">
        <f t="shared" si="8"/>
        <v>-1.2984641950756297</v>
      </c>
      <c r="Z27" s="33">
        <f t="shared" si="11"/>
        <v>-1.5445028949943302</v>
      </c>
      <c r="AA27" s="33"/>
      <c r="AB27" s="33">
        <f t="shared" si="9"/>
        <v>0.4000588264585927</v>
      </c>
      <c r="AC27" s="33">
        <f t="shared" si="10"/>
        <v>0.39077476086567181</v>
      </c>
      <c r="AD27" s="33">
        <f>_xlfn.XLOOKUP($C27,SEM!$B:$B,SEM!$D:$D)+_xlfn.XLOOKUP($C27,SEM!$B:$B,SEM!$E:$E)</f>
        <v>9.9199885396969769</v>
      </c>
      <c r="AE27" s="33">
        <f>_xlfn.XLOOKUP($C27,SEM!$B:$B,COMBINED!$AE:$AE)*AD27</f>
        <v>95727.889408075833</v>
      </c>
      <c r="AF27" s="33">
        <f>_xlfn.XLOOKUP($C27,SEM!$B:$B,SEM!C:C)</f>
        <v>14238716</v>
      </c>
      <c r="AG27">
        <f t="shared" si="12"/>
        <v>5696324.0132371876</v>
      </c>
      <c r="AH27">
        <f t="shared" si="13"/>
        <v>59.505375585525364</v>
      </c>
    </row>
    <row r="28" spans="2:34" x14ac:dyDescent="0.35">
      <c r="B28" t="s">
        <v>83</v>
      </c>
      <c r="C28" t="s">
        <v>84</v>
      </c>
      <c r="D28" s="33">
        <f>_xlfn.XLOOKUP($C28,SEM!$B:$B,SEM!$D:$D)*Model_1!$D$3</f>
        <v>12.020475346559879</v>
      </c>
      <c r="E28" s="33">
        <f>_xlfn.XLOOKUP($C28,SEM!$B:$B,SEM!$E:$E)*Model_1!$E$3</f>
        <v>7.4779065709041234E-2</v>
      </c>
      <c r="F28" s="33"/>
      <c r="G28" s="33"/>
      <c r="H28" s="33">
        <f>Input_1_coef.*_xlfn.XLOOKUP($C28,COMBINED!$B:$B,COMBINED!$AB:$AB)+Input_2_coef.*_xlfn.XLOOKUP($C28,COMBINED!$B:$B,COMBINED!$AC:$AC)</f>
        <v>12.09525441226892</v>
      </c>
      <c r="I28" s="33">
        <f>_xlfn.XLOOKUP($C28,COMBINED!$B:$B,COMBINED!$N:$N)</f>
        <v>13.312104685898735</v>
      </c>
      <c r="J28" s="33"/>
      <c r="K28" s="33"/>
      <c r="L28" s="33"/>
      <c r="M28" s="33">
        <f t="shared" si="0"/>
        <v>1.9062120953735822</v>
      </c>
      <c r="N28" s="33"/>
      <c r="O28" s="33">
        <f t="shared" si="1"/>
        <v>0.42352220335010254</v>
      </c>
      <c r="P28" s="33">
        <f t="shared" si="2"/>
        <v>0.21570696071247455</v>
      </c>
      <c r="Q28" s="33">
        <f t="shared" si="3"/>
        <v>0.45982410649439703</v>
      </c>
      <c r="R28" s="33"/>
      <c r="S28" s="33">
        <f t="shared" si="4"/>
        <v>-0.35208499886388211</v>
      </c>
      <c r="T28" s="33"/>
      <c r="U28" s="33">
        <f t="shared" si="5"/>
        <v>-0.13584706762164483</v>
      </c>
      <c r="V28" s="33">
        <f t="shared" si="6"/>
        <v>9.4420746655320437E-2</v>
      </c>
      <c r="W28" s="33">
        <f t="shared" si="7"/>
        <v>-8.9730974470453528E-2</v>
      </c>
      <c r="X28" s="33"/>
      <c r="Y28" s="33">
        <f t="shared" si="8"/>
        <v>-1.8581213638304006</v>
      </c>
      <c r="Z28" s="33">
        <f t="shared" si="11"/>
        <v>-2.2102063626942829</v>
      </c>
      <c r="AA28" s="33"/>
      <c r="AB28" s="33">
        <f t="shared" si="9"/>
        <v>0.57249006561042126</v>
      </c>
      <c r="AC28" s="33">
        <f t="shared" si="10"/>
        <v>0.55920443117642415</v>
      </c>
      <c r="AD28" s="33">
        <f>_xlfn.XLOOKUP($C28,SEM!$B:$B,SEM!$D:$D)+_xlfn.XLOOKUP($C28,SEM!$B:$B,SEM!$E:$E)</f>
        <v>12.778811045779245</v>
      </c>
      <c r="AE28" s="33">
        <f>_xlfn.XLOOKUP($C28,SEM!$B:$B,COMBINED!$AE:$AE)*AD28</f>
        <v>35921.237849685458</v>
      </c>
      <c r="AF28" s="33">
        <f>_xlfn.XLOOKUP($C28,SEM!$B:$B,SEM!C:C)</f>
        <v>2111612</v>
      </c>
      <c r="AG28">
        <f t="shared" si="12"/>
        <v>1208876.8924237529</v>
      </c>
      <c r="AH28">
        <f t="shared" si="13"/>
        <v>33.653542160277709</v>
      </c>
    </row>
    <row r="29" spans="2:34" x14ac:dyDescent="0.35">
      <c r="B29" t="s">
        <v>85</v>
      </c>
      <c r="C29" t="s">
        <v>86</v>
      </c>
      <c r="D29" s="33">
        <f>_xlfn.XLOOKUP($C29,SEM!$B:$B,SEM!$D:$D)*Model_1!$D$3</f>
        <v>22.253294371297471</v>
      </c>
      <c r="E29" s="33">
        <f>_xlfn.XLOOKUP($C29,SEM!$B:$B,SEM!$E:$E)*Model_1!$E$3</f>
        <v>0.50036962979096877</v>
      </c>
      <c r="F29" s="33"/>
      <c r="G29" s="33"/>
      <c r="H29" s="33">
        <f>Input_1_coef.*_xlfn.XLOOKUP($C29,COMBINED!$B:$B,COMBINED!$AB:$AB)+Input_2_coef.*_xlfn.XLOOKUP($C29,COMBINED!$B:$B,COMBINED!$AC:$AC)</f>
        <v>22.753664001088438</v>
      </c>
      <c r="I29" s="33">
        <f>_xlfn.XLOOKUP($C29,COMBINED!$B:$B,COMBINED!$N:$N)</f>
        <v>26.999477365469474</v>
      </c>
      <c r="J29" s="33"/>
      <c r="K29" s="33"/>
      <c r="L29" s="33"/>
      <c r="M29" s="33">
        <f t="shared" si="0"/>
        <v>3.5859774465715377</v>
      </c>
      <c r="N29" s="33"/>
      <c r="O29" s="33">
        <f t="shared" si="1"/>
        <v>0.79673246907926443</v>
      </c>
      <c r="P29" s="33">
        <f t="shared" si="2"/>
        <v>0.40578920785403522</v>
      </c>
      <c r="Q29" s="33">
        <f t="shared" si="3"/>
        <v>0.86502382357177265</v>
      </c>
      <c r="R29" s="33"/>
      <c r="S29" s="33">
        <f t="shared" si="4"/>
        <v>-0.66234437829154924</v>
      </c>
      <c r="T29" s="33"/>
      <c r="U29" s="33">
        <f t="shared" si="5"/>
        <v>-0.2555563055424982</v>
      </c>
      <c r="V29" s="33">
        <f t="shared" si="6"/>
        <v>0.17762486599271451</v>
      </c>
      <c r="W29" s="33">
        <f t="shared" si="7"/>
        <v>-0.16880243887387109</v>
      </c>
      <c r="X29" s="33"/>
      <c r="Y29" s="33">
        <f t="shared" si="8"/>
        <v>-3.4955088785032102</v>
      </c>
      <c r="Z29" s="33">
        <f t="shared" si="11"/>
        <v>-4.157853256794759</v>
      </c>
      <c r="AA29" s="33"/>
      <c r="AB29" s="33">
        <f t="shared" si="9"/>
        <v>1.0769716909507348</v>
      </c>
      <c r="AC29" s="33">
        <f t="shared" si="10"/>
        <v>1.0519786770257178</v>
      </c>
      <c r="AD29" s="33">
        <f>_xlfn.XLOOKUP($C29,SEM!$B:$B,SEM!$D:$D)+_xlfn.XLOOKUP($C29,SEM!$B:$B,SEM!$E:$E)</f>
        <v>24.26547775183267</v>
      </c>
      <c r="AE29" s="33">
        <f>_xlfn.XLOOKUP($C29,SEM!$B:$B,COMBINED!$AE:$AE)*AD29</f>
        <v>3764449.156508313</v>
      </c>
      <c r="AF29" s="33">
        <f>_xlfn.XLOOKUP($C29,SEM!$B:$B,SEM!C:C)</f>
        <v>57458890</v>
      </c>
      <c r="AG29">
        <f t="shared" si="12"/>
        <v>61881597.923452266</v>
      </c>
      <c r="AH29">
        <f t="shared" si="13"/>
        <v>16.438420430374489</v>
      </c>
    </row>
    <row r="30" spans="2:34" x14ac:dyDescent="0.35">
      <c r="B30" t="s">
        <v>87</v>
      </c>
      <c r="C30" t="s">
        <v>88</v>
      </c>
      <c r="D30" s="33">
        <f>_xlfn.XLOOKUP($C30,SEM!$B:$B,SEM!$D:$D)*Model_1!$D$3</f>
        <v>22.350016844325854</v>
      </c>
      <c r="E30" s="33">
        <f>_xlfn.XLOOKUP($C30,SEM!$B:$B,SEM!$E:$E)*Model_1!$E$3</f>
        <v>2.5165227011494253</v>
      </c>
      <c r="F30" s="33"/>
      <c r="G30" s="33"/>
      <c r="H30" s="33">
        <f>Input_1_coef.*_xlfn.XLOOKUP($C30,COMBINED!$B:$B,COMBINED!$AB:$AB)+Input_2_coef.*_xlfn.XLOOKUP($C30,COMBINED!$B:$B,COMBINED!$AC:$AC)</f>
        <v>24.86653954547528</v>
      </c>
      <c r="I30" s="33">
        <f>_xlfn.XLOOKUP($C30,COMBINED!$B:$B,COMBINED!$N:$N)</f>
        <v>25.456121145776319</v>
      </c>
      <c r="J30" s="33"/>
      <c r="K30" s="33"/>
      <c r="L30" s="33"/>
      <c r="M30" s="33">
        <f t="shared" si="0"/>
        <v>3.9189666323669048</v>
      </c>
      <c r="N30" s="33"/>
      <c r="O30" s="33">
        <f t="shared" si="1"/>
        <v>0.87071600637927904</v>
      </c>
      <c r="P30" s="33">
        <f t="shared" si="2"/>
        <v>0.44347026411863899</v>
      </c>
      <c r="Q30" s="33">
        <f t="shared" si="3"/>
        <v>0.94534880692607437</v>
      </c>
      <c r="R30" s="33"/>
      <c r="S30" s="33">
        <f t="shared" si="4"/>
        <v>-0.72384881286469682</v>
      </c>
      <c r="T30" s="33"/>
      <c r="U30" s="33">
        <f t="shared" si="5"/>
        <v>-0.27928693056046316</v>
      </c>
      <c r="V30" s="33">
        <f t="shared" si="6"/>
        <v>0.19411887923880294</v>
      </c>
      <c r="W30" s="33">
        <f t="shared" si="7"/>
        <v>-0.18447721305144518</v>
      </c>
      <c r="X30" s="33"/>
      <c r="Y30" s="33">
        <f t="shared" si="8"/>
        <v>-3.8200972711340939</v>
      </c>
      <c r="Z30" s="33">
        <f t="shared" si="11"/>
        <v>-4.5439460839987911</v>
      </c>
      <c r="AA30" s="33"/>
      <c r="AB30" s="33">
        <f t="shared" si="9"/>
        <v>1.1769778766664905</v>
      </c>
      <c r="AC30" s="33">
        <f t="shared" si="10"/>
        <v>1.1496640440856227</v>
      </c>
      <c r="AD30" s="33">
        <f>_xlfn.XLOOKUP($C30,SEM!$B:$B,SEM!$D:$D)+_xlfn.XLOOKUP($C30,SEM!$B:$B,SEM!$E:$E)</f>
        <v>27.755783438241199</v>
      </c>
      <c r="AE30" s="33">
        <f>_xlfn.XLOOKUP($C30,SEM!$B:$B,COMBINED!$AE:$AE)*AD30</f>
        <v>154905.02736882414</v>
      </c>
      <c r="AF30" s="33">
        <f>_xlfn.XLOOKUP($C30,SEM!$B:$B,SEM!C:C)</f>
        <v>2192400</v>
      </c>
      <c r="AG30">
        <f t="shared" si="12"/>
        <v>2580406.2968036137</v>
      </c>
      <c r="AH30">
        <f t="shared" si="13"/>
        <v>16.657989354081742</v>
      </c>
    </row>
    <row r="31" spans="2:34" x14ac:dyDescent="0.35">
      <c r="B31" t="s">
        <v>89</v>
      </c>
      <c r="C31" t="s">
        <v>90</v>
      </c>
      <c r="D31" s="33">
        <f>_xlfn.XLOOKUP($C31,SEM!$B:$B,SEM!$D:$D)*Model_1!$D$3</f>
        <v>10.559183045142069</v>
      </c>
      <c r="E31" s="33">
        <f>_xlfn.XLOOKUP($C31,SEM!$B:$B,SEM!$E:$E)*Model_1!$E$3</f>
        <v>0.32965221411961693</v>
      </c>
      <c r="F31" s="33"/>
      <c r="G31" s="33"/>
      <c r="H31" s="33">
        <f>Input_1_coef.*_xlfn.XLOOKUP($C31,COMBINED!$B:$B,COMBINED!$AB:$AB)+Input_2_coef.*_xlfn.XLOOKUP($C31,COMBINED!$B:$B,COMBINED!$AC:$AC)</f>
        <v>10.888835259261686</v>
      </c>
      <c r="I31" s="33">
        <f>_xlfn.XLOOKUP($C31,COMBINED!$B:$B,COMBINED!$N:$N)</f>
        <v>12.260063560882079</v>
      </c>
      <c r="J31" s="33"/>
      <c r="K31" s="33"/>
      <c r="L31" s="33"/>
      <c r="M31" s="33">
        <f t="shared" si="0"/>
        <v>1.7160804368596421</v>
      </c>
      <c r="N31" s="33"/>
      <c r="O31" s="33">
        <f t="shared" si="1"/>
        <v>0.38127875146147533</v>
      </c>
      <c r="P31" s="33">
        <f t="shared" si="2"/>
        <v>0.19419166223503712</v>
      </c>
      <c r="Q31" s="33">
        <f t="shared" si="3"/>
        <v>0.41395978730103034</v>
      </c>
      <c r="R31" s="33"/>
      <c r="S31" s="33">
        <f t="shared" si="4"/>
        <v>-0.31696692100972335</v>
      </c>
      <c r="T31" s="33"/>
      <c r="U31" s="33">
        <f t="shared" si="5"/>
        <v>-0.12229724893470761</v>
      </c>
      <c r="V31" s="33">
        <f t="shared" si="6"/>
        <v>8.5002921008703575E-2</v>
      </c>
      <c r="W31" s="33">
        <f t="shared" si="7"/>
        <v>-8.078092162085404E-2</v>
      </c>
      <c r="X31" s="33"/>
      <c r="Y31" s="33">
        <f t="shared" si="8"/>
        <v>-1.6727864278688171</v>
      </c>
      <c r="Z31" s="33">
        <f t="shared" si="11"/>
        <v>-1.9897533488785406</v>
      </c>
      <c r="AA31" s="33"/>
      <c r="AB31" s="33">
        <f t="shared" si="9"/>
        <v>0.5153880852371765</v>
      </c>
      <c r="AC31" s="33">
        <f t="shared" si="10"/>
        <v>0.50342760224644045</v>
      </c>
      <c r="AD31" s="33">
        <f>_xlfn.XLOOKUP($C31,SEM!$B:$B,SEM!$D:$D)+_xlfn.XLOOKUP($C31,SEM!$B:$B,SEM!$E:$E)</f>
        <v>11.668966855856997</v>
      </c>
      <c r="AE31" s="33">
        <f>_xlfn.XLOOKUP($C31,SEM!$B:$B,COMBINED!$AE:$AE)*AD31</f>
        <v>77715.3192600076</v>
      </c>
      <c r="AF31" s="33">
        <f>_xlfn.XLOOKUP($C31,SEM!$B:$B,SEM!C:C)</f>
        <v>5432272</v>
      </c>
      <c r="AG31">
        <f t="shared" si="12"/>
        <v>2799728.2645675275</v>
      </c>
      <c r="AH31">
        <f t="shared" si="13"/>
        <v>36.025436055929205</v>
      </c>
    </row>
    <row r="32" spans="2:34" x14ac:dyDescent="0.35">
      <c r="B32" t="s">
        <v>91</v>
      </c>
      <c r="C32" t="s">
        <v>92</v>
      </c>
      <c r="D32" s="33">
        <f>_xlfn.XLOOKUP($C32,SEM!$B:$B,SEM!$D:$D)*Model_1!$D$3</f>
        <v>5.2687277853810315</v>
      </c>
      <c r="E32" s="33">
        <f>_xlfn.XLOOKUP($C32,SEM!$B:$B,SEM!$E:$E)*Model_1!$E$3</f>
        <v>1.2430699240423113</v>
      </c>
      <c r="F32" s="33"/>
      <c r="G32" s="33"/>
      <c r="H32" s="33">
        <f>Input_1_coef.*_xlfn.XLOOKUP($C32,COMBINED!$B:$B,COMBINED!$AB:$AB)+Input_2_coef.*_xlfn.XLOOKUP($C32,COMBINED!$B:$B,COMBINED!$AC:$AC)</f>
        <v>6.5117977094233428</v>
      </c>
      <c r="I32" s="33">
        <f>_xlfn.XLOOKUP($C32,COMBINED!$B:$B,COMBINED!$N:$N)</f>
        <v>4.9017134155157125</v>
      </c>
      <c r="J32" s="33"/>
      <c r="K32" s="33"/>
      <c r="L32" s="33"/>
      <c r="M32" s="33">
        <f t="shared" si="0"/>
        <v>1.0262593190051188</v>
      </c>
      <c r="N32" s="33"/>
      <c r="O32" s="33">
        <f t="shared" si="1"/>
        <v>0.22801429549655733</v>
      </c>
      <c r="P32" s="33">
        <f t="shared" si="2"/>
        <v>0.11613150453861924</v>
      </c>
      <c r="Q32" s="33">
        <f t="shared" si="3"/>
        <v>0.24755837796769078</v>
      </c>
      <c r="R32" s="33"/>
      <c r="S32" s="33">
        <f t="shared" si="4"/>
        <v>-0.18955420125752145</v>
      </c>
      <c r="T32" s="33"/>
      <c r="U32" s="33">
        <f t="shared" si="5"/>
        <v>-7.3136834796397057E-2</v>
      </c>
      <c r="V32" s="33">
        <f t="shared" si="6"/>
        <v>5.0833887476437072E-2</v>
      </c>
      <c r="W32" s="33">
        <f t="shared" si="7"/>
        <v>-4.8309025515686888E-2</v>
      </c>
      <c r="X32" s="33"/>
      <c r="Y32" s="33">
        <f t="shared" si="8"/>
        <v>-1.0003684113124516</v>
      </c>
      <c r="Z32" s="33">
        <f t="shared" si="11"/>
        <v>-1.1899226125699731</v>
      </c>
      <c r="AA32" s="33"/>
      <c r="AB32" s="33">
        <f t="shared" si="9"/>
        <v>0.30821505450336734</v>
      </c>
      <c r="AC32" s="33">
        <f t="shared" si="10"/>
        <v>0.30106238446214995</v>
      </c>
      <c r="AD32" s="33">
        <f>_xlfn.XLOOKUP($C32,SEM!$B:$B,SEM!$D:$D)+_xlfn.XLOOKUP($C32,SEM!$B:$B,SEM!$E:$E)</f>
        <v>7.6352223974204509</v>
      </c>
      <c r="AE32" s="33">
        <f>_xlfn.XLOOKUP($C32,SEM!$B:$B,COMBINED!$AE:$AE)*AD32</f>
        <v>112062.15912693997</v>
      </c>
      <c r="AF32" s="33">
        <f>_xlfn.XLOOKUP($C32,SEM!$B:$B,SEM!C:C)</f>
        <v>29942591</v>
      </c>
      <c r="AG32">
        <f t="shared" si="12"/>
        <v>9228757.3170370366</v>
      </c>
      <c r="AH32">
        <f t="shared" si="13"/>
        <v>82.353913122297001</v>
      </c>
    </row>
    <row r="33" spans="2:34" x14ac:dyDescent="0.35">
      <c r="B33" t="s">
        <v>93</v>
      </c>
      <c r="C33" t="s">
        <v>94</v>
      </c>
      <c r="D33" s="33">
        <f>_xlfn.XLOOKUP($C33,SEM!$B:$B,SEM!$D:$D)*Model_1!$D$3</f>
        <v>4.7665319688335055</v>
      </c>
      <c r="E33" s="33">
        <f>_xlfn.XLOOKUP($C33,SEM!$B:$B,SEM!$E:$E)*Model_1!$E$3</f>
        <v>0.42334292467487583</v>
      </c>
      <c r="F33" s="33"/>
      <c r="G33" s="33"/>
      <c r="H33" s="33">
        <f>Input_1_coef.*_xlfn.XLOOKUP($C33,COMBINED!$B:$B,COMBINED!$AB:$AB)+Input_2_coef.*_xlfn.XLOOKUP($C33,COMBINED!$B:$B,COMBINED!$AC:$AC)</f>
        <v>5.1898748935083816</v>
      </c>
      <c r="I33" s="33">
        <f>_xlfn.XLOOKUP($C33,COMBINED!$B:$B,COMBINED!$N:$N)</f>
        <v>5.8244444983700179</v>
      </c>
      <c r="J33" s="33"/>
      <c r="K33" s="33"/>
      <c r="L33" s="33"/>
      <c r="M33" s="33">
        <f t="shared" si="0"/>
        <v>0.8179242832169209</v>
      </c>
      <c r="N33" s="33"/>
      <c r="O33" s="33">
        <f t="shared" si="1"/>
        <v>0.1817264172451355</v>
      </c>
      <c r="P33" s="33">
        <f t="shared" si="2"/>
        <v>9.2556311888826778E-2</v>
      </c>
      <c r="Q33" s="33">
        <f t="shared" si="3"/>
        <v>0.19730296729471855</v>
      </c>
      <c r="R33" s="33"/>
      <c r="S33" s="33">
        <f t="shared" si="4"/>
        <v>-0.15107388680729816</v>
      </c>
      <c r="T33" s="33"/>
      <c r="U33" s="33">
        <f t="shared" si="5"/>
        <v>-5.8289744190180695E-2</v>
      </c>
      <c r="V33" s="33">
        <f t="shared" si="6"/>
        <v>4.0514390668433993E-2</v>
      </c>
      <c r="W33" s="33">
        <f t="shared" si="7"/>
        <v>-3.8502086496160777E-2</v>
      </c>
      <c r="X33" s="33"/>
      <c r="Y33" s="33">
        <f t="shared" si="8"/>
        <v>-0.79728934064033152</v>
      </c>
      <c r="Z33" s="33">
        <f t="shared" si="11"/>
        <v>-0.94836322744762969</v>
      </c>
      <c r="AA33" s="33"/>
      <c r="AB33" s="33">
        <f t="shared" si="9"/>
        <v>0.2456460787861294</v>
      </c>
      <c r="AC33" s="33">
        <f t="shared" si="10"/>
        <v>0.23994543138813909</v>
      </c>
      <c r="AD33" s="33">
        <f>_xlfn.XLOOKUP($C33,SEM!$B:$B,SEM!$D:$D)+_xlfn.XLOOKUP($C33,SEM!$B:$B,SEM!$E:$E)</f>
        <v>5.7289027861956088</v>
      </c>
      <c r="AE33" s="33">
        <f>_xlfn.XLOOKUP($C33,SEM!$B:$B,COMBINED!$AE:$AE)*AD33</f>
        <v>69165.043337739582</v>
      </c>
      <c r="AF33" s="33">
        <f>_xlfn.XLOOKUP($C33,SEM!$B:$B,SEM!C:C)</f>
        <v>20728157</v>
      </c>
      <c r="AG33">
        <f t="shared" si="12"/>
        <v>5091790.48751326</v>
      </c>
      <c r="AH33">
        <f t="shared" si="13"/>
        <v>73.617975812572766</v>
      </c>
    </row>
    <row r="34" spans="2:34" x14ac:dyDescent="0.35">
      <c r="B34" t="s">
        <v>95</v>
      </c>
      <c r="C34" t="s">
        <v>96</v>
      </c>
      <c r="D34" s="33">
        <f>_xlfn.XLOOKUP($C34,SEM!$B:$B,SEM!$D:$D)*Model_1!$D$3</f>
        <v>7.7668026387912956</v>
      </c>
      <c r="E34" s="33">
        <f>_xlfn.XLOOKUP($C34,SEM!$B:$B,SEM!$E:$E)*Model_1!$E$3</f>
        <v>0</v>
      </c>
      <c r="F34" s="33"/>
      <c r="G34" s="33"/>
      <c r="H34" s="33">
        <f>Input_1_coef.*_xlfn.XLOOKUP($C34,COMBINED!$B:$B,COMBINED!$AB:$AB)+Input_2_coef.*_xlfn.XLOOKUP($C34,COMBINED!$B:$B,COMBINED!$AC:$AC)</f>
        <v>7.7668026387912956</v>
      </c>
      <c r="I34" s="33">
        <f>_xlfn.XLOOKUP($C34,COMBINED!$B:$B,COMBINED!$N:$N)</f>
        <v>7.8414068897168594</v>
      </c>
      <c r="J34" s="33"/>
      <c r="K34" s="33"/>
      <c r="L34" s="33"/>
      <c r="M34" s="33">
        <f t="shared" si="0"/>
        <v>1.2240480958735083</v>
      </c>
      <c r="N34" s="33"/>
      <c r="O34" s="33">
        <f t="shared" si="1"/>
        <v>0.27195900594117611</v>
      </c>
      <c r="P34" s="33">
        <f t="shared" si="2"/>
        <v>0.13851328252904618</v>
      </c>
      <c r="Q34" s="33">
        <f t="shared" si="3"/>
        <v>0.29526977787899117</v>
      </c>
      <c r="R34" s="33"/>
      <c r="S34" s="33">
        <f t="shared" si="4"/>
        <v>-0.22608657950022046</v>
      </c>
      <c r="T34" s="33"/>
      <c r="U34" s="33">
        <f t="shared" si="5"/>
        <v>-8.7232341488047052E-2</v>
      </c>
      <c r="V34" s="33">
        <f t="shared" si="6"/>
        <v>6.0630994544051124E-2</v>
      </c>
      <c r="W34" s="33">
        <f t="shared" si="7"/>
        <v>-5.7619521305108189E-2</v>
      </c>
      <c r="X34" s="33"/>
      <c r="Y34" s="33">
        <f t="shared" si="8"/>
        <v>-1.1931672885816738</v>
      </c>
      <c r="Z34" s="33">
        <f t="shared" si="11"/>
        <v>-1.4192538680818942</v>
      </c>
      <c r="AA34" s="33"/>
      <c r="AB34" s="33">
        <f t="shared" si="9"/>
        <v>0.36761668673579617</v>
      </c>
      <c r="AC34" s="33">
        <f t="shared" si="10"/>
        <v>0.359085497803109</v>
      </c>
      <c r="AD34" s="33">
        <f>_xlfn.XLOOKUP($C34,SEM!$B:$B,SEM!$D:$D)+_xlfn.XLOOKUP($C34,SEM!$B:$B,SEM!$E:$E)</f>
        <v>8.1755817250434699</v>
      </c>
      <c r="AE34" s="33">
        <f>_xlfn.XLOOKUP($C34,SEM!$B:$B,COMBINED!$AE:$AE)*AD34</f>
        <v>141715.53362190351</v>
      </c>
      <c r="AF34" s="33">
        <f>_xlfn.XLOOKUP($C34,SEM!$B:$B,SEM!C:C)</f>
        <v>22105727</v>
      </c>
      <c r="AG34">
        <f t="shared" si="12"/>
        <v>8126434.1176260309</v>
      </c>
      <c r="AH34">
        <f t="shared" si="13"/>
        <v>57.343284182998069</v>
      </c>
    </row>
    <row r="35" spans="2:34" x14ac:dyDescent="0.35">
      <c r="B35" t="s">
        <v>97</v>
      </c>
      <c r="C35" t="s">
        <v>98</v>
      </c>
      <c r="D35" s="33">
        <f>_xlfn.XLOOKUP($C35,SEM!$B:$B,SEM!$D:$D)*Model_1!$D$3</f>
        <v>16.740826742717488</v>
      </c>
      <c r="E35" s="33">
        <f>_xlfn.XLOOKUP($C35,SEM!$B:$B,SEM!$E:$E)*Model_1!$E$3</f>
        <v>0.28788746912916358</v>
      </c>
      <c r="F35" s="33"/>
      <c r="G35" s="33"/>
      <c r="H35" s="33">
        <f>Input_1_coef.*_xlfn.XLOOKUP($C35,COMBINED!$B:$B,COMBINED!$AB:$AB)+Input_2_coef.*_xlfn.XLOOKUP($C35,COMBINED!$B:$B,COMBINED!$AC:$AC)</f>
        <v>17.028714211846651</v>
      </c>
      <c r="I35" s="33">
        <f>_xlfn.XLOOKUP($C35,COMBINED!$B:$B,COMBINED!$N:$N)</f>
        <v>19.279425028621933</v>
      </c>
      <c r="J35" s="33"/>
      <c r="K35" s="33"/>
      <c r="L35" s="33"/>
      <c r="M35" s="33">
        <f t="shared" si="0"/>
        <v>2.683725359787033</v>
      </c>
      <c r="N35" s="33"/>
      <c r="O35" s="33">
        <f t="shared" si="1"/>
        <v>0.59627010043748307</v>
      </c>
      <c r="P35" s="33">
        <f t="shared" si="2"/>
        <v>0.30369036171350067</v>
      </c>
      <c r="Q35" s="33">
        <f t="shared" si="3"/>
        <v>0.64737896618926727</v>
      </c>
      <c r="R35" s="33"/>
      <c r="S35" s="33">
        <f t="shared" si="4"/>
        <v>-0.49569480885410416</v>
      </c>
      <c r="T35" s="33"/>
      <c r="U35" s="33">
        <f t="shared" si="5"/>
        <v>-0.19125690226903214</v>
      </c>
      <c r="V35" s="33">
        <f t="shared" si="6"/>
        <v>0.13293345105925825</v>
      </c>
      <c r="W35" s="33">
        <f t="shared" si="7"/>
        <v>-0.12633079620532156</v>
      </c>
      <c r="X35" s="33"/>
      <c r="Y35" s="33">
        <f t="shared" si="8"/>
        <v>-2.6160191920807296</v>
      </c>
      <c r="Z35" s="33">
        <f t="shared" si="11"/>
        <v>-3.1117140009348336</v>
      </c>
      <c r="AA35" s="33"/>
      <c r="AB35" s="33">
        <f t="shared" si="9"/>
        <v>0.80599955851382965</v>
      </c>
      <c r="AC35" s="33">
        <f t="shared" si="10"/>
        <v>0.78729492740907836</v>
      </c>
      <c r="AD35" s="33">
        <f>_xlfn.XLOOKUP($C35,SEM!$B:$B,SEM!$D:$D)+_xlfn.XLOOKUP($C35,SEM!$B:$B,SEM!$E:$E)</f>
        <v>18.105767373002408</v>
      </c>
      <c r="AE35" s="33">
        <f>_xlfn.XLOOKUP($C35,SEM!$B:$B,COMBINED!$AE:$AE)*AD35</f>
        <v>175589.73198337734</v>
      </c>
      <c r="AF35" s="33">
        <f>_xlfn.XLOOKUP($C35,SEM!$B:$B,SEM!C:C)</f>
        <v>5030233</v>
      </c>
      <c r="AG35">
        <f t="shared" si="12"/>
        <v>4054365.5772216967</v>
      </c>
      <c r="AH35">
        <f t="shared" si="13"/>
        <v>23.0899924011816</v>
      </c>
    </row>
    <row r="36" spans="2:34" x14ac:dyDescent="0.35">
      <c r="B36" t="s">
        <v>99</v>
      </c>
      <c r="C36" t="s">
        <v>100</v>
      </c>
      <c r="D36" s="33">
        <f>_xlfn.XLOOKUP($C36,SEM!$B:$B,SEM!$D:$D)*Model_1!$D$3</f>
        <v>63.53264194176019</v>
      </c>
      <c r="E36" s="33">
        <f>_xlfn.XLOOKUP($C36,SEM!$B:$B,SEM!$E:$E)*Model_1!$E$3</f>
        <v>5.9088926823589727</v>
      </c>
      <c r="F36" s="33"/>
      <c r="G36" s="33"/>
      <c r="H36" s="33">
        <f>Input_1_coef.*_xlfn.XLOOKUP($C36,COMBINED!$B:$B,COMBINED!$AB:$AB)+Input_2_coef.*_xlfn.XLOOKUP($C36,COMBINED!$B:$B,COMBINED!$AC:$AC)</f>
        <v>69.441534624119157</v>
      </c>
      <c r="I36" s="33">
        <f>_xlfn.XLOOKUP($C36,COMBINED!$B:$B,COMBINED!$N:$N)</f>
        <v>62.994990032587125</v>
      </c>
      <c r="J36" s="33"/>
      <c r="K36" s="33"/>
      <c r="L36" s="33"/>
      <c r="M36" s="33">
        <f t="shared" si="0"/>
        <v>10.943985856761181</v>
      </c>
      <c r="N36" s="33"/>
      <c r="O36" s="33">
        <f t="shared" si="1"/>
        <v>2.4315347776551999</v>
      </c>
      <c r="P36" s="33">
        <f t="shared" si="2"/>
        <v>1.2384214395510953</v>
      </c>
      <c r="Q36" s="33">
        <f t="shared" si="3"/>
        <v>2.6399520443113591</v>
      </c>
      <c r="R36" s="33"/>
      <c r="S36" s="33">
        <f t="shared" si="4"/>
        <v>-2.021397963687217</v>
      </c>
      <c r="T36" s="33"/>
      <c r="U36" s="33">
        <f t="shared" si="5"/>
        <v>-0.77992810471722107</v>
      </c>
      <c r="V36" s="33">
        <f t="shared" si="6"/>
        <v>0.54209042030978316</v>
      </c>
      <c r="W36" s="33">
        <f t="shared" si="7"/>
        <v>-0.5151653994334694</v>
      </c>
      <c r="X36" s="33"/>
      <c r="Y36" s="33">
        <f t="shared" si="8"/>
        <v>-10.66788631509568</v>
      </c>
      <c r="Z36" s="33">
        <f t="shared" si="11"/>
        <v>-12.689284278782898</v>
      </c>
      <c r="AA36" s="33"/>
      <c r="AB36" s="33">
        <f t="shared" si="9"/>
        <v>3.2867922705887787</v>
      </c>
      <c r="AC36" s="33">
        <f t="shared" si="10"/>
        <v>3.2105165005962122</v>
      </c>
      <c r="AD36" s="33">
        <f>_xlfn.XLOOKUP($C36,SEM!$B:$B,SEM!$D:$D)+_xlfn.XLOOKUP($C36,SEM!$B:$B,SEM!$E:$E)</f>
        <v>76.807377273044395</v>
      </c>
      <c r="AE36" s="33">
        <f>_xlfn.XLOOKUP($C36,SEM!$B:$B,COMBINED!$AE:$AE)*AD36</f>
        <v>617224.08376618475</v>
      </c>
      <c r="AF36" s="33">
        <f>_xlfn.XLOOKUP($C36,SEM!$B:$B,SEM!C:C)</f>
        <v>1275657</v>
      </c>
      <c r="AG36">
        <f t="shared" si="12"/>
        <v>4192819.5675224694</v>
      </c>
      <c r="AH36">
        <f t="shared" si="13"/>
        <v>6.7930265162996823</v>
      </c>
    </row>
    <row r="37" spans="2:34" x14ac:dyDescent="0.35">
      <c r="B37" t="s">
        <v>101</v>
      </c>
      <c r="C37" t="s">
        <v>102</v>
      </c>
      <c r="D37" s="33">
        <f>_xlfn.XLOOKUP($C37,SEM!$B:$B,SEM!$D:$D)*Model_1!$D$3</f>
        <v>10.320733515040425</v>
      </c>
      <c r="E37" s="33">
        <f>_xlfn.XLOOKUP($C37,SEM!$B:$B,SEM!$E:$E)*Model_1!$E$3</f>
        <v>0.62134667910021069</v>
      </c>
      <c r="F37" s="33"/>
      <c r="G37" s="33"/>
      <c r="H37" s="33">
        <f>Input_1_coef.*_xlfn.XLOOKUP($C37,COMBINED!$B:$B,COMBINED!$AB:$AB)+Input_2_coef.*_xlfn.XLOOKUP($C37,COMBINED!$B:$B,COMBINED!$AC:$AC)</f>
        <v>10.942080194140637</v>
      </c>
      <c r="I37" s="33">
        <f>_xlfn.XLOOKUP($C37,COMBINED!$B:$B,COMBINED!$N:$N)</f>
        <v>11.621630229660148</v>
      </c>
      <c r="J37" s="33"/>
      <c r="K37" s="33"/>
      <c r="L37" s="33"/>
      <c r="M37" s="33">
        <f t="shared" si="0"/>
        <v>1.7244718385965645</v>
      </c>
      <c r="N37" s="33"/>
      <c r="O37" s="33">
        <f t="shared" si="1"/>
        <v>0.38314315309938474</v>
      </c>
      <c r="P37" s="33">
        <f t="shared" si="2"/>
        <v>0.19514123325558724</v>
      </c>
      <c r="Q37" s="33">
        <f t="shared" si="3"/>
        <v>0.4159839947936177</v>
      </c>
      <c r="R37" s="33"/>
      <c r="S37" s="33">
        <f t="shared" si="4"/>
        <v>-0.31851684647613981</v>
      </c>
      <c r="T37" s="33"/>
      <c r="U37" s="33">
        <f t="shared" si="5"/>
        <v>-0.1228952659769679</v>
      </c>
      <c r="V37" s="33">
        <f t="shared" si="6"/>
        <v>8.5418573820585264E-2</v>
      </c>
      <c r="W37" s="33">
        <f t="shared" si="7"/>
        <v>-8.1175929425523083E-2</v>
      </c>
      <c r="X37" s="33"/>
      <c r="Y37" s="33">
        <f t="shared" si="8"/>
        <v>-1.680966127744661</v>
      </c>
      <c r="Z37" s="33">
        <f t="shared" si="11"/>
        <v>-1.9994829742208009</v>
      </c>
      <c r="AA37" s="33"/>
      <c r="AB37" s="33">
        <f t="shared" si="9"/>
        <v>0.51790826341807972</v>
      </c>
      <c r="AC37" s="33">
        <f t="shared" si="10"/>
        <v>0.50588929527968551</v>
      </c>
      <c r="AD37" s="33">
        <f>_xlfn.XLOOKUP($C37,SEM!$B:$B,SEM!$D:$D)+_xlfn.XLOOKUP($C37,SEM!$B:$B,SEM!$E:$E)</f>
        <v>11.908210148773557</v>
      </c>
      <c r="AE37" s="33">
        <f>_xlfn.XLOOKUP($C37,SEM!$B:$B,COMBINED!$AE:$AE)*AD37</f>
        <v>471017.34422458929</v>
      </c>
      <c r="AF37" s="33">
        <f>_xlfn.XLOOKUP($C37,SEM!$B:$B,SEM!C:C)</f>
        <v>34034812</v>
      </c>
      <c r="AG37">
        <f t="shared" si="12"/>
        <v>17626910.378680822</v>
      </c>
      <c r="AH37">
        <f t="shared" si="13"/>
        <v>37.423060094950564</v>
      </c>
    </row>
    <row r="38" spans="2:34" x14ac:dyDescent="0.35">
      <c r="B38" t="s">
        <v>103</v>
      </c>
      <c r="C38" t="s">
        <v>104</v>
      </c>
      <c r="D38" s="33">
        <f>_xlfn.XLOOKUP($C38,SEM!$B:$B,SEM!$D:$D)*Model_1!$D$3</f>
        <v>59.029534748406725</v>
      </c>
      <c r="E38" s="33">
        <f>_xlfn.XLOOKUP($C38,SEM!$B:$B,SEM!$E:$E)*Model_1!$E$3</f>
        <v>4.4579120243372774</v>
      </c>
      <c r="F38" s="33"/>
      <c r="G38" s="33"/>
      <c r="H38" s="33">
        <f>Input_1_coef.*_xlfn.XLOOKUP($C38,COMBINED!$B:$B,COMBINED!$AB:$AB)+Input_2_coef.*_xlfn.XLOOKUP($C38,COMBINED!$B:$B,COMBINED!$AC:$AC)</f>
        <v>63.487446772744001</v>
      </c>
      <c r="I38" s="33">
        <f>_xlfn.XLOOKUP($C38,COMBINED!$B:$B,COMBINED!$N:$N)</f>
        <v>71.639699652713645</v>
      </c>
      <c r="J38" s="33"/>
      <c r="K38" s="33"/>
      <c r="L38" s="33"/>
      <c r="M38" s="33">
        <f t="shared" si="0"/>
        <v>10.005621611384456</v>
      </c>
      <c r="N38" s="33"/>
      <c r="O38" s="33">
        <f t="shared" si="1"/>
        <v>2.2230490096173989</v>
      </c>
      <c r="P38" s="33">
        <f t="shared" si="2"/>
        <v>1.132236141544265</v>
      </c>
      <c r="Q38" s="33">
        <f t="shared" si="3"/>
        <v>2.4135960675846042</v>
      </c>
      <c r="R38" s="33"/>
      <c r="S38" s="33">
        <f t="shared" si="4"/>
        <v>-1.8480783341091542</v>
      </c>
      <c r="T38" s="33"/>
      <c r="U38" s="33">
        <f t="shared" si="5"/>
        <v>-0.71305515211933967</v>
      </c>
      <c r="V38" s="33">
        <f t="shared" si="6"/>
        <v>0.49561025532805653</v>
      </c>
      <c r="W38" s="33">
        <f t="shared" si="7"/>
        <v>-0.47099385191772258</v>
      </c>
      <c r="X38" s="33"/>
      <c r="Y38" s="33">
        <f t="shared" si="8"/>
        <v>-9.753195523016025</v>
      </c>
      <c r="Z38" s="33">
        <f t="shared" si="11"/>
        <v>-11.601273857125179</v>
      </c>
      <c r="AA38" s="33"/>
      <c r="AB38" s="33">
        <f t="shared" si="9"/>
        <v>3.0049746230636156</v>
      </c>
      <c r="AC38" s="33">
        <f t="shared" si="10"/>
        <v>2.9352389250600299</v>
      </c>
      <c r="AD38" s="33">
        <f>_xlfn.XLOOKUP($C38,SEM!$B:$B,SEM!$D:$D)+_xlfn.XLOOKUP($C38,SEM!$B:$B,SEM!$E:$E)</f>
        <v>69.628641483277164</v>
      </c>
      <c r="AE38" s="33">
        <f>_xlfn.XLOOKUP($C38,SEM!$B:$B,COMBINED!$AE:$AE)*AD38</f>
        <v>1337078.8024033713</v>
      </c>
      <c r="AF38" s="33">
        <f>_xlfn.XLOOKUP($C38,SEM!$B:$B,SEM!C:C)</f>
        <v>2680497</v>
      </c>
      <c r="AG38">
        <f t="shared" si="12"/>
        <v>8054825.4621981522</v>
      </c>
      <c r="AH38">
        <f t="shared" si="13"/>
        <v>6.0241965153585344</v>
      </c>
    </row>
    <row r="39" spans="2:34" x14ac:dyDescent="0.35">
      <c r="B39" t="s">
        <v>105</v>
      </c>
      <c r="C39" t="s">
        <v>106</v>
      </c>
      <c r="D39" s="33">
        <f>_xlfn.XLOOKUP($C39,SEM!$B:$B,SEM!$D:$D)*Model_1!$D$3</f>
        <v>3.8897059785200971</v>
      </c>
      <c r="E39" s="33">
        <f>_xlfn.XLOOKUP($C39,SEM!$B:$B,SEM!$E:$E)*Model_1!$E$3</f>
        <v>0.32338203824470568</v>
      </c>
      <c r="F39" s="33"/>
      <c r="G39" s="33"/>
      <c r="H39" s="33">
        <f>Input_1_coef.*_xlfn.XLOOKUP($C39,COMBINED!$B:$B,COMBINED!$AB:$AB)+Input_2_coef.*_xlfn.XLOOKUP($C39,COMBINED!$B:$B,COMBINED!$AC:$AC)</f>
        <v>4.2130880167648028</v>
      </c>
      <c r="I39" s="33">
        <f>_xlfn.XLOOKUP($C39,COMBINED!$B:$B,COMBINED!$N:$N)</f>
        <v>4.8617779424766576</v>
      </c>
      <c r="J39" s="33"/>
      <c r="K39" s="33"/>
      <c r="L39" s="33"/>
      <c r="M39" s="33">
        <f t="shared" si="0"/>
        <v>0.66398267144213319</v>
      </c>
      <c r="N39" s="33"/>
      <c r="O39" s="33">
        <f t="shared" si="1"/>
        <v>0.14752366994101318</v>
      </c>
      <c r="P39" s="33">
        <f t="shared" si="2"/>
        <v>7.5136279100391792E-2</v>
      </c>
      <c r="Q39" s="33">
        <f t="shared" si="3"/>
        <v>0.16016855593595714</v>
      </c>
      <c r="R39" s="33"/>
      <c r="S39" s="33">
        <f t="shared" si="4"/>
        <v>-0.12264025534604776</v>
      </c>
      <c r="T39" s="33"/>
      <c r="U39" s="33">
        <f t="shared" si="5"/>
        <v>-4.7319025561697689E-2</v>
      </c>
      <c r="V39" s="33">
        <f t="shared" si="6"/>
        <v>3.2889173117681705E-2</v>
      </c>
      <c r="W39" s="33">
        <f t="shared" si="7"/>
        <v>-3.1255604916472349E-2</v>
      </c>
      <c r="X39" s="33"/>
      <c r="Y39" s="33">
        <f t="shared" si="8"/>
        <v>-0.64723143348747603</v>
      </c>
      <c r="Z39" s="33">
        <f t="shared" si="11"/>
        <v>-0.76987168883352375</v>
      </c>
      <c r="AA39" s="33"/>
      <c r="AB39" s="33">
        <f t="shared" si="9"/>
        <v>0.19941300554154354</v>
      </c>
      <c r="AC39" s="33">
        <f t="shared" si="10"/>
        <v>0.19478527756484107</v>
      </c>
      <c r="AD39" s="33">
        <f>_xlfn.XLOOKUP($C39,SEM!$B:$B,SEM!$D:$D)+_xlfn.XLOOKUP($C39,SEM!$B:$B,SEM!$E:$E)</f>
        <v>4.6379265697513103</v>
      </c>
      <c r="AE39" s="33">
        <f>_xlfn.XLOOKUP($C39,SEM!$B:$B,COMBINED!$AE:$AE)*AD39</f>
        <v>61030.475731357496</v>
      </c>
      <c r="AF39" s="33">
        <f>_xlfn.XLOOKUP($C39,SEM!$B:$B,SEM!C:C)</f>
        <v>27066230</v>
      </c>
      <c r="AG39">
        <f t="shared" si="12"/>
        <v>5397358.2729786923</v>
      </c>
      <c r="AH39">
        <f t="shared" si="13"/>
        <v>88.437099798085413</v>
      </c>
    </row>
    <row r="40" spans="2:34" x14ac:dyDescent="0.35">
      <c r="B40" t="s">
        <v>107</v>
      </c>
      <c r="C40" t="s">
        <v>108</v>
      </c>
      <c r="D40" s="33">
        <f>_xlfn.XLOOKUP($C40,SEM!$B:$B,SEM!$D:$D)*Model_1!$D$3</f>
        <v>22.481242798434984</v>
      </c>
      <c r="E40" s="33">
        <f>_xlfn.XLOOKUP($C40,SEM!$B:$B,SEM!$E:$E)*Model_1!$E$3</f>
        <v>1.0598784204666976</v>
      </c>
      <c r="F40" s="33"/>
      <c r="G40" s="33"/>
      <c r="H40" s="33">
        <f>Input_1_coef.*_xlfn.XLOOKUP($C40,COMBINED!$B:$B,COMBINED!$AB:$AB)+Input_2_coef.*_xlfn.XLOOKUP($C40,COMBINED!$B:$B,COMBINED!$AC:$AC)</f>
        <v>23.541121218901683</v>
      </c>
      <c r="I40" s="33">
        <f>_xlfn.XLOOKUP($C40,COMBINED!$B:$B,COMBINED!$N:$N)</f>
        <v>24.888560029957361</v>
      </c>
      <c r="J40" s="33"/>
      <c r="K40" s="33"/>
      <c r="L40" s="33"/>
      <c r="M40" s="33">
        <f t="shared" si="0"/>
        <v>3.7100807040989059</v>
      </c>
      <c r="N40" s="33"/>
      <c r="O40" s="33">
        <f t="shared" si="1"/>
        <v>0.82430573083669501</v>
      </c>
      <c r="P40" s="33">
        <f t="shared" si="2"/>
        <v>0.41983273247583225</v>
      </c>
      <c r="Q40" s="33">
        <f t="shared" si="3"/>
        <v>0.89496050776555458</v>
      </c>
      <c r="R40" s="33"/>
      <c r="S40" s="33">
        <f t="shared" si="4"/>
        <v>-0.68526674636988427</v>
      </c>
      <c r="T40" s="33"/>
      <c r="U40" s="33">
        <f t="shared" si="5"/>
        <v>-0.26440058035237068</v>
      </c>
      <c r="V40" s="33">
        <f t="shared" si="6"/>
        <v>0.1837720949744901</v>
      </c>
      <c r="W40" s="33">
        <f t="shared" si="7"/>
        <v>-0.1746443419128432</v>
      </c>
      <c r="X40" s="33"/>
      <c r="Y40" s="33">
        <f t="shared" si="8"/>
        <v>-3.6164812061325522</v>
      </c>
      <c r="Z40" s="33">
        <f t="shared" si="11"/>
        <v>-4.3017479525024367</v>
      </c>
      <c r="AA40" s="33"/>
      <c r="AB40" s="33">
        <f t="shared" si="9"/>
        <v>1.1142434521659452</v>
      </c>
      <c r="AC40" s="33">
        <f t="shared" si="10"/>
        <v>1.0883854817570309</v>
      </c>
      <c r="AD40" s="33">
        <f>_xlfn.XLOOKUP($C40,SEM!$B:$B,SEM!$D:$D)+_xlfn.XLOOKUP($C40,SEM!$B:$B,SEM!$E:$E)</f>
        <v>25.445774373307703</v>
      </c>
      <c r="AE40" s="33">
        <f>_xlfn.XLOOKUP($C40,SEM!$B:$B,COMBINED!$AE:$AE)*AD40</f>
        <v>14071004.312951693</v>
      </c>
      <c r="AF40" s="33">
        <f>_xlfn.XLOOKUP($C40,SEM!$B:$B,SEM!C:C)</f>
        <v>222182400</v>
      </c>
      <c r="AG40">
        <f t="shared" si="12"/>
        <v>247565284.3865149</v>
      </c>
      <c r="AH40">
        <f t="shared" si="13"/>
        <v>17.594002452166315</v>
      </c>
    </row>
    <row r="41" spans="2:34" x14ac:dyDescent="0.35">
      <c r="B41" t="s">
        <v>109</v>
      </c>
      <c r="C41" t="s">
        <v>110</v>
      </c>
      <c r="D41" s="33">
        <f>_xlfn.XLOOKUP($C41,SEM!$B:$B,SEM!$D:$D)*Model_1!$D$3</f>
        <v>10.833575634863104</v>
      </c>
      <c r="E41" s="33">
        <f>_xlfn.XLOOKUP($C41,SEM!$B:$B,SEM!$E:$E)*Model_1!$E$3</f>
        <v>0.41191155778111349</v>
      </c>
      <c r="F41" s="33"/>
      <c r="G41" s="33"/>
      <c r="H41" s="33">
        <f>Input_1_coef.*_xlfn.XLOOKUP($C41,COMBINED!$B:$B,COMBINED!$AB:$AB)+Input_2_coef.*_xlfn.XLOOKUP($C41,COMBINED!$B:$B,COMBINED!$AC:$AC)</f>
        <v>11.245487192644218</v>
      </c>
      <c r="I41" s="33">
        <f>_xlfn.XLOOKUP($C41,COMBINED!$B:$B,COMBINED!$N:$N)</f>
        <v>13.318972073535434</v>
      </c>
      <c r="J41" s="33"/>
      <c r="K41" s="33"/>
      <c r="L41" s="33"/>
      <c r="M41" s="33">
        <f t="shared" si="0"/>
        <v>1.7722887815607289</v>
      </c>
      <c r="N41" s="33"/>
      <c r="O41" s="33">
        <f t="shared" si="1"/>
        <v>0.39376712148716281</v>
      </c>
      <c r="P41" s="33">
        <f t="shared" si="2"/>
        <v>0.2005521985214121</v>
      </c>
      <c r="Q41" s="33">
        <f t="shared" si="3"/>
        <v>0.42751858904320528</v>
      </c>
      <c r="R41" s="33"/>
      <c r="S41" s="33">
        <f t="shared" si="4"/>
        <v>-0.32734882710939289</v>
      </c>
      <c r="T41" s="33"/>
      <c r="U41" s="33">
        <f t="shared" si="5"/>
        <v>-0.12630296205657973</v>
      </c>
      <c r="V41" s="33">
        <f t="shared" si="6"/>
        <v>8.778709905888854E-2</v>
      </c>
      <c r="W41" s="33">
        <f t="shared" si="7"/>
        <v>-8.3426812681791432E-2</v>
      </c>
      <c r="X41" s="33"/>
      <c r="Y41" s="33">
        <f t="shared" si="8"/>
        <v>-1.7275767244827751</v>
      </c>
      <c r="Z41" s="33">
        <f t="shared" si="11"/>
        <v>-2.0549255515921678</v>
      </c>
      <c r="AA41" s="33"/>
      <c r="AB41" s="33">
        <f t="shared" si="9"/>
        <v>0.53226906035210564</v>
      </c>
      <c r="AC41" s="33">
        <f t="shared" si="10"/>
        <v>0.51991682477431422</v>
      </c>
      <c r="AD41" s="33">
        <f>_xlfn.XLOOKUP($C41,SEM!$B:$B,SEM!$D:$D)+_xlfn.XLOOKUP($C41,SEM!$B:$B,SEM!$E:$E)</f>
        <v>12.096052158576923</v>
      </c>
      <c r="AE41" s="33">
        <f>_xlfn.XLOOKUP($C41,SEM!$B:$B,COMBINED!$AE:$AE)*AD41</f>
        <v>224333.38333296761</v>
      </c>
      <c r="AF41" s="33">
        <f>_xlfn.XLOOKUP($C41,SEM!$B:$B,SEM!C:C)</f>
        <v>13924498</v>
      </c>
      <c r="AG41">
        <f t="shared" si="12"/>
        <v>7411579.4663347742</v>
      </c>
      <c r="AH41">
        <f t="shared" si="13"/>
        <v>33.03823691427197</v>
      </c>
    </row>
    <row r="42" spans="2:34" x14ac:dyDescent="0.35">
      <c r="B42" t="s">
        <v>111</v>
      </c>
      <c r="C42" t="s">
        <v>112</v>
      </c>
      <c r="D42" s="33">
        <f>_xlfn.XLOOKUP($C42,SEM!$B:$B,SEM!$D:$D)*Model_1!$D$3</f>
        <v>29.345646634242584</v>
      </c>
      <c r="E42" s="33">
        <f>_xlfn.XLOOKUP($C42,SEM!$B:$B,SEM!$E:$E)*Model_1!$E$3</f>
        <v>0</v>
      </c>
      <c r="F42" s="33"/>
      <c r="G42" s="33"/>
      <c r="H42" s="33">
        <f>Input_1_coef.*_xlfn.XLOOKUP($C42,COMBINED!$B:$B,COMBINED!$AB:$AB)+Input_2_coef.*_xlfn.XLOOKUP($C42,COMBINED!$B:$B,COMBINED!$AC:$AC)</f>
        <v>29.345646634242584</v>
      </c>
      <c r="I42" s="33">
        <f>_xlfn.XLOOKUP($C42,COMBINED!$B:$B,COMBINED!$N:$N)</f>
        <v>33.773887271035449</v>
      </c>
      <c r="J42" s="33"/>
      <c r="K42" s="33"/>
      <c r="L42" s="33"/>
      <c r="M42" s="33">
        <f t="shared" si="0"/>
        <v>4.6248739095566309</v>
      </c>
      <c r="N42" s="33"/>
      <c r="O42" s="33">
        <f t="shared" si="1"/>
        <v>1.0275544852252925</v>
      </c>
      <c r="P42" s="33">
        <f t="shared" si="2"/>
        <v>0.52335073160542833</v>
      </c>
      <c r="Q42" s="33">
        <f t="shared" si="3"/>
        <v>1.1156305839588889</v>
      </c>
      <c r="R42" s="33"/>
      <c r="S42" s="33">
        <f t="shared" si="4"/>
        <v>-0.8542327105907479</v>
      </c>
      <c r="T42" s="33"/>
      <c r="U42" s="33">
        <f t="shared" si="5"/>
        <v>-0.32959373212349186</v>
      </c>
      <c r="V42" s="33">
        <f t="shared" si="6"/>
        <v>0.22908471139538442</v>
      </c>
      <c r="W42" s="33">
        <f t="shared" si="7"/>
        <v>-0.21770633169031564</v>
      </c>
      <c r="X42" s="33"/>
      <c r="Y42" s="33">
        <f t="shared" si="8"/>
        <v>-4.5081956185388821</v>
      </c>
      <c r="Z42" s="33">
        <f t="shared" si="11"/>
        <v>-5.3624283291296297</v>
      </c>
      <c r="AA42" s="33"/>
      <c r="AB42" s="33">
        <f t="shared" si="9"/>
        <v>1.3889820415828922</v>
      </c>
      <c r="AC42" s="33">
        <f t="shared" si="10"/>
        <v>1.3567482811242175</v>
      </c>
      <c r="AD42" s="33">
        <f>_xlfn.XLOOKUP($C42,SEM!$B:$B,SEM!$D:$D)+_xlfn.XLOOKUP($C42,SEM!$B:$B,SEM!$E:$E)</f>
        <v>30.890154351834301</v>
      </c>
      <c r="AE42" s="33">
        <f>_xlfn.XLOOKUP($C42,SEM!$B:$B,COMBINED!$AE:$AE)*AD42</f>
        <v>24217.881011838093</v>
      </c>
      <c r="AF42" s="33">
        <f>_xlfn.XLOOKUP($C42,SEM!$B:$B,SEM!C:C)</f>
        <v>232132</v>
      </c>
      <c r="AG42">
        <f t="shared" si="12"/>
        <v>322427.17927671992</v>
      </c>
      <c r="AH42">
        <f t="shared" si="13"/>
        <v>13.313599943740424</v>
      </c>
    </row>
    <row r="43" spans="2:34" x14ac:dyDescent="0.35">
      <c r="B43" t="s">
        <v>113</v>
      </c>
      <c r="C43" t="s">
        <v>114</v>
      </c>
      <c r="D43" s="33">
        <f>_xlfn.XLOOKUP($C43,SEM!$B:$B,SEM!$D:$D)*Model_1!$D$3</f>
        <v>5.4460846921479318</v>
      </c>
      <c r="E43" s="33">
        <f>_xlfn.XLOOKUP($C43,SEM!$B:$B,SEM!$E:$E)*Model_1!$E$3</f>
        <v>0.86876125339924437</v>
      </c>
      <c r="F43" s="33"/>
      <c r="G43" s="33"/>
      <c r="H43" s="33">
        <f>Input_1_coef.*_xlfn.XLOOKUP($C43,COMBINED!$B:$B,COMBINED!$AB:$AB)+Input_2_coef.*_xlfn.XLOOKUP($C43,COMBINED!$B:$B,COMBINED!$AC:$AC)</f>
        <v>6.3148459455471766</v>
      </c>
      <c r="I43" s="33">
        <f>_xlfn.XLOOKUP($C43,COMBINED!$B:$B,COMBINED!$N:$N)</f>
        <v>5.7764937935672656</v>
      </c>
      <c r="J43" s="33"/>
      <c r="K43" s="33"/>
      <c r="L43" s="33"/>
      <c r="M43" s="33">
        <f t="shared" si="0"/>
        <v>0.99521972101823519</v>
      </c>
      <c r="N43" s="33"/>
      <c r="O43" s="33">
        <f t="shared" si="1"/>
        <v>0.22111791761583152</v>
      </c>
      <c r="P43" s="33">
        <f t="shared" si="2"/>
        <v>0.1126190636304235</v>
      </c>
      <c r="Q43" s="33">
        <f t="shared" si="3"/>
        <v>0.2400708819829028</v>
      </c>
      <c r="R43" s="33"/>
      <c r="S43" s="33">
        <f t="shared" si="4"/>
        <v>-0.18382106335095211</v>
      </c>
      <c r="T43" s="33"/>
      <c r="U43" s="33">
        <f t="shared" si="5"/>
        <v>-7.0924783799077948E-2</v>
      </c>
      <c r="V43" s="33">
        <f t="shared" si="6"/>
        <v>4.9296397485204931E-2</v>
      </c>
      <c r="W43" s="33">
        <f t="shared" si="7"/>
        <v>-4.6847900921370249E-2</v>
      </c>
      <c r="X43" s="33"/>
      <c r="Y43" s="33">
        <f t="shared" si="8"/>
        <v>-0.9701118935387395</v>
      </c>
      <c r="Z43" s="33">
        <f t="shared" si="11"/>
        <v>-1.1539329568896917</v>
      </c>
      <c r="AA43" s="33"/>
      <c r="AB43" s="33">
        <f t="shared" si="9"/>
        <v>0.29889297458835684</v>
      </c>
      <c r="AC43" s="33">
        <f t="shared" si="10"/>
        <v>0.29195663973504055</v>
      </c>
      <c r="AD43" s="33">
        <f>_xlfn.XLOOKUP($C43,SEM!$B:$B,SEM!$D:$D)+_xlfn.XLOOKUP($C43,SEM!$B:$B,SEM!$E:$E)</f>
        <v>7.1928236754662578</v>
      </c>
      <c r="AE43" s="33">
        <f>_xlfn.XLOOKUP($C43,SEM!$B:$B,COMBINED!$AE:$AE)*AD43</f>
        <v>75272.899763754394</v>
      </c>
      <c r="AF43" s="33">
        <f>_xlfn.XLOOKUP($C43,SEM!$B:$B,SEM!C:C)</f>
        <v>18116526</v>
      </c>
      <c r="AG43">
        <f t="shared" si="12"/>
        <v>5414902.3453473058</v>
      </c>
      <c r="AH43">
        <f t="shared" si="13"/>
        <v>71.936943605761073</v>
      </c>
    </row>
    <row r="44" spans="2:34" x14ac:dyDescent="0.35">
      <c r="B44" t="s">
        <v>115</v>
      </c>
      <c r="C44" t="s">
        <v>116</v>
      </c>
      <c r="D44" s="33">
        <f>_xlfn.XLOOKUP($C44,SEM!$B:$B,SEM!$D:$D)*Model_1!$D$3</f>
        <v>219.18214872087441</v>
      </c>
      <c r="E44" s="33">
        <f>_xlfn.XLOOKUP($C44,SEM!$B:$B,SEM!$E:$E)*Model_1!$E$3</f>
        <v>6.357457562655136</v>
      </c>
      <c r="F44" s="33"/>
      <c r="G44" s="33"/>
      <c r="H44" s="33">
        <f>Input_1_coef.*_xlfn.XLOOKUP($C44,COMBINED!$B:$B,COMBINED!$AB:$AB)+Input_2_coef.*_xlfn.XLOOKUP($C44,COMBINED!$B:$B,COMBINED!$AC:$AC)</f>
        <v>225.53960628352954</v>
      </c>
      <c r="I44" s="33">
        <f>_xlfn.XLOOKUP($C44,COMBINED!$B:$B,COMBINED!$N:$N)</f>
        <v>189.56681880054444</v>
      </c>
      <c r="J44" s="33"/>
      <c r="K44" s="33"/>
      <c r="L44" s="33"/>
      <c r="M44" s="33">
        <f t="shared" si="0"/>
        <v>35.545041950284258</v>
      </c>
      <c r="N44" s="33"/>
      <c r="O44" s="33">
        <f t="shared" si="1"/>
        <v>7.8973974205141575</v>
      </c>
      <c r="P44" s="33">
        <f t="shared" si="2"/>
        <v>4.0222769470941664</v>
      </c>
      <c r="Q44" s="33">
        <f t="shared" si="3"/>
        <v>8.5743171994153702</v>
      </c>
      <c r="R44" s="33"/>
      <c r="S44" s="33">
        <f t="shared" si="4"/>
        <v>-6.5653114283853036</v>
      </c>
      <c r="T44" s="33"/>
      <c r="U44" s="33">
        <f t="shared" si="5"/>
        <v>-2.5331335002824718</v>
      </c>
      <c r="V44" s="33">
        <f t="shared" si="6"/>
        <v>1.7606589576186571</v>
      </c>
      <c r="W44" s="33">
        <f t="shared" si="7"/>
        <v>-1.6732090093925649</v>
      </c>
      <c r="X44" s="33"/>
      <c r="Y44" s="33">
        <f t="shared" si="8"/>
        <v>-34.648296475700938</v>
      </c>
      <c r="Z44" s="33">
        <f t="shared" si="11"/>
        <v>-41.213607904086246</v>
      </c>
      <c r="AA44" s="33"/>
      <c r="AB44" s="33">
        <f t="shared" si="9"/>
        <v>10.675193724576252</v>
      </c>
      <c r="AC44" s="33">
        <f t="shared" si="10"/>
        <v>10.427457161347688</v>
      </c>
      <c r="AD44" s="33">
        <f>_xlfn.XLOOKUP($C44,SEM!$B:$B,SEM!$D:$D)+_xlfn.XLOOKUP($C44,SEM!$B:$B,SEM!$E:$E)</f>
        <v>241.40285391144212</v>
      </c>
      <c r="AE44" s="33">
        <f>_xlfn.XLOOKUP($C44,SEM!$B:$B,COMBINED!$AE:$AE)*AD44</f>
        <v>457217.00530827139</v>
      </c>
      <c r="AF44" s="33">
        <f>_xlfn.XLOOKUP($C44,SEM!$B:$B,SEM!C:C)</f>
        <v>99912</v>
      </c>
      <c r="AG44">
        <f t="shared" si="12"/>
        <v>1066579.9554098623</v>
      </c>
      <c r="AH44">
        <f t="shared" si="13"/>
        <v>2.3327652800025178</v>
      </c>
    </row>
    <row r="45" spans="2:34" x14ac:dyDescent="0.35">
      <c r="B45" t="s">
        <v>117</v>
      </c>
      <c r="C45" t="s">
        <v>118</v>
      </c>
      <c r="D45" s="33">
        <f>_xlfn.XLOOKUP($C45,SEM!$B:$B,SEM!$D:$D)*Model_1!$D$3</f>
        <v>10.815036800188663</v>
      </c>
      <c r="E45" s="33">
        <f>_xlfn.XLOOKUP($C45,SEM!$B:$B,SEM!$E:$E)*Model_1!$E$3</f>
        <v>3.1316873134784635</v>
      </c>
      <c r="F45" s="33"/>
      <c r="G45" s="33"/>
      <c r="H45" s="33">
        <f>Input_1_coef.*_xlfn.XLOOKUP($C45,COMBINED!$B:$B,COMBINED!$AB:$AB)+Input_2_coef.*_xlfn.XLOOKUP($C45,COMBINED!$B:$B,COMBINED!$AC:$AC)</f>
        <v>13.946724113667127</v>
      </c>
      <c r="I45" s="33">
        <f>_xlfn.XLOOKUP($C45,COMBINED!$B:$B,COMBINED!$N:$N)</f>
        <v>13.142966677415535</v>
      </c>
      <c r="J45" s="33"/>
      <c r="K45" s="33"/>
      <c r="L45" s="33"/>
      <c r="M45" s="33">
        <f t="shared" si="0"/>
        <v>2.1980037203139395</v>
      </c>
      <c r="N45" s="33"/>
      <c r="O45" s="33">
        <f t="shared" si="1"/>
        <v>0.48835246657935116</v>
      </c>
      <c r="P45" s="33">
        <f t="shared" si="2"/>
        <v>0.24872610099072542</v>
      </c>
      <c r="Q45" s="33">
        <f t="shared" si="3"/>
        <v>0.53021124942900977</v>
      </c>
      <c r="R45" s="33"/>
      <c r="S45" s="33">
        <f t="shared" si="4"/>
        <v>-0.4059800791568659</v>
      </c>
      <c r="T45" s="33"/>
      <c r="U45" s="33">
        <f t="shared" si="5"/>
        <v>-0.15664172982156851</v>
      </c>
      <c r="V45" s="33">
        <f t="shared" si="6"/>
        <v>0.10887411370797168</v>
      </c>
      <c r="W45" s="33">
        <f t="shared" si="7"/>
        <v>-0.1034664590536022</v>
      </c>
      <c r="X45" s="33"/>
      <c r="Y45" s="33">
        <f t="shared" si="8"/>
        <v>-2.1425515452379988</v>
      </c>
      <c r="Z45" s="33">
        <f t="shared" si="11"/>
        <v>-2.5485316243948648</v>
      </c>
      <c r="AA45" s="33"/>
      <c r="AB45" s="33">
        <f t="shared" si="9"/>
        <v>0.66012344434729164</v>
      </c>
      <c r="AC45" s="33">
        <f t="shared" si="10"/>
        <v>0.64480412390885244</v>
      </c>
      <c r="AD45" s="33">
        <f>_xlfn.XLOOKUP($C45,SEM!$B:$B,SEM!$D:$D)+_xlfn.XLOOKUP($C45,SEM!$B:$B,SEM!$E:$E)</f>
        <v>16.647589286009367</v>
      </c>
      <c r="AE45" s="33">
        <f>_xlfn.XLOOKUP($C45,SEM!$B:$B,COMBINED!$AE:$AE)*AD45</f>
        <v>185370.90669971431</v>
      </c>
      <c r="AF45" s="33">
        <f>_xlfn.XLOOKUP($C45,SEM!$B:$B,SEM!C:C)</f>
        <v>8472212</v>
      </c>
      <c r="AG45">
        <f t="shared" si="12"/>
        <v>5592705.7666804567</v>
      </c>
      <c r="AH45">
        <f t="shared" si="13"/>
        <v>30.17035340793894</v>
      </c>
    </row>
    <row r="46" spans="2:34" x14ac:dyDescent="0.35">
      <c r="B46" t="s">
        <v>119</v>
      </c>
      <c r="C46" t="s">
        <v>120</v>
      </c>
      <c r="D46" s="33">
        <f>_xlfn.XLOOKUP($C46,SEM!$B:$B,SEM!$D:$D)*Model_1!$D$3</f>
        <v>62.750353289715719</v>
      </c>
      <c r="E46" s="33">
        <f>_xlfn.XLOOKUP($C46,SEM!$B:$B,SEM!$E:$E)*Model_1!$E$3</f>
        <v>1.3002352579860774</v>
      </c>
      <c r="F46" s="33"/>
      <c r="G46" s="33"/>
      <c r="H46" s="33">
        <f>Input_1_coef.*_xlfn.XLOOKUP($C46,COMBINED!$B:$B,COMBINED!$AB:$AB)+Input_2_coef.*_xlfn.XLOOKUP($C46,COMBINED!$B:$B,COMBINED!$AC:$AC)</f>
        <v>64.050588547701793</v>
      </c>
      <c r="I46" s="33">
        <f>_xlfn.XLOOKUP($C46,COMBINED!$B:$B,COMBINED!$N:$N)</f>
        <v>76.068102854266968</v>
      </c>
      <c r="J46" s="33"/>
      <c r="K46" s="33"/>
      <c r="L46" s="33"/>
      <c r="M46" s="33">
        <f t="shared" si="0"/>
        <v>10.094372755117805</v>
      </c>
      <c r="N46" s="33"/>
      <c r="O46" s="33">
        <f t="shared" si="1"/>
        <v>2.2427677387320739</v>
      </c>
      <c r="P46" s="33">
        <f t="shared" si="2"/>
        <v>1.1422792209691308</v>
      </c>
      <c r="Q46" s="33">
        <f t="shared" si="3"/>
        <v>2.4350049734805377</v>
      </c>
      <c r="R46" s="33"/>
      <c r="S46" s="33">
        <f t="shared" si="4"/>
        <v>-1.8644710253612791</v>
      </c>
      <c r="T46" s="33"/>
      <c r="U46" s="33">
        <f t="shared" si="5"/>
        <v>-0.71938004254129451</v>
      </c>
      <c r="V46" s="33">
        <f t="shared" si="6"/>
        <v>0.5000063816972864</v>
      </c>
      <c r="W46" s="33">
        <f t="shared" si="7"/>
        <v>-0.47517162763947413</v>
      </c>
      <c r="X46" s="33"/>
      <c r="Y46" s="33">
        <f t="shared" si="8"/>
        <v>-9.8397076150521396</v>
      </c>
      <c r="Z46" s="33">
        <f t="shared" si="11"/>
        <v>-11.704178640413419</v>
      </c>
      <c r="AA46" s="33"/>
      <c r="AB46" s="33">
        <f t="shared" si="9"/>
        <v>3.0316291324029589</v>
      </c>
      <c r="AC46" s="33">
        <f t="shared" si="10"/>
        <v>2.9612748698366458</v>
      </c>
      <c r="AD46" s="33">
        <f>_xlfn.XLOOKUP($C46,SEM!$B:$B,SEM!$D:$D)+_xlfn.XLOOKUP($C46,SEM!$B:$B,SEM!$E:$E)</f>
        <v>68.238272804011729</v>
      </c>
      <c r="AE46" s="33">
        <f>_xlfn.XLOOKUP($C46,SEM!$B:$B,COMBINED!$AE:$AE)*AD46</f>
        <v>31898594.766690519</v>
      </c>
      <c r="AF46" s="33">
        <f>_xlfn.XLOOKUP($C46,SEM!$B:$B,SEM!C:C)</f>
        <v>61452696</v>
      </c>
      <c r="AG46">
        <f t="shared" si="12"/>
        <v>186301783.4583028</v>
      </c>
      <c r="AH46">
        <f t="shared" si="13"/>
        <v>5.8404385779665997</v>
      </c>
    </row>
    <row r="47" spans="2:34" x14ac:dyDescent="0.35">
      <c r="B47" t="s">
        <v>121</v>
      </c>
      <c r="C47" t="s">
        <v>122</v>
      </c>
      <c r="D47" s="33">
        <f>_xlfn.XLOOKUP($C47,SEM!$B:$B,SEM!$D:$D)*Model_1!$D$3</f>
        <v>6.1447963874933214</v>
      </c>
      <c r="E47" s="33">
        <f>_xlfn.XLOOKUP($C47,SEM!$B:$B,SEM!$E:$E)*Model_1!$E$3</f>
        <v>0.65291739112774394</v>
      </c>
      <c r="F47" s="33"/>
      <c r="G47" s="33"/>
      <c r="H47" s="33">
        <f>Input_1_coef.*_xlfn.XLOOKUP($C47,COMBINED!$B:$B,COMBINED!$AB:$AB)+Input_2_coef.*_xlfn.XLOOKUP($C47,COMBINED!$B:$B,COMBINED!$AC:$AC)</f>
        <v>6.7977137786210653</v>
      </c>
      <c r="I47" s="33">
        <f>_xlfn.XLOOKUP($C47,COMBINED!$B:$B,COMBINED!$N:$N)</f>
        <v>7.7142227376063435</v>
      </c>
      <c r="J47" s="33"/>
      <c r="K47" s="33"/>
      <c r="L47" s="33"/>
      <c r="M47" s="33">
        <f t="shared" si="0"/>
        <v>1.07131969151068</v>
      </c>
      <c r="N47" s="33"/>
      <c r="O47" s="33">
        <f t="shared" si="1"/>
        <v>0.23802580905984291</v>
      </c>
      <c r="P47" s="33">
        <f t="shared" si="2"/>
        <v>0.12123053629134854</v>
      </c>
      <c r="Q47" s="33">
        <f t="shared" si="3"/>
        <v>0.25842802126497227</v>
      </c>
      <c r="R47" s="33"/>
      <c r="S47" s="33">
        <f t="shared" si="4"/>
        <v>-0.19787703230078862</v>
      </c>
      <c r="T47" s="33"/>
      <c r="U47" s="33">
        <f t="shared" si="5"/>
        <v>-7.634808263480708E-2</v>
      </c>
      <c r="V47" s="33">
        <f t="shared" si="6"/>
        <v>5.3065871014296287E-2</v>
      </c>
      <c r="W47" s="33">
        <f t="shared" si="7"/>
        <v>-5.0430148944049784E-2</v>
      </c>
      <c r="X47" s="33"/>
      <c r="Y47" s="33">
        <f t="shared" si="8"/>
        <v>-1.0442919815268825</v>
      </c>
      <c r="Z47" s="33">
        <f t="shared" si="11"/>
        <v>-1.2421690138276711</v>
      </c>
      <c r="AA47" s="33"/>
      <c r="AB47" s="33">
        <f t="shared" si="9"/>
        <v>0.32174797441020647</v>
      </c>
      <c r="AC47" s="33">
        <f t="shared" si="10"/>
        <v>0.31428124926566586</v>
      </c>
      <c r="AD47" s="33">
        <f>_xlfn.XLOOKUP($C47,SEM!$B:$B,SEM!$D:$D)+_xlfn.XLOOKUP($C47,SEM!$B:$B,SEM!$E:$E)</f>
        <v>7.5655468768330527</v>
      </c>
      <c r="AE47" s="33">
        <f>_xlfn.XLOOKUP($C47,SEM!$B:$B,COMBINED!$AE:$AE)*AD47</f>
        <v>69398.761501189598</v>
      </c>
      <c r="AF47" s="33">
        <f>_xlfn.XLOOKUP($C47,SEM!$B:$B,SEM!C:C)</f>
        <v>11891023</v>
      </c>
      <c r="AG47">
        <f t="shared" si="12"/>
        <v>3825912.5639151768</v>
      </c>
      <c r="AH47">
        <f t="shared" si="13"/>
        <v>55.129406939770746</v>
      </c>
    </row>
    <row r="48" spans="2:34" x14ac:dyDescent="0.35">
      <c r="B48" t="s">
        <v>123</v>
      </c>
      <c r="C48" t="s">
        <v>124</v>
      </c>
      <c r="D48" s="33">
        <f>_xlfn.XLOOKUP($C48,SEM!$B:$B,SEM!$D:$D)*Model_1!$D$3</f>
        <v>22.080296153974146</v>
      </c>
      <c r="E48" s="33">
        <f>_xlfn.XLOOKUP($C48,SEM!$B:$B,SEM!$E:$E)*Model_1!$E$3</f>
        <v>0.12393310807251672</v>
      </c>
      <c r="F48" s="33"/>
      <c r="G48" s="33"/>
      <c r="H48" s="33">
        <f>Input_1_coef.*_xlfn.XLOOKUP($C48,COMBINED!$B:$B,COMBINED!$AB:$AB)+Input_2_coef.*_xlfn.XLOOKUP($C48,COMBINED!$B:$B,COMBINED!$AC:$AC)</f>
        <v>22.204229262046663</v>
      </c>
      <c r="I48" s="33">
        <f>_xlfn.XLOOKUP($C48,COMBINED!$B:$B,COMBINED!$N:$N)</f>
        <v>27.278054793450032</v>
      </c>
      <c r="J48" s="33"/>
      <c r="K48" s="33"/>
      <c r="L48" s="33"/>
      <c r="M48" s="33">
        <f t="shared" si="0"/>
        <v>3.4993865316985544</v>
      </c>
      <c r="N48" s="33"/>
      <c r="O48" s="33">
        <f t="shared" si="1"/>
        <v>0.77749369961278503</v>
      </c>
      <c r="P48" s="33">
        <f t="shared" si="2"/>
        <v>0.39599057992700842</v>
      </c>
      <c r="Q48" s="33">
        <f t="shared" si="3"/>
        <v>0.8441360167224522</v>
      </c>
      <c r="R48" s="33"/>
      <c r="S48" s="33">
        <f t="shared" si="4"/>
        <v>-0.64635068995084977</v>
      </c>
      <c r="T48" s="33"/>
      <c r="U48" s="33">
        <f t="shared" si="5"/>
        <v>-0.2493853648078761</v>
      </c>
      <c r="V48" s="33">
        <f t="shared" si="6"/>
        <v>0.1733357426282591</v>
      </c>
      <c r="W48" s="33">
        <f t="shared" si="7"/>
        <v>-0.16472635143811376</v>
      </c>
      <c r="X48" s="33"/>
      <c r="Y48" s="33">
        <f t="shared" si="8"/>
        <v>-3.4111025161526562</v>
      </c>
      <c r="Z48" s="33">
        <f t="shared" si="11"/>
        <v>-4.0574532061035065</v>
      </c>
      <c r="AA48" s="33"/>
      <c r="AB48" s="33">
        <f t="shared" si="9"/>
        <v>1.0509659601838313</v>
      </c>
      <c r="AC48" s="33">
        <f t="shared" si="10"/>
        <v>1.0265764547787215</v>
      </c>
      <c r="AD48" s="33">
        <f>_xlfn.XLOOKUP($C48,SEM!$B:$B,SEM!$D:$D)+_xlfn.XLOOKUP($C48,SEM!$B:$B,SEM!$E:$E)</f>
        <v>23.450707942120317</v>
      </c>
      <c r="AE48" s="33">
        <f>_xlfn.XLOOKUP($C48,SEM!$B:$B,COMBINED!$AE:$AE)*AD48</f>
        <v>3179306.2785450197</v>
      </c>
      <c r="AF48" s="33">
        <f>_xlfn.XLOOKUP($C48,SEM!$B:$B,SEM!C:C)</f>
        <v>49700758</v>
      </c>
      <c r="AG48">
        <f t="shared" si="12"/>
        <v>52233804.853334233</v>
      </c>
      <c r="AH48">
        <f t="shared" si="13"/>
        <v>16.429308873393147</v>
      </c>
    </row>
    <row r="49" spans="2:34" x14ac:dyDescent="0.35">
      <c r="B49" t="s">
        <v>125</v>
      </c>
      <c r="C49" t="s">
        <v>126</v>
      </c>
      <c r="D49" s="33">
        <f>_xlfn.XLOOKUP($C49,SEM!$B:$B,SEM!$D:$D)*Model_1!$D$3</f>
        <v>8.59100372097787</v>
      </c>
      <c r="E49" s="33">
        <f>_xlfn.XLOOKUP($C49,SEM!$B:$B,SEM!$E:$E)*Model_1!$E$3</f>
        <v>3.5390506814731917</v>
      </c>
      <c r="F49" s="33"/>
      <c r="G49" s="33"/>
      <c r="H49" s="33">
        <f>Input_1_coef.*_xlfn.XLOOKUP($C49,COMBINED!$B:$B,COMBINED!$AB:$AB)+Input_2_coef.*_xlfn.XLOOKUP($C49,COMBINED!$B:$B,COMBINED!$AC:$AC)</f>
        <v>12.130054402451062</v>
      </c>
      <c r="I49" s="33">
        <f>_xlfn.XLOOKUP($C49,COMBINED!$B:$B,COMBINED!$N:$N)</f>
        <v>9.8502771989994251</v>
      </c>
      <c r="J49" s="33"/>
      <c r="K49" s="33"/>
      <c r="L49" s="33"/>
      <c r="M49" s="33">
        <f t="shared" si="0"/>
        <v>1.9116965738262877</v>
      </c>
      <c r="N49" s="33"/>
      <c r="O49" s="33">
        <f t="shared" si="1"/>
        <v>0.42474074477272461</v>
      </c>
      <c r="P49" s="33">
        <f t="shared" si="2"/>
        <v>0.2163275842941827</v>
      </c>
      <c r="Q49" s="33">
        <f t="shared" si="3"/>
        <v>0.46114709432467244</v>
      </c>
      <c r="R49" s="33"/>
      <c r="S49" s="33">
        <f t="shared" si="4"/>
        <v>-0.35309800397201063</v>
      </c>
      <c r="T49" s="33"/>
      <c r="U49" s="33">
        <f t="shared" si="5"/>
        <v>-0.1362379214605447</v>
      </c>
      <c r="V49" s="33">
        <f t="shared" si="6"/>
        <v>9.4692410313197931E-2</v>
      </c>
      <c r="W49" s="33">
        <f t="shared" si="7"/>
        <v>-8.9989144900290738E-2</v>
      </c>
      <c r="X49" s="33"/>
      <c r="Y49" s="33">
        <f t="shared" si="8"/>
        <v>-1.8634674775221416</v>
      </c>
      <c r="Z49" s="33">
        <f t="shared" si="11"/>
        <v>-2.2165654814941522</v>
      </c>
      <c r="AA49" s="33"/>
      <c r="AB49" s="33">
        <f t="shared" si="9"/>
        <v>0.57413721150612107</v>
      </c>
      <c r="AC49" s="33">
        <f t="shared" si="10"/>
        <v>0.56081335216737149</v>
      </c>
      <c r="AD49" s="33">
        <f>_xlfn.XLOOKUP($C49,SEM!$B:$B,SEM!$D:$D)+_xlfn.XLOOKUP($C49,SEM!$B:$B,SEM!$E:$E)</f>
        <v>14.99114615016606</v>
      </c>
      <c r="AE49" s="33">
        <f>_xlfn.XLOOKUP($C49,SEM!$B:$B,COMBINED!$AE:$AE)*AD49</f>
        <v>961846.92814080452</v>
      </c>
      <c r="AF49" s="33">
        <f>_xlfn.XLOOKUP($C49,SEM!$B:$B,SEM!C:C)</f>
        <v>65136238</v>
      </c>
      <c r="AG49">
        <f t="shared" si="12"/>
        <v>37397138.053319037</v>
      </c>
      <c r="AH49">
        <f t="shared" si="13"/>
        <v>38.880550490092617</v>
      </c>
    </row>
    <row r="50" spans="2:34" x14ac:dyDescent="0.35">
      <c r="B50" t="s">
        <v>127</v>
      </c>
      <c r="C50" t="s">
        <v>128</v>
      </c>
      <c r="D50" s="33">
        <f>_xlfn.XLOOKUP($C50,SEM!$B:$B,SEM!$D:$D)*Model_1!$D$3</f>
        <v>5.900420124602844</v>
      </c>
      <c r="E50" s="33">
        <f>_xlfn.XLOOKUP($C50,SEM!$B:$B,SEM!$E:$E)*Model_1!$E$3</f>
        <v>5.5633261439791326</v>
      </c>
      <c r="F50" s="33"/>
      <c r="G50" s="33"/>
      <c r="H50" s="33">
        <f>Input_1_coef.*_xlfn.XLOOKUP($C50,COMBINED!$B:$B,COMBINED!$AB:$AB)+Input_2_coef.*_xlfn.XLOOKUP($C50,COMBINED!$B:$B,COMBINED!$AC:$AC)</f>
        <v>11.463746268581977</v>
      </c>
      <c r="I50" s="33">
        <f>_xlfn.XLOOKUP($C50,COMBINED!$B:$B,COMBINED!$N:$N)</f>
        <v>6.7978486795057966</v>
      </c>
      <c r="J50" s="33"/>
      <c r="K50" s="33"/>
      <c r="L50" s="33"/>
      <c r="M50" s="33">
        <f t="shared" si="0"/>
        <v>1.8066864119285198</v>
      </c>
      <c r="N50" s="33"/>
      <c r="O50" s="33">
        <f t="shared" si="1"/>
        <v>0.40140958700227852</v>
      </c>
      <c r="P50" s="33">
        <f t="shared" si="2"/>
        <v>0.20444463437383131</v>
      </c>
      <c r="Q50" s="33">
        <f t="shared" si="3"/>
        <v>0.43581612303104528</v>
      </c>
      <c r="R50" s="33"/>
      <c r="S50" s="33">
        <f t="shared" si="4"/>
        <v>-0.33370220702884534</v>
      </c>
      <c r="T50" s="33"/>
      <c r="U50" s="33">
        <f t="shared" si="5"/>
        <v>-0.12875432475118156</v>
      </c>
      <c r="V50" s="33">
        <f t="shared" si="6"/>
        <v>8.9490923072167633E-2</v>
      </c>
      <c r="W50" s="33">
        <f t="shared" si="7"/>
        <v>-8.5046009674543399E-2</v>
      </c>
      <c r="X50" s="33"/>
      <c r="Y50" s="33">
        <f t="shared" si="8"/>
        <v>-1.7611065567646373</v>
      </c>
      <c r="Z50" s="33">
        <f t="shared" si="11"/>
        <v>-2.0948087637934827</v>
      </c>
      <c r="AA50" s="33"/>
      <c r="AB50" s="33">
        <f t="shared" si="9"/>
        <v>0.54259965352895789</v>
      </c>
      <c r="AC50" s="33">
        <f t="shared" si="10"/>
        <v>0.53000767844706231</v>
      </c>
      <c r="AD50" s="33">
        <f>_xlfn.XLOOKUP($C50,SEM!$B:$B,SEM!$D:$D)+_xlfn.XLOOKUP($C50,SEM!$B:$B,SEM!$E:$E)</f>
        <v>15.561096525287693</v>
      </c>
      <c r="AE50" s="33">
        <f>_xlfn.XLOOKUP($C50,SEM!$B:$B,COMBINED!$AE:$AE)*AD50</f>
        <v>94004.584109262956</v>
      </c>
      <c r="AF50" s="33">
        <f>_xlfn.XLOOKUP($C50,SEM!$B:$B,SEM!C:C)</f>
        <v>8886635</v>
      </c>
      <c r="AG50">
        <f t="shared" si="12"/>
        <v>4821885.0720383106</v>
      </c>
      <c r="AH50">
        <f t="shared" si="13"/>
        <v>51.294148234662259</v>
      </c>
    </row>
    <row r="51" spans="2:34" x14ac:dyDescent="0.35">
      <c r="B51" t="s">
        <v>129</v>
      </c>
      <c r="C51" t="s">
        <v>130</v>
      </c>
      <c r="D51" s="33">
        <f>_xlfn.XLOOKUP($C51,SEM!$B:$B,SEM!$D:$D)*Model_1!$D$3</f>
        <v>28.469795819740838</v>
      </c>
      <c r="E51" s="33">
        <f>_xlfn.XLOOKUP($C51,SEM!$B:$B,SEM!$E:$E)*Model_1!$E$3</f>
        <v>3.5396162650944318</v>
      </c>
      <c r="F51" s="33"/>
      <c r="G51" s="33"/>
      <c r="H51" s="33">
        <f>Input_1_coef.*_xlfn.XLOOKUP($C51,COMBINED!$B:$B,COMBINED!$AB:$AB)+Input_2_coef.*_xlfn.XLOOKUP($C51,COMBINED!$B:$B,COMBINED!$AC:$AC)</f>
        <v>32.009412084835269</v>
      </c>
      <c r="I51" s="33">
        <f>_xlfn.XLOOKUP($C51,COMBINED!$B:$B,COMBINED!$N:$N)</f>
        <v>34.627209644822003</v>
      </c>
      <c r="J51" s="33"/>
      <c r="K51" s="33"/>
      <c r="L51" s="33"/>
      <c r="M51" s="33">
        <f t="shared" si="0"/>
        <v>5.0446833445700392</v>
      </c>
      <c r="N51" s="33"/>
      <c r="O51" s="33">
        <f t="shared" si="1"/>
        <v>1.1208277454965714</v>
      </c>
      <c r="P51" s="33">
        <f t="shared" si="2"/>
        <v>0.57085636727154565</v>
      </c>
      <c r="Q51" s="33">
        <f t="shared" si="3"/>
        <v>1.2168986951105631</v>
      </c>
      <c r="R51" s="33"/>
      <c r="S51" s="33">
        <f t="shared" si="4"/>
        <v>-0.93177319247546442</v>
      </c>
      <c r="T51" s="33"/>
      <c r="U51" s="33">
        <f t="shared" si="5"/>
        <v>-0.3595116414919633</v>
      </c>
      <c r="V51" s="33">
        <f t="shared" si="6"/>
        <v>0.24987920766530014</v>
      </c>
      <c r="W51" s="33">
        <f t="shared" si="7"/>
        <v>-0.23746798874152694</v>
      </c>
      <c r="X51" s="33"/>
      <c r="Y51" s="33">
        <f t="shared" si="8"/>
        <v>-4.9174139221207334</v>
      </c>
      <c r="Z51" s="33">
        <f t="shared" si="11"/>
        <v>-5.849187114596198</v>
      </c>
      <c r="AA51" s="33"/>
      <c r="AB51" s="33">
        <f t="shared" si="9"/>
        <v>1.5150628337350363</v>
      </c>
      <c r="AC51" s="33">
        <f t="shared" si="10"/>
        <v>1.4799031477200884</v>
      </c>
      <c r="AD51" s="33">
        <f>_xlfn.XLOOKUP($C51,SEM!$B:$B,SEM!$D:$D)+_xlfn.XLOOKUP($C51,SEM!$B:$B,SEM!$E:$E)</f>
        <v>35.91714102536136</v>
      </c>
      <c r="AE51" s="33">
        <f>_xlfn.XLOOKUP($C51,SEM!$B:$B,COMBINED!$AE:$AE)*AD51</f>
        <v>2491500.2386472668</v>
      </c>
      <c r="AF51" s="33">
        <f>_xlfn.XLOOKUP($C51,SEM!$B:$B,SEM!C:C)</f>
        <v>20032801</v>
      </c>
      <c r="AG51">
        <f t="shared" si="12"/>
        <v>30350952.250710066</v>
      </c>
      <c r="AH51">
        <f t="shared" si="13"/>
        <v>12.181797850113307</v>
      </c>
    </row>
    <row r="52" spans="2:34" x14ac:dyDescent="0.35">
      <c r="B52" t="s">
        <v>131</v>
      </c>
      <c r="C52" t="s">
        <v>132</v>
      </c>
      <c r="D52" s="33">
        <f>_xlfn.XLOOKUP($C52,SEM!$B:$B,SEM!$D:$D)*Model_1!$D$3</f>
        <v>28.306844873022783</v>
      </c>
      <c r="E52" s="33">
        <f>_xlfn.XLOOKUP($C52,SEM!$B:$B,SEM!$E:$E)*Model_1!$E$3</f>
        <v>1.4439882500012997</v>
      </c>
      <c r="F52" s="33"/>
      <c r="G52" s="33"/>
      <c r="H52" s="33">
        <f>Input_1_coef.*_xlfn.XLOOKUP($C52,COMBINED!$B:$B,COMBINED!$AB:$AB)+Input_2_coef.*_xlfn.XLOOKUP($C52,COMBINED!$B:$B,COMBINED!$AC:$AC)</f>
        <v>29.750833123024083</v>
      </c>
      <c r="I52" s="33">
        <f>_xlfn.XLOOKUP($C52,COMBINED!$B:$B,COMBINED!$N:$N)</f>
        <v>36.237671942336519</v>
      </c>
      <c r="J52" s="33"/>
      <c r="K52" s="33"/>
      <c r="L52" s="33"/>
      <c r="M52" s="33">
        <f t="shared" si="0"/>
        <v>4.6887313001885964</v>
      </c>
      <c r="N52" s="33"/>
      <c r="O52" s="33">
        <f t="shared" si="1"/>
        <v>1.0417423202759024</v>
      </c>
      <c r="P52" s="33">
        <f t="shared" si="2"/>
        <v>0.53057683392934163</v>
      </c>
      <c r="Q52" s="33">
        <f t="shared" si="3"/>
        <v>1.131034519156694</v>
      </c>
      <c r="R52" s="33"/>
      <c r="S52" s="33">
        <f t="shared" si="4"/>
        <v>-0.86602742607003447</v>
      </c>
      <c r="T52" s="33"/>
      <c r="U52" s="33">
        <f t="shared" si="5"/>
        <v>-0.3341445579651578</v>
      </c>
      <c r="V52" s="33">
        <f t="shared" si="6"/>
        <v>0.23224777101375754</v>
      </c>
      <c r="W52" s="33">
        <f t="shared" si="7"/>
        <v>-0.22071228569850471</v>
      </c>
      <c r="X52" s="33"/>
      <c r="Y52" s="33">
        <f t="shared" si="8"/>
        <v>-4.5704419876914519</v>
      </c>
      <c r="Z52" s="33">
        <f t="shared" si="11"/>
        <v>-5.4364694137614862</v>
      </c>
      <c r="AA52" s="33"/>
      <c r="AB52" s="33">
        <f t="shared" si="9"/>
        <v>1.4081602441771</v>
      </c>
      <c r="AC52" s="33">
        <f t="shared" si="10"/>
        <v>1.3754814199451419</v>
      </c>
      <c r="AD52" s="33">
        <f>_xlfn.XLOOKUP($C52,SEM!$B:$B,SEM!$D:$D)+_xlfn.XLOOKUP($C52,SEM!$B:$B,SEM!$E:$E)</f>
        <v>32.223549822113739</v>
      </c>
      <c r="AE52" s="33">
        <f>_xlfn.XLOOKUP($C52,SEM!$B:$B,COMBINED!$AE:$AE)*AD52</f>
        <v>1819406.0700561858</v>
      </c>
      <c r="AF52" s="33">
        <f>_xlfn.XLOOKUP($C52,SEM!$B:$B,SEM!C:C)</f>
        <v>15581023</v>
      </c>
      <c r="AG52">
        <f t="shared" si="12"/>
        <v>21940577.15220901</v>
      </c>
      <c r="AH52">
        <f t="shared" si="13"/>
        <v>12.059197511378784</v>
      </c>
    </row>
    <row r="53" spans="2:34" x14ac:dyDescent="0.35">
      <c r="AF53" s="48">
        <f>AVERAGE(AF6:AF52)</f>
        <v>25692337.255319148</v>
      </c>
      <c r="AH53" s="48">
        <f>AVERAGE(AH6:AH52)</f>
        <v>31.911477467330606</v>
      </c>
    </row>
  </sheetData>
  <phoneticPr fontId="9"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1C8F-BE5B-4271-9463-EB0FB53143DB}">
  <sheetPr>
    <tabColor rgb="FFFF0000"/>
  </sheetPr>
  <dimension ref="B1:AI53"/>
  <sheetViews>
    <sheetView workbookViewId="0">
      <pane xSplit="3" ySplit="5" topLeftCell="D6" activePane="bottomRight" state="frozen"/>
      <selection pane="topRight" activeCell="D1" sqref="D1"/>
      <selection pane="bottomLeft" activeCell="A6" sqref="A6"/>
      <selection pane="bottomRight" activeCell="W6" sqref="W6"/>
    </sheetView>
  </sheetViews>
  <sheetFormatPr defaultColWidth="8.81640625" defaultRowHeight="14.5" x14ac:dyDescent="0.35"/>
  <cols>
    <col min="1" max="1" width="2.7265625" customWidth="1"/>
    <col min="2" max="2" width="9.81640625" customWidth="1"/>
    <col min="3" max="3" width="5.1796875" bestFit="1" customWidth="1"/>
    <col min="4" max="4" width="15.453125" bestFit="1" customWidth="1"/>
    <col min="5" max="5" width="15.453125" customWidth="1"/>
    <col min="6" max="6" width="12.7265625" customWidth="1"/>
    <col min="7" max="7" width="17" customWidth="1"/>
    <col min="8" max="8" width="8.453125" customWidth="1"/>
    <col min="9" max="9" width="20.453125" customWidth="1"/>
    <col min="10" max="10" width="17.1796875" customWidth="1"/>
    <col min="11" max="12" width="15.453125" customWidth="1"/>
    <col min="13" max="13" width="8.7265625" customWidth="1"/>
    <col min="14" max="15" width="12.1796875" customWidth="1"/>
    <col min="16" max="16" width="23" bestFit="1" customWidth="1"/>
    <col min="17" max="18" width="17" bestFit="1" customWidth="1"/>
    <col min="19" max="19" width="8.7265625" customWidth="1"/>
    <col min="20" max="20" width="18.7265625" customWidth="1"/>
    <col min="21" max="21" width="14.1796875" customWidth="1"/>
    <col min="22" max="22" width="24.81640625" customWidth="1"/>
    <col min="23" max="23" width="19.453125" customWidth="1"/>
    <col min="24" max="24" width="18" customWidth="1"/>
    <col min="25" max="25" width="8.7265625" customWidth="1"/>
    <col min="26" max="26" width="29.453125" customWidth="1"/>
    <col min="27" max="28" width="14.7265625" customWidth="1"/>
    <col min="29" max="29" width="14.26953125" bestFit="1" customWidth="1"/>
    <col min="30" max="30" width="17.453125" bestFit="1" customWidth="1"/>
    <col min="31" max="31" width="3.26953125" style="62" customWidth="1"/>
    <col min="32" max="32" width="18.453125" customWidth="1"/>
    <col min="33" max="33" width="12.81640625" customWidth="1"/>
    <col min="34" max="34" width="12.453125" bestFit="1" customWidth="1"/>
    <col min="35" max="37" width="12" bestFit="1" customWidth="1"/>
  </cols>
  <sheetData>
    <row r="1" spans="2:33" x14ac:dyDescent="0.35">
      <c r="K1" s="44" t="s">
        <v>171</v>
      </c>
      <c r="L1" s="44"/>
      <c r="AA1" s="44" t="s">
        <v>172</v>
      </c>
      <c r="AB1" s="44"/>
      <c r="AC1" s="44"/>
      <c r="AD1" s="44"/>
    </row>
    <row r="2" spans="2:33" s="40" customFormat="1" ht="45.75" customHeight="1" x14ac:dyDescent="0.35">
      <c r="D2" s="40" t="s">
        <v>173</v>
      </c>
      <c r="E2" s="40" t="s">
        <v>174</v>
      </c>
      <c r="F2" s="40" t="s">
        <v>175</v>
      </c>
      <c r="G2" s="2" t="s">
        <v>213</v>
      </c>
      <c r="I2" s="2" t="s">
        <v>176</v>
      </c>
      <c r="J2" s="2" t="s">
        <v>177</v>
      </c>
      <c r="K2" s="2" t="s">
        <v>178</v>
      </c>
      <c r="L2" s="40" t="s">
        <v>179</v>
      </c>
      <c r="N2" s="2" t="s">
        <v>180</v>
      </c>
      <c r="O2" s="2" t="s">
        <v>181</v>
      </c>
      <c r="P2" s="40" t="s">
        <v>182</v>
      </c>
      <c r="Q2" s="40" t="s">
        <v>183</v>
      </c>
      <c r="R2" s="40" t="s">
        <v>184</v>
      </c>
      <c r="T2" s="2" t="s">
        <v>185</v>
      </c>
      <c r="U2" s="2" t="s">
        <v>186</v>
      </c>
      <c r="V2" s="40" t="s">
        <v>187</v>
      </c>
      <c r="W2" s="40" t="s">
        <v>188</v>
      </c>
      <c r="X2" s="40" t="s">
        <v>189</v>
      </c>
      <c r="Z2" s="2" t="s">
        <v>190</v>
      </c>
      <c r="AA2" s="2" t="s">
        <v>191</v>
      </c>
      <c r="AB2" s="2" t="s">
        <v>192</v>
      </c>
      <c r="AC2" s="40" t="s">
        <v>193</v>
      </c>
      <c r="AD2" s="40" t="s">
        <v>194</v>
      </c>
      <c r="AE2" s="63"/>
    </row>
    <row r="3" spans="2:33" ht="18.5" x14ac:dyDescent="0.35">
      <c r="D3" s="41">
        <v>0.95</v>
      </c>
      <c r="E3" s="41">
        <v>0.59499999999999997</v>
      </c>
      <c r="F3" s="45">
        <v>0.2</v>
      </c>
      <c r="G3" s="45">
        <v>1</v>
      </c>
      <c r="H3" s="41"/>
      <c r="I3" s="46">
        <v>0.1</v>
      </c>
      <c r="J3" s="46">
        <v>0.1</v>
      </c>
      <c r="K3" s="47">
        <v>0.115</v>
      </c>
      <c r="L3" s="47">
        <v>1.2E-2</v>
      </c>
      <c r="N3" s="41">
        <v>0.52500000000000002</v>
      </c>
      <c r="O3" s="41">
        <v>0.27600000000000002</v>
      </c>
      <c r="P3" s="41">
        <v>0.80500000000000005</v>
      </c>
      <c r="Q3" s="41">
        <v>0.41</v>
      </c>
      <c r="R3" s="41">
        <v>0.874</v>
      </c>
      <c r="T3" s="41">
        <v>-0.41599999999999998</v>
      </c>
      <c r="U3" s="41">
        <v>0.44400000000000001</v>
      </c>
      <c r="V3" s="41">
        <v>0.86899999999999999</v>
      </c>
      <c r="W3" s="41">
        <v>-0.60399999999999998</v>
      </c>
      <c r="X3" s="41">
        <v>0.57399999999999995</v>
      </c>
      <c r="Z3" s="41">
        <v>-0.34599999999999997</v>
      </c>
      <c r="AA3" s="41">
        <v>-0.65800000000000003</v>
      </c>
      <c r="AB3" s="41">
        <v>0.432</v>
      </c>
      <c r="AC3" s="41">
        <v>1</v>
      </c>
      <c r="AD3" s="41"/>
    </row>
    <row r="4" spans="2:33" s="40" customFormat="1" ht="58" x14ac:dyDescent="0.35">
      <c r="B4" s="37"/>
      <c r="C4" s="37"/>
      <c r="D4" s="43" t="s">
        <v>195</v>
      </c>
      <c r="E4" s="43"/>
      <c r="F4" s="43"/>
      <c r="G4" s="43"/>
      <c r="H4" s="37"/>
      <c r="I4" s="43" t="s">
        <v>196</v>
      </c>
      <c r="J4" s="43"/>
      <c r="K4" s="43"/>
      <c r="L4" s="43"/>
      <c r="P4" s="40" t="s">
        <v>142</v>
      </c>
      <c r="Q4" s="40" t="s">
        <v>143</v>
      </c>
      <c r="R4" s="40" t="s">
        <v>144</v>
      </c>
      <c r="V4" s="2" t="s">
        <v>145</v>
      </c>
      <c r="W4" s="2" t="s">
        <v>146</v>
      </c>
      <c r="X4" s="2" t="s">
        <v>147</v>
      </c>
      <c r="AC4" s="2" t="s">
        <v>150</v>
      </c>
      <c r="AD4" s="2"/>
      <c r="AE4" s="63"/>
      <c r="AF4" s="2"/>
    </row>
    <row r="5" spans="2:33" s="40" customFormat="1" ht="29" x14ac:dyDescent="0.35">
      <c r="B5" s="40" t="s">
        <v>0</v>
      </c>
      <c r="C5" s="40" t="s">
        <v>1</v>
      </c>
      <c r="D5" s="40" t="s">
        <v>199</v>
      </c>
      <c r="E5" s="40" t="s">
        <v>214</v>
      </c>
      <c r="F5" s="40" t="s">
        <v>201</v>
      </c>
      <c r="I5" s="2" t="s">
        <v>202</v>
      </c>
      <c r="J5" s="40" t="s">
        <v>203</v>
      </c>
      <c r="N5" s="40" t="s">
        <v>204</v>
      </c>
      <c r="T5" s="2" t="s">
        <v>205</v>
      </c>
      <c r="W5" s="42"/>
      <c r="Z5" s="2" t="s">
        <v>206</v>
      </c>
      <c r="AA5" s="40" t="s">
        <v>207</v>
      </c>
      <c r="AE5" s="64"/>
      <c r="AF5" s="2"/>
      <c r="AG5" s="2"/>
    </row>
    <row r="6" spans="2:33" x14ac:dyDescent="0.35">
      <c r="B6" t="s">
        <v>39</v>
      </c>
      <c r="C6" t="s">
        <v>40</v>
      </c>
      <c r="D6" s="33">
        <f>_xlfn.XLOOKUP($C6,SEM!$B:$B,SEM!$D:$D)*Input_1_coef.</f>
        <v>57.962378110430194</v>
      </c>
      <c r="E6" s="33">
        <f>_xlfn.XLOOKUP($C6,SEM!$B:$B,SEM!$E:$E)*Input_2_coef.</f>
        <v>7.984413424419616E-2</v>
      </c>
      <c r="F6" s="33">
        <f t="shared" ref="F6:F52" si="0">$E6*Input_3_coef.*Percentage_of_HWF_benefiting_from_the_salary_increase</f>
        <v>1.5968826848839233E-2</v>
      </c>
      <c r="G6" s="33"/>
      <c r="H6" s="33">
        <f t="shared" ref="H6:H52" si="1">+IF(Input_3_coef.&gt;=0.54,D6+E6+F6,D6+E6)</f>
        <v>58.042222244674392</v>
      </c>
      <c r="I6" s="33">
        <f>IF(Input_3_coef.&gt;=0.54,(Input_1_coef.*_xlfn.XLOOKUP($C6,COMBINED!$B:$B,COMBINED!$AB:$AB)+Input_2_coef.*_xlfn.XLOOKUP($C6,COMBINED!$B:$B,COMBINED!$AC:$AC))+F6,(Input_1_coef.*_xlfn.XLOOKUP($C6,COMBINED!$B:$B,COMBINED!$AB:$AB)+Input_2_coef.*_xlfn.XLOOKUP($C6,COMBINED!$B:$B,COMBINED!$AC:$AC)))</f>
        <v>58.042222244674392</v>
      </c>
      <c r="J6" s="33">
        <f>_xlfn.XLOOKUP($C6,COMBINED!$B:$B,COMBINED!$N:$N)</f>
        <v>50.985292597994288</v>
      </c>
      <c r="K6" s="33"/>
      <c r="L6" s="33"/>
      <c r="M6" s="33"/>
      <c r="N6" s="33">
        <f t="shared" ref="N6:N52" si="2">Total_Output_coef.*$I6*_R²_Output+(HWF_In_service_training_coef.*Percentage_of_people_trained*$I6)+($I6*Incentive*Percentage_of_people_incentivised)</f>
        <v>9.1474542257606846</v>
      </c>
      <c r="O6" s="33"/>
      <c r="P6" s="33">
        <f t="shared" ref="P6:P52" si="3">Output_1_Coef.*$N6*_R²_Output</f>
        <v>2.0323813798795092</v>
      </c>
      <c r="Q6" s="33">
        <f t="shared" ref="Q6:Q52" si="4">Output_2_Coef.*$N6*_R²_Output</f>
        <v>1.0351259201870791</v>
      </c>
      <c r="R6" s="33">
        <f t="shared" ref="R6:R52" si="5">Output_3_Coef.*$N6*_R²_Output</f>
        <v>2.2065854981548956</v>
      </c>
      <c r="S6" s="33"/>
      <c r="T6" s="33">
        <f t="shared" ref="T6:T52" si="6">Total_Outcome_coef.*N6*_R²_Outcome</f>
        <v>-1.6895713853149015</v>
      </c>
      <c r="U6" s="33"/>
      <c r="V6" s="33">
        <f t="shared" ref="V6:V52" si="7">Outcome_1_Coef.*$T6*_R²_Outcome</f>
        <v>-0.6518974650243603</v>
      </c>
      <c r="W6" s="33">
        <f t="shared" ref="W6:W52" si="8">Outcome_2_Coef.*$T6*_R²_Outcome</f>
        <v>0.45310249582820905</v>
      </c>
      <c r="X6" s="33">
        <f t="shared" ref="X6:X52" si="9">Outcome_3_Coef.*$T6*_R²_Outcome</f>
        <v>-0.4305974049758145</v>
      </c>
      <c r="Y6" s="33"/>
      <c r="Z6" s="33">
        <f t="shared" ref="Z6:Z52" si="10">I6*$Z$3*_R²_Outcome</f>
        <v>-8.9166783501158573</v>
      </c>
      <c r="AA6" s="33">
        <f>Z6+T6</f>
        <v>-10.606249735430758</v>
      </c>
      <c r="AB6" s="33"/>
      <c r="AC6" s="33">
        <f t="shared" ref="AC6:AC52" si="11">_R²_Impact*$AA6*Impact_1_Coef.*Total_Impact_coef.</f>
        <v>3.0148901247946056</v>
      </c>
      <c r="AD6" s="33">
        <f t="shared" ref="AD6:AD52" si="12">_R²_Impact*$AA6*Impact_2_Coef.*Total_Impact_coef.</f>
        <v>0</v>
      </c>
      <c r="AE6" s="65"/>
      <c r="AF6" s="33"/>
      <c r="AG6" s="33"/>
    </row>
    <row r="7" spans="2:33" x14ac:dyDescent="0.35">
      <c r="B7" t="s">
        <v>41</v>
      </c>
      <c r="C7" t="s">
        <v>42</v>
      </c>
      <c r="D7" s="33">
        <f>_xlfn.XLOOKUP($C7,SEM!$B:$B,SEM!$D:$D)*Input_1_coef.</f>
        <v>17.62589101485046</v>
      </c>
      <c r="E7" s="33">
        <f>_xlfn.XLOOKUP($C7,SEM!$B:$B,SEM!$E:$E)*Input_2_coef.</f>
        <v>1.4641268103449323</v>
      </c>
      <c r="F7" s="33">
        <f t="shared" si="0"/>
        <v>0.29282536206898646</v>
      </c>
      <c r="G7" s="33"/>
      <c r="H7" s="33">
        <f t="shared" si="1"/>
        <v>19.090017825195392</v>
      </c>
      <c r="I7" s="33">
        <f>IF(Input_3_coef.&gt;=0.54,(Input_1_coef.*_xlfn.XLOOKUP($C7,COMBINED!$B:$B,COMBINED!$AB:$AB)+Input_2_coef.*_xlfn.XLOOKUP($C7,COMBINED!$B:$B,COMBINED!$AC:$AC))+F7,(Input_1_coef.*_xlfn.XLOOKUP($C7,COMBINED!$B:$B,COMBINED!$AB:$AB)+Input_2_coef.*_xlfn.XLOOKUP($C7,COMBINED!$B:$B,COMBINED!$AC:$AC)))</f>
        <v>19.090017825195392</v>
      </c>
      <c r="J7" s="33">
        <f>_xlfn.XLOOKUP($C7,COMBINED!$B:$B,COMBINED!$N:$N)</f>
        <v>21.346033637341112</v>
      </c>
      <c r="K7" s="33"/>
      <c r="L7" s="33"/>
      <c r="M7" s="33"/>
      <c r="N7" s="33">
        <f t="shared" si="2"/>
        <v>3.0085868092507941</v>
      </c>
      <c r="O7" s="33"/>
      <c r="P7" s="33">
        <f t="shared" si="3"/>
        <v>0.66844781727934155</v>
      </c>
      <c r="Q7" s="33">
        <f t="shared" si="4"/>
        <v>0.3404516833348199</v>
      </c>
      <c r="R7" s="33">
        <f t="shared" si="5"/>
        <v>0.72574334447471367</v>
      </c>
      <c r="S7" s="33"/>
      <c r="T7" s="33">
        <f t="shared" si="6"/>
        <v>-0.55569801801585872</v>
      </c>
      <c r="U7" s="33"/>
      <c r="V7" s="33">
        <f t="shared" si="7"/>
        <v>-0.21440830047916687</v>
      </c>
      <c r="W7" s="33">
        <f t="shared" si="8"/>
        <v>0.14902487167942094</v>
      </c>
      <c r="X7" s="33">
        <f t="shared" si="9"/>
        <v>-0.14162297407944968</v>
      </c>
      <c r="Y7" s="33"/>
      <c r="Z7" s="33">
        <f t="shared" si="10"/>
        <v>-2.9326848983778171</v>
      </c>
      <c r="AA7" s="33">
        <f t="shared" ref="AA7:AA52" si="13">Z7+T7</f>
        <v>-3.4883829163936757</v>
      </c>
      <c r="AB7" s="33"/>
      <c r="AC7" s="33">
        <f t="shared" si="11"/>
        <v>0.9915937742824007</v>
      </c>
      <c r="AD7" s="33">
        <f t="shared" si="12"/>
        <v>0</v>
      </c>
      <c r="AE7" s="65"/>
      <c r="AF7" s="33"/>
      <c r="AG7" s="33"/>
    </row>
    <row r="8" spans="2:33" x14ac:dyDescent="0.35">
      <c r="B8" t="s">
        <v>43</v>
      </c>
      <c r="C8" t="s">
        <v>44</v>
      </c>
      <c r="D8" s="33">
        <f>_xlfn.XLOOKUP($C8,SEM!$B:$B,SEM!$D:$D)*Input_1_coef.</f>
        <v>10.340617236956628</v>
      </c>
      <c r="E8" s="33">
        <f>_xlfn.XLOOKUP($C8,SEM!$B:$B,SEM!$E:$E)*Input_2_coef.</f>
        <v>1.6822017335414858</v>
      </c>
      <c r="F8" s="33">
        <f t="shared" si="0"/>
        <v>0.3364403467082972</v>
      </c>
      <c r="G8" s="33"/>
      <c r="H8" s="33">
        <f t="shared" si="1"/>
        <v>12.022818970498115</v>
      </c>
      <c r="I8" s="33">
        <f>IF(Input_3_coef.&gt;=0.54,(Input_1_coef.*_xlfn.XLOOKUP($C8,COMBINED!$B:$B,COMBINED!$AB:$AB)+Input_2_coef.*_xlfn.XLOOKUP($C8,COMBINED!$B:$B,COMBINED!$AC:$AC))+F8,(Input_1_coef.*_xlfn.XLOOKUP($C8,COMBINED!$B:$B,COMBINED!$AB:$AB)+Input_2_coef.*_xlfn.XLOOKUP($C8,COMBINED!$B:$B,COMBINED!$AC:$AC)))</f>
        <v>12.022818970498115</v>
      </c>
      <c r="J8" s="33">
        <f>_xlfn.XLOOKUP($C8,COMBINED!$B:$B,COMBINED!$N:$N)</f>
        <v>11.015405185492277</v>
      </c>
      <c r="K8" s="33"/>
      <c r="L8" s="33"/>
      <c r="M8" s="33"/>
      <c r="N8" s="33">
        <f t="shared" si="2"/>
        <v>1.8947962697505032</v>
      </c>
      <c r="O8" s="33"/>
      <c r="P8" s="33">
        <f t="shared" si="3"/>
        <v>0.42098583521316685</v>
      </c>
      <c r="Q8" s="33">
        <f t="shared" si="4"/>
        <v>0.21441514588496696</v>
      </c>
      <c r="R8" s="33">
        <f t="shared" si="5"/>
        <v>0.45707033537429542</v>
      </c>
      <c r="S8" s="33"/>
      <c r="T8" s="33">
        <f t="shared" si="6"/>
        <v>-0.34997645020799695</v>
      </c>
      <c r="U8" s="33"/>
      <c r="V8" s="33">
        <f t="shared" si="7"/>
        <v>-0.13503351364245272</v>
      </c>
      <c r="W8" s="33">
        <f t="shared" si="8"/>
        <v>9.3855284510979783E-2</v>
      </c>
      <c r="X8" s="33">
        <f t="shared" si="9"/>
        <v>-8.9193598194209259E-2</v>
      </c>
      <c r="Y8" s="33"/>
      <c r="Z8" s="33">
        <f t="shared" si="10"/>
        <v>-1.8469935415238021</v>
      </c>
      <c r="AA8" s="33">
        <f t="shared" si="13"/>
        <v>-2.1969699917317991</v>
      </c>
      <c r="AB8" s="33"/>
      <c r="AC8" s="33">
        <f t="shared" si="11"/>
        <v>0.62450190196971433</v>
      </c>
      <c r="AD8" s="33">
        <f t="shared" si="12"/>
        <v>0</v>
      </c>
      <c r="AE8" s="65"/>
      <c r="AF8" s="33"/>
      <c r="AG8" s="33"/>
    </row>
    <row r="9" spans="2:33" x14ac:dyDescent="0.35">
      <c r="B9" t="s">
        <v>45</v>
      </c>
      <c r="C9" t="s">
        <v>46</v>
      </c>
      <c r="D9" s="33">
        <f>_xlfn.XLOOKUP($C9,SEM!$B:$B,SEM!$D:$D)*Input_1_coef.</f>
        <v>30.438513666611101</v>
      </c>
      <c r="E9" s="33">
        <f>_xlfn.XLOOKUP($C9,SEM!$B:$B,SEM!$E:$E)*Input_2_coef.</f>
        <v>3.8046021033081376</v>
      </c>
      <c r="F9" s="33">
        <f t="shared" si="0"/>
        <v>0.76092042066162757</v>
      </c>
      <c r="G9" s="33"/>
      <c r="H9" s="33">
        <f t="shared" si="1"/>
        <v>34.243115769919235</v>
      </c>
      <c r="I9" s="33">
        <f>IF(Input_3_coef.&gt;=0.54,(Input_1_coef.*_xlfn.XLOOKUP($C9,COMBINED!$B:$B,COMBINED!$AB:$AB)+Input_2_coef.*_xlfn.XLOOKUP($C9,COMBINED!$B:$B,COMBINED!$AC:$AC))+F9,(Input_1_coef.*_xlfn.XLOOKUP($C9,COMBINED!$B:$B,COMBINED!$AB:$AB)+Input_2_coef.*_xlfn.XLOOKUP($C9,COMBINED!$B:$B,COMBINED!$AC:$AC)))</f>
        <v>34.243115769919235</v>
      </c>
      <c r="J9" s="33">
        <f>_xlfn.XLOOKUP($C9,COMBINED!$B:$B,COMBINED!$N:$N)</f>
        <v>36.670298266253425</v>
      </c>
      <c r="K9" s="33"/>
      <c r="L9" s="33"/>
      <c r="M9" s="33"/>
      <c r="N9" s="33">
        <f t="shared" si="2"/>
        <v>5.3967150453392723</v>
      </c>
      <c r="O9" s="33"/>
      <c r="P9" s="33">
        <f t="shared" si="3"/>
        <v>1.1990421487734797</v>
      </c>
      <c r="Q9" s="33">
        <f t="shared" si="4"/>
        <v>0.61069227453059205</v>
      </c>
      <c r="R9" s="33">
        <f t="shared" si="5"/>
        <v>1.3018171900969207</v>
      </c>
      <c r="S9" s="33"/>
      <c r="T9" s="33">
        <f t="shared" si="6"/>
        <v>-0.99679485573434501</v>
      </c>
      <c r="U9" s="33"/>
      <c r="V9" s="33">
        <f t="shared" si="7"/>
        <v>-0.38459933995711676</v>
      </c>
      <c r="W9" s="33">
        <f t="shared" si="8"/>
        <v>0.26731645723141367</v>
      </c>
      <c r="X9" s="33">
        <f t="shared" si="9"/>
        <v>-0.25403914975303221</v>
      </c>
      <c r="Y9" s="33"/>
      <c r="Z9" s="33">
        <f t="shared" si="10"/>
        <v>-5.2605644170380721</v>
      </c>
      <c r="AA9" s="33">
        <f t="shared" si="13"/>
        <v>-6.2573592727724172</v>
      </c>
      <c r="AB9" s="33"/>
      <c r="AC9" s="33">
        <f t="shared" si="11"/>
        <v>1.7786919174411964</v>
      </c>
      <c r="AD9" s="33">
        <f t="shared" si="12"/>
        <v>0</v>
      </c>
      <c r="AE9" s="65"/>
      <c r="AF9" s="33"/>
      <c r="AG9" s="33"/>
    </row>
    <row r="10" spans="2:33" x14ac:dyDescent="0.35">
      <c r="B10" t="s">
        <v>47</v>
      </c>
      <c r="C10" t="s">
        <v>48</v>
      </c>
      <c r="D10" s="33">
        <f>_xlfn.XLOOKUP($C10,SEM!$B:$B,SEM!$D:$D)*Input_1_coef.</f>
        <v>10.388771812483887</v>
      </c>
      <c r="E10" s="33">
        <f>_xlfn.XLOOKUP($C10,SEM!$B:$B,SEM!$E:$E)*Input_2_coef.</f>
        <v>1.787574719942157</v>
      </c>
      <c r="F10" s="33">
        <f t="shared" si="0"/>
        <v>0.35751494398843142</v>
      </c>
      <c r="G10" s="33"/>
      <c r="H10" s="33">
        <f t="shared" si="1"/>
        <v>12.176346532426043</v>
      </c>
      <c r="I10" s="33">
        <f>IF(Input_3_coef.&gt;=0.54,(Input_1_coef.*_xlfn.XLOOKUP($C10,COMBINED!$B:$B,COMBINED!$AB:$AB)+Input_2_coef.*_xlfn.XLOOKUP($C10,COMBINED!$B:$B,COMBINED!$AC:$AC))+F10,(Input_1_coef.*_xlfn.XLOOKUP($C10,COMBINED!$B:$B,COMBINED!$AB:$AB)+Input_2_coef.*_xlfn.XLOOKUP($C10,COMBINED!$B:$B,COMBINED!$AC:$AC)))</f>
        <v>12.176346532426043</v>
      </c>
      <c r="J10" s="33">
        <f>_xlfn.XLOOKUP($C10,COMBINED!$B:$B,COMBINED!$N:$N)</f>
        <v>12.022001649410702</v>
      </c>
      <c r="K10" s="33"/>
      <c r="L10" s="33"/>
      <c r="M10" s="33"/>
      <c r="N10" s="33">
        <f t="shared" si="2"/>
        <v>1.9189922135103448</v>
      </c>
      <c r="O10" s="33"/>
      <c r="P10" s="33">
        <f t="shared" si="3"/>
        <v>0.42636168999772844</v>
      </c>
      <c r="Q10" s="33">
        <f t="shared" si="4"/>
        <v>0.21715315888083064</v>
      </c>
      <c r="R10" s="33">
        <f t="shared" si="5"/>
        <v>0.46290697771181943</v>
      </c>
      <c r="S10" s="33"/>
      <c r="T10" s="33">
        <f t="shared" si="6"/>
        <v>-0.35444553780421473</v>
      </c>
      <c r="U10" s="33"/>
      <c r="V10" s="33">
        <f t="shared" si="7"/>
        <v>-0.13675784852422698</v>
      </c>
      <c r="W10" s="33">
        <f t="shared" si="8"/>
        <v>9.5053786546183086E-2</v>
      </c>
      <c r="X10" s="33">
        <f t="shared" si="9"/>
        <v>-9.0332571982630949E-2</v>
      </c>
      <c r="Y10" s="33"/>
      <c r="Z10" s="33">
        <f t="shared" si="10"/>
        <v>-1.8705790596974183</v>
      </c>
      <c r="AA10" s="33">
        <f t="shared" si="13"/>
        <v>-2.225024597501633</v>
      </c>
      <c r="AB10" s="33"/>
      <c r="AC10" s="33">
        <f t="shared" si="11"/>
        <v>0.63247659198742423</v>
      </c>
      <c r="AD10" s="33">
        <f t="shared" si="12"/>
        <v>0</v>
      </c>
      <c r="AE10" s="65"/>
      <c r="AF10" s="33"/>
      <c r="AG10" s="33"/>
    </row>
    <row r="11" spans="2:33" x14ac:dyDescent="0.35">
      <c r="B11" t="s">
        <v>49</v>
      </c>
      <c r="C11" t="s">
        <v>50</v>
      </c>
      <c r="D11" s="33">
        <f>_xlfn.XLOOKUP($C11,SEM!$B:$B,SEM!$D:$D)*Input_1_coef.</f>
        <v>8.9556614616304255</v>
      </c>
      <c r="E11" s="33">
        <f>_xlfn.XLOOKUP($C11,SEM!$B:$B,SEM!$E:$E)*Input_2_coef.</f>
        <v>1.9559755538846757</v>
      </c>
      <c r="F11" s="33">
        <f t="shared" si="0"/>
        <v>0.39119511077693514</v>
      </c>
      <c r="G11" s="33"/>
      <c r="H11" s="33">
        <f t="shared" si="1"/>
        <v>10.911637015515101</v>
      </c>
      <c r="I11" s="33">
        <f>IF(Input_3_coef.&gt;=0.54,(Input_1_coef.*_xlfn.XLOOKUP($C11,COMBINED!$B:$B,COMBINED!$AB:$AB)+Input_2_coef.*_xlfn.XLOOKUP($C11,COMBINED!$B:$B,COMBINED!$AC:$AC))+F11,(Input_1_coef.*_xlfn.XLOOKUP($C11,COMBINED!$B:$B,COMBINED!$AB:$AB)+Input_2_coef.*_xlfn.XLOOKUP($C11,COMBINED!$B:$B,COMBINED!$AC:$AC)))</f>
        <v>10.911637015515101</v>
      </c>
      <c r="J11" s="33">
        <f>_xlfn.XLOOKUP($C11,COMBINED!$B:$B,COMBINED!$N:$N)</f>
        <v>11.321517321798417</v>
      </c>
      <c r="K11" s="33"/>
      <c r="L11" s="33"/>
      <c r="M11" s="33"/>
      <c r="N11" s="33">
        <f t="shared" si="2"/>
        <v>1.7196739936451801</v>
      </c>
      <c r="O11" s="33"/>
      <c r="P11" s="33">
        <f t="shared" si="3"/>
        <v>0.38207716790808616</v>
      </c>
      <c r="Q11" s="33">
        <f t="shared" si="4"/>
        <v>0.1945983091208886</v>
      </c>
      <c r="R11" s="33">
        <f t="shared" si="5"/>
        <v>0.41482663944306497</v>
      </c>
      <c r="S11" s="33"/>
      <c r="T11" s="33">
        <f t="shared" si="6"/>
        <v>-0.31763066532223933</v>
      </c>
      <c r="U11" s="33"/>
      <c r="V11" s="33">
        <f t="shared" si="7"/>
        <v>-0.12255334538527154</v>
      </c>
      <c r="W11" s="33">
        <f t="shared" si="8"/>
        <v>8.518092130345685E-2</v>
      </c>
      <c r="X11" s="33">
        <f t="shared" si="9"/>
        <v>-8.0950080841364624E-2</v>
      </c>
      <c r="Y11" s="33"/>
      <c r="Z11" s="33">
        <f t="shared" si="10"/>
        <v>-1.6762893248714918</v>
      </c>
      <c r="AA11" s="33">
        <f t="shared" si="13"/>
        <v>-1.9939199901937312</v>
      </c>
      <c r="AB11" s="33"/>
      <c r="AC11" s="33">
        <f t="shared" si="11"/>
        <v>0.56678372073250927</v>
      </c>
      <c r="AD11" s="33">
        <f t="shared" si="12"/>
        <v>0</v>
      </c>
      <c r="AE11" s="65"/>
      <c r="AF11" s="33"/>
      <c r="AG11" s="33"/>
    </row>
    <row r="12" spans="2:33" x14ac:dyDescent="0.35">
      <c r="B12" t="s">
        <v>51</v>
      </c>
      <c r="C12" t="s">
        <v>52</v>
      </c>
      <c r="D12" s="33">
        <f>_xlfn.XLOOKUP($C12,SEM!$B:$B,SEM!$D:$D)*Input_1_coef.</f>
        <v>23.302041980771708</v>
      </c>
      <c r="E12" s="33">
        <f>_xlfn.XLOOKUP($C12,SEM!$B:$B,SEM!$E:$E)*Input_2_coef.</f>
        <v>0</v>
      </c>
      <c r="F12" s="33">
        <f t="shared" si="0"/>
        <v>0</v>
      </c>
      <c r="G12" s="33"/>
      <c r="H12" s="33">
        <f t="shared" si="1"/>
        <v>23.302041980771708</v>
      </c>
      <c r="I12" s="33">
        <f>IF(Input_3_coef.&gt;=0.54,(Input_1_coef.*_xlfn.XLOOKUP($C12,COMBINED!$B:$B,COMBINED!$AB:$AB)+Input_2_coef.*_xlfn.XLOOKUP($C12,COMBINED!$B:$B,COMBINED!$AC:$AC))+F12,(Input_1_coef.*_xlfn.XLOOKUP($C12,COMBINED!$B:$B,COMBINED!$AB:$AB)+Input_2_coef.*_xlfn.XLOOKUP($C12,COMBINED!$B:$B,COMBINED!$AC:$AC)))</f>
        <v>23.302041980771708</v>
      </c>
      <c r="J12" s="33">
        <f>_xlfn.XLOOKUP($C12,COMBINED!$B:$B,COMBINED!$N:$N)</f>
        <v>24.00047442798288</v>
      </c>
      <c r="K12" s="33"/>
      <c r="L12" s="33"/>
      <c r="M12" s="33"/>
      <c r="N12" s="33">
        <f t="shared" si="2"/>
        <v>3.6724018161696219</v>
      </c>
      <c r="O12" s="33"/>
      <c r="P12" s="33">
        <f t="shared" si="3"/>
        <v>0.81593423551656674</v>
      </c>
      <c r="Q12" s="33">
        <f t="shared" si="4"/>
        <v>0.41556898951775445</v>
      </c>
      <c r="R12" s="33">
        <f t="shared" si="5"/>
        <v>0.88587145570370096</v>
      </c>
      <c r="S12" s="33"/>
      <c r="T12" s="33">
        <f t="shared" si="6"/>
        <v>-0.67830730505379377</v>
      </c>
      <c r="U12" s="33"/>
      <c r="V12" s="33">
        <f t="shared" si="7"/>
        <v>-0.26171537735273559</v>
      </c>
      <c r="W12" s="33">
        <f t="shared" si="8"/>
        <v>0.18190573984010619</v>
      </c>
      <c r="X12" s="33">
        <f t="shared" si="9"/>
        <v>-0.17287068653678966</v>
      </c>
      <c r="Y12" s="33"/>
      <c r="Z12" s="33">
        <f t="shared" si="10"/>
        <v>-3.5797528972540729</v>
      </c>
      <c r="AA12" s="33">
        <f t="shared" si="13"/>
        <v>-4.2580602023078669</v>
      </c>
      <c r="AB12" s="33"/>
      <c r="AC12" s="33">
        <f t="shared" si="11"/>
        <v>1.210379160867225</v>
      </c>
      <c r="AD12" s="33">
        <f t="shared" si="12"/>
        <v>0</v>
      </c>
      <c r="AE12" s="65"/>
      <c r="AF12" s="33"/>
      <c r="AG12" s="33"/>
    </row>
    <row r="13" spans="2:33" x14ac:dyDescent="0.35">
      <c r="B13" t="s">
        <v>53</v>
      </c>
      <c r="C13" t="s">
        <v>54</v>
      </c>
      <c r="D13" s="33">
        <f>_xlfn.XLOOKUP($C13,SEM!$B:$B,SEM!$D:$D)*Input_1_coef.</f>
        <v>7.3058505981639001</v>
      </c>
      <c r="E13" s="33">
        <f>_xlfn.XLOOKUP($C13,SEM!$B:$B,SEM!$E:$E)*Input_2_coef.</f>
        <v>1.7263243587163635</v>
      </c>
      <c r="F13" s="33">
        <f t="shared" si="0"/>
        <v>0.34526487174327269</v>
      </c>
      <c r="G13" s="33"/>
      <c r="H13" s="33">
        <f t="shared" si="1"/>
        <v>9.0321749568802634</v>
      </c>
      <c r="I13" s="33">
        <f>IF(Input_3_coef.&gt;=0.54,(Input_1_coef.*_xlfn.XLOOKUP($C13,COMBINED!$B:$B,COMBINED!$AB:$AB)+Input_2_coef.*_xlfn.XLOOKUP($C13,COMBINED!$B:$B,COMBINED!$AC:$AC))+F13,(Input_1_coef.*_xlfn.XLOOKUP($C13,COMBINED!$B:$B,COMBINED!$AB:$AB)+Input_2_coef.*_xlfn.XLOOKUP($C13,COMBINED!$B:$B,COMBINED!$AC:$AC)))</f>
        <v>9.0321749568802634</v>
      </c>
      <c r="J13" s="33">
        <f>_xlfn.XLOOKUP($C13,COMBINED!$B:$B,COMBINED!$N:$N)</f>
        <v>8.1868338890669854</v>
      </c>
      <c r="K13" s="33"/>
      <c r="L13" s="33"/>
      <c r="M13" s="33"/>
      <c r="N13" s="33">
        <f t="shared" si="2"/>
        <v>1.4234707732043297</v>
      </c>
      <c r="O13" s="33"/>
      <c r="P13" s="33">
        <f t="shared" si="3"/>
        <v>0.31626673639053798</v>
      </c>
      <c r="Q13" s="33">
        <f t="shared" si="4"/>
        <v>0.16107995269580197</v>
      </c>
      <c r="R13" s="33">
        <f t="shared" si="5"/>
        <v>0.34337531379544128</v>
      </c>
      <c r="S13" s="33"/>
      <c r="T13" s="33">
        <f t="shared" si="6"/>
        <v>-0.26292074569393253</v>
      </c>
      <c r="U13" s="33"/>
      <c r="V13" s="33">
        <f t="shared" si="7"/>
        <v>-0.10144428883556415</v>
      </c>
      <c r="W13" s="33">
        <f t="shared" si="8"/>
        <v>7.050903389721605E-2</v>
      </c>
      <c r="X13" s="33">
        <f t="shared" si="9"/>
        <v>-6.7006929564572867E-2</v>
      </c>
      <c r="Y13" s="33"/>
      <c r="Z13" s="33">
        <f t="shared" si="10"/>
        <v>-1.3875588455757735</v>
      </c>
      <c r="AA13" s="33">
        <f t="shared" si="13"/>
        <v>-1.6504795912697059</v>
      </c>
      <c r="AB13" s="33"/>
      <c r="AC13" s="33">
        <f t="shared" si="11"/>
        <v>0.46915872669596159</v>
      </c>
      <c r="AD13" s="33">
        <f t="shared" si="12"/>
        <v>0</v>
      </c>
      <c r="AE13" s="65"/>
      <c r="AF13" s="33"/>
      <c r="AG13" s="33"/>
    </row>
    <row r="14" spans="2:33" x14ac:dyDescent="0.35">
      <c r="B14" t="s">
        <v>55</v>
      </c>
      <c r="C14" t="s">
        <v>56</v>
      </c>
      <c r="D14" s="33">
        <f>_xlfn.XLOOKUP($C14,SEM!$B:$B,SEM!$D:$D)*Input_1_coef.</f>
        <v>9.9847476262595887</v>
      </c>
      <c r="E14" s="33">
        <f>_xlfn.XLOOKUP($C14,SEM!$B:$B,SEM!$E:$E)*Input_2_coef.</f>
        <v>4.3098288461177817E-2</v>
      </c>
      <c r="F14" s="33">
        <f t="shared" si="0"/>
        <v>8.6196576922355633E-3</v>
      </c>
      <c r="G14" s="33"/>
      <c r="H14" s="33">
        <f t="shared" si="1"/>
        <v>10.027845914720766</v>
      </c>
      <c r="I14" s="33">
        <f>IF(Input_3_coef.&gt;=0.54,(Input_1_coef.*_xlfn.XLOOKUP($C14,COMBINED!$B:$B,COMBINED!$AB:$AB)+Input_2_coef.*_xlfn.XLOOKUP($C14,COMBINED!$B:$B,COMBINED!$AC:$AC))+F14,(Input_1_coef.*_xlfn.XLOOKUP($C14,COMBINED!$B:$B,COMBINED!$AB:$AB)+Input_2_coef.*_xlfn.XLOOKUP($C14,COMBINED!$B:$B,COMBINED!$AC:$AC)))</f>
        <v>10.027845914720766</v>
      </c>
      <c r="J14" s="33">
        <f>_xlfn.XLOOKUP($C14,COMBINED!$B:$B,COMBINED!$N:$N)</f>
        <v>12.601735917936152</v>
      </c>
      <c r="K14" s="33"/>
      <c r="L14" s="33"/>
      <c r="M14" s="33"/>
      <c r="N14" s="33">
        <f t="shared" si="2"/>
        <v>1.5803885161599929</v>
      </c>
      <c r="O14" s="33"/>
      <c r="P14" s="33">
        <f t="shared" si="3"/>
        <v>0.35113072052042726</v>
      </c>
      <c r="Q14" s="33">
        <f t="shared" si="4"/>
        <v>0.17883676448866481</v>
      </c>
      <c r="R14" s="33">
        <f t="shared" si="5"/>
        <v>0.38122763942217819</v>
      </c>
      <c r="S14" s="33"/>
      <c r="T14" s="33">
        <f t="shared" si="6"/>
        <v>-0.29190408048881533</v>
      </c>
      <c r="U14" s="33"/>
      <c r="V14" s="33">
        <f t="shared" si="7"/>
        <v>-0.11262710279948254</v>
      </c>
      <c r="W14" s="33">
        <f t="shared" si="8"/>
        <v>7.828166868916854E-2</v>
      </c>
      <c r="X14" s="33">
        <f t="shared" si="9"/>
        <v>-7.4393506337057505E-2</v>
      </c>
      <c r="Y14" s="33"/>
      <c r="Z14" s="33">
        <f t="shared" si="10"/>
        <v>-1.5405178008030629</v>
      </c>
      <c r="AA14" s="33">
        <f t="shared" si="13"/>
        <v>-1.8324218812918782</v>
      </c>
      <c r="AB14" s="33"/>
      <c r="AC14" s="33">
        <f t="shared" si="11"/>
        <v>0.52087691428850413</v>
      </c>
      <c r="AD14" s="33">
        <f t="shared" si="12"/>
        <v>0</v>
      </c>
      <c r="AE14" s="65"/>
      <c r="AF14" s="33"/>
      <c r="AG14" s="33"/>
    </row>
    <row r="15" spans="2:33" x14ac:dyDescent="0.35">
      <c r="B15" t="s">
        <v>57</v>
      </c>
      <c r="C15" t="s">
        <v>58</v>
      </c>
      <c r="D15" s="33">
        <f>_xlfn.XLOOKUP($C15,SEM!$B:$B,SEM!$D:$D)*Input_1_coef.</f>
        <v>3.7769829765423411</v>
      </c>
      <c r="E15" s="33">
        <f>_xlfn.XLOOKUP($C15,SEM!$B:$B,SEM!$E:$E)*Input_2_coef.</f>
        <v>2.4474695420497632</v>
      </c>
      <c r="F15" s="33">
        <f t="shared" si="0"/>
        <v>0.48949390840995266</v>
      </c>
      <c r="G15" s="33"/>
      <c r="H15" s="33">
        <f t="shared" si="1"/>
        <v>6.2244525185921038</v>
      </c>
      <c r="I15" s="33">
        <f>IF(Input_3_coef.&gt;=0.54,(Input_1_coef.*_xlfn.XLOOKUP($C15,COMBINED!$B:$B,COMBINED!$AB:$AB)+Input_2_coef.*_xlfn.XLOOKUP($C15,COMBINED!$B:$B,COMBINED!$AC:$AC))+F15,(Input_1_coef.*_xlfn.XLOOKUP($C15,COMBINED!$B:$B,COMBINED!$AB:$AB)+Input_2_coef.*_xlfn.XLOOKUP($C15,COMBINED!$B:$B,COMBINED!$AC:$AC)))</f>
        <v>6.2244525185921038</v>
      </c>
      <c r="J15" s="33">
        <f>_xlfn.XLOOKUP($C15,COMBINED!$B:$B,COMBINED!$N:$N)</f>
        <v>3.9701620144161245</v>
      </c>
      <c r="K15" s="33"/>
      <c r="L15" s="33"/>
      <c r="M15" s="33"/>
      <c r="N15" s="33">
        <f t="shared" si="2"/>
        <v>0.9809737169301157</v>
      </c>
      <c r="O15" s="33"/>
      <c r="P15" s="33">
        <f t="shared" si="3"/>
        <v>0.21795274042753315</v>
      </c>
      <c r="Q15" s="33">
        <f t="shared" si="4"/>
        <v>0.1110069858078119</v>
      </c>
      <c r="R15" s="33">
        <f t="shared" si="5"/>
        <v>0.23663440389275026</v>
      </c>
      <c r="S15" s="33"/>
      <c r="T15" s="33">
        <f t="shared" si="6"/>
        <v>-0.18118976941186007</v>
      </c>
      <c r="U15" s="33"/>
      <c r="V15" s="33">
        <f t="shared" si="7"/>
        <v>-6.9909535870794445E-2</v>
      </c>
      <c r="W15" s="33">
        <f t="shared" si="8"/>
        <v>4.8590747601794985E-2</v>
      </c>
      <c r="X15" s="33">
        <f t="shared" si="9"/>
        <v>-4.6177299873229008E-2</v>
      </c>
      <c r="Y15" s="33"/>
      <c r="Z15" s="33">
        <f t="shared" si="10"/>
        <v>-0.95622529371619325</v>
      </c>
      <c r="AA15" s="33">
        <f t="shared" si="13"/>
        <v>-1.1374150631280533</v>
      </c>
      <c r="AB15" s="33"/>
      <c r="AC15" s="33">
        <f t="shared" si="11"/>
        <v>0.32331705618452794</v>
      </c>
      <c r="AD15" s="33">
        <f t="shared" si="12"/>
        <v>0</v>
      </c>
      <c r="AE15" s="65"/>
      <c r="AF15" s="33"/>
      <c r="AG15" s="33"/>
    </row>
    <row r="16" spans="2:33" x14ac:dyDescent="0.35">
      <c r="B16" t="s">
        <v>59</v>
      </c>
      <c r="C16" t="s">
        <v>60</v>
      </c>
      <c r="D16" s="33">
        <f>_xlfn.XLOOKUP($C16,SEM!$B:$B,SEM!$D:$D)*Input_1_coef.</f>
        <v>19.75039430453797</v>
      </c>
      <c r="E16" s="33">
        <f>_xlfn.XLOOKUP($C16,SEM!$B:$B,SEM!$E:$E)*Input_2_coef.</f>
        <v>0.5532873462479978</v>
      </c>
      <c r="F16" s="33">
        <f t="shared" si="0"/>
        <v>0.11065746924959957</v>
      </c>
      <c r="G16" s="33"/>
      <c r="H16" s="33">
        <f t="shared" si="1"/>
        <v>20.303681650785968</v>
      </c>
      <c r="I16" s="33">
        <f>IF(Input_3_coef.&gt;=0.54,(Input_1_coef.*_xlfn.XLOOKUP($C16,COMBINED!$B:$B,COMBINED!$AB:$AB)+Input_2_coef.*_xlfn.XLOOKUP($C16,COMBINED!$B:$B,COMBINED!$AC:$AC))+F16,(Input_1_coef.*_xlfn.XLOOKUP($C16,COMBINED!$B:$B,COMBINED!$AB:$AB)+Input_2_coef.*_xlfn.XLOOKUP($C16,COMBINED!$B:$B,COMBINED!$AC:$AC)))</f>
        <v>20.303681650785968</v>
      </c>
      <c r="J16" s="33">
        <f>_xlfn.XLOOKUP($C16,COMBINED!$B:$B,COMBINED!$N:$N)</f>
        <v>21.306174257306051</v>
      </c>
      <c r="K16" s="33"/>
      <c r="L16" s="33"/>
      <c r="M16" s="33"/>
      <c r="N16" s="33">
        <f t="shared" si="2"/>
        <v>3.1998602281638688</v>
      </c>
      <c r="O16" s="33"/>
      <c r="P16" s="33">
        <f t="shared" si="3"/>
        <v>0.71094494549344855</v>
      </c>
      <c r="Q16" s="33">
        <f t="shared" si="4"/>
        <v>0.36209618341902339</v>
      </c>
      <c r="R16" s="33">
        <f t="shared" si="5"/>
        <v>0.77188308367860115</v>
      </c>
      <c r="S16" s="33"/>
      <c r="T16" s="33">
        <f t="shared" si="6"/>
        <v>-0.59102698358277916</v>
      </c>
      <c r="U16" s="33"/>
      <c r="V16" s="33">
        <f t="shared" si="7"/>
        <v>-0.22803948723764517</v>
      </c>
      <c r="W16" s="33">
        <f t="shared" si="8"/>
        <v>0.15849925234929538</v>
      </c>
      <c r="X16" s="33">
        <f t="shared" si="9"/>
        <v>-0.15062677292797275</v>
      </c>
      <c r="Y16" s="33"/>
      <c r="Z16" s="33">
        <f t="shared" si="10"/>
        <v>-3.1191327899203434</v>
      </c>
      <c r="AA16" s="33">
        <f t="shared" si="13"/>
        <v>-3.7101597735031224</v>
      </c>
      <c r="AB16" s="33"/>
      <c r="AC16" s="33">
        <f t="shared" si="11"/>
        <v>1.0546351765769038</v>
      </c>
      <c r="AD16" s="33">
        <f t="shared" si="12"/>
        <v>0</v>
      </c>
      <c r="AE16" s="65"/>
      <c r="AF16" s="33"/>
      <c r="AG16" s="33"/>
    </row>
    <row r="17" spans="2:33" x14ac:dyDescent="0.35">
      <c r="B17" t="s">
        <v>61</v>
      </c>
      <c r="C17" t="s">
        <v>62</v>
      </c>
      <c r="D17" s="33">
        <f>_xlfn.XLOOKUP($C17,SEM!$B:$B,SEM!$D:$D)*Input_1_coef.</f>
        <v>12.608212743652061</v>
      </c>
      <c r="E17" s="33">
        <f>_xlfn.XLOOKUP($C17,SEM!$B:$B,SEM!$E:$E)*Input_2_coef.</f>
        <v>0.25322483910269855</v>
      </c>
      <c r="F17" s="33">
        <f t="shared" si="0"/>
        <v>5.0644967820539712E-2</v>
      </c>
      <c r="G17" s="33"/>
      <c r="H17" s="33">
        <f t="shared" si="1"/>
        <v>12.861437582754759</v>
      </c>
      <c r="I17" s="33">
        <f>IF(Input_3_coef.&gt;=0.54,(Input_1_coef.*_xlfn.XLOOKUP($C17,COMBINED!$B:$B,COMBINED!$AB:$AB)+Input_2_coef.*_xlfn.XLOOKUP($C17,COMBINED!$B:$B,COMBINED!$AC:$AC))+F17,(Input_1_coef.*_xlfn.XLOOKUP($C17,COMBINED!$B:$B,COMBINED!$AB:$AB)+Input_2_coef.*_xlfn.XLOOKUP($C17,COMBINED!$B:$B,COMBINED!$AC:$AC)))</f>
        <v>12.861437582754759</v>
      </c>
      <c r="J17" s="33">
        <f>_xlfn.XLOOKUP($C17,COMBINED!$B:$B,COMBINED!$N:$N)</f>
        <v>15.055348267709141</v>
      </c>
      <c r="K17" s="33"/>
      <c r="L17" s="33"/>
      <c r="M17" s="33"/>
      <c r="N17" s="33">
        <f t="shared" si="2"/>
        <v>2.0269625630421504</v>
      </c>
      <c r="O17" s="33"/>
      <c r="P17" s="33">
        <f t="shared" si="3"/>
        <v>0.45035054225670507</v>
      </c>
      <c r="Q17" s="33">
        <f t="shared" si="4"/>
        <v>0.22937108363384973</v>
      </c>
      <c r="R17" s="33">
        <f t="shared" si="5"/>
        <v>0.48895201730727977</v>
      </c>
      <c r="S17" s="33"/>
      <c r="T17" s="33">
        <f t="shared" si="6"/>
        <v>-0.3743880932441373</v>
      </c>
      <c r="U17" s="33"/>
      <c r="V17" s="33">
        <f t="shared" si="7"/>
        <v>-0.14445240434494494</v>
      </c>
      <c r="W17" s="33">
        <f t="shared" si="8"/>
        <v>0.10040190129383976</v>
      </c>
      <c r="X17" s="33">
        <f t="shared" si="9"/>
        <v>-9.5415051891827848E-2</v>
      </c>
      <c r="Y17" s="33"/>
      <c r="Z17" s="33">
        <f t="shared" si="10"/>
        <v>-1.9758254872131171</v>
      </c>
      <c r="AA17" s="33">
        <f t="shared" si="13"/>
        <v>-2.3502135804572544</v>
      </c>
      <c r="AB17" s="33"/>
      <c r="AC17" s="33">
        <f t="shared" si="11"/>
        <v>0.66806231152645734</v>
      </c>
      <c r="AD17" s="33">
        <f t="shared" si="12"/>
        <v>0</v>
      </c>
      <c r="AE17" s="65"/>
      <c r="AF17" s="33"/>
      <c r="AG17" s="33"/>
    </row>
    <row r="18" spans="2:33" x14ac:dyDescent="0.35">
      <c r="B18" t="s">
        <v>63</v>
      </c>
      <c r="C18" t="s">
        <v>64</v>
      </c>
      <c r="D18" s="33">
        <f>_xlfn.XLOOKUP($C18,SEM!$B:$B,SEM!$D:$D)*Input_1_coef.</f>
        <v>10.231847002320963</v>
      </c>
      <c r="E18" s="33">
        <f>_xlfn.XLOOKUP($C18,SEM!$B:$B,SEM!$E:$E)*Input_2_coef.</f>
        <v>0.83009995242967938</v>
      </c>
      <c r="F18" s="33">
        <f t="shared" si="0"/>
        <v>0.16601999048593588</v>
      </c>
      <c r="G18" s="33"/>
      <c r="H18" s="33">
        <f t="shared" si="1"/>
        <v>11.061946954750642</v>
      </c>
      <c r="I18" s="33">
        <f>IF(Input_3_coef.&gt;=0.54,(Input_1_coef.*_xlfn.XLOOKUP($C18,COMBINED!$B:$B,COMBINED!$AB:$AB)+Input_2_coef.*_xlfn.XLOOKUP($C18,COMBINED!$B:$B,COMBINED!$AC:$AC))+F18,(Input_1_coef.*_xlfn.XLOOKUP($C18,COMBINED!$B:$B,COMBINED!$AB:$AB)+Input_2_coef.*_xlfn.XLOOKUP($C18,COMBINED!$B:$B,COMBINED!$AC:$AC)))</f>
        <v>11.061946954750642</v>
      </c>
      <c r="J18" s="33">
        <f>_xlfn.XLOOKUP($C18,COMBINED!$B:$B,COMBINED!$N:$N)</f>
        <v>11.257477181820439</v>
      </c>
      <c r="K18" s="33"/>
      <c r="L18" s="33"/>
      <c r="M18" s="33"/>
      <c r="N18" s="33">
        <f t="shared" si="2"/>
        <v>1.7433628400687016</v>
      </c>
      <c r="O18" s="33"/>
      <c r="P18" s="33">
        <f t="shared" si="3"/>
        <v>0.38734035580646414</v>
      </c>
      <c r="Q18" s="33">
        <f t="shared" si="4"/>
        <v>0.19727893898217427</v>
      </c>
      <c r="R18" s="33">
        <f t="shared" si="5"/>
        <v>0.42054095773273248</v>
      </c>
      <c r="S18" s="33"/>
      <c r="T18" s="33">
        <f t="shared" si="6"/>
        <v>-0.32200609001204944</v>
      </c>
      <c r="U18" s="33"/>
      <c r="V18" s="33">
        <f t="shared" si="7"/>
        <v>-0.12424154174588911</v>
      </c>
      <c r="W18" s="33">
        <f t="shared" si="8"/>
        <v>8.6354305195071368E-2</v>
      </c>
      <c r="X18" s="33">
        <f t="shared" si="9"/>
        <v>-8.2065184076110867E-2</v>
      </c>
      <c r="Y18" s="33"/>
      <c r="Z18" s="33">
        <f t="shared" si="10"/>
        <v>-1.6993805389766126</v>
      </c>
      <c r="AA18" s="33">
        <f t="shared" si="13"/>
        <v>-2.0213866289886622</v>
      </c>
      <c r="AB18" s="33"/>
      <c r="AC18" s="33">
        <f t="shared" si="11"/>
        <v>0.57459127760980111</v>
      </c>
      <c r="AD18" s="33">
        <f t="shared" si="12"/>
        <v>0</v>
      </c>
      <c r="AE18" s="65"/>
      <c r="AF18" s="33"/>
      <c r="AG18" s="33"/>
    </row>
    <row r="19" spans="2:33" x14ac:dyDescent="0.35">
      <c r="B19" t="s">
        <v>65</v>
      </c>
      <c r="C19" t="s">
        <v>66</v>
      </c>
      <c r="D19" s="33">
        <f>_xlfn.XLOOKUP($C19,SEM!$B:$B,SEM!$D:$D)*Input_1_coef.</f>
        <v>12.86220851483635</v>
      </c>
      <c r="E19" s="33">
        <f>_xlfn.XLOOKUP($C19,SEM!$B:$B,SEM!$E:$E)*Input_2_coef.</f>
        <v>4.1014825119472151</v>
      </c>
      <c r="F19" s="33">
        <f t="shared" si="0"/>
        <v>0.82029650238944307</v>
      </c>
      <c r="G19" s="33"/>
      <c r="H19" s="33">
        <f t="shared" si="1"/>
        <v>16.963691026783565</v>
      </c>
      <c r="I19" s="33">
        <f>IF(Input_3_coef.&gt;=0.54,(Input_1_coef.*_xlfn.XLOOKUP($C19,COMBINED!$B:$B,COMBINED!$AB:$AB)+Input_2_coef.*_xlfn.XLOOKUP($C19,COMBINED!$B:$B,COMBINED!$AC:$AC))+F19,(Input_1_coef.*_xlfn.XLOOKUP($C19,COMBINED!$B:$B,COMBINED!$AB:$AB)+Input_2_coef.*_xlfn.XLOOKUP($C19,COMBINED!$B:$B,COMBINED!$AC:$AC)))</f>
        <v>16.963691026783565</v>
      </c>
      <c r="J19" s="33">
        <f>_xlfn.XLOOKUP($C19,COMBINED!$B:$B,COMBINED!$N:$N)</f>
        <v>15.093434057158985</v>
      </c>
      <c r="K19" s="33"/>
      <c r="L19" s="33"/>
      <c r="M19" s="33"/>
      <c r="N19" s="33">
        <f t="shared" si="2"/>
        <v>2.6734777058210897</v>
      </c>
      <c r="O19" s="33"/>
      <c r="P19" s="33">
        <f t="shared" si="3"/>
        <v>0.59399327667932977</v>
      </c>
      <c r="Q19" s="33">
        <f t="shared" si="4"/>
        <v>0.30253073719071455</v>
      </c>
      <c r="R19" s="33">
        <f t="shared" si="5"/>
        <v>0.64490698610898656</v>
      </c>
      <c r="S19" s="33"/>
      <c r="T19" s="33">
        <f t="shared" si="6"/>
        <v>-0.49380202617597851</v>
      </c>
      <c r="U19" s="33"/>
      <c r="V19" s="33">
        <f t="shared" si="7"/>
        <v>-0.19052659857163484</v>
      </c>
      <c r="W19" s="33">
        <f t="shared" si="8"/>
        <v>0.13242585217176919</v>
      </c>
      <c r="X19" s="33">
        <f t="shared" si="9"/>
        <v>-0.12584840918310516</v>
      </c>
      <c r="Y19" s="33"/>
      <c r="Z19" s="33">
        <f t="shared" si="10"/>
        <v>-2.6060300702985981</v>
      </c>
      <c r="AA19" s="33">
        <f t="shared" si="13"/>
        <v>-3.0998320964745765</v>
      </c>
      <c r="AB19" s="33"/>
      <c r="AC19" s="33">
        <f t="shared" si="11"/>
        <v>0.88114587241547726</v>
      </c>
      <c r="AD19" s="33">
        <f t="shared" si="12"/>
        <v>0</v>
      </c>
      <c r="AE19" s="65"/>
      <c r="AF19" s="33"/>
      <c r="AG19" s="33"/>
    </row>
    <row r="20" spans="2:33" x14ac:dyDescent="0.35">
      <c r="B20" t="s">
        <v>67</v>
      </c>
      <c r="C20" t="s">
        <v>68</v>
      </c>
      <c r="D20" s="33">
        <f>_xlfn.XLOOKUP($C20,SEM!$B:$B,SEM!$D:$D)*Input_1_coef.</f>
        <v>16.259899527274069</v>
      </c>
      <c r="E20" s="33">
        <f>_xlfn.XLOOKUP($C20,SEM!$B:$B,SEM!$E:$E)*Input_2_coef.</f>
        <v>14.199211616449256</v>
      </c>
      <c r="F20" s="33">
        <f t="shared" si="0"/>
        <v>2.8398423232898513</v>
      </c>
      <c r="G20" s="33"/>
      <c r="H20" s="33">
        <f t="shared" si="1"/>
        <v>30.459111143723327</v>
      </c>
      <c r="I20" s="33">
        <f>IF(Input_3_coef.&gt;=0.54,(Input_1_coef.*_xlfn.XLOOKUP($C20,COMBINED!$B:$B,COMBINED!$AB:$AB)+Input_2_coef.*_xlfn.XLOOKUP($C20,COMBINED!$B:$B,COMBINED!$AC:$AC))+F20,(Input_1_coef.*_xlfn.XLOOKUP($C20,COMBINED!$B:$B,COMBINED!$AB:$AB)+Input_2_coef.*_xlfn.XLOOKUP($C20,COMBINED!$B:$B,COMBINED!$AC:$AC)))</f>
        <v>30.459111143723327</v>
      </c>
      <c r="J20" s="33">
        <f>_xlfn.XLOOKUP($C20,COMBINED!$B:$B,COMBINED!$N:$N)</f>
        <v>20.280046054494363</v>
      </c>
      <c r="K20" s="33"/>
      <c r="L20" s="33"/>
      <c r="M20" s="33"/>
      <c r="N20" s="33">
        <f t="shared" si="2"/>
        <v>4.8003559162507976</v>
      </c>
      <c r="O20" s="33"/>
      <c r="P20" s="33">
        <f t="shared" si="3"/>
        <v>1.0665430774726024</v>
      </c>
      <c r="Q20" s="33">
        <f t="shared" si="4"/>
        <v>0.54320827548294026</v>
      </c>
      <c r="R20" s="33">
        <f t="shared" si="5"/>
        <v>1.1579610555416824</v>
      </c>
      <c r="S20" s="33"/>
      <c r="T20" s="33">
        <f t="shared" si="6"/>
        <v>-0.88664493915518727</v>
      </c>
      <c r="U20" s="33"/>
      <c r="V20" s="33">
        <f t="shared" si="7"/>
        <v>-0.34209953674388083</v>
      </c>
      <c r="W20" s="33">
        <f t="shared" si="8"/>
        <v>0.23777689320288151</v>
      </c>
      <c r="X20" s="33">
        <f t="shared" si="9"/>
        <v>-0.22596678261333439</v>
      </c>
      <c r="Y20" s="33"/>
      <c r="Z20" s="33">
        <f t="shared" si="10"/>
        <v>-4.6792504903433514</v>
      </c>
      <c r="AA20" s="33">
        <f t="shared" si="13"/>
        <v>-5.5658954294985383</v>
      </c>
      <c r="AB20" s="33"/>
      <c r="AC20" s="33">
        <f t="shared" si="11"/>
        <v>1.5821391712075366</v>
      </c>
      <c r="AD20" s="33">
        <f t="shared" si="12"/>
        <v>0</v>
      </c>
      <c r="AE20" s="65"/>
      <c r="AF20" s="33"/>
      <c r="AG20" s="33"/>
    </row>
    <row r="21" spans="2:33" x14ac:dyDescent="0.35">
      <c r="B21" t="s">
        <v>69</v>
      </c>
      <c r="C21" t="s">
        <v>70</v>
      </c>
      <c r="D21" s="33">
        <f>_xlfn.XLOOKUP($C21,SEM!$B:$B,SEM!$D:$D)*Input_1_coef.</f>
        <v>13.791422945813666</v>
      </c>
      <c r="E21" s="33">
        <f>_xlfn.XLOOKUP($C21,SEM!$B:$B,SEM!$E:$E)*Input_2_coef.</f>
        <v>1.5987631369418207</v>
      </c>
      <c r="F21" s="33">
        <f t="shared" si="0"/>
        <v>0.31975262738836419</v>
      </c>
      <c r="G21" s="33"/>
      <c r="H21" s="33">
        <f t="shared" si="1"/>
        <v>15.390186082755488</v>
      </c>
      <c r="I21" s="33">
        <f>IF(Input_3_coef.&gt;=0.54,(Input_1_coef.*_xlfn.XLOOKUP($C21,COMBINED!$B:$B,COMBINED!$AB:$AB)+Input_2_coef.*_xlfn.XLOOKUP($C21,COMBINED!$B:$B,COMBINED!$AC:$AC))+F21,(Input_1_coef.*_xlfn.XLOOKUP($C21,COMBINED!$B:$B,COMBINED!$AB:$AB)+Input_2_coef.*_xlfn.XLOOKUP($C21,COMBINED!$B:$B,COMBINED!$AC:$AC)))</f>
        <v>15.390186082755488</v>
      </c>
      <c r="J21" s="33">
        <f>_xlfn.XLOOKUP($C21,COMBINED!$B:$B,COMBINED!$N:$N)</f>
        <v>17.44527928542762</v>
      </c>
      <c r="K21" s="33"/>
      <c r="L21" s="33"/>
      <c r="M21" s="33"/>
      <c r="N21" s="33">
        <f t="shared" si="2"/>
        <v>2.4254933266422647</v>
      </c>
      <c r="O21" s="33"/>
      <c r="P21" s="33">
        <f t="shared" si="3"/>
        <v>0.53889610731337845</v>
      </c>
      <c r="Q21" s="33">
        <f t="shared" si="4"/>
        <v>0.27446882484283869</v>
      </c>
      <c r="R21" s="33">
        <f t="shared" si="5"/>
        <v>0.58508720222595367</v>
      </c>
      <c r="S21" s="33"/>
      <c r="T21" s="33">
        <f t="shared" si="6"/>
        <v>-0.44799831940413287</v>
      </c>
      <c r="U21" s="33"/>
      <c r="V21" s="33">
        <f t="shared" si="7"/>
        <v>-0.17285387956561302</v>
      </c>
      <c r="W21" s="33">
        <f t="shared" si="8"/>
        <v>0.12014239730452274</v>
      </c>
      <c r="X21" s="33">
        <f t="shared" si="9"/>
        <v>-0.11417505969005967</v>
      </c>
      <c r="Y21" s="33"/>
      <c r="Z21" s="33">
        <f t="shared" si="10"/>
        <v>-2.3643019467772293</v>
      </c>
      <c r="AA21" s="33">
        <f t="shared" si="13"/>
        <v>-2.8123002661813623</v>
      </c>
      <c r="AB21" s="33"/>
      <c r="AC21" s="33">
        <f t="shared" si="11"/>
        <v>0.79941322446364926</v>
      </c>
      <c r="AD21" s="33">
        <f t="shared" si="12"/>
        <v>0</v>
      </c>
      <c r="AE21" s="65"/>
      <c r="AF21" s="33"/>
      <c r="AG21" s="33"/>
    </row>
    <row r="22" spans="2:33" x14ac:dyDescent="0.35">
      <c r="B22" t="s">
        <v>71</v>
      </c>
      <c r="C22" t="s">
        <v>72</v>
      </c>
      <c r="D22" s="33">
        <f>_xlfn.XLOOKUP($C22,SEM!$B:$B,SEM!$D:$D)*Input_1_coef.</f>
        <v>41.468257667981618</v>
      </c>
      <c r="E22" s="33">
        <f>_xlfn.XLOOKUP($C22,SEM!$B:$B,SEM!$E:$E)*Input_2_coef.</f>
        <v>2.5660828325728673</v>
      </c>
      <c r="F22" s="33">
        <f t="shared" si="0"/>
        <v>0.51321656651457348</v>
      </c>
      <c r="G22" s="33"/>
      <c r="H22" s="33">
        <f t="shared" si="1"/>
        <v>44.034340500554485</v>
      </c>
      <c r="I22" s="33">
        <f>IF(Input_3_coef.&gt;=0.54,(Input_1_coef.*_xlfn.XLOOKUP($C22,COMBINED!$B:$B,COMBINED!$AB:$AB)+Input_2_coef.*_xlfn.XLOOKUP($C22,COMBINED!$B:$B,COMBINED!$AC:$AC))+F22,(Input_1_coef.*_xlfn.XLOOKUP($C22,COMBINED!$B:$B,COMBINED!$AB:$AB)+Input_2_coef.*_xlfn.XLOOKUP($C22,COMBINED!$B:$B,COMBINED!$AC:$AC)))</f>
        <v>44.034340500554485</v>
      </c>
      <c r="J22" s="33">
        <f>_xlfn.XLOOKUP($C22,COMBINED!$B:$B,COMBINED!$N:$N)</f>
        <v>50.137284636813654</v>
      </c>
      <c r="K22" s="33"/>
      <c r="L22" s="33"/>
      <c r="M22" s="33"/>
      <c r="N22" s="33">
        <f t="shared" si="2"/>
        <v>6.9398120628873876</v>
      </c>
      <c r="O22" s="33"/>
      <c r="P22" s="33">
        <f t="shared" si="3"/>
        <v>1.54188744413232</v>
      </c>
      <c r="Q22" s="33">
        <f t="shared" si="4"/>
        <v>0.78530913303633687</v>
      </c>
      <c r="R22" s="33">
        <f t="shared" si="5"/>
        <v>1.6740492250579473</v>
      </c>
      <c r="S22" s="33"/>
      <c r="T22" s="33">
        <f t="shared" si="6"/>
        <v>-1.281811047263552</v>
      </c>
      <c r="U22" s="33"/>
      <c r="V22" s="33">
        <f t="shared" si="7"/>
        <v>-0.49456884723197986</v>
      </c>
      <c r="W22" s="33">
        <f t="shared" si="8"/>
        <v>0.34375095941095035</v>
      </c>
      <c r="X22" s="33">
        <f t="shared" si="9"/>
        <v>-0.32667723626139977</v>
      </c>
      <c r="Y22" s="33"/>
      <c r="Z22" s="33">
        <f t="shared" si="10"/>
        <v>-6.764731525057182</v>
      </c>
      <c r="AA22" s="33">
        <f t="shared" si="13"/>
        <v>-8.0465425723207336</v>
      </c>
      <c r="AB22" s="33"/>
      <c r="AC22" s="33">
        <f t="shared" si="11"/>
        <v>2.2872780054376025</v>
      </c>
      <c r="AD22" s="33">
        <f t="shared" si="12"/>
        <v>0</v>
      </c>
      <c r="AE22" s="65"/>
      <c r="AF22" s="33"/>
      <c r="AG22" s="33"/>
    </row>
    <row r="23" spans="2:33" x14ac:dyDescent="0.35">
      <c r="B23" t="s">
        <v>73</v>
      </c>
      <c r="C23" t="s">
        <v>74</v>
      </c>
      <c r="D23" s="33">
        <f>_xlfn.XLOOKUP($C23,SEM!$B:$B,SEM!$D:$D)*Input_1_coef.</f>
        <v>16.44784298974124</v>
      </c>
      <c r="E23" s="33">
        <f>_xlfn.XLOOKUP($C23,SEM!$B:$B,SEM!$E:$E)*Input_2_coef.</f>
        <v>1.1093673660213568</v>
      </c>
      <c r="F23" s="33">
        <f t="shared" si="0"/>
        <v>0.22187347320427137</v>
      </c>
      <c r="G23" s="33"/>
      <c r="H23" s="33">
        <f t="shared" si="1"/>
        <v>17.557210355762596</v>
      </c>
      <c r="I23" s="33">
        <f>IF(Input_3_coef.&gt;=0.54,(Input_1_coef.*_xlfn.XLOOKUP($C23,COMBINED!$B:$B,COMBINED!$AB:$AB)+Input_2_coef.*_xlfn.XLOOKUP($C23,COMBINED!$B:$B,COMBINED!$AC:$AC))+F23,(Input_1_coef.*_xlfn.XLOOKUP($C23,COMBINED!$B:$B,COMBINED!$AB:$AB)+Input_2_coef.*_xlfn.XLOOKUP($C23,COMBINED!$B:$B,COMBINED!$AC:$AC)))</f>
        <v>17.557210355762596</v>
      </c>
      <c r="J23" s="33">
        <f>_xlfn.XLOOKUP($C23,COMBINED!$B:$B,COMBINED!$N:$N)</f>
        <v>19.35794740669748</v>
      </c>
      <c r="K23" s="33"/>
      <c r="L23" s="33"/>
      <c r="M23" s="33"/>
      <c r="N23" s="33">
        <f t="shared" si="2"/>
        <v>2.7670163520681856</v>
      </c>
      <c r="O23" s="33"/>
      <c r="P23" s="33">
        <f t="shared" si="3"/>
        <v>0.61477569310250957</v>
      </c>
      <c r="Q23" s="33">
        <f t="shared" si="4"/>
        <v>0.3131155704000359</v>
      </c>
      <c r="R23" s="33">
        <f t="shared" si="5"/>
        <v>0.66747075251129606</v>
      </c>
      <c r="S23" s="33"/>
      <c r="T23" s="33">
        <f t="shared" si="6"/>
        <v>-0.51107898829240206</v>
      </c>
      <c r="U23" s="33"/>
      <c r="V23" s="33">
        <f t="shared" si="7"/>
        <v>-0.19719267252678724</v>
      </c>
      <c r="W23" s="33">
        <f t="shared" si="8"/>
        <v>0.13705911876430321</v>
      </c>
      <c r="X23" s="33">
        <f t="shared" si="9"/>
        <v>-0.13025154664024841</v>
      </c>
      <c r="Y23" s="33"/>
      <c r="Z23" s="33">
        <f t="shared" si="10"/>
        <v>-2.6972088836936732</v>
      </c>
      <c r="AA23" s="33">
        <f t="shared" si="13"/>
        <v>-3.2082878719860752</v>
      </c>
      <c r="AB23" s="33"/>
      <c r="AC23" s="33">
        <f t="shared" si="11"/>
        <v>0.91197507733927385</v>
      </c>
      <c r="AD23" s="33">
        <f t="shared" si="12"/>
        <v>0</v>
      </c>
      <c r="AE23" s="65"/>
      <c r="AF23" s="33"/>
      <c r="AG23" s="33"/>
    </row>
    <row r="24" spans="2:33" x14ac:dyDescent="0.35">
      <c r="B24" t="s">
        <v>75</v>
      </c>
      <c r="C24" t="s">
        <v>76</v>
      </c>
      <c r="D24" s="33">
        <f>_xlfn.XLOOKUP($C24,SEM!$B:$B,SEM!$D:$D)*Input_1_coef.</f>
        <v>28.88574768919063</v>
      </c>
      <c r="E24" s="33">
        <f>_xlfn.XLOOKUP($C24,SEM!$B:$B,SEM!$E:$E)*Input_2_coef.</f>
        <v>0.77377754461692061</v>
      </c>
      <c r="F24" s="33">
        <f t="shared" si="0"/>
        <v>0.15475550892338413</v>
      </c>
      <c r="G24" s="33"/>
      <c r="H24" s="33">
        <f t="shared" si="1"/>
        <v>29.65952523380755</v>
      </c>
      <c r="I24" s="33">
        <f>IF(Input_3_coef.&gt;=0.54,(Input_1_coef.*_xlfn.XLOOKUP($C24,COMBINED!$B:$B,COMBINED!$AB:$AB)+Input_2_coef.*_xlfn.XLOOKUP($C24,COMBINED!$B:$B,COMBINED!$AC:$AC))+F24,(Input_1_coef.*_xlfn.XLOOKUP($C24,COMBINED!$B:$B,COMBINED!$AB:$AB)+Input_2_coef.*_xlfn.XLOOKUP($C24,COMBINED!$B:$B,COMBINED!$AC:$AC)))</f>
        <v>29.65952523380755</v>
      </c>
      <c r="J24" s="33">
        <f>_xlfn.XLOOKUP($C24,COMBINED!$B:$B,COMBINED!$N:$N)</f>
        <v>32.580996306480337</v>
      </c>
      <c r="K24" s="33"/>
      <c r="L24" s="33"/>
      <c r="M24" s="33"/>
      <c r="N24" s="33">
        <f t="shared" si="2"/>
        <v>4.6743411768480696</v>
      </c>
      <c r="O24" s="33"/>
      <c r="P24" s="33">
        <f t="shared" si="3"/>
        <v>1.0385451226721043</v>
      </c>
      <c r="Q24" s="33">
        <f t="shared" si="4"/>
        <v>0.52894844757212756</v>
      </c>
      <c r="R24" s="33">
        <f t="shared" si="5"/>
        <v>1.1275632760439989</v>
      </c>
      <c r="S24" s="33"/>
      <c r="T24" s="33">
        <f t="shared" si="6"/>
        <v>-0.86336951272854578</v>
      </c>
      <c r="U24" s="33"/>
      <c r="V24" s="33">
        <f t="shared" si="7"/>
        <v>-0.33311903931313119</v>
      </c>
      <c r="W24" s="33">
        <f t="shared" si="8"/>
        <v>0.23153498244549048</v>
      </c>
      <c r="X24" s="33">
        <f t="shared" si="9"/>
        <v>-0.22003490053594627</v>
      </c>
      <c r="Y24" s="33"/>
      <c r="Z24" s="33">
        <f t="shared" si="10"/>
        <v>-4.5564149045184514</v>
      </c>
      <c r="AA24" s="33">
        <f t="shared" si="13"/>
        <v>-5.4197844172469969</v>
      </c>
      <c r="AB24" s="33"/>
      <c r="AC24" s="33">
        <f t="shared" si="11"/>
        <v>1.5406062393089623</v>
      </c>
      <c r="AD24" s="33">
        <f t="shared" si="12"/>
        <v>0</v>
      </c>
      <c r="AE24" s="65"/>
      <c r="AF24" s="33"/>
      <c r="AG24" s="33"/>
    </row>
    <row r="25" spans="2:33" x14ac:dyDescent="0.35">
      <c r="B25" t="s">
        <v>77</v>
      </c>
      <c r="C25" t="s">
        <v>78</v>
      </c>
      <c r="D25" s="33">
        <f>_xlfn.XLOOKUP($C25,SEM!$B:$B,SEM!$D:$D)*Input_1_coef.</f>
        <v>7.1959192159926992</v>
      </c>
      <c r="E25" s="33">
        <f>_xlfn.XLOOKUP($C25,SEM!$B:$B,SEM!$E:$E)*Input_2_coef.</f>
        <v>0.79004787931672049</v>
      </c>
      <c r="F25" s="33">
        <f t="shared" si="0"/>
        <v>0.1580095758633441</v>
      </c>
      <c r="G25" s="33"/>
      <c r="H25" s="33">
        <f t="shared" si="1"/>
        <v>7.9859670953094195</v>
      </c>
      <c r="I25" s="33">
        <f>IF(Input_3_coef.&gt;=0.54,(Input_1_coef.*_xlfn.XLOOKUP($C25,COMBINED!$B:$B,COMBINED!$AB:$AB)+Input_2_coef.*_xlfn.XLOOKUP($C25,COMBINED!$B:$B,COMBINED!$AC:$AC))+F25,(Input_1_coef.*_xlfn.XLOOKUP($C25,COMBINED!$B:$B,COMBINED!$AB:$AB)+Input_2_coef.*_xlfn.XLOOKUP($C25,COMBINED!$B:$B,COMBINED!$AC:$AC)))</f>
        <v>7.9859670953094195</v>
      </c>
      <c r="J25" s="33">
        <f>_xlfn.XLOOKUP($C25,COMBINED!$B:$B,COMBINED!$N:$N)</f>
        <v>8.60047179079457</v>
      </c>
      <c r="K25" s="33"/>
      <c r="L25" s="33"/>
      <c r="M25" s="33"/>
      <c r="N25" s="33">
        <f t="shared" si="2"/>
        <v>1.2585884142207646</v>
      </c>
      <c r="O25" s="33"/>
      <c r="P25" s="33">
        <f t="shared" si="3"/>
        <v>0.27963317387156955</v>
      </c>
      <c r="Q25" s="33">
        <f t="shared" si="4"/>
        <v>0.14242186495322173</v>
      </c>
      <c r="R25" s="33">
        <f t="shared" si="5"/>
        <v>0.30360173163198972</v>
      </c>
      <c r="S25" s="33"/>
      <c r="T25" s="33">
        <f t="shared" si="6"/>
        <v>-0.23246631446023211</v>
      </c>
      <c r="U25" s="33"/>
      <c r="V25" s="33">
        <f t="shared" si="7"/>
        <v>-8.9693872906078123E-2</v>
      </c>
      <c r="W25" s="33">
        <f t="shared" si="8"/>
        <v>6.2341886346687206E-2</v>
      </c>
      <c r="X25" s="33">
        <f t="shared" si="9"/>
        <v>-5.9245435038076909E-2</v>
      </c>
      <c r="Y25" s="33"/>
      <c r="Z25" s="33">
        <f t="shared" si="10"/>
        <v>-1.2268362090498142</v>
      </c>
      <c r="AA25" s="33">
        <f t="shared" si="13"/>
        <v>-1.4593025235100463</v>
      </c>
      <c r="AB25" s="33"/>
      <c r="AC25" s="33">
        <f t="shared" si="11"/>
        <v>0.41481549812287172</v>
      </c>
      <c r="AD25" s="33">
        <f t="shared" si="12"/>
        <v>0</v>
      </c>
      <c r="AE25" s="65"/>
      <c r="AF25" s="33"/>
      <c r="AG25" s="33"/>
    </row>
    <row r="26" spans="2:33" x14ac:dyDescent="0.35">
      <c r="B26" t="s">
        <v>79</v>
      </c>
      <c r="C26" t="s">
        <v>80</v>
      </c>
      <c r="D26" s="33">
        <f>_xlfn.XLOOKUP($C26,SEM!$B:$B,SEM!$D:$D)*Input_1_coef.</f>
        <v>38.395776293426493</v>
      </c>
      <c r="E26" s="33">
        <f>_xlfn.XLOOKUP($C26,SEM!$B:$B,SEM!$E:$E)*Input_2_coef.</f>
        <v>9.0224121860465214</v>
      </c>
      <c r="F26" s="33">
        <f t="shared" si="0"/>
        <v>1.8044824372093045</v>
      </c>
      <c r="G26" s="33"/>
      <c r="H26" s="33">
        <f t="shared" si="1"/>
        <v>47.418188479473017</v>
      </c>
      <c r="I26" s="33">
        <f>IF(Input_3_coef.&gt;=0.54,(Input_1_coef.*_xlfn.XLOOKUP($C26,COMBINED!$B:$B,COMBINED!$AB:$AB)+Input_2_coef.*_xlfn.XLOOKUP($C26,COMBINED!$B:$B,COMBINED!$AC:$AC))+F26,(Input_1_coef.*_xlfn.XLOOKUP($C26,COMBINED!$B:$B,COMBINED!$AB:$AB)+Input_2_coef.*_xlfn.XLOOKUP($C26,COMBINED!$B:$B,COMBINED!$AC:$AC)))</f>
        <v>47.418188479473017</v>
      </c>
      <c r="J26" s="33">
        <f>_xlfn.XLOOKUP($C26,COMBINED!$B:$B,COMBINED!$N:$N)</f>
        <v>48.464221402575184</v>
      </c>
      <c r="K26" s="33"/>
      <c r="L26" s="33"/>
      <c r="M26" s="33"/>
      <c r="N26" s="33">
        <f t="shared" si="2"/>
        <v>7.4731065043649485</v>
      </c>
      <c r="O26" s="33"/>
      <c r="P26" s="33">
        <f t="shared" si="3"/>
        <v>1.6603748031398045</v>
      </c>
      <c r="Q26" s="33">
        <f t="shared" si="4"/>
        <v>0.84565673203393754</v>
      </c>
      <c r="R26" s="33">
        <f t="shared" si="5"/>
        <v>1.8026926434089305</v>
      </c>
      <c r="S26" s="33"/>
      <c r="T26" s="33">
        <f t="shared" si="6"/>
        <v>-1.3803126637822234</v>
      </c>
      <c r="U26" s="33"/>
      <c r="V26" s="33">
        <f t="shared" si="7"/>
        <v>-0.532574316943078</v>
      </c>
      <c r="W26" s="33">
        <f t="shared" si="8"/>
        <v>0.37016672892246155</v>
      </c>
      <c r="X26" s="33">
        <f t="shared" si="9"/>
        <v>-0.35178096424088229</v>
      </c>
      <c r="Y26" s="33"/>
      <c r="Z26" s="33">
        <f t="shared" si="10"/>
        <v>-7.2845717869705613</v>
      </c>
      <c r="AA26" s="33">
        <f t="shared" si="13"/>
        <v>-8.6648844507527851</v>
      </c>
      <c r="AB26" s="33"/>
      <c r="AC26" s="33">
        <f t="shared" si="11"/>
        <v>2.4630453944331836</v>
      </c>
      <c r="AD26" s="33">
        <f t="shared" si="12"/>
        <v>0</v>
      </c>
      <c r="AE26" s="65"/>
      <c r="AF26" s="33"/>
      <c r="AG26" s="33"/>
    </row>
    <row r="27" spans="2:33" x14ac:dyDescent="0.35">
      <c r="B27" t="s">
        <v>81</v>
      </c>
      <c r="C27" t="s">
        <v>82</v>
      </c>
      <c r="D27" s="33">
        <f>_xlfn.XLOOKUP($C27,SEM!$B:$B,SEM!$D:$D)*Input_1_coef.</f>
        <v>6.8234863128107888</v>
      </c>
      <c r="E27" s="33">
        <f>_xlfn.XLOOKUP($C27,SEM!$B:$B,SEM!$E:$E)*Input_2_coef.</f>
        <v>1.6287359641487336</v>
      </c>
      <c r="F27" s="33">
        <f t="shared" si="0"/>
        <v>0.32574719282974673</v>
      </c>
      <c r="G27" s="33"/>
      <c r="H27" s="33">
        <f t="shared" si="1"/>
        <v>8.4522222769595228</v>
      </c>
      <c r="I27" s="33">
        <f>IF(Input_3_coef.&gt;=0.54,(Input_1_coef.*_xlfn.XLOOKUP($C27,COMBINED!$B:$B,COMBINED!$AB:$AB)+Input_2_coef.*_xlfn.XLOOKUP($C27,COMBINED!$B:$B,COMBINED!$AC:$AC))+F27,(Input_1_coef.*_xlfn.XLOOKUP($C27,COMBINED!$B:$B,COMBINED!$AB:$AB)+Input_2_coef.*_xlfn.XLOOKUP($C27,COMBINED!$B:$B,COMBINED!$AC:$AC)))</f>
        <v>8.4522222769595228</v>
      </c>
      <c r="J27" s="33">
        <f>_xlfn.XLOOKUP($C27,COMBINED!$B:$B,COMBINED!$N:$N)</f>
        <v>6.7772964921837051</v>
      </c>
      <c r="K27" s="33"/>
      <c r="L27" s="33"/>
      <c r="M27" s="33"/>
      <c r="N27" s="33">
        <f t="shared" si="2"/>
        <v>1.3320702308488208</v>
      </c>
      <c r="O27" s="33"/>
      <c r="P27" s="33">
        <f t="shared" si="3"/>
        <v>0.29595936388999106</v>
      </c>
      <c r="Q27" s="33">
        <f t="shared" si="4"/>
        <v>0.15073706732285255</v>
      </c>
      <c r="R27" s="33">
        <f t="shared" si="5"/>
        <v>0.32132730936627596</v>
      </c>
      <c r="S27" s="33"/>
      <c r="T27" s="33">
        <f t="shared" si="6"/>
        <v>-0.24603869991870059</v>
      </c>
      <c r="U27" s="33"/>
      <c r="V27" s="33">
        <f t="shared" si="7"/>
        <v>-9.4930587821831766E-2</v>
      </c>
      <c r="W27" s="33">
        <f t="shared" si="8"/>
        <v>6.5981674389397449E-2</v>
      </c>
      <c r="X27" s="33">
        <f t="shared" si="9"/>
        <v>-6.270443890648035E-2</v>
      </c>
      <c r="Y27" s="33"/>
      <c r="Z27" s="33">
        <f t="shared" si="10"/>
        <v>-1.2984641950756297</v>
      </c>
      <c r="AA27" s="33">
        <f t="shared" si="13"/>
        <v>-1.5445028949943302</v>
      </c>
      <c r="AB27" s="33"/>
      <c r="AC27" s="33">
        <f t="shared" si="11"/>
        <v>0.43903421491950834</v>
      </c>
      <c r="AD27" s="33">
        <f t="shared" si="12"/>
        <v>0</v>
      </c>
      <c r="AE27" s="65"/>
      <c r="AF27" s="33"/>
      <c r="AG27" s="33"/>
    </row>
    <row r="28" spans="2:33" x14ac:dyDescent="0.35">
      <c r="B28" t="s">
        <v>83</v>
      </c>
      <c r="C28" t="s">
        <v>84</v>
      </c>
      <c r="D28" s="33">
        <f>_xlfn.XLOOKUP($C28,SEM!$B:$B,SEM!$D:$D)*Input_1_coef.</f>
        <v>12.020475346559879</v>
      </c>
      <c r="E28" s="33">
        <f>_xlfn.XLOOKUP($C28,SEM!$B:$B,SEM!$E:$E)*Input_2_coef.</f>
        <v>7.4779065709041234E-2</v>
      </c>
      <c r="F28" s="33">
        <f t="shared" si="0"/>
        <v>1.4955813141808248E-2</v>
      </c>
      <c r="G28" s="33"/>
      <c r="H28" s="33">
        <f t="shared" si="1"/>
        <v>12.09525441226892</v>
      </c>
      <c r="I28" s="33">
        <f>IF(Input_3_coef.&gt;=0.54,(Input_1_coef.*_xlfn.XLOOKUP($C28,COMBINED!$B:$B,COMBINED!$AB:$AB)+Input_2_coef.*_xlfn.XLOOKUP($C28,COMBINED!$B:$B,COMBINED!$AC:$AC))+F28,(Input_1_coef.*_xlfn.XLOOKUP($C28,COMBINED!$B:$B,COMBINED!$AB:$AB)+Input_2_coef.*_xlfn.XLOOKUP($C28,COMBINED!$B:$B,COMBINED!$AC:$AC)))</f>
        <v>12.09525441226892</v>
      </c>
      <c r="J28" s="33">
        <f>_xlfn.XLOOKUP($C28,COMBINED!$B:$B,COMBINED!$N:$N)</f>
        <v>13.312104685898735</v>
      </c>
      <c r="K28" s="33"/>
      <c r="L28" s="33"/>
      <c r="M28" s="33"/>
      <c r="N28" s="33">
        <f t="shared" si="2"/>
        <v>1.9062120953735822</v>
      </c>
      <c r="O28" s="33"/>
      <c r="P28" s="33">
        <f t="shared" si="3"/>
        <v>0.42352220335010254</v>
      </c>
      <c r="Q28" s="33">
        <f t="shared" si="4"/>
        <v>0.21570696071247455</v>
      </c>
      <c r="R28" s="33">
        <f t="shared" si="5"/>
        <v>0.45982410649439703</v>
      </c>
      <c r="S28" s="33"/>
      <c r="T28" s="33">
        <f t="shared" si="6"/>
        <v>-0.35208499886388211</v>
      </c>
      <c r="U28" s="33"/>
      <c r="V28" s="33">
        <f t="shared" si="7"/>
        <v>-0.13584706762164483</v>
      </c>
      <c r="W28" s="33">
        <f t="shared" si="8"/>
        <v>9.4420746655320437E-2</v>
      </c>
      <c r="X28" s="33">
        <f t="shared" si="9"/>
        <v>-8.9730974470453528E-2</v>
      </c>
      <c r="Y28" s="33"/>
      <c r="Z28" s="33">
        <f t="shared" si="10"/>
        <v>-1.8581213638304006</v>
      </c>
      <c r="AA28" s="33">
        <f t="shared" si="13"/>
        <v>-2.2102063626942829</v>
      </c>
      <c r="AB28" s="33"/>
      <c r="AC28" s="33">
        <f t="shared" si="11"/>
        <v>0.62826441983402614</v>
      </c>
      <c r="AD28" s="33">
        <f t="shared" si="12"/>
        <v>0</v>
      </c>
      <c r="AE28" s="65"/>
      <c r="AF28" s="33"/>
      <c r="AG28" s="33"/>
    </row>
    <row r="29" spans="2:33" x14ac:dyDescent="0.35">
      <c r="B29" t="s">
        <v>85</v>
      </c>
      <c r="C29" t="s">
        <v>86</v>
      </c>
      <c r="D29" s="33">
        <f>_xlfn.XLOOKUP($C29,SEM!$B:$B,SEM!$D:$D)*Input_1_coef.</f>
        <v>22.253294371297471</v>
      </c>
      <c r="E29" s="33">
        <f>_xlfn.XLOOKUP($C29,SEM!$B:$B,SEM!$E:$E)*Input_2_coef.</f>
        <v>0.50036962979096877</v>
      </c>
      <c r="F29" s="33">
        <f t="shared" si="0"/>
        <v>0.10007392595819375</v>
      </c>
      <c r="G29" s="33"/>
      <c r="H29" s="33">
        <f t="shared" si="1"/>
        <v>22.753664001088438</v>
      </c>
      <c r="I29" s="33">
        <f>IF(Input_3_coef.&gt;=0.54,(Input_1_coef.*_xlfn.XLOOKUP($C29,COMBINED!$B:$B,COMBINED!$AB:$AB)+Input_2_coef.*_xlfn.XLOOKUP($C29,COMBINED!$B:$B,COMBINED!$AC:$AC))+F29,(Input_1_coef.*_xlfn.XLOOKUP($C29,COMBINED!$B:$B,COMBINED!$AB:$AB)+Input_2_coef.*_xlfn.XLOOKUP($C29,COMBINED!$B:$B,COMBINED!$AC:$AC)))</f>
        <v>22.753664001088438</v>
      </c>
      <c r="J29" s="33">
        <f>_xlfn.XLOOKUP($C29,COMBINED!$B:$B,COMBINED!$N:$N)</f>
        <v>26.999477365469474</v>
      </c>
      <c r="K29" s="33"/>
      <c r="L29" s="33"/>
      <c r="M29" s="33"/>
      <c r="N29" s="33">
        <f t="shared" si="2"/>
        <v>3.5859774465715377</v>
      </c>
      <c r="O29" s="33"/>
      <c r="P29" s="33">
        <f t="shared" si="3"/>
        <v>0.79673246907926443</v>
      </c>
      <c r="Q29" s="33">
        <f t="shared" si="4"/>
        <v>0.40578920785403522</v>
      </c>
      <c r="R29" s="33">
        <f t="shared" si="5"/>
        <v>0.86502382357177265</v>
      </c>
      <c r="S29" s="33"/>
      <c r="T29" s="33">
        <f t="shared" si="6"/>
        <v>-0.66234437829154924</v>
      </c>
      <c r="U29" s="33"/>
      <c r="V29" s="33">
        <f t="shared" si="7"/>
        <v>-0.2555563055424982</v>
      </c>
      <c r="W29" s="33">
        <f t="shared" si="8"/>
        <v>0.17762486599271451</v>
      </c>
      <c r="X29" s="33">
        <f t="shared" si="9"/>
        <v>-0.16880243887387109</v>
      </c>
      <c r="Y29" s="33"/>
      <c r="Z29" s="33">
        <f t="shared" si="10"/>
        <v>-3.4955088785032102</v>
      </c>
      <c r="AA29" s="33">
        <f t="shared" si="13"/>
        <v>-4.157853256794759</v>
      </c>
      <c r="AB29" s="33"/>
      <c r="AC29" s="33">
        <f t="shared" si="11"/>
        <v>1.181894735363451</v>
      </c>
      <c r="AD29" s="33">
        <f t="shared" si="12"/>
        <v>0</v>
      </c>
      <c r="AE29" s="65"/>
      <c r="AF29" s="33"/>
      <c r="AG29" s="33"/>
    </row>
    <row r="30" spans="2:33" x14ac:dyDescent="0.35">
      <c r="B30" t="s">
        <v>87</v>
      </c>
      <c r="C30" t="s">
        <v>88</v>
      </c>
      <c r="D30" s="33">
        <f>_xlfn.XLOOKUP($C30,SEM!$B:$B,SEM!$D:$D)*Input_1_coef.</f>
        <v>22.350016844325854</v>
      </c>
      <c r="E30" s="33">
        <f>_xlfn.XLOOKUP($C30,SEM!$B:$B,SEM!$E:$E)*Input_2_coef.</f>
        <v>2.5165227011494253</v>
      </c>
      <c r="F30" s="33">
        <f t="shared" si="0"/>
        <v>0.50330454022988513</v>
      </c>
      <c r="G30" s="33"/>
      <c r="H30" s="33">
        <f t="shared" si="1"/>
        <v>24.86653954547528</v>
      </c>
      <c r="I30" s="33">
        <f>IF(Input_3_coef.&gt;=0.54,(Input_1_coef.*_xlfn.XLOOKUP($C30,COMBINED!$B:$B,COMBINED!$AB:$AB)+Input_2_coef.*_xlfn.XLOOKUP($C30,COMBINED!$B:$B,COMBINED!$AC:$AC))+F30,(Input_1_coef.*_xlfn.XLOOKUP($C30,COMBINED!$B:$B,COMBINED!$AB:$AB)+Input_2_coef.*_xlfn.XLOOKUP($C30,COMBINED!$B:$B,COMBINED!$AC:$AC)))</f>
        <v>24.86653954547528</v>
      </c>
      <c r="J30" s="33">
        <f>_xlfn.XLOOKUP($C30,COMBINED!$B:$B,COMBINED!$N:$N)</f>
        <v>25.456121145776319</v>
      </c>
      <c r="K30" s="33"/>
      <c r="L30" s="33"/>
      <c r="M30" s="33"/>
      <c r="N30" s="33">
        <f t="shared" si="2"/>
        <v>3.9189666323669048</v>
      </c>
      <c r="O30" s="33"/>
      <c r="P30" s="33">
        <f t="shared" si="3"/>
        <v>0.87071600637927904</v>
      </c>
      <c r="Q30" s="33">
        <f t="shared" si="4"/>
        <v>0.44347026411863899</v>
      </c>
      <c r="R30" s="33">
        <f t="shared" si="5"/>
        <v>0.94534880692607437</v>
      </c>
      <c r="S30" s="33"/>
      <c r="T30" s="33">
        <f t="shared" si="6"/>
        <v>-0.72384881286469682</v>
      </c>
      <c r="U30" s="33"/>
      <c r="V30" s="33">
        <f t="shared" si="7"/>
        <v>-0.27928693056046316</v>
      </c>
      <c r="W30" s="33">
        <f t="shared" si="8"/>
        <v>0.19411887923880294</v>
      </c>
      <c r="X30" s="33">
        <f t="shared" si="9"/>
        <v>-0.18447721305144518</v>
      </c>
      <c r="Y30" s="33"/>
      <c r="Z30" s="33">
        <f t="shared" si="10"/>
        <v>-3.8200972711340939</v>
      </c>
      <c r="AA30" s="33">
        <f t="shared" si="13"/>
        <v>-4.5439460839987911</v>
      </c>
      <c r="AB30" s="33"/>
      <c r="AC30" s="33">
        <f t="shared" si="11"/>
        <v>1.2916439380531604</v>
      </c>
      <c r="AD30" s="33">
        <f t="shared" si="12"/>
        <v>0</v>
      </c>
      <c r="AE30" s="65"/>
      <c r="AF30" s="33"/>
      <c r="AG30" s="33"/>
    </row>
    <row r="31" spans="2:33" x14ac:dyDescent="0.35">
      <c r="B31" t="s">
        <v>89</v>
      </c>
      <c r="C31" t="s">
        <v>90</v>
      </c>
      <c r="D31" s="33">
        <f>_xlfn.XLOOKUP($C31,SEM!$B:$B,SEM!$D:$D)*Input_1_coef.</f>
        <v>10.559183045142069</v>
      </c>
      <c r="E31" s="33">
        <f>_xlfn.XLOOKUP($C31,SEM!$B:$B,SEM!$E:$E)*Input_2_coef.</f>
        <v>0.32965221411961693</v>
      </c>
      <c r="F31" s="33">
        <f t="shared" si="0"/>
        <v>6.5930442823923394E-2</v>
      </c>
      <c r="G31" s="33"/>
      <c r="H31" s="33">
        <f t="shared" si="1"/>
        <v>10.888835259261686</v>
      </c>
      <c r="I31" s="33">
        <f>IF(Input_3_coef.&gt;=0.54,(Input_1_coef.*_xlfn.XLOOKUP($C31,COMBINED!$B:$B,COMBINED!$AB:$AB)+Input_2_coef.*_xlfn.XLOOKUP($C31,COMBINED!$B:$B,COMBINED!$AC:$AC))+F31,(Input_1_coef.*_xlfn.XLOOKUP($C31,COMBINED!$B:$B,COMBINED!$AB:$AB)+Input_2_coef.*_xlfn.XLOOKUP($C31,COMBINED!$B:$B,COMBINED!$AC:$AC)))</f>
        <v>10.888835259261686</v>
      </c>
      <c r="J31" s="33">
        <f>_xlfn.XLOOKUP($C31,COMBINED!$B:$B,COMBINED!$N:$N)</f>
        <v>12.260063560882079</v>
      </c>
      <c r="K31" s="33"/>
      <c r="L31" s="33"/>
      <c r="M31" s="33"/>
      <c r="N31" s="33">
        <f t="shared" si="2"/>
        <v>1.7160804368596421</v>
      </c>
      <c r="O31" s="33"/>
      <c r="P31" s="33">
        <f t="shared" si="3"/>
        <v>0.38127875146147533</v>
      </c>
      <c r="Q31" s="33">
        <f t="shared" si="4"/>
        <v>0.19419166223503712</v>
      </c>
      <c r="R31" s="33">
        <f t="shared" si="5"/>
        <v>0.41395978730103034</v>
      </c>
      <c r="S31" s="33"/>
      <c r="T31" s="33">
        <f t="shared" si="6"/>
        <v>-0.31696692100972335</v>
      </c>
      <c r="U31" s="33"/>
      <c r="V31" s="33">
        <f t="shared" si="7"/>
        <v>-0.12229724893470761</v>
      </c>
      <c r="W31" s="33">
        <f t="shared" si="8"/>
        <v>8.5002921008703575E-2</v>
      </c>
      <c r="X31" s="33">
        <f t="shared" si="9"/>
        <v>-8.078092162085404E-2</v>
      </c>
      <c r="Y31" s="33"/>
      <c r="Z31" s="33">
        <f t="shared" si="10"/>
        <v>-1.6727864278688171</v>
      </c>
      <c r="AA31" s="33">
        <f t="shared" si="13"/>
        <v>-1.9897533488785406</v>
      </c>
      <c r="AB31" s="33"/>
      <c r="AC31" s="33">
        <f t="shared" si="11"/>
        <v>0.5655993279388184</v>
      </c>
      <c r="AD31" s="33">
        <f t="shared" si="12"/>
        <v>0</v>
      </c>
      <c r="AE31" s="65"/>
      <c r="AF31" s="33"/>
      <c r="AG31" s="33"/>
    </row>
    <row r="32" spans="2:33" x14ac:dyDescent="0.35">
      <c r="B32" t="s">
        <v>91</v>
      </c>
      <c r="C32" t="s">
        <v>92</v>
      </c>
      <c r="D32" s="33">
        <f>_xlfn.XLOOKUP($C32,SEM!$B:$B,SEM!$D:$D)*Input_1_coef.</f>
        <v>5.2687277853810315</v>
      </c>
      <c r="E32" s="33">
        <f>_xlfn.XLOOKUP($C32,SEM!$B:$B,SEM!$E:$E)*Input_2_coef.</f>
        <v>1.2430699240423113</v>
      </c>
      <c r="F32" s="33">
        <f t="shared" si="0"/>
        <v>0.24861398480846228</v>
      </c>
      <c r="G32" s="33"/>
      <c r="H32" s="33">
        <f t="shared" si="1"/>
        <v>6.5117977094233428</v>
      </c>
      <c r="I32" s="33">
        <f>IF(Input_3_coef.&gt;=0.54,(Input_1_coef.*_xlfn.XLOOKUP($C32,COMBINED!$B:$B,COMBINED!$AB:$AB)+Input_2_coef.*_xlfn.XLOOKUP($C32,COMBINED!$B:$B,COMBINED!$AC:$AC))+F32,(Input_1_coef.*_xlfn.XLOOKUP($C32,COMBINED!$B:$B,COMBINED!$AB:$AB)+Input_2_coef.*_xlfn.XLOOKUP($C32,COMBINED!$B:$B,COMBINED!$AC:$AC)))</f>
        <v>6.5117977094233428</v>
      </c>
      <c r="J32" s="33">
        <f>_xlfn.XLOOKUP($C32,COMBINED!$B:$B,COMBINED!$N:$N)</f>
        <v>4.9017134155157125</v>
      </c>
      <c r="K32" s="33"/>
      <c r="L32" s="33"/>
      <c r="M32" s="33"/>
      <c r="N32" s="33">
        <f t="shared" si="2"/>
        <v>1.0262593190051188</v>
      </c>
      <c r="O32" s="33"/>
      <c r="P32" s="33">
        <f t="shared" si="3"/>
        <v>0.22801429549655733</v>
      </c>
      <c r="Q32" s="33">
        <f t="shared" si="4"/>
        <v>0.11613150453861924</v>
      </c>
      <c r="R32" s="33">
        <f t="shared" si="5"/>
        <v>0.24755837796769078</v>
      </c>
      <c r="S32" s="33"/>
      <c r="T32" s="33">
        <f t="shared" si="6"/>
        <v>-0.18955420125752145</v>
      </c>
      <c r="U32" s="33"/>
      <c r="V32" s="33">
        <f t="shared" si="7"/>
        <v>-7.3136834796397057E-2</v>
      </c>
      <c r="W32" s="33">
        <f t="shared" si="8"/>
        <v>5.0833887476437072E-2</v>
      </c>
      <c r="X32" s="33">
        <f t="shared" si="9"/>
        <v>-4.8309025515686888E-2</v>
      </c>
      <c r="Y32" s="33"/>
      <c r="Z32" s="33">
        <f t="shared" si="10"/>
        <v>-1.0003684113124516</v>
      </c>
      <c r="AA32" s="33">
        <f t="shared" si="13"/>
        <v>-1.1899226125699731</v>
      </c>
      <c r="AB32" s="33"/>
      <c r="AC32" s="33">
        <f t="shared" si="11"/>
        <v>0.33824264215869027</v>
      </c>
      <c r="AD32" s="33">
        <f t="shared" si="12"/>
        <v>0</v>
      </c>
      <c r="AE32" s="65"/>
      <c r="AF32" s="33"/>
      <c r="AG32" s="33"/>
    </row>
    <row r="33" spans="2:33" x14ac:dyDescent="0.35">
      <c r="B33" t="s">
        <v>93</v>
      </c>
      <c r="C33" t="s">
        <v>94</v>
      </c>
      <c r="D33" s="33">
        <f>_xlfn.XLOOKUP($C33,SEM!$B:$B,SEM!$D:$D)*Input_1_coef.</f>
        <v>4.7665319688335055</v>
      </c>
      <c r="E33" s="33">
        <f>_xlfn.XLOOKUP($C33,SEM!$B:$B,SEM!$E:$E)*Input_2_coef.</f>
        <v>0.42334292467487583</v>
      </c>
      <c r="F33" s="33">
        <f t="shared" si="0"/>
        <v>8.4668584934975172E-2</v>
      </c>
      <c r="G33" s="33"/>
      <c r="H33" s="33">
        <f t="shared" si="1"/>
        <v>5.1898748935083816</v>
      </c>
      <c r="I33" s="33">
        <f>IF(Input_3_coef.&gt;=0.54,(Input_1_coef.*_xlfn.XLOOKUP($C33,COMBINED!$B:$B,COMBINED!$AB:$AB)+Input_2_coef.*_xlfn.XLOOKUP($C33,COMBINED!$B:$B,COMBINED!$AC:$AC))+F33,(Input_1_coef.*_xlfn.XLOOKUP($C33,COMBINED!$B:$B,COMBINED!$AB:$AB)+Input_2_coef.*_xlfn.XLOOKUP($C33,COMBINED!$B:$B,COMBINED!$AC:$AC)))</f>
        <v>5.1898748935083816</v>
      </c>
      <c r="J33" s="33">
        <f>_xlfn.XLOOKUP($C33,COMBINED!$B:$B,COMBINED!$N:$N)</f>
        <v>5.8244444983700179</v>
      </c>
      <c r="K33" s="33"/>
      <c r="L33" s="33"/>
      <c r="M33" s="33"/>
      <c r="N33" s="33">
        <f t="shared" si="2"/>
        <v>0.8179242832169209</v>
      </c>
      <c r="O33" s="33"/>
      <c r="P33" s="33">
        <f t="shared" si="3"/>
        <v>0.1817264172451355</v>
      </c>
      <c r="Q33" s="33">
        <f t="shared" si="4"/>
        <v>9.2556311888826778E-2</v>
      </c>
      <c r="R33" s="33">
        <f t="shared" si="5"/>
        <v>0.19730296729471855</v>
      </c>
      <c r="S33" s="33"/>
      <c r="T33" s="33">
        <f t="shared" si="6"/>
        <v>-0.15107388680729816</v>
      </c>
      <c r="U33" s="33"/>
      <c r="V33" s="33">
        <f t="shared" si="7"/>
        <v>-5.8289744190180695E-2</v>
      </c>
      <c r="W33" s="33">
        <f t="shared" si="8"/>
        <v>4.0514390668433993E-2</v>
      </c>
      <c r="X33" s="33">
        <f t="shared" si="9"/>
        <v>-3.8502086496160777E-2</v>
      </c>
      <c r="Y33" s="33"/>
      <c r="Z33" s="33">
        <f t="shared" si="10"/>
        <v>-0.79728934064033152</v>
      </c>
      <c r="AA33" s="33">
        <f t="shared" si="13"/>
        <v>-0.94836322744762969</v>
      </c>
      <c r="AB33" s="33"/>
      <c r="AC33" s="33">
        <f t="shared" si="11"/>
        <v>0.26957793758135346</v>
      </c>
      <c r="AD33" s="33">
        <f t="shared" si="12"/>
        <v>0</v>
      </c>
      <c r="AE33" s="65"/>
      <c r="AF33" s="33"/>
      <c r="AG33" s="33"/>
    </row>
    <row r="34" spans="2:33" x14ac:dyDescent="0.35">
      <c r="B34" t="s">
        <v>95</v>
      </c>
      <c r="C34" t="s">
        <v>96</v>
      </c>
      <c r="D34" s="33">
        <f>_xlfn.XLOOKUP($C34,SEM!$B:$B,SEM!$D:$D)*Input_1_coef.</f>
        <v>7.7668026387912956</v>
      </c>
      <c r="E34" s="33">
        <f>_xlfn.XLOOKUP($C34,SEM!$B:$B,SEM!$E:$E)*Input_2_coef.</f>
        <v>0</v>
      </c>
      <c r="F34" s="33">
        <f t="shared" si="0"/>
        <v>0</v>
      </c>
      <c r="G34" s="33"/>
      <c r="H34" s="33">
        <f t="shared" si="1"/>
        <v>7.7668026387912956</v>
      </c>
      <c r="I34" s="33">
        <f>IF(Input_3_coef.&gt;=0.54,(Input_1_coef.*_xlfn.XLOOKUP($C34,COMBINED!$B:$B,COMBINED!$AB:$AB)+Input_2_coef.*_xlfn.XLOOKUP($C34,COMBINED!$B:$B,COMBINED!$AC:$AC))+F34,(Input_1_coef.*_xlfn.XLOOKUP($C34,COMBINED!$B:$B,COMBINED!$AB:$AB)+Input_2_coef.*_xlfn.XLOOKUP($C34,COMBINED!$B:$B,COMBINED!$AC:$AC)))</f>
        <v>7.7668026387912956</v>
      </c>
      <c r="J34" s="33">
        <f>_xlfn.XLOOKUP($C34,COMBINED!$B:$B,COMBINED!$N:$N)</f>
        <v>7.8414068897168594</v>
      </c>
      <c r="K34" s="33"/>
      <c r="L34" s="33"/>
      <c r="M34" s="33"/>
      <c r="N34" s="33">
        <f t="shared" si="2"/>
        <v>1.2240480958735083</v>
      </c>
      <c r="O34" s="33"/>
      <c r="P34" s="33">
        <f t="shared" si="3"/>
        <v>0.27195900594117611</v>
      </c>
      <c r="Q34" s="33">
        <f t="shared" si="4"/>
        <v>0.13851328252904618</v>
      </c>
      <c r="R34" s="33">
        <f t="shared" si="5"/>
        <v>0.29526977787899117</v>
      </c>
      <c r="S34" s="33"/>
      <c r="T34" s="33">
        <f t="shared" si="6"/>
        <v>-0.22608657950022046</v>
      </c>
      <c r="U34" s="33"/>
      <c r="V34" s="33">
        <f t="shared" si="7"/>
        <v>-8.7232341488047052E-2</v>
      </c>
      <c r="W34" s="33">
        <f t="shared" si="8"/>
        <v>6.0630994544051124E-2</v>
      </c>
      <c r="X34" s="33">
        <f t="shared" si="9"/>
        <v>-5.7619521305108189E-2</v>
      </c>
      <c r="Y34" s="33"/>
      <c r="Z34" s="33">
        <f t="shared" si="10"/>
        <v>-1.1931672885816738</v>
      </c>
      <c r="AA34" s="33">
        <f t="shared" si="13"/>
        <v>-1.4192538680818942</v>
      </c>
      <c r="AB34" s="33"/>
      <c r="AC34" s="33">
        <f t="shared" si="11"/>
        <v>0.40343142752548694</v>
      </c>
      <c r="AD34" s="33">
        <f t="shared" si="12"/>
        <v>0</v>
      </c>
      <c r="AE34" s="65"/>
      <c r="AF34" s="33"/>
      <c r="AG34" s="33"/>
    </row>
    <row r="35" spans="2:33" x14ac:dyDescent="0.35">
      <c r="B35" t="s">
        <v>97</v>
      </c>
      <c r="C35" t="s">
        <v>98</v>
      </c>
      <c r="D35" s="33">
        <f>_xlfn.XLOOKUP($C35,SEM!$B:$B,SEM!$D:$D)*Input_1_coef.</f>
        <v>16.740826742717488</v>
      </c>
      <c r="E35" s="33">
        <f>_xlfn.XLOOKUP($C35,SEM!$B:$B,SEM!$E:$E)*Input_2_coef.</f>
        <v>0.28788746912916358</v>
      </c>
      <c r="F35" s="33">
        <f t="shared" si="0"/>
        <v>5.7577493825832715E-2</v>
      </c>
      <c r="G35" s="33"/>
      <c r="H35" s="33">
        <f t="shared" si="1"/>
        <v>17.028714211846651</v>
      </c>
      <c r="I35" s="33">
        <f>IF(Input_3_coef.&gt;=0.54,(Input_1_coef.*_xlfn.XLOOKUP($C35,COMBINED!$B:$B,COMBINED!$AB:$AB)+Input_2_coef.*_xlfn.XLOOKUP($C35,COMBINED!$B:$B,COMBINED!$AC:$AC))+F35,(Input_1_coef.*_xlfn.XLOOKUP($C35,COMBINED!$B:$B,COMBINED!$AB:$AB)+Input_2_coef.*_xlfn.XLOOKUP($C35,COMBINED!$B:$B,COMBINED!$AC:$AC)))</f>
        <v>17.028714211846651</v>
      </c>
      <c r="J35" s="33">
        <f>_xlfn.XLOOKUP($C35,COMBINED!$B:$B,COMBINED!$N:$N)</f>
        <v>19.279425028621933</v>
      </c>
      <c r="K35" s="33"/>
      <c r="L35" s="33"/>
      <c r="M35" s="33"/>
      <c r="N35" s="33">
        <f t="shared" si="2"/>
        <v>2.683725359787033</v>
      </c>
      <c r="O35" s="33"/>
      <c r="P35" s="33">
        <f t="shared" si="3"/>
        <v>0.59627010043748307</v>
      </c>
      <c r="Q35" s="33">
        <f t="shared" si="4"/>
        <v>0.30369036171350067</v>
      </c>
      <c r="R35" s="33">
        <f t="shared" si="5"/>
        <v>0.64737896618926727</v>
      </c>
      <c r="S35" s="33"/>
      <c r="T35" s="33">
        <f t="shared" si="6"/>
        <v>-0.49569480885410416</v>
      </c>
      <c r="U35" s="33"/>
      <c r="V35" s="33">
        <f t="shared" si="7"/>
        <v>-0.19125690226903214</v>
      </c>
      <c r="W35" s="33">
        <f t="shared" si="8"/>
        <v>0.13293345105925825</v>
      </c>
      <c r="X35" s="33">
        <f t="shared" si="9"/>
        <v>-0.12633079620532156</v>
      </c>
      <c r="Y35" s="33"/>
      <c r="Z35" s="33">
        <f t="shared" si="10"/>
        <v>-2.6160191920807296</v>
      </c>
      <c r="AA35" s="33">
        <f t="shared" si="13"/>
        <v>-3.1117140009348336</v>
      </c>
      <c r="AB35" s="33"/>
      <c r="AC35" s="33">
        <f t="shared" si="11"/>
        <v>0.88452337504973211</v>
      </c>
      <c r="AD35" s="33">
        <f t="shared" si="12"/>
        <v>0</v>
      </c>
      <c r="AE35" s="65"/>
      <c r="AF35" s="33"/>
      <c r="AG35" s="33"/>
    </row>
    <row r="36" spans="2:33" x14ac:dyDescent="0.35">
      <c r="B36" t="s">
        <v>99</v>
      </c>
      <c r="C36" t="s">
        <v>100</v>
      </c>
      <c r="D36" s="33">
        <f>_xlfn.XLOOKUP($C36,SEM!$B:$B,SEM!$D:$D)*Input_1_coef.</f>
        <v>63.53264194176019</v>
      </c>
      <c r="E36" s="33">
        <f>_xlfn.XLOOKUP($C36,SEM!$B:$B,SEM!$E:$E)*Input_2_coef.</f>
        <v>5.9088926823589727</v>
      </c>
      <c r="F36" s="33">
        <f t="shared" si="0"/>
        <v>1.1817785364717945</v>
      </c>
      <c r="G36" s="33"/>
      <c r="H36" s="33">
        <f t="shared" si="1"/>
        <v>69.441534624119157</v>
      </c>
      <c r="I36" s="33">
        <f>IF(Input_3_coef.&gt;=0.54,(Input_1_coef.*_xlfn.XLOOKUP($C36,COMBINED!$B:$B,COMBINED!$AB:$AB)+Input_2_coef.*_xlfn.XLOOKUP($C36,COMBINED!$B:$B,COMBINED!$AC:$AC))+F36,(Input_1_coef.*_xlfn.XLOOKUP($C36,COMBINED!$B:$B,COMBINED!$AB:$AB)+Input_2_coef.*_xlfn.XLOOKUP($C36,COMBINED!$B:$B,COMBINED!$AC:$AC)))</f>
        <v>69.441534624119157</v>
      </c>
      <c r="J36" s="33">
        <f>_xlfn.XLOOKUP($C36,COMBINED!$B:$B,COMBINED!$N:$N)</f>
        <v>62.994990032587125</v>
      </c>
      <c r="K36" s="33"/>
      <c r="L36" s="33"/>
      <c r="M36" s="33"/>
      <c r="N36" s="33">
        <f t="shared" si="2"/>
        <v>10.943985856761181</v>
      </c>
      <c r="O36" s="33"/>
      <c r="P36" s="33">
        <f t="shared" si="3"/>
        <v>2.4315347776551999</v>
      </c>
      <c r="Q36" s="33">
        <f t="shared" si="4"/>
        <v>1.2384214395510953</v>
      </c>
      <c r="R36" s="33">
        <f t="shared" si="5"/>
        <v>2.6399520443113591</v>
      </c>
      <c r="S36" s="33"/>
      <c r="T36" s="33">
        <f t="shared" si="6"/>
        <v>-2.021397963687217</v>
      </c>
      <c r="U36" s="33"/>
      <c r="V36" s="33">
        <f t="shared" si="7"/>
        <v>-0.77992810471722107</v>
      </c>
      <c r="W36" s="33">
        <f t="shared" si="8"/>
        <v>0.54209042030978316</v>
      </c>
      <c r="X36" s="33">
        <f t="shared" si="9"/>
        <v>-0.5151653994334694</v>
      </c>
      <c r="Y36" s="33"/>
      <c r="Z36" s="33">
        <f t="shared" si="10"/>
        <v>-10.66788631509568</v>
      </c>
      <c r="AA36" s="33">
        <f t="shared" si="13"/>
        <v>-12.689284278782898</v>
      </c>
      <c r="AB36" s="33"/>
      <c r="AC36" s="33">
        <f t="shared" si="11"/>
        <v>3.6070051919497117</v>
      </c>
      <c r="AD36" s="33">
        <f t="shared" si="12"/>
        <v>0</v>
      </c>
      <c r="AE36" s="65"/>
      <c r="AF36" s="33"/>
      <c r="AG36" s="33"/>
    </row>
    <row r="37" spans="2:33" x14ac:dyDescent="0.35">
      <c r="B37" t="s">
        <v>101</v>
      </c>
      <c r="C37" t="s">
        <v>102</v>
      </c>
      <c r="D37" s="33">
        <f>_xlfn.XLOOKUP($C37,SEM!$B:$B,SEM!$D:$D)*Input_1_coef.</f>
        <v>10.320733515040425</v>
      </c>
      <c r="E37" s="33">
        <f>_xlfn.XLOOKUP($C37,SEM!$B:$B,SEM!$E:$E)*Input_2_coef.</f>
        <v>0.62134667910021069</v>
      </c>
      <c r="F37" s="33">
        <f t="shared" si="0"/>
        <v>0.12426933582004214</v>
      </c>
      <c r="G37" s="33"/>
      <c r="H37" s="33">
        <f t="shared" si="1"/>
        <v>10.942080194140637</v>
      </c>
      <c r="I37" s="33">
        <f>IF(Input_3_coef.&gt;=0.54,(Input_1_coef.*_xlfn.XLOOKUP($C37,COMBINED!$B:$B,COMBINED!$AB:$AB)+Input_2_coef.*_xlfn.XLOOKUP($C37,COMBINED!$B:$B,COMBINED!$AC:$AC))+F37,(Input_1_coef.*_xlfn.XLOOKUP($C37,COMBINED!$B:$B,COMBINED!$AB:$AB)+Input_2_coef.*_xlfn.XLOOKUP($C37,COMBINED!$B:$B,COMBINED!$AC:$AC)))</f>
        <v>10.942080194140637</v>
      </c>
      <c r="J37" s="33">
        <f>_xlfn.XLOOKUP($C37,COMBINED!$B:$B,COMBINED!$N:$N)</f>
        <v>11.621630229660148</v>
      </c>
      <c r="K37" s="33"/>
      <c r="L37" s="33"/>
      <c r="M37" s="33"/>
      <c r="N37" s="33">
        <f t="shared" si="2"/>
        <v>1.7244718385965645</v>
      </c>
      <c r="O37" s="33"/>
      <c r="P37" s="33">
        <f t="shared" si="3"/>
        <v>0.38314315309938474</v>
      </c>
      <c r="Q37" s="33">
        <f t="shared" si="4"/>
        <v>0.19514123325558724</v>
      </c>
      <c r="R37" s="33">
        <f t="shared" si="5"/>
        <v>0.4159839947936177</v>
      </c>
      <c r="S37" s="33"/>
      <c r="T37" s="33">
        <f t="shared" si="6"/>
        <v>-0.31851684647613981</v>
      </c>
      <c r="U37" s="33"/>
      <c r="V37" s="33">
        <f t="shared" si="7"/>
        <v>-0.1228952659769679</v>
      </c>
      <c r="W37" s="33">
        <f t="shared" si="8"/>
        <v>8.5418573820585264E-2</v>
      </c>
      <c r="X37" s="33">
        <f t="shared" si="9"/>
        <v>-8.1175929425523083E-2</v>
      </c>
      <c r="Y37" s="33"/>
      <c r="Z37" s="33">
        <f t="shared" si="10"/>
        <v>-1.680966127744661</v>
      </c>
      <c r="AA37" s="33">
        <f t="shared" si="13"/>
        <v>-1.9994829742208009</v>
      </c>
      <c r="AB37" s="33"/>
      <c r="AC37" s="33">
        <f t="shared" si="11"/>
        <v>0.56836503232010804</v>
      </c>
      <c r="AD37" s="33">
        <f t="shared" si="12"/>
        <v>0</v>
      </c>
      <c r="AE37" s="65"/>
      <c r="AF37" s="33"/>
      <c r="AG37" s="33"/>
    </row>
    <row r="38" spans="2:33" x14ac:dyDescent="0.35">
      <c r="B38" t="s">
        <v>103</v>
      </c>
      <c r="C38" t="s">
        <v>104</v>
      </c>
      <c r="D38" s="33">
        <f>_xlfn.XLOOKUP($C38,SEM!$B:$B,SEM!$D:$D)*Input_1_coef.</f>
        <v>59.029534748406725</v>
      </c>
      <c r="E38" s="33">
        <f>_xlfn.XLOOKUP($C38,SEM!$B:$B,SEM!$E:$E)*Input_2_coef.</f>
        <v>4.4579120243372774</v>
      </c>
      <c r="F38" s="33">
        <f t="shared" si="0"/>
        <v>0.89158240486745555</v>
      </c>
      <c r="G38" s="33"/>
      <c r="H38" s="33">
        <f t="shared" si="1"/>
        <v>63.487446772744001</v>
      </c>
      <c r="I38" s="33">
        <f>IF(Input_3_coef.&gt;=0.54,(Input_1_coef.*_xlfn.XLOOKUP($C38,COMBINED!$B:$B,COMBINED!$AB:$AB)+Input_2_coef.*_xlfn.XLOOKUP($C38,COMBINED!$B:$B,COMBINED!$AC:$AC))+F38,(Input_1_coef.*_xlfn.XLOOKUP($C38,COMBINED!$B:$B,COMBINED!$AB:$AB)+Input_2_coef.*_xlfn.XLOOKUP($C38,COMBINED!$B:$B,COMBINED!$AC:$AC)))</f>
        <v>63.487446772744001</v>
      </c>
      <c r="J38" s="33">
        <f>_xlfn.XLOOKUP($C38,COMBINED!$B:$B,COMBINED!$N:$N)</f>
        <v>71.639699652713645</v>
      </c>
      <c r="K38" s="33"/>
      <c r="L38" s="33"/>
      <c r="M38" s="33"/>
      <c r="N38" s="33">
        <f t="shared" si="2"/>
        <v>10.005621611384456</v>
      </c>
      <c r="O38" s="33"/>
      <c r="P38" s="33">
        <f t="shared" si="3"/>
        <v>2.2230490096173989</v>
      </c>
      <c r="Q38" s="33">
        <f t="shared" si="4"/>
        <v>1.132236141544265</v>
      </c>
      <c r="R38" s="33">
        <f t="shared" si="5"/>
        <v>2.4135960675846042</v>
      </c>
      <c r="S38" s="33"/>
      <c r="T38" s="33">
        <f t="shared" si="6"/>
        <v>-1.8480783341091542</v>
      </c>
      <c r="U38" s="33"/>
      <c r="V38" s="33">
        <f t="shared" si="7"/>
        <v>-0.71305515211933967</v>
      </c>
      <c r="W38" s="33">
        <f t="shared" si="8"/>
        <v>0.49561025532805653</v>
      </c>
      <c r="X38" s="33">
        <f t="shared" si="9"/>
        <v>-0.47099385191772258</v>
      </c>
      <c r="Y38" s="33"/>
      <c r="Z38" s="33">
        <f t="shared" si="10"/>
        <v>-9.753195523016025</v>
      </c>
      <c r="AA38" s="33">
        <f t="shared" si="13"/>
        <v>-11.601273857125179</v>
      </c>
      <c r="AB38" s="33"/>
      <c r="AC38" s="33">
        <f t="shared" si="11"/>
        <v>3.2977317015309748</v>
      </c>
      <c r="AD38" s="33">
        <f t="shared" si="12"/>
        <v>0</v>
      </c>
      <c r="AE38" s="65"/>
      <c r="AF38" s="33"/>
      <c r="AG38" s="33"/>
    </row>
    <row r="39" spans="2:33" x14ac:dyDescent="0.35">
      <c r="B39" t="s">
        <v>105</v>
      </c>
      <c r="C39" t="s">
        <v>106</v>
      </c>
      <c r="D39" s="33">
        <f>_xlfn.XLOOKUP($C39,SEM!$B:$B,SEM!$D:$D)*Input_1_coef.</f>
        <v>3.8897059785200971</v>
      </c>
      <c r="E39" s="33">
        <f>_xlfn.XLOOKUP($C39,SEM!$B:$B,SEM!$E:$E)*Input_2_coef.</f>
        <v>0.32338203824470568</v>
      </c>
      <c r="F39" s="33">
        <f t="shared" si="0"/>
        <v>6.4676407648941142E-2</v>
      </c>
      <c r="G39" s="33"/>
      <c r="H39" s="33">
        <f t="shared" si="1"/>
        <v>4.2130880167648028</v>
      </c>
      <c r="I39" s="33">
        <f>IF(Input_3_coef.&gt;=0.54,(Input_1_coef.*_xlfn.XLOOKUP($C39,COMBINED!$B:$B,COMBINED!$AB:$AB)+Input_2_coef.*_xlfn.XLOOKUP($C39,COMBINED!$B:$B,COMBINED!$AC:$AC))+F39,(Input_1_coef.*_xlfn.XLOOKUP($C39,COMBINED!$B:$B,COMBINED!$AB:$AB)+Input_2_coef.*_xlfn.XLOOKUP($C39,COMBINED!$B:$B,COMBINED!$AC:$AC)))</f>
        <v>4.2130880167648028</v>
      </c>
      <c r="J39" s="33">
        <f>_xlfn.XLOOKUP($C39,COMBINED!$B:$B,COMBINED!$N:$N)</f>
        <v>4.8617779424766576</v>
      </c>
      <c r="K39" s="33"/>
      <c r="L39" s="33"/>
      <c r="M39" s="33"/>
      <c r="N39" s="33">
        <f t="shared" si="2"/>
        <v>0.66398267144213319</v>
      </c>
      <c r="O39" s="33"/>
      <c r="P39" s="33">
        <f t="shared" si="3"/>
        <v>0.14752366994101318</v>
      </c>
      <c r="Q39" s="33">
        <f t="shared" si="4"/>
        <v>7.5136279100391792E-2</v>
      </c>
      <c r="R39" s="33">
        <f t="shared" si="5"/>
        <v>0.16016855593595714</v>
      </c>
      <c r="S39" s="33"/>
      <c r="T39" s="33">
        <f t="shared" si="6"/>
        <v>-0.12264025534604776</v>
      </c>
      <c r="U39" s="33"/>
      <c r="V39" s="33">
        <f t="shared" si="7"/>
        <v>-4.7319025561697689E-2</v>
      </c>
      <c r="W39" s="33">
        <f t="shared" si="8"/>
        <v>3.2889173117681705E-2</v>
      </c>
      <c r="X39" s="33">
        <f t="shared" si="9"/>
        <v>-3.1255604916472349E-2</v>
      </c>
      <c r="Y39" s="33"/>
      <c r="Z39" s="33">
        <f t="shared" si="10"/>
        <v>-0.64723143348747603</v>
      </c>
      <c r="AA39" s="33">
        <f t="shared" si="13"/>
        <v>-0.76987168883352375</v>
      </c>
      <c r="AB39" s="33"/>
      <c r="AC39" s="33">
        <f t="shared" si="11"/>
        <v>0.21884064678106213</v>
      </c>
      <c r="AD39" s="33">
        <f t="shared" si="12"/>
        <v>0</v>
      </c>
      <c r="AE39" s="65"/>
      <c r="AF39" s="33"/>
      <c r="AG39" s="33"/>
    </row>
    <row r="40" spans="2:33" x14ac:dyDescent="0.35">
      <c r="B40" t="s">
        <v>107</v>
      </c>
      <c r="C40" t="s">
        <v>108</v>
      </c>
      <c r="D40" s="33">
        <f>_xlfn.XLOOKUP($C40,SEM!$B:$B,SEM!$D:$D)*Input_1_coef.</f>
        <v>22.481242798434984</v>
      </c>
      <c r="E40" s="33">
        <f>_xlfn.XLOOKUP($C40,SEM!$B:$B,SEM!$E:$E)*Input_2_coef.</f>
        <v>1.0598784204666976</v>
      </c>
      <c r="F40" s="33">
        <f t="shared" si="0"/>
        <v>0.21197568409333953</v>
      </c>
      <c r="G40" s="33"/>
      <c r="H40" s="33">
        <f t="shared" si="1"/>
        <v>23.541121218901683</v>
      </c>
      <c r="I40" s="33">
        <f>IF(Input_3_coef.&gt;=0.54,(Input_1_coef.*_xlfn.XLOOKUP($C40,COMBINED!$B:$B,COMBINED!$AB:$AB)+Input_2_coef.*_xlfn.XLOOKUP($C40,COMBINED!$B:$B,COMBINED!$AC:$AC))+F40,(Input_1_coef.*_xlfn.XLOOKUP($C40,COMBINED!$B:$B,COMBINED!$AB:$AB)+Input_2_coef.*_xlfn.XLOOKUP($C40,COMBINED!$B:$B,COMBINED!$AC:$AC)))</f>
        <v>23.541121218901683</v>
      </c>
      <c r="J40" s="33">
        <f>_xlfn.XLOOKUP($C40,COMBINED!$B:$B,COMBINED!$N:$N)</f>
        <v>24.888560029957361</v>
      </c>
      <c r="K40" s="33"/>
      <c r="L40" s="33"/>
      <c r="M40" s="33"/>
      <c r="N40" s="33">
        <f t="shared" si="2"/>
        <v>3.7100807040989059</v>
      </c>
      <c r="O40" s="33"/>
      <c r="P40" s="33">
        <f t="shared" si="3"/>
        <v>0.82430573083669501</v>
      </c>
      <c r="Q40" s="33">
        <f t="shared" si="4"/>
        <v>0.41983273247583225</v>
      </c>
      <c r="R40" s="33">
        <f t="shared" si="5"/>
        <v>0.89496050776555458</v>
      </c>
      <c r="S40" s="33"/>
      <c r="T40" s="33">
        <f t="shared" si="6"/>
        <v>-0.68526674636988427</v>
      </c>
      <c r="U40" s="33"/>
      <c r="V40" s="33">
        <f t="shared" si="7"/>
        <v>-0.26440058035237068</v>
      </c>
      <c r="W40" s="33">
        <f t="shared" si="8"/>
        <v>0.1837720949744901</v>
      </c>
      <c r="X40" s="33">
        <f t="shared" si="9"/>
        <v>-0.1746443419128432</v>
      </c>
      <c r="Y40" s="33"/>
      <c r="Z40" s="33">
        <f t="shared" si="10"/>
        <v>-3.6164812061325522</v>
      </c>
      <c r="AA40" s="33">
        <f t="shared" si="13"/>
        <v>-4.3017479525024367</v>
      </c>
      <c r="AB40" s="33"/>
      <c r="AC40" s="33">
        <f t="shared" si="11"/>
        <v>1.2227976659865327</v>
      </c>
      <c r="AD40" s="33">
        <f t="shared" si="12"/>
        <v>0</v>
      </c>
      <c r="AE40" s="65"/>
      <c r="AF40" s="33"/>
      <c r="AG40" s="33"/>
    </row>
    <row r="41" spans="2:33" x14ac:dyDescent="0.35">
      <c r="B41" t="s">
        <v>109</v>
      </c>
      <c r="C41" t="s">
        <v>110</v>
      </c>
      <c r="D41" s="33">
        <f>_xlfn.XLOOKUP($C41,SEM!$B:$B,SEM!$D:$D)*Input_1_coef.</f>
        <v>10.833575634863104</v>
      </c>
      <c r="E41" s="33">
        <f>_xlfn.XLOOKUP($C41,SEM!$B:$B,SEM!$E:$E)*Input_2_coef.</f>
        <v>0.41191155778111349</v>
      </c>
      <c r="F41" s="33">
        <f t="shared" si="0"/>
        <v>8.2382311556222707E-2</v>
      </c>
      <c r="G41" s="33"/>
      <c r="H41" s="33">
        <f t="shared" si="1"/>
        <v>11.245487192644218</v>
      </c>
      <c r="I41" s="33">
        <f>IF(Input_3_coef.&gt;=0.54,(Input_1_coef.*_xlfn.XLOOKUP($C41,COMBINED!$B:$B,COMBINED!$AB:$AB)+Input_2_coef.*_xlfn.XLOOKUP($C41,COMBINED!$B:$B,COMBINED!$AC:$AC))+F41,(Input_1_coef.*_xlfn.XLOOKUP($C41,COMBINED!$B:$B,COMBINED!$AB:$AB)+Input_2_coef.*_xlfn.XLOOKUP($C41,COMBINED!$B:$B,COMBINED!$AC:$AC)))</f>
        <v>11.245487192644218</v>
      </c>
      <c r="J41" s="33">
        <f>_xlfn.XLOOKUP($C41,COMBINED!$B:$B,COMBINED!$N:$N)</f>
        <v>13.318972073535434</v>
      </c>
      <c r="K41" s="33"/>
      <c r="L41" s="33"/>
      <c r="M41" s="33"/>
      <c r="N41" s="33">
        <f t="shared" si="2"/>
        <v>1.7722887815607289</v>
      </c>
      <c r="O41" s="33"/>
      <c r="P41" s="33">
        <f t="shared" si="3"/>
        <v>0.39376712148716281</v>
      </c>
      <c r="Q41" s="33">
        <f t="shared" si="4"/>
        <v>0.2005521985214121</v>
      </c>
      <c r="R41" s="33">
        <f t="shared" si="5"/>
        <v>0.42751858904320528</v>
      </c>
      <c r="S41" s="33"/>
      <c r="T41" s="33">
        <f t="shared" si="6"/>
        <v>-0.32734882710939289</v>
      </c>
      <c r="U41" s="33"/>
      <c r="V41" s="33">
        <f t="shared" si="7"/>
        <v>-0.12630296205657973</v>
      </c>
      <c r="W41" s="33">
        <f t="shared" si="8"/>
        <v>8.778709905888854E-2</v>
      </c>
      <c r="X41" s="33">
        <f t="shared" si="9"/>
        <v>-8.3426812681791432E-2</v>
      </c>
      <c r="Y41" s="33"/>
      <c r="Z41" s="33">
        <f t="shared" si="10"/>
        <v>-1.7275767244827751</v>
      </c>
      <c r="AA41" s="33">
        <f t="shared" si="13"/>
        <v>-2.0549255515921678</v>
      </c>
      <c r="AB41" s="33"/>
      <c r="AC41" s="33">
        <f t="shared" si="11"/>
        <v>0.58412491759338336</v>
      </c>
      <c r="AD41" s="33">
        <f t="shared" si="12"/>
        <v>0</v>
      </c>
      <c r="AE41" s="65"/>
      <c r="AF41" s="33"/>
      <c r="AG41" s="33"/>
    </row>
    <row r="42" spans="2:33" x14ac:dyDescent="0.35">
      <c r="B42" t="s">
        <v>111</v>
      </c>
      <c r="C42" t="s">
        <v>112</v>
      </c>
      <c r="D42" s="33">
        <f>_xlfn.XLOOKUP($C42,SEM!$B:$B,SEM!$D:$D)*Input_1_coef.</f>
        <v>29.345646634242584</v>
      </c>
      <c r="E42" s="33">
        <f>_xlfn.XLOOKUP($C42,SEM!$B:$B,SEM!$E:$E)*Input_2_coef.</f>
        <v>0</v>
      </c>
      <c r="F42" s="33">
        <f t="shared" si="0"/>
        <v>0</v>
      </c>
      <c r="G42" s="33"/>
      <c r="H42" s="33">
        <f t="shared" si="1"/>
        <v>29.345646634242584</v>
      </c>
      <c r="I42" s="33">
        <f>IF(Input_3_coef.&gt;=0.54,(Input_1_coef.*_xlfn.XLOOKUP($C42,COMBINED!$B:$B,COMBINED!$AB:$AB)+Input_2_coef.*_xlfn.XLOOKUP($C42,COMBINED!$B:$B,COMBINED!$AC:$AC))+F42,(Input_1_coef.*_xlfn.XLOOKUP($C42,COMBINED!$B:$B,COMBINED!$AB:$AB)+Input_2_coef.*_xlfn.XLOOKUP($C42,COMBINED!$B:$B,COMBINED!$AC:$AC)))</f>
        <v>29.345646634242584</v>
      </c>
      <c r="J42" s="33">
        <f>_xlfn.XLOOKUP($C42,COMBINED!$B:$B,COMBINED!$N:$N)</f>
        <v>33.773887271035449</v>
      </c>
      <c r="K42" s="33"/>
      <c r="L42" s="33"/>
      <c r="M42" s="33"/>
      <c r="N42" s="33">
        <f t="shared" si="2"/>
        <v>4.6248739095566309</v>
      </c>
      <c r="O42" s="33"/>
      <c r="P42" s="33">
        <f t="shared" si="3"/>
        <v>1.0275544852252925</v>
      </c>
      <c r="Q42" s="33">
        <f t="shared" si="4"/>
        <v>0.52335073160542833</v>
      </c>
      <c r="R42" s="33">
        <f t="shared" si="5"/>
        <v>1.1156305839588889</v>
      </c>
      <c r="S42" s="33"/>
      <c r="T42" s="33">
        <f t="shared" si="6"/>
        <v>-0.8542327105907479</v>
      </c>
      <c r="U42" s="33"/>
      <c r="V42" s="33">
        <f t="shared" si="7"/>
        <v>-0.32959373212349186</v>
      </c>
      <c r="W42" s="33">
        <f t="shared" si="8"/>
        <v>0.22908471139538442</v>
      </c>
      <c r="X42" s="33">
        <f t="shared" si="9"/>
        <v>-0.21770633169031564</v>
      </c>
      <c r="Y42" s="33"/>
      <c r="Z42" s="33">
        <f t="shared" si="10"/>
        <v>-4.5081956185388821</v>
      </c>
      <c r="AA42" s="33">
        <f t="shared" si="13"/>
        <v>-5.3624283291296297</v>
      </c>
      <c r="AB42" s="33"/>
      <c r="AC42" s="33">
        <f t="shared" si="11"/>
        <v>1.524302427125072</v>
      </c>
      <c r="AD42" s="33">
        <f t="shared" si="12"/>
        <v>0</v>
      </c>
      <c r="AE42" s="65"/>
      <c r="AF42" s="33"/>
      <c r="AG42" s="33"/>
    </row>
    <row r="43" spans="2:33" x14ac:dyDescent="0.35">
      <c r="B43" t="s">
        <v>113</v>
      </c>
      <c r="C43" t="s">
        <v>114</v>
      </c>
      <c r="D43" s="33">
        <f>_xlfn.XLOOKUP($C43,SEM!$B:$B,SEM!$D:$D)*Input_1_coef.</f>
        <v>5.4460846921479318</v>
      </c>
      <c r="E43" s="33">
        <f>_xlfn.XLOOKUP($C43,SEM!$B:$B,SEM!$E:$E)*Input_2_coef.</f>
        <v>0.86876125339924437</v>
      </c>
      <c r="F43" s="33">
        <f t="shared" si="0"/>
        <v>0.1737522506798489</v>
      </c>
      <c r="G43" s="33"/>
      <c r="H43" s="33">
        <f t="shared" si="1"/>
        <v>6.3148459455471766</v>
      </c>
      <c r="I43" s="33">
        <f>IF(Input_3_coef.&gt;=0.54,(Input_1_coef.*_xlfn.XLOOKUP($C43,COMBINED!$B:$B,COMBINED!$AB:$AB)+Input_2_coef.*_xlfn.XLOOKUP($C43,COMBINED!$B:$B,COMBINED!$AC:$AC))+F43,(Input_1_coef.*_xlfn.XLOOKUP($C43,COMBINED!$B:$B,COMBINED!$AB:$AB)+Input_2_coef.*_xlfn.XLOOKUP($C43,COMBINED!$B:$B,COMBINED!$AC:$AC)))</f>
        <v>6.3148459455471766</v>
      </c>
      <c r="J43" s="33">
        <f>_xlfn.XLOOKUP($C43,COMBINED!$B:$B,COMBINED!$N:$N)</f>
        <v>5.7764937935672656</v>
      </c>
      <c r="K43" s="33"/>
      <c r="L43" s="33"/>
      <c r="M43" s="33"/>
      <c r="N43" s="33">
        <f t="shared" si="2"/>
        <v>0.99521972101823519</v>
      </c>
      <c r="O43" s="33"/>
      <c r="P43" s="33">
        <f t="shared" si="3"/>
        <v>0.22111791761583152</v>
      </c>
      <c r="Q43" s="33">
        <f t="shared" si="4"/>
        <v>0.1126190636304235</v>
      </c>
      <c r="R43" s="33">
        <f t="shared" si="5"/>
        <v>0.2400708819829028</v>
      </c>
      <c r="S43" s="33"/>
      <c r="T43" s="33">
        <f t="shared" si="6"/>
        <v>-0.18382106335095211</v>
      </c>
      <c r="U43" s="33"/>
      <c r="V43" s="33">
        <f t="shared" si="7"/>
        <v>-7.0924783799077948E-2</v>
      </c>
      <c r="W43" s="33">
        <f t="shared" si="8"/>
        <v>4.9296397485204931E-2</v>
      </c>
      <c r="X43" s="33">
        <f t="shared" si="9"/>
        <v>-4.6847900921370249E-2</v>
      </c>
      <c r="Y43" s="33"/>
      <c r="Z43" s="33">
        <f t="shared" si="10"/>
        <v>-0.9701118935387395</v>
      </c>
      <c r="AA43" s="33">
        <f t="shared" si="13"/>
        <v>-1.1539329568896917</v>
      </c>
      <c r="AB43" s="33"/>
      <c r="AC43" s="33">
        <f t="shared" si="11"/>
        <v>0.3280123665936362</v>
      </c>
      <c r="AD43" s="33">
        <f t="shared" si="12"/>
        <v>0</v>
      </c>
      <c r="AE43" s="65"/>
      <c r="AF43" s="33"/>
      <c r="AG43" s="33"/>
    </row>
    <row r="44" spans="2:33" x14ac:dyDescent="0.35">
      <c r="B44" t="s">
        <v>115</v>
      </c>
      <c r="C44" t="s">
        <v>116</v>
      </c>
      <c r="D44" s="33">
        <f>_xlfn.XLOOKUP($C44,SEM!$B:$B,SEM!$D:$D)*Input_1_coef.</f>
        <v>219.18214872087441</v>
      </c>
      <c r="E44" s="33">
        <f>_xlfn.XLOOKUP($C44,SEM!$B:$B,SEM!$E:$E)*Input_2_coef.</f>
        <v>6.357457562655136</v>
      </c>
      <c r="F44" s="33">
        <f t="shared" si="0"/>
        <v>1.2714915125310273</v>
      </c>
      <c r="G44" s="33"/>
      <c r="H44" s="33">
        <f t="shared" si="1"/>
        <v>225.53960628352954</v>
      </c>
      <c r="I44" s="33">
        <f>IF(Input_3_coef.&gt;=0.54,(Input_1_coef.*_xlfn.XLOOKUP($C44,COMBINED!$B:$B,COMBINED!$AB:$AB)+Input_2_coef.*_xlfn.XLOOKUP($C44,COMBINED!$B:$B,COMBINED!$AC:$AC))+F44,(Input_1_coef.*_xlfn.XLOOKUP($C44,COMBINED!$B:$B,COMBINED!$AB:$AB)+Input_2_coef.*_xlfn.XLOOKUP($C44,COMBINED!$B:$B,COMBINED!$AC:$AC)))</f>
        <v>225.53960628352954</v>
      </c>
      <c r="J44" s="33">
        <f>_xlfn.XLOOKUP($C44,COMBINED!$B:$B,COMBINED!$N:$N)</f>
        <v>189.56681880054444</v>
      </c>
      <c r="K44" s="33"/>
      <c r="L44" s="33"/>
      <c r="M44" s="33"/>
      <c r="N44" s="33">
        <f t="shared" si="2"/>
        <v>35.545041950284258</v>
      </c>
      <c r="O44" s="33"/>
      <c r="P44" s="33">
        <f t="shared" si="3"/>
        <v>7.8973974205141575</v>
      </c>
      <c r="Q44" s="33">
        <f t="shared" si="4"/>
        <v>4.0222769470941664</v>
      </c>
      <c r="R44" s="33">
        <f t="shared" si="5"/>
        <v>8.5743171994153702</v>
      </c>
      <c r="S44" s="33"/>
      <c r="T44" s="33">
        <f t="shared" si="6"/>
        <v>-6.5653114283853036</v>
      </c>
      <c r="U44" s="33"/>
      <c r="V44" s="33">
        <f t="shared" si="7"/>
        <v>-2.5331335002824718</v>
      </c>
      <c r="W44" s="33">
        <f t="shared" si="8"/>
        <v>1.7606589576186571</v>
      </c>
      <c r="X44" s="33">
        <f t="shared" si="9"/>
        <v>-1.6732090093925649</v>
      </c>
      <c r="Y44" s="33"/>
      <c r="Z44" s="33">
        <f t="shared" si="10"/>
        <v>-34.648296475700938</v>
      </c>
      <c r="AA44" s="33">
        <f t="shared" si="13"/>
        <v>-41.213607904086246</v>
      </c>
      <c r="AB44" s="33"/>
      <c r="AC44" s="33">
        <f t="shared" si="11"/>
        <v>11.715215328383941</v>
      </c>
      <c r="AD44" s="33">
        <f t="shared" si="12"/>
        <v>0</v>
      </c>
      <c r="AE44" s="65"/>
      <c r="AF44" s="33"/>
      <c r="AG44" s="33"/>
    </row>
    <row r="45" spans="2:33" x14ac:dyDescent="0.35">
      <c r="B45" t="s">
        <v>117</v>
      </c>
      <c r="C45" t="s">
        <v>118</v>
      </c>
      <c r="D45" s="33">
        <f>_xlfn.XLOOKUP($C45,SEM!$B:$B,SEM!$D:$D)*Input_1_coef.</f>
        <v>10.815036800188663</v>
      </c>
      <c r="E45" s="33">
        <f>_xlfn.XLOOKUP($C45,SEM!$B:$B,SEM!$E:$E)*Input_2_coef.</f>
        <v>3.1316873134784635</v>
      </c>
      <c r="F45" s="33">
        <f t="shared" si="0"/>
        <v>0.62633746269569279</v>
      </c>
      <c r="G45" s="33"/>
      <c r="H45" s="33">
        <f t="shared" si="1"/>
        <v>13.946724113667127</v>
      </c>
      <c r="I45" s="33">
        <f>IF(Input_3_coef.&gt;=0.54,(Input_1_coef.*_xlfn.XLOOKUP($C45,COMBINED!$B:$B,COMBINED!$AB:$AB)+Input_2_coef.*_xlfn.XLOOKUP($C45,COMBINED!$B:$B,COMBINED!$AC:$AC))+F45,(Input_1_coef.*_xlfn.XLOOKUP($C45,COMBINED!$B:$B,COMBINED!$AB:$AB)+Input_2_coef.*_xlfn.XLOOKUP($C45,COMBINED!$B:$B,COMBINED!$AC:$AC)))</f>
        <v>13.946724113667127</v>
      </c>
      <c r="J45" s="33">
        <f>_xlfn.XLOOKUP($C45,COMBINED!$B:$B,COMBINED!$N:$N)</f>
        <v>13.142966677415535</v>
      </c>
      <c r="K45" s="33"/>
      <c r="L45" s="33"/>
      <c r="M45" s="33"/>
      <c r="N45" s="33">
        <f t="shared" si="2"/>
        <v>2.1980037203139395</v>
      </c>
      <c r="O45" s="33"/>
      <c r="P45" s="33">
        <f t="shared" si="3"/>
        <v>0.48835246657935116</v>
      </c>
      <c r="Q45" s="33">
        <f t="shared" si="4"/>
        <v>0.24872610099072542</v>
      </c>
      <c r="R45" s="33">
        <f t="shared" si="5"/>
        <v>0.53021124942900977</v>
      </c>
      <c r="S45" s="33"/>
      <c r="T45" s="33">
        <f t="shared" si="6"/>
        <v>-0.4059800791568659</v>
      </c>
      <c r="U45" s="33"/>
      <c r="V45" s="33">
        <f t="shared" si="7"/>
        <v>-0.15664172982156851</v>
      </c>
      <c r="W45" s="33">
        <f t="shared" si="8"/>
        <v>0.10887411370797168</v>
      </c>
      <c r="X45" s="33">
        <f t="shared" si="9"/>
        <v>-0.1034664590536022</v>
      </c>
      <c r="Y45" s="33"/>
      <c r="Z45" s="33">
        <f t="shared" si="10"/>
        <v>-2.1425515452379988</v>
      </c>
      <c r="AA45" s="33">
        <f t="shared" si="13"/>
        <v>-2.5485316243948648</v>
      </c>
      <c r="AB45" s="33"/>
      <c r="AC45" s="33">
        <f t="shared" si="11"/>
        <v>0.72443540542398677</v>
      </c>
      <c r="AD45" s="33">
        <f t="shared" si="12"/>
        <v>0</v>
      </c>
      <c r="AE45" s="65"/>
      <c r="AF45" s="33"/>
      <c r="AG45" s="33"/>
    </row>
    <row r="46" spans="2:33" x14ac:dyDescent="0.35">
      <c r="B46" t="s">
        <v>119</v>
      </c>
      <c r="C46" t="s">
        <v>120</v>
      </c>
      <c r="D46" s="33">
        <f>_xlfn.XLOOKUP($C46,SEM!$B:$B,SEM!$D:$D)*Input_1_coef.</f>
        <v>62.750353289715719</v>
      </c>
      <c r="E46" s="33">
        <f>_xlfn.XLOOKUP($C46,SEM!$B:$B,SEM!$E:$E)*Input_2_coef.</f>
        <v>1.3002352579860774</v>
      </c>
      <c r="F46" s="33">
        <f t="shared" si="0"/>
        <v>0.26004705159721547</v>
      </c>
      <c r="G46" s="33"/>
      <c r="H46" s="33">
        <f t="shared" si="1"/>
        <v>64.050588547701793</v>
      </c>
      <c r="I46" s="33">
        <f>IF(Input_3_coef.&gt;=0.54,(Input_1_coef.*_xlfn.XLOOKUP($C46,COMBINED!$B:$B,COMBINED!$AB:$AB)+Input_2_coef.*_xlfn.XLOOKUP($C46,COMBINED!$B:$B,COMBINED!$AC:$AC))+F46,(Input_1_coef.*_xlfn.XLOOKUP($C46,COMBINED!$B:$B,COMBINED!$AB:$AB)+Input_2_coef.*_xlfn.XLOOKUP($C46,COMBINED!$B:$B,COMBINED!$AC:$AC)))</f>
        <v>64.050588547701793</v>
      </c>
      <c r="J46" s="33">
        <f>_xlfn.XLOOKUP($C46,COMBINED!$B:$B,COMBINED!$N:$N)</f>
        <v>76.068102854266968</v>
      </c>
      <c r="K46" s="33"/>
      <c r="L46" s="33"/>
      <c r="M46" s="33"/>
      <c r="N46" s="33">
        <f t="shared" si="2"/>
        <v>10.094372755117805</v>
      </c>
      <c r="O46" s="33"/>
      <c r="P46" s="33">
        <f t="shared" si="3"/>
        <v>2.2427677387320739</v>
      </c>
      <c r="Q46" s="33">
        <f t="shared" si="4"/>
        <v>1.1422792209691308</v>
      </c>
      <c r="R46" s="33">
        <f t="shared" si="5"/>
        <v>2.4350049734805377</v>
      </c>
      <c r="S46" s="33"/>
      <c r="T46" s="33">
        <f t="shared" si="6"/>
        <v>-1.8644710253612791</v>
      </c>
      <c r="U46" s="33"/>
      <c r="V46" s="33">
        <f t="shared" si="7"/>
        <v>-0.71938004254129451</v>
      </c>
      <c r="W46" s="33">
        <f t="shared" si="8"/>
        <v>0.5000063816972864</v>
      </c>
      <c r="X46" s="33">
        <f t="shared" si="9"/>
        <v>-0.47517162763947413</v>
      </c>
      <c r="Y46" s="33"/>
      <c r="Z46" s="33">
        <f t="shared" si="10"/>
        <v>-9.8397076150521396</v>
      </c>
      <c r="AA46" s="33">
        <f t="shared" si="13"/>
        <v>-11.704178640413419</v>
      </c>
      <c r="AB46" s="33"/>
      <c r="AC46" s="33">
        <f t="shared" si="11"/>
        <v>3.3269830036093571</v>
      </c>
      <c r="AD46" s="33">
        <f t="shared" si="12"/>
        <v>0</v>
      </c>
      <c r="AE46" s="65"/>
      <c r="AF46" s="33"/>
      <c r="AG46" s="33"/>
    </row>
    <row r="47" spans="2:33" x14ac:dyDescent="0.35">
      <c r="B47" t="s">
        <v>121</v>
      </c>
      <c r="C47" t="s">
        <v>122</v>
      </c>
      <c r="D47" s="33">
        <f>_xlfn.XLOOKUP($C47,SEM!$B:$B,SEM!$D:$D)*Input_1_coef.</f>
        <v>6.1447963874933214</v>
      </c>
      <c r="E47" s="33">
        <f>_xlfn.XLOOKUP($C47,SEM!$B:$B,SEM!$E:$E)*Input_2_coef.</f>
        <v>0.65291739112774394</v>
      </c>
      <c r="F47" s="33">
        <f t="shared" si="0"/>
        <v>0.1305834782255488</v>
      </c>
      <c r="G47" s="33"/>
      <c r="H47" s="33">
        <f t="shared" si="1"/>
        <v>6.7977137786210653</v>
      </c>
      <c r="I47" s="33">
        <f>IF(Input_3_coef.&gt;=0.54,(Input_1_coef.*_xlfn.XLOOKUP($C47,COMBINED!$B:$B,COMBINED!$AB:$AB)+Input_2_coef.*_xlfn.XLOOKUP($C47,COMBINED!$B:$B,COMBINED!$AC:$AC))+F47,(Input_1_coef.*_xlfn.XLOOKUP($C47,COMBINED!$B:$B,COMBINED!$AB:$AB)+Input_2_coef.*_xlfn.XLOOKUP($C47,COMBINED!$B:$B,COMBINED!$AC:$AC)))</f>
        <v>6.7977137786210653</v>
      </c>
      <c r="J47" s="33">
        <f>_xlfn.XLOOKUP($C47,COMBINED!$B:$B,COMBINED!$N:$N)</f>
        <v>7.7142227376063435</v>
      </c>
      <c r="K47" s="33"/>
      <c r="L47" s="33"/>
      <c r="M47" s="33"/>
      <c r="N47" s="33">
        <f t="shared" si="2"/>
        <v>1.07131969151068</v>
      </c>
      <c r="O47" s="33"/>
      <c r="P47" s="33">
        <f t="shared" si="3"/>
        <v>0.23802580905984291</v>
      </c>
      <c r="Q47" s="33">
        <f t="shared" si="4"/>
        <v>0.12123053629134854</v>
      </c>
      <c r="R47" s="33">
        <f t="shared" si="5"/>
        <v>0.25842802126497227</v>
      </c>
      <c r="S47" s="33"/>
      <c r="T47" s="33">
        <f t="shared" si="6"/>
        <v>-0.19787703230078862</v>
      </c>
      <c r="U47" s="33"/>
      <c r="V47" s="33">
        <f t="shared" si="7"/>
        <v>-7.634808263480708E-2</v>
      </c>
      <c r="W47" s="33">
        <f t="shared" si="8"/>
        <v>5.3065871014296287E-2</v>
      </c>
      <c r="X47" s="33">
        <f t="shared" si="9"/>
        <v>-5.0430148944049784E-2</v>
      </c>
      <c r="Y47" s="33"/>
      <c r="Z47" s="33">
        <f t="shared" si="10"/>
        <v>-1.0442919815268825</v>
      </c>
      <c r="AA47" s="33">
        <f t="shared" si="13"/>
        <v>-1.2421690138276711</v>
      </c>
      <c r="AB47" s="33"/>
      <c r="AC47" s="33">
        <f t="shared" si="11"/>
        <v>0.35309399519459844</v>
      </c>
      <c r="AD47" s="33">
        <f t="shared" si="12"/>
        <v>0</v>
      </c>
      <c r="AE47" s="65"/>
      <c r="AF47" s="33"/>
      <c r="AG47" s="33"/>
    </row>
    <row r="48" spans="2:33" x14ac:dyDescent="0.35">
      <c r="B48" t="s">
        <v>123</v>
      </c>
      <c r="C48" t="s">
        <v>124</v>
      </c>
      <c r="D48" s="33">
        <f>_xlfn.XLOOKUP($C48,SEM!$B:$B,SEM!$D:$D)*Input_1_coef.</f>
        <v>22.080296153974146</v>
      </c>
      <c r="E48" s="33">
        <f>_xlfn.XLOOKUP($C48,SEM!$B:$B,SEM!$E:$E)*Input_2_coef.</f>
        <v>0.12393310807251672</v>
      </c>
      <c r="F48" s="33">
        <f t="shared" si="0"/>
        <v>2.4786621614503346E-2</v>
      </c>
      <c r="G48" s="33"/>
      <c r="H48" s="33">
        <f t="shared" si="1"/>
        <v>22.204229262046663</v>
      </c>
      <c r="I48" s="33">
        <f>IF(Input_3_coef.&gt;=0.54,(Input_1_coef.*_xlfn.XLOOKUP($C48,COMBINED!$B:$B,COMBINED!$AB:$AB)+Input_2_coef.*_xlfn.XLOOKUP($C48,COMBINED!$B:$B,COMBINED!$AC:$AC))+F48,(Input_1_coef.*_xlfn.XLOOKUP($C48,COMBINED!$B:$B,COMBINED!$AB:$AB)+Input_2_coef.*_xlfn.XLOOKUP($C48,COMBINED!$B:$B,COMBINED!$AC:$AC)))</f>
        <v>22.204229262046663</v>
      </c>
      <c r="J48" s="33">
        <f>_xlfn.XLOOKUP($C48,COMBINED!$B:$B,COMBINED!$N:$N)</f>
        <v>27.278054793450032</v>
      </c>
      <c r="K48" s="33"/>
      <c r="L48" s="33"/>
      <c r="M48" s="33"/>
      <c r="N48" s="33">
        <f t="shared" si="2"/>
        <v>3.4993865316985544</v>
      </c>
      <c r="O48" s="33"/>
      <c r="P48" s="33">
        <f t="shared" si="3"/>
        <v>0.77749369961278503</v>
      </c>
      <c r="Q48" s="33">
        <f t="shared" si="4"/>
        <v>0.39599057992700842</v>
      </c>
      <c r="R48" s="33">
        <f t="shared" si="5"/>
        <v>0.8441360167224522</v>
      </c>
      <c r="S48" s="33"/>
      <c r="T48" s="33">
        <f t="shared" si="6"/>
        <v>-0.64635068995084977</v>
      </c>
      <c r="U48" s="33"/>
      <c r="V48" s="33">
        <f t="shared" si="7"/>
        <v>-0.2493853648078761</v>
      </c>
      <c r="W48" s="33">
        <f t="shared" si="8"/>
        <v>0.1733357426282591</v>
      </c>
      <c r="X48" s="33">
        <f t="shared" si="9"/>
        <v>-0.16472635143811376</v>
      </c>
      <c r="Y48" s="33"/>
      <c r="Z48" s="33">
        <f t="shared" si="10"/>
        <v>-3.4111025161526562</v>
      </c>
      <c r="AA48" s="33">
        <f t="shared" si="13"/>
        <v>-4.0574532061035065</v>
      </c>
      <c r="AB48" s="33"/>
      <c r="AC48" s="33">
        <f t="shared" si="11"/>
        <v>1.1533554185541584</v>
      </c>
      <c r="AD48" s="33">
        <f t="shared" si="12"/>
        <v>0</v>
      </c>
      <c r="AE48" s="65"/>
      <c r="AF48" s="33"/>
      <c r="AG48" s="33"/>
    </row>
    <row r="49" spans="2:35" x14ac:dyDescent="0.35">
      <c r="B49" t="s">
        <v>125</v>
      </c>
      <c r="C49" t="s">
        <v>126</v>
      </c>
      <c r="D49" s="33">
        <f>_xlfn.XLOOKUP($C49,SEM!$B:$B,SEM!$D:$D)*Input_1_coef.</f>
        <v>8.59100372097787</v>
      </c>
      <c r="E49" s="33">
        <f>_xlfn.XLOOKUP($C49,SEM!$B:$B,SEM!$E:$E)*Input_2_coef.</f>
        <v>3.5390506814731917</v>
      </c>
      <c r="F49" s="33">
        <f t="shared" si="0"/>
        <v>0.7078101362946384</v>
      </c>
      <c r="G49" s="33"/>
      <c r="H49" s="33">
        <f t="shared" si="1"/>
        <v>12.130054402451062</v>
      </c>
      <c r="I49" s="33">
        <f>IF(Input_3_coef.&gt;=0.54,(Input_1_coef.*_xlfn.XLOOKUP($C49,COMBINED!$B:$B,COMBINED!$AB:$AB)+Input_2_coef.*_xlfn.XLOOKUP($C49,COMBINED!$B:$B,COMBINED!$AC:$AC))+F49,(Input_1_coef.*_xlfn.XLOOKUP($C49,COMBINED!$B:$B,COMBINED!$AB:$AB)+Input_2_coef.*_xlfn.XLOOKUP($C49,COMBINED!$B:$B,COMBINED!$AC:$AC)))</f>
        <v>12.130054402451062</v>
      </c>
      <c r="J49" s="33">
        <f>_xlfn.XLOOKUP($C49,COMBINED!$B:$B,COMBINED!$N:$N)</f>
        <v>9.8502771989994251</v>
      </c>
      <c r="K49" s="33"/>
      <c r="L49" s="33"/>
      <c r="M49" s="33"/>
      <c r="N49" s="33">
        <f t="shared" si="2"/>
        <v>1.9116965738262877</v>
      </c>
      <c r="O49" s="33"/>
      <c r="P49" s="33">
        <f t="shared" si="3"/>
        <v>0.42474074477272461</v>
      </c>
      <c r="Q49" s="33">
        <f t="shared" si="4"/>
        <v>0.2163275842941827</v>
      </c>
      <c r="R49" s="33">
        <f t="shared" si="5"/>
        <v>0.46114709432467244</v>
      </c>
      <c r="S49" s="33"/>
      <c r="T49" s="33">
        <f t="shared" si="6"/>
        <v>-0.35309800397201063</v>
      </c>
      <c r="U49" s="33"/>
      <c r="V49" s="33">
        <f t="shared" si="7"/>
        <v>-0.1362379214605447</v>
      </c>
      <c r="W49" s="33">
        <f t="shared" si="8"/>
        <v>9.4692410313197931E-2</v>
      </c>
      <c r="X49" s="33">
        <f t="shared" si="9"/>
        <v>-8.9989144900290738E-2</v>
      </c>
      <c r="Y49" s="33"/>
      <c r="Z49" s="33">
        <f t="shared" si="10"/>
        <v>-1.8634674775221416</v>
      </c>
      <c r="AA49" s="33">
        <f t="shared" si="13"/>
        <v>-2.2165654814941522</v>
      </c>
      <c r="AB49" s="33"/>
      <c r="AC49" s="33">
        <f t="shared" si="11"/>
        <v>0.63007203750760177</v>
      </c>
      <c r="AD49" s="33">
        <f t="shared" si="12"/>
        <v>0</v>
      </c>
      <c r="AE49" s="65"/>
      <c r="AF49" s="33"/>
      <c r="AG49" s="33"/>
    </row>
    <row r="50" spans="2:35" x14ac:dyDescent="0.35">
      <c r="B50" t="s">
        <v>127</v>
      </c>
      <c r="C50" t="s">
        <v>128</v>
      </c>
      <c r="D50" s="33">
        <f>_xlfn.XLOOKUP($C50,SEM!$B:$B,SEM!$D:$D)*Input_1_coef.</f>
        <v>5.900420124602844</v>
      </c>
      <c r="E50" s="33">
        <f>_xlfn.XLOOKUP($C50,SEM!$B:$B,SEM!$E:$E)*Input_2_coef.</f>
        <v>5.5633261439791326</v>
      </c>
      <c r="F50" s="33">
        <f t="shared" si="0"/>
        <v>1.1126652287958265</v>
      </c>
      <c r="G50" s="33"/>
      <c r="H50" s="33">
        <f t="shared" si="1"/>
        <v>11.463746268581977</v>
      </c>
      <c r="I50" s="33">
        <f>IF(Input_3_coef.&gt;=0.54,(Input_1_coef.*_xlfn.XLOOKUP($C50,COMBINED!$B:$B,COMBINED!$AB:$AB)+Input_2_coef.*_xlfn.XLOOKUP($C50,COMBINED!$B:$B,COMBINED!$AC:$AC))+F50,(Input_1_coef.*_xlfn.XLOOKUP($C50,COMBINED!$B:$B,COMBINED!$AB:$AB)+Input_2_coef.*_xlfn.XLOOKUP($C50,COMBINED!$B:$B,COMBINED!$AC:$AC)))</f>
        <v>11.463746268581977</v>
      </c>
      <c r="J50" s="33">
        <f>_xlfn.XLOOKUP($C50,COMBINED!$B:$B,COMBINED!$N:$N)</f>
        <v>6.7978486795057966</v>
      </c>
      <c r="K50" s="33"/>
      <c r="L50" s="33"/>
      <c r="M50" s="33"/>
      <c r="N50" s="33">
        <f t="shared" si="2"/>
        <v>1.8066864119285198</v>
      </c>
      <c r="O50" s="33"/>
      <c r="P50" s="33">
        <f t="shared" si="3"/>
        <v>0.40140958700227852</v>
      </c>
      <c r="Q50" s="33">
        <f t="shared" si="4"/>
        <v>0.20444463437383131</v>
      </c>
      <c r="R50" s="33">
        <f t="shared" si="5"/>
        <v>0.43581612303104528</v>
      </c>
      <c r="S50" s="33"/>
      <c r="T50" s="33">
        <f t="shared" si="6"/>
        <v>-0.33370220702884534</v>
      </c>
      <c r="U50" s="33"/>
      <c r="V50" s="33">
        <f t="shared" si="7"/>
        <v>-0.12875432475118156</v>
      </c>
      <c r="W50" s="33">
        <f t="shared" si="8"/>
        <v>8.9490923072167633E-2</v>
      </c>
      <c r="X50" s="33">
        <f t="shared" si="9"/>
        <v>-8.5046009674543399E-2</v>
      </c>
      <c r="Y50" s="33"/>
      <c r="Z50" s="33">
        <f t="shared" si="10"/>
        <v>-1.7611065567646373</v>
      </c>
      <c r="AA50" s="33">
        <f t="shared" si="13"/>
        <v>-2.0948087637934827</v>
      </c>
      <c r="AB50" s="33"/>
      <c r="AC50" s="33">
        <f t="shared" si="11"/>
        <v>0.59546195996088025</v>
      </c>
      <c r="AD50" s="33">
        <f t="shared" si="12"/>
        <v>0</v>
      </c>
      <c r="AE50" s="65"/>
      <c r="AF50" s="33"/>
      <c r="AG50" s="33"/>
    </row>
    <row r="51" spans="2:35" x14ac:dyDescent="0.35">
      <c r="B51" t="s">
        <v>129</v>
      </c>
      <c r="C51" t="s">
        <v>130</v>
      </c>
      <c r="D51" s="33">
        <f>_xlfn.XLOOKUP($C51,SEM!$B:$B,SEM!$D:$D)*Input_1_coef.</f>
        <v>28.469795819740838</v>
      </c>
      <c r="E51" s="33">
        <f>_xlfn.XLOOKUP($C51,SEM!$B:$B,SEM!$E:$E)*Input_2_coef.</f>
        <v>3.5396162650944318</v>
      </c>
      <c r="F51" s="33">
        <f t="shared" si="0"/>
        <v>0.70792325301888637</v>
      </c>
      <c r="G51" s="33"/>
      <c r="H51" s="33">
        <f t="shared" si="1"/>
        <v>32.009412084835269</v>
      </c>
      <c r="I51" s="33">
        <f>IF(Input_3_coef.&gt;=0.54,(Input_1_coef.*_xlfn.XLOOKUP($C51,COMBINED!$B:$B,COMBINED!$AB:$AB)+Input_2_coef.*_xlfn.XLOOKUP($C51,COMBINED!$B:$B,COMBINED!$AC:$AC))+F51,(Input_1_coef.*_xlfn.XLOOKUP($C51,COMBINED!$B:$B,COMBINED!$AB:$AB)+Input_2_coef.*_xlfn.XLOOKUP($C51,COMBINED!$B:$B,COMBINED!$AC:$AC)))</f>
        <v>32.009412084835269</v>
      </c>
      <c r="J51" s="33">
        <f>_xlfn.XLOOKUP($C51,COMBINED!$B:$B,COMBINED!$N:$N)</f>
        <v>34.627209644822003</v>
      </c>
      <c r="K51" s="33"/>
      <c r="L51" s="33"/>
      <c r="M51" s="33"/>
      <c r="N51" s="33">
        <f t="shared" si="2"/>
        <v>5.0446833445700392</v>
      </c>
      <c r="O51" s="33"/>
      <c r="P51" s="33">
        <f t="shared" si="3"/>
        <v>1.1208277454965714</v>
      </c>
      <c r="Q51" s="33">
        <f t="shared" si="4"/>
        <v>0.57085636727154565</v>
      </c>
      <c r="R51" s="33">
        <f t="shared" si="5"/>
        <v>1.2168986951105631</v>
      </c>
      <c r="S51" s="33"/>
      <c r="T51" s="33">
        <f t="shared" si="6"/>
        <v>-0.93177319247546442</v>
      </c>
      <c r="U51" s="33"/>
      <c r="V51" s="33">
        <f t="shared" si="7"/>
        <v>-0.3595116414919633</v>
      </c>
      <c r="W51" s="33">
        <f t="shared" si="8"/>
        <v>0.24987920766530014</v>
      </c>
      <c r="X51" s="33">
        <f t="shared" si="9"/>
        <v>-0.23746798874152694</v>
      </c>
      <c r="Y51" s="33"/>
      <c r="Z51" s="33">
        <f t="shared" si="10"/>
        <v>-4.9174139221207334</v>
      </c>
      <c r="AA51" s="33">
        <f t="shared" si="13"/>
        <v>-5.849187114596198</v>
      </c>
      <c r="AB51" s="33"/>
      <c r="AC51" s="33">
        <f t="shared" si="11"/>
        <v>1.662666532446657</v>
      </c>
      <c r="AD51" s="33">
        <f t="shared" si="12"/>
        <v>0</v>
      </c>
      <c r="AE51" s="65"/>
      <c r="AF51" s="33"/>
      <c r="AG51" s="33"/>
    </row>
    <row r="52" spans="2:35" x14ac:dyDescent="0.35">
      <c r="B52" t="s">
        <v>131</v>
      </c>
      <c r="C52" t="s">
        <v>132</v>
      </c>
      <c r="D52" s="33">
        <f>_xlfn.XLOOKUP($C52,SEM!$B:$B,SEM!$D:$D)*Input_1_coef.</f>
        <v>28.306844873022783</v>
      </c>
      <c r="E52" s="33">
        <f>_xlfn.XLOOKUP($C52,SEM!$B:$B,SEM!$E:$E)*Input_2_coef.</f>
        <v>1.4439882500012997</v>
      </c>
      <c r="F52" s="33">
        <f t="shared" si="0"/>
        <v>0.28879765000025998</v>
      </c>
      <c r="G52" s="33"/>
      <c r="H52" s="33">
        <f t="shared" si="1"/>
        <v>29.750833123024083</v>
      </c>
      <c r="I52" s="33">
        <f>IF(Input_3_coef.&gt;=0.54,(Input_1_coef.*_xlfn.XLOOKUP($C52,COMBINED!$B:$B,COMBINED!$AB:$AB)+Input_2_coef.*_xlfn.XLOOKUP($C52,COMBINED!$B:$B,COMBINED!$AC:$AC))+F52,(Input_1_coef.*_xlfn.XLOOKUP($C52,COMBINED!$B:$B,COMBINED!$AB:$AB)+Input_2_coef.*_xlfn.XLOOKUP($C52,COMBINED!$B:$B,COMBINED!$AC:$AC)))</f>
        <v>29.750833123024083</v>
      </c>
      <c r="J52" s="33">
        <f>_xlfn.XLOOKUP($C52,COMBINED!$B:$B,COMBINED!$N:$N)</f>
        <v>36.237671942336519</v>
      </c>
      <c r="K52" s="33"/>
      <c r="L52" s="33"/>
      <c r="M52" s="33"/>
      <c r="N52" s="33">
        <f t="shared" si="2"/>
        <v>4.6887313001885964</v>
      </c>
      <c r="O52" s="33"/>
      <c r="P52" s="33">
        <f t="shared" si="3"/>
        <v>1.0417423202759024</v>
      </c>
      <c r="Q52" s="33">
        <f t="shared" si="4"/>
        <v>0.53057683392934163</v>
      </c>
      <c r="R52" s="33">
        <f t="shared" si="5"/>
        <v>1.131034519156694</v>
      </c>
      <c r="S52" s="33"/>
      <c r="T52" s="33">
        <f t="shared" si="6"/>
        <v>-0.86602742607003447</v>
      </c>
      <c r="U52" s="33"/>
      <c r="V52" s="33">
        <f t="shared" si="7"/>
        <v>-0.3341445579651578</v>
      </c>
      <c r="W52" s="33">
        <f t="shared" si="8"/>
        <v>0.23224777101375754</v>
      </c>
      <c r="X52" s="33">
        <f t="shared" si="9"/>
        <v>-0.22071228569850471</v>
      </c>
      <c r="Y52" s="33"/>
      <c r="Z52" s="33">
        <f t="shared" si="10"/>
        <v>-4.5704419876914519</v>
      </c>
      <c r="AA52" s="33">
        <f t="shared" si="13"/>
        <v>-5.4364694137614862</v>
      </c>
      <c r="AB52" s="33"/>
      <c r="AC52" s="33">
        <f t="shared" si="11"/>
        <v>1.5453490496781852</v>
      </c>
      <c r="AD52" s="33">
        <f t="shared" si="12"/>
        <v>0</v>
      </c>
      <c r="AE52" s="65"/>
      <c r="AF52" s="33"/>
      <c r="AG52" s="33"/>
    </row>
    <row r="53" spans="2:35" x14ac:dyDescent="0.35">
      <c r="B53" s="1" t="s">
        <v>215</v>
      </c>
      <c r="D53" s="48">
        <f t="shared" ref="D53:AA53" si="14">AVERAGE(D6:D52)</f>
        <v>23.481876431262418</v>
      </c>
      <c r="E53" s="48">
        <f t="shared" si="14"/>
        <v>2.0659070420958789</v>
      </c>
      <c r="F53" s="48">
        <f t="shared" ref="F53" si="15">AVERAGE(F6:F52)</f>
        <v>0.41318140841917578</v>
      </c>
      <c r="G53" s="48"/>
      <c r="H53" s="48">
        <f t="shared" ref="H53" si="16">AVERAGE(H6:H52)</f>
        <v>25.547783473358304</v>
      </c>
      <c r="I53" s="48">
        <f t="shared" ref="I53" si="17">AVERAGE(I6:I52)</f>
        <v>25.547783473358304</v>
      </c>
      <c r="J53" s="48">
        <f t="shared" si="14"/>
        <v>25.627865382806064</v>
      </c>
      <c r="K53" s="48"/>
      <c r="L53" s="48"/>
      <c r="M53" s="48"/>
      <c r="N53" s="48">
        <f t="shared" si="14"/>
        <v>4.0263306754012689</v>
      </c>
      <c r="O53" s="48"/>
      <c r="P53" s="48">
        <f t="shared" si="14"/>
        <v>0.89457014946065405</v>
      </c>
      <c r="Q53" s="48">
        <f t="shared" si="14"/>
        <v>0.45561957922840773</v>
      </c>
      <c r="R53" s="48">
        <f t="shared" si="14"/>
        <v>0.97124759084299572</v>
      </c>
      <c r="S53" s="48"/>
      <c r="T53" s="48">
        <f t="shared" si="14"/>
        <v>-0.74367938106931575</v>
      </c>
      <c r="U53" s="48"/>
      <c r="V53" s="48">
        <f t="shared" si="14"/>
        <v>-0.28693827767426067</v>
      </c>
      <c r="W53" s="48">
        <f t="shared" si="14"/>
        <v>0.19943696169764491</v>
      </c>
      <c r="X53" s="48">
        <f t="shared" si="14"/>
        <v>-0.18953115234180162</v>
      </c>
      <c r="Y53" s="48"/>
      <c r="Z53" s="48">
        <f t="shared" si="14"/>
        <v>-3.9247526883111967</v>
      </c>
      <c r="AA53" s="48">
        <f t="shared" si="14"/>
        <v>-4.6684320693805113</v>
      </c>
      <c r="AB53" s="48"/>
      <c r="AC53" s="48">
        <f>AVERAGE(AC6:AC52)</f>
        <v>1.3270298263138269</v>
      </c>
      <c r="AD53" s="48">
        <f>AVERAGE(AD6:AD52)</f>
        <v>0</v>
      </c>
      <c r="AG53" s="48"/>
      <c r="AI53" s="48"/>
    </row>
  </sheetData>
  <dataValidations count="1">
    <dataValidation type="decimal" allowBlank="1" showInputMessage="1" showErrorMessage="1" errorTitle="Number must vary between 0 &amp; 1." error="Enter a number between 0 and 1." promptTitle="% increase in salary" prompt="Please enter the percentage increase in Salary." sqref="F3:G3" xr:uid="{BE42B7D9-EC46-44B9-8891-3D3F5A3C5CAC}">
      <formula1>0</formula1>
      <formula2>1</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5F08-1110-844C-9622-BF14E257A2E5}">
  <sheetPr>
    <tabColor rgb="FFFF0000"/>
  </sheetPr>
  <dimension ref="B1:AI53"/>
  <sheetViews>
    <sheetView topLeftCell="B1" zoomScale="253" workbookViewId="0">
      <selection activeCell="H6" sqref="H6"/>
    </sheetView>
  </sheetViews>
  <sheetFormatPr defaultColWidth="8.81640625" defaultRowHeight="14.5" x14ac:dyDescent="0.35"/>
  <cols>
    <col min="1" max="1" width="2.7265625" customWidth="1"/>
    <col min="2" max="2" width="9.81640625" customWidth="1"/>
    <col min="3" max="3" width="5.1796875" bestFit="1" customWidth="1"/>
    <col min="4" max="4" width="15.453125" bestFit="1" customWidth="1"/>
    <col min="5" max="5" width="15.453125" customWidth="1"/>
    <col min="6" max="6" width="12.7265625" customWidth="1"/>
    <col min="7" max="7" width="17" customWidth="1"/>
    <col min="8" max="8" width="8.453125" customWidth="1"/>
    <col min="9" max="9" width="20.453125" customWidth="1"/>
    <col min="10" max="10" width="17.1796875" customWidth="1"/>
    <col min="11" max="12" width="15.453125" customWidth="1"/>
    <col min="13" max="13" width="8.7265625" customWidth="1"/>
    <col min="14" max="15" width="12.1796875" customWidth="1"/>
    <col min="16" max="16" width="23" bestFit="1" customWidth="1"/>
    <col min="17" max="18" width="17" bestFit="1" customWidth="1"/>
    <col min="19" max="19" width="8.7265625" customWidth="1"/>
    <col min="20" max="20" width="18.7265625" customWidth="1"/>
    <col min="21" max="21" width="14.1796875" customWidth="1"/>
    <col min="22" max="22" width="24.81640625" customWidth="1"/>
    <col min="23" max="23" width="19.453125" customWidth="1"/>
    <col min="24" max="24" width="18" customWidth="1"/>
    <col min="25" max="25" width="8.7265625" customWidth="1"/>
    <col min="26" max="26" width="29.453125" customWidth="1"/>
    <col min="27" max="28" width="14.7265625" customWidth="1"/>
    <col min="29" max="29" width="14.26953125" bestFit="1" customWidth="1"/>
    <col min="30" max="30" width="17.453125" bestFit="1" customWidth="1"/>
    <col min="31" max="31" width="3.26953125" style="62" customWidth="1"/>
    <col min="32" max="32" width="18.453125" customWidth="1"/>
    <col min="33" max="33" width="12.81640625" customWidth="1"/>
    <col min="34" max="34" width="12.453125" bestFit="1" customWidth="1"/>
    <col min="35" max="37" width="12" bestFit="1" customWidth="1"/>
  </cols>
  <sheetData>
    <row r="1" spans="2:33" x14ac:dyDescent="0.35">
      <c r="K1" s="44" t="s">
        <v>171</v>
      </c>
      <c r="L1" s="44"/>
      <c r="AA1" s="44" t="s">
        <v>172</v>
      </c>
      <c r="AB1" s="44"/>
      <c r="AC1" s="44"/>
      <c r="AD1" s="44"/>
    </row>
    <row r="2" spans="2:33" s="40" customFormat="1" ht="45.75" customHeight="1" x14ac:dyDescent="0.35">
      <c r="D2" s="40" t="s">
        <v>173</v>
      </c>
      <c r="E2" s="40" t="s">
        <v>174</v>
      </c>
      <c r="F2" s="40" t="s">
        <v>175</v>
      </c>
      <c r="G2" s="2" t="s">
        <v>213</v>
      </c>
      <c r="I2" s="2" t="s">
        <v>176</v>
      </c>
      <c r="J2" s="2" t="s">
        <v>177</v>
      </c>
      <c r="K2" s="2" t="s">
        <v>178</v>
      </c>
      <c r="L2" s="40" t="s">
        <v>179</v>
      </c>
      <c r="N2" s="2" t="s">
        <v>180</v>
      </c>
      <c r="O2" s="2" t="s">
        <v>181</v>
      </c>
      <c r="P2" s="40" t="s">
        <v>182</v>
      </c>
      <c r="Q2" s="40" t="s">
        <v>183</v>
      </c>
      <c r="R2" s="40" t="s">
        <v>184</v>
      </c>
      <c r="T2" s="2" t="s">
        <v>185</v>
      </c>
      <c r="U2" s="2" t="s">
        <v>186</v>
      </c>
      <c r="V2" s="40" t="s">
        <v>187</v>
      </c>
      <c r="W2" s="40" t="s">
        <v>188</v>
      </c>
      <c r="X2" s="40" t="s">
        <v>189</v>
      </c>
      <c r="Z2" s="2" t="s">
        <v>190</v>
      </c>
      <c r="AA2" s="2" t="s">
        <v>191</v>
      </c>
      <c r="AB2" s="2" t="s">
        <v>192</v>
      </c>
      <c r="AC2" s="40" t="s">
        <v>193</v>
      </c>
      <c r="AD2" s="40" t="s">
        <v>194</v>
      </c>
      <c r="AE2" s="63"/>
    </row>
    <row r="3" spans="2:33" ht="18.5" x14ac:dyDescent="0.35">
      <c r="D3" s="41">
        <v>0.95</v>
      </c>
      <c r="E3" s="41">
        <v>0.59499999999999997</v>
      </c>
      <c r="F3" s="80">
        <v>0.1</v>
      </c>
      <c r="G3" s="80">
        <v>0.5</v>
      </c>
      <c r="H3" s="41"/>
      <c r="I3" s="46">
        <v>0.1</v>
      </c>
      <c r="J3" s="46">
        <v>0.1</v>
      </c>
      <c r="K3" s="47">
        <v>0.115</v>
      </c>
      <c r="L3" s="47">
        <v>0.2</v>
      </c>
      <c r="N3" s="41">
        <v>0.52500000000000002</v>
      </c>
      <c r="O3" s="41">
        <v>0.27600000000000002</v>
      </c>
      <c r="P3" s="41">
        <v>0.80500000000000005</v>
      </c>
      <c r="Q3" s="41">
        <v>0.41</v>
      </c>
      <c r="R3" s="41">
        <v>0.874</v>
      </c>
      <c r="T3" s="41">
        <v>-0.41599999999999998</v>
      </c>
      <c r="U3" s="41">
        <v>0.44400000000000001</v>
      </c>
      <c r="V3" s="41">
        <v>0.86899999999999999</v>
      </c>
      <c r="W3" s="41">
        <v>-0.60399999999999998</v>
      </c>
      <c r="X3" s="41">
        <v>0.57399999999999995</v>
      </c>
      <c r="Z3" s="41">
        <v>-0.34599999999999997</v>
      </c>
      <c r="AA3" s="41">
        <v>-0.65800000000000003</v>
      </c>
      <c r="AB3" s="41">
        <v>0.432</v>
      </c>
      <c r="AC3" s="41">
        <v>1</v>
      </c>
      <c r="AD3" s="41"/>
    </row>
    <row r="4" spans="2:33" s="40" customFormat="1" ht="58" x14ac:dyDescent="0.35">
      <c r="B4" s="37"/>
      <c r="C4" s="37"/>
      <c r="D4" s="43" t="s">
        <v>195</v>
      </c>
      <c r="E4" s="43"/>
      <c r="F4" s="43"/>
      <c r="G4" s="43"/>
      <c r="H4" s="37"/>
      <c r="I4" s="43" t="s">
        <v>196</v>
      </c>
      <c r="J4" s="43"/>
      <c r="K4" s="43"/>
      <c r="L4" s="43"/>
      <c r="P4" s="40" t="s">
        <v>142</v>
      </c>
      <c r="Q4" s="40" t="s">
        <v>143</v>
      </c>
      <c r="R4" s="40" t="s">
        <v>144</v>
      </c>
      <c r="V4" s="2" t="s">
        <v>145</v>
      </c>
      <c r="W4" s="2" t="s">
        <v>146</v>
      </c>
      <c r="X4" s="2" t="s">
        <v>147</v>
      </c>
      <c r="AC4" s="2" t="s">
        <v>150</v>
      </c>
      <c r="AD4" s="2"/>
      <c r="AE4" s="63"/>
      <c r="AF4" s="2"/>
    </row>
    <row r="5" spans="2:33" s="40" customFormat="1" ht="29" x14ac:dyDescent="0.35">
      <c r="B5" s="40" t="s">
        <v>0</v>
      </c>
      <c r="C5" s="40" t="s">
        <v>1</v>
      </c>
      <c r="D5" s="40" t="s">
        <v>199</v>
      </c>
      <c r="E5" s="40" t="s">
        <v>200</v>
      </c>
      <c r="F5" s="40" t="s">
        <v>201</v>
      </c>
      <c r="I5" s="2" t="s">
        <v>202</v>
      </c>
      <c r="J5" s="40" t="s">
        <v>203</v>
      </c>
      <c r="N5" s="40" t="s">
        <v>204</v>
      </c>
      <c r="T5" s="2" t="s">
        <v>205</v>
      </c>
      <c r="W5" s="42"/>
      <c r="Z5" s="2" t="s">
        <v>206</v>
      </c>
      <c r="AA5" s="40" t="s">
        <v>207</v>
      </c>
      <c r="AE5" s="64"/>
      <c r="AF5" s="2"/>
      <c r="AG5" s="2"/>
    </row>
    <row r="6" spans="2:33" x14ac:dyDescent="0.35">
      <c r="B6" t="s">
        <v>39</v>
      </c>
      <c r="C6" t="s">
        <v>40</v>
      </c>
      <c r="D6" s="33">
        <f>_xlfn.XLOOKUP($C6,SEM!$B:$B,SEM!$D:$D)*Input_1_coef.</f>
        <v>57.962378110430194</v>
      </c>
      <c r="E6" s="33">
        <f>_xlfn.XLOOKUP($C6,SEM!$B:$B,SEM!$E:$E)*Input_2_coef.</f>
        <v>7.984413424419616E-2</v>
      </c>
      <c r="F6" s="33">
        <f>$E6*Input_3_coef.*Percentage_of_HWF_benefiting_from_the_salary_increase</f>
        <v>3.9922067122098084E-3</v>
      </c>
      <c r="G6" s="33"/>
      <c r="H6" s="33">
        <f t="shared" ref="H6:H53" si="0">+IF(Input_3_coef.&gt;=54%,D6+E6+F6,D6+E6)</f>
        <v>58.042222244674392</v>
      </c>
      <c r="I6" s="33">
        <f>IF(Input_3_coef.&gt;=0.54,(Input_1_coef.*_xlfn.XLOOKUP($C6,COMBINED!$B:$B,COMBINED!$AB:$AB)+Input_2_coef.*_xlfn.XLOOKUP($C6,COMBINED!$B:$B,COMBINED!$AC:$AC))+F6,(Input_1_coef.*_xlfn.XLOOKUP($C6,COMBINED!$B:$B,COMBINED!$AB:$AB)+Input_2_coef.*_xlfn.XLOOKUP($C6,COMBINED!$B:$B,COMBINED!$AC:$AC)))</f>
        <v>58.042222244674392</v>
      </c>
      <c r="J6" s="33">
        <f>_xlfn.XLOOKUP($C6,COMBINED!$B:$B,COMBINED!$N:$N)</f>
        <v>50.985292597994288</v>
      </c>
      <c r="K6" s="33"/>
      <c r="L6" s="33"/>
      <c r="M6" s="33"/>
      <c r="N6" s="33">
        <f t="shared" ref="N6:N52" si="1">Total_Output_coef.*$I6+(HWF_In_service_training_coef.*Percentage_of_people_trained*$I6)+($I6*Incentive*Percentage_of_people_incentivised)</f>
        <v>32.300496679161299</v>
      </c>
      <c r="O6" s="33"/>
      <c r="P6" s="33">
        <f t="shared" ref="P6:P52" si="2">Output_1_Coef.*$N6</f>
        <v>26.001899826724848</v>
      </c>
      <c r="Q6" s="33">
        <f t="shared" ref="Q6:Q52" si="3">Output_2_Coef.*$N6</f>
        <v>13.243203638456132</v>
      </c>
      <c r="R6" s="33">
        <f t="shared" ref="R6:R52" si="4">Output_3_Coef.*$N6</f>
        <v>28.230634097586975</v>
      </c>
      <c r="S6" s="33"/>
      <c r="T6" s="33">
        <f t="shared" ref="T6:T52" si="5">Total_Outcome_coef.*N6</f>
        <v>-13.4370066185311</v>
      </c>
      <c r="U6" s="33"/>
      <c r="V6" s="33">
        <f t="shared" ref="V6:V52" si="6">Outcome_1_Coef.*$T6</f>
        <v>-11.676758751503526</v>
      </c>
      <c r="W6" s="33">
        <f t="shared" ref="W6:W52" si="7">Outcome_2_Coef.*$T6</f>
        <v>8.1159519975927843</v>
      </c>
      <c r="X6" s="33">
        <f t="shared" ref="X6:X52" si="8">Outcome_3_Coef.*$T6</f>
        <v>-7.712841799036851</v>
      </c>
      <c r="Y6" s="33"/>
      <c r="Z6" s="33">
        <f>I6*$Z$3</f>
        <v>-20.082608896657337</v>
      </c>
      <c r="AA6" s="33">
        <f>Z6+T6</f>
        <v>-33.519615515188434</v>
      </c>
      <c r="AB6" s="33"/>
      <c r="AC6" s="33">
        <f t="shared" ref="AC6:AC52" si="9">$AA6*Impact_1_Coef.*Total_Impact_coef.</f>
        <v>22.055907008993991</v>
      </c>
      <c r="AD6" s="33">
        <f t="shared" ref="AD6:AD52" si="10">_R²_Impact*$AA6*Impact_2_Coef.*Total_Impact_coef.</f>
        <v>0</v>
      </c>
      <c r="AE6" s="65"/>
      <c r="AF6" s="33"/>
      <c r="AG6" s="33"/>
    </row>
    <row r="7" spans="2:33" x14ac:dyDescent="0.35">
      <c r="B7" t="s">
        <v>41</v>
      </c>
      <c r="C7" t="s">
        <v>42</v>
      </c>
      <c r="D7" s="33">
        <f>_xlfn.XLOOKUP($C7,SEM!$B:$B,SEM!$D:$D)*Input_1_coef.</f>
        <v>17.62589101485046</v>
      </c>
      <c r="E7" s="33">
        <f>_xlfn.XLOOKUP($C7,SEM!$B:$B,SEM!$E:$E)*Input_2_coef.</f>
        <v>1.4641268103449323</v>
      </c>
      <c r="F7" s="33">
        <f t="shared" ref="F7:F52" si="11">$E7*Input_3_coef.*Percentage_of_HWF_benefiting_from_the_salary_increase</f>
        <v>7.3206340517246615E-2</v>
      </c>
      <c r="G7" s="33"/>
      <c r="H7" s="33">
        <f t="shared" si="0"/>
        <v>19.090017825195392</v>
      </c>
      <c r="I7" s="33">
        <f>IF(Input_3_coef.&gt;=0.54,(Input_1_coef.*_xlfn.XLOOKUP($C7,COMBINED!$B:$B,COMBINED!$AB:$AB)+Input_2_coef.*_xlfn.XLOOKUP($C7,COMBINED!$B:$B,COMBINED!$AC:$AC))+F7,(Input_1_coef.*_xlfn.XLOOKUP($C7,COMBINED!$B:$B,COMBINED!$AB:$AB)+Input_2_coef.*_xlfn.XLOOKUP($C7,COMBINED!$B:$B,COMBINED!$AC:$AC)))</f>
        <v>19.090017825195392</v>
      </c>
      <c r="J7" s="33">
        <f>_xlfn.XLOOKUP($C7,COMBINED!$B:$B,COMBINED!$N:$N)</f>
        <v>21.346033637341112</v>
      </c>
      <c r="K7" s="33"/>
      <c r="L7" s="33"/>
      <c r="M7" s="33"/>
      <c r="N7" s="33">
        <f t="shared" si="1"/>
        <v>10.623594919721235</v>
      </c>
      <c r="O7" s="33"/>
      <c r="P7" s="33">
        <f t="shared" si="2"/>
        <v>8.5519939103755949</v>
      </c>
      <c r="Q7" s="33">
        <f t="shared" si="3"/>
        <v>4.3556739170857064</v>
      </c>
      <c r="R7" s="33">
        <f t="shared" si="4"/>
        <v>9.2850219598363601</v>
      </c>
      <c r="S7" s="33"/>
      <c r="T7" s="33">
        <f t="shared" si="5"/>
        <v>-4.4194154866040334</v>
      </c>
      <c r="U7" s="33"/>
      <c r="V7" s="33">
        <f t="shared" si="6"/>
        <v>-3.8404720578589049</v>
      </c>
      <c r="W7" s="33">
        <f t="shared" si="7"/>
        <v>2.6693269539088362</v>
      </c>
      <c r="X7" s="33">
        <f t="shared" si="8"/>
        <v>-2.5367444893107152</v>
      </c>
      <c r="Y7" s="33"/>
      <c r="Z7" s="33">
        <f t="shared" ref="Z7:Z52" si="12">I7*$Z$3</f>
        <v>-6.6051461675176055</v>
      </c>
      <c r="AA7" s="33">
        <f t="shared" ref="AA7:AA52" si="13">Z7+T7</f>
        <v>-11.024561654121639</v>
      </c>
      <c r="AB7" s="33"/>
      <c r="AC7" s="33">
        <f t="shared" si="9"/>
        <v>7.2541615684120391</v>
      </c>
      <c r="AD7" s="33">
        <f t="shared" si="10"/>
        <v>0</v>
      </c>
      <c r="AE7" s="65"/>
      <c r="AF7" s="33"/>
      <c r="AG7" s="33"/>
    </row>
    <row r="8" spans="2:33" x14ac:dyDescent="0.35">
      <c r="B8" t="s">
        <v>43</v>
      </c>
      <c r="C8" t="s">
        <v>44</v>
      </c>
      <c r="D8" s="33">
        <f>_xlfn.XLOOKUP($C8,SEM!$B:$B,SEM!$D:$D)*Input_1_coef.</f>
        <v>10.340617236956628</v>
      </c>
      <c r="E8" s="33">
        <f>_xlfn.XLOOKUP($C8,SEM!$B:$B,SEM!$E:$E)*Input_2_coef.</f>
        <v>1.6822017335414858</v>
      </c>
      <c r="F8" s="33">
        <f t="shared" si="11"/>
        <v>8.41100866770743E-2</v>
      </c>
      <c r="G8" s="33"/>
      <c r="H8" s="33">
        <f t="shared" si="0"/>
        <v>12.022818970498115</v>
      </c>
      <c r="I8" s="33">
        <f>IF(Input_3_coef.&gt;=0.54,(Input_1_coef.*_xlfn.XLOOKUP($C8,COMBINED!$B:$B,COMBINED!$AB:$AB)+Input_2_coef.*_xlfn.XLOOKUP($C8,COMBINED!$B:$B,COMBINED!$AC:$AC))+F8,(Input_1_coef.*_xlfn.XLOOKUP($C8,COMBINED!$B:$B,COMBINED!$AB:$AB)+Input_2_coef.*_xlfn.XLOOKUP($C8,COMBINED!$B:$B,COMBINED!$AC:$AC)))</f>
        <v>12.022818970498115</v>
      </c>
      <c r="J8" s="33">
        <f>_xlfn.XLOOKUP($C8,COMBINED!$B:$B,COMBINED!$N:$N)</f>
        <v>11.015405185492277</v>
      </c>
      <c r="K8" s="33"/>
      <c r="L8" s="33"/>
      <c r="M8" s="33"/>
      <c r="N8" s="33">
        <f t="shared" si="1"/>
        <v>6.6906987570822007</v>
      </c>
      <c r="O8" s="33"/>
      <c r="P8" s="33">
        <f t="shared" si="2"/>
        <v>5.386012499451172</v>
      </c>
      <c r="Q8" s="33">
        <f t="shared" si="3"/>
        <v>2.7431864904037022</v>
      </c>
      <c r="R8" s="33">
        <f t="shared" si="4"/>
        <v>5.8476707136898431</v>
      </c>
      <c r="S8" s="33"/>
      <c r="T8" s="33">
        <f t="shared" si="5"/>
        <v>-2.7833306829461955</v>
      </c>
      <c r="U8" s="33"/>
      <c r="V8" s="33">
        <f t="shared" si="6"/>
        <v>-2.4187143634802437</v>
      </c>
      <c r="W8" s="33">
        <f t="shared" si="7"/>
        <v>1.6811317324995021</v>
      </c>
      <c r="X8" s="33">
        <f t="shared" si="8"/>
        <v>-1.5976318120111161</v>
      </c>
      <c r="Y8" s="33"/>
      <c r="Z8" s="33">
        <f t="shared" si="12"/>
        <v>-4.159895363792347</v>
      </c>
      <c r="AA8" s="33">
        <f t="shared" si="13"/>
        <v>-6.9432260467385429</v>
      </c>
      <c r="AB8" s="33"/>
      <c r="AC8" s="33">
        <f t="shared" si="9"/>
        <v>4.5686427387539617</v>
      </c>
      <c r="AD8" s="33">
        <f t="shared" si="10"/>
        <v>0</v>
      </c>
      <c r="AE8" s="65"/>
      <c r="AF8" s="33"/>
      <c r="AG8" s="33"/>
    </row>
    <row r="9" spans="2:33" x14ac:dyDescent="0.35">
      <c r="B9" t="s">
        <v>45</v>
      </c>
      <c r="C9" t="s">
        <v>46</v>
      </c>
      <c r="D9" s="33">
        <f>_xlfn.XLOOKUP($C9,SEM!$B:$B,SEM!$D:$D)*Input_1_coef.</f>
        <v>30.438513666611101</v>
      </c>
      <c r="E9" s="33">
        <f>_xlfn.XLOOKUP($C9,SEM!$B:$B,SEM!$E:$E)*Input_2_coef.</f>
        <v>3.8046021033081376</v>
      </c>
      <c r="F9" s="33">
        <f t="shared" si="11"/>
        <v>0.19023010516540689</v>
      </c>
      <c r="G9" s="33"/>
      <c r="H9" s="33">
        <f t="shared" si="0"/>
        <v>34.243115769919235</v>
      </c>
      <c r="I9" s="33">
        <f>IF(Input_3_coef.&gt;=0.54,(Input_1_coef.*_xlfn.XLOOKUP($C9,COMBINED!$B:$B,COMBINED!$AB:$AB)+Input_2_coef.*_xlfn.XLOOKUP($C9,COMBINED!$B:$B,COMBINED!$AC:$AC))+F9,(Input_1_coef.*_xlfn.XLOOKUP($C9,COMBINED!$B:$B,COMBINED!$AB:$AB)+Input_2_coef.*_xlfn.XLOOKUP($C9,COMBINED!$B:$B,COMBINED!$AC:$AC)))</f>
        <v>34.243115769919235</v>
      </c>
      <c r="J9" s="33">
        <f>_xlfn.XLOOKUP($C9,COMBINED!$B:$B,COMBINED!$N:$N)</f>
        <v>36.670298266253425</v>
      </c>
      <c r="K9" s="33"/>
      <c r="L9" s="33"/>
      <c r="M9" s="33"/>
      <c r="N9" s="33">
        <f t="shared" si="1"/>
        <v>19.056293925960055</v>
      </c>
      <c r="O9" s="33"/>
      <c r="P9" s="33">
        <f t="shared" si="2"/>
        <v>15.340316610397846</v>
      </c>
      <c r="Q9" s="33">
        <f t="shared" si="3"/>
        <v>7.8130805096436227</v>
      </c>
      <c r="R9" s="33">
        <f t="shared" si="4"/>
        <v>16.655200891289088</v>
      </c>
      <c r="S9" s="33"/>
      <c r="T9" s="33">
        <f t="shared" si="5"/>
        <v>-7.9274182731993825</v>
      </c>
      <c r="U9" s="33"/>
      <c r="V9" s="33">
        <f t="shared" si="6"/>
        <v>-6.8889264794102631</v>
      </c>
      <c r="W9" s="33">
        <f t="shared" si="7"/>
        <v>4.7881606370124272</v>
      </c>
      <c r="X9" s="33">
        <f t="shared" si="8"/>
        <v>-4.5503380888164449</v>
      </c>
      <c r="Y9" s="33"/>
      <c r="Z9" s="33">
        <f t="shared" si="12"/>
        <v>-11.848118056392055</v>
      </c>
      <c r="AA9" s="33">
        <f t="shared" si="13"/>
        <v>-19.775536329591439</v>
      </c>
      <c r="AB9" s="33"/>
      <c r="AC9" s="33">
        <f t="shared" si="9"/>
        <v>13.012302904871168</v>
      </c>
      <c r="AD9" s="33">
        <f t="shared" si="10"/>
        <v>0</v>
      </c>
      <c r="AE9" s="65"/>
      <c r="AF9" s="33"/>
      <c r="AG9" s="33"/>
    </row>
    <row r="10" spans="2:33" x14ac:dyDescent="0.35">
      <c r="B10" t="s">
        <v>47</v>
      </c>
      <c r="C10" t="s">
        <v>48</v>
      </c>
      <c r="D10" s="33">
        <f>_xlfn.XLOOKUP($C10,SEM!$B:$B,SEM!$D:$D)*Input_1_coef.</f>
        <v>10.388771812483887</v>
      </c>
      <c r="E10" s="33">
        <f>_xlfn.XLOOKUP($C10,SEM!$B:$B,SEM!$E:$E)*Input_2_coef.</f>
        <v>1.787574719942157</v>
      </c>
      <c r="F10" s="33">
        <f t="shared" si="11"/>
        <v>8.9378735997107855E-2</v>
      </c>
      <c r="G10" s="33"/>
      <c r="H10" s="33">
        <f t="shared" si="0"/>
        <v>12.176346532426043</v>
      </c>
      <c r="I10" s="33">
        <f>IF(Input_3_coef.&gt;=0.54,(Input_1_coef.*_xlfn.XLOOKUP($C10,COMBINED!$B:$B,COMBINED!$AB:$AB)+Input_2_coef.*_xlfn.XLOOKUP($C10,COMBINED!$B:$B,COMBINED!$AC:$AC))+F10,(Input_1_coef.*_xlfn.XLOOKUP($C10,COMBINED!$B:$B,COMBINED!$AB:$AB)+Input_2_coef.*_xlfn.XLOOKUP($C10,COMBINED!$B:$B,COMBINED!$AC:$AC)))</f>
        <v>12.176346532426043</v>
      </c>
      <c r="J10" s="33">
        <f>_xlfn.XLOOKUP($C10,COMBINED!$B:$B,COMBINED!$N:$N)</f>
        <v>12.022001649410702</v>
      </c>
      <c r="K10" s="33"/>
      <c r="L10" s="33"/>
      <c r="M10" s="33"/>
      <c r="N10" s="33">
        <f t="shared" si="1"/>
        <v>6.7761368452950936</v>
      </c>
      <c r="O10" s="33"/>
      <c r="P10" s="33">
        <f t="shared" si="2"/>
        <v>5.4547901604625508</v>
      </c>
      <c r="Q10" s="33">
        <f t="shared" si="3"/>
        <v>2.7782161065709881</v>
      </c>
      <c r="R10" s="33">
        <f t="shared" si="4"/>
        <v>5.9223436027879117</v>
      </c>
      <c r="S10" s="33"/>
      <c r="T10" s="33">
        <f t="shared" si="5"/>
        <v>-2.8188729276427589</v>
      </c>
      <c r="U10" s="33"/>
      <c r="V10" s="33">
        <f t="shared" si="6"/>
        <v>-2.4496005741215576</v>
      </c>
      <c r="W10" s="33">
        <f t="shared" si="7"/>
        <v>1.7025992482962262</v>
      </c>
      <c r="X10" s="33">
        <f t="shared" si="8"/>
        <v>-1.6180330604669435</v>
      </c>
      <c r="Y10" s="33"/>
      <c r="Z10" s="33">
        <f t="shared" si="12"/>
        <v>-4.2130159002194105</v>
      </c>
      <c r="AA10" s="33">
        <f t="shared" si="13"/>
        <v>-7.0318888278621694</v>
      </c>
      <c r="AB10" s="33"/>
      <c r="AC10" s="33">
        <f t="shared" si="9"/>
        <v>4.6269828487333076</v>
      </c>
      <c r="AD10" s="33">
        <f t="shared" si="10"/>
        <v>0</v>
      </c>
      <c r="AE10" s="65"/>
      <c r="AF10" s="33"/>
      <c r="AG10" s="33"/>
    </row>
    <row r="11" spans="2:33" x14ac:dyDescent="0.35">
      <c r="B11" t="s">
        <v>49</v>
      </c>
      <c r="C11" t="s">
        <v>50</v>
      </c>
      <c r="D11" s="33">
        <f>_xlfn.XLOOKUP($C11,SEM!$B:$B,SEM!$D:$D)*Input_1_coef.</f>
        <v>8.9556614616304255</v>
      </c>
      <c r="E11" s="33">
        <f>_xlfn.XLOOKUP($C11,SEM!$B:$B,SEM!$E:$E)*Input_2_coef.</f>
        <v>1.9559755538846757</v>
      </c>
      <c r="F11" s="33">
        <f t="shared" si="11"/>
        <v>9.7798777694233785E-2</v>
      </c>
      <c r="G11" s="33"/>
      <c r="H11" s="33">
        <f t="shared" si="0"/>
        <v>10.911637015515101</v>
      </c>
      <c r="I11" s="33">
        <f>IF(Input_3_coef.&gt;=0.54,(Input_1_coef.*_xlfn.XLOOKUP($C11,COMBINED!$B:$B,COMBINED!$AB:$AB)+Input_2_coef.*_xlfn.XLOOKUP($C11,COMBINED!$B:$B,COMBINED!$AC:$AC))+F11,(Input_1_coef.*_xlfn.XLOOKUP($C11,COMBINED!$B:$B,COMBINED!$AB:$AB)+Input_2_coef.*_xlfn.XLOOKUP($C11,COMBINED!$B:$B,COMBINED!$AC:$AC)))</f>
        <v>10.911637015515101</v>
      </c>
      <c r="J11" s="33">
        <f>_xlfn.XLOOKUP($C11,COMBINED!$B:$B,COMBINED!$N:$N)</f>
        <v>11.321517321798417</v>
      </c>
      <c r="K11" s="33"/>
      <c r="L11" s="33"/>
      <c r="M11" s="33"/>
      <c r="N11" s="33">
        <f t="shared" si="1"/>
        <v>6.0723259991341543</v>
      </c>
      <c r="O11" s="33"/>
      <c r="P11" s="33">
        <f t="shared" si="2"/>
        <v>4.8882224293029948</v>
      </c>
      <c r="Q11" s="33">
        <f t="shared" si="3"/>
        <v>2.4896536596450032</v>
      </c>
      <c r="R11" s="33">
        <f t="shared" si="4"/>
        <v>5.3072129232432506</v>
      </c>
      <c r="S11" s="33"/>
      <c r="T11" s="33">
        <f t="shared" si="5"/>
        <v>-2.526087615639808</v>
      </c>
      <c r="U11" s="33"/>
      <c r="V11" s="33">
        <f t="shared" si="6"/>
        <v>-2.1951701379909929</v>
      </c>
      <c r="W11" s="33">
        <f t="shared" si="7"/>
        <v>1.525756919846444</v>
      </c>
      <c r="X11" s="33">
        <f t="shared" si="8"/>
        <v>-1.4499742913772498</v>
      </c>
      <c r="Y11" s="33"/>
      <c r="Z11" s="33">
        <f t="shared" si="12"/>
        <v>-3.7754264073682249</v>
      </c>
      <c r="AA11" s="33">
        <f t="shared" si="13"/>
        <v>-6.3015140230080329</v>
      </c>
      <c r="AB11" s="33"/>
      <c r="AC11" s="33">
        <f t="shared" si="9"/>
        <v>4.1463962271392862</v>
      </c>
      <c r="AD11" s="33">
        <f t="shared" si="10"/>
        <v>0</v>
      </c>
      <c r="AE11" s="65"/>
      <c r="AF11" s="33"/>
      <c r="AG11" s="33"/>
    </row>
    <row r="12" spans="2:33" x14ac:dyDescent="0.35">
      <c r="B12" t="s">
        <v>51</v>
      </c>
      <c r="C12" t="s">
        <v>52</v>
      </c>
      <c r="D12" s="33">
        <f>_xlfn.XLOOKUP($C12,SEM!$B:$B,SEM!$D:$D)*Input_1_coef.</f>
        <v>23.302041980771708</v>
      </c>
      <c r="E12" s="33">
        <f>_xlfn.XLOOKUP($C12,SEM!$B:$B,SEM!$E:$E)*Input_2_coef.</f>
        <v>0</v>
      </c>
      <c r="F12" s="33">
        <f t="shared" si="11"/>
        <v>0</v>
      </c>
      <c r="G12" s="33"/>
      <c r="H12" s="33">
        <f t="shared" si="0"/>
        <v>23.302041980771708</v>
      </c>
      <c r="I12" s="33">
        <f>IF(Input_3_coef.&gt;=0.54,(Input_1_coef.*_xlfn.XLOOKUP($C12,COMBINED!$B:$B,COMBINED!$AB:$AB)+Input_2_coef.*_xlfn.XLOOKUP($C12,COMBINED!$B:$B,COMBINED!$AC:$AC))+F12,(Input_1_coef.*_xlfn.XLOOKUP($C12,COMBINED!$B:$B,COMBINED!$AB:$AB)+Input_2_coef.*_xlfn.XLOOKUP($C12,COMBINED!$B:$B,COMBINED!$AC:$AC)))</f>
        <v>23.302041980771708</v>
      </c>
      <c r="J12" s="33">
        <f>_xlfn.XLOOKUP($C12,COMBINED!$B:$B,COMBINED!$N:$N)</f>
        <v>24.00047442798288</v>
      </c>
      <c r="K12" s="33"/>
      <c r="L12" s="33"/>
      <c r="M12" s="33"/>
      <c r="N12" s="33">
        <f t="shared" si="1"/>
        <v>12.967586362299457</v>
      </c>
      <c r="O12" s="33"/>
      <c r="P12" s="33">
        <f t="shared" si="2"/>
        <v>10.438907021651064</v>
      </c>
      <c r="Q12" s="33">
        <f t="shared" si="3"/>
        <v>5.316710408542777</v>
      </c>
      <c r="R12" s="33">
        <f t="shared" si="4"/>
        <v>11.333670480649726</v>
      </c>
      <c r="S12" s="33"/>
      <c r="T12" s="33">
        <f t="shared" si="5"/>
        <v>-5.3945159267165739</v>
      </c>
      <c r="U12" s="33"/>
      <c r="V12" s="33">
        <f t="shared" si="6"/>
        <v>-4.6878343403167024</v>
      </c>
      <c r="W12" s="33">
        <f t="shared" si="7"/>
        <v>3.2582876197368105</v>
      </c>
      <c r="X12" s="33">
        <f t="shared" si="8"/>
        <v>-3.096452141935313</v>
      </c>
      <c r="Y12" s="33"/>
      <c r="Z12" s="33">
        <f t="shared" si="12"/>
        <v>-8.0625065253470112</v>
      </c>
      <c r="AA12" s="33">
        <f t="shared" si="13"/>
        <v>-13.457022452063585</v>
      </c>
      <c r="AB12" s="33"/>
      <c r="AC12" s="33">
        <f t="shared" si="9"/>
        <v>8.8547207734578386</v>
      </c>
      <c r="AD12" s="33">
        <f t="shared" si="10"/>
        <v>0</v>
      </c>
      <c r="AE12" s="65"/>
      <c r="AF12" s="33"/>
      <c r="AG12" s="33"/>
    </row>
    <row r="13" spans="2:33" x14ac:dyDescent="0.35">
      <c r="B13" t="s">
        <v>53</v>
      </c>
      <c r="C13" t="s">
        <v>54</v>
      </c>
      <c r="D13" s="33">
        <f>_xlfn.XLOOKUP($C13,SEM!$B:$B,SEM!$D:$D)*Input_1_coef.</f>
        <v>7.3058505981639001</v>
      </c>
      <c r="E13" s="33">
        <f>_xlfn.XLOOKUP($C13,SEM!$B:$B,SEM!$E:$E)*Input_2_coef.</f>
        <v>1.7263243587163635</v>
      </c>
      <c r="F13" s="33">
        <f t="shared" si="11"/>
        <v>8.6316217935818174E-2</v>
      </c>
      <c r="G13" s="33"/>
      <c r="H13" s="33">
        <f t="shared" si="0"/>
        <v>9.0321749568802634</v>
      </c>
      <c r="I13" s="33">
        <f>IF(Input_3_coef.&gt;=0.54,(Input_1_coef.*_xlfn.XLOOKUP($C13,COMBINED!$B:$B,COMBINED!$AB:$AB)+Input_2_coef.*_xlfn.XLOOKUP($C13,COMBINED!$B:$B,COMBINED!$AC:$AC))+F13,(Input_1_coef.*_xlfn.XLOOKUP($C13,COMBINED!$B:$B,COMBINED!$AB:$AB)+Input_2_coef.*_xlfn.XLOOKUP($C13,COMBINED!$B:$B,COMBINED!$AC:$AC)))</f>
        <v>9.0321749568802634</v>
      </c>
      <c r="J13" s="33">
        <f>_xlfn.XLOOKUP($C13,COMBINED!$B:$B,COMBINED!$N:$N)</f>
        <v>8.1868338890669854</v>
      </c>
      <c r="K13" s="33"/>
      <c r="L13" s="33"/>
      <c r="M13" s="33"/>
      <c r="N13" s="33">
        <f t="shared" si="1"/>
        <v>5.0264053635038657</v>
      </c>
      <c r="O13" s="33"/>
      <c r="P13" s="33">
        <f t="shared" si="2"/>
        <v>4.0462563176206121</v>
      </c>
      <c r="Q13" s="33">
        <f t="shared" si="3"/>
        <v>2.0608261990365846</v>
      </c>
      <c r="R13" s="33">
        <f t="shared" si="4"/>
        <v>4.3930782877023784</v>
      </c>
      <c r="S13" s="33"/>
      <c r="T13" s="33">
        <f t="shared" si="5"/>
        <v>-2.0909846312176081</v>
      </c>
      <c r="U13" s="33"/>
      <c r="V13" s="33">
        <f t="shared" si="6"/>
        <v>-1.8170656445281015</v>
      </c>
      <c r="W13" s="33">
        <f t="shared" si="7"/>
        <v>1.2629547172554352</v>
      </c>
      <c r="X13" s="33">
        <f t="shared" si="8"/>
        <v>-1.2002251783189071</v>
      </c>
      <c r="Y13" s="33"/>
      <c r="Z13" s="33">
        <f t="shared" si="12"/>
        <v>-3.1251325350805708</v>
      </c>
      <c r="AA13" s="33">
        <f t="shared" si="13"/>
        <v>-5.2161171662981793</v>
      </c>
      <c r="AB13" s="33"/>
      <c r="AC13" s="33">
        <f t="shared" si="9"/>
        <v>3.432205095424202</v>
      </c>
      <c r="AD13" s="33">
        <f t="shared" si="10"/>
        <v>0</v>
      </c>
      <c r="AE13" s="65"/>
      <c r="AF13" s="33"/>
      <c r="AG13" s="33"/>
    </row>
    <row r="14" spans="2:33" x14ac:dyDescent="0.35">
      <c r="B14" t="s">
        <v>55</v>
      </c>
      <c r="C14" t="s">
        <v>56</v>
      </c>
      <c r="D14" s="33">
        <f>_xlfn.XLOOKUP($C14,SEM!$B:$B,SEM!$D:$D)*Input_1_coef.</f>
        <v>9.9847476262595887</v>
      </c>
      <c r="E14" s="33">
        <f>_xlfn.XLOOKUP($C14,SEM!$B:$B,SEM!$E:$E)*Input_2_coef.</f>
        <v>4.3098288461177817E-2</v>
      </c>
      <c r="F14" s="33">
        <f t="shared" si="11"/>
        <v>2.1549144230588908E-3</v>
      </c>
      <c r="G14" s="33"/>
      <c r="H14" s="33">
        <f t="shared" si="0"/>
        <v>10.027845914720766</v>
      </c>
      <c r="I14" s="33">
        <f>IF(Input_3_coef.&gt;=0.54,(Input_1_coef.*_xlfn.XLOOKUP($C14,COMBINED!$B:$B,COMBINED!$AB:$AB)+Input_2_coef.*_xlfn.XLOOKUP($C14,COMBINED!$B:$B,COMBINED!$AC:$AC))+F14,(Input_1_coef.*_xlfn.XLOOKUP($C14,COMBINED!$B:$B,COMBINED!$AB:$AB)+Input_2_coef.*_xlfn.XLOOKUP($C14,COMBINED!$B:$B,COMBINED!$AC:$AC)))</f>
        <v>10.027845914720766</v>
      </c>
      <c r="J14" s="33">
        <f>_xlfn.XLOOKUP($C14,COMBINED!$B:$B,COMBINED!$N:$N)</f>
        <v>12.601735917936152</v>
      </c>
      <c r="K14" s="33"/>
      <c r="L14" s="33"/>
      <c r="M14" s="33"/>
      <c r="N14" s="33">
        <f t="shared" si="1"/>
        <v>5.5804962515421064</v>
      </c>
      <c r="O14" s="33"/>
      <c r="P14" s="33">
        <f t="shared" si="2"/>
        <v>4.4922994824913962</v>
      </c>
      <c r="Q14" s="33">
        <f t="shared" si="3"/>
        <v>2.2880034631322634</v>
      </c>
      <c r="R14" s="33">
        <f t="shared" si="4"/>
        <v>4.8773537238478006</v>
      </c>
      <c r="S14" s="33"/>
      <c r="T14" s="33">
        <f t="shared" si="5"/>
        <v>-2.3214864406415163</v>
      </c>
      <c r="U14" s="33"/>
      <c r="V14" s="33">
        <f t="shared" si="6"/>
        <v>-2.0173717169174776</v>
      </c>
      <c r="W14" s="33">
        <f t="shared" si="7"/>
        <v>1.4021778101474758</v>
      </c>
      <c r="X14" s="33">
        <f t="shared" si="8"/>
        <v>-1.3325332169282302</v>
      </c>
      <c r="Y14" s="33"/>
      <c r="Z14" s="33">
        <f t="shared" si="12"/>
        <v>-3.4696346864933849</v>
      </c>
      <c r="AA14" s="33">
        <f t="shared" si="13"/>
        <v>-5.7911211271349012</v>
      </c>
      <c r="AB14" s="33"/>
      <c r="AC14" s="33">
        <f t="shared" si="9"/>
        <v>3.8105577016547652</v>
      </c>
      <c r="AD14" s="33">
        <f t="shared" si="10"/>
        <v>0</v>
      </c>
      <c r="AE14" s="65"/>
      <c r="AF14" s="33"/>
      <c r="AG14" s="33"/>
    </row>
    <row r="15" spans="2:33" x14ac:dyDescent="0.35">
      <c r="B15" t="s">
        <v>57</v>
      </c>
      <c r="C15" t="s">
        <v>58</v>
      </c>
      <c r="D15" s="33">
        <f>_xlfn.XLOOKUP($C15,SEM!$B:$B,SEM!$D:$D)*Input_1_coef.</f>
        <v>3.7769829765423411</v>
      </c>
      <c r="E15" s="33">
        <f>_xlfn.XLOOKUP($C15,SEM!$B:$B,SEM!$E:$E)*Input_2_coef.</f>
        <v>2.4474695420497632</v>
      </c>
      <c r="F15" s="33">
        <f t="shared" si="11"/>
        <v>0.12237347710248817</v>
      </c>
      <c r="G15" s="33"/>
      <c r="H15" s="33">
        <f t="shared" si="0"/>
        <v>6.2244525185921038</v>
      </c>
      <c r="I15" s="33">
        <f>IF(Input_3_coef.&gt;=0.54,(Input_1_coef.*_xlfn.XLOOKUP($C15,COMBINED!$B:$B,COMBINED!$AB:$AB)+Input_2_coef.*_xlfn.XLOOKUP($C15,COMBINED!$B:$B,COMBINED!$AC:$AC))+F15,(Input_1_coef.*_xlfn.XLOOKUP($C15,COMBINED!$B:$B,COMBINED!$AB:$AB)+Input_2_coef.*_xlfn.XLOOKUP($C15,COMBINED!$B:$B,COMBINED!$AC:$AC)))</f>
        <v>6.2244525185921038</v>
      </c>
      <c r="J15" s="33">
        <f>_xlfn.XLOOKUP($C15,COMBINED!$B:$B,COMBINED!$N:$N)</f>
        <v>3.9701620144161245</v>
      </c>
      <c r="K15" s="33"/>
      <c r="L15" s="33"/>
      <c r="M15" s="33"/>
      <c r="N15" s="33">
        <f t="shared" si="1"/>
        <v>3.4639078265965058</v>
      </c>
      <c r="O15" s="33"/>
      <c r="P15" s="33">
        <f t="shared" si="2"/>
        <v>2.7884458004101873</v>
      </c>
      <c r="Q15" s="33">
        <f t="shared" si="3"/>
        <v>1.4202022089045672</v>
      </c>
      <c r="R15" s="33">
        <f t="shared" si="4"/>
        <v>3.0274554404453462</v>
      </c>
      <c r="S15" s="33"/>
      <c r="T15" s="33">
        <f t="shared" si="5"/>
        <v>-1.4409856558641463</v>
      </c>
      <c r="U15" s="33"/>
      <c r="V15" s="33">
        <f t="shared" si="6"/>
        <v>-1.2522165349459431</v>
      </c>
      <c r="W15" s="33">
        <f t="shared" si="7"/>
        <v>0.87035533614194438</v>
      </c>
      <c r="X15" s="33">
        <f t="shared" si="8"/>
        <v>-0.82712576646601987</v>
      </c>
      <c r="Y15" s="33"/>
      <c r="Z15" s="33">
        <f t="shared" si="12"/>
        <v>-2.1536605714328676</v>
      </c>
      <c r="AA15" s="33">
        <f t="shared" si="13"/>
        <v>-3.5946462272970141</v>
      </c>
      <c r="AB15" s="33"/>
      <c r="AC15" s="33">
        <f t="shared" si="9"/>
        <v>2.3652772175614354</v>
      </c>
      <c r="AD15" s="33">
        <f t="shared" si="10"/>
        <v>0</v>
      </c>
      <c r="AE15" s="65"/>
      <c r="AF15" s="33"/>
      <c r="AG15" s="33"/>
    </row>
    <row r="16" spans="2:33" x14ac:dyDescent="0.35">
      <c r="B16" t="s">
        <v>59</v>
      </c>
      <c r="C16" t="s">
        <v>60</v>
      </c>
      <c r="D16" s="33">
        <f>_xlfn.XLOOKUP($C16,SEM!$B:$B,SEM!$D:$D)*Input_1_coef.</f>
        <v>19.75039430453797</v>
      </c>
      <c r="E16" s="33">
        <f>_xlfn.XLOOKUP($C16,SEM!$B:$B,SEM!$E:$E)*Input_2_coef.</f>
        <v>0.5532873462479978</v>
      </c>
      <c r="F16" s="33">
        <f t="shared" si="11"/>
        <v>2.7664367312399893E-2</v>
      </c>
      <c r="G16" s="33"/>
      <c r="H16" s="33">
        <f t="shared" si="0"/>
        <v>20.303681650785968</v>
      </c>
      <c r="I16" s="33">
        <f>IF(Input_3_coef.&gt;=0.54,(Input_1_coef.*_xlfn.XLOOKUP($C16,COMBINED!$B:$B,COMBINED!$AB:$AB)+Input_2_coef.*_xlfn.XLOOKUP($C16,COMBINED!$B:$B,COMBINED!$AC:$AC))+F16,(Input_1_coef.*_xlfn.XLOOKUP($C16,COMBINED!$B:$B,COMBINED!$AB:$AB)+Input_2_coef.*_xlfn.XLOOKUP($C16,COMBINED!$B:$B,COMBINED!$AC:$AC)))</f>
        <v>20.303681650785968</v>
      </c>
      <c r="J16" s="33">
        <f>_xlfn.XLOOKUP($C16,COMBINED!$B:$B,COMBINED!$N:$N)</f>
        <v>21.306174257306051</v>
      </c>
      <c r="K16" s="33"/>
      <c r="L16" s="33"/>
      <c r="M16" s="33"/>
      <c r="N16" s="33">
        <f t="shared" si="1"/>
        <v>11.298998838662392</v>
      </c>
      <c r="O16" s="33"/>
      <c r="P16" s="33">
        <f t="shared" si="2"/>
        <v>9.0956940651232259</v>
      </c>
      <c r="Q16" s="33">
        <f t="shared" si="3"/>
        <v>4.6325895238515802</v>
      </c>
      <c r="R16" s="33">
        <f t="shared" si="4"/>
        <v>9.8753249849909306</v>
      </c>
      <c r="S16" s="33"/>
      <c r="T16" s="33">
        <f t="shared" si="5"/>
        <v>-4.700383516883555</v>
      </c>
      <c r="U16" s="33"/>
      <c r="V16" s="33">
        <f t="shared" si="6"/>
        <v>-4.0846332761718092</v>
      </c>
      <c r="W16" s="33">
        <f t="shared" si="7"/>
        <v>2.8390316441976671</v>
      </c>
      <c r="X16" s="33">
        <f t="shared" si="8"/>
        <v>-2.6980201386911604</v>
      </c>
      <c r="Y16" s="33"/>
      <c r="Z16" s="33">
        <f t="shared" si="12"/>
        <v>-7.0250738511719444</v>
      </c>
      <c r="AA16" s="33">
        <f t="shared" si="13"/>
        <v>-11.725457368055499</v>
      </c>
      <c r="AB16" s="33"/>
      <c r="AC16" s="33">
        <f t="shared" si="9"/>
        <v>7.7153509481805189</v>
      </c>
      <c r="AD16" s="33">
        <f t="shared" si="10"/>
        <v>0</v>
      </c>
      <c r="AE16" s="65"/>
      <c r="AF16" s="33"/>
      <c r="AG16" s="33"/>
    </row>
    <row r="17" spans="2:33" x14ac:dyDescent="0.35">
      <c r="B17" t="s">
        <v>61</v>
      </c>
      <c r="C17" t="s">
        <v>62</v>
      </c>
      <c r="D17" s="33">
        <f>_xlfn.XLOOKUP($C17,SEM!$B:$B,SEM!$D:$D)*Input_1_coef.</f>
        <v>12.608212743652061</v>
      </c>
      <c r="E17" s="33">
        <f>_xlfn.XLOOKUP($C17,SEM!$B:$B,SEM!$E:$E)*Input_2_coef.</f>
        <v>0.25322483910269855</v>
      </c>
      <c r="F17" s="33">
        <f t="shared" si="11"/>
        <v>1.2661241955134928E-2</v>
      </c>
      <c r="G17" s="33"/>
      <c r="H17" s="33">
        <f t="shared" si="0"/>
        <v>12.861437582754759</v>
      </c>
      <c r="I17" s="33">
        <f>IF(Input_3_coef.&gt;=0.54,(Input_1_coef.*_xlfn.XLOOKUP($C17,COMBINED!$B:$B,COMBINED!$AB:$AB)+Input_2_coef.*_xlfn.XLOOKUP($C17,COMBINED!$B:$B,COMBINED!$AC:$AC))+F17,(Input_1_coef.*_xlfn.XLOOKUP($C17,COMBINED!$B:$B,COMBINED!$AB:$AB)+Input_2_coef.*_xlfn.XLOOKUP($C17,COMBINED!$B:$B,COMBINED!$AC:$AC)))</f>
        <v>12.861437582754759</v>
      </c>
      <c r="J17" s="33">
        <f>_xlfn.XLOOKUP($C17,COMBINED!$B:$B,COMBINED!$N:$N)</f>
        <v>15.055348267709141</v>
      </c>
      <c r="K17" s="33"/>
      <c r="L17" s="33"/>
      <c r="M17" s="33"/>
      <c r="N17" s="33">
        <f t="shared" si="1"/>
        <v>7.1573900148030232</v>
      </c>
      <c r="O17" s="33"/>
      <c r="P17" s="33">
        <f t="shared" si="2"/>
        <v>5.7616989619164336</v>
      </c>
      <c r="Q17" s="33">
        <f t="shared" si="3"/>
        <v>2.9345299060692391</v>
      </c>
      <c r="R17" s="33">
        <f t="shared" si="4"/>
        <v>6.2555588729378426</v>
      </c>
      <c r="S17" s="33"/>
      <c r="T17" s="33">
        <f t="shared" si="5"/>
        <v>-2.9774742461580574</v>
      </c>
      <c r="U17" s="33"/>
      <c r="V17" s="33">
        <f t="shared" si="6"/>
        <v>-2.587425119911352</v>
      </c>
      <c r="W17" s="33">
        <f t="shared" si="7"/>
        <v>1.7983944446794666</v>
      </c>
      <c r="X17" s="33">
        <f t="shared" si="8"/>
        <v>-1.7090702172947247</v>
      </c>
      <c r="Y17" s="33"/>
      <c r="Z17" s="33">
        <f t="shared" si="12"/>
        <v>-4.4500574036331466</v>
      </c>
      <c r="AA17" s="33">
        <f t="shared" si="13"/>
        <v>-7.4275316497912041</v>
      </c>
      <c r="AB17" s="33"/>
      <c r="AC17" s="33">
        <f t="shared" si="9"/>
        <v>4.8873158255626121</v>
      </c>
      <c r="AD17" s="33">
        <f t="shared" si="10"/>
        <v>0</v>
      </c>
      <c r="AE17" s="65"/>
      <c r="AF17" s="33"/>
      <c r="AG17" s="33"/>
    </row>
    <row r="18" spans="2:33" x14ac:dyDescent="0.35">
      <c r="B18" t="s">
        <v>63</v>
      </c>
      <c r="C18" t="s">
        <v>64</v>
      </c>
      <c r="D18" s="33">
        <f>_xlfn.XLOOKUP($C18,SEM!$B:$B,SEM!$D:$D)*Input_1_coef.</f>
        <v>10.231847002320963</v>
      </c>
      <c r="E18" s="33">
        <f>_xlfn.XLOOKUP($C18,SEM!$B:$B,SEM!$E:$E)*Input_2_coef.</f>
        <v>0.83009995242967938</v>
      </c>
      <c r="F18" s="33">
        <f t="shared" si="11"/>
        <v>4.150499762148397E-2</v>
      </c>
      <c r="G18" s="33"/>
      <c r="H18" s="33">
        <f t="shared" si="0"/>
        <v>11.061946954750642</v>
      </c>
      <c r="I18" s="33">
        <f>IF(Input_3_coef.&gt;=0.54,(Input_1_coef.*_xlfn.XLOOKUP($C18,COMBINED!$B:$B,COMBINED!$AB:$AB)+Input_2_coef.*_xlfn.XLOOKUP($C18,COMBINED!$B:$B,COMBINED!$AC:$AC))+F18,(Input_1_coef.*_xlfn.XLOOKUP($C18,COMBINED!$B:$B,COMBINED!$AB:$AB)+Input_2_coef.*_xlfn.XLOOKUP($C18,COMBINED!$B:$B,COMBINED!$AC:$AC)))</f>
        <v>11.061946954750642</v>
      </c>
      <c r="J18" s="33">
        <f>_xlfn.XLOOKUP($C18,COMBINED!$B:$B,COMBINED!$N:$N)</f>
        <v>11.257477181820439</v>
      </c>
      <c r="K18" s="33"/>
      <c r="L18" s="33"/>
      <c r="M18" s="33"/>
      <c r="N18" s="33">
        <f t="shared" si="1"/>
        <v>6.1559734803187327</v>
      </c>
      <c r="O18" s="33"/>
      <c r="P18" s="33">
        <f t="shared" si="2"/>
        <v>4.9555586516565802</v>
      </c>
      <c r="Q18" s="33">
        <f t="shared" si="3"/>
        <v>2.5239491269306802</v>
      </c>
      <c r="R18" s="33">
        <f t="shared" si="4"/>
        <v>5.3803208217985725</v>
      </c>
      <c r="S18" s="33"/>
      <c r="T18" s="33">
        <f t="shared" si="5"/>
        <v>-2.5608849678125929</v>
      </c>
      <c r="U18" s="33"/>
      <c r="V18" s="33">
        <f t="shared" si="6"/>
        <v>-2.2254090370291433</v>
      </c>
      <c r="W18" s="33">
        <f t="shared" si="7"/>
        <v>1.5467745205588062</v>
      </c>
      <c r="X18" s="33">
        <f t="shared" si="8"/>
        <v>-1.4699479715244281</v>
      </c>
      <c r="Y18" s="33"/>
      <c r="Z18" s="33">
        <f t="shared" si="12"/>
        <v>-3.8274336463437217</v>
      </c>
      <c r="AA18" s="33">
        <f t="shared" si="13"/>
        <v>-6.3883186141563151</v>
      </c>
      <c r="AB18" s="33"/>
      <c r="AC18" s="33">
        <f t="shared" si="9"/>
        <v>4.2035136481148552</v>
      </c>
      <c r="AD18" s="33">
        <f t="shared" si="10"/>
        <v>0</v>
      </c>
      <c r="AE18" s="65"/>
      <c r="AF18" s="33"/>
      <c r="AG18" s="33"/>
    </row>
    <row r="19" spans="2:33" x14ac:dyDescent="0.35">
      <c r="B19" t="s">
        <v>65</v>
      </c>
      <c r="C19" t="s">
        <v>66</v>
      </c>
      <c r="D19" s="33">
        <f>_xlfn.XLOOKUP($C19,SEM!$B:$B,SEM!$D:$D)*Input_1_coef.</f>
        <v>12.86220851483635</v>
      </c>
      <c r="E19" s="33">
        <f>_xlfn.XLOOKUP($C19,SEM!$B:$B,SEM!$E:$E)*Input_2_coef.</f>
        <v>4.1014825119472151</v>
      </c>
      <c r="F19" s="33">
        <f t="shared" si="11"/>
        <v>0.20507412559736077</v>
      </c>
      <c r="G19" s="33"/>
      <c r="H19" s="33">
        <f t="shared" si="0"/>
        <v>16.963691026783565</v>
      </c>
      <c r="I19" s="33">
        <f>IF(Input_3_coef.&gt;=0.54,(Input_1_coef.*_xlfn.XLOOKUP($C19,COMBINED!$B:$B,COMBINED!$AB:$AB)+Input_2_coef.*_xlfn.XLOOKUP($C19,COMBINED!$B:$B,COMBINED!$AC:$AC))+F19,(Input_1_coef.*_xlfn.XLOOKUP($C19,COMBINED!$B:$B,COMBINED!$AB:$AB)+Input_2_coef.*_xlfn.XLOOKUP($C19,COMBINED!$B:$B,COMBINED!$AC:$AC)))</f>
        <v>16.963691026783565</v>
      </c>
      <c r="J19" s="33">
        <f>_xlfn.XLOOKUP($C19,COMBINED!$B:$B,COMBINED!$N:$N)</f>
        <v>15.093434057158985</v>
      </c>
      <c r="K19" s="33"/>
      <c r="L19" s="33"/>
      <c r="M19" s="33"/>
      <c r="N19" s="33">
        <f t="shared" si="1"/>
        <v>9.4402940564050546</v>
      </c>
      <c r="O19" s="33"/>
      <c r="P19" s="33">
        <f t="shared" si="2"/>
        <v>7.5994367154060694</v>
      </c>
      <c r="Q19" s="33">
        <f t="shared" si="3"/>
        <v>3.870520563126072</v>
      </c>
      <c r="R19" s="33">
        <f t="shared" si="4"/>
        <v>8.2508170052980176</v>
      </c>
      <c r="S19" s="33"/>
      <c r="T19" s="33">
        <f t="shared" si="5"/>
        <v>-3.9271623274645027</v>
      </c>
      <c r="U19" s="33"/>
      <c r="V19" s="33">
        <f t="shared" si="6"/>
        <v>-3.4127040625666529</v>
      </c>
      <c r="W19" s="33">
        <f t="shared" si="7"/>
        <v>2.3720060457885594</v>
      </c>
      <c r="X19" s="33">
        <f t="shared" si="8"/>
        <v>-2.2541911759646243</v>
      </c>
      <c r="Y19" s="33"/>
      <c r="Z19" s="33">
        <f t="shared" si="12"/>
        <v>-5.8694370952671129</v>
      </c>
      <c r="AA19" s="33">
        <f t="shared" si="13"/>
        <v>-9.7965994227316155</v>
      </c>
      <c r="AB19" s="33"/>
      <c r="AC19" s="33">
        <f t="shared" si="9"/>
        <v>6.4461624201574033</v>
      </c>
      <c r="AD19" s="33">
        <f t="shared" si="10"/>
        <v>0</v>
      </c>
      <c r="AE19" s="65"/>
      <c r="AF19" s="33"/>
      <c r="AG19" s="33"/>
    </row>
    <row r="20" spans="2:33" x14ac:dyDescent="0.35">
      <c r="B20" t="s">
        <v>67</v>
      </c>
      <c r="C20" t="s">
        <v>68</v>
      </c>
      <c r="D20" s="33">
        <f>_xlfn.XLOOKUP($C20,SEM!$B:$B,SEM!$D:$D)*Input_1_coef.</f>
        <v>16.259899527274069</v>
      </c>
      <c r="E20" s="33">
        <f>_xlfn.XLOOKUP($C20,SEM!$B:$B,SEM!$E:$E)*Input_2_coef.</f>
        <v>14.199211616449256</v>
      </c>
      <c r="F20" s="33">
        <f t="shared" si="11"/>
        <v>0.70996058082246283</v>
      </c>
      <c r="G20" s="33"/>
      <c r="H20" s="33">
        <f t="shared" si="0"/>
        <v>30.459111143723327</v>
      </c>
      <c r="I20" s="33">
        <f>IF(Input_3_coef.&gt;=0.54,(Input_1_coef.*_xlfn.XLOOKUP($C20,COMBINED!$B:$B,COMBINED!$AB:$AB)+Input_2_coef.*_xlfn.XLOOKUP($C20,COMBINED!$B:$B,COMBINED!$AC:$AC))+F20,(Input_1_coef.*_xlfn.XLOOKUP($C20,COMBINED!$B:$B,COMBINED!$AB:$AB)+Input_2_coef.*_xlfn.XLOOKUP($C20,COMBINED!$B:$B,COMBINED!$AC:$AC)))</f>
        <v>30.459111143723327</v>
      </c>
      <c r="J20" s="33">
        <f>_xlfn.XLOOKUP($C20,COMBINED!$B:$B,COMBINED!$N:$N)</f>
        <v>20.280046054494363</v>
      </c>
      <c r="K20" s="33"/>
      <c r="L20" s="33"/>
      <c r="M20" s="33"/>
      <c r="N20" s="33">
        <f t="shared" si="1"/>
        <v>16.950495351482033</v>
      </c>
      <c r="O20" s="33"/>
      <c r="P20" s="33">
        <f t="shared" si="2"/>
        <v>13.645148757943037</v>
      </c>
      <c r="Q20" s="33">
        <f t="shared" si="3"/>
        <v>6.9497030941076332</v>
      </c>
      <c r="R20" s="33">
        <f t="shared" si="4"/>
        <v>14.814732937195297</v>
      </c>
      <c r="S20" s="33"/>
      <c r="T20" s="33">
        <f t="shared" si="5"/>
        <v>-7.0514060662165257</v>
      </c>
      <c r="U20" s="33"/>
      <c r="V20" s="33">
        <f t="shared" si="6"/>
        <v>-6.1276718715421605</v>
      </c>
      <c r="W20" s="33">
        <f t="shared" si="7"/>
        <v>4.2590492639947817</v>
      </c>
      <c r="X20" s="33">
        <f t="shared" si="8"/>
        <v>-4.047507082008285</v>
      </c>
      <c r="Y20" s="33"/>
      <c r="Z20" s="33">
        <f t="shared" si="12"/>
        <v>-10.53885245572827</v>
      </c>
      <c r="AA20" s="33">
        <f t="shared" si="13"/>
        <v>-17.590258521944797</v>
      </c>
      <c r="AB20" s="33"/>
      <c r="AC20" s="33">
        <f t="shared" si="9"/>
        <v>11.574390107439678</v>
      </c>
      <c r="AD20" s="33">
        <f t="shared" si="10"/>
        <v>0</v>
      </c>
      <c r="AE20" s="65"/>
      <c r="AF20" s="33"/>
      <c r="AG20" s="33"/>
    </row>
    <row r="21" spans="2:33" x14ac:dyDescent="0.35">
      <c r="B21" t="s">
        <v>69</v>
      </c>
      <c r="C21" t="s">
        <v>70</v>
      </c>
      <c r="D21" s="33">
        <f>_xlfn.XLOOKUP($C21,SEM!$B:$B,SEM!$D:$D)*Input_1_coef.</f>
        <v>13.791422945813666</v>
      </c>
      <c r="E21" s="33">
        <f>_xlfn.XLOOKUP($C21,SEM!$B:$B,SEM!$E:$E)*Input_2_coef.</f>
        <v>1.5987631369418207</v>
      </c>
      <c r="F21" s="33">
        <f t="shared" si="11"/>
        <v>7.9938156847091046E-2</v>
      </c>
      <c r="G21" s="33"/>
      <c r="H21" s="33">
        <f t="shared" si="0"/>
        <v>15.390186082755488</v>
      </c>
      <c r="I21" s="33">
        <f>IF(Input_3_coef.&gt;=0.54,(Input_1_coef.*_xlfn.XLOOKUP($C21,COMBINED!$B:$B,COMBINED!$AB:$AB)+Input_2_coef.*_xlfn.XLOOKUP($C21,COMBINED!$B:$B,COMBINED!$AC:$AC))+F21,(Input_1_coef.*_xlfn.XLOOKUP($C21,COMBINED!$B:$B,COMBINED!$AB:$AB)+Input_2_coef.*_xlfn.XLOOKUP($C21,COMBINED!$B:$B,COMBINED!$AC:$AC)))</f>
        <v>15.390186082755488</v>
      </c>
      <c r="J21" s="33">
        <f>_xlfn.XLOOKUP($C21,COMBINED!$B:$B,COMBINED!$N:$N)</f>
        <v>17.44527928542762</v>
      </c>
      <c r="K21" s="33"/>
      <c r="L21" s="33"/>
      <c r="M21" s="33"/>
      <c r="N21" s="33">
        <f t="shared" si="1"/>
        <v>8.5646385550534294</v>
      </c>
      <c r="O21" s="33"/>
      <c r="P21" s="33">
        <f t="shared" si="2"/>
        <v>6.894534036818011</v>
      </c>
      <c r="Q21" s="33">
        <f t="shared" si="3"/>
        <v>3.5115018075719058</v>
      </c>
      <c r="R21" s="33">
        <f t="shared" si="4"/>
        <v>7.485494097116697</v>
      </c>
      <c r="S21" s="33"/>
      <c r="T21" s="33">
        <f t="shared" si="5"/>
        <v>-3.5628896389022264</v>
      </c>
      <c r="U21" s="33"/>
      <c r="V21" s="33">
        <f t="shared" si="6"/>
        <v>-3.0961510962060346</v>
      </c>
      <c r="W21" s="33">
        <f t="shared" si="7"/>
        <v>2.1519853418969448</v>
      </c>
      <c r="X21" s="33">
        <f t="shared" si="8"/>
        <v>-2.045098652729878</v>
      </c>
      <c r="Y21" s="33"/>
      <c r="Z21" s="33">
        <f t="shared" si="12"/>
        <v>-5.3250043846333988</v>
      </c>
      <c r="AA21" s="33">
        <f t="shared" si="13"/>
        <v>-8.8878940235356261</v>
      </c>
      <c r="AB21" s="33"/>
      <c r="AC21" s="33">
        <f t="shared" si="9"/>
        <v>5.8482342674864425</v>
      </c>
      <c r="AD21" s="33">
        <f t="shared" si="10"/>
        <v>0</v>
      </c>
      <c r="AE21" s="65"/>
      <c r="AF21" s="33"/>
      <c r="AG21" s="33"/>
    </row>
    <row r="22" spans="2:33" x14ac:dyDescent="0.35">
      <c r="B22" t="s">
        <v>71</v>
      </c>
      <c r="C22" t="s">
        <v>72</v>
      </c>
      <c r="D22" s="33">
        <f>_xlfn.XLOOKUP($C22,SEM!$B:$B,SEM!$D:$D)*Input_1_coef.</f>
        <v>41.468257667981618</v>
      </c>
      <c r="E22" s="33">
        <f>_xlfn.XLOOKUP($C22,SEM!$B:$B,SEM!$E:$E)*Input_2_coef.</f>
        <v>2.5660828325728673</v>
      </c>
      <c r="F22" s="33">
        <f t="shared" si="11"/>
        <v>0.12830414162864337</v>
      </c>
      <c r="G22" s="33"/>
      <c r="H22" s="33">
        <f t="shared" si="0"/>
        <v>44.034340500554485</v>
      </c>
      <c r="I22" s="33">
        <f>IF(Input_3_coef.&gt;=0.54,(Input_1_coef.*_xlfn.XLOOKUP($C22,COMBINED!$B:$B,COMBINED!$AB:$AB)+Input_2_coef.*_xlfn.XLOOKUP($C22,COMBINED!$B:$B,COMBINED!$AC:$AC))+F22,(Input_1_coef.*_xlfn.XLOOKUP($C22,COMBINED!$B:$B,COMBINED!$AB:$AB)+Input_2_coef.*_xlfn.XLOOKUP($C22,COMBINED!$B:$B,COMBINED!$AC:$AC)))</f>
        <v>44.034340500554485</v>
      </c>
      <c r="J22" s="33">
        <f>_xlfn.XLOOKUP($C22,COMBINED!$B:$B,COMBINED!$N:$N)</f>
        <v>50.137284636813654</v>
      </c>
      <c r="K22" s="33"/>
      <c r="L22" s="33"/>
      <c r="M22" s="33"/>
      <c r="N22" s="33">
        <f t="shared" si="1"/>
        <v>24.505110488558572</v>
      </c>
      <c r="O22" s="33"/>
      <c r="P22" s="33">
        <f t="shared" si="2"/>
        <v>19.726613943289653</v>
      </c>
      <c r="Q22" s="33">
        <f t="shared" si="3"/>
        <v>10.047095300309014</v>
      </c>
      <c r="R22" s="33">
        <f t="shared" si="4"/>
        <v>21.41746656700019</v>
      </c>
      <c r="S22" s="33"/>
      <c r="T22" s="33">
        <f t="shared" si="5"/>
        <v>-10.194125963240365</v>
      </c>
      <c r="U22" s="33"/>
      <c r="V22" s="33">
        <f t="shared" si="6"/>
        <v>-8.8586954620558771</v>
      </c>
      <c r="W22" s="33">
        <f t="shared" si="7"/>
        <v>6.1572520817971803</v>
      </c>
      <c r="X22" s="33">
        <f t="shared" si="8"/>
        <v>-5.8514283028999694</v>
      </c>
      <c r="Y22" s="33"/>
      <c r="Z22" s="33">
        <f t="shared" si="12"/>
        <v>-15.235881813191851</v>
      </c>
      <c r="AA22" s="33">
        <f t="shared" si="13"/>
        <v>-25.430007776432216</v>
      </c>
      <c r="AB22" s="33"/>
      <c r="AC22" s="33">
        <f t="shared" si="9"/>
        <v>16.732945116892399</v>
      </c>
      <c r="AD22" s="33">
        <f t="shared" si="10"/>
        <v>0</v>
      </c>
      <c r="AE22" s="65"/>
      <c r="AF22" s="33"/>
      <c r="AG22" s="33"/>
    </row>
    <row r="23" spans="2:33" x14ac:dyDescent="0.35">
      <c r="B23" t="s">
        <v>73</v>
      </c>
      <c r="C23" t="s">
        <v>74</v>
      </c>
      <c r="D23" s="33">
        <f>_xlfn.XLOOKUP($C23,SEM!$B:$B,SEM!$D:$D)*Input_1_coef.</f>
        <v>16.44784298974124</v>
      </c>
      <c r="E23" s="33">
        <f>_xlfn.XLOOKUP($C23,SEM!$B:$B,SEM!$E:$E)*Input_2_coef.</f>
        <v>1.1093673660213568</v>
      </c>
      <c r="F23" s="33">
        <f t="shared" si="11"/>
        <v>5.5468368301067841E-2</v>
      </c>
      <c r="G23" s="33"/>
      <c r="H23" s="33">
        <f t="shared" si="0"/>
        <v>17.557210355762596</v>
      </c>
      <c r="I23" s="33">
        <f>IF(Input_3_coef.&gt;=0.54,(Input_1_coef.*_xlfn.XLOOKUP($C23,COMBINED!$B:$B,COMBINED!$AB:$AB)+Input_2_coef.*_xlfn.XLOOKUP($C23,COMBINED!$B:$B,COMBINED!$AC:$AC))+F23,(Input_1_coef.*_xlfn.XLOOKUP($C23,COMBINED!$B:$B,COMBINED!$AB:$AB)+Input_2_coef.*_xlfn.XLOOKUP($C23,COMBINED!$B:$B,COMBINED!$AC:$AC)))</f>
        <v>17.557210355762596</v>
      </c>
      <c r="J23" s="33">
        <f>_xlfn.XLOOKUP($C23,COMBINED!$B:$B,COMBINED!$N:$N)</f>
        <v>19.35794740669748</v>
      </c>
      <c r="K23" s="33"/>
      <c r="L23" s="33"/>
      <c r="M23" s="33"/>
      <c r="N23" s="33">
        <f t="shared" si="1"/>
        <v>9.7705875629818841</v>
      </c>
      <c r="O23" s="33"/>
      <c r="P23" s="33">
        <f t="shared" si="2"/>
        <v>7.8653229882004174</v>
      </c>
      <c r="Q23" s="33">
        <f t="shared" si="3"/>
        <v>4.0059409008225719</v>
      </c>
      <c r="R23" s="33">
        <f t="shared" si="4"/>
        <v>8.5394935300461672</v>
      </c>
      <c r="S23" s="33"/>
      <c r="T23" s="33">
        <f t="shared" si="5"/>
        <v>-4.0645644262004632</v>
      </c>
      <c r="U23" s="33"/>
      <c r="V23" s="33">
        <f t="shared" si="6"/>
        <v>-3.5321064863682023</v>
      </c>
      <c r="W23" s="33">
        <f t="shared" si="7"/>
        <v>2.4549969134250795</v>
      </c>
      <c r="X23" s="33">
        <f t="shared" si="8"/>
        <v>-2.3330599806390655</v>
      </c>
      <c r="Y23" s="33"/>
      <c r="Z23" s="33">
        <f t="shared" si="12"/>
        <v>-6.074794783093858</v>
      </c>
      <c r="AA23" s="33">
        <f t="shared" si="13"/>
        <v>-10.139359209294321</v>
      </c>
      <c r="AB23" s="33"/>
      <c r="AC23" s="33">
        <f t="shared" si="9"/>
        <v>6.6716983597156636</v>
      </c>
      <c r="AD23" s="33">
        <f t="shared" si="10"/>
        <v>0</v>
      </c>
      <c r="AE23" s="65"/>
      <c r="AF23" s="33"/>
      <c r="AG23" s="33"/>
    </row>
    <row r="24" spans="2:33" x14ac:dyDescent="0.35">
      <c r="B24" t="s">
        <v>75</v>
      </c>
      <c r="C24" t="s">
        <v>76</v>
      </c>
      <c r="D24" s="33">
        <f>_xlfn.XLOOKUP($C24,SEM!$B:$B,SEM!$D:$D)*Input_1_coef.</f>
        <v>28.88574768919063</v>
      </c>
      <c r="E24" s="33">
        <f>_xlfn.XLOOKUP($C24,SEM!$B:$B,SEM!$E:$E)*Input_2_coef.</f>
        <v>0.77377754461692061</v>
      </c>
      <c r="F24" s="33">
        <f t="shared" si="11"/>
        <v>3.8688877230846033E-2</v>
      </c>
      <c r="G24" s="33"/>
      <c r="H24" s="33">
        <f t="shared" si="0"/>
        <v>29.65952523380755</v>
      </c>
      <c r="I24" s="33">
        <f>IF(Input_3_coef.&gt;=0.54,(Input_1_coef.*_xlfn.XLOOKUP($C24,COMBINED!$B:$B,COMBINED!$AB:$AB)+Input_2_coef.*_xlfn.XLOOKUP($C24,COMBINED!$B:$B,COMBINED!$AC:$AC))+F24,(Input_1_coef.*_xlfn.XLOOKUP($C24,COMBINED!$B:$B,COMBINED!$AB:$AB)+Input_2_coef.*_xlfn.XLOOKUP($C24,COMBINED!$B:$B,COMBINED!$AC:$AC)))</f>
        <v>29.65952523380755</v>
      </c>
      <c r="J24" s="33">
        <f>_xlfn.XLOOKUP($C24,COMBINED!$B:$B,COMBINED!$N:$N)</f>
        <v>32.580996306480337</v>
      </c>
      <c r="K24" s="33"/>
      <c r="L24" s="33"/>
      <c r="M24" s="33"/>
      <c r="N24" s="33">
        <f t="shared" si="1"/>
        <v>16.505525792613902</v>
      </c>
      <c r="O24" s="33"/>
      <c r="P24" s="33">
        <f t="shared" si="2"/>
        <v>13.286948263054192</v>
      </c>
      <c r="Q24" s="33">
        <f t="shared" si="3"/>
        <v>6.7672655749716997</v>
      </c>
      <c r="R24" s="33">
        <f t="shared" si="4"/>
        <v>14.42582954274455</v>
      </c>
      <c r="S24" s="33"/>
      <c r="T24" s="33">
        <f t="shared" si="5"/>
        <v>-6.866298729727383</v>
      </c>
      <c r="U24" s="33"/>
      <c r="V24" s="33">
        <f t="shared" si="6"/>
        <v>-5.9668135961330959</v>
      </c>
      <c r="W24" s="33">
        <f t="shared" si="7"/>
        <v>4.1472444327553388</v>
      </c>
      <c r="X24" s="33">
        <f t="shared" si="8"/>
        <v>-3.9412554708635175</v>
      </c>
      <c r="Y24" s="33"/>
      <c r="Z24" s="33">
        <f t="shared" si="12"/>
        <v>-10.262195730897412</v>
      </c>
      <c r="AA24" s="33">
        <f t="shared" si="13"/>
        <v>-17.128494460624793</v>
      </c>
      <c r="AB24" s="33"/>
      <c r="AC24" s="33">
        <f t="shared" si="9"/>
        <v>11.270549355091115</v>
      </c>
      <c r="AD24" s="33">
        <f t="shared" si="10"/>
        <v>0</v>
      </c>
      <c r="AE24" s="65"/>
      <c r="AF24" s="33"/>
      <c r="AG24" s="33"/>
    </row>
    <row r="25" spans="2:33" x14ac:dyDescent="0.35">
      <c r="B25" t="s">
        <v>77</v>
      </c>
      <c r="C25" t="s">
        <v>78</v>
      </c>
      <c r="D25" s="33">
        <f>_xlfn.XLOOKUP($C25,SEM!$B:$B,SEM!$D:$D)*Input_1_coef.</f>
        <v>7.1959192159926992</v>
      </c>
      <c r="E25" s="33">
        <f>_xlfn.XLOOKUP($C25,SEM!$B:$B,SEM!$E:$E)*Input_2_coef.</f>
        <v>0.79004787931672049</v>
      </c>
      <c r="F25" s="33">
        <f t="shared" si="11"/>
        <v>3.9502393965836026E-2</v>
      </c>
      <c r="G25" s="33"/>
      <c r="H25" s="33">
        <f t="shared" si="0"/>
        <v>7.9859670953094195</v>
      </c>
      <c r="I25" s="33">
        <f>IF(Input_3_coef.&gt;=0.54,(Input_1_coef.*_xlfn.XLOOKUP($C25,COMBINED!$B:$B,COMBINED!$AB:$AB)+Input_2_coef.*_xlfn.XLOOKUP($C25,COMBINED!$B:$B,COMBINED!$AC:$AC))+F25,(Input_1_coef.*_xlfn.XLOOKUP($C25,COMBINED!$B:$B,COMBINED!$AB:$AB)+Input_2_coef.*_xlfn.XLOOKUP($C25,COMBINED!$B:$B,COMBINED!$AC:$AC)))</f>
        <v>7.9859670953094195</v>
      </c>
      <c r="J25" s="33">
        <f>_xlfn.XLOOKUP($C25,COMBINED!$B:$B,COMBINED!$N:$N)</f>
        <v>8.60047179079457</v>
      </c>
      <c r="K25" s="33"/>
      <c r="L25" s="33"/>
      <c r="M25" s="33"/>
      <c r="N25" s="33">
        <f t="shared" si="1"/>
        <v>4.4441906885396927</v>
      </c>
      <c r="O25" s="33"/>
      <c r="P25" s="33">
        <f t="shared" si="2"/>
        <v>3.577573504274453</v>
      </c>
      <c r="Q25" s="33">
        <f t="shared" si="3"/>
        <v>1.822118182301274</v>
      </c>
      <c r="R25" s="33">
        <f t="shared" si="4"/>
        <v>3.8842226617836912</v>
      </c>
      <c r="S25" s="33"/>
      <c r="T25" s="33">
        <f t="shared" si="5"/>
        <v>-1.848783326432512</v>
      </c>
      <c r="U25" s="33"/>
      <c r="V25" s="33">
        <f t="shared" si="6"/>
        <v>-1.606592710669853</v>
      </c>
      <c r="W25" s="33">
        <f t="shared" si="7"/>
        <v>1.1166651291652372</v>
      </c>
      <c r="X25" s="33">
        <f t="shared" si="8"/>
        <v>-1.0612016293722617</v>
      </c>
      <c r="Y25" s="33"/>
      <c r="Z25" s="33">
        <f t="shared" si="12"/>
        <v>-2.7631446149770591</v>
      </c>
      <c r="AA25" s="33">
        <f t="shared" si="13"/>
        <v>-4.6119279414095713</v>
      </c>
      <c r="AB25" s="33"/>
      <c r="AC25" s="33">
        <f t="shared" si="9"/>
        <v>3.0346485854474983</v>
      </c>
      <c r="AD25" s="33">
        <f t="shared" si="10"/>
        <v>0</v>
      </c>
      <c r="AE25" s="65"/>
      <c r="AF25" s="33"/>
      <c r="AG25" s="33"/>
    </row>
    <row r="26" spans="2:33" x14ac:dyDescent="0.35">
      <c r="B26" t="s">
        <v>79</v>
      </c>
      <c r="C26" t="s">
        <v>80</v>
      </c>
      <c r="D26" s="33">
        <f>_xlfn.XLOOKUP($C26,SEM!$B:$B,SEM!$D:$D)*Input_1_coef.</f>
        <v>38.395776293426493</v>
      </c>
      <c r="E26" s="33">
        <f>_xlfn.XLOOKUP($C26,SEM!$B:$B,SEM!$E:$E)*Input_2_coef.</f>
        <v>9.0224121860465214</v>
      </c>
      <c r="F26" s="33">
        <f t="shared" si="11"/>
        <v>0.45112060930232611</v>
      </c>
      <c r="G26" s="33"/>
      <c r="H26" s="33">
        <f t="shared" si="0"/>
        <v>47.418188479473017</v>
      </c>
      <c r="I26" s="33">
        <f>IF(Input_3_coef.&gt;=0.54,(Input_1_coef.*_xlfn.XLOOKUP($C26,COMBINED!$B:$B,COMBINED!$AB:$AB)+Input_2_coef.*_xlfn.XLOOKUP($C26,COMBINED!$B:$B,COMBINED!$AC:$AC))+F26,(Input_1_coef.*_xlfn.XLOOKUP($C26,COMBINED!$B:$B,COMBINED!$AB:$AB)+Input_2_coef.*_xlfn.XLOOKUP($C26,COMBINED!$B:$B,COMBINED!$AC:$AC)))</f>
        <v>47.418188479473017</v>
      </c>
      <c r="J26" s="33">
        <f>_xlfn.XLOOKUP($C26,COMBINED!$B:$B,COMBINED!$N:$N)</f>
        <v>48.464221402575184</v>
      </c>
      <c r="K26" s="33"/>
      <c r="L26" s="33"/>
      <c r="M26" s="33"/>
      <c r="N26" s="33">
        <f t="shared" si="1"/>
        <v>26.388221888826731</v>
      </c>
      <c r="O26" s="33"/>
      <c r="P26" s="33">
        <f t="shared" si="2"/>
        <v>21.242518620505521</v>
      </c>
      <c r="Q26" s="33">
        <f t="shared" si="3"/>
        <v>10.819170974418959</v>
      </c>
      <c r="R26" s="33">
        <f t="shared" si="4"/>
        <v>23.063305930834563</v>
      </c>
      <c r="S26" s="33"/>
      <c r="T26" s="33">
        <f t="shared" si="5"/>
        <v>-10.977500305751919</v>
      </c>
      <c r="U26" s="33"/>
      <c r="V26" s="33">
        <f t="shared" si="6"/>
        <v>-9.5394477656984176</v>
      </c>
      <c r="W26" s="33">
        <f t="shared" si="7"/>
        <v>6.630410184674159</v>
      </c>
      <c r="X26" s="33">
        <f t="shared" si="8"/>
        <v>-6.3010851755016013</v>
      </c>
      <c r="Y26" s="33"/>
      <c r="Z26" s="33">
        <f t="shared" si="12"/>
        <v>-16.406693213897661</v>
      </c>
      <c r="AA26" s="33">
        <f t="shared" si="13"/>
        <v>-27.384193519649578</v>
      </c>
      <c r="AB26" s="33"/>
      <c r="AC26" s="33">
        <f t="shared" si="9"/>
        <v>18.018799335929423</v>
      </c>
      <c r="AD26" s="33">
        <f t="shared" si="10"/>
        <v>0</v>
      </c>
      <c r="AE26" s="65"/>
      <c r="AF26" s="33"/>
      <c r="AG26" s="33"/>
    </row>
    <row r="27" spans="2:33" x14ac:dyDescent="0.35">
      <c r="B27" t="s">
        <v>81</v>
      </c>
      <c r="C27" t="s">
        <v>82</v>
      </c>
      <c r="D27" s="33">
        <f>_xlfn.XLOOKUP($C27,SEM!$B:$B,SEM!$D:$D)*Input_1_coef.</f>
        <v>6.8234863128107888</v>
      </c>
      <c r="E27" s="33">
        <f>_xlfn.XLOOKUP($C27,SEM!$B:$B,SEM!$E:$E)*Input_2_coef.</f>
        <v>1.6287359641487336</v>
      </c>
      <c r="F27" s="33">
        <f t="shared" si="11"/>
        <v>8.1436798207436684E-2</v>
      </c>
      <c r="G27" s="33"/>
      <c r="H27" s="33">
        <f t="shared" si="0"/>
        <v>8.4522222769595228</v>
      </c>
      <c r="I27" s="33">
        <f>IF(Input_3_coef.&gt;=0.54,(Input_1_coef.*_xlfn.XLOOKUP($C27,COMBINED!$B:$B,COMBINED!$AB:$AB)+Input_2_coef.*_xlfn.XLOOKUP($C27,COMBINED!$B:$B,COMBINED!$AC:$AC))+F27,(Input_1_coef.*_xlfn.XLOOKUP($C27,COMBINED!$B:$B,COMBINED!$AB:$AB)+Input_2_coef.*_xlfn.XLOOKUP($C27,COMBINED!$B:$B,COMBINED!$AC:$AC)))</f>
        <v>8.4522222769595228</v>
      </c>
      <c r="J27" s="33">
        <f>_xlfn.XLOOKUP($C27,COMBINED!$B:$B,COMBINED!$N:$N)</f>
        <v>6.7772964921837051</v>
      </c>
      <c r="K27" s="33"/>
      <c r="L27" s="33"/>
      <c r="M27" s="33"/>
      <c r="N27" s="33">
        <f t="shared" si="1"/>
        <v>4.7036616971279752</v>
      </c>
      <c r="O27" s="33"/>
      <c r="P27" s="33">
        <f t="shared" si="2"/>
        <v>3.7864476661880202</v>
      </c>
      <c r="Q27" s="33">
        <f t="shared" si="3"/>
        <v>1.9285012958224697</v>
      </c>
      <c r="R27" s="33">
        <f t="shared" si="4"/>
        <v>4.1110003232898507</v>
      </c>
      <c r="S27" s="33"/>
      <c r="T27" s="33">
        <f t="shared" si="5"/>
        <v>-1.9567232660052376</v>
      </c>
      <c r="U27" s="33"/>
      <c r="V27" s="33">
        <f t="shared" si="6"/>
        <v>-1.7003925181585515</v>
      </c>
      <c r="W27" s="33">
        <f t="shared" si="7"/>
        <v>1.1818608526671635</v>
      </c>
      <c r="X27" s="33">
        <f t="shared" si="8"/>
        <v>-1.1231591546870063</v>
      </c>
      <c r="Y27" s="33"/>
      <c r="Z27" s="33">
        <f t="shared" si="12"/>
        <v>-2.9244689078279946</v>
      </c>
      <c r="AA27" s="33">
        <f t="shared" si="13"/>
        <v>-4.8811921738332327</v>
      </c>
      <c r="AB27" s="33"/>
      <c r="AC27" s="33">
        <f t="shared" si="9"/>
        <v>3.211824450382267</v>
      </c>
      <c r="AD27" s="33">
        <f t="shared" si="10"/>
        <v>0</v>
      </c>
      <c r="AE27" s="65"/>
      <c r="AF27" s="33"/>
      <c r="AG27" s="33"/>
    </row>
    <row r="28" spans="2:33" x14ac:dyDescent="0.35">
      <c r="B28" t="s">
        <v>83</v>
      </c>
      <c r="C28" t="s">
        <v>84</v>
      </c>
      <c r="D28" s="33">
        <f>_xlfn.XLOOKUP($C28,SEM!$B:$B,SEM!$D:$D)*Input_1_coef.</f>
        <v>12.020475346559879</v>
      </c>
      <c r="E28" s="33">
        <f>_xlfn.XLOOKUP($C28,SEM!$B:$B,SEM!$E:$E)*Input_2_coef.</f>
        <v>7.4779065709041234E-2</v>
      </c>
      <c r="F28" s="33">
        <f t="shared" si="11"/>
        <v>3.7389532854520619E-3</v>
      </c>
      <c r="G28" s="33"/>
      <c r="H28" s="33">
        <f t="shared" si="0"/>
        <v>12.09525441226892</v>
      </c>
      <c r="I28" s="33">
        <f>IF(Input_3_coef.&gt;=0.54,(Input_1_coef.*_xlfn.XLOOKUP($C28,COMBINED!$B:$B,COMBINED!$AB:$AB)+Input_2_coef.*_xlfn.XLOOKUP($C28,COMBINED!$B:$B,COMBINED!$AC:$AC))+F28,(Input_1_coef.*_xlfn.XLOOKUP($C28,COMBINED!$B:$B,COMBINED!$AB:$AB)+Input_2_coef.*_xlfn.XLOOKUP($C28,COMBINED!$B:$B,COMBINED!$AC:$AC)))</f>
        <v>12.09525441226892</v>
      </c>
      <c r="J28" s="33">
        <f>_xlfn.XLOOKUP($C28,COMBINED!$B:$B,COMBINED!$N:$N)</f>
        <v>13.312104685898735</v>
      </c>
      <c r="K28" s="33"/>
      <c r="L28" s="33"/>
      <c r="M28" s="33"/>
      <c r="N28" s="33">
        <f t="shared" si="1"/>
        <v>6.7310090804276541</v>
      </c>
      <c r="O28" s="33"/>
      <c r="P28" s="33">
        <f t="shared" si="2"/>
        <v>5.4184623097442621</v>
      </c>
      <c r="Q28" s="33">
        <f t="shared" si="3"/>
        <v>2.7597137229753379</v>
      </c>
      <c r="R28" s="33">
        <f t="shared" si="4"/>
        <v>5.88290193629377</v>
      </c>
      <c r="S28" s="33"/>
      <c r="T28" s="33">
        <f t="shared" si="5"/>
        <v>-2.8000997774579042</v>
      </c>
      <c r="U28" s="33"/>
      <c r="V28" s="33">
        <f t="shared" si="6"/>
        <v>-2.4332867066109185</v>
      </c>
      <c r="W28" s="33">
        <f t="shared" si="7"/>
        <v>1.6912602655845741</v>
      </c>
      <c r="X28" s="33">
        <f t="shared" si="8"/>
        <v>-1.6072572722608369</v>
      </c>
      <c r="Y28" s="33"/>
      <c r="Z28" s="33">
        <f t="shared" si="12"/>
        <v>-4.1849580266450461</v>
      </c>
      <c r="AA28" s="33">
        <f t="shared" si="13"/>
        <v>-6.9850578041029507</v>
      </c>
      <c r="AB28" s="33"/>
      <c r="AC28" s="33">
        <f t="shared" si="9"/>
        <v>4.5961680350997414</v>
      </c>
      <c r="AD28" s="33">
        <f t="shared" si="10"/>
        <v>0</v>
      </c>
      <c r="AE28" s="65"/>
      <c r="AF28" s="33"/>
      <c r="AG28" s="33"/>
    </row>
    <row r="29" spans="2:33" x14ac:dyDescent="0.35">
      <c r="B29" t="s">
        <v>85</v>
      </c>
      <c r="C29" t="s">
        <v>86</v>
      </c>
      <c r="D29" s="33">
        <f>_xlfn.XLOOKUP($C29,SEM!$B:$B,SEM!$D:$D)*Input_1_coef.</f>
        <v>22.253294371297471</v>
      </c>
      <c r="E29" s="33">
        <f>_xlfn.XLOOKUP($C29,SEM!$B:$B,SEM!$E:$E)*Input_2_coef.</f>
        <v>0.50036962979096877</v>
      </c>
      <c r="F29" s="33">
        <f t="shared" si="11"/>
        <v>2.5018481489548439E-2</v>
      </c>
      <c r="G29" s="33"/>
      <c r="H29" s="33">
        <f t="shared" si="0"/>
        <v>22.753664001088438</v>
      </c>
      <c r="I29" s="33">
        <f>IF(Input_3_coef.&gt;=0.54,(Input_1_coef.*_xlfn.XLOOKUP($C29,COMBINED!$B:$B,COMBINED!$AB:$AB)+Input_2_coef.*_xlfn.XLOOKUP($C29,COMBINED!$B:$B,COMBINED!$AC:$AC))+F29,(Input_1_coef.*_xlfn.XLOOKUP($C29,COMBINED!$B:$B,COMBINED!$AB:$AB)+Input_2_coef.*_xlfn.XLOOKUP($C29,COMBINED!$B:$B,COMBINED!$AC:$AC)))</f>
        <v>22.753664001088438</v>
      </c>
      <c r="J29" s="33">
        <f>_xlfn.XLOOKUP($C29,COMBINED!$B:$B,COMBINED!$N:$N)</f>
        <v>26.999477365469474</v>
      </c>
      <c r="K29" s="33"/>
      <c r="L29" s="33"/>
      <c r="M29" s="33"/>
      <c r="N29" s="33">
        <f t="shared" si="1"/>
        <v>12.662414016605716</v>
      </c>
      <c r="O29" s="33"/>
      <c r="P29" s="33">
        <f t="shared" si="2"/>
        <v>10.193243283367602</v>
      </c>
      <c r="Q29" s="33">
        <f t="shared" si="3"/>
        <v>5.1915897468083436</v>
      </c>
      <c r="R29" s="33">
        <f t="shared" si="4"/>
        <v>11.066949850513396</v>
      </c>
      <c r="S29" s="33"/>
      <c r="T29" s="33">
        <f t="shared" si="5"/>
        <v>-5.2675642309079773</v>
      </c>
      <c r="U29" s="33"/>
      <c r="V29" s="33">
        <f t="shared" si="6"/>
        <v>-4.577513316659032</v>
      </c>
      <c r="W29" s="33">
        <f t="shared" si="7"/>
        <v>3.181608795468418</v>
      </c>
      <c r="X29" s="33">
        <f t="shared" si="8"/>
        <v>-3.0235818685411786</v>
      </c>
      <c r="Y29" s="33"/>
      <c r="Z29" s="33">
        <f t="shared" si="12"/>
        <v>-7.8727677443765991</v>
      </c>
      <c r="AA29" s="33">
        <f t="shared" si="13"/>
        <v>-13.140331975284576</v>
      </c>
      <c r="AB29" s="33"/>
      <c r="AC29" s="33">
        <f t="shared" si="9"/>
        <v>8.6463384397372511</v>
      </c>
      <c r="AD29" s="33">
        <f t="shared" si="10"/>
        <v>0</v>
      </c>
      <c r="AE29" s="65"/>
      <c r="AF29" s="33"/>
      <c r="AG29" s="33"/>
    </row>
    <row r="30" spans="2:33" x14ac:dyDescent="0.35">
      <c r="B30" t="s">
        <v>87</v>
      </c>
      <c r="C30" t="s">
        <v>88</v>
      </c>
      <c r="D30" s="33">
        <f>_xlfn.XLOOKUP($C30,SEM!$B:$B,SEM!$D:$D)*Input_1_coef.</f>
        <v>22.350016844325854</v>
      </c>
      <c r="E30" s="33">
        <f>_xlfn.XLOOKUP($C30,SEM!$B:$B,SEM!$E:$E)*Input_2_coef.</f>
        <v>2.5165227011494253</v>
      </c>
      <c r="F30" s="33">
        <f t="shared" si="11"/>
        <v>0.12582613505747128</v>
      </c>
      <c r="G30" s="33"/>
      <c r="H30" s="33">
        <f t="shared" si="0"/>
        <v>24.86653954547528</v>
      </c>
      <c r="I30" s="33">
        <f>IF(Input_3_coef.&gt;=0.54,(Input_1_coef.*_xlfn.XLOOKUP($C30,COMBINED!$B:$B,COMBINED!$AB:$AB)+Input_2_coef.*_xlfn.XLOOKUP($C30,COMBINED!$B:$B,COMBINED!$AC:$AC))+F30,(Input_1_coef.*_xlfn.XLOOKUP($C30,COMBINED!$B:$B,COMBINED!$AB:$AB)+Input_2_coef.*_xlfn.XLOOKUP($C30,COMBINED!$B:$B,COMBINED!$AC:$AC)))</f>
        <v>24.86653954547528</v>
      </c>
      <c r="J30" s="33">
        <f>_xlfn.XLOOKUP($C30,COMBINED!$B:$B,COMBINED!$N:$N)</f>
        <v>25.456121145776319</v>
      </c>
      <c r="K30" s="33"/>
      <c r="L30" s="33"/>
      <c r="M30" s="33"/>
      <c r="N30" s="33">
        <f t="shared" si="1"/>
        <v>13.838229257056993</v>
      </c>
      <c r="O30" s="33"/>
      <c r="P30" s="33">
        <f t="shared" si="2"/>
        <v>11.139774551930881</v>
      </c>
      <c r="Q30" s="33">
        <f t="shared" si="3"/>
        <v>5.6736739953933668</v>
      </c>
      <c r="R30" s="33">
        <f t="shared" si="4"/>
        <v>12.094612370667811</v>
      </c>
      <c r="S30" s="33"/>
      <c r="T30" s="33">
        <f t="shared" si="5"/>
        <v>-5.7567033709357087</v>
      </c>
      <c r="U30" s="33"/>
      <c r="V30" s="33">
        <f t="shared" si="6"/>
        <v>-5.0025752293431305</v>
      </c>
      <c r="W30" s="33">
        <f t="shared" si="7"/>
        <v>3.4770488360451681</v>
      </c>
      <c r="X30" s="33">
        <f t="shared" si="8"/>
        <v>-3.3043477349170964</v>
      </c>
      <c r="Y30" s="33"/>
      <c r="Z30" s="33">
        <f t="shared" si="12"/>
        <v>-8.6038226827344459</v>
      </c>
      <c r="AA30" s="33">
        <f t="shared" si="13"/>
        <v>-14.360526053670155</v>
      </c>
      <c r="AB30" s="33"/>
      <c r="AC30" s="33">
        <f t="shared" si="9"/>
        <v>9.4492261433149629</v>
      </c>
      <c r="AD30" s="33">
        <f t="shared" si="10"/>
        <v>0</v>
      </c>
      <c r="AE30" s="65"/>
      <c r="AF30" s="33"/>
      <c r="AG30" s="33"/>
    </row>
    <row r="31" spans="2:33" x14ac:dyDescent="0.35">
      <c r="B31" t="s">
        <v>89</v>
      </c>
      <c r="C31" t="s">
        <v>90</v>
      </c>
      <c r="D31" s="33">
        <f>_xlfn.XLOOKUP($C31,SEM!$B:$B,SEM!$D:$D)*Input_1_coef.</f>
        <v>10.559183045142069</v>
      </c>
      <c r="E31" s="33">
        <f>_xlfn.XLOOKUP($C31,SEM!$B:$B,SEM!$E:$E)*Input_2_coef.</f>
        <v>0.32965221411961693</v>
      </c>
      <c r="F31" s="33">
        <f t="shared" si="11"/>
        <v>1.6482610705980848E-2</v>
      </c>
      <c r="G31" s="33"/>
      <c r="H31" s="33">
        <f t="shared" si="0"/>
        <v>10.888835259261686</v>
      </c>
      <c r="I31" s="33">
        <f>IF(Input_3_coef.&gt;=0.54,(Input_1_coef.*_xlfn.XLOOKUP($C31,COMBINED!$B:$B,COMBINED!$AB:$AB)+Input_2_coef.*_xlfn.XLOOKUP($C31,COMBINED!$B:$B,COMBINED!$AC:$AC))+F31,(Input_1_coef.*_xlfn.XLOOKUP($C31,COMBINED!$B:$B,COMBINED!$AB:$AB)+Input_2_coef.*_xlfn.XLOOKUP($C31,COMBINED!$B:$B,COMBINED!$AC:$AC)))</f>
        <v>10.888835259261686</v>
      </c>
      <c r="J31" s="33">
        <f>_xlfn.XLOOKUP($C31,COMBINED!$B:$B,COMBINED!$N:$N)</f>
        <v>12.260063560882079</v>
      </c>
      <c r="K31" s="33"/>
      <c r="L31" s="33"/>
      <c r="M31" s="33"/>
      <c r="N31" s="33">
        <f t="shared" si="1"/>
        <v>6.0596368217791285</v>
      </c>
      <c r="O31" s="33"/>
      <c r="P31" s="33">
        <f t="shared" si="2"/>
        <v>4.8780076415321991</v>
      </c>
      <c r="Q31" s="33">
        <f t="shared" si="3"/>
        <v>2.4844510969294427</v>
      </c>
      <c r="R31" s="33">
        <f t="shared" si="4"/>
        <v>5.2961225822349585</v>
      </c>
      <c r="S31" s="33"/>
      <c r="T31" s="33">
        <f t="shared" si="5"/>
        <v>-2.5208089178601174</v>
      </c>
      <c r="U31" s="33"/>
      <c r="V31" s="33">
        <f t="shared" si="6"/>
        <v>-2.1905829496204419</v>
      </c>
      <c r="W31" s="33">
        <f t="shared" si="7"/>
        <v>1.5225685863875109</v>
      </c>
      <c r="X31" s="33">
        <f t="shared" si="8"/>
        <v>-1.4469443188517073</v>
      </c>
      <c r="Y31" s="33"/>
      <c r="Z31" s="33">
        <f t="shared" si="12"/>
        <v>-3.7675369997045429</v>
      </c>
      <c r="AA31" s="33">
        <f t="shared" si="13"/>
        <v>-6.2883459175646603</v>
      </c>
      <c r="AB31" s="33"/>
      <c r="AC31" s="33">
        <f t="shared" si="9"/>
        <v>4.1377316137575466</v>
      </c>
      <c r="AD31" s="33">
        <f t="shared" si="10"/>
        <v>0</v>
      </c>
      <c r="AE31" s="65"/>
      <c r="AF31" s="33"/>
      <c r="AG31" s="33"/>
    </row>
    <row r="32" spans="2:33" x14ac:dyDescent="0.35">
      <c r="B32" t="s">
        <v>91</v>
      </c>
      <c r="C32" t="s">
        <v>92</v>
      </c>
      <c r="D32" s="33">
        <f>_xlfn.XLOOKUP($C32,SEM!$B:$B,SEM!$D:$D)*Input_1_coef.</f>
        <v>5.2687277853810315</v>
      </c>
      <c r="E32" s="33">
        <f>_xlfn.XLOOKUP($C32,SEM!$B:$B,SEM!$E:$E)*Input_2_coef.</f>
        <v>1.2430699240423113</v>
      </c>
      <c r="F32" s="33">
        <f t="shared" si="11"/>
        <v>6.215349620211557E-2</v>
      </c>
      <c r="G32" s="33"/>
      <c r="H32" s="33">
        <f t="shared" si="0"/>
        <v>6.5117977094233428</v>
      </c>
      <c r="I32" s="33">
        <f>IF(Input_3_coef.&gt;=0.54,(Input_1_coef.*_xlfn.XLOOKUP($C32,COMBINED!$B:$B,COMBINED!$AB:$AB)+Input_2_coef.*_xlfn.XLOOKUP($C32,COMBINED!$B:$B,COMBINED!$AC:$AC))+F32,(Input_1_coef.*_xlfn.XLOOKUP($C32,COMBINED!$B:$B,COMBINED!$AB:$AB)+Input_2_coef.*_xlfn.XLOOKUP($C32,COMBINED!$B:$B,COMBINED!$AC:$AC)))</f>
        <v>6.5117977094233428</v>
      </c>
      <c r="J32" s="33">
        <f>_xlfn.XLOOKUP($C32,COMBINED!$B:$B,COMBINED!$N:$N)</f>
        <v>4.9017134155157125</v>
      </c>
      <c r="K32" s="33"/>
      <c r="L32" s="33"/>
      <c r="M32" s="33"/>
      <c r="N32" s="33">
        <f t="shared" si="1"/>
        <v>3.6238154252940902</v>
      </c>
      <c r="O32" s="33"/>
      <c r="P32" s="33">
        <f t="shared" si="2"/>
        <v>2.9171714173617427</v>
      </c>
      <c r="Q32" s="33">
        <f t="shared" si="3"/>
        <v>1.4857643243705769</v>
      </c>
      <c r="R32" s="33">
        <f t="shared" si="4"/>
        <v>3.1672146817070348</v>
      </c>
      <c r="S32" s="33"/>
      <c r="T32" s="33">
        <f t="shared" si="5"/>
        <v>-1.5075072169223414</v>
      </c>
      <c r="U32" s="33"/>
      <c r="V32" s="33">
        <f t="shared" si="6"/>
        <v>-1.3100237715055145</v>
      </c>
      <c r="W32" s="33">
        <f t="shared" si="7"/>
        <v>0.91053435902109414</v>
      </c>
      <c r="X32" s="33">
        <f t="shared" si="8"/>
        <v>-0.86530914251342383</v>
      </c>
      <c r="Y32" s="33"/>
      <c r="Z32" s="33">
        <f t="shared" si="12"/>
        <v>-2.2530820074604763</v>
      </c>
      <c r="AA32" s="33">
        <f t="shared" si="13"/>
        <v>-3.7605892243828176</v>
      </c>
      <c r="AB32" s="33"/>
      <c r="AC32" s="33">
        <f t="shared" si="9"/>
        <v>2.4744677096438941</v>
      </c>
      <c r="AD32" s="33">
        <f t="shared" si="10"/>
        <v>0</v>
      </c>
      <c r="AE32" s="65"/>
      <c r="AF32" s="33"/>
      <c r="AG32" s="33"/>
    </row>
    <row r="33" spans="2:33" x14ac:dyDescent="0.35">
      <c r="B33" t="s">
        <v>93</v>
      </c>
      <c r="C33" t="s">
        <v>94</v>
      </c>
      <c r="D33" s="33">
        <f>_xlfn.XLOOKUP($C33,SEM!$B:$B,SEM!$D:$D)*Input_1_coef.</f>
        <v>4.7665319688335055</v>
      </c>
      <c r="E33" s="33">
        <f>_xlfn.XLOOKUP($C33,SEM!$B:$B,SEM!$E:$E)*Input_2_coef.</f>
        <v>0.42334292467487583</v>
      </c>
      <c r="F33" s="33">
        <f t="shared" si="11"/>
        <v>2.1167146233743793E-2</v>
      </c>
      <c r="G33" s="33"/>
      <c r="H33" s="33">
        <f t="shared" si="0"/>
        <v>5.1898748935083816</v>
      </c>
      <c r="I33" s="33">
        <f>IF(Input_3_coef.&gt;=0.54,(Input_1_coef.*_xlfn.XLOOKUP($C33,COMBINED!$B:$B,COMBINED!$AB:$AB)+Input_2_coef.*_xlfn.XLOOKUP($C33,COMBINED!$B:$B,COMBINED!$AC:$AC))+F33,(Input_1_coef.*_xlfn.XLOOKUP($C33,COMBINED!$B:$B,COMBINED!$AB:$AB)+Input_2_coef.*_xlfn.XLOOKUP($C33,COMBINED!$B:$B,COMBINED!$AC:$AC)))</f>
        <v>5.1898748935083816</v>
      </c>
      <c r="J33" s="33">
        <f>_xlfn.XLOOKUP($C33,COMBINED!$B:$B,COMBINED!$N:$N)</f>
        <v>5.8244444983700179</v>
      </c>
      <c r="K33" s="33"/>
      <c r="L33" s="33"/>
      <c r="M33" s="33"/>
      <c r="N33" s="33">
        <f t="shared" si="1"/>
        <v>2.8881653782374141</v>
      </c>
      <c r="O33" s="33"/>
      <c r="P33" s="33">
        <f t="shared" si="2"/>
        <v>2.3249731294811187</v>
      </c>
      <c r="Q33" s="33">
        <f t="shared" si="3"/>
        <v>1.1841478050773397</v>
      </c>
      <c r="R33" s="33">
        <f t="shared" si="4"/>
        <v>2.5242565405795001</v>
      </c>
      <c r="S33" s="33"/>
      <c r="T33" s="33">
        <f t="shared" si="5"/>
        <v>-1.2014767973467642</v>
      </c>
      <c r="U33" s="33"/>
      <c r="V33" s="33">
        <f t="shared" si="6"/>
        <v>-1.0440833368943381</v>
      </c>
      <c r="W33" s="33">
        <f t="shared" si="7"/>
        <v>0.72569198559744552</v>
      </c>
      <c r="X33" s="33">
        <f t="shared" si="8"/>
        <v>-0.6896476816770426</v>
      </c>
      <c r="Y33" s="33"/>
      <c r="Z33" s="33">
        <f t="shared" si="12"/>
        <v>-1.7956967131538999</v>
      </c>
      <c r="AA33" s="33">
        <f t="shared" si="13"/>
        <v>-2.9971735105006641</v>
      </c>
      <c r="AB33" s="33"/>
      <c r="AC33" s="33">
        <f t="shared" si="9"/>
        <v>1.972140169909437</v>
      </c>
      <c r="AD33" s="33">
        <f t="shared" si="10"/>
        <v>0</v>
      </c>
      <c r="AE33" s="65"/>
      <c r="AF33" s="33"/>
      <c r="AG33" s="33"/>
    </row>
    <row r="34" spans="2:33" x14ac:dyDescent="0.35">
      <c r="B34" t="s">
        <v>95</v>
      </c>
      <c r="C34" t="s">
        <v>96</v>
      </c>
      <c r="D34" s="33">
        <f>_xlfn.XLOOKUP($C34,SEM!$B:$B,SEM!$D:$D)*Input_1_coef.</f>
        <v>7.7668026387912956</v>
      </c>
      <c r="E34" s="33">
        <f>_xlfn.XLOOKUP($C34,SEM!$B:$B,SEM!$E:$E)*Input_2_coef.</f>
        <v>0</v>
      </c>
      <c r="F34" s="33">
        <f t="shared" si="11"/>
        <v>0</v>
      </c>
      <c r="G34" s="33"/>
      <c r="H34" s="33">
        <f t="shared" si="0"/>
        <v>7.7668026387912956</v>
      </c>
      <c r="I34" s="33">
        <f>IF(Input_3_coef.&gt;=0.54,(Input_1_coef.*_xlfn.XLOOKUP($C34,COMBINED!$B:$B,COMBINED!$AB:$AB)+Input_2_coef.*_xlfn.XLOOKUP($C34,COMBINED!$B:$B,COMBINED!$AC:$AC))+F34,(Input_1_coef.*_xlfn.XLOOKUP($C34,COMBINED!$B:$B,COMBINED!$AB:$AB)+Input_2_coef.*_xlfn.XLOOKUP($C34,COMBINED!$B:$B,COMBINED!$AC:$AC)))</f>
        <v>7.7668026387912956</v>
      </c>
      <c r="J34" s="33">
        <f>_xlfn.XLOOKUP($C34,COMBINED!$B:$B,COMBINED!$N:$N)</f>
        <v>7.8414068897168594</v>
      </c>
      <c r="K34" s="33"/>
      <c r="L34" s="33"/>
      <c r="M34" s="33"/>
      <c r="N34" s="33">
        <f t="shared" si="1"/>
        <v>4.3222256684873557</v>
      </c>
      <c r="O34" s="33"/>
      <c r="P34" s="33">
        <f t="shared" si="2"/>
        <v>3.4793916631323216</v>
      </c>
      <c r="Q34" s="33">
        <f t="shared" si="3"/>
        <v>1.7721125240798157</v>
      </c>
      <c r="R34" s="33">
        <f t="shared" si="4"/>
        <v>3.777625234257949</v>
      </c>
      <c r="S34" s="33"/>
      <c r="T34" s="33">
        <f t="shared" si="5"/>
        <v>-1.7980458780907398</v>
      </c>
      <c r="U34" s="33"/>
      <c r="V34" s="33">
        <f t="shared" si="6"/>
        <v>-1.5625018680608529</v>
      </c>
      <c r="W34" s="33">
        <f t="shared" si="7"/>
        <v>1.0860197103668068</v>
      </c>
      <c r="X34" s="33">
        <f t="shared" si="8"/>
        <v>-1.0320783340240847</v>
      </c>
      <c r="Y34" s="33"/>
      <c r="Z34" s="33">
        <f t="shared" si="12"/>
        <v>-2.6873137130217879</v>
      </c>
      <c r="AA34" s="33">
        <f t="shared" si="13"/>
        <v>-4.4853595911125277</v>
      </c>
      <c r="AB34" s="33"/>
      <c r="AC34" s="33">
        <f t="shared" si="9"/>
        <v>2.9513666109520433</v>
      </c>
      <c r="AD34" s="33">
        <f t="shared" si="10"/>
        <v>0</v>
      </c>
      <c r="AE34" s="65"/>
      <c r="AF34" s="33"/>
      <c r="AG34" s="33"/>
    </row>
    <row r="35" spans="2:33" x14ac:dyDescent="0.35">
      <c r="B35" t="s">
        <v>97</v>
      </c>
      <c r="C35" t="s">
        <v>98</v>
      </c>
      <c r="D35" s="33">
        <f>_xlfn.XLOOKUP($C35,SEM!$B:$B,SEM!$D:$D)*Input_1_coef.</f>
        <v>16.740826742717488</v>
      </c>
      <c r="E35" s="33">
        <f>_xlfn.XLOOKUP($C35,SEM!$B:$B,SEM!$E:$E)*Input_2_coef.</f>
        <v>0.28788746912916358</v>
      </c>
      <c r="F35" s="33">
        <f t="shared" si="11"/>
        <v>1.4394373456458179E-2</v>
      </c>
      <c r="G35" s="33"/>
      <c r="H35" s="33">
        <f t="shared" si="0"/>
        <v>17.028714211846651</v>
      </c>
      <c r="I35" s="33">
        <f>IF(Input_3_coef.&gt;=0.54,(Input_1_coef.*_xlfn.XLOOKUP($C35,COMBINED!$B:$B,COMBINED!$AB:$AB)+Input_2_coef.*_xlfn.XLOOKUP($C35,COMBINED!$B:$B,COMBINED!$AC:$AC))+F35,(Input_1_coef.*_xlfn.XLOOKUP($C35,COMBINED!$B:$B,COMBINED!$AB:$AB)+Input_2_coef.*_xlfn.XLOOKUP($C35,COMBINED!$B:$B,COMBINED!$AC:$AC)))</f>
        <v>17.028714211846651</v>
      </c>
      <c r="J35" s="33">
        <f>_xlfn.XLOOKUP($C35,COMBINED!$B:$B,COMBINED!$N:$N)</f>
        <v>19.279425028621933</v>
      </c>
      <c r="K35" s="33"/>
      <c r="L35" s="33"/>
      <c r="M35" s="33"/>
      <c r="N35" s="33">
        <f t="shared" si="1"/>
        <v>9.476479458892662</v>
      </c>
      <c r="O35" s="33"/>
      <c r="P35" s="33">
        <f t="shared" si="2"/>
        <v>7.628565964408593</v>
      </c>
      <c r="Q35" s="33">
        <f t="shared" si="3"/>
        <v>3.8853565781459913</v>
      </c>
      <c r="R35" s="33">
        <f t="shared" si="4"/>
        <v>8.2824430470721868</v>
      </c>
      <c r="S35" s="33"/>
      <c r="T35" s="33">
        <f t="shared" si="5"/>
        <v>-3.9422154548993471</v>
      </c>
      <c r="U35" s="33"/>
      <c r="V35" s="33">
        <f t="shared" si="6"/>
        <v>-3.4257852303075325</v>
      </c>
      <c r="W35" s="33">
        <f t="shared" si="7"/>
        <v>2.3810981347592057</v>
      </c>
      <c r="X35" s="33">
        <f t="shared" si="8"/>
        <v>-2.2628316711122252</v>
      </c>
      <c r="Y35" s="33"/>
      <c r="Z35" s="33">
        <f t="shared" si="12"/>
        <v>-5.8919351172989405</v>
      </c>
      <c r="AA35" s="33">
        <f t="shared" si="13"/>
        <v>-9.834150572198288</v>
      </c>
      <c r="AB35" s="33"/>
      <c r="AC35" s="33">
        <f t="shared" si="9"/>
        <v>6.4708710765064739</v>
      </c>
      <c r="AD35" s="33">
        <f t="shared" si="10"/>
        <v>0</v>
      </c>
      <c r="AE35" s="65"/>
      <c r="AF35" s="33"/>
      <c r="AG35" s="33"/>
    </row>
    <row r="36" spans="2:33" x14ac:dyDescent="0.35">
      <c r="B36" t="s">
        <v>99</v>
      </c>
      <c r="C36" t="s">
        <v>100</v>
      </c>
      <c r="D36" s="33">
        <f>_xlfn.XLOOKUP($C36,SEM!$B:$B,SEM!$D:$D)*Input_1_coef.</f>
        <v>63.53264194176019</v>
      </c>
      <c r="E36" s="33">
        <f>_xlfn.XLOOKUP($C36,SEM!$B:$B,SEM!$E:$E)*Input_2_coef.</f>
        <v>5.9088926823589727</v>
      </c>
      <c r="F36" s="33">
        <f t="shared" si="11"/>
        <v>0.29544463411794863</v>
      </c>
      <c r="G36" s="33"/>
      <c r="H36" s="33">
        <f t="shared" si="0"/>
        <v>69.441534624119157</v>
      </c>
      <c r="I36" s="33">
        <f>IF(Input_3_coef.&gt;=0.54,(Input_1_coef.*_xlfn.XLOOKUP($C36,COMBINED!$B:$B,COMBINED!$AB:$AB)+Input_2_coef.*_xlfn.XLOOKUP($C36,COMBINED!$B:$B,COMBINED!$AC:$AC))+F36,(Input_1_coef.*_xlfn.XLOOKUP($C36,COMBINED!$B:$B,COMBINED!$AB:$AB)+Input_2_coef.*_xlfn.XLOOKUP($C36,COMBINED!$B:$B,COMBINED!$AC:$AC)))</f>
        <v>69.441534624119157</v>
      </c>
      <c r="J36" s="33">
        <f>_xlfn.XLOOKUP($C36,COMBINED!$B:$B,COMBINED!$N:$N)</f>
        <v>62.994990032587125</v>
      </c>
      <c r="K36" s="33"/>
      <c r="L36" s="33"/>
      <c r="M36" s="33"/>
      <c r="N36" s="33">
        <f t="shared" si="1"/>
        <v>38.644214018322316</v>
      </c>
      <c r="O36" s="33"/>
      <c r="P36" s="33">
        <f t="shared" si="2"/>
        <v>31.108592284749466</v>
      </c>
      <c r="Q36" s="33">
        <f t="shared" si="3"/>
        <v>15.844127747512148</v>
      </c>
      <c r="R36" s="33">
        <f t="shared" si="4"/>
        <v>33.775043052013707</v>
      </c>
      <c r="S36" s="33"/>
      <c r="T36" s="33">
        <f t="shared" si="5"/>
        <v>-16.075993031622083</v>
      </c>
      <c r="U36" s="33"/>
      <c r="V36" s="33">
        <f t="shared" si="6"/>
        <v>-13.970037944479591</v>
      </c>
      <c r="W36" s="33">
        <f t="shared" si="7"/>
        <v>9.7098997910997387</v>
      </c>
      <c r="X36" s="33">
        <f t="shared" si="8"/>
        <v>-9.2276200001510755</v>
      </c>
      <c r="Y36" s="33"/>
      <c r="Z36" s="33">
        <f t="shared" si="12"/>
        <v>-24.026770979945226</v>
      </c>
      <c r="AA36" s="33">
        <f t="shared" si="13"/>
        <v>-40.102764011567309</v>
      </c>
      <c r="AB36" s="33"/>
      <c r="AC36" s="33">
        <f t="shared" si="9"/>
        <v>26.387618719611289</v>
      </c>
      <c r="AD36" s="33">
        <f t="shared" si="10"/>
        <v>0</v>
      </c>
      <c r="AE36" s="65"/>
      <c r="AF36" s="33"/>
      <c r="AG36" s="33"/>
    </row>
    <row r="37" spans="2:33" x14ac:dyDescent="0.35">
      <c r="B37" t="s">
        <v>101</v>
      </c>
      <c r="C37" t="s">
        <v>102</v>
      </c>
      <c r="D37" s="33">
        <f>_xlfn.XLOOKUP($C37,SEM!$B:$B,SEM!$D:$D)*Input_1_coef.</f>
        <v>10.320733515040425</v>
      </c>
      <c r="E37" s="33">
        <f>_xlfn.XLOOKUP($C37,SEM!$B:$B,SEM!$E:$E)*Input_2_coef.</f>
        <v>0.62134667910021069</v>
      </c>
      <c r="F37" s="33">
        <f t="shared" si="11"/>
        <v>3.1067333955010535E-2</v>
      </c>
      <c r="G37" s="33"/>
      <c r="H37" s="33">
        <f t="shared" si="0"/>
        <v>10.942080194140637</v>
      </c>
      <c r="I37" s="33">
        <f>IF(Input_3_coef.&gt;=0.54,(Input_1_coef.*_xlfn.XLOOKUP($C37,COMBINED!$B:$B,COMBINED!$AB:$AB)+Input_2_coef.*_xlfn.XLOOKUP($C37,COMBINED!$B:$B,COMBINED!$AC:$AC))+F37,(Input_1_coef.*_xlfn.XLOOKUP($C37,COMBINED!$B:$B,COMBINED!$AB:$AB)+Input_2_coef.*_xlfn.XLOOKUP($C37,COMBINED!$B:$B,COMBINED!$AC:$AC)))</f>
        <v>10.942080194140637</v>
      </c>
      <c r="J37" s="33">
        <f>_xlfn.XLOOKUP($C37,COMBINED!$B:$B,COMBINED!$N:$N)</f>
        <v>11.621630229660148</v>
      </c>
      <c r="K37" s="33"/>
      <c r="L37" s="33"/>
      <c r="M37" s="33"/>
      <c r="N37" s="33">
        <f t="shared" si="1"/>
        <v>6.0892676280392646</v>
      </c>
      <c r="O37" s="33"/>
      <c r="P37" s="33">
        <f t="shared" si="2"/>
        <v>4.9018604405716086</v>
      </c>
      <c r="Q37" s="33">
        <f t="shared" si="3"/>
        <v>2.4965997274960983</v>
      </c>
      <c r="R37" s="33">
        <f t="shared" si="4"/>
        <v>5.3220199069063172</v>
      </c>
      <c r="S37" s="33"/>
      <c r="T37" s="33">
        <f t="shared" si="5"/>
        <v>-2.533135333264334</v>
      </c>
      <c r="U37" s="33"/>
      <c r="V37" s="33">
        <f t="shared" si="6"/>
        <v>-2.2012946046067063</v>
      </c>
      <c r="W37" s="33">
        <f t="shared" si="7"/>
        <v>1.5300137412916577</v>
      </c>
      <c r="X37" s="33">
        <f t="shared" si="8"/>
        <v>-1.4540196812937276</v>
      </c>
      <c r="Y37" s="33"/>
      <c r="Z37" s="33">
        <f t="shared" si="12"/>
        <v>-3.7859597471726598</v>
      </c>
      <c r="AA37" s="33">
        <f t="shared" si="13"/>
        <v>-6.3190950804369939</v>
      </c>
      <c r="AB37" s="33"/>
      <c r="AC37" s="33">
        <f t="shared" si="9"/>
        <v>4.1579645629275426</v>
      </c>
      <c r="AD37" s="33">
        <f t="shared" si="10"/>
        <v>0</v>
      </c>
      <c r="AE37" s="65"/>
      <c r="AF37" s="33"/>
      <c r="AG37" s="33"/>
    </row>
    <row r="38" spans="2:33" x14ac:dyDescent="0.35">
      <c r="B38" t="s">
        <v>103</v>
      </c>
      <c r="C38" t="s">
        <v>104</v>
      </c>
      <c r="D38" s="33">
        <f>_xlfn.XLOOKUP($C38,SEM!$B:$B,SEM!$D:$D)*Input_1_coef.</f>
        <v>59.029534748406725</v>
      </c>
      <c r="E38" s="33">
        <f>_xlfn.XLOOKUP($C38,SEM!$B:$B,SEM!$E:$E)*Input_2_coef.</f>
        <v>4.4579120243372774</v>
      </c>
      <c r="F38" s="33">
        <f t="shared" si="11"/>
        <v>0.22289560121686389</v>
      </c>
      <c r="G38" s="33"/>
      <c r="H38" s="33">
        <f t="shared" si="0"/>
        <v>63.487446772744001</v>
      </c>
      <c r="I38" s="33">
        <f>IF(Input_3_coef.&gt;=0.54,(Input_1_coef.*_xlfn.XLOOKUP($C38,COMBINED!$B:$B,COMBINED!$AB:$AB)+Input_2_coef.*_xlfn.XLOOKUP($C38,COMBINED!$B:$B,COMBINED!$AC:$AC))+F38,(Input_1_coef.*_xlfn.XLOOKUP($C38,COMBINED!$B:$B,COMBINED!$AB:$AB)+Input_2_coef.*_xlfn.XLOOKUP($C38,COMBINED!$B:$B,COMBINED!$AC:$AC)))</f>
        <v>63.487446772744001</v>
      </c>
      <c r="J38" s="33">
        <f>_xlfn.XLOOKUP($C38,COMBINED!$B:$B,COMBINED!$N:$N)</f>
        <v>71.639699652713645</v>
      </c>
      <c r="K38" s="33"/>
      <c r="L38" s="33"/>
      <c r="M38" s="33"/>
      <c r="N38" s="33">
        <f t="shared" si="1"/>
        <v>35.33076412903204</v>
      </c>
      <c r="O38" s="33"/>
      <c r="P38" s="33">
        <f t="shared" si="2"/>
        <v>28.441265123870796</v>
      </c>
      <c r="Q38" s="33">
        <f t="shared" si="3"/>
        <v>14.485613292903135</v>
      </c>
      <c r="R38" s="33">
        <f t="shared" si="4"/>
        <v>30.879087848774002</v>
      </c>
      <c r="S38" s="33"/>
      <c r="T38" s="33">
        <f t="shared" si="5"/>
        <v>-14.697597877677328</v>
      </c>
      <c r="U38" s="33"/>
      <c r="V38" s="33">
        <f t="shared" si="6"/>
        <v>-12.772212555701598</v>
      </c>
      <c r="W38" s="33">
        <f t="shared" si="7"/>
        <v>8.877349118117106</v>
      </c>
      <c r="X38" s="33">
        <f t="shared" si="8"/>
        <v>-8.4364211817867858</v>
      </c>
      <c r="Y38" s="33"/>
      <c r="Z38" s="33">
        <f t="shared" si="12"/>
        <v>-21.966656583369424</v>
      </c>
      <c r="AA38" s="33">
        <f t="shared" si="13"/>
        <v>-36.664254461046752</v>
      </c>
      <c r="AB38" s="33"/>
      <c r="AC38" s="33">
        <f t="shared" si="9"/>
        <v>24.125079435368765</v>
      </c>
      <c r="AD38" s="33">
        <f t="shared" si="10"/>
        <v>0</v>
      </c>
      <c r="AE38" s="65"/>
      <c r="AF38" s="33"/>
      <c r="AG38" s="33"/>
    </row>
    <row r="39" spans="2:33" x14ac:dyDescent="0.35">
      <c r="B39" t="s">
        <v>105</v>
      </c>
      <c r="C39" t="s">
        <v>106</v>
      </c>
      <c r="D39" s="33">
        <f>_xlfn.XLOOKUP($C39,SEM!$B:$B,SEM!$D:$D)*Input_1_coef.</f>
        <v>3.8897059785200971</v>
      </c>
      <c r="E39" s="33">
        <f>_xlfn.XLOOKUP($C39,SEM!$B:$B,SEM!$E:$E)*Input_2_coef.</f>
        <v>0.32338203824470568</v>
      </c>
      <c r="F39" s="33">
        <f t="shared" si="11"/>
        <v>1.6169101912235286E-2</v>
      </c>
      <c r="G39" s="33"/>
      <c r="H39" s="33">
        <f t="shared" si="0"/>
        <v>4.2130880167648028</v>
      </c>
      <c r="I39" s="33">
        <f>IF(Input_3_coef.&gt;=0.54,(Input_1_coef.*_xlfn.XLOOKUP($C39,COMBINED!$B:$B,COMBINED!$AB:$AB)+Input_2_coef.*_xlfn.XLOOKUP($C39,COMBINED!$B:$B,COMBINED!$AC:$AC))+F39,(Input_1_coef.*_xlfn.XLOOKUP($C39,COMBINED!$B:$B,COMBINED!$AB:$AB)+Input_2_coef.*_xlfn.XLOOKUP($C39,COMBINED!$B:$B,COMBINED!$AC:$AC)))</f>
        <v>4.2130880167648028</v>
      </c>
      <c r="J39" s="33">
        <f>_xlfn.XLOOKUP($C39,COMBINED!$B:$B,COMBINED!$N:$N)</f>
        <v>4.8617779424766576</v>
      </c>
      <c r="K39" s="33"/>
      <c r="L39" s="33"/>
      <c r="M39" s="33"/>
      <c r="N39" s="33">
        <f t="shared" si="1"/>
        <v>2.3445834813296131</v>
      </c>
      <c r="O39" s="33"/>
      <c r="P39" s="33">
        <f t="shared" si="2"/>
        <v>1.8873897024703388</v>
      </c>
      <c r="Q39" s="33">
        <f t="shared" si="3"/>
        <v>0.96127922734514137</v>
      </c>
      <c r="R39" s="33">
        <f t="shared" si="4"/>
        <v>2.049165962682082</v>
      </c>
      <c r="S39" s="33"/>
      <c r="T39" s="33">
        <f t="shared" si="5"/>
        <v>-0.97534672823311908</v>
      </c>
      <c r="U39" s="33"/>
      <c r="V39" s="33">
        <f t="shared" si="6"/>
        <v>-0.84757630683458052</v>
      </c>
      <c r="W39" s="33">
        <f t="shared" si="7"/>
        <v>0.58910942385280385</v>
      </c>
      <c r="X39" s="33">
        <f t="shared" si="8"/>
        <v>-0.55984902200581033</v>
      </c>
      <c r="Y39" s="33"/>
      <c r="Z39" s="33">
        <f t="shared" si="12"/>
        <v>-1.4577284538006217</v>
      </c>
      <c r="AA39" s="33">
        <f t="shared" si="13"/>
        <v>-2.4330751820337406</v>
      </c>
      <c r="AB39" s="33"/>
      <c r="AC39" s="33">
        <f t="shared" si="9"/>
        <v>1.6009634697782014</v>
      </c>
      <c r="AD39" s="33">
        <f t="shared" si="10"/>
        <v>0</v>
      </c>
      <c r="AE39" s="65"/>
      <c r="AF39" s="33"/>
      <c r="AG39" s="33"/>
    </row>
    <row r="40" spans="2:33" x14ac:dyDescent="0.35">
      <c r="B40" t="s">
        <v>107</v>
      </c>
      <c r="C40" t="s">
        <v>108</v>
      </c>
      <c r="D40" s="33">
        <f>_xlfn.XLOOKUP($C40,SEM!$B:$B,SEM!$D:$D)*Input_1_coef.</f>
        <v>22.481242798434984</v>
      </c>
      <c r="E40" s="33">
        <f>_xlfn.XLOOKUP($C40,SEM!$B:$B,SEM!$E:$E)*Input_2_coef.</f>
        <v>1.0598784204666976</v>
      </c>
      <c r="F40" s="33">
        <f t="shared" si="11"/>
        <v>5.2993921023334882E-2</v>
      </c>
      <c r="G40" s="33"/>
      <c r="H40" s="33">
        <f t="shared" si="0"/>
        <v>23.541121218901683</v>
      </c>
      <c r="I40" s="33">
        <f>IF(Input_3_coef.&gt;=0.54,(Input_1_coef.*_xlfn.XLOOKUP($C40,COMBINED!$B:$B,COMBINED!$AB:$AB)+Input_2_coef.*_xlfn.XLOOKUP($C40,COMBINED!$B:$B,COMBINED!$AC:$AC))+F40,(Input_1_coef.*_xlfn.XLOOKUP($C40,COMBINED!$B:$B,COMBINED!$AB:$AB)+Input_2_coef.*_xlfn.XLOOKUP($C40,COMBINED!$B:$B,COMBINED!$AC:$AC)))</f>
        <v>23.541121218901683</v>
      </c>
      <c r="J40" s="33">
        <f>_xlfn.XLOOKUP($C40,COMBINED!$B:$B,COMBINED!$N:$N)</f>
        <v>24.888560029957361</v>
      </c>
      <c r="K40" s="33"/>
      <c r="L40" s="33"/>
      <c r="M40" s="33"/>
      <c r="N40" s="33">
        <f t="shared" si="1"/>
        <v>13.100633958318786</v>
      </c>
      <c r="O40" s="33"/>
      <c r="P40" s="33">
        <f t="shared" si="2"/>
        <v>10.546010336446624</v>
      </c>
      <c r="Q40" s="33">
        <f t="shared" si="3"/>
        <v>5.3712599229107019</v>
      </c>
      <c r="R40" s="33">
        <f t="shared" si="4"/>
        <v>11.449954079570619</v>
      </c>
      <c r="S40" s="33"/>
      <c r="T40" s="33">
        <f t="shared" si="5"/>
        <v>-5.4498637266606149</v>
      </c>
      <c r="U40" s="33"/>
      <c r="V40" s="33">
        <f t="shared" si="6"/>
        <v>-4.7359315784680742</v>
      </c>
      <c r="W40" s="33">
        <f t="shared" si="7"/>
        <v>3.2917176909030115</v>
      </c>
      <c r="X40" s="33">
        <f t="shared" si="8"/>
        <v>-3.1282217791031925</v>
      </c>
      <c r="Y40" s="33"/>
      <c r="Z40" s="33">
        <f t="shared" si="12"/>
        <v>-8.1452279417399822</v>
      </c>
      <c r="AA40" s="33">
        <f t="shared" si="13"/>
        <v>-13.595091668400597</v>
      </c>
      <c r="AB40" s="33"/>
      <c r="AC40" s="33">
        <f t="shared" si="9"/>
        <v>8.9455703178075936</v>
      </c>
      <c r="AD40" s="33">
        <f t="shared" si="10"/>
        <v>0</v>
      </c>
      <c r="AE40" s="65"/>
      <c r="AF40" s="33"/>
      <c r="AG40" s="33"/>
    </row>
    <row r="41" spans="2:33" x14ac:dyDescent="0.35">
      <c r="B41" t="s">
        <v>109</v>
      </c>
      <c r="C41" t="s">
        <v>110</v>
      </c>
      <c r="D41" s="33">
        <f>_xlfn.XLOOKUP($C41,SEM!$B:$B,SEM!$D:$D)*Input_1_coef.</f>
        <v>10.833575634863104</v>
      </c>
      <c r="E41" s="33">
        <f>_xlfn.XLOOKUP($C41,SEM!$B:$B,SEM!$E:$E)*Input_2_coef.</f>
        <v>0.41191155778111349</v>
      </c>
      <c r="F41" s="33">
        <f t="shared" si="11"/>
        <v>2.0595577889055677E-2</v>
      </c>
      <c r="G41" s="33"/>
      <c r="H41" s="33">
        <f t="shared" si="0"/>
        <v>11.245487192644218</v>
      </c>
      <c r="I41" s="33">
        <f>IF(Input_3_coef.&gt;=0.54,(Input_1_coef.*_xlfn.XLOOKUP($C41,COMBINED!$B:$B,COMBINED!$AB:$AB)+Input_2_coef.*_xlfn.XLOOKUP($C41,COMBINED!$B:$B,COMBINED!$AC:$AC))+F41,(Input_1_coef.*_xlfn.XLOOKUP($C41,COMBINED!$B:$B,COMBINED!$AB:$AB)+Input_2_coef.*_xlfn.XLOOKUP($C41,COMBINED!$B:$B,COMBINED!$AC:$AC)))</f>
        <v>11.245487192644218</v>
      </c>
      <c r="J41" s="33">
        <f>_xlfn.XLOOKUP($C41,COMBINED!$B:$B,COMBINED!$N:$N)</f>
        <v>13.318972073535434</v>
      </c>
      <c r="K41" s="33"/>
      <c r="L41" s="33"/>
      <c r="M41" s="33"/>
      <c r="N41" s="33">
        <f t="shared" si="1"/>
        <v>6.2581136227065075</v>
      </c>
      <c r="O41" s="33"/>
      <c r="P41" s="33">
        <f t="shared" si="2"/>
        <v>5.037781466278739</v>
      </c>
      <c r="Q41" s="33">
        <f t="shared" si="3"/>
        <v>2.5658265853096678</v>
      </c>
      <c r="R41" s="33">
        <f t="shared" si="4"/>
        <v>5.4695913062454879</v>
      </c>
      <c r="S41" s="33"/>
      <c r="T41" s="33">
        <f t="shared" si="5"/>
        <v>-2.6033752670459069</v>
      </c>
      <c r="U41" s="33"/>
      <c r="V41" s="33">
        <f t="shared" si="6"/>
        <v>-2.2623331070628931</v>
      </c>
      <c r="W41" s="33">
        <f t="shared" si="7"/>
        <v>1.5724386612957277</v>
      </c>
      <c r="X41" s="33">
        <f t="shared" si="8"/>
        <v>-1.4943374032843504</v>
      </c>
      <c r="Y41" s="33"/>
      <c r="Z41" s="33">
        <f t="shared" si="12"/>
        <v>-3.890938568654899</v>
      </c>
      <c r="AA41" s="33">
        <f t="shared" si="13"/>
        <v>-6.4943138357008063</v>
      </c>
      <c r="AB41" s="33"/>
      <c r="AC41" s="33">
        <f t="shared" si="9"/>
        <v>4.2732585038911308</v>
      </c>
      <c r="AD41" s="33">
        <f t="shared" si="10"/>
        <v>0</v>
      </c>
      <c r="AE41" s="65"/>
      <c r="AF41" s="33"/>
      <c r="AG41" s="33"/>
    </row>
    <row r="42" spans="2:33" x14ac:dyDescent="0.35">
      <c r="B42" t="s">
        <v>111</v>
      </c>
      <c r="C42" t="s">
        <v>112</v>
      </c>
      <c r="D42" s="33">
        <f>_xlfn.XLOOKUP($C42,SEM!$B:$B,SEM!$D:$D)*Input_1_coef.</f>
        <v>29.345646634242584</v>
      </c>
      <c r="E42" s="33">
        <f>_xlfn.XLOOKUP($C42,SEM!$B:$B,SEM!$E:$E)*Input_2_coef.</f>
        <v>0</v>
      </c>
      <c r="F42" s="33">
        <f t="shared" si="11"/>
        <v>0</v>
      </c>
      <c r="G42" s="33"/>
      <c r="H42" s="33">
        <f t="shared" si="0"/>
        <v>29.345646634242584</v>
      </c>
      <c r="I42" s="33">
        <f>IF(Input_3_coef.&gt;=0.54,(Input_1_coef.*_xlfn.XLOOKUP($C42,COMBINED!$B:$B,COMBINED!$AB:$AB)+Input_2_coef.*_xlfn.XLOOKUP($C42,COMBINED!$B:$B,COMBINED!$AC:$AC))+F42,(Input_1_coef.*_xlfn.XLOOKUP($C42,COMBINED!$B:$B,COMBINED!$AB:$AB)+Input_2_coef.*_xlfn.XLOOKUP($C42,COMBINED!$B:$B,COMBINED!$AC:$AC)))</f>
        <v>29.345646634242584</v>
      </c>
      <c r="J42" s="33">
        <f>_xlfn.XLOOKUP($C42,COMBINED!$B:$B,COMBINED!$N:$N)</f>
        <v>33.773887271035449</v>
      </c>
      <c r="K42" s="33"/>
      <c r="L42" s="33"/>
      <c r="M42" s="33"/>
      <c r="N42" s="33">
        <f t="shared" si="1"/>
        <v>16.330852351955997</v>
      </c>
      <c r="O42" s="33"/>
      <c r="P42" s="33">
        <f t="shared" si="2"/>
        <v>13.146336143324579</v>
      </c>
      <c r="Q42" s="33">
        <f t="shared" si="3"/>
        <v>6.6956494643019582</v>
      </c>
      <c r="R42" s="33">
        <f t="shared" si="4"/>
        <v>14.273164955609541</v>
      </c>
      <c r="S42" s="33"/>
      <c r="T42" s="33">
        <f t="shared" si="5"/>
        <v>-6.7936345784136947</v>
      </c>
      <c r="U42" s="33"/>
      <c r="V42" s="33">
        <f t="shared" si="6"/>
        <v>-5.9036684486415005</v>
      </c>
      <c r="W42" s="33">
        <f t="shared" si="7"/>
        <v>4.1033552853618716</v>
      </c>
      <c r="X42" s="33">
        <f t="shared" si="8"/>
        <v>-3.8995462480094605</v>
      </c>
      <c r="Y42" s="33"/>
      <c r="Z42" s="33">
        <f t="shared" si="12"/>
        <v>-10.153593735447933</v>
      </c>
      <c r="AA42" s="33">
        <f t="shared" si="13"/>
        <v>-16.947228313861629</v>
      </c>
      <c r="AB42" s="33"/>
      <c r="AC42" s="33">
        <f t="shared" si="9"/>
        <v>11.151276230520953</v>
      </c>
      <c r="AD42" s="33">
        <f t="shared" si="10"/>
        <v>0</v>
      </c>
      <c r="AE42" s="65"/>
      <c r="AF42" s="33"/>
      <c r="AG42" s="33"/>
    </row>
    <row r="43" spans="2:33" x14ac:dyDescent="0.35">
      <c r="B43" t="s">
        <v>113</v>
      </c>
      <c r="C43" t="s">
        <v>114</v>
      </c>
      <c r="D43" s="33">
        <f>_xlfn.XLOOKUP($C43,SEM!$B:$B,SEM!$D:$D)*Input_1_coef.</f>
        <v>5.4460846921479318</v>
      </c>
      <c r="E43" s="33">
        <f>_xlfn.XLOOKUP($C43,SEM!$B:$B,SEM!$E:$E)*Input_2_coef.</f>
        <v>0.86876125339924437</v>
      </c>
      <c r="F43" s="33">
        <f t="shared" si="11"/>
        <v>4.3438062669962224E-2</v>
      </c>
      <c r="G43" s="33"/>
      <c r="H43" s="33">
        <f t="shared" si="0"/>
        <v>6.3148459455471766</v>
      </c>
      <c r="I43" s="33">
        <f>IF(Input_3_coef.&gt;=0.54,(Input_1_coef.*_xlfn.XLOOKUP($C43,COMBINED!$B:$B,COMBINED!$AB:$AB)+Input_2_coef.*_xlfn.XLOOKUP($C43,COMBINED!$B:$B,COMBINED!$AC:$AC))+F43,(Input_1_coef.*_xlfn.XLOOKUP($C43,COMBINED!$B:$B,COMBINED!$AB:$AB)+Input_2_coef.*_xlfn.XLOOKUP($C43,COMBINED!$B:$B,COMBINED!$AC:$AC)))</f>
        <v>6.3148459455471766</v>
      </c>
      <c r="J43" s="33">
        <f>_xlfn.XLOOKUP($C43,COMBINED!$B:$B,COMBINED!$N:$N)</f>
        <v>5.7764937935672656</v>
      </c>
      <c r="K43" s="33"/>
      <c r="L43" s="33"/>
      <c r="M43" s="33"/>
      <c r="N43" s="33">
        <f t="shared" si="1"/>
        <v>3.5142117686970042</v>
      </c>
      <c r="O43" s="33"/>
      <c r="P43" s="33">
        <f t="shared" si="2"/>
        <v>2.8289404738010884</v>
      </c>
      <c r="Q43" s="33">
        <f t="shared" si="3"/>
        <v>1.4408268251657717</v>
      </c>
      <c r="R43" s="33">
        <f t="shared" si="4"/>
        <v>3.0714210858411817</v>
      </c>
      <c r="S43" s="33"/>
      <c r="T43" s="33">
        <f t="shared" si="5"/>
        <v>-1.4619120957779537</v>
      </c>
      <c r="U43" s="33"/>
      <c r="V43" s="33">
        <f t="shared" si="6"/>
        <v>-1.2704016112310417</v>
      </c>
      <c r="W43" s="33">
        <f t="shared" si="7"/>
        <v>0.88299490584988394</v>
      </c>
      <c r="X43" s="33">
        <f t="shared" si="8"/>
        <v>-0.8391375429765453</v>
      </c>
      <c r="Y43" s="33"/>
      <c r="Z43" s="33">
        <f t="shared" si="12"/>
        <v>-2.1849366971593231</v>
      </c>
      <c r="AA43" s="33">
        <f t="shared" si="13"/>
        <v>-3.646848792937277</v>
      </c>
      <c r="AB43" s="33"/>
      <c r="AC43" s="33">
        <f t="shared" si="9"/>
        <v>2.3996265057527282</v>
      </c>
      <c r="AD43" s="33">
        <f t="shared" si="10"/>
        <v>0</v>
      </c>
      <c r="AE43" s="65"/>
      <c r="AF43" s="33"/>
      <c r="AG43" s="33"/>
    </row>
    <row r="44" spans="2:33" x14ac:dyDescent="0.35">
      <c r="B44" t="s">
        <v>115</v>
      </c>
      <c r="C44" t="s">
        <v>116</v>
      </c>
      <c r="D44" s="33">
        <f>_xlfn.XLOOKUP($C44,SEM!$B:$B,SEM!$D:$D)*Input_1_coef.</f>
        <v>219.18214872087441</v>
      </c>
      <c r="E44" s="33">
        <f>_xlfn.XLOOKUP($C44,SEM!$B:$B,SEM!$E:$E)*Input_2_coef.</f>
        <v>6.357457562655136</v>
      </c>
      <c r="F44" s="33">
        <f t="shared" si="11"/>
        <v>0.31787287813275683</v>
      </c>
      <c r="G44" s="33"/>
      <c r="H44" s="33">
        <f t="shared" si="0"/>
        <v>225.53960628352954</v>
      </c>
      <c r="I44" s="33">
        <f>IF(Input_3_coef.&gt;=0.54,(Input_1_coef.*_xlfn.XLOOKUP($C44,COMBINED!$B:$B,COMBINED!$AB:$AB)+Input_2_coef.*_xlfn.XLOOKUP($C44,COMBINED!$B:$B,COMBINED!$AC:$AC))+F44,(Input_1_coef.*_xlfn.XLOOKUP($C44,COMBINED!$B:$B,COMBINED!$AB:$AB)+Input_2_coef.*_xlfn.XLOOKUP($C44,COMBINED!$B:$B,COMBINED!$AC:$AC)))</f>
        <v>225.53960628352954</v>
      </c>
      <c r="J44" s="33">
        <f>_xlfn.XLOOKUP($C44,COMBINED!$B:$B,COMBINED!$N:$N)</f>
        <v>189.56681880054444</v>
      </c>
      <c r="K44" s="33"/>
      <c r="L44" s="33"/>
      <c r="M44" s="33"/>
      <c r="N44" s="33">
        <f t="shared" si="1"/>
        <v>125.5127908967842</v>
      </c>
      <c r="O44" s="33"/>
      <c r="P44" s="33">
        <f t="shared" si="2"/>
        <v>101.03779667191128</v>
      </c>
      <c r="Q44" s="33">
        <f t="shared" si="3"/>
        <v>51.460244267681517</v>
      </c>
      <c r="R44" s="33">
        <f t="shared" si="4"/>
        <v>109.69817924378938</v>
      </c>
      <c r="S44" s="33"/>
      <c r="T44" s="33">
        <f t="shared" si="5"/>
        <v>-52.21332101306222</v>
      </c>
      <c r="U44" s="33"/>
      <c r="V44" s="33">
        <f t="shared" si="6"/>
        <v>-45.373375960351069</v>
      </c>
      <c r="W44" s="33">
        <f t="shared" si="7"/>
        <v>31.53684589188958</v>
      </c>
      <c r="X44" s="33">
        <f t="shared" si="8"/>
        <v>-29.970446261497713</v>
      </c>
      <c r="Y44" s="33"/>
      <c r="Z44" s="33">
        <f t="shared" si="12"/>
        <v>-78.036703774101213</v>
      </c>
      <c r="AA44" s="33">
        <f t="shared" si="13"/>
        <v>-130.25002478716343</v>
      </c>
      <c r="AB44" s="33"/>
      <c r="AC44" s="33">
        <f t="shared" si="9"/>
        <v>85.704516309953533</v>
      </c>
      <c r="AD44" s="33">
        <f t="shared" si="10"/>
        <v>0</v>
      </c>
      <c r="AE44" s="65"/>
      <c r="AF44" s="33"/>
      <c r="AG44" s="33"/>
    </row>
    <row r="45" spans="2:33" x14ac:dyDescent="0.35">
      <c r="B45" t="s">
        <v>117</v>
      </c>
      <c r="C45" t="s">
        <v>118</v>
      </c>
      <c r="D45" s="33">
        <f>_xlfn.XLOOKUP($C45,SEM!$B:$B,SEM!$D:$D)*Input_1_coef.</f>
        <v>10.815036800188663</v>
      </c>
      <c r="E45" s="33">
        <f>_xlfn.XLOOKUP($C45,SEM!$B:$B,SEM!$E:$E)*Input_2_coef.</f>
        <v>3.1316873134784635</v>
      </c>
      <c r="F45" s="33">
        <f t="shared" si="11"/>
        <v>0.1565843656739232</v>
      </c>
      <c r="G45" s="33"/>
      <c r="H45" s="33">
        <f t="shared" si="0"/>
        <v>13.946724113667127</v>
      </c>
      <c r="I45" s="33">
        <f>IF(Input_3_coef.&gt;=0.54,(Input_1_coef.*_xlfn.XLOOKUP($C45,COMBINED!$B:$B,COMBINED!$AB:$AB)+Input_2_coef.*_xlfn.XLOOKUP($C45,COMBINED!$B:$B,COMBINED!$AC:$AC))+F45,(Input_1_coef.*_xlfn.XLOOKUP($C45,COMBINED!$B:$B,COMBINED!$AB:$AB)+Input_2_coef.*_xlfn.XLOOKUP($C45,COMBINED!$B:$B,COMBINED!$AC:$AC)))</f>
        <v>13.946724113667127</v>
      </c>
      <c r="J45" s="33">
        <f>_xlfn.XLOOKUP($C45,COMBINED!$B:$B,COMBINED!$N:$N)</f>
        <v>13.142966677415535</v>
      </c>
      <c r="K45" s="33"/>
      <c r="L45" s="33"/>
      <c r="M45" s="33"/>
      <c r="N45" s="33">
        <f t="shared" si="1"/>
        <v>7.761351969255756</v>
      </c>
      <c r="O45" s="33"/>
      <c r="P45" s="33">
        <f t="shared" si="2"/>
        <v>6.2478883352508836</v>
      </c>
      <c r="Q45" s="33">
        <f t="shared" si="3"/>
        <v>3.1821543073948599</v>
      </c>
      <c r="R45" s="33">
        <f t="shared" si="4"/>
        <v>6.7834216211295306</v>
      </c>
      <c r="S45" s="33"/>
      <c r="T45" s="33">
        <f t="shared" si="5"/>
        <v>-3.2287224192103943</v>
      </c>
      <c r="U45" s="33"/>
      <c r="V45" s="33">
        <f t="shared" si="6"/>
        <v>-2.8057597822938325</v>
      </c>
      <c r="W45" s="33">
        <f t="shared" si="7"/>
        <v>1.950148341203078</v>
      </c>
      <c r="X45" s="33">
        <f t="shared" si="8"/>
        <v>-1.8532866686267662</v>
      </c>
      <c r="Y45" s="33"/>
      <c r="Z45" s="33">
        <f t="shared" si="12"/>
        <v>-4.8255665433288257</v>
      </c>
      <c r="AA45" s="33">
        <f t="shared" si="13"/>
        <v>-8.0542889625392196</v>
      </c>
      <c r="AB45" s="33"/>
      <c r="AC45" s="33">
        <f t="shared" si="9"/>
        <v>5.2997221373508063</v>
      </c>
      <c r="AD45" s="33">
        <f t="shared" si="10"/>
        <v>0</v>
      </c>
      <c r="AE45" s="65"/>
      <c r="AF45" s="33"/>
      <c r="AG45" s="33"/>
    </row>
    <row r="46" spans="2:33" x14ac:dyDescent="0.35">
      <c r="B46" t="s">
        <v>119</v>
      </c>
      <c r="C46" t="s">
        <v>120</v>
      </c>
      <c r="D46" s="33">
        <f>_xlfn.XLOOKUP($C46,SEM!$B:$B,SEM!$D:$D)*Input_1_coef.</f>
        <v>62.750353289715719</v>
      </c>
      <c r="E46" s="33">
        <f>_xlfn.XLOOKUP($C46,SEM!$B:$B,SEM!$E:$E)*Input_2_coef.</f>
        <v>1.3002352579860774</v>
      </c>
      <c r="F46" s="33">
        <f t="shared" si="11"/>
        <v>6.5011762899303868E-2</v>
      </c>
      <c r="G46" s="33"/>
      <c r="H46" s="33">
        <f t="shared" si="0"/>
        <v>64.050588547701793</v>
      </c>
      <c r="I46" s="33">
        <f>IF(Input_3_coef.&gt;=0.54,(Input_1_coef.*_xlfn.XLOOKUP($C46,COMBINED!$B:$B,COMBINED!$AB:$AB)+Input_2_coef.*_xlfn.XLOOKUP($C46,COMBINED!$B:$B,COMBINED!$AC:$AC))+F46,(Input_1_coef.*_xlfn.XLOOKUP($C46,COMBINED!$B:$B,COMBINED!$AB:$AB)+Input_2_coef.*_xlfn.XLOOKUP($C46,COMBINED!$B:$B,COMBINED!$AC:$AC)))</f>
        <v>64.050588547701793</v>
      </c>
      <c r="J46" s="33">
        <f>_xlfn.XLOOKUP($C46,COMBINED!$B:$B,COMBINED!$N:$N)</f>
        <v>76.068102854266968</v>
      </c>
      <c r="K46" s="33"/>
      <c r="L46" s="33"/>
      <c r="M46" s="33"/>
      <c r="N46" s="33">
        <f t="shared" si="1"/>
        <v>35.644152526796049</v>
      </c>
      <c r="O46" s="33"/>
      <c r="P46" s="33">
        <f t="shared" si="2"/>
        <v>28.693542784070821</v>
      </c>
      <c r="Q46" s="33">
        <f t="shared" si="3"/>
        <v>14.61410253598638</v>
      </c>
      <c r="R46" s="33">
        <f t="shared" si="4"/>
        <v>31.152989308419748</v>
      </c>
      <c r="S46" s="33"/>
      <c r="T46" s="33">
        <f t="shared" si="5"/>
        <v>-14.827967451147156</v>
      </c>
      <c r="U46" s="33"/>
      <c r="V46" s="33">
        <f t="shared" si="6"/>
        <v>-12.885503715046879</v>
      </c>
      <c r="W46" s="33">
        <f t="shared" si="7"/>
        <v>8.9560923404928818</v>
      </c>
      <c r="X46" s="33">
        <f t="shared" si="8"/>
        <v>-8.5112533169584665</v>
      </c>
      <c r="Y46" s="33"/>
      <c r="Z46" s="33">
        <f t="shared" si="12"/>
        <v>-22.161503637504818</v>
      </c>
      <c r="AA46" s="33">
        <f t="shared" si="13"/>
        <v>-36.989471088651975</v>
      </c>
      <c r="AB46" s="33"/>
      <c r="AC46" s="33">
        <f t="shared" si="9"/>
        <v>24.339071976332999</v>
      </c>
      <c r="AD46" s="33">
        <f t="shared" si="10"/>
        <v>0</v>
      </c>
      <c r="AE46" s="65"/>
      <c r="AF46" s="33"/>
      <c r="AG46" s="33"/>
    </row>
    <row r="47" spans="2:33" x14ac:dyDescent="0.35">
      <c r="B47" t="s">
        <v>121</v>
      </c>
      <c r="C47" t="s">
        <v>122</v>
      </c>
      <c r="D47" s="33">
        <f>_xlfn.XLOOKUP($C47,SEM!$B:$B,SEM!$D:$D)*Input_1_coef.</f>
        <v>6.1447963874933214</v>
      </c>
      <c r="E47" s="33">
        <f>_xlfn.XLOOKUP($C47,SEM!$B:$B,SEM!$E:$E)*Input_2_coef.</f>
        <v>0.65291739112774394</v>
      </c>
      <c r="F47" s="33">
        <f t="shared" si="11"/>
        <v>3.2645869556387201E-2</v>
      </c>
      <c r="G47" s="33"/>
      <c r="H47" s="33">
        <f t="shared" si="0"/>
        <v>6.7977137786210653</v>
      </c>
      <c r="I47" s="33">
        <f>IF(Input_3_coef.&gt;=0.54,(Input_1_coef.*_xlfn.XLOOKUP($C47,COMBINED!$B:$B,COMBINED!$AB:$AB)+Input_2_coef.*_xlfn.XLOOKUP($C47,COMBINED!$B:$B,COMBINED!$AC:$AC))+F47,(Input_1_coef.*_xlfn.XLOOKUP($C47,COMBINED!$B:$B,COMBINED!$AB:$AB)+Input_2_coef.*_xlfn.XLOOKUP($C47,COMBINED!$B:$B,COMBINED!$AC:$AC)))</f>
        <v>6.7977137786210653</v>
      </c>
      <c r="J47" s="33">
        <f>_xlfn.XLOOKUP($C47,COMBINED!$B:$B,COMBINED!$N:$N)</f>
        <v>7.7142227376063435</v>
      </c>
      <c r="K47" s="33"/>
      <c r="L47" s="33"/>
      <c r="M47" s="33"/>
      <c r="N47" s="33">
        <f t="shared" si="1"/>
        <v>3.7829277178026226</v>
      </c>
      <c r="O47" s="33"/>
      <c r="P47" s="33">
        <f t="shared" si="2"/>
        <v>3.0452568128311115</v>
      </c>
      <c r="Q47" s="33">
        <f t="shared" si="3"/>
        <v>1.5510003642990753</v>
      </c>
      <c r="R47" s="33">
        <f t="shared" si="4"/>
        <v>3.3062788253594921</v>
      </c>
      <c r="S47" s="33"/>
      <c r="T47" s="33">
        <f t="shared" si="5"/>
        <v>-1.5736979306058909</v>
      </c>
      <c r="U47" s="33"/>
      <c r="V47" s="33">
        <f t="shared" si="6"/>
        <v>-1.3675435016965192</v>
      </c>
      <c r="W47" s="33">
        <f t="shared" si="7"/>
        <v>0.95051355008595806</v>
      </c>
      <c r="X47" s="33">
        <f t="shared" si="8"/>
        <v>-0.90330261216778129</v>
      </c>
      <c r="Y47" s="33"/>
      <c r="Z47" s="33">
        <f t="shared" si="12"/>
        <v>-2.3520089674028886</v>
      </c>
      <c r="AA47" s="33">
        <f t="shared" si="13"/>
        <v>-3.9257068980087793</v>
      </c>
      <c r="AB47" s="33"/>
      <c r="AC47" s="33">
        <f t="shared" si="9"/>
        <v>2.5831151388897768</v>
      </c>
      <c r="AD47" s="33">
        <f t="shared" si="10"/>
        <v>0</v>
      </c>
      <c r="AE47" s="65"/>
      <c r="AF47" s="33"/>
      <c r="AG47" s="33"/>
    </row>
    <row r="48" spans="2:33" x14ac:dyDescent="0.35">
      <c r="B48" t="s">
        <v>123</v>
      </c>
      <c r="C48" t="s">
        <v>124</v>
      </c>
      <c r="D48" s="33">
        <f>_xlfn.XLOOKUP($C48,SEM!$B:$B,SEM!$D:$D)*Input_1_coef.</f>
        <v>22.080296153974146</v>
      </c>
      <c r="E48" s="33">
        <f>_xlfn.XLOOKUP($C48,SEM!$B:$B,SEM!$E:$E)*Input_2_coef.</f>
        <v>0.12393310807251672</v>
      </c>
      <c r="F48" s="33">
        <f t="shared" si="11"/>
        <v>6.1966554036258364E-3</v>
      </c>
      <c r="G48" s="33"/>
      <c r="H48" s="33">
        <f t="shared" si="0"/>
        <v>22.204229262046663</v>
      </c>
      <c r="I48" s="33">
        <f>IF(Input_3_coef.&gt;=0.54,(Input_1_coef.*_xlfn.XLOOKUP($C48,COMBINED!$B:$B,COMBINED!$AB:$AB)+Input_2_coef.*_xlfn.XLOOKUP($C48,COMBINED!$B:$B,COMBINED!$AC:$AC))+F48,(Input_1_coef.*_xlfn.XLOOKUP($C48,COMBINED!$B:$B,COMBINED!$AB:$AB)+Input_2_coef.*_xlfn.XLOOKUP($C48,COMBINED!$B:$B,COMBINED!$AC:$AC)))</f>
        <v>22.204229262046663</v>
      </c>
      <c r="J48" s="33">
        <f>_xlfn.XLOOKUP($C48,COMBINED!$B:$B,COMBINED!$N:$N)</f>
        <v>27.278054793450032</v>
      </c>
      <c r="K48" s="33"/>
      <c r="L48" s="33"/>
      <c r="M48" s="33"/>
      <c r="N48" s="33">
        <f t="shared" si="1"/>
        <v>12.356653584328969</v>
      </c>
      <c r="O48" s="33"/>
      <c r="P48" s="33">
        <f t="shared" si="2"/>
        <v>9.9471061353848214</v>
      </c>
      <c r="Q48" s="33">
        <f t="shared" si="3"/>
        <v>5.0662279695748769</v>
      </c>
      <c r="R48" s="33">
        <f t="shared" si="4"/>
        <v>10.79971523270352</v>
      </c>
      <c r="S48" s="33"/>
      <c r="T48" s="33">
        <f t="shared" si="5"/>
        <v>-5.1403678910808512</v>
      </c>
      <c r="U48" s="33"/>
      <c r="V48" s="33">
        <f t="shared" si="6"/>
        <v>-4.4669796973492595</v>
      </c>
      <c r="W48" s="33">
        <f t="shared" si="7"/>
        <v>3.1047822062128341</v>
      </c>
      <c r="X48" s="33">
        <f t="shared" si="8"/>
        <v>-2.9505711694804084</v>
      </c>
      <c r="Y48" s="33"/>
      <c r="Z48" s="33">
        <f t="shared" si="12"/>
        <v>-7.6826633246681446</v>
      </c>
      <c r="AA48" s="33">
        <f t="shared" si="13"/>
        <v>-12.823031215748996</v>
      </c>
      <c r="AB48" s="33"/>
      <c r="AC48" s="33">
        <f t="shared" si="9"/>
        <v>8.4375545399628393</v>
      </c>
      <c r="AD48" s="33">
        <f t="shared" si="10"/>
        <v>0</v>
      </c>
      <c r="AE48" s="65"/>
      <c r="AF48" s="33"/>
      <c r="AG48" s="33"/>
    </row>
    <row r="49" spans="2:35" x14ac:dyDescent="0.35">
      <c r="B49" t="s">
        <v>125</v>
      </c>
      <c r="C49" t="s">
        <v>126</v>
      </c>
      <c r="D49" s="33">
        <f>_xlfn.XLOOKUP($C49,SEM!$B:$B,SEM!$D:$D)*Input_1_coef.</f>
        <v>8.59100372097787</v>
      </c>
      <c r="E49" s="33">
        <f>_xlfn.XLOOKUP($C49,SEM!$B:$B,SEM!$E:$E)*Input_2_coef.</f>
        <v>3.5390506814731917</v>
      </c>
      <c r="F49" s="33">
        <f t="shared" si="11"/>
        <v>0.1769525340736596</v>
      </c>
      <c r="G49" s="33"/>
      <c r="H49" s="33">
        <f t="shared" si="0"/>
        <v>12.130054402451062</v>
      </c>
      <c r="I49" s="33">
        <f>IF(Input_3_coef.&gt;=0.54,(Input_1_coef.*_xlfn.XLOOKUP($C49,COMBINED!$B:$B,COMBINED!$AB:$AB)+Input_2_coef.*_xlfn.XLOOKUP($C49,COMBINED!$B:$B,COMBINED!$AC:$AC))+F49,(Input_1_coef.*_xlfn.XLOOKUP($C49,COMBINED!$B:$B,COMBINED!$AB:$AB)+Input_2_coef.*_xlfn.XLOOKUP($C49,COMBINED!$B:$B,COMBINED!$AC:$AC)))</f>
        <v>12.130054402451062</v>
      </c>
      <c r="J49" s="33">
        <f>_xlfn.XLOOKUP($C49,COMBINED!$B:$B,COMBINED!$N:$N)</f>
        <v>9.8502771989994251</v>
      </c>
      <c r="K49" s="33"/>
      <c r="L49" s="33"/>
      <c r="M49" s="33"/>
      <c r="N49" s="33">
        <f t="shared" si="1"/>
        <v>6.7503752749640169</v>
      </c>
      <c r="O49" s="33"/>
      <c r="P49" s="33">
        <f t="shared" si="2"/>
        <v>5.4340520963460337</v>
      </c>
      <c r="Q49" s="33">
        <f t="shared" si="3"/>
        <v>2.7676538627352469</v>
      </c>
      <c r="R49" s="33">
        <f t="shared" si="4"/>
        <v>5.8998279903185509</v>
      </c>
      <c r="S49" s="33"/>
      <c r="T49" s="33">
        <f t="shared" si="5"/>
        <v>-2.8081561143850311</v>
      </c>
      <c r="U49" s="33"/>
      <c r="V49" s="33">
        <f t="shared" si="6"/>
        <v>-2.4402876634005919</v>
      </c>
      <c r="W49" s="33">
        <f t="shared" si="7"/>
        <v>1.6961262930885588</v>
      </c>
      <c r="X49" s="33">
        <f t="shared" si="8"/>
        <v>-1.6118816096570077</v>
      </c>
      <c r="Y49" s="33"/>
      <c r="Z49" s="33">
        <f t="shared" si="12"/>
        <v>-4.1969988232480668</v>
      </c>
      <c r="AA49" s="33">
        <f t="shared" si="13"/>
        <v>-7.0051549376330975</v>
      </c>
      <c r="AB49" s="33"/>
      <c r="AC49" s="33">
        <f t="shared" si="9"/>
        <v>4.6093919489625783</v>
      </c>
      <c r="AD49" s="33">
        <f t="shared" si="10"/>
        <v>0</v>
      </c>
      <c r="AE49" s="65"/>
      <c r="AF49" s="33"/>
      <c r="AG49" s="33"/>
    </row>
    <row r="50" spans="2:35" x14ac:dyDescent="0.35">
      <c r="B50" t="s">
        <v>127</v>
      </c>
      <c r="C50" t="s">
        <v>128</v>
      </c>
      <c r="D50" s="33">
        <f>_xlfn.XLOOKUP($C50,SEM!$B:$B,SEM!$D:$D)*Input_1_coef.</f>
        <v>5.900420124602844</v>
      </c>
      <c r="E50" s="33">
        <f>_xlfn.XLOOKUP($C50,SEM!$B:$B,SEM!$E:$E)*Input_2_coef.</f>
        <v>5.5633261439791326</v>
      </c>
      <c r="F50" s="33">
        <f t="shared" si="11"/>
        <v>0.27816630719895663</v>
      </c>
      <c r="G50" s="33"/>
      <c r="H50" s="33">
        <f t="shared" si="0"/>
        <v>11.463746268581977</v>
      </c>
      <c r="I50" s="33">
        <f>IF(Input_3_coef.&gt;=0.54,(Input_1_coef.*_xlfn.XLOOKUP($C50,COMBINED!$B:$B,COMBINED!$AB:$AB)+Input_2_coef.*_xlfn.XLOOKUP($C50,COMBINED!$B:$B,COMBINED!$AC:$AC))+F50,(Input_1_coef.*_xlfn.XLOOKUP($C50,COMBINED!$B:$B,COMBINED!$AB:$AB)+Input_2_coef.*_xlfn.XLOOKUP($C50,COMBINED!$B:$B,COMBINED!$AC:$AC)))</f>
        <v>11.463746268581977</v>
      </c>
      <c r="J50" s="33">
        <f>_xlfn.XLOOKUP($C50,COMBINED!$B:$B,COMBINED!$N:$N)</f>
        <v>6.7978486795057966</v>
      </c>
      <c r="K50" s="33"/>
      <c r="L50" s="33"/>
      <c r="M50" s="33"/>
      <c r="N50" s="33">
        <f t="shared" si="1"/>
        <v>6.3795747984658702</v>
      </c>
      <c r="O50" s="33"/>
      <c r="P50" s="33">
        <f t="shared" si="2"/>
        <v>5.135557712765026</v>
      </c>
      <c r="Q50" s="33">
        <f t="shared" si="3"/>
        <v>2.6156256673710065</v>
      </c>
      <c r="R50" s="33">
        <f t="shared" si="4"/>
        <v>5.5757483738591702</v>
      </c>
      <c r="S50" s="33"/>
      <c r="T50" s="33">
        <f t="shared" si="5"/>
        <v>-2.6539031161618021</v>
      </c>
      <c r="U50" s="33"/>
      <c r="V50" s="33">
        <f t="shared" si="6"/>
        <v>-2.3062418079446059</v>
      </c>
      <c r="W50" s="33">
        <f t="shared" si="7"/>
        <v>1.6029574821617285</v>
      </c>
      <c r="X50" s="33">
        <f t="shared" si="8"/>
        <v>-1.5233403886768744</v>
      </c>
      <c r="Y50" s="33"/>
      <c r="Z50" s="33">
        <f t="shared" si="12"/>
        <v>-3.9664562089293636</v>
      </c>
      <c r="AA50" s="33">
        <f t="shared" si="13"/>
        <v>-6.6203593250911652</v>
      </c>
      <c r="AB50" s="33"/>
      <c r="AC50" s="33">
        <f t="shared" si="9"/>
        <v>4.356196435909987</v>
      </c>
      <c r="AD50" s="33">
        <f t="shared" si="10"/>
        <v>0</v>
      </c>
      <c r="AE50" s="65"/>
      <c r="AF50" s="33"/>
      <c r="AG50" s="33"/>
    </row>
    <row r="51" spans="2:35" x14ac:dyDescent="0.35">
      <c r="B51" t="s">
        <v>129</v>
      </c>
      <c r="C51" t="s">
        <v>130</v>
      </c>
      <c r="D51" s="33">
        <f>_xlfn.XLOOKUP($C51,SEM!$B:$B,SEM!$D:$D)*Input_1_coef.</f>
        <v>28.469795819740838</v>
      </c>
      <c r="E51" s="33">
        <f>_xlfn.XLOOKUP($C51,SEM!$B:$B,SEM!$E:$E)*Input_2_coef.</f>
        <v>3.5396162650944318</v>
      </c>
      <c r="F51" s="33">
        <f t="shared" si="11"/>
        <v>0.17698081325472159</v>
      </c>
      <c r="G51" s="33"/>
      <c r="H51" s="33">
        <f t="shared" si="0"/>
        <v>32.009412084835269</v>
      </c>
      <c r="I51" s="33">
        <f>IF(Input_3_coef.&gt;=0.54,(Input_1_coef.*_xlfn.XLOOKUP($C51,COMBINED!$B:$B,COMBINED!$AB:$AB)+Input_2_coef.*_xlfn.XLOOKUP($C51,COMBINED!$B:$B,COMBINED!$AC:$AC))+F51,(Input_1_coef.*_xlfn.XLOOKUP($C51,COMBINED!$B:$B,COMBINED!$AB:$AB)+Input_2_coef.*_xlfn.XLOOKUP($C51,COMBINED!$B:$B,COMBINED!$AC:$AC)))</f>
        <v>32.009412084835269</v>
      </c>
      <c r="J51" s="33">
        <f>_xlfn.XLOOKUP($C51,COMBINED!$B:$B,COMBINED!$N:$N)</f>
        <v>34.627209644822003</v>
      </c>
      <c r="K51" s="33"/>
      <c r="L51" s="33"/>
      <c r="M51" s="33"/>
      <c r="N51" s="33">
        <f t="shared" si="1"/>
        <v>17.813237825210827</v>
      </c>
      <c r="O51" s="33"/>
      <c r="P51" s="33">
        <f t="shared" si="2"/>
        <v>14.339656449294717</v>
      </c>
      <c r="Q51" s="33">
        <f t="shared" si="3"/>
        <v>7.3034275083364388</v>
      </c>
      <c r="R51" s="33">
        <f t="shared" si="4"/>
        <v>15.568769859234262</v>
      </c>
      <c r="S51" s="33"/>
      <c r="T51" s="33">
        <f t="shared" si="5"/>
        <v>-7.4103069352877036</v>
      </c>
      <c r="U51" s="33"/>
      <c r="V51" s="33">
        <f t="shared" si="6"/>
        <v>-6.439556726765014</v>
      </c>
      <c r="W51" s="33">
        <f t="shared" si="7"/>
        <v>4.4758253889137727</v>
      </c>
      <c r="X51" s="33">
        <f t="shared" si="8"/>
        <v>-4.2535161808551418</v>
      </c>
      <c r="Y51" s="33"/>
      <c r="Z51" s="33">
        <f t="shared" si="12"/>
        <v>-11.075256581353003</v>
      </c>
      <c r="AA51" s="33">
        <f t="shared" si="13"/>
        <v>-18.485563516640706</v>
      </c>
      <c r="AB51" s="33"/>
      <c r="AC51" s="33">
        <f t="shared" si="9"/>
        <v>12.163500793949586</v>
      </c>
      <c r="AD51" s="33">
        <f t="shared" si="10"/>
        <v>0</v>
      </c>
      <c r="AE51" s="65"/>
      <c r="AF51" s="33"/>
      <c r="AG51" s="33"/>
    </row>
    <row r="52" spans="2:35" x14ac:dyDescent="0.35">
      <c r="B52" t="s">
        <v>131</v>
      </c>
      <c r="C52" t="s">
        <v>132</v>
      </c>
      <c r="D52" s="33">
        <f>_xlfn.XLOOKUP($C52,SEM!$B:$B,SEM!$D:$D)*Input_1_coef.</f>
        <v>28.306844873022783</v>
      </c>
      <c r="E52" s="33">
        <f>_xlfn.XLOOKUP($C52,SEM!$B:$B,SEM!$E:$E)*Input_2_coef.</f>
        <v>1.4439882500012997</v>
      </c>
      <c r="F52" s="33">
        <f t="shared" si="11"/>
        <v>7.2199412500064994E-2</v>
      </c>
      <c r="G52" s="33"/>
      <c r="H52" s="33">
        <f t="shared" si="0"/>
        <v>29.750833123024083</v>
      </c>
      <c r="I52" s="33">
        <f>IF(Input_3_coef.&gt;=0.54,(Input_1_coef.*_xlfn.XLOOKUP($C52,COMBINED!$B:$B,COMBINED!$AB:$AB)+Input_2_coef.*_xlfn.XLOOKUP($C52,COMBINED!$B:$B,COMBINED!$AC:$AC))+F52,(Input_1_coef.*_xlfn.XLOOKUP($C52,COMBINED!$B:$B,COMBINED!$AB:$AB)+Input_2_coef.*_xlfn.XLOOKUP($C52,COMBINED!$B:$B,COMBINED!$AC:$AC)))</f>
        <v>29.750833123024083</v>
      </c>
      <c r="J52" s="33">
        <f>_xlfn.XLOOKUP($C52,COMBINED!$B:$B,COMBINED!$N:$N)</f>
        <v>36.237671942336519</v>
      </c>
      <c r="K52" s="33"/>
      <c r="L52" s="33"/>
      <c r="M52" s="33"/>
      <c r="N52" s="33">
        <f t="shared" si="1"/>
        <v>16.556338632962902</v>
      </c>
      <c r="O52" s="33"/>
      <c r="P52" s="33">
        <f t="shared" si="2"/>
        <v>13.327852599535136</v>
      </c>
      <c r="Q52" s="33">
        <f t="shared" si="3"/>
        <v>6.788098839514789</v>
      </c>
      <c r="R52" s="33">
        <f t="shared" si="4"/>
        <v>14.470239965209576</v>
      </c>
      <c r="S52" s="33"/>
      <c r="T52" s="33">
        <f t="shared" si="5"/>
        <v>-6.8874368713125671</v>
      </c>
      <c r="U52" s="33"/>
      <c r="V52" s="33">
        <f t="shared" si="6"/>
        <v>-5.9851826411706206</v>
      </c>
      <c r="W52" s="33">
        <f t="shared" si="7"/>
        <v>4.1600118702727906</v>
      </c>
      <c r="X52" s="33">
        <f t="shared" si="8"/>
        <v>-3.9533887641334133</v>
      </c>
      <c r="Y52" s="33"/>
      <c r="Z52" s="33">
        <f t="shared" si="12"/>
        <v>-10.293788260566332</v>
      </c>
      <c r="AA52" s="33">
        <f t="shared" si="13"/>
        <v>-17.1812251318789</v>
      </c>
      <c r="AB52" s="33"/>
      <c r="AC52" s="33">
        <f t="shared" si="9"/>
        <v>11.305246136776317</v>
      </c>
      <c r="AD52" s="33">
        <f t="shared" si="10"/>
        <v>0</v>
      </c>
      <c r="AE52" s="65"/>
      <c r="AF52" s="33"/>
      <c r="AG52" s="33"/>
    </row>
    <row r="53" spans="2:35" x14ac:dyDescent="0.35">
      <c r="B53" s="1" t="s">
        <v>215</v>
      </c>
      <c r="D53" s="48">
        <f t="shared" ref="D53:AA53" si="14">AVERAGE(D6:D52)</f>
        <v>23.481876431262418</v>
      </c>
      <c r="E53" s="48">
        <f t="shared" si="14"/>
        <v>2.0659070420958789</v>
      </c>
      <c r="F53" s="48">
        <f t="shared" si="14"/>
        <v>0.10329535210479394</v>
      </c>
      <c r="G53" s="48"/>
      <c r="H53" s="33">
        <f t="shared" si="0"/>
        <v>25.547783473358297</v>
      </c>
      <c r="I53" s="48">
        <f t="shared" ref="I53" si="15">AVERAGE(I6:I52)</f>
        <v>25.547783473358304</v>
      </c>
      <c r="J53" s="48">
        <f t="shared" si="14"/>
        <v>25.627865382806064</v>
      </c>
      <c r="K53" s="48"/>
      <c r="L53" s="48"/>
      <c r="M53" s="48"/>
      <c r="N53" s="48">
        <f t="shared" si="14"/>
        <v>14.217341502923899</v>
      </c>
      <c r="O53" s="48"/>
      <c r="P53" s="48">
        <f t="shared" si="14"/>
        <v>11.444959909853736</v>
      </c>
      <c r="Q53" s="48">
        <f t="shared" si="14"/>
        <v>5.8291100161987979</v>
      </c>
      <c r="R53" s="48">
        <f t="shared" si="14"/>
        <v>12.425956473555484</v>
      </c>
      <c r="S53" s="48"/>
      <c r="T53" s="48">
        <f t="shared" si="14"/>
        <v>-5.9144140652163406</v>
      </c>
      <c r="U53" s="48"/>
      <c r="V53" s="48">
        <f t="shared" si="14"/>
        <v>-5.1396258226729996</v>
      </c>
      <c r="W53" s="48">
        <f t="shared" si="14"/>
        <v>3.5723060953906707</v>
      </c>
      <c r="X53" s="48">
        <f t="shared" si="14"/>
        <v>-3.3948736734341787</v>
      </c>
      <c r="Y53" s="48"/>
      <c r="Z53" s="48">
        <f t="shared" si="14"/>
        <v>-8.8395330817819726</v>
      </c>
      <c r="AA53" s="48">
        <f t="shared" si="14"/>
        <v>-14.753947146998311</v>
      </c>
      <c r="AB53" s="48"/>
      <c r="AC53" s="48">
        <f>AVERAGE(AC6:AC52)</f>
        <v>9.7080972227248914</v>
      </c>
      <c r="AD53" s="48">
        <f>AVERAGE(AD6:AD52)</f>
        <v>0</v>
      </c>
      <c r="AG53" s="48"/>
      <c r="AI53" s="48"/>
    </row>
  </sheetData>
  <dataValidations count="1">
    <dataValidation type="decimal" allowBlank="1" showInputMessage="1" showErrorMessage="1" errorTitle="Number must vary between 0 &amp; 1." error="Enter a number between 0 and 1." promptTitle="% increase in salary" prompt="Please enter the percentage increase in Salary." sqref="F3:G3" xr:uid="{EC8C2DF3-6AC2-D744-9827-F0C75F274B32}">
      <formula1>0</formula1>
      <formula2>1</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C0E9-A618-4F13-9571-4497C3C1499A}">
  <dimension ref="C2:J18"/>
  <sheetViews>
    <sheetView zoomScale="120" zoomScaleNormal="120" workbookViewId="0">
      <selection activeCell="F8" sqref="F8"/>
    </sheetView>
  </sheetViews>
  <sheetFormatPr defaultColWidth="8.81640625" defaultRowHeight="14.5" x14ac:dyDescent="0.35"/>
  <cols>
    <col min="3" max="3" width="14" bestFit="1" customWidth="1"/>
    <col min="4" max="4" width="19.26953125" customWidth="1"/>
    <col min="5" max="5" width="21.7265625" customWidth="1"/>
    <col min="6" max="6" width="12.453125" customWidth="1"/>
    <col min="9" max="9" width="14.81640625" customWidth="1"/>
    <col min="10" max="10" width="14.7265625" customWidth="1"/>
  </cols>
  <sheetData>
    <row r="2" spans="3:10" x14ac:dyDescent="0.35">
      <c r="C2" s="76" t="s">
        <v>216</v>
      </c>
    </row>
    <row r="3" spans="3:10" s="76" customFormat="1" ht="54" customHeight="1" x14ac:dyDescent="0.35">
      <c r="D3" s="77" t="s">
        <v>217</v>
      </c>
      <c r="E3" s="77" t="s">
        <v>218</v>
      </c>
      <c r="F3" s="77" t="s">
        <v>219</v>
      </c>
      <c r="G3" s="77" t="s">
        <v>220</v>
      </c>
      <c r="H3" s="77" t="s">
        <v>221</v>
      </c>
      <c r="I3" s="77" t="s">
        <v>222</v>
      </c>
      <c r="J3" s="77" t="s">
        <v>223</v>
      </c>
    </row>
    <row r="4" spans="3:10" x14ac:dyDescent="0.35">
      <c r="C4" t="s">
        <v>224</v>
      </c>
      <c r="D4">
        <f>0.898</f>
        <v>0.89800000000000002</v>
      </c>
      <c r="E4">
        <v>0.76100000000000001</v>
      </c>
      <c r="F4">
        <v>0.76400000000000001</v>
      </c>
      <c r="G4">
        <v>0.88200000000000001</v>
      </c>
      <c r="H4">
        <v>0.91200000000000003</v>
      </c>
      <c r="I4">
        <v>0.23200000000000001</v>
      </c>
      <c r="J4">
        <v>0.6</v>
      </c>
    </row>
    <row r="5" spans="3:10" ht="29" x14ac:dyDescent="0.35">
      <c r="D5" s="72" t="s">
        <v>225</v>
      </c>
      <c r="E5" s="73" t="s">
        <v>226</v>
      </c>
      <c r="F5" s="73" t="s">
        <v>227</v>
      </c>
    </row>
    <row r="6" spans="3:10" x14ac:dyDescent="0.35">
      <c r="C6" t="s">
        <v>228</v>
      </c>
      <c r="D6">
        <v>0.93100000000000005</v>
      </c>
      <c r="E6">
        <v>0.79300000000000004</v>
      </c>
      <c r="F6">
        <v>0.35799999999999998</v>
      </c>
    </row>
    <row r="7" spans="3:10" ht="87" x14ac:dyDescent="0.35">
      <c r="D7" s="78" t="s">
        <v>229</v>
      </c>
      <c r="E7" s="77" t="s">
        <v>230</v>
      </c>
      <c r="F7" s="77" t="s">
        <v>231</v>
      </c>
    </row>
    <row r="8" spans="3:10" x14ac:dyDescent="0.35">
      <c r="C8" t="s">
        <v>232</v>
      </c>
      <c r="D8">
        <v>0.88900000000000001</v>
      </c>
      <c r="E8">
        <v>-0.54300000000000004</v>
      </c>
      <c r="F8">
        <v>0.64300000000000002</v>
      </c>
    </row>
    <row r="9" spans="3:10" x14ac:dyDescent="0.35">
      <c r="D9" s="75" t="s">
        <v>150</v>
      </c>
    </row>
    <row r="10" spans="3:10" x14ac:dyDescent="0.35">
      <c r="C10" t="s">
        <v>233</v>
      </c>
      <c r="D10">
        <v>1</v>
      </c>
    </row>
    <row r="12" spans="3:10" x14ac:dyDescent="0.35">
      <c r="C12" t="s">
        <v>234</v>
      </c>
    </row>
    <row r="13" spans="3:10" x14ac:dyDescent="0.35">
      <c r="D13" s="67" t="s">
        <v>224</v>
      </c>
    </row>
    <row r="14" spans="3:10" x14ac:dyDescent="0.35">
      <c r="C14" t="s">
        <v>235</v>
      </c>
      <c r="D14" s="67">
        <v>0.72799999999999998</v>
      </c>
    </row>
    <row r="15" spans="3:10" x14ac:dyDescent="0.35">
      <c r="D15" s="67" t="s">
        <v>224</v>
      </c>
      <c r="E15" t="s">
        <v>235</v>
      </c>
    </row>
    <row r="16" spans="3:10" x14ac:dyDescent="0.35">
      <c r="C16" t="s">
        <v>236</v>
      </c>
      <c r="D16">
        <v>-0.184</v>
      </c>
      <c r="E16">
        <v>-0.55900000000000005</v>
      </c>
    </row>
    <row r="17" spans="3:6" x14ac:dyDescent="0.35">
      <c r="D17" s="67" t="s">
        <v>224</v>
      </c>
      <c r="E17" t="s">
        <v>235</v>
      </c>
      <c r="F17" t="s">
        <v>236</v>
      </c>
    </row>
    <row r="18" spans="3:6" x14ac:dyDescent="0.35">
      <c r="C18" t="s">
        <v>237</v>
      </c>
      <c r="D18">
        <v>0.55000000000000004</v>
      </c>
      <c r="E18">
        <v>0.11799999999999999</v>
      </c>
      <c r="F18">
        <v>-0.251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8C29-47D8-483B-B888-A11184F5AA6D}">
  <dimension ref="B2:D16"/>
  <sheetViews>
    <sheetView zoomScale="140" zoomScaleNormal="140" workbookViewId="0">
      <selection activeCell="C30" sqref="C30"/>
    </sheetView>
  </sheetViews>
  <sheetFormatPr defaultColWidth="8.81640625" defaultRowHeight="14.5" x14ac:dyDescent="0.35"/>
  <cols>
    <col min="1" max="1" width="4.453125" customWidth="1"/>
    <col min="2" max="2" width="10.81640625" bestFit="1" customWidth="1"/>
    <col min="3" max="3" width="72.81640625" customWidth="1"/>
  </cols>
  <sheetData>
    <row r="2" spans="2:4" x14ac:dyDescent="0.35">
      <c r="B2" s="1" t="s">
        <v>138</v>
      </c>
      <c r="C2" s="1" t="s">
        <v>139</v>
      </c>
    </row>
    <row r="3" spans="2:4" x14ac:dyDescent="0.35">
      <c r="B3" s="56" t="s">
        <v>3</v>
      </c>
      <c r="C3" s="57" t="s">
        <v>140</v>
      </c>
    </row>
    <row r="4" spans="2:4" x14ac:dyDescent="0.35">
      <c r="B4" s="56" t="s">
        <v>4</v>
      </c>
      <c r="C4" s="57" t="s">
        <v>141</v>
      </c>
    </row>
    <row r="5" spans="2:4" x14ac:dyDescent="0.35">
      <c r="B5" s="58" t="s">
        <v>5</v>
      </c>
      <c r="C5" s="57" t="s">
        <v>142</v>
      </c>
    </row>
    <row r="6" spans="2:4" x14ac:dyDescent="0.35">
      <c r="B6" s="58" t="s">
        <v>6</v>
      </c>
      <c r="C6" s="57" t="s">
        <v>143</v>
      </c>
    </row>
    <row r="7" spans="2:4" x14ac:dyDescent="0.35">
      <c r="B7" s="58" t="s">
        <v>7</v>
      </c>
      <c r="C7" s="57" t="s">
        <v>144</v>
      </c>
    </row>
    <row r="8" spans="2:4" ht="29" x14ac:dyDescent="0.35">
      <c r="B8" s="59" t="s">
        <v>11</v>
      </c>
      <c r="C8" s="60" t="s">
        <v>145</v>
      </c>
    </row>
    <row r="9" spans="2:4" x14ac:dyDescent="0.35">
      <c r="B9" s="59" t="s">
        <v>12</v>
      </c>
      <c r="C9" s="60" t="s">
        <v>146</v>
      </c>
    </row>
    <row r="10" spans="2:4" x14ac:dyDescent="0.35">
      <c r="B10" s="59" t="s">
        <v>13</v>
      </c>
      <c r="C10" s="60" t="s">
        <v>147</v>
      </c>
    </row>
    <row r="11" spans="2:4" x14ac:dyDescent="0.35">
      <c r="B11" t="s">
        <v>14</v>
      </c>
      <c r="C11" s="36" t="s">
        <v>148</v>
      </c>
    </row>
    <row r="12" spans="2:4" x14ac:dyDescent="0.35">
      <c r="B12" t="s">
        <v>15</v>
      </c>
      <c r="C12" s="36" t="s">
        <v>149</v>
      </c>
    </row>
    <row r="13" spans="2:4" x14ac:dyDescent="0.35">
      <c r="B13" s="61" t="s">
        <v>16</v>
      </c>
      <c r="C13" s="61" t="s">
        <v>150</v>
      </c>
      <c r="D13" t="s">
        <v>151</v>
      </c>
    </row>
    <row r="14" spans="2:4" x14ac:dyDescent="0.35">
      <c r="B14" t="s">
        <v>17</v>
      </c>
      <c r="C14" t="s">
        <v>152</v>
      </c>
      <c r="D14" t="s">
        <v>153</v>
      </c>
    </row>
    <row r="15" spans="2:4" x14ac:dyDescent="0.35">
      <c r="B15" t="s">
        <v>18</v>
      </c>
      <c r="C15" t="s">
        <v>154</v>
      </c>
      <c r="D15" t="s">
        <v>155</v>
      </c>
    </row>
    <row r="16" spans="2:4" x14ac:dyDescent="0.35">
      <c r="C16" s="36"/>
    </row>
  </sheetData>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A27D-35A3-46AB-A3AB-DEFA1BE3C4DE}">
  <dimension ref="A1:AE48"/>
  <sheetViews>
    <sheetView zoomScale="135" zoomScaleNormal="80" workbookViewId="0">
      <pane xSplit="2" ySplit="1" topLeftCell="J2" activePane="bottomRight" state="frozen"/>
      <selection pane="topRight" activeCell="C1" sqref="C1"/>
      <selection pane="bottomLeft" activeCell="A2" sqref="A2"/>
      <selection pane="bottomRight" activeCell="I11" sqref="I11"/>
    </sheetView>
  </sheetViews>
  <sheetFormatPr defaultColWidth="8.81640625" defaultRowHeight="14.5" x14ac:dyDescent="0.35"/>
  <cols>
    <col min="2" max="2" width="5.453125" bestFit="1" customWidth="1"/>
    <col min="3" max="3" width="13.81640625" style="10" customWidth="1"/>
    <col min="4" max="4" width="9.26953125" style="14" bestFit="1" customWidth="1"/>
    <col min="5" max="5" width="11.453125" style="14" customWidth="1"/>
    <col min="6" max="6" width="11.26953125" style="14" bestFit="1" customWidth="1"/>
    <col min="7" max="11" width="11.7265625" style="14" customWidth="1"/>
    <col min="12" max="12" width="13.453125" style="14" customWidth="1"/>
    <col min="13" max="13" width="14" style="14" customWidth="1"/>
    <col min="14" max="14" width="11.7265625" style="14" customWidth="1"/>
    <col min="15" max="16" width="11.1796875" style="14" bestFit="1" customWidth="1"/>
    <col min="17" max="22" width="9.26953125" style="14" bestFit="1" customWidth="1"/>
    <col min="23" max="23" width="19.453125" style="14" customWidth="1"/>
    <col min="24" max="24" width="21.453125" style="14" customWidth="1"/>
    <col min="25" max="25" width="22" style="14" customWidth="1"/>
    <col min="26" max="26" width="14.1796875" style="14" customWidth="1"/>
    <col min="27" max="27" width="15.81640625" style="14" customWidth="1"/>
    <col min="28" max="28" width="15" style="14" customWidth="1"/>
    <col min="29" max="29" width="15.1796875" style="14" customWidth="1"/>
    <col min="30" max="30" width="13.81640625" style="14" customWidth="1"/>
    <col min="31" max="31" width="18.26953125" customWidth="1"/>
  </cols>
  <sheetData>
    <row r="1" spans="1:31" s="2" customFormat="1" ht="87" x14ac:dyDescent="0.35">
      <c r="A1" s="2" t="s">
        <v>0</v>
      </c>
      <c r="B1" s="2" t="s">
        <v>1</v>
      </c>
      <c r="C1" s="38" t="s">
        <v>2</v>
      </c>
      <c r="D1" s="39" t="s">
        <v>149</v>
      </c>
      <c r="E1" s="39" t="s">
        <v>198</v>
      </c>
      <c r="F1" s="39" t="s">
        <v>238</v>
      </c>
      <c r="G1" s="39" t="s">
        <v>156</v>
      </c>
      <c r="H1" s="39" t="s">
        <v>157</v>
      </c>
      <c r="I1" s="39" t="s">
        <v>158</v>
      </c>
      <c r="J1" s="39" t="s">
        <v>159</v>
      </c>
      <c r="K1" s="39" t="s">
        <v>160</v>
      </c>
      <c r="L1" s="39" t="s">
        <v>161</v>
      </c>
      <c r="M1" s="39" t="s">
        <v>162</v>
      </c>
      <c r="N1" s="39" t="s">
        <v>163</v>
      </c>
      <c r="O1" s="39" t="s">
        <v>239</v>
      </c>
      <c r="P1" s="39" t="s">
        <v>197</v>
      </c>
      <c r="Q1" s="39" t="s">
        <v>240</v>
      </c>
      <c r="R1" s="39" t="s">
        <v>241</v>
      </c>
      <c r="S1" s="39" t="s">
        <v>142</v>
      </c>
      <c r="T1" s="39" t="s">
        <v>143</v>
      </c>
      <c r="U1" s="39" t="s">
        <v>144</v>
      </c>
      <c r="V1" s="39" t="s">
        <v>9</v>
      </c>
      <c r="W1" s="39" t="s">
        <v>10</v>
      </c>
      <c r="X1" s="39" t="s">
        <v>145</v>
      </c>
      <c r="Y1" s="39" t="s">
        <v>146</v>
      </c>
      <c r="Z1" s="39" t="s">
        <v>147</v>
      </c>
      <c r="AA1" s="39" t="s">
        <v>148</v>
      </c>
      <c r="AB1" s="39" t="s">
        <v>242</v>
      </c>
      <c r="AC1" s="39" t="s">
        <v>141</v>
      </c>
      <c r="AD1" s="39" t="s">
        <v>19</v>
      </c>
      <c r="AE1" s="39" t="s">
        <v>243</v>
      </c>
    </row>
    <row r="2" spans="1:31" x14ac:dyDescent="0.35">
      <c r="A2" s="1" t="s">
        <v>39</v>
      </c>
      <c r="B2" s="1" t="s">
        <v>40</v>
      </c>
      <c r="C2" s="3">
        <v>46053477</v>
      </c>
      <c r="D2" s="14">
        <v>58.663449999999997</v>
      </c>
      <c r="E2" s="14">
        <v>28.18</v>
      </c>
      <c r="F2" s="14">
        <v>37.36</v>
      </c>
      <c r="G2" s="14">
        <v>16.396590424649155</v>
      </c>
      <c r="H2" s="14">
        <v>22.750942344700707</v>
      </c>
      <c r="I2" s="14">
        <v>2.0148315837260236</v>
      </c>
      <c r="J2" s="14">
        <v>3.5224267648672867</v>
      </c>
      <c r="K2" s="14">
        <v>2.9622084777659672</v>
      </c>
      <c r="L2" s="14">
        <v>2.9530886451852485E-2</v>
      </c>
      <c r="M2" s="14">
        <v>3.3087621158332956</v>
      </c>
      <c r="N2" s="14">
        <v>50.985292597994288</v>
      </c>
      <c r="O2" s="14">
        <v>15227.463</v>
      </c>
      <c r="P2" s="14">
        <v>15545.11</v>
      </c>
      <c r="Q2" s="14">
        <v>65.548194885000001</v>
      </c>
      <c r="R2" s="14">
        <v>88.72</v>
      </c>
      <c r="S2" s="14">
        <v>82.21</v>
      </c>
      <c r="T2" s="14">
        <v>60.71</v>
      </c>
      <c r="U2" s="14">
        <v>68.12</v>
      </c>
      <c r="V2" s="14">
        <v>74.94</v>
      </c>
      <c r="W2" s="14">
        <v>0.25858506591674785</v>
      </c>
      <c r="X2" s="14">
        <v>5.4826069439724012E-2</v>
      </c>
      <c r="Y2" s="14">
        <v>0.17657851132276614</v>
      </c>
      <c r="Z2" s="14">
        <v>2.4002849501539029E-2</v>
      </c>
      <c r="AA2" s="14">
        <v>26.2</v>
      </c>
      <c r="AB2" s="14">
        <v>61.013029589926525</v>
      </c>
      <c r="AC2" s="14">
        <v>0.13419182225915322</v>
      </c>
      <c r="AD2" s="14">
        <v>3.2999999993960927</v>
      </c>
      <c r="AE2">
        <v>234805</v>
      </c>
    </row>
    <row r="3" spans="1:31" x14ac:dyDescent="0.35">
      <c r="A3" s="1" t="s">
        <v>41</v>
      </c>
      <c r="B3" s="1" t="s">
        <v>42</v>
      </c>
      <c r="C3" s="3">
        <v>36148636</v>
      </c>
      <c r="D3" s="14">
        <v>29.302569999999999</v>
      </c>
      <c r="E3" s="14">
        <v>9.49</v>
      </c>
      <c r="F3" s="14">
        <v>45</v>
      </c>
      <c r="G3" s="14">
        <v>2.4047933648174165</v>
      </c>
      <c r="H3" s="14">
        <v>18.45657468237529</v>
      </c>
      <c r="I3" s="14">
        <v>9.1289751569049518E-3</v>
      </c>
      <c r="J3" s="14">
        <v>7.0265445147086603E-2</v>
      </c>
      <c r="K3" s="14">
        <v>0.39669546590914251</v>
      </c>
      <c r="L3" s="14">
        <v>3.5962629405989206E-3</v>
      </c>
      <c r="M3" s="14">
        <v>4.9794409946754279E-3</v>
      </c>
      <c r="N3" s="14">
        <v>21.346033637341112</v>
      </c>
      <c r="O3" s="14">
        <v>8781.5580000000009</v>
      </c>
      <c r="P3" s="14">
        <v>8866.6910000000007</v>
      </c>
      <c r="Q3" s="14">
        <v>53.761871337999999</v>
      </c>
      <c r="R3" s="14">
        <v>21.08</v>
      </c>
      <c r="S3" s="14">
        <v>36.07</v>
      </c>
      <c r="T3" s="14">
        <v>53.76</v>
      </c>
      <c r="U3" s="14">
        <v>44.51</v>
      </c>
      <c r="V3" s="14">
        <v>38.854999999999997</v>
      </c>
      <c r="W3" s="14">
        <v>0.55586602736035773</v>
      </c>
      <c r="X3" s="14">
        <v>0.34291113134334789</v>
      </c>
      <c r="Y3" s="14">
        <v>0.16924786589235383</v>
      </c>
      <c r="Z3" s="14">
        <v>4.0767474174770127E-2</v>
      </c>
      <c r="AA3" s="14">
        <v>29.1</v>
      </c>
      <c r="AB3" s="14">
        <v>18.553569489316274</v>
      </c>
      <c r="AC3" s="14">
        <v>2.4607173283108108</v>
      </c>
      <c r="AD3" s="14">
        <v>4.423904529447455</v>
      </c>
      <c r="AE3">
        <v>77163</v>
      </c>
    </row>
    <row r="4" spans="1:31" x14ac:dyDescent="0.35">
      <c r="A4" s="1" t="s">
        <v>43</v>
      </c>
      <c r="B4" s="1" t="s">
        <v>44</v>
      </c>
      <c r="C4" s="3">
        <v>13124347</v>
      </c>
      <c r="D4" s="14">
        <v>31.403459999999999</v>
      </c>
      <c r="E4" s="14">
        <v>4.16</v>
      </c>
      <c r="F4" s="14">
        <v>37.6</v>
      </c>
      <c r="G4" s="14">
        <v>2.3178296032556895</v>
      </c>
      <c r="H4" s="14">
        <v>4.7164251295702559</v>
      </c>
      <c r="I4" s="14">
        <v>1.8484729183097643</v>
      </c>
      <c r="J4" s="14">
        <v>5.0288216244206284E-2</v>
      </c>
      <c r="K4" s="14">
        <v>0.3299211762688079</v>
      </c>
      <c r="L4" s="14">
        <v>0.50897770380499696</v>
      </c>
      <c r="M4" s="14">
        <v>1.2434904380385554</v>
      </c>
      <c r="N4" s="14">
        <v>11.015405185492277</v>
      </c>
      <c r="O4" s="14">
        <v>3829.2849999999999</v>
      </c>
      <c r="P4" s="14">
        <v>3966.8029999999999</v>
      </c>
      <c r="Q4" s="14">
        <v>55.715812683000003</v>
      </c>
      <c r="R4" s="14">
        <v>16.86</v>
      </c>
      <c r="S4" s="14">
        <v>47</v>
      </c>
      <c r="T4" s="14">
        <v>60.77</v>
      </c>
      <c r="U4" s="14">
        <v>42.82</v>
      </c>
      <c r="V4" s="14">
        <v>41.862499999999997</v>
      </c>
      <c r="W4" s="14">
        <v>0.54153340249256254</v>
      </c>
      <c r="X4" s="14">
        <v>0.325239308880447</v>
      </c>
      <c r="Y4" s="14">
        <v>0.1662778788855776</v>
      </c>
      <c r="Z4" s="14">
        <v>4.7324914602763002E-2</v>
      </c>
      <c r="AA4" s="14">
        <v>25.4</v>
      </c>
      <c r="AB4" s="14">
        <v>10.88486024942803</v>
      </c>
      <c r="AC4" s="14">
        <v>2.827229804271405</v>
      </c>
      <c r="AD4" s="14">
        <v>7.4531156622620074</v>
      </c>
      <c r="AE4">
        <v>14457</v>
      </c>
    </row>
    <row r="5" spans="1:31" x14ac:dyDescent="0.35">
      <c r="A5" s="1" t="s">
        <v>45</v>
      </c>
      <c r="B5" s="1" t="s">
        <v>46</v>
      </c>
      <c r="C5" s="3">
        <v>2483754</v>
      </c>
      <c r="D5" s="14">
        <v>37.506129999999999</v>
      </c>
      <c r="E5" s="14">
        <v>23.79</v>
      </c>
      <c r="F5" s="14">
        <v>57.4</v>
      </c>
      <c r="G5" s="14">
        <v>3.7886199680000514</v>
      </c>
      <c r="H5" s="14">
        <v>30.135834708268209</v>
      </c>
      <c r="I5" s="14">
        <v>0</v>
      </c>
      <c r="J5" s="14">
        <v>0.35832856232944166</v>
      </c>
      <c r="K5" s="14">
        <v>0.53145359806164372</v>
      </c>
      <c r="L5" s="14">
        <v>0.60392454325186795</v>
      </c>
      <c r="M5" s="14">
        <v>1.252136886342206</v>
      </c>
      <c r="N5" s="14">
        <v>36.670298266253425</v>
      </c>
      <c r="O5" s="14">
        <v>17551.773000000001</v>
      </c>
      <c r="P5" s="14">
        <v>16749.388999999999</v>
      </c>
      <c r="Q5" s="14">
        <v>53.103672027999998</v>
      </c>
      <c r="R5" s="14">
        <v>43.33</v>
      </c>
      <c r="S5" s="14">
        <v>66.05</v>
      </c>
      <c r="T5" s="14">
        <v>60.17</v>
      </c>
      <c r="U5" s="14">
        <v>53.85</v>
      </c>
      <c r="V5" s="14">
        <v>55.85</v>
      </c>
      <c r="W5" s="14">
        <v>0.51046946627320211</v>
      </c>
      <c r="X5" s="14">
        <v>0.2905673858089361</v>
      </c>
      <c r="Y5" s="14">
        <v>0.16281769439857324</v>
      </c>
      <c r="Z5" s="14">
        <v>3.6818540319200059E-2</v>
      </c>
      <c r="AA5" s="14">
        <v>33.6</v>
      </c>
      <c r="AB5" s="14">
        <v>32.040540701695896</v>
      </c>
      <c r="AC5" s="14">
        <v>6.3942892492573744</v>
      </c>
      <c r="AD5" s="14">
        <v>-2.9898687946792819</v>
      </c>
      <c r="AE5">
        <v>9108</v>
      </c>
    </row>
    <row r="6" spans="1:31" x14ac:dyDescent="0.35">
      <c r="A6" s="1" t="s">
        <v>47</v>
      </c>
      <c r="B6" s="1" t="s">
        <v>48</v>
      </c>
      <c r="C6" s="3">
        <v>22720842</v>
      </c>
      <c r="D6" s="14">
        <v>28.462350000000001</v>
      </c>
      <c r="E6" s="14">
        <v>4.3</v>
      </c>
      <c r="F6" s="14">
        <v>0</v>
      </c>
      <c r="G6" s="14">
        <v>1.4625338268713808</v>
      </c>
      <c r="H6" s="14">
        <v>5.9940560301418406</v>
      </c>
      <c r="I6" s="14">
        <v>3.6217847912502541</v>
      </c>
      <c r="J6" s="14">
        <v>5.8536563037584609E-2</v>
      </c>
      <c r="K6" s="14">
        <v>0.39655220523957696</v>
      </c>
      <c r="L6" s="14">
        <v>2.640747204703065E-3</v>
      </c>
      <c r="M6" s="14">
        <v>0.485897485665364</v>
      </c>
      <c r="N6" s="14">
        <v>12.022001649410702</v>
      </c>
      <c r="O6" s="14">
        <v>2462.8519999999999</v>
      </c>
      <c r="P6" s="14">
        <v>2508.5279999999998</v>
      </c>
      <c r="Q6" s="14">
        <v>54.562423705999997</v>
      </c>
      <c r="R6" s="14">
        <v>14.92</v>
      </c>
      <c r="S6" s="14">
        <v>50.01</v>
      </c>
      <c r="T6" s="14">
        <v>54.76</v>
      </c>
      <c r="U6" s="14">
        <v>60.22</v>
      </c>
      <c r="V6" s="14">
        <v>44.977499999999999</v>
      </c>
      <c r="W6" s="14">
        <v>0.53931545729379993</v>
      </c>
      <c r="X6" s="14">
        <v>0.30772700766077493</v>
      </c>
      <c r="Y6" s="14">
        <v>0.16837414140323015</v>
      </c>
      <c r="Z6" s="14">
        <v>5.9056872943486417E-2</v>
      </c>
      <c r="AA6" s="14">
        <v>29.8</v>
      </c>
      <c r="AB6" s="14">
        <v>10.935549276298829</v>
      </c>
      <c r="AC6" s="14">
        <v>3.0043272604069866</v>
      </c>
      <c r="AD6" s="14">
        <v>4.9851030062518333</v>
      </c>
      <c r="AE6">
        <v>27315</v>
      </c>
    </row>
    <row r="7" spans="1:31" x14ac:dyDescent="0.35">
      <c r="A7" s="1" t="s">
        <v>49</v>
      </c>
      <c r="B7" s="1" t="s">
        <v>50</v>
      </c>
      <c r="C7" s="3">
        <v>12999141</v>
      </c>
      <c r="D7" s="14">
        <v>25.83942</v>
      </c>
      <c r="E7" s="14">
        <v>0.9</v>
      </c>
      <c r="F7" s="14">
        <v>33.33</v>
      </c>
      <c r="G7" s="14">
        <v>0.79851430182963623</v>
      </c>
      <c r="H7" s="14">
        <v>8.3643988475853899</v>
      </c>
      <c r="I7" s="14">
        <v>0.37156301327910818</v>
      </c>
      <c r="J7" s="14">
        <v>1.0769942413887195E-2</v>
      </c>
      <c r="K7" s="14">
        <v>9.539091852300087E-2</v>
      </c>
      <c r="L7" s="14">
        <v>0.98006475966373474</v>
      </c>
      <c r="M7" s="14">
        <v>0.70081553850365952</v>
      </c>
      <c r="N7" s="14">
        <v>11.321517321798417</v>
      </c>
      <c r="O7" s="14">
        <v>875.15700000000004</v>
      </c>
      <c r="P7" s="14">
        <v>879.67</v>
      </c>
      <c r="Q7" s="14">
        <v>55.844139099000003</v>
      </c>
      <c r="R7" s="14">
        <v>13.85</v>
      </c>
      <c r="S7" s="14">
        <v>60.47</v>
      </c>
      <c r="T7" s="14">
        <v>59.39</v>
      </c>
      <c r="U7" s="14">
        <v>59.42</v>
      </c>
      <c r="V7" s="14">
        <v>48.282499999999999</v>
      </c>
      <c r="W7" s="14">
        <v>0.46057152861854272</v>
      </c>
      <c r="X7" s="14">
        <v>0.25291884815631899</v>
      </c>
      <c r="Y7" s="14">
        <v>0.1545390833870478</v>
      </c>
      <c r="Z7" s="14">
        <v>5.1080320762151438E-2</v>
      </c>
      <c r="AA7" s="14">
        <v>22.1</v>
      </c>
      <c r="AB7" s="14">
        <v>9.4270120648741322</v>
      </c>
      <c r="AC7" s="14">
        <v>3.2873538720750854</v>
      </c>
      <c r="AD7" s="14">
        <v>3.4892317483896846</v>
      </c>
      <c r="AE7">
        <v>14717</v>
      </c>
    </row>
    <row r="8" spans="1:31" x14ac:dyDescent="0.35">
      <c r="A8" s="1" t="s">
        <v>51</v>
      </c>
      <c r="B8" s="1" t="s">
        <v>52</v>
      </c>
      <c r="C8" s="3">
        <v>573322</v>
      </c>
      <c r="D8" s="14">
        <v>50.242220000000003</v>
      </c>
      <c r="E8" s="14">
        <v>11.35</v>
      </c>
      <c r="F8" s="14">
        <v>52.5</v>
      </c>
      <c r="G8" s="14">
        <v>6.6454802013528171</v>
      </c>
      <c r="H8" s="14">
        <v>16.378230732467966</v>
      </c>
      <c r="I8" s="14">
        <v>0.45349733657525787</v>
      </c>
      <c r="J8" s="14">
        <v>0.13953764202315627</v>
      </c>
      <c r="K8" s="14">
        <v>0.17442205252894535</v>
      </c>
      <c r="L8" s="14">
        <v>6.9768821011578136E-2</v>
      </c>
      <c r="M8" s="14">
        <v>0.13953764202315627</v>
      </c>
      <c r="N8" s="14">
        <v>24.00047442798288</v>
      </c>
      <c r="O8" s="14">
        <v>9530.2099999999991</v>
      </c>
      <c r="P8" s="14">
        <v>10052.799000000001</v>
      </c>
      <c r="Q8" s="14">
        <v>63.765907288000001</v>
      </c>
      <c r="R8" s="14">
        <v>66.2</v>
      </c>
      <c r="S8" s="14">
        <v>90.4</v>
      </c>
      <c r="T8" s="14">
        <v>56.77</v>
      </c>
      <c r="U8" s="14">
        <v>75.55</v>
      </c>
      <c r="V8" s="14">
        <v>72.23</v>
      </c>
      <c r="W8" s="14">
        <v>0.28416803571937194</v>
      </c>
      <c r="X8" s="14">
        <v>6.4726853200502851E-2</v>
      </c>
      <c r="Y8" s="14">
        <v>0.18145936291550335</v>
      </c>
      <c r="Z8" s="14">
        <v>3.4756189241051116E-2</v>
      </c>
      <c r="AA8" s="14">
        <v>34.1</v>
      </c>
      <c r="AB8" s="14">
        <v>24.528465242917587</v>
      </c>
      <c r="AC8" s="14">
        <v>0</v>
      </c>
      <c r="AD8" s="14">
        <v>7.2718814720441145</v>
      </c>
      <c r="AE8">
        <v>1376</v>
      </c>
    </row>
    <row r="9" spans="1:31" x14ac:dyDescent="0.35">
      <c r="A9" s="1" t="s">
        <v>53</v>
      </c>
      <c r="B9" s="1" t="s">
        <v>54</v>
      </c>
      <c r="C9" s="3">
        <v>28608129</v>
      </c>
      <c r="D9" s="14">
        <v>33.72569</v>
      </c>
      <c r="E9" s="14">
        <v>6.23</v>
      </c>
      <c r="F9" s="14">
        <v>49</v>
      </c>
      <c r="G9" s="14">
        <v>1.3150108488395031</v>
      </c>
      <c r="H9" s="14">
        <v>5.7798257271560827</v>
      </c>
      <c r="I9" s="14">
        <v>0.5847988171473919</v>
      </c>
      <c r="J9" s="14">
        <v>0.11080766589104796</v>
      </c>
      <c r="K9" s="14">
        <v>0.21042969989404062</v>
      </c>
      <c r="L9" s="14">
        <v>0.10241844197500648</v>
      </c>
      <c r="M9" s="14">
        <v>8.3542688163913137E-2</v>
      </c>
      <c r="N9" s="14">
        <v>8.1868338890669854</v>
      </c>
      <c r="O9" s="14">
        <v>4829.0240000000003</v>
      </c>
      <c r="P9" s="14">
        <v>4880.5190000000002</v>
      </c>
      <c r="Q9" s="14">
        <v>54.007026672000002</v>
      </c>
      <c r="R9" s="14">
        <v>28.28</v>
      </c>
      <c r="S9" s="14">
        <v>56.12</v>
      </c>
      <c r="T9" s="14">
        <v>49.14</v>
      </c>
      <c r="U9" s="14">
        <v>47.52</v>
      </c>
      <c r="V9" s="14">
        <v>45.265000000000008</v>
      </c>
      <c r="W9" s="14">
        <v>0.5498101903642878</v>
      </c>
      <c r="X9" s="14">
        <v>0.32608298886421361</v>
      </c>
      <c r="Y9" s="14">
        <v>0.17512170372939165</v>
      </c>
      <c r="Z9" s="14">
        <v>4.2805911751659313E-2</v>
      </c>
      <c r="AA9" s="14">
        <v>28.6</v>
      </c>
      <c r="AB9" s="14">
        <v>7.6903690506988429</v>
      </c>
      <c r="AC9" s="14">
        <v>2.9013854768342244</v>
      </c>
      <c r="AD9" s="14">
        <v>3.6707428468098442</v>
      </c>
      <c r="AE9">
        <v>23421</v>
      </c>
    </row>
    <row r="10" spans="1:31" x14ac:dyDescent="0.35">
      <c r="A10" s="1" t="s">
        <v>55</v>
      </c>
      <c r="B10" s="1" t="s">
        <v>56</v>
      </c>
      <c r="C10" s="3">
        <v>5119136</v>
      </c>
      <c r="D10" s="14">
        <v>15.160310000000001</v>
      </c>
      <c r="E10" s="14">
        <v>1.57</v>
      </c>
      <c r="F10" s="14">
        <v>59.27</v>
      </c>
      <c r="G10" s="14">
        <v>0.74817312921555512</v>
      </c>
      <c r="H10" s="14">
        <v>7.3371756483906667</v>
      </c>
      <c r="I10" s="14">
        <v>3.7057034624592897</v>
      </c>
      <c r="J10" s="14">
        <v>5.8603639364142703E-3</v>
      </c>
      <c r="K10" s="14">
        <v>2.5394910391128504E-2</v>
      </c>
      <c r="L10" s="14">
        <v>0.21878692029279939</v>
      </c>
      <c r="M10" s="14">
        <v>0.5606414832502985</v>
      </c>
      <c r="N10" s="14">
        <v>12.601735917936152</v>
      </c>
      <c r="O10" s="14">
        <v>1163.4580000000001</v>
      </c>
      <c r="P10" s="14">
        <v>1145.1610000000001</v>
      </c>
      <c r="Q10" s="14">
        <v>45.432891845999997</v>
      </c>
      <c r="R10" s="14">
        <v>16.760000000000002</v>
      </c>
      <c r="S10" s="14">
        <v>38.69</v>
      </c>
      <c r="T10" s="14">
        <v>43.77</v>
      </c>
      <c r="U10" s="14">
        <v>38.17</v>
      </c>
      <c r="V10" s="14">
        <v>34.347499999999997</v>
      </c>
      <c r="W10" s="14">
        <v>0.83557862180849396</v>
      </c>
      <c r="X10" s="14">
        <v>0.58633455797762413</v>
      </c>
      <c r="Y10" s="14">
        <v>0.16570338837932277</v>
      </c>
      <c r="Z10" s="14">
        <v>7.5570310126372137E-2</v>
      </c>
      <c r="AA10" s="14">
        <v>18.600000000000001</v>
      </c>
      <c r="AB10" s="14">
        <v>10.51026065922062</v>
      </c>
      <c r="AC10" s="14">
        <v>7.243409825408037E-2</v>
      </c>
      <c r="AD10" s="14">
        <v>1.539632474828494</v>
      </c>
      <c r="AE10">
        <v>6451</v>
      </c>
    </row>
    <row r="11" spans="1:31" x14ac:dyDescent="0.35">
      <c r="A11" s="1" t="s">
        <v>57</v>
      </c>
      <c r="B11" s="1" t="s">
        <v>58</v>
      </c>
      <c r="C11" s="3">
        <v>17921183</v>
      </c>
      <c r="D11" s="14">
        <v>23.751449999999998</v>
      </c>
      <c r="E11" s="14">
        <v>3.29</v>
      </c>
      <c r="F11" s="14">
        <v>36.9</v>
      </c>
      <c r="G11" s="14">
        <v>0.91567615820897541</v>
      </c>
      <c r="H11" s="14">
        <v>1.3263633321527937</v>
      </c>
      <c r="I11" s="14">
        <v>0.4715090516066936</v>
      </c>
      <c r="J11" s="14">
        <v>7.2539854093337476E-3</v>
      </c>
      <c r="K11" s="14">
        <v>9.0953817055492367E-2</v>
      </c>
      <c r="L11" s="14">
        <v>0.57362284621500714</v>
      </c>
      <c r="M11" s="14">
        <v>0.58478282376782831</v>
      </c>
      <c r="N11" s="14">
        <v>3.9701620144161245</v>
      </c>
      <c r="O11" s="14">
        <v>2623.6219999999998</v>
      </c>
      <c r="P11" s="14">
        <v>2588.8200000000002</v>
      </c>
      <c r="Q11" s="14">
        <v>51.515060425000001</v>
      </c>
      <c r="R11" s="14">
        <v>10.76</v>
      </c>
      <c r="S11" s="14">
        <v>41.09</v>
      </c>
      <c r="T11" s="14">
        <v>58.54</v>
      </c>
      <c r="U11" s="14">
        <v>28.87</v>
      </c>
      <c r="V11" s="14">
        <v>34.814999999999998</v>
      </c>
      <c r="W11" s="14">
        <v>0.72291647714166141</v>
      </c>
      <c r="X11" s="14">
        <v>0.50936099410263569</v>
      </c>
      <c r="Y11" s="14">
        <v>0.15067298815289831</v>
      </c>
      <c r="Z11" s="14">
        <v>5.6395952595388391E-2</v>
      </c>
      <c r="AA11" s="14">
        <v>23.9</v>
      </c>
      <c r="AB11" s="14">
        <v>3.975771554255096</v>
      </c>
      <c r="AC11" s="14">
        <v>4.1133941883189298</v>
      </c>
      <c r="AD11" s="14">
        <v>3.6544511046340489</v>
      </c>
      <c r="AE11">
        <v>7115</v>
      </c>
    </row>
    <row r="12" spans="1:31" x14ac:dyDescent="0.35">
      <c r="A12" s="1" t="s">
        <v>59</v>
      </c>
      <c r="B12" s="1" t="s">
        <v>60</v>
      </c>
      <c r="C12" s="3">
        <v>926492</v>
      </c>
      <c r="D12" s="14">
        <v>31.806439999999998</v>
      </c>
      <c r="E12" s="14">
        <v>6.02</v>
      </c>
      <c r="F12" s="14">
        <v>55.92</v>
      </c>
      <c r="G12" s="14">
        <v>3.8208640765381676</v>
      </c>
      <c r="H12" s="14">
        <v>8.472820056730118</v>
      </c>
      <c r="I12" s="14">
        <v>6.3249331888456668</v>
      </c>
      <c r="J12" s="14">
        <v>0.34538884307689649</v>
      </c>
      <c r="K12" s="14">
        <v>0.43173605384612063</v>
      </c>
      <c r="L12" s="14">
        <v>1.7377376167306355</v>
      </c>
      <c r="M12" s="14">
        <v>0.17269442153844825</v>
      </c>
      <c r="N12" s="14">
        <v>21.306174257306051</v>
      </c>
      <c r="O12" s="14">
        <v>3356.835</v>
      </c>
      <c r="P12" s="14">
        <v>3392.3159999999998</v>
      </c>
      <c r="Q12" s="14">
        <v>59.019386292</v>
      </c>
      <c r="R12" s="14">
        <v>37.44</v>
      </c>
      <c r="S12" s="14">
        <v>51.48</v>
      </c>
      <c r="T12" s="14">
        <v>56.05</v>
      </c>
      <c r="U12" s="14">
        <v>49.64</v>
      </c>
      <c r="V12" s="14">
        <v>48.652499999999989</v>
      </c>
      <c r="W12" s="14">
        <v>0.39984340446251848</v>
      </c>
      <c r="X12" s="14">
        <v>0.18043054077648474</v>
      </c>
      <c r="Y12" s="14">
        <v>0.17489083430940955</v>
      </c>
      <c r="Z12" s="14">
        <v>3.9609689235262514E-2</v>
      </c>
      <c r="AA12" s="14">
        <v>24.9</v>
      </c>
      <c r="AB12" s="14">
        <v>20.789888741618917</v>
      </c>
      <c r="AC12" s="14">
        <v>0.92989469957646698</v>
      </c>
      <c r="AD12" s="14">
        <v>3.3887835062683962</v>
      </c>
      <c r="AE12">
        <v>1974</v>
      </c>
    </row>
    <row r="13" spans="1:31" x14ac:dyDescent="0.35">
      <c r="A13" s="1" t="s">
        <v>61</v>
      </c>
      <c r="B13" s="1" t="s">
        <v>62</v>
      </c>
      <c r="C13" s="3">
        <v>5940746</v>
      </c>
      <c r="D13" s="14">
        <v>33.953130000000002</v>
      </c>
      <c r="E13" s="14">
        <v>7.57</v>
      </c>
      <c r="F13" s="14">
        <v>41.9</v>
      </c>
      <c r="G13" s="14">
        <v>1.7539884721548438</v>
      </c>
      <c r="H13" s="14">
        <v>9.3809767325517708</v>
      </c>
      <c r="I13" s="14">
        <v>2.0031154336509251</v>
      </c>
      <c r="J13" s="14">
        <v>1.6832902803789289E-2</v>
      </c>
      <c r="K13" s="14">
        <v>5.3865288972125724E-2</v>
      </c>
      <c r="L13" s="14">
        <v>0.53865288972125724</v>
      </c>
      <c r="M13" s="14">
        <v>1.3079165478544277</v>
      </c>
      <c r="N13" s="14">
        <v>15.055348267709141</v>
      </c>
      <c r="O13" s="14">
        <v>5633.357</v>
      </c>
      <c r="P13" s="14">
        <v>5622.1610000000001</v>
      </c>
      <c r="Q13" s="14">
        <v>54.835735321000001</v>
      </c>
      <c r="R13" s="14">
        <v>28.57</v>
      </c>
      <c r="S13" s="14">
        <v>36.21</v>
      </c>
      <c r="T13" s="14">
        <v>52.47</v>
      </c>
      <c r="U13" s="14">
        <v>52.06</v>
      </c>
      <c r="V13" s="14">
        <v>42.327500000000001</v>
      </c>
      <c r="W13" s="14">
        <v>0.45539964839499342</v>
      </c>
      <c r="X13" s="14">
        <v>0.27170786700174843</v>
      </c>
      <c r="Y13" s="14">
        <v>0.15151453240979784</v>
      </c>
      <c r="Z13" s="14">
        <v>2.7856400828118095E-2</v>
      </c>
      <c r="AA13" s="14">
        <v>26.3</v>
      </c>
      <c r="AB13" s="14">
        <v>13.271802888054802</v>
      </c>
      <c r="AC13" s="14">
        <v>0.42558796487848494</v>
      </c>
      <c r="AD13" s="14">
        <v>2.5796663953513814</v>
      </c>
      <c r="AE13">
        <v>8944</v>
      </c>
    </row>
    <row r="14" spans="1:31" x14ac:dyDescent="0.35">
      <c r="A14" s="1" t="s">
        <v>63</v>
      </c>
      <c r="B14" s="1" t="s">
        <v>64</v>
      </c>
      <c r="C14" s="3">
        <v>28444206</v>
      </c>
      <c r="D14" s="14">
        <v>34.320340000000002</v>
      </c>
      <c r="E14" s="14">
        <v>8.59</v>
      </c>
      <c r="F14" s="14">
        <v>45.6</v>
      </c>
      <c r="G14" s="14">
        <v>1.8172417960972438</v>
      </c>
      <c r="H14" s="14">
        <v>5.6475473423304559</v>
      </c>
      <c r="I14" s="14">
        <v>3.0403379865832783</v>
      </c>
      <c r="J14" s="14">
        <v>0.14941531502057045</v>
      </c>
      <c r="K14" s="14">
        <v>0.42820671457659953</v>
      </c>
      <c r="L14" s="14">
        <v>0.17472802721229061</v>
      </c>
      <c r="M14" s="14">
        <v>0</v>
      </c>
      <c r="N14" s="14">
        <v>11.257477181820439</v>
      </c>
      <c r="O14" s="14">
        <v>6526.7870000000003</v>
      </c>
      <c r="P14" s="14">
        <v>6726.0720000000001</v>
      </c>
      <c r="Q14" s="14">
        <v>55.406253814999999</v>
      </c>
      <c r="R14" s="14">
        <v>19.16</v>
      </c>
      <c r="S14" s="14">
        <v>58.23</v>
      </c>
      <c r="T14" s="14">
        <v>58.65</v>
      </c>
      <c r="U14" s="14">
        <v>51.18</v>
      </c>
      <c r="V14" s="14">
        <v>46.805</v>
      </c>
      <c r="W14" s="14">
        <v>0.5078316369366449</v>
      </c>
      <c r="X14" s="14">
        <v>0.29631260176667984</v>
      </c>
      <c r="Y14" s="14">
        <v>0.16206600409758018</v>
      </c>
      <c r="Z14" s="14">
        <v>4.5583166487203272E-2</v>
      </c>
      <c r="AA14" s="14">
        <v>31.2</v>
      </c>
      <c r="AB14" s="14">
        <v>10.770365265601015</v>
      </c>
      <c r="AC14" s="14">
        <v>1.3951259704700494</v>
      </c>
      <c r="AD14" s="14">
        <v>5.9500000000203102</v>
      </c>
      <c r="AE14">
        <v>32021</v>
      </c>
    </row>
    <row r="15" spans="1:31" x14ac:dyDescent="0.35">
      <c r="A15" s="1" t="s">
        <v>65</v>
      </c>
      <c r="B15" s="1" t="s">
        <v>66</v>
      </c>
      <c r="C15" s="3">
        <v>98151951</v>
      </c>
      <c r="D15" s="14">
        <v>29.0413</v>
      </c>
      <c r="E15" s="14">
        <v>2.41</v>
      </c>
      <c r="F15" s="14">
        <v>41.64</v>
      </c>
      <c r="G15" s="14">
        <v>2.1690857678417417</v>
      </c>
      <c r="H15" s="14">
        <v>11.748722142059101</v>
      </c>
      <c r="I15" s="14">
        <v>0.43728117029482172</v>
      </c>
      <c r="J15" s="14">
        <v>4.5949163048221019E-2</v>
      </c>
      <c r="K15" s="14">
        <v>9.4547280063745243E-2</v>
      </c>
      <c r="L15" s="14">
        <v>0.29892426692567731</v>
      </c>
      <c r="M15" s="14">
        <v>0.29892426692567731</v>
      </c>
      <c r="N15" s="14">
        <v>15.093434057158985</v>
      </c>
      <c r="O15" s="14">
        <v>1544.1389999999999</v>
      </c>
      <c r="P15" s="14">
        <v>1592.4770000000001</v>
      </c>
      <c r="Q15" s="14">
        <v>53.205158234000002</v>
      </c>
      <c r="R15" s="14">
        <v>24.44</v>
      </c>
      <c r="S15" s="14">
        <v>48.21</v>
      </c>
      <c r="T15" s="14">
        <v>59.59</v>
      </c>
      <c r="U15" s="14">
        <v>43.22</v>
      </c>
      <c r="V15" s="14">
        <v>43.865000000000002</v>
      </c>
      <c r="W15" s="14">
        <v>0.61083886137873322</v>
      </c>
      <c r="X15" s="14">
        <v>0.39012942784630578</v>
      </c>
      <c r="Y15" s="14">
        <v>0.16891107812394099</v>
      </c>
      <c r="Z15" s="14">
        <v>4.7809794046407894E-2</v>
      </c>
      <c r="AA15" s="14">
        <v>26.1</v>
      </c>
      <c r="AB15" s="14">
        <v>13.539166857722474</v>
      </c>
      <c r="AC15" s="14">
        <v>6.893247919239017</v>
      </c>
      <c r="AD15" s="14">
        <v>6.675930289867793</v>
      </c>
      <c r="AE15">
        <v>148145</v>
      </c>
    </row>
    <row r="16" spans="1:31" x14ac:dyDescent="0.35">
      <c r="A16" s="1" t="s">
        <v>67</v>
      </c>
      <c r="B16" s="1" t="s">
        <v>68</v>
      </c>
      <c r="C16" s="3">
        <v>1543389</v>
      </c>
      <c r="D16" s="14">
        <v>42.420960000000001</v>
      </c>
      <c r="E16" s="14">
        <v>18.850000000000001</v>
      </c>
      <c r="F16" s="14">
        <v>50.2</v>
      </c>
      <c r="G16" s="14">
        <v>1.7817931837015812</v>
      </c>
      <c r="H16" s="14">
        <v>15.893595198618105</v>
      </c>
      <c r="I16" s="14">
        <v>0.16846044645905858</v>
      </c>
      <c r="J16" s="14">
        <v>0</v>
      </c>
      <c r="K16" s="14">
        <v>9.0709471170262332E-2</v>
      </c>
      <c r="L16" s="14">
        <v>0.86821922405822516</v>
      </c>
      <c r="M16" s="14">
        <v>1.4772685304871294</v>
      </c>
      <c r="N16" s="14">
        <v>20.280046054494363</v>
      </c>
      <c r="O16" s="14">
        <v>18770.063999999998</v>
      </c>
      <c r="P16" s="14">
        <v>18565.41</v>
      </c>
      <c r="Q16" s="14">
        <v>53.256332397999998</v>
      </c>
      <c r="R16" s="14">
        <v>41.09</v>
      </c>
      <c r="S16" s="14">
        <v>43.59</v>
      </c>
      <c r="T16" s="14">
        <v>50.27</v>
      </c>
      <c r="U16" s="14">
        <v>48.65</v>
      </c>
      <c r="V16" s="14">
        <v>45.900000000000006</v>
      </c>
      <c r="W16" s="14">
        <v>0.58306554041901237</v>
      </c>
      <c r="X16" s="14">
        <v>0.37725803356263643</v>
      </c>
      <c r="Y16" s="14">
        <v>0.17062503821141639</v>
      </c>
      <c r="Z16" s="14">
        <v>3.1497727378208405E-2</v>
      </c>
      <c r="AA16" s="14">
        <v>17.399999999999999</v>
      </c>
      <c r="AB16" s="14">
        <v>17.115683712920074</v>
      </c>
      <c r="AC16" s="14">
        <v>23.864221204116397</v>
      </c>
      <c r="AD16" s="14">
        <v>0.90724824598673592</v>
      </c>
      <c r="AE16">
        <v>3130</v>
      </c>
    </row>
    <row r="17" spans="1:31" x14ac:dyDescent="0.35">
      <c r="A17" s="1" t="s">
        <v>69</v>
      </c>
      <c r="B17" s="1" t="s">
        <v>70</v>
      </c>
      <c r="C17" s="3">
        <v>3727656</v>
      </c>
      <c r="D17" s="14">
        <v>25.596509999999999</v>
      </c>
      <c r="E17" s="14">
        <v>2.78</v>
      </c>
      <c r="F17" s="14">
        <v>0</v>
      </c>
      <c r="G17" s="14">
        <v>0.80211264129522675</v>
      </c>
      <c r="H17" s="14">
        <v>13.933689160158554</v>
      </c>
      <c r="I17" s="14">
        <v>0.17973761527351237</v>
      </c>
      <c r="J17" s="14">
        <v>0.17973761527351237</v>
      </c>
      <c r="K17" s="14">
        <v>0.6143270730990199</v>
      </c>
      <c r="L17" s="14">
        <v>0.91210133123871939</v>
      </c>
      <c r="M17" s="14">
        <v>0.82357384908907905</v>
      </c>
      <c r="N17" s="14">
        <v>17.44527928542762</v>
      </c>
      <c r="O17" s="14">
        <v>650</v>
      </c>
      <c r="P17" s="14">
        <v>650</v>
      </c>
      <c r="Q17" s="14">
        <v>55.424945831000002</v>
      </c>
      <c r="R17" s="14">
        <v>35.700000000000003</v>
      </c>
      <c r="S17" s="14">
        <v>36.43</v>
      </c>
      <c r="T17" s="14">
        <v>60.09</v>
      </c>
      <c r="U17" s="14">
        <v>51.96</v>
      </c>
      <c r="V17" s="14">
        <v>46.045000000000002</v>
      </c>
      <c r="W17" s="14">
        <v>0.43861376693852167</v>
      </c>
      <c r="X17" s="14">
        <v>0.18328272635143175</v>
      </c>
      <c r="Y17" s="14">
        <v>0.20161049336352013</v>
      </c>
      <c r="Z17" s="14">
        <v>4.9832601104196059E-2</v>
      </c>
      <c r="AA17" s="14">
        <v>21.4</v>
      </c>
      <c r="AB17" s="14">
        <v>14.517287311382807</v>
      </c>
      <c r="AC17" s="14">
        <v>2.6869968688097829</v>
      </c>
      <c r="AE17">
        <v>6503</v>
      </c>
    </row>
    <row r="18" spans="1:31" x14ac:dyDescent="0.35">
      <c r="A18" s="1" t="s">
        <v>71</v>
      </c>
      <c r="B18" s="1" t="s">
        <v>72</v>
      </c>
      <c r="C18" s="3">
        <v>1197512</v>
      </c>
      <c r="D18" s="14">
        <v>32.523240000000001</v>
      </c>
      <c r="E18" s="14">
        <v>24.95</v>
      </c>
      <c r="F18" s="14">
        <v>63.7</v>
      </c>
      <c r="G18" s="14">
        <v>5.72019320056918</v>
      </c>
      <c r="H18" s="14">
        <v>43.774091616618456</v>
      </c>
      <c r="I18" s="14">
        <v>0</v>
      </c>
      <c r="J18" s="14">
        <v>0.29227264528455665</v>
      </c>
      <c r="K18" s="14">
        <v>0.350727174341468</v>
      </c>
      <c r="L18" s="14">
        <v>0</v>
      </c>
      <c r="M18" s="14">
        <v>0</v>
      </c>
      <c r="N18" s="14">
        <v>50.137284636813654</v>
      </c>
      <c r="O18" s="14">
        <v>11033.557000000001</v>
      </c>
      <c r="P18" s="14">
        <v>11315.553</v>
      </c>
      <c r="Q18" s="14">
        <v>47.467403412000003</v>
      </c>
      <c r="R18" s="14">
        <v>32.979999999999997</v>
      </c>
      <c r="S18" s="14">
        <v>65.08</v>
      </c>
      <c r="T18" s="14">
        <v>62</v>
      </c>
      <c r="U18" s="14">
        <v>73.19</v>
      </c>
      <c r="V18" s="14">
        <v>58.3125</v>
      </c>
      <c r="W18" s="14">
        <v>0.71206086397362212</v>
      </c>
      <c r="X18" s="14">
        <v>0.38181597001458345</v>
      </c>
      <c r="Y18" s="14">
        <v>0.23565534232671201</v>
      </c>
      <c r="Z18" s="14">
        <v>7.5562409677964362E-2</v>
      </c>
      <c r="AA18" s="14">
        <v>29.3</v>
      </c>
      <c r="AB18" s="14">
        <v>43.650797545243812</v>
      </c>
      <c r="AC18" s="14">
        <v>4.3127442564249874</v>
      </c>
      <c r="AD18" s="14">
        <v>2.6407046161200043</v>
      </c>
      <c r="AE18">
        <v>6004</v>
      </c>
    </row>
    <row r="19" spans="1:31" x14ac:dyDescent="0.35">
      <c r="A19" s="1" t="s">
        <v>73</v>
      </c>
      <c r="B19" s="1" t="s">
        <v>74</v>
      </c>
      <c r="C19" s="3">
        <v>123771387</v>
      </c>
      <c r="D19" s="14">
        <v>31.205269999999999</v>
      </c>
      <c r="E19" s="14">
        <v>4.7</v>
      </c>
      <c r="F19" s="14">
        <v>30.98</v>
      </c>
      <c r="G19" s="14">
        <v>1.4876620878458768</v>
      </c>
      <c r="H19" s="14">
        <v>10.60519746781217</v>
      </c>
      <c r="I19" s="14">
        <v>1.7770666171818854</v>
      </c>
      <c r="J19" s="14">
        <v>0.28455688227845422</v>
      </c>
      <c r="K19" s="14">
        <v>1.5290286760703424</v>
      </c>
      <c r="L19" s="14">
        <v>1.9194258524387386</v>
      </c>
      <c r="M19" s="14">
        <v>1.7550098230700122</v>
      </c>
      <c r="N19" s="14">
        <v>19.35794740669748</v>
      </c>
      <c r="O19" s="14">
        <v>3409.15</v>
      </c>
      <c r="P19" s="14">
        <v>3591.681</v>
      </c>
      <c r="Q19" s="14">
        <v>58.827312470000003</v>
      </c>
      <c r="R19" s="14">
        <v>20.87</v>
      </c>
      <c r="S19" s="14">
        <v>29.04</v>
      </c>
      <c r="T19" s="14">
        <v>52.49</v>
      </c>
      <c r="U19" s="14">
        <v>47.93</v>
      </c>
      <c r="V19" s="14">
        <v>37.582500000000003</v>
      </c>
      <c r="W19" s="14">
        <v>0.38864962867377678</v>
      </c>
      <c r="X19" s="14">
        <v>0.20396757926685294</v>
      </c>
      <c r="Y19" s="14">
        <v>0.13963053062677852</v>
      </c>
      <c r="Z19" s="14">
        <v>4.1155728503339851E-2</v>
      </c>
      <c r="AA19" s="14">
        <v>37.799999999999997</v>
      </c>
      <c r="AB19" s="14">
        <v>17.313518936569729</v>
      </c>
      <c r="AC19" s="14">
        <v>1.8644829681031205</v>
      </c>
      <c r="AD19" s="14">
        <v>7.316691128483825</v>
      </c>
      <c r="AE19">
        <v>239596</v>
      </c>
    </row>
    <row r="20" spans="1:31" x14ac:dyDescent="0.35">
      <c r="A20" s="1" t="s">
        <v>75</v>
      </c>
      <c r="B20" s="1" t="s">
        <v>76</v>
      </c>
      <c r="C20" s="3">
        <v>2383905</v>
      </c>
      <c r="D20" s="14">
        <v>39.623849999999997</v>
      </c>
      <c r="E20" s="14">
        <v>34.92</v>
      </c>
      <c r="F20" s="14">
        <v>69</v>
      </c>
      <c r="G20" s="14">
        <v>5.3106143071976444</v>
      </c>
      <c r="H20" s="14">
        <v>20.281848479700326</v>
      </c>
      <c r="I20" s="14">
        <v>3.8801881786396688</v>
      </c>
      <c r="J20" s="14">
        <v>0.18457111336231938</v>
      </c>
      <c r="K20" s="14">
        <v>0.7844272317898574</v>
      </c>
      <c r="L20" s="14">
        <v>1.0780630939571838</v>
      </c>
      <c r="M20" s="14">
        <v>1.0612839018333364</v>
      </c>
      <c r="N20" s="14">
        <v>32.580996306480337</v>
      </c>
      <c r="O20" s="14">
        <v>21035.028999999999</v>
      </c>
      <c r="P20" s="14">
        <v>21218.077000000001</v>
      </c>
      <c r="Q20" s="14">
        <v>56.258869171000001</v>
      </c>
      <c r="R20" s="14">
        <v>48.48</v>
      </c>
      <c r="S20" s="14">
        <v>34.369999999999997</v>
      </c>
      <c r="T20" s="14">
        <v>53.8</v>
      </c>
      <c r="U20" s="14">
        <v>64.17</v>
      </c>
      <c r="V20" s="14">
        <v>50.204999999999998</v>
      </c>
      <c r="W20" s="14">
        <v>0.44235278336803757</v>
      </c>
      <c r="X20" s="14">
        <v>0.24190195271789894</v>
      </c>
      <c r="Y20" s="14">
        <v>0.16573109722475374</v>
      </c>
      <c r="Z20" s="14">
        <v>3.1464039541019249E-2</v>
      </c>
      <c r="AA20" s="14">
        <v>21.8</v>
      </c>
      <c r="AB20" s="14">
        <v>30.406050199148034</v>
      </c>
      <c r="AC20" s="14">
        <v>1.3004664615410431</v>
      </c>
      <c r="AD20" s="14">
        <v>3.3839076078346721</v>
      </c>
      <c r="AE20">
        <v>7767</v>
      </c>
    </row>
    <row r="21" spans="1:31" x14ac:dyDescent="0.35">
      <c r="A21" s="1" t="s">
        <v>77</v>
      </c>
      <c r="B21" s="1" t="s">
        <v>78</v>
      </c>
      <c r="C21" s="3">
        <v>2631251</v>
      </c>
      <c r="D21" s="14">
        <v>34.679810000000003</v>
      </c>
      <c r="E21" s="14">
        <v>5.97</v>
      </c>
      <c r="F21" s="14">
        <v>67.2</v>
      </c>
      <c r="G21" s="14">
        <v>0.91971461483530081</v>
      </c>
      <c r="H21" s="14">
        <v>5.1116370122044614</v>
      </c>
      <c r="I21" s="14">
        <v>1.6304031808443968</v>
      </c>
      <c r="J21" s="14">
        <v>3.4204262535197136E-2</v>
      </c>
      <c r="K21" s="14">
        <v>3.8004736150219036E-2</v>
      </c>
      <c r="L21" s="14">
        <v>0.19382415436611711</v>
      </c>
      <c r="M21" s="14">
        <v>0.67268382985887709</v>
      </c>
      <c r="N21" s="14">
        <v>8.60047179079457</v>
      </c>
      <c r="O21" s="14">
        <v>2991.8870000000002</v>
      </c>
      <c r="P21" s="14">
        <v>3073.5410000000002</v>
      </c>
      <c r="Q21" s="14">
        <v>55.842544556</v>
      </c>
      <c r="R21" s="14">
        <v>28.12</v>
      </c>
      <c r="S21" s="14">
        <v>43.85</v>
      </c>
      <c r="T21" s="14">
        <v>57.74</v>
      </c>
      <c r="U21" s="14">
        <v>63.72</v>
      </c>
      <c r="V21" s="14">
        <v>48.357500000000002</v>
      </c>
      <c r="W21" s="14">
        <v>0.43458984739430023</v>
      </c>
      <c r="X21" s="14">
        <v>0.23410544769086855</v>
      </c>
      <c r="Y21" s="14">
        <v>0.15868965386219419</v>
      </c>
      <c r="Z21" s="14">
        <v>3.6390078838956785E-2</v>
      </c>
      <c r="AA21" s="14">
        <v>28.7</v>
      </c>
      <c r="AB21" s="14">
        <v>7.574651806308105</v>
      </c>
      <c r="AC21" s="14">
        <v>1.3278115618768411</v>
      </c>
      <c r="AD21" s="14">
        <v>5.7467176553559653</v>
      </c>
      <c r="AE21">
        <v>2263</v>
      </c>
    </row>
    <row r="22" spans="1:31" x14ac:dyDescent="0.35">
      <c r="A22" s="1" t="s">
        <v>79</v>
      </c>
      <c r="B22" s="1" t="s">
        <v>80</v>
      </c>
      <c r="C22" s="3">
        <v>33062741</v>
      </c>
      <c r="D22" s="14">
        <v>36.055259999999997</v>
      </c>
      <c r="E22" s="14">
        <v>10.84</v>
      </c>
      <c r="F22" s="14">
        <v>47.5</v>
      </c>
      <c r="G22" s="14">
        <v>2.7151408892565807</v>
      </c>
      <c r="H22" s="14">
        <v>34.116953582281639</v>
      </c>
      <c r="I22" s="14">
        <v>7.8807743132972554</v>
      </c>
      <c r="J22" s="14">
        <v>7.3799083990041842E-2</v>
      </c>
      <c r="K22" s="14">
        <v>1.7348833842904918</v>
      </c>
      <c r="L22" s="14">
        <v>0.81058010284144311</v>
      </c>
      <c r="M22" s="14">
        <v>1.1320900466177319</v>
      </c>
      <c r="N22" s="14">
        <v>48.464221402575184</v>
      </c>
      <c r="O22" s="14">
        <v>6808.5389999999998</v>
      </c>
      <c r="P22" s="14">
        <v>7061.9350000000004</v>
      </c>
      <c r="Q22" s="14">
        <v>57.882518767999997</v>
      </c>
      <c r="R22" s="14">
        <v>25.98</v>
      </c>
      <c r="S22" s="14">
        <v>41.42</v>
      </c>
      <c r="T22" s="14">
        <v>70.510000000000005</v>
      </c>
      <c r="U22" s="14">
        <v>68.739999999999995</v>
      </c>
      <c r="V22" s="14">
        <v>51.662500000000009</v>
      </c>
      <c r="W22" s="14">
        <v>0.40610833867673551</v>
      </c>
      <c r="X22" s="14">
        <v>0.19130623036279376</v>
      </c>
      <c r="Y22" s="14">
        <v>0.17586458070213506</v>
      </c>
      <c r="Z22" s="14">
        <v>3.571769450100705E-2</v>
      </c>
      <c r="AA22" s="14">
        <v>34.299999999999997</v>
      </c>
      <c r="AB22" s="14">
        <v>40.416606624659472</v>
      </c>
      <c r="AC22" s="14">
        <v>15.163717959742055</v>
      </c>
      <c r="AD22" s="14">
        <v>5.6848726038983557</v>
      </c>
      <c r="AE22">
        <v>160236</v>
      </c>
    </row>
    <row r="23" spans="1:31" x14ac:dyDescent="0.35">
      <c r="A23" s="1" t="s">
        <v>81</v>
      </c>
      <c r="B23" s="1" t="s">
        <v>82</v>
      </c>
      <c r="C23" s="3">
        <v>14238716</v>
      </c>
      <c r="D23" s="14">
        <v>25.688559999999999</v>
      </c>
      <c r="E23" s="14">
        <v>6.82</v>
      </c>
      <c r="F23" s="14">
        <v>68.5</v>
      </c>
      <c r="G23" s="14">
        <v>2.069006784038673</v>
      </c>
      <c r="H23" s="14">
        <v>3.5248964864528514</v>
      </c>
      <c r="I23" s="14">
        <v>0.62716329197098952</v>
      </c>
      <c r="J23" s="14">
        <v>2.7390110175664714E-2</v>
      </c>
      <c r="K23" s="14">
        <v>0.17908918191780776</v>
      </c>
      <c r="L23" s="14">
        <v>0.12711820363577728</v>
      </c>
      <c r="M23" s="14">
        <v>0.22263243399194141</v>
      </c>
      <c r="N23" s="14">
        <v>6.7772964921837051</v>
      </c>
      <c r="O23" s="14">
        <v>3764.5329999999999</v>
      </c>
      <c r="P23" s="14">
        <v>3895.7669999999998</v>
      </c>
      <c r="Q23" s="14">
        <v>53.426258087000001</v>
      </c>
      <c r="R23" s="14">
        <v>18.03</v>
      </c>
      <c r="S23" s="14">
        <v>47.87</v>
      </c>
      <c r="T23" s="14">
        <v>58.4</v>
      </c>
      <c r="U23" s="14">
        <v>50.42</v>
      </c>
      <c r="V23" s="14">
        <v>43.680000000000007</v>
      </c>
      <c r="W23" s="14">
        <v>0.62038057824360393</v>
      </c>
      <c r="X23" s="14">
        <v>0.39821246299625696</v>
      </c>
      <c r="Y23" s="14">
        <v>0.16588446968476117</v>
      </c>
      <c r="Z23" s="14">
        <v>5.3108951240738007E-2</v>
      </c>
      <c r="AA23" s="14">
        <v>26.8</v>
      </c>
      <c r="AB23" s="14">
        <v>7.1826171713797784</v>
      </c>
      <c r="AC23" s="14">
        <v>2.7373713683171994</v>
      </c>
      <c r="AD23" s="14">
        <v>5.6685239347435044</v>
      </c>
      <c r="AE23">
        <v>9650</v>
      </c>
    </row>
    <row r="24" spans="1:31" x14ac:dyDescent="0.35">
      <c r="A24" s="1" t="s">
        <v>83</v>
      </c>
      <c r="B24" s="1" t="s">
        <v>84</v>
      </c>
      <c r="C24" s="3">
        <v>2111612</v>
      </c>
      <c r="D24" s="14">
        <v>24.262920000000001</v>
      </c>
      <c r="E24" s="14">
        <v>3.06</v>
      </c>
      <c r="F24" s="14">
        <v>55.76</v>
      </c>
      <c r="G24" s="14">
        <v>2.5146665201751079</v>
      </c>
      <c r="H24" s="14">
        <v>8.9126222052157313</v>
      </c>
      <c r="I24" s="14">
        <v>0.96135085422890187</v>
      </c>
      <c r="J24" s="14">
        <v>9.9450088368507092E-2</v>
      </c>
      <c r="K24" s="14">
        <v>9.4714369874768656E-3</v>
      </c>
      <c r="L24" s="14">
        <v>4.7357184937384328E-3</v>
      </c>
      <c r="M24" s="14">
        <v>0.80980786242927205</v>
      </c>
      <c r="N24" s="14">
        <v>13.312104685898735</v>
      </c>
      <c r="O24" s="14">
        <v>2662.1570000000002</v>
      </c>
      <c r="P24" s="14">
        <v>2729.1590000000001</v>
      </c>
      <c r="Q24" s="14">
        <v>51.450366973999998</v>
      </c>
      <c r="R24" s="14">
        <v>17.329999999999998</v>
      </c>
      <c r="S24" s="14">
        <v>29.95</v>
      </c>
      <c r="T24" s="14">
        <v>61.51</v>
      </c>
      <c r="U24" s="14">
        <v>60.3</v>
      </c>
      <c r="V24" s="14">
        <v>42.272499999999994</v>
      </c>
      <c r="W24" s="14">
        <v>0.59333547971526324</v>
      </c>
      <c r="X24" s="14">
        <v>0.36455418034516718</v>
      </c>
      <c r="Y24" s="14">
        <v>0.17227405256931699</v>
      </c>
      <c r="Z24" s="14">
        <v>4.9926094455427172E-2</v>
      </c>
      <c r="AA24" s="14">
        <v>21.4</v>
      </c>
      <c r="AB24" s="14">
        <v>12.653131943747242</v>
      </c>
      <c r="AC24" s="14">
        <v>0.12567910203200208</v>
      </c>
      <c r="AD24" s="14">
        <v>4.8134859518829529</v>
      </c>
      <c r="AE24">
        <v>2811</v>
      </c>
    </row>
    <row r="25" spans="1:31" x14ac:dyDescent="0.35">
      <c r="A25" s="1" t="s">
        <v>85</v>
      </c>
      <c r="B25" s="1" t="s">
        <v>86</v>
      </c>
      <c r="C25" s="3">
        <v>57458890</v>
      </c>
      <c r="D25" s="14">
        <v>33.363419999999998</v>
      </c>
      <c r="E25" s="14">
        <v>7.39</v>
      </c>
      <c r="F25" s="14">
        <v>50</v>
      </c>
      <c r="G25" s="14">
        <v>2.7835553384341396</v>
      </c>
      <c r="H25" s="14">
        <v>21.841528786929231</v>
      </c>
      <c r="I25" s="14">
        <v>4.8208379939118216E-2</v>
      </c>
      <c r="J25" s="14">
        <v>0.23390636331471074</v>
      </c>
      <c r="K25" s="14">
        <v>0.20640844262741587</v>
      </c>
      <c r="L25" s="14">
        <v>1.7403747270439789</v>
      </c>
      <c r="M25" s="14">
        <v>0.14549532718087663</v>
      </c>
      <c r="N25" s="14">
        <v>26.999477365469474</v>
      </c>
      <c r="O25" s="14">
        <v>6102.0050000000001</v>
      </c>
      <c r="P25" s="14">
        <v>6267.1480000000001</v>
      </c>
      <c r="Q25" s="14">
        <v>58.217082976999997</v>
      </c>
      <c r="R25" s="14">
        <v>40.619999999999997</v>
      </c>
      <c r="S25" s="14">
        <v>53.15</v>
      </c>
      <c r="T25" s="14">
        <v>50.91</v>
      </c>
      <c r="U25" s="14">
        <v>73.63</v>
      </c>
      <c r="V25" s="14">
        <v>54.577500000000001</v>
      </c>
      <c r="W25" s="14">
        <v>0.3550140055913259</v>
      </c>
      <c r="X25" s="14">
        <v>0.18481356088142981</v>
      </c>
      <c r="Y25" s="14">
        <v>0.13523830496780934</v>
      </c>
      <c r="Z25" s="14">
        <v>3.1453024298790933E-2</v>
      </c>
      <c r="AA25" s="14">
        <v>38.799999999999997</v>
      </c>
      <c r="AB25" s="14">
        <v>23.424520390839444</v>
      </c>
      <c r="AC25" s="14">
        <v>0.84095736099322493</v>
      </c>
      <c r="AD25" s="14">
        <v>4.4964982846120876</v>
      </c>
      <c r="AE25">
        <v>155136</v>
      </c>
    </row>
    <row r="26" spans="1:31" x14ac:dyDescent="0.35">
      <c r="A26" s="1" t="s">
        <v>87</v>
      </c>
      <c r="B26" s="1" t="s">
        <v>88</v>
      </c>
      <c r="C26" s="3">
        <v>2192400</v>
      </c>
      <c r="D26" s="14">
        <v>26.338650000000001</v>
      </c>
      <c r="E26" s="14">
        <v>3.19</v>
      </c>
      <c r="F26" s="14">
        <v>56.01</v>
      </c>
      <c r="G26" s="14">
        <v>2.449370552818829</v>
      </c>
      <c r="H26" s="14">
        <v>5.6330961503375301</v>
      </c>
      <c r="I26" s="14">
        <v>12.675606641123881</v>
      </c>
      <c r="J26" s="14">
        <v>0.38314176245210729</v>
      </c>
      <c r="K26" s="14">
        <v>1.1722313446451378</v>
      </c>
      <c r="L26" s="14">
        <v>1.8974639664294839</v>
      </c>
      <c r="M26" s="14">
        <v>1.2452107279693487</v>
      </c>
      <c r="N26" s="14">
        <v>25.456121145776319</v>
      </c>
      <c r="O26" s="14">
        <v>2851.384</v>
      </c>
      <c r="P26" s="14">
        <v>2891.0540000000001</v>
      </c>
      <c r="Q26" s="14">
        <v>44.634334564</v>
      </c>
      <c r="R26" s="14">
        <v>32.270000000000003</v>
      </c>
      <c r="S26" s="14">
        <v>50.71</v>
      </c>
      <c r="T26" s="14">
        <v>65.78</v>
      </c>
      <c r="U26" s="14">
        <v>74.680000000000007</v>
      </c>
      <c r="V26" s="14">
        <v>55.86</v>
      </c>
      <c r="W26" s="14">
        <v>0.80615459710445958</v>
      </c>
      <c r="X26" s="14">
        <v>0.4663514433682352</v>
      </c>
      <c r="Y26" s="14">
        <v>0.24303600774076528</v>
      </c>
      <c r="Z26" s="14">
        <v>8.4683657155983097E-2</v>
      </c>
      <c r="AA26" s="14">
        <v>30.9</v>
      </c>
      <c r="AB26" s="14">
        <v>23.526333520343005</v>
      </c>
      <c r="AC26" s="14">
        <v>4.2294499178981937</v>
      </c>
      <c r="AD26" s="14">
        <v>2.7622381853268791</v>
      </c>
      <c r="AE26">
        <v>5581</v>
      </c>
    </row>
    <row r="27" spans="1:31" x14ac:dyDescent="0.35">
      <c r="A27" s="1" t="s">
        <v>89</v>
      </c>
      <c r="B27" s="1" t="s">
        <v>90</v>
      </c>
      <c r="C27" s="3">
        <v>5432272</v>
      </c>
      <c r="D27" s="14">
        <v>35.735259999999997</v>
      </c>
      <c r="E27" s="14">
        <v>1.53</v>
      </c>
      <c r="F27" s="14">
        <v>43</v>
      </c>
      <c r="G27" s="14">
        <v>1.7561712668290541</v>
      </c>
      <c r="H27" s="14">
        <v>8.143922101102449</v>
      </c>
      <c r="I27" s="14">
        <v>1.8206010302871434</v>
      </c>
      <c r="J27" s="14">
        <v>1.4726803076134626E-2</v>
      </c>
      <c r="K27" s="14">
        <v>0.31294456536786081</v>
      </c>
      <c r="L27" s="14">
        <v>0.21169779421943524</v>
      </c>
      <c r="M27" s="14">
        <v>0</v>
      </c>
      <c r="N27" s="14">
        <v>12.260063560882079</v>
      </c>
      <c r="O27" s="14">
        <v>1631.3579999999999</v>
      </c>
      <c r="P27" s="14">
        <v>1670.3019999999999</v>
      </c>
      <c r="Q27" s="14">
        <v>53.960998535000002</v>
      </c>
      <c r="R27" s="14">
        <v>29.07</v>
      </c>
      <c r="S27" s="14">
        <v>42.02</v>
      </c>
      <c r="T27" s="14">
        <v>53.05</v>
      </c>
      <c r="U27" s="14">
        <v>61.65</v>
      </c>
      <c r="V27" s="14">
        <v>46.447499999999998</v>
      </c>
      <c r="W27" s="14">
        <v>0.53500919481581555</v>
      </c>
      <c r="X27" s="14">
        <v>0.33742173029304895</v>
      </c>
      <c r="Y27" s="14">
        <v>0.15837176614969409</v>
      </c>
      <c r="Z27" s="14">
        <v>3.7012274193028341E-2</v>
      </c>
      <c r="AA27" s="14">
        <v>35.700000000000003</v>
      </c>
      <c r="AB27" s="14">
        <v>11.114929521202178</v>
      </c>
      <c r="AC27" s="14">
        <v>0.55403733465481841</v>
      </c>
      <c r="AD27" s="14">
        <v>4.7929148215681181</v>
      </c>
      <c r="AE27">
        <v>6660</v>
      </c>
    </row>
    <row r="28" spans="1:31" x14ac:dyDescent="0.35">
      <c r="A28" s="1" t="s">
        <v>91</v>
      </c>
      <c r="B28" s="1" t="s">
        <v>92</v>
      </c>
      <c r="C28" s="3">
        <v>29942591</v>
      </c>
      <c r="D28" s="14">
        <v>29.01793</v>
      </c>
      <c r="E28" s="14">
        <v>1.89</v>
      </c>
      <c r="F28" s="14">
        <v>56.2</v>
      </c>
      <c r="G28" s="14">
        <v>1.7466758304249621</v>
      </c>
      <c r="H28" s="14">
        <v>1.5229142995674625</v>
      </c>
      <c r="I28" s="14">
        <v>1.3338859018579923</v>
      </c>
      <c r="J28" s="14">
        <v>8.3827080963033554E-2</v>
      </c>
      <c r="K28" s="14">
        <v>1.0019173023470147E-2</v>
      </c>
      <c r="L28" s="14">
        <v>0.1021955648393955</v>
      </c>
      <c r="M28" s="14">
        <v>0.1021955648393955</v>
      </c>
      <c r="N28" s="14">
        <v>4.9017134155157125</v>
      </c>
      <c r="O28" s="14">
        <v>1707.712</v>
      </c>
      <c r="P28" s="14">
        <v>1731.3050000000001</v>
      </c>
      <c r="Q28" s="14">
        <v>55.137020110999998</v>
      </c>
      <c r="R28" s="14">
        <v>18.98</v>
      </c>
      <c r="S28" s="14">
        <v>29.47</v>
      </c>
      <c r="T28" s="14">
        <v>45.77</v>
      </c>
      <c r="U28" s="14">
        <v>58.24</v>
      </c>
      <c r="V28" s="14">
        <v>38.115000000000002</v>
      </c>
      <c r="W28" s="14">
        <v>0.50996008202158039</v>
      </c>
      <c r="X28" s="14">
        <v>0.28997473886399255</v>
      </c>
      <c r="Y28" s="14">
        <v>0.17565735709921348</v>
      </c>
      <c r="Z28" s="14">
        <v>3.9462753054174259E-2</v>
      </c>
      <c r="AA28" s="14">
        <v>30.4</v>
      </c>
      <c r="AB28" s="14">
        <v>5.546029247769507</v>
      </c>
      <c r="AC28" s="14">
        <v>2.0891931496509435</v>
      </c>
      <c r="AD28" s="14">
        <v>4.1999999999822393</v>
      </c>
      <c r="AE28">
        <v>14677</v>
      </c>
    </row>
    <row r="29" spans="1:31" x14ac:dyDescent="0.35">
      <c r="A29" s="1" t="s">
        <v>93</v>
      </c>
      <c r="B29" s="1" t="s">
        <v>94</v>
      </c>
      <c r="C29" s="3">
        <v>20728157</v>
      </c>
      <c r="D29" s="14">
        <v>29.890059999999998</v>
      </c>
      <c r="E29" s="14">
        <v>2.77</v>
      </c>
      <c r="F29" s="14">
        <v>47</v>
      </c>
      <c r="G29" s="14">
        <v>0.53791564778286849</v>
      </c>
      <c r="H29" s="14">
        <v>4.7370347493990899</v>
      </c>
      <c r="I29" s="14">
        <v>0.29718030406658924</v>
      </c>
      <c r="J29" s="14">
        <v>4.872599141351544E-2</v>
      </c>
      <c r="K29" s="14">
        <v>5.9339573701607917E-2</v>
      </c>
      <c r="L29" s="14">
        <v>4.3419200269469202E-2</v>
      </c>
      <c r="M29" s="14">
        <v>0.10082903173687849</v>
      </c>
      <c r="N29" s="14">
        <v>5.8244444983700179</v>
      </c>
      <c r="O29" s="14">
        <v>1530.6220000000001</v>
      </c>
      <c r="P29" s="14">
        <v>1514.5540000000001</v>
      </c>
      <c r="Q29" s="14">
        <v>54.668174743999998</v>
      </c>
      <c r="R29" s="14">
        <v>22.25</v>
      </c>
      <c r="S29" s="14">
        <v>57.77</v>
      </c>
      <c r="T29" s="14">
        <v>58.77</v>
      </c>
      <c r="U29" s="14">
        <v>71.89</v>
      </c>
      <c r="V29" s="14">
        <v>52.67</v>
      </c>
      <c r="W29" s="14">
        <v>0.4448113398104841</v>
      </c>
      <c r="X29" s="14">
        <v>0.24303617762927013</v>
      </c>
      <c r="Y29" s="14">
        <v>0.16367846891482588</v>
      </c>
      <c r="Z29" s="14">
        <v>3.3520621590401881E-2</v>
      </c>
      <c r="AA29" s="14">
        <v>28.5</v>
      </c>
      <c r="AB29" s="14">
        <v>5.0174020724563215</v>
      </c>
      <c r="AC29" s="14">
        <v>0.71150071373928714</v>
      </c>
      <c r="AD29" s="14">
        <v>1.8268500001019419</v>
      </c>
      <c r="AE29">
        <v>12073</v>
      </c>
    </row>
    <row r="30" spans="1:31" x14ac:dyDescent="0.35">
      <c r="A30" s="1" t="s">
        <v>95</v>
      </c>
      <c r="B30" s="1" t="s">
        <v>96</v>
      </c>
      <c r="C30" s="3">
        <v>22105727</v>
      </c>
      <c r="D30" s="14">
        <v>29.593610000000002</v>
      </c>
      <c r="E30" s="14">
        <v>2.99</v>
      </c>
      <c r="F30" s="14">
        <v>36.5</v>
      </c>
      <c r="G30" s="14">
        <v>2.0157672262938919</v>
      </c>
      <c r="H30" s="14">
        <v>2.8811538295030967</v>
      </c>
      <c r="I30" s="14">
        <v>1.475635702910834</v>
      </c>
      <c r="J30" s="14">
        <v>1.3571143803594426E-2</v>
      </c>
      <c r="K30" s="14">
        <v>0.77853128286620032</v>
      </c>
      <c r="L30" s="14">
        <v>0.67674770433924203</v>
      </c>
      <c r="M30" s="14">
        <v>0</v>
      </c>
      <c r="N30" s="14">
        <v>7.8414068897168594</v>
      </c>
      <c r="O30" s="14">
        <v>2443.5479999999998</v>
      </c>
      <c r="P30" s="14">
        <v>2472.828</v>
      </c>
      <c r="Q30" s="14">
        <v>53.557147980000003</v>
      </c>
      <c r="R30" s="14">
        <v>15.25</v>
      </c>
      <c r="S30" s="14">
        <v>59.37</v>
      </c>
      <c r="T30" s="14">
        <v>67.760000000000005</v>
      </c>
      <c r="U30" s="14">
        <v>47.33</v>
      </c>
      <c r="V30" s="14">
        <v>47.427499999999995</v>
      </c>
      <c r="W30" s="14">
        <v>0.63970272370162862</v>
      </c>
      <c r="X30" s="14">
        <v>0.42599321031519566</v>
      </c>
      <c r="Y30" s="14">
        <v>0.15654855723368269</v>
      </c>
      <c r="Z30" s="14">
        <v>5.3925054752561812E-2</v>
      </c>
      <c r="AA30" s="14">
        <v>29</v>
      </c>
      <c r="AB30" s="14">
        <v>8.1755817250434699</v>
      </c>
      <c r="AC30" s="14">
        <v>0</v>
      </c>
      <c r="AD30" s="14">
        <v>5.0045459374303647</v>
      </c>
      <c r="AE30">
        <v>17334</v>
      </c>
    </row>
    <row r="31" spans="1:31" x14ac:dyDescent="0.35">
      <c r="A31" s="1" t="s">
        <v>97</v>
      </c>
      <c r="B31" s="1" t="s">
        <v>98</v>
      </c>
      <c r="C31" s="3">
        <v>5030233</v>
      </c>
      <c r="D31" s="14">
        <v>42.141039999999997</v>
      </c>
      <c r="E31" s="14">
        <v>15.14</v>
      </c>
      <c r="F31" s="14">
        <v>76</v>
      </c>
      <c r="G31" s="14">
        <v>2.5306978821855766</v>
      </c>
      <c r="H31" s="14">
        <v>12.927830579617286</v>
      </c>
      <c r="I31" s="14">
        <v>2.6658804870470219</v>
      </c>
      <c r="J31" s="14">
        <v>0.2962089430052246</v>
      </c>
      <c r="K31" s="14">
        <v>0.19283400987588448</v>
      </c>
      <c r="L31" s="14">
        <v>0.64808131154163229</v>
      </c>
      <c r="M31" s="14">
        <v>1.7891815349308868E-2</v>
      </c>
      <c r="N31" s="14">
        <v>19.279425028621933</v>
      </c>
      <c r="O31" s="14">
        <v>7095.5609999999997</v>
      </c>
      <c r="P31" s="14">
        <v>7258.2529999999997</v>
      </c>
      <c r="Q31" s="14">
        <v>60.393123627000001</v>
      </c>
      <c r="R31" s="14">
        <v>22.04</v>
      </c>
      <c r="S31" s="14">
        <v>47.04</v>
      </c>
      <c r="T31" s="14">
        <v>60.5</v>
      </c>
      <c r="U31" s="14">
        <v>41.31</v>
      </c>
      <c r="V31" s="14">
        <v>42.722499999999997</v>
      </c>
      <c r="W31" s="14">
        <v>0.35641087386771675</v>
      </c>
      <c r="X31" s="14">
        <v>0.18769681627792961</v>
      </c>
      <c r="Y31" s="14">
        <v>0.13676511724373536</v>
      </c>
      <c r="Z31" s="14">
        <v>2.6374756088042517E-2</v>
      </c>
      <c r="AA31" s="14">
        <v>26.2</v>
      </c>
      <c r="AB31" s="14">
        <v>17.62192288707104</v>
      </c>
      <c r="AC31" s="14">
        <v>0.48384448593136742</v>
      </c>
      <c r="AD31" s="14">
        <v>5.2000000000000028</v>
      </c>
      <c r="AE31">
        <v>9698</v>
      </c>
    </row>
    <row r="32" spans="1:31" x14ac:dyDescent="0.35">
      <c r="A32" s="1" t="s">
        <v>99</v>
      </c>
      <c r="B32" s="1" t="s">
        <v>100</v>
      </c>
      <c r="C32" s="3">
        <v>1275657</v>
      </c>
      <c r="D32" s="14">
        <v>56.651220000000002</v>
      </c>
      <c r="E32" s="14">
        <v>32.83</v>
      </c>
      <c r="F32" s="14">
        <v>41.9</v>
      </c>
      <c r="G32" s="14">
        <v>14.369066292898482</v>
      </c>
      <c r="H32" s="14">
        <v>36.052010846175733</v>
      </c>
      <c r="I32" s="14">
        <v>4.4447684604874196</v>
      </c>
      <c r="J32" s="14">
        <v>3.2453864949590678</v>
      </c>
      <c r="K32" s="14">
        <v>0.32140301037034252</v>
      </c>
      <c r="L32" s="14">
        <v>2.4928331048236321</v>
      </c>
      <c r="M32" s="14">
        <v>2.0695218228724492</v>
      </c>
      <c r="N32" s="14">
        <v>62.994990032587125</v>
      </c>
      <c r="O32" s="14">
        <v>26072.481</v>
      </c>
      <c r="P32" s="14">
        <v>27341.633999999998</v>
      </c>
      <c r="Q32" s="14">
        <v>63.631698608000001</v>
      </c>
      <c r="R32" s="14">
        <v>77.61</v>
      </c>
      <c r="S32" s="14">
        <v>52.41</v>
      </c>
      <c r="T32" s="14">
        <v>61.3</v>
      </c>
      <c r="U32" s="14">
        <v>74.5</v>
      </c>
      <c r="V32" s="14">
        <v>66.454999999999998</v>
      </c>
      <c r="W32" s="14">
        <v>0.38045249500622641</v>
      </c>
      <c r="X32" s="14">
        <v>5.6210977567414437E-2</v>
      </c>
      <c r="Y32" s="14">
        <v>0.30203463470943331</v>
      </c>
      <c r="Z32" s="14">
        <v>2.2206882729378607E-2</v>
      </c>
      <c r="AA32" s="14">
        <v>39.700000000000003</v>
      </c>
      <c r="AB32" s="14">
        <v>66.876465201852838</v>
      </c>
      <c r="AC32" s="14">
        <v>9.9309120711915515</v>
      </c>
      <c r="AD32" s="14">
        <v>4.6939031839850429</v>
      </c>
      <c r="AE32">
        <v>8036</v>
      </c>
    </row>
    <row r="33" spans="1:31" x14ac:dyDescent="0.35">
      <c r="A33" s="1" t="s">
        <v>101</v>
      </c>
      <c r="B33" s="1" t="s">
        <v>102</v>
      </c>
      <c r="C33" s="3">
        <v>34034812</v>
      </c>
      <c r="D33" s="14">
        <v>25.11178</v>
      </c>
      <c r="E33" s="14">
        <v>2.4300000000000002</v>
      </c>
      <c r="F33" s="14">
        <v>40</v>
      </c>
      <c r="G33" s="14">
        <v>1.6803383547410222</v>
      </c>
      <c r="H33" s="14">
        <v>5.0442470491683631</v>
      </c>
      <c r="I33" s="14">
        <v>3.9151090360070158</v>
      </c>
      <c r="J33" s="14">
        <v>0.10753695363441408</v>
      </c>
      <c r="K33" s="14">
        <v>0.1474960402308084</v>
      </c>
      <c r="L33" s="14">
        <v>9.4902830666436469E-2</v>
      </c>
      <c r="M33" s="14">
        <v>0.63199996521208934</v>
      </c>
      <c r="N33" s="14">
        <v>11.621630229660148</v>
      </c>
      <c r="O33" s="14">
        <v>1499.9449999999999</v>
      </c>
      <c r="P33" s="14">
        <v>1485.598</v>
      </c>
      <c r="Q33" s="14">
        <v>49.715911865000002</v>
      </c>
      <c r="R33" s="14">
        <v>23.4</v>
      </c>
      <c r="S33" s="14">
        <v>57.76</v>
      </c>
      <c r="T33" s="14">
        <v>49.78</v>
      </c>
      <c r="U33" s="14">
        <v>55.67</v>
      </c>
      <c r="V33" s="14">
        <v>46.652500000000003</v>
      </c>
      <c r="W33" s="14">
        <v>0.63336596926197108</v>
      </c>
      <c r="X33" s="14">
        <v>0.40815360662518763</v>
      </c>
      <c r="Y33" s="14">
        <v>0.17392551446158355</v>
      </c>
      <c r="Z33" s="14">
        <v>4.3108830943495102E-2</v>
      </c>
      <c r="AA33" s="14">
        <v>30.4</v>
      </c>
      <c r="AB33" s="14">
        <v>10.863930015832027</v>
      </c>
      <c r="AC33" s="14">
        <v>1.0442801329415305</v>
      </c>
      <c r="AD33" s="14">
        <v>1.851775024744569</v>
      </c>
      <c r="AE33">
        <v>39554</v>
      </c>
    </row>
    <row r="34" spans="1:31" x14ac:dyDescent="0.35">
      <c r="A34" s="1" t="s">
        <v>103</v>
      </c>
      <c r="B34" s="1" t="s">
        <v>104</v>
      </c>
      <c r="C34" s="3">
        <v>2680497</v>
      </c>
      <c r="D34" s="14">
        <v>39.93723</v>
      </c>
      <c r="E34" s="14">
        <v>15.64</v>
      </c>
      <c r="F34" s="14">
        <v>70.100000000000009</v>
      </c>
      <c r="G34" s="14">
        <v>5.957850353870942</v>
      </c>
      <c r="H34" s="14">
        <v>58.041475144348226</v>
      </c>
      <c r="I34" s="14">
        <v>2.6114560098369814E-2</v>
      </c>
      <c r="J34" s="14">
        <v>0.83566592314783406</v>
      </c>
      <c r="K34" s="14">
        <v>2.4435766949188902</v>
      </c>
      <c r="L34" s="14">
        <v>0.3618731899345532</v>
      </c>
      <c r="M34" s="14">
        <v>3.9731437863948367</v>
      </c>
      <c r="N34" s="14">
        <v>71.639699652713645</v>
      </c>
      <c r="O34" s="14">
        <v>10259.052</v>
      </c>
      <c r="P34" s="14">
        <v>10419.859</v>
      </c>
      <c r="Q34" s="14">
        <v>52.822963715</v>
      </c>
      <c r="R34" s="14">
        <v>55.5</v>
      </c>
      <c r="S34" s="14">
        <v>57.25</v>
      </c>
      <c r="T34" s="14">
        <v>64.709999999999994</v>
      </c>
      <c r="U34" s="14">
        <v>74.87</v>
      </c>
      <c r="V34" s="14">
        <v>63.082499999999996</v>
      </c>
      <c r="W34" s="14">
        <v>0.53297666036275093</v>
      </c>
      <c r="X34" s="14">
        <v>0.2976211391108608</v>
      </c>
      <c r="Y34" s="14">
        <v>0.16825144960481977</v>
      </c>
      <c r="Z34" s="14">
        <v>4.6707970963014753E-2</v>
      </c>
      <c r="AA34" s="14">
        <v>30.3</v>
      </c>
      <c r="AB34" s="14">
        <v>62.136352366743921</v>
      </c>
      <c r="AC34" s="14">
        <v>7.4922891165332395</v>
      </c>
      <c r="AD34" s="14">
        <v>3.7115449741623934</v>
      </c>
      <c r="AE34">
        <v>19203</v>
      </c>
    </row>
    <row r="35" spans="1:31" x14ac:dyDescent="0.35">
      <c r="A35" s="1" t="s">
        <v>105</v>
      </c>
      <c r="B35" s="1" t="s">
        <v>106</v>
      </c>
      <c r="C35" s="3">
        <v>27066230</v>
      </c>
      <c r="D35" s="14">
        <v>26.45919</v>
      </c>
      <c r="E35" s="14">
        <v>2.34</v>
      </c>
      <c r="F35" s="14">
        <v>29.2</v>
      </c>
      <c r="G35" s="14">
        <v>0.36724730411291118</v>
      </c>
      <c r="H35" s="14">
        <v>3.4278878144462674</v>
      </c>
      <c r="I35" s="14">
        <v>0.63621716064631084</v>
      </c>
      <c r="J35" s="14">
        <v>1.0344994482053836E-2</v>
      </c>
      <c r="K35" s="14">
        <v>2.0689988964107672E-2</v>
      </c>
      <c r="L35" s="14">
        <v>0.15960848629454488</v>
      </c>
      <c r="M35" s="14">
        <v>0.23978219353046215</v>
      </c>
      <c r="N35" s="14">
        <v>4.8617779424766576</v>
      </c>
      <c r="O35" s="14">
        <v>1643.7670000000001</v>
      </c>
      <c r="P35" s="14">
        <v>1747.635</v>
      </c>
      <c r="Q35" s="14">
        <v>52.609916687000002</v>
      </c>
      <c r="R35" s="14">
        <v>11.68</v>
      </c>
      <c r="S35" s="14">
        <v>49.68</v>
      </c>
      <c r="T35" s="14">
        <v>49.3</v>
      </c>
      <c r="U35" s="14">
        <v>52.36</v>
      </c>
      <c r="V35" s="14">
        <v>40.754999999999995</v>
      </c>
      <c r="W35" s="14">
        <v>0.74303883168019547</v>
      </c>
      <c r="X35" s="14">
        <v>0.52283857722050142</v>
      </c>
      <c r="Y35" s="14">
        <v>0.15281918930952315</v>
      </c>
      <c r="Z35" s="14">
        <v>6.2854541304058556E-2</v>
      </c>
      <c r="AA35" s="14">
        <v>28.7</v>
      </c>
      <c r="AB35" s="14">
        <v>4.0944273458106286</v>
      </c>
      <c r="AC35" s="14">
        <v>0.54349922394068184</v>
      </c>
      <c r="AD35" s="14">
        <v>8.4215978952545356</v>
      </c>
      <c r="AE35">
        <v>13159</v>
      </c>
    </row>
    <row r="36" spans="1:31" x14ac:dyDescent="0.35">
      <c r="A36" s="1" t="s">
        <v>107</v>
      </c>
      <c r="B36" s="1" t="s">
        <v>108</v>
      </c>
      <c r="C36" s="3">
        <v>222182400</v>
      </c>
      <c r="D36" s="14">
        <v>31.616990000000001</v>
      </c>
      <c r="E36" s="14">
        <v>5.8</v>
      </c>
      <c r="F36" s="14">
        <v>46.800000000000004</v>
      </c>
      <c r="G36" s="14">
        <v>3.8995888063140915</v>
      </c>
      <c r="H36" s="14">
        <v>9.9324248905403838</v>
      </c>
      <c r="I36" s="14">
        <v>6.6065989025233316</v>
      </c>
      <c r="J36" s="14">
        <v>0.22720071436801473</v>
      </c>
      <c r="K36" s="14">
        <v>0.82261241214425618</v>
      </c>
      <c r="L36" s="14">
        <v>1.6577820745477589</v>
      </c>
      <c r="M36" s="14">
        <v>1.7423522295195299</v>
      </c>
      <c r="N36" s="14">
        <v>24.888560029957361</v>
      </c>
      <c r="O36" s="14">
        <v>5736.5680000000002</v>
      </c>
      <c r="P36" s="14">
        <v>5789.0159999999996</v>
      </c>
      <c r="Q36" s="14">
        <v>54.949794769</v>
      </c>
      <c r="R36" s="14">
        <v>14.08</v>
      </c>
      <c r="S36" s="14">
        <v>53.21</v>
      </c>
      <c r="T36" s="14">
        <v>62.66</v>
      </c>
      <c r="U36" s="14">
        <v>46.44</v>
      </c>
      <c r="V36" s="14">
        <v>44.097499999999997</v>
      </c>
      <c r="W36" s="14">
        <v>0.60520174664925264</v>
      </c>
      <c r="X36" s="14">
        <v>0.41661934185884308</v>
      </c>
      <c r="Y36" s="14">
        <v>0.14433401847649949</v>
      </c>
      <c r="Z36" s="14">
        <v>4.2283574865925044E-2</v>
      </c>
      <c r="AA36" s="14">
        <v>38</v>
      </c>
      <c r="AB36" s="14">
        <v>23.664466103615773</v>
      </c>
      <c r="AC36" s="14">
        <v>1.7813082696919289</v>
      </c>
      <c r="AD36" s="14">
        <v>3.4264394713514861</v>
      </c>
      <c r="AE36">
        <v>552980</v>
      </c>
    </row>
    <row r="37" spans="1:31" x14ac:dyDescent="0.35">
      <c r="A37" s="1" t="s">
        <v>109</v>
      </c>
      <c r="B37" s="1" t="s">
        <v>110</v>
      </c>
      <c r="C37" s="3">
        <v>13924498</v>
      </c>
      <c r="D37" s="14">
        <v>31.76267</v>
      </c>
      <c r="E37" s="14">
        <v>6</v>
      </c>
      <c r="F37" s="14">
        <v>28.900000000000002</v>
      </c>
      <c r="G37" s="14">
        <v>0.87830814439414617</v>
      </c>
      <c r="H37" s="14">
        <v>9.6958612080665318</v>
      </c>
      <c r="I37" s="14">
        <v>1.1433087210756179</v>
      </c>
      <c r="J37" s="14">
        <v>0.19677549596401966</v>
      </c>
      <c r="K37" s="14">
        <v>5.8170858295932819E-2</v>
      </c>
      <c r="L37" s="14">
        <v>0</v>
      </c>
      <c r="M37" s="14">
        <v>1.3465476457391858</v>
      </c>
      <c r="N37" s="14">
        <v>13.318972073535434</v>
      </c>
      <c r="O37" s="14">
        <v>3163.4169999999999</v>
      </c>
      <c r="P37" s="14">
        <v>3355.683</v>
      </c>
      <c r="Q37" s="14">
        <v>58.712322235000002</v>
      </c>
      <c r="R37" s="14">
        <v>26.82</v>
      </c>
      <c r="S37" s="14">
        <v>70.06</v>
      </c>
      <c r="T37" s="14">
        <v>44.01</v>
      </c>
      <c r="U37" s="14">
        <v>67.2</v>
      </c>
      <c r="V37" s="14">
        <v>52.022499999999994</v>
      </c>
      <c r="W37" s="14">
        <v>0.38275530190051499</v>
      </c>
      <c r="X37" s="14">
        <v>0.1659740372163217</v>
      </c>
      <c r="Y37" s="14">
        <v>0.17304009943129375</v>
      </c>
      <c r="Z37" s="14">
        <v>4.0846173442570521E-2</v>
      </c>
      <c r="AA37" s="14">
        <v>33.1</v>
      </c>
      <c r="AB37" s="14">
        <v>11.403763826171689</v>
      </c>
      <c r="AC37" s="14">
        <v>0.6922883324052328</v>
      </c>
      <c r="AD37" s="14">
        <v>8.8906552957311362</v>
      </c>
      <c r="AE37">
        <v>18546</v>
      </c>
    </row>
    <row r="38" spans="1:31" x14ac:dyDescent="0.35">
      <c r="A38" s="1" t="s">
        <v>111</v>
      </c>
      <c r="B38" s="1" t="s">
        <v>112</v>
      </c>
      <c r="C38" s="3">
        <v>232132</v>
      </c>
      <c r="D38" s="14">
        <v>41.411259999999999</v>
      </c>
      <c r="E38" s="14">
        <v>16.63</v>
      </c>
      <c r="F38" s="14">
        <v>32.130000000000003</v>
      </c>
      <c r="G38" s="14">
        <v>4.5232884737993899</v>
      </c>
      <c r="H38" s="14">
        <v>18.95473265211173</v>
      </c>
      <c r="I38" s="14">
        <v>2.1539468922854241</v>
      </c>
      <c r="J38" s="14">
        <v>0.25847362707425087</v>
      </c>
      <c r="K38" s="14">
        <v>1.5939207002912137</v>
      </c>
      <c r="L38" s="14">
        <v>6.2895249254734376</v>
      </c>
      <c r="M38" s="14">
        <v>0</v>
      </c>
      <c r="N38" s="14">
        <v>33.773887271035449</v>
      </c>
      <c r="O38" s="14">
        <v>5517.5839999999998</v>
      </c>
      <c r="P38" s="14">
        <v>5449.7889999999998</v>
      </c>
      <c r="Q38" s="14">
        <v>62.442562103</v>
      </c>
      <c r="R38" s="14">
        <v>44.77</v>
      </c>
      <c r="S38" s="14">
        <v>53.47</v>
      </c>
      <c r="T38" s="14">
        <v>62.61</v>
      </c>
      <c r="U38" s="14">
        <v>79.7</v>
      </c>
      <c r="V38" s="14">
        <v>60.137500000000003</v>
      </c>
      <c r="W38" s="14">
        <v>0.26640417665325467</v>
      </c>
      <c r="X38" s="14">
        <v>8.5742941444987494E-2</v>
      </c>
      <c r="Y38" s="14">
        <v>0.15520468546613181</v>
      </c>
      <c r="Z38" s="14">
        <v>2.1865646872572111E-2</v>
      </c>
      <c r="AA38" s="14">
        <v>26.6</v>
      </c>
      <c r="AB38" s="14">
        <v>30.890154351834301</v>
      </c>
      <c r="AC38" s="14">
        <v>0</v>
      </c>
      <c r="AD38" s="14">
        <v>0.90000059899249152</v>
      </c>
      <c r="AE38">
        <v>784</v>
      </c>
    </row>
    <row r="39" spans="1:31" x14ac:dyDescent="0.35">
      <c r="A39" s="1" t="s">
        <v>113</v>
      </c>
      <c r="B39" s="1" t="s">
        <v>114</v>
      </c>
      <c r="C39" s="3">
        <v>18116526</v>
      </c>
      <c r="D39" s="14">
        <v>33.961120000000001</v>
      </c>
      <c r="E39" s="14">
        <v>6.73</v>
      </c>
      <c r="F39" s="14">
        <v>58.7</v>
      </c>
      <c r="G39" s="14">
        <v>1.089060893904273</v>
      </c>
      <c r="H39" s="14">
        <v>2.6384749482323491</v>
      </c>
      <c r="I39" s="14">
        <v>1.5952285774877588</v>
      </c>
      <c r="J39" s="14">
        <v>0.10874049472840433</v>
      </c>
      <c r="K39" s="14">
        <v>0.20147350546125675</v>
      </c>
      <c r="L39" s="14">
        <v>0</v>
      </c>
      <c r="M39" s="14">
        <v>0.14351537375322398</v>
      </c>
      <c r="N39" s="14">
        <v>5.7764937935672656</v>
      </c>
      <c r="O39" s="14">
        <v>4300.2030000000004</v>
      </c>
      <c r="P39" s="14">
        <v>4464.78</v>
      </c>
      <c r="Q39" s="14">
        <v>58.902999878000003</v>
      </c>
      <c r="R39" s="14">
        <v>30.05</v>
      </c>
      <c r="S39" s="14">
        <v>63.69</v>
      </c>
      <c r="T39" s="14">
        <v>55.65</v>
      </c>
      <c r="U39" s="14">
        <v>59.11</v>
      </c>
      <c r="V39" s="14">
        <v>52.125</v>
      </c>
      <c r="W39" s="14">
        <v>0.36508063195709667</v>
      </c>
      <c r="X39" s="14">
        <v>0.1649072122431515</v>
      </c>
      <c r="Y39" s="14">
        <v>0.1580066279516382</v>
      </c>
      <c r="Z39" s="14">
        <v>3.6505767161045893E-2</v>
      </c>
      <c r="AA39" s="14">
        <v>32.799999999999997</v>
      </c>
      <c r="AB39" s="14">
        <v>5.732720728576771</v>
      </c>
      <c r="AC39" s="14">
        <v>1.4601029468894864</v>
      </c>
      <c r="AD39" s="14">
        <v>6.8920074029138476</v>
      </c>
      <c r="AE39">
        <v>10465</v>
      </c>
    </row>
    <row r="40" spans="1:31" x14ac:dyDescent="0.35">
      <c r="A40" s="1" t="s">
        <v>115</v>
      </c>
      <c r="B40" s="1" t="s">
        <v>116</v>
      </c>
      <c r="C40" s="3">
        <v>99912</v>
      </c>
      <c r="D40" s="14">
        <v>52.842650999999996</v>
      </c>
      <c r="F40" s="14">
        <v>46</v>
      </c>
      <c r="G40" s="14">
        <v>82.872928176795583</v>
      </c>
      <c r="H40" s="14">
        <v>62.555048442629513</v>
      </c>
      <c r="I40" s="14">
        <v>31.227480182560654</v>
      </c>
      <c r="J40" s="14">
        <v>4.4038754103611177</v>
      </c>
      <c r="K40" s="14">
        <v>5.4047561854431896</v>
      </c>
      <c r="L40" s="14">
        <v>1.0008807750820721</v>
      </c>
      <c r="M40" s="14">
        <v>2.1018496276723515</v>
      </c>
      <c r="N40" s="14">
        <v>189.56681880054444</v>
      </c>
      <c r="O40" s="14">
        <v>34366.618999999999</v>
      </c>
      <c r="P40" s="14">
        <v>35085.182000000001</v>
      </c>
      <c r="Q40" s="14">
        <v>64.721450806000007</v>
      </c>
      <c r="R40" s="14">
        <v>78.3</v>
      </c>
      <c r="S40" s="14">
        <v>87.12</v>
      </c>
      <c r="T40" s="14">
        <v>57.3</v>
      </c>
      <c r="U40" s="14">
        <v>79.13</v>
      </c>
      <c r="V40" s="14">
        <v>75.462500000000006</v>
      </c>
      <c r="W40" s="14">
        <v>0.3120941327811978</v>
      </c>
      <c r="X40" s="14">
        <v>6.782598305724101E-2</v>
      </c>
      <c r="Y40" s="14">
        <v>0.22109037588065925</v>
      </c>
      <c r="Z40" s="14">
        <v>2.314529161372509E-2</v>
      </c>
      <c r="AA40" s="14">
        <v>31.8</v>
      </c>
      <c r="AB40" s="14">
        <v>230.71805128513097</v>
      </c>
      <c r="AC40" s="14">
        <v>10.684802626311154</v>
      </c>
      <c r="AD40" s="14">
        <v>3.4656806641534104</v>
      </c>
      <c r="AE40">
        <v>1894</v>
      </c>
    </row>
    <row r="41" spans="1:31" x14ac:dyDescent="0.35">
      <c r="A41" s="1" t="s">
        <v>117</v>
      </c>
      <c r="B41" s="1" t="s">
        <v>118</v>
      </c>
      <c r="C41" s="3">
        <v>8472212</v>
      </c>
      <c r="D41" s="14">
        <v>30.91938</v>
      </c>
      <c r="E41" s="14">
        <v>2.63</v>
      </c>
      <c r="F41" s="14">
        <v>59</v>
      </c>
      <c r="G41" s="14">
        <v>1.3054441980441471</v>
      </c>
      <c r="H41" s="14">
        <v>8.6825022792158641</v>
      </c>
      <c r="I41" s="14">
        <v>2.6805278243745554</v>
      </c>
      <c r="J41" s="14">
        <v>1.7704939394812123E-2</v>
      </c>
      <c r="K41" s="14">
        <v>0.10504930707588526</v>
      </c>
      <c r="L41" s="14">
        <v>0</v>
      </c>
      <c r="M41" s="14">
        <v>0.35173812931026754</v>
      </c>
      <c r="N41" s="14">
        <v>13.142966677415535</v>
      </c>
      <c r="O41" s="14">
        <v>2920.12</v>
      </c>
      <c r="P41" s="14">
        <v>2966.491</v>
      </c>
      <c r="Q41" s="14">
        <v>53.127223968999999</v>
      </c>
      <c r="R41" s="14">
        <v>14.19</v>
      </c>
      <c r="S41" s="14">
        <v>50.54</v>
      </c>
      <c r="T41" s="14">
        <v>54.72</v>
      </c>
      <c r="U41" s="14">
        <v>72.06</v>
      </c>
      <c r="V41" s="14">
        <v>47.877499999999998</v>
      </c>
      <c r="W41" s="14">
        <v>0.62214615616470859</v>
      </c>
      <c r="X41" s="14">
        <v>0.39564768663342004</v>
      </c>
      <c r="Y41" s="14">
        <v>0.17921992752953569</v>
      </c>
      <c r="Z41" s="14">
        <v>4.5723569546007918E-2</v>
      </c>
      <c r="AA41" s="14">
        <v>32.700000000000003</v>
      </c>
      <c r="AB41" s="14">
        <v>11.384249263356487</v>
      </c>
      <c r="AC41" s="14">
        <v>5.2633400226528799</v>
      </c>
      <c r="AD41" s="14">
        <v>4.0000000257011266</v>
      </c>
      <c r="AE41">
        <v>11135</v>
      </c>
    </row>
    <row r="42" spans="1:31" x14ac:dyDescent="0.35">
      <c r="A42" s="1" t="s">
        <v>119</v>
      </c>
      <c r="B42" s="1" t="s">
        <v>120</v>
      </c>
      <c r="C42" s="3">
        <v>61452696</v>
      </c>
      <c r="D42" s="14">
        <v>44.564129999999999</v>
      </c>
      <c r="E42" s="14">
        <v>21.64</v>
      </c>
      <c r="F42" s="14">
        <v>54</v>
      </c>
      <c r="G42" s="14">
        <v>8.0603461237892642</v>
      </c>
      <c r="H42" s="14">
        <v>64.645007600642941</v>
      </c>
      <c r="I42" s="14">
        <v>0.25108743805153805</v>
      </c>
      <c r="J42" s="14">
        <v>0.19039034512009043</v>
      </c>
      <c r="K42" s="14">
        <v>2.7385291607059843</v>
      </c>
      <c r="L42" s="14">
        <v>2.115448279112116E-3</v>
      </c>
      <c r="M42" s="14">
        <v>0.1806267376780345</v>
      </c>
      <c r="N42" s="14">
        <v>76.068102854266968</v>
      </c>
      <c r="O42" s="14">
        <v>13897.062</v>
      </c>
      <c r="P42" s="14">
        <v>13771.97</v>
      </c>
      <c r="Q42" s="14">
        <v>52.757083893000001</v>
      </c>
      <c r="R42" s="14">
        <v>79.53</v>
      </c>
      <c r="S42" s="14">
        <v>68.77</v>
      </c>
      <c r="T42" s="14">
        <v>60.66</v>
      </c>
      <c r="U42" s="14">
        <v>76.38</v>
      </c>
      <c r="V42" s="14">
        <v>71.335000000000008</v>
      </c>
      <c r="W42" s="14">
        <v>0.59898341166070868</v>
      </c>
      <c r="X42" s="14">
        <v>0.2728903357757716</v>
      </c>
      <c r="Y42" s="14">
        <v>0.23352653702763926</v>
      </c>
      <c r="Z42" s="14">
        <v>6.6110008896233377E-2</v>
      </c>
      <c r="AA42" s="14">
        <v>45.8</v>
      </c>
      <c r="AB42" s="14">
        <v>66.053003462858655</v>
      </c>
      <c r="AC42" s="14">
        <v>2.1852693411530715</v>
      </c>
      <c r="AD42" s="14">
        <v>0.5798536923039137</v>
      </c>
      <c r="AE42">
        <v>467459</v>
      </c>
    </row>
    <row r="43" spans="1:31" x14ac:dyDescent="0.35">
      <c r="A43" s="1" t="s">
        <v>121</v>
      </c>
      <c r="B43" s="1" t="s">
        <v>122</v>
      </c>
      <c r="C43" s="3">
        <v>11891023</v>
      </c>
      <c r="D43" s="14">
        <v>29.113900000000001</v>
      </c>
      <c r="E43" s="14">
        <v>3.35</v>
      </c>
      <c r="F43" s="14">
        <v>46.32</v>
      </c>
      <c r="G43" s="14">
        <v>0.38348256495677452</v>
      </c>
      <c r="H43" s="14">
        <v>3.8095965334521678</v>
      </c>
      <c r="I43" s="14">
        <v>2.5969170188300872</v>
      </c>
      <c r="J43" s="14">
        <v>2.691105718994909E-2</v>
      </c>
      <c r="K43" s="14">
        <v>0.13455528594974545</v>
      </c>
      <c r="L43" s="14">
        <v>0.53401629111305227</v>
      </c>
      <c r="M43" s="14">
        <v>0.22874398611456728</v>
      </c>
      <c r="N43" s="14">
        <v>7.7142227376063435</v>
      </c>
      <c r="O43" s="14">
        <v>938.25699999999995</v>
      </c>
      <c r="P43" s="14">
        <v>660.09400000000005</v>
      </c>
      <c r="Q43" s="14">
        <v>50.530017852999997</v>
      </c>
      <c r="R43" s="14">
        <v>21.91</v>
      </c>
      <c r="S43" s="14">
        <v>35.58</v>
      </c>
      <c r="T43" s="14">
        <v>59.48</v>
      </c>
      <c r="U43" s="14">
        <v>29.42</v>
      </c>
      <c r="V43" s="14">
        <v>36.597499999999997</v>
      </c>
      <c r="W43" s="14">
        <v>0.63690565705921587</v>
      </c>
      <c r="X43" s="14">
        <v>0.41618333128777973</v>
      </c>
      <c r="Y43" s="14">
        <v>0.15884744607502699</v>
      </c>
      <c r="Z43" s="14">
        <v>5.7924879340651249E-2</v>
      </c>
      <c r="AA43" s="14">
        <v>21.3</v>
      </c>
      <c r="AB43" s="14">
        <v>6.4682067236771807</v>
      </c>
      <c r="AC43" s="14">
        <v>1.0973401531558722</v>
      </c>
      <c r="AE43">
        <v>9173</v>
      </c>
    </row>
    <row r="44" spans="1:31" x14ac:dyDescent="0.35">
      <c r="A44" s="1" t="s">
        <v>123</v>
      </c>
      <c r="B44" s="1" t="s">
        <v>124</v>
      </c>
      <c r="C44" s="3">
        <v>49700758</v>
      </c>
      <c r="D44" s="14">
        <v>32.356369999999998</v>
      </c>
      <c r="E44" s="14">
        <v>4.33</v>
      </c>
      <c r="F44" s="14">
        <v>40.1</v>
      </c>
      <c r="G44" s="14">
        <v>1.8213001902304993</v>
      </c>
      <c r="H44" s="14">
        <v>14.928746157151163</v>
      </c>
      <c r="I44" s="14">
        <v>6.6310859886684224</v>
      </c>
      <c r="J44" s="14">
        <v>0.10140690409590936</v>
      </c>
      <c r="K44" s="14">
        <v>0.34446154724642225</v>
      </c>
      <c r="L44" s="14">
        <v>0.75894214732097243</v>
      </c>
      <c r="M44" s="14">
        <v>2.6921118587366415</v>
      </c>
      <c r="N44" s="14">
        <v>27.278054793450032</v>
      </c>
      <c r="O44" s="14">
        <v>3143.5830000000001</v>
      </c>
      <c r="P44" s="14">
        <v>3240.9789999999998</v>
      </c>
      <c r="Q44" s="14">
        <v>55.849014281999999</v>
      </c>
      <c r="R44" s="14">
        <v>22.84</v>
      </c>
      <c r="S44" s="14">
        <v>55.37</v>
      </c>
      <c r="T44" s="14">
        <v>56.9</v>
      </c>
      <c r="U44" s="14">
        <v>52.14</v>
      </c>
      <c r="V44" s="14">
        <v>46.8125</v>
      </c>
      <c r="W44" s="14">
        <v>0.39850536567927758</v>
      </c>
      <c r="X44" s="14">
        <v>0.21625225487927172</v>
      </c>
      <c r="Y44" s="14">
        <v>0.13944238339201867</v>
      </c>
      <c r="Z44" s="14">
        <v>4.0092692100191125E-2</v>
      </c>
      <c r="AA44" s="14">
        <v>27.8</v>
      </c>
      <c r="AB44" s="14">
        <v>23.242417004183313</v>
      </c>
      <c r="AC44" s="14">
        <v>0.2082909379370029</v>
      </c>
      <c r="AD44" s="14">
        <v>6.1364520184639844</v>
      </c>
      <c r="AE44">
        <v>135574</v>
      </c>
    </row>
    <row r="45" spans="1:31" x14ac:dyDescent="0.35">
      <c r="A45" s="1" t="s">
        <v>125</v>
      </c>
      <c r="B45" s="1" t="s">
        <v>126</v>
      </c>
      <c r="C45" s="3">
        <v>65136238</v>
      </c>
      <c r="D45" s="14">
        <v>32.460880000000003</v>
      </c>
      <c r="E45" s="14">
        <v>3.2</v>
      </c>
      <c r="F45" s="14">
        <v>41.2</v>
      </c>
      <c r="G45" s="14">
        <v>1.3345873613394743</v>
      </c>
      <c r="H45" s="14">
        <v>7.086070890369812</v>
      </c>
      <c r="I45" s="14">
        <v>0</v>
      </c>
      <c r="J45" s="14">
        <v>0.11591090047294411</v>
      </c>
      <c r="K45" s="14">
        <v>0.34727212830437032</v>
      </c>
      <c r="L45" s="14">
        <v>0.23826982454835663</v>
      </c>
      <c r="M45" s="14">
        <v>0.72816609396446885</v>
      </c>
      <c r="N45" s="14">
        <v>9.8502771989994251</v>
      </c>
      <c r="O45" s="14">
        <v>3553.4090000000001</v>
      </c>
      <c r="P45" s="14">
        <v>3638.1469999999999</v>
      </c>
      <c r="Q45" s="14">
        <v>57.224391937</v>
      </c>
      <c r="R45" s="14">
        <v>27.27</v>
      </c>
      <c r="S45" s="14">
        <v>54.91</v>
      </c>
      <c r="T45" s="14">
        <v>54.5</v>
      </c>
      <c r="U45" s="14">
        <v>68.17</v>
      </c>
      <c r="V45" s="14">
        <v>51.212500000000006</v>
      </c>
      <c r="W45" s="14">
        <v>0.40710627607488364</v>
      </c>
      <c r="X45" s="14">
        <v>0.22733352917512639</v>
      </c>
      <c r="Y45" s="14">
        <v>0.14378753375303649</v>
      </c>
      <c r="Z45" s="14">
        <v>3.3397869842837262E-2</v>
      </c>
      <c r="AA45" s="14">
        <v>36.5</v>
      </c>
      <c r="AB45" s="14">
        <v>9.0431618115556525</v>
      </c>
      <c r="AC45" s="14">
        <v>5.9479843386104063</v>
      </c>
      <c r="AD45" s="14">
        <v>5.5263138305945034</v>
      </c>
      <c r="AE45">
        <v>64161</v>
      </c>
    </row>
    <row r="46" spans="1:31" x14ac:dyDescent="0.35">
      <c r="A46" s="1" t="s">
        <v>127</v>
      </c>
      <c r="B46" s="1" t="s">
        <v>128</v>
      </c>
      <c r="C46" s="3">
        <v>8886635</v>
      </c>
      <c r="D46" s="14">
        <v>33.47842</v>
      </c>
      <c r="E46" s="14">
        <v>3.7</v>
      </c>
      <c r="F46" s="14">
        <v>33.799999999999997</v>
      </c>
      <c r="G46" s="14">
        <v>0.82145829101791623</v>
      </c>
      <c r="H46" s="14">
        <v>2.9595004183248217</v>
      </c>
      <c r="I46" s="14">
        <v>2.09753185542109</v>
      </c>
      <c r="J46" s="14">
        <v>2.4756277263553637E-2</v>
      </c>
      <c r="K46" s="14">
        <v>0.28694775919118992</v>
      </c>
      <c r="L46" s="14">
        <v>0.14178595160035265</v>
      </c>
      <c r="M46" s="14">
        <v>0.46586812668687305</v>
      </c>
      <c r="N46" s="14">
        <v>6.7978486795057966</v>
      </c>
      <c r="O46" s="14">
        <v>2815.904</v>
      </c>
      <c r="P46" s="14">
        <v>2895.085</v>
      </c>
      <c r="Q46" s="14">
        <v>58.072868346999897</v>
      </c>
      <c r="R46" s="14">
        <v>19.600000000000001</v>
      </c>
      <c r="S46" s="14">
        <v>52.66</v>
      </c>
      <c r="T46" s="14">
        <v>50.72</v>
      </c>
      <c r="U46" s="14">
        <v>63.1</v>
      </c>
      <c r="V46" s="14">
        <v>46.519999999999996</v>
      </c>
      <c r="W46" s="14">
        <v>0.4825229129974139</v>
      </c>
      <c r="X46" s="14">
        <v>0.25168431894204213</v>
      </c>
      <c r="Y46" s="14">
        <v>0.18194218749659744</v>
      </c>
      <c r="Z46" s="14">
        <v>4.5928544433521477E-2</v>
      </c>
      <c r="AA46" s="14">
        <v>31.3</v>
      </c>
      <c r="AB46" s="14">
        <v>6.2109685522135205</v>
      </c>
      <c r="AC46" s="14">
        <v>9.3501279730741729</v>
      </c>
      <c r="AD46" s="14">
        <v>5.3000053141664125</v>
      </c>
      <c r="AE46">
        <v>6041</v>
      </c>
    </row>
    <row r="47" spans="1:31" x14ac:dyDescent="0.35">
      <c r="A47" s="1" t="s">
        <v>129</v>
      </c>
      <c r="B47" s="1" t="s">
        <v>130</v>
      </c>
      <c r="C47" s="3">
        <v>20032801</v>
      </c>
      <c r="D47" s="14">
        <v>31.617059999999999</v>
      </c>
      <c r="E47" s="14">
        <v>5.23</v>
      </c>
      <c r="F47" s="14">
        <v>52.300000000000004</v>
      </c>
      <c r="G47" s="14">
        <v>3.260153185767682</v>
      </c>
      <c r="H47" s="14">
        <v>24.946586351054954</v>
      </c>
      <c r="I47" s="14">
        <v>4.5934664852907989</v>
      </c>
      <c r="J47" s="14">
        <v>0.14126831290342273</v>
      </c>
      <c r="K47" s="14">
        <v>0.71133337769391314</v>
      </c>
      <c r="L47" s="14">
        <v>0.20915697210789444</v>
      </c>
      <c r="M47" s="14">
        <v>0.76524496000334652</v>
      </c>
      <c r="N47" s="14">
        <v>34.627209644822003</v>
      </c>
      <c r="O47" s="14">
        <v>3701.027</v>
      </c>
      <c r="P47" s="14">
        <v>3747.732</v>
      </c>
      <c r="Q47" s="14">
        <v>52.970092772999998</v>
      </c>
      <c r="R47" s="14">
        <v>37.54</v>
      </c>
      <c r="S47" s="14">
        <v>60.64</v>
      </c>
      <c r="T47" s="14">
        <v>57.47</v>
      </c>
      <c r="U47" s="14">
        <v>74.31</v>
      </c>
      <c r="V47" s="14">
        <v>57.49</v>
      </c>
      <c r="W47" s="14">
        <v>0.50513805423928626</v>
      </c>
      <c r="X47" s="14">
        <v>0.30859836329964879</v>
      </c>
      <c r="Y47" s="14">
        <v>0.1537962183167122</v>
      </c>
      <c r="Z47" s="14">
        <v>3.6071446539086352E-2</v>
      </c>
      <c r="AA47" s="14">
        <v>26.5</v>
      </c>
      <c r="AB47" s="14">
        <v>29.96820612604299</v>
      </c>
      <c r="AC47" s="14">
        <v>5.948934899318373</v>
      </c>
      <c r="AD47" s="14">
        <v>4.0431482994442973</v>
      </c>
      <c r="AE47">
        <v>69368</v>
      </c>
    </row>
    <row r="48" spans="1:31" x14ac:dyDescent="0.35">
      <c r="A48" s="1" t="s">
        <v>131</v>
      </c>
      <c r="B48" s="1" t="s">
        <v>132</v>
      </c>
      <c r="C48" s="3">
        <v>15581023</v>
      </c>
      <c r="D48" s="14">
        <v>28.577100000000002</v>
      </c>
      <c r="E48" s="14">
        <v>4.5</v>
      </c>
      <c r="F48" s="14">
        <v>46</v>
      </c>
      <c r="G48" s="14">
        <v>1.4260937808769039</v>
      </c>
      <c r="H48" s="14">
        <v>29.867743600660884</v>
      </c>
      <c r="I48" s="14">
        <v>1.8002669016020323</v>
      </c>
      <c r="J48" s="14">
        <v>0.3157687399601426</v>
      </c>
      <c r="K48" s="14">
        <v>1.2207157386264047</v>
      </c>
      <c r="L48" s="14">
        <v>0.92997744756554179</v>
      </c>
      <c r="M48" s="14">
        <v>0.67710573304461452</v>
      </c>
      <c r="N48" s="14">
        <v>36.237671942336519</v>
      </c>
      <c r="O48" s="14">
        <v>4473.6729999999998</v>
      </c>
      <c r="P48" s="14">
        <v>4465.3609999999999</v>
      </c>
      <c r="Q48" s="14">
        <v>51.248912810999997</v>
      </c>
      <c r="R48" s="14">
        <v>40.409999999999997</v>
      </c>
      <c r="S48" s="14">
        <v>47.83</v>
      </c>
      <c r="T48" s="14">
        <v>66.739999999999995</v>
      </c>
      <c r="U48" s="14">
        <v>71.16</v>
      </c>
      <c r="V48" s="14">
        <v>56.534999999999997</v>
      </c>
      <c r="W48" s="14">
        <v>0.55124774450300362</v>
      </c>
      <c r="X48" s="14">
        <v>0.29968261517066563</v>
      </c>
      <c r="Y48" s="14">
        <v>0.18528360365862584</v>
      </c>
      <c r="Z48" s="14">
        <v>5.7561610933959804E-2</v>
      </c>
      <c r="AA48" s="14">
        <v>32.4</v>
      </c>
      <c r="AB48" s="14">
        <v>29.796678813708194</v>
      </c>
      <c r="AC48" s="14">
        <v>2.4268710084055458</v>
      </c>
      <c r="AD48" s="14">
        <v>2.0294841433712349</v>
      </c>
      <c r="AE48">
        <v>56462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55B3-EE4B-4CFE-9A41-5E23CFFC4795}">
  <dimension ref="A1:Z377"/>
  <sheetViews>
    <sheetView topLeftCell="N4" workbookViewId="0">
      <selection activeCell="Y3" sqref="Y3:Z49"/>
    </sheetView>
  </sheetViews>
  <sheetFormatPr defaultColWidth="8.81640625" defaultRowHeight="14.5" x14ac:dyDescent="0.35"/>
  <cols>
    <col min="25" max="25" width="13.453125" bestFit="1" customWidth="1"/>
    <col min="26" max="26" width="11.7265625" bestFit="1" customWidth="1"/>
  </cols>
  <sheetData>
    <row r="1" spans="1:26" x14ac:dyDescent="0.35">
      <c r="A1" s="49"/>
      <c r="B1" s="49" t="s">
        <v>244</v>
      </c>
      <c r="C1" s="49">
        <v>2014</v>
      </c>
      <c r="D1" s="49">
        <v>2015</v>
      </c>
      <c r="E1" s="49">
        <v>2016</v>
      </c>
      <c r="F1" s="49">
        <v>2017</v>
      </c>
      <c r="G1" s="49">
        <v>2018</v>
      </c>
      <c r="H1" s="49">
        <v>2019</v>
      </c>
      <c r="I1" s="49">
        <v>2020</v>
      </c>
      <c r="J1" s="49">
        <v>2021</v>
      </c>
      <c r="K1" s="49">
        <v>2022</v>
      </c>
      <c r="L1" s="49">
        <v>2023</v>
      </c>
      <c r="M1" s="50" t="s">
        <v>245</v>
      </c>
      <c r="N1" s="50" t="s">
        <v>246</v>
      </c>
      <c r="O1" s="50" t="s">
        <v>247</v>
      </c>
      <c r="P1" s="50" t="s">
        <v>248</v>
      </c>
      <c r="Q1" s="50" t="s">
        <v>249</v>
      </c>
      <c r="R1" s="50" t="s">
        <v>250</v>
      </c>
      <c r="S1" s="50" t="s">
        <v>251</v>
      </c>
      <c r="T1" s="50" t="s">
        <v>252</v>
      </c>
      <c r="U1" s="50" t="s">
        <v>253</v>
      </c>
      <c r="V1" s="50" t="s">
        <v>254</v>
      </c>
    </row>
    <row r="2" spans="1:26" x14ac:dyDescent="0.35">
      <c r="A2" s="4"/>
      <c r="B2" s="4" t="s">
        <v>42</v>
      </c>
      <c r="C2">
        <v>0</v>
      </c>
      <c r="D2">
        <v>0</v>
      </c>
      <c r="E2">
        <v>0</v>
      </c>
      <c r="F2">
        <v>0</v>
      </c>
      <c r="G2">
        <v>6400</v>
      </c>
      <c r="H2">
        <v>23199</v>
      </c>
      <c r="I2">
        <v>23199</v>
      </c>
      <c r="J2">
        <v>23199</v>
      </c>
      <c r="K2">
        <v>77163</v>
      </c>
      <c r="L2">
        <v>77163</v>
      </c>
      <c r="M2" s="51"/>
      <c r="N2" s="51"/>
      <c r="O2" s="51"/>
      <c r="P2" s="51"/>
      <c r="Q2" s="51"/>
      <c r="R2" s="51"/>
      <c r="S2" s="51"/>
      <c r="T2" s="51"/>
      <c r="U2" s="51"/>
      <c r="V2" s="51"/>
      <c r="Y2" s="55" t="s">
        <v>255</v>
      </c>
      <c r="Z2" t="s">
        <v>256</v>
      </c>
    </row>
    <row r="3" spans="1:26" x14ac:dyDescent="0.35">
      <c r="A3" s="4" t="s">
        <v>42</v>
      </c>
      <c r="B3" s="52" t="s">
        <v>257</v>
      </c>
      <c r="C3">
        <v>0</v>
      </c>
      <c r="D3">
        <v>0</v>
      </c>
      <c r="E3">
        <v>0</v>
      </c>
      <c r="F3">
        <v>0</v>
      </c>
      <c r="G3">
        <v>0</v>
      </c>
      <c r="H3">
        <v>1652</v>
      </c>
      <c r="I3">
        <v>1652</v>
      </c>
      <c r="J3">
        <v>1652</v>
      </c>
      <c r="K3">
        <v>254</v>
      </c>
      <c r="L3">
        <v>254</v>
      </c>
      <c r="M3" s="51">
        <v>0</v>
      </c>
      <c r="N3" s="51">
        <v>0</v>
      </c>
      <c r="O3" s="51">
        <v>0</v>
      </c>
      <c r="P3" s="51">
        <v>0</v>
      </c>
      <c r="Q3" s="51">
        <v>0</v>
      </c>
      <c r="R3" s="51">
        <v>0.51060797337222685</v>
      </c>
      <c r="S3" s="51">
        <v>0.49418929711623794</v>
      </c>
      <c r="T3" s="51">
        <v>0.47878820444395442</v>
      </c>
      <c r="U3" s="51">
        <v>7.137039331858476E-2</v>
      </c>
      <c r="V3" s="53">
        <v>7.0265445147086603E-2</v>
      </c>
      <c r="Y3" s="4" t="s">
        <v>42</v>
      </c>
      <c r="Z3">
        <v>77163</v>
      </c>
    </row>
    <row r="4" spans="1:26" x14ac:dyDescent="0.35">
      <c r="A4" s="4" t="s">
        <v>42</v>
      </c>
      <c r="B4" s="54" t="s">
        <v>258</v>
      </c>
      <c r="C4">
        <v>0</v>
      </c>
      <c r="D4">
        <v>0</v>
      </c>
      <c r="E4">
        <v>0</v>
      </c>
      <c r="F4">
        <v>0</v>
      </c>
      <c r="G4">
        <v>0</v>
      </c>
      <c r="H4">
        <v>98</v>
      </c>
      <c r="I4">
        <v>98</v>
      </c>
      <c r="J4">
        <v>98</v>
      </c>
      <c r="K4">
        <v>13</v>
      </c>
      <c r="L4">
        <v>13</v>
      </c>
      <c r="M4" s="51">
        <v>0</v>
      </c>
      <c r="N4" s="51">
        <v>0</v>
      </c>
      <c r="O4" s="51">
        <v>0</v>
      </c>
      <c r="P4" s="51">
        <v>0</v>
      </c>
      <c r="Q4" s="51">
        <v>0</v>
      </c>
      <c r="R4" s="51">
        <v>3.0290303505132104E-2</v>
      </c>
      <c r="S4" s="51">
        <v>2.9316314235709028E-2</v>
      </c>
      <c r="T4" s="51">
        <v>2.8402690094132894E-2</v>
      </c>
      <c r="U4" s="51">
        <v>3.6528154060692991E-3</v>
      </c>
      <c r="V4" s="53">
        <v>3.5962629405989206E-3</v>
      </c>
      <c r="Y4" s="4" t="s">
        <v>50</v>
      </c>
      <c r="Z4">
        <v>14717</v>
      </c>
    </row>
    <row r="5" spans="1:26" x14ac:dyDescent="0.35">
      <c r="A5" s="4" t="s">
        <v>42</v>
      </c>
      <c r="B5" s="54" t="s">
        <v>259</v>
      </c>
      <c r="C5">
        <v>0</v>
      </c>
      <c r="D5">
        <v>0</v>
      </c>
      <c r="E5">
        <v>0</v>
      </c>
      <c r="F5">
        <v>0</v>
      </c>
      <c r="G5">
        <v>0</v>
      </c>
      <c r="H5">
        <v>0</v>
      </c>
      <c r="I5">
        <v>0</v>
      </c>
      <c r="J5">
        <v>0</v>
      </c>
      <c r="K5">
        <v>18</v>
      </c>
      <c r="L5">
        <v>18</v>
      </c>
      <c r="M5" s="51">
        <v>0</v>
      </c>
      <c r="N5" s="51">
        <v>0</v>
      </c>
      <c r="O5" s="51">
        <v>0</v>
      </c>
      <c r="P5" s="51">
        <v>0</v>
      </c>
      <c r="Q5" s="51">
        <v>0</v>
      </c>
      <c r="R5" s="51">
        <v>0</v>
      </c>
      <c r="S5" s="51">
        <v>0</v>
      </c>
      <c r="T5" s="51">
        <v>0</v>
      </c>
      <c r="U5" s="51">
        <v>5.0577444084036445E-3</v>
      </c>
      <c r="V5" s="53">
        <v>4.9794409946754279E-3</v>
      </c>
      <c r="Y5" s="4" t="s">
        <v>44</v>
      </c>
      <c r="Z5">
        <v>14457</v>
      </c>
    </row>
    <row r="6" spans="1:26" x14ac:dyDescent="0.35">
      <c r="A6" s="4" t="s">
        <v>42</v>
      </c>
      <c r="B6" s="54" t="s">
        <v>260</v>
      </c>
      <c r="C6">
        <v>0</v>
      </c>
      <c r="D6">
        <v>0</v>
      </c>
      <c r="E6">
        <v>0</v>
      </c>
      <c r="F6">
        <v>0</v>
      </c>
      <c r="G6">
        <v>6400</v>
      </c>
      <c r="H6">
        <v>6593</v>
      </c>
      <c r="I6">
        <v>6593</v>
      </c>
      <c r="J6">
        <v>6593</v>
      </c>
      <c r="K6">
        <v>8693</v>
      </c>
      <c r="L6">
        <v>8693</v>
      </c>
      <c r="M6" s="51">
        <v>0</v>
      </c>
      <c r="N6" s="51">
        <v>0</v>
      </c>
      <c r="O6" s="51">
        <v>0</v>
      </c>
      <c r="P6" s="51">
        <v>0</v>
      </c>
      <c r="Q6" s="51">
        <v>2.0464589018452117</v>
      </c>
      <c r="R6" s="51">
        <v>2.0377956225442446</v>
      </c>
      <c r="S6" s="51">
        <v>1.9722699975105062</v>
      </c>
      <c r="T6" s="51">
        <v>1.9108054672512058</v>
      </c>
      <c r="U6" s="51">
        <v>2.4426095634584937</v>
      </c>
      <c r="V6" s="53">
        <v>2.4047933648174165</v>
      </c>
      <c r="Y6" s="4" t="s">
        <v>48</v>
      </c>
      <c r="Z6">
        <v>27315</v>
      </c>
    </row>
    <row r="7" spans="1:26" x14ac:dyDescent="0.35">
      <c r="A7" s="4" t="s">
        <v>42</v>
      </c>
      <c r="B7" s="54" t="s">
        <v>261</v>
      </c>
      <c r="C7">
        <v>0</v>
      </c>
      <c r="D7">
        <v>0</v>
      </c>
      <c r="E7">
        <v>0</v>
      </c>
      <c r="F7">
        <v>0</v>
      </c>
      <c r="G7">
        <v>0</v>
      </c>
      <c r="H7">
        <v>0</v>
      </c>
      <c r="I7">
        <v>0</v>
      </c>
      <c r="J7">
        <v>0</v>
      </c>
      <c r="K7">
        <v>33</v>
      </c>
      <c r="L7">
        <v>33</v>
      </c>
      <c r="M7" s="51">
        <v>0</v>
      </c>
      <c r="N7" s="51">
        <v>0</v>
      </c>
      <c r="O7" s="51">
        <v>0</v>
      </c>
      <c r="P7" s="51">
        <v>0</v>
      </c>
      <c r="Q7" s="51">
        <v>0</v>
      </c>
      <c r="R7" s="51">
        <v>0</v>
      </c>
      <c r="S7" s="51">
        <v>0</v>
      </c>
      <c r="T7" s="51">
        <v>0</v>
      </c>
      <c r="U7" s="51">
        <v>9.2725314154066818E-3</v>
      </c>
      <c r="V7" s="53">
        <v>9.1289751569049518E-3</v>
      </c>
      <c r="Y7" s="4" t="s">
        <v>46</v>
      </c>
      <c r="Z7">
        <v>9108</v>
      </c>
    </row>
    <row r="8" spans="1:26" x14ac:dyDescent="0.35">
      <c r="A8" s="4" t="s">
        <v>42</v>
      </c>
      <c r="B8" s="54" t="s">
        <v>262</v>
      </c>
      <c r="C8">
        <v>0</v>
      </c>
      <c r="D8">
        <v>0</v>
      </c>
      <c r="E8">
        <v>0</v>
      </c>
      <c r="F8">
        <v>0</v>
      </c>
      <c r="G8">
        <v>0</v>
      </c>
      <c r="H8">
        <v>12554</v>
      </c>
      <c r="I8">
        <v>12554</v>
      </c>
      <c r="J8">
        <v>12554</v>
      </c>
      <c r="K8">
        <v>66718</v>
      </c>
      <c r="L8">
        <v>66718</v>
      </c>
      <c r="M8" s="51">
        <v>0</v>
      </c>
      <c r="N8" s="51">
        <v>0</v>
      </c>
      <c r="O8" s="51">
        <v>0</v>
      </c>
      <c r="P8" s="51">
        <v>0</v>
      </c>
      <c r="Q8" s="51">
        <v>0</v>
      </c>
      <c r="R8" s="51">
        <v>3.8802496959533519</v>
      </c>
      <c r="S8" s="51">
        <v>3.7554796828070529</v>
      </c>
      <c r="T8" s="51">
        <v>3.6384425657320847</v>
      </c>
      <c r="U8" s="51">
        <v>18.746810635548577</v>
      </c>
      <c r="V8" s="53">
        <v>18.45657468237529</v>
      </c>
      <c r="Y8" s="4" t="s">
        <v>56</v>
      </c>
      <c r="Z8">
        <v>6451</v>
      </c>
    </row>
    <row r="9" spans="1:26" x14ac:dyDescent="0.35">
      <c r="A9" s="4" t="s">
        <v>42</v>
      </c>
      <c r="B9" s="54" t="s">
        <v>263</v>
      </c>
      <c r="C9">
        <v>0</v>
      </c>
      <c r="D9">
        <v>0</v>
      </c>
      <c r="E9">
        <v>0</v>
      </c>
      <c r="F9">
        <v>0</v>
      </c>
      <c r="G9">
        <v>0</v>
      </c>
      <c r="H9">
        <v>2302</v>
      </c>
      <c r="I9">
        <v>2302</v>
      </c>
      <c r="J9">
        <v>2302</v>
      </c>
      <c r="K9">
        <v>1434</v>
      </c>
      <c r="L9">
        <v>1434</v>
      </c>
      <c r="M9" s="51">
        <v>0</v>
      </c>
      <c r="N9" s="51">
        <v>0</v>
      </c>
      <c r="O9" s="51">
        <v>0</v>
      </c>
      <c r="P9" s="51">
        <v>0</v>
      </c>
      <c r="Q9" s="51">
        <v>0</v>
      </c>
      <c r="R9" s="51">
        <v>0.71151304764096024</v>
      </c>
      <c r="S9" s="51">
        <v>0.68863423847553251</v>
      </c>
      <c r="T9" s="51">
        <v>0.66717339384381547</v>
      </c>
      <c r="U9" s="51">
        <v>0.40293363786949032</v>
      </c>
      <c r="V9" s="53">
        <v>0.39669546590914251</v>
      </c>
      <c r="Y9" s="4" t="s">
        <v>64</v>
      </c>
      <c r="Z9">
        <v>32021</v>
      </c>
    </row>
    <row r="10" spans="1:26" x14ac:dyDescent="0.35">
      <c r="B10" s="4" t="s">
        <v>50</v>
      </c>
      <c r="C10">
        <v>7467</v>
      </c>
      <c r="D10">
        <v>7467</v>
      </c>
      <c r="E10">
        <v>7511</v>
      </c>
      <c r="F10">
        <v>7511</v>
      </c>
      <c r="G10">
        <v>11392</v>
      </c>
      <c r="H10">
        <v>11606</v>
      </c>
      <c r="I10">
        <v>11606</v>
      </c>
      <c r="J10">
        <v>14017</v>
      </c>
      <c r="K10">
        <v>13216</v>
      </c>
      <c r="L10">
        <v>14717</v>
      </c>
      <c r="M10" s="51"/>
      <c r="N10" s="51"/>
      <c r="O10" s="51"/>
      <c r="P10" s="51"/>
      <c r="Q10" s="51"/>
      <c r="R10" s="51"/>
      <c r="S10" s="51"/>
      <c r="T10" s="51"/>
      <c r="U10" s="51"/>
      <c r="V10" s="51"/>
      <c r="Y10" s="4" t="s">
        <v>54</v>
      </c>
      <c r="Z10">
        <v>23421</v>
      </c>
    </row>
    <row r="11" spans="1:26" x14ac:dyDescent="0.35">
      <c r="A11" s="4" t="s">
        <v>50</v>
      </c>
      <c r="B11" s="54" t="s">
        <v>257</v>
      </c>
      <c r="C11">
        <v>4</v>
      </c>
      <c r="D11">
        <v>4</v>
      </c>
      <c r="E11">
        <v>4</v>
      </c>
      <c r="F11">
        <v>4</v>
      </c>
      <c r="G11">
        <v>4</v>
      </c>
      <c r="H11">
        <v>14</v>
      </c>
      <c r="I11">
        <v>14</v>
      </c>
      <c r="J11">
        <v>8</v>
      </c>
      <c r="K11">
        <v>14</v>
      </c>
      <c r="L11">
        <v>14</v>
      </c>
      <c r="M11" s="51">
        <v>3.8113703277006679E-3</v>
      </c>
      <c r="N11" s="51">
        <v>3.7288569151837933E-3</v>
      </c>
      <c r="O11" s="51">
        <v>3.6686050046926045E-3</v>
      </c>
      <c r="P11" s="51">
        <v>3.5856453350350806E-3</v>
      </c>
      <c r="Q11" s="51">
        <v>3.4802364333423354E-3</v>
      </c>
      <c r="R11" s="51">
        <v>1.1789634519645657E-2</v>
      </c>
      <c r="S11" s="51">
        <v>1.1456415662327713E-2</v>
      </c>
      <c r="T11" s="51">
        <v>6.3738859343714432E-3</v>
      </c>
      <c r="U11" s="51">
        <v>1.0861489935743426E-2</v>
      </c>
      <c r="V11" s="53">
        <v>1.0769942413887195E-2</v>
      </c>
      <c r="Y11" s="4" t="s">
        <v>66</v>
      </c>
      <c r="Z11">
        <v>148145</v>
      </c>
    </row>
    <row r="12" spans="1:26" x14ac:dyDescent="0.35">
      <c r="A12" s="4" t="s">
        <v>50</v>
      </c>
      <c r="B12" s="54" t="s">
        <v>258</v>
      </c>
      <c r="C12">
        <v>0</v>
      </c>
      <c r="D12">
        <v>0</v>
      </c>
      <c r="E12">
        <v>0</v>
      </c>
      <c r="F12">
        <v>0</v>
      </c>
      <c r="G12">
        <v>1073</v>
      </c>
      <c r="H12">
        <v>1073</v>
      </c>
      <c r="I12">
        <v>1073</v>
      </c>
      <c r="J12">
        <v>1140</v>
      </c>
      <c r="K12">
        <v>1274</v>
      </c>
      <c r="L12">
        <v>1274</v>
      </c>
      <c r="M12" s="51">
        <v>0</v>
      </c>
      <c r="N12" s="51">
        <v>0</v>
      </c>
      <c r="O12" s="51">
        <v>0</v>
      </c>
      <c r="P12" s="51">
        <v>0</v>
      </c>
      <c r="Q12" s="51">
        <v>0.93357342324408155</v>
      </c>
      <c r="R12" s="51">
        <v>0.90359127425569929</v>
      </c>
      <c r="S12" s="51">
        <v>0.878052428976974</v>
      </c>
      <c r="T12" s="51">
        <v>0.90827874564793065</v>
      </c>
      <c r="U12" s="51">
        <v>0.98839558415265172</v>
      </c>
      <c r="V12" s="53">
        <v>0.98006475966373474</v>
      </c>
      <c r="Y12" s="4" t="s">
        <v>62</v>
      </c>
      <c r="Z12">
        <v>8944</v>
      </c>
    </row>
    <row r="13" spans="1:26" x14ac:dyDescent="0.35">
      <c r="A13" s="4" t="s">
        <v>50</v>
      </c>
      <c r="B13" s="54" t="s">
        <v>259</v>
      </c>
      <c r="C13">
        <v>0</v>
      </c>
      <c r="D13">
        <v>0</v>
      </c>
      <c r="E13">
        <v>0</v>
      </c>
      <c r="F13">
        <v>0</v>
      </c>
      <c r="G13">
        <v>0</v>
      </c>
      <c r="H13">
        <v>0</v>
      </c>
      <c r="I13">
        <v>0</v>
      </c>
      <c r="J13">
        <v>0</v>
      </c>
      <c r="K13">
        <v>911</v>
      </c>
      <c r="L13">
        <v>911</v>
      </c>
      <c r="M13" s="51">
        <v>0</v>
      </c>
      <c r="N13" s="51">
        <v>0</v>
      </c>
      <c r="O13" s="51">
        <v>0</v>
      </c>
      <c r="P13" s="51">
        <v>0</v>
      </c>
      <c r="Q13" s="51">
        <v>0</v>
      </c>
      <c r="R13" s="51">
        <v>0</v>
      </c>
      <c r="S13" s="51">
        <v>0</v>
      </c>
      <c r="T13" s="51">
        <v>0</v>
      </c>
      <c r="U13" s="51">
        <v>0.70677266653301862</v>
      </c>
      <c r="V13" s="53">
        <v>0.70081553850365952</v>
      </c>
      <c r="Y13" s="4" t="s">
        <v>60</v>
      </c>
      <c r="Z13">
        <v>1974</v>
      </c>
    </row>
    <row r="14" spans="1:26" x14ac:dyDescent="0.35">
      <c r="A14" s="4" t="s">
        <v>50</v>
      </c>
      <c r="B14" s="54" t="s">
        <v>260</v>
      </c>
      <c r="C14">
        <v>609</v>
      </c>
      <c r="D14">
        <v>609</v>
      </c>
      <c r="E14">
        <v>609</v>
      </c>
      <c r="F14">
        <v>609</v>
      </c>
      <c r="G14">
        <v>1084</v>
      </c>
      <c r="H14">
        <v>1084</v>
      </c>
      <c r="I14">
        <v>1084</v>
      </c>
      <c r="J14">
        <v>871</v>
      </c>
      <c r="K14">
        <v>1038</v>
      </c>
      <c r="L14">
        <v>1038</v>
      </c>
      <c r="M14" s="51">
        <v>0.58028113239242674</v>
      </c>
      <c r="N14" s="51">
        <v>0.56771846533673254</v>
      </c>
      <c r="O14" s="51">
        <v>0.558545111964449</v>
      </c>
      <c r="P14" s="51">
        <v>0.54591450225909111</v>
      </c>
      <c r="Q14" s="51">
        <v>0.94314407343577289</v>
      </c>
      <c r="R14" s="51">
        <v>0.91285455852113517</v>
      </c>
      <c r="S14" s="51">
        <v>0.88705389842594584</v>
      </c>
      <c r="T14" s="51">
        <v>0.69395683110469075</v>
      </c>
      <c r="U14" s="51">
        <v>0.80530189666440544</v>
      </c>
      <c r="V14" s="53">
        <v>0.79851430182963623</v>
      </c>
      <c r="Y14" s="4" t="s">
        <v>52</v>
      </c>
      <c r="Z14">
        <v>1376</v>
      </c>
    </row>
    <row r="15" spans="1:26" x14ac:dyDescent="0.35">
      <c r="A15" s="4" t="s">
        <v>50</v>
      </c>
      <c r="B15" s="54" t="s">
        <v>261</v>
      </c>
      <c r="C15">
        <v>35</v>
      </c>
      <c r="D15">
        <v>35</v>
      </c>
      <c r="E15">
        <v>79</v>
      </c>
      <c r="F15">
        <v>79</v>
      </c>
      <c r="G15">
        <v>160</v>
      </c>
      <c r="H15">
        <v>160</v>
      </c>
      <c r="I15">
        <v>160</v>
      </c>
      <c r="J15">
        <v>346</v>
      </c>
      <c r="K15">
        <v>483</v>
      </c>
      <c r="L15">
        <v>483</v>
      </c>
      <c r="M15" s="51">
        <v>3.3349490367380843E-2</v>
      </c>
      <c r="N15" s="51">
        <v>3.2627498007858198E-2</v>
      </c>
      <c r="O15" s="51">
        <v>7.2454948842678932E-2</v>
      </c>
      <c r="P15" s="51">
        <v>7.0816495366942844E-2</v>
      </c>
      <c r="Q15" s="51">
        <v>0.13920945733369341</v>
      </c>
      <c r="R15" s="51">
        <v>0.13473868022452179</v>
      </c>
      <c r="S15" s="51">
        <v>0.1309304647123167</v>
      </c>
      <c r="T15" s="51">
        <v>0.27567056666156492</v>
      </c>
      <c r="U15" s="51">
        <v>0.37472140278314819</v>
      </c>
      <c r="V15" s="53">
        <v>0.37156301327910818</v>
      </c>
      <c r="Y15" s="4" t="s">
        <v>40</v>
      </c>
      <c r="Z15">
        <v>234805</v>
      </c>
    </row>
    <row r="16" spans="1:26" x14ac:dyDescent="0.35">
      <c r="A16" s="4" t="s">
        <v>50</v>
      </c>
      <c r="B16" s="54" t="s">
        <v>262</v>
      </c>
      <c r="C16">
        <v>6819</v>
      </c>
      <c r="D16">
        <v>6819</v>
      </c>
      <c r="E16">
        <v>6819</v>
      </c>
      <c r="F16">
        <v>6819</v>
      </c>
      <c r="G16">
        <v>9071</v>
      </c>
      <c r="H16">
        <v>9156</v>
      </c>
      <c r="I16">
        <v>9156</v>
      </c>
      <c r="J16">
        <v>11586</v>
      </c>
      <c r="K16">
        <v>9372</v>
      </c>
      <c r="L16">
        <v>10873</v>
      </c>
      <c r="M16" s="51">
        <v>6.4974335661477136</v>
      </c>
      <c r="N16" s="51">
        <v>6.3567688261595716</v>
      </c>
      <c r="O16" s="51">
        <v>6.2540543817497181</v>
      </c>
      <c r="P16" s="51">
        <v>6.1126288849010537</v>
      </c>
      <c r="Q16" s="51">
        <v>7.8923061717120815</v>
      </c>
      <c r="R16" s="51">
        <v>7.7104209758482591</v>
      </c>
      <c r="S16" s="51">
        <v>7.4924958431623248</v>
      </c>
      <c r="T16" s="51">
        <v>9.2309803044534426</v>
      </c>
      <c r="U16" s="51">
        <v>7.2709916912705275</v>
      </c>
      <c r="V16" s="53">
        <v>8.3643988475853899</v>
      </c>
      <c r="Y16" s="4" t="s">
        <v>70</v>
      </c>
      <c r="Z16">
        <v>6503</v>
      </c>
    </row>
    <row r="17" spans="1:26" x14ac:dyDescent="0.35">
      <c r="A17" s="4" t="s">
        <v>50</v>
      </c>
      <c r="B17" s="54" t="s">
        <v>263</v>
      </c>
      <c r="C17">
        <v>0</v>
      </c>
      <c r="D17">
        <v>0</v>
      </c>
      <c r="E17">
        <v>0</v>
      </c>
      <c r="F17">
        <v>0</v>
      </c>
      <c r="G17">
        <v>0</v>
      </c>
      <c r="H17">
        <v>119</v>
      </c>
      <c r="I17">
        <v>119</v>
      </c>
      <c r="J17">
        <v>66</v>
      </c>
      <c r="K17">
        <v>124</v>
      </c>
      <c r="L17">
        <v>124</v>
      </c>
      <c r="M17" s="51">
        <v>0</v>
      </c>
      <c r="N17" s="51">
        <v>0</v>
      </c>
      <c r="O17" s="51">
        <v>0</v>
      </c>
      <c r="P17" s="51">
        <v>0</v>
      </c>
      <c r="Q17" s="51">
        <v>0</v>
      </c>
      <c r="R17" s="51">
        <v>0.10021189341698808</v>
      </c>
      <c r="S17" s="51">
        <v>9.7379533129785562E-2</v>
      </c>
      <c r="T17" s="51">
        <v>5.2584558958564405E-2</v>
      </c>
      <c r="U17" s="51">
        <v>9.6201768002298918E-2</v>
      </c>
      <c r="V17" s="53">
        <v>9.539091852300087E-2</v>
      </c>
      <c r="Y17" s="4" t="s">
        <v>74</v>
      </c>
      <c r="Z17">
        <v>239596</v>
      </c>
    </row>
    <row r="18" spans="1:26" x14ac:dyDescent="0.35">
      <c r="B18" s="4" t="s">
        <v>44</v>
      </c>
      <c r="C18">
        <v>0</v>
      </c>
      <c r="D18">
        <v>0</v>
      </c>
      <c r="E18">
        <v>0</v>
      </c>
      <c r="F18">
        <v>4322</v>
      </c>
      <c r="G18">
        <v>4322</v>
      </c>
      <c r="H18">
        <v>9525</v>
      </c>
      <c r="I18">
        <v>9938</v>
      </c>
      <c r="J18">
        <v>9938</v>
      </c>
      <c r="K18">
        <v>13264</v>
      </c>
      <c r="L18">
        <v>14457</v>
      </c>
      <c r="M18" s="51"/>
      <c r="N18" s="51"/>
      <c r="O18" s="51"/>
      <c r="P18" s="51"/>
      <c r="Q18" s="51"/>
      <c r="R18" s="51"/>
      <c r="S18" s="51"/>
      <c r="T18" s="51"/>
      <c r="U18" s="51"/>
      <c r="V18" s="51"/>
      <c r="Y18" s="4" t="s">
        <v>76</v>
      </c>
      <c r="Z18">
        <v>7767</v>
      </c>
    </row>
    <row r="19" spans="1:26" x14ac:dyDescent="0.35">
      <c r="A19" s="4" t="s">
        <v>44</v>
      </c>
      <c r="B19" s="54" t="s">
        <v>257</v>
      </c>
      <c r="C19">
        <v>0</v>
      </c>
      <c r="D19">
        <v>0</v>
      </c>
      <c r="E19">
        <v>0</v>
      </c>
      <c r="F19">
        <v>9</v>
      </c>
      <c r="G19">
        <v>9</v>
      </c>
      <c r="H19">
        <v>12</v>
      </c>
      <c r="I19">
        <v>12</v>
      </c>
      <c r="J19">
        <v>12</v>
      </c>
      <c r="K19">
        <v>50</v>
      </c>
      <c r="L19">
        <v>66</v>
      </c>
      <c r="M19" s="51">
        <v>0</v>
      </c>
      <c r="N19" s="51">
        <v>0</v>
      </c>
      <c r="O19" s="51">
        <v>0</v>
      </c>
      <c r="P19" s="51">
        <v>7.76077564296086E-3</v>
      </c>
      <c r="Q19" s="51">
        <v>7.5372572908936611E-3</v>
      </c>
      <c r="R19" s="51">
        <v>9.7636830695457377E-3</v>
      </c>
      <c r="S19" s="51">
        <v>9.4913258377696715E-3</v>
      </c>
      <c r="T19" s="51">
        <v>9.2329744912150163E-3</v>
      </c>
      <c r="U19" s="51">
        <v>3.7445150343776434E-2</v>
      </c>
      <c r="V19" s="53">
        <v>5.0288216244206284E-2</v>
      </c>
      <c r="Y19" s="4" t="s">
        <v>80</v>
      </c>
      <c r="Z19">
        <v>160236</v>
      </c>
    </row>
    <row r="20" spans="1:26" x14ac:dyDescent="0.35">
      <c r="A20" s="4" t="s">
        <v>44</v>
      </c>
      <c r="B20" s="54" t="s">
        <v>258</v>
      </c>
      <c r="C20">
        <v>0</v>
      </c>
      <c r="D20">
        <v>0</v>
      </c>
      <c r="E20">
        <v>0</v>
      </c>
      <c r="F20">
        <v>0</v>
      </c>
      <c r="G20">
        <v>0</v>
      </c>
      <c r="H20">
        <v>668</v>
      </c>
      <c r="I20">
        <v>668</v>
      </c>
      <c r="J20">
        <v>668</v>
      </c>
      <c r="K20">
        <v>668</v>
      </c>
      <c r="L20">
        <v>668</v>
      </c>
      <c r="M20" s="51">
        <v>0</v>
      </c>
      <c r="N20" s="51">
        <v>0</v>
      </c>
      <c r="O20" s="51">
        <v>0</v>
      </c>
      <c r="P20" s="51">
        <v>0</v>
      </c>
      <c r="Q20" s="51">
        <v>0</v>
      </c>
      <c r="R20" s="51">
        <v>0.5435116908713794</v>
      </c>
      <c r="S20" s="51">
        <v>0.52835047163584503</v>
      </c>
      <c r="T20" s="51">
        <v>0.51396891334430261</v>
      </c>
      <c r="U20" s="51">
        <v>0.50026720859285323</v>
      </c>
      <c r="V20" s="53">
        <v>0.50897770380499696</v>
      </c>
      <c r="Y20" s="4" t="s">
        <v>82</v>
      </c>
      <c r="Z20">
        <v>9650</v>
      </c>
    </row>
    <row r="21" spans="1:26" x14ac:dyDescent="0.35">
      <c r="A21" s="4" t="s">
        <v>44</v>
      </c>
      <c r="B21" s="54" t="s">
        <v>259</v>
      </c>
      <c r="C21">
        <v>0</v>
      </c>
      <c r="D21">
        <v>0</v>
      </c>
      <c r="E21">
        <v>0</v>
      </c>
      <c r="F21">
        <v>1166</v>
      </c>
      <c r="G21">
        <v>1166</v>
      </c>
      <c r="H21">
        <v>1166</v>
      </c>
      <c r="I21">
        <v>1166</v>
      </c>
      <c r="J21">
        <v>1166</v>
      </c>
      <c r="K21">
        <v>1602</v>
      </c>
      <c r="L21">
        <v>1632</v>
      </c>
      <c r="M21" s="51">
        <v>0</v>
      </c>
      <c r="N21" s="51">
        <v>0</v>
      </c>
      <c r="O21" s="51">
        <v>0</v>
      </c>
      <c r="P21" s="51">
        <v>1.0054515999658182</v>
      </c>
      <c r="Q21" s="51">
        <v>0.97649355568688989</v>
      </c>
      <c r="R21" s="51">
        <v>0.94870453825752754</v>
      </c>
      <c r="S21" s="51">
        <v>0.92224049390328633</v>
      </c>
      <c r="T21" s="51">
        <v>0.89713735472972578</v>
      </c>
      <c r="U21" s="51">
        <v>1.1997426170145971</v>
      </c>
      <c r="V21" s="53">
        <v>1.2434904380385554</v>
      </c>
      <c r="Y21" s="4" t="s">
        <v>78</v>
      </c>
      <c r="Z21">
        <v>2263</v>
      </c>
    </row>
    <row r="22" spans="1:26" x14ac:dyDescent="0.35">
      <c r="A22" s="4" t="s">
        <v>44</v>
      </c>
      <c r="B22" s="54" t="s">
        <v>260</v>
      </c>
      <c r="C22">
        <v>0</v>
      </c>
      <c r="D22">
        <v>0</v>
      </c>
      <c r="E22">
        <v>0</v>
      </c>
      <c r="F22">
        <v>523</v>
      </c>
      <c r="G22">
        <v>523</v>
      </c>
      <c r="H22">
        <v>908</v>
      </c>
      <c r="I22">
        <v>908</v>
      </c>
      <c r="J22">
        <v>908</v>
      </c>
      <c r="K22">
        <v>2608</v>
      </c>
      <c r="L22">
        <v>3042</v>
      </c>
      <c r="M22" s="51">
        <v>0</v>
      </c>
      <c r="N22" s="51">
        <v>0</v>
      </c>
      <c r="O22" s="51">
        <v>0</v>
      </c>
      <c r="P22" s="51">
        <v>0.45098729569650331</v>
      </c>
      <c r="Q22" s="51">
        <v>0.4379983959041539</v>
      </c>
      <c r="R22" s="51">
        <v>0.73878535226229425</v>
      </c>
      <c r="S22" s="51">
        <v>0.71817698839123856</v>
      </c>
      <c r="T22" s="51">
        <v>0.69862840316860297</v>
      </c>
      <c r="U22" s="51">
        <v>1.953139041931379</v>
      </c>
      <c r="V22" s="53">
        <v>2.3178296032556895</v>
      </c>
      <c r="Y22" s="4" t="s">
        <v>84</v>
      </c>
      <c r="Z22">
        <v>2811</v>
      </c>
    </row>
    <row r="23" spans="1:26" x14ac:dyDescent="0.35">
      <c r="A23" s="4" t="s">
        <v>44</v>
      </c>
      <c r="B23" s="54" t="s">
        <v>261</v>
      </c>
      <c r="C23">
        <v>0</v>
      </c>
      <c r="D23">
        <v>0</v>
      </c>
      <c r="E23">
        <v>0</v>
      </c>
      <c r="F23">
        <v>1034</v>
      </c>
      <c r="G23">
        <v>1034</v>
      </c>
      <c r="H23">
        <v>1055</v>
      </c>
      <c r="I23">
        <v>1208</v>
      </c>
      <c r="J23">
        <v>1208</v>
      </c>
      <c r="K23">
        <v>2061</v>
      </c>
      <c r="L23">
        <v>2426</v>
      </c>
      <c r="M23" s="51">
        <v>0</v>
      </c>
      <c r="N23" s="51">
        <v>0</v>
      </c>
      <c r="O23" s="51">
        <v>0</v>
      </c>
      <c r="P23" s="51">
        <v>0.89162689053572552</v>
      </c>
      <c r="Q23" s="51">
        <v>0.86594711542044966</v>
      </c>
      <c r="R23" s="51">
        <v>0.85839046986422951</v>
      </c>
      <c r="S23" s="51">
        <v>0.95546013433548027</v>
      </c>
      <c r="T23" s="51">
        <v>0.92945276544897837</v>
      </c>
      <c r="U23" s="51">
        <v>1.5434890971704647</v>
      </c>
      <c r="V23" s="53">
        <v>1.8484729183097643</v>
      </c>
      <c r="Y23" s="4" t="s">
        <v>68</v>
      </c>
      <c r="Z23">
        <v>3130</v>
      </c>
    </row>
    <row r="24" spans="1:26" x14ac:dyDescent="0.35">
      <c r="A24" s="4" t="s">
        <v>44</v>
      </c>
      <c r="B24" s="54" t="s">
        <v>262</v>
      </c>
      <c r="C24">
        <v>0</v>
      </c>
      <c r="D24">
        <v>0</v>
      </c>
      <c r="E24">
        <v>0</v>
      </c>
      <c r="F24">
        <v>1577</v>
      </c>
      <c r="G24">
        <v>1577</v>
      </c>
      <c r="H24">
        <v>5410</v>
      </c>
      <c r="I24">
        <v>5670</v>
      </c>
      <c r="J24">
        <v>5670</v>
      </c>
      <c r="K24">
        <v>5893</v>
      </c>
      <c r="L24">
        <v>6190</v>
      </c>
      <c r="M24" s="51">
        <v>0</v>
      </c>
      <c r="N24" s="51">
        <v>0</v>
      </c>
      <c r="O24" s="51">
        <v>0</v>
      </c>
      <c r="P24" s="51">
        <v>1.3598603543276975</v>
      </c>
      <c r="Q24" s="51">
        <v>1.3206949719710337</v>
      </c>
      <c r="R24" s="51">
        <v>4.4017937838535373</v>
      </c>
      <c r="S24" s="51">
        <v>4.4846514583461694</v>
      </c>
      <c r="T24" s="51">
        <v>4.3625804470990959</v>
      </c>
      <c r="U24" s="51">
        <v>4.4132854195174911</v>
      </c>
      <c r="V24" s="53">
        <v>4.7164251295702559</v>
      </c>
      <c r="Y24" s="4" t="s">
        <v>86</v>
      </c>
      <c r="Z24">
        <v>155136</v>
      </c>
    </row>
    <row r="25" spans="1:26" x14ac:dyDescent="0.35">
      <c r="A25" s="4" t="s">
        <v>44</v>
      </c>
      <c r="B25" s="54" t="s">
        <v>263</v>
      </c>
      <c r="C25">
        <v>0</v>
      </c>
      <c r="D25">
        <v>0</v>
      </c>
      <c r="E25">
        <v>0</v>
      </c>
      <c r="F25">
        <v>13</v>
      </c>
      <c r="G25">
        <v>13</v>
      </c>
      <c r="H25">
        <v>306</v>
      </c>
      <c r="I25">
        <v>306</v>
      </c>
      <c r="J25">
        <v>306</v>
      </c>
      <c r="K25">
        <v>382</v>
      </c>
      <c r="L25">
        <v>433</v>
      </c>
      <c r="M25" s="51">
        <v>0</v>
      </c>
      <c r="N25" s="51">
        <v>0</v>
      </c>
      <c r="O25" s="51">
        <v>0</v>
      </c>
      <c r="P25" s="51">
        <v>1.1210009262054574E-2</v>
      </c>
      <c r="Q25" s="51">
        <v>1.0887149420179732E-2</v>
      </c>
      <c r="R25" s="51">
        <v>0.24897391827341633</v>
      </c>
      <c r="S25" s="51">
        <v>0.24202880886312661</v>
      </c>
      <c r="T25" s="51">
        <v>0.23544084952598293</v>
      </c>
      <c r="U25" s="51">
        <v>0.28608094862645195</v>
      </c>
      <c r="V25" s="53">
        <v>0.3299211762688079</v>
      </c>
      <c r="Y25" s="4" t="s">
        <v>90</v>
      </c>
      <c r="Z25">
        <v>6660</v>
      </c>
    </row>
    <row r="26" spans="1:26" x14ac:dyDescent="0.35">
      <c r="B26" s="4" t="s">
        <v>48</v>
      </c>
      <c r="C26">
        <v>7432</v>
      </c>
      <c r="D26">
        <v>12939</v>
      </c>
      <c r="E26">
        <v>13788</v>
      </c>
      <c r="F26">
        <v>18201</v>
      </c>
      <c r="G26">
        <v>19692</v>
      </c>
      <c r="H26">
        <v>19929</v>
      </c>
      <c r="I26">
        <v>22805</v>
      </c>
      <c r="J26">
        <v>24888</v>
      </c>
      <c r="K26">
        <v>30815</v>
      </c>
      <c r="L26">
        <v>27315</v>
      </c>
      <c r="M26" s="51"/>
      <c r="N26" s="51"/>
      <c r="O26" s="51"/>
      <c r="P26" s="51"/>
      <c r="Q26" s="51"/>
      <c r="R26" s="51"/>
      <c r="S26" s="51"/>
      <c r="T26" s="51"/>
      <c r="U26" s="51"/>
      <c r="V26" s="51"/>
      <c r="Y26" s="4" t="s">
        <v>88</v>
      </c>
      <c r="Z26">
        <v>5581</v>
      </c>
    </row>
    <row r="27" spans="1:26" x14ac:dyDescent="0.35">
      <c r="A27" s="4" t="s">
        <v>48</v>
      </c>
      <c r="B27" s="54" t="s">
        <v>257</v>
      </c>
      <c r="C27">
        <v>0</v>
      </c>
      <c r="D27">
        <v>0</v>
      </c>
      <c r="E27">
        <v>0</v>
      </c>
      <c r="F27">
        <v>0</v>
      </c>
      <c r="G27">
        <v>80</v>
      </c>
      <c r="H27">
        <v>91</v>
      </c>
      <c r="I27">
        <v>91</v>
      </c>
      <c r="J27">
        <v>103</v>
      </c>
      <c r="K27">
        <v>109</v>
      </c>
      <c r="L27">
        <v>133</v>
      </c>
      <c r="M27" s="51">
        <v>0</v>
      </c>
      <c r="N27" s="51">
        <v>0</v>
      </c>
      <c r="O27" s="51">
        <v>0</v>
      </c>
      <c r="P27" s="51">
        <v>0</v>
      </c>
      <c r="Q27" s="51">
        <v>3.9229680116774988E-2</v>
      </c>
      <c r="R27" s="51">
        <v>4.3433356216189101E-2</v>
      </c>
      <c r="S27" s="51">
        <v>4.228108596042137E-2</v>
      </c>
      <c r="T27" s="51">
        <v>4.6604894518418274E-2</v>
      </c>
      <c r="U27" s="51">
        <v>4.8073186972677935E-2</v>
      </c>
      <c r="V27" s="53">
        <v>5.8536563037584609E-2</v>
      </c>
      <c r="Y27" s="4" t="s">
        <v>92</v>
      </c>
      <c r="Z27">
        <v>14677</v>
      </c>
    </row>
    <row r="28" spans="1:26" x14ac:dyDescent="0.35">
      <c r="A28" s="4" t="s">
        <v>48</v>
      </c>
      <c r="B28" s="54" t="s">
        <v>258</v>
      </c>
      <c r="C28">
        <v>0</v>
      </c>
      <c r="D28">
        <v>0</v>
      </c>
      <c r="E28">
        <v>0</v>
      </c>
      <c r="F28">
        <v>0</v>
      </c>
      <c r="G28">
        <v>699</v>
      </c>
      <c r="H28">
        <v>699</v>
      </c>
      <c r="I28">
        <v>699</v>
      </c>
      <c r="J28">
        <v>699</v>
      </c>
      <c r="K28">
        <v>899</v>
      </c>
      <c r="L28">
        <v>6</v>
      </c>
      <c r="M28" s="51">
        <v>0</v>
      </c>
      <c r="N28" s="51">
        <v>0</v>
      </c>
      <c r="O28" s="51">
        <v>0</v>
      </c>
      <c r="P28" s="51">
        <v>0</v>
      </c>
      <c r="Q28" s="51">
        <v>0.34276933002032151</v>
      </c>
      <c r="R28" s="51">
        <v>0.33362545049578224</v>
      </c>
      <c r="S28" s="51">
        <v>0.32477449545422571</v>
      </c>
      <c r="T28" s="51">
        <v>0.31627981813955702</v>
      </c>
      <c r="U28" s="51">
        <v>0.39649353292144462</v>
      </c>
      <c r="V28" s="53">
        <v>2.640747204703065E-3</v>
      </c>
      <c r="Y28" s="4" t="s">
        <v>96</v>
      </c>
      <c r="Z28">
        <v>17334</v>
      </c>
    </row>
    <row r="29" spans="1:26" x14ac:dyDescent="0.35">
      <c r="A29" s="4" t="s">
        <v>48</v>
      </c>
      <c r="B29" s="54" t="s">
        <v>259</v>
      </c>
      <c r="C29">
        <v>0</v>
      </c>
      <c r="D29">
        <v>0</v>
      </c>
      <c r="E29">
        <v>0</v>
      </c>
      <c r="F29">
        <v>0</v>
      </c>
      <c r="G29">
        <v>0</v>
      </c>
      <c r="H29">
        <v>0</v>
      </c>
      <c r="I29">
        <v>800</v>
      </c>
      <c r="J29">
        <v>906</v>
      </c>
      <c r="K29">
        <v>945</v>
      </c>
      <c r="L29">
        <v>1104</v>
      </c>
      <c r="M29" s="51">
        <v>0</v>
      </c>
      <c r="N29" s="51">
        <v>0</v>
      </c>
      <c r="O29" s="51">
        <v>0</v>
      </c>
      <c r="P29" s="51">
        <v>0</v>
      </c>
      <c r="Q29" s="51">
        <v>0</v>
      </c>
      <c r="R29" s="51">
        <v>0</v>
      </c>
      <c r="S29" s="51">
        <v>0.37170185459711097</v>
      </c>
      <c r="T29" s="51">
        <v>0.40994208188045594</v>
      </c>
      <c r="U29" s="51">
        <v>0.41678129990073992</v>
      </c>
      <c r="V29" s="53">
        <v>0.485897485665364</v>
      </c>
      <c r="Y29" s="4" t="s">
        <v>102</v>
      </c>
      <c r="Z29">
        <v>39554</v>
      </c>
    </row>
    <row r="30" spans="1:26" x14ac:dyDescent="0.35">
      <c r="A30" s="4" t="s">
        <v>48</v>
      </c>
      <c r="B30" s="52" t="s">
        <v>260</v>
      </c>
      <c r="C30">
        <v>857</v>
      </c>
      <c r="D30">
        <v>1189</v>
      </c>
      <c r="E30">
        <v>1202</v>
      </c>
      <c r="F30">
        <v>1626</v>
      </c>
      <c r="G30">
        <v>1684</v>
      </c>
      <c r="H30">
        <v>1910</v>
      </c>
      <c r="I30">
        <v>2061</v>
      </c>
      <c r="J30">
        <v>2221</v>
      </c>
      <c r="K30">
        <v>3323</v>
      </c>
      <c r="L30">
        <v>3323</v>
      </c>
      <c r="M30" s="51">
        <v>0.47166067817210516</v>
      </c>
      <c r="N30" s="51">
        <v>0.63521679297365807</v>
      </c>
      <c r="O30" s="51">
        <v>0.62358959545429127</v>
      </c>
      <c r="P30" s="51">
        <v>0.81972758627330367</v>
      </c>
      <c r="Q30" s="51">
        <v>0.82578476645811361</v>
      </c>
      <c r="R30" s="51">
        <v>0.91162319091122179</v>
      </c>
      <c r="S30" s="51">
        <v>0.95759690290580712</v>
      </c>
      <c r="T30" s="51">
        <v>1.0049463177223981</v>
      </c>
      <c r="U30" s="51">
        <v>1.465570645047787</v>
      </c>
      <c r="V30" s="53">
        <v>1.4625338268713808</v>
      </c>
      <c r="Y30" s="4" t="s">
        <v>98</v>
      </c>
      <c r="Z30">
        <v>9698</v>
      </c>
    </row>
    <row r="31" spans="1:26" x14ac:dyDescent="0.35">
      <c r="A31" s="4" t="s">
        <v>48</v>
      </c>
      <c r="B31" s="54" t="s">
        <v>261</v>
      </c>
      <c r="C31">
        <v>0</v>
      </c>
      <c r="D31">
        <v>1744</v>
      </c>
      <c r="E31">
        <v>2580</v>
      </c>
      <c r="F31">
        <v>6569</v>
      </c>
      <c r="G31">
        <v>6569</v>
      </c>
      <c r="H31">
        <v>6569</v>
      </c>
      <c r="I31">
        <v>7477</v>
      </c>
      <c r="J31">
        <v>8052</v>
      </c>
      <c r="K31">
        <v>9294</v>
      </c>
      <c r="L31">
        <v>8229</v>
      </c>
      <c r="M31" s="51">
        <v>0</v>
      </c>
      <c r="N31" s="51">
        <v>0.93172252897061392</v>
      </c>
      <c r="O31" s="51">
        <v>1.3384868188619561</v>
      </c>
      <c r="P31" s="51">
        <v>3.311679283043869</v>
      </c>
      <c r="Q31" s="51">
        <v>3.2212471085886865</v>
      </c>
      <c r="R31" s="51">
        <v>3.1353155712543539</v>
      </c>
      <c r="S31" s="51">
        <v>3.4740184585282483</v>
      </c>
      <c r="T31" s="51">
        <v>3.6433263171097474</v>
      </c>
      <c r="U31" s="51">
        <v>4.099011006642832</v>
      </c>
      <c r="V31" s="53">
        <v>3.6217847912502541</v>
      </c>
      <c r="Y31" s="4" t="s">
        <v>100</v>
      </c>
      <c r="Z31">
        <v>8036</v>
      </c>
    </row>
    <row r="32" spans="1:26" x14ac:dyDescent="0.35">
      <c r="A32" s="4" t="s">
        <v>48</v>
      </c>
      <c r="B32" s="54" t="s">
        <v>262</v>
      </c>
      <c r="C32">
        <v>6358</v>
      </c>
      <c r="D32">
        <v>9748</v>
      </c>
      <c r="E32">
        <v>9748</v>
      </c>
      <c r="F32">
        <v>9748</v>
      </c>
      <c r="G32">
        <v>10376</v>
      </c>
      <c r="H32">
        <v>10376</v>
      </c>
      <c r="I32">
        <v>11364</v>
      </c>
      <c r="J32">
        <v>12189</v>
      </c>
      <c r="K32">
        <v>15405</v>
      </c>
      <c r="L32">
        <v>13619</v>
      </c>
      <c r="M32" s="51">
        <v>3.4992048912698306</v>
      </c>
      <c r="N32" s="51">
        <v>5.2078160621591421</v>
      </c>
      <c r="O32" s="51">
        <v>5.0571974845993601</v>
      </c>
      <c r="P32" s="51">
        <v>4.9143324175843563</v>
      </c>
      <c r="Q32" s="51">
        <v>5.0880895111457161</v>
      </c>
      <c r="R32" s="51">
        <v>4.9523571879030559</v>
      </c>
      <c r="S32" s="51">
        <v>5.2800248445519609</v>
      </c>
      <c r="T32" s="51">
        <v>5.5152141678155377</v>
      </c>
      <c r="U32" s="51">
        <v>6.7941967460009511</v>
      </c>
      <c r="V32" s="53">
        <v>5.9940560301418406</v>
      </c>
      <c r="Y32" s="4" t="s">
        <v>94</v>
      </c>
      <c r="Z32">
        <v>12073</v>
      </c>
    </row>
    <row r="33" spans="1:26" x14ac:dyDescent="0.35">
      <c r="A33" s="4" t="s">
        <v>48</v>
      </c>
      <c r="B33" s="54" t="s">
        <v>263</v>
      </c>
      <c r="C33">
        <v>217</v>
      </c>
      <c r="D33">
        <v>258</v>
      </c>
      <c r="E33">
        <v>258</v>
      </c>
      <c r="F33">
        <v>258</v>
      </c>
      <c r="G33">
        <v>284</v>
      </c>
      <c r="H33">
        <v>284</v>
      </c>
      <c r="I33">
        <v>313</v>
      </c>
      <c r="J33">
        <v>718</v>
      </c>
      <c r="K33">
        <v>840</v>
      </c>
      <c r="L33">
        <v>901</v>
      </c>
      <c r="M33" s="51">
        <v>0.11942866646831601</v>
      </c>
      <c r="N33" s="51">
        <v>0.13783509889588208</v>
      </c>
      <c r="O33" s="51">
        <v>0.13384868188619561</v>
      </c>
      <c r="P33" s="51">
        <v>0.13006747678875299</v>
      </c>
      <c r="Q33" s="51">
        <v>0.13926536441455123</v>
      </c>
      <c r="R33" s="51">
        <v>0.13555025456480993</v>
      </c>
      <c r="S33" s="51">
        <v>0.14542835061111967</v>
      </c>
      <c r="T33" s="51">
        <v>0.32487683751674096</v>
      </c>
      <c r="U33" s="51">
        <v>0.37047226657843546</v>
      </c>
      <c r="V33" s="53">
        <v>0.39655220523957696</v>
      </c>
      <c r="Y33" s="4" t="s">
        <v>104</v>
      </c>
      <c r="Z33">
        <v>19203</v>
      </c>
    </row>
    <row r="34" spans="1:26" x14ac:dyDescent="0.35">
      <c r="B34" s="4" t="s">
        <v>46</v>
      </c>
      <c r="C34">
        <v>0</v>
      </c>
      <c r="D34">
        <v>0</v>
      </c>
      <c r="E34">
        <v>0</v>
      </c>
      <c r="F34">
        <v>9809</v>
      </c>
      <c r="G34">
        <v>9809</v>
      </c>
      <c r="H34">
        <v>10761</v>
      </c>
      <c r="I34">
        <v>10907</v>
      </c>
      <c r="J34">
        <v>11110</v>
      </c>
      <c r="K34">
        <v>9819</v>
      </c>
      <c r="L34">
        <v>9108</v>
      </c>
      <c r="M34" s="51"/>
      <c r="N34" s="51"/>
      <c r="O34" s="51"/>
      <c r="P34" s="51"/>
      <c r="Q34" s="51"/>
      <c r="R34" s="51"/>
      <c r="S34" s="51"/>
      <c r="T34" s="51"/>
      <c r="U34" s="51"/>
      <c r="V34" s="51"/>
      <c r="Y34" s="4" t="s">
        <v>106</v>
      </c>
      <c r="Z34">
        <v>13159</v>
      </c>
    </row>
    <row r="35" spans="1:26" x14ac:dyDescent="0.35">
      <c r="A35" s="4" t="s">
        <v>46</v>
      </c>
      <c r="B35" s="54" t="s">
        <v>257</v>
      </c>
      <c r="C35">
        <v>0</v>
      </c>
      <c r="D35">
        <v>0</v>
      </c>
      <c r="E35">
        <v>0</v>
      </c>
      <c r="F35">
        <v>91</v>
      </c>
      <c r="G35">
        <v>91</v>
      </c>
      <c r="H35">
        <v>96</v>
      </c>
      <c r="I35">
        <v>96</v>
      </c>
      <c r="J35">
        <v>89</v>
      </c>
      <c r="K35">
        <v>99</v>
      </c>
      <c r="L35">
        <v>89</v>
      </c>
      <c r="M35" s="51">
        <v>0</v>
      </c>
      <c r="N35" s="51">
        <v>0</v>
      </c>
      <c r="O35" s="51">
        <v>0</v>
      </c>
      <c r="P35" s="51">
        <v>0.37887619491723012</v>
      </c>
      <c r="Q35" s="51">
        <v>0.37121508487567761</v>
      </c>
      <c r="R35" s="51">
        <v>0.38404577825676817</v>
      </c>
      <c r="S35" s="51">
        <v>0.37700253141491408</v>
      </c>
      <c r="T35" s="51">
        <v>0.34383870024335283</v>
      </c>
      <c r="U35" s="51">
        <v>0.37638349448122949</v>
      </c>
      <c r="V35" s="53">
        <v>0.35832856232944166</v>
      </c>
      <c r="Y35" s="4" t="s">
        <v>108</v>
      </c>
      <c r="Z35">
        <v>552980</v>
      </c>
    </row>
    <row r="36" spans="1:26" x14ac:dyDescent="0.35">
      <c r="A36" s="4" t="s">
        <v>46</v>
      </c>
      <c r="B36" s="54" t="s">
        <v>258</v>
      </c>
      <c r="C36">
        <v>0</v>
      </c>
      <c r="D36">
        <v>0</v>
      </c>
      <c r="E36">
        <v>0</v>
      </c>
      <c r="F36">
        <v>0</v>
      </c>
      <c r="G36">
        <v>0</v>
      </c>
      <c r="H36">
        <v>160</v>
      </c>
      <c r="I36">
        <v>160</v>
      </c>
      <c r="J36">
        <v>167</v>
      </c>
      <c r="K36">
        <v>191</v>
      </c>
      <c r="L36">
        <v>150</v>
      </c>
      <c r="M36" s="51">
        <v>0</v>
      </c>
      <c r="N36" s="51">
        <v>0</v>
      </c>
      <c r="O36" s="51">
        <v>0</v>
      </c>
      <c r="P36" s="51">
        <v>0</v>
      </c>
      <c r="Q36" s="51">
        <v>0</v>
      </c>
      <c r="R36" s="51">
        <v>0.64007629709461378</v>
      </c>
      <c r="S36" s="51">
        <v>0.62833755235819011</v>
      </c>
      <c r="T36" s="51">
        <v>0.6451804824791002</v>
      </c>
      <c r="U36" s="51">
        <v>0.72615401460520024</v>
      </c>
      <c r="V36" s="53">
        <v>0.60392454325186795</v>
      </c>
      <c r="Y36" s="4" t="s">
        <v>110</v>
      </c>
      <c r="Z36">
        <v>18546</v>
      </c>
    </row>
    <row r="37" spans="1:26" x14ac:dyDescent="0.35">
      <c r="A37" s="4" t="s">
        <v>46</v>
      </c>
      <c r="B37" s="54" t="s">
        <v>259</v>
      </c>
      <c r="C37">
        <v>0</v>
      </c>
      <c r="D37">
        <v>0</v>
      </c>
      <c r="E37">
        <v>0</v>
      </c>
      <c r="F37">
        <v>0</v>
      </c>
      <c r="G37">
        <v>0</v>
      </c>
      <c r="H37">
        <v>318</v>
      </c>
      <c r="I37">
        <v>338</v>
      </c>
      <c r="J37">
        <v>338</v>
      </c>
      <c r="K37">
        <v>365</v>
      </c>
      <c r="L37">
        <v>311</v>
      </c>
      <c r="M37" s="51">
        <v>0</v>
      </c>
      <c r="N37" s="51">
        <v>0</v>
      </c>
      <c r="O37" s="51">
        <v>0</v>
      </c>
      <c r="P37" s="51">
        <v>0</v>
      </c>
      <c r="Q37" s="51">
        <v>0</v>
      </c>
      <c r="R37" s="51">
        <v>1.2721516404755449</v>
      </c>
      <c r="S37" s="51">
        <v>1.3273630793566766</v>
      </c>
      <c r="T37" s="51">
        <v>1.3058143896882388</v>
      </c>
      <c r="U37" s="51">
        <v>1.387676520057058</v>
      </c>
      <c r="V37" s="53">
        <v>1.252136886342206</v>
      </c>
      <c r="Y37" s="4" t="s">
        <v>114</v>
      </c>
      <c r="Z37">
        <v>10465</v>
      </c>
    </row>
    <row r="38" spans="1:26" x14ac:dyDescent="0.35">
      <c r="A38" s="4" t="s">
        <v>46</v>
      </c>
      <c r="B38" s="54" t="s">
        <v>260</v>
      </c>
      <c r="C38">
        <v>0</v>
      </c>
      <c r="D38">
        <v>0</v>
      </c>
      <c r="E38">
        <v>0</v>
      </c>
      <c r="F38">
        <v>830</v>
      </c>
      <c r="G38">
        <v>830</v>
      </c>
      <c r="H38">
        <v>925</v>
      </c>
      <c r="I38">
        <v>925</v>
      </c>
      <c r="J38">
        <v>1024</v>
      </c>
      <c r="K38">
        <v>992</v>
      </c>
      <c r="L38">
        <v>941</v>
      </c>
      <c r="M38" s="51">
        <v>0</v>
      </c>
      <c r="N38" s="51">
        <v>0</v>
      </c>
      <c r="O38" s="51">
        <v>0</v>
      </c>
      <c r="P38" s="51">
        <v>3.4556839756186926</v>
      </c>
      <c r="Q38" s="51">
        <v>3.3858079169979387</v>
      </c>
      <c r="R38" s="51">
        <v>3.7004410925782354</v>
      </c>
      <c r="S38" s="51">
        <v>3.6325764745707865</v>
      </c>
      <c r="T38" s="51">
        <v>3.9560767308898122</v>
      </c>
      <c r="U38" s="51">
        <v>3.7714386517715113</v>
      </c>
      <c r="V38" s="53">
        <v>3.7886199680000514</v>
      </c>
      <c r="Y38" s="4" t="s">
        <v>118</v>
      </c>
      <c r="Z38">
        <v>11135</v>
      </c>
    </row>
    <row r="39" spans="1:26" x14ac:dyDescent="0.35">
      <c r="A39" s="4" t="s">
        <v>46</v>
      </c>
      <c r="B39" s="54" t="s">
        <v>261</v>
      </c>
      <c r="C39">
        <v>0</v>
      </c>
      <c r="D39">
        <v>0</v>
      </c>
      <c r="E39">
        <v>0</v>
      </c>
      <c r="F39">
        <v>1461</v>
      </c>
      <c r="G39">
        <v>1461</v>
      </c>
      <c r="H39">
        <v>1461</v>
      </c>
      <c r="I39">
        <v>1461</v>
      </c>
      <c r="J39">
        <v>1461</v>
      </c>
      <c r="K39">
        <v>0</v>
      </c>
      <c r="L39">
        <v>0</v>
      </c>
      <c r="M39" s="51">
        <v>0</v>
      </c>
      <c r="N39" s="51">
        <v>0</v>
      </c>
      <c r="O39" s="51">
        <v>0</v>
      </c>
      <c r="P39" s="51">
        <v>6.0828364920227829</v>
      </c>
      <c r="Q39" s="51">
        <v>5.9598377912457696</v>
      </c>
      <c r="R39" s="51">
        <v>5.8446966878451905</v>
      </c>
      <c r="S39" s="51">
        <v>5.7375072749707243</v>
      </c>
      <c r="T39" s="51">
        <v>5.6443633826464996</v>
      </c>
      <c r="U39" s="51">
        <v>0</v>
      </c>
      <c r="V39" s="53">
        <v>0</v>
      </c>
      <c r="Y39" s="4" t="s">
        <v>122</v>
      </c>
      <c r="Z39">
        <v>9173</v>
      </c>
    </row>
    <row r="40" spans="1:26" x14ac:dyDescent="0.35">
      <c r="A40" s="4" t="s">
        <v>46</v>
      </c>
      <c r="B40" s="54" t="s">
        <v>262</v>
      </c>
      <c r="C40">
        <v>0</v>
      </c>
      <c r="D40">
        <v>0</v>
      </c>
      <c r="E40">
        <v>0</v>
      </c>
      <c r="F40">
        <v>7427</v>
      </c>
      <c r="G40">
        <v>7427</v>
      </c>
      <c r="H40">
        <v>7645</v>
      </c>
      <c r="I40">
        <v>7771</v>
      </c>
      <c r="J40">
        <v>7886</v>
      </c>
      <c r="K40">
        <v>8028</v>
      </c>
      <c r="L40">
        <v>7485</v>
      </c>
      <c r="M40" s="51">
        <v>0</v>
      </c>
      <c r="N40" s="51">
        <v>0</v>
      </c>
      <c r="O40" s="51">
        <v>0</v>
      </c>
      <c r="P40" s="51">
        <v>30.922126369783165</v>
      </c>
      <c r="Q40" s="51">
        <v>30.296861927161071</v>
      </c>
      <c r="R40" s="51">
        <v>30.583645570552012</v>
      </c>
      <c r="S40" s="51">
        <v>30.517569496096844</v>
      </c>
      <c r="T40" s="51">
        <v>30.466426855270566</v>
      </c>
      <c r="U40" s="51">
        <v>30.521279734296066</v>
      </c>
      <c r="V40" s="53">
        <v>30.135834708268209</v>
      </c>
      <c r="Y40" s="4" t="s">
        <v>112</v>
      </c>
      <c r="Z40">
        <v>784</v>
      </c>
    </row>
    <row r="41" spans="1:26" x14ac:dyDescent="0.35">
      <c r="A41" s="4" t="s">
        <v>46</v>
      </c>
      <c r="B41" s="54" t="s">
        <v>263</v>
      </c>
      <c r="C41">
        <v>0</v>
      </c>
      <c r="D41">
        <v>0</v>
      </c>
      <c r="E41">
        <v>0</v>
      </c>
      <c r="F41">
        <v>0</v>
      </c>
      <c r="G41">
        <v>0</v>
      </c>
      <c r="H41">
        <v>156</v>
      </c>
      <c r="I41">
        <v>156</v>
      </c>
      <c r="J41">
        <v>145</v>
      </c>
      <c r="K41">
        <v>144</v>
      </c>
      <c r="L41">
        <v>132</v>
      </c>
      <c r="M41" s="51">
        <v>0</v>
      </c>
      <c r="N41" s="51">
        <v>0</v>
      </c>
      <c r="O41" s="51">
        <v>0</v>
      </c>
      <c r="P41" s="51">
        <v>0</v>
      </c>
      <c r="Q41" s="51">
        <v>0</v>
      </c>
      <c r="R41" s="51">
        <v>0.62407438966724826</v>
      </c>
      <c r="S41" s="51">
        <v>0.61262911354923533</v>
      </c>
      <c r="T41" s="51">
        <v>0.56018664646388938</v>
      </c>
      <c r="U41" s="51">
        <v>0.54746690106360651</v>
      </c>
      <c r="V41" s="53">
        <v>0.53145359806164372</v>
      </c>
      <c r="Y41" s="4" t="s">
        <v>72</v>
      </c>
      <c r="Z41">
        <v>6004</v>
      </c>
    </row>
    <row r="42" spans="1:26" x14ac:dyDescent="0.35">
      <c r="B42" s="4" t="s">
        <v>56</v>
      </c>
      <c r="C42">
        <v>0</v>
      </c>
      <c r="D42">
        <v>0</v>
      </c>
      <c r="E42">
        <v>1271</v>
      </c>
      <c r="F42">
        <v>1271</v>
      </c>
      <c r="G42">
        <v>1271</v>
      </c>
      <c r="H42">
        <v>2293</v>
      </c>
      <c r="I42">
        <v>2293</v>
      </c>
      <c r="J42">
        <v>2293</v>
      </c>
      <c r="K42">
        <v>2812</v>
      </c>
      <c r="L42">
        <v>6451</v>
      </c>
      <c r="M42" s="51"/>
      <c r="N42" s="51"/>
      <c r="O42" s="51"/>
      <c r="P42" s="51"/>
      <c r="Q42" s="51"/>
      <c r="R42" s="51"/>
      <c r="S42" s="51"/>
      <c r="T42" s="51"/>
      <c r="U42" s="51"/>
      <c r="V42" s="53"/>
      <c r="Y42" s="4" t="s">
        <v>116</v>
      </c>
      <c r="Z42">
        <v>1894</v>
      </c>
    </row>
    <row r="43" spans="1:26" x14ac:dyDescent="0.35">
      <c r="A43" s="4" t="s">
        <v>56</v>
      </c>
      <c r="B43" s="54" t="s">
        <v>257</v>
      </c>
      <c r="C43">
        <v>0</v>
      </c>
      <c r="D43">
        <v>0</v>
      </c>
      <c r="E43">
        <v>0</v>
      </c>
      <c r="F43">
        <v>0</v>
      </c>
      <c r="G43">
        <v>0</v>
      </c>
      <c r="H43">
        <v>10</v>
      </c>
      <c r="I43">
        <v>10</v>
      </c>
      <c r="J43">
        <v>10</v>
      </c>
      <c r="K43">
        <v>3</v>
      </c>
      <c r="L43">
        <v>3</v>
      </c>
      <c r="M43" s="51">
        <v>0</v>
      </c>
      <c r="N43" s="51">
        <v>0</v>
      </c>
      <c r="O43" s="51">
        <v>0</v>
      </c>
      <c r="P43" s="51">
        <v>0</v>
      </c>
      <c r="Q43" s="51">
        <v>0</v>
      </c>
      <c r="R43" s="51">
        <v>1.91963487009063E-2</v>
      </c>
      <c r="S43" s="51">
        <v>1.8716007052191459E-2</v>
      </c>
      <c r="T43" s="51">
        <v>1.8324569913181852E-2</v>
      </c>
      <c r="U43" s="51">
        <v>5.3771689707238241E-3</v>
      </c>
      <c r="V43" s="53">
        <v>5.8603639364142703E-3</v>
      </c>
      <c r="Y43" s="4" t="s">
        <v>58</v>
      </c>
      <c r="Z43">
        <v>7115</v>
      </c>
    </row>
    <row r="44" spans="1:26" x14ac:dyDescent="0.35">
      <c r="A44" s="4" t="s">
        <v>56</v>
      </c>
      <c r="B44" s="54" t="s">
        <v>258</v>
      </c>
      <c r="C44">
        <v>0</v>
      </c>
      <c r="D44">
        <v>0</v>
      </c>
      <c r="E44">
        <v>0</v>
      </c>
      <c r="F44">
        <v>0</v>
      </c>
      <c r="G44">
        <v>0</v>
      </c>
      <c r="H44">
        <v>112</v>
      </c>
      <c r="I44">
        <v>112</v>
      </c>
      <c r="J44">
        <v>112</v>
      </c>
      <c r="K44">
        <v>112</v>
      </c>
      <c r="L44">
        <v>112</v>
      </c>
      <c r="M44" s="51">
        <v>0</v>
      </c>
      <c r="N44" s="51">
        <v>0</v>
      </c>
      <c r="O44" s="51">
        <v>0</v>
      </c>
      <c r="P44" s="51">
        <v>0</v>
      </c>
      <c r="Q44" s="51">
        <v>0</v>
      </c>
      <c r="R44" s="51">
        <v>0.21499910545015052</v>
      </c>
      <c r="S44" s="51">
        <v>0.2096192789845443</v>
      </c>
      <c r="T44" s="51">
        <v>0.20523518302763674</v>
      </c>
      <c r="U44" s="51">
        <v>0.20074764157368943</v>
      </c>
      <c r="V44" s="53">
        <v>0.21878692029279939</v>
      </c>
      <c r="Y44" s="4" t="s">
        <v>128</v>
      </c>
      <c r="Z44">
        <v>6041</v>
      </c>
    </row>
    <row r="45" spans="1:26" x14ac:dyDescent="0.35">
      <c r="A45" s="4" t="s">
        <v>56</v>
      </c>
      <c r="B45" s="54" t="s">
        <v>259</v>
      </c>
      <c r="C45">
        <v>0</v>
      </c>
      <c r="D45">
        <v>0</v>
      </c>
      <c r="E45">
        <v>0</v>
      </c>
      <c r="F45">
        <v>0</v>
      </c>
      <c r="G45">
        <v>0</v>
      </c>
      <c r="H45">
        <v>0</v>
      </c>
      <c r="I45">
        <v>0</v>
      </c>
      <c r="J45">
        <v>0</v>
      </c>
      <c r="K45">
        <v>3</v>
      </c>
      <c r="L45">
        <v>287</v>
      </c>
      <c r="M45" s="51">
        <v>0</v>
      </c>
      <c r="N45" s="51">
        <v>0</v>
      </c>
      <c r="O45" s="51">
        <v>0</v>
      </c>
      <c r="P45" s="51">
        <v>0</v>
      </c>
      <c r="Q45" s="51">
        <v>0</v>
      </c>
      <c r="R45" s="51">
        <v>0</v>
      </c>
      <c r="S45" s="51">
        <v>0</v>
      </c>
      <c r="T45" s="51">
        <v>0</v>
      </c>
      <c r="U45" s="51">
        <v>5.3771689707238241E-3</v>
      </c>
      <c r="V45" s="53">
        <v>0.5606414832502985</v>
      </c>
      <c r="Y45" s="4" t="s">
        <v>126</v>
      </c>
      <c r="Z45">
        <v>64161</v>
      </c>
    </row>
    <row r="46" spans="1:26" x14ac:dyDescent="0.35">
      <c r="A46" s="4" t="s">
        <v>56</v>
      </c>
      <c r="B46" s="54" t="s">
        <v>260</v>
      </c>
      <c r="C46">
        <v>0</v>
      </c>
      <c r="D46">
        <v>0</v>
      </c>
      <c r="E46">
        <v>324</v>
      </c>
      <c r="F46">
        <v>324</v>
      </c>
      <c r="G46">
        <v>324</v>
      </c>
      <c r="H46">
        <v>335</v>
      </c>
      <c r="I46">
        <v>335</v>
      </c>
      <c r="J46">
        <v>335</v>
      </c>
      <c r="K46">
        <v>146</v>
      </c>
      <c r="L46">
        <v>383</v>
      </c>
      <c r="M46" s="51">
        <v>0</v>
      </c>
      <c r="N46" s="51">
        <v>0</v>
      </c>
      <c r="O46" s="51">
        <v>0.66066130973657755</v>
      </c>
      <c r="P46" s="51">
        <v>0.64842264187797605</v>
      </c>
      <c r="Q46" s="51">
        <v>0.63594502608552284</v>
      </c>
      <c r="R46" s="51">
        <v>0.64307768148036093</v>
      </c>
      <c r="S46" s="51">
        <v>0.62698623624841388</v>
      </c>
      <c r="T46" s="51">
        <v>0.61387309209159202</v>
      </c>
      <c r="U46" s="51">
        <v>0.26168888990855943</v>
      </c>
      <c r="V46" s="53">
        <v>0.74817312921555512</v>
      </c>
      <c r="Y46" s="4" t="s">
        <v>124</v>
      </c>
      <c r="Z46">
        <v>135574</v>
      </c>
    </row>
    <row r="47" spans="1:26" x14ac:dyDescent="0.35">
      <c r="A47" s="4" t="s">
        <v>56</v>
      </c>
      <c r="B47" s="54" t="s">
        <v>261</v>
      </c>
      <c r="C47">
        <v>0</v>
      </c>
      <c r="D47">
        <v>0</v>
      </c>
      <c r="E47">
        <v>605</v>
      </c>
      <c r="F47">
        <v>605</v>
      </c>
      <c r="G47">
        <v>605</v>
      </c>
      <c r="H47">
        <v>605</v>
      </c>
      <c r="I47">
        <v>605</v>
      </c>
      <c r="J47">
        <v>605</v>
      </c>
      <c r="K47">
        <v>1897</v>
      </c>
      <c r="L47">
        <v>1897</v>
      </c>
      <c r="M47" s="51">
        <v>0</v>
      </c>
      <c r="N47" s="51">
        <v>0</v>
      </c>
      <c r="O47" s="51">
        <v>1.2336422604649058</v>
      </c>
      <c r="P47" s="51">
        <v>1.2107891923956036</v>
      </c>
      <c r="Q47" s="51">
        <v>1.1874899406843866</v>
      </c>
      <c r="R47" s="51">
        <v>1.1613790964048309</v>
      </c>
      <c r="S47" s="51">
        <v>1.1323184266575832</v>
      </c>
      <c r="T47" s="51">
        <v>1.1086364797475021</v>
      </c>
      <c r="U47" s="51">
        <v>3.4001631791543652</v>
      </c>
      <c r="V47" s="53">
        <v>3.7057034624592897</v>
      </c>
      <c r="Y47" s="4" t="s">
        <v>120</v>
      </c>
      <c r="Z47">
        <v>467459</v>
      </c>
    </row>
    <row r="48" spans="1:26" x14ac:dyDescent="0.35">
      <c r="A48" s="4" t="s">
        <v>56</v>
      </c>
      <c r="B48" s="54" t="s">
        <v>262</v>
      </c>
      <c r="C48">
        <v>0</v>
      </c>
      <c r="D48">
        <v>0</v>
      </c>
      <c r="E48">
        <v>322</v>
      </c>
      <c r="F48">
        <v>322</v>
      </c>
      <c r="G48">
        <v>322</v>
      </c>
      <c r="H48">
        <v>1195</v>
      </c>
      <c r="I48">
        <v>1195</v>
      </c>
      <c r="J48">
        <v>1195</v>
      </c>
      <c r="K48">
        <v>648</v>
      </c>
      <c r="L48">
        <v>3756</v>
      </c>
      <c r="M48" s="51">
        <v>0</v>
      </c>
      <c r="N48" s="51">
        <v>0</v>
      </c>
      <c r="O48" s="51">
        <v>0.65658315350363583</v>
      </c>
      <c r="P48" s="51">
        <v>0.64442003297749473</v>
      </c>
      <c r="Q48" s="51">
        <v>0.63201943950474804</v>
      </c>
      <c r="R48" s="51">
        <v>2.2939636697583028</v>
      </c>
      <c r="S48" s="51">
        <v>2.2365628427368791</v>
      </c>
      <c r="T48" s="51">
        <v>2.1897861046252314</v>
      </c>
      <c r="U48" s="51">
        <v>1.1614684976763461</v>
      </c>
      <c r="V48" s="53">
        <v>7.3371756483906667</v>
      </c>
      <c r="Y48" s="4" t="s">
        <v>130</v>
      </c>
      <c r="Z48">
        <v>69368</v>
      </c>
    </row>
    <row r="49" spans="1:26" x14ac:dyDescent="0.35">
      <c r="A49" s="4" t="s">
        <v>56</v>
      </c>
      <c r="B49" s="54" t="s">
        <v>263</v>
      </c>
      <c r="C49">
        <v>0</v>
      </c>
      <c r="D49">
        <v>0</v>
      </c>
      <c r="E49">
        <v>20</v>
      </c>
      <c r="F49">
        <v>20</v>
      </c>
      <c r="G49">
        <v>20</v>
      </c>
      <c r="H49">
        <v>36</v>
      </c>
      <c r="I49">
        <v>36</v>
      </c>
      <c r="J49">
        <v>36</v>
      </c>
      <c r="K49">
        <v>3</v>
      </c>
      <c r="L49">
        <v>13</v>
      </c>
      <c r="M49" s="51">
        <v>0</v>
      </c>
      <c r="N49" s="51">
        <v>0</v>
      </c>
      <c r="O49" s="51">
        <v>4.0781562329418368E-2</v>
      </c>
      <c r="P49" s="51">
        <v>4.0026089004813331E-2</v>
      </c>
      <c r="Q49" s="51">
        <v>3.9255865807748321E-2</v>
      </c>
      <c r="R49" s="51">
        <v>6.9106855323262675E-2</v>
      </c>
      <c r="S49" s="51">
        <v>6.7377625387889245E-2</v>
      </c>
      <c r="T49" s="51">
        <v>6.596845168745466E-2</v>
      </c>
      <c r="U49" s="51">
        <v>5.3771689707238241E-3</v>
      </c>
      <c r="V49" s="53">
        <v>2.5394910391128504E-2</v>
      </c>
      <c r="Y49" s="4" t="s">
        <v>132</v>
      </c>
      <c r="Z49">
        <v>56462</v>
      </c>
    </row>
    <row r="50" spans="1:26" x14ac:dyDescent="0.35">
      <c r="B50" s="4" t="s">
        <v>64</v>
      </c>
      <c r="C50">
        <v>14168</v>
      </c>
      <c r="D50">
        <v>28331</v>
      </c>
      <c r="E50">
        <v>29572</v>
      </c>
      <c r="F50">
        <v>31023</v>
      </c>
      <c r="G50">
        <v>32603</v>
      </c>
      <c r="H50">
        <v>33046</v>
      </c>
      <c r="I50">
        <v>33793</v>
      </c>
      <c r="J50">
        <v>29969</v>
      </c>
      <c r="K50">
        <v>27921</v>
      </c>
      <c r="L50">
        <v>32021</v>
      </c>
      <c r="M50" s="50"/>
      <c r="N50" s="50"/>
      <c r="O50" s="50"/>
      <c r="P50" s="50"/>
      <c r="Q50" s="50"/>
      <c r="R50" s="50"/>
      <c r="S50" s="50"/>
      <c r="T50" s="50"/>
      <c r="U50" s="50"/>
      <c r="V50" s="50"/>
      <c r="Y50" s="4" t="s">
        <v>264</v>
      </c>
      <c r="Z50">
        <v>2750125</v>
      </c>
    </row>
    <row r="51" spans="1:26" x14ac:dyDescent="0.35">
      <c r="A51" s="4" t="s">
        <v>64</v>
      </c>
      <c r="B51" s="54" t="s">
        <v>257</v>
      </c>
      <c r="C51">
        <v>0</v>
      </c>
      <c r="D51">
        <v>490</v>
      </c>
      <c r="E51">
        <v>490</v>
      </c>
      <c r="F51">
        <v>490</v>
      </c>
      <c r="G51">
        <v>490</v>
      </c>
      <c r="H51">
        <v>506</v>
      </c>
      <c r="I51">
        <v>506</v>
      </c>
      <c r="J51">
        <v>397</v>
      </c>
      <c r="K51">
        <v>418</v>
      </c>
      <c r="L51">
        <v>425</v>
      </c>
      <c r="M51" s="51">
        <v>0</v>
      </c>
      <c r="N51" s="51">
        <v>0.20765579450145255</v>
      </c>
      <c r="O51" s="51">
        <v>0.20236542884827391</v>
      </c>
      <c r="P51" s="51">
        <v>0.19719884275670138</v>
      </c>
      <c r="Q51" s="51">
        <v>0.19220217723488375</v>
      </c>
      <c r="R51" s="51">
        <v>0.19351716724828266</v>
      </c>
      <c r="S51" s="51">
        <v>0.18872294613675553</v>
      </c>
      <c r="T51" s="51">
        <v>0.14447791051023667</v>
      </c>
      <c r="U51" s="51">
        <v>0.14843464305481052</v>
      </c>
      <c r="V51" s="53">
        <v>0.14941531502057045</v>
      </c>
    </row>
    <row r="52" spans="1:26" x14ac:dyDescent="0.35">
      <c r="A52" s="4" t="s">
        <v>64</v>
      </c>
      <c r="B52" s="54" t="s">
        <v>258</v>
      </c>
      <c r="C52">
        <v>0</v>
      </c>
      <c r="D52">
        <v>2380</v>
      </c>
      <c r="E52">
        <v>2380</v>
      </c>
      <c r="F52">
        <v>2380</v>
      </c>
      <c r="G52">
        <v>2380</v>
      </c>
      <c r="H52">
        <v>2380</v>
      </c>
      <c r="I52">
        <v>2380</v>
      </c>
      <c r="J52">
        <v>2380</v>
      </c>
      <c r="K52">
        <v>497</v>
      </c>
      <c r="L52">
        <v>497</v>
      </c>
      <c r="M52" s="51">
        <v>0</v>
      </c>
      <c r="N52" s="51">
        <v>1.0086138590070552</v>
      </c>
      <c r="O52" s="51">
        <v>0.98291779726304473</v>
      </c>
      <c r="P52" s="51">
        <v>0.95782295053254951</v>
      </c>
      <c r="Q52" s="51">
        <v>0.93355343228372123</v>
      </c>
      <c r="R52" s="51">
        <v>0.91021908705713972</v>
      </c>
      <c r="S52" s="51">
        <v>0.88766919329145877</v>
      </c>
      <c r="T52" s="51">
        <v>0.86613961464575129</v>
      </c>
      <c r="U52" s="51">
        <v>0.17648808037856659</v>
      </c>
      <c r="V52" s="53">
        <v>0.17472802721229061</v>
      </c>
    </row>
    <row r="53" spans="1:26" x14ac:dyDescent="0.35">
      <c r="A53" s="4" t="s">
        <v>64</v>
      </c>
      <c r="B53" s="54" t="s">
        <v>259</v>
      </c>
      <c r="C53">
        <v>0</v>
      </c>
      <c r="D53">
        <v>1600</v>
      </c>
      <c r="E53">
        <v>1600</v>
      </c>
      <c r="F53">
        <v>1600</v>
      </c>
      <c r="G53">
        <v>1600</v>
      </c>
      <c r="H53">
        <v>1600</v>
      </c>
      <c r="I53">
        <v>1600</v>
      </c>
      <c r="J53">
        <v>1600</v>
      </c>
      <c r="K53">
        <v>0</v>
      </c>
      <c r="L53">
        <v>0</v>
      </c>
      <c r="M53" s="51">
        <v>0</v>
      </c>
      <c r="N53" s="51">
        <v>0.67805973714760015</v>
      </c>
      <c r="O53" s="51">
        <v>0.66078507379028228</v>
      </c>
      <c r="P53" s="51">
        <v>0.64391458859331063</v>
      </c>
      <c r="Q53" s="51">
        <v>0.62759894607308986</v>
      </c>
      <c r="R53" s="51">
        <v>0.61191199129891738</v>
      </c>
      <c r="S53" s="51">
        <v>0.59675239885140074</v>
      </c>
      <c r="T53" s="51">
        <v>0.58227873253495888</v>
      </c>
      <c r="U53" s="51">
        <v>0</v>
      </c>
      <c r="V53" s="53">
        <v>0</v>
      </c>
    </row>
    <row r="54" spans="1:26" x14ac:dyDescent="0.35">
      <c r="A54" s="4" t="s">
        <v>64</v>
      </c>
      <c r="B54" s="54" t="s">
        <v>260</v>
      </c>
      <c r="C54">
        <v>0</v>
      </c>
      <c r="D54">
        <v>5240</v>
      </c>
      <c r="E54">
        <v>5240</v>
      </c>
      <c r="F54">
        <v>5240</v>
      </c>
      <c r="G54">
        <v>5240</v>
      </c>
      <c r="H54">
        <v>5602</v>
      </c>
      <c r="I54">
        <v>5602</v>
      </c>
      <c r="J54">
        <v>4435</v>
      </c>
      <c r="K54">
        <v>4930</v>
      </c>
      <c r="L54">
        <v>5169</v>
      </c>
      <c r="M54" s="51">
        <v>0</v>
      </c>
      <c r="N54" s="51">
        <v>2.2206456391583904</v>
      </c>
      <c r="O54" s="51">
        <v>2.1640711166631741</v>
      </c>
      <c r="P54" s="51">
        <v>2.1088202776430922</v>
      </c>
      <c r="Q54" s="51">
        <v>2.0553865483893694</v>
      </c>
      <c r="R54" s="51">
        <v>2.1424568595353346</v>
      </c>
      <c r="S54" s="51">
        <v>2.0893793364784674</v>
      </c>
      <c r="T54" s="51">
        <v>1.6140038617453392</v>
      </c>
      <c r="U54" s="51">
        <v>1.7506765317230044</v>
      </c>
      <c r="V54" s="53">
        <v>1.8172417960972438</v>
      </c>
    </row>
    <row r="55" spans="1:26" x14ac:dyDescent="0.35">
      <c r="A55" s="4" t="s">
        <v>64</v>
      </c>
      <c r="B55" s="54" t="s">
        <v>261</v>
      </c>
      <c r="C55">
        <v>5300</v>
      </c>
      <c r="D55">
        <v>5300</v>
      </c>
      <c r="E55">
        <v>5300</v>
      </c>
      <c r="F55">
        <v>5300</v>
      </c>
      <c r="G55">
        <v>5300</v>
      </c>
      <c r="H55">
        <v>5300</v>
      </c>
      <c r="I55">
        <v>6047</v>
      </c>
      <c r="J55">
        <v>7134</v>
      </c>
      <c r="K55">
        <v>7425</v>
      </c>
      <c r="L55">
        <v>8648</v>
      </c>
      <c r="M55" s="51">
        <v>2.3047932524350903</v>
      </c>
      <c r="N55" s="51">
        <v>2.2460728793014253</v>
      </c>
      <c r="O55" s="51">
        <v>2.1888505569303094</v>
      </c>
      <c r="P55" s="51">
        <v>2.1329670747153417</v>
      </c>
      <c r="Q55" s="51">
        <v>2.0789215088671105</v>
      </c>
      <c r="R55" s="51">
        <v>2.026958471177664</v>
      </c>
      <c r="S55" s="51">
        <v>2.255351097409013</v>
      </c>
      <c r="T55" s="51">
        <v>2.5962352986902473</v>
      </c>
      <c r="U55" s="51">
        <v>2.6366680016315027</v>
      </c>
      <c r="V55" s="53">
        <v>3.0403379865832783</v>
      </c>
    </row>
    <row r="56" spans="1:26" x14ac:dyDescent="0.35">
      <c r="A56" s="4" t="s">
        <v>64</v>
      </c>
      <c r="B56" s="54" t="s">
        <v>262</v>
      </c>
      <c r="C56">
        <v>8868</v>
      </c>
      <c r="D56">
        <v>10891</v>
      </c>
      <c r="E56">
        <v>12132</v>
      </c>
      <c r="F56">
        <v>13583</v>
      </c>
      <c r="G56">
        <v>15163</v>
      </c>
      <c r="H56">
        <v>15163</v>
      </c>
      <c r="I56">
        <v>15163</v>
      </c>
      <c r="J56">
        <v>12994</v>
      </c>
      <c r="K56">
        <v>13489</v>
      </c>
      <c r="L56">
        <v>16064</v>
      </c>
      <c r="M56" s="51">
        <v>3.8563974646404486</v>
      </c>
      <c r="N56" s="51">
        <v>4.6154678732965708</v>
      </c>
      <c r="O56" s="51">
        <v>5.0104028220148145</v>
      </c>
      <c r="P56" s="51">
        <v>5.466432410539336</v>
      </c>
      <c r="Q56" s="51">
        <v>5.947676762066413</v>
      </c>
      <c r="R56" s="51">
        <v>5.7990134525409287</v>
      </c>
      <c r="S56" s="51">
        <v>5.6553478898648697</v>
      </c>
      <c r="T56" s="51">
        <v>4.7288311565995347</v>
      </c>
      <c r="U56" s="51">
        <v>4.7900356463309546</v>
      </c>
      <c r="V56" s="53">
        <v>5.6475473423304559</v>
      </c>
    </row>
    <row r="57" spans="1:26" x14ac:dyDescent="0.35">
      <c r="A57" s="4" t="s">
        <v>64</v>
      </c>
      <c r="B57" s="54" t="s">
        <v>263</v>
      </c>
      <c r="C57">
        <v>0</v>
      </c>
      <c r="D57">
        <v>2430</v>
      </c>
      <c r="E57">
        <v>2430</v>
      </c>
      <c r="F57">
        <v>2430</v>
      </c>
      <c r="G57">
        <v>2430</v>
      </c>
      <c r="H57">
        <v>2495</v>
      </c>
      <c r="I57">
        <v>2495</v>
      </c>
      <c r="J57">
        <v>1029</v>
      </c>
      <c r="K57">
        <v>1162</v>
      </c>
      <c r="L57">
        <v>1218</v>
      </c>
      <c r="M57" s="51">
        <v>0</v>
      </c>
      <c r="N57" s="51">
        <v>1.0298032257929177</v>
      </c>
      <c r="O57" s="51">
        <v>1.0035673308189912</v>
      </c>
      <c r="P57" s="51">
        <v>0.9779452814260905</v>
      </c>
      <c r="Q57" s="51">
        <v>0.95316589934850515</v>
      </c>
      <c r="R57" s="51">
        <v>0.95420026143174941</v>
      </c>
      <c r="S57" s="51">
        <v>0.93056077195890319</v>
      </c>
      <c r="T57" s="51">
        <v>0.37447800986154545</v>
      </c>
      <c r="U57" s="51">
        <v>0.41263410342031059</v>
      </c>
      <c r="V57" s="53">
        <v>0.42820671457659953</v>
      </c>
    </row>
    <row r="58" spans="1:26" x14ac:dyDescent="0.35">
      <c r="B58" s="4" t="s">
        <v>54</v>
      </c>
      <c r="C58">
        <v>0</v>
      </c>
      <c r="D58">
        <v>0</v>
      </c>
      <c r="E58">
        <v>0</v>
      </c>
      <c r="F58">
        <v>287</v>
      </c>
      <c r="G58">
        <v>287</v>
      </c>
      <c r="H58">
        <v>12758</v>
      </c>
      <c r="I58">
        <v>12970</v>
      </c>
      <c r="J58">
        <v>16095</v>
      </c>
      <c r="K58">
        <v>23421</v>
      </c>
      <c r="L58">
        <v>23421</v>
      </c>
      <c r="M58" s="50"/>
      <c r="N58" s="50"/>
      <c r="O58" s="50"/>
      <c r="P58" s="50"/>
      <c r="Q58" s="50"/>
      <c r="R58" s="50"/>
      <c r="S58" s="50"/>
      <c r="T58" s="50"/>
      <c r="U58" s="50"/>
      <c r="V58" s="50"/>
    </row>
    <row r="59" spans="1:26" x14ac:dyDescent="0.35">
      <c r="A59" s="4" t="s">
        <v>54</v>
      </c>
      <c r="B59" s="54" t="s">
        <v>257</v>
      </c>
      <c r="C59">
        <v>0</v>
      </c>
      <c r="D59">
        <v>0</v>
      </c>
      <c r="E59">
        <v>0</v>
      </c>
      <c r="F59">
        <v>88</v>
      </c>
      <c r="G59">
        <v>88</v>
      </c>
      <c r="H59">
        <v>88</v>
      </c>
      <c r="I59">
        <v>300</v>
      </c>
      <c r="J59">
        <v>300</v>
      </c>
      <c r="K59">
        <v>317</v>
      </c>
      <c r="L59">
        <v>317</v>
      </c>
      <c r="M59" s="51">
        <v>0</v>
      </c>
      <c r="N59" s="51">
        <v>0</v>
      </c>
      <c r="O59" s="51">
        <v>0</v>
      </c>
      <c r="P59" s="51">
        <v>3.6075655733460922E-2</v>
      </c>
      <c r="Q59" s="51">
        <v>3.5092270939288892E-2</v>
      </c>
      <c r="R59" s="51">
        <v>3.4131888954536747E-2</v>
      </c>
      <c r="S59" s="51">
        <v>0.11324563616434463</v>
      </c>
      <c r="T59" s="51">
        <v>0.11029968129274756</v>
      </c>
      <c r="U59" s="51">
        <v>0.11356090604550977</v>
      </c>
      <c r="V59" s="53">
        <v>0.11080766589104796</v>
      </c>
    </row>
    <row r="60" spans="1:26" x14ac:dyDescent="0.35">
      <c r="A60" s="4" t="s">
        <v>54</v>
      </c>
      <c r="B60" s="54" t="s">
        <v>258</v>
      </c>
      <c r="C60">
        <v>0</v>
      </c>
      <c r="D60">
        <v>0</v>
      </c>
      <c r="E60">
        <v>0</v>
      </c>
      <c r="F60">
        <v>0</v>
      </c>
      <c r="G60">
        <v>0</v>
      </c>
      <c r="H60">
        <v>241</v>
      </c>
      <c r="I60">
        <v>241</v>
      </c>
      <c r="J60">
        <v>112</v>
      </c>
      <c r="K60">
        <v>293</v>
      </c>
      <c r="L60">
        <v>293</v>
      </c>
      <c r="M60" s="51">
        <v>0</v>
      </c>
      <c r="N60" s="51">
        <v>0</v>
      </c>
      <c r="O60" s="51">
        <v>0</v>
      </c>
      <c r="P60" s="51">
        <v>0</v>
      </c>
      <c r="Q60" s="51">
        <v>0</v>
      </c>
      <c r="R60" s="51">
        <v>9.3474832250492704E-2</v>
      </c>
      <c r="S60" s="51">
        <v>9.0973994385356846E-2</v>
      </c>
      <c r="T60" s="51">
        <v>4.117854768262575E-2</v>
      </c>
      <c r="U60" s="51">
        <v>0.104963234925345</v>
      </c>
      <c r="V60" s="53">
        <v>0.10241844197500648</v>
      </c>
    </row>
    <row r="61" spans="1:26" x14ac:dyDescent="0.35">
      <c r="A61" s="4" t="s">
        <v>54</v>
      </c>
      <c r="B61" s="54" t="s">
        <v>259</v>
      </c>
      <c r="C61">
        <v>0</v>
      </c>
      <c r="D61">
        <v>0</v>
      </c>
      <c r="E61">
        <v>0</v>
      </c>
      <c r="F61">
        <v>0</v>
      </c>
      <c r="G61">
        <v>0</v>
      </c>
      <c r="H61">
        <v>0</v>
      </c>
      <c r="I61">
        <v>0</v>
      </c>
      <c r="J61">
        <v>48</v>
      </c>
      <c r="K61">
        <v>239</v>
      </c>
      <c r="L61">
        <v>239</v>
      </c>
      <c r="M61" s="51">
        <v>0</v>
      </c>
      <c r="N61" s="51">
        <v>0</v>
      </c>
      <c r="O61" s="51">
        <v>0</v>
      </c>
      <c r="P61" s="51">
        <v>0</v>
      </c>
      <c r="Q61" s="51">
        <v>0</v>
      </c>
      <c r="R61" s="51">
        <v>0</v>
      </c>
      <c r="S61" s="51">
        <v>0</v>
      </c>
      <c r="T61" s="51">
        <v>1.7647949006839612E-2</v>
      </c>
      <c r="U61" s="51">
        <v>8.5618474904974234E-2</v>
      </c>
      <c r="V61" s="53">
        <v>8.3542688163913137E-2</v>
      </c>
    </row>
    <row r="62" spans="1:26" x14ac:dyDescent="0.35">
      <c r="A62" s="4" t="s">
        <v>54</v>
      </c>
      <c r="B62" s="54" t="s">
        <v>260</v>
      </c>
      <c r="C62">
        <v>0</v>
      </c>
      <c r="D62">
        <v>0</v>
      </c>
      <c r="E62">
        <v>0</v>
      </c>
      <c r="F62">
        <v>0</v>
      </c>
      <c r="G62">
        <v>0</v>
      </c>
      <c r="H62">
        <v>3259</v>
      </c>
      <c r="I62">
        <v>3259</v>
      </c>
      <c r="J62">
        <v>2562</v>
      </c>
      <c r="K62">
        <v>3762</v>
      </c>
      <c r="L62">
        <v>3762</v>
      </c>
      <c r="M62" s="51">
        <v>0</v>
      </c>
      <c r="N62" s="51">
        <v>0</v>
      </c>
      <c r="O62" s="51">
        <v>0</v>
      </c>
      <c r="P62" s="51">
        <v>0</v>
      </c>
      <c r="Q62" s="51">
        <v>0</v>
      </c>
      <c r="R62" s="51">
        <v>1.2640434784413099</v>
      </c>
      <c r="S62" s="51">
        <v>1.2302250941986641</v>
      </c>
      <c r="T62" s="51">
        <v>0.9419592782400642</v>
      </c>
      <c r="U62" s="51">
        <v>1.3476849480858291</v>
      </c>
      <c r="V62" s="53">
        <v>1.3150108488395031</v>
      </c>
    </row>
    <row r="63" spans="1:26" x14ac:dyDescent="0.35">
      <c r="A63" s="4" t="s">
        <v>54</v>
      </c>
      <c r="B63" s="54" t="s">
        <v>261</v>
      </c>
      <c r="C63">
        <v>0</v>
      </c>
      <c r="D63">
        <v>0</v>
      </c>
      <c r="E63">
        <v>0</v>
      </c>
      <c r="F63">
        <v>0</v>
      </c>
      <c r="G63">
        <v>0</v>
      </c>
      <c r="H63">
        <v>0</v>
      </c>
      <c r="I63">
        <v>0</v>
      </c>
      <c r="J63">
        <v>1258</v>
      </c>
      <c r="K63">
        <v>1673</v>
      </c>
      <c r="L63">
        <v>1673</v>
      </c>
      <c r="M63" s="51">
        <v>0</v>
      </c>
      <c r="N63" s="51">
        <v>0</v>
      </c>
      <c r="O63" s="51">
        <v>0</v>
      </c>
      <c r="P63" s="51">
        <v>0</v>
      </c>
      <c r="Q63" s="51">
        <v>0</v>
      </c>
      <c r="R63" s="51">
        <v>0</v>
      </c>
      <c r="S63" s="51">
        <v>0</v>
      </c>
      <c r="T63" s="51">
        <v>0.46252333022092146</v>
      </c>
      <c r="U63" s="51">
        <v>0.59932932433481967</v>
      </c>
      <c r="V63" s="53">
        <v>0.5847988171473919</v>
      </c>
    </row>
    <row r="64" spans="1:26" x14ac:dyDescent="0.35">
      <c r="A64" s="4" t="s">
        <v>54</v>
      </c>
      <c r="B64" s="54" t="s">
        <v>262</v>
      </c>
      <c r="C64">
        <v>0</v>
      </c>
      <c r="D64">
        <v>0</v>
      </c>
      <c r="E64">
        <v>0</v>
      </c>
      <c r="F64">
        <v>0</v>
      </c>
      <c r="G64">
        <v>0</v>
      </c>
      <c r="H64">
        <v>9156</v>
      </c>
      <c r="I64">
        <v>9156</v>
      </c>
      <c r="J64">
        <v>11478</v>
      </c>
      <c r="K64">
        <v>16535</v>
      </c>
      <c r="L64">
        <v>16535</v>
      </c>
      <c r="M64" s="51">
        <v>0</v>
      </c>
      <c r="N64" s="51">
        <v>0</v>
      </c>
      <c r="O64" s="51">
        <v>0</v>
      </c>
      <c r="P64" s="51">
        <v>0</v>
      </c>
      <c r="Q64" s="51">
        <v>0</v>
      </c>
      <c r="R64" s="51">
        <v>3.5512679007697558</v>
      </c>
      <c r="S64" s="51">
        <v>3.4562568157357982</v>
      </c>
      <c r="T64" s="51">
        <v>4.2200658062605214</v>
      </c>
      <c r="U64" s="51">
        <v>5.9234371654968578</v>
      </c>
      <c r="V64" s="53">
        <v>5.7798257271560827</v>
      </c>
    </row>
    <row r="65" spans="1:22" x14ac:dyDescent="0.35">
      <c r="A65" s="4" t="s">
        <v>54</v>
      </c>
      <c r="B65" s="54" t="s">
        <v>263</v>
      </c>
      <c r="C65">
        <v>0</v>
      </c>
      <c r="D65">
        <v>0</v>
      </c>
      <c r="E65">
        <v>0</v>
      </c>
      <c r="F65">
        <v>199</v>
      </c>
      <c r="G65">
        <v>199</v>
      </c>
      <c r="H65">
        <v>14</v>
      </c>
      <c r="I65">
        <v>14</v>
      </c>
      <c r="J65">
        <v>337</v>
      </c>
      <c r="K65">
        <v>602</v>
      </c>
      <c r="L65">
        <v>602</v>
      </c>
      <c r="M65" s="51">
        <v>0</v>
      </c>
      <c r="N65" s="51">
        <v>0</v>
      </c>
      <c r="O65" s="51">
        <v>0</v>
      </c>
      <c r="P65" s="51">
        <v>8.158017603362186E-2</v>
      </c>
      <c r="Q65" s="51">
        <v>7.9356385419528302E-2</v>
      </c>
      <c r="R65" s="51">
        <v>5.4300732427672105E-3</v>
      </c>
      <c r="S65" s="51">
        <v>5.2847963543360826E-3</v>
      </c>
      <c r="T65" s="51">
        <v>0.12390330865218642</v>
      </c>
      <c r="U65" s="51">
        <v>0.21565825059746649</v>
      </c>
      <c r="V65" s="53">
        <v>0.21042969989404062</v>
      </c>
    </row>
    <row r="66" spans="1:22" x14ac:dyDescent="0.35">
      <c r="B66" s="4" t="s">
        <v>66</v>
      </c>
      <c r="C66">
        <v>70195</v>
      </c>
      <c r="D66">
        <v>70195</v>
      </c>
      <c r="E66">
        <v>82652</v>
      </c>
      <c r="F66">
        <v>83158</v>
      </c>
      <c r="G66">
        <v>83934</v>
      </c>
      <c r="H66">
        <v>107200</v>
      </c>
      <c r="I66">
        <v>117172</v>
      </c>
      <c r="J66">
        <v>117172</v>
      </c>
      <c r="K66">
        <v>148145</v>
      </c>
      <c r="L66">
        <v>148145</v>
      </c>
      <c r="M66" s="51"/>
      <c r="N66" s="51"/>
      <c r="O66" s="51"/>
      <c r="P66" s="51"/>
      <c r="Q66" s="51"/>
      <c r="R66" s="51"/>
      <c r="S66" s="51"/>
      <c r="T66" s="51"/>
      <c r="U66" s="51"/>
      <c r="V66" s="51"/>
    </row>
    <row r="67" spans="1:22" x14ac:dyDescent="0.35">
      <c r="A67" s="4" t="s">
        <v>66</v>
      </c>
      <c r="B67" s="54" t="s">
        <v>257</v>
      </c>
      <c r="C67">
        <v>0</v>
      </c>
      <c r="D67">
        <v>0</v>
      </c>
      <c r="E67">
        <v>0</v>
      </c>
      <c r="F67">
        <v>147</v>
      </c>
      <c r="G67">
        <v>147</v>
      </c>
      <c r="H67">
        <v>404</v>
      </c>
      <c r="I67">
        <v>422</v>
      </c>
      <c r="J67">
        <v>422</v>
      </c>
      <c r="K67">
        <v>451</v>
      </c>
      <c r="L67">
        <v>451</v>
      </c>
      <c r="M67" s="51">
        <v>0</v>
      </c>
      <c r="N67" s="51">
        <v>0</v>
      </c>
      <c r="O67" s="51">
        <v>0</v>
      </c>
      <c r="P67" s="51">
        <v>1.744118313962487E-2</v>
      </c>
      <c r="Q67" s="51">
        <v>1.6879603244351605E-2</v>
      </c>
      <c r="R67" s="51">
        <v>4.4935377032839195E-2</v>
      </c>
      <c r="S67" s="51">
        <v>4.5448101262332861E-2</v>
      </c>
      <c r="T67" s="51">
        <v>4.4006870160691193E-2</v>
      </c>
      <c r="U67" s="51">
        <v>4.5550856915648259E-2</v>
      </c>
      <c r="V67" s="53">
        <v>4.5949163048221019E-2</v>
      </c>
    </row>
    <row r="68" spans="1:22" x14ac:dyDescent="0.35">
      <c r="A68" s="4" t="s">
        <v>66</v>
      </c>
      <c r="B68" s="54" t="s">
        <v>258</v>
      </c>
      <c r="C68">
        <v>2126</v>
      </c>
      <c r="D68">
        <v>2126</v>
      </c>
      <c r="E68">
        <v>2126</v>
      </c>
      <c r="F68">
        <v>2126</v>
      </c>
      <c r="G68">
        <v>2126</v>
      </c>
      <c r="H68">
        <v>2934</v>
      </c>
      <c r="I68">
        <v>2934</v>
      </c>
      <c r="J68">
        <v>2934</v>
      </c>
      <c r="K68">
        <v>2934</v>
      </c>
      <c r="L68">
        <v>2934</v>
      </c>
      <c r="M68" s="51">
        <v>0.27960591295749565</v>
      </c>
      <c r="N68" s="51">
        <v>0.27028778045980556</v>
      </c>
      <c r="O68" s="51">
        <v>0.26108000644521312</v>
      </c>
      <c r="P68" s="51">
        <v>0.25224459425062906</v>
      </c>
      <c r="Q68" s="51">
        <v>0.24412269726184702</v>
      </c>
      <c r="R68" s="51">
        <v>0.32633761439195597</v>
      </c>
      <c r="S68" s="51">
        <v>0.31598277038787825</v>
      </c>
      <c r="T68" s="51">
        <v>0.30596245746793355</v>
      </c>
      <c r="U68" s="51">
        <v>0.29633306915856317</v>
      </c>
      <c r="V68" s="53">
        <v>0.29892426692567731</v>
      </c>
    </row>
    <row r="69" spans="1:22" x14ac:dyDescent="0.35">
      <c r="A69" s="4" t="s">
        <v>66</v>
      </c>
      <c r="B69" s="54" t="s">
        <v>259</v>
      </c>
      <c r="C69">
        <v>0</v>
      </c>
      <c r="D69">
        <v>0</v>
      </c>
      <c r="E69">
        <v>0</v>
      </c>
      <c r="F69">
        <v>0</v>
      </c>
      <c r="G69">
        <v>0</v>
      </c>
      <c r="H69">
        <v>0</v>
      </c>
      <c r="I69">
        <v>0</v>
      </c>
      <c r="J69">
        <v>0</v>
      </c>
      <c r="K69">
        <v>2934</v>
      </c>
      <c r="L69">
        <v>2934</v>
      </c>
      <c r="M69" s="51">
        <v>0</v>
      </c>
      <c r="N69" s="51">
        <v>0</v>
      </c>
      <c r="O69" s="51">
        <v>0</v>
      </c>
      <c r="P69" s="51">
        <v>0</v>
      </c>
      <c r="Q69" s="51">
        <v>0</v>
      </c>
      <c r="R69" s="51">
        <v>0</v>
      </c>
      <c r="S69" s="51">
        <v>0</v>
      </c>
      <c r="T69" s="51">
        <v>0</v>
      </c>
      <c r="U69" s="51">
        <v>0.29633306915856317</v>
      </c>
      <c r="V69" s="53">
        <v>0.29892426692567731</v>
      </c>
    </row>
    <row r="70" spans="1:22" x14ac:dyDescent="0.35">
      <c r="A70" s="4" t="s">
        <v>66</v>
      </c>
      <c r="B70" s="54" t="s">
        <v>260</v>
      </c>
      <c r="C70">
        <v>6418</v>
      </c>
      <c r="D70">
        <v>6418</v>
      </c>
      <c r="E70">
        <v>6418</v>
      </c>
      <c r="F70">
        <v>6418</v>
      </c>
      <c r="G70">
        <v>6418</v>
      </c>
      <c r="H70">
        <v>6418</v>
      </c>
      <c r="I70">
        <v>15016</v>
      </c>
      <c r="J70">
        <v>15016</v>
      </c>
      <c r="K70">
        <v>21290</v>
      </c>
      <c r="L70">
        <v>21290</v>
      </c>
      <c r="M70" s="51">
        <v>0.84407843337780208</v>
      </c>
      <c r="N70" s="51">
        <v>0.81594871824601689</v>
      </c>
      <c r="O70" s="51">
        <v>0.78815215492256707</v>
      </c>
      <c r="P70" s="51">
        <v>0.76147968292593471</v>
      </c>
      <c r="Q70" s="51">
        <v>0.73696118110373199</v>
      </c>
      <c r="R70" s="51">
        <v>0.7138496282098068</v>
      </c>
      <c r="S70" s="51">
        <v>1.6171769870976074</v>
      </c>
      <c r="T70" s="51">
        <v>1.5658937496041205</v>
      </c>
      <c r="U70" s="51">
        <v>2.1502832455302694</v>
      </c>
      <c r="V70" s="53">
        <v>2.1690857678417417</v>
      </c>
    </row>
    <row r="71" spans="1:22" x14ac:dyDescent="0.35">
      <c r="A71" s="4" t="s">
        <v>66</v>
      </c>
      <c r="B71" s="54" t="s">
        <v>261</v>
      </c>
      <c r="C71">
        <v>1555</v>
      </c>
      <c r="D71">
        <v>1555</v>
      </c>
      <c r="E71">
        <v>1555</v>
      </c>
      <c r="F71">
        <v>1793</v>
      </c>
      <c r="G71">
        <v>1793</v>
      </c>
      <c r="H71">
        <v>1793</v>
      </c>
      <c r="I71">
        <v>3149</v>
      </c>
      <c r="J71">
        <v>3149</v>
      </c>
      <c r="K71">
        <v>4292</v>
      </c>
      <c r="L71">
        <v>4292</v>
      </c>
      <c r="M71" s="51">
        <v>0.20450949889412312</v>
      </c>
      <c r="N71" s="51">
        <v>0.19769402568908634</v>
      </c>
      <c r="O71" s="51">
        <v>0.19095927094181864</v>
      </c>
      <c r="P71" s="51">
        <v>0.21273497530168292</v>
      </c>
      <c r="Q71" s="51">
        <v>0.20588522868790768</v>
      </c>
      <c r="R71" s="51">
        <v>0.19942854212841754</v>
      </c>
      <c r="S71" s="51">
        <v>0.33913760870873499</v>
      </c>
      <c r="T71" s="51">
        <v>0.32838301927966007</v>
      </c>
      <c r="U71" s="51">
        <v>0.43349063831920692</v>
      </c>
      <c r="V71" s="53">
        <v>0.43728117029482172</v>
      </c>
    </row>
    <row r="72" spans="1:22" x14ac:dyDescent="0.35">
      <c r="A72" s="4" t="s">
        <v>66</v>
      </c>
      <c r="B72" s="54" t="s">
        <v>262</v>
      </c>
      <c r="C72">
        <v>59813</v>
      </c>
      <c r="D72">
        <v>59813</v>
      </c>
      <c r="E72">
        <v>72270</v>
      </c>
      <c r="F72">
        <v>72270</v>
      </c>
      <c r="G72">
        <v>73046</v>
      </c>
      <c r="H72">
        <v>93964</v>
      </c>
      <c r="I72">
        <v>93964</v>
      </c>
      <c r="J72">
        <v>93964</v>
      </c>
      <c r="K72">
        <v>115316</v>
      </c>
      <c r="L72">
        <v>115316</v>
      </c>
      <c r="M72" s="51">
        <v>7.8664480111602471</v>
      </c>
      <c r="N72" s="51">
        <v>7.6042911630490817</v>
      </c>
      <c r="O72" s="51">
        <v>8.8750009716818212</v>
      </c>
      <c r="P72" s="51">
        <v>8.5746551394604715</v>
      </c>
      <c r="Q72" s="51">
        <v>8.3876700584143364</v>
      </c>
      <c r="R72" s="51">
        <v>10.451256850281441</v>
      </c>
      <c r="S72" s="51">
        <v>10.11963361851622</v>
      </c>
      <c r="T72" s="51">
        <v>9.7987240468701131</v>
      </c>
      <c r="U72" s="51">
        <v>11.646879414822383</v>
      </c>
      <c r="V72" s="53">
        <v>11.748722142059101</v>
      </c>
    </row>
    <row r="73" spans="1:22" x14ac:dyDescent="0.35">
      <c r="A73" s="4" t="s">
        <v>66</v>
      </c>
      <c r="B73" s="54" t="s">
        <v>263</v>
      </c>
      <c r="C73">
        <v>283</v>
      </c>
      <c r="D73">
        <v>283</v>
      </c>
      <c r="E73">
        <v>283</v>
      </c>
      <c r="F73">
        <v>404</v>
      </c>
      <c r="G73">
        <v>404</v>
      </c>
      <c r="H73">
        <v>1687</v>
      </c>
      <c r="I73">
        <v>1687</v>
      </c>
      <c r="J73">
        <v>1687</v>
      </c>
      <c r="K73">
        <v>928</v>
      </c>
      <c r="L73">
        <v>928</v>
      </c>
      <c r="M73" s="51">
        <v>3.7219413625104072E-2</v>
      </c>
      <c r="N73" s="51">
        <v>3.5979041331197066E-2</v>
      </c>
      <c r="O73" s="51">
        <v>3.4753359277514259E-2</v>
      </c>
      <c r="P73" s="51">
        <v>4.7933591757880596E-2</v>
      </c>
      <c r="Q73" s="51">
        <v>4.639020211372822E-2</v>
      </c>
      <c r="R73" s="51">
        <v>0.18763856696633596</v>
      </c>
      <c r="S73" s="51">
        <v>0.18168470812690887</v>
      </c>
      <c r="T73" s="51">
        <v>0.17592319895991954</v>
      </c>
      <c r="U73" s="51">
        <v>9.3727705582531226E-2</v>
      </c>
      <c r="V73" s="53">
        <v>9.4547280063745243E-2</v>
      </c>
    </row>
    <row r="74" spans="1:22" x14ac:dyDescent="0.35">
      <c r="B74" s="4" t="s">
        <v>62</v>
      </c>
      <c r="C74">
        <v>4740</v>
      </c>
      <c r="D74">
        <v>5134</v>
      </c>
      <c r="E74">
        <v>5134</v>
      </c>
      <c r="F74">
        <v>5403</v>
      </c>
      <c r="G74">
        <v>5403</v>
      </c>
      <c r="H74">
        <v>7050</v>
      </c>
      <c r="I74">
        <v>7050</v>
      </c>
      <c r="J74">
        <v>7050</v>
      </c>
      <c r="K74">
        <v>8944</v>
      </c>
      <c r="L74">
        <v>8944</v>
      </c>
      <c r="M74" s="51"/>
      <c r="N74" s="51"/>
      <c r="O74" s="51"/>
      <c r="P74" s="51"/>
      <c r="Q74" s="51"/>
      <c r="R74" s="51"/>
      <c r="S74" s="51"/>
      <c r="T74" s="51"/>
      <c r="U74" s="51"/>
      <c r="V74" s="51"/>
    </row>
    <row r="75" spans="1:22" x14ac:dyDescent="0.35">
      <c r="A75" s="4" t="s">
        <v>62</v>
      </c>
      <c r="B75" s="54" t="s">
        <v>257</v>
      </c>
      <c r="C75">
        <v>0</v>
      </c>
      <c r="D75">
        <v>0</v>
      </c>
      <c r="E75">
        <v>0</v>
      </c>
      <c r="F75">
        <v>27</v>
      </c>
      <c r="G75">
        <v>27</v>
      </c>
      <c r="H75">
        <v>27</v>
      </c>
      <c r="I75">
        <v>27</v>
      </c>
      <c r="J75">
        <v>27</v>
      </c>
      <c r="K75">
        <v>10</v>
      </c>
      <c r="L75">
        <v>10</v>
      </c>
      <c r="M75" s="51">
        <v>0</v>
      </c>
      <c r="N75" s="51">
        <v>0</v>
      </c>
      <c r="O75" s="51">
        <v>0</v>
      </c>
      <c r="P75" s="51">
        <v>5.0825060142987835E-2</v>
      </c>
      <c r="Q75" s="51">
        <v>4.9622665575213075E-2</v>
      </c>
      <c r="R75" s="51">
        <v>4.8467589453667942E-2</v>
      </c>
      <c r="S75" s="51">
        <v>4.7350361458629635E-2</v>
      </c>
      <c r="T75" s="51">
        <v>4.6266102745704703E-2</v>
      </c>
      <c r="U75" s="51">
        <v>1.6749229200472195E-2</v>
      </c>
      <c r="V75" s="53">
        <v>1.6832902803789289E-2</v>
      </c>
    </row>
    <row r="76" spans="1:22" x14ac:dyDescent="0.35">
      <c r="A76" s="4" t="s">
        <v>62</v>
      </c>
      <c r="B76" s="54" t="s">
        <v>258</v>
      </c>
      <c r="C76">
        <v>0</v>
      </c>
      <c r="D76">
        <v>0</v>
      </c>
      <c r="E76">
        <v>0</v>
      </c>
      <c r="F76">
        <v>0</v>
      </c>
      <c r="G76">
        <v>0</v>
      </c>
      <c r="H76">
        <v>320</v>
      </c>
      <c r="I76">
        <v>320</v>
      </c>
      <c r="J76">
        <v>320</v>
      </c>
      <c r="K76">
        <v>320</v>
      </c>
      <c r="L76">
        <v>320</v>
      </c>
      <c r="M76" s="51">
        <v>0</v>
      </c>
      <c r="N76" s="51">
        <v>0</v>
      </c>
      <c r="O76" s="51">
        <v>0</v>
      </c>
      <c r="P76" s="51">
        <v>0</v>
      </c>
      <c r="Q76" s="51">
        <v>0</v>
      </c>
      <c r="R76" s="51">
        <v>0.57443068982124978</v>
      </c>
      <c r="S76" s="51">
        <v>0.56118946913931422</v>
      </c>
      <c r="T76" s="51">
        <v>0.54833899550464837</v>
      </c>
      <c r="U76" s="51">
        <v>0.53597533441511025</v>
      </c>
      <c r="V76" s="53">
        <v>0.53865288972125724</v>
      </c>
    </row>
    <row r="77" spans="1:22" x14ac:dyDescent="0.35">
      <c r="A77" s="4" t="s">
        <v>62</v>
      </c>
      <c r="B77" s="54" t="s">
        <v>259</v>
      </c>
      <c r="C77">
        <v>0</v>
      </c>
      <c r="D77">
        <v>0</v>
      </c>
      <c r="E77">
        <v>0</v>
      </c>
      <c r="F77">
        <v>0</v>
      </c>
      <c r="G77">
        <v>0</v>
      </c>
      <c r="H77">
        <v>0</v>
      </c>
      <c r="I77">
        <v>0</v>
      </c>
      <c r="J77">
        <v>0</v>
      </c>
      <c r="K77">
        <v>777</v>
      </c>
      <c r="L77">
        <v>777</v>
      </c>
      <c r="M77" s="51">
        <v>0</v>
      </c>
      <c r="N77" s="51">
        <v>0</v>
      </c>
      <c r="O77" s="51">
        <v>0</v>
      </c>
      <c r="P77" s="51">
        <v>0</v>
      </c>
      <c r="Q77" s="51">
        <v>0</v>
      </c>
      <c r="R77" s="51">
        <v>0</v>
      </c>
      <c r="S77" s="51">
        <v>0</v>
      </c>
      <c r="T77" s="51">
        <v>0</v>
      </c>
      <c r="U77" s="51">
        <v>1.3014151088766897</v>
      </c>
      <c r="V77" s="53">
        <v>1.3079165478544277</v>
      </c>
    </row>
    <row r="78" spans="1:22" x14ac:dyDescent="0.35">
      <c r="A78" s="4" t="s">
        <v>62</v>
      </c>
      <c r="B78" s="54" t="s">
        <v>260</v>
      </c>
      <c r="C78">
        <v>0</v>
      </c>
      <c r="D78">
        <v>0</v>
      </c>
      <c r="E78">
        <v>0</v>
      </c>
      <c r="F78">
        <v>530</v>
      </c>
      <c r="G78">
        <v>530</v>
      </c>
      <c r="H78">
        <v>544</v>
      </c>
      <c r="I78">
        <v>544</v>
      </c>
      <c r="J78">
        <v>544</v>
      </c>
      <c r="K78">
        <v>1042</v>
      </c>
      <c r="L78">
        <v>1042</v>
      </c>
      <c r="M78" s="51">
        <v>0</v>
      </c>
      <c r="N78" s="51">
        <v>0</v>
      </c>
      <c r="O78" s="51">
        <v>0</v>
      </c>
      <c r="P78" s="51">
        <v>0.9976771065105019</v>
      </c>
      <c r="Q78" s="51">
        <v>0.97407454647640479</v>
      </c>
      <c r="R78" s="51">
        <v>0.97653217269612458</v>
      </c>
      <c r="S78" s="51">
        <v>0.9540220975368342</v>
      </c>
      <c r="T78" s="51">
        <v>0.93217629235790223</v>
      </c>
      <c r="U78" s="51">
        <v>1.7452696826892027</v>
      </c>
      <c r="V78" s="53">
        <v>1.7539884721548438</v>
      </c>
    </row>
    <row r="79" spans="1:22" x14ac:dyDescent="0.35">
      <c r="A79" s="4" t="s">
        <v>62</v>
      </c>
      <c r="B79" s="54" t="s">
        <v>261</v>
      </c>
      <c r="C79">
        <v>1282</v>
      </c>
      <c r="D79">
        <v>1282</v>
      </c>
      <c r="E79">
        <v>1282</v>
      </c>
      <c r="F79">
        <v>921</v>
      </c>
      <c r="G79">
        <v>921</v>
      </c>
      <c r="H79">
        <v>921</v>
      </c>
      <c r="I79">
        <v>921</v>
      </c>
      <c r="J79">
        <v>921</v>
      </c>
      <c r="K79">
        <v>1190</v>
      </c>
      <c r="L79">
        <v>1190</v>
      </c>
      <c r="M79" s="51">
        <v>2.5925905702910557</v>
      </c>
      <c r="N79" s="51">
        <v>2.5314026221539985</v>
      </c>
      <c r="O79" s="51">
        <v>2.471647389616459</v>
      </c>
      <c r="P79" s="51">
        <v>1.7336992737663628</v>
      </c>
      <c r="Q79" s="51">
        <v>1.6926842590656017</v>
      </c>
      <c r="R79" s="51">
        <v>1.6532833291417843</v>
      </c>
      <c r="S79" s="51">
        <v>1.6151734408665888</v>
      </c>
      <c r="T79" s="51">
        <v>1.578188171436816</v>
      </c>
      <c r="U79" s="51">
        <v>1.9931582748561909</v>
      </c>
      <c r="V79" s="53">
        <v>2.0031154336509251</v>
      </c>
    </row>
    <row r="80" spans="1:22" x14ac:dyDescent="0.35">
      <c r="A80" s="4" t="s">
        <v>62</v>
      </c>
      <c r="B80" s="54" t="s">
        <v>262</v>
      </c>
      <c r="C80">
        <v>3458</v>
      </c>
      <c r="D80">
        <v>3852</v>
      </c>
      <c r="E80">
        <v>3852</v>
      </c>
      <c r="F80">
        <v>3852</v>
      </c>
      <c r="G80">
        <v>3852</v>
      </c>
      <c r="H80">
        <v>5081</v>
      </c>
      <c r="I80">
        <v>5081</v>
      </c>
      <c r="J80">
        <v>5081</v>
      </c>
      <c r="K80">
        <v>5573</v>
      </c>
      <c r="L80">
        <v>5573</v>
      </c>
      <c r="M80" s="51">
        <v>6.9931187145604294</v>
      </c>
      <c r="N80" s="51">
        <v>7.6060553046312025</v>
      </c>
      <c r="O80" s="51">
        <v>7.4265099413436815</v>
      </c>
      <c r="P80" s="51">
        <v>7.2510419137329318</v>
      </c>
      <c r="Q80" s="51">
        <v>7.0795002887303982</v>
      </c>
      <c r="R80" s="51">
        <v>9.1208822968180314</v>
      </c>
      <c r="S80" s="51">
        <v>8.9106365396776734</v>
      </c>
      <c r="T80" s="51">
        <v>8.7065951129972454</v>
      </c>
      <c r="U80" s="51">
        <v>9.3343454334231541</v>
      </c>
      <c r="V80" s="53">
        <v>9.3809767325517708</v>
      </c>
    </row>
    <row r="81" spans="1:22" x14ac:dyDescent="0.35">
      <c r="A81" s="4" t="s">
        <v>62</v>
      </c>
      <c r="B81" s="54" t="s">
        <v>263</v>
      </c>
      <c r="C81">
        <v>0</v>
      </c>
      <c r="D81">
        <v>0</v>
      </c>
      <c r="E81">
        <v>0</v>
      </c>
      <c r="F81">
        <v>73</v>
      </c>
      <c r="G81">
        <v>73</v>
      </c>
      <c r="H81">
        <v>157</v>
      </c>
      <c r="I81">
        <v>157</v>
      </c>
      <c r="J81">
        <v>157</v>
      </c>
      <c r="K81">
        <v>32</v>
      </c>
      <c r="L81">
        <v>32</v>
      </c>
      <c r="M81" s="51">
        <v>0</v>
      </c>
      <c r="N81" s="51">
        <v>0</v>
      </c>
      <c r="O81" s="51">
        <v>0</v>
      </c>
      <c r="P81" s="51">
        <v>0.13741590334955969</v>
      </c>
      <c r="Q81" s="51">
        <v>0.13416498470335386</v>
      </c>
      <c r="R81" s="51">
        <v>0.28183005719355064</v>
      </c>
      <c r="S81" s="51">
        <v>0.27533358329647606</v>
      </c>
      <c r="T81" s="51">
        <v>0.26902881966946812</v>
      </c>
      <c r="U81" s="51">
        <v>5.3597533441511025E-2</v>
      </c>
      <c r="V81" s="53">
        <v>5.3865288972125724E-2</v>
      </c>
    </row>
    <row r="82" spans="1:22" x14ac:dyDescent="0.35">
      <c r="B82" s="4" t="s">
        <v>60</v>
      </c>
      <c r="C82">
        <v>0</v>
      </c>
      <c r="D82">
        <v>0</v>
      </c>
      <c r="E82">
        <v>0</v>
      </c>
      <c r="F82">
        <v>216</v>
      </c>
      <c r="G82">
        <v>216</v>
      </c>
      <c r="H82">
        <v>1459</v>
      </c>
      <c r="I82">
        <v>1459</v>
      </c>
      <c r="J82">
        <v>1706</v>
      </c>
      <c r="K82">
        <v>1974</v>
      </c>
      <c r="L82">
        <v>1974</v>
      </c>
      <c r="M82" s="51"/>
      <c r="N82" s="51"/>
      <c r="O82" s="51"/>
      <c r="P82" s="51"/>
      <c r="Q82" s="51"/>
      <c r="R82" s="51"/>
      <c r="S82" s="51"/>
      <c r="T82" s="51"/>
      <c r="U82" s="51"/>
      <c r="V82" s="51"/>
    </row>
    <row r="83" spans="1:22" x14ac:dyDescent="0.35">
      <c r="A83" s="4" t="s">
        <v>60</v>
      </c>
      <c r="B83" s="54" t="s">
        <v>257</v>
      </c>
      <c r="C83">
        <v>0</v>
      </c>
      <c r="D83">
        <v>0</v>
      </c>
      <c r="E83">
        <v>0</v>
      </c>
      <c r="F83">
        <v>0</v>
      </c>
      <c r="G83">
        <v>0</v>
      </c>
      <c r="H83">
        <v>32</v>
      </c>
      <c r="I83">
        <v>32</v>
      </c>
      <c r="J83">
        <v>32</v>
      </c>
      <c r="K83">
        <v>32</v>
      </c>
      <c r="L83">
        <v>32</v>
      </c>
      <c r="M83" s="51">
        <v>0</v>
      </c>
      <c r="N83" s="51">
        <v>0</v>
      </c>
      <c r="O83" s="51">
        <v>0</v>
      </c>
      <c r="P83" s="51">
        <v>0</v>
      </c>
      <c r="Q83" s="51">
        <v>0</v>
      </c>
      <c r="R83" s="51">
        <v>0.40455836133635742</v>
      </c>
      <c r="S83" s="51">
        <v>0.39694058047598135</v>
      </c>
      <c r="T83" s="51">
        <v>0.38947208276281758</v>
      </c>
      <c r="U83" s="51">
        <v>0.38242105992777026</v>
      </c>
      <c r="V83" s="53">
        <v>0.34538884307689649</v>
      </c>
    </row>
    <row r="84" spans="1:22" x14ac:dyDescent="0.35">
      <c r="A84" s="4" t="s">
        <v>60</v>
      </c>
      <c r="B84" s="54" t="s">
        <v>258</v>
      </c>
      <c r="C84">
        <v>0</v>
      </c>
      <c r="D84">
        <v>0</v>
      </c>
      <c r="E84">
        <v>0</v>
      </c>
      <c r="F84">
        <v>0</v>
      </c>
      <c r="G84">
        <v>0</v>
      </c>
      <c r="H84">
        <v>0</v>
      </c>
      <c r="I84">
        <v>0</v>
      </c>
      <c r="J84">
        <v>0</v>
      </c>
      <c r="K84">
        <v>161</v>
      </c>
      <c r="L84">
        <v>161</v>
      </c>
      <c r="M84" s="51">
        <v>0</v>
      </c>
      <c r="N84" s="51">
        <v>0</v>
      </c>
      <c r="O84" s="51">
        <v>0</v>
      </c>
      <c r="P84" s="51">
        <v>0</v>
      </c>
      <c r="Q84" s="51">
        <v>0</v>
      </c>
      <c r="R84" s="51">
        <v>0</v>
      </c>
      <c r="S84" s="51">
        <v>0</v>
      </c>
      <c r="T84" s="51">
        <v>0</v>
      </c>
      <c r="U84" s="51">
        <v>1.9240559577615941</v>
      </c>
      <c r="V84" s="53">
        <v>1.7377376167306355</v>
      </c>
    </row>
    <row r="85" spans="1:22" x14ac:dyDescent="0.35">
      <c r="A85" s="4" t="s">
        <v>60</v>
      </c>
      <c r="B85" s="54" t="s">
        <v>259</v>
      </c>
      <c r="C85">
        <v>0</v>
      </c>
      <c r="D85">
        <v>0</v>
      </c>
      <c r="E85">
        <v>0</v>
      </c>
      <c r="F85">
        <v>0</v>
      </c>
      <c r="G85">
        <v>0</v>
      </c>
      <c r="H85">
        <v>8</v>
      </c>
      <c r="I85">
        <v>8</v>
      </c>
      <c r="J85">
        <v>16</v>
      </c>
      <c r="K85">
        <v>16</v>
      </c>
      <c r="L85">
        <v>16</v>
      </c>
      <c r="M85" s="51">
        <v>0</v>
      </c>
      <c r="N85" s="51">
        <v>0</v>
      </c>
      <c r="O85" s="51">
        <v>0</v>
      </c>
      <c r="P85" s="51">
        <v>0</v>
      </c>
      <c r="Q85" s="51">
        <v>0</v>
      </c>
      <c r="R85" s="51">
        <v>0.10113959033408935</v>
      </c>
      <c r="S85" s="51">
        <v>9.9235145118995338E-2</v>
      </c>
      <c r="T85" s="51">
        <v>0.19473604138140879</v>
      </c>
      <c r="U85" s="51">
        <v>0.19121052996388513</v>
      </c>
      <c r="V85" s="53">
        <v>0.17269442153844825</v>
      </c>
    </row>
    <row r="86" spans="1:22" x14ac:dyDescent="0.35">
      <c r="A86" s="4" t="s">
        <v>60</v>
      </c>
      <c r="B86" s="54" t="s">
        <v>260</v>
      </c>
      <c r="C86">
        <v>0</v>
      </c>
      <c r="D86">
        <v>0</v>
      </c>
      <c r="E86">
        <v>0</v>
      </c>
      <c r="F86">
        <v>216</v>
      </c>
      <c r="G86">
        <v>216</v>
      </c>
      <c r="H86">
        <v>220</v>
      </c>
      <c r="I86">
        <v>220</v>
      </c>
      <c r="J86">
        <v>354</v>
      </c>
      <c r="K86">
        <v>354</v>
      </c>
      <c r="L86">
        <v>354</v>
      </c>
      <c r="M86" s="51">
        <v>0</v>
      </c>
      <c r="N86" s="51">
        <v>0</v>
      </c>
      <c r="O86" s="51">
        <v>0</v>
      </c>
      <c r="P86" s="51">
        <v>2.8358961431812451</v>
      </c>
      <c r="Q86" s="51">
        <v>2.7823828790706839</v>
      </c>
      <c r="R86" s="51">
        <v>2.7813387341874569</v>
      </c>
      <c r="S86" s="51">
        <v>2.7289664907723719</v>
      </c>
      <c r="T86" s="51">
        <v>4.3085349155636692</v>
      </c>
      <c r="U86" s="51">
        <v>4.2305329754509584</v>
      </c>
      <c r="V86" s="53">
        <v>3.8208640765381676</v>
      </c>
    </row>
    <row r="87" spans="1:22" x14ac:dyDescent="0.35">
      <c r="A87" s="4" t="s">
        <v>60</v>
      </c>
      <c r="B87" s="54" t="s">
        <v>261</v>
      </c>
      <c r="C87">
        <v>0</v>
      </c>
      <c r="D87">
        <v>0</v>
      </c>
      <c r="E87">
        <v>0</v>
      </c>
      <c r="F87">
        <v>0</v>
      </c>
      <c r="G87">
        <v>0</v>
      </c>
      <c r="H87">
        <v>484</v>
      </c>
      <c r="I87">
        <v>484</v>
      </c>
      <c r="J87">
        <v>586</v>
      </c>
      <c r="K87">
        <v>586</v>
      </c>
      <c r="L87">
        <v>586</v>
      </c>
      <c r="M87" s="51">
        <v>0</v>
      </c>
      <c r="N87" s="51">
        <v>0</v>
      </c>
      <c r="O87" s="51">
        <v>0</v>
      </c>
      <c r="P87" s="51">
        <v>0</v>
      </c>
      <c r="Q87" s="51">
        <v>0</v>
      </c>
      <c r="R87" s="51">
        <v>6.1189452152124053</v>
      </c>
      <c r="S87" s="51">
        <v>6.0037262796992179</v>
      </c>
      <c r="T87" s="51">
        <v>7.1322075155940974</v>
      </c>
      <c r="U87" s="51">
        <v>7.0030856599272919</v>
      </c>
      <c r="V87" s="53">
        <v>6.3249331888456668</v>
      </c>
    </row>
    <row r="88" spans="1:22" x14ac:dyDescent="0.35">
      <c r="A88" s="4" t="s">
        <v>60</v>
      </c>
      <c r="B88" s="54" t="s">
        <v>262</v>
      </c>
      <c r="C88">
        <v>0</v>
      </c>
      <c r="D88">
        <v>0</v>
      </c>
      <c r="E88">
        <v>0</v>
      </c>
      <c r="F88">
        <v>0</v>
      </c>
      <c r="G88">
        <v>0</v>
      </c>
      <c r="H88">
        <v>679</v>
      </c>
      <c r="I88">
        <v>679</v>
      </c>
      <c r="J88">
        <v>683</v>
      </c>
      <c r="K88">
        <v>785</v>
      </c>
      <c r="L88">
        <v>785</v>
      </c>
      <c r="M88" s="51">
        <v>0</v>
      </c>
      <c r="N88" s="51">
        <v>0</v>
      </c>
      <c r="O88" s="51">
        <v>0</v>
      </c>
      <c r="P88" s="51">
        <v>0</v>
      </c>
      <c r="Q88" s="51">
        <v>0</v>
      </c>
      <c r="R88" s="51">
        <v>8.584222729605834</v>
      </c>
      <c r="S88" s="51">
        <v>8.4225829419747296</v>
      </c>
      <c r="T88" s="51">
        <v>8.3127947664688886</v>
      </c>
      <c r="U88" s="51">
        <v>9.3812666263531135</v>
      </c>
      <c r="V88" s="53">
        <v>8.472820056730118</v>
      </c>
    </row>
    <row r="89" spans="1:22" x14ac:dyDescent="0.35">
      <c r="A89" s="4" t="s">
        <v>60</v>
      </c>
      <c r="B89" s="54" t="s">
        <v>263</v>
      </c>
      <c r="C89">
        <v>0</v>
      </c>
      <c r="D89">
        <v>0</v>
      </c>
      <c r="E89">
        <v>0</v>
      </c>
      <c r="F89">
        <v>0</v>
      </c>
      <c r="G89">
        <v>0</v>
      </c>
      <c r="H89">
        <v>36</v>
      </c>
      <c r="I89">
        <v>36</v>
      </c>
      <c r="J89">
        <v>35</v>
      </c>
      <c r="K89">
        <v>40</v>
      </c>
      <c r="L89">
        <v>40</v>
      </c>
      <c r="M89" s="51">
        <v>0</v>
      </c>
      <c r="N89" s="51">
        <v>0</v>
      </c>
      <c r="O89" s="51">
        <v>0</v>
      </c>
      <c r="P89" s="51">
        <v>0</v>
      </c>
      <c r="Q89" s="51">
        <v>0</v>
      </c>
      <c r="R89" s="51">
        <v>0.4551281565034021</v>
      </c>
      <c r="S89" s="51">
        <v>0.44655815303547908</v>
      </c>
      <c r="T89" s="51">
        <v>0.4259850905218317</v>
      </c>
      <c r="U89" s="51">
        <v>0.47802632490971281</v>
      </c>
      <c r="V89" s="53">
        <v>0.43173605384612063</v>
      </c>
    </row>
    <row r="90" spans="1:22" x14ac:dyDescent="0.35">
      <c r="B90" s="4" t="s">
        <v>52</v>
      </c>
      <c r="C90">
        <v>308</v>
      </c>
      <c r="D90">
        <v>852</v>
      </c>
      <c r="E90">
        <v>1100</v>
      </c>
      <c r="F90">
        <v>1172</v>
      </c>
      <c r="G90">
        <v>1188</v>
      </c>
      <c r="H90">
        <v>1453</v>
      </c>
      <c r="I90">
        <v>1509</v>
      </c>
      <c r="J90">
        <v>1627</v>
      </c>
      <c r="K90">
        <v>1343</v>
      </c>
      <c r="L90">
        <v>1376</v>
      </c>
      <c r="M90" s="51"/>
      <c r="N90" s="51"/>
      <c r="O90" s="51"/>
      <c r="P90" s="51"/>
      <c r="Q90" s="51"/>
      <c r="R90" s="51"/>
      <c r="S90" s="51"/>
      <c r="T90" s="51"/>
      <c r="U90" s="51"/>
      <c r="V90" s="51"/>
    </row>
    <row r="91" spans="1:22" x14ac:dyDescent="0.35">
      <c r="A91" s="4" t="s">
        <v>52</v>
      </c>
      <c r="B91" s="54" t="s">
        <v>257</v>
      </c>
      <c r="C91">
        <v>0</v>
      </c>
      <c r="D91">
        <v>0</v>
      </c>
      <c r="E91">
        <v>0</v>
      </c>
      <c r="F91">
        <v>4</v>
      </c>
      <c r="G91">
        <v>4</v>
      </c>
      <c r="H91">
        <v>81</v>
      </c>
      <c r="I91">
        <v>120</v>
      </c>
      <c r="J91">
        <v>120</v>
      </c>
      <c r="K91">
        <v>8</v>
      </c>
      <c r="L91">
        <v>8</v>
      </c>
      <c r="M91" s="51">
        <v>0</v>
      </c>
      <c r="N91" s="51">
        <v>0</v>
      </c>
      <c r="O91" s="51">
        <v>0</v>
      </c>
      <c r="P91" s="51">
        <v>7.0802224605897121E-2</v>
      </c>
      <c r="Q91" s="51">
        <v>7.0027766009222656E-2</v>
      </c>
      <c r="R91" s="51">
        <v>1.40373984021628</v>
      </c>
      <c r="S91" s="51">
        <v>2.0595908279555126</v>
      </c>
      <c r="T91" s="51">
        <v>2.0410766679423396</v>
      </c>
      <c r="U91" s="51">
        <v>0.13487336234234568</v>
      </c>
      <c r="V91" s="53">
        <v>0.13953764202315627</v>
      </c>
    </row>
    <row r="92" spans="1:22" x14ac:dyDescent="0.35">
      <c r="A92" s="4" t="s">
        <v>52</v>
      </c>
      <c r="B92" s="54" t="s">
        <v>258</v>
      </c>
      <c r="C92">
        <v>0</v>
      </c>
      <c r="D92">
        <v>0</v>
      </c>
      <c r="E92">
        <v>0</v>
      </c>
      <c r="F92">
        <v>0</v>
      </c>
      <c r="G92">
        <v>0</v>
      </c>
      <c r="H92">
        <v>65</v>
      </c>
      <c r="I92">
        <v>65</v>
      </c>
      <c r="J92">
        <v>65</v>
      </c>
      <c r="K92">
        <v>2</v>
      </c>
      <c r="L92">
        <v>4</v>
      </c>
      <c r="M92" s="51">
        <v>0</v>
      </c>
      <c r="N92" s="51">
        <v>0</v>
      </c>
      <c r="O92" s="51">
        <v>0</v>
      </c>
      <c r="P92" s="51">
        <v>0</v>
      </c>
      <c r="Q92" s="51">
        <v>0</v>
      </c>
      <c r="R92" s="51">
        <v>1.1264578964698544</v>
      </c>
      <c r="S92" s="51">
        <v>1.1156116984759028</v>
      </c>
      <c r="T92" s="51">
        <v>1.105583195135434</v>
      </c>
      <c r="U92" s="51">
        <v>3.3718340585586419E-2</v>
      </c>
      <c r="V92" s="53">
        <v>6.9768821011578136E-2</v>
      </c>
    </row>
    <row r="93" spans="1:22" x14ac:dyDescent="0.35">
      <c r="A93" s="4" t="s">
        <v>52</v>
      </c>
      <c r="B93" s="54" t="s">
        <v>259</v>
      </c>
      <c r="C93">
        <v>0</v>
      </c>
      <c r="D93">
        <v>0</v>
      </c>
      <c r="E93">
        <v>0</v>
      </c>
      <c r="F93">
        <v>0</v>
      </c>
      <c r="G93">
        <v>0</v>
      </c>
      <c r="H93">
        <v>0</v>
      </c>
      <c r="I93">
        <v>0</v>
      </c>
      <c r="J93">
        <v>0</v>
      </c>
      <c r="K93">
        <v>0</v>
      </c>
      <c r="L93">
        <v>8</v>
      </c>
      <c r="M93" s="51">
        <v>0</v>
      </c>
      <c r="N93" s="51">
        <v>0</v>
      </c>
      <c r="O93" s="51">
        <v>0</v>
      </c>
      <c r="P93" s="51">
        <v>0</v>
      </c>
      <c r="Q93" s="51">
        <v>0</v>
      </c>
      <c r="R93" s="51">
        <v>0</v>
      </c>
      <c r="S93" s="51">
        <v>0</v>
      </c>
      <c r="T93" s="51">
        <v>0</v>
      </c>
      <c r="U93" s="51">
        <v>0</v>
      </c>
      <c r="V93" s="53">
        <v>0.13953764202315627</v>
      </c>
    </row>
    <row r="94" spans="1:22" x14ac:dyDescent="0.35">
      <c r="A94" s="4" t="s">
        <v>52</v>
      </c>
      <c r="B94" s="54" t="s">
        <v>260</v>
      </c>
      <c r="C94">
        <v>308</v>
      </c>
      <c r="D94">
        <v>308</v>
      </c>
      <c r="E94">
        <v>410</v>
      </c>
      <c r="F94">
        <v>410</v>
      </c>
      <c r="G94">
        <v>410</v>
      </c>
      <c r="H94">
        <v>365</v>
      </c>
      <c r="I94">
        <v>382</v>
      </c>
      <c r="J94">
        <v>382</v>
      </c>
      <c r="K94">
        <v>373</v>
      </c>
      <c r="L94">
        <v>381</v>
      </c>
      <c r="M94" s="51">
        <v>5.6402405525970742</v>
      </c>
      <c r="N94" s="51">
        <v>5.5780326930669393</v>
      </c>
      <c r="O94" s="51">
        <v>7.3424857716952543</v>
      </c>
      <c r="P94" s="51">
        <v>7.2572280221044547</v>
      </c>
      <c r="Q94" s="51">
        <v>7.177846015945323</v>
      </c>
      <c r="R94" s="51">
        <v>6.3254943417153351</v>
      </c>
      <c r="S94" s="51">
        <v>6.5563641356583826</v>
      </c>
      <c r="T94" s="51">
        <v>6.4974273929497812</v>
      </c>
      <c r="U94" s="51">
        <v>6.2884705192118675</v>
      </c>
      <c r="V94" s="53">
        <v>6.6454802013528171</v>
      </c>
    </row>
    <row r="95" spans="1:22" x14ac:dyDescent="0.35">
      <c r="A95" s="4" t="s">
        <v>52</v>
      </c>
      <c r="B95" s="54" t="s">
        <v>261</v>
      </c>
      <c r="C95">
        <v>0</v>
      </c>
      <c r="D95">
        <v>0</v>
      </c>
      <c r="E95">
        <v>0</v>
      </c>
      <c r="F95">
        <v>0</v>
      </c>
      <c r="G95">
        <v>0</v>
      </c>
      <c r="H95">
        <v>0</v>
      </c>
      <c r="I95">
        <v>0</v>
      </c>
      <c r="J95">
        <v>0</v>
      </c>
      <c r="K95">
        <v>26</v>
      </c>
      <c r="L95">
        <v>26</v>
      </c>
      <c r="M95" s="51">
        <v>0</v>
      </c>
      <c r="N95" s="51">
        <v>0</v>
      </c>
      <c r="O95" s="51">
        <v>0</v>
      </c>
      <c r="P95" s="51">
        <v>0</v>
      </c>
      <c r="Q95" s="51">
        <v>0</v>
      </c>
      <c r="R95" s="51">
        <v>0</v>
      </c>
      <c r="S95" s="51">
        <v>0</v>
      </c>
      <c r="T95" s="51">
        <v>0</v>
      </c>
      <c r="U95" s="51">
        <v>0.43833842761262348</v>
      </c>
      <c r="V95" s="53">
        <v>0.45349733657525787</v>
      </c>
    </row>
    <row r="96" spans="1:22" x14ac:dyDescent="0.35">
      <c r="A96" s="4" t="s">
        <v>52</v>
      </c>
      <c r="B96" s="54" t="s">
        <v>262</v>
      </c>
      <c r="C96">
        <v>0</v>
      </c>
      <c r="D96">
        <v>544</v>
      </c>
      <c r="E96">
        <v>690</v>
      </c>
      <c r="F96">
        <v>754</v>
      </c>
      <c r="G96">
        <v>770</v>
      </c>
      <c r="H96">
        <v>770</v>
      </c>
      <c r="I96">
        <v>770</v>
      </c>
      <c r="J96">
        <v>888</v>
      </c>
      <c r="K96">
        <v>924</v>
      </c>
      <c r="L96">
        <v>939</v>
      </c>
      <c r="M96" s="51">
        <v>0</v>
      </c>
      <c r="N96" s="51">
        <v>9.8521096916506981</v>
      </c>
      <c r="O96" s="51">
        <v>12.356866298706649</v>
      </c>
      <c r="P96" s="51">
        <v>13.346219338211606</v>
      </c>
      <c r="Q96" s="51">
        <v>13.480344956775362</v>
      </c>
      <c r="R96" s="51">
        <v>13.344193542796734</v>
      </c>
      <c r="S96" s="51">
        <v>13.215707812714539</v>
      </c>
      <c r="T96" s="51">
        <v>15.103967342773313</v>
      </c>
      <c r="U96" s="51">
        <v>15.577873350540926</v>
      </c>
      <c r="V96" s="53">
        <v>16.378230732467966</v>
      </c>
    </row>
    <row r="97" spans="1:22" x14ac:dyDescent="0.35">
      <c r="A97" s="4" t="s">
        <v>52</v>
      </c>
      <c r="B97" s="54" t="s">
        <v>263</v>
      </c>
      <c r="C97">
        <v>0</v>
      </c>
      <c r="D97">
        <v>0</v>
      </c>
      <c r="E97">
        <v>0</v>
      </c>
      <c r="F97">
        <v>4</v>
      </c>
      <c r="G97">
        <v>4</v>
      </c>
      <c r="H97">
        <v>172</v>
      </c>
      <c r="I97">
        <v>172</v>
      </c>
      <c r="J97">
        <v>172</v>
      </c>
      <c r="K97">
        <v>10</v>
      </c>
      <c r="L97">
        <v>10</v>
      </c>
      <c r="M97" s="51">
        <v>0</v>
      </c>
      <c r="N97" s="51">
        <v>0</v>
      </c>
      <c r="O97" s="51">
        <v>0</v>
      </c>
      <c r="P97" s="51">
        <v>7.0802224605897121E-2</v>
      </c>
      <c r="Q97" s="51">
        <v>7.0027766009222656E-2</v>
      </c>
      <c r="R97" s="51">
        <v>2.980780895274076</v>
      </c>
      <c r="S97" s="51">
        <v>2.952080186736235</v>
      </c>
      <c r="T97" s="51">
        <v>2.9255432240506867</v>
      </c>
      <c r="U97" s="51">
        <v>0.16859170292793213</v>
      </c>
      <c r="V97" s="53">
        <v>0.17442205252894535</v>
      </c>
    </row>
    <row r="98" spans="1:22" x14ac:dyDescent="0.35">
      <c r="B98" s="4" t="s">
        <v>40</v>
      </c>
      <c r="C98">
        <v>0</v>
      </c>
      <c r="D98">
        <v>0</v>
      </c>
      <c r="E98">
        <v>0</v>
      </c>
      <c r="F98">
        <v>165267</v>
      </c>
      <c r="G98">
        <v>180572</v>
      </c>
      <c r="H98">
        <v>223170</v>
      </c>
      <c r="I98">
        <v>223292</v>
      </c>
      <c r="J98">
        <v>223292</v>
      </c>
      <c r="K98">
        <v>234805</v>
      </c>
      <c r="L98">
        <v>234805</v>
      </c>
      <c r="M98" s="51"/>
      <c r="N98" s="51"/>
      <c r="O98" s="51"/>
      <c r="P98" s="51"/>
      <c r="Q98" s="51"/>
      <c r="R98" s="51"/>
      <c r="S98" s="51"/>
      <c r="T98" s="51"/>
      <c r="U98" s="51"/>
      <c r="V98" s="51"/>
    </row>
    <row r="99" spans="1:22" x14ac:dyDescent="0.35">
      <c r="A99" s="4" t="s">
        <v>40</v>
      </c>
      <c r="B99" s="54" t="s">
        <v>257</v>
      </c>
      <c r="C99">
        <v>0</v>
      </c>
      <c r="D99">
        <v>0</v>
      </c>
      <c r="E99">
        <v>0</v>
      </c>
      <c r="F99">
        <v>0</v>
      </c>
      <c r="G99">
        <v>14263</v>
      </c>
      <c r="H99">
        <v>15437</v>
      </c>
      <c r="I99">
        <v>15437</v>
      </c>
      <c r="J99">
        <v>15437</v>
      </c>
      <c r="K99">
        <v>16222</v>
      </c>
      <c r="L99">
        <v>16222</v>
      </c>
      <c r="M99" s="51">
        <v>0</v>
      </c>
      <c r="N99" s="51">
        <v>0</v>
      </c>
      <c r="O99" s="51">
        <v>0</v>
      </c>
      <c r="P99" s="51">
        <v>0</v>
      </c>
      <c r="Q99" s="51">
        <v>3.40186457859966</v>
      </c>
      <c r="R99" s="51">
        <v>3.6147680544516088</v>
      </c>
      <c r="S99" s="51">
        <v>3.552683112311505</v>
      </c>
      <c r="T99" s="51">
        <v>3.4942756195967273</v>
      </c>
      <c r="U99" s="51">
        <v>3.6126581108595208</v>
      </c>
      <c r="V99" s="53">
        <v>3.5224267648672867</v>
      </c>
    </row>
    <row r="100" spans="1:22" x14ac:dyDescent="0.35">
      <c r="A100" s="4" t="s">
        <v>40</v>
      </c>
      <c r="B100" s="54" t="s">
        <v>258</v>
      </c>
      <c r="C100">
        <v>0</v>
      </c>
      <c r="D100">
        <v>0</v>
      </c>
      <c r="E100">
        <v>0</v>
      </c>
      <c r="F100">
        <v>0</v>
      </c>
      <c r="G100">
        <v>0</v>
      </c>
      <c r="H100">
        <v>136</v>
      </c>
      <c r="I100">
        <v>136</v>
      </c>
      <c r="J100">
        <v>136</v>
      </c>
      <c r="K100">
        <v>136</v>
      </c>
      <c r="L100">
        <v>136</v>
      </c>
      <c r="M100" s="51">
        <v>0</v>
      </c>
      <c r="N100" s="51">
        <v>0</v>
      </c>
      <c r="O100" s="51">
        <v>0</v>
      </c>
      <c r="P100" s="51">
        <v>0</v>
      </c>
      <c r="Q100" s="51">
        <v>0</v>
      </c>
      <c r="R100" s="51">
        <v>3.1846113584596672E-2</v>
      </c>
      <c r="S100" s="51">
        <v>3.1299145123687547E-2</v>
      </c>
      <c r="T100" s="51">
        <v>3.0784574999362237E-2</v>
      </c>
      <c r="U100" s="51">
        <v>3.028735686579305E-2</v>
      </c>
      <c r="V100" s="53">
        <v>2.9530886451852485E-2</v>
      </c>
    </row>
    <row r="101" spans="1:22" x14ac:dyDescent="0.35">
      <c r="A101" s="4" t="s">
        <v>40</v>
      </c>
      <c r="B101" s="54" t="s">
        <v>259</v>
      </c>
      <c r="C101">
        <v>0</v>
      </c>
      <c r="D101">
        <v>0</v>
      </c>
      <c r="E101">
        <v>0</v>
      </c>
      <c r="F101">
        <v>0</v>
      </c>
      <c r="G101">
        <v>0</v>
      </c>
      <c r="H101">
        <v>15238</v>
      </c>
      <c r="I101">
        <v>15238</v>
      </c>
      <c r="J101">
        <v>15238</v>
      </c>
      <c r="K101">
        <v>15238</v>
      </c>
      <c r="L101">
        <v>15238</v>
      </c>
      <c r="M101" s="51">
        <v>0</v>
      </c>
      <c r="N101" s="51">
        <v>0</v>
      </c>
      <c r="O101" s="51">
        <v>0</v>
      </c>
      <c r="P101" s="51">
        <v>0</v>
      </c>
      <c r="Q101" s="51">
        <v>0</v>
      </c>
      <c r="R101" s="51">
        <v>3.5681696970741479</v>
      </c>
      <c r="S101" s="51">
        <v>3.5068850984908151</v>
      </c>
      <c r="T101" s="51">
        <v>3.4492305429432486</v>
      </c>
      <c r="U101" s="51">
        <v>3.3935201758893712</v>
      </c>
      <c r="V101" s="53">
        <v>3.3087621158332956</v>
      </c>
    </row>
    <row r="102" spans="1:22" x14ac:dyDescent="0.35">
      <c r="A102" s="4" t="s">
        <v>40</v>
      </c>
      <c r="B102" s="54" t="s">
        <v>260</v>
      </c>
      <c r="C102">
        <v>0</v>
      </c>
      <c r="D102">
        <v>0</v>
      </c>
      <c r="E102">
        <v>0</v>
      </c>
      <c r="F102">
        <v>74309</v>
      </c>
      <c r="G102">
        <v>74309</v>
      </c>
      <c r="H102">
        <v>72604</v>
      </c>
      <c r="I102">
        <v>72604</v>
      </c>
      <c r="J102">
        <v>72604</v>
      </c>
      <c r="K102">
        <v>75512</v>
      </c>
      <c r="L102">
        <v>75512</v>
      </c>
      <c r="M102" s="51">
        <v>0</v>
      </c>
      <c r="N102" s="51">
        <v>0</v>
      </c>
      <c r="O102" s="51">
        <v>0</v>
      </c>
      <c r="P102" s="51">
        <v>18.063986217997009</v>
      </c>
      <c r="Q102" s="51">
        <v>17.723421087510491</v>
      </c>
      <c r="R102" s="51">
        <v>17.001141402176888</v>
      </c>
      <c r="S102" s="51">
        <v>16.709140680589783</v>
      </c>
      <c r="T102" s="51">
        <v>16.434435906277177</v>
      </c>
      <c r="U102" s="51">
        <v>16.816609497424739</v>
      </c>
      <c r="V102" s="53">
        <v>16.396590424649155</v>
      </c>
    </row>
    <row r="103" spans="1:22" x14ac:dyDescent="0.35">
      <c r="A103" s="4" t="s">
        <v>40</v>
      </c>
      <c r="B103" s="54" t="s">
        <v>261</v>
      </c>
      <c r="C103">
        <v>0</v>
      </c>
      <c r="D103">
        <v>0</v>
      </c>
      <c r="E103">
        <v>0</v>
      </c>
      <c r="F103">
        <v>0</v>
      </c>
      <c r="G103">
        <v>0</v>
      </c>
      <c r="H103">
        <v>8948</v>
      </c>
      <c r="I103">
        <v>9070</v>
      </c>
      <c r="J103">
        <v>9070</v>
      </c>
      <c r="K103">
        <v>9279</v>
      </c>
      <c r="L103">
        <v>9279</v>
      </c>
      <c r="M103" s="51">
        <v>0</v>
      </c>
      <c r="N103" s="51">
        <v>0</v>
      </c>
      <c r="O103" s="51">
        <v>0</v>
      </c>
      <c r="P103" s="51">
        <v>0</v>
      </c>
      <c r="Q103" s="51">
        <v>0</v>
      </c>
      <c r="R103" s="51">
        <v>2.0952869437865518</v>
      </c>
      <c r="S103" s="51">
        <v>2.0873768108223976</v>
      </c>
      <c r="T103" s="51">
        <v>2.0530595238545257</v>
      </c>
      <c r="U103" s="51">
        <v>2.0664440026301008</v>
      </c>
      <c r="V103" s="53">
        <v>2.0148315837260236</v>
      </c>
    </row>
    <row r="104" spans="1:22" x14ac:dyDescent="0.35">
      <c r="A104" s="4" t="s">
        <v>40</v>
      </c>
      <c r="B104" s="54" t="s">
        <v>262</v>
      </c>
      <c r="C104">
        <v>0</v>
      </c>
      <c r="D104">
        <v>0</v>
      </c>
      <c r="E104">
        <v>0</v>
      </c>
      <c r="F104">
        <v>90958</v>
      </c>
      <c r="G104">
        <v>92000</v>
      </c>
      <c r="H104">
        <v>92000</v>
      </c>
      <c r="I104">
        <v>92000</v>
      </c>
      <c r="J104">
        <v>92000</v>
      </c>
      <c r="K104">
        <v>104776</v>
      </c>
      <c r="L104">
        <v>104776</v>
      </c>
      <c r="M104" s="51">
        <v>0</v>
      </c>
      <c r="N104" s="51">
        <v>0</v>
      </c>
      <c r="O104" s="51">
        <v>0</v>
      </c>
      <c r="P104" s="51">
        <v>22.111238994153762</v>
      </c>
      <c r="Q104" s="51">
        <v>21.942897092558979</v>
      </c>
      <c r="R104" s="51">
        <v>21.542959189580099</v>
      </c>
      <c r="S104" s="51">
        <v>21.172951113082753</v>
      </c>
      <c r="T104" s="51">
        <v>20.824859558392102</v>
      </c>
      <c r="U104" s="51">
        <v>23.333736051252444</v>
      </c>
      <c r="V104" s="53">
        <v>22.750942344700707</v>
      </c>
    </row>
    <row r="105" spans="1:22" x14ac:dyDescent="0.35">
      <c r="A105" s="4" t="s">
        <v>40</v>
      </c>
      <c r="B105" s="54" t="s">
        <v>263</v>
      </c>
      <c r="C105">
        <v>0</v>
      </c>
      <c r="D105">
        <v>0</v>
      </c>
      <c r="E105">
        <v>0</v>
      </c>
      <c r="F105">
        <v>0</v>
      </c>
      <c r="G105">
        <v>0</v>
      </c>
      <c r="H105">
        <v>18807</v>
      </c>
      <c r="I105">
        <v>18807</v>
      </c>
      <c r="J105">
        <v>18807</v>
      </c>
      <c r="K105">
        <v>13642</v>
      </c>
      <c r="L105">
        <v>13642</v>
      </c>
      <c r="M105" s="51">
        <v>0</v>
      </c>
      <c r="N105" s="51">
        <v>0</v>
      </c>
      <c r="O105" s="51">
        <v>0</v>
      </c>
      <c r="P105" s="51">
        <v>0</v>
      </c>
      <c r="Q105" s="51">
        <v>0</v>
      </c>
      <c r="R105" s="51">
        <v>4.4038960160699236</v>
      </c>
      <c r="S105" s="51">
        <v>4.3282575172146451</v>
      </c>
      <c r="T105" s="51">
        <v>4.2570992795073943</v>
      </c>
      <c r="U105" s="51">
        <v>3.0380891350231529</v>
      </c>
      <c r="V105" s="53">
        <v>2.9622084777659672</v>
      </c>
    </row>
    <row r="106" spans="1:22" x14ac:dyDescent="0.35">
      <c r="B106" s="4" t="s">
        <v>70</v>
      </c>
      <c r="C106">
        <v>4466</v>
      </c>
      <c r="D106">
        <v>4474</v>
      </c>
      <c r="E106">
        <v>4488</v>
      </c>
      <c r="F106">
        <v>5086</v>
      </c>
      <c r="G106">
        <v>5573</v>
      </c>
      <c r="H106">
        <v>6813</v>
      </c>
      <c r="I106">
        <v>6813</v>
      </c>
      <c r="J106">
        <v>6824</v>
      </c>
      <c r="K106">
        <v>6503</v>
      </c>
      <c r="L106">
        <v>6503</v>
      </c>
      <c r="M106" s="51"/>
      <c r="N106" s="51"/>
      <c r="O106" s="51"/>
      <c r="P106" s="51"/>
      <c r="Q106" s="51"/>
      <c r="R106" s="51"/>
      <c r="S106" s="51"/>
      <c r="T106" s="51"/>
      <c r="U106" s="51"/>
      <c r="V106" s="51"/>
    </row>
    <row r="107" spans="1:22" x14ac:dyDescent="0.35">
      <c r="A107" s="4" t="s">
        <v>70</v>
      </c>
      <c r="B107" s="54" t="s">
        <v>257</v>
      </c>
      <c r="C107">
        <v>0</v>
      </c>
      <c r="D107">
        <v>0</v>
      </c>
      <c r="E107">
        <v>0</v>
      </c>
      <c r="F107">
        <v>0</v>
      </c>
      <c r="G107">
        <v>0</v>
      </c>
      <c r="H107">
        <v>186</v>
      </c>
      <c r="I107">
        <v>186</v>
      </c>
      <c r="J107">
        <v>186</v>
      </c>
      <c r="K107">
        <v>67</v>
      </c>
      <c r="L107">
        <v>67</v>
      </c>
      <c r="M107" s="51">
        <v>0</v>
      </c>
      <c r="N107" s="51">
        <v>0</v>
      </c>
      <c r="O107" s="51">
        <v>0</v>
      </c>
      <c r="P107" s="51">
        <v>0</v>
      </c>
      <c r="Q107" s="51">
        <v>0</v>
      </c>
      <c r="R107" s="51">
        <v>0.53160810307938278</v>
      </c>
      <c r="S107" s="51">
        <v>0.52307903442984949</v>
      </c>
      <c r="T107" s="51">
        <v>0.5137678741500733</v>
      </c>
      <c r="U107" s="51">
        <v>0.18186595556173238</v>
      </c>
      <c r="V107" s="53">
        <v>0.17973761527351237</v>
      </c>
    </row>
    <row r="108" spans="1:22" x14ac:dyDescent="0.35">
      <c r="A108" s="4" t="s">
        <v>70</v>
      </c>
      <c r="B108" s="54" t="s">
        <v>258</v>
      </c>
      <c r="C108">
        <v>0</v>
      </c>
      <c r="D108">
        <v>0</v>
      </c>
      <c r="E108">
        <v>0</v>
      </c>
      <c r="F108">
        <v>0</v>
      </c>
      <c r="G108">
        <v>0</v>
      </c>
      <c r="H108">
        <v>549</v>
      </c>
      <c r="I108">
        <v>549</v>
      </c>
      <c r="J108">
        <v>549</v>
      </c>
      <c r="K108">
        <v>340</v>
      </c>
      <c r="L108">
        <v>340</v>
      </c>
      <c r="M108" s="51">
        <v>0</v>
      </c>
      <c r="N108" s="51">
        <v>0</v>
      </c>
      <c r="O108" s="51">
        <v>0</v>
      </c>
      <c r="P108" s="51">
        <v>0</v>
      </c>
      <c r="Q108" s="51">
        <v>0</v>
      </c>
      <c r="R108" s="51">
        <v>1.5691013365085009</v>
      </c>
      <c r="S108" s="51">
        <v>1.5439268274300395</v>
      </c>
      <c r="T108" s="51">
        <v>1.5164438866042484</v>
      </c>
      <c r="U108" s="51">
        <v>0.92290186404461205</v>
      </c>
      <c r="V108" s="53">
        <v>0.91210133123871939</v>
      </c>
    </row>
    <row r="109" spans="1:22" x14ac:dyDescent="0.35">
      <c r="A109" s="4" t="s">
        <v>70</v>
      </c>
      <c r="B109" s="54" t="s">
        <v>259</v>
      </c>
      <c r="C109">
        <v>0</v>
      </c>
      <c r="D109">
        <v>0</v>
      </c>
      <c r="E109">
        <v>0</v>
      </c>
      <c r="F109">
        <v>0</v>
      </c>
      <c r="G109">
        <v>0</v>
      </c>
      <c r="H109">
        <v>0</v>
      </c>
      <c r="I109">
        <v>0</v>
      </c>
      <c r="J109">
        <v>0</v>
      </c>
      <c r="K109">
        <v>307</v>
      </c>
      <c r="L109">
        <v>307</v>
      </c>
      <c r="M109" s="51">
        <v>0</v>
      </c>
      <c r="N109" s="51">
        <v>0</v>
      </c>
      <c r="O109" s="51">
        <v>0</v>
      </c>
      <c r="P109" s="51">
        <v>0</v>
      </c>
      <c r="Q109" s="51">
        <v>0</v>
      </c>
      <c r="R109" s="51">
        <v>0</v>
      </c>
      <c r="S109" s="51">
        <v>0</v>
      </c>
      <c r="T109" s="51">
        <v>0</v>
      </c>
      <c r="U109" s="51">
        <v>0.83332609488734077</v>
      </c>
      <c r="V109" s="53">
        <v>0.82357384908907905</v>
      </c>
    </row>
    <row r="110" spans="1:22" x14ac:dyDescent="0.35">
      <c r="A110" s="4" t="s">
        <v>70</v>
      </c>
      <c r="B110" s="54" t="s">
        <v>260</v>
      </c>
      <c r="C110">
        <v>204</v>
      </c>
      <c r="D110">
        <v>212</v>
      </c>
      <c r="E110">
        <v>226</v>
      </c>
      <c r="F110">
        <v>226</v>
      </c>
      <c r="G110">
        <v>226</v>
      </c>
      <c r="H110">
        <v>280</v>
      </c>
      <c r="I110">
        <v>280</v>
      </c>
      <c r="J110">
        <v>291</v>
      </c>
      <c r="K110">
        <v>299</v>
      </c>
      <c r="L110">
        <v>299</v>
      </c>
      <c r="M110" s="51">
        <v>0.61382459360448938</v>
      </c>
      <c r="N110" s="51">
        <v>0.63472939868970291</v>
      </c>
      <c r="O110" s="51">
        <v>0.67156233628810857</v>
      </c>
      <c r="P110" s="51">
        <v>0.66530602752541779</v>
      </c>
      <c r="Q110" s="51">
        <v>0.65595200985437285</v>
      </c>
      <c r="R110" s="51">
        <v>0.80027026270014623</v>
      </c>
      <c r="S110" s="51">
        <v>0.78743080451805292</v>
      </c>
      <c r="T110" s="51">
        <v>0.80379812568640485</v>
      </c>
      <c r="U110" s="51">
        <v>0.81161075690982054</v>
      </c>
      <c r="V110" s="53">
        <v>0.80211264129522675</v>
      </c>
    </row>
    <row r="111" spans="1:22" x14ac:dyDescent="0.35">
      <c r="A111" s="4" t="s">
        <v>70</v>
      </c>
      <c r="B111" s="54" t="s">
        <v>261</v>
      </c>
      <c r="C111">
        <v>0</v>
      </c>
      <c r="D111">
        <v>0</v>
      </c>
      <c r="E111">
        <v>0</v>
      </c>
      <c r="F111">
        <v>376</v>
      </c>
      <c r="G111">
        <v>376</v>
      </c>
      <c r="H111">
        <v>376</v>
      </c>
      <c r="I111">
        <v>376</v>
      </c>
      <c r="J111">
        <v>376</v>
      </c>
      <c r="K111">
        <v>67</v>
      </c>
      <c r="L111">
        <v>67</v>
      </c>
      <c r="M111" s="51">
        <v>0</v>
      </c>
      <c r="N111" s="51">
        <v>0</v>
      </c>
      <c r="O111" s="51">
        <v>0</v>
      </c>
      <c r="P111" s="51">
        <v>1.1068808245555624</v>
      </c>
      <c r="Q111" s="51">
        <v>1.0913183880763018</v>
      </c>
      <c r="R111" s="51">
        <v>1.0746486384830534</v>
      </c>
      <c r="S111" s="51">
        <v>1.0574070803528139</v>
      </c>
      <c r="T111" s="51">
        <v>1.038584519787245</v>
      </c>
      <c r="U111" s="51">
        <v>0.18186595556173238</v>
      </c>
      <c r="V111" s="53">
        <v>0.17973761527351237</v>
      </c>
    </row>
    <row r="112" spans="1:22" x14ac:dyDescent="0.35">
      <c r="A112" s="4" t="s">
        <v>70</v>
      </c>
      <c r="B112" s="54" t="s">
        <v>262</v>
      </c>
      <c r="C112">
        <v>4262</v>
      </c>
      <c r="D112">
        <v>4262</v>
      </c>
      <c r="E112">
        <v>4262</v>
      </c>
      <c r="F112">
        <v>4484</v>
      </c>
      <c r="G112">
        <v>4971</v>
      </c>
      <c r="H112">
        <v>4971</v>
      </c>
      <c r="I112">
        <v>4971</v>
      </c>
      <c r="J112">
        <v>4971</v>
      </c>
      <c r="K112">
        <v>5194</v>
      </c>
      <c r="L112">
        <v>5194</v>
      </c>
      <c r="M112" s="51">
        <v>12.824119695795753</v>
      </c>
      <c r="N112" s="51">
        <v>12.760456118941104</v>
      </c>
      <c r="O112" s="51">
        <v>12.664595917079287</v>
      </c>
      <c r="P112" s="51">
        <v>13.20014259922112</v>
      </c>
      <c r="Q112" s="51">
        <v>14.428041774274723</v>
      </c>
      <c r="R112" s="51">
        <v>14.207655271008667</v>
      </c>
      <c r="S112" s="51">
        <v>13.979709033068719</v>
      </c>
      <c r="T112" s="51">
        <v>13.730860765591475</v>
      </c>
      <c r="U112" s="51">
        <v>14.098683181905042</v>
      </c>
      <c r="V112" s="53">
        <v>13.933689160158554</v>
      </c>
    </row>
    <row r="113" spans="1:22" x14ac:dyDescent="0.35">
      <c r="A113" s="4" t="s">
        <v>70</v>
      </c>
      <c r="B113" s="54" t="s">
        <v>263</v>
      </c>
      <c r="C113">
        <v>0</v>
      </c>
      <c r="D113">
        <v>0</v>
      </c>
      <c r="E113">
        <v>0</v>
      </c>
      <c r="F113">
        <v>0</v>
      </c>
      <c r="G113">
        <v>0</v>
      </c>
      <c r="H113">
        <v>451</v>
      </c>
      <c r="I113">
        <v>451</v>
      </c>
      <c r="J113">
        <v>451</v>
      </c>
      <c r="K113">
        <v>229</v>
      </c>
      <c r="L113">
        <v>229</v>
      </c>
      <c r="M113" s="51">
        <v>0</v>
      </c>
      <c r="N113" s="51">
        <v>0</v>
      </c>
      <c r="O113" s="51">
        <v>0</v>
      </c>
      <c r="P113" s="51">
        <v>0</v>
      </c>
      <c r="Q113" s="51">
        <v>0</v>
      </c>
      <c r="R113" s="51">
        <v>1.2890067445634499</v>
      </c>
      <c r="S113" s="51">
        <v>1.2683260458487211</v>
      </c>
      <c r="T113" s="51">
        <v>1.2457489851703387</v>
      </c>
      <c r="U113" s="51">
        <v>0.62160154960651803</v>
      </c>
      <c r="V113" s="53">
        <v>0.6143270730990199</v>
      </c>
    </row>
    <row r="114" spans="1:22" x14ac:dyDescent="0.35">
      <c r="B114" s="4" t="s">
        <v>74</v>
      </c>
      <c r="C114">
        <v>0</v>
      </c>
      <c r="D114">
        <v>0</v>
      </c>
      <c r="E114">
        <v>0</v>
      </c>
      <c r="F114">
        <v>0</v>
      </c>
      <c r="G114">
        <v>88164</v>
      </c>
      <c r="H114">
        <v>135809</v>
      </c>
      <c r="I114">
        <v>139588</v>
      </c>
      <c r="J114">
        <v>129503</v>
      </c>
      <c r="K114">
        <v>224659</v>
      </c>
      <c r="L114">
        <v>239596</v>
      </c>
      <c r="M114" s="51"/>
      <c r="N114" s="51"/>
      <c r="O114" s="51"/>
      <c r="P114" s="51"/>
      <c r="Q114" s="51"/>
      <c r="R114" s="51"/>
      <c r="S114" s="51"/>
      <c r="T114" s="51"/>
      <c r="U114" s="51"/>
      <c r="V114" s="51"/>
    </row>
    <row r="115" spans="1:22" x14ac:dyDescent="0.35">
      <c r="A115" s="4" t="s">
        <v>74</v>
      </c>
      <c r="B115" s="54" t="s">
        <v>257</v>
      </c>
      <c r="C115">
        <v>0</v>
      </c>
      <c r="D115">
        <v>0</v>
      </c>
      <c r="E115">
        <v>0</v>
      </c>
      <c r="F115">
        <v>0</v>
      </c>
      <c r="G115">
        <v>0</v>
      </c>
      <c r="H115">
        <v>1889</v>
      </c>
      <c r="I115">
        <v>1889</v>
      </c>
      <c r="J115">
        <v>1889</v>
      </c>
      <c r="K115">
        <v>3522</v>
      </c>
      <c r="L115">
        <v>3522</v>
      </c>
      <c r="M115" s="51">
        <v>0</v>
      </c>
      <c r="N115" s="51">
        <v>0</v>
      </c>
      <c r="O115" s="51">
        <v>0</v>
      </c>
      <c r="P115" s="51">
        <v>0</v>
      </c>
      <c r="Q115" s="51">
        <v>0</v>
      </c>
      <c r="R115" s="51">
        <v>0.16552665332253705</v>
      </c>
      <c r="S115" s="51">
        <v>0.16118997487782988</v>
      </c>
      <c r="T115" s="51">
        <v>0.1570462651978842</v>
      </c>
      <c r="U115" s="51">
        <v>0.28545973168211713</v>
      </c>
      <c r="V115" s="53">
        <v>0.28455688227845422</v>
      </c>
    </row>
    <row r="116" spans="1:22" x14ac:dyDescent="0.35">
      <c r="A116" s="4" t="s">
        <v>74</v>
      </c>
      <c r="B116" s="54" t="s">
        <v>258</v>
      </c>
      <c r="C116">
        <v>0</v>
      </c>
      <c r="D116">
        <v>0</v>
      </c>
      <c r="E116">
        <v>0</v>
      </c>
      <c r="F116">
        <v>0</v>
      </c>
      <c r="G116">
        <v>0</v>
      </c>
      <c r="H116">
        <v>10450</v>
      </c>
      <c r="I116">
        <v>10450</v>
      </c>
      <c r="J116">
        <v>8005</v>
      </c>
      <c r="K116">
        <v>23757</v>
      </c>
      <c r="L116">
        <v>23757</v>
      </c>
      <c r="M116" s="51">
        <v>0</v>
      </c>
      <c r="N116" s="51">
        <v>0</v>
      </c>
      <c r="O116" s="51">
        <v>0</v>
      </c>
      <c r="P116" s="51">
        <v>0</v>
      </c>
      <c r="Q116" s="51">
        <v>0</v>
      </c>
      <c r="R116" s="51">
        <v>0.91569800276363789</v>
      </c>
      <c r="S116" s="51">
        <v>0.89170737822833379</v>
      </c>
      <c r="T116" s="51">
        <v>0.6655136860291494</v>
      </c>
      <c r="U116" s="51">
        <v>1.9255158562101238</v>
      </c>
      <c r="V116" s="53">
        <v>1.9194258524387386</v>
      </c>
    </row>
    <row r="117" spans="1:22" x14ac:dyDescent="0.35">
      <c r="A117" s="4" t="s">
        <v>74</v>
      </c>
      <c r="B117" s="54" t="s">
        <v>259</v>
      </c>
      <c r="C117">
        <v>0</v>
      </c>
      <c r="D117">
        <v>0</v>
      </c>
      <c r="E117">
        <v>0</v>
      </c>
      <c r="F117">
        <v>0</v>
      </c>
      <c r="G117">
        <v>0</v>
      </c>
      <c r="H117">
        <v>0</v>
      </c>
      <c r="I117">
        <v>0</v>
      </c>
      <c r="J117">
        <v>4752</v>
      </c>
      <c r="K117">
        <v>13915</v>
      </c>
      <c r="L117">
        <v>21722</v>
      </c>
      <c r="M117" s="51">
        <v>0</v>
      </c>
      <c r="N117" s="51">
        <v>0</v>
      </c>
      <c r="O117" s="51">
        <v>0</v>
      </c>
      <c r="P117" s="51">
        <v>0</v>
      </c>
      <c r="Q117" s="51">
        <v>0</v>
      </c>
      <c r="R117" s="51">
        <v>0</v>
      </c>
      <c r="S117" s="51">
        <v>0</v>
      </c>
      <c r="T117" s="51">
        <v>0.39506821186889662</v>
      </c>
      <c r="U117" s="51">
        <v>1.1278171965805395</v>
      </c>
      <c r="V117" s="53">
        <v>1.7550098230700122</v>
      </c>
    </row>
    <row r="118" spans="1:22" x14ac:dyDescent="0.35">
      <c r="A118" s="4" t="s">
        <v>74</v>
      </c>
      <c r="B118" s="54" t="s">
        <v>260</v>
      </c>
      <c r="C118">
        <v>0</v>
      </c>
      <c r="D118">
        <v>0</v>
      </c>
      <c r="E118">
        <v>0</v>
      </c>
      <c r="F118">
        <v>0</v>
      </c>
      <c r="G118">
        <v>0</v>
      </c>
      <c r="H118">
        <v>8395</v>
      </c>
      <c r="I118">
        <v>12174</v>
      </c>
      <c r="J118">
        <v>12174</v>
      </c>
      <c r="K118">
        <v>13117</v>
      </c>
      <c r="L118">
        <v>18413</v>
      </c>
      <c r="M118" s="51">
        <v>0</v>
      </c>
      <c r="N118" s="51">
        <v>0</v>
      </c>
      <c r="O118" s="51">
        <v>0</v>
      </c>
      <c r="P118" s="51">
        <v>0</v>
      </c>
      <c r="Q118" s="51">
        <v>0</v>
      </c>
      <c r="R118" s="51">
        <v>0.73562533332064506</v>
      </c>
      <c r="S118" s="51">
        <v>1.0388177629236111</v>
      </c>
      <c r="T118" s="51">
        <v>1.0121128811641302</v>
      </c>
      <c r="U118" s="51">
        <v>1.0631389268808433</v>
      </c>
      <c r="V118" s="53">
        <v>1.4876620878458768</v>
      </c>
    </row>
    <row r="119" spans="1:22" x14ac:dyDescent="0.35">
      <c r="A119" s="4" t="s">
        <v>74</v>
      </c>
      <c r="B119" s="54" t="s">
        <v>261</v>
      </c>
      <c r="C119">
        <v>0</v>
      </c>
      <c r="D119">
        <v>0</v>
      </c>
      <c r="E119">
        <v>0</v>
      </c>
      <c r="F119">
        <v>0</v>
      </c>
      <c r="G119">
        <v>0</v>
      </c>
      <c r="H119">
        <v>16159</v>
      </c>
      <c r="I119">
        <v>16159</v>
      </c>
      <c r="J119">
        <v>20355</v>
      </c>
      <c r="K119">
        <v>21995</v>
      </c>
      <c r="L119">
        <v>21995</v>
      </c>
      <c r="M119" s="51">
        <v>0</v>
      </c>
      <c r="N119" s="51">
        <v>0</v>
      </c>
      <c r="O119" s="51">
        <v>0</v>
      </c>
      <c r="P119" s="51">
        <v>0</v>
      </c>
      <c r="Q119" s="51">
        <v>0</v>
      </c>
      <c r="R119" s="51">
        <v>1.4159582800629307</v>
      </c>
      <c r="S119" s="51">
        <v>1.3788611985446551</v>
      </c>
      <c r="T119" s="51">
        <v>1.6922587231884239</v>
      </c>
      <c r="U119" s="51">
        <v>1.7827049399057824</v>
      </c>
      <c r="V119" s="53">
        <v>1.7770666171818854</v>
      </c>
    </row>
    <row r="120" spans="1:22" x14ac:dyDescent="0.35">
      <c r="A120" s="4" t="s">
        <v>74</v>
      </c>
      <c r="B120" s="54" t="s">
        <v>262</v>
      </c>
      <c r="C120">
        <v>0</v>
      </c>
      <c r="D120">
        <v>0</v>
      </c>
      <c r="E120">
        <v>0</v>
      </c>
      <c r="F120">
        <v>0</v>
      </c>
      <c r="G120">
        <v>88164</v>
      </c>
      <c r="H120">
        <v>88164</v>
      </c>
      <c r="I120">
        <v>88164</v>
      </c>
      <c r="J120">
        <v>69824</v>
      </c>
      <c r="K120">
        <v>131262</v>
      </c>
      <c r="L120">
        <v>131262</v>
      </c>
      <c r="M120" s="51">
        <v>0</v>
      </c>
      <c r="N120" s="51">
        <v>0</v>
      </c>
      <c r="O120" s="51">
        <v>0</v>
      </c>
      <c r="P120" s="51">
        <v>0</v>
      </c>
      <c r="Q120" s="51">
        <v>7.9334514406524761</v>
      </c>
      <c r="R120" s="51">
        <v>7.7255118388185045</v>
      </c>
      <c r="S120" s="51">
        <v>7.5231090233610347</v>
      </c>
      <c r="T120" s="51">
        <v>5.804975342073619</v>
      </c>
      <c r="U120" s="51">
        <v>10.638845911430453</v>
      </c>
      <c r="V120" s="53">
        <v>10.60519746781217</v>
      </c>
    </row>
    <row r="121" spans="1:22" x14ac:dyDescent="0.35">
      <c r="A121" s="4" t="s">
        <v>74</v>
      </c>
      <c r="B121" s="54" t="s">
        <v>263</v>
      </c>
      <c r="C121">
        <v>0</v>
      </c>
      <c r="D121">
        <v>0</v>
      </c>
      <c r="E121">
        <v>0</v>
      </c>
      <c r="F121">
        <v>0</v>
      </c>
      <c r="G121">
        <v>0</v>
      </c>
      <c r="H121">
        <v>10752</v>
      </c>
      <c r="I121">
        <v>10752</v>
      </c>
      <c r="J121">
        <v>12504</v>
      </c>
      <c r="K121">
        <v>17091</v>
      </c>
      <c r="L121">
        <v>18925</v>
      </c>
      <c r="M121" s="51">
        <v>0</v>
      </c>
      <c r="N121" s="51">
        <v>0</v>
      </c>
      <c r="O121" s="51">
        <v>0</v>
      </c>
      <c r="P121" s="51">
        <v>0</v>
      </c>
      <c r="Q121" s="51">
        <v>0</v>
      </c>
      <c r="R121" s="51">
        <v>0.94216123691049136</v>
      </c>
      <c r="S121" s="51">
        <v>0.91747729480488471</v>
      </c>
      <c r="T121" s="51">
        <v>1.0395481736550258</v>
      </c>
      <c r="U121" s="51">
        <v>1.3852334679667981</v>
      </c>
      <c r="V121" s="53">
        <v>1.5290286760703424</v>
      </c>
    </row>
    <row r="122" spans="1:22" x14ac:dyDescent="0.35">
      <c r="B122" s="4" t="s">
        <v>76</v>
      </c>
      <c r="C122">
        <v>0</v>
      </c>
      <c r="D122">
        <v>0</v>
      </c>
      <c r="E122">
        <v>0</v>
      </c>
      <c r="F122">
        <v>6157</v>
      </c>
      <c r="G122">
        <v>8932</v>
      </c>
      <c r="H122">
        <v>9374</v>
      </c>
      <c r="I122">
        <v>8908</v>
      </c>
      <c r="J122">
        <v>8361</v>
      </c>
      <c r="K122">
        <v>7767</v>
      </c>
      <c r="L122">
        <v>7767</v>
      </c>
      <c r="M122" s="51"/>
      <c r="N122" s="51"/>
      <c r="O122" s="51"/>
      <c r="P122" s="51"/>
      <c r="Q122" s="51"/>
      <c r="R122" s="51"/>
      <c r="S122" s="51"/>
      <c r="T122" s="51"/>
      <c r="U122" s="51"/>
      <c r="V122" s="51"/>
    </row>
    <row r="123" spans="1:22" x14ac:dyDescent="0.35">
      <c r="A123" s="4" t="s">
        <v>76</v>
      </c>
      <c r="B123" s="54" t="s">
        <v>257</v>
      </c>
      <c r="C123">
        <v>0</v>
      </c>
      <c r="D123">
        <v>0</v>
      </c>
      <c r="E123">
        <v>0</v>
      </c>
      <c r="F123">
        <v>0</v>
      </c>
      <c r="G123">
        <v>37</v>
      </c>
      <c r="H123">
        <v>40</v>
      </c>
      <c r="I123">
        <v>40</v>
      </c>
      <c r="J123">
        <v>40</v>
      </c>
      <c r="K123">
        <v>44</v>
      </c>
      <c r="L123">
        <v>44</v>
      </c>
      <c r="M123" s="51">
        <v>0</v>
      </c>
      <c r="N123" s="51">
        <v>0</v>
      </c>
      <c r="O123" s="51">
        <v>0</v>
      </c>
      <c r="P123" s="51">
        <v>0</v>
      </c>
      <c r="Q123" s="51">
        <v>0.16879469637939939</v>
      </c>
      <c r="R123" s="51">
        <v>0.17834968577014737</v>
      </c>
      <c r="S123" s="51">
        <v>0.17447645069535411</v>
      </c>
      <c r="T123" s="51">
        <v>0.17085408676568514</v>
      </c>
      <c r="U123" s="51">
        <v>0.18417809687098158</v>
      </c>
      <c r="V123" s="53">
        <v>0.18457111336231938</v>
      </c>
    </row>
    <row r="124" spans="1:22" x14ac:dyDescent="0.35">
      <c r="A124" s="4" t="s">
        <v>76</v>
      </c>
      <c r="B124" s="54" t="s">
        <v>258</v>
      </c>
      <c r="C124">
        <v>0</v>
      </c>
      <c r="D124">
        <v>0</v>
      </c>
      <c r="E124">
        <v>0</v>
      </c>
      <c r="F124">
        <v>0</v>
      </c>
      <c r="G124">
        <v>0</v>
      </c>
      <c r="H124">
        <v>439</v>
      </c>
      <c r="I124">
        <v>469</v>
      </c>
      <c r="J124">
        <v>469</v>
      </c>
      <c r="K124">
        <v>257</v>
      </c>
      <c r="L124">
        <v>257</v>
      </c>
      <c r="M124" s="51">
        <v>0</v>
      </c>
      <c r="N124" s="51">
        <v>0</v>
      </c>
      <c r="O124" s="51">
        <v>0</v>
      </c>
      <c r="P124" s="51">
        <v>0</v>
      </c>
      <c r="Q124" s="51">
        <v>0</v>
      </c>
      <c r="R124" s="51">
        <v>1.9573878013273676</v>
      </c>
      <c r="S124" s="51">
        <v>2.0457363844030265</v>
      </c>
      <c r="T124" s="51">
        <v>2.0032641673276581</v>
      </c>
      <c r="U124" s="51">
        <v>1.0757675203600514</v>
      </c>
      <c r="V124" s="53">
        <v>1.0780630939571838</v>
      </c>
    </row>
    <row r="125" spans="1:22" x14ac:dyDescent="0.35">
      <c r="A125" s="4" t="s">
        <v>76</v>
      </c>
      <c r="B125" s="54" t="s">
        <v>259</v>
      </c>
      <c r="C125">
        <v>0</v>
      </c>
      <c r="D125">
        <v>0</v>
      </c>
      <c r="E125">
        <v>0</v>
      </c>
      <c r="F125">
        <v>287</v>
      </c>
      <c r="G125">
        <v>442</v>
      </c>
      <c r="H125">
        <v>442</v>
      </c>
      <c r="I125">
        <v>72</v>
      </c>
      <c r="J125">
        <v>74</v>
      </c>
      <c r="K125">
        <v>253</v>
      </c>
      <c r="L125">
        <v>253</v>
      </c>
      <c r="M125" s="51">
        <v>0</v>
      </c>
      <c r="N125" s="51">
        <v>0</v>
      </c>
      <c r="O125" s="51">
        <v>0</v>
      </c>
      <c r="P125" s="51">
        <v>1.3409867700207692</v>
      </c>
      <c r="Q125" s="51">
        <v>2.0164123189106631</v>
      </c>
      <c r="R125" s="51">
        <v>1.9707640277601286</v>
      </c>
      <c r="S125" s="51">
        <v>0.31405761125163739</v>
      </c>
      <c r="T125" s="51">
        <v>0.31608006051651755</v>
      </c>
      <c r="U125" s="51">
        <v>1.0590240570081439</v>
      </c>
      <c r="V125" s="53">
        <v>1.0612839018333364</v>
      </c>
    </row>
    <row r="126" spans="1:22" x14ac:dyDescent="0.35">
      <c r="A126" s="4" t="s">
        <v>76</v>
      </c>
      <c r="B126" s="54" t="s">
        <v>260</v>
      </c>
      <c r="C126">
        <v>0</v>
      </c>
      <c r="D126">
        <v>0</v>
      </c>
      <c r="E126">
        <v>0</v>
      </c>
      <c r="F126">
        <v>715</v>
      </c>
      <c r="G126">
        <v>1408</v>
      </c>
      <c r="H126">
        <v>1408</v>
      </c>
      <c r="I126">
        <v>1408</v>
      </c>
      <c r="J126">
        <v>1408</v>
      </c>
      <c r="K126">
        <v>1266</v>
      </c>
      <c r="L126">
        <v>1266</v>
      </c>
      <c r="M126" s="51">
        <v>0</v>
      </c>
      <c r="N126" s="51">
        <v>0</v>
      </c>
      <c r="O126" s="51">
        <v>0</v>
      </c>
      <c r="P126" s="51">
        <v>3.3407858556266543</v>
      </c>
      <c r="Q126" s="51">
        <v>6.4233225000593057</v>
      </c>
      <c r="R126" s="51">
        <v>6.2779089391091887</v>
      </c>
      <c r="S126" s="51">
        <v>6.1415710644764641</v>
      </c>
      <c r="T126" s="51">
        <v>6.0140638541521172</v>
      </c>
      <c r="U126" s="51">
        <v>5.2993061508786967</v>
      </c>
      <c r="V126" s="53">
        <v>5.3106143071976444</v>
      </c>
    </row>
    <row r="127" spans="1:22" x14ac:dyDescent="0.35">
      <c r="A127" s="4" t="s">
        <v>76</v>
      </c>
      <c r="B127" s="54" t="s">
        <v>261</v>
      </c>
      <c r="C127">
        <v>0</v>
      </c>
      <c r="D127">
        <v>0</v>
      </c>
      <c r="E127">
        <v>0</v>
      </c>
      <c r="F127">
        <v>513</v>
      </c>
      <c r="G127">
        <v>733</v>
      </c>
      <c r="H127">
        <v>733</v>
      </c>
      <c r="I127">
        <v>607</v>
      </c>
      <c r="J127">
        <v>662</v>
      </c>
      <c r="K127">
        <v>925</v>
      </c>
      <c r="L127">
        <v>925</v>
      </c>
      <c r="M127" s="51">
        <v>0</v>
      </c>
      <c r="N127" s="51">
        <v>0</v>
      </c>
      <c r="O127" s="51">
        <v>0</v>
      </c>
      <c r="P127" s="51">
        <v>2.396955446064998</v>
      </c>
      <c r="Q127" s="51">
        <v>3.3439597958405338</v>
      </c>
      <c r="R127" s="51">
        <v>3.2682579917379506</v>
      </c>
      <c r="S127" s="51">
        <v>2.6476801393019986</v>
      </c>
      <c r="T127" s="51">
        <v>2.8276351359720895</v>
      </c>
      <c r="U127" s="51">
        <v>3.8719259001285899</v>
      </c>
      <c r="V127" s="53">
        <v>3.8801881786396688</v>
      </c>
    </row>
    <row r="128" spans="1:22" x14ac:dyDescent="0.35">
      <c r="A128" s="4" t="s">
        <v>76</v>
      </c>
      <c r="B128" s="54" t="s">
        <v>262</v>
      </c>
      <c r="C128">
        <v>0</v>
      </c>
      <c r="D128">
        <v>0</v>
      </c>
      <c r="E128">
        <v>0</v>
      </c>
      <c r="F128">
        <v>4596</v>
      </c>
      <c r="G128">
        <v>6085</v>
      </c>
      <c r="H128">
        <v>6085</v>
      </c>
      <c r="I128">
        <v>6085</v>
      </c>
      <c r="J128">
        <v>5481</v>
      </c>
      <c r="K128">
        <v>4835</v>
      </c>
      <c r="L128">
        <v>4835</v>
      </c>
      <c r="M128" s="51">
        <v>0</v>
      </c>
      <c r="N128" s="51">
        <v>0</v>
      </c>
      <c r="O128" s="51">
        <v>0</v>
      </c>
      <c r="P128" s="51">
        <v>21.474478031412733</v>
      </c>
      <c r="Q128" s="51">
        <v>27.759884526179601</v>
      </c>
      <c r="R128" s="51">
        <v>27.131445947783671</v>
      </c>
      <c r="S128" s="51">
        <v>26.54223006203074</v>
      </c>
      <c r="T128" s="51">
        <v>23.411281239068007</v>
      </c>
      <c r="U128" s="51">
        <v>20.238661326618086</v>
      </c>
      <c r="V128" s="53">
        <v>20.281848479700326</v>
      </c>
    </row>
    <row r="129" spans="1:22" x14ac:dyDescent="0.35">
      <c r="A129" s="4" t="s">
        <v>76</v>
      </c>
      <c r="B129" s="54" t="s">
        <v>263</v>
      </c>
      <c r="C129">
        <v>0</v>
      </c>
      <c r="D129">
        <v>0</v>
      </c>
      <c r="E129">
        <v>0</v>
      </c>
      <c r="F129">
        <v>46</v>
      </c>
      <c r="G129">
        <v>227</v>
      </c>
      <c r="H129">
        <v>227</v>
      </c>
      <c r="I129">
        <v>227</v>
      </c>
      <c r="J129">
        <v>227</v>
      </c>
      <c r="K129">
        <v>187</v>
      </c>
      <c r="L129">
        <v>187</v>
      </c>
      <c r="M129" s="51">
        <v>0</v>
      </c>
      <c r="N129" s="51">
        <v>0</v>
      </c>
      <c r="O129" s="51">
        <v>0</v>
      </c>
      <c r="P129" s="51">
        <v>0.21493167742493161</v>
      </c>
      <c r="Q129" s="51">
        <v>1.0355782723817206</v>
      </c>
      <c r="R129" s="51">
        <v>1.0121344667455863</v>
      </c>
      <c r="S129" s="51">
        <v>0.9901538576961344</v>
      </c>
      <c r="T129" s="51">
        <v>0.96959694239526317</v>
      </c>
      <c r="U129" s="51">
        <v>0.78275691170167161</v>
      </c>
      <c r="V129" s="53">
        <v>0.7844272317898574</v>
      </c>
    </row>
    <row r="130" spans="1:22" x14ac:dyDescent="0.35">
      <c r="B130" s="4" t="s">
        <v>80</v>
      </c>
      <c r="C130">
        <v>7003</v>
      </c>
      <c r="D130">
        <v>48839</v>
      </c>
      <c r="E130">
        <v>67872</v>
      </c>
      <c r="F130">
        <v>76737</v>
      </c>
      <c r="G130">
        <v>144436</v>
      </c>
      <c r="H130">
        <v>149504</v>
      </c>
      <c r="I130">
        <v>153781</v>
      </c>
      <c r="J130">
        <v>127866</v>
      </c>
      <c r="K130">
        <v>166767</v>
      </c>
      <c r="L130">
        <v>160236</v>
      </c>
      <c r="M130" s="51"/>
      <c r="N130" s="51"/>
      <c r="O130" s="51"/>
      <c r="P130" s="51"/>
      <c r="Q130" s="51"/>
      <c r="R130" s="51"/>
      <c r="S130" s="51"/>
      <c r="T130" s="51"/>
      <c r="U130" s="51"/>
      <c r="V130" s="51"/>
    </row>
    <row r="131" spans="1:22" x14ac:dyDescent="0.35">
      <c r="A131" s="4" t="s">
        <v>80</v>
      </c>
      <c r="B131" s="54" t="s">
        <v>257</v>
      </c>
      <c r="C131">
        <v>0</v>
      </c>
      <c r="D131">
        <v>0</v>
      </c>
      <c r="E131">
        <v>0</v>
      </c>
      <c r="F131">
        <v>400</v>
      </c>
      <c r="G131">
        <v>400</v>
      </c>
      <c r="H131">
        <v>713</v>
      </c>
      <c r="I131">
        <v>713</v>
      </c>
      <c r="J131">
        <v>713</v>
      </c>
      <c r="K131">
        <v>244</v>
      </c>
      <c r="L131">
        <v>244</v>
      </c>
      <c r="M131" s="51">
        <v>0</v>
      </c>
      <c r="N131" s="51">
        <v>0</v>
      </c>
      <c r="O131" s="51">
        <v>0</v>
      </c>
      <c r="P131" s="51">
        <v>0.13235276697687287</v>
      </c>
      <c r="Q131" s="51">
        <v>0.12957294926269913</v>
      </c>
      <c r="R131" s="51">
        <v>0.22618915059787853</v>
      </c>
      <c r="S131" s="51">
        <v>0.22156342924378103</v>
      </c>
      <c r="T131" s="51">
        <v>0.21715936003593456</v>
      </c>
      <c r="U131" s="51">
        <v>7.2888322245247106E-2</v>
      </c>
      <c r="V131" s="53">
        <v>7.3799083990041842E-2</v>
      </c>
    </row>
    <row r="132" spans="1:22" x14ac:dyDescent="0.35">
      <c r="A132" s="4" t="s">
        <v>80</v>
      </c>
      <c r="B132" s="54" t="s">
        <v>258</v>
      </c>
      <c r="C132">
        <v>0</v>
      </c>
      <c r="D132">
        <v>0</v>
      </c>
      <c r="E132">
        <v>0</v>
      </c>
      <c r="F132">
        <v>0</v>
      </c>
      <c r="G132">
        <v>0</v>
      </c>
      <c r="H132">
        <v>1563</v>
      </c>
      <c r="I132">
        <v>1563</v>
      </c>
      <c r="J132">
        <v>1563</v>
      </c>
      <c r="K132">
        <v>4227</v>
      </c>
      <c r="L132">
        <v>2680</v>
      </c>
      <c r="M132" s="51">
        <v>0</v>
      </c>
      <c r="N132" s="51">
        <v>0</v>
      </c>
      <c r="O132" s="51">
        <v>0</v>
      </c>
      <c r="P132" s="51">
        <v>0</v>
      </c>
      <c r="Q132" s="51">
        <v>0</v>
      </c>
      <c r="R132" s="51">
        <v>0.49583961063742515</v>
      </c>
      <c r="S132" s="51">
        <v>0.48569935470971914</v>
      </c>
      <c r="T132" s="51">
        <v>0.47604499261734318</v>
      </c>
      <c r="U132" s="51">
        <v>1.2627005661092601</v>
      </c>
      <c r="V132" s="53">
        <v>0.81058010284144311</v>
      </c>
    </row>
    <row r="133" spans="1:22" x14ac:dyDescent="0.35">
      <c r="A133" s="4" t="s">
        <v>80</v>
      </c>
      <c r="B133" s="54" t="s">
        <v>259</v>
      </c>
      <c r="C133">
        <v>3987</v>
      </c>
      <c r="D133">
        <v>3987</v>
      </c>
      <c r="E133">
        <v>3987</v>
      </c>
      <c r="F133">
        <v>3987</v>
      </c>
      <c r="G133">
        <v>3987</v>
      </c>
      <c r="H133">
        <v>3987</v>
      </c>
      <c r="I133">
        <v>3987</v>
      </c>
      <c r="J133">
        <v>3987</v>
      </c>
      <c r="K133">
        <v>3748</v>
      </c>
      <c r="L133">
        <v>3743</v>
      </c>
      <c r="M133" s="51">
        <v>1.4140124054319356</v>
      </c>
      <c r="N133" s="51">
        <v>1.3809734418405997</v>
      </c>
      <c r="O133" s="51">
        <v>1.3490421344059442</v>
      </c>
      <c r="P133" s="51">
        <v>1.3192262048419805</v>
      </c>
      <c r="Q133" s="51">
        <v>1.2915183717759537</v>
      </c>
      <c r="R133" s="51">
        <v>1.264819275503144</v>
      </c>
      <c r="S133" s="51">
        <v>1.2389528645090533</v>
      </c>
      <c r="T133" s="51">
        <v>1.2143259024730308</v>
      </c>
      <c r="U133" s="51">
        <v>1.1196124253081399</v>
      </c>
      <c r="V133" s="53">
        <v>1.1320900466177319</v>
      </c>
    </row>
    <row r="134" spans="1:22" x14ac:dyDescent="0.35">
      <c r="A134" s="4" t="s">
        <v>80</v>
      </c>
      <c r="B134" s="54" t="s">
        <v>260</v>
      </c>
      <c r="C134">
        <v>3016</v>
      </c>
      <c r="D134">
        <v>3263</v>
      </c>
      <c r="E134">
        <v>3618</v>
      </c>
      <c r="F134">
        <v>3618</v>
      </c>
      <c r="G134">
        <v>3618</v>
      </c>
      <c r="H134">
        <v>4406</v>
      </c>
      <c r="I134">
        <v>4406</v>
      </c>
      <c r="J134">
        <v>5285</v>
      </c>
      <c r="K134">
        <v>4726</v>
      </c>
      <c r="L134">
        <v>8977</v>
      </c>
      <c r="M134" s="51">
        <v>1.0696416891855325</v>
      </c>
      <c r="N134" s="51">
        <v>1.1302022424694951</v>
      </c>
      <c r="O134" s="51">
        <v>1.2241872190320306</v>
      </c>
      <c r="P134" s="51">
        <v>1.1971307773058151</v>
      </c>
      <c r="Q134" s="51">
        <v>1.1719873260811138</v>
      </c>
      <c r="R134" s="51">
        <v>1.3977410905108734</v>
      </c>
      <c r="S134" s="51">
        <v>1.3691563383563805</v>
      </c>
      <c r="T134" s="51">
        <v>1.6096594919914642</v>
      </c>
      <c r="U134" s="51">
        <v>1.4117631595534337</v>
      </c>
      <c r="V134" s="53">
        <v>2.7151408892565807</v>
      </c>
    </row>
    <row r="135" spans="1:22" x14ac:dyDescent="0.35">
      <c r="A135" s="4" t="s">
        <v>80</v>
      </c>
      <c r="B135" s="54" t="s">
        <v>261</v>
      </c>
      <c r="C135">
        <v>0</v>
      </c>
      <c r="D135">
        <v>4185</v>
      </c>
      <c r="E135">
        <v>7662</v>
      </c>
      <c r="F135">
        <v>9554</v>
      </c>
      <c r="G135">
        <v>10489</v>
      </c>
      <c r="H135">
        <v>12673</v>
      </c>
      <c r="I135">
        <v>16700</v>
      </c>
      <c r="J135">
        <v>19141</v>
      </c>
      <c r="K135">
        <v>23882</v>
      </c>
      <c r="L135">
        <v>26056</v>
      </c>
      <c r="M135" s="51">
        <v>0</v>
      </c>
      <c r="N135" s="51">
        <v>1.449554515701758</v>
      </c>
      <c r="O135" s="51">
        <v>2.5925158850810996</v>
      </c>
      <c r="P135" s="51">
        <v>3.1612458392426088</v>
      </c>
      <c r="Q135" s="51">
        <v>3.3977266620411282</v>
      </c>
      <c r="R135" s="51">
        <v>4.0203297412719694</v>
      </c>
      <c r="S135" s="51">
        <v>5.1894940650366665</v>
      </c>
      <c r="T135" s="51">
        <v>5.829799874400873</v>
      </c>
      <c r="U135" s="51">
        <v>7.1340939010696358</v>
      </c>
      <c r="V135" s="53">
        <v>7.8807743132972554</v>
      </c>
    </row>
    <row r="136" spans="1:22" x14ac:dyDescent="0.35">
      <c r="A136" s="4" t="s">
        <v>80</v>
      </c>
      <c r="B136" s="54" t="s">
        <v>262</v>
      </c>
      <c r="C136">
        <v>0</v>
      </c>
      <c r="D136">
        <v>37404</v>
      </c>
      <c r="E136">
        <v>52605</v>
      </c>
      <c r="F136">
        <v>58608</v>
      </c>
      <c r="G136">
        <v>125024</v>
      </c>
      <c r="H136">
        <v>125024</v>
      </c>
      <c r="I136">
        <v>125024</v>
      </c>
      <c r="J136">
        <v>95789</v>
      </c>
      <c r="K136">
        <v>124204</v>
      </c>
      <c r="L136">
        <v>112800</v>
      </c>
      <c r="M136" s="51">
        <v>0</v>
      </c>
      <c r="N136" s="51">
        <v>12.955588316680659</v>
      </c>
      <c r="O136" s="51">
        <v>17.799438545378653</v>
      </c>
      <c r="P136" s="51">
        <v>19.392327417451412</v>
      </c>
      <c r="Q136" s="51">
        <v>40.499321021549243</v>
      </c>
      <c r="R136" s="51">
        <v>39.662093077628562</v>
      </c>
      <c r="S136" s="51">
        <v>38.850976406415818</v>
      </c>
      <c r="T136" s="51">
        <v>29.174583363930061</v>
      </c>
      <c r="U136" s="51">
        <v>37.102545803887999</v>
      </c>
      <c r="V136" s="53">
        <v>34.116953582281639</v>
      </c>
    </row>
    <row r="137" spans="1:22" x14ac:dyDescent="0.35">
      <c r="A137" s="4" t="s">
        <v>80</v>
      </c>
      <c r="B137" s="54" t="s">
        <v>263</v>
      </c>
      <c r="C137">
        <v>0</v>
      </c>
      <c r="D137">
        <v>0</v>
      </c>
      <c r="E137">
        <v>0</v>
      </c>
      <c r="F137">
        <v>570</v>
      </c>
      <c r="G137">
        <v>918</v>
      </c>
      <c r="H137">
        <v>1138</v>
      </c>
      <c r="I137">
        <v>1388</v>
      </c>
      <c r="J137">
        <v>1388</v>
      </c>
      <c r="K137">
        <v>5736</v>
      </c>
      <c r="L137">
        <v>5736</v>
      </c>
      <c r="M137" s="51">
        <v>0</v>
      </c>
      <c r="N137" s="51">
        <v>0</v>
      </c>
      <c r="O137" s="51">
        <v>0</v>
      </c>
      <c r="P137" s="51">
        <v>0.18860269294204382</v>
      </c>
      <c r="Q137" s="51">
        <v>0.29736991855789452</v>
      </c>
      <c r="R137" s="51">
        <v>0.36101438061765184</v>
      </c>
      <c r="S137" s="51">
        <v>0.43131842887849658</v>
      </c>
      <c r="T137" s="51">
        <v>0.42274500943881788</v>
      </c>
      <c r="U137" s="51">
        <v>1.7134730180276121</v>
      </c>
      <c r="V137" s="53">
        <v>1.7348833842904918</v>
      </c>
    </row>
    <row r="138" spans="1:22" x14ac:dyDescent="0.35">
      <c r="B138" s="4" t="s">
        <v>82</v>
      </c>
      <c r="C138">
        <v>0</v>
      </c>
      <c r="D138">
        <v>8133</v>
      </c>
      <c r="E138">
        <v>8275</v>
      </c>
      <c r="F138">
        <v>8477</v>
      </c>
      <c r="G138">
        <v>8477</v>
      </c>
      <c r="H138">
        <v>11143</v>
      </c>
      <c r="I138">
        <v>11143</v>
      </c>
      <c r="J138">
        <v>11143</v>
      </c>
      <c r="K138">
        <v>9514</v>
      </c>
      <c r="L138">
        <v>9650</v>
      </c>
      <c r="M138" s="51"/>
      <c r="N138" s="51"/>
      <c r="O138" s="51"/>
      <c r="P138" s="51"/>
      <c r="Q138" s="51"/>
      <c r="R138" s="51"/>
      <c r="S138" s="51"/>
      <c r="T138" s="51"/>
      <c r="U138" s="51"/>
      <c r="V138" s="51"/>
    </row>
    <row r="139" spans="1:22" x14ac:dyDescent="0.35">
      <c r="A139" s="4" t="s">
        <v>82</v>
      </c>
      <c r="B139" s="54" t="s">
        <v>257</v>
      </c>
      <c r="C139">
        <v>0</v>
      </c>
      <c r="D139">
        <v>0</v>
      </c>
      <c r="E139">
        <v>0</v>
      </c>
      <c r="F139">
        <v>50</v>
      </c>
      <c r="G139">
        <v>50</v>
      </c>
      <c r="H139">
        <v>73</v>
      </c>
      <c r="I139">
        <v>73</v>
      </c>
      <c r="J139">
        <v>73</v>
      </c>
      <c r="K139">
        <v>39</v>
      </c>
      <c r="L139">
        <v>39</v>
      </c>
      <c r="M139" s="51">
        <v>0</v>
      </c>
      <c r="N139" s="51">
        <v>0</v>
      </c>
      <c r="O139" s="51">
        <v>0</v>
      </c>
      <c r="P139" s="51">
        <v>4.0847040170368103E-2</v>
      </c>
      <c r="Q139" s="51">
        <v>3.9825202407608722E-2</v>
      </c>
      <c r="R139" s="51">
        <v>5.6687850062034369E-2</v>
      </c>
      <c r="S139" s="51">
        <v>5.5281449597744156E-2</v>
      </c>
      <c r="T139" s="51">
        <v>5.3946576335957404E-2</v>
      </c>
      <c r="U139" s="51">
        <v>2.8139866101858667E-2</v>
      </c>
      <c r="V139" s="53">
        <v>2.7390110175664714E-2</v>
      </c>
    </row>
    <row r="140" spans="1:22" x14ac:dyDescent="0.35">
      <c r="A140" s="4" t="s">
        <v>82</v>
      </c>
      <c r="B140" s="54" t="s">
        <v>258</v>
      </c>
      <c r="C140">
        <v>0</v>
      </c>
      <c r="D140">
        <v>0</v>
      </c>
      <c r="E140">
        <v>0</v>
      </c>
      <c r="F140">
        <v>0</v>
      </c>
      <c r="G140">
        <v>0</v>
      </c>
      <c r="H140">
        <v>181</v>
      </c>
      <c r="I140">
        <v>181</v>
      </c>
      <c r="J140">
        <v>181</v>
      </c>
      <c r="K140">
        <v>181</v>
      </c>
      <c r="L140">
        <v>181</v>
      </c>
      <c r="M140" s="51">
        <v>0</v>
      </c>
      <c r="N140" s="51">
        <v>0</v>
      </c>
      <c r="O140" s="51">
        <v>0</v>
      </c>
      <c r="P140" s="51">
        <v>0</v>
      </c>
      <c r="Q140" s="51">
        <v>0</v>
      </c>
      <c r="R140" s="51">
        <v>0.14055480631819481</v>
      </c>
      <c r="S140" s="51">
        <v>0.13706770379714647</v>
      </c>
      <c r="T140" s="51">
        <v>0.13375794954531905</v>
      </c>
      <c r="U140" s="51">
        <v>0.13059784011375433</v>
      </c>
      <c r="V140" s="53">
        <v>0.12711820363577728</v>
      </c>
    </row>
    <row r="141" spans="1:22" x14ac:dyDescent="0.35">
      <c r="A141" s="4" t="s">
        <v>82</v>
      </c>
      <c r="B141" s="54" t="s">
        <v>259</v>
      </c>
      <c r="C141">
        <v>0</v>
      </c>
      <c r="D141">
        <v>0</v>
      </c>
      <c r="E141">
        <v>0</v>
      </c>
      <c r="F141">
        <v>209</v>
      </c>
      <c r="G141">
        <v>209</v>
      </c>
      <c r="H141">
        <v>209</v>
      </c>
      <c r="I141">
        <v>209</v>
      </c>
      <c r="J141">
        <v>209</v>
      </c>
      <c r="K141">
        <v>181</v>
      </c>
      <c r="L141">
        <v>317</v>
      </c>
      <c r="M141" s="51">
        <v>0</v>
      </c>
      <c r="N141" s="51">
        <v>0</v>
      </c>
      <c r="O141" s="51">
        <v>0</v>
      </c>
      <c r="P141" s="51">
        <v>0.17074062791213868</v>
      </c>
      <c r="Q141" s="51">
        <v>0.16646934606380442</v>
      </c>
      <c r="R141" s="51">
        <v>0.16229809127349568</v>
      </c>
      <c r="S141" s="51">
        <v>0.15827154747847297</v>
      </c>
      <c r="T141" s="51">
        <v>0.15444978704404241</v>
      </c>
      <c r="U141" s="51">
        <v>0.13059784011375433</v>
      </c>
      <c r="V141" s="53">
        <v>0.22263243399194141</v>
      </c>
    </row>
    <row r="142" spans="1:22" x14ac:dyDescent="0.35">
      <c r="A142" s="4" t="s">
        <v>82</v>
      </c>
      <c r="B142" s="54" t="s">
        <v>260</v>
      </c>
      <c r="C142">
        <v>0</v>
      </c>
      <c r="D142">
        <v>1844</v>
      </c>
      <c r="E142">
        <v>1844</v>
      </c>
      <c r="F142">
        <v>1844</v>
      </c>
      <c r="G142">
        <v>1844</v>
      </c>
      <c r="H142">
        <v>2787</v>
      </c>
      <c r="I142">
        <v>2787</v>
      </c>
      <c r="J142">
        <v>2787</v>
      </c>
      <c r="K142">
        <v>2946</v>
      </c>
      <c r="L142">
        <v>2946</v>
      </c>
      <c r="M142" s="51">
        <v>0</v>
      </c>
      <c r="N142" s="51">
        <v>1.5861003932737645</v>
      </c>
      <c r="O142" s="51">
        <v>1.5455555429832493</v>
      </c>
      <c r="P142" s="51">
        <v>1.5064388414831758</v>
      </c>
      <c r="Q142" s="51">
        <v>1.4687534647926095</v>
      </c>
      <c r="R142" s="51">
        <v>2.1642333989436957</v>
      </c>
      <c r="S142" s="51">
        <v>2.1105397264234651</v>
      </c>
      <c r="T142" s="51">
        <v>2.0595768253193598</v>
      </c>
      <c r="U142" s="51">
        <v>2.1256421932327085</v>
      </c>
      <c r="V142" s="53">
        <v>2.069006784038673</v>
      </c>
    </row>
    <row r="143" spans="1:22" x14ac:dyDescent="0.35">
      <c r="A143" s="4" t="s">
        <v>82</v>
      </c>
      <c r="B143" s="54" t="s">
        <v>261</v>
      </c>
      <c r="C143">
        <v>0</v>
      </c>
      <c r="D143">
        <v>500</v>
      </c>
      <c r="E143">
        <v>500</v>
      </c>
      <c r="F143">
        <v>443</v>
      </c>
      <c r="G143">
        <v>443</v>
      </c>
      <c r="H143">
        <v>443</v>
      </c>
      <c r="I143">
        <v>443</v>
      </c>
      <c r="J143">
        <v>443</v>
      </c>
      <c r="K143">
        <v>893</v>
      </c>
      <c r="L143">
        <v>893</v>
      </c>
      <c r="M143" s="51">
        <v>0</v>
      </c>
      <c r="N143" s="51">
        <v>0.4300706055514546</v>
      </c>
      <c r="O143" s="51">
        <v>0.41907688258764886</v>
      </c>
      <c r="P143" s="51">
        <v>0.36190477590946135</v>
      </c>
      <c r="Q143" s="51">
        <v>0.35285129333141324</v>
      </c>
      <c r="R143" s="51">
        <v>0.34400982982850997</v>
      </c>
      <c r="S143" s="51">
        <v>0.33547509824384469</v>
      </c>
      <c r="T143" s="51">
        <v>0.32737442899765928</v>
      </c>
      <c r="U143" s="51">
        <v>0.64433078022973822</v>
      </c>
      <c r="V143" s="53">
        <v>0.62716329197098952</v>
      </c>
    </row>
    <row r="144" spans="1:22" x14ac:dyDescent="0.35">
      <c r="A144" s="4" t="s">
        <v>82</v>
      </c>
      <c r="B144" s="54" t="s">
        <v>262</v>
      </c>
      <c r="C144">
        <v>0</v>
      </c>
      <c r="D144">
        <v>5789</v>
      </c>
      <c r="E144">
        <v>5789</v>
      </c>
      <c r="F144">
        <v>5789</v>
      </c>
      <c r="G144">
        <v>5789</v>
      </c>
      <c r="H144">
        <v>7195</v>
      </c>
      <c r="I144">
        <v>7195</v>
      </c>
      <c r="J144">
        <v>7195</v>
      </c>
      <c r="K144">
        <v>5019</v>
      </c>
      <c r="L144">
        <v>5019</v>
      </c>
      <c r="M144" s="51">
        <v>0</v>
      </c>
      <c r="N144" s="51">
        <v>4.9793574710747412</v>
      </c>
      <c r="O144" s="51">
        <v>4.8520721465997987</v>
      </c>
      <c r="P144" s="51">
        <v>4.7292703109252185</v>
      </c>
      <c r="Q144" s="51">
        <v>4.6109619347529369</v>
      </c>
      <c r="R144" s="51">
        <v>5.5872476876210584</v>
      </c>
      <c r="S144" s="51">
        <v>5.4486305459694409</v>
      </c>
      <c r="T144" s="51">
        <v>5.3170632429755278</v>
      </c>
      <c r="U144" s="51">
        <v>3.6213843068007345</v>
      </c>
      <c r="V144" s="53">
        <v>3.5248964864528514</v>
      </c>
    </row>
    <row r="145" spans="1:22" x14ac:dyDescent="0.35">
      <c r="A145" s="4" t="s">
        <v>82</v>
      </c>
      <c r="B145" s="54" t="s">
        <v>263</v>
      </c>
      <c r="C145">
        <v>0</v>
      </c>
      <c r="D145">
        <v>0</v>
      </c>
      <c r="E145">
        <v>142</v>
      </c>
      <c r="F145">
        <v>142</v>
      </c>
      <c r="G145">
        <v>142</v>
      </c>
      <c r="H145">
        <v>255</v>
      </c>
      <c r="I145">
        <v>255</v>
      </c>
      <c r="J145">
        <v>255</v>
      </c>
      <c r="K145">
        <v>255</v>
      </c>
      <c r="L145">
        <v>255</v>
      </c>
      <c r="M145" s="51">
        <v>0</v>
      </c>
      <c r="N145" s="51">
        <v>0</v>
      </c>
      <c r="O145" s="51">
        <v>0.11901783465489228</v>
      </c>
      <c r="P145" s="51">
        <v>0.11600559408384542</v>
      </c>
      <c r="Q145" s="51">
        <v>0.11310357483760876</v>
      </c>
      <c r="R145" s="51">
        <v>0.19801920227148989</v>
      </c>
      <c r="S145" s="51">
        <v>0.19310643352636658</v>
      </c>
      <c r="T145" s="51">
        <v>0.18844352007765941</v>
      </c>
      <c r="U145" s="51">
        <v>0.18399143220446054</v>
      </c>
      <c r="V145" s="53">
        <v>0.17908918191780776</v>
      </c>
    </row>
    <row r="146" spans="1:22" x14ac:dyDescent="0.35">
      <c r="B146" s="4" t="s">
        <v>78</v>
      </c>
      <c r="C146">
        <v>0</v>
      </c>
      <c r="D146">
        <v>0</v>
      </c>
      <c r="E146">
        <v>3609</v>
      </c>
      <c r="F146">
        <v>3609</v>
      </c>
      <c r="G146">
        <v>1955</v>
      </c>
      <c r="H146">
        <v>2503</v>
      </c>
      <c r="I146">
        <v>2430</v>
      </c>
      <c r="J146">
        <v>2258</v>
      </c>
      <c r="K146">
        <v>2258</v>
      </c>
      <c r="L146">
        <v>2263</v>
      </c>
      <c r="M146" s="51"/>
      <c r="N146" s="51"/>
      <c r="O146" s="51"/>
      <c r="P146" s="51"/>
      <c r="Q146" s="51"/>
      <c r="R146" s="51"/>
      <c r="S146" s="51"/>
      <c r="T146" s="51"/>
      <c r="U146" s="51"/>
      <c r="V146" s="51"/>
    </row>
    <row r="147" spans="1:22" x14ac:dyDescent="0.35">
      <c r="A147" s="4" t="s">
        <v>78</v>
      </c>
      <c r="B147" s="54" t="s">
        <v>257</v>
      </c>
      <c r="C147">
        <v>0</v>
      </c>
      <c r="D147">
        <v>0</v>
      </c>
      <c r="E147">
        <v>17</v>
      </c>
      <c r="F147">
        <v>17</v>
      </c>
      <c r="G147">
        <v>17</v>
      </c>
      <c r="H147">
        <v>4</v>
      </c>
      <c r="I147">
        <v>12</v>
      </c>
      <c r="J147">
        <v>12</v>
      </c>
      <c r="K147">
        <v>9</v>
      </c>
      <c r="L147">
        <v>9</v>
      </c>
      <c r="M147" s="51">
        <v>0</v>
      </c>
      <c r="N147" s="51">
        <v>0</v>
      </c>
      <c r="O147" s="51">
        <v>7.3364215352454645E-2</v>
      </c>
      <c r="P147" s="51">
        <v>7.1393114848004049E-2</v>
      </c>
      <c r="Q147" s="51">
        <v>6.9532041182600951E-2</v>
      </c>
      <c r="R147" s="51">
        <v>1.5943350088465664E-2</v>
      </c>
      <c r="S147" s="51">
        <v>4.6620137179753655E-2</v>
      </c>
      <c r="T147" s="51">
        <v>4.5455991781556689E-2</v>
      </c>
      <c r="U147" s="51">
        <v>3.3259521831550128E-2</v>
      </c>
      <c r="V147" s="53">
        <v>3.4204262535197136E-2</v>
      </c>
    </row>
    <row r="148" spans="1:22" x14ac:dyDescent="0.35">
      <c r="A148" s="4" t="s">
        <v>78</v>
      </c>
      <c r="B148" s="54" t="s">
        <v>258</v>
      </c>
      <c r="C148">
        <v>0</v>
      </c>
      <c r="D148">
        <v>0</v>
      </c>
      <c r="E148">
        <v>11</v>
      </c>
      <c r="F148">
        <v>11</v>
      </c>
      <c r="G148">
        <v>11</v>
      </c>
      <c r="H148">
        <v>138</v>
      </c>
      <c r="I148">
        <v>138</v>
      </c>
      <c r="J148">
        <v>138</v>
      </c>
      <c r="K148">
        <v>18</v>
      </c>
      <c r="L148">
        <v>51</v>
      </c>
      <c r="M148" s="51">
        <v>0</v>
      </c>
      <c r="N148" s="51">
        <v>0</v>
      </c>
      <c r="O148" s="51">
        <v>4.7470962875117713E-2</v>
      </c>
      <c r="P148" s="51">
        <v>4.6195544901649684E-2</v>
      </c>
      <c r="Q148" s="51">
        <v>4.4991320765212381E-2</v>
      </c>
      <c r="R148" s="51">
        <v>0.55004557805206544</v>
      </c>
      <c r="S148" s="51">
        <v>0.53613157756716701</v>
      </c>
      <c r="T148" s="51">
        <v>0.52274390548790184</v>
      </c>
      <c r="U148" s="51">
        <v>6.6519043663100255E-2</v>
      </c>
      <c r="V148" s="53">
        <v>0.19382415436611711</v>
      </c>
    </row>
    <row r="149" spans="1:22" x14ac:dyDescent="0.35">
      <c r="A149" s="4" t="s">
        <v>78</v>
      </c>
      <c r="B149" s="54" t="s">
        <v>259</v>
      </c>
      <c r="C149">
        <v>0</v>
      </c>
      <c r="D149">
        <v>0</v>
      </c>
      <c r="E149">
        <v>141</v>
      </c>
      <c r="F149">
        <v>141</v>
      </c>
      <c r="G149">
        <v>141</v>
      </c>
      <c r="H149">
        <v>141</v>
      </c>
      <c r="I149">
        <v>141</v>
      </c>
      <c r="J149">
        <v>141</v>
      </c>
      <c r="K149">
        <v>138</v>
      </c>
      <c r="L149">
        <v>177</v>
      </c>
      <c r="M149" s="51">
        <v>0</v>
      </c>
      <c r="N149" s="51">
        <v>0</v>
      </c>
      <c r="O149" s="51">
        <v>0.60849143321741794</v>
      </c>
      <c r="P149" s="51">
        <v>0.59214289373932782</v>
      </c>
      <c r="Q149" s="51">
        <v>0.57670692980863147</v>
      </c>
      <c r="R149" s="51">
        <v>0.56200309061841469</v>
      </c>
      <c r="S149" s="51">
        <v>0.54778661186210542</v>
      </c>
      <c r="T149" s="51">
        <v>0.53410790343329106</v>
      </c>
      <c r="U149" s="51">
        <v>0.50997933475043533</v>
      </c>
      <c r="V149" s="53">
        <v>0.67268382985887709</v>
      </c>
    </row>
    <row r="150" spans="1:22" x14ac:dyDescent="0.35">
      <c r="A150" s="4" t="s">
        <v>78</v>
      </c>
      <c r="B150" s="54" t="s">
        <v>260</v>
      </c>
      <c r="C150">
        <v>0</v>
      </c>
      <c r="D150">
        <v>0</v>
      </c>
      <c r="E150">
        <v>213</v>
      </c>
      <c r="F150">
        <v>213</v>
      </c>
      <c r="G150">
        <v>232</v>
      </c>
      <c r="H150">
        <v>298</v>
      </c>
      <c r="I150">
        <v>298</v>
      </c>
      <c r="J150">
        <v>196</v>
      </c>
      <c r="K150">
        <v>274</v>
      </c>
      <c r="L150">
        <v>242</v>
      </c>
      <c r="M150" s="51">
        <v>0</v>
      </c>
      <c r="N150" s="51">
        <v>0</v>
      </c>
      <c r="O150" s="51">
        <v>0.91921046294546105</v>
      </c>
      <c r="P150" s="51">
        <v>0.89451373309558024</v>
      </c>
      <c r="Q150" s="51">
        <v>0.94890785613902484</v>
      </c>
      <c r="R150" s="51">
        <v>1.187779581590692</v>
      </c>
      <c r="S150" s="51">
        <v>1.1577334066305489</v>
      </c>
      <c r="T150" s="51">
        <v>0.74244786576542587</v>
      </c>
      <c r="U150" s="51">
        <v>1.0125676646494151</v>
      </c>
      <c r="V150" s="53">
        <v>0.91971461483530081</v>
      </c>
    </row>
    <row r="151" spans="1:22" x14ac:dyDescent="0.35">
      <c r="A151" s="4" t="s">
        <v>78</v>
      </c>
      <c r="B151" s="54" t="s">
        <v>261</v>
      </c>
      <c r="C151">
        <v>0</v>
      </c>
      <c r="D151">
        <v>0</v>
      </c>
      <c r="E151">
        <v>850</v>
      </c>
      <c r="F151">
        <v>850</v>
      </c>
      <c r="G151">
        <v>422</v>
      </c>
      <c r="H151">
        <v>422</v>
      </c>
      <c r="I151">
        <v>341</v>
      </c>
      <c r="J151">
        <v>540</v>
      </c>
      <c r="K151">
        <v>386</v>
      </c>
      <c r="L151">
        <v>429</v>
      </c>
      <c r="M151" s="51">
        <v>0</v>
      </c>
      <c r="N151" s="51">
        <v>0</v>
      </c>
      <c r="O151" s="51">
        <v>3.6682107676227318</v>
      </c>
      <c r="P151" s="51">
        <v>3.5696557424002027</v>
      </c>
      <c r="Q151" s="51">
        <v>1.7260306693563296</v>
      </c>
      <c r="R151" s="51">
        <v>1.6820234343331275</v>
      </c>
      <c r="S151" s="51">
        <v>1.3247888981913327</v>
      </c>
      <c r="T151" s="51">
        <v>2.0455196301700509</v>
      </c>
      <c r="U151" s="51">
        <v>1.4264639363309277</v>
      </c>
      <c r="V151" s="53">
        <v>1.6304031808443968</v>
      </c>
    </row>
    <row r="152" spans="1:22" x14ac:dyDescent="0.35">
      <c r="A152" s="4" t="s">
        <v>78</v>
      </c>
      <c r="B152" s="54" t="s">
        <v>262</v>
      </c>
      <c r="C152">
        <v>0</v>
      </c>
      <c r="D152">
        <v>0</v>
      </c>
      <c r="E152">
        <v>2372</v>
      </c>
      <c r="F152">
        <v>2372</v>
      </c>
      <c r="G152">
        <v>1127</v>
      </c>
      <c r="H152">
        <v>1498</v>
      </c>
      <c r="I152">
        <v>1498</v>
      </c>
      <c r="J152">
        <v>1229</v>
      </c>
      <c r="K152">
        <v>1429</v>
      </c>
      <c r="L152">
        <v>1345</v>
      </c>
      <c r="M152" s="51">
        <v>0</v>
      </c>
      <c r="N152" s="51">
        <v>0</v>
      </c>
      <c r="O152" s="51">
        <v>10.2364658127072</v>
      </c>
      <c r="P152" s="51">
        <v>9.9614393187920953</v>
      </c>
      <c r="Q152" s="51">
        <v>4.6095653183994871</v>
      </c>
      <c r="R152" s="51">
        <v>5.9707846081303915</v>
      </c>
      <c r="S152" s="51">
        <v>5.8197471246059145</v>
      </c>
      <c r="T152" s="51">
        <v>4.6554511582944302</v>
      </c>
      <c r="U152" s="51">
        <v>5.2808729663650151</v>
      </c>
      <c r="V152" s="53">
        <v>5.1116370122044614</v>
      </c>
    </row>
    <row r="153" spans="1:22" x14ac:dyDescent="0.35">
      <c r="A153" s="4" t="s">
        <v>78</v>
      </c>
      <c r="B153" s="54" t="s">
        <v>263</v>
      </c>
      <c r="C153">
        <v>0</v>
      </c>
      <c r="D153">
        <v>0</v>
      </c>
      <c r="E153">
        <v>5</v>
      </c>
      <c r="F153">
        <v>5</v>
      </c>
      <c r="G153">
        <v>5</v>
      </c>
      <c r="H153">
        <v>2</v>
      </c>
      <c r="I153">
        <v>2</v>
      </c>
      <c r="J153">
        <v>2</v>
      </c>
      <c r="K153">
        <v>4</v>
      </c>
      <c r="L153">
        <v>10</v>
      </c>
      <c r="M153" s="51">
        <v>0</v>
      </c>
      <c r="N153" s="51">
        <v>0</v>
      </c>
      <c r="O153" s="51">
        <v>2.1577710397780777E-2</v>
      </c>
      <c r="P153" s="51">
        <v>2.0997974955295311E-2</v>
      </c>
      <c r="Q153" s="51">
        <v>2.0450600347823811E-2</v>
      </c>
      <c r="R153" s="51">
        <v>7.9716750442328319E-3</v>
      </c>
      <c r="S153" s="51">
        <v>7.770022863292275E-3</v>
      </c>
      <c r="T153" s="51">
        <v>7.5759986302594475E-3</v>
      </c>
      <c r="U153" s="51">
        <v>1.4782009702911169E-2</v>
      </c>
      <c r="V153" s="53">
        <v>3.8004736150219036E-2</v>
      </c>
    </row>
    <row r="154" spans="1:22" x14ac:dyDescent="0.35">
      <c r="B154" s="4" t="s">
        <v>84</v>
      </c>
      <c r="C154">
        <v>1038</v>
      </c>
      <c r="D154">
        <v>1117</v>
      </c>
      <c r="E154">
        <v>1471</v>
      </c>
      <c r="F154">
        <v>1629</v>
      </c>
      <c r="G154">
        <v>1629</v>
      </c>
      <c r="H154">
        <v>1534</v>
      </c>
      <c r="I154">
        <v>1534</v>
      </c>
      <c r="J154">
        <v>2245</v>
      </c>
      <c r="K154">
        <v>2836</v>
      </c>
      <c r="L154">
        <v>2811</v>
      </c>
      <c r="M154" s="51"/>
      <c r="N154" s="51"/>
      <c r="O154" s="51"/>
      <c r="P154" s="51"/>
      <c r="Q154" s="51"/>
      <c r="R154" s="51"/>
      <c r="S154" s="51"/>
      <c r="T154" s="51"/>
      <c r="U154" s="51"/>
      <c r="V154" s="51"/>
    </row>
    <row r="155" spans="1:22" x14ac:dyDescent="0.35">
      <c r="A155" s="4" t="s">
        <v>84</v>
      </c>
      <c r="B155" s="54" t="s">
        <v>257</v>
      </c>
      <c r="C155">
        <v>0</v>
      </c>
      <c r="D155">
        <v>0</v>
      </c>
      <c r="E155">
        <v>0</v>
      </c>
      <c r="F155">
        <v>7</v>
      </c>
      <c r="G155">
        <v>7</v>
      </c>
      <c r="H155">
        <v>7</v>
      </c>
      <c r="I155">
        <v>7</v>
      </c>
      <c r="J155">
        <v>5</v>
      </c>
      <c r="K155">
        <v>20</v>
      </c>
      <c r="L155">
        <v>21</v>
      </c>
      <c r="M155" s="51">
        <v>0</v>
      </c>
      <c r="N155" s="51">
        <v>0</v>
      </c>
      <c r="O155" s="51">
        <v>0</v>
      </c>
      <c r="P155" s="51">
        <v>3.7237489001641644E-2</v>
      </c>
      <c r="Q155" s="51">
        <v>3.6364486442540214E-2</v>
      </c>
      <c r="R155" s="51">
        <v>3.5524753902267343E-2</v>
      </c>
      <c r="S155" s="51">
        <v>3.4725184886805822E-2</v>
      </c>
      <c r="T155" s="51">
        <v>2.4263352486823785E-2</v>
      </c>
      <c r="U155" s="51">
        <v>9.49863362155354E-2</v>
      </c>
      <c r="V155" s="53">
        <v>9.9450088368507092E-2</v>
      </c>
    </row>
    <row r="156" spans="1:22" x14ac:dyDescent="0.35">
      <c r="A156" s="4" t="s">
        <v>84</v>
      </c>
      <c r="B156" s="54" t="s">
        <v>258</v>
      </c>
      <c r="C156">
        <v>0</v>
      </c>
      <c r="D156">
        <v>0</v>
      </c>
      <c r="E156">
        <v>0</v>
      </c>
      <c r="F156">
        <v>158</v>
      </c>
      <c r="G156">
        <v>158</v>
      </c>
      <c r="H156">
        <v>53</v>
      </c>
      <c r="I156">
        <v>53</v>
      </c>
      <c r="J156">
        <v>285</v>
      </c>
      <c r="K156">
        <v>1</v>
      </c>
      <c r="L156">
        <v>1</v>
      </c>
      <c r="M156" s="51">
        <v>0</v>
      </c>
      <c r="N156" s="51">
        <v>0</v>
      </c>
      <c r="O156" s="51">
        <v>0</v>
      </c>
      <c r="P156" s="51">
        <v>0.84050332317991128</v>
      </c>
      <c r="Q156" s="51">
        <v>0.82079840827447903</v>
      </c>
      <c r="R156" s="51">
        <v>0.26897313668859557</v>
      </c>
      <c r="S156" s="51">
        <v>0.26291925700010121</v>
      </c>
      <c r="T156" s="51">
        <v>1.383011091748956</v>
      </c>
      <c r="U156" s="51">
        <v>4.7493168107767695E-3</v>
      </c>
      <c r="V156" s="53">
        <v>4.7357184937384328E-3</v>
      </c>
    </row>
    <row r="157" spans="1:22" x14ac:dyDescent="0.35">
      <c r="A157" s="4" t="s">
        <v>84</v>
      </c>
      <c r="B157" s="54" t="s">
        <v>259</v>
      </c>
      <c r="C157">
        <v>0</v>
      </c>
      <c r="D157">
        <v>0</v>
      </c>
      <c r="E157">
        <v>0</v>
      </c>
      <c r="F157">
        <v>16</v>
      </c>
      <c r="G157">
        <v>16</v>
      </c>
      <c r="H157">
        <v>16</v>
      </c>
      <c r="I157">
        <v>16</v>
      </c>
      <c r="J157">
        <v>1</v>
      </c>
      <c r="K157">
        <v>197</v>
      </c>
      <c r="L157">
        <v>171</v>
      </c>
      <c r="M157" s="51">
        <v>0</v>
      </c>
      <c r="N157" s="51">
        <v>0</v>
      </c>
      <c r="O157" s="51">
        <v>0</v>
      </c>
      <c r="P157" s="51">
        <v>8.51142605751809E-2</v>
      </c>
      <c r="Q157" s="51">
        <v>8.3118826154377629E-2</v>
      </c>
      <c r="R157" s="51">
        <v>8.1199437490896781E-2</v>
      </c>
      <c r="S157" s="51">
        <v>7.9371851169841884E-2</v>
      </c>
      <c r="T157" s="51">
        <v>4.8526704973647569E-3</v>
      </c>
      <c r="U157" s="51">
        <v>0.93561541172302354</v>
      </c>
      <c r="V157" s="53">
        <v>0.80980786242927205</v>
      </c>
    </row>
    <row r="158" spans="1:22" x14ac:dyDescent="0.35">
      <c r="A158" s="4" t="s">
        <v>84</v>
      </c>
      <c r="B158" s="54" t="s">
        <v>260</v>
      </c>
      <c r="C158">
        <v>0</v>
      </c>
      <c r="D158">
        <v>0</v>
      </c>
      <c r="E158">
        <v>354</v>
      </c>
      <c r="F158">
        <v>354</v>
      </c>
      <c r="G158">
        <v>354</v>
      </c>
      <c r="H158">
        <v>578</v>
      </c>
      <c r="I158">
        <v>578</v>
      </c>
      <c r="J158">
        <v>385</v>
      </c>
      <c r="K158">
        <v>531</v>
      </c>
      <c r="L158">
        <v>531</v>
      </c>
      <c r="M158" s="51">
        <v>0</v>
      </c>
      <c r="N158" s="51">
        <v>0</v>
      </c>
      <c r="O158" s="51">
        <v>1.9296264156044638</v>
      </c>
      <c r="P158" s="51">
        <v>1.8831530152258773</v>
      </c>
      <c r="Q158" s="51">
        <v>1.8390040286656053</v>
      </c>
      <c r="R158" s="51">
        <v>2.9333296793586463</v>
      </c>
      <c r="S158" s="51">
        <v>2.8673081235105373</v>
      </c>
      <c r="T158" s="51">
        <v>1.8682781414854315</v>
      </c>
      <c r="U158" s="51">
        <v>2.5218872265224643</v>
      </c>
      <c r="V158" s="53">
        <v>2.5146665201751079</v>
      </c>
    </row>
    <row r="159" spans="1:22" x14ac:dyDescent="0.35">
      <c r="A159" s="4" t="s">
        <v>84</v>
      </c>
      <c r="B159" s="54" t="s">
        <v>261</v>
      </c>
      <c r="C159">
        <v>153</v>
      </c>
      <c r="D159">
        <v>153</v>
      </c>
      <c r="E159">
        <v>153</v>
      </c>
      <c r="F159">
        <v>125</v>
      </c>
      <c r="G159">
        <v>125</v>
      </c>
      <c r="H159">
        <v>125</v>
      </c>
      <c r="I159">
        <v>125</v>
      </c>
      <c r="J159">
        <v>185</v>
      </c>
      <c r="K159">
        <v>203</v>
      </c>
      <c r="L159">
        <v>203</v>
      </c>
      <c r="M159" s="51">
        <v>0.87764131315790839</v>
      </c>
      <c r="N159" s="51">
        <v>0.8552651070283227</v>
      </c>
      <c r="O159" s="51">
        <v>0.83399107793074279</v>
      </c>
      <c r="P159" s="51">
        <v>0.66495516074360084</v>
      </c>
      <c r="Q159" s="51">
        <v>0.64936582933107523</v>
      </c>
      <c r="R159" s="51">
        <v>0.63437060539763113</v>
      </c>
      <c r="S159" s="51">
        <v>0.62009258726438965</v>
      </c>
      <c r="T159" s="51">
        <v>0.89774404201248004</v>
      </c>
      <c r="U159" s="51">
        <v>0.96411131258768434</v>
      </c>
      <c r="V159" s="53">
        <v>0.96135085422890187</v>
      </c>
    </row>
    <row r="160" spans="1:22" x14ac:dyDescent="0.35">
      <c r="A160" s="4" t="s">
        <v>84</v>
      </c>
      <c r="B160" s="54" t="s">
        <v>262</v>
      </c>
      <c r="C160">
        <v>885</v>
      </c>
      <c r="D160">
        <v>964</v>
      </c>
      <c r="E160">
        <v>964</v>
      </c>
      <c r="F160">
        <v>964</v>
      </c>
      <c r="G160">
        <v>964</v>
      </c>
      <c r="H160">
        <v>744</v>
      </c>
      <c r="I160">
        <v>744</v>
      </c>
      <c r="J160">
        <v>1371</v>
      </c>
      <c r="K160">
        <v>1882</v>
      </c>
      <c r="L160">
        <v>1882</v>
      </c>
      <c r="M160" s="51">
        <v>5.0765526937565282</v>
      </c>
      <c r="N160" s="51">
        <v>5.3887291710804126</v>
      </c>
      <c r="O160" s="51">
        <v>5.254688883171478</v>
      </c>
      <c r="P160" s="51">
        <v>5.1281341996546486</v>
      </c>
      <c r="Q160" s="51">
        <v>5.0079092758012518</v>
      </c>
      <c r="R160" s="51">
        <v>3.7757738433267005</v>
      </c>
      <c r="S160" s="51">
        <v>3.6907910793976466</v>
      </c>
      <c r="T160" s="51">
        <v>6.6530112518870821</v>
      </c>
      <c r="U160" s="51">
        <v>8.9382142378818799</v>
      </c>
      <c r="V160" s="53">
        <v>8.9126222052157313</v>
      </c>
    </row>
    <row r="161" spans="1:22" x14ac:dyDescent="0.35">
      <c r="A161" s="4" t="s">
        <v>84</v>
      </c>
      <c r="B161" s="54" t="s">
        <v>263</v>
      </c>
      <c r="C161">
        <v>0</v>
      </c>
      <c r="D161">
        <v>0</v>
      </c>
      <c r="E161">
        <v>0</v>
      </c>
      <c r="F161">
        <v>5</v>
      </c>
      <c r="G161">
        <v>5</v>
      </c>
      <c r="H161">
        <v>11</v>
      </c>
      <c r="I161">
        <v>11</v>
      </c>
      <c r="J161">
        <v>13</v>
      </c>
      <c r="K161">
        <v>2</v>
      </c>
      <c r="L161">
        <v>2</v>
      </c>
      <c r="M161" s="51">
        <v>0</v>
      </c>
      <c r="N161" s="51">
        <v>0</v>
      </c>
      <c r="O161" s="51">
        <v>0</v>
      </c>
      <c r="P161" s="51">
        <v>2.6598206429744031E-2</v>
      </c>
      <c r="Q161" s="51">
        <v>2.5974633173243007E-2</v>
      </c>
      <c r="R161" s="51">
        <v>5.5824613274991532E-2</v>
      </c>
      <c r="S161" s="51">
        <v>5.4568147679266286E-2</v>
      </c>
      <c r="T161" s="51">
        <v>6.3084716465741847E-2</v>
      </c>
      <c r="U161" s="51">
        <v>9.4986336215535389E-3</v>
      </c>
      <c r="V161" s="53">
        <v>9.4714369874768656E-3</v>
      </c>
    </row>
    <row r="162" spans="1:22" x14ac:dyDescent="0.35">
      <c r="B162" s="4" t="s">
        <v>68</v>
      </c>
      <c r="C162">
        <v>0</v>
      </c>
      <c r="D162">
        <v>0</v>
      </c>
      <c r="E162">
        <v>0</v>
      </c>
      <c r="F162">
        <v>0</v>
      </c>
      <c r="G162">
        <v>1141</v>
      </c>
      <c r="H162">
        <v>1153</v>
      </c>
      <c r="I162">
        <v>1153</v>
      </c>
      <c r="J162">
        <v>1153</v>
      </c>
      <c r="K162">
        <v>3130</v>
      </c>
      <c r="L162">
        <v>3130</v>
      </c>
      <c r="M162" s="51"/>
      <c r="N162" s="51"/>
      <c r="O162" s="51"/>
      <c r="P162" s="51"/>
      <c r="Q162" s="51"/>
      <c r="R162" s="51"/>
      <c r="S162" s="51"/>
      <c r="T162" s="51"/>
      <c r="U162" s="51"/>
      <c r="V162" s="51"/>
    </row>
    <row r="163" spans="1:22" x14ac:dyDescent="0.35">
      <c r="A163" s="4" t="s">
        <v>68</v>
      </c>
      <c r="B163" s="54" t="s">
        <v>257</v>
      </c>
      <c r="C163">
        <v>0</v>
      </c>
      <c r="D163">
        <v>0</v>
      </c>
      <c r="E163">
        <v>0</v>
      </c>
      <c r="F163">
        <v>0</v>
      </c>
      <c r="G163">
        <v>0</v>
      </c>
      <c r="H163">
        <v>0</v>
      </c>
      <c r="I163">
        <v>0</v>
      </c>
      <c r="J163">
        <v>0</v>
      </c>
      <c r="K163">
        <v>0</v>
      </c>
      <c r="L163">
        <v>0</v>
      </c>
      <c r="M163" s="51">
        <v>0</v>
      </c>
      <c r="N163" s="51">
        <v>0</v>
      </c>
      <c r="O163" s="51">
        <v>0</v>
      </c>
      <c r="P163" s="51">
        <v>0</v>
      </c>
      <c r="Q163" s="51">
        <v>0</v>
      </c>
      <c r="R163" s="51">
        <v>0</v>
      </c>
      <c r="S163" s="51">
        <v>0</v>
      </c>
      <c r="T163" s="51">
        <v>0</v>
      </c>
      <c r="U163" s="51">
        <v>0</v>
      </c>
      <c r="V163" s="53">
        <v>0</v>
      </c>
    </row>
    <row r="164" spans="1:22" x14ac:dyDescent="0.35">
      <c r="A164" s="4" t="s">
        <v>68</v>
      </c>
      <c r="B164" s="54" t="s">
        <v>258</v>
      </c>
      <c r="C164">
        <v>0</v>
      </c>
      <c r="D164">
        <v>0</v>
      </c>
      <c r="E164">
        <v>0</v>
      </c>
      <c r="F164">
        <v>0</v>
      </c>
      <c r="G164">
        <v>0</v>
      </c>
      <c r="H164">
        <v>2</v>
      </c>
      <c r="I164">
        <v>2</v>
      </c>
      <c r="J164">
        <v>2</v>
      </c>
      <c r="K164">
        <v>134</v>
      </c>
      <c r="L164">
        <v>134</v>
      </c>
      <c r="M164" s="51">
        <v>0</v>
      </c>
      <c r="N164" s="51">
        <v>0</v>
      </c>
      <c r="O164" s="51">
        <v>0</v>
      </c>
      <c r="P164" s="51">
        <v>0</v>
      </c>
      <c r="Q164" s="51">
        <v>0</v>
      </c>
      <c r="R164" s="51">
        <v>1.2878043001073385E-2</v>
      </c>
      <c r="S164" s="51">
        <v>1.253094359884941E-2</v>
      </c>
      <c r="T164" s="51">
        <v>1.223641238178096E-2</v>
      </c>
      <c r="U164" s="51">
        <v>0.80004394271207735</v>
      </c>
      <c r="V164" s="53">
        <v>0.86821922405822516</v>
      </c>
    </row>
    <row r="165" spans="1:22" x14ac:dyDescent="0.35">
      <c r="A165" s="4" t="s">
        <v>68</v>
      </c>
      <c r="B165" s="54" t="s">
        <v>259</v>
      </c>
      <c r="C165">
        <v>0</v>
      </c>
      <c r="D165">
        <v>0</v>
      </c>
      <c r="E165">
        <v>0</v>
      </c>
      <c r="F165">
        <v>0</v>
      </c>
      <c r="G165">
        <v>0</v>
      </c>
      <c r="H165">
        <v>0</v>
      </c>
      <c r="I165">
        <v>0</v>
      </c>
      <c r="J165">
        <v>0</v>
      </c>
      <c r="K165">
        <v>228</v>
      </c>
      <c r="L165">
        <v>228</v>
      </c>
      <c r="M165" s="51">
        <v>0</v>
      </c>
      <c r="N165" s="51">
        <v>0</v>
      </c>
      <c r="O165" s="51">
        <v>0</v>
      </c>
      <c r="P165" s="51">
        <v>0</v>
      </c>
      <c r="Q165" s="51">
        <v>0</v>
      </c>
      <c r="R165" s="51">
        <v>0</v>
      </c>
      <c r="S165" s="51">
        <v>0</v>
      </c>
      <c r="T165" s="51">
        <v>0</v>
      </c>
      <c r="U165" s="51">
        <v>1.3612687980474152</v>
      </c>
      <c r="V165" s="53">
        <v>1.4772685304871294</v>
      </c>
    </row>
    <row r="166" spans="1:22" x14ac:dyDescent="0.35">
      <c r="A166" s="4" t="s">
        <v>68</v>
      </c>
      <c r="B166" s="54" t="s">
        <v>260</v>
      </c>
      <c r="C166">
        <v>0</v>
      </c>
      <c r="D166">
        <v>0</v>
      </c>
      <c r="E166">
        <v>0</v>
      </c>
      <c r="F166">
        <v>0</v>
      </c>
      <c r="G166">
        <v>507</v>
      </c>
      <c r="H166">
        <v>507</v>
      </c>
      <c r="I166">
        <v>507</v>
      </c>
      <c r="J166">
        <v>507</v>
      </c>
      <c r="K166">
        <v>275</v>
      </c>
      <c r="L166">
        <v>275</v>
      </c>
      <c r="M166" s="51">
        <v>0</v>
      </c>
      <c r="N166" s="51">
        <v>0</v>
      </c>
      <c r="O166" s="51">
        <v>0</v>
      </c>
      <c r="P166" s="51">
        <v>0</v>
      </c>
      <c r="Q166" s="51">
        <v>3.3752948389944417</v>
      </c>
      <c r="R166" s="51">
        <v>3.2645839007721027</v>
      </c>
      <c r="S166" s="51">
        <v>3.1765942023083253</v>
      </c>
      <c r="T166" s="51">
        <v>3.1019305387814735</v>
      </c>
      <c r="U166" s="51">
        <v>1.6418812257150839</v>
      </c>
      <c r="V166" s="53">
        <v>1.7817931837015812</v>
      </c>
    </row>
    <row r="167" spans="1:22" x14ac:dyDescent="0.35">
      <c r="A167" s="4" t="s">
        <v>68</v>
      </c>
      <c r="B167" s="54" t="s">
        <v>261</v>
      </c>
      <c r="C167">
        <v>0</v>
      </c>
      <c r="D167">
        <v>0</v>
      </c>
      <c r="E167">
        <v>0</v>
      </c>
      <c r="F167">
        <v>0</v>
      </c>
      <c r="G167">
        <v>0</v>
      </c>
      <c r="H167">
        <v>0</v>
      </c>
      <c r="I167">
        <v>0</v>
      </c>
      <c r="J167">
        <v>0</v>
      </c>
      <c r="K167">
        <v>26</v>
      </c>
      <c r="L167">
        <v>26</v>
      </c>
      <c r="M167" s="51">
        <v>0</v>
      </c>
      <c r="N167" s="51">
        <v>0</v>
      </c>
      <c r="O167" s="51">
        <v>0</v>
      </c>
      <c r="P167" s="51">
        <v>0</v>
      </c>
      <c r="Q167" s="51">
        <v>0</v>
      </c>
      <c r="R167" s="51">
        <v>0</v>
      </c>
      <c r="S167" s="51">
        <v>0</v>
      </c>
      <c r="T167" s="51">
        <v>0</v>
      </c>
      <c r="U167" s="51">
        <v>0.15523240679488068</v>
      </c>
      <c r="V167" s="53">
        <v>0.16846044645905858</v>
      </c>
    </row>
    <row r="168" spans="1:22" x14ac:dyDescent="0.35">
      <c r="A168" s="4" t="s">
        <v>68</v>
      </c>
      <c r="B168" s="54" t="s">
        <v>262</v>
      </c>
      <c r="C168">
        <v>0</v>
      </c>
      <c r="D168">
        <v>0</v>
      </c>
      <c r="E168">
        <v>0</v>
      </c>
      <c r="F168">
        <v>0</v>
      </c>
      <c r="G168">
        <v>634</v>
      </c>
      <c r="H168">
        <v>634</v>
      </c>
      <c r="I168">
        <v>634</v>
      </c>
      <c r="J168">
        <v>634</v>
      </c>
      <c r="K168">
        <v>2453</v>
      </c>
      <c r="L168">
        <v>2453</v>
      </c>
      <c r="M168" s="51">
        <v>0</v>
      </c>
      <c r="N168" s="51">
        <v>0</v>
      </c>
      <c r="O168" s="51">
        <v>0</v>
      </c>
      <c r="P168" s="51">
        <v>0</v>
      </c>
      <c r="Q168" s="51">
        <v>4.2207828953106032</v>
      </c>
      <c r="R168" s="51">
        <v>4.0823396313402629</v>
      </c>
      <c r="S168" s="51">
        <v>3.9723091208352628</v>
      </c>
      <c r="T168" s="51">
        <v>3.8789427250245647</v>
      </c>
      <c r="U168" s="51">
        <v>14.645580533378549</v>
      </c>
      <c r="V168" s="53">
        <v>15.893595198618105</v>
      </c>
    </row>
    <row r="169" spans="1:22" x14ac:dyDescent="0.35">
      <c r="A169" s="4" t="s">
        <v>68</v>
      </c>
      <c r="B169" s="54" t="s">
        <v>263</v>
      </c>
      <c r="C169">
        <v>0</v>
      </c>
      <c r="D169">
        <v>0</v>
      </c>
      <c r="E169">
        <v>0</v>
      </c>
      <c r="F169">
        <v>0</v>
      </c>
      <c r="G169">
        <v>0</v>
      </c>
      <c r="H169">
        <v>10</v>
      </c>
      <c r="I169">
        <v>10</v>
      </c>
      <c r="J169">
        <v>10</v>
      </c>
      <c r="K169">
        <v>14</v>
      </c>
      <c r="L169">
        <v>14</v>
      </c>
      <c r="M169" s="51">
        <v>0</v>
      </c>
      <c r="N169" s="51">
        <v>0</v>
      </c>
      <c r="O169" s="51">
        <v>0</v>
      </c>
      <c r="P169" s="51">
        <v>0</v>
      </c>
      <c r="Q169" s="51">
        <v>0</v>
      </c>
      <c r="R169" s="51">
        <v>6.4390215005366916E-2</v>
      </c>
      <c r="S169" s="51">
        <v>6.2654717994247044E-2</v>
      </c>
      <c r="T169" s="51">
        <v>6.1182061908904808E-2</v>
      </c>
      <c r="U169" s="51">
        <v>8.3586680581858822E-2</v>
      </c>
      <c r="V169" s="53">
        <v>9.0709471170262332E-2</v>
      </c>
    </row>
    <row r="170" spans="1:22" x14ac:dyDescent="0.35">
      <c r="B170" s="4" t="s">
        <v>86</v>
      </c>
      <c r="C170">
        <v>12594</v>
      </c>
      <c r="D170">
        <v>55905</v>
      </c>
      <c r="E170">
        <v>55905</v>
      </c>
      <c r="F170">
        <v>63423</v>
      </c>
      <c r="G170">
        <v>74587</v>
      </c>
      <c r="H170">
        <v>71840</v>
      </c>
      <c r="I170">
        <v>72299</v>
      </c>
      <c r="J170">
        <v>39007</v>
      </c>
      <c r="K170">
        <v>136469</v>
      </c>
      <c r="L170">
        <v>155136</v>
      </c>
      <c r="M170" s="51"/>
      <c r="N170" s="51"/>
      <c r="O170" s="51"/>
      <c r="P170" s="51"/>
      <c r="Q170" s="51"/>
      <c r="R170" s="51"/>
      <c r="S170" s="51"/>
      <c r="T170" s="51"/>
      <c r="U170" s="51"/>
      <c r="V170" s="51"/>
    </row>
    <row r="171" spans="1:22" x14ac:dyDescent="0.35">
      <c r="A171" s="4" t="s">
        <v>86</v>
      </c>
      <c r="B171" s="54" t="s">
        <v>257</v>
      </c>
      <c r="C171">
        <v>1090</v>
      </c>
      <c r="D171">
        <v>1090</v>
      </c>
      <c r="E171">
        <v>1090</v>
      </c>
      <c r="F171">
        <v>1090</v>
      </c>
      <c r="G171">
        <v>1090</v>
      </c>
      <c r="H171">
        <v>841</v>
      </c>
      <c r="I171">
        <v>1300</v>
      </c>
      <c r="J171">
        <v>1300</v>
      </c>
      <c r="K171">
        <v>1344</v>
      </c>
      <c r="L171">
        <v>1344</v>
      </c>
      <c r="M171" s="51">
        <v>0.23782581127020735</v>
      </c>
      <c r="N171" s="51">
        <v>0.23265002810583091</v>
      </c>
      <c r="O171" s="51">
        <v>0.22758273519788319</v>
      </c>
      <c r="P171" s="51">
        <v>0.22268467541471496</v>
      </c>
      <c r="Q171" s="51">
        <v>0.21820378487877401</v>
      </c>
      <c r="R171" s="51">
        <v>0.1650590905656267</v>
      </c>
      <c r="S171" s="51">
        <v>0.25006838408503246</v>
      </c>
      <c r="T171" s="51">
        <v>0.24525704013163585</v>
      </c>
      <c r="U171" s="51">
        <v>0.24876226428965686</v>
      </c>
      <c r="V171" s="53">
        <v>0.23390636331471074</v>
      </c>
    </row>
    <row r="172" spans="1:22" x14ac:dyDescent="0.35">
      <c r="A172" s="4" t="s">
        <v>86</v>
      </c>
      <c r="B172" s="54" t="s">
        <v>258</v>
      </c>
      <c r="C172">
        <v>0</v>
      </c>
      <c r="D172">
        <v>0</v>
      </c>
      <c r="E172">
        <v>0</v>
      </c>
      <c r="F172">
        <v>0</v>
      </c>
      <c r="G172">
        <v>0</v>
      </c>
      <c r="H172">
        <v>0</v>
      </c>
      <c r="I172">
        <v>0</v>
      </c>
      <c r="J172">
        <v>0</v>
      </c>
      <c r="K172">
        <v>10000</v>
      </c>
      <c r="L172">
        <v>10000</v>
      </c>
      <c r="M172" s="51">
        <v>0</v>
      </c>
      <c r="N172" s="51">
        <v>0</v>
      </c>
      <c r="O172" s="51">
        <v>0</v>
      </c>
      <c r="P172" s="51">
        <v>0</v>
      </c>
      <c r="Q172" s="51">
        <v>0</v>
      </c>
      <c r="R172" s="51">
        <v>0</v>
      </c>
      <c r="S172" s="51">
        <v>0</v>
      </c>
      <c r="T172" s="51">
        <v>0</v>
      </c>
      <c r="U172" s="51">
        <v>1.8509097045361373</v>
      </c>
      <c r="V172" s="53">
        <v>1.7403747270439789</v>
      </c>
    </row>
    <row r="173" spans="1:22" x14ac:dyDescent="0.35">
      <c r="A173" s="4" t="s">
        <v>86</v>
      </c>
      <c r="B173" s="54" t="s">
        <v>259</v>
      </c>
      <c r="C173">
        <v>0</v>
      </c>
      <c r="D173">
        <v>0</v>
      </c>
      <c r="E173">
        <v>0</v>
      </c>
      <c r="F173">
        <v>0</v>
      </c>
      <c r="G173">
        <v>0</v>
      </c>
      <c r="H173">
        <v>0</v>
      </c>
      <c r="I173">
        <v>0</v>
      </c>
      <c r="J173">
        <v>0</v>
      </c>
      <c r="K173">
        <v>1200</v>
      </c>
      <c r="L173">
        <v>836</v>
      </c>
      <c r="M173" s="51">
        <v>0</v>
      </c>
      <c r="N173" s="51">
        <v>0</v>
      </c>
      <c r="O173" s="51">
        <v>0</v>
      </c>
      <c r="P173" s="51">
        <v>0</v>
      </c>
      <c r="Q173" s="51">
        <v>0</v>
      </c>
      <c r="R173" s="51">
        <v>0</v>
      </c>
      <c r="S173" s="51">
        <v>0</v>
      </c>
      <c r="T173" s="51">
        <v>0</v>
      </c>
      <c r="U173" s="51">
        <v>0.22210916454433649</v>
      </c>
      <c r="V173" s="53">
        <v>0.14549532718087663</v>
      </c>
    </row>
    <row r="174" spans="1:22" x14ac:dyDescent="0.35">
      <c r="A174" s="4" t="s">
        <v>86</v>
      </c>
      <c r="B174" s="54" t="s">
        <v>260</v>
      </c>
      <c r="C174">
        <v>9149</v>
      </c>
      <c r="D174">
        <v>9149</v>
      </c>
      <c r="E174">
        <v>9149</v>
      </c>
      <c r="F174">
        <v>9149</v>
      </c>
      <c r="G174">
        <v>9149</v>
      </c>
      <c r="H174">
        <v>8042</v>
      </c>
      <c r="I174">
        <v>8042</v>
      </c>
      <c r="J174">
        <v>3887</v>
      </c>
      <c r="K174">
        <v>12792</v>
      </c>
      <c r="L174">
        <v>15994</v>
      </c>
      <c r="M174" s="51">
        <v>1.9962094929459884</v>
      </c>
      <c r="N174" s="51">
        <v>1.9527661533396763</v>
      </c>
      <c r="O174" s="51">
        <v>1.910233435160948</v>
      </c>
      <c r="P174" s="51">
        <v>1.869121188412135</v>
      </c>
      <c r="Q174" s="51">
        <v>1.8315104842714709</v>
      </c>
      <c r="R174" s="51">
        <v>1.5783652869545421</v>
      </c>
      <c r="S174" s="51">
        <v>1.5469614960091009</v>
      </c>
      <c r="T174" s="51">
        <v>0.73331854999359125</v>
      </c>
      <c r="U174" s="51">
        <v>2.3676836940426269</v>
      </c>
      <c r="V174" s="53">
        <v>2.7835553384341396</v>
      </c>
    </row>
    <row r="175" spans="1:22" x14ac:dyDescent="0.35">
      <c r="A175" s="4" t="s">
        <v>86</v>
      </c>
      <c r="B175" s="54" t="s">
        <v>261</v>
      </c>
      <c r="C175">
        <v>0</v>
      </c>
      <c r="D175">
        <v>0</v>
      </c>
      <c r="E175">
        <v>0</v>
      </c>
      <c r="F175">
        <v>2092</v>
      </c>
      <c r="G175">
        <v>2092</v>
      </c>
      <c r="H175">
        <v>2092</v>
      </c>
      <c r="I175">
        <v>2092</v>
      </c>
      <c r="J175">
        <v>2092</v>
      </c>
      <c r="K175">
        <v>137</v>
      </c>
      <c r="L175">
        <v>277</v>
      </c>
      <c r="M175" s="51">
        <v>0</v>
      </c>
      <c r="N175" s="51">
        <v>0</v>
      </c>
      <c r="O175" s="51">
        <v>0</v>
      </c>
      <c r="P175" s="51">
        <v>0.42739113850237037</v>
      </c>
      <c r="Q175" s="51">
        <v>0.41879111740036251</v>
      </c>
      <c r="R175" s="51">
        <v>0.41058694109784899</v>
      </c>
      <c r="S175" s="51">
        <v>0.40241773808145226</v>
      </c>
      <c r="T175" s="51">
        <v>0.39467517535029406</v>
      </c>
      <c r="U175" s="51">
        <v>2.5357462952145082E-2</v>
      </c>
      <c r="V175" s="53">
        <v>4.8208379939118216E-2</v>
      </c>
    </row>
    <row r="176" spans="1:22" x14ac:dyDescent="0.35">
      <c r="A176" s="4" t="s">
        <v>86</v>
      </c>
      <c r="B176" s="54" t="s">
        <v>262</v>
      </c>
      <c r="C176">
        <v>0</v>
      </c>
      <c r="D176">
        <v>43311</v>
      </c>
      <c r="E176">
        <v>43311</v>
      </c>
      <c r="F176">
        <v>48737</v>
      </c>
      <c r="G176">
        <v>59901</v>
      </c>
      <c r="H176">
        <v>59901</v>
      </c>
      <c r="I176">
        <v>59901</v>
      </c>
      <c r="J176">
        <v>30830</v>
      </c>
      <c r="K176">
        <v>109659</v>
      </c>
      <c r="L176">
        <v>125499</v>
      </c>
      <c r="M176" s="51">
        <v>0</v>
      </c>
      <c r="N176" s="51">
        <v>9.2443168507262783</v>
      </c>
      <c r="O176" s="51">
        <v>9.0429686643628617</v>
      </c>
      <c r="P176" s="51">
        <v>9.9568651611807013</v>
      </c>
      <c r="Q176" s="51">
        <v>11.991399007360954</v>
      </c>
      <c r="R176" s="51">
        <v>11.756485831119624</v>
      </c>
      <c r="S176" s="51">
        <v>11.522574057751948</v>
      </c>
      <c r="T176" s="51">
        <v>5.8163650363525639</v>
      </c>
      <c r="U176" s="51">
        <v>20.296890728972826</v>
      </c>
      <c r="V176" s="53">
        <v>21.841528786929231</v>
      </c>
    </row>
    <row r="177" spans="1:22" x14ac:dyDescent="0.35">
      <c r="A177" s="4" t="s">
        <v>86</v>
      </c>
      <c r="B177" s="54" t="s">
        <v>263</v>
      </c>
      <c r="C177">
        <v>2355</v>
      </c>
      <c r="D177">
        <v>2355</v>
      </c>
      <c r="E177">
        <v>2355</v>
      </c>
      <c r="F177">
        <v>2355</v>
      </c>
      <c r="G177">
        <v>2355</v>
      </c>
      <c r="H177">
        <v>964</v>
      </c>
      <c r="I177">
        <v>964</v>
      </c>
      <c r="J177">
        <v>898</v>
      </c>
      <c r="K177">
        <v>1337</v>
      </c>
      <c r="L177">
        <v>1186</v>
      </c>
      <c r="M177" s="51">
        <v>0.51383466563425539</v>
      </c>
      <c r="N177" s="51">
        <v>0.50265212494424938</v>
      </c>
      <c r="O177" s="51">
        <v>0.49170398292753664</v>
      </c>
      <c r="P177" s="51">
        <v>0.48112147761619606</v>
      </c>
      <c r="Q177" s="51">
        <v>0.4714402875133144</v>
      </c>
      <c r="R177" s="51">
        <v>0.18919971855560538</v>
      </c>
      <c r="S177" s="51">
        <v>0.18543532481382408</v>
      </c>
      <c r="T177" s="51">
        <v>0.16941601695246844</v>
      </c>
      <c r="U177" s="51">
        <v>0.24746662749648157</v>
      </c>
      <c r="V177" s="53">
        <v>0.20640844262741587</v>
      </c>
    </row>
    <row r="178" spans="1:22" x14ac:dyDescent="0.35">
      <c r="B178" s="4" t="s">
        <v>90</v>
      </c>
      <c r="C178">
        <v>0</v>
      </c>
      <c r="D178">
        <v>0</v>
      </c>
      <c r="E178">
        <v>168</v>
      </c>
      <c r="F178">
        <v>248</v>
      </c>
      <c r="G178">
        <v>693</v>
      </c>
      <c r="H178">
        <v>3983</v>
      </c>
      <c r="I178">
        <v>4031</v>
      </c>
      <c r="J178">
        <v>4308</v>
      </c>
      <c r="K178">
        <v>6660</v>
      </c>
      <c r="L178">
        <v>6660</v>
      </c>
      <c r="M178" s="51"/>
      <c r="N178" s="51"/>
      <c r="O178" s="51"/>
      <c r="P178" s="51"/>
      <c r="Q178" s="51"/>
      <c r="R178" s="51"/>
      <c r="S178" s="51"/>
      <c r="T178" s="51"/>
      <c r="U178" s="51"/>
      <c r="V178" s="51"/>
    </row>
    <row r="179" spans="1:22" x14ac:dyDescent="0.35">
      <c r="A179" s="4" t="s">
        <v>90</v>
      </c>
      <c r="B179" s="54" t="s">
        <v>257</v>
      </c>
      <c r="C179">
        <v>0</v>
      </c>
      <c r="D179">
        <v>0</v>
      </c>
      <c r="E179">
        <v>0</v>
      </c>
      <c r="F179">
        <v>0</v>
      </c>
      <c r="G179">
        <v>0</v>
      </c>
      <c r="H179">
        <v>3</v>
      </c>
      <c r="I179">
        <v>6</v>
      </c>
      <c r="J179">
        <v>6</v>
      </c>
      <c r="K179">
        <v>8</v>
      </c>
      <c r="L179">
        <v>8</v>
      </c>
      <c r="M179" s="51">
        <v>0</v>
      </c>
      <c r="N179" s="51">
        <v>0</v>
      </c>
      <c r="O179" s="51">
        <v>0</v>
      </c>
      <c r="P179" s="51">
        <v>0</v>
      </c>
      <c r="Q179" s="51">
        <v>0</v>
      </c>
      <c r="R179" s="51">
        <v>6.0177052925116277E-3</v>
      </c>
      <c r="S179" s="51">
        <v>1.1793417071836062E-2</v>
      </c>
      <c r="T179" s="51">
        <v>1.1553089527201365E-2</v>
      </c>
      <c r="U179" s="51">
        <v>1.5086708025619493E-2</v>
      </c>
      <c r="V179" s="53">
        <v>1.4726803076134626E-2</v>
      </c>
    </row>
    <row r="180" spans="1:22" x14ac:dyDescent="0.35">
      <c r="A180" s="4" t="s">
        <v>90</v>
      </c>
      <c r="B180" s="54" t="s">
        <v>258</v>
      </c>
      <c r="C180">
        <v>0</v>
      </c>
      <c r="D180">
        <v>0</v>
      </c>
      <c r="E180">
        <v>0</v>
      </c>
      <c r="F180">
        <v>0</v>
      </c>
      <c r="G180">
        <v>0</v>
      </c>
      <c r="H180">
        <v>0</v>
      </c>
      <c r="I180">
        <v>0</v>
      </c>
      <c r="J180">
        <v>0</v>
      </c>
      <c r="K180">
        <v>115</v>
      </c>
      <c r="L180">
        <v>115</v>
      </c>
      <c r="M180" s="51">
        <v>0</v>
      </c>
      <c r="N180" s="51">
        <v>0</v>
      </c>
      <c r="O180" s="51">
        <v>0</v>
      </c>
      <c r="P180" s="51">
        <v>0</v>
      </c>
      <c r="Q180" s="51">
        <v>0</v>
      </c>
      <c r="R180" s="51">
        <v>0</v>
      </c>
      <c r="S180" s="51">
        <v>0</v>
      </c>
      <c r="T180" s="51">
        <v>0</v>
      </c>
      <c r="U180" s="51">
        <v>0.2168714278682802</v>
      </c>
      <c r="V180" s="53">
        <v>0.21169779421943524</v>
      </c>
    </row>
    <row r="181" spans="1:22" x14ac:dyDescent="0.35">
      <c r="A181" s="4" t="s">
        <v>90</v>
      </c>
      <c r="B181" s="54" t="s">
        <v>259</v>
      </c>
      <c r="C181">
        <v>0</v>
      </c>
      <c r="D181">
        <v>0</v>
      </c>
      <c r="E181">
        <v>0</v>
      </c>
      <c r="F181">
        <v>0</v>
      </c>
      <c r="G181">
        <v>0</v>
      </c>
      <c r="H181">
        <v>0</v>
      </c>
      <c r="I181">
        <v>0</v>
      </c>
      <c r="J181">
        <v>0</v>
      </c>
      <c r="K181">
        <v>0</v>
      </c>
      <c r="L181">
        <v>0</v>
      </c>
      <c r="M181" s="51">
        <v>0</v>
      </c>
      <c r="N181" s="51">
        <v>0</v>
      </c>
      <c r="O181" s="51">
        <v>0</v>
      </c>
      <c r="P181" s="51">
        <v>0</v>
      </c>
      <c r="Q181" s="51">
        <v>0</v>
      </c>
      <c r="R181" s="51">
        <v>0</v>
      </c>
      <c r="S181" s="51">
        <v>0</v>
      </c>
      <c r="T181" s="51">
        <v>0</v>
      </c>
      <c r="U181" s="51">
        <v>0</v>
      </c>
      <c r="V181" s="53">
        <v>0</v>
      </c>
    </row>
    <row r="182" spans="1:22" x14ac:dyDescent="0.35">
      <c r="A182" s="4" t="s">
        <v>90</v>
      </c>
      <c r="B182" s="54" t="s">
        <v>260</v>
      </c>
      <c r="C182">
        <v>0</v>
      </c>
      <c r="D182">
        <v>0</v>
      </c>
      <c r="E182">
        <v>168</v>
      </c>
      <c r="F182">
        <v>248</v>
      </c>
      <c r="G182">
        <v>693</v>
      </c>
      <c r="H182">
        <v>732</v>
      </c>
      <c r="I182">
        <v>777</v>
      </c>
      <c r="J182">
        <v>887</v>
      </c>
      <c r="K182">
        <v>954</v>
      </c>
      <c r="L182">
        <v>954</v>
      </c>
      <c r="M182" s="51">
        <v>0</v>
      </c>
      <c r="N182" s="51">
        <v>0</v>
      </c>
      <c r="O182" s="51">
        <v>0.35698371708020465</v>
      </c>
      <c r="P182" s="51">
        <v>0.51702955678683649</v>
      </c>
      <c r="Q182" s="51">
        <v>1.4173544312573896</v>
      </c>
      <c r="R182" s="51">
        <v>1.4683200913728371</v>
      </c>
      <c r="S182" s="51">
        <v>1.5272475108027701</v>
      </c>
      <c r="T182" s="51">
        <v>1.7079317351046017</v>
      </c>
      <c r="U182" s="51">
        <v>1.7990899320551246</v>
      </c>
      <c r="V182" s="53">
        <v>1.7561712668290541</v>
      </c>
    </row>
    <row r="183" spans="1:22" x14ac:dyDescent="0.35">
      <c r="A183" s="4" t="s">
        <v>90</v>
      </c>
      <c r="B183" s="54" t="s">
        <v>261</v>
      </c>
      <c r="C183">
        <v>0</v>
      </c>
      <c r="D183">
        <v>0</v>
      </c>
      <c r="E183">
        <v>0</v>
      </c>
      <c r="F183">
        <v>0</v>
      </c>
      <c r="G183">
        <v>0</v>
      </c>
      <c r="H183">
        <v>892</v>
      </c>
      <c r="I183">
        <v>892</v>
      </c>
      <c r="J183">
        <v>872</v>
      </c>
      <c r="K183">
        <v>989</v>
      </c>
      <c r="L183">
        <v>989</v>
      </c>
      <c r="M183" s="51">
        <v>0</v>
      </c>
      <c r="N183" s="51">
        <v>0</v>
      </c>
      <c r="O183" s="51">
        <v>0</v>
      </c>
      <c r="P183" s="51">
        <v>0</v>
      </c>
      <c r="Q183" s="51">
        <v>0</v>
      </c>
      <c r="R183" s="51">
        <v>1.7892643736401239</v>
      </c>
      <c r="S183" s="51">
        <v>1.753288004679628</v>
      </c>
      <c r="T183" s="51">
        <v>1.6790490112865983</v>
      </c>
      <c r="U183" s="51">
        <v>1.8650942796672099</v>
      </c>
      <c r="V183" s="53">
        <v>1.8206010302871434</v>
      </c>
    </row>
    <row r="184" spans="1:22" x14ac:dyDescent="0.35">
      <c r="A184" s="4" t="s">
        <v>90</v>
      </c>
      <c r="B184" s="54" t="s">
        <v>262</v>
      </c>
      <c r="C184">
        <v>0</v>
      </c>
      <c r="D184">
        <v>0</v>
      </c>
      <c r="E184">
        <v>0</v>
      </c>
      <c r="F184">
        <v>0</v>
      </c>
      <c r="G184">
        <v>0</v>
      </c>
      <c r="H184">
        <v>2263</v>
      </c>
      <c r="I184">
        <v>2263</v>
      </c>
      <c r="J184">
        <v>2416</v>
      </c>
      <c r="K184">
        <v>4424</v>
      </c>
      <c r="L184">
        <v>4424</v>
      </c>
      <c r="M184" s="51">
        <v>0</v>
      </c>
      <c r="N184" s="51">
        <v>0</v>
      </c>
      <c r="O184" s="51">
        <v>0</v>
      </c>
      <c r="P184" s="51">
        <v>0</v>
      </c>
      <c r="Q184" s="51">
        <v>0</v>
      </c>
      <c r="R184" s="51">
        <v>4.5393556923179377</v>
      </c>
      <c r="S184" s="51">
        <v>4.4480838055941678</v>
      </c>
      <c r="T184" s="51">
        <v>4.6520440496197493</v>
      </c>
      <c r="U184" s="51">
        <v>8.3429495381675789</v>
      </c>
      <c r="V184" s="53">
        <v>8.143922101102449</v>
      </c>
    </row>
    <row r="185" spans="1:22" x14ac:dyDescent="0.35">
      <c r="A185" s="4" t="s">
        <v>90</v>
      </c>
      <c r="B185" s="54" t="s">
        <v>263</v>
      </c>
      <c r="C185">
        <v>0</v>
      </c>
      <c r="D185">
        <v>0</v>
      </c>
      <c r="E185">
        <v>0</v>
      </c>
      <c r="F185">
        <v>0</v>
      </c>
      <c r="G185">
        <v>0</v>
      </c>
      <c r="H185">
        <v>93</v>
      </c>
      <c r="I185">
        <v>93</v>
      </c>
      <c r="J185">
        <v>127</v>
      </c>
      <c r="K185">
        <v>170</v>
      </c>
      <c r="L185">
        <v>170</v>
      </c>
      <c r="M185" s="51">
        <v>0</v>
      </c>
      <c r="N185" s="51">
        <v>0</v>
      </c>
      <c r="O185" s="51">
        <v>0</v>
      </c>
      <c r="P185" s="51">
        <v>0</v>
      </c>
      <c r="Q185" s="51">
        <v>0</v>
      </c>
      <c r="R185" s="51">
        <v>0.18654886406786048</v>
      </c>
      <c r="S185" s="51">
        <v>0.18279796461345896</v>
      </c>
      <c r="T185" s="51">
        <v>0.24454039499242886</v>
      </c>
      <c r="U185" s="51">
        <v>0.32059254554441424</v>
      </c>
      <c r="V185" s="53">
        <v>0.31294456536786081</v>
      </c>
    </row>
    <row r="186" spans="1:22" x14ac:dyDescent="0.35">
      <c r="B186" s="4" t="s">
        <v>88</v>
      </c>
      <c r="C186">
        <v>0</v>
      </c>
      <c r="D186">
        <v>0</v>
      </c>
      <c r="E186">
        <v>0</v>
      </c>
      <c r="F186">
        <v>0</v>
      </c>
      <c r="G186">
        <v>0</v>
      </c>
      <c r="H186">
        <v>8626</v>
      </c>
      <c r="I186">
        <v>8626</v>
      </c>
      <c r="J186">
        <v>8626</v>
      </c>
      <c r="K186">
        <v>5581</v>
      </c>
      <c r="L186">
        <v>5581</v>
      </c>
      <c r="M186" s="51"/>
      <c r="N186" s="51"/>
      <c r="O186" s="51"/>
      <c r="P186" s="51"/>
      <c r="Q186" s="51"/>
      <c r="R186" s="51"/>
      <c r="S186" s="51"/>
      <c r="T186" s="51"/>
      <c r="U186" s="51"/>
      <c r="V186" s="51"/>
    </row>
    <row r="187" spans="1:22" x14ac:dyDescent="0.35">
      <c r="A187" s="4" t="s">
        <v>88</v>
      </c>
      <c r="B187" s="54" t="s">
        <v>257</v>
      </c>
      <c r="C187">
        <v>0</v>
      </c>
      <c r="D187">
        <v>0</v>
      </c>
      <c r="E187">
        <v>0</v>
      </c>
      <c r="F187">
        <v>0</v>
      </c>
      <c r="G187">
        <v>0</v>
      </c>
      <c r="H187">
        <v>159</v>
      </c>
      <c r="I187">
        <v>159</v>
      </c>
      <c r="J187">
        <v>159</v>
      </c>
      <c r="K187">
        <v>84</v>
      </c>
      <c r="L187">
        <v>84</v>
      </c>
      <c r="M187" s="51">
        <v>0</v>
      </c>
      <c r="N187" s="51">
        <v>0</v>
      </c>
      <c r="O187" s="51">
        <v>0</v>
      </c>
      <c r="P187" s="51">
        <v>0</v>
      </c>
      <c r="Q187" s="51">
        <v>0</v>
      </c>
      <c r="R187" s="51">
        <v>0.71438135024365346</v>
      </c>
      <c r="S187" s="51">
        <v>0.70538130517723263</v>
      </c>
      <c r="T187" s="51">
        <v>0.69692397918169724</v>
      </c>
      <c r="U187" s="51">
        <v>0.36429477518892367</v>
      </c>
      <c r="V187" s="53">
        <v>0.38314176245210729</v>
      </c>
    </row>
    <row r="188" spans="1:22" x14ac:dyDescent="0.35">
      <c r="A188" s="4" t="s">
        <v>88</v>
      </c>
      <c r="B188" s="54" t="s">
        <v>258</v>
      </c>
      <c r="C188">
        <v>0</v>
      </c>
      <c r="D188">
        <v>0</v>
      </c>
      <c r="E188">
        <v>0</v>
      </c>
      <c r="F188">
        <v>0</v>
      </c>
      <c r="G188">
        <v>0</v>
      </c>
      <c r="H188">
        <v>205</v>
      </c>
      <c r="I188">
        <v>205</v>
      </c>
      <c r="J188">
        <v>205</v>
      </c>
      <c r="K188">
        <v>416</v>
      </c>
      <c r="L188">
        <v>416</v>
      </c>
      <c r="M188" s="51">
        <v>0</v>
      </c>
      <c r="N188" s="51">
        <v>0</v>
      </c>
      <c r="O188" s="51">
        <v>0</v>
      </c>
      <c r="P188" s="51">
        <v>0</v>
      </c>
      <c r="Q188" s="51">
        <v>0</v>
      </c>
      <c r="R188" s="51">
        <v>0.92105771572294948</v>
      </c>
      <c r="S188" s="51">
        <v>0.90945388403353888</v>
      </c>
      <c r="T188" s="51">
        <v>0.89854978447954681</v>
      </c>
      <c r="U188" s="51">
        <v>1.8041265056975269</v>
      </c>
      <c r="V188" s="53">
        <v>1.8974639664294839</v>
      </c>
    </row>
    <row r="189" spans="1:22" x14ac:dyDescent="0.35">
      <c r="A189" s="4" t="s">
        <v>88</v>
      </c>
      <c r="B189" s="54" t="s">
        <v>259</v>
      </c>
      <c r="C189">
        <v>0</v>
      </c>
      <c r="D189">
        <v>0</v>
      </c>
      <c r="E189">
        <v>0</v>
      </c>
      <c r="F189">
        <v>0</v>
      </c>
      <c r="G189">
        <v>0</v>
      </c>
      <c r="H189">
        <v>0</v>
      </c>
      <c r="I189">
        <v>0</v>
      </c>
      <c r="J189">
        <v>0</v>
      </c>
      <c r="K189">
        <v>273</v>
      </c>
      <c r="L189">
        <v>273</v>
      </c>
      <c r="M189" s="51">
        <v>0</v>
      </c>
      <c r="N189" s="51">
        <v>0</v>
      </c>
      <c r="O189" s="51">
        <v>0</v>
      </c>
      <c r="P189" s="51">
        <v>0</v>
      </c>
      <c r="Q189" s="51">
        <v>0</v>
      </c>
      <c r="R189" s="51">
        <v>0</v>
      </c>
      <c r="S189" s="51">
        <v>0</v>
      </c>
      <c r="T189" s="51">
        <v>0</v>
      </c>
      <c r="U189" s="51">
        <v>1.183958019364002</v>
      </c>
      <c r="V189" s="53">
        <v>1.2452107279693487</v>
      </c>
    </row>
    <row r="190" spans="1:22" x14ac:dyDescent="0.35">
      <c r="A190" s="4" t="s">
        <v>88</v>
      </c>
      <c r="B190" s="54" t="s">
        <v>260</v>
      </c>
      <c r="C190">
        <v>0</v>
      </c>
      <c r="D190">
        <v>0</v>
      </c>
      <c r="E190">
        <v>0</v>
      </c>
      <c r="F190">
        <v>0</v>
      </c>
      <c r="G190">
        <v>0</v>
      </c>
      <c r="H190">
        <v>998</v>
      </c>
      <c r="I190">
        <v>998</v>
      </c>
      <c r="J190">
        <v>998</v>
      </c>
      <c r="K190">
        <v>537</v>
      </c>
      <c r="L190">
        <v>537</v>
      </c>
      <c r="M190" s="51">
        <v>0</v>
      </c>
      <c r="N190" s="51">
        <v>0</v>
      </c>
      <c r="O190" s="51">
        <v>0</v>
      </c>
      <c r="P190" s="51">
        <v>0</v>
      </c>
      <c r="Q190" s="51">
        <v>0</v>
      </c>
      <c r="R190" s="51">
        <v>4.4839785380073343</v>
      </c>
      <c r="S190" s="51">
        <v>4.4274876890998627</v>
      </c>
      <c r="T190" s="51">
        <v>4.3744033410272571</v>
      </c>
      <c r="U190" s="51">
        <v>2.328884455672048</v>
      </c>
      <c r="V190" s="53">
        <v>2.449370552818829</v>
      </c>
    </row>
    <row r="191" spans="1:22" x14ac:dyDescent="0.35">
      <c r="A191" s="4" t="s">
        <v>88</v>
      </c>
      <c r="B191" s="54" t="s">
        <v>261</v>
      </c>
      <c r="C191">
        <v>0</v>
      </c>
      <c r="D191">
        <v>0</v>
      </c>
      <c r="E191">
        <v>0</v>
      </c>
      <c r="F191">
        <v>0</v>
      </c>
      <c r="G191">
        <v>0</v>
      </c>
      <c r="H191">
        <v>0</v>
      </c>
      <c r="I191">
        <v>0</v>
      </c>
      <c r="J191">
        <v>0</v>
      </c>
      <c r="K191">
        <v>2779</v>
      </c>
      <c r="L191">
        <v>2779</v>
      </c>
      <c r="M191" s="51">
        <v>0</v>
      </c>
      <c r="N191" s="51">
        <v>0</v>
      </c>
      <c r="O191" s="51">
        <v>0</v>
      </c>
      <c r="P191" s="51">
        <v>0</v>
      </c>
      <c r="Q191" s="51">
        <v>0</v>
      </c>
      <c r="R191" s="51">
        <v>0</v>
      </c>
      <c r="S191" s="51">
        <v>0</v>
      </c>
      <c r="T191" s="51">
        <v>0</v>
      </c>
      <c r="U191" s="51">
        <v>12.052085479166891</v>
      </c>
      <c r="V191" s="53">
        <v>12.675606641123881</v>
      </c>
    </row>
    <row r="192" spans="1:22" x14ac:dyDescent="0.35">
      <c r="A192" s="4" t="s">
        <v>88</v>
      </c>
      <c r="B192" s="54" t="s">
        <v>262</v>
      </c>
      <c r="C192">
        <v>0</v>
      </c>
      <c r="D192">
        <v>0</v>
      </c>
      <c r="E192">
        <v>0</v>
      </c>
      <c r="F192">
        <v>0</v>
      </c>
      <c r="G192">
        <v>0</v>
      </c>
      <c r="H192">
        <v>6866</v>
      </c>
      <c r="I192">
        <v>6866</v>
      </c>
      <c r="J192">
        <v>6866</v>
      </c>
      <c r="K192">
        <v>1235</v>
      </c>
      <c r="L192">
        <v>1235</v>
      </c>
      <c r="M192" s="51">
        <v>0</v>
      </c>
      <c r="N192" s="51">
        <v>0</v>
      </c>
      <c r="O192" s="51">
        <v>0</v>
      </c>
      <c r="P192" s="51">
        <v>0</v>
      </c>
      <c r="Q192" s="51">
        <v>0</v>
      </c>
      <c r="R192" s="51">
        <v>30.848694030018393</v>
      </c>
      <c r="S192" s="51">
        <v>30.460050574508674</v>
      </c>
      <c r="T192" s="51">
        <v>30.094843025544236</v>
      </c>
      <c r="U192" s="51">
        <v>5.3560005637895332</v>
      </c>
      <c r="V192" s="53">
        <v>5.6330961503375301</v>
      </c>
    </row>
    <row r="193" spans="1:22" x14ac:dyDescent="0.35">
      <c r="A193" s="4" t="s">
        <v>88</v>
      </c>
      <c r="B193" s="54" t="s">
        <v>263</v>
      </c>
      <c r="C193">
        <v>0</v>
      </c>
      <c r="D193">
        <v>0</v>
      </c>
      <c r="E193">
        <v>0</v>
      </c>
      <c r="F193">
        <v>0</v>
      </c>
      <c r="G193">
        <v>0</v>
      </c>
      <c r="H193">
        <v>398</v>
      </c>
      <c r="I193">
        <v>398</v>
      </c>
      <c r="J193">
        <v>398</v>
      </c>
      <c r="K193">
        <v>257</v>
      </c>
      <c r="L193">
        <v>257</v>
      </c>
      <c r="M193" s="51">
        <v>0</v>
      </c>
      <c r="N193" s="51">
        <v>0</v>
      </c>
      <c r="O193" s="51">
        <v>0</v>
      </c>
      <c r="P193" s="51">
        <v>0</v>
      </c>
      <c r="Q193" s="51">
        <v>0</v>
      </c>
      <c r="R193" s="51">
        <v>1.7881998578426044</v>
      </c>
      <c r="S193" s="51">
        <v>1.7656714431480414</v>
      </c>
      <c r="T193" s="51">
        <v>1.7445015327944373</v>
      </c>
      <c r="U193" s="51">
        <v>1.1145685383756356</v>
      </c>
      <c r="V193" s="53">
        <v>1.1722313446451378</v>
      </c>
    </row>
    <row r="194" spans="1:22" x14ac:dyDescent="0.35">
      <c r="B194" s="4" t="s">
        <v>92</v>
      </c>
      <c r="C194">
        <v>11130</v>
      </c>
      <c r="D194">
        <v>11130</v>
      </c>
      <c r="E194">
        <v>11130</v>
      </c>
      <c r="F194">
        <v>11117</v>
      </c>
      <c r="G194">
        <v>11117</v>
      </c>
      <c r="H194">
        <v>12660</v>
      </c>
      <c r="I194">
        <v>12660</v>
      </c>
      <c r="J194">
        <v>12660</v>
      </c>
      <c r="K194">
        <v>14677</v>
      </c>
      <c r="L194">
        <v>14677</v>
      </c>
      <c r="M194" s="51"/>
      <c r="N194" s="51"/>
      <c r="O194" s="51"/>
      <c r="P194" s="51"/>
      <c r="Q194" s="51"/>
      <c r="R194" s="51"/>
      <c r="S194" s="51"/>
      <c r="T194" s="51"/>
      <c r="U194" s="51"/>
      <c r="V194" s="51"/>
    </row>
    <row r="195" spans="1:22" x14ac:dyDescent="0.35">
      <c r="A195" s="4" t="s">
        <v>92</v>
      </c>
      <c r="B195" s="54" t="s">
        <v>257</v>
      </c>
      <c r="C195">
        <v>0</v>
      </c>
      <c r="D195">
        <v>0</v>
      </c>
      <c r="E195">
        <v>0</v>
      </c>
      <c r="F195">
        <v>0</v>
      </c>
      <c r="G195">
        <v>0</v>
      </c>
      <c r="H195">
        <v>225</v>
      </c>
      <c r="I195">
        <v>225</v>
      </c>
      <c r="J195">
        <v>225</v>
      </c>
      <c r="K195">
        <v>251</v>
      </c>
      <c r="L195">
        <v>251</v>
      </c>
      <c r="M195" s="51">
        <v>0</v>
      </c>
      <c r="N195" s="51">
        <v>0</v>
      </c>
      <c r="O195" s="51">
        <v>0</v>
      </c>
      <c r="P195" s="51">
        <v>0</v>
      </c>
      <c r="Q195" s="51">
        <v>0</v>
      </c>
      <c r="R195" s="51">
        <v>8.171971995632607E-2</v>
      </c>
      <c r="S195" s="51">
        <v>7.9716063428052195E-2</v>
      </c>
      <c r="T195" s="51">
        <v>7.7812525969930546E-2</v>
      </c>
      <c r="U195" s="51">
        <v>8.4763752614927995E-2</v>
      </c>
      <c r="V195" s="53">
        <v>8.3827080963033554E-2</v>
      </c>
    </row>
    <row r="196" spans="1:22" x14ac:dyDescent="0.35">
      <c r="A196" s="4" t="s">
        <v>92</v>
      </c>
      <c r="B196" s="54" t="s">
        <v>258</v>
      </c>
      <c r="C196">
        <v>0</v>
      </c>
      <c r="D196">
        <v>0</v>
      </c>
      <c r="E196">
        <v>0</v>
      </c>
      <c r="F196">
        <v>0</v>
      </c>
      <c r="G196">
        <v>0</v>
      </c>
      <c r="H196">
        <v>306</v>
      </c>
      <c r="I196">
        <v>306</v>
      </c>
      <c r="J196">
        <v>306</v>
      </c>
      <c r="K196">
        <v>306</v>
      </c>
      <c r="L196">
        <v>306</v>
      </c>
      <c r="M196" s="51">
        <v>0</v>
      </c>
      <c r="N196" s="51">
        <v>0</v>
      </c>
      <c r="O196" s="51">
        <v>0</v>
      </c>
      <c r="P196" s="51">
        <v>0</v>
      </c>
      <c r="Q196" s="51">
        <v>0</v>
      </c>
      <c r="R196" s="51">
        <v>0.11113881914060347</v>
      </c>
      <c r="S196" s="51">
        <v>0.10841384626215099</v>
      </c>
      <c r="T196" s="51">
        <v>0.10582503531910553</v>
      </c>
      <c r="U196" s="51">
        <v>0.10333748326760146</v>
      </c>
      <c r="V196" s="53">
        <v>0.1021955648393955</v>
      </c>
    </row>
    <row r="197" spans="1:22" x14ac:dyDescent="0.35">
      <c r="A197" s="4" t="s">
        <v>92</v>
      </c>
      <c r="B197" s="54" t="s">
        <v>259</v>
      </c>
      <c r="C197">
        <v>0</v>
      </c>
      <c r="D197">
        <v>0</v>
      </c>
      <c r="E197">
        <v>0</v>
      </c>
      <c r="F197">
        <v>0</v>
      </c>
      <c r="G197">
        <v>0</v>
      </c>
      <c r="H197">
        <v>0</v>
      </c>
      <c r="I197">
        <v>0</v>
      </c>
      <c r="J197">
        <v>0</v>
      </c>
      <c r="K197">
        <v>306</v>
      </c>
      <c r="L197">
        <v>306</v>
      </c>
      <c r="M197" s="51">
        <v>0</v>
      </c>
      <c r="N197" s="51">
        <v>0</v>
      </c>
      <c r="O197" s="51">
        <v>0</v>
      </c>
      <c r="P197" s="51">
        <v>0</v>
      </c>
      <c r="Q197" s="51">
        <v>0</v>
      </c>
      <c r="R197" s="51">
        <v>0</v>
      </c>
      <c r="S197" s="51">
        <v>0</v>
      </c>
      <c r="T197" s="51">
        <v>0</v>
      </c>
      <c r="U197" s="51">
        <v>0.10333748326760146</v>
      </c>
      <c r="V197" s="53">
        <v>0.1021955648393955</v>
      </c>
    </row>
    <row r="198" spans="1:22" x14ac:dyDescent="0.35">
      <c r="A198" s="4" t="s">
        <v>92</v>
      </c>
      <c r="B198" s="54" t="s">
        <v>260</v>
      </c>
      <c r="C198">
        <v>4275</v>
      </c>
      <c r="D198">
        <v>4275</v>
      </c>
      <c r="E198">
        <v>4275</v>
      </c>
      <c r="F198">
        <v>4275</v>
      </c>
      <c r="G198">
        <v>4275</v>
      </c>
      <c r="H198">
        <v>4275</v>
      </c>
      <c r="I198">
        <v>4275</v>
      </c>
      <c r="J198">
        <v>4275</v>
      </c>
      <c r="K198">
        <v>5230</v>
      </c>
      <c r="L198">
        <v>5230</v>
      </c>
      <c r="M198" s="51">
        <v>1.7653634939182299</v>
      </c>
      <c r="N198" s="51">
        <v>1.7202587977455315</v>
      </c>
      <c r="O198" s="51">
        <v>1.6763429889513117</v>
      </c>
      <c r="P198" s="51">
        <v>1.6335784554425905</v>
      </c>
      <c r="Q198" s="51">
        <v>1.5923839126984738</v>
      </c>
      <c r="R198" s="51">
        <v>1.5526746791701953</v>
      </c>
      <c r="S198" s="51">
        <v>1.5146052051329917</v>
      </c>
      <c r="T198" s="51">
        <v>1.4784379934286804</v>
      </c>
      <c r="U198" s="51">
        <v>1.766192932972404</v>
      </c>
      <c r="V198" s="53">
        <v>1.7466758304249621</v>
      </c>
    </row>
    <row r="199" spans="1:22" x14ac:dyDescent="0.35">
      <c r="A199" s="4" t="s">
        <v>92</v>
      </c>
      <c r="B199" s="54" t="s">
        <v>261</v>
      </c>
      <c r="C199">
        <v>3400</v>
      </c>
      <c r="D199">
        <v>3400</v>
      </c>
      <c r="E199">
        <v>3400</v>
      </c>
      <c r="F199">
        <v>3400</v>
      </c>
      <c r="G199">
        <v>3400</v>
      </c>
      <c r="H199">
        <v>3994</v>
      </c>
      <c r="I199">
        <v>3994</v>
      </c>
      <c r="J199">
        <v>3994</v>
      </c>
      <c r="K199">
        <v>3994</v>
      </c>
      <c r="L199">
        <v>3994</v>
      </c>
      <c r="M199" s="51">
        <v>1.4040317846367207</v>
      </c>
      <c r="N199" s="51">
        <v>1.3681590438210074</v>
      </c>
      <c r="O199" s="51">
        <v>1.3332318508618617</v>
      </c>
      <c r="P199" s="51">
        <v>1.2992202920479083</v>
      </c>
      <c r="Q199" s="51">
        <v>1.2664573808596051</v>
      </c>
      <c r="R199" s="51">
        <v>1.4506158289136282</v>
      </c>
      <c r="S199" s="51">
        <v>1.4150486992517355</v>
      </c>
      <c r="T199" s="51">
        <v>1.381258794328456</v>
      </c>
      <c r="U199" s="51">
        <v>1.3487905495777786</v>
      </c>
      <c r="V199" s="53">
        <v>1.3338859018579923</v>
      </c>
    </row>
    <row r="200" spans="1:22" x14ac:dyDescent="0.35">
      <c r="A200" s="4" t="s">
        <v>92</v>
      </c>
      <c r="B200" s="54" t="s">
        <v>262</v>
      </c>
      <c r="C200">
        <v>3438</v>
      </c>
      <c r="D200">
        <v>3438</v>
      </c>
      <c r="E200">
        <v>3438</v>
      </c>
      <c r="F200">
        <v>3438</v>
      </c>
      <c r="G200">
        <v>3438</v>
      </c>
      <c r="H200">
        <v>3833</v>
      </c>
      <c r="I200">
        <v>3833</v>
      </c>
      <c r="J200">
        <v>3833</v>
      </c>
      <c r="K200">
        <v>4560</v>
      </c>
      <c r="L200">
        <v>4560</v>
      </c>
      <c r="M200" s="51">
        <v>1.4197239045826606</v>
      </c>
      <c r="N200" s="51">
        <v>1.383450233134301</v>
      </c>
      <c r="O200" s="51">
        <v>1.3481326774303179</v>
      </c>
      <c r="P200" s="51">
        <v>1.3137409894296201</v>
      </c>
      <c r="Q200" s="51">
        <v>1.2806119045280357</v>
      </c>
      <c r="R200" s="51">
        <v>1.3921408293004349</v>
      </c>
      <c r="S200" s="51">
        <v>1.3580074271987737</v>
      </c>
      <c r="T200" s="51">
        <v>1.3255796090788612</v>
      </c>
      <c r="U200" s="51">
        <v>1.5399311232034727</v>
      </c>
      <c r="V200" s="53">
        <v>1.5229142995674625</v>
      </c>
    </row>
    <row r="201" spans="1:22" x14ac:dyDescent="0.35">
      <c r="A201" s="4" t="s">
        <v>92</v>
      </c>
      <c r="B201" s="54" t="s">
        <v>263</v>
      </c>
      <c r="C201">
        <v>17</v>
      </c>
      <c r="D201">
        <v>17</v>
      </c>
      <c r="E201">
        <v>17</v>
      </c>
      <c r="F201">
        <v>4</v>
      </c>
      <c r="G201">
        <v>4</v>
      </c>
      <c r="H201">
        <v>27</v>
      </c>
      <c r="I201">
        <v>27</v>
      </c>
      <c r="J201">
        <v>27</v>
      </c>
      <c r="K201">
        <v>30</v>
      </c>
      <c r="L201">
        <v>30</v>
      </c>
      <c r="M201" s="51">
        <v>7.0201589231836036E-3</v>
      </c>
      <c r="N201" s="51">
        <v>6.8407952191050373E-3</v>
      </c>
      <c r="O201" s="51">
        <v>6.6661592543093093E-3</v>
      </c>
      <c r="P201" s="51">
        <v>1.5284944612328332E-3</v>
      </c>
      <c r="Q201" s="51">
        <v>1.4899498598348294E-3</v>
      </c>
      <c r="R201" s="51">
        <v>9.8063663947591286E-3</v>
      </c>
      <c r="S201" s="51">
        <v>9.5659276113662633E-3</v>
      </c>
      <c r="T201" s="51">
        <v>9.3375031163916659E-3</v>
      </c>
      <c r="U201" s="51">
        <v>1.0131125810549162E-2</v>
      </c>
      <c r="V201" s="53">
        <v>1.0019173023470147E-2</v>
      </c>
    </row>
    <row r="202" spans="1:22" x14ac:dyDescent="0.35">
      <c r="B202" s="4" t="s">
        <v>96</v>
      </c>
      <c r="C202">
        <v>1971</v>
      </c>
      <c r="D202">
        <v>1971</v>
      </c>
      <c r="E202">
        <v>1971</v>
      </c>
      <c r="F202">
        <v>9970</v>
      </c>
      <c r="G202">
        <v>9970</v>
      </c>
      <c r="H202">
        <v>11075</v>
      </c>
      <c r="I202">
        <v>11075</v>
      </c>
      <c r="J202">
        <v>11075</v>
      </c>
      <c r="K202">
        <v>17238</v>
      </c>
      <c r="L202">
        <v>17334</v>
      </c>
      <c r="M202" s="51"/>
      <c r="N202" s="51"/>
      <c r="O202" s="51"/>
      <c r="P202" s="51"/>
      <c r="Q202" s="51"/>
      <c r="R202" s="51"/>
      <c r="S202" s="51"/>
      <c r="T202" s="51"/>
      <c r="U202" s="51"/>
      <c r="V202" s="51"/>
    </row>
    <row r="203" spans="1:22" x14ac:dyDescent="0.35">
      <c r="A203" s="4" t="s">
        <v>96</v>
      </c>
      <c r="B203" s="54" t="s">
        <v>257</v>
      </c>
      <c r="C203">
        <v>0</v>
      </c>
      <c r="D203">
        <v>0</v>
      </c>
      <c r="E203">
        <v>0</v>
      </c>
      <c r="F203">
        <v>107</v>
      </c>
      <c r="G203">
        <v>107</v>
      </c>
      <c r="H203">
        <v>30</v>
      </c>
      <c r="I203">
        <v>30</v>
      </c>
      <c r="J203">
        <v>30</v>
      </c>
      <c r="K203">
        <v>30</v>
      </c>
      <c r="L203">
        <v>30</v>
      </c>
      <c r="M203" s="51">
        <v>0</v>
      </c>
      <c r="N203" s="51">
        <v>0</v>
      </c>
      <c r="O203" s="51">
        <v>0</v>
      </c>
      <c r="P203" s="51">
        <v>5.5407815764352109E-2</v>
      </c>
      <c r="Q203" s="51">
        <v>5.367633211864295E-2</v>
      </c>
      <c r="R203" s="51">
        <v>1.4586172774966859E-2</v>
      </c>
      <c r="S203" s="51">
        <v>1.4134914936081915E-2</v>
      </c>
      <c r="T203" s="51">
        <v>1.3695513938540833E-2</v>
      </c>
      <c r="U203" s="51">
        <v>1.3278102329023409E-2</v>
      </c>
      <c r="V203" s="53">
        <v>1.3571143803594426E-2</v>
      </c>
    </row>
    <row r="204" spans="1:22" x14ac:dyDescent="0.35">
      <c r="A204" s="4" t="s">
        <v>96</v>
      </c>
      <c r="B204" s="54" t="s">
        <v>258</v>
      </c>
      <c r="C204">
        <v>0</v>
      </c>
      <c r="D204">
        <v>0</v>
      </c>
      <c r="E204">
        <v>0</v>
      </c>
      <c r="F204">
        <v>0</v>
      </c>
      <c r="G204">
        <v>0</v>
      </c>
      <c r="H204">
        <v>0</v>
      </c>
      <c r="I204">
        <v>0</v>
      </c>
      <c r="J204">
        <v>0</v>
      </c>
      <c r="K204">
        <v>1496</v>
      </c>
      <c r="L204">
        <v>1496</v>
      </c>
      <c r="M204" s="51">
        <v>0</v>
      </c>
      <c r="N204" s="51">
        <v>0</v>
      </c>
      <c r="O204" s="51">
        <v>0</v>
      </c>
      <c r="P204" s="51">
        <v>0</v>
      </c>
      <c r="Q204" s="51">
        <v>0</v>
      </c>
      <c r="R204" s="51">
        <v>0</v>
      </c>
      <c r="S204" s="51">
        <v>0</v>
      </c>
      <c r="T204" s="51">
        <v>0</v>
      </c>
      <c r="U204" s="51">
        <v>0.66213470280730058</v>
      </c>
      <c r="V204" s="53">
        <v>0.67674770433924203</v>
      </c>
    </row>
    <row r="205" spans="1:22" x14ac:dyDescent="0.35">
      <c r="A205" s="4" t="s">
        <v>96</v>
      </c>
      <c r="B205" s="54" t="s">
        <v>259</v>
      </c>
      <c r="C205">
        <v>0</v>
      </c>
      <c r="D205">
        <v>0</v>
      </c>
      <c r="E205">
        <v>0</v>
      </c>
      <c r="F205">
        <v>0</v>
      </c>
      <c r="G205">
        <v>0</v>
      </c>
      <c r="H205">
        <v>0</v>
      </c>
      <c r="I205">
        <v>0</v>
      </c>
      <c r="J205">
        <v>0</v>
      </c>
      <c r="K205">
        <v>0</v>
      </c>
      <c r="L205">
        <v>0</v>
      </c>
      <c r="M205" s="51">
        <v>0</v>
      </c>
      <c r="N205" s="51">
        <v>0</v>
      </c>
      <c r="O205" s="51">
        <v>0</v>
      </c>
      <c r="P205" s="51">
        <v>0</v>
      </c>
      <c r="Q205" s="51">
        <v>0</v>
      </c>
      <c r="R205" s="51">
        <v>0</v>
      </c>
      <c r="S205" s="51">
        <v>0</v>
      </c>
      <c r="T205" s="51">
        <v>0</v>
      </c>
      <c r="U205" s="51">
        <v>0</v>
      </c>
      <c r="V205" s="53">
        <v>0</v>
      </c>
    </row>
    <row r="206" spans="1:22" x14ac:dyDescent="0.35">
      <c r="A206" s="4" t="s">
        <v>96</v>
      </c>
      <c r="B206" s="54" t="s">
        <v>260</v>
      </c>
      <c r="C206">
        <v>1971</v>
      </c>
      <c r="D206">
        <v>1971</v>
      </c>
      <c r="E206">
        <v>1971</v>
      </c>
      <c r="F206">
        <v>2247</v>
      </c>
      <c r="G206">
        <v>2247</v>
      </c>
      <c r="H206">
        <v>2454</v>
      </c>
      <c r="I206">
        <v>2454</v>
      </c>
      <c r="J206">
        <v>2454</v>
      </c>
      <c r="K206">
        <v>4402</v>
      </c>
      <c r="L206">
        <v>4456</v>
      </c>
      <c r="M206" s="51">
        <v>1.1229608517957175</v>
      </c>
      <c r="N206" s="51">
        <v>1.0881743057588713</v>
      </c>
      <c r="O206" s="51">
        <v>1.0540047206149528</v>
      </c>
      <c r="P206" s="51">
        <v>1.1635641310513942</v>
      </c>
      <c r="Q206" s="51">
        <v>1.1272029744915022</v>
      </c>
      <c r="R206" s="51">
        <v>1.1931489329922891</v>
      </c>
      <c r="S206" s="51">
        <v>1.1562360417715005</v>
      </c>
      <c r="T206" s="51">
        <v>1.1202930401726403</v>
      </c>
      <c r="U206" s="51">
        <v>1.9483402150787015</v>
      </c>
      <c r="V206" s="53">
        <v>2.0157672262938919</v>
      </c>
    </row>
    <row r="207" spans="1:22" x14ac:dyDescent="0.35">
      <c r="A207" s="4" t="s">
        <v>96</v>
      </c>
      <c r="B207" s="54" t="s">
        <v>261</v>
      </c>
      <c r="C207">
        <v>0</v>
      </c>
      <c r="D207">
        <v>0</v>
      </c>
      <c r="E207">
        <v>0</v>
      </c>
      <c r="F207">
        <v>2657</v>
      </c>
      <c r="G207">
        <v>2657</v>
      </c>
      <c r="H207">
        <v>3235</v>
      </c>
      <c r="I207">
        <v>3235</v>
      </c>
      <c r="J207">
        <v>3235</v>
      </c>
      <c r="K207">
        <v>3262</v>
      </c>
      <c r="L207">
        <v>3262</v>
      </c>
      <c r="M207" s="51">
        <v>0</v>
      </c>
      <c r="N207" s="51">
        <v>0</v>
      </c>
      <c r="O207" s="51">
        <v>0</v>
      </c>
      <c r="P207" s="51">
        <v>1.3758744531390987</v>
      </c>
      <c r="Q207" s="51">
        <v>1.3328786396190124</v>
      </c>
      <c r="R207" s="51">
        <v>1.5728756309005931</v>
      </c>
      <c r="S207" s="51">
        <v>1.5242149939408332</v>
      </c>
      <c r="T207" s="51">
        <v>1.4768329197059864</v>
      </c>
      <c r="U207" s="51">
        <v>1.443772326575812</v>
      </c>
      <c r="V207" s="53">
        <v>1.475635702910834</v>
      </c>
    </row>
    <row r="208" spans="1:22" x14ac:dyDescent="0.35">
      <c r="A208" s="4" t="s">
        <v>96</v>
      </c>
      <c r="B208" s="54" t="s">
        <v>262</v>
      </c>
      <c r="C208">
        <v>0</v>
      </c>
      <c r="D208">
        <v>0</v>
      </c>
      <c r="E208">
        <v>0</v>
      </c>
      <c r="F208">
        <v>4765</v>
      </c>
      <c r="G208">
        <v>4765</v>
      </c>
      <c r="H208">
        <v>5174</v>
      </c>
      <c r="I208">
        <v>5174</v>
      </c>
      <c r="J208">
        <v>5174</v>
      </c>
      <c r="K208">
        <v>6327</v>
      </c>
      <c r="L208">
        <v>6369</v>
      </c>
      <c r="M208" s="51">
        <v>0</v>
      </c>
      <c r="N208" s="51">
        <v>0</v>
      </c>
      <c r="O208" s="51">
        <v>0</v>
      </c>
      <c r="P208" s="51">
        <v>2.4674602067022224</v>
      </c>
      <c r="Q208" s="51">
        <v>2.3903525471526512</v>
      </c>
      <c r="R208" s="51">
        <v>2.5156285979226181</v>
      </c>
      <c r="S208" s="51">
        <v>2.4378016626429275</v>
      </c>
      <c r="T208" s="51">
        <v>2.362019637267009</v>
      </c>
      <c r="U208" s="51">
        <v>2.8003517811910372</v>
      </c>
      <c r="V208" s="53">
        <v>2.8811538295030967</v>
      </c>
    </row>
    <row r="209" spans="1:22" x14ac:dyDescent="0.35">
      <c r="A209" s="4" t="s">
        <v>96</v>
      </c>
      <c r="B209" s="54" t="s">
        <v>263</v>
      </c>
      <c r="C209">
        <v>0</v>
      </c>
      <c r="D209">
        <v>0</v>
      </c>
      <c r="E209">
        <v>0</v>
      </c>
      <c r="F209">
        <v>194</v>
      </c>
      <c r="G209">
        <v>194</v>
      </c>
      <c r="H209">
        <v>182</v>
      </c>
      <c r="I209">
        <v>182</v>
      </c>
      <c r="J209">
        <v>182</v>
      </c>
      <c r="K209">
        <v>1721</v>
      </c>
      <c r="L209">
        <v>1721</v>
      </c>
      <c r="M209" s="51">
        <v>0</v>
      </c>
      <c r="N209" s="51">
        <v>0</v>
      </c>
      <c r="O209" s="51">
        <v>0</v>
      </c>
      <c r="P209" s="51">
        <v>0.10045903045125525</v>
      </c>
      <c r="Q209" s="51">
        <v>9.7319704962773215E-2</v>
      </c>
      <c r="R209" s="51">
        <v>8.8489448168132284E-2</v>
      </c>
      <c r="S209" s="51">
        <v>8.5751817278896941E-2</v>
      </c>
      <c r="T209" s="51">
        <v>8.3086117893814385E-2</v>
      </c>
      <c r="U209" s="51">
        <v>0.76172047027497625</v>
      </c>
      <c r="V209" s="53">
        <v>0.77853128286620032</v>
      </c>
    </row>
    <row r="210" spans="1:22" x14ac:dyDescent="0.35">
      <c r="B210" s="4" t="s">
        <v>102</v>
      </c>
      <c r="C210">
        <v>14237</v>
      </c>
      <c r="D210">
        <v>14746</v>
      </c>
      <c r="E210">
        <v>28017</v>
      </c>
      <c r="F210">
        <v>28132</v>
      </c>
      <c r="G210">
        <v>18592</v>
      </c>
      <c r="H210">
        <v>19555</v>
      </c>
      <c r="I210">
        <v>22452</v>
      </c>
      <c r="J210">
        <v>25541</v>
      </c>
      <c r="K210">
        <v>41291</v>
      </c>
      <c r="L210">
        <v>39554</v>
      </c>
      <c r="M210" s="51"/>
      <c r="N210" s="51"/>
      <c r="O210" s="51"/>
      <c r="P210" s="51"/>
      <c r="Q210" s="51"/>
      <c r="R210" s="51"/>
      <c r="S210" s="51"/>
      <c r="T210" s="51"/>
      <c r="U210" s="51"/>
      <c r="V210" s="51"/>
    </row>
    <row r="211" spans="1:22" x14ac:dyDescent="0.35">
      <c r="A211" s="4" t="s">
        <v>102</v>
      </c>
      <c r="B211" s="54" t="s">
        <v>257</v>
      </c>
      <c r="C211">
        <v>136</v>
      </c>
      <c r="D211">
        <v>136</v>
      </c>
      <c r="E211">
        <v>189</v>
      </c>
      <c r="F211">
        <v>189</v>
      </c>
      <c r="G211">
        <v>217</v>
      </c>
      <c r="H211">
        <v>288</v>
      </c>
      <c r="I211">
        <v>288</v>
      </c>
      <c r="J211">
        <v>288</v>
      </c>
      <c r="K211">
        <v>348</v>
      </c>
      <c r="L211">
        <v>366</v>
      </c>
      <c r="M211" s="51">
        <v>5.2229942012474967E-2</v>
      </c>
      <c r="N211" s="51">
        <v>5.0664513524184072E-2</v>
      </c>
      <c r="O211" s="51">
        <v>6.8239686519156059E-2</v>
      </c>
      <c r="P211" s="51">
        <v>6.615460204489125E-2</v>
      </c>
      <c r="Q211" s="51">
        <v>7.3749626069004232E-2</v>
      </c>
      <c r="R211" s="51">
        <v>9.5094714170218558E-2</v>
      </c>
      <c r="S211" s="51">
        <v>9.2372118899980218E-2</v>
      </c>
      <c r="T211" s="51">
        <v>8.9783755824097672E-2</v>
      </c>
      <c r="U211" s="51">
        <v>0.10555204355732468</v>
      </c>
      <c r="V211" s="53">
        <v>0.10753695363441408</v>
      </c>
    </row>
    <row r="212" spans="1:22" x14ac:dyDescent="0.35">
      <c r="A212" s="4" t="s">
        <v>102</v>
      </c>
      <c r="B212" s="54" t="s">
        <v>258</v>
      </c>
      <c r="C212">
        <v>0</v>
      </c>
      <c r="D212">
        <v>0</v>
      </c>
      <c r="E212">
        <v>0</v>
      </c>
      <c r="F212">
        <v>0</v>
      </c>
      <c r="G212">
        <v>0</v>
      </c>
      <c r="H212">
        <v>0</v>
      </c>
      <c r="I212">
        <v>2055</v>
      </c>
      <c r="J212">
        <v>2055</v>
      </c>
      <c r="K212">
        <v>2193</v>
      </c>
      <c r="L212">
        <v>323</v>
      </c>
      <c r="M212" s="51">
        <v>0</v>
      </c>
      <c r="N212" s="51">
        <v>0</v>
      </c>
      <c r="O212" s="51">
        <v>0</v>
      </c>
      <c r="P212" s="51">
        <v>0</v>
      </c>
      <c r="Q212" s="51">
        <v>0</v>
      </c>
      <c r="R212" s="51">
        <v>0</v>
      </c>
      <c r="S212" s="51">
        <v>0.65911355673423366</v>
      </c>
      <c r="T212" s="51">
        <v>0.64064450770319692</v>
      </c>
      <c r="U212" s="51">
        <v>0.66515986069314093</v>
      </c>
      <c r="V212" s="53">
        <v>9.4902830666436469E-2</v>
      </c>
    </row>
    <row r="213" spans="1:22" x14ac:dyDescent="0.35">
      <c r="A213" s="4" t="s">
        <v>102</v>
      </c>
      <c r="B213" s="54" t="s">
        <v>259</v>
      </c>
      <c r="C213">
        <v>1465</v>
      </c>
      <c r="D213">
        <v>1465</v>
      </c>
      <c r="E213">
        <v>1465</v>
      </c>
      <c r="F213">
        <v>1465</v>
      </c>
      <c r="G213">
        <v>1958</v>
      </c>
      <c r="H213">
        <v>1958</v>
      </c>
      <c r="I213">
        <v>1958</v>
      </c>
      <c r="J213">
        <v>1958</v>
      </c>
      <c r="K213">
        <v>2040</v>
      </c>
      <c r="L213">
        <v>2151</v>
      </c>
      <c r="M213" s="51">
        <v>0.56262400770791055</v>
      </c>
      <c r="N213" s="51">
        <v>0.54576111994801224</v>
      </c>
      <c r="O213" s="51">
        <v>0.52894783465906681</v>
      </c>
      <c r="P213" s="51">
        <v>0.51278567193526814</v>
      </c>
      <c r="Q213" s="51">
        <v>0.66544593476087688</v>
      </c>
      <c r="R213" s="51">
        <v>0.64651198036558299</v>
      </c>
      <c r="S213" s="51">
        <v>0.62800211391028216</v>
      </c>
      <c r="T213" s="51">
        <v>0.61040483994299732</v>
      </c>
      <c r="U213" s="51">
        <v>0.61875335878431703</v>
      </c>
      <c r="V213" s="53">
        <v>0.63199996521208934</v>
      </c>
    </row>
    <row r="214" spans="1:22" x14ac:dyDescent="0.35">
      <c r="A214" s="4" t="s">
        <v>102</v>
      </c>
      <c r="B214" s="54" t="s">
        <v>260</v>
      </c>
      <c r="C214">
        <v>1452</v>
      </c>
      <c r="D214">
        <v>1452</v>
      </c>
      <c r="E214">
        <v>1452</v>
      </c>
      <c r="F214">
        <v>1452</v>
      </c>
      <c r="G214">
        <v>2180</v>
      </c>
      <c r="H214">
        <v>2570</v>
      </c>
      <c r="I214">
        <v>2573</v>
      </c>
      <c r="J214">
        <v>2611</v>
      </c>
      <c r="K214">
        <v>5719</v>
      </c>
      <c r="L214">
        <v>5719</v>
      </c>
      <c r="M214" s="51">
        <v>0.55763143972142393</v>
      </c>
      <c r="N214" s="51">
        <v>0.5409181885082005</v>
      </c>
      <c r="O214" s="51">
        <v>0.52425409960748459</v>
      </c>
      <c r="P214" s="51">
        <v>0.50823535539249787</v>
      </c>
      <c r="Q214" s="51">
        <v>0.7408948609697199</v>
      </c>
      <c r="R214" s="51">
        <v>0.84858824797729737</v>
      </c>
      <c r="S214" s="51">
        <v>0.8252550761446148</v>
      </c>
      <c r="T214" s="51">
        <v>0.81397703630805207</v>
      </c>
      <c r="U214" s="51">
        <v>1.7346325778860341</v>
      </c>
      <c r="V214" s="53">
        <v>1.6803383547410222</v>
      </c>
    </row>
    <row r="215" spans="1:22" x14ac:dyDescent="0.35">
      <c r="A215" s="4" t="s">
        <v>102</v>
      </c>
      <c r="B215" s="54" t="s">
        <v>261</v>
      </c>
      <c r="C215">
        <v>4649</v>
      </c>
      <c r="D215">
        <v>5158</v>
      </c>
      <c r="E215">
        <v>5705</v>
      </c>
      <c r="F215">
        <v>5820</v>
      </c>
      <c r="G215">
        <v>6021</v>
      </c>
      <c r="H215">
        <v>6175</v>
      </c>
      <c r="I215">
        <v>6324</v>
      </c>
      <c r="J215">
        <v>7278</v>
      </c>
      <c r="K215">
        <v>13325</v>
      </c>
      <c r="L215">
        <v>13325</v>
      </c>
      <c r="M215" s="51">
        <v>1.7854191207058538</v>
      </c>
      <c r="N215" s="51">
        <v>1.9215261820422167</v>
      </c>
      <c r="O215" s="51">
        <v>2.0598275745597103</v>
      </c>
      <c r="P215" s="51">
        <v>2.0371417137633179</v>
      </c>
      <c r="Q215" s="51">
        <v>2.0462972283938914</v>
      </c>
      <c r="R215" s="51">
        <v>2.038923125003818</v>
      </c>
      <c r="S215" s="51">
        <v>2.0283377775120655</v>
      </c>
      <c r="T215" s="51">
        <v>2.2689103294714679</v>
      </c>
      <c r="U215" s="51">
        <v>4.041612012647561</v>
      </c>
      <c r="V215" s="53">
        <v>3.9151090360070158</v>
      </c>
    </row>
    <row r="216" spans="1:22" x14ac:dyDescent="0.35">
      <c r="A216" s="4" t="s">
        <v>102</v>
      </c>
      <c r="B216" s="54" t="s">
        <v>262</v>
      </c>
      <c r="C216">
        <v>6432</v>
      </c>
      <c r="D216">
        <v>6432</v>
      </c>
      <c r="E216">
        <v>19012</v>
      </c>
      <c r="F216">
        <v>19012</v>
      </c>
      <c r="G216">
        <v>7961</v>
      </c>
      <c r="H216">
        <v>8179</v>
      </c>
      <c r="I216">
        <v>8831</v>
      </c>
      <c r="J216">
        <v>10928</v>
      </c>
      <c r="K216">
        <v>17168</v>
      </c>
      <c r="L216">
        <v>17168</v>
      </c>
      <c r="M216" s="51">
        <v>2.4701690222370516</v>
      </c>
      <c r="N216" s="51">
        <v>2.3961334631437645</v>
      </c>
      <c r="O216" s="51">
        <v>6.8644069846676974</v>
      </c>
      <c r="P216" s="51">
        <v>6.6546629316268389</v>
      </c>
      <c r="Q216" s="51">
        <v>2.7056256826513487</v>
      </c>
      <c r="R216" s="51">
        <v>2.7006238444382551</v>
      </c>
      <c r="S216" s="51">
        <v>2.8324242430754349</v>
      </c>
      <c r="T216" s="51">
        <v>3.4067947348810392</v>
      </c>
      <c r="U216" s="51">
        <v>5.207234148828018</v>
      </c>
      <c r="V216" s="53">
        <v>5.0442470491683631</v>
      </c>
    </row>
    <row r="217" spans="1:22" x14ac:dyDescent="0.35">
      <c r="A217" s="4" t="s">
        <v>102</v>
      </c>
      <c r="B217" s="54" t="s">
        <v>263</v>
      </c>
      <c r="C217">
        <v>103</v>
      </c>
      <c r="D217">
        <v>103</v>
      </c>
      <c r="E217">
        <v>194</v>
      </c>
      <c r="F217">
        <v>194</v>
      </c>
      <c r="G217">
        <v>255</v>
      </c>
      <c r="H217">
        <v>385</v>
      </c>
      <c r="I217">
        <v>423</v>
      </c>
      <c r="J217">
        <v>423</v>
      </c>
      <c r="K217">
        <v>498</v>
      </c>
      <c r="L217">
        <v>502</v>
      </c>
      <c r="M217" s="51">
        <v>3.9556500200624421E-2</v>
      </c>
      <c r="N217" s="51">
        <v>3.8370918330815872E-2</v>
      </c>
      <c r="O217" s="51">
        <v>7.0044969231303031E-2</v>
      </c>
      <c r="P217" s="51">
        <v>6.79047237921106E-2</v>
      </c>
      <c r="Q217" s="51">
        <v>8.6664307131779153E-2</v>
      </c>
      <c r="R217" s="51">
        <v>0.12712314220671578</v>
      </c>
      <c r="S217" s="51">
        <v>0.13567154963434594</v>
      </c>
      <c r="T217" s="51">
        <v>0.13186989136664343</v>
      </c>
      <c r="U217" s="51">
        <v>0.15104861405617154</v>
      </c>
      <c r="V217" s="53">
        <v>0.1474960402308084</v>
      </c>
    </row>
    <row r="218" spans="1:22" x14ac:dyDescent="0.35">
      <c r="B218" s="4" t="s">
        <v>98</v>
      </c>
      <c r="C218">
        <v>0</v>
      </c>
      <c r="D218">
        <v>4468</v>
      </c>
      <c r="E218">
        <v>4829</v>
      </c>
      <c r="F218">
        <v>4829</v>
      </c>
      <c r="G218">
        <v>5362</v>
      </c>
      <c r="H218">
        <v>6329</v>
      </c>
      <c r="I218">
        <v>6526</v>
      </c>
      <c r="J218">
        <v>6850</v>
      </c>
      <c r="K218">
        <v>9698</v>
      </c>
      <c r="L218">
        <v>9698</v>
      </c>
      <c r="M218" s="51"/>
      <c r="N218" s="51"/>
      <c r="O218" s="51"/>
      <c r="P218" s="51"/>
      <c r="Q218" s="51"/>
      <c r="R218" s="51"/>
      <c r="S218" s="51"/>
      <c r="T218" s="51"/>
      <c r="U218" s="51"/>
      <c r="V218" s="51"/>
    </row>
    <row r="219" spans="1:22" x14ac:dyDescent="0.35">
      <c r="A219" s="4" t="s">
        <v>98</v>
      </c>
      <c r="B219" s="54" t="s">
        <v>257</v>
      </c>
      <c r="C219">
        <v>0</v>
      </c>
      <c r="D219">
        <v>0</v>
      </c>
      <c r="E219">
        <v>0</v>
      </c>
      <c r="F219">
        <v>0</v>
      </c>
      <c r="G219">
        <v>0</v>
      </c>
      <c r="H219">
        <v>112</v>
      </c>
      <c r="I219">
        <v>118</v>
      </c>
      <c r="J219">
        <v>118</v>
      </c>
      <c r="K219">
        <v>149</v>
      </c>
      <c r="L219">
        <v>149</v>
      </c>
      <c r="M219" s="51">
        <v>0</v>
      </c>
      <c r="N219" s="51">
        <v>0</v>
      </c>
      <c r="O219" s="51">
        <v>0</v>
      </c>
      <c r="P219" s="51">
        <v>0</v>
      </c>
      <c r="Q219" s="51">
        <v>0</v>
      </c>
      <c r="R219" s="51">
        <v>0.25548325227442825</v>
      </c>
      <c r="S219" s="51">
        <v>0.26230359462624403</v>
      </c>
      <c r="T219" s="51">
        <v>0.25568941450157684</v>
      </c>
      <c r="U219" s="51">
        <v>0.31460225301664496</v>
      </c>
      <c r="V219" s="53">
        <v>0.2962089430052246</v>
      </c>
    </row>
    <row r="220" spans="1:22" x14ac:dyDescent="0.35">
      <c r="A220" s="4" t="s">
        <v>98</v>
      </c>
      <c r="B220" s="54" t="s">
        <v>258</v>
      </c>
      <c r="C220">
        <v>0</v>
      </c>
      <c r="D220">
        <v>0</v>
      </c>
      <c r="E220">
        <v>0</v>
      </c>
      <c r="F220">
        <v>0</v>
      </c>
      <c r="G220">
        <v>0</v>
      </c>
      <c r="H220">
        <v>0</v>
      </c>
      <c r="I220">
        <v>0</v>
      </c>
      <c r="J220">
        <v>0</v>
      </c>
      <c r="K220">
        <v>326</v>
      </c>
      <c r="L220">
        <v>326</v>
      </c>
      <c r="M220" s="51">
        <v>0</v>
      </c>
      <c r="N220" s="51">
        <v>0</v>
      </c>
      <c r="O220" s="51">
        <v>0</v>
      </c>
      <c r="P220" s="51">
        <v>0</v>
      </c>
      <c r="Q220" s="51">
        <v>0</v>
      </c>
      <c r="R220" s="51">
        <v>0</v>
      </c>
      <c r="S220" s="51">
        <v>0</v>
      </c>
      <c r="T220" s="51">
        <v>0</v>
      </c>
      <c r="U220" s="51">
        <v>0.68832439250621658</v>
      </c>
      <c r="V220" s="53">
        <v>0.64808131154163229</v>
      </c>
    </row>
    <row r="221" spans="1:22" x14ac:dyDescent="0.35">
      <c r="A221" s="4" t="s">
        <v>98</v>
      </c>
      <c r="B221" s="54" t="s">
        <v>259</v>
      </c>
      <c r="C221">
        <v>0</v>
      </c>
      <c r="D221">
        <v>0</v>
      </c>
      <c r="E221">
        <v>0</v>
      </c>
      <c r="F221">
        <v>0</v>
      </c>
      <c r="G221">
        <v>0</v>
      </c>
      <c r="H221">
        <v>0</v>
      </c>
      <c r="I221">
        <v>0</v>
      </c>
      <c r="J221">
        <v>0</v>
      </c>
      <c r="K221">
        <v>9</v>
      </c>
      <c r="L221">
        <v>9</v>
      </c>
      <c r="M221" s="51">
        <v>0</v>
      </c>
      <c r="N221" s="51">
        <v>0</v>
      </c>
      <c r="O221" s="51">
        <v>0</v>
      </c>
      <c r="P221" s="51">
        <v>0</v>
      </c>
      <c r="Q221" s="51">
        <v>0</v>
      </c>
      <c r="R221" s="51">
        <v>0</v>
      </c>
      <c r="S221" s="51">
        <v>0</v>
      </c>
      <c r="T221" s="51">
        <v>0</v>
      </c>
      <c r="U221" s="51">
        <v>1.9002820652012115E-2</v>
      </c>
      <c r="V221" s="53">
        <v>1.7891815349308868E-2</v>
      </c>
    </row>
    <row r="222" spans="1:22" x14ac:dyDescent="0.35">
      <c r="A222" s="4" t="s">
        <v>98</v>
      </c>
      <c r="B222" s="54" t="s">
        <v>260</v>
      </c>
      <c r="C222">
        <v>0</v>
      </c>
      <c r="D222">
        <v>622</v>
      </c>
      <c r="E222">
        <v>692</v>
      </c>
      <c r="F222">
        <v>692</v>
      </c>
      <c r="G222">
        <v>791</v>
      </c>
      <c r="H222">
        <v>897</v>
      </c>
      <c r="I222">
        <v>934</v>
      </c>
      <c r="J222">
        <v>1035</v>
      </c>
      <c r="K222">
        <v>1273</v>
      </c>
      <c r="L222">
        <v>1273</v>
      </c>
      <c r="M222" s="51">
        <v>0</v>
      </c>
      <c r="N222" s="51">
        <v>1.5761919000968014</v>
      </c>
      <c r="O222" s="51">
        <v>1.7078449809841827</v>
      </c>
      <c r="P222" s="51">
        <v>1.663455540424734</v>
      </c>
      <c r="Q222" s="51">
        <v>1.8521501801104827</v>
      </c>
      <c r="R222" s="51">
        <v>2.0461471186621618</v>
      </c>
      <c r="S222" s="51">
        <v>2.0761996388212878</v>
      </c>
      <c r="T222" s="51">
        <v>2.2426995255011186</v>
      </c>
      <c r="U222" s="51">
        <v>2.6878434100012689</v>
      </c>
      <c r="V222" s="53">
        <v>2.5306978821855766</v>
      </c>
    </row>
    <row r="223" spans="1:22" x14ac:dyDescent="0.35">
      <c r="A223" s="4" t="s">
        <v>98</v>
      </c>
      <c r="B223" s="54" t="s">
        <v>261</v>
      </c>
      <c r="C223">
        <v>0</v>
      </c>
      <c r="D223">
        <v>0</v>
      </c>
      <c r="E223">
        <v>0</v>
      </c>
      <c r="F223">
        <v>0</v>
      </c>
      <c r="G223">
        <v>0</v>
      </c>
      <c r="H223">
        <v>671</v>
      </c>
      <c r="I223">
        <v>1027</v>
      </c>
      <c r="J223">
        <v>1252</v>
      </c>
      <c r="K223">
        <v>1341</v>
      </c>
      <c r="L223">
        <v>1341</v>
      </c>
      <c r="M223" s="51">
        <v>0</v>
      </c>
      <c r="N223" s="51">
        <v>0</v>
      </c>
      <c r="O223" s="51">
        <v>0</v>
      </c>
      <c r="P223" s="51">
        <v>0</v>
      </c>
      <c r="Q223" s="51">
        <v>0</v>
      </c>
      <c r="R223" s="51">
        <v>1.5306184131798335</v>
      </c>
      <c r="S223" s="51">
        <v>2.2829304379758701</v>
      </c>
      <c r="T223" s="51">
        <v>2.7129080250506288</v>
      </c>
      <c r="U223" s="51">
        <v>2.8314202771498049</v>
      </c>
      <c r="V223" s="53">
        <v>2.6658804870470219</v>
      </c>
    </row>
    <row r="224" spans="1:22" x14ac:dyDescent="0.35">
      <c r="A224" s="4" t="s">
        <v>98</v>
      </c>
      <c r="B224" s="54" t="s">
        <v>262</v>
      </c>
      <c r="C224">
        <v>0</v>
      </c>
      <c r="D224">
        <v>3846</v>
      </c>
      <c r="E224">
        <v>4137</v>
      </c>
      <c r="F224">
        <v>4137</v>
      </c>
      <c r="G224">
        <v>4571</v>
      </c>
      <c r="H224">
        <v>4571</v>
      </c>
      <c r="I224">
        <v>4369</v>
      </c>
      <c r="J224">
        <v>4369</v>
      </c>
      <c r="K224">
        <v>6503</v>
      </c>
      <c r="L224">
        <v>6503</v>
      </c>
      <c r="M224" s="51">
        <v>0</v>
      </c>
      <c r="N224" s="51">
        <v>9.746035446579258</v>
      </c>
      <c r="O224" s="51">
        <v>10.210050124756595</v>
      </c>
      <c r="P224" s="51">
        <v>9.9446756802559619</v>
      </c>
      <c r="Q224" s="51">
        <v>10.703133341700401</v>
      </c>
      <c r="R224" s="51">
        <v>10.426910233450103</v>
      </c>
      <c r="S224" s="51">
        <v>9.7119017366276292</v>
      </c>
      <c r="T224" s="51">
        <v>9.4670089148931282</v>
      </c>
      <c r="U224" s="51">
        <v>13.730593633337197</v>
      </c>
      <c r="V224" s="53">
        <v>12.927830579617286</v>
      </c>
    </row>
    <row r="225" spans="1:22" x14ac:dyDescent="0.35">
      <c r="A225" s="4" t="s">
        <v>98</v>
      </c>
      <c r="B225" s="54" t="s">
        <v>263</v>
      </c>
      <c r="C225">
        <v>0</v>
      </c>
      <c r="D225">
        <v>0</v>
      </c>
      <c r="E225">
        <v>0</v>
      </c>
      <c r="F225">
        <v>0</v>
      </c>
      <c r="G225">
        <v>0</v>
      </c>
      <c r="H225">
        <v>78</v>
      </c>
      <c r="I225">
        <v>78</v>
      </c>
      <c r="J225">
        <v>76</v>
      </c>
      <c r="K225">
        <v>97</v>
      </c>
      <c r="L225">
        <v>97</v>
      </c>
      <c r="M225" s="51">
        <v>0</v>
      </c>
      <c r="N225" s="51">
        <v>0</v>
      </c>
      <c r="O225" s="51">
        <v>0</v>
      </c>
      <c r="P225" s="51">
        <v>0</v>
      </c>
      <c r="Q225" s="51">
        <v>0</v>
      </c>
      <c r="R225" s="51">
        <v>0.17792583640540538</v>
      </c>
      <c r="S225" s="51">
        <v>0.17338712187158506</v>
      </c>
      <c r="T225" s="51">
        <v>0.1646813178145749</v>
      </c>
      <c r="U225" s="51">
        <v>0.20480817813835278</v>
      </c>
      <c r="V225" s="53">
        <v>0.19283400987588448</v>
      </c>
    </row>
    <row r="226" spans="1:22" x14ac:dyDescent="0.35">
      <c r="B226" s="4" t="s">
        <v>100</v>
      </c>
      <c r="C226">
        <v>7414</v>
      </c>
      <c r="D226">
        <v>7688</v>
      </c>
      <c r="E226">
        <v>7929</v>
      </c>
      <c r="F226">
        <v>8120</v>
      </c>
      <c r="G226">
        <v>8304</v>
      </c>
      <c r="H226">
        <v>8595</v>
      </c>
      <c r="I226">
        <v>9023</v>
      </c>
      <c r="J226">
        <v>9183</v>
      </c>
      <c r="K226">
        <v>8036</v>
      </c>
      <c r="L226">
        <v>8036</v>
      </c>
      <c r="M226" s="51"/>
      <c r="N226" s="51"/>
      <c r="O226" s="51"/>
      <c r="P226" s="51"/>
      <c r="Q226" s="51"/>
      <c r="R226" s="51"/>
      <c r="S226" s="51"/>
      <c r="T226" s="51"/>
      <c r="U226" s="51"/>
      <c r="V226" s="51"/>
    </row>
    <row r="227" spans="1:22" x14ac:dyDescent="0.35">
      <c r="A227" s="4" t="s">
        <v>100</v>
      </c>
      <c r="B227" s="54" t="s">
        <v>257</v>
      </c>
      <c r="C227">
        <v>366</v>
      </c>
      <c r="D227">
        <v>380</v>
      </c>
      <c r="E227">
        <v>385</v>
      </c>
      <c r="F227">
        <v>401</v>
      </c>
      <c r="G227">
        <v>401</v>
      </c>
      <c r="H227">
        <v>401</v>
      </c>
      <c r="I227">
        <v>412</v>
      </c>
      <c r="J227">
        <v>412</v>
      </c>
      <c r="K227">
        <v>414</v>
      </c>
      <c r="L227">
        <v>414</v>
      </c>
      <c r="M227" s="51">
        <v>2.832569597241108</v>
      </c>
      <c r="N227" s="51">
        <v>2.9385540612750383</v>
      </c>
      <c r="O227" s="51">
        <v>2.9754751292785979</v>
      </c>
      <c r="P227" s="51">
        <v>3.0971445254301826</v>
      </c>
      <c r="Q227" s="51">
        <v>3.0956143404913306</v>
      </c>
      <c r="R227" s="51">
        <v>3.0934698471548181</v>
      </c>
      <c r="S227" s="51">
        <v>3.1745346841029782</v>
      </c>
      <c r="T227" s="51">
        <v>3.1718780674639993</v>
      </c>
      <c r="U227" s="51">
        <v>3.1859167090557756</v>
      </c>
      <c r="V227" s="53">
        <v>3.2453864949590678</v>
      </c>
    </row>
    <row r="228" spans="1:22" x14ac:dyDescent="0.35">
      <c r="A228" s="4" t="s">
        <v>100</v>
      </c>
      <c r="B228" s="54" t="s">
        <v>258</v>
      </c>
      <c r="C228">
        <v>0</v>
      </c>
      <c r="D228">
        <v>0</v>
      </c>
      <c r="E228">
        <v>0</v>
      </c>
      <c r="F228">
        <v>0</v>
      </c>
      <c r="G228">
        <v>0</v>
      </c>
      <c r="H228">
        <v>291</v>
      </c>
      <c r="I228">
        <v>291</v>
      </c>
      <c r="J228">
        <v>291</v>
      </c>
      <c r="K228">
        <v>318</v>
      </c>
      <c r="L228">
        <v>318</v>
      </c>
      <c r="M228" s="51">
        <v>0</v>
      </c>
      <c r="N228" s="51">
        <v>0</v>
      </c>
      <c r="O228" s="51">
        <v>0</v>
      </c>
      <c r="P228" s="51">
        <v>0</v>
      </c>
      <c r="Q228" s="51">
        <v>0</v>
      </c>
      <c r="R228" s="51">
        <v>2.2448870960649674</v>
      </c>
      <c r="S228" s="51">
        <v>2.2422077501795306</v>
      </c>
      <c r="T228" s="51">
        <v>2.2403313534757854</v>
      </c>
      <c r="U228" s="51">
        <v>2.4471534142022624</v>
      </c>
      <c r="V228" s="53">
        <v>2.4928331048236321</v>
      </c>
    </row>
    <row r="229" spans="1:22" x14ac:dyDescent="0.35">
      <c r="A229" s="4" t="s">
        <v>100</v>
      </c>
      <c r="B229" s="54" t="s">
        <v>259</v>
      </c>
      <c r="C229">
        <v>0</v>
      </c>
      <c r="D229">
        <v>0</v>
      </c>
      <c r="E229">
        <v>0</v>
      </c>
      <c r="F229">
        <v>0</v>
      </c>
      <c r="G229">
        <v>0</v>
      </c>
      <c r="H229">
        <v>0</v>
      </c>
      <c r="I229">
        <v>0</v>
      </c>
      <c r="J229">
        <v>0</v>
      </c>
      <c r="K229">
        <v>264</v>
      </c>
      <c r="L229">
        <v>264</v>
      </c>
      <c r="M229" s="51">
        <v>0</v>
      </c>
      <c r="N229" s="51">
        <v>0</v>
      </c>
      <c r="O229" s="51">
        <v>0</v>
      </c>
      <c r="P229" s="51">
        <v>0</v>
      </c>
      <c r="Q229" s="51">
        <v>0</v>
      </c>
      <c r="R229" s="51">
        <v>0</v>
      </c>
      <c r="S229" s="51">
        <v>0</v>
      </c>
      <c r="T229" s="51">
        <v>0</v>
      </c>
      <c r="U229" s="51">
        <v>2.0315990608471615</v>
      </c>
      <c r="V229" s="53">
        <v>2.0695218228724492</v>
      </c>
    </row>
    <row r="230" spans="1:22" x14ac:dyDescent="0.35">
      <c r="A230" s="4" t="s">
        <v>100</v>
      </c>
      <c r="B230" s="54" t="s">
        <v>260</v>
      </c>
      <c r="C230">
        <v>2429</v>
      </c>
      <c r="D230">
        <v>2550</v>
      </c>
      <c r="E230">
        <v>2769</v>
      </c>
      <c r="F230">
        <v>2927</v>
      </c>
      <c r="G230">
        <v>2927</v>
      </c>
      <c r="H230">
        <v>2927</v>
      </c>
      <c r="I230">
        <v>3290</v>
      </c>
      <c r="J230">
        <v>3450</v>
      </c>
      <c r="K230">
        <v>1833</v>
      </c>
      <c r="L230">
        <v>1833</v>
      </c>
      <c r="M230" s="51">
        <v>18.798665441799596</v>
      </c>
      <c r="N230" s="51">
        <v>19.719244358556178</v>
      </c>
      <c r="O230" s="51">
        <v>21.400235410318018</v>
      </c>
      <c r="P230" s="51">
        <v>22.606837969910586</v>
      </c>
      <c r="Q230" s="51">
        <v>22.595668764633725</v>
      </c>
      <c r="R230" s="51">
        <v>22.580015567636288</v>
      </c>
      <c r="S230" s="51">
        <v>25.350046385191259</v>
      </c>
      <c r="T230" s="51">
        <v>26.560629448424262</v>
      </c>
      <c r="U230" s="51">
        <v>14.105761661109268</v>
      </c>
      <c r="V230" s="53">
        <v>14.369066292898482</v>
      </c>
    </row>
    <row r="231" spans="1:22" x14ac:dyDescent="0.35">
      <c r="A231" s="4" t="s">
        <v>100</v>
      </c>
      <c r="B231" s="54" t="s">
        <v>261</v>
      </c>
      <c r="C231">
        <v>0</v>
      </c>
      <c r="D231">
        <v>0</v>
      </c>
      <c r="E231">
        <v>0</v>
      </c>
      <c r="F231">
        <v>0</v>
      </c>
      <c r="G231">
        <v>0</v>
      </c>
      <c r="H231">
        <v>0</v>
      </c>
      <c r="I231">
        <v>0</v>
      </c>
      <c r="J231">
        <v>0</v>
      </c>
      <c r="K231">
        <v>567</v>
      </c>
      <c r="L231">
        <v>567</v>
      </c>
      <c r="M231" s="51">
        <v>0</v>
      </c>
      <c r="N231" s="51">
        <v>0</v>
      </c>
      <c r="O231" s="51">
        <v>0</v>
      </c>
      <c r="P231" s="51">
        <v>0</v>
      </c>
      <c r="Q231" s="51">
        <v>0</v>
      </c>
      <c r="R231" s="51">
        <v>0</v>
      </c>
      <c r="S231" s="51">
        <v>0</v>
      </c>
      <c r="T231" s="51">
        <v>0</v>
      </c>
      <c r="U231" s="51">
        <v>4.3633207102285629</v>
      </c>
      <c r="V231" s="53">
        <v>4.4447684604874196</v>
      </c>
    </row>
    <row r="232" spans="1:22" x14ac:dyDescent="0.35">
      <c r="A232" s="4" t="s">
        <v>100</v>
      </c>
      <c r="B232" s="54" t="s">
        <v>262</v>
      </c>
      <c r="C232">
        <v>4125</v>
      </c>
      <c r="D232">
        <v>4261</v>
      </c>
      <c r="E232">
        <v>4261</v>
      </c>
      <c r="F232">
        <v>4261</v>
      </c>
      <c r="G232">
        <v>4445</v>
      </c>
      <c r="H232">
        <v>4445</v>
      </c>
      <c r="I232">
        <v>4494</v>
      </c>
      <c r="J232">
        <v>4494</v>
      </c>
      <c r="K232">
        <v>4599</v>
      </c>
      <c r="L232">
        <v>4599</v>
      </c>
      <c r="M232" s="51">
        <v>31.924452427922326</v>
      </c>
      <c r="N232" s="51">
        <v>32.950470671297211</v>
      </c>
      <c r="O232" s="51">
        <v>32.931167599626249</v>
      </c>
      <c r="P232" s="51">
        <v>32.910056914857876</v>
      </c>
      <c r="Q232" s="51">
        <v>34.314228786743051</v>
      </c>
      <c r="R232" s="51">
        <v>34.290457532676221</v>
      </c>
      <c r="S232" s="51">
        <v>34.627084636793164</v>
      </c>
      <c r="T232" s="51">
        <v>34.598106881512642</v>
      </c>
      <c r="U232" s="51">
        <v>35.391379094076122</v>
      </c>
      <c r="V232" s="53">
        <v>36.052010846175733</v>
      </c>
    </row>
    <row r="233" spans="1:22" x14ac:dyDescent="0.35">
      <c r="A233" s="4" t="s">
        <v>100</v>
      </c>
      <c r="B233" s="54" t="s">
        <v>263</v>
      </c>
      <c r="C233">
        <v>494</v>
      </c>
      <c r="D233">
        <v>497</v>
      </c>
      <c r="E233">
        <v>514</v>
      </c>
      <c r="F233">
        <v>531</v>
      </c>
      <c r="G233">
        <v>531</v>
      </c>
      <c r="H233">
        <v>531</v>
      </c>
      <c r="I233">
        <v>536</v>
      </c>
      <c r="J233">
        <v>536</v>
      </c>
      <c r="K233">
        <v>41</v>
      </c>
      <c r="L233">
        <v>41</v>
      </c>
      <c r="M233" s="51">
        <v>3.8231950301560311</v>
      </c>
      <c r="N233" s="51">
        <v>3.8433193906676166</v>
      </c>
      <c r="O233" s="51">
        <v>3.9724525102576607</v>
      </c>
      <c r="P233" s="51">
        <v>4.1012063416544313</v>
      </c>
      <c r="Q233" s="51">
        <v>4.0991800867852781</v>
      </c>
      <c r="R233" s="51">
        <v>4.0963403711700952</v>
      </c>
      <c r="S233" s="51">
        <v>4.1299771618427101</v>
      </c>
      <c r="T233" s="51">
        <v>4.1265209809725807</v>
      </c>
      <c r="U233" s="51">
        <v>0.3155134905103546</v>
      </c>
      <c r="V233" s="53">
        <v>0.32140301037034252</v>
      </c>
    </row>
    <row r="234" spans="1:22" x14ac:dyDescent="0.35">
      <c r="B234" s="4" t="s">
        <v>94</v>
      </c>
      <c r="C234">
        <v>3963</v>
      </c>
      <c r="D234">
        <v>3963</v>
      </c>
      <c r="E234">
        <v>3963</v>
      </c>
      <c r="F234">
        <v>6247</v>
      </c>
      <c r="G234">
        <v>6247</v>
      </c>
      <c r="H234">
        <v>10502</v>
      </c>
      <c r="I234">
        <v>10502</v>
      </c>
      <c r="J234">
        <v>16415</v>
      </c>
      <c r="K234">
        <v>12073</v>
      </c>
      <c r="L234">
        <v>12073</v>
      </c>
      <c r="M234" s="51"/>
      <c r="N234" s="51"/>
      <c r="O234" s="51"/>
      <c r="P234" s="51"/>
      <c r="Q234" s="51"/>
      <c r="R234" s="51"/>
      <c r="S234" s="51"/>
      <c r="T234" s="51"/>
      <c r="U234" s="51"/>
      <c r="V234" s="51"/>
    </row>
    <row r="235" spans="1:22" x14ac:dyDescent="0.35">
      <c r="A235" s="4" t="s">
        <v>94</v>
      </c>
      <c r="B235" s="54" t="s">
        <v>257</v>
      </c>
      <c r="C235">
        <v>0</v>
      </c>
      <c r="D235">
        <v>0</v>
      </c>
      <c r="E235">
        <v>0</v>
      </c>
      <c r="F235">
        <v>0</v>
      </c>
      <c r="G235">
        <v>0</v>
      </c>
      <c r="H235">
        <v>112</v>
      </c>
      <c r="I235">
        <v>112</v>
      </c>
      <c r="J235">
        <v>149</v>
      </c>
      <c r="K235">
        <v>101</v>
      </c>
      <c r="L235">
        <v>101</v>
      </c>
      <c r="M235" s="51">
        <v>0</v>
      </c>
      <c r="N235" s="51">
        <v>0</v>
      </c>
      <c r="O235" s="51">
        <v>0</v>
      </c>
      <c r="P235" s="51">
        <v>0</v>
      </c>
      <c r="Q235" s="51">
        <v>0</v>
      </c>
      <c r="R235" s="51">
        <v>5.936184846859946E-2</v>
      </c>
      <c r="S235" s="51">
        <v>5.7800303152268556E-2</v>
      </c>
      <c r="T235" s="51">
        <v>7.49129878105005E-2</v>
      </c>
      <c r="U235" s="51">
        <v>4.9496903184596451E-2</v>
      </c>
      <c r="V235" s="53">
        <v>4.872599141351544E-2</v>
      </c>
    </row>
    <row r="236" spans="1:22" x14ac:dyDescent="0.35">
      <c r="A236" s="4" t="s">
        <v>94</v>
      </c>
      <c r="B236" s="54" t="s">
        <v>258</v>
      </c>
      <c r="C236">
        <v>0</v>
      </c>
      <c r="D236">
        <v>0</v>
      </c>
      <c r="E236">
        <v>0</v>
      </c>
      <c r="F236">
        <v>0</v>
      </c>
      <c r="G236">
        <v>0</v>
      </c>
      <c r="H236">
        <v>542</v>
      </c>
      <c r="I236">
        <v>542</v>
      </c>
      <c r="J236">
        <v>743</v>
      </c>
      <c r="K236">
        <v>90</v>
      </c>
      <c r="L236">
        <v>90</v>
      </c>
      <c r="M236" s="51">
        <v>0</v>
      </c>
      <c r="N236" s="51">
        <v>0</v>
      </c>
      <c r="O236" s="51">
        <v>0</v>
      </c>
      <c r="P236" s="51">
        <v>0</v>
      </c>
      <c r="Q236" s="51">
        <v>0</v>
      </c>
      <c r="R236" s="51">
        <v>0.2872689452676867</v>
      </c>
      <c r="S236" s="51">
        <v>0.27971218132615672</v>
      </c>
      <c r="T236" s="51">
        <v>0.37355939559195889</v>
      </c>
      <c r="U236" s="51">
        <v>4.4106151352610694E-2</v>
      </c>
      <c r="V236" s="53">
        <v>4.3419200269469202E-2</v>
      </c>
    </row>
    <row r="237" spans="1:22" x14ac:dyDescent="0.35">
      <c r="A237" s="4" t="s">
        <v>94</v>
      </c>
      <c r="B237" s="54" t="s">
        <v>259</v>
      </c>
      <c r="C237">
        <v>0</v>
      </c>
      <c r="D237">
        <v>0</v>
      </c>
      <c r="E237">
        <v>0</v>
      </c>
      <c r="F237">
        <v>397</v>
      </c>
      <c r="G237">
        <v>397</v>
      </c>
      <c r="H237">
        <v>397</v>
      </c>
      <c r="I237">
        <v>397</v>
      </c>
      <c r="J237">
        <v>282</v>
      </c>
      <c r="K237">
        <v>209</v>
      </c>
      <c r="L237">
        <v>209</v>
      </c>
      <c r="M237" s="51">
        <v>0</v>
      </c>
      <c r="N237" s="51">
        <v>0</v>
      </c>
      <c r="O237" s="51">
        <v>0</v>
      </c>
      <c r="P237" s="51">
        <v>0.22202130319570307</v>
      </c>
      <c r="Q237" s="51">
        <v>0.21613813633285883</v>
      </c>
      <c r="R237" s="51">
        <v>0.21041655216101773</v>
      </c>
      <c r="S237" s="51">
        <v>0.20488143170938047</v>
      </c>
      <c r="T237" s="51">
        <v>0.14178162793665197</v>
      </c>
      <c r="U237" s="51">
        <v>0.10242428480772928</v>
      </c>
      <c r="V237" s="53">
        <v>0.10082903173687849</v>
      </c>
    </row>
    <row r="238" spans="1:22" x14ac:dyDescent="0.35">
      <c r="A238" s="4" t="s">
        <v>94</v>
      </c>
      <c r="B238" s="54" t="s">
        <v>260</v>
      </c>
      <c r="C238">
        <v>200</v>
      </c>
      <c r="D238">
        <v>200</v>
      </c>
      <c r="E238">
        <v>200</v>
      </c>
      <c r="F238">
        <v>539</v>
      </c>
      <c r="G238">
        <v>539</v>
      </c>
      <c r="H238">
        <v>539</v>
      </c>
      <c r="I238">
        <v>539</v>
      </c>
      <c r="J238">
        <v>958</v>
      </c>
      <c r="K238">
        <v>1115</v>
      </c>
      <c r="L238">
        <v>1115</v>
      </c>
      <c r="M238" s="51">
        <v>0.12137420358799138</v>
      </c>
      <c r="N238" s="51">
        <v>0.11807112864546086</v>
      </c>
      <c r="O238" s="51">
        <v>0.11490538920063997</v>
      </c>
      <c r="P238" s="51">
        <v>0.30143446454026185</v>
      </c>
      <c r="Q238" s="51">
        <v>0.29344699114209294</v>
      </c>
      <c r="R238" s="51">
        <v>0.28567889575513489</v>
      </c>
      <c r="S238" s="51">
        <v>0.27816395892029239</v>
      </c>
      <c r="T238" s="51">
        <v>0.4816553176003992</v>
      </c>
      <c r="U238" s="51">
        <v>0.54642620842401024</v>
      </c>
      <c r="V238" s="53">
        <v>0.53791564778286849</v>
      </c>
    </row>
    <row r="239" spans="1:22" x14ac:dyDescent="0.35">
      <c r="A239" s="4" t="s">
        <v>94</v>
      </c>
      <c r="B239" s="54" t="s">
        <v>261</v>
      </c>
      <c r="C239">
        <v>48</v>
      </c>
      <c r="D239">
        <v>48</v>
      </c>
      <c r="E239">
        <v>48</v>
      </c>
      <c r="F239">
        <v>568</v>
      </c>
      <c r="G239">
        <v>568</v>
      </c>
      <c r="H239">
        <v>568</v>
      </c>
      <c r="I239">
        <v>568</v>
      </c>
      <c r="J239">
        <v>568</v>
      </c>
      <c r="K239">
        <v>616</v>
      </c>
      <c r="L239">
        <v>616</v>
      </c>
      <c r="M239" s="51">
        <v>2.9129808861117934E-2</v>
      </c>
      <c r="N239" s="51">
        <v>2.8337070874910605E-2</v>
      </c>
      <c r="O239" s="51">
        <v>2.7577293408153594E-2</v>
      </c>
      <c r="P239" s="51">
        <v>0.31765264537823512</v>
      </c>
      <c r="Q239" s="51">
        <v>0.30923541923693659</v>
      </c>
      <c r="R239" s="51">
        <v>0.30104937437646873</v>
      </c>
      <c r="S239" s="51">
        <v>0.29313010884364765</v>
      </c>
      <c r="T239" s="51">
        <v>0.2855743427943912</v>
      </c>
      <c r="U239" s="51">
        <v>0.30188210259120213</v>
      </c>
      <c r="V239" s="53">
        <v>0.29718030406658924</v>
      </c>
    </row>
    <row r="240" spans="1:22" x14ac:dyDescent="0.35">
      <c r="A240" s="4" t="s">
        <v>94</v>
      </c>
      <c r="B240" s="54" t="s">
        <v>262</v>
      </c>
      <c r="C240">
        <v>3545</v>
      </c>
      <c r="D240">
        <v>3545</v>
      </c>
      <c r="E240">
        <v>3545</v>
      </c>
      <c r="F240">
        <v>4573</v>
      </c>
      <c r="G240">
        <v>4573</v>
      </c>
      <c r="H240">
        <v>7957</v>
      </c>
      <c r="I240">
        <v>7957</v>
      </c>
      <c r="J240">
        <v>13564</v>
      </c>
      <c r="K240">
        <v>9819</v>
      </c>
      <c r="L240">
        <v>9819</v>
      </c>
      <c r="M240" s="51">
        <v>2.1513577585971473</v>
      </c>
      <c r="N240" s="51">
        <v>2.0928107552407935</v>
      </c>
      <c r="O240" s="51">
        <v>2.0366980235813434</v>
      </c>
      <c r="P240" s="51">
        <v>2.5574393438638539</v>
      </c>
      <c r="Q240" s="51">
        <v>2.489671781990336</v>
      </c>
      <c r="R240" s="51">
        <v>4.2173413237914819</v>
      </c>
      <c r="S240" s="51">
        <v>4.106401894487508</v>
      </c>
      <c r="T240" s="51">
        <v>6.819595749406905</v>
      </c>
      <c r="U240" s="51">
        <v>4.8119811125698266</v>
      </c>
      <c r="V240" s="53">
        <v>4.7370347493990899</v>
      </c>
    </row>
    <row r="241" spans="1:22" x14ac:dyDescent="0.35">
      <c r="A241" s="4" t="s">
        <v>94</v>
      </c>
      <c r="B241" s="54" t="s">
        <v>263</v>
      </c>
      <c r="C241">
        <v>170</v>
      </c>
      <c r="D241">
        <v>170</v>
      </c>
      <c r="E241">
        <v>170</v>
      </c>
      <c r="F241">
        <v>170</v>
      </c>
      <c r="G241">
        <v>170</v>
      </c>
      <c r="H241">
        <v>387</v>
      </c>
      <c r="I241">
        <v>387</v>
      </c>
      <c r="J241">
        <v>151</v>
      </c>
      <c r="K241">
        <v>123</v>
      </c>
      <c r="L241">
        <v>123</v>
      </c>
      <c r="M241" s="51">
        <v>0.10316807304979268</v>
      </c>
      <c r="N241" s="51">
        <v>0.10036045934864173</v>
      </c>
      <c r="O241" s="51">
        <v>9.7669580820543972E-2</v>
      </c>
      <c r="P241" s="51">
        <v>9.507209456742953E-2</v>
      </c>
      <c r="Q241" s="51">
        <v>9.2552854349083127E-2</v>
      </c>
      <c r="R241" s="51">
        <v>0.20511638711917848</v>
      </c>
      <c r="S241" s="51">
        <v>0.19972069035649936</v>
      </c>
      <c r="T241" s="51">
        <v>7.5918531271044143E-2</v>
      </c>
      <c r="U241" s="51">
        <v>6.0278406848567952E-2</v>
      </c>
      <c r="V241" s="53">
        <v>5.9339573701607917E-2</v>
      </c>
    </row>
    <row r="242" spans="1:22" x14ac:dyDescent="0.35">
      <c r="B242" s="4" t="s">
        <v>104</v>
      </c>
      <c r="C242">
        <v>4212</v>
      </c>
      <c r="D242">
        <v>4433</v>
      </c>
      <c r="E242">
        <v>4884</v>
      </c>
      <c r="F242">
        <v>4921</v>
      </c>
      <c r="G242">
        <v>6796</v>
      </c>
      <c r="H242">
        <v>8020</v>
      </c>
      <c r="I242">
        <v>9193</v>
      </c>
      <c r="J242">
        <v>9573</v>
      </c>
      <c r="K242">
        <v>19203</v>
      </c>
      <c r="L242">
        <v>19203</v>
      </c>
      <c r="M242" s="51"/>
      <c r="N242" s="51"/>
      <c r="O242" s="51"/>
      <c r="P242" s="51"/>
      <c r="Q242" s="51"/>
      <c r="R242" s="51"/>
      <c r="S242" s="51"/>
      <c r="T242" s="51"/>
      <c r="U242" s="51"/>
      <c r="V242" s="51"/>
    </row>
    <row r="243" spans="1:22" x14ac:dyDescent="0.35">
      <c r="A243" s="4" t="s">
        <v>104</v>
      </c>
      <c r="B243" s="54" t="s">
        <v>257</v>
      </c>
      <c r="C243">
        <v>0</v>
      </c>
      <c r="D243">
        <v>68</v>
      </c>
      <c r="E243">
        <v>68</v>
      </c>
      <c r="F243">
        <v>68</v>
      </c>
      <c r="G243">
        <v>68</v>
      </c>
      <c r="H243">
        <v>87</v>
      </c>
      <c r="I243">
        <v>138</v>
      </c>
      <c r="J243">
        <v>161</v>
      </c>
      <c r="K243">
        <v>224</v>
      </c>
      <c r="L243">
        <v>224</v>
      </c>
      <c r="M243" s="51">
        <v>0</v>
      </c>
      <c r="N243" s="51">
        <v>0.29789232419095946</v>
      </c>
      <c r="O243" s="51">
        <v>0.29268057530671204</v>
      </c>
      <c r="P243" s="51">
        <v>0.28758309248249336</v>
      </c>
      <c r="Q243" s="51">
        <v>0.28266436101227094</v>
      </c>
      <c r="R243" s="51">
        <v>0.35558912534884518</v>
      </c>
      <c r="S243" s="51">
        <v>0.55441770472677254</v>
      </c>
      <c r="T243" s="51">
        <v>0.63632565803384855</v>
      </c>
      <c r="U243" s="51">
        <v>0.87260986703607157</v>
      </c>
      <c r="V243" s="53">
        <v>0.83566592314783406</v>
      </c>
    </row>
    <row r="244" spans="1:22" x14ac:dyDescent="0.35">
      <c r="A244" s="4" t="s">
        <v>104</v>
      </c>
      <c r="B244" s="54" t="s">
        <v>258</v>
      </c>
      <c r="C244">
        <v>0</v>
      </c>
      <c r="D244">
        <v>0</v>
      </c>
      <c r="E244">
        <v>0</v>
      </c>
      <c r="F244">
        <v>0</v>
      </c>
      <c r="G244">
        <v>0</v>
      </c>
      <c r="H244">
        <v>0</v>
      </c>
      <c r="I244">
        <v>503</v>
      </c>
      <c r="J244">
        <v>503</v>
      </c>
      <c r="K244">
        <v>97</v>
      </c>
      <c r="L244">
        <v>97</v>
      </c>
      <c r="M244" s="51">
        <v>0</v>
      </c>
      <c r="N244" s="51">
        <v>0</v>
      </c>
      <c r="O244" s="51">
        <v>0</v>
      </c>
      <c r="P244" s="51">
        <v>0</v>
      </c>
      <c r="Q244" s="51">
        <v>0</v>
      </c>
      <c r="R244" s="51">
        <v>0</v>
      </c>
      <c r="S244" s="51">
        <v>2.020812358533091</v>
      </c>
      <c r="T244" s="51">
        <v>1.9880236396958126</v>
      </c>
      <c r="U244" s="51">
        <v>0.37787123706472742</v>
      </c>
      <c r="V244" s="53">
        <v>0.3618731899345532</v>
      </c>
    </row>
    <row r="245" spans="1:22" x14ac:dyDescent="0.35">
      <c r="A245" s="4" t="s">
        <v>104</v>
      </c>
      <c r="B245" s="54" t="s">
        <v>259</v>
      </c>
      <c r="C245">
        <v>0</v>
      </c>
      <c r="D245">
        <v>0</v>
      </c>
      <c r="E245">
        <v>0</v>
      </c>
      <c r="F245">
        <v>0</v>
      </c>
      <c r="G245">
        <v>0</v>
      </c>
      <c r="H245">
        <v>140</v>
      </c>
      <c r="I245">
        <v>140</v>
      </c>
      <c r="J245">
        <v>99</v>
      </c>
      <c r="K245">
        <v>1065</v>
      </c>
      <c r="L245">
        <v>1065</v>
      </c>
      <c r="M245" s="51">
        <v>0</v>
      </c>
      <c r="N245" s="51">
        <v>0</v>
      </c>
      <c r="O245" s="51">
        <v>0</v>
      </c>
      <c r="P245" s="51">
        <v>0</v>
      </c>
      <c r="Q245" s="51">
        <v>0</v>
      </c>
      <c r="R245" s="51">
        <v>0.57221238561883137</v>
      </c>
      <c r="S245" s="51">
        <v>0.56245274392571121</v>
      </c>
      <c r="T245" s="51">
        <v>0.39128099469162114</v>
      </c>
      <c r="U245" s="51">
        <v>4.1487924481848939</v>
      </c>
      <c r="V245" s="53">
        <v>3.9731437863948367</v>
      </c>
    </row>
    <row r="246" spans="1:22" x14ac:dyDescent="0.35">
      <c r="A246" s="4" t="s">
        <v>104</v>
      </c>
      <c r="B246" s="54" t="s">
        <v>260</v>
      </c>
      <c r="C246">
        <v>0</v>
      </c>
      <c r="D246">
        <v>0</v>
      </c>
      <c r="E246">
        <v>0</v>
      </c>
      <c r="F246">
        <v>0</v>
      </c>
      <c r="G246">
        <v>1421</v>
      </c>
      <c r="H246">
        <v>1421</v>
      </c>
      <c r="I246">
        <v>1421</v>
      </c>
      <c r="J246">
        <v>1036</v>
      </c>
      <c r="K246">
        <v>1597</v>
      </c>
      <c r="L246">
        <v>1597</v>
      </c>
      <c r="M246" s="51">
        <v>0</v>
      </c>
      <c r="N246" s="51">
        <v>0</v>
      </c>
      <c r="O246" s="51">
        <v>0</v>
      </c>
      <c r="P246" s="51">
        <v>0</v>
      </c>
      <c r="Q246" s="51">
        <v>5.9068537793887801</v>
      </c>
      <c r="R246" s="51">
        <v>5.807955714031138</v>
      </c>
      <c r="S246" s="51">
        <v>5.7088953508459692</v>
      </c>
      <c r="T246" s="51">
        <v>4.0946172777830254</v>
      </c>
      <c r="U246" s="51">
        <v>6.2212408823955636</v>
      </c>
      <c r="V246" s="53">
        <v>5.957850353870942</v>
      </c>
    </row>
    <row r="247" spans="1:22" x14ac:dyDescent="0.35">
      <c r="A247" s="4" t="s">
        <v>104</v>
      </c>
      <c r="B247" s="54" t="s">
        <v>261</v>
      </c>
      <c r="C247">
        <v>0</v>
      </c>
      <c r="D247">
        <v>0</v>
      </c>
      <c r="E247">
        <v>0</v>
      </c>
      <c r="F247">
        <v>0</v>
      </c>
      <c r="G247">
        <v>0</v>
      </c>
      <c r="H247">
        <v>5</v>
      </c>
      <c r="I247">
        <v>5</v>
      </c>
      <c r="J247">
        <v>5</v>
      </c>
      <c r="K247">
        <v>7</v>
      </c>
      <c r="L247">
        <v>7</v>
      </c>
      <c r="M247" s="51">
        <v>0</v>
      </c>
      <c r="N247" s="51">
        <v>0</v>
      </c>
      <c r="O247" s="51">
        <v>0</v>
      </c>
      <c r="P247" s="51">
        <v>0</v>
      </c>
      <c r="Q247" s="51">
        <v>0</v>
      </c>
      <c r="R247" s="51">
        <v>2.0436156629243977E-2</v>
      </c>
      <c r="S247" s="51">
        <v>2.0087597997346829E-2</v>
      </c>
      <c r="T247" s="51">
        <v>1.9761666398566725E-2</v>
      </c>
      <c r="U247" s="51">
        <v>2.7269058344877237E-2</v>
      </c>
      <c r="V247" s="53">
        <v>2.6114560098369814E-2</v>
      </c>
    </row>
    <row r="248" spans="1:22" x14ac:dyDescent="0.35">
      <c r="A248" s="4" t="s">
        <v>104</v>
      </c>
      <c r="B248" s="54" t="s">
        <v>262</v>
      </c>
      <c r="C248">
        <v>4212</v>
      </c>
      <c r="D248">
        <v>4365</v>
      </c>
      <c r="E248">
        <v>4816</v>
      </c>
      <c r="F248">
        <v>4853</v>
      </c>
      <c r="G248">
        <v>5307</v>
      </c>
      <c r="H248">
        <v>5903</v>
      </c>
      <c r="I248">
        <v>6440</v>
      </c>
      <c r="J248">
        <v>7166</v>
      </c>
      <c r="K248">
        <v>15558</v>
      </c>
      <c r="L248">
        <v>15558</v>
      </c>
      <c r="M248" s="51">
        <v>18.778413384568264</v>
      </c>
      <c r="N248" s="51">
        <v>19.122058751375562</v>
      </c>
      <c r="O248" s="51">
        <v>20.728671333487135</v>
      </c>
      <c r="P248" s="51">
        <v>20.524128644375594</v>
      </c>
      <c r="Q248" s="51">
        <v>22.060290645472381</v>
      </c>
      <c r="R248" s="51">
        <v>24.12692651648544</v>
      </c>
      <c r="S248" s="51">
        <v>25.87282622058272</v>
      </c>
      <c r="T248" s="51">
        <v>28.322420282425831</v>
      </c>
      <c r="U248" s="51">
        <v>60.60742996137143</v>
      </c>
      <c r="V248" s="53">
        <v>58.041475144348226</v>
      </c>
    </row>
    <row r="249" spans="1:22" x14ac:dyDescent="0.35">
      <c r="A249" s="4" t="s">
        <v>104</v>
      </c>
      <c r="B249" s="54" t="s">
        <v>263</v>
      </c>
      <c r="C249">
        <v>0</v>
      </c>
      <c r="D249">
        <v>0</v>
      </c>
      <c r="E249">
        <v>0</v>
      </c>
      <c r="F249">
        <v>0</v>
      </c>
      <c r="G249">
        <v>0</v>
      </c>
      <c r="H249">
        <v>464</v>
      </c>
      <c r="I249">
        <v>546</v>
      </c>
      <c r="J249">
        <v>603</v>
      </c>
      <c r="K249">
        <v>655</v>
      </c>
      <c r="L249">
        <v>655</v>
      </c>
      <c r="M249" s="51">
        <v>0</v>
      </c>
      <c r="N249" s="51">
        <v>0</v>
      </c>
      <c r="O249" s="51">
        <v>0</v>
      </c>
      <c r="P249" s="51">
        <v>0</v>
      </c>
      <c r="Q249" s="51">
        <v>0</v>
      </c>
      <c r="R249" s="51">
        <v>1.8964753351938413</v>
      </c>
      <c r="S249" s="51">
        <v>2.1935657013102738</v>
      </c>
      <c r="T249" s="51">
        <v>2.3832569676671471</v>
      </c>
      <c r="U249" s="51">
        <v>2.5516047451277988</v>
      </c>
      <c r="V249" s="53">
        <v>2.4435766949188902</v>
      </c>
    </row>
    <row r="250" spans="1:22" x14ac:dyDescent="0.35">
      <c r="B250" s="4" t="s">
        <v>106</v>
      </c>
      <c r="C250">
        <v>5929</v>
      </c>
      <c r="D250">
        <v>5929</v>
      </c>
      <c r="E250">
        <v>6613</v>
      </c>
      <c r="F250">
        <v>6363</v>
      </c>
      <c r="G250">
        <v>6363</v>
      </c>
      <c r="H250">
        <v>6353</v>
      </c>
      <c r="I250">
        <v>6423</v>
      </c>
      <c r="J250">
        <v>6423</v>
      </c>
      <c r="K250">
        <v>7091</v>
      </c>
      <c r="L250">
        <v>13159</v>
      </c>
      <c r="M250" s="51"/>
      <c r="N250" s="51"/>
      <c r="O250" s="51"/>
      <c r="P250" s="51"/>
      <c r="Q250" s="51"/>
      <c r="R250" s="51"/>
      <c r="S250" s="51"/>
      <c r="T250" s="51"/>
      <c r="U250" s="51"/>
      <c r="V250" s="51"/>
    </row>
    <row r="251" spans="1:22" x14ac:dyDescent="0.35">
      <c r="A251" s="4" t="s">
        <v>106</v>
      </c>
      <c r="B251" s="54" t="s">
        <v>257</v>
      </c>
      <c r="C251">
        <v>30</v>
      </c>
      <c r="D251">
        <v>30</v>
      </c>
      <c r="E251">
        <v>30</v>
      </c>
      <c r="F251">
        <v>30</v>
      </c>
      <c r="G251">
        <v>30</v>
      </c>
      <c r="H251">
        <v>30</v>
      </c>
      <c r="I251">
        <v>30</v>
      </c>
      <c r="J251">
        <v>30</v>
      </c>
      <c r="K251">
        <v>28</v>
      </c>
      <c r="L251">
        <v>28</v>
      </c>
      <c r="M251" s="51">
        <v>1.5486257649824123E-2</v>
      </c>
      <c r="N251" s="51">
        <v>1.4904518672480355E-2</v>
      </c>
      <c r="O251" s="51">
        <v>1.4339149467613669E-2</v>
      </c>
      <c r="P251" s="51">
        <v>1.3800767157044725E-2</v>
      </c>
      <c r="Q251" s="51">
        <v>1.328782518962391E-2</v>
      </c>
      <c r="R251" s="51">
        <v>1.2796782445271469E-2</v>
      </c>
      <c r="S251" s="51">
        <v>1.2328612255651529E-2</v>
      </c>
      <c r="T251" s="51">
        <v>1.1879907441265143E-2</v>
      </c>
      <c r="U251" s="51">
        <v>1.068377005977989E-2</v>
      </c>
      <c r="V251" s="53">
        <v>1.0344994482053836E-2</v>
      </c>
    </row>
    <row r="252" spans="1:22" x14ac:dyDescent="0.35">
      <c r="A252" s="4" t="s">
        <v>106</v>
      </c>
      <c r="B252" s="54" t="s">
        <v>258</v>
      </c>
      <c r="C252">
        <v>0</v>
      </c>
      <c r="D252">
        <v>0</v>
      </c>
      <c r="E252">
        <v>0</v>
      </c>
      <c r="F252">
        <v>0</v>
      </c>
      <c r="G252">
        <v>0</v>
      </c>
      <c r="H252">
        <v>432</v>
      </c>
      <c r="I252">
        <v>432</v>
      </c>
      <c r="J252">
        <v>432</v>
      </c>
      <c r="K252">
        <v>432</v>
      </c>
      <c r="L252">
        <v>432</v>
      </c>
      <c r="M252" s="51">
        <v>0</v>
      </c>
      <c r="N252" s="51">
        <v>0</v>
      </c>
      <c r="O252" s="51">
        <v>0</v>
      </c>
      <c r="P252" s="51">
        <v>0</v>
      </c>
      <c r="Q252" s="51">
        <v>0</v>
      </c>
      <c r="R252" s="51">
        <v>0.18427366721190913</v>
      </c>
      <c r="S252" s="51">
        <v>0.177532016481382</v>
      </c>
      <c r="T252" s="51">
        <v>0.17107066715421806</v>
      </c>
      <c r="U252" s="51">
        <v>0.16483530949374689</v>
      </c>
      <c r="V252" s="53">
        <v>0.15960848629454488</v>
      </c>
    </row>
    <row r="253" spans="1:22" x14ac:dyDescent="0.35">
      <c r="A253" s="4" t="s">
        <v>106</v>
      </c>
      <c r="B253" s="54" t="s">
        <v>259</v>
      </c>
      <c r="C253">
        <v>0</v>
      </c>
      <c r="D253">
        <v>0</v>
      </c>
      <c r="E253">
        <v>0</v>
      </c>
      <c r="F253">
        <v>0</v>
      </c>
      <c r="G253">
        <v>0</v>
      </c>
      <c r="H253">
        <v>0</v>
      </c>
      <c r="I253">
        <v>0</v>
      </c>
      <c r="J253">
        <v>0</v>
      </c>
      <c r="K253">
        <v>480</v>
      </c>
      <c r="L253">
        <v>649</v>
      </c>
      <c r="M253" s="51">
        <v>0</v>
      </c>
      <c r="N253" s="51">
        <v>0</v>
      </c>
      <c r="O253" s="51">
        <v>0</v>
      </c>
      <c r="P253" s="51">
        <v>0</v>
      </c>
      <c r="Q253" s="51">
        <v>0</v>
      </c>
      <c r="R253" s="51">
        <v>0</v>
      </c>
      <c r="S253" s="51">
        <v>0</v>
      </c>
      <c r="T253" s="51">
        <v>0</v>
      </c>
      <c r="U253" s="51">
        <v>0.18315034388194099</v>
      </c>
      <c r="V253" s="53">
        <v>0.23978219353046215</v>
      </c>
    </row>
    <row r="254" spans="1:22" x14ac:dyDescent="0.35">
      <c r="A254" s="4" t="s">
        <v>106</v>
      </c>
      <c r="B254" s="54" t="s">
        <v>260</v>
      </c>
      <c r="C254">
        <v>0</v>
      </c>
      <c r="D254">
        <v>0</v>
      </c>
      <c r="E254">
        <v>634</v>
      </c>
      <c r="F254">
        <v>681</v>
      </c>
      <c r="G254">
        <v>681</v>
      </c>
      <c r="H254">
        <v>818</v>
      </c>
      <c r="I254">
        <v>888</v>
      </c>
      <c r="J254">
        <v>888</v>
      </c>
      <c r="K254">
        <v>706</v>
      </c>
      <c r="L254">
        <v>994</v>
      </c>
      <c r="M254" s="51">
        <v>0</v>
      </c>
      <c r="N254" s="51">
        <v>0</v>
      </c>
      <c r="O254" s="51">
        <v>0.30303402541556884</v>
      </c>
      <c r="P254" s="51">
        <v>0.31327741446491525</v>
      </c>
      <c r="Q254" s="51">
        <v>0.30163363180446273</v>
      </c>
      <c r="R254" s="51">
        <v>0.34892560134106865</v>
      </c>
      <c r="S254" s="51">
        <v>0.36492692276728528</v>
      </c>
      <c r="T254" s="51">
        <v>0.35164526026144827</v>
      </c>
      <c r="U254" s="51">
        <v>0.26938363079302152</v>
      </c>
      <c r="V254" s="53">
        <v>0.36724730411291118</v>
      </c>
    </row>
    <row r="255" spans="1:22" x14ac:dyDescent="0.35">
      <c r="A255" s="4" t="s">
        <v>106</v>
      </c>
      <c r="B255" s="54" t="s">
        <v>261</v>
      </c>
      <c r="C255">
        <v>959</v>
      </c>
      <c r="D255">
        <v>959</v>
      </c>
      <c r="E255">
        <v>959</v>
      </c>
      <c r="F255">
        <v>856</v>
      </c>
      <c r="G255">
        <v>856</v>
      </c>
      <c r="H255">
        <v>906</v>
      </c>
      <c r="I255">
        <v>906</v>
      </c>
      <c r="J255">
        <v>906</v>
      </c>
      <c r="K255">
        <v>831</v>
      </c>
      <c r="L255">
        <v>1722</v>
      </c>
      <c r="M255" s="51">
        <v>0.49504403620604448</v>
      </c>
      <c r="N255" s="51">
        <v>0.47644778023028878</v>
      </c>
      <c r="O255" s="51">
        <v>0.45837481131471697</v>
      </c>
      <c r="P255" s="51">
        <v>0.39378188954767618</v>
      </c>
      <c r="Q255" s="51">
        <v>0.3791459454106022</v>
      </c>
      <c r="R255" s="51">
        <v>0.38646282984719832</v>
      </c>
      <c r="S255" s="51">
        <v>0.37232409012067613</v>
      </c>
      <c r="T255" s="51">
        <v>0.35877320472620733</v>
      </c>
      <c r="U255" s="51">
        <v>0.31707903284561034</v>
      </c>
      <c r="V255" s="53">
        <v>0.63621716064631084</v>
      </c>
    </row>
    <row r="256" spans="1:22" x14ac:dyDescent="0.35">
      <c r="A256" s="4" t="s">
        <v>106</v>
      </c>
      <c r="B256" s="54" t="s">
        <v>262</v>
      </c>
      <c r="C256">
        <v>4940</v>
      </c>
      <c r="D256">
        <v>4940</v>
      </c>
      <c r="E256">
        <v>4940</v>
      </c>
      <c r="F256">
        <v>4746</v>
      </c>
      <c r="G256">
        <v>4746</v>
      </c>
      <c r="H256">
        <v>4107</v>
      </c>
      <c r="I256">
        <v>4107</v>
      </c>
      <c r="J256">
        <v>4107</v>
      </c>
      <c r="K256">
        <v>4565</v>
      </c>
      <c r="L256">
        <v>9278</v>
      </c>
      <c r="M256" s="51">
        <v>2.5500704263377054</v>
      </c>
      <c r="N256" s="51">
        <v>2.4542774080684322</v>
      </c>
      <c r="O256" s="51">
        <v>2.3611799456670508</v>
      </c>
      <c r="P256" s="51">
        <v>2.1832813642444755</v>
      </c>
      <c r="Q256" s="51">
        <v>2.1021339449985024</v>
      </c>
      <c r="R256" s="51">
        <v>1.751879516757664</v>
      </c>
      <c r="S256" s="51">
        <v>1.6877870177986942</v>
      </c>
      <c r="T256" s="51">
        <v>1.6263593287091982</v>
      </c>
      <c r="U256" s="51">
        <v>1.741836082960543</v>
      </c>
      <c r="V256" s="53">
        <v>3.4278878144462674</v>
      </c>
    </row>
    <row r="257" spans="1:22" x14ac:dyDescent="0.35">
      <c r="A257" s="4" t="s">
        <v>106</v>
      </c>
      <c r="B257" s="54" t="s">
        <v>263</v>
      </c>
      <c r="C257">
        <v>0</v>
      </c>
      <c r="D257">
        <v>0</v>
      </c>
      <c r="E257">
        <v>50</v>
      </c>
      <c r="F257">
        <v>50</v>
      </c>
      <c r="G257">
        <v>50</v>
      </c>
      <c r="H257">
        <v>60</v>
      </c>
      <c r="I257">
        <v>60</v>
      </c>
      <c r="J257">
        <v>60</v>
      </c>
      <c r="K257">
        <v>49</v>
      </c>
      <c r="L257">
        <v>56</v>
      </c>
      <c r="M257" s="51">
        <v>0</v>
      </c>
      <c r="N257" s="51">
        <v>0</v>
      </c>
      <c r="O257" s="51">
        <v>2.3898582446022779E-2</v>
      </c>
      <c r="P257" s="51">
        <v>2.3001278595074542E-2</v>
      </c>
      <c r="Q257" s="51">
        <v>2.2146375316039846E-2</v>
      </c>
      <c r="R257" s="51">
        <v>2.5593564890542937E-2</v>
      </c>
      <c r="S257" s="51">
        <v>2.4657224511303057E-2</v>
      </c>
      <c r="T257" s="51">
        <v>2.3759814882530286E-2</v>
      </c>
      <c r="U257" s="51">
        <v>1.8696597604614808E-2</v>
      </c>
      <c r="V257" s="53">
        <v>2.0689988964107672E-2</v>
      </c>
    </row>
    <row r="258" spans="1:22" x14ac:dyDescent="0.35">
      <c r="B258" s="4" t="s">
        <v>108</v>
      </c>
      <c r="C258">
        <v>286920</v>
      </c>
      <c r="D258">
        <v>290517</v>
      </c>
      <c r="E258">
        <v>293514</v>
      </c>
      <c r="F258">
        <v>465060</v>
      </c>
      <c r="G258">
        <v>466466</v>
      </c>
      <c r="H258">
        <v>486941</v>
      </c>
      <c r="I258">
        <v>389716</v>
      </c>
      <c r="J258">
        <v>393062</v>
      </c>
      <c r="K258">
        <v>552519</v>
      </c>
      <c r="L258">
        <v>552980</v>
      </c>
      <c r="M258" s="51"/>
      <c r="N258" s="51"/>
      <c r="O258" s="51"/>
      <c r="P258" s="51"/>
      <c r="Q258" s="51"/>
      <c r="R258" s="51"/>
      <c r="S258" s="51"/>
      <c r="T258" s="51"/>
      <c r="U258" s="51"/>
      <c r="V258" s="51"/>
    </row>
    <row r="259" spans="1:22" x14ac:dyDescent="0.35">
      <c r="A259" s="4" t="s">
        <v>108</v>
      </c>
      <c r="B259" s="54" t="s">
        <v>257</v>
      </c>
      <c r="C259">
        <v>3930</v>
      </c>
      <c r="D259">
        <v>3930</v>
      </c>
      <c r="E259">
        <v>3772</v>
      </c>
      <c r="F259">
        <v>4183</v>
      </c>
      <c r="G259">
        <v>4358</v>
      </c>
      <c r="H259">
        <v>4609</v>
      </c>
      <c r="I259">
        <v>4722</v>
      </c>
      <c r="J259">
        <v>4892</v>
      </c>
      <c r="K259">
        <v>5048</v>
      </c>
      <c r="L259">
        <v>5048</v>
      </c>
      <c r="M259" s="51">
        <v>0.21908917150041674</v>
      </c>
      <c r="N259" s="51">
        <v>0.21359184940024578</v>
      </c>
      <c r="O259" s="51">
        <v>0.19992904850930129</v>
      </c>
      <c r="P259" s="51">
        <v>0.21618028333798295</v>
      </c>
      <c r="Q259" s="51">
        <v>0.2196709620337555</v>
      </c>
      <c r="R259" s="51">
        <v>0.22670428747831112</v>
      </c>
      <c r="S259" s="51">
        <v>0.22666244990667456</v>
      </c>
      <c r="T259" s="51">
        <v>0.22923944103195651</v>
      </c>
      <c r="U259" s="51">
        <v>0.23098618122425349</v>
      </c>
      <c r="V259" s="53">
        <v>0.22720071436801473</v>
      </c>
    </row>
    <row r="260" spans="1:22" x14ac:dyDescent="0.35">
      <c r="A260" s="4" t="s">
        <v>108</v>
      </c>
      <c r="B260" s="54" t="s">
        <v>258</v>
      </c>
      <c r="C260">
        <v>21973</v>
      </c>
      <c r="D260">
        <v>24126</v>
      </c>
      <c r="E260">
        <v>25896</v>
      </c>
      <c r="F260">
        <v>27499</v>
      </c>
      <c r="G260">
        <v>27499</v>
      </c>
      <c r="H260">
        <v>27499</v>
      </c>
      <c r="I260">
        <v>31378</v>
      </c>
      <c r="J260">
        <v>34554</v>
      </c>
      <c r="K260">
        <v>36833</v>
      </c>
      <c r="L260">
        <v>36833</v>
      </c>
      <c r="M260" s="51">
        <v>1.2249481845747219</v>
      </c>
      <c r="N260" s="51">
        <v>1.3112256892189131</v>
      </c>
      <c r="O260" s="51">
        <v>1.372577582236709</v>
      </c>
      <c r="P260" s="51">
        <v>1.421167012075351</v>
      </c>
      <c r="Q260" s="51">
        <v>1.3861247785604045</v>
      </c>
      <c r="R260" s="51">
        <v>1.3526016926374653</v>
      </c>
      <c r="S260" s="51">
        <v>1.5061868600532897</v>
      </c>
      <c r="T260" s="51">
        <v>1.6192027075670943</v>
      </c>
      <c r="U260" s="51">
        <v>1.6854029344360002</v>
      </c>
      <c r="V260" s="53">
        <v>1.6577820745477589</v>
      </c>
    </row>
    <row r="261" spans="1:22" x14ac:dyDescent="0.35">
      <c r="A261" s="4" t="s">
        <v>108</v>
      </c>
      <c r="B261" s="54" t="s">
        <v>259</v>
      </c>
      <c r="C261">
        <v>0</v>
      </c>
      <c r="D261">
        <v>0</v>
      </c>
      <c r="E261">
        <v>0</v>
      </c>
      <c r="F261">
        <v>0</v>
      </c>
      <c r="G261">
        <v>0</v>
      </c>
      <c r="H261">
        <v>29246</v>
      </c>
      <c r="I261">
        <v>29803</v>
      </c>
      <c r="J261">
        <v>29803</v>
      </c>
      <c r="K261">
        <v>38712</v>
      </c>
      <c r="L261">
        <v>38712</v>
      </c>
      <c r="M261" s="51">
        <v>0</v>
      </c>
      <c r="N261" s="51">
        <v>0</v>
      </c>
      <c r="O261" s="51">
        <v>0</v>
      </c>
      <c r="P261" s="51">
        <v>0</v>
      </c>
      <c r="Q261" s="51">
        <v>0</v>
      </c>
      <c r="R261" s="51">
        <v>1.438531913992338</v>
      </c>
      <c r="S261" s="51">
        <v>1.4305847087184713</v>
      </c>
      <c r="T261" s="51">
        <v>1.3965705357881029</v>
      </c>
      <c r="U261" s="51">
        <v>1.7713821409574686</v>
      </c>
      <c r="V261" s="53">
        <v>1.7423522295195299</v>
      </c>
    </row>
    <row r="262" spans="1:22" x14ac:dyDescent="0.35">
      <c r="A262" s="4" t="s">
        <v>108</v>
      </c>
      <c r="B262" s="54" t="s">
        <v>260</v>
      </c>
      <c r="C262">
        <v>65759</v>
      </c>
      <c r="D262">
        <v>65759</v>
      </c>
      <c r="E262">
        <v>65759</v>
      </c>
      <c r="F262">
        <v>83565</v>
      </c>
      <c r="G262">
        <v>83565</v>
      </c>
      <c r="H262">
        <v>74543</v>
      </c>
      <c r="I262">
        <v>74543</v>
      </c>
      <c r="J262">
        <v>74543</v>
      </c>
      <c r="K262">
        <v>86181</v>
      </c>
      <c r="L262">
        <v>86642</v>
      </c>
      <c r="M262" s="51">
        <v>3.6659248927979404</v>
      </c>
      <c r="N262" s="51">
        <v>3.5739405660841634</v>
      </c>
      <c r="O262" s="51">
        <v>3.4854544806264962</v>
      </c>
      <c r="P262" s="51">
        <v>4.3186960021846872</v>
      </c>
      <c r="Q262" s="51">
        <v>4.2122083392268879</v>
      </c>
      <c r="R262" s="51">
        <v>3.6665692561283891</v>
      </c>
      <c r="S262" s="51">
        <v>3.578165820286582</v>
      </c>
      <c r="T262" s="51">
        <v>3.4930898717999042</v>
      </c>
      <c r="U262" s="51">
        <v>3.9434667361504339</v>
      </c>
      <c r="V262" s="53">
        <v>3.8995888063140915</v>
      </c>
    </row>
    <row r="263" spans="1:22" x14ac:dyDescent="0.35">
      <c r="A263" s="4" t="s">
        <v>108</v>
      </c>
      <c r="B263" s="54" t="s">
        <v>261</v>
      </c>
      <c r="C263">
        <v>101275</v>
      </c>
      <c r="D263">
        <v>101275</v>
      </c>
      <c r="E263">
        <v>101275</v>
      </c>
      <c r="F263">
        <v>141275</v>
      </c>
      <c r="G263">
        <v>141275</v>
      </c>
      <c r="H263">
        <v>141275</v>
      </c>
      <c r="I263">
        <v>120870</v>
      </c>
      <c r="J263">
        <v>120870</v>
      </c>
      <c r="K263">
        <v>146787</v>
      </c>
      <c r="L263">
        <v>146787</v>
      </c>
      <c r="M263" s="51">
        <v>5.6458666268968711</v>
      </c>
      <c r="N263" s="51">
        <v>5.5042021750661299</v>
      </c>
      <c r="O263" s="51">
        <v>5.3679253414049546</v>
      </c>
      <c r="P263" s="51">
        <v>7.3011880297809091</v>
      </c>
      <c r="Q263" s="51">
        <v>7.1211599727670514</v>
      </c>
      <c r="R263" s="51">
        <v>6.9489364750484706</v>
      </c>
      <c r="S263" s="51">
        <v>5.8019250995806342</v>
      </c>
      <c r="T263" s="51">
        <v>5.6639761319567823</v>
      </c>
      <c r="U263" s="51">
        <v>6.7166736496363901</v>
      </c>
      <c r="V263" s="53">
        <v>6.6065989025233316</v>
      </c>
    </row>
    <row r="264" spans="1:22" x14ac:dyDescent="0.35">
      <c r="A264" s="4" t="s">
        <v>108</v>
      </c>
      <c r="B264" s="54" t="s">
        <v>262</v>
      </c>
      <c r="C264">
        <v>74920</v>
      </c>
      <c r="D264">
        <v>74920</v>
      </c>
      <c r="E264">
        <v>74920</v>
      </c>
      <c r="F264">
        <v>185101</v>
      </c>
      <c r="G264">
        <v>185101</v>
      </c>
      <c r="H264">
        <v>185101</v>
      </c>
      <c r="I264">
        <v>103732</v>
      </c>
      <c r="J264">
        <v>103732</v>
      </c>
      <c r="K264">
        <v>220681</v>
      </c>
      <c r="L264">
        <v>220681</v>
      </c>
      <c r="M264" s="51">
        <v>4.1766312287051459</v>
      </c>
      <c r="N264" s="51">
        <v>4.0718324063782223</v>
      </c>
      <c r="O264" s="51">
        <v>3.9710191713459313</v>
      </c>
      <c r="P264" s="51">
        <v>9.5661454999148887</v>
      </c>
      <c r="Q264" s="51">
        <v>9.3302695602134413</v>
      </c>
      <c r="R264" s="51">
        <v>9.1046192919337958</v>
      </c>
      <c r="S264" s="51">
        <v>4.9792776903259561</v>
      </c>
      <c r="T264" s="51">
        <v>4.860888327294953</v>
      </c>
      <c r="U264" s="51">
        <v>10.097912333349738</v>
      </c>
      <c r="V264" s="53">
        <v>9.9324248905403838</v>
      </c>
    </row>
    <row r="265" spans="1:22" x14ac:dyDescent="0.35">
      <c r="A265" s="4" t="s">
        <v>108</v>
      </c>
      <c r="B265" s="54" t="s">
        <v>263</v>
      </c>
      <c r="C265">
        <v>19063</v>
      </c>
      <c r="D265">
        <v>20507</v>
      </c>
      <c r="E265">
        <v>21892</v>
      </c>
      <c r="F265">
        <v>23437</v>
      </c>
      <c r="G265">
        <v>24668</v>
      </c>
      <c r="H265">
        <v>24668</v>
      </c>
      <c r="I265">
        <v>24668</v>
      </c>
      <c r="J265">
        <v>24668</v>
      </c>
      <c r="K265">
        <v>18277</v>
      </c>
      <c r="L265">
        <v>18277</v>
      </c>
      <c r="M265" s="51">
        <v>1.0627218514789936</v>
      </c>
      <c r="N265" s="51">
        <v>1.1145364009289669</v>
      </c>
      <c r="O265" s="51">
        <v>1.160351731167981</v>
      </c>
      <c r="P265" s="51">
        <v>1.2112400909854906</v>
      </c>
      <c r="Q265" s="51">
        <v>1.2434243440680772</v>
      </c>
      <c r="R265" s="51">
        <v>1.2133524329605074</v>
      </c>
      <c r="S265" s="51">
        <v>1.1840976946839998</v>
      </c>
      <c r="T265" s="51">
        <v>1.1559440988095468</v>
      </c>
      <c r="U265" s="51">
        <v>0.83631823182164833</v>
      </c>
      <c r="V265" s="53">
        <v>0.82261241214425618</v>
      </c>
    </row>
    <row r="266" spans="1:22" x14ac:dyDescent="0.35">
      <c r="B266" s="4" t="s">
        <v>110</v>
      </c>
      <c r="C266">
        <v>1796</v>
      </c>
      <c r="D266">
        <v>11597</v>
      </c>
      <c r="E266">
        <v>15421</v>
      </c>
      <c r="F266">
        <v>15785</v>
      </c>
      <c r="G266">
        <v>16995</v>
      </c>
      <c r="H266">
        <v>21558</v>
      </c>
      <c r="I266">
        <v>21552</v>
      </c>
      <c r="J266">
        <v>18524</v>
      </c>
      <c r="K266">
        <v>18546</v>
      </c>
      <c r="L266">
        <v>18546</v>
      </c>
      <c r="M266" s="51"/>
      <c r="N266" s="51"/>
      <c r="O266" s="51"/>
      <c r="P266" s="51"/>
      <c r="Q266" s="51"/>
      <c r="R266" s="51"/>
      <c r="S266" s="51"/>
      <c r="T266" s="51"/>
      <c r="U266" s="51"/>
      <c r="V266" s="51"/>
    </row>
    <row r="267" spans="1:22" x14ac:dyDescent="0.35">
      <c r="A267" s="4" t="s">
        <v>110</v>
      </c>
      <c r="B267" s="54" t="s">
        <v>257</v>
      </c>
      <c r="C267">
        <v>0</v>
      </c>
      <c r="D267">
        <v>0</v>
      </c>
      <c r="E267">
        <v>127</v>
      </c>
      <c r="F267">
        <v>127</v>
      </c>
      <c r="G267">
        <v>127</v>
      </c>
      <c r="H267">
        <v>228</v>
      </c>
      <c r="I267">
        <v>242</v>
      </c>
      <c r="J267">
        <v>242</v>
      </c>
      <c r="K267">
        <v>274</v>
      </c>
      <c r="L267">
        <v>274</v>
      </c>
      <c r="M267" s="51">
        <v>0</v>
      </c>
      <c r="N267" s="51">
        <v>0</v>
      </c>
      <c r="O267" s="51">
        <v>0.10644629545518741</v>
      </c>
      <c r="P267" s="51">
        <v>0.10384013067830744</v>
      </c>
      <c r="Q267" s="51">
        <v>0.10134212078576371</v>
      </c>
      <c r="R267" s="51">
        <v>0.17763888010217041</v>
      </c>
      <c r="S267" s="51">
        <v>0.18408134508999524</v>
      </c>
      <c r="T267" s="51">
        <v>0.17976676079907958</v>
      </c>
      <c r="U267" s="51">
        <v>0.19888655467369612</v>
      </c>
      <c r="V267" s="53">
        <v>0.19677549596401966</v>
      </c>
    </row>
    <row r="268" spans="1:22" x14ac:dyDescent="0.35">
      <c r="A268" s="4" t="s">
        <v>110</v>
      </c>
      <c r="B268" s="54" t="s">
        <v>258</v>
      </c>
      <c r="C268">
        <v>0</v>
      </c>
      <c r="D268">
        <v>0</v>
      </c>
      <c r="E268">
        <v>0</v>
      </c>
      <c r="F268">
        <v>0</v>
      </c>
      <c r="G268">
        <v>0</v>
      </c>
      <c r="H268">
        <v>1990</v>
      </c>
      <c r="I268">
        <v>1990</v>
      </c>
      <c r="J268">
        <v>1990</v>
      </c>
      <c r="K268">
        <v>0</v>
      </c>
      <c r="L268">
        <v>0</v>
      </c>
      <c r="M268" s="51">
        <v>0</v>
      </c>
      <c r="N268" s="51">
        <v>0</v>
      </c>
      <c r="O268" s="51">
        <v>0</v>
      </c>
      <c r="P268" s="51">
        <v>0</v>
      </c>
      <c r="Q268" s="51">
        <v>0</v>
      </c>
      <c r="R268" s="51">
        <v>1.5504446114180661</v>
      </c>
      <c r="S268" s="51">
        <v>1.5137267633433493</v>
      </c>
      <c r="T268" s="51">
        <v>1.4782473305378858</v>
      </c>
      <c r="U268" s="51">
        <v>0</v>
      </c>
      <c r="V268" s="53">
        <v>0</v>
      </c>
    </row>
    <row r="269" spans="1:22" x14ac:dyDescent="0.35">
      <c r="A269" s="4" t="s">
        <v>110</v>
      </c>
      <c r="B269" s="54" t="s">
        <v>259</v>
      </c>
      <c r="C269">
        <v>0</v>
      </c>
      <c r="D269">
        <v>0</v>
      </c>
      <c r="E269">
        <v>1545</v>
      </c>
      <c r="F269">
        <v>1545</v>
      </c>
      <c r="G269">
        <v>1990</v>
      </c>
      <c r="H269">
        <v>1990</v>
      </c>
      <c r="I269">
        <v>1879</v>
      </c>
      <c r="J269">
        <v>1879</v>
      </c>
      <c r="K269">
        <v>1875</v>
      </c>
      <c r="L269">
        <v>1875</v>
      </c>
      <c r="M269" s="51">
        <v>0</v>
      </c>
      <c r="N269" s="51">
        <v>0</v>
      </c>
      <c r="O269" s="51">
        <v>1.2949569014036579</v>
      </c>
      <c r="P269" s="51">
        <v>1.2632519834487008</v>
      </c>
      <c r="Q269" s="51">
        <v>1.5879592154619668</v>
      </c>
      <c r="R269" s="51">
        <v>1.5504446114180661</v>
      </c>
      <c r="S269" s="51">
        <v>1.4292927579508308</v>
      </c>
      <c r="T269" s="51">
        <v>1.3957923286837628</v>
      </c>
      <c r="U269" s="51">
        <v>1.3609937591721906</v>
      </c>
      <c r="V269" s="53">
        <v>1.3465476457391858</v>
      </c>
    </row>
    <row r="270" spans="1:22" x14ac:dyDescent="0.35">
      <c r="A270" s="4" t="s">
        <v>110</v>
      </c>
      <c r="B270" s="54" t="s">
        <v>260</v>
      </c>
      <c r="C270">
        <v>1104</v>
      </c>
      <c r="D270">
        <v>1104</v>
      </c>
      <c r="E270">
        <v>1284</v>
      </c>
      <c r="F270">
        <v>1648</v>
      </c>
      <c r="G270">
        <v>1648</v>
      </c>
      <c r="H270">
        <v>1648</v>
      </c>
      <c r="I270">
        <v>1648</v>
      </c>
      <c r="J270">
        <v>1518</v>
      </c>
      <c r="K270">
        <v>1223</v>
      </c>
      <c r="L270">
        <v>1223</v>
      </c>
      <c r="M270" s="51">
        <v>0.97110855295941367</v>
      </c>
      <c r="N270" s="51">
        <v>0.94821256349008864</v>
      </c>
      <c r="O270" s="51">
        <v>1.0761971918461466</v>
      </c>
      <c r="P270" s="51">
        <v>1.3474687823452809</v>
      </c>
      <c r="Q270" s="51">
        <v>1.3150536618499102</v>
      </c>
      <c r="R270" s="51">
        <v>1.2839862912648106</v>
      </c>
      <c r="S270" s="51">
        <v>1.2535787467285626</v>
      </c>
      <c r="T270" s="51">
        <v>1.1276278631942265</v>
      </c>
      <c r="U270" s="51">
        <v>0.88773086264938095</v>
      </c>
      <c r="V270" s="53">
        <v>0.87830814439414617</v>
      </c>
    </row>
    <row r="271" spans="1:22" x14ac:dyDescent="0.35">
      <c r="A271" s="4" t="s">
        <v>110</v>
      </c>
      <c r="B271" s="54" t="s">
        <v>261</v>
      </c>
      <c r="C271">
        <v>692</v>
      </c>
      <c r="D271">
        <v>868</v>
      </c>
      <c r="E271">
        <v>1070</v>
      </c>
      <c r="F271">
        <v>1070</v>
      </c>
      <c r="G271">
        <v>1070</v>
      </c>
      <c r="H271">
        <v>1471</v>
      </c>
      <c r="I271">
        <v>1562</v>
      </c>
      <c r="J271">
        <v>1562</v>
      </c>
      <c r="K271">
        <v>1592</v>
      </c>
      <c r="L271">
        <v>1592</v>
      </c>
      <c r="M271" s="51">
        <v>0.60870210022456006</v>
      </c>
      <c r="N271" s="51">
        <v>0.74551495028025094</v>
      </c>
      <c r="O271" s="51">
        <v>0.89683099320512227</v>
      </c>
      <c r="P271" s="51">
        <v>0.87487354193534617</v>
      </c>
      <c r="Q271" s="51">
        <v>0.85382731685643443</v>
      </c>
      <c r="R271" s="51">
        <v>1.146082423817073</v>
      </c>
      <c r="S271" s="51">
        <v>1.1881614092172419</v>
      </c>
      <c r="T271" s="51">
        <v>1.1603127287940591</v>
      </c>
      <c r="U271" s="51">
        <v>1.1555744344544681</v>
      </c>
      <c r="V271" s="53">
        <v>1.1433087210756179</v>
      </c>
    </row>
    <row r="272" spans="1:22" x14ac:dyDescent="0.35">
      <c r="A272" s="4" t="s">
        <v>110</v>
      </c>
      <c r="B272" s="54" t="s">
        <v>262</v>
      </c>
      <c r="C272">
        <v>0</v>
      </c>
      <c r="D272">
        <v>9625</v>
      </c>
      <c r="E272">
        <v>11281</v>
      </c>
      <c r="F272">
        <v>11281</v>
      </c>
      <c r="G272">
        <v>11281</v>
      </c>
      <c r="H272">
        <v>13345</v>
      </c>
      <c r="I272">
        <v>13345</v>
      </c>
      <c r="J272">
        <v>10447</v>
      </c>
      <c r="K272">
        <v>13501</v>
      </c>
      <c r="L272">
        <v>13501</v>
      </c>
      <c r="M272" s="51">
        <v>0</v>
      </c>
      <c r="N272" s="51">
        <v>8.2667988438334277</v>
      </c>
      <c r="O272" s="51">
        <v>9.4552807797635356</v>
      </c>
      <c r="P272" s="51">
        <v>9.2237835762361122</v>
      </c>
      <c r="Q272" s="51">
        <v>9.0018934219228388</v>
      </c>
      <c r="R272" s="51">
        <v>10.397328311243262</v>
      </c>
      <c r="S272" s="51">
        <v>10.151097314983414</v>
      </c>
      <c r="T272" s="51">
        <v>7.7604270663966304</v>
      </c>
      <c r="U272" s="51">
        <v>9.7998809293779985</v>
      </c>
      <c r="V272" s="53">
        <v>9.6958612080665318</v>
      </c>
    </row>
    <row r="273" spans="1:22" x14ac:dyDescent="0.35">
      <c r="A273" s="4" t="s">
        <v>110</v>
      </c>
      <c r="B273" s="54" t="s">
        <v>263</v>
      </c>
      <c r="C273">
        <v>0</v>
      </c>
      <c r="D273">
        <v>0</v>
      </c>
      <c r="E273">
        <v>114</v>
      </c>
      <c r="F273">
        <v>114</v>
      </c>
      <c r="G273">
        <v>879</v>
      </c>
      <c r="H273">
        <v>886</v>
      </c>
      <c r="I273">
        <v>886</v>
      </c>
      <c r="J273">
        <v>886</v>
      </c>
      <c r="K273">
        <v>81</v>
      </c>
      <c r="L273">
        <v>81</v>
      </c>
      <c r="M273" s="51">
        <v>0</v>
      </c>
      <c r="N273" s="51">
        <v>0</v>
      </c>
      <c r="O273" s="51">
        <v>9.5550217967648537E-2</v>
      </c>
      <c r="P273" s="51">
        <v>9.321082596320511E-2</v>
      </c>
      <c r="Q273" s="51">
        <v>0.70141515095028595</v>
      </c>
      <c r="R273" s="51">
        <v>0.69029845513387267</v>
      </c>
      <c r="S273" s="51">
        <v>0.67395070970965198</v>
      </c>
      <c r="T273" s="51">
        <v>0.65815433912390287</v>
      </c>
      <c r="U273" s="51">
        <v>5.8794930396238634E-2</v>
      </c>
      <c r="V273" s="53">
        <v>5.8170858295932819E-2</v>
      </c>
    </row>
    <row r="274" spans="1:22" x14ac:dyDescent="0.35">
      <c r="B274" s="4" t="s">
        <v>114</v>
      </c>
      <c r="C274">
        <v>600</v>
      </c>
      <c r="D274">
        <v>600</v>
      </c>
      <c r="E274">
        <v>3541</v>
      </c>
      <c r="F274">
        <v>6304</v>
      </c>
      <c r="G274">
        <v>6341</v>
      </c>
      <c r="H274">
        <v>7019</v>
      </c>
      <c r="I274">
        <v>11401</v>
      </c>
      <c r="J274">
        <v>11792</v>
      </c>
      <c r="K274">
        <v>10555</v>
      </c>
      <c r="L274">
        <v>10465</v>
      </c>
      <c r="M274" s="51"/>
      <c r="N274" s="51"/>
      <c r="O274" s="51"/>
      <c r="P274" s="51"/>
      <c r="Q274" s="51"/>
      <c r="R274" s="51"/>
      <c r="S274" s="51"/>
      <c r="T274" s="51"/>
      <c r="U274" s="51"/>
      <c r="V274" s="51"/>
    </row>
    <row r="275" spans="1:22" x14ac:dyDescent="0.35">
      <c r="A275" s="4" t="s">
        <v>114</v>
      </c>
      <c r="B275" s="54" t="s">
        <v>257</v>
      </c>
      <c r="C275">
        <v>54</v>
      </c>
      <c r="D275">
        <v>54</v>
      </c>
      <c r="E275">
        <v>54</v>
      </c>
      <c r="F275">
        <v>121</v>
      </c>
      <c r="G275">
        <v>121</v>
      </c>
      <c r="H275">
        <v>121</v>
      </c>
      <c r="I275">
        <v>219</v>
      </c>
      <c r="J275">
        <v>219</v>
      </c>
      <c r="K275">
        <v>223</v>
      </c>
      <c r="L275">
        <v>197</v>
      </c>
      <c r="M275" s="51">
        <v>3.8653406925602506E-2</v>
      </c>
      <c r="N275" s="51">
        <v>3.7614460280209615E-2</v>
      </c>
      <c r="O275" s="51">
        <v>3.6606804147361095E-2</v>
      </c>
      <c r="P275" s="51">
        <v>7.9826924671685395E-2</v>
      </c>
      <c r="Q275" s="51">
        <v>7.7689057444894224E-2</v>
      </c>
      <c r="R275" s="51">
        <v>7.5621308734867373E-2</v>
      </c>
      <c r="S275" s="51">
        <v>0.13324312550650641</v>
      </c>
      <c r="T275" s="51">
        <v>0.12976455140572338</v>
      </c>
      <c r="U275" s="51">
        <v>0.12877928956450596</v>
      </c>
      <c r="V275" s="53">
        <v>0.10874049472840433</v>
      </c>
    </row>
    <row r="276" spans="1:22" x14ac:dyDescent="0.35">
      <c r="A276" s="4" t="s">
        <v>114</v>
      </c>
      <c r="B276" s="54" t="s">
        <v>258</v>
      </c>
      <c r="C276">
        <v>0</v>
      </c>
      <c r="D276">
        <v>0</v>
      </c>
      <c r="E276">
        <v>0</v>
      </c>
      <c r="F276">
        <v>0</v>
      </c>
      <c r="G276">
        <v>37</v>
      </c>
      <c r="H276">
        <v>715</v>
      </c>
      <c r="I276">
        <v>715</v>
      </c>
      <c r="J276">
        <v>715</v>
      </c>
      <c r="K276">
        <v>0</v>
      </c>
      <c r="L276">
        <v>0</v>
      </c>
      <c r="M276" s="51">
        <v>0</v>
      </c>
      <c r="N276" s="51">
        <v>0</v>
      </c>
      <c r="O276" s="51">
        <v>0</v>
      </c>
      <c r="P276" s="51">
        <v>0</v>
      </c>
      <c r="Q276" s="51">
        <v>2.3756158061661866E-2</v>
      </c>
      <c r="R276" s="51">
        <v>0.44685318797876178</v>
      </c>
      <c r="S276" s="51">
        <v>0.43501751021530627</v>
      </c>
      <c r="T276" s="51">
        <v>0.42366052171274987</v>
      </c>
      <c r="U276" s="51">
        <v>0</v>
      </c>
      <c r="V276" s="53">
        <v>0</v>
      </c>
    </row>
    <row r="277" spans="1:22" x14ac:dyDescent="0.35">
      <c r="A277" s="4" t="s">
        <v>114</v>
      </c>
      <c r="B277" s="54" t="s">
        <v>259</v>
      </c>
      <c r="C277">
        <v>546</v>
      </c>
      <c r="D277">
        <v>546</v>
      </c>
      <c r="E277">
        <v>546</v>
      </c>
      <c r="F277">
        <v>37</v>
      </c>
      <c r="G277">
        <v>37</v>
      </c>
      <c r="H277">
        <v>37</v>
      </c>
      <c r="I277">
        <v>37</v>
      </c>
      <c r="J277">
        <v>323</v>
      </c>
      <c r="K277">
        <v>252</v>
      </c>
      <c r="L277">
        <v>260</v>
      </c>
      <c r="M277" s="51">
        <v>0.39082889224775863</v>
      </c>
      <c r="N277" s="51">
        <v>0.38032398727767502</v>
      </c>
      <c r="O277" s="51">
        <v>0.37013546415665111</v>
      </c>
      <c r="P277" s="51">
        <v>2.4409886056631067E-2</v>
      </c>
      <c r="Q277" s="51">
        <v>2.3756158061661866E-2</v>
      </c>
      <c r="R277" s="51">
        <v>2.3123871266033828E-2</v>
      </c>
      <c r="S277" s="51">
        <v>2.2511395633519345E-2</v>
      </c>
      <c r="T277" s="51">
        <v>0.19138790001848699</v>
      </c>
      <c r="U277" s="51">
        <v>0.14552637206392605</v>
      </c>
      <c r="V277" s="53">
        <v>0.14351537375322398</v>
      </c>
    </row>
    <row r="278" spans="1:22" x14ac:dyDescent="0.35">
      <c r="A278" s="4" t="s">
        <v>114</v>
      </c>
      <c r="B278" s="54" t="s">
        <v>260</v>
      </c>
      <c r="C278">
        <v>0</v>
      </c>
      <c r="D278">
        <v>0</v>
      </c>
      <c r="E278">
        <v>0</v>
      </c>
      <c r="F278">
        <v>1154</v>
      </c>
      <c r="G278">
        <v>1154</v>
      </c>
      <c r="H278">
        <v>1154</v>
      </c>
      <c r="I278">
        <v>1435</v>
      </c>
      <c r="J278">
        <v>1435</v>
      </c>
      <c r="K278">
        <v>2188</v>
      </c>
      <c r="L278">
        <v>1973</v>
      </c>
      <c r="M278" s="51">
        <v>0</v>
      </c>
      <c r="N278" s="51">
        <v>0</v>
      </c>
      <c r="O278" s="51">
        <v>0</v>
      </c>
      <c r="P278" s="51">
        <v>0.76132455430681756</v>
      </c>
      <c r="Q278" s="51">
        <v>0.74093530819345399</v>
      </c>
      <c r="R278" s="51">
        <v>0.72121479570278479</v>
      </c>
      <c r="S278" s="51">
        <v>0.87307710092162871</v>
      </c>
      <c r="T278" s="51">
        <v>0.85028370441649792</v>
      </c>
      <c r="U278" s="51">
        <v>1.263538500301072</v>
      </c>
      <c r="V278" s="53">
        <v>1.089060893904273</v>
      </c>
    </row>
    <row r="279" spans="1:22" x14ac:dyDescent="0.35">
      <c r="A279" s="4" t="s">
        <v>114</v>
      </c>
      <c r="B279" s="54" t="s">
        <v>261</v>
      </c>
      <c r="C279">
        <v>0</v>
      </c>
      <c r="D279">
        <v>0</v>
      </c>
      <c r="E279">
        <v>1116</v>
      </c>
      <c r="F279">
        <v>2002</v>
      </c>
      <c r="G279">
        <v>2002</v>
      </c>
      <c r="H279">
        <v>2002</v>
      </c>
      <c r="I279">
        <v>2656</v>
      </c>
      <c r="J279">
        <v>2656</v>
      </c>
      <c r="K279">
        <v>2803</v>
      </c>
      <c r="L279">
        <v>2890</v>
      </c>
      <c r="M279" s="51">
        <v>0</v>
      </c>
      <c r="N279" s="51">
        <v>0</v>
      </c>
      <c r="O279" s="51">
        <v>0.75654061904546277</v>
      </c>
      <c r="P279" s="51">
        <v>1.3207727536587945</v>
      </c>
      <c r="Q279" s="51">
        <v>1.2854007686337043</v>
      </c>
      <c r="R279" s="51">
        <v>1.2511889263405331</v>
      </c>
      <c r="S279" s="51">
        <v>1.6159531568277672</v>
      </c>
      <c r="T279" s="51">
        <v>1.5737655184182711</v>
      </c>
      <c r="U279" s="51">
        <v>1.618692146409463</v>
      </c>
      <c r="V279" s="53">
        <v>1.5952285774877588</v>
      </c>
    </row>
    <row r="280" spans="1:22" x14ac:dyDescent="0.35">
      <c r="A280" s="4" t="s">
        <v>114</v>
      </c>
      <c r="B280" s="54" t="s">
        <v>262</v>
      </c>
      <c r="C280">
        <v>0</v>
      </c>
      <c r="D280">
        <v>0</v>
      </c>
      <c r="E280">
        <v>1682</v>
      </c>
      <c r="F280">
        <v>2820</v>
      </c>
      <c r="G280">
        <v>2820</v>
      </c>
      <c r="H280">
        <v>2820</v>
      </c>
      <c r="I280">
        <v>6151</v>
      </c>
      <c r="J280">
        <v>6151</v>
      </c>
      <c r="K280">
        <v>4737</v>
      </c>
      <c r="L280">
        <v>4780</v>
      </c>
      <c r="M280" s="51">
        <v>0</v>
      </c>
      <c r="N280" s="51">
        <v>0</v>
      </c>
      <c r="O280" s="51">
        <v>1.1402341588122475</v>
      </c>
      <c r="P280" s="51">
        <v>1.860429153505395</v>
      </c>
      <c r="Q280" s="51">
        <v>1.8106044792942289</v>
      </c>
      <c r="R280" s="51">
        <v>1.7624139721679835</v>
      </c>
      <c r="S280" s="51">
        <v>3.7423674200480406</v>
      </c>
      <c r="T280" s="51">
        <v>3.6446655511260482</v>
      </c>
      <c r="U280" s="51">
        <v>2.7355493034397527</v>
      </c>
      <c r="V280" s="53">
        <v>2.6384749482323491</v>
      </c>
    </row>
    <row r="281" spans="1:22" x14ac:dyDescent="0.35">
      <c r="A281" s="4" t="s">
        <v>114</v>
      </c>
      <c r="B281" s="54" t="s">
        <v>263</v>
      </c>
      <c r="C281">
        <v>0</v>
      </c>
      <c r="D281">
        <v>0</v>
      </c>
      <c r="E281">
        <v>143</v>
      </c>
      <c r="F281">
        <v>170</v>
      </c>
      <c r="G281">
        <v>170</v>
      </c>
      <c r="H281">
        <v>170</v>
      </c>
      <c r="I281">
        <v>188</v>
      </c>
      <c r="J281">
        <v>293</v>
      </c>
      <c r="K281">
        <v>352</v>
      </c>
      <c r="L281">
        <v>365</v>
      </c>
      <c r="M281" s="51">
        <v>0</v>
      </c>
      <c r="N281" s="51">
        <v>0</v>
      </c>
      <c r="O281" s="51">
        <v>9.6940240612456235E-2</v>
      </c>
      <c r="P281" s="51">
        <v>0.11215353053046706</v>
      </c>
      <c r="Q281" s="51">
        <v>0.10914991541844642</v>
      </c>
      <c r="R281" s="51">
        <v>0.10624481392502028</v>
      </c>
      <c r="S281" s="51">
        <v>0.11438222646220642</v>
      </c>
      <c r="T281" s="51">
        <v>0.1736119340724975</v>
      </c>
      <c r="U281" s="51">
        <v>0.20327493240675384</v>
      </c>
      <c r="V281" s="53">
        <v>0.20147350546125675</v>
      </c>
    </row>
    <row r="282" spans="1:22" x14ac:dyDescent="0.35">
      <c r="B282" s="4" t="s">
        <v>118</v>
      </c>
      <c r="C282">
        <v>8295</v>
      </c>
      <c r="D282">
        <v>8295</v>
      </c>
      <c r="E282">
        <v>8295</v>
      </c>
      <c r="F282">
        <v>6556</v>
      </c>
      <c r="G282">
        <v>6428</v>
      </c>
      <c r="H282">
        <v>7341</v>
      </c>
      <c r="I282">
        <v>9780</v>
      </c>
      <c r="J282">
        <v>9593</v>
      </c>
      <c r="K282">
        <v>11135</v>
      </c>
      <c r="L282">
        <v>11135</v>
      </c>
      <c r="M282" s="51"/>
      <c r="N282" s="51"/>
      <c r="O282" s="51"/>
      <c r="P282" s="51"/>
      <c r="Q282" s="51"/>
      <c r="R282" s="51"/>
      <c r="S282" s="51"/>
      <c r="T282" s="51"/>
      <c r="U282" s="51"/>
      <c r="V282" s="51"/>
    </row>
    <row r="283" spans="1:22" x14ac:dyDescent="0.35">
      <c r="A283" s="4" t="s">
        <v>118</v>
      </c>
      <c r="B283" s="54" t="s">
        <v>257</v>
      </c>
      <c r="C283">
        <v>0</v>
      </c>
      <c r="D283">
        <v>0</v>
      </c>
      <c r="E283">
        <v>0</v>
      </c>
      <c r="F283">
        <v>53</v>
      </c>
      <c r="G283">
        <v>53</v>
      </c>
      <c r="H283">
        <v>15</v>
      </c>
      <c r="I283">
        <v>15</v>
      </c>
      <c r="J283">
        <v>15</v>
      </c>
      <c r="K283">
        <v>15</v>
      </c>
      <c r="L283">
        <v>15</v>
      </c>
      <c r="M283" s="51">
        <v>0</v>
      </c>
      <c r="N283" s="51">
        <v>0</v>
      </c>
      <c r="O283" s="51">
        <v>0</v>
      </c>
      <c r="P283" s="51">
        <v>6.9032303861966654E-2</v>
      </c>
      <c r="Q283" s="51">
        <v>6.7419037686097208E-2</v>
      </c>
      <c r="R283" s="51">
        <v>1.8640885576279249E-2</v>
      </c>
      <c r="S283" s="51">
        <v>1.8217214782176763E-2</v>
      </c>
      <c r="T283" s="51">
        <v>1.7813370739828475E-2</v>
      </c>
      <c r="U283" s="51">
        <v>1.7430271361436663E-2</v>
      </c>
      <c r="V283" s="53">
        <v>1.7704939394812123E-2</v>
      </c>
    </row>
    <row r="284" spans="1:22" x14ac:dyDescent="0.35">
      <c r="A284" s="4" t="s">
        <v>118</v>
      </c>
      <c r="B284" s="54" t="s">
        <v>258</v>
      </c>
      <c r="C284">
        <v>0</v>
      </c>
      <c r="D284">
        <v>0</v>
      </c>
      <c r="E284">
        <v>0</v>
      </c>
      <c r="F284">
        <v>0</v>
      </c>
      <c r="G284">
        <v>0</v>
      </c>
      <c r="H284">
        <v>311</v>
      </c>
      <c r="I284">
        <v>311</v>
      </c>
      <c r="J284">
        <v>114</v>
      </c>
      <c r="K284">
        <v>0</v>
      </c>
      <c r="L284">
        <v>0</v>
      </c>
      <c r="M284" s="51">
        <v>0</v>
      </c>
      <c r="N284" s="51">
        <v>0</v>
      </c>
      <c r="O284" s="51">
        <v>0</v>
      </c>
      <c r="P284" s="51">
        <v>0</v>
      </c>
      <c r="Q284" s="51">
        <v>0</v>
      </c>
      <c r="R284" s="51">
        <v>0.38648769428152308</v>
      </c>
      <c r="S284" s="51">
        <v>0.3777035864837982</v>
      </c>
      <c r="T284" s="51">
        <v>0.13538161762269643</v>
      </c>
      <c r="U284" s="51">
        <v>0</v>
      </c>
      <c r="V284" s="53">
        <v>0</v>
      </c>
    </row>
    <row r="285" spans="1:22" x14ac:dyDescent="0.35">
      <c r="A285" s="4" t="s">
        <v>118</v>
      </c>
      <c r="B285" s="54" t="s">
        <v>259</v>
      </c>
      <c r="C285">
        <v>0</v>
      </c>
      <c r="D285">
        <v>0</v>
      </c>
      <c r="E285">
        <v>0</v>
      </c>
      <c r="F285">
        <v>0</v>
      </c>
      <c r="G285">
        <v>0</v>
      </c>
      <c r="H285">
        <v>0</v>
      </c>
      <c r="I285">
        <v>342</v>
      </c>
      <c r="J285">
        <v>342</v>
      </c>
      <c r="K285">
        <v>298</v>
      </c>
      <c r="L285">
        <v>298</v>
      </c>
      <c r="M285" s="51">
        <v>0</v>
      </c>
      <c r="N285" s="51">
        <v>0</v>
      </c>
      <c r="O285" s="51">
        <v>0</v>
      </c>
      <c r="P285" s="51">
        <v>0</v>
      </c>
      <c r="Q285" s="51">
        <v>0</v>
      </c>
      <c r="R285" s="51">
        <v>0</v>
      </c>
      <c r="S285" s="51">
        <v>0.41535249703363025</v>
      </c>
      <c r="T285" s="51">
        <v>0.40614485286808927</v>
      </c>
      <c r="U285" s="51">
        <v>0.3462813910472084</v>
      </c>
      <c r="V285" s="53">
        <v>0.35173812931026754</v>
      </c>
    </row>
    <row r="286" spans="1:22" x14ac:dyDescent="0.35">
      <c r="A286" s="4" t="s">
        <v>118</v>
      </c>
      <c r="B286" s="54" t="s">
        <v>260</v>
      </c>
      <c r="C286">
        <v>0</v>
      </c>
      <c r="D286">
        <v>0</v>
      </c>
      <c r="E286">
        <v>0</v>
      </c>
      <c r="F286">
        <v>0</v>
      </c>
      <c r="G286">
        <v>0</v>
      </c>
      <c r="H286">
        <v>566</v>
      </c>
      <c r="I286">
        <v>566</v>
      </c>
      <c r="J286">
        <v>576</v>
      </c>
      <c r="K286">
        <v>1106</v>
      </c>
      <c r="L286">
        <v>1106</v>
      </c>
      <c r="M286" s="51">
        <v>0</v>
      </c>
      <c r="N286" s="51">
        <v>0</v>
      </c>
      <c r="O286" s="51">
        <v>0</v>
      </c>
      <c r="P286" s="51">
        <v>0</v>
      </c>
      <c r="Q286" s="51">
        <v>0</v>
      </c>
      <c r="R286" s="51">
        <v>0.70338274907827025</v>
      </c>
      <c r="S286" s="51">
        <v>0.68739623778080317</v>
      </c>
      <c r="T286" s="51">
        <v>0.6840334364094135</v>
      </c>
      <c r="U286" s="51">
        <v>1.2851920083832633</v>
      </c>
      <c r="V286" s="53">
        <v>1.3054441980441471</v>
      </c>
    </row>
    <row r="287" spans="1:22" x14ac:dyDescent="0.35">
      <c r="A287" s="4" t="s">
        <v>118</v>
      </c>
      <c r="B287" s="54" t="s">
        <v>261</v>
      </c>
      <c r="C287">
        <v>2187</v>
      </c>
      <c r="D287">
        <v>2187</v>
      </c>
      <c r="E287">
        <v>2187</v>
      </c>
      <c r="F287">
        <v>313</v>
      </c>
      <c r="G287">
        <v>313</v>
      </c>
      <c r="H287">
        <v>313</v>
      </c>
      <c r="I287">
        <v>2373</v>
      </c>
      <c r="J287">
        <v>2373</v>
      </c>
      <c r="K287">
        <v>2271</v>
      </c>
      <c r="L287">
        <v>2271</v>
      </c>
      <c r="M287" s="51">
        <v>3.0627300898736931</v>
      </c>
      <c r="N287" s="51">
        <v>2.9898398760973168</v>
      </c>
      <c r="O287" s="51">
        <v>2.9183685479134867</v>
      </c>
      <c r="P287" s="51">
        <v>0.40768134167538794</v>
      </c>
      <c r="Q287" s="51">
        <v>0.39815393954242317</v>
      </c>
      <c r="R287" s="51">
        <v>0.38897314569169367</v>
      </c>
      <c r="S287" s="51">
        <v>2.8819633785403638</v>
      </c>
      <c r="T287" s="51">
        <v>2.8180752510408649</v>
      </c>
      <c r="U287" s="51">
        <v>2.6389430841215109</v>
      </c>
      <c r="V287" s="53">
        <v>2.6805278243745554</v>
      </c>
    </row>
    <row r="288" spans="1:22" x14ac:dyDescent="0.35">
      <c r="A288" s="4" t="s">
        <v>118</v>
      </c>
      <c r="B288" s="54" t="s">
        <v>262</v>
      </c>
      <c r="C288">
        <v>6108</v>
      </c>
      <c r="D288">
        <v>6108</v>
      </c>
      <c r="E288">
        <v>6108</v>
      </c>
      <c r="F288">
        <v>6108</v>
      </c>
      <c r="G288">
        <v>5980</v>
      </c>
      <c r="H288">
        <v>5980</v>
      </c>
      <c r="I288">
        <v>5980</v>
      </c>
      <c r="J288">
        <v>5980</v>
      </c>
      <c r="K288">
        <v>7356</v>
      </c>
      <c r="L288">
        <v>7356</v>
      </c>
      <c r="M288" s="51">
        <v>8.5537976172604093</v>
      </c>
      <c r="N288" s="51">
        <v>8.3502249488808467</v>
      </c>
      <c r="O288" s="51">
        <v>8.1506150391657872</v>
      </c>
      <c r="P288" s="51">
        <v>7.9556473960168361</v>
      </c>
      <c r="Q288" s="51">
        <v>7.6069027426954969</v>
      </c>
      <c r="R288" s="51">
        <v>7.431499716409995</v>
      </c>
      <c r="S288" s="51">
        <v>7.2625962931611356</v>
      </c>
      <c r="T288" s="51">
        <v>7.1015971349449529</v>
      </c>
      <c r="U288" s="51">
        <v>8.5478050756485402</v>
      </c>
      <c r="V288" s="53">
        <v>8.6825022792158641</v>
      </c>
    </row>
    <row r="289" spans="1:22" x14ac:dyDescent="0.35">
      <c r="A289" s="4" t="s">
        <v>118</v>
      </c>
      <c r="B289" s="54" t="s">
        <v>263</v>
      </c>
      <c r="C289">
        <v>0</v>
      </c>
      <c r="D289">
        <v>0</v>
      </c>
      <c r="E289">
        <v>0</v>
      </c>
      <c r="F289">
        <v>82</v>
      </c>
      <c r="G289">
        <v>82</v>
      </c>
      <c r="H289">
        <v>156</v>
      </c>
      <c r="I289">
        <v>193</v>
      </c>
      <c r="J289">
        <v>193</v>
      </c>
      <c r="K289">
        <v>89</v>
      </c>
      <c r="L289">
        <v>89</v>
      </c>
      <c r="M289" s="51">
        <v>0</v>
      </c>
      <c r="N289" s="51">
        <v>0</v>
      </c>
      <c r="O289" s="51">
        <v>0</v>
      </c>
      <c r="P289" s="51">
        <v>0.10680469654115596</v>
      </c>
      <c r="Q289" s="51">
        <v>0.10430869981622588</v>
      </c>
      <c r="R289" s="51">
        <v>0.1938652099933042</v>
      </c>
      <c r="S289" s="51">
        <v>0.234394830197341</v>
      </c>
      <c r="T289" s="51">
        <v>0.22919870351912641</v>
      </c>
      <c r="U289" s="51">
        <v>0.10341961007785755</v>
      </c>
      <c r="V289" s="53">
        <v>0.10504930707588526</v>
      </c>
    </row>
    <row r="290" spans="1:22" x14ac:dyDescent="0.35">
      <c r="B290" s="4" t="s">
        <v>122</v>
      </c>
      <c r="C290">
        <v>0</v>
      </c>
      <c r="D290">
        <v>0</v>
      </c>
      <c r="E290">
        <v>0</v>
      </c>
      <c r="F290">
        <v>0</v>
      </c>
      <c r="G290">
        <v>0</v>
      </c>
      <c r="H290">
        <v>4801</v>
      </c>
      <c r="I290">
        <v>7544</v>
      </c>
      <c r="J290">
        <v>8808</v>
      </c>
      <c r="K290">
        <v>9173</v>
      </c>
      <c r="L290">
        <v>9173</v>
      </c>
      <c r="M290" s="51"/>
      <c r="N290" s="51"/>
      <c r="O290" s="51"/>
      <c r="P290" s="51"/>
      <c r="Q290" s="51"/>
      <c r="R290" s="51"/>
      <c r="S290" s="51"/>
      <c r="T290" s="51"/>
      <c r="U290" s="51"/>
      <c r="V290" s="51"/>
    </row>
    <row r="291" spans="1:22" x14ac:dyDescent="0.35">
      <c r="A291" s="4" t="s">
        <v>122</v>
      </c>
      <c r="B291" s="54" t="s">
        <v>257</v>
      </c>
      <c r="C291">
        <v>0</v>
      </c>
      <c r="D291">
        <v>0</v>
      </c>
      <c r="E291">
        <v>0</v>
      </c>
      <c r="F291">
        <v>0</v>
      </c>
      <c r="G291">
        <v>0</v>
      </c>
      <c r="H291">
        <v>32</v>
      </c>
      <c r="I291">
        <v>32</v>
      </c>
      <c r="J291">
        <v>28</v>
      </c>
      <c r="K291">
        <v>32</v>
      </c>
      <c r="L291">
        <v>32</v>
      </c>
      <c r="M291" s="51">
        <v>0</v>
      </c>
      <c r="N291" s="51">
        <v>0</v>
      </c>
      <c r="O291" s="51">
        <v>0</v>
      </c>
      <c r="P291" s="51">
        <v>0</v>
      </c>
      <c r="Q291" s="51">
        <v>0</v>
      </c>
      <c r="R291" s="51">
        <v>3.0628850501154995E-2</v>
      </c>
      <c r="S291" s="51">
        <v>3.0170955232242339E-2</v>
      </c>
      <c r="T291" s="51">
        <v>2.6050699126333982E-2</v>
      </c>
      <c r="U291" s="51">
        <v>2.9322385332063185E-2</v>
      </c>
      <c r="V291" s="53">
        <v>2.691105718994909E-2</v>
      </c>
    </row>
    <row r="292" spans="1:22" x14ac:dyDescent="0.35">
      <c r="A292" s="4" t="s">
        <v>122</v>
      </c>
      <c r="B292" s="54" t="s">
        <v>258</v>
      </c>
      <c r="C292">
        <v>0</v>
      </c>
      <c r="D292">
        <v>0</v>
      </c>
      <c r="E292">
        <v>0</v>
      </c>
      <c r="F292">
        <v>0</v>
      </c>
      <c r="G292">
        <v>0</v>
      </c>
      <c r="H292">
        <v>272</v>
      </c>
      <c r="I292">
        <v>635</v>
      </c>
      <c r="J292">
        <v>635</v>
      </c>
      <c r="K292">
        <v>635</v>
      </c>
      <c r="L292">
        <v>635</v>
      </c>
      <c r="M292" s="51">
        <v>0</v>
      </c>
      <c r="N292" s="51">
        <v>0</v>
      </c>
      <c r="O292" s="51">
        <v>0</v>
      </c>
      <c r="P292" s="51">
        <v>0</v>
      </c>
      <c r="Q292" s="51">
        <v>0</v>
      </c>
      <c r="R292" s="51">
        <v>0.26034522925981746</v>
      </c>
      <c r="S292" s="51">
        <v>0.59870489288980899</v>
      </c>
      <c r="T292" s="51">
        <v>0.59079264090078853</v>
      </c>
      <c r="U292" s="51">
        <v>0.58186608393312877</v>
      </c>
      <c r="V292" s="53">
        <v>0.53401629111305227</v>
      </c>
    </row>
    <row r="293" spans="1:22" x14ac:dyDescent="0.35">
      <c r="A293" s="4" t="s">
        <v>122</v>
      </c>
      <c r="B293" s="54" t="s">
        <v>259</v>
      </c>
      <c r="C293">
        <v>0</v>
      </c>
      <c r="D293">
        <v>0</v>
      </c>
      <c r="E293">
        <v>0</v>
      </c>
      <c r="F293">
        <v>0</v>
      </c>
      <c r="G293">
        <v>0</v>
      </c>
      <c r="H293">
        <v>0</v>
      </c>
      <c r="I293">
        <v>0</v>
      </c>
      <c r="J293">
        <v>0</v>
      </c>
      <c r="K293">
        <v>272</v>
      </c>
      <c r="L293">
        <v>272</v>
      </c>
      <c r="M293" s="51">
        <v>0</v>
      </c>
      <c r="N293" s="51">
        <v>0</v>
      </c>
      <c r="O293" s="51">
        <v>0</v>
      </c>
      <c r="P293" s="51">
        <v>0</v>
      </c>
      <c r="Q293" s="51">
        <v>0</v>
      </c>
      <c r="R293" s="51">
        <v>0</v>
      </c>
      <c r="S293" s="51">
        <v>0</v>
      </c>
      <c r="T293" s="51">
        <v>0</v>
      </c>
      <c r="U293" s="51">
        <v>0.24924027532253706</v>
      </c>
      <c r="V293" s="53">
        <v>0.22874398611456728</v>
      </c>
    </row>
    <row r="294" spans="1:22" x14ac:dyDescent="0.35">
      <c r="A294" s="4" t="s">
        <v>122</v>
      </c>
      <c r="B294" s="54" t="s">
        <v>260</v>
      </c>
      <c r="C294">
        <v>0</v>
      </c>
      <c r="D294">
        <v>0</v>
      </c>
      <c r="E294">
        <v>0</v>
      </c>
      <c r="F294">
        <v>0</v>
      </c>
      <c r="G294">
        <v>0</v>
      </c>
      <c r="H294">
        <v>411</v>
      </c>
      <c r="I294">
        <v>411</v>
      </c>
      <c r="J294">
        <v>456</v>
      </c>
      <c r="K294">
        <v>456</v>
      </c>
      <c r="L294">
        <v>456</v>
      </c>
      <c r="M294" s="51">
        <v>0</v>
      </c>
      <c r="N294" s="51">
        <v>0</v>
      </c>
      <c r="O294" s="51">
        <v>0</v>
      </c>
      <c r="P294" s="51">
        <v>0</v>
      </c>
      <c r="Q294" s="51">
        <v>0</v>
      </c>
      <c r="R294" s="51">
        <v>0.39338929862420946</v>
      </c>
      <c r="S294" s="51">
        <v>0.38750820626411259</v>
      </c>
      <c r="T294" s="51">
        <v>0.42425424291458197</v>
      </c>
      <c r="U294" s="51">
        <v>0.41784399098190039</v>
      </c>
      <c r="V294" s="53">
        <v>0.38348256495677452</v>
      </c>
    </row>
    <row r="295" spans="1:22" x14ac:dyDescent="0.35">
      <c r="A295" s="4" t="s">
        <v>122</v>
      </c>
      <c r="B295" s="54" t="s">
        <v>261</v>
      </c>
      <c r="C295">
        <v>0</v>
      </c>
      <c r="D295">
        <v>0</v>
      </c>
      <c r="E295">
        <v>0</v>
      </c>
      <c r="F295">
        <v>0</v>
      </c>
      <c r="G295">
        <v>0</v>
      </c>
      <c r="H295">
        <v>0</v>
      </c>
      <c r="I295">
        <v>2380</v>
      </c>
      <c r="J295">
        <v>3020</v>
      </c>
      <c r="K295">
        <v>3088</v>
      </c>
      <c r="L295">
        <v>3088</v>
      </c>
      <c r="M295" s="51">
        <v>0</v>
      </c>
      <c r="N295" s="51">
        <v>0</v>
      </c>
      <c r="O295" s="51">
        <v>0</v>
      </c>
      <c r="P295" s="51">
        <v>0</v>
      </c>
      <c r="Q295" s="51">
        <v>0</v>
      </c>
      <c r="R295" s="51">
        <v>0</v>
      </c>
      <c r="S295" s="51">
        <v>2.2439647953980244</v>
      </c>
      <c r="T295" s="51">
        <v>2.8097539771974507</v>
      </c>
      <c r="U295" s="51">
        <v>2.8296101845440975</v>
      </c>
      <c r="V295" s="53">
        <v>2.5969170188300872</v>
      </c>
    </row>
    <row r="296" spans="1:22" x14ac:dyDescent="0.35">
      <c r="A296" s="4" t="s">
        <v>122</v>
      </c>
      <c r="B296" s="54" t="s">
        <v>262</v>
      </c>
      <c r="C296">
        <v>0</v>
      </c>
      <c r="D296">
        <v>0</v>
      </c>
      <c r="E296">
        <v>0</v>
      </c>
      <c r="F296">
        <v>0</v>
      </c>
      <c r="G296">
        <v>0</v>
      </c>
      <c r="H296">
        <v>3726</v>
      </c>
      <c r="I296">
        <v>3726</v>
      </c>
      <c r="J296">
        <v>4530</v>
      </c>
      <c r="K296">
        <v>4530</v>
      </c>
      <c r="L296">
        <v>4530</v>
      </c>
      <c r="M296" s="51">
        <v>0</v>
      </c>
      <c r="N296" s="51">
        <v>0</v>
      </c>
      <c r="O296" s="51">
        <v>0</v>
      </c>
      <c r="P296" s="51">
        <v>0</v>
      </c>
      <c r="Q296" s="51">
        <v>0</v>
      </c>
      <c r="R296" s="51">
        <v>3.5663467802282347</v>
      </c>
      <c r="S296" s="51">
        <v>3.5130305998542175</v>
      </c>
      <c r="T296" s="51">
        <v>4.214630965796176</v>
      </c>
      <c r="U296" s="51">
        <v>4.1509501735701946</v>
      </c>
      <c r="V296" s="53">
        <v>3.8095965334521678</v>
      </c>
    </row>
    <row r="297" spans="1:22" x14ac:dyDescent="0.35">
      <c r="A297" s="4" t="s">
        <v>122</v>
      </c>
      <c r="B297" s="54" t="s">
        <v>263</v>
      </c>
      <c r="C297">
        <v>0</v>
      </c>
      <c r="D297">
        <v>0</v>
      </c>
      <c r="E297">
        <v>0</v>
      </c>
      <c r="F297">
        <v>0</v>
      </c>
      <c r="G297">
        <v>0</v>
      </c>
      <c r="H297">
        <v>360</v>
      </c>
      <c r="I297">
        <v>360</v>
      </c>
      <c r="J297">
        <v>139</v>
      </c>
      <c r="K297">
        <v>160</v>
      </c>
      <c r="L297">
        <v>160</v>
      </c>
      <c r="M297" s="51">
        <v>0</v>
      </c>
      <c r="N297" s="51">
        <v>0</v>
      </c>
      <c r="O297" s="51">
        <v>0</v>
      </c>
      <c r="P297" s="51">
        <v>0</v>
      </c>
      <c r="Q297" s="51">
        <v>0</v>
      </c>
      <c r="R297" s="51">
        <v>0.3445745681379937</v>
      </c>
      <c r="S297" s="51">
        <v>0.33942324636272636</v>
      </c>
      <c r="T297" s="51">
        <v>0.12932311352001513</v>
      </c>
      <c r="U297" s="51">
        <v>0.14661192666031592</v>
      </c>
      <c r="V297" s="53">
        <v>0.13455528594974545</v>
      </c>
    </row>
    <row r="298" spans="1:22" x14ac:dyDescent="0.35">
      <c r="B298" s="4" t="s">
        <v>112</v>
      </c>
      <c r="C298">
        <v>0</v>
      </c>
      <c r="D298">
        <v>0</v>
      </c>
      <c r="E298">
        <v>505</v>
      </c>
      <c r="F298">
        <v>505</v>
      </c>
      <c r="G298">
        <v>505</v>
      </c>
      <c r="H298">
        <v>469</v>
      </c>
      <c r="I298">
        <v>610</v>
      </c>
      <c r="J298">
        <v>610</v>
      </c>
      <c r="K298">
        <v>784</v>
      </c>
      <c r="L298">
        <v>784</v>
      </c>
      <c r="M298" s="51"/>
      <c r="N298" s="51"/>
      <c r="O298" s="51"/>
      <c r="P298" s="51"/>
      <c r="Q298" s="51"/>
      <c r="R298" s="51"/>
      <c r="S298" s="51"/>
      <c r="T298" s="51"/>
      <c r="U298" s="51"/>
      <c r="V298" s="51"/>
    </row>
    <row r="299" spans="1:22" x14ac:dyDescent="0.35">
      <c r="A299" s="4" t="s">
        <v>112</v>
      </c>
      <c r="B299" s="54" t="s">
        <v>257</v>
      </c>
      <c r="C299">
        <v>0</v>
      </c>
      <c r="D299">
        <v>0</v>
      </c>
      <c r="E299">
        <v>0</v>
      </c>
      <c r="F299">
        <v>0</v>
      </c>
      <c r="G299">
        <v>0</v>
      </c>
      <c r="H299">
        <v>0</v>
      </c>
      <c r="I299">
        <v>6</v>
      </c>
      <c r="J299">
        <v>6</v>
      </c>
      <c r="K299">
        <v>6</v>
      </c>
      <c r="L299">
        <v>6</v>
      </c>
      <c r="M299" s="51">
        <v>0</v>
      </c>
      <c r="N299" s="51">
        <v>0</v>
      </c>
      <c r="O299" s="51">
        <v>0</v>
      </c>
      <c r="P299" s="51">
        <v>0</v>
      </c>
      <c r="Q299" s="51">
        <v>0</v>
      </c>
      <c r="R299" s="51">
        <v>0</v>
      </c>
      <c r="S299" s="51">
        <v>0.27442245507475727</v>
      </c>
      <c r="T299" s="51">
        <v>0.26892925815864138</v>
      </c>
      <c r="U299" s="51">
        <v>0.2638754507872284</v>
      </c>
      <c r="V299" s="53">
        <v>0.25847362707425087</v>
      </c>
    </row>
    <row r="300" spans="1:22" x14ac:dyDescent="0.35">
      <c r="A300" s="4" t="s">
        <v>112</v>
      </c>
      <c r="B300" s="54" t="s">
        <v>258</v>
      </c>
      <c r="C300">
        <v>0</v>
      </c>
      <c r="D300">
        <v>0</v>
      </c>
      <c r="E300">
        <v>0</v>
      </c>
      <c r="F300">
        <v>0</v>
      </c>
      <c r="G300">
        <v>0</v>
      </c>
      <c r="H300">
        <v>0</v>
      </c>
      <c r="I300">
        <v>0</v>
      </c>
      <c r="J300">
        <v>0</v>
      </c>
      <c r="K300">
        <v>146</v>
      </c>
      <c r="L300">
        <v>146</v>
      </c>
      <c r="M300" s="51">
        <v>0</v>
      </c>
      <c r="N300" s="51">
        <v>0</v>
      </c>
      <c r="O300" s="51">
        <v>0</v>
      </c>
      <c r="P300" s="51">
        <v>0</v>
      </c>
      <c r="Q300" s="51">
        <v>0</v>
      </c>
      <c r="R300" s="51">
        <v>0</v>
      </c>
      <c r="S300" s="51">
        <v>0</v>
      </c>
      <c r="T300" s="51">
        <v>0</v>
      </c>
      <c r="U300" s="51">
        <v>6.4209693024892252</v>
      </c>
      <c r="V300" s="53">
        <v>6.2895249254734376</v>
      </c>
    </row>
    <row r="301" spans="1:22" x14ac:dyDescent="0.35">
      <c r="A301" s="4" t="s">
        <v>112</v>
      </c>
      <c r="B301" s="54" t="s">
        <v>259</v>
      </c>
      <c r="C301">
        <v>0</v>
      </c>
      <c r="D301">
        <v>0</v>
      </c>
      <c r="E301">
        <v>0</v>
      </c>
      <c r="F301">
        <v>0</v>
      </c>
      <c r="G301">
        <v>0</v>
      </c>
      <c r="H301">
        <v>0</v>
      </c>
      <c r="I301">
        <v>0</v>
      </c>
      <c r="J301">
        <v>0</v>
      </c>
      <c r="K301">
        <v>0</v>
      </c>
      <c r="L301">
        <v>0</v>
      </c>
      <c r="M301" s="51">
        <v>0</v>
      </c>
      <c r="N301" s="51">
        <v>0</v>
      </c>
      <c r="O301" s="51">
        <v>0</v>
      </c>
      <c r="P301" s="51">
        <v>0</v>
      </c>
      <c r="Q301" s="51">
        <v>0</v>
      </c>
      <c r="R301" s="51">
        <v>0</v>
      </c>
      <c r="S301" s="51">
        <v>0</v>
      </c>
      <c r="T301" s="51">
        <v>0</v>
      </c>
      <c r="U301" s="51">
        <v>0</v>
      </c>
      <c r="V301" s="53">
        <v>0</v>
      </c>
    </row>
    <row r="302" spans="1:22" x14ac:dyDescent="0.35">
      <c r="A302" s="4" t="s">
        <v>112</v>
      </c>
      <c r="B302" s="54" t="s">
        <v>260</v>
      </c>
      <c r="C302">
        <v>0</v>
      </c>
      <c r="D302">
        <v>0</v>
      </c>
      <c r="E302">
        <v>63</v>
      </c>
      <c r="F302">
        <v>63</v>
      </c>
      <c r="G302">
        <v>63</v>
      </c>
      <c r="H302">
        <v>63</v>
      </c>
      <c r="I302">
        <v>105</v>
      </c>
      <c r="J302">
        <v>105</v>
      </c>
      <c r="K302">
        <v>105</v>
      </c>
      <c r="L302">
        <v>105</v>
      </c>
      <c r="M302" s="51">
        <v>0</v>
      </c>
      <c r="N302" s="51">
        <v>0</v>
      </c>
      <c r="O302" s="51">
        <v>3.0786973689354546</v>
      </c>
      <c r="P302" s="51">
        <v>3.0283220211886404</v>
      </c>
      <c r="Q302" s="51">
        <v>2.9809220985691574</v>
      </c>
      <c r="R302" s="51">
        <v>2.9357079949114397</v>
      </c>
      <c r="S302" s="51">
        <v>4.8023929638082521</v>
      </c>
      <c r="T302" s="51">
        <v>4.7062620177762238</v>
      </c>
      <c r="U302" s="51">
        <v>4.6178203887764973</v>
      </c>
      <c r="V302" s="53">
        <v>4.5232884737993899</v>
      </c>
    </row>
    <row r="303" spans="1:22" x14ac:dyDescent="0.35">
      <c r="A303" s="4" t="s">
        <v>112</v>
      </c>
      <c r="B303" s="54" t="s">
        <v>261</v>
      </c>
      <c r="C303">
        <v>0</v>
      </c>
      <c r="D303">
        <v>0</v>
      </c>
      <c r="E303">
        <v>0</v>
      </c>
      <c r="F303">
        <v>0</v>
      </c>
      <c r="G303">
        <v>0</v>
      </c>
      <c r="H303">
        <v>0</v>
      </c>
      <c r="I303">
        <v>22</v>
      </c>
      <c r="J303">
        <v>22</v>
      </c>
      <c r="K303">
        <v>50</v>
      </c>
      <c r="L303">
        <v>50</v>
      </c>
      <c r="M303" s="51">
        <v>0</v>
      </c>
      <c r="N303" s="51">
        <v>0</v>
      </c>
      <c r="O303" s="51">
        <v>0</v>
      </c>
      <c r="P303" s="51">
        <v>0</v>
      </c>
      <c r="Q303" s="51">
        <v>0</v>
      </c>
      <c r="R303" s="51">
        <v>0</v>
      </c>
      <c r="S303" s="51">
        <v>1.0062156686074433</v>
      </c>
      <c r="T303" s="51">
        <v>0.98607394658168501</v>
      </c>
      <c r="U303" s="51">
        <v>2.1989620898935702</v>
      </c>
      <c r="V303" s="53">
        <v>2.1539468922854241</v>
      </c>
    </row>
    <row r="304" spans="1:22" x14ac:dyDescent="0.35">
      <c r="A304" s="4" t="s">
        <v>112</v>
      </c>
      <c r="B304" s="54" t="s">
        <v>262</v>
      </c>
      <c r="C304">
        <v>0</v>
      </c>
      <c r="D304">
        <v>0</v>
      </c>
      <c r="E304">
        <v>442</v>
      </c>
      <c r="F304">
        <v>442</v>
      </c>
      <c r="G304">
        <v>442</v>
      </c>
      <c r="H304">
        <v>406</v>
      </c>
      <c r="I304">
        <v>440</v>
      </c>
      <c r="J304">
        <v>440</v>
      </c>
      <c r="K304">
        <v>440</v>
      </c>
      <c r="L304">
        <v>440</v>
      </c>
      <c r="M304" s="51">
        <v>0</v>
      </c>
      <c r="N304" s="51">
        <v>0</v>
      </c>
      <c r="O304" s="51">
        <v>21.59974979475351</v>
      </c>
      <c r="P304" s="51">
        <v>21.246322751831414</v>
      </c>
      <c r="Q304" s="51">
        <v>20.913770913770914</v>
      </c>
      <c r="R304" s="51">
        <v>18.919007078318167</v>
      </c>
      <c r="S304" s="51">
        <v>20.124313372148865</v>
      </c>
      <c r="T304" s="51">
        <v>19.721478931633701</v>
      </c>
      <c r="U304" s="51">
        <v>19.350866391063416</v>
      </c>
      <c r="V304" s="53">
        <v>18.95473265211173</v>
      </c>
    </row>
    <row r="305" spans="1:22" x14ac:dyDescent="0.35">
      <c r="A305" s="4" t="s">
        <v>112</v>
      </c>
      <c r="B305" s="54" t="s">
        <v>263</v>
      </c>
      <c r="C305">
        <v>0</v>
      </c>
      <c r="D305">
        <v>0</v>
      </c>
      <c r="E305">
        <v>0</v>
      </c>
      <c r="F305">
        <v>0</v>
      </c>
      <c r="G305">
        <v>0</v>
      </c>
      <c r="H305">
        <v>0</v>
      </c>
      <c r="I305">
        <v>37</v>
      </c>
      <c r="J305">
        <v>37</v>
      </c>
      <c r="K305">
        <v>37</v>
      </c>
      <c r="L305">
        <v>37</v>
      </c>
      <c r="M305" s="51">
        <v>0</v>
      </c>
      <c r="N305" s="51">
        <v>0</v>
      </c>
      <c r="O305" s="51">
        <v>0</v>
      </c>
      <c r="P305" s="51">
        <v>0</v>
      </c>
      <c r="Q305" s="51">
        <v>0</v>
      </c>
      <c r="R305" s="51">
        <v>0</v>
      </c>
      <c r="S305" s="51">
        <v>1.6922718062943365</v>
      </c>
      <c r="T305" s="51">
        <v>1.6583970919782884</v>
      </c>
      <c r="U305" s="51">
        <v>1.6272319465212421</v>
      </c>
      <c r="V305" s="53">
        <v>1.5939207002912137</v>
      </c>
    </row>
    <row r="306" spans="1:22" x14ac:dyDescent="0.35">
      <c r="B306" s="4" t="s">
        <v>72</v>
      </c>
      <c r="C306">
        <v>3847</v>
      </c>
      <c r="D306">
        <v>3976</v>
      </c>
      <c r="E306">
        <v>4200</v>
      </c>
      <c r="F306">
        <v>4538</v>
      </c>
      <c r="G306">
        <v>4984</v>
      </c>
      <c r="H306">
        <v>5396</v>
      </c>
      <c r="I306">
        <v>5396</v>
      </c>
      <c r="J306">
        <v>3522</v>
      </c>
      <c r="K306">
        <v>6066</v>
      </c>
      <c r="L306">
        <v>6004</v>
      </c>
      <c r="M306" s="51"/>
      <c r="N306" s="51"/>
      <c r="O306" s="51"/>
      <c r="P306" s="51"/>
      <c r="Q306" s="51"/>
      <c r="R306" s="51"/>
      <c r="S306" s="51"/>
      <c r="T306" s="51"/>
      <c r="U306" s="51"/>
      <c r="V306" s="51"/>
    </row>
    <row r="307" spans="1:22" x14ac:dyDescent="0.35">
      <c r="A307" s="4" t="s">
        <v>72</v>
      </c>
      <c r="B307" s="54" t="s">
        <v>257</v>
      </c>
      <c r="C307">
        <v>0</v>
      </c>
      <c r="D307">
        <v>0</v>
      </c>
      <c r="E307">
        <v>0</v>
      </c>
      <c r="F307">
        <v>0</v>
      </c>
      <c r="G307">
        <v>0</v>
      </c>
      <c r="H307">
        <v>14</v>
      </c>
      <c r="I307">
        <v>14</v>
      </c>
      <c r="J307">
        <v>22</v>
      </c>
      <c r="K307">
        <v>34</v>
      </c>
      <c r="L307">
        <v>35</v>
      </c>
      <c r="M307" s="51">
        <v>0</v>
      </c>
      <c r="N307" s="51">
        <v>0</v>
      </c>
      <c r="O307" s="51">
        <v>0</v>
      </c>
      <c r="P307" s="51">
        <v>0</v>
      </c>
      <c r="Q307" s="51">
        <v>0</v>
      </c>
      <c r="R307" s="51">
        <v>0.11969771197823553</v>
      </c>
      <c r="S307" s="51">
        <v>0.11857824682062075</v>
      </c>
      <c r="T307" s="51">
        <v>0.18452180754207725</v>
      </c>
      <c r="U307" s="51">
        <v>0.2829395757570714</v>
      </c>
      <c r="V307" s="53">
        <v>0.29227264528455665</v>
      </c>
    </row>
    <row r="308" spans="1:22" x14ac:dyDescent="0.35">
      <c r="A308" s="4" t="s">
        <v>72</v>
      </c>
      <c r="B308" s="54" t="s">
        <v>258</v>
      </c>
      <c r="C308">
        <v>0</v>
      </c>
      <c r="D308">
        <v>0</v>
      </c>
      <c r="E308">
        <v>0</v>
      </c>
      <c r="F308">
        <v>0</v>
      </c>
      <c r="G308">
        <v>0</v>
      </c>
      <c r="H308">
        <v>370</v>
      </c>
      <c r="I308">
        <v>370</v>
      </c>
      <c r="J308">
        <v>370</v>
      </c>
      <c r="K308">
        <v>0</v>
      </c>
      <c r="L308">
        <v>0</v>
      </c>
      <c r="M308" s="51">
        <v>0</v>
      </c>
      <c r="N308" s="51">
        <v>0</v>
      </c>
      <c r="O308" s="51">
        <v>0</v>
      </c>
      <c r="P308" s="51">
        <v>0</v>
      </c>
      <c r="Q308" s="51">
        <v>0</v>
      </c>
      <c r="R308" s="51">
        <v>3.1634395308533678</v>
      </c>
      <c r="S308" s="51">
        <v>3.1338536659735485</v>
      </c>
      <c r="T308" s="51">
        <v>3.1033213086622089</v>
      </c>
      <c r="U308" s="51">
        <v>0</v>
      </c>
      <c r="V308" s="53">
        <v>0</v>
      </c>
    </row>
    <row r="309" spans="1:22" x14ac:dyDescent="0.35">
      <c r="A309" s="4" t="s">
        <v>72</v>
      </c>
      <c r="B309" s="54" t="s">
        <v>259</v>
      </c>
      <c r="C309">
        <v>0</v>
      </c>
      <c r="D309">
        <v>0</v>
      </c>
      <c r="E309">
        <v>0</v>
      </c>
      <c r="F309">
        <v>0</v>
      </c>
      <c r="G309">
        <v>0</v>
      </c>
      <c r="H309">
        <v>0</v>
      </c>
      <c r="I309">
        <v>0</v>
      </c>
      <c r="J309">
        <v>0</v>
      </c>
      <c r="K309">
        <v>0</v>
      </c>
      <c r="L309">
        <v>0</v>
      </c>
      <c r="M309" s="51">
        <v>0</v>
      </c>
      <c r="N309" s="51">
        <v>0</v>
      </c>
      <c r="O309" s="51">
        <v>0</v>
      </c>
      <c r="P309" s="51">
        <v>0</v>
      </c>
      <c r="Q309" s="51">
        <v>0</v>
      </c>
      <c r="R309" s="51">
        <v>0</v>
      </c>
      <c r="S309" s="51">
        <v>0</v>
      </c>
      <c r="T309" s="51">
        <v>0</v>
      </c>
      <c r="U309" s="51">
        <v>0</v>
      </c>
      <c r="V309" s="53">
        <v>0</v>
      </c>
    </row>
    <row r="310" spans="1:22" x14ac:dyDescent="0.35">
      <c r="A310" s="4" t="s">
        <v>72</v>
      </c>
      <c r="B310" s="54" t="s">
        <v>260</v>
      </c>
      <c r="C310">
        <v>0</v>
      </c>
      <c r="D310">
        <v>0</v>
      </c>
      <c r="E310">
        <v>0</v>
      </c>
      <c r="F310">
        <v>107</v>
      </c>
      <c r="G310">
        <v>278</v>
      </c>
      <c r="H310">
        <v>278</v>
      </c>
      <c r="I310">
        <v>278</v>
      </c>
      <c r="J310">
        <v>165</v>
      </c>
      <c r="K310">
        <v>684</v>
      </c>
      <c r="L310">
        <v>685</v>
      </c>
      <c r="M310" s="51">
        <v>0</v>
      </c>
      <c r="N310" s="51">
        <v>0</v>
      </c>
      <c r="O310" s="51">
        <v>0</v>
      </c>
      <c r="P310" s="51">
        <v>0.92931152780552206</v>
      </c>
      <c r="Q310" s="51">
        <v>2.3956678053270002</v>
      </c>
      <c r="R310" s="51">
        <v>2.3768545664249627</v>
      </c>
      <c r="S310" s="51">
        <v>2.3546251868666124</v>
      </c>
      <c r="T310" s="51">
        <v>1.3839135565655794</v>
      </c>
      <c r="U310" s="51">
        <v>5.6920785240540255</v>
      </c>
      <c r="V310" s="53">
        <v>5.72019320056918</v>
      </c>
    </row>
    <row r="311" spans="1:22" x14ac:dyDescent="0.35">
      <c r="A311" s="4" t="s">
        <v>72</v>
      </c>
      <c r="B311" s="54" t="s">
        <v>261</v>
      </c>
      <c r="C311">
        <v>0</v>
      </c>
      <c r="D311">
        <v>0</v>
      </c>
      <c r="E311">
        <v>0</v>
      </c>
      <c r="F311">
        <v>0</v>
      </c>
      <c r="G311">
        <v>0</v>
      </c>
      <c r="H311">
        <v>0</v>
      </c>
      <c r="I311">
        <v>0</v>
      </c>
      <c r="J311">
        <v>0</v>
      </c>
      <c r="K311">
        <v>0</v>
      </c>
      <c r="L311">
        <v>0</v>
      </c>
      <c r="M311" s="51">
        <v>0</v>
      </c>
      <c r="N311" s="51">
        <v>0</v>
      </c>
      <c r="O311" s="51">
        <v>0</v>
      </c>
      <c r="P311" s="51">
        <v>0</v>
      </c>
      <c r="Q311" s="51">
        <v>0</v>
      </c>
      <c r="R311" s="51">
        <v>0</v>
      </c>
      <c r="S311" s="51">
        <v>0</v>
      </c>
      <c r="T311" s="51">
        <v>0</v>
      </c>
      <c r="U311" s="51">
        <v>0</v>
      </c>
      <c r="V311" s="53">
        <v>0</v>
      </c>
    </row>
    <row r="312" spans="1:22" x14ac:dyDescent="0.35">
      <c r="A312" s="4" t="s">
        <v>72</v>
      </c>
      <c r="B312" s="54" t="s">
        <v>262</v>
      </c>
      <c r="C312">
        <v>3847</v>
      </c>
      <c r="D312">
        <v>3976</v>
      </c>
      <c r="E312">
        <v>4200</v>
      </c>
      <c r="F312">
        <v>4431</v>
      </c>
      <c r="G312">
        <v>4706</v>
      </c>
      <c r="H312">
        <v>4706</v>
      </c>
      <c r="I312">
        <v>4706</v>
      </c>
      <c r="J312">
        <v>2917</v>
      </c>
      <c r="K312">
        <v>5320</v>
      </c>
      <c r="L312">
        <v>5242</v>
      </c>
      <c r="M312" s="51">
        <v>34.16928317338224</v>
      </c>
      <c r="N312" s="51">
        <v>35.063707299177381</v>
      </c>
      <c r="O312" s="51">
        <v>36.760715748640727</v>
      </c>
      <c r="P312" s="51">
        <v>38.483919436507179</v>
      </c>
      <c r="Q312" s="51">
        <v>40.554002488736913</v>
      </c>
      <c r="R312" s="51">
        <v>40.235530897826891</v>
      </c>
      <c r="S312" s="51">
        <v>39.859230681274376</v>
      </c>
      <c r="T312" s="51">
        <v>24.465914209101786</v>
      </c>
      <c r="U312" s="51">
        <v>44.271721853753526</v>
      </c>
      <c r="V312" s="53">
        <v>43.774091616618456</v>
      </c>
    </row>
    <row r="313" spans="1:22" x14ac:dyDescent="0.35">
      <c r="A313" s="4" t="s">
        <v>72</v>
      </c>
      <c r="B313" s="54" t="s">
        <v>263</v>
      </c>
      <c r="C313">
        <v>0</v>
      </c>
      <c r="D313">
        <v>0</v>
      </c>
      <c r="E313">
        <v>0</v>
      </c>
      <c r="F313">
        <v>0</v>
      </c>
      <c r="G313">
        <v>0</v>
      </c>
      <c r="H313">
        <v>28</v>
      </c>
      <c r="I313">
        <v>28</v>
      </c>
      <c r="J313">
        <v>48</v>
      </c>
      <c r="K313">
        <v>28</v>
      </c>
      <c r="L313">
        <v>42</v>
      </c>
      <c r="M313" s="51">
        <v>0</v>
      </c>
      <c r="N313" s="51">
        <v>0</v>
      </c>
      <c r="O313" s="51">
        <v>0</v>
      </c>
      <c r="P313" s="51">
        <v>0</v>
      </c>
      <c r="Q313" s="51">
        <v>0</v>
      </c>
      <c r="R313" s="51">
        <v>0.23939542395647107</v>
      </c>
      <c r="S313" s="51">
        <v>0.2371564936412415</v>
      </c>
      <c r="T313" s="51">
        <v>0.40259303463725943</v>
      </c>
      <c r="U313" s="51">
        <v>0.23300906238817645</v>
      </c>
      <c r="V313" s="53">
        <v>0.350727174341468</v>
      </c>
    </row>
    <row r="314" spans="1:22" x14ac:dyDescent="0.35">
      <c r="B314" s="4" t="s">
        <v>116</v>
      </c>
      <c r="C314">
        <v>0</v>
      </c>
      <c r="D314">
        <v>0</v>
      </c>
      <c r="E314">
        <v>0</v>
      </c>
      <c r="F314">
        <v>1055</v>
      </c>
      <c r="G314">
        <v>1055</v>
      </c>
      <c r="H314">
        <v>1316</v>
      </c>
      <c r="I314">
        <v>1324</v>
      </c>
      <c r="J314">
        <v>1324</v>
      </c>
      <c r="K314">
        <v>1822</v>
      </c>
      <c r="L314">
        <v>1894</v>
      </c>
      <c r="M314" s="51"/>
      <c r="N314" s="51"/>
      <c r="O314" s="51"/>
      <c r="P314" s="51"/>
      <c r="Q314" s="51"/>
      <c r="R314" s="51"/>
      <c r="S314" s="51"/>
      <c r="T314" s="51"/>
      <c r="U314" s="51"/>
      <c r="V314" s="51"/>
    </row>
    <row r="315" spans="1:22" x14ac:dyDescent="0.35">
      <c r="A315" s="4" t="s">
        <v>116</v>
      </c>
      <c r="B315" s="54" t="s">
        <v>257</v>
      </c>
      <c r="C315">
        <v>0</v>
      </c>
      <c r="D315">
        <v>0</v>
      </c>
      <c r="E315">
        <v>0</v>
      </c>
      <c r="F315">
        <v>34</v>
      </c>
      <c r="G315">
        <v>34</v>
      </c>
      <c r="H315">
        <v>34</v>
      </c>
      <c r="I315">
        <v>42</v>
      </c>
      <c r="J315">
        <v>42</v>
      </c>
      <c r="K315">
        <v>44</v>
      </c>
      <c r="L315">
        <v>44</v>
      </c>
      <c r="M315" s="51">
        <v>0</v>
      </c>
      <c r="N315" s="51">
        <v>0</v>
      </c>
      <c r="O315" s="51">
        <v>0</v>
      </c>
      <c r="P315" s="51">
        <v>3.3395212698038526</v>
      </c>
      <c r="Q315" s="51">
        <v>3.2977371703475233</v>
      </c>
      <c r="R315" s="51">
        <v>3.257547450011018</v>
      </c>
      <c r="S315" s="51">
        <v>3.9799109258030891</v>
      </c>
      <c r="T315" s="51">
        <v>3.9447361253299023</v>
      </c>
      <c r="U315" s="51">
        <v>4.1076196344218525</v>
      </c>
      <c r="V315" s="53">
        <v>4.4038754103611177</v>
      </c>
    </row>
    <row r="316" spans="1:22" x14ac:dyDescent="0.35">
      <c r="A316" s="4" t="s">
        <v>116</v>
      </c>
      <c r="B316" s="54" t="s">
        <v>258</v>
      </c>
      <c r="C316">
        <v>0</v>
      </c>
      <c r="D316">
        <v>0</v>
      </c>
      <c r="E316">
        <v>0</v>
      </c>
      <c r="F316">
        <v>0</v>
      </c>
      <c r="G316">
        <v>0</v>
      </c>
      <c r="H316">
        <v>71</v>
      </c>
      <c r="I316">
        <v>71</v>
      </c>
      <c r="J316">
        <v>71</v>
      </c>
      <c r="K316">
        <v>0</v>
      </c>
      <c r="L316">
        <v>10</v>
      </c>
      <c r="M316" s="51">
        <v>0</v>
      </c>
      <c r="N316" s="51">
        <v>0</v>
      </c>
      <c r="O316" s="51">
        <v>0</v>
      </c>
      <c r="P316" s="51">
        <v>0</v>
      </c>
      <c r="Q316" s="51">
        <v>0</v>
      </c>
      <c r="R316" s="51">
        <v>6.8025255573759491</v>
      </c>
      <c r="S316" s="51">
        <v>6.727944660286175</v>
      </c>
      <c r="T316" s="51">
        <v>6.6684824975815005</v>
      </c>
      <c r="U316" s="51">
        <v>0</v>
      </c>
      <c r="V316" s="53">
        <v>1.0008807750820721</v>
      </c>
    </row>
    <row r="317" spans="1:22" x14ac:dyDescent="0.35">
      <c r="A317" s="4" t="s">
        <v>116</v>
      </c>
      <c r="B317" s="54" t="s">
        <v>259</v>
      </c>
      <c r="C317">
        <v>0</v>
      </c>
      <c r="D317">
        <v>0</v>
      </c>
      <c r="E317">
        <v>0</v>
      </c>
      <c r="F317">
        <v>0</v>
      </c>
      <c r="G317">
        <v>0</v>
      </c>
      <c r="H317">
        <v>0</v>
      </c>
      <c r="I317">
        <v>0</v>
      </c>
      <c r="J317">
        <v>0</v>
      </c>
      <c r="K317">
        <v>0</v>
      </c>
      <c r="L317">
        <v>21</v>
      </c>
      <c r="M317" s="51">
        <v>0</v>
      </c>
      <c r="N317" s="51">
        <v>0</v>
      </c>
      <c r="O317" s="51">
        <v>0</v>
      </c>
      <c r="P317" s="51">
        <v>0</v>
      </c>
      <c r="Q317" s="51">
        <v>0</v>
      </c>
      <c r="R317" s="51">
        <v>0</v>
      </c>
      <c r="S317" s="51">
        <v>0</v>
      </c>
      <c r="T317" s="51">
        <v>0</v>
      </c>
      <c r="U317" s="51">
        <v>0</v>
      </c>
      <c r="V317" s="53">
        <v>2.1018496276723515</v>
      </c>
    </row>
    <row r="318" spans="1:22" x14ac:dyDescent="0.35">
      <c r="A318" s="4" t="s">
        <v>116</v>
      </c>
      <c r="B318" s="54" t="s">
        <v>260</v>
      </c>
      <c r="C318">
        <v>0</v>
      </c>
      <c r="D318">
        <v>0</v>
      </c>
      <c r="E318">
        <v>0</v>
      </c>
      <c r="F318">
        <v>203</v>
      </c>
      <c r="G318">
        <v>203</v>
      </c>
      <c r="H318">
        <v>240</v>
      </c>
      <c r="I318">
        <v>240</v>
      </c>
      <c r="J318">
        <v>240</v>
      </c>
      <c r="K318">
        <v>828</v>
      </c>
      <c r="L318">
        <v>828</v>
      </c>
      <c r="M318" s="51">
        <v>0</v>
      </c>
      <c r="N318" s="51">
        <v>0</v>
      </c>
      <c r="O318" s="51">
        <v>0</v>
      </c>
      <c r="P318" s="51">
        <v>19.938906405005355</v>
      </c>
      <c r="Q318" s="51">
        <v>19.689430752369034</v>
      </c>
      <c r="R318" s="51">
        <v>22.99445258831307</v>
      </c>
      <c r="S318" s="51">
        <v>22.742348147446226</v>
      </c>
      <c r="T318" s="51">
        <v>22.541349287599441</v>
      </c>
      <c r="U318" s="51">
        <v>77.297933120483947</v>
      </c>
      <c r="V318" s="53">
        <v>82.872928176795583</v>
      </c>
    </row>
    <row r="319" spans="1:22" x14ac:dyDescent="0.35">
      <c r="A319" s="4" t="s">
        <v>116</v>
      </c>
      <c r="B319" s="54" t="s">
        <v>261</v>
      </c>
      <c r="C319">
        <v>0</v>
      </c>
      <c r="D319">
        <v>0</v>
      </c>
      <c r="E319">
        <v>0</v>
      </c>
      <c r="F319">
        <v>89</v>
      </c>
      <c r="G319">
        <v>89</v>
      </c>
      <c r="H319">
        <v>158</v>
      </c>
      <c r="I319">
        <v>158</v>
      </c>
      <c r="J319">
        <v>158</v>
      </c>
      <c r="K319">
        <v>292</v>
      </c>
      <c r="L319">
        <v>312</v>
      </c>
      <c r="M319" s="51">
        <v>0</v>
      </c>
      <c r="N319" s="51">
        <v>0</v>
      </c>
      <c r="O319" s="51">
        <v>0</v>
      </c>
      <c r="P319" s="51">
        <v>8.7416880297806721</v>
      </c>
      <c r="Q319" s="51">
        <v>8.6323120047332225</v>
      </c>
      <c r="R319" s="51">
        <v>15.138014620639437</v>
      </c>
      <c r="S319" s="51">
        <v>14.972045863735431</v>
      </c>
      <c r="T319" s="51">
        <v>14.839721614336298</v>
      </c>
      <c r="U319" s="51">
        <v>27.259657573890475</v>
      </c>
      <c r="V319" s="53">
        <v>31.227480182560654</v>
      </c>
    </row>
    <row r="320" spans="1:22" x14ac:dyDescent="0.35">
      <c r="A320" s="4" t="s">
        <v>116</v>
      </c>
      <c r="B320" s="54" t="s">
        <v>262</v>
      </c>
      <c r="C320">
        <v>0</v>
      </c>
      <c r="D320">
        <v>0</v>
      </c>
      <c r="E320">
        <v>0</v>
      </c>
      <c r="F320">
        <v>684</v>
      </c>
      <c r="G320">
        <v>684</v>
      </c>
      <c r="H320">
        <v>689</v>
      </c>
      <c r="I320">
        <v>689</v>
      </c>
      <c r="J320">
        <v>689</v>
      </c>
      <c r="K320">
        <v>623</v>
      </c>
      <c r="L320">
        <v>625</v>
      </c>
      <c r="M320" s="51">
        <v>0</v>
      </c>
      <c r="N320" s="51">
        <v>0</v>
      </c>
      <c r="O320" s="51">
        <v>0</v>
      </c>
      <c r="P320" s="51">
        <v>67.18331025134809</v>
      </c>
      <c r="Q320" s="51">
        <v>66.342712485814886</v>
      </c>
      <c r="R320" s="51">
        <v>66.013240972282105</v>
      </c>
      <c r="S320" s="51">
        <v>65.289491139960205</v>
      </c>
      <c r="T320" s="51">
        <v>64.712456913150064</v>
      </c>
      <c r="U320" s="51">
        <v>58.160159823745772</v>
      </c>
      <c r="V320" s="53">
        <v>62.555048442629513</v>
      </c>
    </row>
    <row r="321" spans="1:22" x14ac:dyDescent="0.35">
      <c r="A321" s="4" t="s">
        <v>116</v>
      </c>
      <c r="B321" s="54" t="s">
        <v>263</v>
      </c>
      <c r="C321">
        <v>0</v>
      </c>
      <c r="D321">
        <v>0</v>
      </c>
      <c r="E321">
        <v>0</v>
      </c>
      <c r="F321">
        <v>45</v>
      </c>
      <c r="G321">
        <v>45</v>
      </c>
      <c r="H321">
        <v>124</v>
      </c>
      <c r="I321">
        <v>124</v>
      </c>
      <c r="J321">
        <v>124</v>
      </c>
      <c r="K321">
        <v>35</v>
      </c>
      <c r="L321">
        <v>54</v>
      </c>
      <c r="M321" s="51">
        <v>0</v>
      </c>
      <c r="N321" s="51">
        <v>0</v>
      </c>
      <c r="O321" s="51">
        <v>0</v>
      </c>
      <c r="P321" s="51">
        <v>4.4199546217992163</v>
      </c>
      <c r="Q321" s="51">
        <v>4.3646521372246632</v>
      </c>
      <c r="R321" s="51">
        <v>11.880467170628419</v>
      </c>
      <c r="S321" s="51">
        <v>11.75021320951388</v>
      </c>
      <c r="T321" s="51">
        <v>11.646363798593043</v>
      </c>
      <c r="U321" s="51">
        <v>3.2674247091992008</v>
      </c>
      <c r="V321" s="53">
        <v>5.4047561854431896</v>
      </c>
    </row>
    <row r="322" spans="1:22" x14ac:dyDescent="0.35">
      <c r="B322" s="4" t="s">
        <v>58</v>
      </c>
      <c r="C322">
        <v>4743</v>
      </c>
      <c r="D322">
        <v>4832</v>
      </c>
      <c r="E322">
        <v>4832</v>
      </c>
      <c r="F322">
        <v>4832</v>
      </c>
      <c r="G322">
        <v>4660</v>
      </c>
      <c r="H322">
        <v>7130</v>
      </c>
      <c r="I322">
        <v>7274</v>
      </c>
      <c r="J322">
        <v>5142</v>
      </c>
      <c r="K322">
        <v>7609</v>
      </c>
      <c r="L322">
        <v>7115</v>
      </c>
      <c r="M322" s="51"/>
      <c r="N322" s="51"/>
      <c r="O322" s="51"/>
      <c r="P322" s="51"/>
      <c r="Q322" s="51"/>
      <c r="R322" s="51"/>
      <c r="S322" s="51"/>
      <c r="T322" s="51"/>
      <c r="U322" s="51"/>
      <c r="V322" s="51"/>
    </row>
    <row r="323" spans="1:22" x14ac:dyDescent="0.35">
      <c r="A323" s="4" t="s">
        <v>58</v>
      </c>
      <c r="B323" s="54" t="s">
        <v>257</v>
      </c>
      <c r="C323">
        <v>0</v>
      </c>
      <c r="D323">
        <v>0</v>
      </c>
      <c r="E323">
        <v>0</v>
      </c>
      <c r="F323">
        <v>0</v>
      </c>
      <c r="G323">
        <v>0</v>
      </c>
      <c r="H323">
        <v>3</v>
      </c>
      <c r="I323">
        <v>3</v>
      </c>
      <c r="J323">
        <v>3</v>
      </c>
      <c r="K323">
        <v>21</v>
      </c>
      <c r="L323">
        <v>13</v>
      </c>
      <c r="M323" s="51">
        <v>0</v>
      </c>
      <c r="N323" s="51">
        <v>0</v>
      </c>
      <c r="O323" s="51">
        <v>0</v>
      </c>
      <c r="P323" s="51">
        <v>0</v>
      </c>
      <c r="Q323" s="51">
        <v>0</v>
      </c>
      <c r="R323" s="51">
        <v>1.8602498464363752E-3</v>
      </c>
      <c r="S323" s="51">
        <v>1.8023754226645465E-3</v>
      </c>
      <c r="T323" s="51">
        <v>1.7462429582752708E-3</v>
      </c>
      <c r="U323" s="51">
        <v>1.1848799166521613E-2</v>
      </c>
      <c r="V323" s="53">
        <v>7.2539854093337476E-3</v>
      </c>
    </row>
    <row r="324" spans="1:22" x14ac:dyDescent="0.35">
      <c r="A324" s="4" t="s">
        <v>58</v>
      </c>
      <c r="B324" s="54" t="s">
        <v>258</v>
      </c>
      <c r="C324">
        <v>0</v>
      </c>
      <c r="D324">
        <v>0</v>
      </c>
      <c r="E324">
        <v>0</v>
      </c>
      <c r="F324">
        <v>0</v>
      </c>
      <c r="G324">
        <v>0</v>
      </c>
      <c r="H324">
        <v>749</v>
      </c>
      <c r="I324">
        <v>749</v>
      </c>
      <c r="J324">
        <v>749</v>
      </c>
      <c r="K324">
        <v>1028</v>
      </c>
      <c r="L324">
        <v>1028</v>
      </c>
      <c r="M324" s="51">
        <v>0</v>
      </c>
      <c r="N324" s="51">
        <v>0</v>
      </c>
      <c r="O324" s="51">
        <v>0</v>
      </c>
      <c r="P324" s="51">
        <v>0</v>
      </c>
      <c r="Q324" s="51">
        <v>0</v>
      </c>
      <c r="R324" s="51">
        <v>0.46444237832694835</v>
      </c>
      <c r="S324" s="51">
        <v>0.44999306385858179</v>
      </c>
      <c r="T324" s="51">
        <v>0.43597865858272594</v>
      </c>
      <c r="U324" s="51">
        <v>0.58002693062781985</v>
      </c>
      <c r="V324" s="53">
        <v>0.57362284621500714</v>
      </c>
    </row>
    <row r="325" spans="1:22" x14ac:dyDescent="0.35">
      <c r="A325" s="4" t="s">
        <v>58</v>
      </c>
      <c r="B325" s="54" t="s">
        <v>259</v>
      </c>
      <c r="C325">
        <v>0</v>
      </c>
      <c r="D325">
        <v>0</v>
      </c>
      <c r="E325">
        <v>0</v>
      </c>
      <c r="F325">
        <v>0</v>
      </c>
      <c r="G325">
        <v>0</v>
      </c>
      <c r="H325">
        <v>0</v>
      </c>
      <c r="I325">
        <v>0</v>
      </c>
      <c r="J325">
        <v>0</v>
      </c>
      <c r="K325">
        <v>1028</v>
      </c>
      <c r="L325">
        <v>1048</v>
      </c>
      <c r="M325" s="51">
        <v>0</v>
      </c>
      <c r="N325" s="51">
        <v>0</v>
      </c>
      <c r="O325" s="51">
        <v>0</v>
      </c>
      <c r="P325" s="51">
        <v>0</v>
      </c>
      <c r="Q325" s="51">
        <v>0</v>
      </c>
      <c r="R325" s="51">
        <v>0</v>
      </c>
      <c r="S325" s="51">
        <v>0</v>
      </c>
      <c r="T325" s="51">
        <v>0</v>
      </c>
      <c r="U325" s="51">
        <v>0.58002693062781985</v>
      </c>
      <c r="V325" s="53">
        <v>0.58478282376782831</v>
      </c>
    </row>
    <row r="326" spans="1:22" x14ac:dyDescent="0.35">
      <c r="A326" s="4" t="s">
        <v>58</v>
      </c>
      <c r="B326" s="54" t="s">
        <v>260</v>
      </c>
      <c r="C326">
        <v>608</v>
      </c>
      <c r="D326">
        <v>696</v>
      </c>
      <c r="E326">
        <v>696</v>
      </c>
      <c r="F326">
        <v>696</v>
      </c>
      <c r="G326">
        <v>651</v>
      </c>
      <c r="H326">
        <v>859</v>
      </c>
      <c r="I326">
        <v>1003</v>
      </c>
      <c r="J326">
        <v>1003</v>
      </c>
      <c r="K326">
        <v>1506</v>
      </c>
      <c r="L326">
        <v>1641</v>
      </c>
      <c r="M326" s="51">
        <v>0.44388873987141536</v>
      </c>
      <c r="N326" s="51">
        <v>0.49221111274081397</v>
      </c>
      <c r="O326" s="51">
        <v>0.47695456288245025</v>
      </c>
      <c r="P326" s="51">
        <v>0.46135844608111792</v>
      </c>
      <c r="Q326" s="51">
        <v>0.41719510311640251</v>
      </c>
      <c r="R326" s="51">
        <v>0.53265153936294873</v>
      </c>
      <c r="S326" s="51">
        <v>0.60259418297751333</v>
      </c>
      <c r="T326" s="51">
        <v>0.58382722905003215</v>
      </c>
      <c r="U326" s="51">
        <v>0.84972816879912139</v>
      </c>
      <c r="V326" s="53">
        <v>0.91567615820897541</v>
      </c>
    </row>
    <row r="327" spans="1:22" x14ac:dyDescent="0.35">
      <c r="A327" s="4" t="s">
        <v>58</v>
      </c>
      <c r="B327" s="54" t="s">
        <v>261</v>
      </c>
      <c r="C327">
        <v>451</v>
      </c>
      <c r="D327">
        <v>451</v>
      </c>
      <c r="E327">
        <v>451</v>
      </c>
      <c r="F327">
        <v>451</v>
      </c>
      <c r="G327">
        <v>451</v>
      </c>
      <c r="H327">
        <v>451</v>
      </c>
      <c r="I327">
        <v>451</v>
      </c>
      <c r="J327">
        <v>710</v>
      </c>
      <c r="K327">
        <v>905</v>
      </c>
      <c r="L327">
        <v>845</v>
      </c>
      <c r="M327" s="51">
        <v>0.32926615408225052</v>
      </c>
      <c r="N327" s="51">
        <v>0.31894714345705044</v>
      </c>
      <c r="O327" s="51">
        <v>0.30906107451147274</v>
      </c>
      <c r="P327" s="51">
        <v>0.29895497008991984</v>
      </c>
      <c r="Q327" s="51">
        <v>0.28902456452457381</v>
      </c>
      <c r="R327" s="51">
        <v>0.27965756024760174</v>
      </c>
      <c r="S327" s="51">
        <v>0.27095710520723681</v>
      </c>
      <c r="T327" s="51">
        <v>0.41327750012514741</v>
      </c>
      <c r="U327" s="51">
        <v>0.51062682122390757</v>
      </c>
      <c r="V327" s="53">
        <v>0.4715090516066936</v>
      </c>
    </row>
    <row r="328" spans="1:22" x14ac:dyDescent="0.35">
      <c r="A328" s="4" t="s">
        <v>58</v>
      </c>
      <c r="B328" s="54" t="s">
        <v>262</v>
      </c>
      <c r="C328">
        <v>3606</v>
      </c>
      <c r="D328">
        <v>3606</v>
      </c>
      <c r="E328">
        <v>3606</v>
      </c>
      <c r="F328">
        <v>3606</v>
      </c>
      <c r="G328">
        <v>3487</v>
      </c>
      <c r="H328">
        <v>4799</v>
      </c>
      <c r="I328">
        <v>4799</v>
      </c>
      <c r="J328">
        <v>2623</v>
      </c>
      <c r="K328">
        <v>2933</v>
      </c>
      <c r="L328">
        <v>2377</v>
      </c>
      <c r="M328" s="51">
        <v>2.6326690723294801</v>
      </c>
      <c r="N328" s="51">
        <v>2.550162747907148</v>
      </c>
      <c r="O328" s="51">
        <v>2.4711180370030394</v>
      </c>
      <c r="P328" s="51">
        <v>2.3903140180582056</v>
      </c>
      <c r="Q328" s="51">
        <v>2.234653340348534</v>
      </c>
      <c r="R328" s="51">
        <v>2.9757796710160549</v>
      </c>
      <c r="S328" s="51">
        <v>2.8831998844557196</v>
      </c>
      <c r="T328" s="51">
        <v>1.5267984265186785</v>
      </c>
      <c r="U328" s="51">
        <v>1.6548822835908521</v>
      </c>
      <c r="V328" s="53">
        <v>1.3263633321527937</v>
      </c>
    </row>
    <row r="329" spans="1:22" x14ac:dyDescent="0.35">
      <c r="A329" s="4" t="s">
        <v>58</v>
      </c>
      <c r="B329" s="54" t="s">
        <v>263</v>
      </c>
      <c r="C329">
        <v>78</v>
      </c>
      <c r="D329">
        <v>79</v>
      </c>
      <c r="E329">
        <v>79</v>
      </c>
      <c r="F329">
        <v>79</v>
      </c>
      <c r="G329">
        <v>71</v>
      </c>
      <c r="H329">
        <v>269</v>
      </c>
      <c r="I329">
        <v>269</v>
      </c>
      <c r="J329">
        <v>54</v>
      </c>
      <c r="K329">
        <v>188</v>
      </c>
      <c r="L329">
        <v>163</v>
      </c>
      <c r="M329" s="51">
        <v>5.6946252812451317E-2</v>
      </c>
      <c r="N329" s="51">
        <v>5.5868790095580892E-2</v>
      </c>
      <c r="O329" s="51">
        <v>5.4137084005335581E-2</v>
      </c>
      <c r="P329" s="51">
        <v>5.2366835115529198E-2</v>
      </c>
      <c r="Q329" s="51">
        <v>4.5500541200099207E-2</v>
      </c>
      <c r="R329" s="51">
        <v>0.1668024028971283</v>
      </c>
      <c r="S329" s="51">
        <v>0.16161299623225434</v>
      </c>
      <c r="T329" s="51">
        <v>3.143237324895487E-2</v>
      </c>
      <c r="U329" s="51">
        <v>0.1060749639669554</v>
      </c>
      <c r="V329" s="53">
        <v>9.0953817055492367E-2</v>
      </c>
    </row>
    <row r="330" spans="1:22" x14ac:dyDescent="0.35">
      <c r="B330" s="4" t="s">
        <v>128</v>
      </c>
      <c r="C330">
        <v>0</v>
      </c>
      <c r="D330">
        <v>0</v>
      </c>
      <c r="E330">
        <v>3013</v>
      </c>
      <c r="F330">
        <v>4166</v>
      </c>
      <c r="G330">
        <v>4764</v>
      </c>
      <c r="H330">
        <v>5206</v>
      </c>
      <c r="I330">
        <v>5625</v>
      </c>
      <c r="J330">
        <v>6099</v>
      </c>
      <c r="K330">
        <v>6926</v>
      </c>
      <c r="L330">
        <v>6041</v>
      </c>
      <c r="M330" s="51"/>
      <c r="N330" s="51"/>
      <c r="O330" s="51"/>
      <c r="P330" s="51"/>
      <c r="Q330" s="51"/>
      <c r="R330" s="51"/>
      <c r="S330" s="51"/>
      <c r="T330" s="51"/>
      <c r="U330" s="51"/>
      <c r="V330" s="51"/>
    </row>
    <row r="331" spans="1:22" x14ac:dyDescent="0.35">
      <c r="A331" s="4" t="s">
        <v>128</v>
      </c>
      <c r="B331" s="54" t="s">
        <v>257</v>
      </c>
      <c r="C331">
        <v>0</v>
      </c>
      <c r="D331">
        <v>0</v>
      </c>
      <c r="E331">
        <v>18</v>
      </c>
      <c r="F331">
        <v>18</v>
      </c>
      <c r="G331">
        <v>57</v>
      </c>
      <c r="H331">
        <v>57</v>
      </c>
      <c r="I331">
        <v>57</v>
      </c>
      <c r="J331">
        <v>57</v>
      </c>
      <c r="K331">
        <v>22</v>
      </c>
      <c r="L331">
        <v>22</v>
      </c>
      <c r="M331" s="51">
        <v>0</v>
      </c>
      <c r="N331" s="51">
        <v>0</v>
      </c>
      <c r="O331" s="51">
        <v>2.3494541565368208E-2</v>
      </c>
      <c r="P331" s="51">
        <v>2.2921774985848988E-2</v>
      </c>
      <c r="Q331" s="51">
        <v>7.0836676845192903E-2</v>
      </c>
      <c r="R331" s="51">
        <v>6.9148792916834373E-2</v>
      </c>
      <c r="S331" s="51">
        <v>6.7514906580689787E-2</v>
      </c>
      <c r="T331" s="51">
        <v>6.5935370150178793E-2</v>
      </c>
      <c r="U331" s="51">
        <v>2.4862411977173142E-2</v>
      </c>
      <c r="V331" s="53">
        <v>2.4756277263553637E-2</v>
      </c>
    </row>
    <row r="332" spans="1:22" x14ac:dyDescent="0.35">
      <c r="A332" s="4" t="s">
        <v>128</v>
      </c>
      <c r="B332" s="54" t="s">
        <v>258</v>
      </c>
      <c r="C332">
        <v>0</v>
      </c>
      <c r="D332">
        <v>0</v>
      </c>
      <c r="E332">
        <v>407</v>
      </c>
      <c r="F332">
        <v>407</v>
      </c>
      <c r="G332">
        <v>454</v>
      </c>
      <c r="H332">
        <v>518</v>
      </c>
      <c r="I332">
        <v>589</v>
      </c>
      <c r="J332">
        <v>589</v>
      </c>
      <c r="K332">
        <v>538</v>
      </c>
      <c r="L332">
        <v>126</v>
      </c>
      <c r="M332" s="51">
        <v>0</v>
      </c>
      <c r="N332" s="51">
        <v>0</v>
      </c>
      <c r="O332" s="51">
        <v>0.53123768983915898</v>
      </c>
      <c r="P332" s="51">
        <v>0.51828680106891878</v>
      </c>
      <c r="Q332" s="51">
        <v>0.56420791732837861</v>
      </c>
      <c r="R332" s="51">
        <v>0.62840481984070551</v>
      </c>
      <c r="S332" s="51">
        <v>0.69765403466712783</v>
      </c>
      <c r="T332" s="51">
        <v>0.68133215821851423</v>
      </c>
      <c r="U332" s="51">
        <v>0.60799898380541595</v>
      </c>
      <c r="V332" s="53">
        <v>0.14178595160035265</v>
      </c>
    </row>
    <row r="333" spans="1:22" x14ac:dyDescent="0.35">
      <c r="A333" s="4" t="s">
        <v>128</v>
      </c>
      <c r="B333" s="54" t="s">
        <v>259</v>
      </c>
      <c r="C333">
        <v>0</v>
      </c>
      <c r="D333">
        <v>0</v>
      </c>
      <c r="E333">
        <v>0</v>
      </c>
      <c r="F333">
        <v>129</v>
      </c>
      <c r="G333">
        <v>201</v>
      </c>
      <c r="H333">
        <v>201</v>
      </c>
      <c r="I333">
        <v>195</v>
      </c>
      <c r="J333">
        <v>338</v>
      </c>
      <c r="K333">
        <v>887</v>
      </c>
      <c r="L333">
        <v>414</v>
      </c>
      <c r="M333" s="51">
        <v>0</v>
      </c>
      <c r="N333" s="51">
        <v>0</v>
      </c>
      <c r="O333" s="51">
        <v>0</v>
      </c>
      <c r="P333" s="51">
        <v>0.16427272073191776</v>
      </c>
      <c r="Q333" s="51">
        <v>0.24979249203304865</v>
      </c>
      <c r="R333" s="51">
        <v>0.24384048028567915</v>
      </c>
      <c r="S333" s="51">
        <v>0.23097204882867561</v>
      </c>
      <c r="T333" s="51">
        <v>0.39098517738176197</v>
      </c>
      <c r="U333" s="51">
        <v>1.002407246534208</v>
      </c>
      <c r="V333" s="53">
        <v>0.46586812668687305</v>
      </c>
    </row>
    <row r="334" spans="1:22" x14ac:dyDescent="0.35">
      <c r="A334" s="4" t="s">
        <v>128</v>
      </c>
      <c r="B334" s="54" t="s">
        <v>260</v>
      </c>
      <c r="C334">
        <v>0</v>
      </c>
      <c r="D334">
        <v>0</v>
      </c>
      <c r="E334">
        <v>361</v>
      </c>
      <c r="F334">
        <v>361</v>
      </c>
      <c r="G334">
        <v>583</v>
      </c>
      <c r="H334">
        <v>627</v>
      </c>
      <c r="I334">
        <v>685</v>
      </c>
      <c r="J334">
        <v>685</v>
      </c>
      <c r="K334">
        <v>730</v>
      </c>
      <c r="L334">
        <v>730</v>
      </c>
      <c r="M334" s="51">
        <v>0</v>
      </c>
      <c r="N334" s="51">
        <v>0</v>
      </c>
      <c r="O334" s="51">
        <v>0.47119608361655135</v>
      </c>
      <c r="P334" s="51">
        <v>0.45970893166063803</v>
      </c>
      <c r="Q334" s="51">
        <v>0.72452250176749944</v>
      </c>
      <c r="R334" s="51">
        <v>0.76063672208517819</v>
      </c>
      <c r="S334" s="51">
        <v>0.81136335101355284</v>
      </c>
      <c r="T334" s="51">
        <v>0.79238120268197332</v>
      </c>
      <c r="U334" s="51">
        <v>0.82498003378801787</v>
      </c>
      <c r="V334" s="53">
        <v>0.82145829101791623</v>
      </c>
    </row>
    <row r="335" spans="1:22" x14ac:dyDescent="0.35">
      <c r="A335" s="4" t="s">
        <v>128</v>
      </c>
      <c r="B335" s="54" t="s">
        <v>261</v>
      </c>
      <c r="C335">
        <v>0</v>
      </c>
      <c r="D335">
        <v>0</v>
      </c>
      <c r="E335">
        <v>869</v>
      </c>
      <c r="F335">
        <v>1268</v>
      </c>
      <c r="G335">
        <v>1285</v>
      </c>
      <c r="H335">
        <v>1619</v>
      </c>
      <c r="I335">
        <v>1743</v>
      </c>
      <c r="J335">
        <v>1743</v>
      </c>
      <c r="K335">
        <v>1864</v>
      </c>
      <c r="L335">
        <v>1864</v>
      </c>
      <c r="M335" s="51">
        <v>0</v>
      </c>
      <c r="N335" s="51">
        <v>0</v>
      </c>
      <c r="O335" s="51">
        <v>1.1342642566836096</v>
      </c>
      <c r="P335" s="51">
        <v>1.6147117045586952</v>
      </c>
      <c r="Q335" s="51">
        <v>1.5969321008082962</v>
      </c>
      <c r="R335" s="51">
        <v>1.9640683461816641</v>
      </c>
      <c r="S335" s="51">
        <v>2.0645347749147773</v>
      </c>
      <c r="T335" s="51">
        <v>2.0162342135396778</v>
      </c>
      <c r="U335" s="51">
        <v>2.1065243602477608</v>
      </c>
      <c r="V335" s="53">
        <v>2.09753185542109</v>
      </c>
    </row>
    <row r="336" spans="1:22" x14ac:dyDescent="0.35">
      <c r="A336" s="4" t="s">
        <v>128</v>
      </c>
      <c r="B336" s="54" t="s">
        <v>262</v>
      </c>
      <c r="C336">
        <v>0</v>
      </c>
      <c r="D336">
        <v>0</v>
      </c>
      <c r="E336">
        <v>1341</v>
      </c>
      <c r="F336">
        <v>1966</v>
      </c>
      <c r="G336">
        <v>1966</v>
      </c>
      <c r="H336">
        <v>1966</v>
      </c>
      <c r="I336">
        <v>2134</v>
      </c>
      <c r="J336">
        <v>2455</v>
      </c>
      <c r="K336">
        <v>2630</v>
      </c>
      <c r="L336">
        <v>2630</v>
      </c>
      <c r="M336" s="51">
        <v>0</v>
      </c>
      <c r="N336" s="51">
        <v>0</v>
      </c>
      <c r="O336" s="51">
        <v>1.7503433466199319</v>
      </c>
      <c r="P336" s="51">
        <v>2.5035672012321726</v>
      </c>
      <c r="Q336" s="51">
        <v>2.4432439768008645</v>
      </c>
      <c r="R336" s="51">
        <v>2.3850267872718667</v>
      </c>
      <c r="S336" s="51">
        <v>2.5276633446174039</v>
      </c>
      <c r="T336" s="51">
        <v>2.839847959976999</v>
      </c>
      <c r="U336" s="51">
        <v>2.972188340907516</v>
      </c>
      <c r="V336" s="53">
        <v>2.9595004183248217</v>
      </c>
    </row>
    <row r="337" spans="1:22" x14ac:dyDescent="0.35">
      <c r="A337" s="4" t="s">
        <v>128</v>
      </c>
      <c r="B337" s="54" t="s">
        <v>263</v>
      </c>
      <c r="C337">
        <v>0</v>
      </c>
      <c r="D337">
        <v>0</v>
      </c>
      <c r="E337">
        <v>17</v>
      </c>
      <c r="F337">
        <v>17</v>
      </c>
      <c r="G337">
        <v>218</v>
      </c>
      <c r="H337">
        <v>218</v>
      </c>
      <c r="I337">
        <v>222</v>
      </c>
      <c r="J337">
        <v>232</v>
      </c>
      <c r="K337">
        <v>255</v>
      </c>
      <c r="L337">
        <v>255</v>
      </c>
      <c r="M337" s="51">
        <v>0</v>
      </c>
      <c r="N337" s="51">
        <v>0</v>
      </c>
      <c r="O337" s="51">
        <v>2.2189289256181084E-2</v>
      </c>
      <c r="P337" s="51">
        <v>2.164834304219071E-2</v>
      </c>
      <c r="Q337" s="51">
        <v>0.2709192202149483</v>
      </c>
      <c r="R337" s="51">
        <v>0.26446380448894552</v>
      </c>
      <c r="S337" s="51">
        <v>0.26295279405110761</v>
      </c>
      <c r="T337" s="51">
        <v>0.26836852412002599</v>
      </c>
      <c r="U337" s="51">
        <v>0.28817795700814319</v>
      </c>
      <c r="V337" s="53">
        <v>0.28694775919118992</v>
      </c>
    </row>
    <row r="338" spans="1:22" x14ac:dyDescent="0.35">
      <c r="B338" s="4" t="s">
        <v>126</v>
      </c>
      <c r="C338">
        <v>0</v>
      </c>
      <c r="D338">
        <v>27979</v>
      </c>
      <c r="E338">
        <v>27979</v>
      </c>
      <c r="F338">
        <v>27979</v>
      </c>
      <c r="G338">
        <v>38367</v>
      </c>
      <c r="H338">
        <v>44221</v>
      </c>
      <c r="I338">
        <v>44221</v>
      </c>
      <c r="J338">
        <v>44221</v>
      </c>
      <c r="K338">
        <v>49945</v>
      </c>
      <c r="L338">
        <v>64161</v>
      </c>
      <c r="M338" s="51"/>
      <c r="N338" s="51"/>
      <c r="O338" s="51"/>
      <c r="P338" s="51"/>
      <c r="Q338" s="51"/>
      <c r="R338" s="51"/>
      <c r="S338" s="51"/>
      <c r="T338" s="51"/>
      <c r="U338" s="51"/>
      <c r="V338" s="51"/>
    </row>
    <row r="339" spans="1:22" x14ac:dyDescent="0.35">
      <c r="A339" s="4" t="s">
        <v>126</v>
      </c>
      <c r="B339" s="54" t="s">
        <v>257</v>
      </c>
      <c r="C339">
        <v>0</v>
      </c>
      <c r="D339">
        <v>104</v>
      </c>
      <c r="E339">
        <v>104</v>
      </c>
      <c r="F339">
        <v>104</v>
      </c>
      <c r="G339">
        <v>104</v>
      </c>
      <c r="H339">
        <v>682</v>
      </c>
      <c r="I339">
        <v>682</v>
      </c>
      <c r="J339">
        <v>682</v>
      </c>
      <c r="K339">
        <v>755</v>
      </c>
      <c r="L339">
        <v>755</v>
      </c>
      <c r="M339" s="51">
        <v>0</v>
      </c>
      <c r="N339" s="51">
        <v>1.979337882168988E-2</v>
      </c>
      <c r="O339" s="51">
        <v>1.9117013807741147E-2</v>
      </c>
      <c r="P339" s="51">
        <v>1.8483292312272664E-2</v>
      </c>
      <c r="Q339" s="51">
        <v>1.7903117041128437E-2</v>
      </c>
      <c r="R339" s="51">
        <v>0.11390857240340356</v>
      </c>
      <c r="S339" s="51">
        <v>0.11052675267635995</v>
      </c>
      <c r="T339" s="51">
        <v>0.10725237745653157</v>
      </c>
      <c r="U339" s="51">
        <v>0.11527113878785572</v>
      </c>
      <c r="V339" s="53">
        <v>0.11591090047294411</v>
      </c>
    </row>
    <row r="340" spans="1:22" x14ac:dyDescent="0.35">
      <c r="A340" s="4" t="s">
        <v>126</v>
      </c>
      <c r="B340" s="54" t="s">
        <v>258</v>
      </c>
      <c r="C340">
        <v>0</v>
      </c>
      <c r="D340">
        <v>93</v>
      </c>
      <c r="E340">
        <v>93</v>
      </c>
      <c r="F340">
        <v>93</v>
      </c>
      <c r="G340">
        <v>93</v>
      </c>
      <c r="H340">
        <v>4361</v>
      </c>
      <c r="I340">
        <v>4361</v>
      </c>
      <c r="J340">
        <v>4361</v>
      </c>
      <c r="K340">
        <v>1552</v>
      </c>
      <c r="L340">
        <v>1552</v>
      </c>
      <c r="M340" s="51">
        <v>0</v>
      </c>
      <c r="N340" s="51">
        <v>1.7699848369395761E-2</v>
      </c>
      <c r="O340" s="51">
        <v>1.7095021962691605E-2</v>
      </c>
      <c r="P340" s="51">
        <v>1.6528328702320749E-2</v>
      </c>
      <c r="Q340" s="51">
        <v>1.6009518123316774E-2</v>
      </c>
      <c r="R340" s="51">
        <v>0.72838018218657319</v>
      </c>
      <c r="S340" s="51">
        <v>0.70675537891731044</v>
      </c>
      <c r="T340" s="51">
        <v>0.68581762182981554</v>
      </c>
      <c r="U340" s="51">
        <v>0.2369547117864266</v>
      </c>
      <c r="V340" s="53">
        <v>0.23826982454835663</v>
      </c>
    </row>
    <row r="341" spans="1:22" x14ac:dyDescent="0.35">
      <c r="A341" s="4" t="s">
        <v>126</v>
      </c>
      <c r="B341" s="54" t="s">
        <v>259</v>
      </c>
      <c r="C341">
        <v>0</v>
      </c>
      <c r="D341">
        <v>2508</v>
      </c>
      <c r="E341">
        <v>2508</v>
      </c>
      <c r="F341">
        <v>2508</v>
      </c>
      <c r="G341">
        <v>2508</v>
      </c>
      <c r="H341">
        <v>2508</v>
      </c>
      <c r="I341">
        <v>2508</v>
      </c>
      <c r="J341">
        <v>2508</v>
      </c>
      <c r="K341">
        <v>4743</v>
      </c>
      <c r="L341">
        <v>4743</v>
      </c>
      <c r="M341" s="51">
        <v>0</v>
      </c>
      <c r="N341" s="51">
        <v>0.47732494312305984</v>
      </c>
      <c r="O341" s="51">
        <v>0.46101414067129615</v>
      </c>
      <c r="P341" s="51">
        <v>0.44573170306903692</v>
      </c>
      <c r="Q341" s="51">
        <v>0.43174055326105876</v>
      </c>
      <c r="R341" s="51">
        <v>0.41888958883832278</v>
      </c>
      <c r="S341" s="51">
        <v>0.40645321951951718</v>
      </c>
      <c r="T341" s="51">
        <v>0.39441196871111606</v>
      </c>
      <c r="U341" s="51">
        <v>0.72414703479576126</v>
      </c>
      <c r="V341" s="53">
        <v>0.72816609396446885</v>
      </c>
    </row>
    <row r="342" spans="1:22" x14ac:dyDescent="0.35">
      <c r="A342" s="4" t="s">
        <v>126</v>
      </c>
      <c r="B342" s="54" t="s">
        <v>260</v>
      </c>
      <c r="C342">
        <v>0</v>
      </c>
      <c r="D342">
        <v>3015</v>
      </c>
      <c r="E342">
        <v>3015</v>
      </c>
      <c r="F342">
        <v>3015</v>
      </c>
      <c r="G342">
        <v>3015</v>
      </c>
      <c r="H342">
        <v>2885</v>
      </c>
      <c r="I342">
        <v>2885</v>
      </c>
      <c r="J342">
        <v>2885</v>
      </c>
      <c r="K342">
        <v>8693</v>
      </c>
      <c r="L342">
        <v>8693</v>
      </c>
      <c r="M342" s="51">
        <v>0</v>
      </c>
      <c r="N342" s="51">
        <v>0.57381766487879793</v>
      </c>
      <c r="O342" s="51">
        <v>0.55420958298403422</v>
      </c>
      <c r="P342" s="51">
        <v>0.53583775309136616</v>
      </c>
      <c r="Q342" s="51">
        <v>0.51901824883655989</v>
      </c>
      <c r="R342" s="51">
        <v>0.4818566442577995</v>
      </c>
      <c r="S342" s="51">
        <v>0.46755085259721174</v>
      </c>
      <c r="T342" s="51">
        <v>0.4536995732582017</v>
      </c>
      <c r="U342" s="51">
        <v>1.3272212046130198</v>
      </c>
      <c r="V342" s="53">
        <v>1.3345873613394743</v>
      </c>
    </row>
    <row r="343" spans="1:22" x14ac:dyDescent="0.35">
      <c r="A343" s="4" t="s">
        <v>126</v>
      </c>
      <c r="B343" s="54" t="s">
        <v>261</v>
      </c>
      <c r="C343">
        <v>0</v>
      </c>
      <c r="D343">
        <v>0</v>
      </c>
      <c r="E343">
        <v>0</v>
      </c>
      <c r="F343">
        <v>0</v>
      </c>
      <c r="G343">
        <v>0</v>
      </c>
      <c r="H343">
        <v>0</v>
      </c>
      <c r="I343">
        <v>0</v>
      </c>
      <c r="J343">
        <v>0</v>
      </c>
      <c r="K343">
        <v>0</v>
      </c>
      <c r="L343">
        <v>0</v>
      </c>
      <c r="M343" s="51">
        <v>0</v>
      </c>
      <c r="N343" s="51">
        <v>0</v>
      </c>
      <c r="O343" s="51">
        <v>0</v>
      </c>
      <c r="P343" s="51">
        <v>0</v>
      </c>
      <c r="Q343" s="51">
        <v>0</v>
      </c>
      <c r="R343" s="51">
        <v>0</v>
      </c>
      <c r="S343" s="51">
        <v>0</v>
      </c>
      <c r="T343" s="51">
        <v>0</v>
      </c>
      <c r="U343" s="51">
        <v>0</v>
      </c>
      <c r="V343" s="53">
        <v>0</v>
      </c>
    </row>
    <row r="344" spans="1:22" x14ac:dyDescent="0.35">
      <c r="A344" s="4" t="s">
        <v>126</v>
      </c>
      <c r="B344" s="54" t="s">
        <v>262</v>
      </c>
      <c r="C344">
        <v>0</v>
      </c>
      <c r="D344">
        <v>21552</v>
      </c>
      <c r="E344">
        <v>21552</v>
      </c>
      <c r="F344">
        <v>21552</v>
      </c>
      <c r="G344">
        <v>31940</v>
      </c>
      <c r="H344">
        <v>31940</v>
      </c>
      <c r="I344">
        <v>31940</v>
      </c>
      <c r="J344">
        <v>31940</v>
      </c>
      <c r="K344">
        <v>31940</v>
      </c>
      <c r="L344">
        <v>46156</v>
      </c>
      <c r="M344" s="51">
        <v>0</v>
      </c>
      <c r="N344" s="51">
        <v>4.1017971188948108</v>
      </c>
      <c r="O344" s="51">
        <v>3.9616334767734349</v>
      </c>
      <c r="P344" s="51">
        <v>3.8303068837894272</v>
      </c>
      <c r="Q344" s="51">
        <v>5.4983226759004058</v>
      </c>
      <c r="R344" s="51">
        <v>5.3346624671036809</v>
      </c>
      <c r="S344" s="51">
        <v>5.1762822294471205</v>
      </c>
      <c r="T344" s="51">
        <v>5.022933923697388</v>
      </c>
      <c r="U344" s="51">
        <v>4.8765035402438572</v>
      </c>
      <c r="V344" s="53">
        <v>7.086070890369812</v>
      </c>
    </row>
    <row r="345" spans="1:22" x14ac:dyDescent="0.35">
      <c r="A345" s="4" t="s">
        <v>126</v>
      </c>
      <c r="B345" s="54" t="s">
        <v>263</v>
      </c>
      <c r="C345">
        <v>0</v>
      </c>
      <c r="D345">
        <v>707</v>
      </c>
      <c r="E345">
        <v>707</v>
      </c>
      <c r="F345">
        <v>707</v>
      </c>
      <c r="G345">
        <v>707</v>
      </c>
      <c r="H345">
        <v>1845</v>
      </c>
      <c r="I345">
        <v>1845</v>
      </c>
      <c r="J345">
        <v>1845</v>
      </c>
      <c r="K345">
        <v>2262</v>
      </c>
      <c r="L345">
        <v>2262</v>
      </c>
      <c r="M345" s="51">
        <v>0</v>
      </c>
      <c r="N345" s="51">
        <v>0.13455691179744947</v>
      </c>
      <c r="O345" s="51">
        <v>0.12995893040454801</v>
      </c>
      <c r="P345" s="51">
        <v>0.1256508429305459</v>
      </c>
      <c r="Q345" s="51">
        <v>0.12170676680844042</v>
      </c>
      <c r="R345" s="51">
        <v>0.30815442241096713</v>
      </c>
      <c r="S345" s="51">
        <v>0.29900565790012329</v>
      </c>
      <c r="T345" s="51">
        <v>0.29014756071451725</v>
      </c>
      <c r="U345" s="51">
        <v>0.34535538534851606</v>
      </c>
      <c r="V345" s="53">
        <v>0.34727212830437032</v>
      </c>
    </row>
    <row r="346" spans="1:22" x14ac:dyDescent="0.35">
      <c r="B346" s="4" t="s">
        <v>124</v>
      </c>
      <c r="C346">
        <v>7000</v>
      </c>
      <c r="D346">
        <v>52388</v>
      </c>
      <c r="E346">
        <v>70456</v>
      </c>
      <c r="F346">
        <v>76671</v>
      </c>
      <c r="G346">
        <v>79944</v>
      </c>
      <c r="H346">
        <v>83847</v>
      </c>
      <c r="I346">
        <v>84131</v>
      </c>
      <c r="J346">
        <v>90252</v>
      </c>
      <c r="K346">
        <v>135574</v>
      </c>
      <c r="L346">
        <v>135574</v>
      </c>
      <c r="M346" s="51"/>
      <c r="N346" s="51"/>
      <c r="O346" s="51"/>
      <c r="P346" s="51"/>
      <c r="Q346" s="51"/>
      <c r="R346" s="51"/>
      <c r="S346" s="51"/>
      <c r="T346" s="51"/>
      <c r="U346" s="51"/>
      <c r="V346" s="51"/>
    </row>
    <row r="347" spans="1:22" x14ac:dyDescent="0.35">
      <c r="A347" s="4" t="s">
        <v>124</v>
      </c>
      <c r="B347" s="54" t="s">
        <v>257</v>
      </c>
      <c r="C347">
        <v>0</v>
      </c>
      <c r="D347">
        <v>0</v>
      </c>
      <c r="E347">
        <v>276</v>
      </c>
      <c r="F347">
        <v>276</v>
      </c>
      <c r="G347">
        <v>276</v>
      </c>
      <c r="H347">
        <v>26</v>
      </c>
      <c r="I347">
        <v>310</v>
      </c>
      <c r="J347">
        <v>310</v>
      </c>
      <c r="K347">
        <v>504</v>
      </c>
      <c r="L347">
        <v>504</v>
      </c>
      <c r="M347" s="51">
        <v>0</v>
      </c>
      <c r="N347" s="51">
        <v>0</v>
      </c>
      <c r="O347" s="51">
        <v>7.1228933172008402E-2</v>
      </c>
      <c r="P347" s="51">
        <v>6.8781472663663454E-2</v>
      </c>
      <c r="Q347" s="51">
        <v>6.6481361914056222E-2</v>
      </c>
      <c r="R347" s="51">
        <v>6.0536803116620899E-3</v>
      </c>
      <c r="S347" s="51">
        <v>6.9812569690116191E-2</v>
      </c>
      <c r="T347" s="51">
        <v>6.7606206842978134E-2</v>
      </c>
      <c r="U347" s="51">
        <v>0.10666760353556544</v>
      </c>
      <c r="V347" s="53">
        <v>0.10140690409590936</v>
      </c>
    </row>
    <row r="348" spans="1:22" x14ac:dyDescent="0.35">
      <c r="A348" s="4" t="s">
        <v>124</v>
      </c>
      <c r="B348" s="54" t="s">
        <v>258</v>
      </c>
      <c r="C348">
        <v>0</v>
      </c>
      <c r="D348">
        <v>0</v>
      </c>
      <c r="E348">
        <v>0</v>
      </c>
      <c r="F348">
        <v>0</v>
      </c>
      <c r="G348">
        <v>0</v>
      </c>
      <c r="H348">
        <v>3874</v>
      </c>
      <c r="I348">
        <v>3874</v>
      </c>
      <c r="J348">
        <v>3874</v>
      </c>
      <c r="K348">
        <v>3772</v>
      </c>
      <c r="L348">
        <v>3772</v>
      </c>
      <c r="M348" s="51">
        <v>0</v>
      </c>
      <c r="N348" s="51">
        <v>0</v>
      </c>
      <c r="O348" s="51">
        <v>0</v>
      </c>
      <c r="P348" s="51">
        <v>0</v>
      </c>
      <c r="Q348" s="51">
        <v>0</v>
      </c>
      <c r="R348" s="51">
        <v>0.9019983664376513</v>
      </c>
      <c r="S348" s="51">
        <v>0.87243191928874231</v>
      </c>
      <c r="T348" s="51">
        <v>0.84485950099902341</v>
      </c>
      <c r="U348" s="51">
        <v>0.79831388995268426</v>
      </c>
      <c r="V348" s="53">
        <v>0.75894214732097243</v>
      </c>
    </row>
    <row r="349" spans="1:22" x14ac:dyDescent="0.35">
      <c r="A349" s="4" t="s">
        <v>124</v>
      </c>
      <c r="B349" s="54" t="s">
        <v>259</v>
      </c>
      <c r="C349">
        <v>0</v>
      </c>
      <c r="D349">
        <v>0</v>
      </c>
      <c r="E349">
        <v>2447</v>
      </c>
      <c r="F349">
        <v>2447</v>
      </c>
      <c r="G349">
        <v>2447</v>
      </c>
      <c r="H349">
        <v>2447</v>
      </c>
      <c r="I349">
        <v>2447</v>
      </c>
      <c r="J349">
        <v>2447</v>
      </c>
      <c r="K349">
        <v>13380</v>
      </c>
      <c r="L349">
        <v>13380</v>
      </c>
      <c r="M349" s="51">
        <v>0</v>
      </c>
      <c r="N349" s="51">
        <v>0</v>
      </c>
      <c r="O349" s="51">
        <v>0.63151159228950926</v>
      </c>
      <c r="P349" s="51">
        <v>0.60981254930429163</v>
      </c>
      <c r="Q349" s="51">
        <v>0.58941990073802741</v>
      </c>
      <c r="R349" s="51">
        <v>0.56974445087065895</v>
      </c>
      <c r="S349" s="51">
        <v>0.55106889687649785</v>
      </c>
      <c r="T349" s="51">
        <v>0.53365286498312092</v>
      </c>
      <c r="U349" s="51">
        <v>2.8317709033846539</v>
      </c>
      <c r="V349" s="53">
        <v>2.6921118587366415</v>
      </c>
    </row>
    <row r="350" spans="1:22" x14ac:dyDescent="0.35">
      <c r="A350" s="4" t="s">
        <v>124</v>
      </c>
      <c r="B350" s="54" t="s">
        <v>260</v>
      </c>
      <c r="C350">
        <v>0</v>
      </c>
      <c r="D350">
        <v>0</v>
      </c>
      <c r="E350">
        <v>3645</v>
      </c>
      <c r="F350">
        <v>3645</v>
      </c>
      <c r="G350">
        <v>6918</v>
      </c>
      <c r="H350">
        <v>6918</v>
      </c>
      <c r="I350">
        <v>6918</v>
      </c>
      <c r="J350">
        <v>7031</v>
      </c>
      <c r="K350">
        <v>9052</v>
      </c>
      <c r="L350">
        <v>9052</v>
      </c>
      <c r="M350" s="51">
        <v>0</v>
      </c>
      <c r="N350" s="51">
        <v>0</v>
      </c>
      <c r="O350" s="51">
        <v>0.94068645439119791</v>
      </c>
      <c r="P350" s="51">
        <v>0.90836401398207722</v>
      </c>
      <c r="Q350" s="51">
        <v>1.6663697888458004</v>
      </c>
      <c r="R350" s="51">
        <v>1.6107446306183975</v>
      </c>
      <c r="S350" s="51">
        <v>1.5579463132781415</v>
      </c>
      <c r="T350" s="51">
        <v>1.5333523881063846</v>
      </c>
      <c r="U350" s="51">
        <v>1.9157840222300366</v>
      </c>
      <c r="V350" s="53">
        <v>1.8213001902304993</v>
      </c>
    </row>
    <row r="351" spans="1:22" x14ac:dyDescent="0.35">
      <c r="A351" s="4" t="s">
        <v>124</v>
      </c>
      <c r="B351" s="54" t="s">
        <v>261</v>
      </c>
      <c r="C351">
        <v>7000</v>
      </c>
      <c r="D351">
        <v>7000</v>
      </c>
      <c r="E351">
        <v>8815</v>
      </c>
      <c r="F351">
        <v>9802</v>
      </c>
      <c r="G351">
        <v>9802</v>
      </c>
      <c r="H351">
        <v>9802</v>
      </c>
      <c r="I351">
        <v>9802</v>
      </c>
      <c r="J351">
        <v>23546</v>
      </c>
      <c r="K351">
        <v>32957</v>
      </c>
      <c r="L351">
        <v>32957</v>
      </c>
      <c r="M351" s="51">
        <v>1.9264355364169383</v>
      </c>
      <c r="N351" s="51">
        <v>1.8677945157070313</v>
      </c>
      <c r="O351" s="51">
        <v>2.2749385721422248</v>
      </c>
      <c r="P351" s="51">
        <v>2.4427391124972075</v>
      </c>
      <c r="Q351" s="51">
        <v>2.3610518459477503</v>
      </c>
      <c r="R351" s="51">
        <v>2.2822374774966079</v>
      </c>
      <c r="S351" s="51">
        <v>2.2074284132339321</v>
      </c>
      <c r="T351" s="51">
        <v>5.1350185365314935</v>
      </c>
      <c r="U351" s="51">
        <v>6.9750877177016468</v>
      </c>
      <c r="V351" s="53">
        <v>6.6310859886684224</v>
      </c>
    </row>
    <row r="352" spans="1:22" x14ac:dyDescent="0.35">
      <c r="A352" s="4" t="s">
        <v>124</v>
      </c>
      <c r="B352" s="54" t="s">
        <v>262</v>
      </c>
      <c r="C352">
        <v>0</v>
      </c>
      <c r="D352">
        <v>45388</v>
      </c>
      <c r="E352">
        <v>55228</v>
      </c>
      <c r="F352">
        <v>60456</v>
      </c>
      <c r="G352">
        <v>60456</v>
      </c>
      <c r="H352">
        <v>60456</v>
      </c>
      <c r="I352">
        <v>60456</v>
      </c>
      <c r="J352">
        <v>51327</v>
      </c>
      <c r="K352">
        <v>74197</v>
      </c>
      <c r="L352">
        <v>74197</v>
      </c>
      <c r="M352" s="51">
        <v>0</v>
      </c>
      <c r="N352" s="51">
        <v>12.11077963984439</v>
      </c>
      <c r="O352" s="51">
        <v>14.253012758056812</v>
      </c>
      <c r="P352" s="51">
        <v>15.066133012153761</v>
      </c>
      <c r="Q352" s="51">
        <v>14.562308753174577</v>
      </c>
      <c r="R352" s="51">
        <v>14.076203727763202</v>
      </c>
      <c r="S352" s="51">
        <v>13.614802300598917</v>
      </c>
      <c r="T352" s="51">
        <v>11.193625092353349</v>
      </c>
      <c r="U352" s="51">
        <v>15.703206705413391</v>
      </c>
      <c r="V352" s="53">
        <v>14.928746157151163</v>
      </c>
    </row>
    <row r="353" spans="1:22" x14ac:dyDescent="0.35">
      <c r="A353" s="4" t="s">
        <v>124</v>
      </c>
      <c r="B353" s="54" t="s">
        <v>263</v>
      </c>
      <c r="C353">
        <v>0</v>
      </c>
      <c r="D353">
        <v>0</v>
      </c>
      <c r="E353">
        <v>45</v>
      </c>
      <c r="F353">
        <v>45</v>
      </c>
      <c r="G353">
        <v>45</v>
      </c>
      <c r="H353">
        <v>324</v>
      </c>
      <c r="I353">
        <v>324</v>
      </c>
      <c r="J353">
        <v>1717</v>
      </c>
      <c r="K353">
        <v>1712</v>
      </c>
      <c r="L353">
        <v>1712</v>
      </c>
      <c r="M353" s="51">
        <v>0</v>
      </c>
      <c r="N353" s="51">
        <v>0</v>
      </c>
      <c r="O353" s="51">
        <v>1.1613413017175283E-2</v>
      </c>
      <c r="P353" s="51">
        <v>1.1214370542988607E-2</v>
      </c>
      <c r="Q353" s="51">
        <v>1.0839352485987427E-2</v>
      </c>
      <c r="R353" s="51">
        <v>7.5438170037635255E-2</v>
      </c>
      <c r="S353" s="51">
        <v>7.2965395418056925E-2</v>
      </c>
      <c r="T353" s="51">
        <v>0.37445115209481755</v>
      </c>
      <c r="U353" s="51">
        <v>0.36233122470811119</v>
      </c>
      <c r="V353" s="53">
        <v>0.34446154724642225</v>
      </c>
    </row>
    <row r="354" spans="1:22" x14ac:dyDescent="0.35">
      <c r="B354" s="4" t="s">
        <v>120</v>
      </c>
      <c r="C354">
        <v>114311</v>
      </c>
      <c r="D354">
        <v>135158</v>
      </c>
      <c r="E354">
        <v>148956</v>
      </c>
      <c r="F354">
        <v>152007</v>
      </c>
      <c r="G354">
        <v>153896</v>
      </c>
      <c r="H354">
        <v>158380</v>
      </c>
      <c r="I354">
        <v>160120</v>
      </c>
      <c r="J354">
        <v>160120</v>
      </c>
      <c r="K354">
        <v>467637</v>
      </c>
      <c r="L354">
        <v>467459</v>
      </c>
      <c r="M354" s="51"/>
      <c r="N354" s="51"/>
      <c r="O354" s="51"/>
      <c r="P354" s="51"/>
      <c r="Q354" s="51"/>
      <c r="R354" s="51"/>
      <c r="S354" s="51"/>
      <c r="T354" s="51"/>
      <c r="U354" s="51"/>
      <c r="V354" s="51"/>
    </row>
    <row r="355" spans="1:22" x14ac:dyDescent="0.35">
      <c r="A355" s="4" t="s">
        <v>120</v>
      </c>
      <c r="B355" s="54" t="s">
        <v>257</v>
      </c>
      <c r="C355">
        <v>5817</v>
      </c>
      <c r="D355">
        <v>5985</v>
      </c>
      <c r="E355">
        <v>6158</v>
      </c>
      <c r="F355">
        <v>6314</v>
      </c>
      <c r="G355">
        <v>6433</v>
      </c>
      <c r="H355">
        <v>6433</v>
      </c>
      <c r="I355">
        <v>6433</v>
      </c>
      <c r="J355">
        <v>6433</v>
      </c>
      <c r="K355">
        <v>1348</v>
      </c>
      <c r="L355">
        <v>1170</v>
      </c>
      <c r="M355" s="51">
        <v>1.0628627302277704</v>
      </c>
      <c r="N355" s="51">
        <v>1.0711121082306796</v>
      </c>
      <c r="O355" s="51">
        <v>1.0914129409247135</v>
      </c>
      <c r="P355" s="51">
        <v>1.1147360925858769</v>
      </c>
      <c r="Q355" s="51">
        <v>1.1219115712892138</v>
      </c>
      <c r="R355" s="51">
        <v>1.107475667341028</v>
      </c>
      <c r="S355" s="51">
        <v>1.0940117659749484</v>
      </c>
      <c r="T355" s="51">
        <v>1.0831378603152886</v>
      </c>
      <c r="U355" s="51">
        <v>0.22506471236587841</v>
      </c>
      <c r="V355" s="53">
        <v>0.19039034512009043</v>
      </c>
    </row>
    <row r="356" spans="1:22" x14ac:dyDescent="0.35">
      <c r="A356" s="4" t="s">
        <v>120</v>
      </c>
      <c r="B356" s="54" t="s">
        <v>258</v>
      </c>
      <c r="C356">
        <v>145</v>
      </c>
      <c r="D356">
        <v>149</v>
      </c>
      <c r="E356">
        <v>4802</v>
      </c>
      <c r="F356">
        <v>5267</v>
      </c>
      <c r="G356">
        <v>5455</v>
      </c>
      <c r="H356">
        <v>9939</v>
      </c>
      <c r="I356">
        <v>9939</v>
      </c>
      <c r="J356">
        <v>9939</v>
      </c>
      <c r="K356">
        <v>13</v>
      </c>
      <c r="L356">
        <v>13</v>
      </c>
      <c r="M356" s="51">
        <v>2.6493913681111689E-2</v>
      </c>
      <c r="N356" s="51">
        <v>2.6665948893295113E-2</v>
      </c>
      <c r="O356" s="51">
        <v>0.85108232255934957</v>
      </c>
      <c r="P356" s="51">
        <v>0.92988834330849113</v>
      </c>
      <c r="Q356" s="51">
        <v>0.95134892295704354</v>
      </c>
      <c r="R356" s="51">
        <v>1.7110524883728395</v>
      </c>
      <c r="S356" s="51">
        <v>1.6902507293681037</v>
      </c>
      <c r="T356" s="51">
        <v>1.6734505197689495</v>
      </c>
      <c r="U356" s="51">
        <v>2.1705053863178185E-3</v>
      </c>
      <c r="V356" s="53">
        <v>2.115448279112116E-3</v>
      </c>
    </row>
    <row r="357" spans="1:22" x14ac:dyDescent="0.35">
      <c r="A357" s="4" t="s">
        <v>120</v>
      </c>
      <c r="B357" s="54" t="s">
        <v>259</v>
      </c>
      <c r="C357">
        <v>326</v>
      </c>
      <c r="D357">
        <v>453</v>
      </c>
      <c r="E357">
        <v>5377</v>
      </c>
      <c r="F357">
        <v>5525</v>
      </c>
      <c r="G357">
        <v>5731</v>
      </c>
      <c r="H357">
        <v>5731</v>
      </c>
      <c r="I357">
        <v>5731</v>
      </c>
      <c r="J357">
        <v>5731</v>
      </c>
      <c r="K357">
        <v>1110</v>
      </c>
      <c r="L357">
        <v>1110</v>
      </c>
      <c r="M357" s="51">
        <v>5.9565626620982144E-2</v>
      </c>
      <c r="N357" s="51">
        <v>8.1071643279615344E-2</v>
      </c>
      <c r="O357" s="51">
        <v>0.95299242990454447</v>
      </c>
      <c r="P357" s="51">
        <v>0.97543821848859191</v>
      </c>
      <c r="Q357" s="51">
        <v>0.99948316727164377</v>
      </c>
      <c r="R357" s="51">
        <v>0.98662257881725968</v>
      </c>
      <c r="S357" s="51">
        <v>0.97462792333319281</v>
      </c>
      <c r="T357" s="51">
        <v>0.96494063072701985</v>
      </c>
      <c r="U357" s="51">
        <v>0.18532776760098296</v>
      </c>
      <c r="V357" s="53">
        <v>0.1806267376780345</v>
      </c>
    </row>
    <row r="358" spans="1:22" x14ac:dyDescent="0.35">
      <c r="A358" s="4" t="s">
        <v>120</v>
      </c>
      <c r="B358" s="54" t="s">
        <v>260</v>
      </c>
      <c r="C358">
        <v>41132</v>
      </c>
      <c r="D358">
        <v>43277</v>
      </c>
      <c r="E358">
        <v>43277</v>
      </c>
      <c r="F358">
        <v>43277</v>
      </c>
      <c r="G358">
        <v>44653</v>
      </c>
      <c r="H358">
        <v>44653</v>
      </c>
      <c r="I358">
        <v>46393</v>
      </c>
      <c r="J358">
        <v>46393</v>
      </c>
      <c r="K358">
        <v>49533</v>
      </c>
      <c r="L358">
        <v>49533</v>
      </c>
      <c r="M358" s="51">
        <v>7.5155010864240417</v>
      </c>
      <c r="N358" s="51">
        <v>7.7451159077525684</v>
      </c>
      <c r="O358" s="51">
        <v>7.6701977662226097</v>
      </c>
      <c r="P358" s="51">
        <v>7.6405501867024066</v>
      </c>
      <c r="Q358" s="51">
        <v>7.7874580122458053</v>
      </c>
      <c r="R358" s="51">
        <v>7.68725493141286</v>
      </c>
      <c r="S358" s="51">
        <v>7.8897074240441132</v>
      </c>
      <c r="T358" s="51">
        <v>7.8112878522628924</v>
      </c>
      <c r="U358" s="51">
        <v>8.2701264077292702</v>
      </c>
      <c r="V358" s="53">
        <v>8.0603461237892642</v>
      </c>
    </row>
    <row r="359" spans="1:22" x14ac:dyDescent="0.35">
      <c r="A359" s="4" t="s">
        <v>120</v>
      </c>
      <c r="B359" s="54" t="s">
        <v>261</v>
      </c>
      <c r="C359">
        <v>0</v>
      </c>
      <c r="D359">
        <v>0</v>
      </c>
      <c r="E359">
        <v>0</v>
      </c>
      <c r="F359">
        <v>1284</v>
      </c>
      <c r="G359">
        <v>1284</v>
      </c>
      <c r="H359">
        <v>1284</v>
      </c>
      <c r="I359">
        <v>1284</v>
      </c>
      <c r="J359">
        <v>1284</v>
      </c>
      <c r="K359">
        <v>1543</v>
      </c>
      <c r="L359">
        <v>1543</v>
      </c>
      <c r="M359" s="51">
        <v>0</v>
      </c>
      <c r="N359" s="51">
        <v>0</v>
      </c>
      <c r="O359" s="51">
        <v>0</v>
      </c>
      <c r="P359" s="51">
        <v>0.22669007647771078</v>
      </c>
      <c r="Q359" s="51">
        <v>0.22392887572444437</v>
      </c>
      <c r="R359" s="51">
        <v>0.22104752943663608</v>
      </c>
      <c r="S359" s="51">
        <v>0.21836019081483504</v>
      </c>
      <c r="T359" s="51">
        <v>0.21618980454606415</v>
      </c>
      <c r="U359" s="51">
        <v>0.25762229316064567</v>
      </c>
      <c r="V359" s="53">
        <v>0.25108743805153805</v>
      </c>
    </row>
    <row r="360" spans="1:22" x14ac:dyDescent="0.35">
      <c r="A360" s="4" t="s">
        <v>120</v>
      </c>
      <c r="B360" s="54" t="s">
        <v>262</v>
      </c>
      <c r="C360">
        <v>66891</v>
      </c>
      <c r="D360">
        <v>70300</v>
      </c>
      <c r="E360">
        <v>73558</v>
      </c>
      <c r="F360">
        <v>74556</v>
      </c>
      <c r="G360">
        <v>74556</v>
      </c>
      <c r="H360">
        <v>74556</v>
      </c>
      <c r="I360">
        <v>74556</v>
      </c>
      <c r="J360">
        <v>74556</v>
      </c>
      <c r="K360">
        <v>397261</v>
      </c>
      <c r="L360">
        <v>397261</v>
      </c>
      <c r="M360" s="51">
        <v>12.222099172712014</v>
      </c>
      <c r="N360" s="51">
        <v>12.581316826836552</v>
      </c>
      <c r="O360" s="51">
        <v>13.037049871474519</v>
      </c>
      <c r="P360" s="51">
        <v>13.162854627626329</v>
      </c>
      <c r="Q360" s="51">
        <v>13.00252434463526</v>
      </c>
      <c r="R360" s="51">
        <v>12.835217760652524</v>
      </c>
      <c r="S360" s="51">
        <v>12.679176313388504</v>
      </c>
      <c r="T360" s="51">
        <v>12.553151921913051</v>
      </c>
      <c r="U360" s="51">
        <v>66.32747232876946</v>
      </c>
      <c r="V360" s="53">
        <v>64.645007600642941</v>
      </c>
    </row>
    <row r="361" spans="1:22" x14ac:dyDescent="0.35">
      <c r="A361" s="4" t="s">
        <v>120</v>
      </c>
      <c r="B361" s="54" t="s">
        <v>263</v>
      </c>
      <c r="C361">
        <v>0</v>
      </c>
      <c r="D361">
        <v>14994</v>
      </c>
      <c r="E361">
        <v>15784</v>
      </c>
      <c r="F361">
        <v>15784</v>
      </c>
      <c r="G361">
        <v>15784</v>
      </c>
      <c r="H361">
        <v>15784</v>
      </c>
      <c r="I361">
        <v>15784</v>
      </c>
      <c r="J361">
        <v>15784</v>
      </c>
      <c r="K361">
        <v>16829</v>
      </c>
      <c r="L361">
        <v>16829</v>
      </c>
      <c r="M361" s="51">
        <v>0</v>
      </c>
      <c r="N361" s="51">
        <v>2.683417702725281</v>
      </c>
      <c r="O361" s="51">
        <v>2.7974767553679243</v>
      </c>
      <c r="P361" s="51">
        <v>2.7866636815608934</v>
      </c>
      <c r="Q361" s="51">
        <v>2.7527206966001789</v>
      </c>
      <c r="R361" s="51">
        <v>2.7173007824204554</v>
      </c>
      <c r="S361" s="51">
        <v>2.6842657724465391</v>
      </c>
      <c r="T361" s="51">
        <v>2.6575855723949191</v>
      </c>
      <c r="U361" s="51">
        <v>2.809802703564813</v>
      </c>
      <c r="V361" s="53">
        <v>2.7385291607059843</v>
      </c>
    </row>
    <row r="362" spans="1:22" x14ac:dyDescent="0.35">
      <c r="B362" s="4" t="s">
        <v>130</v>
      </c>
      <c r="C362">
        <v>0</v>
      </c>
      <c r="D362">
        <v>0</v>
      </c>
      <c r="E362">
        <v>0</v>
      </c>
      <c r="F362">
        <v>3906</v>
      </c>
      <c r="G362">
        <v>19597</v>
      </c>
      <c r="H362">
        <v>31810</v>
      </c>
      <c r="I362">
        <v>39615</v>
      </c>
      <c r="J362">
        <v>46907</v>
      </c>
      <c r="K362">
        <v>70314</v>
      </c>
      <c r="L362">
        <v>69368</v>
      </c>
      <c r="M362" s="51"/>
      <c r="N362" s="51"/>
      <c r="O362" s="51"/>
      <c r="P362" s="51"/>
      <c r="Q362" s="51"/>
      <c r="R362" s="51"/>
      <c r="S362" s="51"/>
      <c r="T362" s="51"/>
      <c r="U362" s="51"/>
      <c r="V362" s="51"/>
    </row>
    <row r="363" spans="1:22" x14ac:dyDescent="0.35">
      <c r="A363" s="4" t="s">
        <v>130</v>
      </c>
      <c r="B363" s="54" t="s">
        <v>257</v>
      </c>
      <c r="C363">
        <v>0</v>
      </c>
      <c r="D363">
        <v>0</v>
      </c>
      <c r="E363">
        <v>0</v>
      </c>
      <c r="F363">
        <v>312</v>
      </c>
      <c r="G363">
        <v>312</v>
      </c>
      <c r="H363">
        <v>160</v>
      </c>
      <c r="I363">
        <v>205</v>
      </c>
      <c r="J363">
        <v>269</v>
      </c>
      <c r="K363">
        <v>306</v>
      </c>
      <c r="L363">
        <v>283</v>
      </c>
      <c r="M363" s="51">
        <v>0</v>
      </c>
      <c r="N363" s="51">
        <v>0</v>
      </c>
      <c r="O363" s="51">
        <v>0</v>
      </c>
      <c r="P363" s="51">
        <v>0.18036710950260645</v>
      </c>
      <c r="Q363" s="51">
        <v>0.17492816311468115</v>
      </c>
      <c r="R363" s="51">
        <v>8.7048883443014022E-2</v>
      </c>
      <c r="S363" s="51">
        <v>0.10830678716369092</v>
      </c>
      <c r="T363" s="51">
        <v>0.13813910196745516</v>
      </c>
      <c r="U363" s="51">
        <v>0.15286490563964097</v>
      </c>
      <c r="V363" s="53">
        <v>0.14126831290342273</v>
      </c>
    </row>
    <row r="364" spans="1:22" x14ac:dyDescent="0.35">
      <c r="A364" s="4" t="s">
        <v>130</v>
      </c>
      <c r="B364" s="54" t="s">
        <v>258</v>
      </c>
      <c r="C364">
        <v>0</v>
      </c>
      <c r="D364">
        <v>0</v>
      </c>
      <c r="E364">
        <v>0</v>
      </c>
      <c r="F364">
        <v>921</v>
      </c>
      <c r="G364">
        <v>921</v>
      </c>
      <c r="H364">
        <v>18</v>
      </c>
      <c r="I364">
        <v>18</v>
      </c>
      <c r="J364">
        <v>19</v>
      </c>
      <c r="K364">
        <v>640</v>
      </c>
      <c r="L364">
        <v>419</v>
      </c>
      <c r="M364" s="51">
        <v>0</v>
      </c>
      <c r="N364" s="51">
        <v>0</v>
      </c>
      <c r="O364" s="51">
        <v>0</v>
      </c>
      <c r="P364" s="51">
        <v>0.53242983285865564</v>
      </c>
      <c r="Q364" s="51">
        <v>0.5163744815019915</v>
      </c>
      <c r="R364" s="51">
        <v>9.7929993873390776E-3</v>
      </c>
      <c r="S364" s="51">
        <v>9.5098642387631046E-3</v>
      </c>
      <c r="T364" s="51">
        <v>9.7570369419392108E-3</v>
      </c>
      <c r="U364" s="51">
        <v>0.31971744970382421</v>
      </c>
      <c r="V364" s="53">
        <v>0.20915697210789444</v>
      </c>
    </row>
    <row r="365" spans="1:22" x14ac:dyDescent="0.35">
      <c r="A365" s="4" t="s">
        <v>130</v>
      </c>
      <c r="B365" s="54" t="s">
        <v>259</v>
      </c>
      <c r="C365">
        <v>0</v>
      </c>
      <c r="D365">
        <v>0</v>
      </c>
      <c r="E365">
        <v>0</v>
      </c>
      <c r="F365">
        <v>0</v>
      </c>
      <c r="G365">
        <v>0</v>
      </c>
      <c r="H365">
        <v>1712</v>
      </c>
      <c r="I365">
        <v>2506</v>
      </c>
      <c r="J365">
        <v>3182</v>
      </c>
      <c r="K365">
        <v>2235</v>
      </c>
      <c r="L365">
        <v>1533</v>
      </c>
      <c r="M365" s="51">
        <v>0</v>
      </c>
      <c r="N365" s="51">
        <v>0</v>
      </c>
      <c r="O365" s="51">
        <v>0</v>
      </c>
      <c r="P365" s="51">
        <v>0</v>
      </c>
      <c r="Q365" s="51">
        <v>0</v>
      </c>
      <c r="R365" s="51">
        <v>0.93142305284024995</v>
      </c>
      <c r="S365" s="51">
        <v>1.3239844323522412</v>
      </c>
      <c r="T365" s="51">
        <v>1.6340469236447668</v>
      </c>
      <c r="U365" s="51">
        <v>1.1165132813875738</v>
      </c>
      <c r="V365" s="53">
        <v>0.76524496000334652</v>
      </c>
    </row>
    <row r="366" spans="1:22" x14ac:dyDescent="0.35">
      <c r="A366" s="4" t="s">
        <v>130</v>
      </c>
      <c r="B366" s="54" t="s">
        <v>260</v>
      </c>
      <c r="C366">
        <v>0</v>
      </c>
      <c r="D366">
        <v>0</v>
      </c>
      <c r="E366">
        <v>0</v>
      </c>
      <c r="F366">
        <v>1514</v>
      </c>
      <c r="G366">
        <v>1514</v>
      </c>
      <c r="H366">
        <v>4021</v>
      </c>
      <c r="I366">
        <v>4818</v>
      </c>
      <c r="J366">
        <v>5773</v>
      </c>
      <c r="K366">
        <v>6531</v>
      </c>
      <c r="L366">
        <v>6531</v>
      </c>
      <c r="M366" s="51">
        <v>0</v>
      </c>
      <c r="N366" s="51">
        <v>0</v>
      </c>
      <c r="O366" s="51">
        <v>0</v>
      </c>
      <c r="P366" s="51">
        <v>0.87524296085559683</v>
      </c>
      <c r="Q366" s="51">
        <v>0.84885012485777978</v>
      </c>
      <c r="R366" s="51">
        <v>2.1876472520272463</v>
      </c>
      <c r="S366" s="51">
        <v>2.5454736612422577</v>
      </c>
      <c r="T366" s="51">
        <v>2.9645986455692137</v>
      </c>
      <c r="U366" s="51">
        <v>3.2626166625244943</v>
      </c>
      <c r="V366" s="53">
        <v>3.260153185767682</v>
      </c>
    </row>
    <row r="367" spans="1:22" x14ac:dyDescent="0.35">
      <c r="A367" s="4" t="s">
        <v>130</v>
      </c>
      <c r="B367" s="54" t="s">
        <v>261</v>
      </c>
      <c r="C367">
        <v>0</v>
      </c>
      <c r="D367">
        <v>0</v>
      </c>
      <c r="E367">
        <v>0</v>
      </c>
      <c r="F367">
        <v>0</v>
      </c>
      <c r="G367">
        <v>0</v>
      </c>
      <c r="H367">
        <v>2137</v>
      </c>
      <c r="I367">
        <v>3312</v>
      </c>
      <c r="J367">
        <v>3746</v>
      </c>
      <c r="K367">
        <v>9202</v>
      </c>
      <c r="L367">
        <v>9202</v>
      </c>
      <c r="M367" s="51">
        <v>0</v>
      </c>
      <c r="N367" s="51">
        <v>0</v>
      </c>
      <c r="O367" s="51">
        <v>0</v>
      </c>
      <c r="P367" s="51">
        <v>0</v>
      </c>
      <c r="Q367" s="51">
        <v>0</v>
      </c>
      <c r="R367" s="51">
        <v>1.1626466494857559</v>
      </c>
      <c r="S367" s="51">
        <v>1.7498150199324114</v>
      </c>
      <c r="T367" s="51">
        <v>1.9236768623423308</v>
      </c>
      <c r="U367" s="51">
        <v>4.5969374565227978</v>
      </c>
      <c r="V367" s="53">
        <v>4.5934664852907989</v>
      </c>
    </row>
    <row r="368" spans="1:22" x14ac:dyDescent="0.35">
      <c r="A368" s="4" t="s">
        <v>130</v>
      </c>
      <c r="B368" s="54" t="s">
        <v>262</v>
      </c>
      <c r="C368">
        <v>0</v>
      </c>
      <c r="D368">
        <v>0</v>
      </c>
      <c r="E368">
        <v>0</v>
      </c>
      <c r="F368">
        <v>0</v>
      </c>
      <c r="G368">
        <v>15691</v>
      </c>
      <c r="H368">
        <v>23035</v>
      </c>
      <c r="I368">
        <v>27674</v>
      </c>
      <c r="J368">
        <v>32542</v>
      </c>
      <c r="K368">
        <v>49975</v>
      </c>
      <c r="L368">
        <v>49975</v>
      </c>
      <c r="M368" s="51">
        <v>0</v>
      </c>
      <c r="N368" s="51">
        <v>0</v>
      </c>
      <c r="O368" s="51">
        <v>0</v>
      </c>
      <c r="P368" s="51">
        <v>0</v>
      </c>
      <c r="Q368" s="51">
        <v>8.7974288699758389</v>
      </c>
      <c r="R368" s="51">
        <v>12.532318938186425</v>
      </c>
      <c r="S368" s="51">
        <v>14.620887941307231</v>
      </c>
      <c r="T368" s="51">
        <v>16.71123664024136</v>
      </c>
      <c r="U368" s="51">
        <v>24.965436795232215</v>
      </c>
      <c r="V368" s="53">
        <v>24.946586351054954</v>
      </c>
    </row>
    <row r="369" spans="1:22" x14ac:dyDescent="0.35">
      <c r="A369" s="4" t="s">
        <v>130</v>
      </c>
      <c r="B369" s="54" t="s">
        <v>263</v>
      </c>
      <c r="C369">
        <v>0</v>
      </c>
      <c r="D369">
        <v>0</v>
      </c>
      <c r="E369">
        <v>0</v>
      </c>
      <c r="F369">
        <v>1159</v>
      </c>
      <c r="G369">
        <v>1159</v>
      </c>
      <c r="H369">
        <v>727</v>
      </c>
      <c r="I369">
        <v>1082</v>
      </c>
      <c r="J369">
        <v>1376</v>
      </c>
      <c r="K369">
        <v>1425</v>
      </c>
      <c r="L369">
        <v>1425</v>
      </c>
      <c r="M369" s="51">
        <v>0</v>
      </c>
      <c r="N369" s="51">
        <v>0</v>
      </c>
      <c r="O369" s="51">
        <v>0</v>
      </c>
      <c r="P369" s="51">
        <v>0.67001756382538746</v>
      </c>
      <c r="Q369" s="51">
        <v>0.64981327259588295</v>
      </c>
      <c r="R369" s="51">
        <v>0.3955283641441949</v>
      </c>
      <c r="S369" s="51">
        <v>0.57164850590787109</v>
      </c>
      <c r="T369" s="51">
        <v>0.70661488590043975</v>
      </c>
      <c r="U369" s="51">
        <v>0.71187088410617116</v>
      </c>
      <c r="V369" s="53">
        <v>0.71133337769391314</v>
      </c>
    </row>
    <row r="370" spans="1:22" x14ac:dyDescent="0.35">
      <c r="B370" s="4" t="s">
        <v>132</v>
      </c>
      <c r="C370">
        <v>23200</v>
      </c>
      <c r="D370">
        <v>24542</v>
      </c>
      <c r="E370">
        <v>24667</v>
      </c>
      <c r="F370">
        <v>23149</v>
      </c>
      <c r="G370">
        <v>41936</v>
      </c>
      <c r="H370">
        <v>43305</v>
      </c>
      <c r="I370">
        <v>43638</v>
      </c>
      <c r="J370">
        <v>42592</v>
      </c>
      <c r="K370">
        <v>55162</v>
      </c>
      <c r="L370">
        <v>56462</v>
      </c>
      <c r="M370" s="51"/>
      <c r="N370" s="51"/>
      <c r="O370" s="51"/>
      <c r="P370" s="51"/>
      <c r="Q370" s="51"/>
      <c r="R370" s="51"/>
      <c r="S370" s="51"/>
      <c r="T370" s="51"/>
      <c r="U370" s="51"/>
      <c r="V370" s="51"/>
    </row>
    <row r="371" spans="1:22" x14ac:dyDescent="0.35">
      <c r="A371" s="4" t="s">
        <v>132</v>
      </c>
      <c r="B371" s="54" t="s">
        <v>257</v>
      </c>
      <c r="C371">
        <v>236</v>
      </c>
      <c r="D371">
        <v>236</v>
      </c>
      <c r="E371">
        <v>236</v>
      </c>
      <c r="F371">
        <v>136</v>
      </c>
      <c r="G371">
        <v>136</v>
      </c>
      <c r="H371">
        <v>136</v>
      </c>
      <c r="I371">
        <v>469</v>
      </c>
      <c r="J371">
        <v>469</v>
      </c>
      <c r="K371">
        <v>201</v>
      </c>
      <c r="L371">
        <v>492</v>
      </c>
      <c r="M371" s="51">
        <v>0.17032636190902076</v>
      </c>
      <c r="N371" s="51">
        <v>0.16672628073159207</v>
      </c>
      <c r="O371" s="51">
        <v>0.16329124293972946</v>
      </c>
      <c r="P371" s="51">
        <v>9.2196507908121575E-2</v>
      </c>
      <c r="Q371" s="51">
        <v>9.0352336910045739E-2</v>
      </c>
      <c r="R371" s="51">
        <v>8.8572759395746214E-2</v>
      </c>
      <c r="S371" s="51">
        <v>0.29930440125526608</v>
      </c>
      <c r="T371" s="51">
        <v>0.29324369038368281</v>
      </c>
      <c r="U371" s="51">
        <v>0.12315771227380569</v>
      </c>
      <c r="V371" s="53">
        <v>0.3157687399601426</v>
      </c>
    </row>
    <row r="372" spans="1:22" x14ac:dyDescent="0.35">
      <c r="A372" s="4" t="s">
        <v>132</v>
      </c>
      <c r="B372" s="54" t="s">
        <v>258</v>
      </c>
      <c r="C372">
        <v>0</v>
      </c>
      <c r="D372">
        <v>0</v>
      </c>
      <c r="E372">
        <v>0</v>
      </c>
      <c r="F372">
        <v>0</v>
      </c>
      <c r="G372">
        <v>0</v>
      </c>
      <c r="H372">
        <v>644</v>
      </c>
      <c r="I372">
        <v>644</v>
      </c>
      <c r="J372">
        <v>644</v>
      </c>
      <c r="K372">
        <v>757</v>
      </c>
      <c r="L372">
        <v>1449</v>
      </c>
      <c r="M372" s="51">
        <v>0</v>
      </c>
      <c r="N372" s="51">
        <v>0</v>
      </c>
      <c r="O372" s="51">
        <v>0</v>
      </c>
      <c r="P372" s="51">
        <v>0</v>
      </c>
      <c r="Q372" s="51">
        <v>0</v>
      </c>
      <c r="R372" s="51">
        <v>0.41941806655044528</v>
      </c>
      <c r="S372" s="51">
        <v>0.41098514799230568</v>
      </c>
      <c r="T372" s="51">
        <v>0.40266297784028082</v>
      </c>
      <c r="U372" s="51">
        <v>0.46383277707099957</v>
      </c>
      <c r="V372" s="53">
        <v>0.92997744756554179</v>
      </c>
    </row>
    <row r="373" spans="1:22" x14ac:dyDescent="0.35">
      <c r="A373" s="4" t="s">
        <v>132</v>
      </c>
      <c r="B373" s="54" t="s">
        <v>259</v>
      </c>
      <c r="C373">
        <v>0</v>
      </c>
      <c r="D373">
        <v>519</v>
      </c>
      <c r="E373">
        <v>644</v>
      </c>
      <c r="F373">
        <v>644</v>
      </c>
      <c r="G373">
        <v>781</v>
      </c>
      <c r="H373">
        <v>1126</v>
      </c>
      <c r="I373">
        <v>1126</v>
      </c>
      <c r="J373">
        <v>1126</v>
      </c>
      <c r="K373">
        <v>919</v>
      </c>
      <c r="L373">
        <v>1055</v>
      </c>
      <c r="M373" s="51">
        <v>0</v>
      </c>
      <c r="N373" s="51">
        <v>0.36665652415125549</v>
      </c>
      <c r="O373" s="51">
        <v>0.44559135785248216</v>
      </c>
      <c r="P373" s="51">
        <v>0.4365775815649286</v>
      </c>
      <c r="Q373" s="51">
        <v>0.51886158181430675</v>
      </c>
      <c r="R373" s="51">
        <v>0.73333034617360471</v>
      </c>
      <c r="S373" s="51">
        <v>0.71858583329089465</v>
      </c>
      <c r="T373" s="51">
        <v>0.70403495814931083</v>
      </c>
      <c r="U373" s="51">
        <v>0.56309421681406679</v>
      </c>
      <c r="V373" s="53">
        <v>0.67710573304461452</v>
      </c>
    </row>
    <row r="374" spans="1:22" x14ac:dyDescent="0.35">
      <c r="A374" s="4" t="s">
        <v>132</v>
      </c>
      <c r="B374" s="54" t="s">
        <v>260</v>
      </c>
      <c r="C374">
        <v>1685</v>
      </c>
      <c r="D374">
        <v>2508</v>
      </c>
      <c r="E374">
        <v>2508</v>
      </c>
      <c r="F374">
        <v>2508</v>
      </c>
      <c r="G374">
        <v>2646</v>
      </c>
      <c r="H374">
        <v>3026</v>
      </c>
      <c r="I374">
        <v>3026</v>
      </c>
      <c r="J374">
        <v>1980</v>
      </c>
      <c r="K374">
        <v>2041</v>
      </c>
      <c r="L374">
        <v>2222</v>
      </c>
      <c r="M374" s="51">
        <v>1.2161013551555082</v>
      </c>
      <c r="N374" s="51">
        <v>1.7718199664187837</v>
      </c>
      <c r="O374" s="51">
        <v>1.7353154122578029</v>
      </c>
      <c r="P374" s="51">
        <v>1.7002120723056535</v>
      </c>
      <c r="Q374" s="51">
        <v>1.7578844372351548</v>
      </c>
      <c r="R374" s="51">
        <v>1.9707438965553534</v>
      </c>
      <c r="S374" s="51">
        <v>1.9311196550073244</v>
      </c>
      <c r="T374" s="51">
        <v>1.2380010809375093</v>
      </c>
      <c r="U374" s="51">
        <v>1.2505715957753105</v>
      </c>
      <c r="V374" s="53">
        <v>1.4260937808769039</v>
      </c>
    </row>
    <row r="375" spans="1:22" x14ac:dyDescent="0.35">
      <c r="A375" s="4" t="s">
        <v>132</v>
      </c>
      <c r="B375" s="54" t="s">
        <v>261</v>
      </c>
      <c r="C375">
        <v>0</v>
      </c>
      <c r="D375">
        <v>0</v>
      </c>
      <c r="E375">
        <v>0</v>
      </c>
      <c r="F375">
        <v>0</v>
      </c>
      <c r="G375">
        <v>8806</v>
      </c>
      <c r="H375">
        <v>8806</v>
      </c>
      <c r="I375">
        <v>8806</v>
      </c>
      <c r="J375">
        <v>8806</v>
      </c>
      <c r="K375">
        <v>2805</v>
      </c>
      <c r="L375">
        <v>2805</v>
      </c>
      <c r="M375" s="51">
        <v>0</v>
      </c>
      <c r="N375" s="51">
        <v>0</v>
      </c>
      <c r="O375" s="51">
        <v>0</v>
      </c>
      <c r="P375" s="51">
        <v>0</v>
      </c>
      <c r="Q375" s="51">
        <v>5.8503138149254621</v>
      </c>
      <c r="R375" s="51">
        <v>5.7350861708745677</v>
      </c>
      <c r="S375" s="51">
        <v>5.6197751758078311</v>
      </c>
      <c r="T375" s="51">
        <v>5.5059785448160143</v>
      </c>
      <c r="U375" s="51">
        <v>1.7186934474031093</v>
      </c>
      <c r="V375" s="53">
        <v>1.8002669016020323</v>
      </c>
    </row>
    <row r="376" spans="1:22" x14ac:dyDescent="0.35">
      <c r="A376" s="4" t="s">
        <v>132</v>
      </c>
      <c r="B376" s="54" t="s">
        <v>262</v>
      </c>
      <c r="C376">
        <v>20885</v>
      </c>
      <c r="D376">
        <v>20885</v>
      </c>
      <c r="E376">
        <v>20885</v>
      </c>
      <c r="F376">
        <v>19642</v>
      </c>
      <c r="G376">
        <v>28170</v>
      </c>
      <c r="H376">
        <v>28170</v>
      </c>
      <c r="I376">
        <v>28170</v>
      </c>
      <c r="J376">
        <v>28170</v>
      </c>
      <c r="K376">
        <v>46537</v>
      </c>
      <c r="L376">
        <v>46537</v>
      </c>
      <c r="M376" s="51">
        <v>15.073161307075841</v>
      </c>
      <c r="N376" s="51">
        <v>14.754569377454665</v>
      </c>
      <c r="O376" s="51">
        <v>14.450583088119705</v>
      </c>
      <c r="P376" s="51">
        <v>13.315616237730323</v>
      </c>
      <c r="Q376" s="51">
        <v>18.714892137911683</v>
      </c>
      <c r="R376" s="51">
        <v>18.346284060133609</v>
      </c>
      <c r="S376" s="51">
        <v>17.977409346185169</v>
      </c>
      <c r="T376" s="51">
        <v>17.613379015156383</v>
      </c>
      <c r="U376" s="51">
        <v>28.514380378537791</v>
      </c>
      <c r="V376" s="53">
        <v>29.867743600660884</v>
      </c>
    </row>
    <row r="377" spans="1:22" x14ac:dyDescent="0.35">
      <c r="A377" s="4" t="s">
        <v>132</v>
      </c>
      <c r="B377" s="54" t="s">
        <v>263</v>
      </c>
      <c r="C377">
        <v>394</v>
      </c>
      <c r="D377">
        <v>394</v>
      </c>
      <c r="E377">
        <v>394</v>
      </c>
      <c r="F377">
        <v>219</v>
      </c>
      <c r="G377">
        <v>1397</v>
      </c>
      <c r="H377">
        <v>1397</v>
      </c>
      <c r="I377">
        <v>1397</v>
      </c>
      <c r="J377">
        <v>1397</v>
      </c>
      <c r="K377">
        <v>1902</v>
      </c>
      <c r="L377">
        <v>1902</v>
      </c>
      <c r="M377" s="51">
        <v>0.28435841776336518</v>
      </c>
      <c r="N377" s="51">
        <v>0.27834811274681054</v>
      </c>
      <c r="O377" s="51">
        <v>0.27261334626378564</v>
      </c>
      <c r="P377" s="51">
        <v>0.1484634943520487</v>
      </c>
      <c r="Q377" s="51">
        <v>0.92810451958333751</v>
      </c>
      <c r="R377" s="51">
        <v>0.90982459467542254</v>
      </c>
      <c r="S377" s="51">
        <v>0.891531446809396</v>
      </c>
      <c r="T377" s="51">
        <v>0.87347854043924278</v>
      </c>
      <c r="U377" s="51">
        <v>1.1654028295760122</v>
      </c>
      <c r="V377" s="53">
        <v>1.2207157386264047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37418-A8F3-4422-A490-BBCDF25BB373}">
  <dimension ref="B2:C28"/>
  <sheetViews>
    <sheetView topLeftCell="A7" zoomScale="200" workbookViewId="0">
      <selection activeCell="B24" sqref="B24:B27"/>
    </sheetView>
  </sheetViews>
  <sheetFormatPr defaultColWidth="8.81640625" defaultRowHeight="14.5" x14ac:dyDescent="0.35"/>
  <cols>
    <col min="2" max="2" width="52.453125" style="4" customWidth="1"/>
    <col min="3" max="3" width="106.7265625" bestFit="1" customWidth="1"/>
  </cols>
  <sheetData>
    <row r="2" spans="2:3" x14ac:dyDescent="0.35">
      <c r="B2" s="5" t="s">
        <v>0</v>
      </c>
    </row>
    <row r="3" spans="2:3" x14ac:dyDescent="0.35">
      <c r="B3" s="5" t="s">
        <v>1</v>
      </c>
    </row>
    <row r="4" spans="2:3" x14ac:dyDescent="0.35">
      <c r="B4" s="5" t="s">
        <v>2</v>
      </c>
    </row>
    <row r="5" spans="2:3" x14ac:dyDescent="0.35">
      <c r="B5" s="5" t="s">
        <v>149</v>
      </c>
      <c r="C5" s="6" t="s">
        <v>265</v>
      </c>
    </row>
    <row r="6" spans="2:3" x14ac:dyDescent="0.35">
      <c r="B6" s="4" t="s">
        <v>198</v>
      </c>
      <c r="C6" s="6" t="s">
        <v>266</v>
      </c>
    </row>
    <row r="7" spans="2:3" x14ac:dyDescent="0.35">
      <c r="B7" s="5" t="s">
        <v>238</v>
      </c>
      <c r="C7" s="6" t="s">
        <v>267</v>
      </c>
    </row>
    <row r="8" spans="2:3" x14ac:dyDescent="0.35">
      <c r="B8" s="5" t="s">
        <v>156</v>
      </c>
      <c r="C8" t="s">
        <v>268</v>
      </c>
    </row>
    <row r="9" spans="2:3" x14ac:dyDescent="0.35">
      <c r="B9" s="5" t="s">
        <v>157</v>
      </c>
      <c r="C9" t="s">
        <v>268</v>
      </c>
    </row>
    <row r="10" spans="2:3" x14ac:dyDescent="0.35">
      <c r="B10" s="5" t="s">
        <v>158</v>
      </c>
      <c r="C10" t="s">
        <v>268</v>
      </c>
    </row>
    <row r="11" spans="2:3" x14ac:dyDescent="0.35">
      <c r="B11" s="5" t="s">
        <v>159</v>
      </c>
      <c r="C11" t="s">
        <v>268</v>
      </c>
    </row>
    <row r="12" spans="2:3" x14ac:dyDescent="0.35">
      <c r="B12" s="5" t="s">
        <v>160</v>
      </c>
      <c r="C12" t="s">
        <v>268</v>
      </c>
    </row>
    <row r="13" spans="2:3" x14ac:dyDescent="0.35">
      <c r="B13" s="5" t="s">
        <v>161</v>
      </c>
      <c r="C13" t="s">
        <v>268</v>
      </c>
    </row>
    <row r="14" spans="2:3" x14ac:dyDescent="0.35">
      <c r="B14" s="5" t="s">
        <v>162</v>
      </c>
      <c r="C14" t="s">
        <v>268</v>
      </c>
    </row>
    <row r="15" spans="2:3" x14ac:dyDescent="0.35">
      <c r="B15" s="5" t="s">
        <v>163</v>
      </c>
      <c r="C15" t="s">
        <v>268</v>
      </c>
    </row>
    <row r="16" spans="2:3" x14ac:dyDescent="0.35">
      <c r="B16" s="5" t="s">
        <v>239</v>
      </c>
      <c r="C16" s="79" t="s">
        <v>269</v>
      </c>
    </row>
    <row r="17" spans="2:3" x14ac:dyDescent="0.35">
      <c r="B17" s="5" t="s">
        <v>197</v>
      </c>
    </row>
    <row r="18" spans="2:3" x14ac:dyDescent="0.35">
      <c r="B18" s="5" t="s">
        <v>240</v>
      </c>
      <c r="C18" s="6" t="s">
        <v>270</v>
      </c>
    </row>
    <row r="19" spans="2:3" x14ac:dyDescent="0.35">
      <c r="B19" s="5" t="s">
        <v>241</v>
      </c>
      <c r="C19" s="6" t="s">
        <v>271</v>
      </c>
    </row>
    <row r="20" spans="2:3" x14ac:dyDescent="0.35">
      <c r="B20" s="5" t="s">
        <v>142</v>
      </c>
      <c r="C20" s="6" t="s">
        <v>272</v>
      </c>
    </row>
    <row r="21" spans="2:3" x14ac:dyDescent="0.35">
      <c r="B21" s="5" t="s">
        <v>143</v>
      </c>
      <c r="C21" s="6" t="s">
        <v>273</v>
      </c>
    </row>
    <row r="22" spans="2:3" x14ac:dyDescent="0.35">
      <c r="B22" s="5" t="s">
        <v>144</v>
      </c>
      <c r="C22" s="6" t="s">
        <v>274</v>
      </c>
    </row>
    <row r="23" spans="2:3" x14ac:dyDescent="0.35">
      <c r="B23" s="5" t="s">
        <v>9</v>
      </c>
    </row>
    <row r="24" spans="2:3" x14ac:dyDescent="0.35">
      <c r="B24" s="5" t="s">
        <v>10</v>
      </c>
      <c r="C24" t="s">
        <v>275</v>
      </c>
    </row>
    <row r="25" spans="2:3" ht="29" x14ac:dyDescent="0.35">
      <c r="B25" s="5" t="s">
        <v>145</v>
      </c>
      <c r="C25" t="s">
        <v>276</v>
      </c>
    </row>
    <row r="26" spans="2:3" x14ac:dyDescent="0.35">
      <c r="B26" s="5" t="s">
        <v>146</v>
      </c>
      <c r="C26" t="s">
        <v>277</v>
      </c>
    </row>
    <row r="27" spans="2:3" x14ac:dyDescent="0.35">
      <c r="B27" s="5" t="s">
        <v>147</v>
      </c>
      <c r="C27" t="s">
        <v>278</v>
      </c>
    </row>
    <row r="28" spans="2:3" x14ac:dyDescent="0.35">
      <c r="B28" s="5" t="s">
        <v>148</v>
      </c>
      <c r="C28"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8E9F-51CA-4642-929A-509F8DCD3350}">
  <dimension ref="A3:Z59"/>
  <sheetViews>
    <sheetView topLeftCell="B16" zoomScale="80" zoomScaleNormal="80" workbookViewId="0">
      <selection activeCell="D27" sqref="D27"/>
    </sheetView>
  </sheetViews>
  <sheetFormatPr defaultColWidth="12.453125" defaultRowHeight="14.5" x14ac:dyDescent="0.35"/>
  <cols>
    <col min="2" max="2" width="27.1796875" bestFit="1" customWidth="1"/>
    <col min="3" max="3" width="55.453125" bestFit="1" customWidth="1"/>
    <col min="4" max="4" width="31.81640625" bestFit="1" customWidth="1"/>
    <col min="5" max="5" width="31.26953125" bestFit="1" customWidth="1"/>
    <col min="6" max="7" width="21.1796875" bestFit="1" customWidth="1"/>
    <col min="25" max="25" width="10.81640625" bestFit="1" customWidth="1"/>
    <col min="26" max="26" width="14.1796875" bestFit="1" customWidth="1"/>
    <col min="28" max="28" width="13.1796875" bestFit="1" customWidth="1"/>
    <col min="29" max="29" width="39.1796875" customWidth="1"/>
  </cols>
  <sheetData>
    <row r="3" spans="3:21" x14ac:dyDescent="0.35">
      <c r="C3" s="1" t="s">
        <v>280</v>
      </c>
    </row>
    <row r="4" spans="3:21" ht="46.5" x14ac:dyDescent="0.35">
      <c r="C4" s="7"/>
      <c r="D4" s="8" t="s">
        <v>281</v>
      </c>
      <c r="E4" s="8" t="s">
        <v>282</v>
      </c>
      <c r="F4" s="9" t="s">
        <v>261</v>
      </c>
      <c r="G4" s="9" t="s">
        <v>263</v>
      </c>
      <c r="H4" s="9" t="s">
        <v>257</v>
      </c>
      <c r="I4" s="9" t="s">
        <v>283</v>
      </c>
    </row>
    <row r="5" spans="3:21" x14ac:dyDescent="0.35">
      <c r="C5" t="s">
        <v>284</v>
      </c>
      <c r="D5" t="s">
        <v>260</v>
      </c>
      <c r="E5" t="s">
        <v>262</v>
      </c>
      <c r="F5" t="s">
        <v>261</v>
      </c>
      <c r="G5" t="s">
        <v>263</v>
      </c>
      <c r="H5" t="s">
        <v>285</v>
      </c>
      <c r="I5" t="s">
        <v>286</v>
      </c>
    </row>
    <row r="6" spans="3:21" x14ac:dyDescent="0.35">
      <c r="C6" t="s">
        <v>287</v>
      </c>
      <c r="D6" s="10">
        <v>3510.5</v>
      </c>
      <c r="E6" s="10">
        <v>1881</v>
      </c>
      <c r="F6" s="10">
        <v>1434</v>
      </c>
      <c r="G6" s="10">
        <v>1165</v>
      </c>
      <c r="H6" s="10">
        <v>5292</v>
      </c>
      <c r="I6" s="10">
        <v>20000</v>
      </c>
    </row>
    <row r="7" spans="3:21" x14ac:dyDescent="0.35">
      <c r="C7" t="s">
        <v>215</v>
      </c>
      <c r="D7" s="10">
        <v>5843.166666666667</v>
      </c>
      <c r="E7" s="10">
        <v>5020.1000000000004</v>
      </c>
      <c r="F7" s="10">
        <v>4508.6000000000004</v>
      </c>
      <c r="G7" s="10">
        <v>5297.6</v>
      </c>
      <c r="H7" s="10">
        <v>7995.75</v>
      </c>
      <c r="I7" s="10">
        <v>20000</v>
      </c>
    </row>
    <row r="8" spans="3:21" x14ac:dyDescent="0.35">
      <c r="C8" t="s">
        <v>288</v>
      </c>
      <c r="D8" s="10">
        <v>851</v>
      </c>
      <c r="E8" s="10">
        <v>400</v>
      </c>
      <c r="F8" s="10">
        <v>404</v>
      </c>
      <c r="G8" s="10">
        <v>637</v>
      </c>
      <c r="H8" s="10">
        <v>799</v>
      </c>
      <c r="I8" s="10">
        <v>20000</v>
      </c>
    </row>
    <row r="9" spans="3:21" x14ac:dyDescent="0.35">
      <c r="C9" t="s">
        <v>289</v>
      </c>
      <c r="D9" s="10">
        <v>20600</v>
      </c>
      <c r="E9" s="10">
        <v>11538.5</v>
      </c>
      <c r="F9" s="10">
        <v>10000</v>
      </c>
      <c r="G9" s="10">
        <v>18600</v>
      </c>
      <c r="H9" s="10">
        <v>20600</v>
      </c>
      <c r="I9" s="10">
        <v>20000</v>
      </c>
    </row>
    <row r="10" spans="3:21" x14ac:dyDescent="0.35">
      <c r="C10" t="s">
        <v>290</v>
      </c>
      <c r="D10" s="10">
        <v>6</v>
      </c>
      <c r="E10" s="10">
        <v>5</v>
      </c>
      <c r="F10" s="10">
        <v>5</v>
      </c>
      <c r="G10" s="10">
        <v>5</v>
      </c>
      <c r="H10" s="10">
        <v>4</v>
      </c>
      <c r="I10" s="10">
        <v>1</v>
      </c>
    </row>
    <row r="15" spans="3:21" x14ac:dyDescent="0.35">
      <c r="C15" s="1" t="s">
        <v>291</v>
      </c>
      <c r="K15" s="11"/>
      <c r="L15" s="11"/>
      <c r="M15" s="11"/>
      <c r="N15" s="11"/>
      <c r="O15" s="11"/>
      <c r="P15" s="11"/>
      <c r="Q15" s="11"/>
      <c r="R15" s="11"/>
      <c r="S15" s="11"/>
      <c r="T15" s="11"/>
      <c r="U15" s="11"/>
    </row>
    <row r="16" spans="3:21" x14ac:dyDescent="0.35">
      <c r="F16" s="14">
        <v>11856.737016989644</v>
      </c>
      <c r="K16" s="11"/>
      <c r="L16" s="11"/>
      <c r="M16" s="11"/>
      <c r="N16" s="11"/>
      <c r="O16" s="11"/>
      <c r="P16" s="11"/>
      <c r="Q16" s="11"/>
      <c r="R16" s="11"/>
      <c r="S16" s="11"/>
      <c r="T16" s="11"/>
      <c r="U16" s="11"/>
    </row>
    <row r="17" spans="2:26" ht="16" x14ac:dyDescent="0.35">
      <c r="C17" s="12" t="s">
        <v>292</v>
      </c>
      <c r="D17" s="26" t="s">
        <v>287</v>
      </c>
      <c r="E17" s="12" t="s">
        <v>288</v>
      </c>
      <c r="F17" s="12" t="s">
        <v>289</v>
      </c>
      <c r="G17" s="12" t="s">
        <v>293</v>
      </c>
      <c r="K17" s="11"/>
      <c r="L17" s="11"/>
      <c r="M17" s="11"/>
      <c r="N17" s="11"/>
      <c r="O17" s="11"/>
      <c r="P17" s="11"/>
      <c r="Q17" s="11"/>
      <c r="R17" s="11"/>
      <c r="S17" s="11"/>
      <c r="T17" s="11"/>
      <c r="U17" s="11"/>
    </row>
    <row r="18" spans="2:26" x14ac:dyDescent="0.35">
      <c r="C18" s="13" t="s">
        <v>294</v>
      </c>
      <c r="D18" s="27">
        <v>8475.8804521094589</v>
      </c>
      <c r="E18" s="14">
        <v>3176.4688150002776</v>
      </c>
      <c r="F18" s="14">
        <v>11856.737016989644</v>
      </c>
      <c r="G18" s="15" t="s">
        <v>295</v>
      </c>
      <c r="H18" t="str">
        <f t="shared" ref="H18:H41" si="0">IF(F18&lt;D18,"Check","")</f>
        <v/>
      </c>
      <c r="K18" s="11"/>
      <c r="L18" s="11"/>
      <c r="M18" s="11"/>
      <c r="N18" s="11"/>
      <c r="O18" s="11"/>
      <c r="P18" s="11"/>
      <c r="Q18" s="11"/>
      <c r="R18" s="11"/>
      <c r="S18" s="11"/>
      <c r="T18" s="11"/>
      <c r="U18" s="11"/>
      <c r="W18" t="s">
        <v>215</v>
      </c>
      <c r="X18" t="s">
        <v>287</v>
      </c>
      <c r="Y18" t="s">
        <v>296</v>
      </c>
      <c r="Z18" t="s">
        <v>297</v>
      </c>
    </row>
    <row r="19" spans="2:26" x14ac:dyDescent="0.35">
      <c r="C19" s="13" t="s">
        <v>298</v>
      </c>
      <c r="D19" s="27">
        <v>2100.5641752577299</v>
      </c>
      <c r="E19" s="14">
        <v>18.910955873175599</v>
      </c>
      <c r="F19" s="14">
        <v>6691.2</v>
      </c>
      <c r="G19" s="15">
        <v>10</v>
      </c>
      <c r="H19" t="str">
        <f t="shared" si="0"/>
        <v/>
      </c>
      <c r="K19" s="11"/>
      <c r="L19" s="11"/>
      <c r="M19" s="11"/>
      <c r="N19" s="11"/>
      <c r="O19" s="11"/>
      <c r="P19" s="11"/>
      <c r="Q19" s="11"/>
      <c r="R19" s="11"/>
      <c r="S19" s="11"/>
      <c r="T19" s="11"/>
      <c r="U19" s="11"/>
      <c r="W19" s="16">
        <v>11856.737016989644</v>
      </c>
      <c r="X19" s="16">
        <v>8475.8804521094589</v>
      </c>
      <c r="Y19" s="16">
        <v>3176.4688150002776</v>
      </c>
      <c r="Z19" s="16">
        <v>42931.28204089748</v>
      </c>
    </row>
    <row r="20" spans="2:26" x14ac:dyDescent="0.35">
      <c r="B20" s="13" t="s">
        <v>285</v>
      </c>
      <c r="C20" s="13" t="s">
        <v>257</v>
      </c>
      <c r="D20" s="27">
        <v>24675.147076923098</v>
      </c>
      <c r="E20" s="14">
        <v>4350</v>
      </c>
      <c r="F20" s="14">
        <v>65003.377969762398</v>
      </c>
      <c r="G20" s="15">
        <v>13</v>
      </c>
      <c r="H20" t="str">
        <f t="shared" si="0"/>
        <v/>
      </c>
      <c r="K20" s="11"/>
      <c r="L20" s="11"/>
      <c r="M20" s="11"/>
      <c r="N20" s="11"/>
      <c r="O20" s="11"/>
      <c r="P20" s="11"/>
      <c r="Q20" s="11"/>
      <c r="R20" s="11"/>
      <c r="S20" s="11"/>
      <c r="T20" s="11"/>
      <c r="U20" s="11"/>
    </row>
    <row r="21" spans="2:26" x14ac:dyDescent="0.35">
      <c r="C21" s="13" t="s">
        <v>299</v>
      </c>
      <c r="D21" s="27">
        <v>8475.8804521094589</v>
      </c>
      <c r="E21" s="14">
        <v>3176.4688150002776</v>
      </c>
      <c r="F21" s="14">
        <v>11856.737016989644</v>
      </c>
      <c r="G21" s="15" t="s">
        <v>295</v>
      </c>
      <c r="H21" t="str">
        <f>IF(F21&lt;F16,"Check","")</f>
        <v/>
      </c>
      <c r="K21" s="11"/>
      <c r="L21" s="11"/>
      <c r="M21" s="11"/>
      <c r="N21" s="11"/>
      <c r="O21" s="11"/>
      <c r="P21" s="11"/>
      <c r="Q21" s="11"/>
      <c r="R21" s="11"/>
      <c r="S21" s="11"/>
      <c r="T21" s="11"/>
      <c r="U21" s="11"/>
    </row>
    <row r="22" spans="2:26" x14ac:dyDescent="0.35">
      <c r="C22" s="13" t="s">
        <v>300</v>
      </c>
      <c r="D22" s="27">
        <v>8475.8804521094589</v>
      </c>
      <c r="E22" s="14">
        <v>3176.4688150002776</v>
      </c>
      <c r="F22" s="14">
        <v>11856.737016989644</v>
      </c>
      <c r="G22" s="15" t="s">
        <v>295</v>
      </c>
      <c r="H22" t="str">
        <f t="shared" si="0"/>
        <v/>
      </c>
      <c r="K22" s="11"/>
      <c r="L22" s="11"/>
      <c r="M22" s="11"/>
      <c r="N22" s="11"/>
      <c r="O22" s="11"/>
      <c r="P22" s="11"/>
      <c r="Q22" s="11"/>
      <c r="R22" s="11"/>
      <c r="S22" s="11"/>
      <c r="T22" s="11"/>
      <c r="U22" s="11"/>
    </row>
    <row r="23" spans="2:26" x14ac:dyDescent="0.35">
      <c r="C23" s="13" t="s">
        <v>301</v>
      </c>
      <c r="D23" s="27">
        <v>8373.3580953286855</v>
      </c>
      <c r="E23" s="14">
        <v>2274.6189276658902</v>
      </c>
      <c r="F23" s="14">
        <v>23780.7408207343</v>
      </c>
      <c r="G23" s="15">
        <v>14</v>
      </c>
      <c r="H23" t="str">
        <f t="shared" si="0"/>
        <v/>
      </c>
      <c r="K23" s="11"/>
      <c r="L23" s="11"/>
      <c r="M23" s="11"/>
      <c r="N23" s="11"/>
      <c r="O23" s="11"/>
      <c r="P23" s="11"/>
      <c r="Q23" s="11"/>
      <c r="R23" s="11"/>
      <c r="S23" s="11"/>
      <c r="T23" s="11"/>
      <c r="U23" s="11"/>
    </row>
    <row r="24" spans="2:26" x14ac:dyDescent="0.35">
      <c r="B24" t="s">
        <v>260</v>
      </c>
      <c r="C24" s="13" t="s">
        <v>281</v>
      </c>
      <c r="D24" s="27">
        <v>16711.450960483198</v>
      </c>
      <c r="E24" s="14">
        <v>4350</v>
      </c>
      <c r="F24" s="14">
        <v>70131.642857142899</v>
      </c>
      <c r="G24" s="15">
        <v>17</v>
      </c>
      <c r="H24" t="str">
        <f t="shared" si="0"/>
        <v/>
      </c>
      <c r="K24" s="11"/>
      <c r="L24" s="11"/>
      <c r="M24" s="11"/>
      <c r="N24" s="11"/>
      <c r="O24" s="11"/>
      <c r="P24" s="11"/>
      <c r="Q24" s="11"/>
      <c r="R24" s="11"/>
      <c r="S24" s="11"/>
      <c r="T24" s="11"/>
      <c r="U24" s="11"/>
    </row>
    <row r="25" spans="2:26" x14ac:dyDescent="0.35">
      <c r="C25" s="13" t="s">
        <v>302</v>
      </c>
      <c r="D25" s="27">
        <v>8475.8804521094589</v>
      </c>
      <c r="E25" s="14">
        <v>3176.4688150002776</v>
      </c>
      <c r="F25" s="14">
        <v>11856.737016989644</v>
      </c>
      <c r="G25" s="15" t="s">
        <v>295</v>
      </c>
      <c r="H25" t="str">
        <f t="shared" si="0"/>
        <v/>
      </c>
      <c r="K25" s="11"/>
      <c r="L25" s="11"/>
      <c r="M25" s="11"/>
      <c r="N25" s="11"/>
      <c r="O25" s="11"/>
      <c r="P25" s="11"/>
      <c r="Q25" s="11"/>
      <c r="R25" s="11"/>
      <c r="S25" s="11"/>
      <c r="T25" s="11"/>
      <c r="U25" s="11"/>
    </row>
    <row r="26" spans="2:26" x14ac:dyDescent="0.35">
      <c r="B26" s="13" t="s">
        <v>303</v>
      </c>
      <c r="C26" s="13" t="s">
        <v>258</v>
      </c>
      <c r="D26" s="27">
        <v>7741.2876192288004</v>
      </c>
      <c r="E26" s="14">
        <v>3030.4285714285702</v>
      </c>
      <c r="F26" s="14">
        <v>96426.689528447998</v>
      </c>
      <c r="G26" s="15">
        <v>15</v>
      </c>
      <c r="H26" t="str">
        <f t="shared" si="0"/>
        <v/>
      </c>
      <c r="K26" s="11"/>
      <c r="L26" s="11"/>
      <c r="M26" s="11"/>
      <c r="N26" s="11"/>
      <c r="O26" s="11"/>
      <c r="P26" s="11"/>
      <c r="Q26" s="11"/>
      <c r="R26" s="11"/>
      <c r="S26" s="11"/>
      <c r="T26" s="11"/>
      <c r="U26" s="11"/>
    </row>
    <row r="27" spans="2:26" x14ac:dyDescent="0.35">
      <c r="C27" s="13" t="s">
        <v>259</v>
      </c>
      <c r="D27" s="27">
        <v>8475.8804521094607</v>
      </c>
      <c r="E27" s="14">
        <v>3176.4688150002776</v>
      </c>
      <c r="F27" s="14">
        <v>11856.737016989644</v>
      </c>
      <c r="G27" s="15" t="s">
        <v>295</v>
      </c>
      <c r="H27" t="str">
        <f t="shared" si="0"/>
        <v/>
      </c>
      <c r="K27" s="11"/>
      <c r="L27" s="11"/>
      <c r="M27" s="11"/>
      <c r="N27" s="11"/>
      <c r="O27" s="11"/>
      <c r="P27" s="11"/>
      <c r="Q27" s="11"/>
      <c r="R27" s="11"/>
      <c r="S27" s="11"/>
      <c r="T27" s="11"/>
      <c r="U27" s="11"/>
    </row>
    <row r="28" spans="2:26" x14ac:dyDescent="0.35">
      <c r="C28" s="13" t="s">
        <v>304</v>
      </c>
      <c r="D28" s="27">
        <v>7741.2876192288004</v>
      </c>
      <c r="E28" s="14">
        <v>3525.7655253023099</v>
      </c>
      <c r="F28" s="14">
        <v>43430.122712447999</v>
      </c>
      <c r="G28" s="15">
        <v>15</v>
      </c>
      <c r="H28" t="str">
        <f t="shared" si="0"/>
        <v/>
      </c>
    </row>
    <row r="29" spans="2:26" x14ac:dyDescent="0.35">
      <c r="B29" s="13" t="s">
        <v>261</v>
      </c>
      <c r="C29" s="13" t="s">
        <v>261</v>
      </c>
      <c r="D29" s="27">
        <v>8216.3677468403203</v>
      </c>
      <c r="E29" s="14">
        <v>4119.0419085515032</v>
      </c>
      <c r="F29" s="14">
        <v>22257.167951366035</v>
      </c>
      <c r="G29" s="15">
        <v>6.666666666666667</v>
      </c>
      <c r="H29" t="str">
        <f t="shared" si="0"/>
        <v/>
      </c>
    </row>
    <row r="30" spans="2:26" x14ac:dyDescent="0.35">
      <c r="B30" s="13" t="s">
        <v>262</v>
      </c>
      <c r="C30" s="13" t="s">
        <v>262</v>
      </c>
      <c r="D30" s="27">
        <v>7534.1458823328003</v>
      </c>
      <c r="E30" s="14">
        <v>4119.0419085515032</v>
      </c>
      <c r="F30" s="14">
        <v>64855.986531609233</v>
      </c>
      <c r="G30" s="15">
        <v>8</v>
      </c>
      <c r="H30" t="str">
        <f t="shared" si="0"/>
        <v/>
      </c>
    </row>
    <row r="31" spans="2:26" x14ac:dyDescent="0.35">
      <c r="C31" s="13" t="s">
        <v>262</v>
      </c>
      <c r="D31" s="27">
        <v>7534.1458823327994</v>
      </c>
      <c r="E31" s="14">
        <v>4119.0419085515032</v>
      </c>
      <c r="F31" s="14">
        <v>64855.986531609233</v>
      </c>
      <c r="G31" s="15">
        <v>8</v>
      </c>
      <c r="H31" t="str">
        <f t="shared" si="0"/>
        <v/>
      </c>
    </row>
    <row r="32" spans="2:26" x14ac:dyDescent="0.35">
      <c r="C32" s="13" t="s">
        <v>305</v>
      </c>
      <c r="D32" s="27">
        <v>8475.8804521094589</v>
      </c>
      <c r="E32" s="14">
        <v>3176.4688150002776</v>
      </c>
      <c r="F32" s="14">
        <v>11856.737016989644</v>
      </c>
      <c r="G32" s="15" t="s">
        <v>295</v>
      </c>
      <c r="H32" t="str">
        <f t="shared" si="0"/>
        <v/>
      </c>
    </row>
    <row r="33" spans="2:8" x14ac:dyDescent="0.35">
      <c r="C33" s="13" t="s">
        <v>283</v>
      </c>
      <c r="D33" s="27">
        <v>6335.0389267610099</v>
      </c>
      <c r="E33" s="14">
        <v>3525.7655253023099</v>
      </c>
      <c r="F33" s="14">
        <v>12006</v>
      </c>
      <c r="G33" s="15">
        <v>10</v>
      </c>
      <c r="H33" t="str">
        <f t="shared" si="0"/>
        <v/>
      </c>
    </row>
    <row r="34" spans="2:8" x14ac:dyDescent="0.35">
      <c r="C34" s="13" t="s">
        <v>306</v>
      </c>
      <c r="D34" s="27">
        <v>8475.8804521094589</v>
      </c>
      <c r="E34" s="14">
        <v>3176.4688150002776</v>
      </c>
      <c r="F34" s="14">
        <v>11856.737016989644</v>
      </c>
      <c r="G34" s="15" t="s">
        <v>295</v>
      </c>
      <c r="H34" t="str">
        <f t="shared" si="0"/>
        <v/>
      </c>
    </row>
    <row r="35" spans="2:8" x14ac:dyDescent="0.35">
      <c r="B35" s="13" t="s">
        <v>307</v>
      </c>
      <c r="C35" s="13" t="s">
        <v>263</v>
      </c>
      <c r="D35" s="27">
        <v>11129.0286210506</v>
      </c>
      <c r="E35" s="14">
        <v>4812.3086210505599</v>
      </c>
      <c r="F35" s="14">
        <v>51236.733385274558</v>
      </c>
      <c r="G35" s="15">
        <v>9</v>
      </c>
      <c r="H35" t="str">
        <f t="shared" si="0"/>
        <v/>
      </c>
    </row>
    <row r="36" spans="2:8" x14ac:dyDescent="0.35">
      <c r="C36" s="13" t="s">
        <v>308</v>
      </c>
      <c r="D36" s="27">
        <v>12188.43</v>
      </c>
      <c r="E36" s="14">
        <v>3525.7655253023099</v>
      </c>
      <c r="F36" s="14">
        <v>39012.857142857101</v>
      </c>
      <c r="G36" s="15">
        <v>13</v>
      </c>
      <c r="H36" t="str">
        <f t="shared" si="0"/>
        <v/>
      </c>
    </row>
    <row r="37" spans="2:8" x14ac:dyDescent="0.35">
      <c r="C37" s="13" t="s">
        <v>309</v>
      </c>
      <c r="D37" s="27">
        <v>8475.8804521094589</v>
      </c>
      <c r="E37" s="14">
        <v>3176.4688150002776</v>
      </c>
      <c r="F37" s="14">
        <v>11856.737016989644</v>
      </c>
      <c r="G37" s="15" t="s">
        <v>295</v>
      </c>
      <c r="H37" t="str">
        <f t="shared" si="0"/>
        <v/>
      </c>
    </row>
    <row r="38" spans="2:8" x14ac:dyDescent="0.35">
      <c r="C38" s="13" t="s">
        <v>310</v>
      </c>
      <c r="D38" s="27">
        <v>8475.8804521094589</v>
      </c>
      <c r="E38" s="14">
        <v>3176.4688150002776</v>
      </c>
      <c r="F38" s="14">
        <v>11856.737016989644</v>
      </c>
      <c r="G38" s="15" t="s">
        <v>295</v>
      </c>
      <c r="H38" t="str">
        <f t="shared" si="0"/>
        <v/>
      </c>
    </row>
    <row r="39" spans="2:8" ht="15" thickBot="1" x14ac:dyDescent="0.4">
      <c r="C39" s="17" t="s">
        <v>311</v>
      </c>
      <c r="D39" s="27">
        <v>33928.980000000003</v>
      </c>
      <c r="E39" s="14">
        <v>5391</v>
      </c>
      <c r="F39" s="14">
        <v>184378.438712448</v>
      </c>
      <c r="G39" s="15">
        <v>15</v>
      </c>
      <c r="H39" t="str">
        <f t="shared" si="0"/>
        <v/>
      </c>
    </row>
    <row r="40" spans="2:8" ht="16.5" thickTop="1" x14ac:dyDescent="0.35">
      <c r="C40" s="12" t="s">
        <v>312</v>
      </c>
      <c r="D40" s="28">
        <v>11859.993898121575</v>
      </c>
      <c r="E40" s="18">
        <v>5611.118793025671</v>
      </c>
      <c r="F40" s="18">
        <v>35120.689249031915</v>
      </c>
      <c r="G40" s="12"/>
      <c r="H40" t="str">
        <f t="shared" si="0"/>
        <v/>
      </c>
    </row>
    <row r="41" spans="2:8" ht="16" x14ac:dyDescent="0.35">
      <c r="C41" s="12" t="s">
        <v>287</v>
      </c>
      <c r="D41" s="28">
        <v>11856.737016989644</v>
      </c>
      <c r="E41" s="18">
        <v>4581.1543105252804</v>
      </c>
      <c r="F41" s="18">
        <v>17131.583975683017</v>
      </c>
      <c r="G41" s="12"/>
      <c r="H41" t="str">
        <f t="shared" si="0"/>
        <v/>
      </c>
    </row>
    <row r="48" spans="2:8" x14ac:dyDescent="0.35">
      <c r="C48" s="1" t="s">
        <v>313</v>
      </c>
    </row>
    <row r="50" spans="1:10" ht="32" x14ac:dyDescent="0.35">
      <c r="C50" s="12" t="s">
        <v>292</v>
      </c>
      <c r="D50" s="12" t="s">
        <v>287</v>
      </c>
      <c r="E50" s="12" t="s">
        <v>215</v>
      </c>
      <c r="F50" s="12" t="s">
        <v>288</v>
      </c>
      <c r="G50" s="12" t="s">
        <v>289</v>
      </c>
      <c r="H50" s="12" t="s">
        <v>290</v>
      </c>
    </row>
    <row r="51" spans="1:10" ht="15.5" x14ac:dyDescent="0.35">
      <c r="A51" s="19" t="s">
        <v>281</v>
      </c>
      <c r="B51" t="s">
        <v>260</v>
      </c>
      <c r="C51" s="13" t="s">
        <v>281</v>
      </c>
      <c r="D51" s="20">
        <v>10572</v>
      </c>
      <c r="E51" s="20">
        <v>17350.800000000003</v>
      </c>
      <c r="F51" s="20">
        <v>5106</v>
      </c>
      <c r="G51" s="20">
        <v>31950</v>
      </c>
      <c r="H51" s="4">
        <v>6</v>
      </c>
      <c r="I51">
        <v>6</v>
      </c>
      <c r="J51">
        <v>2891.8</v>
      </c>
    </row>
    <row r="52" spans="1:10" ht="15.5" x14ac:dyDescent="0.35">
      <c r="A52" s="19" t="s">
        <v>281</v>
      </c>
      <c r="C52" s="13" t="s">
        <v>311</v>
      </c>
      <c r="D52" s="20">
        <v>5286</v>
      </c>
      <c r="E52" s="20">
        <v>8675.4000000000015</v>
      </c>
      <c r="F52" s="20">
        <v>2553</v>
      </c>
      <c r="G52" s="20">
        <v>15975</v>
      </c>
      <c r="H52" s="4"/>
      <c r="I52">
        <v>3</v>
      </c>
    </row>
    <row r="53" spans="1:10" ht="15.5" x14ac:dyDescent="0.35">
      <c r="A53" s="19" t="s">
        <v>282</v>
      </c>
      <c r="B53" s="13" t="s">
        <v>262</v>
      </c>
      <c r="C53" s="13" t="s">
        <v>262</v>
      </c>
      <c r="D53" s="20">
        <v>4972.5</v>
      </c>
      <c r="E53" s="20">
        <v>10171.5</v>
      </c>
      <c r="F53" s="20">
        <v>1200</v>
      </c>
      <c r="G53" s="20">
        <v>29541</v>
      </c>
      <c r="H53" s="4">
        <v>5</v>
      </c>
      <c r="I53">
        <v>3</v>
      </c>
    </row>
    <row r="54" spans="1:10" ht="15.5" x14ac:dyDescent="0.35">
      <c r="A54" s="19" t="s">
        <v>261</v>
      </c>
      <c r="B54" s="13" t="s">
        <v>261</v>
      </c>
      <c r="C54" s="13" t="s">
        <v>261</v>
      </c>
      <c r="D54" s="20">
        <v>2292</v>
      </c>
      <c r="E54" s="20">
        <v>6271.5</v>
      </c>
      <c r="F54" s="20">
        <v>808</v>
      </c>
      <c r="G54" s="20">
        <v>19694</v>
      </c>
      <c r="H54" s="4">
        <v>5</v>
      </c>
      <c r="I54">
        <v>2</v>
      </c>
    </row>
    <row r="55" spans="1:10" ht="15.5" x14ac:dyDescent="0.35">
      <c r="A55" s="19" t="s">
        <v>263</v>
      </c>
      <c r="B55" s="13" t="s">
        <v>307</v>
      </c>
      <c r="C55" s="13" t="s">
        <v>263</v>
      </c>
      <c r="D55" s="20">
        <v>3852</v>
      </c>
      <c r="E55" s="20">
        <v>7888</v>
      </c>
      <c r="F55" s="20">
        <v>2548</v>
      </c>
      <c r="G55" s="20">
        <v>21300</v>
      </c>
      <c r="H55" s="4">
        <v>5</v>
      </c>
      <c r="I55">
        <v>4</v>
      </c>
    </row>
    <row r="56" spans="1:10" ht="15.5" x14ac:dyDescent="0.35">
      <c r="A56" s="19" t="s">
        <v>257</v>
      </c>
      <c r="B56" s="13" t="s">
        <v>285</v>
      </c>
      <c r="C56" s="13" t="s">
        <v>257</v>
      </c>
      <c r="D56" s="20">
        <v>10572</v>
      </c>
      <c r="E56" s="20">
        <v>17350.800000000003</v>
      </c>
      <c r="F56" s="20">
        <v>5106</v>
      </c>
      <c r="G56" s="20">
        <v>31950</v>
      </c>
      <c r="H56" s="4">
        <v>4</v>
      </c>
      <c r="I56">
        <v>6</v>
      </c>
    </row>
    <row r="57" spans="1:10" x14ac:dyDescent="0.35">
      <c r="B57" s="13" t="s">
        <v>303</v>
      </c>
      <c r="C57" s="13" t="s">
        <v>314</v>
      </c>
      <c r="D57" s="20">
        <v>3632.25</v>
      </c>
      <c r="E57" s="20">
        <v>8221.5</v>
      </c>
      <c r="F57" s="20">
        <v>1004</v>
      </c>
      <c r="G57" s="20">
        <v>24617.5</v>
      </c>
      <c r="H57" s="4"/>
      <c r="I57">
        <v>3</v>
      </c>
    </row>
    <row r="58" spans="1:10" x14ac:dyDescent="0.35">
      <c r="B58" s="13" t="s">
        <v>298</v>
      </c>
      <c r="C58" s="13" t="s">
        <v>298</v>
      </c>
      <c r="D58" s="20">
        <v>1000</v>
      </c>
      <c r="E58" s="20">
        <v>1000</v>
      </c>
      <c r="F58" s="20">
        <v>500</v>
      </c>
      <c r="G58" s="20">
        <v>1500</v>
      </c>
      <c r="H58" s="4"/>
      <c r="I58" s="21">
        <v>0.5</v>
      </c>
    </row>
    <row r="59" spans="1:10" ht="16" x14ac:dyDescent="0.35">
      <c r="C59" s="12"/>
      <c r="D59" s="22">
        <v>5272.34375</v>
      </c>
      <c r="E59" s="22">
        <v>9616.1875</v>
      </c>
      <c r="F59" s="22">
        <v>2353.125</v>
      </c>
      <c r="G59" s="22">
        <v>22065.9375</v>
      </c>
      <c r="H59"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70D8-6FC4-45EC-A775-FD709F319137}">
  <dimension ref="A1:AB57"/>
  <sheetViews>
    <sheetView topLeftCell="G1" zoomScale="200" workbookViewId="0">
      <selection activeCell="Z1" sqref="Z1:Z1048576"/>
    </sheetView>
  </sheetViews>
  <sheetFormatPr defaultColWidth="8.81640625" defaultRowHeight="14.5" x14ac:dyDescent="0.35"/>
  <cols>
    <col min="1" max="1" width="31.26953125" bestFit="1" customWidth="1"/>
    <col min="2" max="2" width="5.1796875" bestFit="1" customWidth="1"/>
    <col min="3" max="3" width="17.453125" customWidth="1"/>
    <col min="4" max="4" width="13.7265625" customWidth="1"/>
    <col min="5" max="5" width="15.1796875" customWidth="1"/>
    <col min="7" max="7" width="15.453125" customWidth="1"/>
    <col min="8" max="8" width="16.1796875" customWidth="1"/>
    <col min="9" max="9" width="13.1796875" customWidth="1"/>
    <col min="10" max="10" width="13.81640625" customWidth="1"/>
    <col min="12" max="12" width="12.26953125" customWidth="1"/>
    <col min="15" max="15" width="11.81640625" customWidth="1"/>
    <col min="16" max="16" width="13.26953125" customWidth="1"/>
    <col min="20" max="20" width="12.1796875" bestFit="1" customWidth="1"/>
    <col min="21" max="21" width="14.1796875" bestFit="1" customWidth="1"/>
    <col min="22" max="22" width="15.453125" bestFit="1" customWidth="1"/>
    <col min="23" max="23" width="17" bestFit="1" customWidth="1"/>
    <col min="24" max="25" width="11.1796875" bestFit="1" customWidth="1"/>
    <col min="26" max="27" width="18.1796875" customWidth="1"/>
  </cols>
  <sheetData>
    <row r="1" spans="1:28" ht="116.5" thickBot="1" x14ac:dyDescent="0.4">
      <c r="A1" s="23" t="s">
        <v>0</v>
      </c>
      <c r="B1" s="23" t="s">
        <v>315</v>
      </c>
      <c r="C1" s="23" t="s">
        <v>281</v>
      </c>
      <c r="D1" s="23" t="s">
        <v>262</v>
      </c>
      <c r="E1" s="23" t="s">
        <v>261</v>
      </c>
      <c r="F1" s="23" t="s">
        <v>257</v>
      </c>
      <c r="G1" s="23" t="s">
        <v>316</v>
      </c>
      <c r="H1" s="23" t="s">
        <v>263</v>
      </c>
      <c r="I1" s="23" t="s">
        <v>317</v>
      </c>
      <c r="J1" s="23" t="s">
        <v>258</v>
      </c>
      <c r="K1" s="23" t="s">
        <v>283</v>
      </c>
      <c r="L1" s="23" t="s">
        <v>303</v>
      </c>
      <c r="M1" s="23" t="s">
        <v>318</v>
      </c>
      <c r="N1" s="2" t="s">
        <v>260</v>
      </c>
      <c r="O1" s="2" t="s">
        <v>262</v>
      </c>
      <c r="P1" s="2" t="s">
        <v>319</v>
      </c>
      <c r="Q1" s="2" t="s">
        <v>257</v>
      </c>
      <c r="R1" s="2" t="s">
        <v>263</v>
      </c>
      <c r="S1" s="2" t="s">
        <v>320</v>
      </c>
      <c r="T1" s="2" t="s">
        <v>260</v>
      </c>
      <c r="U1" s="2" t="s">
        <v>262</v>
      </c>
      <c r="V1" s="2" t="s">
        <v>319</v>
      </c>
      <c r="W1" s="2" t="s">
        <v>257</v>
      </c>
      <c r="X1" s="2" t="s">
        <v>263</v>
      </c>
      <c r="Y1" s="2" t="s">
        <v>320</v>
      </c>
      <c r="Z1" s="2" t="s">
        <v>321</v>
      </c>
      <c r="AA1" s="2" t="s">
        <v>210</v>
      </c>
      <c r="AB1" s="2" t="s">
        <v>141</v>
      </c>
    </row>
    <row r="2" spans="1:28" ht="15" thickTop="1" x14ac:dyDescent="0.35">
      <c r="A2" s="24" t="s">
        <v>95</v>
      </c>
      <c r="B2" s="24" t="s">
        <v>96</v>
      </c>
      <c r="C2" s="24">
        <v>0</v>
      </c>
      <c r="D2" s="24">
        <v>0</v>
      </c>
      <c r="E2" s="24">
        <v>0</v>
      </c>
      <c r="F2" s="24">
        <v>0</v>
      </c>
      <c r="G2" s="24">
        <v>0</v>
      </c>
      <c r="H2" s="24">
        <v>0</v>
      </c>
      <c r="I2" s="24">
        <v>0</v>
      </c>
      <c r="J2" s="24">
        <v>0</v>
      </c>
      <c r="K2" s="24">
        <v>0</v>
      </c>
      <c r="L2" s="24">
        <v>0</v>
      </c>
      <c r="M2" s="24">
        <v>0</v>
      </c>
      <c r="N2">
        <v>0</v>
      </c>
      <c r="O2">
        <v>0</v>
      </c>
      <c r="P2">
        <v>0</v>
      </c>
      <c r="Q2">
        <v>0</v>
      </c>
      <c r="R2">
        <v>0</v>
      </c>
      <c r="S2">
        <v>0</v>
      </c>
      <c r="T2" s="25">
        <v>0</v>
      </c>
      <c r="U2" s="25">
        <v>0</v>
      </c>
      <c r="V2" s="25">
        <v>0</v>
      </c>
      <c r="W2" s="25">
        <v>0</v>
      </c>
      <c r="X2" s="25">
        <v>0</v>
      </c>
      <c r="Y2" s="25">
        <v>0</v>
      </c>
      <c r="Z2" s="25">
        <f>SUM(T2:Y2)</f>
        <v>0</v>
      </c>
      <c r="AA2" s="25">
        <f>VLOOKUP(B2,Salaries_total!$B$3:$C$49,2,FALSE)</f>
        <v>22105727</v>
      </c>
      <c r="AB2" s="35">
        <f>Z2/AA2</f>
        <v>0</v>
      </c>
    </row>
    <row r="3" spans="1:28" x14ac:dyDescent="0.35">
      <c r="A3" s="24" t="s">
        <v>111</v>
      </c>
      <c r="B3" s="24" t="s">
        <v>112</v>
      </c>
      <c r="C3" s="24">
        <v>0</v>
      </c>
      <c r="D3" s="24">
        <v>0</v>
      </c>
      <c r="E3" s="24">
        <v>0</v>
      </c>
      <c r="F3" s="24">
        <v>0</v>
      </c>
      <c r="G3" s="24">
        <v>0</v>
      </c>
      <c r="H3" s="24">
        <v>0</v>
      </c>
      <c r="I3" s="24">
        <v>0</v>
      </c>
      <c r="J3" s="24">
        <v>0</v>
      </c>
      <c r="K3" s="24">
        <v>0</v>
      </c>
      <c r="L3" s="24">
        <v>0</v>
      </c>
      <c r="M3" s="24">
        <v>0</v>
      </c>
      <c r="N3">
        <v>0</v>
      </c>
      <c r="O3">
        <v>0</v>
      </c>
      <c r="P3">
        <v>0</v>
      </c>
      <c r="Q3">
        <v>0</v>
      </c>
      <c r="R3">
        <v>0</v>
      </c>
      <c r="S3">
        <v>0</v>
      </c>
      <c r="T3" s="25">
        <v>0</v>
      </c>
      <c r="U3" s="25">
        <v>0</v>
      </c>
      <c r="V3" s="25">
        <v>0</v>
      </c>
      <c r="W3" s="25">
        <v>0</v>
      </c>
      <c r="X3" s="25">
        <v>0</v>
      </c>
      <c r="Y3" s="25">
        <v>0</v>
      </c>
      <c r="Z3" s="25">
        <f t="shared" ref="Z3:Z48" si="0">SUM(T3:Y3)</f>
        <v>0</v>
      </c>
      <c r="AA3" s="25">
        <f>VLOOKUP(B3,Salaries_total!$B$3:$C$49,2,FALSE)</f>
        <v>232132</v>
      </c>
      <c r="AB3" s="35">
        <f t="shared" ref="AB3:AB48" si="1">Z3/AA3</f>
        <v>0</v>
      </c>
    </row>
    <row r="4" spans="1:28" x14ac:dyDescent="0.35">
      <c r="A4" s="24" t="s">
        <v>55</v>
      </c>
      <c r="B4" s="24" t="s">
        <v>56</v>
      </c>
      <c r="C4" s="24">
        <v>18</v>
      </c>
      <c r="D4" s="24">
        <v>0</v>
      </c>
      <c r="E4" s="24">
        <v>0</v>
      </c>
      <c r="F4" s="24">
        <v>0</v>
      </c>
      <c r="G4" s="24">
        <v>0</v>
      </c>
      <c r="H4" s="24">
        <v>0</v>
      </c>
      <c r="I4" s="24">
        <v>0</v>
      </c>
      <c r="J4" s="24">
        <v>0</v>
      </c>
      <c r="K4" s="24">
        <v>0</v>
      </c>
      <c r="L4" s="24">
        <v>0</v>
      </c>
      <c r="M4" s="24">
        <v>18</v>
      </c>
      <c r="N4">
        <v>18</v>
      </c>
      <c r="O4">
        <v>0</v>
      </c>
      <c r="P4">
        <v>0</v>
      </c>
      <c r="Q4">
        <v>0</v>
      </c>
      <c r="R4">
        <v>0</v>
      </c>
      <c r="S4">
        <v>0</v>
      </c>
      <c r="T4" s="25">
        <v>370800</v>
      </c>
      <c r="U4" s="25">
        <v>0</v>
      </c>
      <c r="V4" s="25">
        <v>0</v>
      </c>
      <c r="W4" s="25">
        <v>0</v>
      </c>
      <c r="X4" s="25">
        <v>0</v>
      </c>
      <c r="Y4" s="25">
        <v>0</v>
      </c>
      <c r="Z4" s="25">
        <f t="shared" si="0"/>
        <v>370800</v>
      </c>
      <c r="AA4" s="25">
        <f>VLOOKUP(B4,Salaries_total!$B$3:$C$49,2,FALSE)</f>
        <v>5119136</v>
      </c>
      <c r="AB4" s="35">
        <f t="shared" si="1"/>
        <v>7.243409825408037E-2</v>
      </c>
    </row>
    <row r="5" spans="1:28" x14ac:dyDescent="0.35">
      <c r="A5" s="24" t="s">
        <v>59</v>
      </c>
      <c r="B5" s="24" t="s">
        <v>60</v>
      </c>
      <c r="C5" s="24">
        <v>0</v>
      </c>
      <c r="D5" s="24">
        <v>40</v>
      </c>
      <c r="E5" s="24">
        <v>29</v>
      </c>
      <c r="F5" s="24">
        <v>0</v>
      </c>
      <c r="G5" s="24">
        <v>0</v>
      </c>
      <c r="H5" s="24">
        <v>0</v>
      </c>
      <c r="I5" s="24">
        <v>0</v>
      </c>
      <c r="J5" s="24">
        <v>0</v>
      </c>
      <c r="K5" s="24">
        <v>0</v>
      </c>
      <c r="L5" s="24">
        <v>0</v>
      </c>
      <c r="M5" s="24">
        <v>69</v>
      </c>
      <c r="N5">
        <v>0</v>
      </c>
      <c r="O5">
        <v>40</v>
      </c>
      <c r="P5">
        <v>29</v>
      </c>
      <c r="Q5">
        <v>0</v>
      </c>
      <c r="R5">
        <v>0</v>
      </c>
      <c r="S5">
        <v>0</v>
      </c>
      <c r="T5" s="25">
        <v>0</v>
      </c>
      <c r="U5" s="25">
        <v>461540</v>
      </c>
      <c r="V5" s="25">
        <v>400000</v>
      </c>
      <c r="W5" s="25">
        <v>0</v>
      </c>
      <c r="X5" s="25">
        <v>0</v>
      </c>
      <c r="Y5" s="25">
        <v>0</v>
      </c>
      <c r="Z5" s="25">
        <f t="shared" si="0"/>
        <v>861540</v>
      </c>
      <c r="AA5" s="25">
        <f>VLOOKUP(B5,Salaries_total!$B$3:$C$49,2,FALSE)</f>
        <v>926492</v>
      </c>
      <c r="AB5" s="35">
        <f t="shared" si="1"/>
        <v>0.92989469957646698</v>
      </c>
    </row>
    <row r="6" spans="1:28" x14ac:dyDescent="0.35">
      <c r="A6" s="24" t="s">
        <v>51</v>
      </c>
      <c r="B6" s="24" t="s">
        <v>52</v>
      </c>
      <c r="C6" s="24">
        <v>0</v>
      </c>
      <c r="D6" s="24">
        <v>0</v>
      </c>
      <c r="E6" s="24">
        <v>0</v>
      </c>
      <c r="F6" s="24">
        <v>0</v>
      </c>
      <c r="G6" s="24">
        <v>7</v>
      </c>
      <c r="H6" s="24">
        <v>0</v>
      </c>
      <c r="I6" s="24">
        <v>0</v>
      </c>
      <c r="J6" s="24">
        <v>0</v>
      </c>
      <c r="K6" s="24">
        <v>0</v>
      </c>
      <c r="L6" s="24">
        <v>83</v>
      </c>
      <c r="M6" s="24">
        <v>90</v>
      </c>
      <c r="N6">
        <v>0</v>
      </c>
      <c r="O6">
        <v>0</v>
      </c>
      <c r="P6">
        <v>0</v>
      </c>
      <c r="Q6">
        <v>0</v>
      </c>
      <c r="R6">
        <v>0</v>
      </c>
      <c r="S6">
        <v>0</v>
      </c>
      <c r="T6" s="25">
        <v>0</v>
      </c>
      <c r="U6" s="25">
        <v>0</v>
      </c>
      <c r="V6" s="25">
        <v>0</v>
      </c>
      <c r="W6" s="25">
        <v>0</v>
      </c>
      <c r="X6" s="25">
        <v>0</v>
      </c>
      <c r="Y6" s="25">
        <v>0</v>
      </c>
      <c r="Z6" s="25">
        <f t="shared" si="0"/>
        <v>0</v>
      </c>
      <c r="AA6" s="25">
        <f>VLOOKUP(B6,Salaries_total!$B$3:$C$49,2,FALSE)</f>
        <v>573322</v>
      </c>
      <c r="AB6" s="35">
        <f t="shared" si="1"/>
        <v>0</v>
      </c>
    </row>
    <row r="7" spans="1:28" x14ac:dyDescent="0.35">
      <c r="A7" s="24" t="s">
        <v>115</v>
      </c>
      <c r="B7" s="24" t="s">
        <v>116</v>
      </c>
      <c r="C7" s="24">
        <v>10</v>
      </c>
      <c r="D7" s="24">
        <v>40</v>
      </c>
      <c r="E7" s="24">
        <v>10</v>
      </c>
      <c r="F7" s="24">
        <v>0</v>
      </c>
      <c r="G7" s="24">
        <v>0</v>
      </c>
      <c r="H7" s="24">
        <v>0</v>
      </c>
      <c r="I7" s="24">
        <v>20</v>
      </c>
      <c r="J7" s="24">
        <v>0</v>
      </c>
      <c r="K7" s="24">
        <v>0</v>
      </c>
      <c r="L7" s="24">
        <v>80</v>
      </c>
      <c r="M7" s="24">
        <v>160</v>
      </c>
      <c r="N7">
        <v>10</v>
      </c>
      <c r="O7">
        <v>40</v>
      </c>
      <c r="P7">
        <v>10</v>
      </c>
      <c r="Q7">
        <v>0</v>
      </c>
      <c r="R7">
        <v>0</v>
      </c>
      <c r="S7">
        <v>0</v>
      </c>
      <c r="T7" s="25">
        <v>206000</v>
      </c>
      <c r="U7" s="25">
        <v>461540</v>
      </c>
      <c r="V7" s="25">
        <v>400000</v>
      </c>
      <c r="W7" s="25">
        <v>0</v>
      </c>
      <c r="X7" s="25">
        <v>0</v>
      </c>
      <c r="Y7" s="25">
        <v>0</v>
      </c>
      <c r="Z7" s="25">
        <f t="shared" si="0"/>
        <v>1067540</v>
      </c>
      <c r="AA7" s="25">
        <f>VLOOKUP(B7,Salaries_total!$B$3:$C$49,2,FALSE)</f>
        <v>99912</v>
      </c>
      <c r="AB7" s="35">
        <f t="shared" si="1"/>
        <v>10.684802626311154</v>
      </c>
    </row>
    <row r="8" spans="1:28" x14ac:dyDescent="0.35">
      <c r="A8" s="24" t="s">
        <v>77</v>
      </c>
      <c r="B8" s="24" t="s">
        <v>78</v>
      </c>
      <c r="C8" s="24">
        <v>23</v>
      </c>
      <c r="D8" s="24">
        <v>137</v>
      </c>
      <c r="E8" s="24">
        <v>0</v>
      </c>
      <c r="F8" s="24">
        <v>0</v>
      </c>
      <c r="G8" s="24">
        <v>0</v>
      </c>
      <c r="H8" s="24">
        <v>0</v>
      </c>
      <c r="I8" s="24">
        <v>0</v>
      </c>
      <c r="J8" s="24">
        <v>6</v>
      </c>
      <c r="K8" s="24">
        <v>0</v>
      </c>
      <c r="L8" s="24">
        <v>0</v>
      </c>
      <c r="M8" s="24">
        <v>166</v>
      </c>
      <c r="N8">
        <v>23</v>
      </c>
      <c r="O8">
        <v>137</v>
      </c>
      <c r="P8">
        <v>0</v>
      </c>
      <c r="Q8">
        <v>0</v>
      </c>
      <c r="R8">
        <v>0</v>
      </c>
      <c r="S8">
        <v>6</v>
      </c>
      <c r="T8" s="25">
        <v>473800</v>
      </c>
      <c r="U8" s="25">
        <v>1580774.5</v>
      </c>
      <c r="V8" s="25">
        <v>1370000</v>
      </c>
      <c r="W8" s="25">
        <v>0</v>
      </c>
      <c r="X8" s="25">
        <v>0</v>
      </c>
      <c r="Y8" s="25">
        <v>69231</v>
      </c>
      <c r="Z8" s="25">
        <f t="shared" si="0"/>
        <v>3493805.5</v>
      </c>
      <c r="AA8" s="25">
        <f>VLOOKUP(B8,Salaries_total!$B$3:$C$49,2,FALSE)</f>
        <v>2631251</v>
      </c>
      <c r="AB8" s="35">
        <f t="shared" si="1"/>
        <v>1.3278115618768411</v>
      </c>
    </row>
    <row r="9" spans="1:28" x14ac:dyDescent="0.35">
      <c r="A9" s="24" t="s">
        <v>75</v>
      </c>
      <c r="B9" s="24" t="s">
        <v>76</v>
      </c>
      <c r="C9" s="24">
        <v>46</v>
      </c>
      <c r="D9" s="24">
        <v>95</v>
      </c>
      <c r="E9" s="24">
        <v>34</v>
      </c>
      <c r="F9" s="24">
        <v>0</v>
      </c>
      <c r="G9" s="24">
        <v>0</v>
      </c>
      <c r="H9" s="24">
        <v>2</v>
      </c>
      <c r="I9" s="24">
        <v>0</v>
      </c>
      <c r="J9" s="24">
        <v>6</v>
      </c>
      <c r="K9" s="24">
        <v>0</v>
      </c>
      <c r="L9" s="24">
        <v>0</v>
      </c>
      <c r="M9" s="24">
        <v>183</v>
      </c>
      <c r="N9">
        <v>46</v>
      </c>
      <c r="O9">
        <v>95</v>
      </c>
      <c r="P9">
        <v>34</v>
      </c>
      <c r="Q9">
        <v>0</v>
      </c>
      <c r="R9">
        <v>2</v>
      </c>
      <c r="S9">
        <v>6</v>
      </c>
      <c r="T9" s="25">
        <v>947600</v>
      </c>
      <c r="U9" s="25">
        <v>1096157.5</v>
      </c>
      <c r="V9" s="25">
        <v>950000</v>
      </c>
      <c r="W9" s="25">
        <v>0</v>
      </c>
      <c r="X9" s="25">
        <v>37200</v>
      </c>
      <c r="Y9" s="25">
        <v>69231</v>
      </c>
      <c r="Z9" s="25">
        <f t="shared" si="0"/>
        <v>3100188.5</v>
      </c>
      <c r="AA9" s="25">
        <f>VLOOKUP(B9,Salaries_total!$B$3:$C$49,2,FALSE)</f>
        <v>2383905</v>
      </c>
      <c r="AB9" s="35">
        <f t="shared" si="1"/>
        <v>1.3004664615410431</v>
      </c>
    </row>
    <row r="10" spans="1:28" x14ac:dyDescent="0.35">
      <c r="A10" s="24" t="s">
        <v>89</v>
      </c>
      <c r="B10" s="24" t="s">
        <v>90</v>
      </c>
      <c r="C10" s="24">
        <v>29</v>
      </c>
      <c r="D10" s="24">
        <v>63</v>
      </c>
      <c r="E10" s="24">
        <v>0</v>
      </c>
      <c r="F10" s="24">
        <v>0</v>
      </c>
      <c r="G10" s="24">
        <v>0</v>
      </c>
      <c r="H10" s="24">
        <v>22</v>
      </c>
      <c r="I10" s="24">
        <v>0</v>
      </c>
      <c r="J10" s="24">
        <v>56</v>
      </c>
      <c r="K10" s="24">
        <v>0</v>
      </c>
      <c r="L10" s="24">
        <v>50</v>
      </c>
      <c r="M10" s="24">
        <v>220</v>
      </c>
      <c r="N10">
        <v>29</v>
      </c>
      <c r="O10">
        <v>63</v>
      </c>
      <c r="P10">
        <v>0</v>
      </c>
      <c r="Q10">
        <v>0</v>
      </c>
      <c r="R10">
        <v>22</v>
      </c>
      <c r="S10">
        <v>56</v>
      </c>
      <c r="T10" s="25">
        <v>597400</v>
      </c>
      <c r="U10" s="25">
        <v>726925.5</v>
      </c>
      <c r="V10" s="25">
        <v>630000</v>
      </c>
      <c r="W10" s="25">
        <v>0</v>
      </c>
      <c r="X10" s="25">
        <v>409200</v>
      </c>
      <c r="Y10" s="25">
        <v>646156</v>
      </c>
      <c r="Z10" s="25">
        <f t="shared" si="0"/>
        <v>3009681.5</v>
      </c>
      <c r="AA10" s="25">
        <f>VLOOKUP(B10,Salaries_total!$B$3:$C$49,2,FALSE)</f>
        <v>5432272</v>
      </c>
      <c r="AB10" s="35">
        <f t="shared" si="1"/>
        <v>0.55403733465481841</v>
      </c>
    </row>
    <row r="11" spans="1:28" x14ac:dyDescent="0.35">
      <c r="A11" s="24" t="s">
        <v>39</v>
      </c>
      <c r="B11" s="24" t="s">
        <v>40</v>
      </c>
      <c r="C11" s="24">
        <v>300</v>
      </c>
      <c r="D11" s="24">
        <v>0</v>
      </c>
      <c r="E11" s="24">
        <v>0</v>
      </c>
      <c r="F11" s="24">
        <v>0</v>
      </c>
      <c r="G11" s="24">
        <v>0</v>
      </c>
      <c r="H11" s="24">
        <v>0</v>
      </c>
      <c r="I11" s="24">
        <v>0</v>
      </c>
      <c r="J11" s="24">
        <v>0</v>
      </c>
      <c r="K11" s="24">
        <v>0</v>
      </c>
      <c r="L11" s="24">
        <v>0</v>
      </c>
      <c r="M11" s="24">
        <v>300</v>
      </c>
      <c r="N11">
        <v>300</v>
      </c>
      <c r="O11">
        <v>0</v>
      </c>
      <c r="P11">
        <v>0</v>
      </c>
      <c r="Q11">
        <v>0</v>
      </c>
      <c r="R11">
        <v>0</v>
      </c>
      <c r="S11">
        <v>0</v>
      </c>
      <c r="T11" s="25">
        <v>6180000</v>
      </c>
      <c r="U11" s="25">
        <v>0</v>
      </c>
      <c r="V11" s="25">
        <v>0</v>
      </c>
      <c r="W11" s="25">
        <v>0</v>
      </c>
      <c r="X11" s="25">
        <v>0</v>
      </c>
      <c r="Y11" s="25">
        <v>0</v>
      </c>
      <c r="Z11" s="25">
        <f t="shared" si="0"/>
        <v>6180000</v>
      </c>
      <c r="AA11" s="25">
        <f>VLOOKUP(B11,Salaries_total!$B$3:$C$49,2,FALSE)</f>
        <v>46053477</v>
      </c>
      <c r="AB11" s="35">
        <f t="shared" si="1"/>
        <v>0.13419182225915322</v>
      </c>
    </row>
    <row r="12" spans="1:28" x14ac:dyDescent="0.35">
      <c r="A12" s="24" t="s">
        <v>71</v>
      </c>
      <c r="B12" s="24" t="s">
        <v>72</v>
      </c>
      <c r="C12" s="24">
        <v>0</v>
      </c>
      <c r="D12" s="24">
        <v>160</v>
      </c>
      <c r="E12" s="24">
        <v>80</v>
      </c>
      <c r="F12" s="24">
        <v>0</v>
      </c>
      <c r="G12" s="24">
        <v>0</v>
      </c>
      <c r="H12" s="24">
        <v>44</v>
      </c>
      <c r="I12" s="24">
        <v>30</v>
      </c>
      <c r="J12" s="24">
        <v>78</v>
      </c>
      <c r="K12" s="24">
        <v>0</v>
      </c>
      <c r="L12" s="24">
        <v>58</v>
      </c>
      <c r="M12" s="24">
        <v>450</v>
      </c>
      <c r="N12">
        <v>0</v>
      </c>
      <c r="O12">
        <v>160</v>
      </c>
      <c r="P12">
        <v>80</v>
      </c>
      <c r="Q12">
        <v>0</v>
      </c>
      <c r="R12">
        <v>44</v>
      </c>
      <c r="S12">
        <v>78</v>
      </c>
      <c r="T12" s="25">
        <v>0</v>
      </c>
      <c r="U12" s="25">
        <v>1846160</v>
      </c>
      <c r="V12" s="25">
        <v>1600000</v>
      </c>
      <c r="W12" s="25">
        <v>0</v>
      </c>
      <c r="X12" s="25">
        <v>818400</v>
      </c>
      <c r="Y12" s="25">
        <v>900003</v>
      </c>
      <c r="Z12" s="25">
        <f t="shared" si="0"/>
        <v>5164563</v>
      </c>
      <c r="AA12" s="25">
        <f>VLOOKUP(B12,Salaries_total!$B$3:$C$49,2,FALSE)</f>
        <v>1197512</v>
      </c>
      <c r="AB12" s="35">
        <f t="shared" si="1"/>
        <v>4.3127442564249874</v>
      </c>
    </row>
    <row r="13" spans="1:28" x14ac:dyDescent="0.35">
      <c r="A13" s="24" t="s">
        <v>97</v>
      </c>
      <c r="B13" s="24" t="s">
        <v>98</v>
      </c>
      <c r="C13" s="24">
        <v>0</v>
      </c>
      <c r="D13" s="24">
        <v>113</v>
      </c>
      <c r="E13" s="24">
        <v>0</v>
      </c>
      <c r="F13" s="24">
        <v>0</v>
      </c>
      <c r="G13" s="24">
        <v>0</v>
      </c>
      <c r="H13" s="24">
        <v>0</v>
      </c>
      <c r="I13" s="24">
        <v>0</v>
      </c>
      <c r="J13" s="24">
        <v>0</v>
      </c>
      <c r="K13" s="24">
        <v>0</v>
      </c>
      <c r="L13" s="24">
        <v>366</v>
      </c>
      <c r="M13" s="24">
        <v>479</v>
      </c>
      <c r="N13">
        <v>0</v>
      </c>
      <c r="O13">
        <v>113</v>
      </c>
      <c r="P13">
        <v>0</v>
      </c>
      <c r="Q13">
        <v>0</v>
      </c>
      <c r="R13">
        <v>0</v>
      </c>
      <c r="S13">
        <v>0</v>
      </c>
      <c r="T13" s="25">
        <v>0</v>
      </c>
      <c r="U13" s="25">
        <v>1303850.5</v>
      </c>
      <c r="V13" s="25">
        <v>1130000</v>
      </c>
      <c r="W13" s="25">
        <v>0</v>
      </c>
      <c r="X13" s="25">
        <v>0</v>
      </c>
      <c r="Y13" s="25">
        <v>0</v>
      </c>
      <c r="Z13" s="25">
        <f t="shared" si="0"/>
        <v>2433850.5</v>
      </c>
      <c r="AA13" s="25">
        <f>VLOOKUP(B13,Salaries_total!$B$3:$C$49,2,FALSE)</f>
        <v>5030233</v>
      </c>
      <c r="AB13" s="35">
        <f t="shared" si="1"/>
        <v>0.48384448593136742</v>
      </c>
    </row>
    <row r="14" spans="1:28" x14ac:dyDescent="0.35">
      <c r="A14" s="24" t="s">
        <v>83</v>
      </c>
      <c r="B14" s="24" t="s">
        <v>84</v>
      </c>
      <c r="C14" s="24">
        <v>0</v>
      </c>
      <c r="D14" s="24">
        <v>0</v>
      </c>
      <c r="E14" s="24">
        <v>0</v>
      </c>
      <c r="F14" s="24">
        <v>0</v>
      </c>
      <c r="G14" s="24">
        <v>0</v>
      </c>
      <c r="H14" s="24">
        <v>0</v>
      </c>
      <c r="I14" s="24">
        <v>0</v>
      </c>
      <c r="J14" s="24">
        <v>23</v>
      </c>
      <c r="K14" s="24">
        <v>0</v>
      </c>
      <c r="L14" s="24">
        <v>489</v>
      </c>
      <c r="M14" s="24">
        <v>512</v>
      </c>
      <c r="N14">
        <v>0</v>
      </c>
      <c r="O14">
        <v>0</v>
      </c>
      <c r="P14">
        <v>0</v>
      </c>
      <c r="Q14">
        <v>0</v>
      </c>
      <c r="R14">
        <v>0</v>
      </c>
      <c r="S14">
        <v>23</v>
      </c>
      <c r="T14" s="25">
        <v>0</v>
      </c>
      <c r="U14" s="25">
        <v>0</v>
      </c>
      <c r="V14" s="25">
        <v>0</v>
      </c>
      <c r="W14" s="25">
        <v>0</v>
      </c>
      <c r="X14" s="25">
        <v>0</v>
      </c>
      <c r="Y14" s="25">
        <v>265385.5</v>
      </c>
      <c r="Z14" s="25">
        <f t="shared" si="0"/>
        <v>265385.5</v>
      </c>
      <c r="AA14" s="25">
        <f>VLOOKUP(B14,Salaries_total!$B$3:$C$49,2,FALSE)</f>
        <v>2111612</v>
      </c>
      <c r="AB14" s="35">
        <f t="shared" si="1"/>
        <v>0.12567910203200208</v>
      </c>
    </row>
    <row r="15" spans="1:28" x14ac:dyDescent="0.35">
      <c r="A15" s="24" t="s">
        <v>87</v>
      </c>
      <c r="B15" s="24" t="s">
        <v>88</v>
      </c>
      <c r="C15" s="24">
        <v>8</v>
      </c>
      <c r="D15" s="24">
        <v>376</v>
      </c>
      <c r="E15" s="24">
        <v>69</v>
      </c>
      <c r="F15" s="24">
        <v>8</v>
      </c>
      <c r="G15" s="24">
        <v>0</v>
      </c>
      <c r="H15" s="24">
        <v>33</v>
      </c>
      <c r="I15" s="24">
        <v>20</v>
      </c>
      <c r="J15" s="24">
        <v>20</v>
      </c>
      <c r="K15" s="24">
        <v>0</v>
      </c>
      <c r="L15" s="24">
        <v>0</v>
      </c>
      <c r="M15" s="24">
        <v>534</v>
      </c>
      <c r="N15">
        <v>8</v>
      </c>
      <c r="O15">
        <v>376</v>
      </c>
      <c r="P15">
        <v>69</v>
      </c>
      <c r="Q15">
        <v>8</v>
      </c>
      <c r="R15">
        <v>33</v>
      </c>
      <c r="S15">
        <v>20</v>
      </c>
      <c r="T15" s="25">
        <v>164800</v>
      </c>
      <c r="U15" s="25">
        <v>4338476</v>
      </c>
      <c r="V15" s="25">
        <v>3760000</v>
      </c>
      <c r="W15" s="25">
        <v>164800</v>
      </c>
      <c r="X15" s="25">
        <v>613800</v>
      </c>
      <c r="Y15" s="25">
        <v>230770</v>
      </c>
      <c r="Z15" s="25">
        <f t="shared" si="0"/>
        <v>9272646</v>
      </c>
      <c r="AA15" s="25">
        <f>VLOOKUP(B15,Salaries_total!$B$3:$C$49,2,FALSE)</f>
        <v>2192400</v>
      </c>
      <c r="AB15" s="35">
        <f t="shared" si="1"/>
        <v>4.2294499178981937</v>
      </c>
    </row>
    <row r="16" spans="1:28" x14ac:dyDescent="0.35">
      <c r="A16" s="24" t="s">
        <v>99</v>
      </c>
      <c r="B16" s="24" t="s">
        <v>100</v>
      </c>
      <c r="C16" s="24">
        <v>432</v>
      </c>
      <c r="D16" s="24">
        <v>175</v>
      </c>
      <c r="E16" s="24">
        <v>40</v>
      </c>
      <c r="F16" s="24">
        <v>0</v>
      </c>
      <c r="G16" s="24">
        <v>0</v>
      </c>
      <c r="H16" s="24">
        <v>0</v>
      </c>
      <c r="I16" s="24">
        <v>0</v>
      </c>
      <c r="J16" s="24">
        <v>0</v>
      </c>
      <c r="K16" s="24">
        <v>0</v>
      </c>
      <c r="L16" s="24">
        <v>39</v>
      </c>
      <c r="M16" s="24">
        <v>686</v>
      </c>
      <c r="N16">
        <v>432</v>
      </c>
      <c r="O16">
        <v>175</v>
      </c>
      <c r="P16">
        <v>40</v>
      </c>
      <c r="Q16">
        <v>0</v>
      </c>
      <c r="R16">
        <v>0</v>
      </c>
      <c r="S16">
        <v>0</v>
      </c>
      <c r="T16" s="25">
        <v>8899200</v>
      </c>
      <c r="U16" s="25">
        <v>2019237.5</v>
      </c>
      <c r="V16" s="25">
        <v>1750000</v>
      </c>
      <c r="W16" s="25">
        <v>0</v>
      </c>
      <c r="X16" s="25">
        <v>0</v>
      </c>
      <c r="Y16" s="25">
        <v>0</v>
      </c>
      <c r="Z16" s="25">
        <f t="shared" si="0"/>
        <v>12668437.5</v>
      </c>
      <c r="AA16" s="25">
        <f>VLOOKUP(B16,Salaries_total!$B$3:$C$49,2,FALSE)</f>
        <v>1275657</v>
      </c>
      <c r="AB16" s="35">
        <f t="shared" si="1"/>
        <v>9.9309120711915515</v>
      </c>
    </row>
    <row r="17" spans="1:28" x14ac:dyDescent="0.35">
      <c r="A17" s="24" t="s">
        <v>61</v>
      </c>
      <c r="B17" s="24" t="s">
        <v>62</v>
      </c>
      <c r="C17" s="24">
        <v>60</v>
      </c>
      <c r="D17" s="24">
        <v>60</v>
      </c>
      <c r="E17" s="24">
        <v>120</v>
      </c>
      <c r="F17" s="24">
        <v>0</v>
      </c>
      <c r="G17" s="24">
        <v>10</v>
      </c>
      <c r="H17" s="24">
        <v>0</v>
      </c>
      <c r="I17" s="24">
        <v>5</v>
      </c>
      <c r="J17" s="24">
        <v>0</v>
      </c>
      <c r="K17" s="24">
        <v>50</v>
      </c>
      <c r="L17" s="24">
        <v>408</v>
      </c>
      <c r="M17" s="24">
        <v>713</v>
      </c>
      <c r="N17">
        <v>60</v>
      </c>
      <c r="O17">
        <v>60</v>
      </c>
      <c r="P17">
        <v>120</v>
      </c>
      <c r="Q17">
        <v>0</v>
      </c>
      <c r="R17">
        <v>0</v>
      </c>
      <c r="S17">
        <v>0</v>
      </c>
      <c r="T17" s="25">
        <v>1236000</v>
      </c>
      <c r="U17" s="25">
        <v>692310</v>
      </c>
      <c r="V17" s="25">
        <v>600000</v>
      </c>
      <c r="W17" s="25">
        <v>0</v>
      </c>
      <c r="X17" s="25">
        <v>0</v>
      </c>
      <c r="Y17" s="25">
        <v>0</v>
      </c>
      <c r="Z17" s="25">
        <f t="shared" si="0"/>
        <v>2528310</v>
      </c>
      <c r="AA17" s="25">
        <f>VLOOKUP(B17,Salaries_total!$B$3:$C$49,2,FALSE)</f>
        <v>5940746</v>
      </c>
      <c r="AB17" s="35">
        <f t="shared" si="1"/>
        <v>0.42558796487848494</v>
      </c>
    </row>
    <row r="18" spans="1:28" x14ac:dyDescent="0.35">
      <c r="A18" s="24" t="s">
        <v>109</v>
      </c>
      <c r="B18" s="24" t="s">
        <v>110</v>
      </c>
      <c r="C18" s="24">
        <v>11</v>
      </c>
      <c r="D18" s="24">
        <v>355</v>
      </c>
      <c r="E18" s="24">
        <v>176</v>
      </c>
      <c r="F18" s="24">
        <v>0</v>
      </c>
      <c r="G18" s="24">
        <v>0</v>
      </c>
      <c r="H18" s="24">
        <v>95</v>
      </c>
      <c r="I18" s="24">
        <v>0</v>
      </c>
      <c r="J18" s="24">
        <v>0</v>
      </c>
      <c r="K18" s="24">
        <v>0</v>
      </c>
      <c r="L18" s="24">
        <v>81</v>
      </c>
      <c r="M18" s="24">
        <v>718</v>
      </c>
      <c r="N18">
        <v>11</v>
      </c>
      <c r="O18">
        <v>355</v>
      </c>
      <c r="P18">
        <v>176</v>
      </c>
      <c r="Q18">
        <v>0</v>
      </c>
      <c r="R18">
        <v>95</v>
      </c>
      <c r="S18">
        <v>0</v>
      </c>
      <c r="T18" s="25">
        <v>226600</v>
      </c>
      <c r="U18" s="25">
        <v>4096167.5</v>
      </c>
      <c r="V18" s="25">
        <v>3550000</v>
      </c>
      <c r="W18" s="25">
        <v>0</v>
      </c>
      <c r="X18" s="25">
        <v>1767000</v>
      </c>
      <c r="Y18" s="25">
        <v>0</v>
      </c>
      <c r="Z18" s="25">
        <f t="shared" si="0"/>
        <v>9639767.5</v>
      </c>
      <c r="AA18" s="25">
        <f>VLOOKUP(B18,Salaries_total!$B$3:$C$49,2,FALSE)</f>
        <v>13924498</v>
      </c>
      <c r="AB18" s="35">
        <f t="shared" si="1"/>
        <v>0.6922883324052328</v>
      </c>
    </row>
    <row r="19" spans="1:28" x14ac:dyDescent="0.35">
      <c r="A19" s="24" t="s">
        <v>69</v>
      </c>
      <c r="B19" s="24" t="s">
        <v>70</v>
      </c>
      <c r="C19" s="24">
        <v>36</v>
      </c>
      <c r="D19" s="24">
        <v>400</v>
      </c>
      <c r="E19" s="24">
        <v>0</v>
      </c>
      <c r="F19" s="24">
        <v>32</v>
      </c>
      <c r="G19" s="24">
        <v>0</v>
      </c>
      <c r="H19" s="24">
        <v>0</v>
      </c>
      <c r="I19" s="24">
        <v>0</v>
      </c>
      <c r="J19" s="24">
        <v>0</v>
      </c>
      <c r="K19" s="24">
        <v>0</v>
      </c>
      <c r="L19" s="24">
        <v>1023</v>
      </c>
      <c r="M19" s="24">
        <v>1491</v>
      </c>
      <c r="N19">
        <v>36</v>
      </c>
      <c r="O19">
        <v>400</v>
      </c>
      <c r="P19">
        <v>0</v>
      </c>
      <c r="Q19">
        <v>32</v>
      </c>
      <c r="R19">
        <v>0</v>
      </c>
      <c r="S19">
        <v>0</v>
      </c>
      <c r="T19" s="25">
        <v>741600</v>
      </c>
      <c r="U19" s="25">
        <v>4615400</v>
      </c>
      <c r="V19" s="25">
        <v>4000000</v>
      </c>
      <c r="W19" s="25">
        <v>659200</v>
      </c>
      <c r="X19" s="25">
        <v>0</v>
      </c>
      <c r="Y19" s="25">
        <v>0</v>
      </c>
      <c r="Z19" s="25">
        <f t="shared" si="0"/>
        <v>10016200</v>
      </c>
      <c r="AA19" s="25">
        <f>VLOOKUP(B19,Salaries_total!$B$3:$C$49,2,FALSE)</f>
        <v>3727656</v>
      </c>
      <c r="AB19" s="35">
        <f t="shared" si="1"/>
        <v>2.6869968688097829</v>
      </c>
    </row>
    <row r="20" spans="1:28" x14ac:dyDescent="0.35">
      <c r="A20" s="24" t="s">
        <v>45</v>
      </c>
      <c r="B20" s="24" t="s">
        <v>46</v>
      </c>
      <c r="C20" s="24">
        <v>60</v>
      </c>
      <c r="D20" s="24">
        <v>490</v>
      </c>
      <c r="E20" s="24">
        <v>40</v>
      </c>
      <c r="F20" s="24">
        <v>7</v>
      </c>
      <c r="G20" s="24">
        <v>10</v>
      </c>
      <c r="H20" s="24">
        <v>95</v>
      </c>
      <c r="I20" s="24">
        <v>60</v>
      </c>
      <c r="J20" s="24">
        <v>189</v>
      </c>
      <c r="K20" s="24">
        <v>30</v>
      </c>
      <c r="L20" s="24">
        <v>597</v>
      </c>
      <c r="M20" s="24">
        <v>1578</v>
      </c>
      <c r="N20">
        <v>60</v>
      </c>
      <c r="O20">
        <v>490</v>
      </c>
      <c r="P20">
        <v>40</v>
      </c>
      <c r="Q20">
        <v>7</v>
      </c>
      <c r="R20">
        <v>95</v>
      </c>
      <c r="S20">
        <v>189</v>
      </c>
      <c r="T20" s="25">
        <v>1236000</v>
      </c>
      <c r="U20" s="25">
        <v>5653865</v>
      </c>
      <c r="V20" s="25">
        <v>4900000</v>
      </c>
      <c r="W20" s="25">
        <v>144200</v>
      </c>
      <c r="X20" s="25">
        <v>1767000</v>
      </c>
      <c r="Y20" s="25">
        <v>2180776.5</v>
      </c>
      <c r="Z20" s="25">
        <f t="shared" si="0"/>
        <v>15881841.5</v>
      </c>
      <c r="AA20" s="25">
        <f>VLOOKUP(B20,Salaries_total!$B$3:$C$49,2,FALSE)</f>
        <v>2483754</v>
      </c>
      <c r="AB20" s="35">
        <f t="shared" si="1"/>
        <v>6.3942892492573744</v>
      </c>
    </row>
    <row r="21" spans="1:28" x14ac:dyDescent="0.35">
      <c r="A21" s="24" t="s">
        <v>121</v>
      </c>
      <c r="B21" s="24" t="s">
        <v>122</v>
      </c>
      <c r="C21" s="24">
        <v>0</v>
      </c>
      <c r="D21" s="24">
        <v>241</v>
      </c>
      <c r="E21" s="24">
        <v>307</v>
      </c>
      <c r="F21" s="24">
        <v>0</v>
      </c>
      <c r="G21" s="24">
        <v>0</v>
      </c>
      <c r="H21" s="24">
        <v>0</v>
      </c>
      <c r="I21" s="24">
        <v>0</v>
      </c>
      <c r="J21" s="24">
        <v>681</v>
      </c>
      <c r="K21" s="24">
        <v>0</v>
      </c>
      <c r="L21" s="24">
        <v>484</v>
      </c>
      <c r="M21" s="24">
        <v>1713</v>
      </c>
      <c r="N21">
        <v>0</v>
      </c>
      <c r="O21">
        <v>241</v>
      </c>
      <c r="P21">
        <v>307</v>
      </c>
      <c r="Q21">
        <v>0</v>
      </c>
      <c r="R21">
        <v>0</v>
      </c>
      <c r="S21">
        <v>681</v>
      </c>
      <c r="T21" s="25">
        <v>0</v>
      </c>
      <c r="U21" s="25">
        <v>2780778.5</v>
      </c>
      <c r="V21" s="25">
        <v>2410000</v>
      </c>
      <c r="W21" s="25">
        <v>0</v>
      </c>
      <c r="X21" s="25">
        <v>0</v>
      </c>
      <c r="Y21" s="25">
        <v>7857718.5</v>
      </c>
      <c r="Z21" s="25">
        <f t="shared" si="0"/>
        <v>13048497</v>
      </c>
      <c r="AA21" s="25">
        <f>VLOOKUP(B21,Salaries_total!$B$3:$C$49,2,FALSE)</f>
        <v>11891023</v>
      </c>
      <c r="AB21" s="35">
        <f t="shared" si="1"/>
        <v>1.0973401531558722</v>
      </c>
    </row>
    <row r="22" spans="1:28" x14ac:dyDescent="0.35">
      <c r="A22" s="24" t="s">
        <v>101</v>
      </c>
      <c r="B22" s="24" t="s">
        <v>102</v>
      </c>
      <c r="C22" s="24">
        <v>819</v>
      </c>
      <c r="D22" s="24">
        <v>580</v>
      </c>
      <c r="E22" s="24">
        <v>140</v>
      </c>
      <c r="F22" s="24">
        <v>161</v>
      </c>
      <c r="G22" s="24">
        <v>0</v>
      </c>
      <c r="H22" s="24">
        <v>0</v>
      </c>
      <c r="I22" s="24">
        <v>112</v>
      </c>
      <c r="J22" s="24">
        <v>248</v>
      </c>
      <c r="K22" s="24">
        <v>20</v>
      </c>
      <c r="L22" s="24">
        <v>0</v>
      </c>
      <c r="M22" s="24">
        <v>2080</v>
      </c>
      <c r="N22">
        <v>819</v>
      </c>
      <c r="O22">
        <v>580</v>
      </c>
      <c r="P22">
        <v>140</v>
      </c>
      <c r="Q22">
        <v>161</v>
      </c>
      <c r="R22">
        <v>0</v>
      </c>
      <c r="S22">
        <v>248</v>
      </c>
      <c r="T22" s="25">
        <v>16871400</v>
      </c>
      <c r="U22" s="25">
        <v>6692330</v>
      </c>
      <c r="V22" s="25">
        <v>5800000</v>
      </c>
      <c r="W22" s="25">
        <v>3316600</v>
      </c>
      <c r="X22" s="25">
        <v>0</v>
      </c>
      <c r="Y22" s="25">
        <v>2861548</v>
      </c>
      <c r="Z22" s="25">
        <f t="shared" si="0"/>
        <v>35541878</v>
      </c>
      <c r="AA22" s="25">
        <f>VLOOKUP(B22,Salaries_total!$B$3:$C$49,2,FALSE)</f>
        <v>34034812</v>
      </c>
      <c r="AB22" s="35">
        <f t="shared" si="1"/>
        <v>1.0442801329415305</v>
      </c>
    </row>
    <row r="23" spans="1:28" x14ac:dyDescent="0.35">
      <c r="A23" s="24" t="s">
        <v>113</v>
      </c>
      <c r="B23" s="24" t="s">
        <v>114</v>
      </c>
      <c r="C23" s="24">
        <v>434</v>
      </c>
      <c r="D23" s="24">
        <v>582</v>
      </c>
      <c r="E23" s="24">
        <v>104</v>
      </c>
      <c r="F23" s="24">
        <v>67</v>
      </c>
      <c r="G23" s="24">
        <v>0</v>
      </c>
      <c r="H23" s="24">
        <v>171</v>
      </c>
      <c r="I23" s="24">
        <v>0</v>
      </c>
      <c r="J23" s="24">
        <v>36</v>
      </c>
      <c r="K23" s="24">
        <v>0</v>
      </c>
      <c r="L23" s="24">
        <v>710</v>
      </c>
      <c r="M23" s="24">
        <v>2104</v>
      </c>
      <c r="N23">
        <v>434</v>
      </c>
      <c r="O23">
        <v>582</v>
      </c>
      <c r="P23">
        <v>104</v>
      </c>
      <c r="Q23">
        <v>67</v>
      </c>
      <c r="R23">
        <v>171</v>
      </c>
      <c r="S23">
        <v>36</v>
      </c>
      <c r="T23" s="25">
        <v>8940400</v>
      </c>
      <c r="U23" s="25">
        <v>6715407</v>
      </c>
      <c r="V23" s="25">
        <v>5820000</v>
      </c>
      <c r="W23" s="25">
        <v>1380200</v>
      </c>
      <c r="X23" s="25">
        <v>3180600</v>
      </c>
      <c r="Y23" s="25">
        <v>415386</v>
      </c>
      <c r="Z23" s="25">
        <f t="shared" si="0"/>
        <v>26451993</v>
      </c>
      <c r="AA23" s="25">
        <f>VLOOKUP(B23,Salaries_total!$B$3:$C$49,2,FALSE)</f>
        <v>18116526</v>
      </c>
      <c r="AB23" s="35">
        <f t="shared" si="1"/>
        <v>1.4601029468894864</v>
      </c>
    </row>
    <row r="24" spans="1:28" x14ac:dyDescent="0.35">
      <c r="A24" s="24" t="s">
        <v>117</v>
      </c>
      <c r="B24" s="24" t="s">
        <v>118</v>
      </c>
      <c r="C24" s="24">
        <v>217</v>
      </c>
      <c r="D24" s="24">
        <v>1755</v>
      </c>
      <c r="E24" s="24">
        <v>120</v>
      </c>
      <c r="F24" s="24">
        <v>0</v>
      </c>
      <c r="G24" s="24">
        <v>0</v>
      </c>
      <c r="H24" s="24">
        <v>69</v>
      </c>
      <c r="I24" s="24">
        <v>51</v>
      </c>
      <c r="J24" s="24">
        <v>90</v>
      </c>
      <c r="K24" s="24">
        <v>0</v>
      </c>
      <c r="L24" s="24">
        <v>186</v>
      </c>
      <c r="M24" s="24">
        <v>2488</v>
      </c>
      <c r="N24">
        <v>217</v>
      </c>
      <c r="O24">
        <v>1755</v>
      </c>
      <c r="P24">
        <v>120</v>
      </c>
      <c r="Q24">
        <v>0</v>
      </c>
      <c r="R24">
        <v>69</v>
      </c>
      <c r="S24">
        <v>90</v>
      </c>
      <c r="T24" s="25">
        <v>4470200</v>
      </c>
      <c r="U24" s="25">
        <v>20250067.5</v>
      </c>
      <c r="V24" s="25">
        <v>17550000</v>
      </c>
      <c r="W24" s="25">
        <v>0</v>
      </c>
      <c r="X24" s="25">
        <v>1283400</v>
      </c>
      <c r="Y24" s="25">
        <v>1038465</v>
      </c>
      <c r="Z24" s="25">
        <f t="shared" si="0"/>
        <v>44592132.5</v>
      </c>
      <c r="AA24" s="25">
        <f>VLOOKUP(B24,Salaries_total!$B$3:$C$49,2,FALSE)</f>
        <v>8472212</v>
      </c>
      <c r="AB24" s="35">
        <f t="shared" si="1"/>
        <v>5.2633400226528799</v>
      </c>
    </row>
    <row r="25" spans="1:28" x14ac:dyDescent="0.35">
      <c r="A25" s="24" t="s">
        <v>49</v>
      </c>
      <c r="B25" s="24" t="s">
        <v>50</v>
      </c>
      <c r="C25" s="24">
        <v>325</v>
      </c>
      <c r="D25" s="24">
        <v>1467</v>
      </c>
      <c r="E25" s="24">
        <v>196</v>
      </c>
      <c r="F25" s="24">
        <v>0</v>
      </c>
      <c r="G25" s="24">
        <v>0</v>
      </c>
      <c r="H25" s="24">
        <v>39</v>
      </c>
      <c r="I25" s="24">
        <v>0</v>
      </c>
      <c r="J25" s="24">
        <v>322</v>
      </c>
      <c r="K25" s="24">
        <v>0</v>
      </c>
      <c r="L25" s="24">
        <v>194</v>
      </c>
      <c r="M25" s="24">
        <v>2543</v>
      </c>
      <c r="N25">
        <v>325</v>
      </c>
      <c r="O25">
        <v>1467</v>
      </c>
      <c r="P25">
        <v>196</v>
      </c>
      <c r="Q25">
        <v>0</v>
      </c>
      <c r="R25">
        <v>39</v>
      </c>
      <c r="S25">
        <v>322</v>
      </c>
      <c r="T25" s="25">
        <v>6695000</v>
      </c>
      <c r="U25" s="25">
        <v>16926979.5</v>
      </c>
      <c r="V25" s="25">
        <v>14670000</v>
      </c>
      <c r="W25" s="25">
        <v>0</v>
      </c>
      <c r="X25" s="25">
        <v>725400</v>
      </c>
      <c r="Y25" s="25">
        <v>3715397</v>
      </c>
      <c r="Z25" s="25">
        <f t="shared" si="0"/>
        <v>42732776.5</v>
      </c>
      <c r="AA25" s="25">
        <f>VLOOKUP(B25,Salaries_total!$B$3:$C$49,2,FALSE)</f>
        <v>12999141</v>
      </c>
      <c r="AB25" s="35">
        <f t="shared" si="1"/>
        <v>3.2873538720750854</v>
      </c>
    </row>
    <row r="26" spans="1:28" x14ac:dyDescent="0.35">
      <c r="A26" s="24" t="s">
        <v>103</v>
      </c>
      <c r="B26" s="24" t="s">
        <v>104</v>
      </c>
      <c r="C26" s="24">
        <v>475</v>
      </c>
      <c r="D26" s="24">
        <v>200</v>
      </c>
      <c r="E26" s="24">
        <v>1414</v>
      </c>
      <c r="F26" s="24">
        <v>0</v>
      </c>
      <c r="G26" s="24">
        <v>0</v>
      </c>
      <c r="H26" s="24">
        <v>247</v>
      </c>
      <c r="I26" s="24">
        <v>31</v>
      </c>
      <c r="J26" s="24">
        <v>121</v>
      </c>
      <c r="K26" s="24">
        <v>0</v>
      </c>
      <c r="L26" s="24">
        <v>175</v>
      </c>
      <c r="M26" s="24">
        <v>2663</v>
      </c>
      <c r="N26">
        <v>475</v>
      </c>
      <c r="O26">
        <v>200</v>
      </c>
      <c r="P26">
        <v>1414</v>
      </c>
      <c r="Q26">
        <v>0</v>
      </c>
      <c r="R26">
        <v>247</v>
      </c>
      <c r="S26">
        <v>121</v>
      </c>
      <c r="T26" s="25">
        <v>9785000</v>
      </c>
      <c r="U26" s="25">
        <v>2307700</v>
      </c>
      <c r="V26" s="25">
        <v>2000000</v>
      </c>
      <c r="W26" s="25">
        <v>0</v>
      </c>
      <c r="X26" s="25">
        <v>4594200</v>
      </c>
      <c r="Y26" s="25">
        <v>1396158.5</v>
      </c>
      <c r="Z26" s="25">
        <f t="shared" si="0"/>
        <v>20083058.5</v>
      </c>
      <c r="AA26" s="25">
        <f>VLOOKUP(B26,Salaries_total!$B$3:$C$49,2,FALSE)</f>
        <v>2680497</v>
      </c>
      <c r="AB26" s="35">
        <f t="shared" si="1"/>
        <v>7.4922891165332395</v>
      </c>
    </row>
    <row r="27" spans="1:28" x14ac:dyDescent="0.35">
      <c r="A27" s="24" t="s">
        <v>131</v>
      </c>
      <c r="B27" s="24" t="s">
        <v>132</v>
      </c>
      <c r="C27" s="24">
        <v>265</v>
      </c>
      <c r="D27" s="24">
        <v>1100</v>
      </c>
      <c r="E27" s="24">
        <v>270</v>
      </c>
      <c r="F27" s="24">
        <v>80</v>
      </c>
      <c r="G27" s="24">
        <v>30</v>
      </c>
      <c r="H27" s="24">
        <v>155</v>
      </c>
      <c r="I27" s="24">
        <v>30</v>
      </c>
      <c r="J27" s="24">
        <v>358</v>
      </c>
      <c r="K27" s="24">
        <v>0</v>
      </c>
      <c r="L27" s="24">
        <v>421</v>
      </c>
      <c r="M27" s="24">
        <v>2709</v>
      </c>
      <c r="N27">
        <v>265</v>
      </c>
      <c r="O27">
        <v>1100</v>
      </c>
      <c r="P27">
        <v>270</v>
      </c>
      <c r="Q27">
        <v>80</v>
      </c>
      <c r="R27">
        <v>155</v>
      </c>
      <c r="S27">
        <v>358</v>
      </c>
      <c r="T27" s="25">
        <v>5459000</v>
      </c>
      <c r="U27" s="25">
        <v>12692350</v>
      </c>
      <c r="V27" s="25">
        <v>11000000</v>
      </c>
      <c r="W27" s="25">
        <v>1648000</v>
      </c>
      <c r="X27" s="25">
        <v>2883000</v>
      </c>
      <c r="Y27" s="25">
        <v>4130783</v>
      </c>
      <c r="Z27" s="25">
        <f t="shared" si="0"/>
        <v>37813133</v>
      </c>
      <c r="AA27" s="25">
        <f>VLOOKUP(B27,Salaries_total!$B$3:$C$49,2,FALSE)</f>
        <v>15581023</v>
      </c>
      <c r="AB27" s="35">
        <f t="shared" si="1"/>
        <v>2.4268710084055458</v>
      </c>
    </row>
    <row r="28" spans="1:28" x14ac:dyDescent="0.35">
      <c r="A28" s="24" t="s">
        <v>105</v>
      </c>
      <c r="B28" s="24" t="s">
        <v>106</v>
      </c>
      <c r="C28" s="24">
        <v>370</v>
      </c>
      <c r="D28" s="24">
        <v>305</v>
      </c>
      <c r="E28" s="24">
        <v>124</v>
      </c>
      <c r="F28" s="24">
        <v>0</v>
      </c>
      <c r="G28" s="24">
        <v>0</v>
      </c>
      <c r="H28" s="24">
        <v>0</v>
      </c>
      <c r="I28" s="24">
        <v>0</v>
      </c>
      <c r="J28" s="24">
        <v>45</v>
      </c>
      <c r="K28" s="24">
        <v>0</v>
      </c>
      <c r="L28" s="24">
        <v>1891</v>
      </c>
      <c r="M28" s="24">
        <v>2735</v>
      </c>
      <c r="N28">
        <v>370</v>
      </c>
      <c r="O28">
        <v>305</v>
      </c>
      <c r="P28">
        <v>124</v>
      </c>
      <c r="Q28">
        <v>0</v>
      </c>
      <c r="R28">
        <v>0</v>
      </c>
      <c r="S28">
        <v>45</v>
      </c>
      <c r="T28" s="25">
        <v>7622000</v>
      </c>
      <c r="U28" s="25">
        <v>3519242.5</v>
      </c>
      <c r="V28" s="25">
        <v>3050000</v>
      </c>
      <c r="W28" s="25">
        <v>0</v>
      </c>
      <c r="X28" s="25">
        <v>0</v>
      </c>
      <c r="Y28" s="25">
        <v>519232.5</v>
      </c>
      <c r="Z28" s="25">
        <f t="shared" si="0"/>
        <v>14710475</v>
      </c>
      <c r="AA28" s="25">
        <f>VLOOKUP(B28,Salaries_total!$B$3:$C$49,2,FALSE)</f>
        <v>27066230</v>
      </c>
      <c r="AB28" s="35">
        <f t="shared" si="1"/>
        <v>0.54349922394068184</v>
      </c>
    </row>
    <row r="29" spans="1:28" x14ac:dyDescent="0.35">
      <c r="A29" s="24" t="s">
        <v>93</v>
      </c>
      <c r="B29" s="24" t="s">
        <v>94</v>
      </c>
      <c r="C29" s="24">
        <v>115</v>
      </c>
      <c r="D29" s="24">
        <v>386</v>
      </c>
      <c r="E29" s="24">
        <v>1171</v>
      </c>
      <c r="F29" s="24">
        <v>0</v>
      </c>
      <c r="G29" s="24">
        <v>0</v>
      </c>
      <c r="H29" s="24">
        <v>110</v>
      </c>
      <c r="I29" s="24">
        <v>189</v>
      </c>
      <c r="J29" s="24">
        <v>175</v>
      </c>
      <c r="K29" s="24">
        <v>0</v>
      </c>
      <c r="L29" s="24">
        <v>616</v>
      </c>
      <c r="M29" s="24">
        <v>2762</v>
      </c>
      <c r="N29">
        <v>115</v>
      </c>
      <c r="O29">
        <v>386</v>
      </c>
      <c r="P29">
        <v>1171</v>
      </c>
      <c r="Q29">
        <v>0</v>
      </c>
      <c r="R29">
        <v>110</v>
      </c>
      <c r="S29">
        <v>175</v>
      </c>
      <c r="T29" s="25">
        <v>2369000</v>
      </c>
      <c r="U29" s="25">
        <v>4453861</v>
      </c>
      <c r="V29" s="25">
        <v>3860000</v>
      </c>
      <c r="W29" s="25">
        <v>0</v>
      </c>
      <c r="X29" s="25">
        <v>2046000</v>
      </c>
      <c r="Y29" s="25">
        <v>2019237.5</v>
      </c>
      <c r="Z29" s="25">
        <f t="shared" si="0"/>
        <v>14748098.5</v>
      </c>
      <c r="AA29" s="25">
        <f>VLOOKUP(B29,Salaries_total!$B$3:$C$49,2,FALSE)</f>
        <v>20728157</v>
      </c>
      <c r="AB29" s="35">
        <f t="shared" si="1"/>
        <v>0.71150071373928714</v>
      </c>
    </row>
    <row r="30" spans="1:28" x14ac:dyDescent="0.35">
      <c r="A30" s="24" t="s">
        <v>123</v>
      </c>
      <c r="B30" s="24" t="s">
        <v>124</v>
      </c>
      <c r="C30" s="24">
        <v>77</v>
      </c>
      <c r="D30" s="24">
        <v>240</v>
      </c>
      <c r="E30" s="24">
        <v>130</v>
      </c>
      <c r="F30" s="24">
        <v>0</v>
      </c>
      <c r="G30" s="24">
        <v>0</v>
      </c>
      <c r="H30" s="24">
        <v>60</v>
      </c>
      <c r="I30" s="24">
        <v>0</v>
      </c>
      <c r="J30" s="24">
        <v>215</v>
      </c>
      <c r="K30" s="24">
        <v>0</v>
      </c>
      <c r="L30" s="24">
        <v>250</v>
      </c>
      <c r="M30" s="24">
        <v>972</v>
      </c>
      <c r="N30">
        <v>77</v>
      </c>
      <c r="O30">
        <v>240</v>
      </c>
      <c r="P30">
        <v>130</v>
      </c>
      <c r="Q30">
        <v>0</v>
      </c>
      <c r="R30">
        <v>60</v>
      </c>
      <c r="S30">
        <v>215</v>
      </c>
      <c r="T30" s="25">
        <v>1586200</v>
      </c>
      <c r="U30" s="25">
        <v>2769240</v>
      </c>
      <c r="V30" s="25">
        <v>2400000</v>
      </c>
      <c r="W30" s="25">
        <v>0</v>
      </c>
      <c r="X30" s="25">
        <v>1116000</v>
      </c>
      <c r="Y30" s="25">
        <v>2480777.5</v>
      </c>
      <c r="Z30" s="25">
        <f t="shared" si="0"/>
        <v>10352217.5</v>
      </c>
      <c r="AA30" s="25">
        <f>VLOOKUP(B30,Salaries_total!$B$3:$C$49,2,FALSE)</f>
        <v>49700758</v>
      </c>
      <c r="AB30" s="35">
        <f t="shared" si="1"/>
        <v>0.2082909379370029</v>
      </c>
    </row>
    <row r="31" spans="1:28" x14ac:dyDescent="0.35">
      <c r="A31" s="24" t="s">
        <v>85</v>
      </c>
      <c r="B31" s="24" t="s">
        <v>86</v>
      </c>
      <c r="C31" s="24">
        <v>558</v>
      </c>
      <c r="D31" s="24">
        <v>1070</v>
      </c>
      <c r="E31" s="24">
        <v>0</v>
      </c>
      <c r="F31" s="24">
        <v>36</v>
      </c>
      <c r="G31" s="24">
        <v>0</v>
      </c>
      <c r="H31" s="24">
        <v>379</v>
      </c>
      <c r="I31" s="24">
        <v>20</v>
      </c>
      <c r="J31" s="24">
        <v>519</v>
      </c>
      <c r="K31" s="24">
        <v>0</v>
      </c>
      <c r="L31" s="24">
        <v>366</v>
      </c>
      <c r="M31" s="24">
        <v>2948</v>
      </c>
      <c r="N31">
        <v>558</v>
      </c>
      <c r="O31">
        <v>1070</v>
      </c>
      <c r="P31">
        <v>0</v>
      </c>
      <c r="Q31">
        <v>36</v>
      </c>
      <c r="R31">
        <v>379</v>
      </c>
      <c r="S31">
        <v>519</v>
      </c>
      <c r="T31" s="25">
        <v>11494800</v>
      </c>
      <c r="U31" s="25">
        <v>12346195</v>
      </c>
      <c r="V31" s="25">
        <v>10700000</v>
      </c>
      <c r="W31" s="25">
        <v>741600</v>
      </c>
      <c r="X31" s="25">
        <v>7049400</v>
      </c>
      <c r="Y31" s="25">
        <v>5988481.5</v>
      </c>
      <c r="Z31" s="25">
        <f t="shared" si="0"/>
        <v>48320476.5</v>
      </c>
      <c r="AA31" s="25">
        <f>VLOOKUP(B31,Salaries_total!$B$3:$C$49,2,FALSE)</f>
        <v>57458890</v>
      </c>
      <c r="AB31" s="35">
        <f t="shared" si="1"/>
        <v>0.84095736099322493</v>
      </c>
    </row>
    <row r="32" spans="1:28" x14ac:dyDescent="0.35">
      <c r="A32" s="24" t="s">
        <v>63</v>
      </c>
      <c r="B32" s="24" t="s">
        <v>64</v>
      </c>
      <c r="C32" s="24">
        <v>254</v>
      </c>
      <c r="D32" s="24">
        <v>1007</v>
      </c>
      <c r="E32" s="24">
        <v>0</v>
      </c>
      <c r="F32" s="24">
        <v>0</v>
      </c>
      <c r="G32" s="24">
        <v>0</v>
      </c>
      <c r="H32" s="24">
        <v>0</v>
      </c>
      <c r="I32" s="24">
        <v>151</v>
      </c>
      <c r="J32" s="24">
        <v>1106</v>
      </c>
      <c r="K32" s="24">
        <v>0</v>
      </c>
      <c r="L32" s="24">
        <v>450</v>
      </c>
      <c r="M32" s="24">
        <v>2968</v>
      </c>
      <c r="N32">
        <v>254</v>
      </c>
      <c r="O32">
        <v>1007</v>
      </c>
      <c r="P32">
        <v>0</v>
      </c>
      <c r="Q32">
        <v>0</v>
      </c>
      <c r="R32">
        <v>0</v>
      </c>
      <c r="S32">
        <v>1106</v>
      </c>
      <c r="T32" s="25">
        <v>5232400</v>
      </c>
      <c r="U32" s="25">
        <v>11619269.5</v>
      </c>
      <c r="V32" s="25">
        <v>10070000</v>
      </c>
      <c r="W32" s="25">
        <v>0</v>
      </c>
      <c r="X32" s="25">
        <v>0</v>
      </c>
      <c r="Y32" s="25">
        <v>12761581</v>
      </c>
      <c r="Z32" s="25">
        <f t="shared" si="0"/>
        <v>39683250.5</v>
      </c>
      <c r="AA32" s="25">
        <f>VLOOKUP(B32,Salaries_total!$B$3:$C$49,2,FALSE)</f>
        <v>28444206</v>
      </c>
      <c r="AB32" s="35">
        <f t="shared" si="1"/>
        <v>1.3951259704700494</v>
      </c>
    </row>
    <row r="33" spans="1:28" x14ac:dyDescent="0.35">
      <c r="A33" s="24" t="s">
        <v>67</v>
      </c>
      <c r="B33" s="24" t="s">
        <v>68</v>
      </c>
      <c r="C33" s="24">
        <v>767</v>
      </c>
      <c r="D33" s="24">
        <v>962</v>
      </c>
      <c r="E33" s="24">
        <v>492</v>
      </c>
      <c r="F33" s="24">
        <v>0</v>
      </c>
      <c r="G33" s="24">
        <v>0</v>
      </c>
      <c r="H33" s="24">
        <v>0</v>
      </c>
      <c r="I33" s="24">
        <v>0</v>
      </c>
      <c r="J33" s="24">
        <v>27</v>
      </c>
      <c r="K33" s="24">
        <v>0</v>
      </c>
      <c r="L33" s="24">
        <v>1304</v>
      </c>
      <c r="M33" s="24">
        <v>3552</v>
      </c>
      <c r="N33">
        <v>767</v>
      </c>
      <c r="O33">
        <v>962</v>
      </c>
      <c r="P33">
        <v>492</v>
      </c>
      <c r="Q33">
        <v>0</v>
      </c>
      <c r="R33">
        <v>0</v>
      </c>
      <c r="S33">
        <v>27</v>
      </c>
      <c r="T33" s="25">
        <v>15800200</v>
      </c>
      <c r="U33" s="25">
        <v>11100037</v>
      </c>
      <c r="V33" s="25">
        <v>9620000</v>
      </c>
      <c r="W33" s="25">
        <v>0</v>
      </c>
      <c r="X33" s="25">
        <v>0</v>
      </c>
      <c r="Y33" s="25">
        <v>311539.5</v>
      </c>
      <c r="Z33" s="25">
        <f t="shared" si="0"/>
        <v>36831776.5</v>
      </c>
      <c r="AA33" s="25">
        <f>VLOOKUP(B33,Salaries_total!$B$3:$C$49,2,FALSE)</f>
        <v>1543389</v>
      </c>
      <c r="AB33" s="35">
        <f t="shared" si="1"/>
        <v>23.864221204116397</v>
      </c>
    </row>
    <row r="34" spans="1:28" x14ac:dyDescent="0.35">
      <c r="A34" s="24" t="s">
        <v>81</v>
      </c>
      <c r="B34" s="24" t="s">
        <v>82</v>
      </c>
      <c r="C34" s="24">
        <v>767</v>
      </c>
      <c r="D34" s="24">
        <v>964</v>
      </c>
      <c r="E34" s="24">
        <v>492</v>
      </c>
      <c r="F34" s="24">
        <v>0</v>
      </c>
      <c r="G34" s="24">
        <v>0</v>
      </c>
      <c r="H34" s="24">
        <v>113</v>
      </c>
      <c r="I34" s="24">
        <v>34</v>
      </c>
      <c r="J34" s="24">
        <v>27</v>
      </c>
      <c r="K34" s="24">
        <v>0</v>
      </c>
      <c r="L34" s="24">
        <v>1304</v>
      </c>
      <c r="M34" s="24">
        <v>3701</v>
      </c>
      <c r="N34">
        <v>767</v>
      </c>
      <c r="O34">
        <v>964</v>
      </c>
      <c r="P34">
        <v>492</v>
      </c>
      <c r="Q34">
        <v>0</v>
      </c>
      <c r="R34">
        <v>113</v>
      </c>
      <c r="S34">
        <v>27</v>
      </c>
      <c r="T34" s="25">
        <v>15800200</v>
      </c>
      <c r="U34" s="25">
        <v>11123114</v>
      </c>
      <c r="V34" s="25">
        <v>9640000</v>
      </c>
      <c r="W34" s="25">
        <v>0</v>
      </c>
      <c r="X34" s="25">
        <v>2101800</v>
      </c>
      <c r="Y34" s="25">
        <v>311539.5</v>
      </c>
      <c r="Z34" s="25">
        <f t="shared" si="0"/>
        <v>38976653.5</v>
      </c>
      <c r="AA34" s="25">
        <f>VLOOKUP(B34,Salaries_total!$B$3:$C$49,2,FALSE)</f>
        <v>14238716</v>
      </c>
      <c r="AB34" s="35">
        <f t="shared" si="1"/>
        <v>2.7373713683171994</v>
      </c>
    </row>
    <row r="35" spans="1:28" x14ac:dyDescent="0.35">
      <c r="A35" s="24" t="s">
        <v>43</v>
      </c>
      <c r="B35" s="24" t="s">
        <v>44</v>
      </c>
      <c r="C35" s="24">
        <v>780</v>
      </c>
      <c r="D35" s="24">
        <v>257</v>
      </c>
      <c r="E35" s="24">
        <v>247</v>
      </c>
      <c r="F35" s="24">
        <v>0</v>
      </c>
      <c r="G35" s="24">
        <v>0</v>
      </c>
      <c r="H35" s="24">
        <v>143</v>
      </c>
      <c r="I35" s="24">
        <v>0</v>
      </c>
      <c r="J35" s="24">
        <v>1113</v>
      </c>
      <c r="K35" s="24">
        <v>0</v>
      </c>
      <c r="L35" s="24">
        <v>1194</v>
      </c>
      <c r="M35" s="24">
        <v>3734</v>
      </c>
      <c r="N35">
        <v>780</v>
      </c>
      <c r="O35">
        <v>257</v>
      </c>
      <c r="P35">
        <v>247</v>
      </c>
      <c r="Q35">
        <v>0</v>
      </c>
      <c r="R35">
        <v>143</v>
      </c>
      <c r="S35">
        <v>1113</v>
      </c>
      <c r="T35" s="25">
        <v>16068000</v>
      </c>
      <c r="U35" s="25">
        <v>2965394.5</v>
      </c>
      <c r="V35" s="25">
        <v>2570000</v>
      </c>
      <c r="W35" s="25">
        <v>0</v>
      </c>
      <c r="X35" s="25">
        <v>2659800</v>
      </c>
      <c r="Y35" s="25">
        <v>12842350.5</v>
      </c>
      <c r="Z35" s="25">
        <f t="shared" si="0"/>
        <v>37105545</v>
      </c>
      <c r="AA35" s="25">
        <f>VLOOKUP(B35,Salaries_total!$B$3:$C$49,2,FALSE)</f>
        <v>13124347</v>
      </c>
      <c r="AB35" s="35">
        <f t="shared" si="1"/>
        <v>2.827229804271405</v>
      </c>
    </row>
    <row r="36" spans="1:28" x14ac:dyDescent="0.35">
      <c r="A36" s="24" t="s">
        <v>41</v>
      </c>
      <c r="B36" s="24" t="s">
        <v>42</v>
      </c>
      <c r="C36" s="24">
        <v>611</v>
      </c>
      <c r="D36" s="24">
        <v>2950</v>
      </c>
      <c r="E36" s="24">
        <v>0</v>
      </c>
      <c r="F36" s="24">
        <v>145</v>
      </c>
      <c r="G36" s="24">
        <v>0</v>
      </c>
      <c r="H36" s="24">
        <v>529</v>
      </c>
      <c r="I36" s="24">
        <v>0</v>
      </c>
      <c r="J36" s="24">
        <v>0</v>
      </c>
      <c r="K36" s="24">
        <v>0</v>
      </c>
      <c r="L36" s="24">
        <v>0</v>
      </c>
      <c r="M36" s="24">
        <v>4235</v>
      </c>
      <c r="N36">
        <v>611</v>
      </c>
      <c r="O36">
        <v>2950</v>
      </c>
      <c r="P36">
        <v>0</v>
      </c>
      <c r="Q36">
        <v>145</v>
      </c>
      <c r="R36">
        <v>529</v>
      </c>
      <c r="S36">
        <v>0</v>
      </c>
      <c r="T36" s="25">
        <v>12586600</v>
      </c>
      <c r="U36" s="25">
        <v>34038575</v>
      </c>
      <c r="V36" s="25">
        <v>29500000</v>
      </c>
      <c r="W36" s="25">
        <v>2987000</v>
      </c>
      <c r="X36" s="25">
        <v>9839400</v>
      </c>
      <c r="Y36" s="25">
        <v>0</v>
      </c>
      <c r="Z36" s="25">
        <f t="shared" si="0"/>
        <v>88951575</v>
      </c>
      <c r="AA36" s="25">
        <f>VLOOKUP(B36,Salaries_total!$B$3:$C$49,2,FALSE)</f>
        <v>36148636</v>
      </c>
      <c r="AB36" s="35">
        <f t="shared" si="1"/>
        <v>2.4607173283108108</v>
      </c>
    </row>
    <row r="37" spans="1:28" x14ac:dyDescent="0.35">
      <c r="A37" s="24" t="s">
        <v>53</v>
      </c>
      <c r="B37" s="24" t="s">
        <v>54</v>
      </c>
      <c r="C37" s="24">
        <v>800</v>
      </c>
      <c r="D37" s="24">
        <v>2660</v>
      </c>
      <c r="E37" s="24">
        <v>0</v>
      </c>
      <c r="F37" s="24">
        <v>0</v>
      </c>
      <c r="G37" s="24">
        <v>0</v>
      </c>
      <c r="H37" s="24">
        <v>0</v>
      </c>
      <c r="I37" s="24">
        <v>0</v>
      </c>
      <c r="J37" s="24">
        <v>800</v>
      </c>
      <c r="K37" s="24">
        <v>0</v>
      </c>
      <c r="L37" s="24">
        <v>0</v>
      </c>
      <c r="M37" s="24">
        <v>4260</v>
      </c>
      <c r="N37">
        <v>800</v>
      </c>
      <c r="O37">
        <v>2660</v>
      </c>
      <c r="P37">
        <v>0</v>
      </c>
      <c r="Q37">
        <v>0</v>
      </c>
      <c r="R37">
        <v>0</v>
      </c>
      <c r="S37">
        <v>800</v>
      </c>
      <c r="T37" s="25">
        <v>16480000</v>
      </c>
      <c r="U37" s="25">
        <v>30692410</v>
      </c>
      <c r="V37" s="25">
        <v>26600000</v>
      </c>
      <c r="W37" s="25">
        <v>0</v>
      </c>
      <c r="X37" s="25">
        <v>0</v>
      </c>
      <c r="Y37" s="25">
        <v>9230800</v>
      </c>
      <c r="Z37" s="25">
        <f t="shared" si="0"/>
        <v>83003210</v>
      </c>
      <c r="AA37" s="25">
        <f>VLOOKUP(B37,Salaries_total!$B$3:$C$49,2,FALSE)</f>
        <v>28608129</v>
      </c>
      <c r="AB37" s="35">
        <f t="shared" si="1"/>
        <v>2.9013854768342244</v>
      </c>
    </row>
    <row r="38" spans="1:28" x14ac:dyDescent="0.35">
      <c r="A38" s="24" t="s">
        <v>47</v>
      </c>
      <c r="B38" s="24" t="s">
        <v>48</v>
      </c>
      <c r="C38" s="24">
        <v>1492</v>
      </c>
      <c r="D38" s="24">
        <v>1170</v>
      </c>
      <c r="E38" s="24">
        <v>1170</v>
      </c>
      <c r="F38" s="24">
        <v>62</v>
      </c>
      <c r="G38" s="24">
        <v>0</v>
      </c>
      <c r="H38" s="24">
        <v>594</v>
      </c>
      <c r="I38" s="24">
        <v>0</v>
      </c>
      <c r="J38" s="24">
        <v>0</v>
      </c>
      <c r="K38" s="24">
        <v>0</v>
      </c>
      <c r="L38" s="24">
        <v>0</v>
      </c>
      <c r="M38" s="24">
        <v>4488</v>
      </c>
      <c r="N38">
        <v>1492</v>
      </c>
      <c r="O38">
        <v>1170</v>
      </c>
      <c r="P38">
        <v>1170</v>
      </c>
      <c r="Q38">
        <v>62</v>
      </c>
      <c r="R38">
        <v>594</v>
      </c>
      <c r="S38">
        <v>0</v>
      </c>
      <c r="T38" s="25">
        <v>30735200</v>
      </c>
      <c r="U38" s="25">
        <v>13500045</v>
      </c>
      <c r="V38" s="25">
        <v>11700000</v>
      </c>
      <c r="W38" s="25">
        <v>1277200</v>
      </c>
      <c r="X38" s="25">
        <v>11048400</v>
      </c>
      <c r="Y38" s="25">
        <v>0</v>
      </c>
      <c r="Z38" s="25">
        <f t="shared" si="0"/>
        <v>68260845</v>
      </c>
      <c r="AA38" s="25">
        <f>VLOOKUP(B38,Salaries_total!$B$3:$C$49,2,FALSE)</f>
        <v>22720842</v>
      </c>
      <c r="AB38" s="35">
        <f t="shared" si="1"/>
        <v>3.0043272604069866</v>
      </c>
    </row>
    <row r="39" spans="1:28" x14ac:dyDescent="0.35">
      <c r="A39" s="24" t="s">
        <v>91</v>
      </c>
      <c r="B39" s="24" t="s">
        <v>92</v>
      </c>
      <c r="C39" s="24">
        <v>316</v>
      </c>
      <c r="D39" s="24">
        <v>2540</v>
      </c>
      <c r="E39" s="24">
        <v>2473</v>
      </c>
      <c r="F39" s="24">
        <v>0</v>
      </c>
      <c r="G39" s="24">
        <v>0</v>
      </c>
      <c r="H39" s="24">
        <v>0</v>
      </c>
      <c r="I39" s="24">
        <v>0</v>
      </c>
      <c r="J39" s="24">
        <v>116</v>
      </c>
      <c r="K39" s="24">
        <v>0</v>
      </c>
      <c r="L39" s="24">
        <v>297</v>
      </c>
      <c r="M39" s="24">
        <v>5742</v>
      </c>
      <c r="N39">
        <v>316</v>
      </c>
      <c r="O39">
        <v>2540</v>
      </c>
      <c r="P39">
        <v>2473</v>
      </c>
      <c r="Q39">
        <v>0</v>
      </c>
      <c r="R39">
        <v>0</v>
      </c>
      <c r="S39">
        <v>116</v>
      </c>
      <c r="T39" s="25">
        <v>6509600</v>
      </c>
      <c r="U39" s="25">
        <v>29307790</v>
      </c>
      <c r="V39" s="25">
        <v>25400000</v>
      </c>
      <c r="W39" s="25">
        <v>0</v>
      </c>
      <c r="X39" s="25">
        <v>0</v>
      </c>
      <c r="Y39" s="25">
        <v>1338466</v>
      </c>
      <c r="Z39" s="25">
        <f t="shared" si="0"/>
        <v>62555856</v>
      </c>
      <c r="AA39" s="25">
        <f>VLOOKUP(B39,Salaries_total!$B$3:$C$49,2,FALSE)</f>
        <v>29942591</v>
      </c>
      <c r="AB39" s="35">
        <f t="shared" si="1"/>
        <v>2.0891931496509435</v>
      </c>
    </row>
    <row r="40" spans="1:28" x14ac:dyDescent="0.35">
      <c r="A40" s="24" t="s">
        <v>57</v>
      </c>
      <c r="B40" s="24" t="s">
        <v>58</v>
      </c>
      <c r="C40" s="24">
        <v>330</v>
      </c>
      <c r="D40" s="24">
        <v>2920</v>
      </c>
      <c r="E40" s="24">
        <v>2084</v>
      </c>
      <c r="F40" s="24">
        <v>0</v>
      </c>
      <c r="G40" s="24">
        <v>0</v>
      </c>
      <c r="H40" s="24">
        <v>80</v>
      </c>
      <c r="I40" s="24">
        <v>180</v>
      </c>
      <c r="J40" s="24">
        <v>220</v>
      </c>
      <c r="K40" s="24">
        <v>0</v>
      </c>
      <c r="L40" s="24">
        <v>0</v>
      </c>
      <c r="M40" s="24">
        <v>5814</v>
      </c>
      <c r="N40">
        <v>330</v>
      </c>
      <c r="O40">
        <v>2920</v>
      </c>
      <c r="P40">
        <v>2084</v>
      </c>
      <c r="Q40">
        <v>0</v>
      </c>
      <c r="R40">
        <v>80</v>
      </c>
      <c r="S40">
        <v>220</v>
      </c>
      <c r="T40" s="25">
        <v>6798000</v>
      </c>
      <c r="U40" s="25">
        <v>33692420</v>
      </c>
      <c r="V40" s="25">
        <v>29200000</v>
      </c>
      <c r="W40" s="25">
        <v>0</v>
      </c>
      <c r="X40" s="25">
        <v>1488000</v>
      </c>
      <c r="Y40" s="25">
        <v>2538470</v>
      </c>
      <c r="Z40" s="25">
        <f t="shared" si="0"/>
        <v>73716890</v>
      </c>
      <c r="AA40" s="25">
        <f>VLOOKUP(B40,Salaries_total!$B$3:$C$49,2,FALSE)</f>
        <v>17921183</v>
      </c>
      <c r="AB40" s="35">
        <f t="shared" si="1"/>
        <v>4.1133941883189298</v>
      </c>
    </row>
    <row r="41" spans="1:28" x14ac:dyDescent="0.35">
      <c r="A41" s="24" t="s">
        <v>129</v>
      </c>
      <c r="B41" s="24" t="s">
        <v>130</v>
      </c>
      <c r="C41" s="24">
        <v>115</v>
      </c>
      <c r="D41" s="24">
        <v>5272</v>
      </c>
      <c r="E41" s="24">
        <v>1939</v>
      </c>
      <c r="F41" s="24">
        <v>0</v>
      </c>
      <c r="G41" s="24">
        <v>36</v>
      </c>
      <c r="H41" s="24">
        <v>0</v>
      </c>
      <c r="I41" s="24">
        <v>180</v>
      </c>
      <c r="J41" s="24">
        <v>282</v>
      </c>
      <c r="K41" s="24">
        <v>100</v>
      </c>
      <c r="L41" s="24">
        <v>400</v>
      </c>
      <c r="M41" s="24">
        <v>8324</v>
      </c>
      <c r="N41">
        <v>115</v>
      </c>
      <c r="O41">
        <v>5272</v>
      </c>
      <c r="P41">
        <v>1939</v>
      </c>
      <c r="Q41">
        <v>0</v>
      </c>
      <c r="R41">
        <v>0</v>
      </c>
      <c r="S41">
        <v>282</v>
      </c>
      <c r="T41" s="25">
        <v>2369000</v>
      </c>
      <c r="U41" s="25">
        <v>60830972</v>
      </c>
      <c r="V41" s="25">
        <v>52720000</v>
      </c>
      <c r="W41" s="25">
        <v>0</v>
      </c>
      <c r="X41" s="25">
        <v>0</v>
      </c>
      <c r="Y41" s="25">
        <v>3253857</v>
      </c>
      <c r="Z41" s="25">
        <f t="shared" si="0"/>
        <v>119173829</v>
      </c>
      <c r="AA41" s="25">
        <f>VLOOKUP(B41,Salaries_total!$B$3:$C$49,2,FALSE)</f>
        <v>20032801</v>
      </c>
      <c r="AB41" s="35">
        <f t="shared" si="1"/>
        <v>5.948934899318373</v>
      </c>
    </row>
    <row r="42" spans="1:28" x14ac:dyDescent="0.35">
      <c r="A42" s="24" t="s">
        <v>127</v>
      </c>
      <c r="B42" s="24" t="s">
        <v>128</v>
      </c>
      <c r="C42" s="24">
        <v>891</v>
      </c>
      <c r="D42" s="24">
        <v>2920</v>
      </c>
      <c r="E42" s="24">
        <v>2084</v>
      </c>
      <c r="F42" s="24">
        <v>80</v>
      </c>
      <c r="G42" s="24">
        <v>0</v>
      </c>
      <c r="H42" s="24">
        <v>0</v>
      </c>
      <c r="I42" s="24">
        <v>629</v>
      </c>
      <c r="J42" s="24">
        <v>17</v>
      </c>
      <c r="K42" s="24">
        <v>0</v>
      </c>
      <c r="L42" s="24">
        <v>5457</v>
      </c>
      <c r="M42" s="24">
        <v>12078</v>
      </c>
      <c r="N42">
        <v>891</v>
      </c>
      <c r="O42">
        <v>2920</v>
      </c>
      <c r="P42">
        <v>2084</v>
      </c>
      <c r="Q42">
        <v>80</v>
      </c>
      <c r="R42">
        <v>0</v>
      </c>
      <c r="S42">
        <v>17</v>
      </c>
      <c r="T42" s="25">
        <v>18354600</v>
      </c>
      <c r="U42" s="25">
        <v>33692420</v>
      </c>
      <c r="V42" s="25">
        <v>29200000</v>
      </c>
      <c r="W42" s="25">
        <v>1648000</v>
      </c>
      <c r="X42" s="25">
        <v>0</v>
      </c>
      <c r="Y42" s="25">
        <v>196154.5</v>
      </c>
      <c r="Z42" s="25">
        <f t="shared" si="0"/>
        <v>83091174.5</v>
      </c>
      <c r="AA42" s="25">
        <f>VLOOKUP(B42,Salaries_total!$B$3:$C$49,2,FALSE)</f>
        <v>8886635</v>
      </c>
      <c r="AB42" s="35">
        <f t="shared" si="1"/>
        <v>9.3501279730741729</v>
      </c>
    </row>
    <row r="43" spans="1:28" x14ac:dyDescent="0.35">
      <c r="A43" s="24" t="s">
        <v>107</v>
      </c>
      <c r="B43" s="24" t="s">
        <v>108</v>
      </c>
      <c r="C43" s="24">
        <v>4340</v>
      </c>
      <c r="D43" s="24">
        <v>12835</v>
      </c>
      <c r="E43" s="24">
        <v>375</v>
      </c>
      <c r="F43" s="24">
        <v>459</v>
      </c>
      <c r="G43" s="24">
        <v>0</v>
      </c>
      <c r="H43" s="24">
        <v>0</v>
      </c>
      <c r="I43" s="24">
        <v>0</v>
      </c>
      <c r="J43" s="24">
        <v>1774</v>
      </c>
      <c r="K43" s="24">
        <v>0</v>
      </c>
      <c r="L43" s="24">
        <v>0</v>
      </c>
      <c r="M43" s="24">
        <v>19783</v>
      </c>
      <c r="N43">
        <v>4340</v>
      </c>
      <c r="O43">
        <v>12835</v>
      </c>
      <c r="P43">
        <v>375</v>
      </c>
      <c r="Q43">
        <v>459</v>
      </c>
      <c r="R43">
        <v>0</v>
      </c>
      <c r="S43">
        <v>1774</v>
      </c>
      <c r="T43" s="25">
        <v>89404000</v>
      </c>
      <c r="U43" s="25">
        <v>148096647.5</v>
      </c>
      <c r="V43" s="25">
        <v>128350000</v>
      </c>
      <c r="W43" s="25">
        <v>9455400</v>
      </c>
      <c r="X43" s="25">
        <v>0</v>
      </c>
      <c r="Y43" s="25">
        <v>20469299</v>
      </c>
      <c r="Z43" s="25">
        <f t="shared" si="0"/>
        <v>395775346.5</v>
      </c>
      <c r="AA43" s="25">
        <f>VLOOKUP(B43,Salaries_total!$B$3:$C$49,2,FALSE)</f>
        <v>222182400</v>
      </c>
      <c r="AB43" s="35">
        <f t="shared" si="1"/>
        <v>1.7813082696919289</v>
      </c>
    </row>
    <row r="44" spans="1:28" x14ac:dyDescent="0.35">
      <c r="A44" s="24" t="s">
        <v>119</v>
      </c>
      <c r="B44" s="24" t="s">
        <v>120</v>
      </c>
      <c r="C44" s="24">
        <v>998</v>
      </c>
      <c r="D44" s="24">
        <v>3154</v>
      </c>
      <c r="E44" s="24">
        <v>0</v>
      </c>
      <c r="F44" s="24">
        <v>805</v>
      </c>
      <c r="G44" s="24">
        <v>0</v>
      </c>
      <c r="H44" s="24">
        <v>1291</v>
      </c>
      <c r="I44" s="24">
        <v>0</v>
      </c>
      <c r="J44" s="24">
        <v>451</v>
      </c>
      <c r="K44" s="24">
        <v>0</v>
      </c>
      <c r="L44" s="24">
        <v>13559</v>
      </c>
      <c r="M44" s="24">
        <v>20258</v>
      </c>
      <c r="N44">
        <v>998</v>
      </c>
      <c r="O44">
        <v>3154</v>
      </c>
      <c r="P44">
        <v>0</v>
      </c>
      <c r="Q44">
        <v>805</v>
      </c>
      <c r="R44">
        <v>1291</v>
      </c>
      <c r="S44">
        <v>451</v>
      </c>
      <c r="T44" s="25">
        <v>20558800</v>
      </c>
      <c r="U44" s="25">
        <v>36392429</v>
      </c>
      <c r="V44" s="25">
        <v>31540000</v>
      </c>
      <c r="W44" s="25">
        <v>16583000</v>
      </c>
      <c r="X44" s="25">
        <v>24012600</v>
      </c>
      <c r="Y44" s="25">
        <v>5203863.5</v>
      </c>
      <c r="Z44" s="25">
        <f t="shared" si="0"/>
        <v>134290692.5</v>
      </c>
      <c r="AA44" s="25">
        <f>VLOOKUP(B44,Salaries_total!$B$3:$C$49,2,FALSE)</f>
        <v>61452696</v>
      </c>
      <c r="AB44" s="35">
        <f t="shared" si="1"/>
        <v>2.1852693411530715</v>
      </c>
    </row>
    <row r="45" spans="1:28" x14ac:dyDescent="0.35">
      <c r="A45" s="24" t="s">
        <v>73</v>
      </c>
      <c r="B45" s="24" t="s">
        <v>74</v>
      </c>
      <c r="C45" s="24">
        <v>3114</v>
      </c>
      <c r="D45" s="24">
        <v>6298</v>
      </c>
      <c r="E45" s="24">
        <v>2440</v>
      </c>
      <c r="F45" s="24">
        <v>189</v>
      </c>
      <c r="G45" s="24">
        <v>64</v>
      </c>
      <c r="H45" s="24">
        <v>699</v>
      </c>
      <c r="I45" s="24">
        <v>2878</v>
      </c>
      <c r="J45" s="24">
        <v>1220</v>
      </c>
      <c r="K45" s="24">
        <v>1613</v>
      </c>
      <c r="L45" s="24">
        <v>3672</v>
      </c>
      <c r="M45" s="24">
        <v>22187</v>
      </c>
      <c r="N45">
        <v>3114</v>
      </c>
      <c r="O45">
        <v>6298</v>
      </c>
      <c r="P45">
        <v>2440</v>
      </c>
      <c r="Q45">
        <v>189</v>
      </c>
      <c r="R45">
        <v>699</v>
      </c>
      <c r="S45">
        <v>1220</v>
      </c>
      <c r="T45" s="25">
        <v>64148400</v>
      </c>
      <c r="U45" s="25">
        <v>72669473</v>
      </c>
      <c r="V45" s="25">
        <v>62980000</v>
      </c>
      <c r="W45" s="25">
        <v>3893400</v>
      </c>
      <c r="X45" s="25">
        <v>13001400</v>
      </c>
      <c r="Y45" s="25">
        <v>14076970</v>
      </c>
      <c r="Z45" s="25">
        <f t="shared" si="0"/>
        <v>230769643</v>
      </c>
      <c r="AA45" s="25">
        <f>VLOOKUP(B45,Salaries_total!$B$3:$C$49,2,FALSE)</f>
        <v>123771387</v>
      </c>
      <c r="AB45" s="35">
        <f t="shared" si="1"/>
        <v>1.8644829681031205</v>
      </c>
    </row>
    <row r="46" spans="1:28" x14ac:dyDescent="0.35">
      <c r="A46" s="24" t="s">
        <v>79</v>
      </c>
      <c r="B46" s="24" t="s">
        <v>80</v>
      </c>
      <c r="C46" s="24">
        <v>1566</v>
      </c>
      <c r="D46" s="24">
        <v>21271</v>
      </c>
      <c r="E46" s="24">
        <v>4827</v>
      </c>
      <c r="F46" s="24">
        <v>0</v>
      </c>
      <c r="G46" s="24">
        <v>0</v>
      </c>
      <c r="H46" s="24">
        <v>343</v>
      </c>
      <c r="I46" s="24">
        <v>0</v>
      </c>
      <c r="J46" s="24">
        <v>396</v>
      </c>
      <c r="K46" s="24">
        <v>0</v>
      </c>
      <c r="L46" s="24">
        <v>0</v>
      </c>
      <c r="M46" s="24">
        <v>28403</v>
      </c>
      <c r="N46">
        <v>1566</v>
      </c>
      <c r="O46">
        <v>21271</v>
      </c>
      <c r="P46">
        <v>4827</v>
      </c>
      <c r="Q46">
        <v>0</v>
      </c>
      <c r="R46">
        <v>343</v>
      </c>
      <c r="S46">
        <v>396</v>
      </c>
      <c r="T46" s="25">
        <v>32259600</v>
      </c>
      <c r="U46" s="25">
        <v>245435433.5</v>
      </c>
      <c r="V46" s="25">
        <v>212710000</v>
      </c>
      <c r="W46" s="25">
        <v>0</v>
      </c>
      <c r="X46" s="25">
        <v>6379800</v>
      </c>
      <c r="Y46" s="25">
        <v>4569246</v>
      </c>
      <c r="Z46" s="25">
        <f t="shared" si="0"/>
        <v>501354079.5</v>
      </c>
      <c r="AA46" s="25">
        <f>VLOOKUP(B46,Salaries_total!$B$3:$C$49,2,FALSE)</f>
        <v>33062741</v>
      </c>
      <c r="AB46" s="35">
        <f t="shared" si="1"/>
        <v>15.163717959742055</v>
      </c>
    </row>
    <row r="47" spans="1:28" x14ac:dyDescent="0.35">
      <c r="A47" s="24" t="s">
        <v>125</v>
      </c>
      <c r="B47" s="24" t="s">
        <v>126</v>
      </c>
      <c r="C47" s="24">
        <v>1997</v>
      </c>
      <c r="D47" s="24">
        <v>14001</v>
      </c>
      <c r="E47" s="24">
        <v>8990</v>
      </c>
      <c r="F47" s="24">
        <v>41</v>
      </c>
      <c r="G47" s="24">
        <v>220</v>
      </c>
      <c r="H47" s="24">
        <v>120</v>
      </c>
      <c r="I47" s="24">
        <v>1860</v>
      </c>
      <c r="J47" s="24">
        <v>3610</v>
      </c>
      <c r="K47" s="24">
        <v>0</v>
      </c>
      <c r="L47" s="24">
        <v>1020</v>
      </c>
      <c r="M47" s="24">
        <v>31859</v>
      </c>
      <c r="N47">
        <v>1997</v>
      </c>
      <c r="O47">
        <v>14001</v>
      </c>
      <c r="P47">
        <v>8990</v>
      </c>
      <c r="Q47">
        <v>41</v>
      </c>
      <c r="R47">
        <v>120</v>
      </c>
      <c r="S47">
        <v>3610</v>
      </c>
      <c r="T47" s="25">
        <v>41138200</v>
      </c>
      <c r="U47" s="25">
        <v>161550538.5</v>
      </c>
      <c r="V47" s="25">
        <v>140010000</v>
      </c>
      <c r="W47" s="25">
        <v>844600</v>
      </c>
      <c r="X47" s="25">
        <v>2232000</v>
      </c>
      <c r="Y47" s="25">
        <v>41653985</v>
      </c>
      <c r="Z47" s="25">
        <f t="shared" si="0"/>
        <v>387429323.5</v>
      </c>
      <c r="AA47" s="25">
        <f>VLOOKUP(B47,Salaries_total!$B$3:$C$49,2,FALSE)</f>
        <v>65136238</v>
      </c>
      <c r="AB47" s="35">
        <f t="shared" si="1"/>
        <v>5.9479843386104063</v>
      </c>
    </row>
    <row r="48" spans="1:28" x14ac:dyDescent="0.35">
      <c r="A48" s="24" t="s">
        <v>65</v>
      </c>
      <c r="B48" s="24" t="s">
        <v>66</v>
      </c>
      <c r="C48" s="24">
        <v>6020</v>
      </c>
      <c r="D48" s="24">
        <v>24061</v>
      </c>
      <c r="E48" s="24">
        <v>3453</v>
      </c>
      <c r="F48" s="24">
        <v>66</v>
      </c>
      <c r="G48" s="24">
        <v>0</v>
      </c>
      <c r="H48" s="24">
        <v>178</v>
      </c>
      <c r="I48" s="24">
        <v>328</v>
      </c>
      <c r="J48" s="24">
        <v>2571</v>
      </c>
      <c r="K48" s="24">
        <v>0</v>
      </c>
      <c r="L48" s="24">
        <v>3151</v>
      </c>
      <c r="M48" s="24">
        <v>39828</v>
      </c>
      <c r="N48">
        <v>6020</v>
      </c>
      <c r="O48">
        <v>24061</v>
      </c>
      <c r="P48">
        <v>3453</v>
      </c>
      <c r="Q48">
        <v>66</v>
      </c>
      <c r="R48">
        <v>178</v>
      </c>
      <c r="S48">
        <v>2571</v>
      </c>
      <c r="T48" s="25">
        <v>124012000</v>
      </c>
      <c r="U48" s="25">
        <v>277627848.5</v>
      </c>
      <c r="V48" s="25">
        <v>240610000</v>
      </c>
      <c r="W48" s="25">
        <v>1359600</v>
      </c>
      <c r="X48" s="25">
        <v>3310800</v>
      </c>
      <c r="Y48" s="25">
        <v>29665483.5</v>
      </c>
      <c r="Z48" s="25">
        <f t="shared" si="0"/>
        <v>676585732</v>
      </c>
      <c r="AA48" s="25">
        <f>VLOOKUP(B48,Salaries_total!$B$3:$C$49,2,FALSE)</f>
        <v>98151951</v>
      </c>
      <c r="AB48" s="35">
        <f t="shared" si="1"/>
        <v>6.893247919239017</v>
      </c>
    </row>
    <row r="52" spans="20:27" ht="46.5" x14ac:dyDescent="0.35">
      <c r="T52" s="7"/>
      <c r="U52" s="8" t="s">
        <v>281</v>
      </c>
      <c r="V52" s="8" t="s">
        <v>282</v>
      </c>
      <c r="W52" s="9" t="s">
        <v>261</v>
      </c>
      <c r="X52" s="9" t="s">
        <v>263</v>
      </c>
      <c r="Y52" s="9" t="s">
        <v>257</v>
      </c>
      <c r="Z52" s="9" t="s">
        <v>283</v>
      </c>
      <c r="AA52" s="34"/>
    </row>
    <row r="53" spans="20:27" x14ac:dyDescent="0.35">
      <c r="T53" t="s">
        <v>284</v>
      </c>
      <c r="U53" t="s">
        <v>260</v>
      </c>
      <c r="V53" t="s">
        <v>262</v>
      </c>
      <c r="W53" t="s">
        <v>261</v>
      </c>
      <c r="X53" t="s">
        <v>263</v>
      </c>
      <c r="Y53" t="s">
        <v>285</v>
      </c>
      <c r="Z53" t="s">
        <v>286</v>
      </c>
    </row>
    <row r="54" spans="20:27" x14ac:dyDescent="0.35">
      <c r="T54" t="s">
        <v>287</v>
      </c>
      <c r="U54" s="10">
        <v>3510.5</v>
      </c>
      <c r="V54" s="10">
        <v>1881</v>
      </c>
      <c r="W54" s="10">
        <v>1434</v>
      </c>
      <c r="X54" s="10">
        <v>1165</v>
      </c>
      <c r="Y54" s="10">
        <v>5292</v>
      </c>
      <c r="Z54" s="10">
        <v>20000</v>
      </c>
      <c r="AA54" s="10"/>
    </row>
    <row r="55" spans="20:27" x14ac:dyDescent="0.35">
      <c r="T55" t="s">
        <v>215</v>
      </c>
      <c r="U55" s="10">
        <v>5843.166666666667</v>
      </c>
      <c r="V55" s="10">
        <v>5020.1000000000004</v>
      </c>
      <c r="W55" s="10">
        <v>4508.6000000000004</v>
      </c>
      <c r="X55" s="10">
        <v>5297.6</v>
      </c>
      <c r="Y55" s="10">
        <v>7995.75</v>
      </c>
      <c r="Z55" s="10">
        <v>20000</v>
      </c>
      <c r="AA55" s="10"/>
    </row>
    <row r="56" spans="20:27" x14ac:dyDescent="0.35">
      <c r="T56" t="s">
        <v>288</v>
      </c>
      <c r="U56" s="10">
        <v>851</v>
      </c>
      <c r="V56" s="10">
        <v>400</v>
      </c>
      <c r="W56" s="10">
        <v>404</v>
      </c>
      <c r="X56" s="10">
        <v>637</v>
      </c>
      <c r="Y56" s="10">
        <v>799</v>
      </c>
      <c r="Z56" s="10">
        <v>20000</v>
      </c>
      <c r="AA56" s="10"/>
    </row>
    <row r="57" spans="20:27" x14ac:dyDescent="0.35">
      <c r="T57" t="s">
        <v>289</v>
      </c>
      <c r="U57" s="10">
        <v>20600</v>
      </c>
      <c r="V57" s="10">
        <v>11538.5</v>
      </c>
      <c r="W57" s="10">
        <v>10000</v>
      </c>
      <c r="X57" s="10">
        <v>18600</v>
      </c>
      <c r="Y57" s="10">
        <v>20600</v>
      </c>
      <c r="Z57" s="10">
        <v>20000</v>
      </c>
      <c r="AA57" s="10"/>
    </row>
  </sheetData>
  <autoFilter ref="A1:M48" xr:uid="{CFCA70D8-6FC4-45EC-A775-FD709F319137}"/>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EB5F7-068C-4B08-B48A-5239FF1A5CAE}">
  <dimension ref="A2:AC49"/>
  <sheetViews>
    <sheetView zoomScale="87" workbookViewId="0">
      <selection activeCell="L2" sqref="L2:R49"/>
    </sheetView>
  </sheetViews>
  <sheetFormatPr defaultColWidth="8.81640625" defaultRowHeight="14.5" x14ac:dyDescent="0.35"/>
  <cols>
    <col min="1" max="1" width="29.453125" bestFit="1" customWidth="1"/>
    <col min="3" max="3" width="12.1796875" bestFit="1" customWidth="1"/>
    <col min="4" max="4" width="11.81640625" bestFit="1" customWidth="1"/>
    <col min="18" max="19" width="9.26953125" bestFit="1" customWidth="1"/>
    <col min="20" max="22" width="16.81640625" bestFit="1" customWidth="1"/>
    <col min="23" max="26" width="15.26953125" bestFit="1" customWidth="1"/>
    <col min="27" max="27" width="16.81640625" bestFit="1" customWidth="1"/>
    <col min="28" max="29" width="9.26953125" bestFit="1" customWidth="1"/>
  </cols>
  <sheetData>
    <row r="2" spans="1:29" s="31" customFormat="1" ht="84" x14ac:dyDescent="0.3">
      <c r="A2" s="30" t="s">
        <v>0</v>
      </c>
      <c r="B2" s="30" t="s">
        <v>1</v>
      </c>
      <c r="C2" s="30" t="s">
        <v>2</v>
      </c>
      <c r="D2" s="30" t="s">
        <v>156</v>
      </c>
      <c r="E2" s="30" t="s">
        <v>157</v>
      </c>
      <c r="F2" s="30" t="s">
        <v>158</v>
      </c>
      <c r="G2" s="30" t="s">
        <v>159</v>
      </c>
      <c r="H2" s="30" t="s">
        <v>160</v>
      </c>
      <c r="I2" s="30" t="s">
        <v>161</v>
      </c>
      <c r="J2" s="30" t="s">
        <v>162</v>
      </c>
      <c r="K2" s="30" t="s">
        <v>163</v>
      </c>
      <c r="L2" s="30" t="s">
        <v>322</v>
      </c>
      <c r="M2" s="30" t="s">
        <v>323</v>
      </c>
      <c r="N2" s="30" t="s">
        <v>324</v>
      </c>
      <c r="O2" s="30" t="s">
        <v>325</v>
      </c>
      <c r="P2" s="30" t="s">
        <v>326</v>
      </c>
      <c r="Q2" s="30" t="s">
        <v>327</v>
      </c>
      <c r="R2" s="30" t="s">
        <v>328</v>
      </c>
      <c r="S2" s="30" t="s">
        <v>163</v>
      </c>
      <c r="T2" s="30" t="s">
        <v>329</v>
      </c>
      <c r="U2" s="30" t="s">
        <v>330</v>
      </c>
      <c r="V2" s="30" t="s">
        <v>331</v>
      </c>
      <c r="W2" s="30" t="s">
        <v>332</v>
      </c>
      <c r="X2" s="30" t="s">
        <v>333</v>
      </c>
      <c r="Y2" s="30" t="s">
        <v>334</v>
      </c>
      <c r="Z2" s="30" t="s">
        <v>335</v>
      </c>
      <c r="AA2" s="32" t="s">
        <v>336</v>
      </c>
      <c r="AB2" s="30" t="s">
        <v>337</v>
      </c>
      <c r="AC2" s="2" t="s">
        <v>141</v>
      </c>
    </row>
    <row r="3" spans="1:29" x14ac:dyDescent="0.35">
      <c r="A3" s="1" t="s">
        <v>39</v>
      </c>
      <c r="B3" s="1" t="s">
        <v>40</v>
      </c>
      <c r="C3" s="3">
        <v>46053477</v>
      </c>
      <c r="D3">
        <v>16.396590424649155</v>
      </c>
      <c r="E3">
        <v>22.750942344700707</v>
      </c>
      <c r="F3">
        <v>2.0148315837260236</v>
      </c>
      <c r="G3">
        <v>3.5224267648672867</v>
      </c>
      <c r="H3">
        <v>2.9622084777659672</v>
      </c>
      <c r="I3">
        <v>2.9530886451852485E-2</v>
      </c>
      <c r="J3">
        <v>3.3087621158332956</v>
      </c>
      <c r="K3">
        <v>50.985292597994288</v>
      </c>
      <c r="L3" s="25">
        <f>C3*D3/10000</f>
        <v>75512.000000000015</v>
      </c>
      <c r="M3" s="25">
        <f>C3*E3/10000</f>
        <v>104776.00000000001</v>
      </c>
      <c r="N3" s="25">
        <f>C3*F3/10000</f>
        <v>9279</v>
      </c>
      <c r="O3" s="25">
        <f>C3*G3/10000</f>
        <v>16222</v>
      </c>
      <c r="P3" s="25">
        <f>C3*H3/10000</f>
        <v>13641.999999999996</v>
      </c>
      <c r="Q3" s="25">
        <f>C3*I3/10000</f>
        <v>136</v>
      </c>
      <c r="R3" s="25">
        <f>C3*J3/10000</f>
        <v>15238</v>
      </c>
      <c r="S3" s="25">
        <f>C3*K3/10000</f>
        <v>234805</v>
      </c>
      <c r="T3" s="29">
        <f>L3*16711.45</f>
        <v>1261915012.4000003</v>
      </c>
      <c r="U3" s="29">
        <f>M3*7534.14</f>
        <v>789397052.6400001</v>
      </c>
      <c r="V3" s="29">
        <f>N3*8216.36</f>
        <v>76239604.440000013</v>
      </c>
      <c r="W3" s="29">
        <f>O3*24675.14</f>
        <v>400280121.07999998</v>
      </c>
      <c r="X3" s="29">
        <f>P3*11129.02</f>
        <v>151822090.83999997</v>
      </c>
      <c r="Y3" s="29">
        <f>Q3*7741.28</f>
        <v>1052814.08</v>
      </c>
      <c r="Z3" s="29">
        <f>R3*8475.88</f>
        <v>129155459.43999998</v>
      </c>
      <c r="AA3" s="29">
        <f>SUM(T3:Z3)</f>
        <v>2809862154.9200006</v>
      </c>
      <c r="AB3" s="33">
        <f>AA3/C3</f>
        <v>61.013029589926525</v>
      </c>
      <c r="AC3">
        <f>VLOOKUP(B3,Graduates!$B$2:$AB$48,27,FALSE)</f>
        <v>0.13419182225915322</v>
      </c>
    </row>
    <row r="4" spans="1:29" x14ac:dyDescent="0.35">
      <c r="A4" s="1" t="s">
        <v>41</v>
      </c>
      <c r="B4" s="1" t="s">
        <v>42</v>
      </c>
      <c r="C4" s="3">
        <v>36148636</v>
      </c>
      <c r="D4">
        <v>2.4047933648174165</v>
      </c>
      <c r="E4">
        <v>18.45657468237529</v>
      </c>
      <c r="F4">
        <v>9.1289751569049518E-3</v>
      </c>
      <c r="G4">
        <v>7.0265445147086603E-2</v>
      </c>
      <c r="H4">
        <v>0.39669546590914251</v>
      </c>
      <c r="I4">
        <v>3.5962629405989206E-3</v>
      </c>
      <c r="J4">
        <v>4.9794409946754279E-3</v>
      </c>
      <c r="K4">
        <v>21.346033637341112</v>
      </c>
      <c r="L4" s="25">
        <f t="shared" ref="L4:L49" si="0">C4*D4/10000</f>
        <v>8693</v>
      </c>
      <c r="M4" s="25">
        <f t="shared" ref="M4:M49" si="1">C4*E4/10000</f>
        <v>66718</v>
      </c>
      <c r="N4" s="25">
        <f t="shared" ref="N4:N49" si="2">C4*F4/10000</f>
        <v>33</v>
      </c>
      <c r="O4" s="25">
        <f t="shared" ref="O4:O49" si="3">C4*G4/10000</f>
        <v>254</v>
      </c>
      <c r="P4" s="25">
        <f t="shared" ref="P4:P49" si="4">C4*H4/10000</f>
        <v>1434.0000000000002</v>
      </c>
      <c r="Q4" s="25">
        <f t="shared" ref="Q4:Q49" si="5">C4*I4/10000</f>
        <v>13</v>
      </c>
      <c r="R4" s="25">
        <f>C4*J4/10000</f>
        <v>17.999999999999996</v>
      </c>
      <c r="S4" s="25">
        <f t="shared" ref="S4:S49" si="6">C4*K4/10000</f>
        <v>77162.999999999985</v>
      </c>
      <c r="T4" s="29">
        <f t="shared" ref="T4:T49" si="7">L4*16711.45</f>
        <v>145272634.84999999</v>
      </c>
      <c r="U4" s="29">
        <f t="shared" ref="U4:U49" si="8">M4*7534.14</f>
        <v>502662752.52000004</v>
      </c>
      <c r="V4" s="29">
        <f t="shared" ref="V4:V49" si="9">N4*8216.36</f>
        <v>271139.88</v>
      </c>
      <c r="W4" s="29">
        <f t="shared" ref="W4:W49" si="10">O4*24675.14</f>
        <v>6267485.5599999996</v>
      </c>
      <c r="X4" s="29">
        <f t="shared" ref="X4:X49" si="11">P4*11129.02</f>
        <v>15959014.680000003</v>
      </c>
      <c r="Y4" s="29">
        <f t="shared" ref="Y4:Y49" si="12">Q4*7741.28</f>
        <v>100636.64</v>
      </c>
      <c r="Z4" s="29">
        <f t="shared" ref="Z4:Z49" si="13">R4*8475.88</f>
        <v>152565.83999999997</v>
      </c>
      <c r="AA4" s="29">
        <f t="shared" ref="AA4:AA49" si="14">SUM(T4:Z4)</f>
        <v>670686229.96999991</v>
      </c>
      <c r="AB4" s="33">
        <f t="shared" ref="AB4:AB49" si="15">AA4/C4</f>
        <v>18.553569489316274</v>
      </c>
      <c r="AC4">
        <f>VLOOKUP(B4,Graduates!$B$2:$AB$48,27,FALSE)</f>
        <v>2.4607173283108108</v>
      </c>
    </row>
    <row r="5" spans="1:29" x14ac:dyDescent="0.35">
      <c r="A5" s="1" t="s">
        <v>43</v>
      </c>
      <c r="B5" s="1" t="s">
        <v>44</v>
      </c>
      <c r="C5" s="3">
        <v>13124347</v>
      </c>
      <c r="D5">
        <v>2.3178296032556895</v>
      </c>
      <c r="E5">
        <v>4.7164251295702559</v>
      </c>
      <c r="F5">
        <v>1.8484729183097643</v>
      </c>
      <c r="G5">
        <v>5.0288216244206284E-2</v>
      </c>
      <c r="H5">
        <v>0.3299211762688079</v>
      </c>
      <c r="I5">
        <v>0.50897770380499696</v>
      </c>
      <c r="J5">
        <v>1.2434904380385554</v>
      </c>
      <c r="K5">
        <v>11.015405185492277</v>
      </c>
      <c r="L5" s="25">
        <f t="shared" si="0"/>
        <v>3042</v>
      </c>
      <c r="M5" s="25">
        <f t="shared" si="1"/>
        <v>6190</v>
      </c>
      <c r="N5" s="25">
        <f t="shared" si="2"/>
        <v>2426</v>
      </c>
      <c r="O5" s="25">
        <f t="shared" si="3"/>
        <v>66</v>
      </c>
      <c r="P5" s="25">
        <f t="shared" si="4"/>
        <v>433</v>
      </c>
      <c r="Q5" s="25">
        <f t="shared" si="5"/>
        <v>668</v>
      </c>
      <c r="R5" s="25">
        <f t="shared" ref="R5:R49" si="16">C5*J5/10000</f>
        <v>1632</v>
      </c>
      <c r="S5" s="25">
        <f t="shared" si="6"/>
        <v>14457</v>
      </c>
      <c r="T5" s="29">
        <f t="shared" si="7"/>
        <v>50836230.899999999</v>
      </c>
      <c r="U5" s="29">
        <f t="shared" si="8"/>
        <v>46636326.600000001</v>
      </c>
      <c r="V5" s="29">
        <f t="shared" si="9"/>
        <v>19932889.360000003</v>
      </c>
      <c r="W5" s="29">
        <f t="shared" si="10"/>
        <v>1628559.24</v>
      </c>
      <c r="X5" s="29">
        <f t="shared" si="11"/>
        <v>4818865.66</v>
      </c>
      <c r="Y5" s="29">
        <f t="shared" si="12"/>
        <v>5171175.04</v>
      </c>
      <c r="Z5" s="29">
        <f t="shared" si="13"/>
        <v>13832636.159999998</v>
      </c>
      <c r="AA5" s="29">
        <f t="shared" si="14"/>
        <v>142856682.96000001</v>
      </c>
      <c r="AB5" s="33">
        <f t="shared" si="15"/>
        <v>10.88486024942803</v>
      </c>
      <c r="AC5">
        <f>VLOOKUP(B5,Graduates!$B$2:$AB$48,27,FALSE)</f>
        <v>2.827229804271405</v>
      </c>
    </row>
    <row r="6" spans="1:29" x14ac:dyDescent="0.35">
      <c r="A6" s="1" t="s">
        <v>45</v>
      </c>
      <c r="B6" s="1" t="s">
        <v>46</v>
      </c>
      <c r="C6" s="3">
        <v>2483754</v>
      </c>
      <c r="D6">
        <v>3.7886199680000514</v>
      </c>
      <c r="E6">
        <v>30.135834708268209</v>
      </c>
      <c r="F6">
        <v>0</v>
      </c>
      <c r="G6">
        <v>0.35832856232944166</v>
      </c>
      <c r="H6">
        <v>0.53145359806164372</v>
      </c>
      <c r="I6">
        <v>0.60392454325186795</v>
      </c>
      <c r="J6">
        <v>1.252136886342206</v>
      </c>
      <c r="K6">
        <v>36.670298266253425</v>
      </c>
      <c r="L6" s="25">
        <f t="shared" si="0"/>
        <v>941</v>
      </c>
      <c r="M6" s="25">
        <f t="shared" si="1"/>
        <v>7485</v>
      </c>
      <c r="N6" s="25">
        <f t="shared" si="2"/>
        <v>0</v>
      </c>
      <c r="O6" s="25">
        <f t="shared" si="3"/>
        <v>89</v>
      </c>
      <c r="P6" s="25">
        <f t="shared" si="4"/>
        <v>131.99999999999997</v>
      </c>
      <c r="Q6" s="25">
        <f t="shared" si="5"/>
        <v>150</v>
      </c>
      <c r="R6" s="25">
        <f t="shared" si="16"/>
        <v>310.99999999999994</v>
      </c>
      <c r="S6" s="25">
        <f t="shared" si="6"/>
        <v>9108.0000000000018</v>
      </c>
      <c r="T6" s="29">
        <f t="shared" si="7"/>
        <v>15725474.450000001</v>
      </c>
      <c r="U6" s="29">
        <f t="shared" si="8"/>
        <v>56393037.900000006</v>
      </c>
      <c r="V6" s="29">
        <f t="shared" si="9"/>
        <v>0</v>
      </c>
      <c r="W6" s="29">
        <f t="shared" si="10"/>
        <v>2196087.46</v>
      </c>
      <c r="X6" s="29">
        <f t="shared" si="11"/>
        <v>1469030.6399999997</v>
      </c>
      <c r="Y6" s="29">
        <f t="shared" si="12"/>
        <v>1161192</v>
      </c>
      <c r="Z6" s="29">
        <f t="shared" si="13"/>
        <v>2635998.6799999992</v>
      </c>
      <c r="AA6" s="29">
        <f t="shared" si="14"/>
        <v>79580821.129999995</v>
      </c>
      <c r="AB6" s="33">
        <f t="shared" si="15"/>
        <v>32.040540701695896</v>
      </c>
      <c r="AC6">
        <f>VLOOKUP(B6,Graduates!$B$2:$AB$48,27,FALSE)</f>
        <v>6.3942892492573744</v>
      </c>
    </row>
    <row r="7" spans="1:29" x14ac:dyDescent="0.35">
      <c r="A7" s="1" t="s">
        <v>47</v>
      </c>
      <c r="B7" s="1" t="s">
        <v>48</v>
      </c>
      <c r="C7" s="3">
        <v>22720842</v>
      </c>
      <c r="D7">
        <v>1.4625338268713808</v>
      </c>
      <c r="E7">
        <v>5.9940560301418406</v>
      </c>
      <c r="F7">
        <v>3.6217847912502541</v>
      </c>
      <c r="G7">
        <v>5.8536563037584609E-2</v>
      </c>
      <c r="H7">
        <v>0.39655220523957696</v>
      </c>
      <c r="I7">
        <v>2.640747204703065E-3</v>
      </c>
      <c r="J7">
        <v>0.485897485665364</v>
      </c>
      <c r="K7">
        <v>12.022001649410702</v>
      </c>
      <c r="L7" s="25">
        <f t="shared" si="0"/>
        <v>3322.9999999999995</v>
      </c>
      <c r="M7" s="25">
        <f t="shared" si="1"/>
        <v>13619</v>
      </c>
      <c r="N7" s="25">
        <f t="shared" si="2"/>
        <v>8229</v>
      </c>
      <c r="O7" s="25">
        <f t="shared" si="3"/>
        <v>133</v>
      </c>
      <c r="P7" s="25">
        <f t="shared" si="4"/>
        <v>901</v>
      </c>
      <c r="Q7" s="25">
        <f t="shared" si="5"/>
        <v>5.9999999999999991</v>
      </c>
      <c r="R7" s="25">
        <f t="shared" si="16"/>
        <v>1104</v>
      </c>
      <c r="S7" s="25">
        <f t="shared" si="6"/>
        <v>27314.999999999993</v>
      </c>
      <c r="T7" s="29">
        <f t="shared" si="7"/>
        <v>55532148.349999994</v>
      </c>
      <c r="U7" s="29">
        <f t="shared" si="8"/>
        <v>102607452.66000001</v>
      </c>
      <c r="V7" s="29">
        <f t="shared" si="9"/>
        <v>67612426.439999998</v>
      </c>
      <c r="W7" s="29">
        <f t="shared" si="10"/>
        <v>3281793.62</v>
      </c>
      <c r="X7" s="29">
        <f t="shared" si="11"/>
        <v>10027247.02</v>
      </c>
      <c r="Y7" s="29">
        <f t="shared" si="12"/>
        <v>46447.679999999993</v>
      </c>
      <c r="Z7" s="29">
        <f t="shared" si="13"/>
        <v>9357371.5199999996</v>
      </c>
      <c r="AA7" s="29">
        <f t="shared" si="14"/>
        <v>248464887.29000002</v>
      </c>
      <c r="AB7" s="33">
        <f t="shared" si="15"/>
        <v>10.935549276298829</v>
      </c>
      <c r="AC7">
        <f>VLOOKUP(B7,Graduates!$B$2:$AB$48,27,FALSE)</f>
        <v>3.0043272604069866</v>
      </c>
    </row>
    <row r="8" spans="1:29" x14ac:dyDescent="0.35">
      <c r="A8" s="1" t="s">
        <v>49</v>
      </c>
      <c r="B8" s="1" t="s">
        <v>50</v>
      </c>
      <c r="C8" s="3">
        <v>12999141</v>
      </c>
      <c r="D8">
        <v>0.79851430182963623</v>
      </c>
      <c r="E8">
        <v>8.3643988475853899</v>
      </c>
      <c r="F8">
        <v>0.37156301327910818</v>
      </c>
      <c r="G8">
        <v>1.0769942413887195E-2</v>
      </c>
      <c r="H8">
        <v>9.539091852300087E-2</v>
      </c>
      <c r="I8">
        <v>0.98006475966373474</v>
      </c>
      <c r="J8">
        <v>0.70081553850365952</v>
      </c>
      <c r="K8">
        <v>11.321517321798417</v>
      </c>
      <c r="L8" s="25">
        <f t="shared" si="0"/>
        <v>1038</v>
      </c>
      <c r="M8" s="25">
        <f t="shared" si="1"/>
        <v>10872.999999999998</v>
      </c>
      <c r="N8" s="25">
        <f t="shared" si="2"/>
        <v>483</v>
      </c>
      <c r="O8" s="25">
        <f t="shared" si="3"/>
        <v>14</v>
      </c>
      <c r="P8" s="25">
        <f t="shared" si="4"/>
        <v>124</v>
      </c>
      <c r="Q8" s="25">
        <f t="shared" si="5"/>
        <v>1274</v>
      </c>
      <c r="R8" s="25">
        <f t="shared" si="16"/>
        <v>911</v>
      </c>
      <c r="S8" s="25">
        <f t="shared" si="6"/>
        <v>14717</v>
      </c>
      <c r="T8" s="29">
        <f t="shared" si="7"/>
        <v>17346485.100000001</v>
      </c>
      <c r="U8" s="29">
        <f t="shared" si="8"/>
        <v>81918704.219999984</v>
      </c>
      <c r="V8" s="29">
        <f t="shared" si="9"/>
        <v>3968501.8800000004</v>
      </c>
      <c r="W8" s="29">
        <f t="shared" si="10"/>
        <v>345451.95999999996</v>
      </c>
      <c r="X8" s="29">
        <f t="shared" si="11"/>
        <v>1379998.48</v>
      </c>
      <c r="Y8" s="29">
        <f t="shared" si="12"/>
        <v>9862390.7199999988</v>
      </c>
      <c r="Z8" s="29">
        <f t="shared" si="13"/>
        <v>7721526.6799999997</v>
      </c>
      <c r="AA8" s="29">
        <f t="shared" si="14"/>
        <v>122543059.03999999</v>
      </c>
      <c r="AB8" s="33">
        <f t="shared" si="15"/>
        <v>9.4270120648741322</v>
      </c>
      <c r="AC8">
        <f>VLOOKUP(B8,Graduates!$B$2:$AB$48,27,FALSE)</f>
        <v>3.2873538720750854</v>
      </c>
    </row>
    <row r="9" spans="1:29" x14ac:dyDescent="0.35">
      <c r="A9" s="1" t="s">
        <v>51</v>
      </c>
      <c r="B9" s="1" t="s">
        <v>52</v>
      </c>
      <c r="C9" s="3">
        <v>573322</v>
      </c>
      <c r="D9">
        <v>6.6454802013528171</v>
      </c>
      <c r="E9">
        <v>16.378230732467966</v>
      </c>
      <c r="F9">
        <v>0.45349733657525787</v>
      </c>
      <c r="G9">
        <v>0.13953764202315627</v>
      </c>
      <c r="H9">
        <v>0.17442205252894535</v>
      </c>
      <c r="I9">
        <v>6.9768821011578136E-2</v>
      </c>
      <c r="J9">
        <v>0.13953764202315627</v>
      </c>
      <c r="K9">
        <v>24.00047442798288</v>
      </c>
      <c r="L9" s="25">
        <f t="shared" si="0"/>
        <v>381</v>
      </c>
      <c r="M9" s="25">
        <f t="shared" si="1"/>
        <v>938.99999999999977</v>
      </c>
      <c r="N9" s="25">
        <f t="shared" si="2"/>
        <v>26</v>
      </c>
      <c r="O9" s="25">
        <f t="shared" si="3"/>
        <v>8</v>
      </c>
      <c r="P9" s="25">
        <f t="shared" si="4"/>
        <v>10.000000000000002</v>
      </c>
      <c r="Q9" s="25">
        <f t="shared" si="5"/>
        <v>4</v>
      </c>
      <c r="R9" s="25">
        <f t="shared" si="16"/>
        <v>8</v>
      </c>
      <c r="S9" s="25">
        <f t="shared" si="6"/>
        <v>1376</v>
      </c>
      <c r="T9" s="29">
        <f t="shared" si="7"/>
        <v>6367062.4500000002</v>
      </c>
      <c r="U9" s="29">
        <f t="shared" si="8"/>
        <v>7074557.459999999</v>
      </c>
      <c r="V9" s="29">
        <f t="shared" si="9"/>
        <v>213625.36000000002</v>
      </c>
      <c r="W9" s="29">
        <f t="shared" si="10"/>
        <v>197401.12</v>
      </c>
      <c r="X9" s="29">
        <f t="shared" si="11"/>
        <v>111290.20000000003</v>
      </c>
      <c r="Y9" s="29">
        <f t="shared" si="12"/>
        <v>30965.119999999999</v>
      </c>
      <c r="Z9" s="29">
        <f t="shared" si="13"/>
        <v>67807.039999999994</v>
      </c>
      <c r="AA9" s="29">
        <f t="shared" si="14"/>
        <v>14062708.749999996</v>
      </c>
      <c r="AB9" s="33">
        <f t="shared" si="15"/>
        <v>24.528465242917587</v>
      </c>
      <c r="AC9">
        <f>VLOOKUP(B9,Graduates!$B$2:$AB$48,27,FALSE)</f>
        <v>0</v>
      </c>
    </row>
    <row r="10" spans="1:29" x14ac:dyDescent="0.35">
      <c r="A10" s="1" t="s">
        <v>53</v>
      </c>
      <c r="B10" s="1" t="s">
        <v>54</v>
      </c>
      <c r="C10" s="3">
        <v>28608129</v>
      </c>
      <c r="D10">
        <v>1.3150108488395031</v>
      </c>
      <c r="E10">
        <v>5.7798257271560827</v>
      </c>
      <c r="F10">
        <v>0.5847988171473919</v>
      </c>
      <c r="G10">
        <v>0.11080766589104796</v>
      </c>
      <c r="H10">
        <v>0.21042969989404062</v>
      </c>
      <c r="I10">
        <v>0.10241844197500648</v>
      </c>
      <c r="J10">
        <v>8.3542688163913137E-2</v>
      </c>
      <c r="K10">
        <v>8.1868338890669854</v>
      </c>
      <c r="L10" s="25">
        <f t="shared" si="0"/>
        <v>3762.0000000000009</v>
      </c>
      <c r="M10" s="25">
        <f t="shared" si="1"/>
        <v>16535.000000000004</v>
      </c>
      <c r="N10" s="25">
        <f t="shared" si="2"/>
        <v>1673</v>
      </c>
      <c r="O10" s="25">
        <f t="shared" si="3"/>
        <v>317</v>
      </c>
      <c r="P10" s="25">
        <f t="shared" si="4"/>
        <v>602</v>
      </c>
      <c r="Q10" s="25">
        <f t="shared" si="5"/>
        <v>293</v>
      </c>
      <c r="R10" s="25">
        <f t="shared" si="16"/>
        <v>239</v>
      </c>
      <c r="S10" s="25">
        <f t="shared" si="6"/>
        <v>23421</v>
      </c>
      <c r="T10" s="29">
        <f t="shared" si="7"/>
        <v>62868474.900000021</v>
      </c>
      <c r="U10" s="29">
        <f t="shared" si="8"/>
        <v>124577004.90000004</v>
      </c>
      <c r="V10" s="29">
        <f t="shared" si="9"/>
        <v>13745970.280000001</v>
      </c>
      <c r="W10" s="29">
        <f t="shared" si="10"/>
        <v>7822019.3799999999</v>
      </c>
      <c r="X10" s="29">
        <f t="shared" si="11"/>
        <v>6699670.04</v>
      </c>
      <c r="Y10" s="29">
        <f t="shared" si="12"/>
        <v>2268195.04</v>
      </c>
      <c r="Z10" s="29">
        <f t="shared" si="13"/>
        <v>2025735.3199999998</v>
      </c>
      <c r="AA10" s="29">
        <f t="shared" si="14"/>
        <v>220007069.86000004</v>
      </c>
      <c r="AB10" s="33">
        <f t="shared" si="15"/>
        <v>7.6903690506988429</v>
      </c>
      <c r="AC10">
        <f>VLOOKUP(B10,Graduates!$B$2:$AB$48,27,FALSE)</f>
        <v>2.9013854768342244</v>
      </c>
    </row>
    <row r="11" spans="1:29" x14ac:dyDescent="0.35">
      <c r="A11" s="1" t="s">
        <v>55</v>
      </c>
      <c r="B11" s="1" t="s">
        <v>56</v>
      </c>
      <c r="C11" s="3">
        <v>5119136</v>
      </c>
      <c r="D11">
        <v>0.74817312921555512</v>
      </c>
      <c r="E11">
        <v>7.3371756483906667</v>
      </c>
      <c r="F11">
        <v>3.7057034624592897</v>
      </c>
      <c r="G11">
        <v>5.8603639364142703E-3</v>
      </c>
      <c r="H11">
        <v>2.5394910391128504E-2</v>
      </c>
      <c r="I11">
        <v>0.21878692029279939</v>
      </c>
      <c r="J11">
        <v>0.5606414832502985</v>
      </c>
      <c r="K11">
        <v>12.601735917936152</v>
      </c>
      <c r="L11" s="25">
        <f t="shared" si="0"/>
        <v>383</v>
      </c>
      <c r="M11" s="25">
        <f t="shared" si="1"/>
        <v>3756.0000000000009</v>
      </c>
      <c r="N11" s="25">
        <f t="shared" si="2"/>
        <v>1897</v>
      </c>
      <c r="O11" s="25">
        <f t="shared" si="3"/>
        <v>3.0000000000000004</v>
      </c>
      <c r="P11" s="25">
        <f t="shared" si="4"/>
        <v>13</v>
      </c>
      <c r="Q11" s="25">
        <f t="shared" si="5"/>
        <v>112</v>
      </c>
      <c r="R11" s="25">
        <f t="shared" si="16"/>
        <v>287</v>
      </c>
      <c r="S11" s="25">
        <f t="shared" si="6"/>
        <v>6451</v>
      </c>
      <c r="T11" s="29">
        <f t="shared" si="7"/>
        <v>6400485.3500000006</v>
      </c>
      <c r="U11" s="29">
        <f t="shared" si="8"/>
        <v>28298229.840000007</v>
      </c>
      <c r="V11" s="29">
        <f t="shared" si="9"/>
        <v>15586434.920000002</v>
      </c>
      <c r="W11" s="29">
        <f t="shared" si="10"/>
        <v>74025.420000000013</v>
      </c>
      <c r="X11" s="29">
        <f t="shared" si="11"/>
        <v>144677.26</v>
      </c>
      <c r="Y11" s="29">
        <f t="shared" si="12"/>
        <v>867023.35999999999</v>
      </c>
      <c r="Z11" s="29">
        <f t="shared" si="13"/>
        <v>2432577.5599999996</v>
      </c>
      <c r="AA11" s="29">
        <f t="shared" si="14"/>
        <v>53803453.710000008</v>
      </c>
      <c r="AB11" s="33">
        <f t="shared" si="15"/>
        <v>10.51026065922062</v>
      </c>
      <c r="AC11">
        <f>VLOOKUP(B11,Graduates!$B$2:$AB$48,27,FALSE)</f>
        <v>7.243409825408037E-2</v>
      </c>
    </row>
    <row r="12" spans="1:29" x14ac:dyDescent="0.35">
      <c r="A12" s="1" t="s">
        <v>57</v>
      </c>
      <c r="B12" s="1" t="s">
        <v>58</v>
      </c>
      <c r="C12" s="3">
        <v>17921183</v>
      </c>
      <c r="D12">
        <v>0.91567615820897541</v>
      </c>
      <c r="E12">
        <v>1.3263633321527937</v>
      </c>
      <c r="F12">
        <v>0.4715090516066936</v>
      </c>
      <c r="G12">
        <v>7.2539854093337476E-3</v>
      </c>
      <c r="H12">
        <v>9.0953817055492367E-2</v>
      </c>
      <c r="I12">
        <v>0.57362284621500714</v>
      </c>
      <c r="J12">
        <v>0.58478282376782831</v>
      </c>
      <c r="K12">
        <v>3.9701620144161245</v>
      </c>
      <c r="L12" s="25">
        <f t="shared" si="0"/>
        <v>1641</v>
      </c>
      <c r="M12" s="25">
        <f t="shared" si="1"/>
        <v>2377</v>
      </c>
      <c r="N12" s="25">
        <f t="shared" si="2"/>
        <v>845</v>
      </c>
      <c r="O12" s="25">
        <f t="shared" si="3"/>
        <v>13</v>
      </c>
      <c r="P12" s="25">
        <f t="shared" si="4"/>
        <v>162.99999999999997</v>
      </c>
      <c r="Q12" s="25">
        <f t="shared" si="5"/>
        <v>1028</v>
      </c>
      <c r="R12" s="25">
        <f t="shared" si="16"/>
        <v>1048</v>
      </c>
      <c r="S12" s="25">
        <f t="shared" si="6"/>
        <v>7115</v>
      </c>
      <c r="T12" s="29">
        <f t="shared" si="7"/>
        <v>27423489.450000003</v>
      </c>
      <c r="U12" s="29">
        <f t="shared" si="8"/>
        <v>17908650.780000001</v>
      </c>
      <c r="V12" s="29">
        <f t="shared" si="9"/>
        <v>6942824.2000000002</v>
      </c>
      <c r="W12" s="29">
        <f t="shared" si="10"/>
        <v>320776.82</v>
      </c>
      <c r="X12" s="29">
        <f t="shared" si="11"/>
        <v>1814030.2599999998</v>
      </c>
      <c r="Y12" s="29">
        <f t="shared" si="12"/>
        <v>7958035.8399999999</v>
      </c>
      <c r="Z12" s="29">
        <f t="shared" si="13"/>
        <v>8882722.2399999984</v>
      </c>
      <c r="AA12" s="29">
        <f t="shared" si="14"/>
        <v>71250529.590000004</v>
      </c>
      <c r="AB12" s="33">
        <f t="shared" si="15"/>
        <v>3.975771554255096</v>
      </c>
      <c r="AC12">
        <f>VLOOKUP(B12,Graduates!$B$2:$AB$48,27,FALSE)</f>
        <v>4.1133941883189298</v>
      </c>
    </row>
    <row r="13" spans="1:29" x14ac:dyDescent="0.35">
      <c r="A13" s="1" t="s">
        <v>59</v>
      </c>
      <c r="B13" s="1" t="s">
        <v>60</v>
      </c>
      <c r="C13" s="3">
        <v>926492</v>
      </c>
      <c r="D13">
        <v>3.8208640765381676</v>
      </c>
      <c r="E13">
        <v>8.472820056730118</v>
      </c>
      <c r="F13">
        <v>6.3249331888456668</v>
      </c>
      <c r="G13">
        <v>0.34538884307689649</v>
      </c>
      <c r="H13">
        <v>0.43173605384612063</v>
      </c>
      <c r="I13">
        <v>1.7377376167306355</v>
      </c>
      <c r="J13">
        <v>0.17269442153844825</v>
      </c>
      <c r="K13">
        <v>21.306174257306051</v>
      </c>
      <c r="L13" s="25">
        <f t="shared" si="0"/>
        <v>354</v>
      </c>
      <c r="M13" s="25">
        <f t="shared" si="1"/>
        <v>785</v>
      </c>
      <c r="N13" s="25">
        <f t="shared" si="2"/>
        <v>585.99999999999989</v>
      </c>
      <c r="O13" s="25">
        <f t="shared" si="3"/>
        <v>32</v>
      </c>
      <c r="P13" s="25">
        <f t="shared" si="4"/>
        <v>40</v>
      </c>
      <c r="Q13" s="25">
        <f t="shared" si="5"/>
        <v>161</v>
      </c>
      <c r="R13" s="25">
        <f t="shared" si="16"/>
        <v>16</v>
      </c>
      <c r="S13" s="25">
        <f t="shared" si="6"/>
        <v>1973.9999999999995</v>
      </c>
      <c r="T13" s="29">
        <f t="shared" si="7"/>
        <v>5915853.2999999998</v>
      </c>
      <c r="U13" s="29">
        <f t="shared" si="8"/>
        <v>5914299.9000000004</v>
      </c>
      <c r="V13" s="29">
        <f t="shared" si="9"/>
        <v>4814786.959999999</v>
      </c>
      <c r="W13" s="29">
        <f t="shared" si="10"/>
        <v>789604.48</v>
      </c>
      <c r="X13" s="29">
        <f t="shared" si="11"/>
        <v>445160.80000000005</v>
      </c>
      <c r="Y13" s="29">
        <f t="shared" si="12"/>
        <v>1246346.08</v>
      </c>
      <c r="Z13" s="29">
        <f t="shared" si="13"/>
        <v>135614.07999999999</v>
      </c>
      <c r="AA13" s="29">
        <f t="shared" si="14"/>
        <v>19261665.599999994</v>
      </c>
      <c r="AB13" s="33">
        <f t="shared" si="15"/>
        <v>20.789888741618917</v>
      </c>
      <c r="AC13">
        <f>VLOOKUP(B13,Graduates!$B$2:$AB$48,27,FALSE)</f>
        <v>0.92989469957646698</v>
      </c>
    </row>
    <row r="14" spans="1:29" x14ac:dyDescent="0.35">
      <c r="A14" s="1" t="s">
        <v>61</v>
      </c>
      <c r="B14" s="1" t="s">
        <v>62</v>
      </c>
      <c r="C14" s="3">
        <v>5940746</v>
      </c>
      <c r="D14">
        <v>1.7539884721548438</v>
      </c>
      <c r="E14">
        <v>9.3809767325517708</v>
      </c>
      <c r="F14">
        <v>2.0031154336509251</v>
      </c>
      <c r="G14">
        <v>1.6832902803789289E-2</v>
      </c>
      <c r="H14">
        <v>5.3865288972125724E-2</v>
      </c>
      <c r="I14">
        <v>0.53865288972125724</v>
      </c>
      <c r="J14">
        <v>1.3079165478544277</v>
      </c>
      <c r="K14">
        <v>15.055348267709141</v>
      </c>
      <c r="L14" s="25">
        <f t="shared" si="0"/>
        <v>1042</v>
      </c>
      <c r="M14" s="25">
        <f t="shared" si="1"/>
        <v>5573</v>
      </c>
      <c r="N14" s="25">
        <f t="shared" si="2"/>
        <v>1189.9999999999998</v>
      </c>
      <c r="O14" s="25">
        <f t="shared" si="3"/>
        <v>10</v>
      </c>
      <c r="P14" s="25">
        <f t="shared" si="4"/>
        <v>32</v>
      </c>
      <c r="Q14" s="25">
        <f t="shared" si="5"/>
        <v>320</v>
      </c>
      <c r="R14" s="25">
        <f t="shared" si="16"/>
        <v>777</v>
      </c>
      <c r="S14" s="25">
        <f t="shared" si="6"/>
        <v>8944</v>
      </c>
      <c r="T14" s="29">
        <f t="shared" si="7"/>
        <v>17413330.900000002</v>
      </c>
      <c r="U14" s="29">
        <f t="shared" si="8"/>
        <v>41987762.219999999</v>
      </c>
      <c r="V14" s="29">
        <f t="shared" si="9"/>
        <v>9777468.3999999985</v>
      </c>
      <c r="W14" s="29">
        <f t="shared" si="10"/>
        <v>246751.4</v>
      </c>
      <c r="X14" s="29">
        <f t="shared" si="11"/>
        <v>356128.64</v>
      </c>
      <c r="Y14" s="29">
        <f t="shared" si="12"/>
        <v>2477209.6000000001</v>
      </c>
      <c r="Z14" s="29">
        <f t="shared" si="13"/>
        <v>6585758.7599999998</v>
      </c>
      <c r="AA14" s="29">
        <f t="shared" si="14"/>
        <v>78844409.920000017</v>
      </c>
      <c r="AB14" s="33">
        <f t="shared" si="15"/>
        <v>13.271802888054802</v>
      </c>
      <c r="AC14">
        <f>VLOOKUP(B14,Graduates!$B$2:$AB$48,27,FALSE)</f>
        <v>0.42558796487848494</v>
      </c>
    </row>
    <row r="15" spans="1:29" x14ac:dyDescent="0.35">
      <c r="A15" s="1" t="s">
        <v>63</v>
      </c>
      <c r="B15" s="1" t="s">
        <v>64</v>
      </c>
      <c r="C15" s="3">
        <v>28444206</v>
      </c>
      <c r="D15">
        <v>1.8172417960972438</v>
      </c>
      <c r="E15">
        <v>5.6475473423304559</v>
      </c>
      <c r="F15">
        <v>3.0403379865832783</v>
      </c>
      <c r="G15">
        <v>0.14941531502057045</v>
      </c>
      <c r="H15">
        <v>0.42820671457659953</v>
      </c>
      <c r="I15">
        <v>0.17472802721229061</v>
      </c>
      <c r="J15">
        <v>0</v>
      </c>
      <c r="K15">
        <v>11.257477181820439</v>
      </c>
      <c r="L15" s="25">
        <f t="shared" si="0"/>
        <v>5169</v>
      </c>
      <c r="M15" s="25">
        <f t="shared" si="1"/>
        <v>16064</v>
      </c>
      <c r="N15" s="25">
        <f t="shared" si="2"/>
        <v>8648</v>
      </c>
      <c r="O15" s="25">
        <f t="shared" si="3"/>
        <v>425</v>
      </c>
      <c r="P15" s="25">
        <f t="shared" si="4"/>
        <v>1218</v>
      </c>
      <c r="Q15" s="25">
        <f t="shared" si="5"/>
        <v>497</v>
      </c>
      <c r="R15" s="25">
        <f t="shared" si="16"/>
        <v>0</v>
      </c>
      <c r="S15" s="25">
        <f t="shared" si="6"/>
        <v>32021.000000000007</v>
      </c>
      <c r="T15" s="29">
        <f t="shared" si="7"/>
        <v>86381485.049999997</v>
      </c>
      <c r="U15" s="29">
        <f t="shared" si="8"/>
        <v>121028424.96000001</v>
      </c>
      <c r="V15" s="29">
        <f t="shared" si="9"/>
        <v>71055081.280000001</v>
      </c>
      <c r="W15" s="29">
        <f t="shared" si="10"/>
        <v>10486934.5</v>
      </c>
      <c r="X15" s="29">
        <f t="shared" si="11"/>
        <v>13555146.360000001</v>
      </c>
      <c r="Y15" s="29">
        <f t="shared" si="12"/>
        <v>3847416.1599999997</v>
      </c>
      <c r="Z15" s="29">
        <f t="shared" si="13"/>
        <v>0</v>
      </c>
      <c r="AA15" s="29">
        <f t="shared" si="14"/>
        <v>306354488.31</v>
      </c>
      <c r="AB15" s="33">
        <f t="shared" si="15"/>
        <v>10.770365265601015</v>
      </c>
      <c r="AC15">
        <f>VLOOKUP(B15,Graduates!$B$2:$AB$48,27,FALSE)</f>
        <v>1.3951259704700494</v>
      </c>
    </row>
    <row r="16" spans="1:29" x14ac:dyDescent="0.35">
      <c r="A16" s="1" t="s">
        <v>65</v>
      </c>
      <c r="B16" s="1" t="s">
        <v>66</v>
      </c>
      <c r="C16" s="3">
        <v>98151951</v>
      </c>
      <c r="D16">
        <v>2.1690857678417417</v>
      </c>
      <c r="E16">
        <v>11.748722142059101</v>
      </c>
      <c r="F16">
        <v>0.43728117029482172</v>
      </c>
      <c r="G16">
        <v>4.5949163048221019E-2</v>
      </c>
      <c r="H16">
        <v>9.4547280063745243E-2</v>
      </c>
      <c r="I16">
        <v>0.29892426692567731</v>
      </c>
      <c r="J16">
        <v>0.29892426692567731</v>
      </c>
      <c r="K16">
        <v>15.093434057158985</v>
      </c>
      <c r="L16" s="25">
        <f t="shared" si="0"/>
        <v>21290</v>
      </c>
      <c r="M16" s="25">
        <f t="shared" si="1"/>
        <v>115316</v>
      </c>
      <c r="N16" s="25">
        <f t="shared" si="2"/>
        <v>4292</v>
      </c>
      <c r="O16" s="25">
        <f t="shared" si="3"/>
        <v>451</v>
      </c>
      <c r="P16" s="25">
        <f t="shared" si="4"/>
        <v>928</v>
      </c>
      <c r="Q16" s="25">
        <f t="shared" si="5"/>
        <v>2934</v>
      </c>
      <c r="R16" s="25">
        <f t="shared" si="16"/>
        <v>2934</v>
      </c>
      <c r="S16" s="25">
        <f t="shared" si="6"/>
        <v>148145</v>
      </c>
      <c r="T16" s="29">
        <f t="shared" si="7"/>
        <v>355786770.5</v>
      </c>
      <c r="U16" s="29">
        <f t="shared" si="8"/>
        <v>868806888.24000001</v>
      </c>
      <c r="V16" s="29">
        <f t="shared" si="9"/>
        <v>35264617.120000005</v>
      </c>
      <c r="W16" s="29">
        <f t="shared" si="10"/>
        <v>11128488.140000001</v>
      </c>
      <c r="X16" s="29">
        <f t="shared" si="11"/>
        <v>10327730.560000001</v>
      </c>
      <c r="Y16" s="29">
        <f t="shared" si="12"/>
        <v>22712915.52</v>
      </c>
      <c r="Z16" s="29">
        <f t="shared" si="13"/>
        <v>24868231.919999998</v>
      </c>
      <c r="AA16" s="29">
        <f t="shared" si="14"/>
        <v>1328895642.0000002</v>
      </c>
      <c r="AB16" s="33">
        <f t="shared" si="15"/>
        <v>13.539166857722474</v>
      </c>
      <c r="AC16">
        <f>VLOOKUP(B16,Graduates!$B$2:$AB$48,27,FALSE)</f>
        <v>6.893247919239017</v>
      </c>
    </row>
    <row r="17" spans="1:29" x14ac:dyDescent="0.35">
      <c r="A17" s="1" t="s">
        <v>67</v>
      </c>
      <c r="B17" s="1" t="s">
        <v>68</v>
      </c>
      <c r="C17" s="3">
        <v>1543389</v>
      </c>
      <c r="D17">
        <v>1.7817931837015812</v>
      </c>
      <c r="E17">
        <v>15.893595198618105</v>
      </c>
      <c r="F17">
        <v>0.16846044645905858</v>
      </c>
      <c r="G17">
        <v>0</v>
      </c>
      <c r="H17">
        <v>9.0709471170262332E-2</v>
      </c>
      <c r="I17">
        <v>0.86821922405822516</v>
      </c>
      <c r="J17">
        <v>1.4772685304871294</v>
      </c>
      <c r="K17">
        <v>20.280046054494363</v>
      </c>
      <c r="L17" s="25">
        <f t="shared" si="0"/>
        <v>275</v>
      </c>
      <c r="M17" s="25">
        <f t="shared" si="1"/>
        <v>2452.9999999999995</v>
      </c>
      <c r="N17" s="25">
        <f t="shared" si="2"/>
        <v>25.999999999999996</v>
      </c>
      <c r="O17" s="25">
        <f t="shared" si="3"/>
        <v>0</v>
      </c>
      <c r="P17" s="25">
        <f t="shared" si="4"/>
        <v>14</v>
      </c>
      <c r="Q17" s="25">
        <f t="shared" si="5"/>
        <v>134</v>
      </c>
      <c r="R17" s="25">
        <f t="shared" si="16"/>
        <v>228</v>
      </c>
      <c r="S17" s="25">
        <f t="shared" si="6"/>
        <v>3130</v>
      </c>
      <c r="T17" s="29">
        <f t="shared" si="7"/>
        <v>4595648.75</v>
      </c>
      <c r="U17" s="29">
        <f t="shared" si="8"/>
        <v>18481245.419999998</v>
      </c>
      <c r="V17" s="29">
        <f t="shared" si="9"/>
        <v>213625.36</v>
      </c>
      <c r="W17" s="29">
        <f t="shared" si="10"/>
        <v>0</v>
      </c>
      <c r="X17" s="29">
        <f t="shared" si="11"/>
        <v>155806.28</v>
      </c>
      <c r="Y17" s="29">
        <f t="shared" si="12"/>
        <v>1037331.52</v>
      </c>
      <c r="Z17" s="29">
        <f t="shared" si="13"/>
        <v>1932500.64</v>
      </c>
      <c r="AA17" s="29">
        <f t="shared" si="14"/>
        <v>26416157.969999999</v>
      </c>
      <c r="AB17" s="33">
        <f t="shared" si="15"/>
        <v>17.115683712920074</v>
      </c>
      <c r="AC17">
        <f>VLOOKUP(B17,Graduates!$B$2:$AB$48,27,FALSE)</f>
        <v>23.864221204116397</v>
      </c>
    </row>
    <row r="18" spans="1:29" x14ac:dyDescent="0.35">
      <c r="A18" s="1" t="s">
        <v>69</v>
      </c>
      <c r="B18" s="1" t="s">
        <v>70</v>
      </c>
      <c r="C18" s="3">
        <v>3727656</v>
      </c>
      <c r="D18">
        <v>0.80211264129522675</v>
      </c>
      <c r="E18">
        <v>13.933689160158554</v>
      </c>
      <c r="F18">
        <v>0.17973761527351237</v>
      </c>
      <c r="G18">
        <v>0.17973761527351237</v>
      </c>
      <c r="H18">
        <v>0.6143270730990199</v>
      </c>
      <c r="I18">
        <v>0.91210133123871939</v>
      </c>
      <c r="J18">
        <v>0.82357384908907905</v>
      </c>
      <c r="K18">
        <v>17.44527928542762</v>
      </c>
      <c r="L18" s="25">
        <f t="shared" si="0"/>
        <v>298.99999999999994</v>
      </c>
      <c r="M18" s="25">
        <f t="shared" si="1"/>
        <v>5193.9999999999991</v>
      </c>
      <c r="N18" s="25">
        <f t="shared" si="2"/>
        <v>67</v>
      </c>
      <c r="O18" s="25">
        <f t="shared" si="3"/>
        <v>67</v>
      </c>
      <c r="P18" s="25">
        <f t="shared" si="4"/>
        <v>229</v>
      </c>
      <c r="Q18" s="25">
        <f t="shared" si="5"/>
        <v>340</v>
      </c>
      <c r="R18" s="25">
        <f t="shared" si="16"/>
        <v>307</v>
      </c>
      <c r="S18" s="25">
        <f t="shared" si="6"/>
        <v>6502.9999999999982</v>
      </c>
      <c r="T18" s="29">
        <f t="shared" si="7"/>
        <v>4996723.5499999989</v>
      </c>
      <c r="U18" s="29">
        <f t="shared" si="8"/>
        <v>39132323.159999996</v>
      </c>
      <c r="V18" s="29">
        <f t="shared" si="9"/>
        <v>550496.12</v>
      </c>
      <c r="W18" s="29">
        <f t="shared" si="10"/>
        <v>1653234.38</v>
      </c>
      <c r="X18" s="29">
        <f t="shared" si="11"/>
        <v>2548545.58</v>
      </c>
      <c r="Y18" s="29">
        <f t="shared" si="12"/>
        <v>2632035.1999999997</v>
      </c>
      <c r="Z18" s="29">
        <f t="shared" si="13"/>
        <v>2602095.1599999997</v>
      </c>
      <c r="AA18" s="29">
        <f t="shared" si="14"/>
        <v>54115453.149999991</v>
      </c>
      <c r="AB18" s="33">
        <f t="shared" si="15"/>
        <v>14.517287311382807</v>
      </c>
      <c r="AC18">
        <f>VLOOKUP(B18,Graduates!$B$2:$AB$48,27,FALSE)</f>
        <v>2.6869968688097829</v>
      </c>
    </row>
    <row r="19" spans="1:29" x14ac:dyDescent="0.35">
      <c r="A19" s="1" t="s">
        <v>71</v>
      </c>
      <c r="B19" s="1" t="s">
        <v>72</v>
      </c>
      <c r="C19" s="3">
        <v>1197512</v>
      </c>
      <c r="D19">
        <v>5.72019320056918</v>
      </c>
      <c r="E19">
        <v>43.774091616618456</v>
      </c>
      <c r="F19">
        <v>0</v>
      </c>
      <c r="G19">
        <v>0.29227264528455665</v>
      </c>
      <c r="H19">
        <v>0.350727174341468</v>
      </c>
      <c r="I19">
        <v>0</v>
      </c>
      <c r="J19">
        <v>0</v>
      </c>
      <c r="K19">
        <v>50.137284636813654</v>
      </c>
      <c r="L19" s="25">
        <f t="shared" si="0"/>
        <v>685</v>
      </c>
      <c r="M19" s="25">
        <f t="shared" si="1"/>
        <v>5242</v>
      </c>
      <c r="N19" s="25">
        <f t="shared" si="2"/>
        <v>0</v>
      </c>
      <c r="O19" s="25">
        <f t="shared" si="3"/>
        <v>35</v>
      </c>
      <c r="P19" s="25">
        <f t="shared" si="4"/>
        <v>42</v>
      </c>
      <c r="Q19" s="25">
        <f t="shared" si="5"/>
        <v>0</v>
      </c>
      <c r="R19" s="25">
        <f t="shared" si="16"/>
        <v>0</v>
      </c>
      <c r="S19" s="25">
        <f t="shared" si="6"/>
        <v>6003.9999999999991</v>
      </c>
      <c r="T19" s="29">
        <f t="shared" si="7"/>
        <v>11447343.25</v>
      </c>
      <c r="U19" s="29">
        <f t="shared" si="8"/>
        <v>39493961.880000003</v>
      </c>
      <c r="V19" s="29">
        <f t="shared" si="9"/>
        <v>0</v>
      </c>
      <c r="W19" s="29">
        <f t="shared" si="10"/>
        <v>863629.9</v>
      </c>
      <c r="X19" s="29">
        <f t="shared" si="11"/>
        <v>467418.84</v>
      </c>
      <c r="Y19" s="29">
        <f t="shared" si="12"/>
        <v>0</v>
      </c>
      <c r="Z19" s="29">
        <f t="shared" si="13"/>
        <v>0</v>
      </c>
      <c r="AA19" s="29">
        <f t="shared" si="14"/>
        <v>52272353.870000005</v>
      </c>
      <c r="AB19" s="33">
        <f t="shared" si="15"/>
        <v>43.650797545243812</v>
      </c>
      <c r="AC19">
        <f>VLOOKUP(B19,Graduates!$B$2:$AB$48,27,FALSE)</f>
        <v>4.3127442564249874</v>
      </c>
    </row>
    <row r="20" spans="1:29" x14ac:dyDescent="0.35">
      <c r="A20" s="1" t="s">
        <v>73</v>
      </c>
      <c r="B20" s="1" t="s">
        <v>74</v>
      </c>
      <c r="C20" s="3">
        <v>123771387</v>
      </c>
      <c r="D20">
        <v>1.4876620878458768</v>
      </c>
      <c r="E20">
        <v>10.60519746781217</v>
      </c>
      <c r="F20">
        <v>1.7770666171818854</v>
      </c>
      <c r="G20">
        <v>0.28455688227845422</v>
      </c>
      <c r="H20">
        <v>1.5290286760703424</v>
      </c>
      <c r="I20">
        <v>1.9194258524387386</v>
      </c>
      <c r="J20">
        <v>1.7550098230700122</v>
      </c>
      <c r="K20">
        <v>19.35794740669748</v>
      </c>
      <c r="L20" s="25">
        <f t="shared" si="0"/>
        <v>18413.000000000004</v>
      </c>
      <c r="M20" s="25">
        <f t="shared" si="1"/>
        <v>131262.00000000003</v>
      </c>
      <c r="N20" s="25">
        <f t="shared" si="2"/>
        <v>21995</v>
      </c>
      <c r="O20" s="25">
        <f t="shared" si="3"/>
        <v>3522</v>
      </c>
      <c r="P20" s="25">
        <f t="shared" si="4"/>
        <v>18925</v>
      </c>
      <c r="Q20" s="25">
        <f t="shared" si="5"/>
        <v>23757</v>
      </c>
      <c r="R20" s="25">
        <f t="shared" si="16"/>
        <v>21722</v>
      </c>
      <c r="S20" s="25">
        <f t="shared" si="6"/>
        <v>239596</v>
      </c>
      <c r="T20" s="29">
        <f t="shared" si="7"/>
        <v>307707928.85000008</v>
      </c>
      <c r="U20" s="29">
        <f t="shared" si="8"/>
        <v>988946284.68000031</v>
      </c>
      <c r="V20" s="29">
        <f t="shared" si="9"/>
        <v>180718838.20000002</v>
      </c>
      <c r="W20" s="29">
        <f t="shared" si="10"/>
        <v>86905843.079999998</v>
      </c>
      <c r="X20" s="29">
        <f t="shared" si="11"/>
        <v>210616703.5</v>
      </c>
      <c r="Y20" s="29">
        <f t="shared" si="12"/>
        <v>183909588.96000001</v>
      </c>
      <c r="Z20" s="29">
        <f t="shared" si="13"/>
        <v>184113065.35999998</v>
      </c>
      <c r="AA20" s="29">
        <f t="shared" si="14"/>
        <v>2142918252.6300004</v>
      </c>
      <c r="AB20" s="33">
        <f t="shared" si="15"/>
        <v>17.313518936569729</v>
      </c>
      <c r="AC20">
        <f>VLOOKUP(B20,Graduates!$B$2:$AB$48,27,FALSE)</f>
        <v>1.8644829681031205</v>
      </c>
    </row>
    <row r="21" spans="1:29" x14ac:dyDescent="0.35">
      <c r="A21" s="1" t="s">
        <v>75</v>
      </c>
      <c r="B21" s="1" t="s">
        <v>76</v>
      </c>
      <c r="C21" s="3">
        <v>2383905</v>
      </c>
      <c r="D21">
        <v>5.3106143071976444</v>
      </c>
      <c r="E21">
        <v>20.281848479700326</v>
      </c>
      <c r="F21">
        <v>3.8801881786396688</v>
      </c>
      <c r="G21">
        <v>0.18457111336231938</v>
      </c>
      <c r="H21">
        <v>0.7844272317898574</v>
      </c>
      <c r="I21">
        <v>1.0780630939571838</v>
      </c>
      <c r="J21">
        <v>1.0612839018333364</v>
      </c>
      <c r="K21">
        <v>32.580996306480337</v>
      </c>
      <c r="L21" s="25">
        <f t="shared" si="0"/>
        <v>1266</v>
      </c>
      <c r="M21" s="25">
        <f t="shared" si="1"/>
        <v>4835.0000000000009</v>
      </c>
      <c r="N21" s="25">
        <f t="shared" si="2"/>
        <v>925</v>
      </c>
      <c r="O21" s="25">
        <f t="shared" si="3"/>
        <v>44</v>
      </c>
      <c r="P21" s="25">
        <f t="shared" si="4"/>
        <v>187</v>
      </c>
      <c r="Q21" s="25">
        <f t="shared" si="5"/>
        <v>257.00000000000006</v>
      </c>
      <c r="R21" s="25">
        <f t="shared" si="16"/>
        <v>253</v>
      </c>
      <c r="S21" s="25">
        <f t="shared" si="6"/>
        <v>7767.0000000000018</v>
      </c>
      <c r="T21" s="29">
        <f t="shared" si="7"/>
        <v>21156695.699999999</v>
      </c>
      <c r="U21" s="29">
        <f t="shared" si="8"/>
        <v>36427566.900000006</v>
      </c>
      <c r="V21" s="29">
        <f t="shared" si="9"/>
        <v>7600133.0000000009</v>
      </c>
      <c r="W21" s="29">
        <f t="shared" si="10"/>
        <v>1085706.1599999999</v>
      </c>
      <c r="X21" s="29">
        <f t="shared" si="11"/>
        <v>2081126.74</v>
      </c>
      <c r="Y21" s="29">
        <f t="shared" si="12"/>
        <v>1989508.9600000004</v>
      </c>
      <c r="Z21" s="29">
        <f t="shared" si="13"/>
        <v>2144397.6399999997</v>
      </c>
      <c r="AA21" s="29">
        <f t="shared" si="14"/>
        <v>72485135.099999994</v>
      </c>
      <c r="AB21" s="33">
        <f t="shared" si="15"/>
        <v>30.406050199148034</v>
      </c>
      <c r="AC21">
        <f>VLOOKUP(B21,Graduates!$B$2:$AB$48,27,FALSE)</f>
        <v>1.3004664615410431</v>
      </c>
    </row>
    <row r="22" spans="1:29" x14ac:dyDescent="0.35">
      <c r="A22" s="1" t="s">
        <v>77</v>
      </c>
      <c r="B22" s="1" t="s">
        <v>78</v>
      </c>
      <c r="C22" s="3">
        <v>2631251</v>
      </c>
      <c r="D22">
        <v>0.91971461483530081</v>
      </c>
      <c r="E22">
        <v>5.1116370122044614</v>
      </c>
      <c r="F22">
        <v>1.6304031808443968</v>
      </c>
      <c r="G22">
        <v>3.4204262535197136E-2</v>
      </c>
      <c r="H22">
        <v>3.8004736150219036E-2</v>
      </c>
      <c r="I22">
        <v>0.19382415436611711</v>
      </c>
      <c r="J22">
        <v>0.67268382985887709</v>
      </c>
      <c r="K22">
        <v>8.60047179079457</v>
      </c>
      <c r="L22" s="25">
        <f t="shared" si="0"/>
        <v>242</v>
      </c>
      <c r="M22" s="25">
        <f t="shared" si="1"/>
        <v>1345.0000000000002</v>
      </c>
      <c r="N22" s="25">
        <f t="shared" si="2"/>
        <v>429</v>
      </c>
      <c r="O22" s="25">
        <f t="shared" si="3"/>
        <v>9</v>
      </c>
      <c r="P22" s="25">
        <f t="shared" si="4"/>
        <v>9.9999999999999982</v>
      </c>
      <c r="Q22" s="25">
        <f t="shared" si="5"/>
        <v>51</v>
      </c>
      <c r="R22" s="25">
        <f t="shared" si="16"/>
        <v>177.00000000000003</v>
      </c>
      <c r="S22" s="25">
        <f t="shared" si="6"/>
        <v>2263.0000000000005</v>
      </c>
      <c r="T22" s="29">
        <f t="shared" si="7"/>
        <v>4044170.9000000004</v>
      </c>
      <c r="U22" s="29">
        <f t="shared" si="8"/>
        <v>10133418.300000003</v>
      </c>
      <c r="V22" s="29">
        <f t="shared" si="9"/>
        <v>3524818.4400000004</v>
      </c>
      <c r="W22" s="29">
        <f t="shared" si="10"/>
        <v>222076.26</v>
      </c>
      <c r="X22" s="29">
        <f t="shared" si="11"/>
        <v>111290.19999999998</v>
      </c>
      <c r="Y22" s="29">
        <f t="shared" si="12"/>
        <v>394805.27999999997</v>
      </c>
      <c r="Z22" s="29">
        <f t="shared" si="13"/>
        <v>1500230.76</v>
      </c>
      <c r="AA22" s="29">
        <f t="shared" si="14"/>
        <v>19930810.140000008</v>
      </c>
      <c r="AB22" s="33">
        <f t="shared" si="15"/>
        <v>7.574651806308105</v>
      </c>
      <c r="AC22">
        <f>VLOOKUP(B22,Graduates!$B$2:$AB$48,27,FALSE)</f>
        <v>1.3278115618768411</v>
      </c>
    </row>
    <row r="23" spans="1:29" x14ac:dyDescent="0.35">
      <c r="A23" s="1" t="s">
        <v>79</v>
      </c>
      <c r="B23" s="1" t="s">
        <v>80</v>
      </c>
      <c r="C23" s="3">
        <v>33062741</v>
      </c>
      <c r="D23">
        <v>2.7151408892565807</v>
      </c>
      <c r="E23">
        <v>34.116953582281639</v>
      </c>
      <c r="F23">
        <v>7.8807743132972554</v>
      </c>
      <c r="G23">
        <v>7.3799083990041842E-2</v>
      </c>
      <c r="H23">
        <v>1.7348833842904918</v>
      </c>
      <c r="I23">
        <v>0.81058010284144311</v>
      </c>
      <c r="J23">
        <v>1.1320900466177319</v>
      </c>
      <c r="K23">
        <v>48.464221402575184</v>
      </c>
      <c r="L23" s="25">
        <f t="shared" si="0"/>
        <v>8977.0000000000018</v>
      </c>
      <c r="M23" s="25">
        <f t="shared" si="1"/>
        <v>112800</v>
      </c>
      <c r="N23" s="25">
        <f t="shared" si="2"/>
        <v>26056</v>
      </c>
      <c r="O23" s="25">
        <f t="shared" si="3"/>
        <v>244</v>
      </c>
      <c r="P23" s="25">
        <f t="shared" si="4"/>
        <v>5736</v>
      </c>
      <c r="Q23" s="25">
        <f t="shared" si="5"/>
        <v>2679.9999999999995</v>
      </c>
      <c r="R23" s="25">
        <f t="shared" si="16"/>
        <v>3743</v>
      </c>
      <c r="S23" s="25">
        <f t="shared" si="6"/>
        <v>160236</v>
      </c>
      <c r="T23" s="29">
        <f t="shared" si="7"/>
        <v>150018686.65000004</v>
      </c>
      <c r="U23" s="29">
        <f t="shared" si="8"/>
        <v>849850992</v>
      </c>
      <c r="V23" s="29">
        <f t="shared" si="9"/>
        <v>214085476.16000003</v>
      </c>
      <c r="W23" s="29">
        <f t="shared" si="10"/>
        <v>6020734.1600000001</v>
      </c>
      <c r="X23" s="29">
        <f t="shared" si="11"/>
        <v>63836058.719999999</v>
      </c>
      <c r="Y23" s="29">
        <f t="shared" si="12"/>
        <v>20746630.399999995</v>
      </c>
      <c r="Z23" s="29">
        <f t="shared" si="13"/>
        <v>31725218.839999996</v>
      </c>
      <c r="AA23" s="29">
        <f t="shared" si="14"/>
        <v>1336283796.9300003</v>
      </c>
      <c r="AB23" s="33">
        <f t="shared" si="15"/>
        <v>40.416606624659472</v>
      </c>
      <c r="AC23">
        <f>VLOOKUP(B23,Graduates!$B$2:$AB$48,27,FALSE)</f>
        <v>15.163717959742055</v>
      </c>
    </row>
    <row r="24" spans="1:29" x14ac:dyDescent="0.35">
      <c r="A24" s="1" t="s">
        <v>81</v>
      </c>
      <c r="B24" s="1" t="s">
        <v>82</v>
      </c>
      <c r="C24" s="3">
        <v>14238716</v>
      </c>
      <c r="D24">
        <v>2.069006784038673</v>
      </c>
      <c r="E24">
        <v>3.5248964864528514</v>
      </c>
      <c r="F24">
        <v>0.62716329197098952</v>
      </c>
      <c r="G24">
        <v>2.7390110175664714E-2</v>
      </c>
      <c r="H24">
        <v>0.17908918191780776</v>
      </c>
      <c r="I24">
        <v>0.12711820363577728</v>
      </c>
      <c r="J24">
        <v>0.22263243399194141</v>
      </c>
      <c r="K24">
        <v>6.7772964921837051</v>
      </c>
      <c r="L24" s="25">
        <f t="shared" si="0"/>
        <v>2945.9999999999995</v>
      </c>
      <c r="M24" s="25">
        <f t="shared" si="1"/>
        <v>5019</v>
      </c>
      <c r="N24" s="25">
        <f t="shared" si="2"/>
        <v>893</v>
      </c>
      <c r="O24" s="25">
        <f t="shared" si="3"/>
        <v>39</v>
      </c>
      <c r="P24" s="25">
        <f t="shared" si="4"/>
        <v>255</v>
      </c>
      <c r="Q24" s="25">
        <f t="shared" si="5"/>
        <v>181</v>
      </c>
      <c r="R24" s="25">
        <f t="shared" si="16"/>
        <v>317</v>
      </c>
      <c r="S24" s="25">
        <f t="shared" si="6"/>
        <v>9650</v>
      </c>
      <c r="T24" s="29">
        <f t="shared" si="7"/>
        <v>49231931.699999996</v>
      </c>
      <c r="U24" s="29">
        <f t="shared" si="8"/>
        <v>37813848.660000004</v>
      </c>
      <c r="V24" s="29">
        <f t="shared" si="9"/>
        <v>7337209.4800000004</v>
      </c>
      <c r="W24" s="29">
        <f t="shared" si="10"/>
        <v>962330.46</v>
      </c>
      <c r="X24" s="29">
        <f t="shared" si="11"/>
        <v>2837900.1</v>
      </c>
      <c r="Y24" s="29">
        <f t="shared" si="12"/>
        <v>1401171.68</v>
      </c>
      <c r="Z24" s="29">
        <f t="shared" si="13"/>
        <v>2686853.96</v>
      </c>
      <c r="AA24" s="29">
        <f t="shared" si="14"/>
        <v>102271246.03999999</v>
      </c>
      <c r="AB24" s="33">
        <f t="shared" si="15"/>
        <v>7.1826171713797784</v>
      </c>
      <c r="AC24">
        <f>VLOOKUP(B24,Graduates!$B$2:$AB$48,27,FALSE)</f>
        <v>2.7373713683171994</v>
      </c>
    </row>
    <row r="25" spans="1:29" x14ac:dyDescent="0.35">
      <c r="A25" s="1" t="s">
        <v>83</v>
      </c>
      <c r="B25" s="1" t="s">
        <v>84</v>
      </c>
      <c r="C25" s="3">
        <v>2111612</v>
      </c>
      <c r="D25">
        <v>2.5146665201751079</v>
      </c>
      <c r="E25">
        <v>8.9126222052157313</v>
      </c>
      <c r="F25">
        <v>0.96135085422890187</v>
      </c>
      <c r="G25">
        <v>9.9450088368507092E-2</v>
      </c>
      <c r="H25">
        <v>9.4714369874768656E-3</v>
      </c>
      <c r="I25">
        <v>4.7357184937384328E-3</v>
      </c>
      <c r="J25">
        <v>0.80980786242927205</v>
      </c>
      <c r="K25">
        <v>13.312104685898735</v>
      </c>
      <c r="L25" s="25">
        <f t="shared" si="0"/>
        <v>531</v>
      </c>
      <c r="M25" s="25">
        <f t="shared" si="1"/>
        <v>1882</v>
      </c>
      <c r="N25" s="25">
        <f t="shared" si="2"/>
        <v>203</v>
      </c>
      <c r="O25" s="25">
        <f t="shared" si="3"/>
        <v>21</v>
      </c>
      <c r="P25" s="25">
        <f t="shared" si="4"/>
        <v>2</v>
      </c>
      <c r="Q25" s="25">
        <f t="shared" si="5"/>
        <v>1</v>
      </c>
      <c r="R25" s="25">
        <f t="shared" si="16"/>
        <v>171</v>
      </c>
      <c r="S25" s="25">
        <f t="shared" si="6"/>
        <v>2811</v>
      </c>
      <c r="T25" s="29">
        <f t="shared" si="7"/>
        <v>8873779.9500000011</v>
      </c>
      <c r="U25" s="29">
        <f t="shared" si="8"/>
        <v>14179251.48</v>
      </c>
      <c r="V25" s="29">
        <f t="shared" si="9"/>
        <v>1667921.08</v>
      </c>
      <c r="W25" s="29">
        <f t="shared" si="10"/>
        <v>518177.94</v>
      </c>
      <c r="X25" s="29">
        <f t="shared" si="11"/>
        <v>22258.04</v>
      </c>
      <c r="Y25" s="29">
        <f t="shared" si="12"/>
        <v>7741.28</v>
      </c>
      <c r="Z25" s="29">
        <f t="shared" si="13"/>
        <v>1449375.4799999997</v>
      </c>
      <c r="AA25" s="29">
        <f t="shared" si="14"/>
        <v>26718505.25</v>
      </c>
      <c r="AB25" s="33">
        <f t="shared" si="15"/>
        <v>12.653131943747242</v>
      </c>
      <c r="AC25">
        <f>VLOOKUP(B25,Graduates!$B$2:$AB$48,27,FALSE)</f>
        <v>0.12567910203200208</v>
      </c>
    </row>
    <row r="26" spans="1:29" x14ac:dyDescent="0.35">
      <c r="A26" s="1" t="s">
        <v>85</v>
      </c>
      <c r="B26" s="1" t="s">
        <v>86</v>
      </c>
      <c r="C26" s="3">
        <v>57458890</v>
      </c>
      <c r="D26">
        <v>2.7835553384341396</v>
      </c>
      <c r="E26">
        <v>21.841528786929231</v>
      </c>
      <c r="F26">
        <v>4.8208379939118216E-2</v>
      </c>
      <c r="G26">
        <v>0.23390636331471074</v>
      </c>
      <c r="H26">
        <v>0.20640844262741587</v>
      </c>
      <c r="I26">
        <v>1.7403747270439789</v>
      </c>
      <c r="J26">
        <v>0.14549532718087663</v>
      </c>
      <c r="K26">
        <v>26.999477365469474</v>
      </c>
      <c r="L26" s="25">
        <f t="shared" si="0"/>
        <v>15994</v>
      </c>
      <c r="M26" s="25">
        <f t="shared" si="1"/>
        <v>125499.00000000003</v>
      </c>
      <c r="N26" s="25">
        <f t="shared" si="2"/>
        <v>277.00000000000006</v>
      </c>
      <c r="O26" s="25">
        <f t="shared" si="3"/>
        <v>1344</v>
      </c>
      <c r="P26" s="25">
        <f t="shared" si="4"/>
        <v>1186</v>
      </c>
      <c r="Q26" s="25">
        <f t="shared" si="5"/>
        <v>10000.000000000002</v>
      </c>
      <c r="R26" s="25">
        <f t="shared" si="16"/>
        <v>836</v>
      </c>
      <c r="S26" s="25">
        <f t="shared" si="6"/>
        <v>155136.00000000003</v>
      </c>
      <c r="T26" s="29">
        <f t="shared" si="7"/>
        <v>267282931.30000001</v>
      </c>
      <c r="U26" s="29">
        <f t="shared" si="8"/>
        <v>945527035.86000025</v>
      </c>
      <c r="V26" s="29">
        <f t="shared" si="9"/>
        <v>2275931.7200000007</v>
      </c>
      <c r="W26" s="29">
        <f t="shared" si="10"/>
        <v>33163388.16</v>
      </c>
      <c r="X26" s="29">
        <f t="shared" si="11"/>
        <v>13199017.720000001</v>
      </c>
      <c r="Y26" s="29">
        <f t="shared" si="12"/>
        <v>77412800.000000015</v>
      </c>
      <c r="Z26" s="29">
        <f t="shared" si="13"/>
        <v>7085835.6799999997</v>
      </c>
      <c r="AA26" s="29">
        <f t="shared" si="14"/>
        <v>1345946940.4400005</v>
      </c>
      <c r="AB26" s="33">
        <f t="shared" si="15"/>
        <v>23.424520390839444</v>
      </c>
      <c r="AC26">
        <f>VLOOKUP(B26,Graduates!$B$2:$AB$48,27,FALSE)</f>
        <v>0.84095736099322493</v>
      </c>
    </row>
    <row r="27" spans="1:29" x14ac:dyDescent="0.35">
      <c r="A27" s="1" t="s">
        <v>87</v>
      </c>
      <c r="B27" s="1" t="s">
        <v>88</v>
      </c>
      <c r="C27" s="3">
        <v>2192400</v>
      </c>
      <c r="D27">
        <v>2.449370552818829</v>
      </c>
      <c r="E27">
        <v>5.6330961503375301</v>
      </c>
      <c r="F27">
        <v>12.675606641123881</v>
      </c>
      <c r="G27">
        <v>0.38314176245210729</v>
      </c>
      <c r="H27">
        <v>1.1722313446451378</v>
      </c>
      <c r="I27">
        <v>1.8974639664294839</v>
      </c>
      <c r="J27">
        <v>1.2452107279693487</v>
      </c>
      <c r="K27">
        <v>25.456121145776319</v>
      </c>
      <c r="L27" s="25">
        <f t="shared" si="0"/>
        <v>537.00000000000011</v>
      </c>
      <c r="M27" s="25">
        <f t="shared" si="1"/>
        <v>1235.0000000000002</v>
      </c>
      <c r="N27" s="25">
        <f t="shared" si="2"/>
        <v>2778.9999999999995</v>
      </c>
      <c r="O27" s="25">
        <f t="shared" si="3"/>
        <v>84</v>
      </c>
      <c r="P27" s="25">
        <f t="shared" si="4"/>
        <v>257</v>
      </c>
      <c r="Q27" s="25">
        <f t="shared" si="5"/>
        <v>416.00000000000006</v>
      </c>
      <c r="R27" s="25">
        <f t="shared" si="16"/>
        <v>273</v>
      </c>
      <c r="S27" s="25">
        <f t="shared" si="6"/>
        <v>5581</v>
      </c>
      <c r="T27" s="29">
        <f t="shared" si="7"/>
        <v>8974048.6500000022</v>
      </c>
      <c r="U27" s="29">
        <f t="shared" si="8"/>
        <v>9304662.9000000022</v>
      </c>
      <c r="V27" s="29">
        <f t="shared" si="9"/>
        <v>22833264.439999998</v>
      </c>
      <c r="W27" s="29">
        <f t="shared" si="10"/>
        <v>2072711.76</v>
      </c>
      <c r="X27" s="29">
        <f t="shared" si="11"/>
        <v>2860158.14</v>
      </c>
      <c r="Y27" s="29">
        <f t="shared" si="12"/>
        <v>3220372.4800000004</v>
      </c>
      <c r="Z27" s="29">
        <f t="shared" si="13"/>
        <v>2313915.2399999998</v>
      </c>
      <c r="AA27" s="29">
        <f t="shared" si="14"/>
        <v>51579133.610000007</v>
      </c>
      <c r="AB27" s="33">
        <f t="shared" si="15"/>
        <v>23.526333520343005</v>
      </c>
      <c r="AC27">
        <f>VLOOKUP(B27,Graduates!$B$2:$AB$48,27,FALSE)</f>
        <v>4.2294499178981937</v>
      </c>
    </row>
    <row r="28" spans="1:29" x14ac:dyDescent="0.35">
      <c r="A28" s="1" t="s">
        <v>89</v>
      </c>
      <c r="B28" s="1" t="s">
        <v>90</v>
      </c>
      <c r="C28" s="3">
        <v>5432272</v>
      </c>
      <c r="D28">
        <v>1.7561712668290541</v>
      </c>
      <c r="E28">
        <v>8.143922101102449</v>
      </c>
      <c r="F28">
        <v>1.8206010302871434</v>
      </c>
      <c r="G28">
        <v>1.4726803076134626E-2</v>
      </c>
      <c r="H28">
        <v>0.31294456536786081</v>
      </c>
      <c r="I28">
        <v>0.21169779421943524</v>
      </c>
      <c r="J28">
        <v>0</v>
      </c>
      <c r="K28">
        <v>12.260063560882079</v>
      </c>
      <c r="L28" s="25">
        <f t="shared" si="0"/>
        <v>954</v>
      </c>
      <c r="M28" s="25">
        <f t="shared" si="1"/>
        <v>4424</v>
      </c>
      <c r="N28" s="25">
        <f t="shared" si="2"/>
        <v>989</v>
      </c>
      <c r="O28" s="25">
        <f t="shared" si="3"/>
        <v>8</v>
      </c>
      <c r="P28" s="25">
        <f t="shared" si="4"/>
        <v>170</v>
      </c>
      <c r="Q28" s="25">
        <f t="shared" si="5"/>
        <v>115</v>
      </c>
      <c r="R28" s="25">
        <f t="shared" si="16"/>
        <v>0</v>
      </c>
      <c r="S28" s="25">
        <f t="shared" si="6"/>
        <v>6660.0000000000018</v>
      </c>
      <c r="T28" s="29">
        <f t="shared" si="7"/>
        <v>15942723.300000001</v>
      </c>
      <c r="U28" s="29">
        <f t="shared" si="8"/>
        <v>33331035.360000003</v>
      </c>
      <c r="V28" s="29">
        <f t="shared" si="9"/>
        <v>8125980.040000001</v>
      </c>
      <c r="W28" s="29">
        <f t="shared" si="10"/>
        <v>197401.12</v>
      </c>
      <c r="X28" s="29">
        <f t="shared" si="11"/>
        <v>1891933.4000000001</v>
      </c>
      <c r="Y28" s="29">
        <f t="shared" si="12"/>
        <v>890247.2</v>
      </c>
      <c r="Z28" s="29">
        <f t="shared" si="13"/>
        <v>0</v>
      </c>
      <c r="AA28" s="29">
        <f t="shared" si="14"/>
        <v>60379320.420000002</v>
      </c>
      <c r="AB28" s="33">
        <f t="shared" si="15"/>
        <v>11.114929521202178</v>
      </c>
      <c r="AC28">
        <f>VLOOKUP(B28,Graduates!$B$2:$AB$48,27,FALSE)</f>
        <v>0.55403733465481841</v>
      </c>
    </row>
    <row r="29" spans="1:29" x14ac:dyDescent="0.35">
      <c r="A29" s="1" t="s">
        <v>91</v>
      </c>
      <c r="B29" s="1" t="s">
        <v>92</v>
      </c>
      <c r="C29" s="3">
        <v>29942591</v>
      </c>
      <c r="D29">
        <v>1.7466758304249621</v>
      </c>
      <c r="E29">
        <v>1.5229142995674625</v>
      </c>
      <c r="F29">
        <v>1.3338859018579923</v>
      </c>
      <c r="G29">
        <v>8.3827080963033554E-2</v>
      </c>
      <c r="H29">
        <v>1.0019173023470147E-2</v>
      </c>
      <c r="I29">
        <v>0.1021955648393955</v>
      </c>
      <c r="J29">
        <v>0.1021955648393955</v>
      </c>
      <c r="K29">
        <v>4.9017134155157125</v>
      </c>
      <c r="L29" s="25">
        <f t="shared" si="0"/>
        <v>5230</v>
      </c>
      <c r="M29" s="25">
        <f t="shared" si="1"/>
        <v>4560.0000000000009</v>
      </c>
      <c r="N29" s="25">
        <f t="shared" si="2"/>
        <v>3994</v>
      </c>
      <c r="O29" s="25">
        <f t="shared" si="3"/>
        <v>251</v>
      </c>
      <c r="P29" s="25">
        <f t="shared" si="4"/>
        <v>30</v>
      </c>
      <c r="Q29" s="25">
        <f t="shared" si="5"/>
        <v>306</v>
      </c>
      <c r="R29" s="25">
        <f t="shared" si="16"/>
        <v>306</v>
      </c>
      <c r="S29" s="25">
        <f t="shared" si="6"/>
        <v>14677.000000000004</v>
      </c>
      <c r="T29" s="29">
        <f t="shared" si="7"/>
        <v>87400883.5</v>
      </c>
      <c r="U29" s="29">
        <f t="shared" si="8"/>
        <v>34355678.400000006</v>
      </c>
      <c r="V29" s="29">
        <f t="shared" si="9"/>
        <v>32816141.840000004</v>
      </c>
      <c r="W29" s="29">
        <f t="shared" si="10"/>
        <v>6193460.1399999997</v>
      </c>
      <c r="X29" s="29">
        <f t="shared" si="11"/>
        <v>333870.60000000003</v>
      </c>
      <c r="Y29" s="29">
        <f t="shared" si="12"/>
        <v>2368831.6799999997</v>
      </c>
      <c r="Z29" s="29">
        <f t="shared" si="13"/>
        <v>2593619.2799999998</v>
      </c>
      <c r="AA29" s="29">
        <f t="shared" si="14"/>
        <v>166062485.44</v>
      </c>
      <c r="AB29" s="33">
        <f t="shared" si="15"/>
        <v>5.546029247769507</v>
      </c>
      <c r="AC29">
        <f>VLOOKUP(B29,Graduates!$B$2:$AB$48,27,FALSE)</f>
        <v>2.0891931496509435</v>
      </c>
    </row>
    <row r="30" spans="1:29" x14ac:dyDescent="0.35">
      <c r="A30" s="1" t="s">
        <v>93</v>
      </c>
      <c r="B30" s="1" t="s">
        <v>94</v>
      </c>
      <c r="C30" s="3">
        <v>20728157</v>
      </c>
      <c r="D30">
        <v>0.53791564778286849</v>
      </c>
      <c r="E30">
        <v>4.7370347493990899</v>
      </c>
      <c r="F30">
        <v>0.29718030406658924</v>
      </c>
      <c r="G30">
        <v>4.872599141351544E-2</v>
      </c>
      <c r="H30">
        <v>5.9339573701607917E-2</v>
      </c>
      <c r="I30">
        <v>4.3419200269469202E-2</v>
      </c>
      <c r="J30">
        <v>0.10082903173687849</v>
      </c>
      <c r="K30">
        <v>5.8244444983700179</v>
      </c>
      <c r="L30" s="25">
        <f t="shared" si="0"/>
        <v>1115</v>
      </c>
      <c r="M30" s="25">
        <f t="shared" si="1"/>
        <v>9818.9999999999982</v>
      </c>
      <c r="N30" s="25">
        <f t="shared" si="2"/>
        <v>616</v>
      </c>
      <c r="O30" s="25">
        <f t="shared" si="3"/>
        <v>101</v>
      </c>
      <c r="P30" s="25">
        <f t="shared" si="4"/>
        <v>123</v>
      </c>
      <c r="Q30" s="25">
        <f t="shared" si="5"/>
        <v>89.999999999999986</v>
      </c>
      <c r="R30" s="25">
        <f t="shared" si="16"/>
        <v>209</v>
      </c>
      <c r="S30" s="25">
        <f t="shared" si="6"/>
        <v>12072.999999999996</v>
      </c>
      <c r="T30" s="29">
        <f t="shared" si="7"/>
        <v>18633266.75</v>
      </c>
      <c r="U30" s="29">
        <f t="shared" si="8"/>
        <v>73977720.659999996</v>
      </c>
      <c r="V30" s="29">
        <f t="shared" si="9"/>
        <v>5061277.7600000007</v>
      </c>
      <c r="W30" s="29">
        <f t="shared" si="10"/>
        <v>2492189.14</v>
      </c>
      <c r="X30" s="29">
        <f t="shared" si="11"/>
        <v>1368869.46</v>
      </c>
      <c r="Y30" s="29">
        <f t="shared" si="12"/>
        <v>696715.19999999984</v>
      </c>
      <c r="Z30" s="29">
        <f t="shared" si="13"/>
        <v>1771458.92</v>
      </c>
      <c r="AA30" s="29">
        <f t="shared" si="14"/>
        <v>104001497.89</v>
      </c>
      <c r="AB30" s="33">
        <f t="shared" si="15"/>
        <v>5.0174020724563215</v>
      </c>
      <c r="AC30">
        <f>VLOOKUP(B30,Graduates!$B$2:$AB$48,27,FALSE)</f>
        <v>0.71150071373928714</v>
      </c>
    </row>
    <row r="31" spans="1:29" x14ac:dyDescent="0.35">
      <c r="A31" s="1" t="s">
        <v>95</v>
      </c>
      <c r="B31" s="1" t="s">
        <v>96</v>
      </c>
      <c r="C31" s="3">
        <v>22105727</v>
      </c>
      <c r="D31">
        <v>2.0157672262938919</v>
      </c>
      <c r="E31">
        <v>2.8811538295030967</v>
      </c>
      <c r="F31">
        <v>1.475635702910834</v>
      </c>
      <c r="G31">
        <v>1.3571143803594426E-2</v>
      </c>
      <c r="H31">
        <v>0.77853128286620032</v>
      </c>
      <c r="I31">
        <v>0.67674770433924203</v>
      </c>
      <c r="J31">
        <v>0</v>
      </c>
      <c r="K31">
        <v>7.8414068897168594</v>
      </c>
      <c r="L31" s="25">
        <f t="shared" si="0"/>
        <v>4456</v>
      </c>
      <c r="M31" s="25">
        <f t="shared" si="1"/>
        <v>6369</v>
      </c>
      <c r="N31" s="25">
        <f t="shared" si="2"/>
        <v>3262.0000000000005</v>
      </c>
      <c r="O31" s="25">
        <f t="shared" si="3"/>
        <v>30</v>
      </c>
      <c r="P31" s="25">
        <f t="shared" si="4"/>
        <v>1721.0000000000005</v>
      </c>
      <c r="Q31" s="25">
        <f t="shared" si="5"/>
        <v>1496</v>
      </c>
      <c r="R31" s="25">
        <f t="shared" si="16"/>
        <v>0</v>
      </c>
      <c r="S31" s="25">
        <f t="shared" si="6"/>
        <v>17334</v>
      </c>
      <c r="T31" s="29">
        <f t="shared" si="7"/>
        <v>74466221.200000003</v>
      </c>
      <c r="U31" s="29">
        <f t="shared" si="8"/>
        <v>47984937.660000004</v>
      </c>
      <c r="V31" s="29">
        <f t="shared" si="9"/>
        <v>26801766.320000004</v>
      </c>
      <c r="W31" s="29">
        <f t="shared" si="10"/>
        <v>740254.2</v>
      </c>
      <c r="X31" s="29">
        <f t="shared" si="11"/>
        <v>19153043.420000006</v>
      </c>
      <c r="Y31" s="29">
        <f t="shared" si="12"/>
        <v>11580954.879999999</v>
      </c>
      <c r="Z31" s="29">
        <f t="shared" si="13"/>
        <v>0</v>
      </c>
      <c r="AA31" s="29">
        <f t="shared" si="14"/>
        <v>180727177.68000001</v>
      </c>
      <c r="AB31" s="33">
        <f t="shared" si="15"/>
        <v>8.1755817250434699</v>
      </c>
      <c r="AC31">
        <f>VLOOKUP(B31,Graduates!$B$2:$AB$48,27,FALSE)</f>
        <v>0</v>
      </c>
    </row>
    <row r="32" spans="1:29" x14ac:dyDescent="0.35">
      <c r="A32" s="1" t="s">
        <v>97</v>
      </c>
      <c r="B32" s="1" t="s">
        <v>98</v>
      </c>
      <c r="C32" s="3">
        <v>5030233</v>
      </c>
      <c r="D32">
        <v>2.5306978821855766</v>
      </c>
      <c r="E32">
        <v>12.927830579617286</v>
      </c>
      <c r="F32">
        <v>2.6658804870470219</v>
      </c>
      <c r="G32">
        <v>0.2962089430052246</v>
      </c>
      <c r="H32">
        <v>0.19283400987588448</v>
      </c>
      <c r="I32">
        <v>0.64808131154163229</v>
      </c>
      <c r="J32">
        <v>1.7891815349308868E-2</v>
      </c>
      <c r="K32">
        <v>19.279425028621933</v>
      </c>
      <c r="L32" s="25">
        <f t="shared" si="0"/>
        <v>1273</v>
      </c>
      <c r="M32" s="25">
        <f t="shared" si="1"/>
        <v>6503</v>
      </c>
      <c r="N32" s="25">
        <f t="shared" si="2"/>
        <v>1341.0000000000002</v>
      </c>
      <c r="O32" s="25">
        <f t="shared" si="3"/>
        <v>149</v>
      </c>
      <c r="P32" s="25">
        <f t="shared" si="4"/>
        <v>97</v>
      </c>
      <c r="Q32" s="25">
        <f t="shared" si="5"/>
        <v>325.99999999999994</v>
      </c>
      <c r="R32" s="25">
        <f t="shared" si="16"/>
        <v>9</v>
      </c>
      <c r="S32" s="25">
        <f t="shared" si="6"/>
        <v>9697.9999999999982</v>
      </c>
      <c r="T32" s="29">
        <f t="shared" si="7"/>
        <v>21273675.850000001</v>
      </c>
      <c r="U32" s="29">
        <f t="shared" si="8"/>
        <v>48994512.420000002</v>
      </c>
      <c r="V32" s="29">
        <f t="shared" si="9"/>
        <v>11018138.760000004</v>
      </c>
      <c r="W32" s="29">
        <f t="shared" si="10"/>
        <v>3676595.86</v>
      </c>
      <c r="X32" s="29">
        <f t="shared" si="11"/>
        <v>1079514.94</v>
      </c>
      <c r="Y32" s="29">
        <f t="shared" si="12"/>
        <v>2523657.2799999993</v>
      </c>
      <c r="Z32" s="29">
        <f t="shared" si="13"/>
        <v>76282.92</v>
      </c>
      <c r="AA32" s="29">
        <f t="shared" si="14"/>
        <v>88642378.030000016</v>
      </c>
      <c r="AB32" s="33">
        <f t="shared" si="15"/>
        <v>17.62192288707104</v>
      </c>
      <c r="AC32">
        <f>VLOOKUP(B32,Graduates!$B$2:$AB$48,27,FALSE)</f>
        <v>0.48384448593136742</v>
      </c>
    </row>
    <row r="33" spans="1:29" x14ac:dyDescent="0.35">
      <c r="A33" s="1" t="s">
        <v>99</v>
      </c>
      <c r="B33" s="1" t="s">
        <v>100</v>
      </c>
      <c r="C33" s="3">
        <v>1275657</v>
      </c>
      <c r="D33">
        <v>14.369066292898482</v>
      </c>
      <c r="E33">
        <v>36.052010846175733</v>
      </c>
      <c r="F33">
        <v>4.4447684604874196</v>
      </c>
      <c r="G33">
        <v>3.2453864949590678</v>
      </c>
      <c r="H33">
        <v>0.32140301037034252</v>
      </c>
      <c r="I33">
        <v>2.4928331048236321</v>
      </c>
      <c r="J33">
        <v>2.0695218228724492</v>
      </c>
      <c r="K33">
        <v>62.994990032587125</v>
      </c>
      <c r="L33" s="25">
        <f t="shared" si="0"/>
        <v>1833</v>
      </c>
      <c r="M33" s="25">
        <f t="shared" si="1"/>
        <v>4599</v>
      </c>
      <c r="N33" s="25">
        <f t="shared" si="2"/>
        <v>567</v>
      </c>
      <c r="O33" s="25">
        <f t="shared" si="3"/>
        <v>413.99999999999994</v>
      </c>
      <c r="P33" s="25">
        <f t="shared" si="4"/>
        <v>41.000000000000007</v>
      </c>
      <c r="Q33" s="25">
        <f t="shared" si="5"/>
        <v>318</v>
      </c>
      <c r="R33" s="25">
        <f t="shared" si="16"/>
        <v>264</v>
      </c>
      <c r="S33" s="25">
        <f t="shared" si="6"/>
        <v>8036</v>
      </c>
      <c r="T33" s="29">
        <f t="shared" si="7"/>
        <v>30632087.850000001</v>
      </c>
      <c r="U33" s="29">
        <f t="shared" si="8"/>
        <v>34649509.859999999</v>
      </c>
      <c r="V33" s="29">
        <f t="shared" si="9"/>
        <v>4658676.12</v>
      </c>
      <c r="W33" s="29">
        <f t="shared" si="10"/>
        <v>10215507.959999999</v>
      </c>
      <c r="X33" s="29">
        <f t="shared" si="11"/>
        <v>456289.82000000012</v>
      </c>
      <c r="Y33" s="29">
        <f t="shared" si="12"/>
        <v>2461727.04</v>
      </c>
      <c r="Z33" s="29">
        <f t="shared" si="13"/>
        <v>2237632.3199999998</v>
      </c>
      <c r="AA33" s="29">
        <f t="shared" si="14"/>
        <v>85311430.969999984</v>
      </c>
      <c r="AB33" s="33">
        <f t="shared" si="15"/>
        <v>66.876465201852838</v>
      </c>
      <c r="AC33">
        <f>VLOOKUP(B33,Graduates!$B$2:$AB$48,27,FALSE)</f>
        <v>9.9309120711915515</v>
      </c>
    </row>
    <row r="34" spans="1:29" x14ac:dyDescent="0.35">
      <c r="A34" s="1" t="s">
        <v>101</v>
      </c>
      <c r="B34" s="1" t="s">
        <v>102</v>
      </c>
      <c r="C34" s="3">
        <v>34034812</v>
      </c>
      <c r="D34">
        <v>1.6803383547410222</v>
      </c>
      <c r="E34">
        <v>5.0442470491683631</v>
      </c>
      <c r="F34">
        <v>3.9151090360070158</v>
      </c>
      <c r="G34">
        <v>0.10753695363441408</v>
      </c>
      <c r="H34">
        <v>0.1474960402308084</v>
      </c>
      <c r="I34">
        <v>9.4902830666436469E-2</v>
      </c>
      <c r="J34">
        <v>0.63199996521208934</v>
      </c>
      <c r="K34">
        <v>11.621630229660148</v>
      </c>
      <c r="L34" s="25">
        <f t="shared" si="0"/>
        <v>5719</v>
      </c>
      <c r="M34" s="25">
        <f t="shared" si="1"/>
        <v>17168</v>
      </c>
      <c r="N34" s="25">
        <f t="shared" si="2"/>
        <v>13325.000000000002</v>
      </c>
      <c r="O34" s="25">
        <f t="shared" si="3"/>
        <v>366</v>
      </c>
      <c r="P34" s="25">
        <f t="shared" si="4"/>
        <v>502</v>
      </c>
      <c r="Q34" s="25">
        <f t="shared" si="5"/>
        <v>323</v>
      </c>
      <c r="R34" s="25">
        <f t="shared" si="16"/>
        <v>2151</v>
      </c>
      <c r="S34" s="25">
        <f t="shared" si="6"/>
        <v>39554</v>
      </c>
      <c r="T34" s="29">
        <f t="shared" si="7"/>
        <v>95572782.549999997</v>
      </c>
      <c r="U34" s="29">
        <f t="shared" si="8"/>
        <v>129346115.52000001</v>
      </c>
      <c r="V34" s="29">
        <f t="shared" si="9"/>
        <v>109482997.00000003</v>
      </c>
      <c r="W34" s="29">
        <f t="shared" si="10"/>
        <v>9031101.2400000002</v>
      </c>
      <c r="X34" s="29">
        <f t="shared" si="11"/>
        <v>5586768.04</v>
      </c>
      <c r="Y34" s="29">
        <f t="shared" si="12"/>
        <v>2500433.44</v>
      </c>
      <c r="Z34" s="29">
        <f t="shared" si="13"/>
        <v>18231617.879999999</v>
      </c>
      <c r="AA34" s="29">
        <f t="shared" si="14"/>
        <v>369751815.67000008</v>
      </c>
      <c r="AB34" s="33">
        <f t="shared" si="15"/>
        <v>10.863930015832027</v>
      </c>
      <c r="AC34">
        <f>VLOOKUP(B34,Graduates!$B$2:$AB$48,27,FALSE)</f>
        <v>1.0442801329415305</v>
      </c>
    </row>
    <row r="35" spans="1:29" x14ac:dyDescent="0.35">
      <c r="A35" s="1" t="s">
        <v>103</v>
      </c>
      <c r="B35" s="1" t="s">
        <v>104</v>
      </c>
      <c r="C35" s="3">
        <v>2680497</v>
      </c>
      <c r="D35">
        <v>5.957850353870942</v>
      </c>
      <c r="E35">
        <v>58.041475144348226</v>
      </c>
      <c r="F35">
        <v>2.6114560098369814E-2</v>
      </c>
      <c r="G35">
        <v>0.83566592314783406</v>
      </c>
      <c r="H35">
        <v>2.4435766949188902</v>
      </c>
      <c r="I35">
        <v>0.3618731899345532</v>
      </c>
      <c r="J35">
        <v>3.9731437863948367</v>
      </c>
      <c r="K35">
        <v>71.639699652713645</v>
      </c>
      <c r="L35" s="25">
        <f t="shared" si="0"/>
        <v>1596.9999999999998</v>
      </c>
      <c r="M35" s="25">
        <f t="shared" si="1"/>
        <v>15558</v>
      </c>
      <c r="N35" s="25">
        <f t="shared" si="2"/>
        <v>6.9999999999999982</v>
      </c>
      <c r="O35" s="25">
        <f t="shared" si="3"/>
        <v>223.99999999999994</v>
      </c>
      <c r="P35" s="25">
        <f t="shared" si="4"/>
        <v>655</v>
      </c>
      <c r="Q35" s="25">
        <f t="shared" si="5"/>
        <v>97</v>
      </c>
      <c r="R35" s="25">
        <f t="shared" si="16"/>
        <v>1065</v>
      </c>
      <c r="S35" s="25">
        <f t="shared" si="6"/>
        <v>19202.999999999996</v>
      </c>
      <c r="T35" s="29">
        <f t="shared" si="7"/>
        <v>26688185.649999999</v>
      </c>
      <c r="U35" s="29">
        <f t="shared" si="8"/>
        <v>117216150.12</v>
      </c>
      <c r="V35" s="29">
        <f t="shared" si="9"/>
        <v>57514.51999999999</v>
      </c>
      <c r="W35" s="29">
        <f t="shared" si="10"/>
        <v>5527231.3599999985</v>
      </c>
      <c r="X35" s="29">
        <f t="shared" si="11"/>
        <v>7289508.1000000006</v>
      </c>
      <c r="Y35" s="29">
        <f t="shared" si="12"/>
        <v>750904.16</v>
      </c>
      <c r="Z35" s="29">
        <f t="shared" si="13"/>
        <v>9026812.1999999993</v>
      </c>
      <c r="AA35" s="29">
        <f t="shared" si="14"/>
        <v>166556306.10999998</v>
      </c>
      <c r="AB35" s="33">
        <f t="shared" si="15"/>
        <v>62.136352366743921</v>
      </c>
      <c r="AC35">
        <f>VLOOKUP(B35,Graduates!$B$2:$AB$48,27,FALSE)</f>
        <v>7.4922891165332395</v>
      </c>
    </row>
    <row r="36" spans="1:29" x14ac:dyDescent="0.35">
      <c r="A36" s="1" t="s">
        <v>105</v>
      </c>
      <c r="B36" s="1" t="s">
        <v>106</v>
      </c>
      <c r="C36" s="3">
        <v>27066230</v>
      </c>
      <c r="D36">
        <v>0.36724730411291118</v>
      </c>
      <c r="E36">
        <v>3.4278878144462674</v>
      </c>
      <c r="F36">
        <v>0.63621716064631084</v>
      </c>
      <c r="G36">
        <v>1.0344994482053836E-2</v>
      </c>
      <c r="H36">
        <v>2.0689988964107672E-2</v>
      </c>
      <c r="I36">
        <v>0.15960848629454488</v>
      </c>
      <c r="J36">
        <v>0.23978219353046215</v>
      </c>
      <c r="K36">
        <v>4.8617779424766576</v>
      </c>
      <c r="L36" s="25">
        <f t="shared" si="0"/>
        <v>994</v>
      </c>
      <c r="M36" s="25">
        <f t="shared" si="1"/>
        <v>9278</v>
      </c>
      <c r="N36" s="25">
        <f t="shared" si="2"/>
        <v>1721.9999999999995</v>
      </c>
      <c r="O36" s="25">
        <f t="shared" si="3"/>
        <v>28</v>
      </c>
      <c r="P36" s="25">
        <f t="shared" si="4"/>
        <v>56</v>
      </c>
      <c r="Q36" s="25">
        <f t="shared" si="5"/>
        <v>431.99999999999989</v>
      </c>
      <c r="R36" s="25">
        <f t="shared" si="16"/>
        <v>649.00000000000011</v>
      </c>
      <c r="S36" s="25">
        <f t="shared" si="6"/>
        <v>13158.999999999998</v>
      </c>
      <c r="T36" s="29">
        <f t="shared" si="7"/>
        <v>16611181.300000001</v>
      </c>
      <c r="U36" s="29">
        <f t="shared" si="8"/>
        <v>69901750.920000002</v>
      </c>
      <c r="V36" s="29">
        <f t="shared" si="9"/>
        <v>14148571.919999998</v>
      </c>
      <c r="W36" s="29">
        <f t="shared" si="10"/>
        <v>690903.91999999993</v>
      </c>
      <c r="X36" s="29">
        <f t="shared" si="11"/>
        <v>623225.12</v>
      </c>
      <c r="Y36" s="29">
        <f t="shared" si="12"/>
        <v>3344232.959999999</v>
      </c>
      <c r="Z36" s="29">
        <f t="shared" si="13"/>
        <v>5500846.1200000001</v>
      </c>
      <c r="AA36" s="29">
        <f t="shared" si="14"/>
        <v>110820712.26000001</v>
      </c>
      <c r="AB36" s="33">
        <f t="shared" si="15"/>
        <v>4.0944273458106286</v>
      </c>
      <c r="AC36">
        <f>VLOOKUP(B36,Graduates!$B$2:$AB$48,27,FALSE)</f>
        <v>0.54349922394068184</v>
      </c>
    </row>
    <row r="37" spans="1:29" x14ac:dyDescent="0.35">
      <c r="A37" s="1" t="s">
        <v>107</v>
      </c>
      <c r="B37" s="1" t="s">
        <v>108</v>
      </c>
      <c r="C37" s="3">
        <v>222182400</v>
      </c>
      <c r="D37">
        <v>3.8995888063140915</v>
      </c>
      <c r="E37">
        <v>9.9324248905403838</v>
      </c>
      <c r="F37">
        <v>6.6065989025233316</v>
      </c>
      <c r="G37">
        <v>0.22720071436801473</v>
      </c>
      <c r="H37">
        <v>0.82261241214425618</v>
      </c>
      <c r="I37">
        <v>1.6577820745477589</v>
      </c>
      <c r="J37">
        <v>1.7423522295195299</v>
      </c>
      <c r="K37">
        <v>24.888560029957361</v>
      </c>
      <c r="L37" s="25">
        <f t="shared" si="0"/>
        <v>86642</v>
      </c>
      <c r="M37" s="25">
        <f t="shared" si="1"/>
        <v>220681</v>
      </c>
      <c r="N37" s="25">
        <f t="shared" si="2"/>
        <v>146786.99999999997</v>
      </c>
      <c r="O37" s="25">
        <f t="shared" si="3"/>
        <v>5047.9999999999991</v>
      </c>
      <c r="P37" s="25">
        <f t="shared" si="4"/>
        <v>18276.999999999996</v>
      </c>
      <c r="Q37" s="25">
        <f t="shared" si="5"/>
        <v>36833</v>
      </c>
      <c r="R37" s="25">
        <f t="shared" si="16"/>
        <v>38712</v>
      </c>
      <c r="S37" s="25">
        <f t="shared" si="6"/>
        <v>552979.99999999977</v>
      </c>
      <c r="T37" s="29">
        <f t="shared" si="7"/>
        <v>1447913450.9000001</v>
      </c>
      <c r="U37" s="29">
        <f t="shared" si="8"/>
        <v>1662641549.3400002</v>
      </c>
      <c r="V37" s="29">
        <f t="shared" si="9"/>
        <v>1206054835.3199999</v>
      </c>
      <c r="W37" s="29">
        <f t="shared" si="10"/>
        <v>124560106.71999997</v>
      </c>
      <c r="X37" s="29">
        <f t="shared" si="11"/>
        <v>203405098.53999996</v>
      </c>
      <c r="Y37" s="29">
        <f t="shared" si="12"/>
        <v>285134566.24000001</v>
      </c>
      <c r="Z37" s="29">
        <f t="shared" si="13"/>
        <v>328118266.55999994</v>
      </c>
      <c r="AA37" s="29">
        <f t="shared" si="14"/>
        <v>5257827873.6200008</v>
      </c>
      <c r="AB37" s="33">
        <f t="shared" si="15"/>
        <v>23.664466103615773</v>
      </c>
      <c r="AC37">
        <f>VLOOKUP(B37,Graduates!$B$2:$AB$48,27,FALSE)</f>
        <v>1.7813082696919289</v>
      </c>
    </row>
    <row r="38" spans="1:29" x14ac:dyDescent="0.35">
      <c r="A38" s="1" t="s">
        <v>109</v>
      </c>
      <c r="B38" s="1" t="s">
        <v>110</v>
      </c>
      <c r="C38" s="3">
        <v>13924498</v>
      </c>
      <c r="D38">
        <v>0.87830814439414617</v>
      </c>
      <c r="E38">
        <v>9.6958612080665318</v>
      </c>
      <c r="F38">
        <v>1.1433087210756179</v>
      </c>
      <c r="G38">
        <v>0.19677549596401966</v>
      </c>
      <c r="H38">
        <v>5.8170858295932819E-2</v>
      </c>
      <c r="I38">
        <v>0</v>
      </c>
      <c r="J38">
        <v>1.3465476457391858</v>
      </c>
      <c r="K38">
        <v>13.318972073535434</v>
      </c>
      <c r="L38" s="25">
        <f t="shared" si="0"/>
        <v>1223</v>
      </c>
      <c r="M38" s="25">
        <f t="shared" si="1"/>
        <v>13501</v>
      </c>
      <c r="N38" s="25">
        <f t="shared" si="2"/>
        <v>1591.9999999999998</v>
      </c>
      <c r="O38" s="25">
        <f t="shared" si="3"/>
        <v>274</v>
      </c>
      <c r="P38" s="25">
        <f t="shared" si="4"/>
        <v>81</v>
      </c>
      <c r="Q38" s="25">
        <f t="shared" si="5"/>
        <v>0</v>
      </c>
      <c r="R38" s="25">
        <f t="shared" si="16"/>
        <v>1875</v>
      </c>
      <c r="S38" s="25">
        <f t="shared" si="6"/>
        <v>18546</v>
      </c>
      <c r="T38" s="29">
        <f t="shared" si="7"/>
        <v>20438103.350000001</v>
      </c>
      <c r="U38" s="29">
        <f t="shared" si="8"/>
        <v>101718424.14</v>
      </c>
      <c r="V38" s="29">
        <f t="shared" si="9"/>
        <v>13080445.119999999</v>
      </c>
      <c r="W38" s="29">
        <f t="shared" si="10"/>
        <v>6760988.3599999994</v>
      </c>
      <c r="X38" s="29">
        <f t="shared" si="11"/>
        <v>901450.62</v>
      </c>
      <c r="Y38" s="29">
        <f t="shared" si="12"/>
        <v>0</v>
      </c>
      <c r="Z38" s="29">
        <f t="shared" si="13"/>
        <v>15892274.999999998</v>
      </c>
      <c r="AA38" s="29">
        <f t="shared" si="14"/>
        <v>158791686.59000003</v>
      </c>
      <c r="AB38" s="33">
        <f t="shared" si="15"/>
        <v>11.403763826171689</v>
      </c>
      <c r="AC38">
        <f>VLOOKUP(B38,Graduates!$B$2:$AB$48,27,FALSE)</f>
        <v>0.6922883324052328</v>
      </c>
    </row>
    <row r="39" spans="1:29" x14ac:dyDescent="0.35">
      <c r="A39" s="1" t="s">
        <v>111</v>
      </c>
      <c r="B39" s="1" t="s">
        <v>112</v>
      </c>
      <c r="C39" s="3">
        <v>232132</v>
      </c>
      <c r="D39">
        <v>4.5232884737993899</v>
      </c>
      <c r="E39">
        <v>18.95473265211173</v>
      </c>
      <c r="F39">
        <v>2.1539468922854241</v>
      </c>
      <c r="G39">
        <v>0.25847362707425087</v>
      </c>
      <c r="H39">
        <v>1.5939207002912137</v>
      </c>
      <c r="I39">
        <v>6.2895249254734376</v>
      </c>
      <c r="J39">
        <v>0</v>
      </c>
      <c r="K39">
        <v>33.773887271035449</v>
      </c>
      <c r="L39" s="25">
        <f t="shared" si="0"/>
        <v>105</v>
      </c>
      <c r="M39" s="25">
        <f t="shared" si="1"/>
        <v>440</v>
      </c>
      <c r="N39" s="25">
        <f t="shared" si="2"/>
        <v>50.000000000000007</v>
      </c>
      <c r="O39" s="25">
        <f t="shared" si="3"/>
        <v>6</v>
      </c>
      <c r="P39" s="25">
        <f t="shared" si="4"/>
        <v>37</v>
      </c>
      <c r="Q39" s="25">
        <f t="shared" si="5"/>
        <v>146</v>
      </c>
      <c r="R39" s="25">
        <f t="shared" si="16"/>
        <v>0</v>
      </c>
      <c r="S39" s="25">
        <f t="shared" si="6"/>
        <v>784.00000000000011</v>
      </c>
      <c r="T39" s="29">
        <f t="shared" si="7"/>
        <v>1754702.25</v>
      </c>
      <c r="U39" s="29">
        <f t="shared" si="8"/>
        <v>3315021.6</v>
      </c>
      <c r="V39" s="29">
        <f t="shared" si="9"/>
        <v>410818.00000000012</v>
      </c>
      <c r="W39" s="29">
        <f t="shared" si="10"/>
        <v>148050.84</v>
      </c>
      <c r="X39" s="29">
        <f t="shared" si="11"/>
        <v>411773.74</v>
      </c>
      <c r="Y39" s="29">
        <f t="shared" si="12"/>
        <v>1130226.8799999999</v>
      </c>
      <c r="Z39" s="29">
        <f t="shared" si="13"/>
        <v>0</v>
      </c>
      <c r="AA39" s="29">
        <f t="shared" si="14"/>
        <v>7170593.3099999996</v>
      </c>
      <c r="AB39" s="33">
        <f t="shared" si="15"/>
        <v>30.890154351834301</v>
      </c>
      <c r="AC39">
        <f>VLOOKUP(B39,Graduates!$B$2:$AB$48,27,FALSE)</f>
        <v>0</v>
      </c>
    </row>
    <row r="40" spans="1:29" x14ac:dyDescent="0.35">
      <c r="A40" s="1" t="s">
        <v>113</v>
      </c>
      <c r="B40" s="1" t="s">
        <v>114</v>
      </c>
      <c r="C40" s="3">
        <v>18116526</v>
      </c>
      <c r="D40">
        <v>1.089060893904273</v>
      </c>
      <c r="E40">
        <v>2.6384749482323491</v>
      </c>
      <c r="F40">
        <v>1.5952285774877588</v>
      </c>
      <c r="G40">
        <v>0.10874049472840433</v>
      </c>
      <c r="H40">
        <v>0.20147350546125675</v>
      </c>
      <c r="I40">
        <v>0</v>
      </c>
      <c r="J40">
        <v>0.14351537375322398</v>
      </c>
      <c r="K40">
        <v>5.7764937935672656</v>
      </c>
      <c r="L40" s="25">
        <f t="shared" si="0"/>
        <v>1973.0000000000005</v>
      </c>
      <c r="M40" s="25">
        <f t="shared" si="1"/>
        <v>4780.0000000000009</v>
      </c>
      <c r="N40" s="25">
        <f t="shared" si="2"/>
        <v>2889.9999999999995</v>
      </c>
      <c r="O40" s="25">
        <f t="shared" si="3"/>
        <v>197</v>
      </c>
      <c r="P40" s="25">
        <f t="shared" si="4"/>
        <v>365</v>
      </c>
      <c r="Q40" s="25">
        <f t="shared" si="5"/>
        <v>0</v>
      </c>
      <c r="R40" s="25">
        <f t="shared" si="16"/>
        <v>260</v>
      </c>
      <c r="S40" s="25">
        <f t="shared" si="6"/>
        <v>10465</v>
      </c>
      <c r="T40" s="29">
        <f t="shared" si="7"/>
        <v>32971690.850000009</v>
      </c>
      <c r="U40" s="29">
        <f t="shared" si="8"/>
        <v>36013189.20000001</v>
      </c>
      <c r="V40" s="29">
        <f t="shared" si="9"/>
        <v>23745280.399999999</v>
      </c>
      <c r="W40" s="29">
        <f t="shared" si="10"/>
        <v>4861002.58</v>
      </c>
      <c r="X40" s="29">
        <f t="shared" si="11"/>
        <v>4062092.3000000003</v>
      </c>
      <c r="Y40" s="29">
        <f t="shared" si="12"/>
        <v>0</v>
      </c>
      <c r="Z40" s="29">
        <f t="shared" si="13"/>
        <v>2203728.7999999998</v>
      </c>
      <c r="AA40" s="29">
        <f t="shared" si="14"/>
        <v>103856984.13000001</v>
      </c>
      <c r="AB40" s="33">
        <f t="shared" si="15"/>
        <v>5.732720728576771</v>
      </c>
      <c r="AC40">
        <f>VLOOKUP(B40,Graduates!$B$2:$AB$48,27,FALSE)</f>
        <v>1.4601029468894864</v>
      </c>
    </row>
    <row r="41" spans="1:29" x14ac:dyDescent="0.35">
      <c r="A41" s="1" t="s">
        <v>115</v>
      </c>
      <c r="B41" s="1" t="s">
        <v>116</v>
      </c>
      <c r="C41" s="3">
        <v>99912</v>
      </c>
      <c r="D41">
        <v>82.872928176795583</v>
      </c>
      <c r="E41">
        <v>62.555048442629513</v>
      </c>
      <c r="F41">
        <v>31.227480182560654</v>
      </c>
      <c r="G41">
        <v>4.4038754103611177</v>
      </c>
      <c r="H41">
        <v>5.4047561854431896</v>
      </c>
      <c r="I41">
        <v>1.0008807750820721</v>
      </c>
      <c r="J41">
        <v>2.1018496276723515</v>
      </c>
      <c r="K41">
        <v>189.56681880054444</v>
      </c>
      <c r="L41" s="25">
        <f t="shared" si="0"/>
        <v>828</v>
      </c>
      <c r="M41" s="25">
        <f t="shared" si="1"/>
        <v>625</v>
      </c>
      <c r="N41" s="25">
        <f t="shared" si="2"/>
        <v>312</v>
      </c>
      <c r="O41" s="25">
        <f t="shared" si="3"/>
        <v>44</v>
      </c>
      <c r="P41" s="25">
        <f t="shared" si="4"/>
        <v>54</v>
      </c>
      <c r="Q41" s="25">
        <f t="shared" si="5"/>
        <v>9.9999999999999982</v>
      </c>
      <c r="R41" s="25">
        <f t="shared" si="16"/>
        <v>20.999999999999996</v>
      </c>
      <c r="S41" s="25">
        <f t="shared" si="6"/>
        <v>1893.9999999999995</v>
      </c>
      <c r="T41" s="29">
        <f t="shared" si="7"/>
        <v>13837080.600000001</v>
      </c>
      <c r="U41" s="29">
        <f t="shared" si="8"/>
        <v>4708837.5</v>
      </c>
      <c r="V41" s="29">
        <f t="shared" si="9"/>
        <v>2563504.3200000003</v>
      </c>
      <c r="W41" s="29">
        <f t="shared" si="10"/>
        <v>1085706.1599999999</v>
      </c>
      <c r="X41" s="29">
        <f t="shared" si="11"/>
        <v>600967.08000000007</v>
      </c>
      <c r="Y41" s="29">
        <f t="shared" si="12"/>
        <v>77412.799999999988</v>
      </c>
      <c r="Z41" s="29">
        <f t="shared" si="13"/>
        <v>177993.47999999995</v>
      </c>
      <c r="AA41" s="29">
        <f t="shared" si="14"/>
        <v>23051501.940000005</v>
      </c>
      <c r="AB41" s="33">
        <f t="shared" si="15"/>
        <v>230.71805128513097</v>
      </c>
      <c r="AC41">
        <f>VLOOKUP(B41,Graduates!$B$2:$AB$48,27,FALSE)</f>
        <v>10.684802626311154</v>
      </c>
    </row>
    <row r="42" spans="1:29" x14ac:dyDescent="0.35">
      <c r="A42" s="1" t="s">
        <v>117</v>
      </c>
      <c r="B42" s="1" t="s">
        <v>118</v>
      </c>
      <c r="C42" s="3">
        <v>8472212</v>
      </c>
      <c r="D42">
        <v>1.3054441980441471</v>
      </c>
      <c r="E42">
        <v>8.6825022792158641</v>
      </c>
      <c r="F42">
        <v>2.6805278243745554</v>
      </c>
      <c r="G42">
        <v>1.7704939394812123E-2</v>
      </c>
      <c r="H42">
        <v>0.10504930707588526</v>
      </c>
      <c r="I42">
        <v>0</v>
      </c>
      <c r="J42">
        <v>0.35173812931026754</v>
      </c>
      <c r="K42">
        <v>13.142966677415535</v>
      </c>
      <c r="L42" s="25">
        <f t="shared" si="0"/>
        <v>1106</v>
      </c>
      <c r="M42" s="25">
        <f t="shared" si="1"/>
        <v>7356</v>
      </c>
      <c r="N42" s="25">
        <f t="shared" si="2"/>
        <v>2271</v>
      </c>
      <c r="O42" s="25">
        <f t="shared" si="3"/>
        <v>15</v>
      </c>
      <c r="P42" s="25">
        <f t="shared" si="4"/>
        <v>89</v>
      </c>
      <c r="Q42" s="25">
        <f t="shared" si="5"/>
        <v>0</v>
      </c>
      <c r="R42" s="25">
        <f t="shared" si="16"/>
        <v>298.00000000000006</v>
      </c>
      <c r="S42" s="25">
        <f t="shared" si="6"/>
        <v>11135.000000000002</v>
      </c>
      <c r="T42" s="29">
        <f t="shared" si="7"/>
        <v>18482863.699999999</v>
      </c>
      <c r="U42" s="29">
        <f t="shared" si="8"/>
        <v>55421133.840000004</v>
      </c>
      <c r="V42" s="29">
        <f t="shared" si="9"/>
        <v>18659353.560000002</v>
      </c>
      <c r="W42" s="29">
        <f t="shared" si="10"/>
        <v>370127.1</v>
      </c>
      <c r="X42" s="29">
        <f t="shared" si="11"/>
        <v>990482.78</v>
      </c>
      <c r="Y42" s="29">
        <f t="shared" si="12"/>
        <v>0</v>
      </c>
      <c r="Z42" s="29">
        <f t="shared" si="13"/>
        <v>2525812.2400000002</v>
      </c>
      <c r="AA42" s="29">
        <f t="shared" si="14"/>
        <v>96449773.219999999</v>
      </c>
      <c r="AB42" s="33">
        <f t="shared" si="15"/>
        <v>11.384249263356487</v>
      </c>
      <c r="AC42">
        <f>VLOOKUP(B42,Graduates!$B$2:$AB$48,27,FALSE)</f>
        <v>5.2633400226528799</v>
      </c>
    </row>
    <row r="43" spans="1:29" x14ac:dyDescent="0.35">
      <c r="A43" s="1" t="s">
        <v>119</v>
      </c>
      <c r="B43" s="1" t="s">
        <v>120</v>
      </c>
      <c r="C43" s="3">
        <v>61452696</v>
      </c>
      <c r="D43">
        <v>8.0603461237892642</v>
      </c>
      <c r="E43">
        <v>64.645007600642941</v>
      </c>
      <c r="F43">
        <v>0.25108743805153805</v>
      </c>
      <c r="G43">
        <v>0.19039034512009043</v>
      </c>
      <c r="H43">
        <v>2.7385291607059843</v>
      </c>
      <c r="I43">
        <v>2.115448279112116E-3</v>
      </c>
      <c r="J43">
        <v>0.1806267376780345</v>
      </c>
      <c r="K43">
        <v>76.068102854266968</v>
      </c>
      <c r="L43" s="25">
        <f t="shared" si="0"/>
        <v>49533</v>
      </c>
      <c r="M43" s="25">
        <f t="shared" si="1"/>
        <v>397261</v>
      </c>
      <c r="N43" s="25">
        <f t="shared" si="2"/>
        <v>1543</v>
      </c>
      <c r="O43" s="25">
        <f t="shared" si="3"/>
        <v>1170</v>
      </c>
      <c r="P43" s="25">
        <f t="shared" si="4"/>
        <v>16829</v>
      </c>
      <c r="Q43" s="25">
        <f t="shared" si="5"/>
        <v>13.000000000000002</v>
      </c>
      <c r="R43" s="25">
        <f t="shared" si="16"/>
        <v>1110</v>
      </c>
      <c r="S43" s="25">
        <f t="shared" si="6"/>
        <v>467459</v>
      </c>
      <c r="T43" s="29">
        <f t="shared" si="7"/>
        <v>827768252.85000002</v>
      </c>
      <c r="U43" s="29">
        <f t="shared" si="8"/>
        <v>2993019990.54</v>
      </c>
      <c r="V43" s="29">
        <f t="shared" si="9"/>
        <v>12677843.48</v>
      </c>
      <c r="W43" s="29">
        <f t="shared" si="10"/>
        <v>28869913.800000001</v>
      </c>
      <c r="X43" s="29">
        <f t="shared" si="11"/>
        <v>187290277.58000001</v>
      </c>
      <c r="Y43" s="29">
        <f t="shared" si="12"/>
        <v>100636.64000000001</v>
      </c>
      <c r="Z43" s="29">
        <f t="shared" si="13"/>
        <v>9408226.7999999989</v>
      </c>
      <c r="AA43" s="29">
        <f t="shared" si="14"/>
        <v>4059135141.6900001</v>
      </c>
      <c r="AB43" s="33">
        <f t="shared" si="15"/>
        <v>66.053003462858655</v>
      </c>
      <c r="AC43">
        <f>VLOOKUP(B43,Graduates!$B$2:$AB$48,27,FALSE)</f>
        <v>2.1852693411530715</v>
      </c>
    </row>
    <row r="44" spans="1:29" x14ac:dyDescent="0.35">
      <c r="A44" s="1" t="s">
        <v>121</v>
      </c>
      <c r="B44" s="1" t="s">
        <v>122</v>
      </c>
      <c r="C44" s="3">
        <v>11891023</v>
      </c>
      <c r="D44">
        <v>0.38348256495677452</v>
      </c>
      <c r="E44">
        <v>3.8095965334521678</v>
      </c>
      <c r="F44">
        <v>2.5969170188300872</v>
      </c>
      <c r="G44">
        <v>2.691105718994909E-2</v>
      </c>
      <c r="H44">
        <v>0.13455528594974545</v>
      </c>
      <c r="I44">
        <v>0.53401629111305227</v>
      </c>
      <c r="J44">
        <v>0.22874398611456728</v>
      </c>
      <c r="K44">
        <v>7.7142227376063435</v>
      </c>
      <c r="L44" s="25">
        <f t="shared" si="0"/>
        <v>456</v>
      </c>
      <c r="M44" s="25">
        <f t="shared" si="1"/>
        <v>4529.9999999999991</v>
      </c>
      <c r="N44" s="25">
        <f t="shared" si="2"/>
        <v>3088</v>
      </c>
      <c r="O44" s="25">
        <f t="shared" si="3"/>
        <v>32</v>
      </c>
      <c r="P44" s="25">
        <f t="shared" si="4"/>
        <v>160</v>
      </c>
      <c r="Q44" s="25">
        <f t="shared" si="5"/>
        <v>635</v>
      </c>
      <c r="R44" s="25">
        <f t="shared" si="16"/>
        <v>272</v>
      </c>
      <c r="S44" s="25">
        <f t="shared" si="6"/>
        <v>9173</v>
      </c>
      <c r="T44" s="29">
        <f t="shared" si="7"/>
        <v>7620421.2000000002</v>
      </c>
      <c r="U44" s="29">
        <f t="shared" si="8"/>
        <v>34129654.199999996</v>
      </c>
      <c r="V44" s="29">
        <f t="shared" si="9"/>
        <v>25372119.680000003</v>
      </c>
      <c r="W44" s="29">
        <f t="shared" si="10"/>
        <v>789604.48</v>
      </c>
      <c r="X44" s="29">
        <f t="shared" si="11"/>
        <v>1780643.2000000002</v>
      </c>
      <c r="Y44" s="29">
        <f t="shared" si="12"/>
        <v>4915712.8</v>
      </c>
      <c r="Z44" s="29">
        <f t="shared" si="13"/>
        <v>2305439.36</v>
      </c>
      <c r="AA44" s="29">
        <f t="shared" si="14"/>
        <v>76913594.920000002</v>
      </c>
      <c r="AB44" s="33">
        <f t="shared" si="15"/>
        <v>6.4682067236771807</v>
      </c>
      <c r="AC44">
        <f>VLOOKUP(B44,Graduates!$B$2:$AB$48,27,FALSE)</f>
        <v>1.0973401531558722</v>
      </c>
    </row>
    <row r="45" spans="1:29" x14ac:dyDescent="0.35">
      <c r="A45" s="1" t="s">
        <v>123</v>
      </c>
      <c r="B45" s="1" t="s">
        <v>124</v>
      </c>
      <c r="C45" s="3">
        <v>49700758</v>
      </c>
      <c r="D45">
        <v>1.8213001902304993</v>
      </c>
      <c r="E45">
        <v>14.928746157151163</v>
      </c>
      <c r="F45">
        <v>6.6310859886684224</v>
      </c>
      <c r="G45">
        <v>0.10140690409590936</v>
      </c>
      <c r="H45">
        <v>0.34446154724642225</v>
      </c>
      <c r="I45">
        <v>0.75894214732097243</v>
      </c>
      <c r="J45">
        <v>2.6921118587366415</v>
      </c>
      <c r="K45">
        <v>27.278054793450032</v>
      </c>
      <c r="L45" s="25">
        <f t="shared" si="0"/>
        <v>9052.0000000000018</v>
      </c>
      <c r="M45" s="25">
        <f t="shared" si="1"/>
        <v>74197</v>
      </c>
      <c r="N45" s="25">
        <f t="shared" si="2"/>
        <v>32957</v>
      </c>
      <c r="O45" s="25">
        <f t="shared" si="3"/>
        <v>504</v>
      </c>
      <c r="P45" s="25">
        <f t="shared" si="4"/>
        <v>1712</v>
      </c>
      <c r="Q45" s="25">
        <f t="shared" si="5"/>
        <v>3772</v>
      </c>
      <c r="R45" s="25">
        <f t="shared" si="16"/>
        <v>13380</v>
      </c>
      <c r="S45" s="25">
        <f t="shared" si="6"/>
        <v>135574</v>
      </c>
      <c r="T45" s="29">
        <f t="shared" si="7"/>
        <v>151272045.40000004</v>
      </c>
      <c r="U45" s="29">
        <f t="shared" si="8"/>
        <v>559010585.58000004</v>
      </c>
      <c r="V45" s="29">
        <f t="shared" si="9"/>
        <v>270786576.52000004</v>
      </c>
      <c r="W45" s="29">
        <f t="shared" si="10"/>
        <v>12436270.560000001</v>
      </c>
      <c r="X45" s="29">
        <f t="shared" si="11"/>
        <v>19052882.240000002</v>
      </c>
      <c r="Y45" s="29">
        <f t="shared" si="12"/>
        <v>29200108.16</v>
      </c>
      <c r="Z45" s="29">
        <f t="shared" si="13"/>
        <v>113407274.39999999</v>
      </c>
      <c r="AA45" s="29">
        <f t="shared" si="14"/>
        <v>1155165742.8599999</v>
      </c>
      <c r="AB45" s="33">
        <f t="shared" si="15"/>
        <v>23.242417004183313</v>
      </c>
      <c r="AC45">
        <f>VLOOKUP(B45,Graduates!$B$2:$AB$48,27,FALSE)</f>
        <v>0.2082909379370029</v>
      </c>
    </row>
    <row r="46" spans="1:29" x14ac:dyDescent="0.35">
      <c r="A46" s="1" t="s">
        <v>125</v>
      </c>
      <c r="B46" s="1" t="s">
        <v>126</v>
      </c>
      <c r="C46" s="3">
        <v>65136238</v>
      </c>
      <c r="D46">
        <v>1.3345873613394743</v>
      </c>
      <c r="E46">
        <v>7.086070890369812</v>
      </c>
      <c r="F46">
        <v>0</v>
      </c>
      <c r="G46">
        <v>0.11591090047294411</v>
      </c>
      <c r="H46">
        <v>0.34727212830437032</v>
      </c>
      <c r="I46">
        <v>0.23826982454835663</v>
      </c>
      <c r="J46">
        <v>0.72816609396446885</v>
      </c>
      <c r="K46">
        <v>9.8502771989994251</v>
      </c>
      <c r="L46" s="25">
        <f t="shared" si="0"/>
        <v>8693</v>
      </c>
      <c r="M46" s="25">
        <f t="shared" si="1"/>
        <v>46156</v>
      </c>
      <c r="N46" s="25">
        <f t="shared" si="2"/>
        <v>0</v>
      </c>
      <c r="O46" s="25">
        <f t="shared" si="3"/>
        <v>755</v>
      </c>
      <c r="P46" s="25">
        <f t="shared" si="4"/>
        <v>2262</v>
      </c>
      <c r="Q46" s="25">
        <f t="shared" si="5"/>
        <v>1552</v>
      </c>
      <c r="R46" s="25">
        <f t="shared" si="16"/>
        <v>4743.0000000000009</v>
      </c>
      <c r="S46" s="25">
        <f t="shared" si="6"/>
        <v>64160.999999999985</v>
      </c>
      <c r="T46" s="29">
        <f t="shared" si="7"/>
        <v>145272634.84999999</v>
      </c>
      <c r="U46" s="29">
        <f t="shared" si="8"/>
        <v>347745765.84000003</v>
      </c>
      <c r="V46" s="29">
        <f t="shared" si="9"/>
        <v>0</v>
      </c>
      <c r="W46" s="29">
        <f t="shared" si="10"/>
        <v>18629730.699999999</v>
      </c>
      <c r="X46" s="29">
        <f t="shared" si="11"/>
        <v>25173843.240000002</v>
      </c>
      <c r="Y46" s="29">
        <f t="shared" si="12"/>
        <v>12014466.560000001</v>
      </c>
      <c r="Z46" s="29">
        <f t="shared" si="13"/>
        <v>40201098.840000004</v>
      </c>
      <c r="AA46" s="29">
        <f t="shared" si="14"/>
        <v>589037540.03000009</v>
      </c>
      <c r="AB46" s="33">
        <f t="shared" si="15"/>
        <v>9.0431618115556525</v>
      </c>
      <c r="AC46">
        <f>VLOOKUP(B46,Graduates!$B$2:$AB$48,27,FALSE)</f>
        <v>5.9479843386104063</v>
      </c>
    </row>
    <row r="47" spans="1:29" x14ac:dyDescent="0.35">
      <c r="A47" s="1" t="s">
        <v>127</v>
      </c>
      <c r="B47" s="1" t="s">
        <v>128</v>
      </c>
      <c r="C47" s="3">
        <v>8886635</v>
      </c>
      <c r="D47">
        <v>0.82145829101791623</v>
      </c>
      <c r="E47">
        <v>2.9595004183248217</v>
      </c>
      <c r="F47">
        <v>2.09753185542109</v>
      </c>
      <c r="G47">
        <v>2.4756277263553637E-2</v>
      </c>
      <c r="H47">
        <v>0.28694775919118992</v>
      </c>
      <c r="I47">
        <v>0.14178595160035265</v>
      </c>
      <c r="J47">
        <v>0.46586812668687305</v>
      </c>
      <c r="K47">
        <v>6.7978486795057966</v>
      </c>
      <c r="L47" s="25">
        <f t="shared" si="0"/>
        <v>730</v>
      </c>
      <c r="M47" s="25">
        <f t="shared" si="1"/>
        <v>2630</v>
      </c>
      <c r="N47" s="25">
        <f t="shared" si="2"/>
        <v>1863.9999999999995</v>
      </c>
      <c r="O47" s="25">
        <f t="shared" si="3"/>
        <v>21.999999999999996</v>
      </c>
      <c r="P47" s="25">
        <f t="shared" si="4"/>
        <v>255</v>
      </c>
      <c r="Q47" s="25">
        <f t="shared" si="5"/>
        <v>125.99999999999997</v>
      </c>
      <c r="R47" s="25">
        <f t="shared" si="16"/>
        <v>414</v>
      </c>
      <c r="S47" s="25">
        <f t="shared" si="6"/>
        <v>6040.9999999999991</v>
      </c>
      <c r="T47" s="29">
        <f t="shared" si="7"/>
        <v>12199358.5</v>
      </c>
      <c r="U47" s="29">
        <f t="shared" si="8"/>
        <v>19814788.199999999</v>
      </c>
      <c r="V47" s="29">
        <f t="shared" si="9"/>
        <v>15315295.039999997</v>
      </c>
      <c r="W47" s="29">
        <f t="shared" si="10"/>
        <v>542853.07999999984</v>
      </c>
      <c r="X47" s="29">
        <f t="shared" si="11"/>
        <v>2837900.1</v>
      </c>
      <c r="Y47" s="29">
        <f t="shared" si="12"/>
        <v>975401.2799999998</v>
      </c>
      <c r="Z47" s="29">
        <f t="shared" si="13"/>
        <v>3509014.32</v>
      </c>
      <c r="AA47" s="29">
        <f t="shared" si="14"/>
        <v>55194610.519999996</v>
      </c>
      <c r="AB47" s="33">
        <f t="shared" si="15"/>
        <v>6.2109685522135205</v>
      </c>
      <c r="AC47">
        <f>VLOOKUP(B47,Graduates!$B$2:$AB$48,27,FALSE)</f>
        <v>9.3501279730741729</v>
      </c>
    </row>
    <row r="48" spans="1:29" x14ac:dyDescent="0.35">
      <c r="A48" s="1" t="s">
        <v>129</v>
      </c>
      <c r="B48" s="1" t="s">
        <v>130</v>
      </c>
      <c r="C48" s="3">
        <v>20032801</v>
      </c>
      <c r="D48">
        <v>3.260153185767682</v>
      </c>
      <c r="E48">
        <v>24.946586351054954</v>
      </c>
      <c r="F48">
        <v>4.5934664852907989</v>
      </c>
      <c r="G48">
        <v>0.14126831290342273</v>
      </c>
      <c r="H48">
        <v>0.71133337769391314</v>
      </c>
      <c r="I48">
        <v>0.20915697210789444</v>
      </c>
      <c r="J48">
        <v>0.76524496000334652</v>
      </c>
      <c r="K48">
        <v>34.627209644822003</v>
      </c>
      <c r="L48" s="25">
        <f t="shared" si="0"/>
        <v>6531.0000000000009</v>
      </c>
      <c r="M48" s="25">
        <f t="shared" si="1"/>
        <v>49975.000000000007</v>
      </c>
      <c r="N48" s="25">
        <f t="shared" si="2"/>
        <v>9202</v>
      </c>
      <c r="O48" s="25">
        <f t="shared" si="3"/>
        <v>283</v>
      </c>
      <c r="P48" s="25">
        <f t="shared" si="4"/>
        <v>1425</v>
      </c>
      <c r="Q48" s="25">
        <f t="shared" si="5"/>
        <v>419</v>
      </c>
      <c r="R48" s="25">
        <f t="shared" si="16"/>
        <v>1533</v>
      </c>
      <c r="S48" s="25">
        <f t="shared" si="6"/>
        <v>69367.999999999985</v>
      </c>
      <c r="T48" s="29">
        <f t="shared" si="7"/>
        <v>109142479.95000002</v>
      </c>
      <c r="U48" s="29">
        <f t="shared" si="8"/>
        <v>376518646.50000006</v>
      </c>
      <c r="V48" s="29">
        <f t="shared" si="9"/>
        <v>75606944.719999999</v>
      </c>
      <c r="W48" s="29">
        <f t="shared" si="10"/>
        <v>6983064.6200000001</v>
      </c>
      <c r="X48" s="29">
        <f t="shared" si="11"/>
        <v>15858853.5</v>
      </c>
      <c r="Y48" s="29">
        <f t="shared" si="12"/>
        <v>3243596.32</v>
      </c>
      <c r="Z48" s="29">
        <f t="shared" si="13"/>
        <v>12993524.039999999</v>
      </c>
      <c r="AA48" s="29">
        <f t="shared" si="14"/>
        <v>600347109.6500001</v>
      </c>
      <c r="AB48" s="33">
        <f t="shared" si="15"/>
        <v>29.96820612604299</v>
      </c>
      <c r="AC48">
        <f>VLOOKUP(B48,Graduates!$B$2:$AB$48,27,FALSE)</f>
        <v>5.948934899318373</v>
      </c>
    </row>
    <row r="49" spans="1:29" x14ac:dyDescent="0.35">
      <c r="A49" s="1" t="s">
        <v>131</v>
      </c>
      <c r="B49" s="1" t="s">
        <v>132</v>
      </c>
      <c r="C49" s="3">
        <v>15581023</v>
      </c>
      <c r="D49">
        <v>1.4260937808769039</v>
      </c>
      <c r="E49">
        <v>29.867743600660884</v>
      </c>
      <c r="F49">
        <v>1.8002669016020323</v>
      </c>
      <c r="G49">
        <v>0.3157687399601426</v>
      </c>
      <c r="H49">
        <v>1.2207157386264047</v>
      </c>
      <c r="I49">
        <v>0.92997744756554179</v>
      </c>
      <c r="J49">
        <v>0.67710573304461452</v>
      </c>
      <c r="K49">
        <v>36.237671942336519</v>
      </c>
      <c r="L49" s="25">
        <f t="shared" si="0"/>
        <v>2222</v>
      </c>
      <c r="M49" s="25">
        <f t="shared" si="1"/>
        <v>46537.000000000007</v>
      </c>
      <c r="N49" s="25">
        <f t="shared" si="2"/>
        <v>2805.0000000000005</v>
      </c>
      <c r="O49" s="25">
        <f t="shared" si="3"/>
        <v>492.00000000000011</v>
      </c>
      <c r="P49" s="25">
        <f t="shared" si="4"/>
        <v>1902</v>
      </c>
      <c r="Q49" s="25">
        <f t="shared" si="5"/>
        <v>1449</v>
      </c>
      <c r="R49" s="25">
        <f t="shared" si="16"/>
        <v>1054.9999999999998</v>
      </c>
      <c r="S49" s="25">
        <f t="shared" si="6"/>
        <v>56462</v>
      </c>
      <c r="T49" s="29">
        <f t="shared" si="7"/>
        <v>37132841.899999999</v>
      </c>
      <c r="U49" s="29">
        <f t="shared" si="8"/>
        <v>350616273.18000007</v>
      </c>
      <c r="V49" s="29">
        <f t="shared" si="9"/>
        <v>23046889.800000004</v>
      </c>
      <c r="W49" s="29">
        <f t="shared" si="10"/>
        <v>12140168.880000003</v>
      </c>
      <c r="X49" s="29">
        <f t="shared" si="11"/>
        <v>21167396.039999999</v>
      </c>
      <c r="Y49" s="29">
        <f t="shared" si="12"/>
        <v>11217114.719999999</v>
      </c>
      <c r="Z49" s="29">
        <f t="shared" si="13"/>
        <v>8942053.3999999966</v>
      </c>
      <c r="AA49" s="29">
        <f t="shared" si="14"/>
        <v>464262737.92000008</v>
      </c>
      <c r="AB49" s="33">
        <f t="shared" si="15"/>
        <v>29.796678813708194</v>
      </c>
      <c r="AC49">
        <f>VLOOKUP(B49,Graduates!$B$2:$AB$48,27,FALSE)</f>
        <v>2.4268710084055458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78</vt:i4>
      </vt:variant>
    </vt:vector>
  </HeadingPairs>
  <TitlesOfParts>
    <vt:vector size="94" baseType="lpstr">
      <vt:lpstr>SEM_HWF</vt:lpstr>
      <vt:lpstr>Sheet5</vt:lpstr>
      <vt:lpstr>Sheet1</vt:lpstr>
      <vt:lpstr>SEM_Vars_HWF</vt:lpstr>
      <vt:lpstr>SEM</vt:lpstr>
      <vt:lpstr>Model_1</vt:lpstr>
      <vt:lpstr>Model_2</vt:lpstr>
      <vt:lpstr>Model_3</vt:lpstr>
      <vt:lpstr>Coef.</vt:lpstr>
      <vt:lpstr>SEM_Vars</vt:lpstr>
      <vt:lpstr>COMBINED</vt:lpstr>
      <vt:lpstr>Sheet2</vt:lpstr>
      <vt:lpstr>Variables</vt:lpstr>
      <vt:lpstr>Tuition and salaries</vt:lpstr>
      <vt:lpstr>Graduates</vt:lpstr>
      <vt:lpstr>Salaries_total</vt:lpstr>
      <vt:lpstr>Model_2!_R²_Impact</vt:lpstr>
      <vt:lpstr>Model_3!_R²_Impact</vt:lpstr>
      <vt:lpstr>_R²_Impact</vt:lpstr>
      <vt:lpstr>Model_2!_R²_Outcome</vt:lpstr>
      <vt:lpstr>Model_3!_R²_Outcome</vt:lpstr>
      <vt:lpstr>_R²_Outcome</vt:lpstr>
      <vt:lpstr>Model_2!_R²_Output</vt:lpstr>
      <vt:lpstr>Model_3!_R²_Output</vt:lpstr>
      <vt:lpstr>_R²_Output</vt:lpstr>
      <vt:lpstr>coef1_Dentists</vt:lpstr>
      <vt:lpstr>coef1_Medical_and_Pathology_Laboratory_Scientists</vt:lpstr>
      <vt:lpstr>coef1_Medical_and_Pathology_Laboratory_Technicians</vt:lpstr>
      <vt:lpstr>coef1_Medical_Doctors</vt:lpstr>
      <vt:lpstr>coef1_Midwifery_Personnel</vt:lpstr>
      <vt:lpstr>coef1_Nursing_Personnel</vt:lpstr>
      <vt:lpstr>coef1_Pharmacists</vt:lpstr>
      <vt:lpstr>GDP_per_capita_growth__annual</vt:lpstr>
      <vt:lpstr>Model_2!HWF_In_service_training_coef.</vt:lpstr>
      <vt:lpstr>Model_3!HWF_In_service_training_coef.</vt:lpstr>
      <vt:lpstr>HWF_In_service_training_coef.</vt:lpstr>
      <vt:lpstr>Model_2!Impact_1_Coef.</vt:lpstr>
      <vt:lpstr>Model_3!Impact_1_Coef.</vt:lpstr>
      <vt:lpstr>Impact_1_Coef.</vt:lpstr>
      <vt:lpstr>Model_2!Impact_2_Coef.</vt:lpstr>
      <vt:lpstr>Model_3!Impact_2_Coef.</vt:lpstr>
      <vt:lpstr>Impact_2_Coef.</vt:lpstr>
      <vt:lpstr>Model_2!Incentive</vt:lpstr>
      <vt:lpstr>Model_3!Incentive</vt:lpstr>
      <vt:lpstr>Incentive</vt:lpstr>
      <vt:lpstr>Model_2!Input_1_coef.</vt:lpstr>
      <vt:lpstr>Model_3!Input_1_coef.</vt:lpstr>
      <vt:lpstr>Input_1_coef.</vt:lpstr>
      <vt:lpstr>Model_2!Input_2_coef.</vt:lpstr>
      <vt:lpstr>Model_3!Input_2_coef.</vt:lpstr>
      <vt:lpstr>Input_2_coef.</vt:lpstr>
      <vt:lpstr>Model_3!Input_3_coef.</vt:lpstr>
      <vt:lpstr>Input_3_coef.</vt:lpstr>
      <vt:lpstr>Model_2!Outcome_1_Coef.</vt:lpstr>
      <vt:lpstr>Model_3!Outcome_1_Coef.</vt:lpstr>
      <vt:lpstr>Outcome_1_Coef.</vt:lpstr>
      <vt:lpstr>Model_2!Outcome_2_Coef.</vt:lpstr>
      <vt:lpstr>Model_3!Outcome_2_Coef.</vt:lpstr>
      <vt:lpstr>Outcome_2_Coef.</vt:lpstr>
      <vt:lpstr>Model_2!Outcome_3_Coef.</vt:lpstr>
      <vt:lpstr>Model_3!Outcome_3_Coef.</vt:lpstr>
      <vt:lpstr>Outcome_3_Coef.</vt:lpstr>
      <vt:lpstr>OUTcome1_DALYS_2021_Communicable__maternal__perinatal_and_nutritional_conditions_per_capita_2021</vt:lpstr>
      <vt:lpstr>OUTcome1_DALYS_2021_Injuries_per_capita_2021</vt:lpstr>
      <vt:lpstr>OUTcome1_DALYS_2021_Noncommunicable_diseases_per_capita__2021</vt:lpstr>
      <vt:lpstr>Model_2!Output_1_Coef.</vt:lpstr>
      <vt:lpstr>Model_3!Output_1_Coef.</vt:lpstr>
      <vt:lpstr>Output_1_Coef.</vt:lpstr>
      <vt:lpstr>Model_2!Output_2_Coef.</vt:lpstr>
      <vt:lpstr>Model_3!Output_2_Coef.</vt:lpstr>
      <vt:lpstr>Output_2_Coef.</vt:lpstr>
      <vt:lpstr>Model_2!Output_3_Coef.</vt:lpstr>
      <vt:lpstr>Model_3!Output_3_Coef.</vt:lpstr>
      <vt:lpstr>Output_3_Coef.</vt:lpstr>
      <vt:lpstr>OUTput1_SCI_Infectiousdiseases</vt:lpstr>
      <vt:lpstr>OUTput1_SCI_NCD</vt:lpstr>
      <vt:lpstr>OUTput1_SCI_RMNCH</vt:lpstr>
      <vt:lpstr>Model_3!Percentage_of_HWF_benefiting_from_the_salary_increase</vt:lpstr>
      <vt:lpstr>Percentage_of_HWF_benefiting_from_the_salary_increase</vt:lpstr>
      <vt:lpstr>Model_2!Percentage_of_people_incentivised</vt:lpstr>
      <vt:lpstr>Model_3!Percentage_of_people_incentivised</vt:lpstr>
      <vt:lpstr>Percentage_of_people_incentivised</vt:lpstr>
      <vt:lpstr>Model_2!Percentage_of_people_trained</vt:lpstr>
      <vt:lpstr>Model_3!Percentage_of_people_trained</vt:lpstr>
      <vt:lpstr>Percentage_of_people_trained</vt:lpstr>
      <vt:lpstr>Model_2!Total_Impact_coef.</vt:lpstr>
      <vt:lpstr>Model_3!Total_Impact_coef.</vt:lpstr>
      <vt:lpstr>Total_Impact_coef.</vt:lpstr>
      <vt:lpstr>Model_2!Total_Outcome_coef.</vt:lpstr>
      <vt:lpstr>Model_3!Total_Outcome_coef.</vt:lpstr>
      <vt:lpstr>Total_Outcome_coef.</vt:lpstr>
      <vt:lpstr>Model_2!Total_Output_coef.</vt:lpstr>
      <vt:lpstr>Model_3!Total_Output_coef.</vt:lpstr>
      <vt:lpstr>Total_Output_coef.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BEDIAKON, Kouadjo San Boris</dc:creator>
  <cp:keywords/>
  <dc:description/>
  <cp:lastModifiedBy>MUNG'ATU, Joseph</cp:lastModifiedBy>
  <cp:revision/>
  <dcterms:created xsi:type="dcterms:W3CDTF">2025-07-10T16:31:45Z</dcterms:created>
  <dcterms:modified xsi:type="dcterms:W3CDTF">2026-01-27T18:56:08Z</dcterms:modified>
  <cp:category/>
  <cp:contentStatus/>
</cp:coreProperties>
</file>