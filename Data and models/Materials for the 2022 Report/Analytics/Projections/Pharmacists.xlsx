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:\Brazzaville\HRH 24\Analytics\Projections\"/>
    </mc:Choice>
  </mc:AlternateContent>
  <xr:revisionPtr revIDLastSave="0" documentId="13_ncr:1_{59A5109B-9D77-4BEC-8654-92E57920474E}" xr6:coauthVersionLast="47" xr6:coauthVersionMax="47" xr10:uidLastSave="{00000000-0000-0000-0000-000000000000}"/>
  <bookViews>
    <workbookView xWindow="-110" yWindow="-110" windowWidth="19420" windowHeight="10300" firstSheet="1" activeTab="4" xr2:uid="{2AFA3AD6-D2AF-4297-82F9-A8E0C0FE96C4}"/>
  </bookViews>
  <sheets>
    <sheet name="Sheet3" sheetId="3" r:id="rId1"/>
    <sheet name="proportions" sheetId="1" r:id="rId2"/>
    <sheet name="Sheet2" sheetId="2" r:id="rId3"/>
    <sheet name="Sheet7" sheetId="7" r:id="rId4"/>
    <sheet name="projections" sheetId="4" r:id="rId5"/>
    <sheet name="Education" sheetId="8" r:id="rId6"/>
    <sheet name="Sheet5" sheetId="5" state="hidden" r:id="rId7"/>
  </sheets>
  <definedNames>
    <definedName name="_xlnm._FilterDatabase" localSheetId="4" hidden="1">projections!$A$2:$U$50</definedName>
  </definedNames>
  <calcPr calcId="191029"/>
  <pivotCaches>
    <pivotCache cacheId="16" r:id="rId8"/>
    <pivotCache cacheId="17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4" l="1"/>
  <c r="E50" i="4"/>
  <c r="F50" i="4"/>
  <c r="S19" i="4"/>
  <c r="S3" i="4"/>
  <c r="W3" i="4" l="1"/>
  <c r="AD4" i="4" l="1"/>
  <c r="AD5" i="4"/>
  <c r="AD6" i="4"/>
  <c r="AD7" i="4"/>
  <c r="AD8" i="4"/>
  <c r="AD9" i="4"/>
  <c r="AD10" i="4"/>
  <c r="AD11" i="4"/>
  <c r="AD12" i="4"/>
  <c r="AD13" i="4"/>
  <c r="AD14" i="4"/>
  <c r="AD15" i="4"/>
  <c r="AD16" i="4"/>
  <c r="AD17" i="4"/>
  <c r="AD18" i="4"/>
  <c r="AD19" i="4"/>
  <c r="AD20" i="4"/>
  <c r="AD21" i="4"/>
  <c r="AD22" i="4"/>
  <c r="AD23" i="4"/>
  <c r="AD24" i="4"/>
  <c r="AD25" i="4"/>
  <c r="AD26" i="4"/>
  <c r="AD27" i="4"/>
  <c r="AD28" i="4"/>
  <c r="AD29" i="4"/>
  <c r="AD30" i="4"/>
  <c r="AD31" i="4"/>
  <c r="AD32" i="4"/>
  <c r="AD33" i="4"/>
  <c r="AD34" i="4"/>
  <c r="AD35" i="4"/>
  <c r="AD36" i="4"/>
  <c r="AD37" i="4"/>
  <c r="AD38" i="4"/>
  <c r="AD39" i="4"/>
  <c r="AD40" i="4"/>
  <c r="AD41" i="4"/>
  <c r="AD42" i="4"/>
  <c r="AD43" i="4"/>
  <c r="AD44" i="4"/>
  <c r="AD45" i="4"/>
  <c r="AD46" i="4"/>
  <c r="AD47" i="4"/>
  <c r="AD48" i="4"/>
  <c r="AD49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B4" i="4"/>
  <c r="AB5" i="4"/>
  <c r="AB6" i="4"/>
  <c r="AB7" i="4"/>
  <c r="AB8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3" i="4"/>
  <c r="AA3" i="4" s="1"/>
  <c r="AB3" i="4" s="1"/>
  <c r="AC3" i="4" s="1"/>
  <c r="AD3" i="4" s="1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3" i="4"/>
  <c r="W18" i="4"/>
  <c r="V18" i="4"/>
  <c r="V10" i="4"/>
  <c r="W10" i="4" s="1"/>
  <c r="V29" i="4"/>
  <c r="W29" i="4" s="1"/>
  <c r="T5" i="4"/>
  <c r="U5" i="4" s="1"/>
  <c r="V5" i="4" s="1"/>
  <c r="W5" i="4" s="1"/>
  <c r="T6" i="4"/>
  <c r="U6" i="4" s="1"/>
  <c r="V6" i="4" s="1"/>
  <c r="W6" i="4" s="1"/>
  <c r="T7" i="4"/>
  <c r="U7" i="4" s="1"/>
  <c r="V7" i="4" s="1"/>
  <c r="W7" i="4" s="1"/>
  <c r="T8" i="4"/>
  <c r="U8" i="4" s="1"/>
  <c r="V8" i="4" s="1"/>
  <c r="W8" i="4" s="1"/>
  <c r="T9" i="4"/>
  <c r="V9" i="4" s="1"/>
  <c r="W9" i="4" s="1"/>
  <c r="T10" i="4"/>
  <c r="T11" i="4"/>
  <c r="V11" i="4" s="1"/>
  <c r="W11" i="4" s="1"/>
  <c r="T12" i="4"/>
  <c r="U12" i="4" s="1"/>
  <c r="T13" i="4"/>
  <c r="V13" i="4" s="1"/>
  <c r="W13" i="4" s="1"/>
  <c r="T14" i="4"/>
  <c r="V14" i="4" s="1"/>
  <c r="W14" i="4" s="1"/>
  <c r="T15" i="4"/>
  <c r="V15" i="4" s="1"/>
  <c r="W15" i="4" s="1"/>
  <c r="T16" i="4"/>
  <c r="U16" i="4" s="1"/>
  <c r="V16" i="4" s="1"/>
  <c r="W16" i="4" s="1"/>
  <c r="T17" i="4"/>
  <c r="V17" i="4" s="1"/>
  <c r="W17" i="4" s="1"/>
  <c r="T18" i="4"/>
  <c r="T19" i="4"/>
  <c r="U19" i="4" s="1"/>
  <c r="V19" i="4" s="1"/>
  <c r="W19" i="4" s="1"/>
  <c r="T20" i="4"/>
  <c r="U20" i="4" s="1"/>
  <c r="V20" i="4" s="1"/>
  <c r="W20" i="4" s="1"/>
  <c r="T21" i="4"/>
  <c r="U21" i="4" s="1"/>
  <c r="V21" i="4" s="1"/>
  <c r="W21" i="4" s="1"/>
  <c r="T22" i="4"/>
  <c r="V22" i="4" s="1"/>
  <c r="W22" i="4" s="1"/>
  <c r="T23" i="4"/>
  <c r="U23" i="4" s="1"/>
  <c r="V23" i="4" s="1"/>
  <c r="W23" i="4" s="1"/>
  <c r="T24" i="4"/>
  <c r="U24" i="4" s="1"/>
  <c r="V24" i="4" s="1"/>
  <c r="W24" i="4" s="1"/>
  <c r="T25" i="4"/>
  <c r="V25" i="4" s="1"/>
  <c r="W25" i="4" s="1"/>
  <c r="T26" i="4"/>
  <c r="U26" i="4" s="1"/>
  <c r="V26" i="4" s="1"/>
  <c r="W26" i="4" s="1"/>
  <c r="T27" i="4"/>
  <c r="U27" i="4" s="1"/>
  <c r="V27" i="4" s="1"/>
  <c r="W27" i="4" s="1"/>
  <c r="T28" i="4"/>
  <c r="U28" i="4" s="1"/>
  <c r="V28" i="4" s="1"/>
  <c r="W28" i="4" s="1"/>
  <c r="T29" i="4"/>
  <c r="T30" i="4"/>
  <c r="U30" i="4" s="1"/>
  <c r="V30" i="4" s="1"/>
  <c r="T31" i="4"/>
  <c r="V31" i="4" s="1"/>
  <c r="W31" i="4" s="1"/>
  <c r="T32" i="4"/>
  <c r="V32" i="4" s="1"/>
  <c r="W32" i="4" s="1"/>
  <c r="T33" i="4"/>
  <c r="V33" i="4" s="1"/>
  <c r="W33" i="4" s="1"/>
  <c r="T34" i="4"/>
  <c r="V34" i="4" s="1"/>
  <c r="W34" i="4" s="1"/>
  <c r="T35" i="4"/>
  <c r="U35" i="4" s="1"/>
  <c r="V35" i="4" s="1"/>
  <c r="W35" i="4" s="1"/>
  <c r="T36" i="4"/>
  <c r="V36" i="4" s="1"/>
  <c r="W36" i="4" s="1"/>
  <c r="T37" i="4"/>
  <c r="V37" i="4" s="1"/>
  <c r="W37" i="4" s="1"/>
  <c r="T38" i="4"/>
  <c r="U38" i="4" s="1"/>
  <c r="V38" i="4" s="1"/>
  <c r="W38" i="4" s="1"/>
  <c r="T39" i="4"/>
  <c r="V39" i="4" s="1"/>
  <c r="W39" i="4" s="1"/>
  <c r="T40" i="4"/>
  <c r="U40" i="4" s="1"/>
  <c r="V40" i="4" s="1"/>
  <c r="W40" i="4" s="1"/>
  <c r="T41" i="4"/>
  <c r="V41" i="4" s="1"/>
  <c r="W41" i="4" s="1"/>
  <c r="T42" i="4"/>
  <c r="U42" i="4" s="1"/>
  <c r="V42" i="4" s="1"/>
  <c r="W42" i="4" s="1"/>
  <c r="T43" i="4"/>
  <c r="U43" i="4" s="1"/>
  <c r="V43" i="4" s="1"/>
  <c r="W43" i="4" s="1"/>
  <c r="T44" i="4"/>
  <c r="V44" i="4" s="1"/>
  <c r="T45" i="4"/>
  <c r="V45" i="4" s="1"/>
  <c r="W45" i="4" s="1"/>
  <c r="T46" i="4"/>
  <c r="U46" i="4" s="1"/>
  <c r="T47" i="4"/>
  <c r="U47" i="4" s="1"/>
  <c r="V47" i="4" s="1"/>
  <c r="W47" i="4" s="1"/>
  <c r="T48" i="4"/>
  <c r="V48" i="4" s="1"/>
  <c r="W48" i="4" s="1"/>
  <c r="T49" i="4"/>
  <c r="U49" i="4" s="1"/>
  <c r="V49" i="4" s="1"/>
  <c r="W49" i="4" s="1"/>
  <c r="T4" i="4"/>
  <c r="U4" i="4" s="1"/>
  <c r="V4" i="4" s="1"/>
  <c r="W4" i="4" s="1"/>
  <c r="T3" i="4"/>
  <c r="V3" i="4" s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D22" i="5"/>
  <c r="B44" i="5"/>
  <c r="C44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2" i="5"/>
  <c r="S50" i="4"/>
  <c r="M14" i="4"/>
  <c r="N4" i="4"/>
  <c r="O4" i="4"/>
  <c r="P4" i="4"/>
  <c r="Q4" i="4"/>
  <c r="R4" i="4"/>
  <c r="N5" i="4"/>
  <c r="O5" i="4"/>
  <c r="P5" i="4"/>
  <c r="Q5" i="4"/>
  <c r="R5" i="4"/>
  <c r="N6" i="4"/>
  <c r="O6" i="4"/>
  <c r="P6" i="4"/>
  <c r="Q6" i="4"/>
  <c r="R6" i="4"/>
  <c r="N7" i="4"/>
  <c r="O7" i="4"/>
  <c r="P7" i="4"/>
  <c r="Q7" i="4"/>
  <c r="R7" i="4"/>
  <c r="N8" i="4"/>
  <c r="O8" i="4"/>
  <c r="P8" i="4"/>
  <c r="Q8" i="4"/>
  <c r="R8" i="4"/>
  <c r="N9" i="4"/>
  <c r="O9" i="4"/>
  <c r="P9" i="4"/>
  <c r="Q9" i="4"/>
  <c r="R9" i="4"/>
  <c r="N10" i="4"/>
  <c r="O10" i="4"/>
  <c r="P10" i="4"/>
  <c r="Q10" i="4"/>
  <c r="R10" i="4"/>
  <c r="N11" i="4"/>
  <c r="O11" i="4"/>
  <c r="P11" i="4"/>
  <c r="Q11" i="4"/>
  <c r="R11" i="4"/>
  <c r="N12" i="4"/>
  <c r="O12" i="4"/>
  <c r="P12" i="4"/>
  <c r="Q12" i="4"/>
  <c r="R12" i="4"/>
  <c r="N13" i="4"/>
  <c r="O13" i="4"/>
  <c r="P13" i="4"/>
  <c r="Q13" i="4"/>
  <c r="R13" i="4"/>
  <c r="N14" i="4"/>
  <c r="O14" i="4"/>
  <c r="P14" i="4"/>
  <c r="Q14" i="4"/>
  <c r="R14" i="4"/>
  <c r="N15" i="4"/>
  <c r="O15" i="4"/>
  <c r="P15" i="4"/>
  <c r="Q15" i="4"/>
  <c r="R15" i="4"/>
  <c r="N16" i="4"/>
  <c r="O16" i="4"/>
  <c r="P16" i="4"/>
  <c r="Q16" i="4"/>
  <c r="R16" i="4"/>
  <c r="N17" i="4"/>
  <c r="O17" i="4"/>
  <c r="P17" i="4"/>
  <c r="Q17" i="4"/>
  <c r="R17" i="4"/>
  <c r="N18" i="4"/>
  <c r="O18" i="4"/>
  <c r="P18" i="4"/>
  <c r="Q18" i="4"/>
  <c r="R18" i="4"/>
  <c r="N19" i="4"/>
  <c r="O19" i="4"/>
  <c r="P19" i="4"/>
  <c r="Q19" i="4"/>
  <c r="R19" i="4"/>
  <c r="N20" i="4"/>
  <c r="O20" i="4"/>
  <c r="P20" i="4"/>
  <c r="Q20" i="4"/>
  <c r="R20" i="4"/>
  <c r="N21" i="4"/>
  <c r="O21" i="4"/>
  <c r="P21" i="4"/>
  <c r="Q21" i="4"/>
  <c r="R21" i="4"/>
  <c r="N22" i="4"/>
  <c r="O22" i="4"/>
  <c r="P22" i="4"/>
  <c r="Q22" i="4"/>
  <c r="R22" i="4"/>
  <c r="N23" i="4"/>
  <c r="O23" i="4"/>
  <c r="P23" i="4"/>
  <c r="Q23" i="4"/>
  <c r="R23" i="4"/>
  <c r="N24" i="4"/>
  <c r="O24" i="4"/>
  <c r="P24" i="4"/>
  <c r="Q24" i="4"/>
  <c r="R24" i="4"/>
  <c r="N25" i="4"/>
  <c r="O25" i="4"/>
  <c r="P25" i="4"/>
  <c r="Q25" i="4"/>
  <c r="R25" i="4"/>
  <c r="N26" i="4"/>
  <c r="O26" i="4"/>
  <c r="P26" i="4"/>
  <c r="Q26" i="4"/>
  <c r="R26" i="4"/>
  <c r="N27" i="4"/>
  <c r="O27" i="4"/>
  <c r="P27" i="4"/>
  <c r="Q27" i="4"/>
  <c r="R27" i="4"/>
  <c r="N28" i="4"/>
  <c r="O28" i="4"/>
  <c r="P28" i="4"/>
  <c r="Q28" i="4"/>
  <c r="R28" i="4"/>
  <c r="N29" i="4"/>
  <c r="O29" i="4"/>
  <c r="P29" i="4"/>
  <c r="Q29" i="4"/>
  <c r="R29" i="4"/>
  <c r="N30" i="4"/>
  <c r="O30" i="4"/>
  <c r="P30" i="4"/>
  <c r="Q30" i="4"/>
  <c r="R30" i="4"/>
  <c r="N31" i="4"/>
  <c r="O31" i="4"/>
  <c r="P31" i="4"/>
  <c r="Q31" i="4"/>
  <c r="R31" i="4"/>
  <c r="N32" i="4"/>
  <c r="O32" i="4"/>
  <c r="P32" i="4"/>
  <c r="Q32" i="4"/>
  <c r="R32" i="4"/>
  <c r="N33" i="4"/>
  <c r="O33" i="4"/>
  <c r="P33" i="4"/>
  <c r="Q33" i="4"/>
  <c r="R33" i="4"/>
  <c r="N34" i="4"/>
  <c r="O34" i="4"/>
  <c r="P34" i="4"/>
  <c r="Q34" i="4"/>
  <c r="R34" i="4"/>
  <c r="N35" i="4"/>
  <c r="O35" i="4"/>
  <c r="P35" i="4"/>
  <c r="Q35" i="4"/>
  <c r="R35" i="4"/>
  <c r="N36" i="4"/>
  <c r="O36" i="4"/>
  <c r="P36" i="4"/>
  <c r="Q36" i="4"/>
  <c r="R36" i="4"/>
  <c r="N37" i="4"/>
  <c r="O37" i="4"/>
  <c r="P37" i="4"/>
  <c r="Q37" i="4"/>
  <c r="R37" i="4"/>
  <c r="N38" i="4"/>
  <c r="O38" i="4"/>
  <c r="P38" i="4"/>
  <c r="Q38" i="4"/>
  <c r="R38" i="4"/>
  <c r="N39" i="4"/>
  <c r="O39" i="4"/>
  <c r="P39" i="4"/>
  <c r="Q39" i="4"/>
  <c r="R39" i="4"/>
  <c r="N40" i="4"/>
  <c r="O40" i="4"/>
  <c r="P40" i="4"/>
  <c r="Q40" i="4"/>
  <c r="R40" i="4"/>
  <c r="N41" i="4"/>
  <c r="O41" i="4"/>
  <c r="P41" i="4"/>
  <c r="Q41" i="4"/>
  <c r="R41" i="4"/>
  <c r="N42" i="4"/>
  <c r="O42" i="4"/>
  <c r="P42" i="4"/>
  <c r="Q42" i="4"/>
  <c r="R42" i="4"/>
  <c r="N43" i="4"/>
  <c r="O43" i="4"/>
  <c r="P43" i="4"/>
  <c r="Q43" i="4"/>
  <c r="R43" i="4"/>
  <c r="N44" i="4"/>
  <c r="O44" i="4"/>
  <c r="P44" i="4"/>
  <c r="Q44" i="4"/>
  <c r="R44" i="4"/>
  <c r="N45" i="4"/>
  <c r="O45" i="4"/>
  <c r="P45" i="4"/>
  <c r="Q45" i="4"/>
  <c r="R45" i="4"/>
  <c r="N46" i="4"/>
  <c r="O46" i="4"/>
  <c r="P46" i="4"/>
  <c r="Q46" i="4"/>
  <c r="R46" i="4"/>
  <c r="N47" i="4"/>
  <c r="O47" i="4"/>
  <c r="P47" i="4"/>
  <c r="Q47" i="4"/>
  <c r="R47" i="4"/>
  <c r="N48" i="4"/>
  <c r="O48" i="4"/>
  <c r="P48" i="4"/>
  <c r="Q48" i="4"/>
  <c r="R48" i="4"/>
  <c r="N49" i="4"/>
  <c r="O49" i="4"/>
  <c r="P49" i="4"/>
  <c r="Q49" i="4"/>
  <c r="R49" i="4"/>
  <c r="N50" i="4"/>
  <c r="O50" i="4"/>
  <c r="P50" i="4"/>
  <c r="Q50" i="4"/>
  <c r="R50" i="4"/>
  <c r="M19" i="4"/>
  <c r="M9" i="4"/>
  <c r="M33" i="4"/>
  <c r="M29" i="4"/>
  <c r="M11" i="4"/>
  <c r="M10" i="4"/>
  <c r="M22" i="4"/>
  <c r="M6" i="4"/>
  <c r="M7" i="4"/>
  <c r="M8" i="4"/>
  <c r="M12" i="4"/>
  <c r="M13" i="4"/>
  <c r="M15" i="4"/>
  <c r="M16" i="4"/>
  <c r="M17" i="4"/>
  <c r="M18" i="4"/>
  <c r="M20" i="4"/>
  <c r="M21" i="4"/>
  <c r="M23" i="4"/>
  <c r="M24" i="4"/>
  <c r="M25" i="4"/>
  <c r="M26" i="4"/>
  <c r="M27" i="4"/>
  <c r="M28" i="4"/>
  <c r="M30" i="4"/>
  <c r="M31" i="4"/>
  <c r="M32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" i="4"/>
  <c r="M4" i="4"/>
  <c r="N3" i="4"/>
  <c r="O3" i="4"/>
  <c r="P3" i="4"/>
  <c r="Q3" i="4"/>
  <c r="R3" i="4"/>
  <c r="M3" i="4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M3" i="1"/>
  <c r="I5" i="1"/>
  <c r="J6" i="1"/>
  <c r="K6" i="1"/>
  <c r="L7" i="1"/>
  <c r="M7" i="1"/>
  <c r="N8" i="1"/>
  <c r="I9" i="1"/>
  <c r="J10" i="1"/>
  <c r="K10" i="1"/>
  <c r="M11" i="1"/>
  <c r="I13" i="1"/>
  <c r="J13" i="1"/>
  <c r="K14" i="1"/>
  <c r="L14" i="1"/>
  <c r="M15" i="1"/>
  <c r="N15" i="1"/>
  <c r="I17" i="1"/>
  <c r="J17" i="1"/>
  <c r="K18" i="1"/>
  <c r="L18" i="1"/>
  <c r="N19" i="1"/>
  <c r="H3" i="1"/>
  <c r="N3" i="1" s="1"/>
  <c r="H4" i="1"/>
  <c r="I4" i="1" s="1"/>
  <c r="H5" i="1"/>
  <c r="J5" i="1" s="1"/>
  <c r="H6" i="1"/>
  <c r="L6" i="1" s="1"/>
  <c r="H7" i="1"/>
  <c r="N7" i="1" s="1"/>
  <c r="H8" i="1"/>
  <c r="I8" i="1" s="1"/>
  <c r="H9" i="1"/>
  <c r="J9" i="1" s="1"/>
  <c r="H10" i="1"/>
  <c r="L10" i="1" s="1"/>
  <c r="H11" i="1"/>
  <c r="N11" i="1" s="1"/>
  <c r="H12" i="1"/>
  <c r="I12" i="1" s="1"/>
  <c r="H13" i="1"/>
  <c r="K13" i="1" s="1"/>
  <c r="H14" i="1"/>
  <c r="M14" i="1" s="1"/>
  <c r="H15" i="1"/>
  <c r="I15" i="1" s="1"/>
  <c r="H16" i="1"/>
  <c r="I16" i="1" s="1"/>
  <c r="H17" i="1"/>
  <c r="K17" i="1" s="1"/>
  <c r="H18" i="1"/>
  <c r="M18" i="1" s="1"/>
  <c r="H19" i="1"/>
  <c r="M19" i="1" s="1"/>
  <c r="H2" i="1"/>
  <c r="N2" i="1" s="1"/>
  <c r="V12" i="4" l="1"/>
  <c r="V46" i="4"/>
  <c r="W46" i="4" s="1"/>
  <c r="W30" i="4"/>
  <c r="W44" i="4"/>
  <c r="L3" i="1"/>
  <c r="I2" i="1"/>
  <c r="L19" i="1"/>
  <c r="J18" i="1"/>
  <c r="N16" i="1"/>
  <c r="L15" i="1"/>
  <c r="J14" i="1"/>
  <c r="N12" i="1"/>
  <c r="K11" i="1"/>
  <c r="I10" i="1"/>
  <c r="M8" i="1"/>
  <c r="K7" i="1"/>
  <c r="I6" i="1"/>
  <c r="M4" i="1"/>
  <c r="K3" i="1"/>
  <c r="N4" i="1"/>
  <c r="M2" i="1"/>
  <c r="K19" i="1"/>
  <c r="I18" i="1"/>
  <c r="M16" i="1"/>
  <c r="K15" i="1"/>
  <c r="I14" i="1"/>
  <c r="M12" i="1"/>
  <c r="J11" i="1"/>
  <c r="N9" i="1"/>
  <c r="L8" i="1"/>
  <c r="J7" i="1"/>
  <c r="N5" i="1"/>
  <c r="L4" i="1"/>
  <c r="J3" i="1"/>
  <c r="L2" i="1"/>
  <c r="J19" i="1"/>
  <c r="N17" i="1"/>
  <c r="L16" i="1"/>
  <c r="J15" i="1"/>
  <c r="N13" i="1"/>
  <c r="K12" i="1"/>
  <c r="I11" i="1"/>
  <c r="M9" i="1"/>
  <c r="K8" i="1"/>
  <c r="I7" i="1"/>
  <c r="M5" i="1"/>
  <c r="K4" i="1"/>
  <c r="I3" i="1"/>
  <c r="K2" i="1"/>
  <c r="I19" i="1"/>
  <c r="M17" i="1"/>
  <c r="K16" i="1"/>
  <c r="M13" i="1"/>
  <c r="J12" i="1"/>
  <c r="N10" i="1"/>
  <c r="L9" i="1"/>
  <c r="J8" i="1"/>
  <c r="N6" i="1"/>
  <c r="L5" i="1"/>
  <c r="J4" i="1"/>
  <c r="L12" i="1"/>
  <c r="L11" i="1"/>
  <c r="J2" i="1"/>
  <c r="N18" i="1"/>
  <c r="L17" i="1"/>
  <c r="J16" i="1"/>
  <c r="N14" i="1"/>
  <c r="L13" i="1"/>
  <c r="M10" i="1"/>
  <c r="K9" i="1"/>
  <c r="M6" i="1"/>
  <c r="K5" i="1"/>
  <c r="D44" i="5"/>
  <c r="W12" i="4" l="1"/>
  <c r="V50" i="4"/>
  <c r="W50" i="4"/>
  <c r="X50" i="4" l="1"/>
  <c r="Y50" i="4" l="1"/>
  <c r="Z50" i="4"/>
  <c r="AA50" i="4" l="1"/>
  <c r="AB50" i="4" l="1"/>
  <c r="AD50" i="4" l="1"/>
  <c r="AC50" i="4"/>
</calcChain>
</file>

<file path=xl/sharedStrings.xml><?xml version="1.0" encoding="utf-8"?>
<sst xmlns="http://schemas.openxmlformats.org/spreadsheetml/2006/main" count="642" uniqueCount="176">
  <si>
    <t>Row Labels</t>
  </si>
  <si>
    <t>BFA</t>
  </si>
  <si>
    <t>BWA</t>
  </si>
  <si>
    <t>CIV</t>
  </si>
  <si>
    <t>CMR</t>
  </si>
  <si>
    <t>COG</t>
  </si>
  <si>
    <t>CPV</t>
  </si>
  <si>
    <t>ERI</t>
  </si>
  <si>
    <t>GAB</t>
  </si>
  <si>
    <t>GHA</t>
  </si>
  <si>
    <t>GNB</t>
  </si>
  <si>
    <t>KEN</t>
  </si>
  <si>
    <t>MOZ</t>
  </si>
  <si>
    <t>MWI</t>
  </si>
  <si>
    <t>NGA</t>
  </si>
  <si>
    <t>SEN</t>
  </si>
  <si>
    <t>SWZ</t>
  </si>
  <si>
    <t>SYC</t>
  </si>
  <si>
    <t>TCD</t>
  </si>
  <si>
    <t>TGO</t>
  </si>
  <si>
    <t>ZMB</t>
  </si>
  <si>
    <t>ZWE</t>
  </si>
  <si>
    <t>Grand Total</t>
  </si>
  <si>
    <t>BEN</t>
  </si>
  <si>
    <t>DZA</t>
  </si>
  <si>
    <t>Pharmacists Stock By Age Group &lt; 25 yrs</t>
  </si>
  <si>
    <t>Pharmacists Stock By Age Group 25-34 yrs</t>
  </si>
  <si>
    <t>Pharmacists Stock By Age Group 35-44 yrs</t>
  </si>
  <si>
    <t>Pharmacists Stock By Age Group 45-54 yrs</t>
  </si>
  <si>
    <t>Pharmacists Stock By Age Group 55-64 yrs</t>
  </si>
  <si>
    <t>Pharmacists Stock By Age Group ≥ 65 yrs</t>
  </si>
  <si>
    <t>AFRO</t>
  </si>
  <si>
    <t>Total</t>
  </si>
  <si>
    <t>Country</t>
  </si>
  <si>
    <t>country code</t>
  </si>
  <si>
    <t>Income</t>
  </si>
  <si>
    <t>Algeria</t>
  </si>
  <si>
    <t>Lower-Middle-Income Economies</t>
  </si>
  <si>
    <t>Angola</t>
  </si>
  <si>
    <t>AGO</t>
  </si>
  <si>
    <t>Benin</t>
  </si>
  <si>
    <t>Botswana</t>
  </si>
  <si>
    <t>High/Upper-Middle-Income Economies </t>
  </si>
  <si>
    <t>Burkina Faso</t>
  </si>
  <si>
    <t>Low-Income Economies</t>
  </si>
  <si>
    <t>Burundi</t>
  </si>
  <si>
    <t>BDI</t>
  </si>
  <si>
    <t>Cameroon</t>
  </si>
  <si>
    <t>Cape-Verde</t>
  </si>
  <si>
    <t>Central African Republic</t>
  </si>
  <si>
    <t>CAF</t>
  </si>
  <si>
    <t>Chad</t>
  </si>
  <si>
    <t>Comoros</t>
  </si>
  <si>
    <t>COM</t>
  </si>
  <si>
    <t>Congo</t>
  </si>
  <si>
    <t>Cote d'Ivoire</t>
  </si>
  <si>
    <t>DRC</t>
  </si>
  <si>
    <t>COD</t>
  </si>
  <si>
    <t>Equatorial Guinea</t>
  </si>
  <si>
    <t>GNQ</t>
  </si>
  <si>
    <t>Eritrea</t>
  </si>
  <si>
    <t>Eswatini</t>
  </si>
  <si>
    <t>Ethiopia</t>
  </si>
  <si>
    <t>ETH</t>
  </si>
  <si>
    <t>Gabon</t>
  </si>
  <si>
    <t>Gambia</t>
  </si>
  <si>
    <t>GMB</t>
  </si>
  <si>
    <t>Ghana</t>
  </si>
  <si>
    <t>Guinea</t>
  </si>
  <si>
    <t>GIN</t>
  </si>
  <si>
    <t>Guinea-Bissau</t>
  </si>
  <si>
    <t>Kenya</t>
  </si>
  <si>
    <t>Lesotho</t>
  </si>
  <si>
    <t>LSO</t>
  </si>
  <si>
    <t>Liberia</t>
  </si>
  <si>
    <t>LBR</t>
  </si>
  <si>
    <t>Madagascar</t>
  </si>
  <si>
    <t>MDG</t>
  </si>
  <si>
    <t>Malawi</t>
  </si>
  <si>
    <t>Mali</t>
  </si>
  <si>
    <t>MLI</t>
  </si>
  <si>
    <t>Mauritania</t>
  </si>
  <si>
    <t>MRT</t>
  </si>
  <si>
    <t>Mauritius</t>
  </si>
  <si>
    <t>MUS</t>
  </si>
  <si>
    <t>Mozambique</t>
  </si>
  <si>
    <t>Namibia</t>
  </si>
  <si>
    <t>NAM</t>
  </si>
  <si>
    <t>Niger</t>
  </si>
  <si>
    <t>NER</t>
  </si>
  <si>
    <t>Nigeria</t>
  </si>
  <si>
    <t>Rwanda</t>
  </si>
  <si>
    <t>RWA</t>
  </si>
  <si>
    <t>Sao Tome and Principe</t>
  </si>
  <si>
    <t>STP</t>
  </si>
  <si>
    <t>Senegal</t>
  </si>
  <si>
    <t>Seychelles</t>
  </si>
  <si>
    <t>Sierra Leone</t>
  </si>
  <si>
    <t>SLE</t>
  </si>
  <si>
    <t>South Africa</t>
  </si>
  <si>
    <t>ZAF</t>
  </si>
  <si>
    <t>South Sudan</t>
  </si>
  <si>
    <t>SSD</t>
  </si>
  <si>
    <t>Tanzania</t>
  </si>
  <si>
    <t>TZA</t>
  </si>
  <si>
    <t>Togo</t>
  </si>
  <si>
    <t>Uganda</t>
  </si>
  <si>
    <t>UGA</t>
  </si>
  <si>
    <t>Zambia</t>
  </si>
  <si>
    <t>Zimbabwe</t>
  </si>
  <si>
    <t>income</t>
  </si>
  <si>
    <t>Average of Pharmacists Stock By Age Group &lt; 25 yrs2</t>
  </si>
  <si>
    <t>Average of Pharmacists Stock By Age Group 25-34 yrs2</t>
  </si>
  <si>
    <t>Average of Pharmacists Stock By Age Group 35-44 yrs2</t>
  </si>
  <si>
    <t>Average of Pharmacists Stock By Age Group 45-54 yrs2</t>
  </si>
  <si>
    <t>Average of Pharmacists Stock By Age Group 55-64 yrs2</t>
  </si>
  <si>
    <t>Average of Pharmacists Stock By Age Group ≥ 65 yrs2</t>
  </si>
  <si>
    <t>Country code</t>
  </si>
  <si>
    <t>income level</t>
  </si>
  <si>
    <t>Adjusted 2022</t>
  </si>
  <si>
    <t>Pharmacists Stock By Age Group &lt; 25 yrs (prop)</t>
  </si>
  <si>
    <t>Pharmacists Stock By Age Group 25-34 yrs (prop)</t>
  </si>
  <si>
    <t>Pharmacists Stock By Age Group 35-44 yrs (prop)</t>
  </si>
  <si>
    <t>Pharmacists Stock By Age Group 45-54 yrs (prop)</t>
  </si>
  <si>
    <t>Pharmacists Stock By Age Group 55-64 yrs (prop)</t>
  </si>
  <si>
    <t>Pharmacists Stock By Age Group ≥ 65 yrs (prop)</t>
  </si>
  <si>
    <t>Pharmaceutical Technicians and Assistants</t>
  </si>
  <si>
    <t>Pharmacists</t>
  </si>
  <si>
    <t>CAR</t>
  </si>
  <si>
    <t>Annual graduations</t>
  </si>
  <si>
    <t>cond</t>
  </si>
  <si>
    <t>Graduates to stock ratio</t>
  </si>
  <si>
    <t>Average of Graduates to stock ratio</t>
  </si>
  <si>
    <t>Income level</t>
  </si>
  <si>
    <t>Estimated graduates</t>
  </si>
  <si>
    <t>Projected 2023</t>
  </si>
  <si>
    <t>Projected 2024</t>
  </si>
  <si>
    <t>Projected 2025</t>
  </si>
  <si>
    <t>Projected 2026</t>
  </si>
  <si>
    <t>Projected 2027</t>
  </si>
  <si>
    <t>Projected 2028</t>
  </si>
  <si>
    <t>Projected 2029</t>
  </si>
  <si>
    <t>Projected 2030</t>
  </si>
  <si>
    <t>iso codes</t>
  </si>
  <si>
    <t>Generalist Medical Practitioners</t>
  </si>
  <si>
    <t>Specialist Medical Practitioners</t>
  </si>
  <si>
    <t>Dentists</t>
  </si>
  <si>
    <t>Other Dental practitioners</t>
  </si>
  <si>
    <t>Other Pharmacy practitioners</t>
  </si>
  <si>
    <t>Midwifery personnel</t>
  </si>
  <si>
    <t>Nursing Personnel</t>
  </si>
  <si>
    <t>Medical and Pathology Laboratory scientists</t>
  </si>
  <si>
    <t>Paramedical Practitioners</t>
  </si>
  <si>
    <t>Other Health Workers</t>
  </si>
  <si>
    <t>Data Sorce(s)</t>
  </si>
  <si>
    <t>NHWA dataset, 2023</t>
  </si>
  <si>
    <t>Dent-2018;</t>
  </si>
  <si>
    <t>Med-2021; Pharm-2021;Mid-2021; Nur-2021;Biom-2021; others-2021</t>
  </si>
  <si>
    <t>2022 for all</t>
  </si>
  <si>
    <t>2018 dataset</t>
  </si>
  <si>
    <t>Cabo Verde</t>
  </si>
  <si>
    <t>2021 for all</t>
  </si>
  <si>
    <t>Democratic Republic of the Congo</t>
  </si>
  <si>
    <t>Nurs-2022</t>
  </si>
  <si>
    <t>pharmacist from 2018</t>
  </si>
  <si>
    <t xml:space="preserve">HLMA 2023; Ismaila (2023) </t>
  </si>
  <si>
    <t>HLMA data, Dentist-2018; CMHW-2022; Biom -2018;</t>
  </si>
  <si>
    <t>SADC dataset, 2022</t>
  </si>
  <si>
    <t>capacity-HLMA data extracted</t>
  </si>
  <si>
    <t>NHWA dataset, 2023; HLMA dataset, 2019; 2018 survey dataset</t>
  </si>
  <si>
    <t>Med-2021,2022; Nurs-2022; Midw-2022; Other-2021,2022, CHW-2021</t>
  </si>
  <si>
    <t>2030 starategic plan</t>
  </si>
  <si>
    <t>NHWA dataset, 2023; Other and Medical specialist from 2018 Survey dataset</t>
  </si>
  <si>
    <t>other occupations, Medical specialis taken from 2018 survey dataset</t>
  </si>
  <si>
    <t>NHWA dataset, 2023; Zambia HLMA</t>
  </si>
  <si>
    <t>2022 data set for -all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</si>
</sst>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FF0000"/>
      <name val="Arial Narrow"/>
      <family val="2"/>
    </font>
    <font>
      <b/>
      <sz val="11"/>
      <color rgb="FFFF0000"/>
      <name val="Calibri"/>
      <family val="2"/>
      <scheme val="minor"/>
    </font>
    <font>
      <b/>
      <sz val="11"/>
      <name val="Arial Narrow"/>
      <family val="2"/>
    </font>
    <font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3" fillId="2" borderId="7" xfId="0" applyFont="1" applyFill="1" applyBorder="1" applyAlignment="1">
      <alignment wrapText="1"/>
    </xf>
    <xf numFmtId="0" fontId="4" fillId="0" borderId="7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7" xfId="0" applyFont="1" applyFill="1" applyBorder="1" applyAlignment="1">
      <alignment wrapText="1"/>
    </xf>
    <xf numFmtId="164" fontId="4" fillId="0" borderId="7" xfId="0" applyNumberFormat="1" applyFont="1" applyBorder="1"/>
    <xf numFmtId="164" fontId="3" fillId="2" borderId="7" xfId="0" applyNumberFormat="1" applyFont="1" applyFill="1" applyBorder="1"/>
    <xf numFmtId="164" fontId="5" fillId="0" borderId="7" xfId="0" applyNumberFormat="1" applyFont="1" applyBorder="1"/>
    <xf numFmtId="164" fontId="6" fillId="0" borderId="0" xfId="1" applyNumberFormat="1" applyFont="1"/>
    <xf numFmtId="164" fontId="6" fillId="0" borderId="0" xfId="1" applyNumberFormat="1" applyFont="1" applyAlignment="1">
      <alignment horizontal="center" vertical="center"/>
    </xf>
    <xf numFmtId="10" fontId="0" fillId="0" borderId="0" xfId="2" applyNumberFormat="1" applyFont="1"/>
    <xf numFmtId="0" fontId="7" fillId="4" borderId="7" xfId="0" applyFont="1" applyFill="1" applyBorder="1" applyAlignment="1">
      <alignment wrapText="1"/>
    </xf>
    <xf numFmtId="0" fontId="2" fillId="0" borderId="0" xfId="0" applyFont="1"/>
    <xf numFmtId="0" fontId="4" fillId="0" borderId="7" xfId="0" applyFont="1" applyBorder="1" applyAlignment="1">
      <alignment vertical="top" wrapText="1"/>
    </xf>
    <xf numFmtId="0" fontId="4" fillId="0" borderId="7" xfId="0" applyFont="1" applyBorder="1"/>
    <xf numFmtId="164" fontId="4" fillId="0" borderId="7" xfId="1" applyNumberFormat="1" applyFont="1" applyBorder="1"/>
    <xf numFmtId="164" fontId="4" fillId="4" borderId="7" xfId="1" applyNumberFormat="1" applyFont="1" applyFill="1" applyBorder="1"/>
    <xf numFmtId="0" fontId="3" fillId="0" borderId="7" xfId="0" applyFont="1" applyBorder="1"/>
    <xf numFmtId="164" fontId="3" fillId="0" borderId="7" xfId="0" applyNumberFormat="1" applyFont="1" applyBorder="1"/>
    <xf numFmtId="164" fontId="3" fillId="0" borderId="7" xfId="1" applyNumberFormat="1" applyFont="1" applyBorder="1"/>
    <xf numFmtId="164" fontId="3" fillId="4" borderId="7" xfId="1" applyNumberFormat="1" applyFont="1" applyFill="1" applyBorder="1"/>
    <xf numFmtId="165" fontId="4" fillId="0" borderId="7" xfId="0" applyNumberFormat="1" applyFont="1" applyBorder="1"/>
    <xf numFmtId="165" fontId="3" fillId="0" borderId="7" xfId="0" applyNumberFormat="1" applyFont="1" applyBorder="1"/>
    <xf numFmtId="0" fontId="8" fillId="4" borderId="7" xfId="0" applyFont="1" applyFill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proportions!$A$44</c:f>
              <c:strCache>
                <c:ptCount val="1"/>
                <c:pt idx="0">
                  <c:v>High/Upper-Middle-Income Economies 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proportions!$B$43:$G$43</c:f>
              <c:strCache>
                <c:ptCount val="6"/>
                <c:pt idx="0">
                  <c:v>Pharmacists Stock By Age Group &lt; 25 yrs</c:v>
                </c:pt>
                <c:pt idx="1">
                  <c:v>Pharmacists Stock By Age Group 25-34 yrs</c:v>
                </c:pt>
                <c:pt idx="2">
                  <c:v>Pharmacists Stock By Age Group 35-44 yrs</c:v>
                </c:pt>
                <c:pt idx="3">
                  <c:v>Pharmacists Stock By Age Group 45-54 yrs</c:v>
                </c:pt>
                <c:pt idx="4">
                  <c:v>Pharmacists Stock By Age Group 55-64 yrs</c:v>
                </c:pt>
                <c:pt idx="5">
                  <c:v>Pharmacists Stock By Age Group ≥ 65 yrs</c:v>
                </c:pt>
              </c:strCache>
            </c:strRef>
          </c:cat>
          <c:val>
            <c:numRef>
              <c:f>proportions!$B$44:$G$44</c:f>
              <c:numCache>
                <c:formatCode>0.00%</c:formatCode>
                <c:ptCount val="6"/>
                <c:pt idx="0">
                  <c:v>3.5971223021582736E-3</c:v>
                </c:pt>
                <c:pt idx="1">
                  <c:v>0.15030215827338131</c:v>
                </c:pt>
                <c:pt idx="2">
                  <c:v>0.2886906474820144</c:v>
                </c:pt>
                <c:pt idx="3">
                  <c:v>0.28509352517985609</c:v>
                </c:pt>
                <c:pt idx="4">
                  <c:v>0.21433093525179858</c:v>
                </c:pt>
                <c:pt idx="5">
                  <c:v>5.7985611510791367E-2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4-4906-AC1E-BDCDADFBDDE4}"/>
            </c:ext>
          </c:extLst>
        </c:ser>
        <c:ser>
          <c:idx val="1"/>
          <c:order val="1"/>
          <c:tx>
            <c:strRef>
              <c:f>proportions!$A$45</c:f>
              <c:strCache>
                <c:ptCount val="1"/>
                <c:pt idx="0">
                  <c:v>Lower-Middle-Income Economies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proportions!$B$43:$G$43</c:f>
              <c:strCache>
                <c:ptCount val="6"/>
                <c:pt idx="0">
                  <c:v>Pharmacists Stock By Age Group &lt; 25 yrs</c:v>
                </c:pt>
                <c:pt idx="1">
                  <c:v>Pharmacists Stock By Age Group 25-34 yrs</c:v>
                </c:pt>
                <c:pt idx="2">
                  <c:v>Pharmacists Stock By Age Group 35-44 yrs</c:v>
                </c:pt>
                <c:pt idx="3">
                  <c:v>Pharmacists Stock By Age Group 45-54 yrs</c:v>
                </c:pt>
                <c:pt idx="4">
                  <c:v>Pharmacists Stock By Age Group 55-64 yrs</c:v>
                </c:pt>
                <c:pt idx="5">
                  <c:v>Pharmacists Stock By Age Group ≥ 65 yrs</c:v>
                </c:pt>
              </c:strCache>
            </c:strRef>
          </c:cat>
          <c:val>
            <c:numRef>
              <c:f>proportions!$B$45:$G$45</c:f>
              <c:numCache>
                <c:formatCode>0.00%</c:formatCode>
                <c:ptCount val="6"/>
                <c:pt idx="0">
                  <c:v>4.670048704595018E-2</c:v>
                </c:pt>
                <c:pt idx="1">
                  <c:v>0.38491371352263981</c:v>
                </c:pt>
                <c:pt idx="2">
                  <c:v>0.33633803611518653</c:v>
                </c:pt>
                <c:pt idx="3">
                  <c:v>0.14508994335081526</c:v>
                </c:pt>
                <c:pt idx="4">
                  <c:v>8.1948011785405311E-2</c:v>
                </c:pt>
                <c:pt idx="5">
                  <c:v>5.0098081800029007E-3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34-4906-AC1E-BDCDADFBDDE4}"/>
            </c:ext>
          </c:extLst>
        </c:ser>
        <c:ser>
          <c:idx val="2"/>
          <c:order val="2"/>
          <c:tx>
            <c:strRef>
              <c:f>proportions!$A$46</c:f>
              <c:strCache>
                <c:ptCount val="1"/>
                <c:pt idx="0">
                  <c:v>Low-Income Economies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proportions!$B$43:$G$43</c:f>
              <c:strCache>
                <c:ptCount val="6"/>
                <c:pt idx="0">
                  <c:v>Pharmacists Stock By Age Group &lt; 25 yrs</c:v>
                </c:pt>
                <c:pt idx="1">
                  <c:v>Pharmacists Stock By Age Group 25-34 yrs</c:v>
                </c:pt>
                <c:pt idx="2">
                  <c:v>Pharmacists Stock By Age Group 35-44 yrs</c:v>
                </c:pt>
                <c:pt idx="3">
                  <c:v>Pharmacists Stock By Age Group 45-54 yrs</c:v>
                </c:pt>
                <c:pt idx="4">
                  <c:v>Pharmacists Stock By Age Group 55-64 yrs</c:v>
                </c:pt>
                <c:pt idx="5">
                  <c:v>Pharmacists Stock By Age Group ≥ 65 yrs</c:v>
                </c:pt>
              </c:strCache>
            </c:strRef>
          </c:cat>
          <c:val>
            <c:numRef>
              <c:f>proportions!$B$46:$G$46</c:f>
              <c:numCache>
                <c:formatCode>0.00%</c:formatCode>
                <c:ptCount val="6"/>
                <c:pt idx="0">
                  <c:v>0.1012750982481759</c:v>
                </c:pt>
                <c:pt idx="1">
                  <c:v>0.48002117827894153</c:v>
                </c:pt>
                <c:pt idx="2">
                  <c:v>0.28827007488165535</c:v>
                </c:pt>
                <c:pt idx="3">
                  <c:v>9.1590836856406288E-2</c:v>
                </c:pt>
                <c:pt idx="4">
                  <c:v>3.3097083995547852E-2</c:v>
                </c:pt>
                <c:pt idx="5">
                  <c:v>5.7457277392730542E-3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34-4906-AC1E-BDCDADFBDDE4}"/>
            </c:ext>
          </c:extLst>
        </c:ser>
        <c:ser>
          <c:idx val="3"/>
          <c:order val="3"/>
          <c:tx>
            <c:strRef>
              <c:f>proportions!$A$47</c:f>
              <c:strCache>
                <c:ptCount val="1"/>
                <c:pt idx="0">
                  <c:v>AFRO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 Narrow" panose="020B0606020202030204" pitchFamily="34" charset="0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proportions!$B$43:$G$43</c:f>
              <c:strCache>
                <c:ptCount val="6"/>
                <c:pt idx="0">
                  <c:v>Pharmacists Stock By Age Group &lt; 25 yrs</c:v>
                </c:pt>
                <c:pt idx="1">
                  <c:v>Pharmacists Stock By Age Group 25-34 yrs</c:v>
                </c:pt>
                <c:pt idx="2">
                  <c:v>Pharmacists Stock By Age Group 35-44 yrs</c:v>
                </c:pt>
                <c:pt idx="3">
                  <c:v>Pharmacists Stock By Age Group 45-54 yrs</c:v>
                </c:pt>
                <c:pt idx="4">
                  <c:v>Pharmacists Stock By Age Group 55-64 yrs</c:v>
                </c:pt>
                <c:pt idx="5">
                  <c:v>Pharmacists Stock By Age Group ≥ 65 yrs</c:v>
                </c:pt>
              </c:strCache>
            </c:strRef>
          </c:cat>
          <c:val>
            <c:numRef>
              <c:f>proportions!$B$47:$G$47</c:f>
              <c:numCache>
                <c:formatCode>0.00%</c:formatCode>
                <c:ptCount val="6"/>
                <c:pt idx="0">
                  <c:v>9.3811881188118812E-2</c:v>
                </c:pt>
                <c:pt idx="1">
                  <c:v>0.39455445544554457</c:v>
                </c:pt>
                <c:pt idx="2">
                  <c:v>0.31943069306930694</c:v>
                </c:pt>
                <c:pt idx="3">
                  <c:v>0.15074257425742574</c:v>
                </c:pt>
                <c:pt idx="4">
                  <c:v>3.8118811881188118E-2</c:v>
                </c:pt>
                <c:pt idx="5">
                  <c:v>3.3415841584158415E-3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34-4906-AC1E-BDCDADFBDDE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-27"/>
        <c:axId val="133774736"/>
        <c:axId val="470108192"/>
      </c:barChart>
      <c:catAx>
        <c:axId val="13377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70C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470108192"/>
        <c:crosses val="autoZero"/>
        <c:auto val="1"/>
        <c:lblAlgn val="ctr"/>
        <c:lblOffset val="100"/>
        <c:noMultiLvlLbl val="0"/>
      </c:catAx>
      <c:valAx>
        <c:axId val="470108192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 Narrow" panose="020B0606020202030204" pitchFamily="34" charset="0"/>
                <a:ea typeface="+mn-ea"/>
                <a:cs typeface="+mn-cs"/>
              </a:defRPr>
            </a:pPr>
            <a:endParaRPr lang="en-KE"/>
          </a:p>
        </c:txPr>
        <c:crossAx val="13377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 Narrow" panose="020B0606020202030204" pitchFamily="34" charset="0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 Narrow" panose="020B0606020202030204" pitchFamily="34" charset="0"/>
        </a:defRPr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projections!$W$50:$AD$50</c:f>
              <c:numCache>
                <c:formatCode>_-* #,##0_-;\-* #,##0_-;_-* "-"??_-;_-@_-</c:formatCode>
                <c:ptCount val="8"/>
                <c:pt idx="0">
                  <c:v>114281.43465406765</c:v>
                </c:pt>
                <c:pt idx="1">
                  <c:v>124789.78434753713</c:v>
                </c:pt>
                <c:pt idx="2">
                  <c:v>135181.01890846976</c:v>
                </c:pt>
                <c:pt idx="3">
                  <c:v>145457.11889974531</c:v>
                </c:pt>
                <c:pt idx="4">
                  <c:v>155620.02533269304</c:v>
                </c:pt>
                <c:pt idx="5">
                  <c:v>165671.64051042133</c:v>
                </c:pt>
                <c:pt idx="6">
                  <c:v>175613.8288526902</c:v>
                </c:pt>
                <c:pt idx="7">
                  <c:v>185448.41770273456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A42-4F74-90BD-09F65D81A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5239424"/>
        <c:axId val="495072576"/>
      </c:scatterChart>
      <c:valAx>
        <c:axId val="31523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495072576"/>
        <c:crosses val="autoZero"/>
        <c:crossBetween val="midCat"/>
      </c:valAx>
      <c:valAx>
        <c:axId val="4950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31523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184150</xdr:colOff>
      <xdr:row>45</xdr:row>
      <xdr:rowOff>158750</xdr:rowOff>
    </xdr:from>
    <xdr:to>
      <xdr:col>21</xdr:col>
      <xdr:colOff>603250</xdr:colOff>
      <xdr:row>77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59DB32-0B51-7ED7-A1C4-5D970D49CC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3175</xdr:colOff>
      <xdr:row>53</xdr:row>
      <xdr:rowOff>177800</xdr:rowOff>
    </xdr:from>
    <xdr:to>
      <xdr:col>29</xdr:col>
      <xdr:colOff>136525</xdr:colOff>
      <xdr:row>68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0B3347-8A5B-247F-0640-A04BD6B138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44.83212997685" createdVersion="8" refreshedVersion="8" minRefreshableVersion="3" recordCount="18" xr:uid="{77E49901-7D81-41F4-849C-52F7EDB04094}">
  <cacheSource type="worksheet">
    <worksheetSource ref="A1:O19" sheet="proportions"/>
  </cacheSource>
  <cacheFields count="15">
    <cacheField name="Row Labels" numFmtId="0">
      <sharedItems/>
    </cacheField>
    <cacheField name="Pharmacists Stock By Age Group &lt; 25 yrs" numFmtId="0">
      <sharedItems containsString="0" containsBlank="1" containsNumber="1" containsInteger="1" minValue="0" maxValue="758"/>
    </cacheField>
    <cacheField name="Pharmacists Stock By Age Group 25-34 yrs" numFmtId="0">
      <sharedItems containsSemiMixedTypes="0" containsString="0" containsNumber="1" containsInteger="1" minValue="6" maxValue="4842"/>
    </cacheField>
    <cacheField name="Pharmacists Stock By Age Group 35-44 yrs" numFmtId="0">
      <sharedItems containsSemiMixedTypes="0" containsString="0" containsNumber="1" containsInteger="1" minValue="9" maxValue="4437"/>
    </cacheField>
    <cacheField name="Pharmacists Stock By Age Group 45-54 yrs" numFmtId="0">
      <sharedItems containsSemiMixedTypes="0" containsString="0" containsNumber="1" containsInteger="1" minValue="4" maxValue="4274"/>
    </cacheField>
    <cacheField name="Pharmacists Stock By Age Group 55-64 yrs" numFmtId="0">
      <sharedItems containsSemiMixedTypes="0" containsString="0" containsNumber="1" containsInteger="1" minValue="0" maxValue="4167"/>
    </cacheField>
    <cacheField name="Pharmacists Stock By Age Group ≥ 65 yrs" numFmtId="0">
      <sharedItems containsString="0" containsBlank="1" containsNumber="1" containsInteger="1" minValue="0" maxValue="701"/>
    </cacheField>
    <cacheField name="Total" numFmtId="0">
      <sharedItems containsSemiMixedTypes="0" containsString="0" containsNumber="1" containsInteger="1" minValue="28" maxValue="18807"/>
    </cacheField>
    <cacheField name="Pharmacists Stock By Age Group &lt; 25 yrs2" numFmtId="0">
      <sharedItems containsSemiMixedTypes="0" containsString="0" containsNumber="1" minValue="0" maxValue="0.45045045045045046"/>
    </cacheField>
    <cacheField name="Pharmacists Stock By Age Group 25-34 yrs2" numFmtId="0">
      <sharedItems containsSemiMixedTypes="0" containsString="0" containsNumber="1" minValue="5.6000000000000001E-2" maxValue="0.80904522613065322"/>
    </cacheField>
    <cacheField name="Pharmacists Stock By Age Group 35-44 yrs2" numFmtId="0">
      <sharedItems containsSemiMixedTypes="0" containsString="0" containsNumber="1" minValue="6.0541688794476897E-2" maxValue="0.57217391304347831"/>
    </cacheField>
    <cacheField name="Pharmacists Stock By Age Group 45-54 yrs2" numFmtId="0">
      <sharedItems containsSemiMixedTypes="0" containsString="0" containsNumber="1" minValue="1.3289036544850499E-2" maxValue="0.30464716006884679"/>
    </cacheField>
    <cacheField name="Pharmacists Stock By Age Group 55-64 yrs2" numFmtId="0">
      <sharedItems containsSemiMixedTypes="0" containsString="0" containsNumber="1" minValue="0" maxValue="0.2857142857142857"/>
    </cacheField>
    <cacheField name="Pharmacists Stock By Age Group ≥ 65 yrs2" numFmtId="0">
      <sharedItems containsSemiMixedTypes="0" containsString="0" containsNumber="1" minValue="0" maxValue="0.08"/>
    </cacheField>
    <cacheField name="income" numFmtId="0">
      <sharedItems count="4">
        <s v="AFRO"/>
        <s v="Low-Income Economies"/>
        <s v="High/Upper-Middle-Income Economies "/>
        <s v="Lower-Middle-Income Economi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57.580537731483" createdVersion="8" refreshedVersion="8" minRefreshableVersion="3" recordCount="48" xr:uid="{6C6CA14F-13A7-4DEA-95E8-4DAD50FE0E3C}">
  <cacheSource type="worksheet">
    <worksheetSource ref="A2:U50" sheet="projections"/>
  </cacheSource>
  <cacheFields count="21">
    <cacheField name="Country" numFmtId="0">
      <sharedItems/>
    </cacheField>
    <cacheField name="Country code" numFmtId="0">
      <sharedItems/>
    </cacheField>
    <cacheField name="income level" numFmtId="0">
      <sharedItems count="4">
        <s v="Lower-Middle-Income Economies"/>
        <s v="High/Upper-Middle-Income Economies "/>
        <s v="Low-Income Economies"/>
        <s v="AFRO"/>
      </sharedItems>
    </cacheField>
    <cacheField name="2013" numFmtId="164">
      <sharedItems containsSemiMixedTypes="0" containsString="0" containsNumber="1" containsInteger="1" minValue="0" maxValue="43321"/>
    </cacheField>
    <cacheField name="2018" numFmtId="164">
      <sharedItems containsSemiMixedTypes="0" containsString="0" containsNumber="1" containsInteger="1" minValue="10" maxValue="91152"/>
    </cacheField>
    <cacheField name="Adjusted 2022" numFmtId="164">
      <sharedItems containsSemiMixedTypes="0" containsString="0" containsNumber="1" minValue="2.4240811153358681" maxValue="90216.757447090538"/>
    </cacheField>
    <cacheField name="Pharmacists Stock By Age Group &lt; 25 yrs (prop)" numFmtId="165">
      <sharedItems containsSemiMixedTypes="0" containsString="0" containsNumber="1" minValue="0" maxValue="0.45045045045045046"/>
    </cacheField>
    <cacheField name="Pharmacists Stock By Age Group 25-34 yrs (prop)" numFmtId="165">
      <sharedItems containsSemiMixedTypes="0" containsString="0" containsNumber="1" minValue="5.6000000000000001E-2" maxValue="0.80904522613065322"/>
    </cacheField>
    <cacheField name="Pharmacists Stock By Age Group 35-44 yrs (prop)" numFmtId="165">
      <sharedItems containsSemiMixedTypes="0" containsString="0" containsNumber="1" minValue="6.0541688794476897E-2" maxValue="0.57217391304347831"/>
    </cacheField>
    <cacheField name="Pharmacists Stock By Age Group 45-54 yrs (prop)" numFmtId="165">
      <sharedItems containsSemiMixedTypes="0" containsString="0" containsNumber="1" minValue="1.3289036544850499E-2" maxValue="0.30464716006884679"/>
    </cacheField>
    <cacheField name="Pharmacists Stock By Age Group 55-64 yrs (prop)" numFmtId="165">
      <sharedItems containsSemiMixedTypes="0" containsString="0" containsNumber="1" minValue="0" maxValue="0.2857142857142857"/>
    </cacheField>
    <cacheField name="Pharmacists Stock By Age Group ≥ 65 yrs (prop)" numFmtId="165">
      <sharedItems containsSemiMixedTypes="0" containsString="0" containsNumber="1" minValue="0" maxValue="0.08"/>
    </cacheField>
    <cacheField name="Pharmacists Stock By Age Group &lt; 25 yrs" numFmtId="164">
      <sharedItems containsSemiMixedTypes="0" containsString="0" containsNumber="1" minValue="0" maxValue="8463.4037308037914"/>
    </cacheField>
    <cacheField name="Pharmacists Stock By Age Group 25-34 yrs" numFmtId="164">
      <sharedItems containsSemiMixedTypes="0" containsString="0" containsNumber="1" minValue="1.1636102732272542" maxValue="35595.423606599586"/>
    </cacheField>
    <cacheField name="Pharmacists Stock By Age Group 35-44 yrs" numFmtId="164">
      <sharedItems containsSemiMixedTypes="0" containsString="0" containsNumber="1" minValue="0.69879004463707728" maxValue="28818.00135778969"/>
    </cacheField>
    <cacheField name="Pharmacists Stock By Age Group 45-54 yrs" numFmtId="164">
      <sharedItems containsSemiMixedTypes="0" containsString="0" containsNumber="1" minValue="0.22202361796142289" maxValue="13599.506258732212"/>
    </cacheField>
    <cacheField name="Pharmacists Stock By Age Group 55-64 yrs" numFmtId="164">
      <sharedItems containsSemiMixedTypes="0" containsString="0" containsNumber="1" minValue="0" maxValue="4167"/>
    </cacheField>
    <cacheField name="Pharmacists Stock By Age Group ≥ 65 yrs" numFmtId="164">
      <sharedItems containsSemiMixedTypes="0" containsString="0" containsNumber="1" minValue="0" maxValue="1026.5192805755396"/>
    </cacheField>
    <cacheField name="cond" numFmtId="164">
      <sharedItems/>
    </cacheField>
    <cacheField name="Annual graduations" numFmtId="164">
      <sharedItems containsString="0" containsBlank="1" containsNumber="1" containsInteger="1" minValue="0" maxValue="1291"/>
    </cacheField>
    <cacheField name="Graduates to stock ratio" numFmtId="0">
      <sharedItems containsString="0" containsBlank="1" containsNumber="1" minValue="1.0715689026101599E-2" maxValue="1.005558344273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s v="AFRO"/>
    <n v="758"/>
    <n v="3188"/>
    <n v="2581"/>
    <n v="1218"/>
    <n v="308"/>
    <n v="27"/>
    <n v="8080"/>
    <n v="9.3811881188118812E-2"/>
    <n v="0.39455445544554457"/>
    <n v="0.31943069306930694"/>
    <n v="0.15074257425742574"/>
    <n v="3.8118811881188118E-2"/>
    <n v="3.3415841584158415E-3"/>
    <x v="0"/>
  </r>
  <r>
    <s v="BFA"/>
    <n v="0"/>
    <n v="127"/>
    <n v="329"/>
    <n v="108"/>
    <n v="11"/>
    <n v="0"/>
    <n v="575"/>
    <n v="0"/>
    <n v="0.22086956521739132"/>
    <n v="0.57217391304347831"/>
    <n v="0.18782608695652173"/>
    <n v="1.9130434782608695E-2"/>
    <n v="0"/>
    <x v="1"/>
  </r>
  <r>
    <s v="BWA"/>
    <m/>
    <n v="7"/>
    <n v="38"/>
    <n v="38"/>
    <n v="32"/>
    <n v="10"/>
    <n v="125"/>
    <n v="0"/>
    <n v="5.6000000000000001E-2"/>
    <n v="0.30399999999999999"/>
    <n v="0.30399999999999999"/>
    <n v="0.25600000000000001"/>
    <n v="0.08"/>
    <x v="2"/>
  </r>
  <r>
    <s v="CIV"/>
    <n v="0"/>
    <n v="256"/>
    <n v="539"/>
    <n v="354"/>
    <n v="13"/>
    <n v="0"/>
    <n v="1162"/>
    <n v="0"/>
    <n v="0.22030981067125646"/>
    <n v="0.46385542168674698"/>
    <n v="0.30464716006884679"/>
    <n v="1.1187607573149742E-2"/>
    <n v="0"/>
    <x v="3"/>
  </r>
  <r>
    <s v="CMR"/>
    <n v="3"/>
    <n v="389"/>
    <n v="201"/>
    <n v="8"/>
    <n v="1"/>
    <n v="0"/>
    <n v="602"/>
    <n v="4.9833887043189366E-3"/>
    <n v="0.64617940199335544"/>
    <n v="0.33388704318936879"/>
    <n v="1.3289036544850499E-2"/>
    <n v="1.6611295681063123E-3"/>
    <n v="0"/>
    <x v="3"/>
  </r>
  <r>
    <s v="COG"/>
    <n v="1"/>
    <n v="6"/>
    <n v="9"/>
    <n v="4"/>
    <n v="8"/>
    <m/>
    <n v="28"/>
    <n v="3.5714285714285712E-2"/>
    <n v="0.21428571428571427"/>
    <n v="0.32142857142857145"/>
    <n v="0.14285714285714285"/>
    <n v="0.2857142857142857"/>
    <n v="0"/>
    <x v="3"/>
  </r>
  <r>
    <s v="ERI"/>
    <n v="8"/>
    <n v="161"/>
    <n v="20"/>
    <n v="9"/>
    <n v="1"/>
    <m/>
    <n v="199"/>
    <n v="4.0201005025125629E-2"/>
    <n v="0.80904522613065322"/>
    <n v="0.10050251256281408"/>
    <n v="4.5226130653266333E-2"/>
    <n v="5.0251256281407036E-3"/>
    <n v="0"/>
    <x v="1"/>
  </r>
  <r>
    <s v="GAB"/>
    <n v="1"/>
    <n v="34"/>
    <n v="38"/>
    <n v="37"/>
    <n v="24"/>
    <n v="5"/>
    <n v="139"/>
    <n v="7.1942446043165471E-3"/>
    <n v="0.2446043165467626"/>
    <n v="0.2733812949640288"/>
    <n v="0.26618705035971224"/>
    <n v="0.17266187050359713"/>
    <n v="3.5971223021582732E-2"/>
    <x v="2"/>
  </r>
  <r>
    <s v="GHA"/>
    <n v="0"/>
    <n v="431"/>
    <n v="394"/>
    <n v="213"/>
    <n v="99"/>
    <n v="0"/>
    <n v="1137"/>
    <n v="0"/>
    <n v="0.37906772207563766"/>
    <n v="0.3465259454705365"/>
    <n v="0.18733509234828497"/>
    <n v="8.7071240105540904E-2"/>
    <n v="0"/>
    <x v="3"/>
  </r>
  <r>
    <s v="KEN"/>
    <n v="21"/>
    <n v="272"/>
    <n v="473"/>
    <n v="129"/>
    <n v="11"/>
    <n v="0"/>
    <n v="906"/>
    <n v="2.3178807947019868E-2"/>
    <n v="0.30022075055187636"/>
    <n v="0.52207505518763797"/>
    <n v="0.14238410596026491"/>
    <n v="1.2141280353200883E-2"/>
    <n v="0"/>
    <x v="3"/>
  </r>
  <r>
    <s v="MOZ"/>
    <n v="5"/>
    <n v="213"/>
    <n v="181"/>
    <n v="49"/>
    <n v="11"/>
    <n v="2"/>
    <n v="461"/>
    <n v="1.0845986984815618E-2"/>
    <n v="0.46203904555314534"/>
    <n v="0.3926247288503254"/>
    <n v="0.10629067245119306"/>
    <n v="2.3861171366594359E-2"/>
    <n v="4.3383947939262474E-3"/>
    <x v="1"/>
  </r>
  <r>
    <s v="MWI"/>
    <n v="50"/>
    <n v="25"/>
    <n v="19"/>
    <n v="11"/>
    <n v="6"/>
    <m/>
    <n v="111"/>
    <n v="0.45045045045045046"/>
    <n v="0.22522522522522523"/>
    <n v="0.17117117117117117"/>
    <n v="9.90990990990991E-2"/>
    <n v="5.4054054054054057E-2"/>
    <n v="0"/>
    <x v="1"/>
  </r>
  <r>
    <s v="SEN"/>
    <n v="1"/>
    <n v="78"/>
    <n v="151"/>
    <n v="69"/>
    <n v="39"/>
    <m/>
    <n v="338"/>
    <n v="2.9585798816568047E-3"/>
    <n v="0.23076923076923078"/>
    <n v="0.44674556213017752"/>
    <n v="0.20414201183431951"/>
    <n v="0.11538461538461539"/>
    <n v="0"/>
    <x v="3"/>
  </r>
  <r>
    <s v="TCD"/>
    <n v="1"/>
    <n v="140"/>
    <n v="42"/>
    <n v="4"/>
    <n v="13"/>
    <n v="5"/>
    <n v="205"/>
    <n v="4.8780487804878049E-3"/>
    <n v="0.68292682926829273"/>
    <n v="0.20487804878048779"/>
    <n v="1.9512195121951219E-2"/>
    <n v="6.3414634146341464E-2"/>
    <n v="2.4390243902439025E-2"/>
    <x v="1"/>
  </r>
  <r>
    <s v="ZMB"/>
    <n v="7"/>
    <n v="328"/>
    <n v="214"/>
    <n v="58"/>
    <n v="27"/>
    <n v="5"/>
    <n v="639"/>
    <n v="1.0954616588419406E-2"/>
    <n v="0.51330203442879496"/>
    <n v="0.3348982785602504"/>
    <n v="9.0766823161189364E-2"/>
    <n v="4.2253521126760563E-2"/>
    <n v="7.8247261345852897E-3"/>
    <x v="3"/>
  </r>
  <r>
    <s v="ZWE"/>
    <n v="666"/>
    <n v="951"/>
    <n v="114"/>
    <n v="152"/>
    <n v="0"/>
    <n v="0"/>
    <n v="1883"/>
    <n v="0.35369091874668085"/>
    <n v="0.5050451407328731"/>
    <n v="6.0541688794476897E-2"/>
    <n v="8.0722251725969196E-2"/>
    <n v="0"/>
    <n v="0"/>
    <x v="3"/>
  </r>
  <r>
    <s v="BEN"/>
    <n v="6"/>
    <n v="233"/>
    <n v="119"/>
    <n v="23"/>
    <n v="17"/>
    <n v="2"/>
    <n v="400"/>
    <n v="1.4999999999999999E-2"/>
    <n v="0.58250000000000002"/>
    <n v="0.29749999999999999"/>
    <n v="5.7500000000000002E-2"/>
    <n v="4.2500000000000003E-2"/>
    <n v="5.0000000000000001E-3"/>
    <x v="3"/>
  </r>
  <r>
    <s v="DZA"/>
    <n v="386"/>
    <n v="4842"/>
    <n v="4437"/>
    <n v="4274"/>
    <n v="4167"/>
    <n v="701"/>
    <n v="18807"/>
    <n v="2.052427287712022E-2"/>
    <n v="0.25745732971765833"/>
    <n v="0.23592279470409955"/>
    <n v="0.22725580900728451"/>
    <n v="0.22156643802839368"/>
    <n v="3.7273355665443715E-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s v="Algeria"/>
    <s v="DZA"/>
    <x v="0"/>
    <n v="0"/>
    <n v="18807"/>
    <n v="2457.5445015690725"/>
    <n v="2.052427287712022E-2"/>
    <n v="0.25745732971765833"/>
    <n v="0.23592279470409955"/>
    <n v="0.22725580900728451"/>
    <n v="0.22156643802839368"/>
    <n v="3.7273355665443715E-2"/>
    <n v="386"/>
    <n v="4842"/>
    <n v="4437"/>
    <n v="4274"/>
    <n v="4167"/>
    <n v="701"/>
    <b v="1"/>
    <n v="0"/>
    <m/>
  </r>
  <r>
    <s v="Angola"/>
    <s v="AGO"/>
    <x v="0"/>
    <n v="0"/>
    <n v="2302"/>
    <n v="1434.032344317616"/>
    <n v="4.670048704595018E-2"/>
    <n v="0.38491371352263981"/>
    <n v="0.33633803611518653"/>
    <n v="0.14508994335081526"/>
    <n v="8.1948011785405311E-2"/>
    <n v="5.0098081800029007E-3"/>
    <n v="107.50452117977731"/>
    <n v="886.07136852911685"/>
    <n v="774.25015913715936"/>
    <n v="333.99704959357672"/>
    <n v="188.64432313000302"/>
    <n v="11.532578430366678"/>
    <b v="1"/>
    <n v="529"/>
    <n v="0.22980017376194614"/>
  </r>
  <r>
    <s v="Benin"/>
    <s v="BEN"/>
    <x v="0"/>
    <n v="1330"/>
    <n v="306"/>
    <n v="382"/>
    <n v="1.4999999999999999E-2"/>
    <n v="0.58250000000000002"/>
    <n v="0.29749999999999999"/>
    <n v="5.7500000000000002E-2"/>
    <n v="4.2500000000000003E-2"/>
    <n v="5.0000000000000001E-3"/>
    <n v="5.7299999999999995"/>
    <n v="222.51500000000001"/>
    <n v="113.645"/>
    <n v="21.965"/>
    <n v="16.234999999999999"/>
    <n v="1.9100000000000001"/>
    <b v="0"/>
    <n v="143"/>
    <n v="0.37434554973821987"/>
  </r>
  <r>
    <s v="Botswana"/>
    <s v="BWA"/>
    <x v="1"/>
    <n v="0"/>
    <n v="156"/>
    <n v="143.6623305400519"/>
    <n v="0"/>
    <n v="5.6000000000000001E-2"/>
    <n v="0.30399999999999999"/>
    <n v="0.30399999999999999"/>
    <n v="0.25600000000000001"/>
    <n v="0.08"/>
    <n v="0"/>
    <n v="8.0450905102429058"/>
    <n v="43.673348484175776"/>
    <n v="43.673348484175776"/>
    <n v="36.777556618253286"/>
    <n v="11.492986443204153"/>
    <b v="0"/>
    <n v="95"/>
    <n v="0.66127285867407504"/>
  </r>
  <r>
    <s v="Burkina Faso"/>
    <s v="BFA"/>
    <x v="2"/>
    <n v="207"/>
    <n v="636"/>
    <n v="590.71659380345943"/>
    <n v="0"/>
    <n v="0.22086956521739132"/>
    <n v="0.57217391304347831"/>
    <n v="0.18782608695652173"/>
    <n v="1.9130434782608695E-2"/>
    <n v="0"/>
    <n v="0"/>
    <n v="130.47131724006843"/>
    <n v="337.99262497624028"/>
    <n v="110.95198631438889"/>
    <n v="11.300665272761831"/>
    <n v="0"/>
    <b v="0"/>
    <n v="594"/>
    <n v="1.0055583442736891"/>
  </r>
  <r>
    <s v="Burundi"/>
    <s v="BDI"/>
    <x v="2"/>
    <n v="4"/>
    <n v="119"/>
    <n v="123.73305776420409"/>
    <n v="0.1012750982481759"/>
    <n v="0.48002117827894153"/>
    <n v="0.28827007488165535"/>
    <n v="9.1590836856406288E-2"/>
    <n v="3.3097083995547852E-2"/>
    <n v="5.7457277392730542E-3"/>
    <n v="12.531077581616994"/>
    <n v="59.394488180029583"/>
    <n v="35.6685378270233"/>
    <n v="11.332814307425512"/>
    <n v="4.0952034058478368"/>
    <n v="0.7109364622608626"/>
    <b v="0"/>
    <n v="39"/>
    <n v="0.31519466749396602"/>
  </r>
  <r>
    <s v="Cameroon"/>
    <s v="CMR"/>
    <x v="0"/>
    <n v="162"/>
    <n v="350"/>
    <n v="602"/>
    <n v="4.9833887043189366E-3"/>
    <n v="0.64617940199335544"/>
    <n v="0.33388704318936879"/>
    <n v="1.3289036544850499E-2"/>
    <n v="1.6611295681063123E-3"/>
    <n v="0"/>
    <n v="3"/>
    <n v="389"/>
    <n v="201"/>
    <n v="8"/>
    <n v="1"/>
    <n v="0"/>
    <b v="0"/>
    <n v="0"/>
    <m/>
  </r>
  <r>
    <s v="Cape-Verde"/>
    <s v="CPV"/>
    <x v="0"/>
    <n v="0"/>
    <n v="172"/>
    <n v="28.59881255301103"/>
    <n v="4.670048704595018E-2"/>
    <n v="0.38491371352263981"/>
    <n v="0.33633803611518653"/>
    <n v="0.14508994335081526"/>
    <n v="8.1948011785405311E-2"/>
    <n v="5.0098081800029007E-3"/>
    <n v="8.032483771903431"/>
    <n v="66.205158725894051"/>
    <n v="57.850142211812084"/>
    <n v="24.955470256340227"/>
    <n v="14.095058027089713"/>
    <n v="0.86168700696049894"/>
    <b v="1"/>
    <n v="0"/>
    <m/>
  </r>
  <r>
    <s v="Central African Republic"/>
    <s v="CAF"/>
    <x v="2"/>
    <n v="20"/>
    <n v="36"/>
    <n v="2.5682382133995039"/>
    <n v="0.1012750982481759"/>
    <n v="0.48002117827894153"/>
    <n v="0.28827007488165535"/>
    <n v="9.1590836856406288E-2"/>
    <n v="3.3097083995547852E-2"/>
    <n v="5.7457277392730542E-3"/>
    <n v="3.6459035369343327"/>
    <n v="17.280762418041896"/>
    <n v="10.377722695739592"/>
    <n v="3.2972701268306261"/>
    <n v="1.1914950238397226"/>
    <n v="0.20684619861382994"/>
    <b v="1"/>
    <n v="0"/>
    <m/>
  </r>
  <r>
    <s v="Chad"/>
    <s v="TCD"/>
    <x v="2"/>
    <n v="72"/>
    <n v="269"/>
    <n v="188.23925427239772"/>
    <n v="4.8780487804878049E-3"/>
    <n v="0.68292682926829273"/>
    <n v="0.20487804878048779"/>
    <n v="1.9512195121951219E-2"/>
    <n v="6.3414634146341464E-2"/>
    <n v="2.4390243902439025E-2"/>
    <n v="0.91824026474340348"/>
    <n v="128.5536370640765"/>
    <n v="38.566091119222946"/>
    <n v="3.6729610589736139"/>
    <n v="11.937123441664246"/>
    <n v="4.5912013237170175"/>
    <b v="1"/>
    <n v="80"/>
    <n v="0.29739776951672864"/>
  </r>
  <r>
    <s v="Comoros"/>
    <s v="COM"/>
    <x v="0"/>
    <n v="16"/>
    <n v="36"/>
    <n v="40.225452551214531"/>
    <n v="4.670048704595018E-2"/>
    <n v="0.38491371352263981"/>
    <n v="0.33633803611518653"/>
    <n v="0.14508994335081526"/>
    <n v="8.1948011785405311E-2"/>
    <n v="5.0098081800029007E-3"/>
    <n v="1.8785482257854778"/>
    <n v="15.48332831961673"/>
    <n v="13.529349712920116"/>
    <n v="5.8363086319166237"/>
    <n v="3.2963958597401906"/>
    <n v="0.20152180123539312"/>
    <b v="0"/>
    <n v="0"/>
    <m/>
  </r>
  <r>
    <s v="Congo"/>
    <s v="COG"/>
    <x v="0"/>
    <n v="0"/>
    <n v="157"/>
    <n v="32.180362040971623"/>
    <n v="3.5714285714285712E-2"/>
    <n v="0.21428571428571427"/>
    <n v="0.32142857142857145"/>
    <n v="0.14285714285714285"/>
    <n v="0.2857142857142857"/>
    <n v="0"/>
    <n v="5.6071428571428568"/>
    <n v="33.642857142857139"/>
    <n v="50.464285714285715"/>
    <n v="22.428571428571427"/>
    <n v="44.857142857142854"/>
    <n v="0"/>
    <b v="1"/>
    <n v="0"/>
    <m/>
  </r>
  <r>
    <s v="Cote d'Ivoire"/>
    <s v="CIV"/>
    <x v="0"/>
    <n v="2430"/>
    <n v="2495"/>
    <n v="1491.4027181313502"/>
    <n v="0"/>
    <n v="0.22030981067125646"/>
    <n v="0.46385542168674698"/>
    <n v="0.30464716006884679"/>
    <n v="1.1187607573149742E-2"/>
    <n v="0"/>
    <n v="0"/>
    <n v="328.57065046611501"/>
    <n v="691.79523672357811"/>
    <n v="454.35160259767463"/>
    <n v="16.685228343982402"/>
    <n v="0"/>
    <b v="1"/>
    <n v="0"/>
    <m/>
  </r>
  <r>
    <s v="DRC"/>
    <s v="COD"/>
    <x v="2"/>
    <n v="283"/>
    <n v="1687"/>
    <n v="927.90281336773774"/>
    <n v="0.1012750982481759"/>
    <n v="0.48002117827894153"/>
    <n v="0.28827007488165535"/>
    <n v="9.1590836856406288E-2"/>
    <n v="3.3097083995547852E-2"/>
    <n v="5.7457277392730542E-3"/>
    <n v="93.973448588576474"/>
    <n v="445.41300180112626"/>
    <n v="267.48661349241644"/>
    <n v="84.987395197764883"/>
    <n v="30.710877353737178"/>
    <n v="5.3314769341165187"/>
    <b v="1"/>
    <n v="178"/>
    <n v="0.10551274451689389"/>
  </r>
  <r>
    <s v="Equatorial Guinea"/>
    <s v="GNQ"/>
    <x v="1"/>
    <n v="0"/>
    <n v="10"/>
    <n v="14"/>
    <n v="3.5971223021582736E-3"/>
    <n v="0.15030215827338131"/>
    <n v="0.2886906474820144"/>
    <n v="0.28509352517985609"/>
    <n v="0.21433093525179858"/>
    <n v="5.7985611510791367E-2"/>
    <n v="5.0359712230215833E-2"/>
    <n v="2.1042302158273385"/>
    <n v="4.0416690647482012"/>
    <n v="3.9913093525179852"/>
    <n v="3.0006330935251802"/>
    <n v="0.81179856115107918"/>
    <b v="0"/>
    <n v="0"/>
    <m/>
  </r>
  <r>
    <s v="Eritrea"/>
    <s v="ERI"/>
    <x v="2"/>
    <n v="0"/>
    <n v="451"/>
    <n v="228.71043021976263"/>
    <n v="4.0201005025125629E-2"/>
    <n v="0.80904522613065322"/>
    <n v="0.10050251256281408"/>
    <n v="4.5226130653266333E-2"/>
    <n v="5.0251256281407036E-3"/>
    <n v="0"/>
    <n v="9.1943891545633214"/>
    <n v="185.03708173558684"/>
    <n v="22.985972886408305"/>
    <n v="10.343687798883737"/>
    <n v="1.1492986443204152"/>
    <n v="0"/>
    <b v="1"/>
    <n v="0"/>
    <m/>
  </r>
  <r>
    <s v="Eswatini"/>
    <s v="SWZ"/>
    <x v="0"/>
    <n v="0"/>
    <n v="281"/>
    <n v="60.196904794804482"/>
    <n v="4.670048704595018E-2"/>
    <n v="0.38491371352263981"/>
    <n v="0.33633803611518653"/>
    <n v="0.14508994335081526"/>
    <n v="8.1948011785405311E-2"/>
    <n v="5.0098081800029007E-3"/>
    <n v="13.122836859912001"/>
    <n v="108.16075349986178"/>
    <n v="94.510988148367417"/>
    <n v="40.770274081579089"/>
    <n v="23.027391311698892"/>
    <n v="1.4077560985808151"/>
    <b v="1"/>
    <n v="44"/>
    <n v="0.15658362989323843"/>
  </r>
  <r>
    <s v="Ethiopia"/>
    <s v="ETH"/>
    <x v="2"/>
    <n v="0"/>
    <n v="10752"/>
    <n v="22344"/>
    <n v="0.1012750982481759"/>
    <n v="0.48002117827894153"/>
    <n v="0.28827007488165535"/>
    <n v="9.1590836856406288E-2"/>
    <n v="3.3097083995547852E-2"/>
    <n v="5.7457277392730542E-3"/>
    <n v="2262.8907952572422"/>
    <n v="10725.59320746467"/>
    <n v="6441.1065531557069"/>
    <n v="2046.505658719542"/>
    <n v="739.52124479652116"/>
    <n v="128.38254060631712"/>
    <b v="0"/>
    <n v="699"/>
    <n v="3.128356605800215E-2"/>
  </r>
  <r>
    <s v="Gabon"/>
    <s v="GAB"/>
    <x v="1"/>
    <n v="0"/>
    <n v="227"/>
    <n v="186.64222105814565"/>
    <n v="7.1942446043165471E-3"/>
    <n v="0.2446043165467626"/>
    <n v="0.2733812949640288"/>
    <n v="0.26618705035971224"/>
    <n v="0.17266187050359713"/>
    <n v="3.5971223021582732E-2"/>
    <n v="1.3427497917852207"/>
    <n v="45.653492920697495"/>
    <n v="51.024492087838382"/>
    <n v="49.681742296053159"/>
    <n v="32.225995002845295"/>
    <n v="6.7137489589261019"/>
    <b v="0"/>
    <n v="2"/>
    <n v="1.0715689026101599E-2"/>
  </r>
  <r>
    <s v="Gambia"/>
    <s v="GMB"/>
    <x v="2"/>
    <n v="5"/>
    <n v="78"/>
    <n v="4.0723751274209992"/>
    <n v="0.1012750982481759"/>
    <n v="0.48002117827894153"/>
    <n v="0.28827007488165535"/>
    <n v="9.1590836856406288E-2"/>
    <n v="3.3097083995547852E-2"/>
    <n v="5.7457277392730542E-3"/>
    <n v="7.8994576633577207"/>
    <n v="37.441651905757439"/>
    <n v="22.485065840769117"/>
    <n v="7.1440852747996901"/>
    <n v="2.5815725516527324"/>
    <n v="0.44816676366329822"/>
    <b v="1"/>
    <n v="0"/>
    <m/>
  </r>
  <r>
    <s v="Ghana"/>
    <s v="GHA"/>
    <x v="0"/>
    <n v="0"/>
    <n v="918"/>
    <n v="5736"/>
    <n v="0"/>
    <n v="0.37906772207563766"/>
    <n v="0.3465259454705365"/>
    <n v="0.18733509234828497"/>
    <n v="8.7071240105540904E-2"/>
    <n v="0"/>
    <n v="0"/>
    <n v="2174.3324538258576"/>
    <n v="1987.6728232189973"/>
    <n v="1074.5540897097626"/>
    <n v="499.44063324538263"/>
    <n v="0"/>
    <b v="0"/>
    <n v="343"/>
    <n v="5.9797768479776851E-2"/>
  </r>
  <r>
    <s v="Guinea"/>
    <s v="GIN"/>
    <x v="2"/>
    <n v="142"/>
    <n v="255"/>
    <n v="255"/>
    <n v="0.1012750982481759"/>
    <n v="0.48002117827894153"/>
    <n v="0.28827007488165535"/>
    <n v="9.1590836856406288E-2"/>
    <n v="3.3097083995547852E-2"/>
    <n v="5.7457277392730542E-3"/>
    <n v="25.825150053284855"/>
    <n v="122.40540046113009"/>
    <n v="73.508869094822117"/>
    <n v="23.355663398383605"/>
    <n v="8.4397564188647021"/>
    <n v="1.4651605735146289"/>
    <b v="0"/>
    <n v="113"/>
    <n v="0.44313725490196076"/>
  </r>
  <r>
    <s v="Guinea-Bissau"/>
    <s v="GNB"/>
    <x v="2"/>
    <n v="0"/>
    <n v="13"/>
    <n v="2.4240811153358681"/>
    <n v="0.1012750982481759"/>
    <n v="0.48002117827894153"/>
    <n v="0.28827007488165535"/>
    <n v="9.1590836856406288E-2"/>
    <n v="3.3097083995547852E-2"/>
    <n v="5.7457277392730542E-3"/>
    <n v="0.24549905311718787"/>
    <n v="1.1636102732272542"/>
    <n v="0.69879004463707728"/>
    <n v="0.22202361796142289"/>
    <n v="8.0230016286292546E-2"/>
    <n v="1.3928110106633262E-2"/>
    <b v="1"/>
    <n v="0"/>
    <m/>
  </r>
  <r>
    <s v="Kenya"/>
    <s v="KEN"/>
    <x v="0"/>
    <n v="2202"/>
    <n v="964"/>
    <n v="1337"/>
    <n v="2.3178807947019868E-2"/>
    <n v="0.30022075055187636"/>
    <n v="0.52207505518763797"/>
    <n v="0.14238410596026491"/>
    <n v="1.2141280353200883E-2"/>
    <n v="0"/>
    <n v="30.990066225165563"/>
    <n v="401.39514348785872"/>
    <n v="698.01434878587202"/>
    <n v="190.36754966887418"/>
    <n v="16.23289183222958"/>
    <n v="0"/>
    <b v="0"/>
    <n v="379"/>
    <n v="0.28347045624532535"/>
  </r>
  <r>
    <s v="Lesotho"/>
    <s v="LSO"/>
    <x v="0"/>
    <n v="0"/>
    <n v="398"/>
    <n v="256.80610832894047"/>
    <n v="4.670048704595018E-2"/>
    <n v="0.38491371352263981"/>
    <n v="0.33633803611518653"/>
    <n v="0.14508994335081526"/>
    <n v="8.1948011785405311E-2"/>
    <n v="5.0098081800029007E-3"/>
    <n v="11.992970335336564"/>
    <n v="98.848192812189794"/>
    <n v="86.373662137739686"/>
    <n v="37.259983709589299"/>
    <n v="21.044749991904087"/>
    <n v="1.286549342181037"/>
    <b v="1"/>
    <n v="33"/>
    <n v="8.2914572864321606E-2"/>
  </r>
  <r>
    <s v="Liberia"/>
    <s v="LBR"/>
    <x v="2"/>
    <n v="0"/>
    <n v="109"/>
    <n v="170"/>
    <n v="0.1012750982481759"/>
    <n v="0.48002117827894153"/>
    <n v="0.28827007488165535"/>
    <n v="9.1590836856406288E-2"/>
    <n v="3.3097083995547852E-2"/>
    <n v="5.7457277392730542E-3"/>
    <n v="17.216766702189904"/>
    <n v="81.603600307420066"/>
    <n v="49.005912729881409"/>
    <n v="15.570442265589069"/>
    <n v="5.626504279243135"/>
    <n v="0.97677371567641924"/>
    <b v="0"/>
    <n v="22"/>
    <n v="0.12941176470588237"/>
  </r>
  <r>
    <s v="Madagascar"/>
    <s v="MDG"/>
    <x v="2"/>
    <n v="17"/>
    <n v="319"/>
    <n v="30.094339949726965"/>
    <n v="0.1012750982481759"/>
    <n v="0.48002117827894153"/>
    <n v="0.28827007488165535"/>
    <n v="9.1590836856406288E-2"/>
    <n v="3.3097083995547852E-2"/>
    <n v="5.7457277392730542E-3"/>
    <n v="32.306756341168111"/>
    <n v="153.12675587098235"/>
    <n v="91.958153887248059"/>
    <n v="29.217476957193607"/>
    <n v="10.557969794579765"/>
    <n v="1.8328871488281042"/>
    <b v="1"/>
    <n v="0"/>
    <m/>
  </r>
  <r>
    <s v="Malawi"/>
    <s v="MWI"/>
    <x v="2"/>
    <n v="170"/>
    <n v="387"/>
    <n v="122.98752916224815"/>
    <n v="0.45045045045045046"/>
    <n v="0.22522522522522523"/>
    <n v="0.17117117117117117"/>
    <n v="9.90990990990991E-2"/>
    <n v="5.4054054054054057E-2"/>
    <n v="0"/>
    <n v="55.399787910922591"/>
    <n v="27.699893955461295"/>
    <n v="21.051919406150585"/>
    <n v="12.18795334040297"/>
    <n v="6.6479745493107112"/>
    <n v="0"/>
    <b v="1"/>
    <n v="110"/>
    <n v="0.2842377260981912"/>
  </r>
  <r>
    <s v="Mali"/>
    <s v="MLI"/>
    <x v="2"/>
    <n v="0"/>
    <n v="1340"/>
    <n v="1721"/>
    <n v="0.1012750982481759"/>
    <n v="0.48002117827894153"/>
    <n v="0.28827007488165535"/>
    <n v="9.1590836856406288E-2"/>
    <n v="3.3097083995547852E-2"/>
    <n v="5.7457277392730542E-3"/>
    <n v="174.29444408511074"/>
    <n v="826.11644781805842"/>
    <n v="496.11279887132883"/>
    <n v="157.62783022987523"/>
    <n v="56.960081556337855"/>
    <n v="9.8883974392889264"/>
    <b v="0"/>
    <n v="0"/>
    <m/>
  </r>
  <r>
    <s v="Mauritania"/>
    <s v="MRT"/>
    <x v="0"/>
    <n v="0"/>
    <n v="87"/>
    <n v="96.787074254283908"/>
    <n v="4.670048704595018E-2"/>
    <n v="0.38491371352263981"/>
    <n v="0.33633803611518653"/>
    <n v="0.14508994335081526"/>
    <n v="8.1948011785405311E-2"/>
    <n v="5.0098081800029007E-3"/>
    <n v="4.5200035074276039"/>
    <n v="37.254672172207904"/>
    <n v="32.55317447602058"/>
    <n v="14.042831120645204"/>
    <n v="7.931508301664957"/>
    <n v="0.48488467631765969"/>
    <b v="0"/>
    <n v="0"/>
    <m/>
  </r>
  <r>
    <s v="Mauritius"/>
    <s v="MUS"/>
    <x v="1"/>
    <n v="460"/>
    <n v="748"/>
    <n v="41.271988720290047"/>
    <n v="3.5971223021582736E-3"/>
    <n v="0.15030215827338131"/>
    <n v="0.2886906474820144"/>
    <n v="0.28509352517985609"/>
    <n v="0.21433093525179858"/>
    <n v="5.7985611510791367E-2"/>
    <n v="2.6906474820143886"/>
    <n v="112.42601438848922"/>
    <n v="215.94060431654677"/>
    <n v="213.24995683453236"/>
    <n v="160.31953956834533"/>
    <n v="43.373237410071944"/>
    <b v="1"/>
    <n v="0"/>
    <m/>
  </r>
  <r>
    <s v="Mozambique"/>
    <s v="MOZ"/>
    <x v="2"/>
    <n v="103"/>
    <n v="305"/>
    <n v="498"/>
    <n v="1.0845986984815618E-2"/>
    <n v="0.46203904555314534"/>
    <n v="0.3926247288503254"/>
    <n v="0.10629067245119306"/>
    <n v="2.3861171366594359E-2"/>
    <n v="4.3383947939262474E-3"/>
    <n v="5.4013015184381779"/>
    <n v="230.09544468546639"/>
    <n v="195.52711496746204"/>
    <n v="52.932754880694141"/>
    <n v="11.882863340563992"/>
    <n v="2.1605206073752714"/>
    <b v="0"/>
    <n v="0"/>
    <m/>
  </r>
  <r>
    <s v="Namibia"/>
    <s v="NAM"/>
    <x v="1"/>
    <n v="0"/>
    <n v="598"/>
    <n v="655"/>
    <n v="3.5971223021582736E-3"/>
    <n v="0.15030215827338131"/>
    <n v="0.2886906474820144"/>
    <n v="0.28509352517985609"/>
    <n v="0.21433093525179858"/>
    <n v="5.7985611510791367E-2"/>
    <n v="2.3561151079136691"/>
    <n v="98.447913669064761"/>
    <n v="189.09237410071944"/>
    <n v="186.73625899280574"/>
    <n v="140.38676258992808"/>
    <n v="37.980575539568342"/>
    <b v="0"/>
    <n v="247"/>
    <n v="0.37709923664122136"/>
  </r>
  <r>
    <s v="Niger"/>
    <s v="NER"/>
    <x v="2"/>
    <n v="51"/>
    <n v="60"/>
    <n v="49.419841705777856"/>
    <n v="0.1012750982481759"/>
    <n v="0.48002117827894153"/>
    <n v="0.28827007488165535"/>
    <n v="9.1590836856406288E-2"/>
    <n v="3.3097083995547852E-2"/>
    <n v="5.7457277392730542E-3"/>
    <n v="5.004999324161953"/>
    <n v="23.722570645966261"/>
    <n v="14.246261469164136"/>
    <n v="4.5264046591433234"/>
    <n v="1.6356526519828085"/>
    <n v="0.28395295535937121"/>
    <b v="0"/>
    <n v="0"/>
    <m/>
  </r>
  <r>
    <s v="Nigeria"/>
    <s v="NGA"/>
    <x v="0"/>
    <n v="20035"/>
    <n v="24668"/>
    <n v="21005.731322244228"/>
    <n v="4.670048704595018E-2"/>
    <n v="0.38491371352263981"/>
    <n v="0.33633803611518653"/>
    <n v="0.14508994335081526"/>
    <n v="8.1948011785405311E-2"/>
    <n v="5.0098081800029007E-3"/>
    <n v="980.97788350517646"/>
    <n v="8085.3940485038565"/>
    <n v="7065.0264200868842"/>
    <n v="3047.7203675868609"/>
    <n v="1721.3779179563276"/>
    <n v="105.23468460512228"/>
    <b v="0"/>
    <n v="0"/>
    <m/>
  </r>
  <r>
    <s v="Rwanda"/>
    <s v="RWA"/>
    <x v="2"/>
    <n v="114"/>
    <n v="886"/>
    <n v="886"/>
    <n v="0.1012750982481759"/>
    <n v="0.48002117827894153"/>
    <n v="0.28827007488165535"/>
    <n v="9.1590836856406288E-2"/>
    <n v="3.3097083995547852E-2"/>
    <n v="5.7457277392730542E-3"/>
    <n v="89.729737047883845"/>
    <n v="425.29876395514219"/>
    <n v="255.40728634514664"/>
    <n v="81.149481454775966"/>
    <n v="29.324016420055397"/>
    <n v="5.0907147769959264"/>
    <b v="0"/>
    <n v="95"/>
    <n v="0.1072234762979684"/>
  </r>
  <r>
    <s v="Sao Tome and Principe"/>
    <s v="STP"/>
    <x v="0"/>
    <n v="0"/>
    <n v="37"/>
    <n v="37"/>
    <n v="4.670048704595018E-2"/>
    <n v="0.38491371352263981"/>
    <n v="0.33633803611518653"/>
    <n v="0.14508994335081526"/>
    <n v="8.1948011785405311E-2"/>
    <n v="5.0098081800029007E-3"/>
    <n v="1.7279180207001568"/>
    <n v="14.241807400337674"/>
    <n v="12.444507336261902"/>
    <n v="5.3683279039801644"/>
    <n v="3.0320764360599965"/>
    <n v="0.18536290266010733"/>
    <b v="0"/>
    <n v="0"/>
    <m/>
  </r>
  <r>
    <s v="Senegal"/>
    <s v="SEN"/>
    <x v="0"/>
    <n v="143"/>
    <n v="162"/>
    <n v="352"/>
    <n v="2.9585798816568047E-3"/>
    <n v="0.23076923076923078"/>
    <n v="0.44674556213017752"/>
    <n v="0.20414201183431951"/>
    <n v="0.11538461538461539"/>
    <n v="0"/>
    <n v="1.0414201183431953"/>
    <n v="81.230769230769241"/>
    <n v="157.25443786982248"/>
    <n v="71.857988165680467"/>
    <n v="40.61538461538462"/>
    <n v="0"/>
    <b v="0"/>
    <n v="171"/>
    <n v="0.48579545454545453"/>
  </r>
  <r>
    <s v="Seychelles"/>
    <s v="SYC"/>
    <x v="1"/>
    <n v="4"/>
    <n v="124"/>
    <n v="70.107217303545326"/>
    <n v="3.5971223021582736E-3"/>
    <n v="0.15030215827338131"/>
    <n v="0.2886906474820144"/>
    <n v="0.28509352517985609"/>
    <n v="0.21433093525179858"/>
    <n v="5.7985611510791367E-2"/>
    <n v="0.25218423490483932"/>
    <n v="10.537266071263806"/>
    <n v="20.239297956522783"/>
    <n v="19.987113721617941"/>
    <n v="15.026145452569946"/>
    <n v="4.0652098666660095"/>
    <b v="1"/>
    <n v="0"/>
    <m/>
  </r>
  <r>
    <s v="Sierra Leone"/>
    <s v="SLE"/>
    <x v="2"/>
    <n v="0"/>
    <n v="156"/>
    <n v="193"/>
    <n v="0.1012750982481759"/>
    <n v="0.48002117827894153"/>
    <n v="0.28827007488165535"/>
    <n v="9.1590836856406288E-2"/>
    <n v="3.3097083995547852E-2"/>
    <n v="5.7457277392730542E-3"/>
    <n v="19.546093961897949"/>
    <n v="92.644087407835713"/>
    <n v="55.636124452159478"/>
    <n v="17.677031513286412"/>
    <n v="6.3877372111407356"/>
    <n v="1.1089254536796995"/>
    <b v="0"/>
    <n v="69"/>
    <n v="0.35751295336787564"/>
  </r>
  <r>
    <s v="South Africa"/>
    <s v="ZAF"/>
    <x v="1"/>
    <n v="13642"/>
    <n v="14412"/>
    <n v="17703"/>
    <n v="3.5971223021582736E-3"/>
    <n v="0.15030215827338131"/>
    <n v="0.2886906474820144"/>
    <n v="0.28509352517985609"/>
    <n v="0.21433093525179858"/>
    <n v="5.7985611510791367E-2"/>
    <n v="63.679856115107917"/>
    <n v="2660.7991079136691"/>
    <n v="5110.6905323741012"/>
    <n v="5047.0106762589921"/>
    <n v="3794.3005467625903"/>
    <n v="1026.5192805755396"/>
    <b v="0"/>
    <n v="1291"/>
    <n v="7.2925492854318472E-2"/>
  </r>
  <r>
    <s v="South Sudan"/>
    <s v="SSD"/>
    <x v="2"/>
    <n v="0"/>
    <n v="360"/>
    <n v="159.7525115605377"/>
    <n v="0.1012750982481759"/>
    <n v="0.48002117827894153"/>
    <n v="0.28827007488165535"/>
    <n v="9.1590836856406288E-2"/>
    <n v="3.3097083995547852E-2"/>
    <n v="5.7457277392730542E-3"/>
    <n v="16.178951303686311"/>
    <n v="76.684588832309529"/>
    <n v="46.051868470088714"/>
    <n v="14.631866223742367"/>
    <n v="5.2873422936188454"/>
    <n v="0.91789443709192076"/>
    <b v="1"/>
    <n v="0"/>
    <m/>
  </r>
  <r>
    <s v="Tanzania"/>
    <s v="TZA"/>
    <x v="0"/>
    <n v="339"/>
    <n v="1845"/>
    <n v="2261.9470224210058"/>
    <n v="4.670048704595018E-2"/>
    <n v="0.38491371352263981"/>
    <n v="0.33633803611518653"/>
    <n v="0.14508994335081526"/>
    <n v="8.1948011785405311E-2"/>
    <n v="5.0098081800029007E-3"/>
    <n v="105.63402761919777"/>
    <n v="870.65442819154714"/>
    <n v="760.7788193176749"/>
    <n v="328.18576534560901"/>
    <n v="185.36206125131903"/>
    <n v="11.33192069565796"/>
    <b v="0"/>
    <n v="0"/>
    <m/>
  </r>
  <r>
    <s v="Togo"/>
    <s v="TGO"/>
    <x v="2"/>
    <n v="17"/>
    <n v="226"/>
    <n v="255"/>
    <n v="0.1012750982481759"/>
    <n v="0.48002117827894153"/>
    <n v="0.28827007488165535"/>
    <n v="9.1590836856406288E-2"/>
    <n v="3.3097083995547852E-2"/>
    <n v="5.7457277392730542E-3"/>
    <n v="25.825150053284855"/>
    <n v="122.40540046113009"/>
    <n v="73.508869094822117"/>
    <n v="23.355663398383605"/>
    <n v="8.4397564188647021"/>
    <n v="1.4651605735146289"/>
    <b v="0"/>
    <n v="60"/>
    <n v="0.23529411764705882"/>
  </r>
  <r>
    <s v="Uganda"/>
    <s v="UGA"/>
    <x v="2"/>
    <n v="550"/>
    <n v="324"/>
    <n v="1712"/>
    <n v="0.1012750982481759"/>
    <n v="0.48002117827894153"/>
    <n v="0.28827007488165535"/>
    <n v="9.1590836856406288E-2"/>
    <n v="3.3097083995547852E-2"/>
    <n v="5.7457277392730542E-3"/>
    <n v="173.38296820087714"/>
    <n v="821.79625721354785"/>
    <n v="493.51836819739395"/>
    <n v="156.80351269816757"/>
    <n v="56.662207800377921"/>
    <n v="9.8366858896354685"/>
    <b v="0"/>
    <n v="120"/>
    <n v="7.0093457943925228E-2"/>
  </r>
  <r>
    <s v="Zambia"/>
    <s v="ZMB"/>
    <x v="0"/>
    <n v="409"/>
    <n v="727"/>
    <n v="1425"/>
    <n v="1.0954616588419406E-2"/>
    <n v="0.51330203442879496"/>
    <n v="0.3348982785602504"/>
    <n v="9.0766823161189364E-2"/>
    <n v="4.2253521126760563E-2"/>
    <n v="7.8247261345852897E-3"/>
    <n v="15.610328638497652"/>
    <n v="731.45539906103284"/>
    <n v="477.2300469483568"/>
    <n v="129.34272300469485"/>
    <n v="60.2112676056338"/>
    <n v="11.150234741784038"/>
    <b v="0"/>
    <n v="0"/>
    <m/>
  </r>
  <r>
    <s v="Zimbabwe"/>
    <s v="ZWE"/>
    <x v="0"/>
    <n v="394"/>
    <n v="1397"/>
    <n v="1902"/>
    <n v="0.35369091874668085"/>
    <n v="0.5050451407328731"/>
    <n v="6.0541688794476897E-2"/>
    <n v="8.0722251725969196E-2"/>
    <n v="0"/>
    <n v="0"/>
    <n v="672.72012745618702"/>
    <n v="960.59585767392468"/>
    <n v="115.15029208709505"/>
    <n v="153.5337227827934"/>
    <n v="0"/>
    <n v="0"/>
    <b v="0"/>
    <n v="155"/>
    <n v="8.1493165089379607E-2"/>
  </r>
  <r>
    <s v="AFRO"/>
    <s v="AFRO"/>
    <x v="3"/>
    <n v="43321"/>
    <n v="91152"/>
    <n v="90216.757447090538"/>
    <n v="9.3811881188118812E-2"/>
    <n v="0.39455445544554457"/>
    <n v="0.31943069306930694"/>
    <n v="0.15074257425742574"/>
    <n v="3.8118811881188118E-2"/>
    <n v="3.3415841584158415E-3"/>
    <n v="8463.4037308037914"/>
    <n v="35595.423606599586"/>
    <n v="28818.00135778969"/>
    <n v="13599.506258732212"/>
    <n v="3438.9556056564215"/>
    <n v="301.46688750884215"/>
    <b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63D14-8F76-4242-AB32-CC61258302FA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showAll="0">
      <items count="5">
        <item x="0"/>
        <item x="2"/>
        <item x="3"/>
        <item x="1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Pharmacists Stock By Age Group &lt; 25 yrs2" fld="8" subtotal="average" baseField="0" baseItem="0"/>
    <dataField name="Average of Pharmacists Stock By Age Group 25-34 yrs2" fld="9" subtotal="average" baseField="0" baseItem="0"/>
    <dataField name="Average of Pharmacists Stock By Age Group 35-44 yrs2" fld="10" subtotal="average" baseField="0" baseItem="0"/>
    <dataField name="Average of Pharmacists Stock By Age Group 45-54 yrs2" fld="11" subtotal="average" baseField="0" baseItem="0"/>
    <dataField name="Average of Pharmacists Stock By Age Group 55-64 yrs2" fld="12" subtotal="average" baseField="0" baseItem="0"/>
    <dataField name="Average of Pharmacists Stock By Age Group ≥ 65 yrs2" fld="13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4F4A5-A5A0-4A44-A49E-B04912E5EC5C}" name="PivotTable9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numFmtId="164"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showAll="0"/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Graduates to stock ratio" fld="2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FD5F-754C-4724-9932-F3864A299C01}">
  <dimension ref="A3:G8"/>
  <sheetViews>
    <sheetView topLeftCell="F1" workbookViewId="0">
      <selection activeCell="A3" sqref="A3:I7"/>
    </sheetView>
  </sheetViews>
  <sheetFormatPr defaultRowHeight="14.5" x14ac:dyDescent="0.35"/>
  <cols>
    <col min="1" max="1" width="34.26953125" bestFit="1" customWidth="1"/>
    <col min="2" max="2" width="45.7265625" bestFit="1" customWidth="1"/>
    <col min="3" max="6" width="46.90625" bestFit="1" customWidth="1"/>
    <col min="7" max="7" width="45.7265625" bestFit="1" customWidth="1"/>
  </cols>
  <sheetData>
    <row r="3" spans="1:7" x14ac:dyDescent="0.35">
      <c r="A3" s="11" t="s">
        <v>0</v>
      </c>
      <c r="B3" t="s">
        <v>111</v>
      </c>
      <c r="C3" t="s">
        <v>112</v>
      </c>
      <c r="D3" t="s">
        <v>113</v>
      </c>
      <c r="E3" t="s">
        <v>114</v>
      </c>
      <c r="F3" t="s">
        <v>115</v>
      </c>
      <c r="G3" t="s">
        <v>116</v>
      </c>
    </row>
    <row r="4" spans="1:7" x14ac:dyDescent="0.35">
      <c r="A4" s="12" t="s">
        <v>31</v>
      </c>
      <c r="B4">
        <v>9.3811881188118812E-2</v>
      </c>
      <c r="C4">
        <v>0.39455445544554457</v>
      </c>
      <c r="D4">
        <v>0.31943069306930694</v>
      </c>
      <c r="E4">
        <v>0.15074257425742574</v>
      </c>
      <c r="F4">
        <v>3.8118811881188118E-2</v>
      </c>
      <c r="G4">
        <v>3.3415841584158415E-3</v>
      </c>
    </row>
    <row r="5" spans="1:7" x14ac:dyDescent="0.35">
      <c r="A5" s="12" t="s">
        <v>42</v>
      </c>
      <c r="B5">
        <v>3.5971223021582736E-3</v>
      </c>
      <c r="C5">
        <v>0.15030215827338131</v>
      </c>
      <c r="D5">
        <v>0.2886906474820144</v>
      </c>
      <c r="E5">
        <v>0.28509352517985609</v>
      </c>
      <c r="F5">
        <v>0.21433093525179858</v>
      </c>
      <c r="G5">
        <v>5.7985611510791367E-2</v>
      </c>
    </row>
    <row r="6" spans="1:7" x14ac:dyDescent="0.35">
      <c r="A6" s="12" t="s">
        <v>37</v>
      </c>
      <c r="B6">
        <v>4.670048704595018E-2</v>
      </c>
      <c r="C6">
        <v>0.38491371352263981</v>
      </c>
      <c r="D6">
        <v>0.33633803611518653</v>
      </c>
      <c r="E6">
        <v>0.14508994335081526</v>
      </c>
      <c r="F6">
        <v>8.1948011785405311E-2</v>
      </c>
      <c r="G6">
        <v>5.0098081800029007E-3</v>
      </c>
    </row>
    <row r="7" spans="1:7" x14ac:dyDescent="0.35">
      <c r="A7" s="12" t="s">
        <v>44</v>
      </c>
      <c r="B7">
        <v>0.1012750982481759</v>
      </c>
      <c r="C7">
        <v>0.48002117827894153</v>
      </c>
      <c r="D7">
        <v>0.28827007488165535</v>
      </c>
      <c r="E7">
        <v>9.1590836856406288E-2</v>
      </c>
      <c r="F7">
        <v>3.3097083995547852E-2</v>
      </c>
      <c r="G7">
        <v>5.7457277392730542E-3</v>
      </c>
    </row>
    <row r="8" spans="1:7" x14ac:dyDescent="0.35">
      <c r="A8" s="12" t="s">
        <v>22</v>
      </c>
      <c r="B8">
        <v>5.9688138194045365E-2</v>
      </c>
      <c r="C8">
        <v>0.38580009992296727</v>
      </c>
      <c r="D8">
        <v>0.31675237353297103</v>
      </c>
      <c r="E8">
        <v>0.14609906902262901</v>
      </c>
      <c r="F8">
        <v>8.0652567789809851E-2</v>
      </c>
      <c r="G8">
        <v>1.100775153757738E-2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112D-3238-4425-85EF-624241CF8F38}">
  <dimension ref="A1:O47"/>
  <sheetViews>
    <sheetView topLeftCell="F69" workbookViewId="0">
      <selection activeCell="S75" sqref="S75"/>
    </sheetView>
  </sheetViews>
  <sheetFormatPr defaultRowHeight="14.5" x14ac:dyDescent="0.35"/>
  <cols>
    <col min="15" max="15" width="34.26953125" bestFit="1" customWidth="1"/>
  </cols>
  <sheetData>
    <row r="1" spans="1:15" ht="72.5" x14ac:dyDescent="0.35">
      <c r="A1" s="1" t="s">
        <v>0</v>
      </c>
      <c r="B1" s="1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3" t="s">
        <v>30</v>
      </c>
      <c r="H1" s="2" t="s">
        <v>32</v>
      </c>
      <c r="I1" s="1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3" t="s">
        <v>30</v>
      </c>
      <c r="O1" s="10" t="s">
        <v>110</v>
      </c>
    </row>
    <row r="2" spans="1:15" x14ac:dyDescent="0.35">
      <c r="A2" s="4" t="s">
        <v>31</v>
      </c>
      <c r="B2" s="1">
        <v>758</v>
      </c>
      <c r="C2" s="2">
        <v>3188</v>
      </c>
      <c r="D2" s="2">
        <v>2581</v>
      </c>
      <c r="E2" s="2">
        <v>1218</v>
      </c>
      <c r="F2" s="2">
        <v>308</v>
      </c>
      <c r="G2" s="3">
        <v>27</v>
      </c>
      <c r="H2">
        <f>SUM(B2:G2)</f>
        <v>8080</v>
      </c>
      <c r="I2">
        <f>B2/$H2</f>
        <v>9.3811881188118812E-2</v>
      </c>
      <c r="J2">
        <f t="shared" ref="J2:M2" si="0">C2/$H2</f>
        <v>0.39455445544554457</v>
      </c>
      <c r="K2">
        <f t="shared" si="0"/>
        <v>0.31943069306930694</v>
      </c>
      <c r="L2">
        <f t="shared" si="0"/>
        <v>0.15074257425742574</v>
      </c>
      <c r="M2">
        <f t="shared" si="0"/>
        <v>3.8118811881188118E-2</v>
      </c>
      <c r="N2">
        <f>G2/$H2</f>
        <v>3.3415841584158415E-3</v>
      </c>
      <c r="O2" t="s">
        <v>31</v>
      </c>
    </row>
    <row r="3" spans="1:15" x14ac:dyDescent="0.35">
      <c r="A3" s="5" t="s">
        <v>1</v>
      </c>
      <c r="B3" s="6">
        <v>0</v>
      </c>
      <c r="C3" s="7">
        <v>127</v>
      </c>
      <c r="D3" s="7">
        <v>329</v>
      </c>
      <c r="E3" s="7">
        <v>108</v>
      </c>
      <c r="F3" s="7">
        <v>11</v>
      </c>
      <c r="G3" s="8">
        <v>0</v>
      </c>
      <c r="H3">
        <f t="shared" ref="H3:H19" si="1">SUM(B3:G3)</f>
        <v>575</v>
      </c>
      <c r="I3">
        <f t="shared" ref="I3:I19" si="2">B3/$H3</f>
        <v>0</v>
      </c>
      <c r="J3">
        <f t="shared" ref="J3:J19" si="3">C3/$H3</f>
        <v>0.22086956521739132</v>
      </c>
      <c r="K3">
        <f t="shared" ref="K3:K19" si="4">D3/$H3</f>
        <v>0.57217391304347831</v>
      </c>
      <c r="L3">
        <f t="shared" ref="L3:L19" si="5">E3/$H3</f>
        <v>0.18782608695652173</v>
      </c>
      <c r="M3">
        <f t="shared" ref="M3:M19" si="6">F3/$H3</f>
        <v>1.9130434782608695E-2</v>
      </c>
      <c r="N3">
        <f t="shared" ref="N3:N19" si="7">G3/$H3</f>
        <v>0</v>
      </c>
      <c r="O3" t="str">
        <f>VLOOKUP(A3,Sheet2!A$2:D$49,4,FALSE)</f>
        <v>Low-Income Economies</v>
      </c>
    </row>
    <row r="4" spans="1:15" x14ac:dyDescent="0.35">
      <c r="A4" s="5" t="s">
        <v>2</v>
      </c>
      <c r="B4" s="6"/>
      <c r="C4" s="7">
        <v>7</v>
      </c>
      <c r="D4" s="7">
        <v>38</v>
      </c>
      <c r="E4" s="7">
        <v>38</v>
      </c>
      <c r="F4" s="7">
        <v>32</v>
      </c>
      <c r="G4" s="8">
        <v>10</v>
      </c>
      <c r="H4">
        <f t="shared" si="1"/>
        <v>125</v>
      </c>
      <c r="I4">
        <f t="shared" si="2"/>
        <v>0</v>
      </c>
      <c r="J4">
        <f t="shared" si="3"/>
        <v>5.6000000000000001E-2</v>
      </c>
      <c r="K4">
        <f t="shared" si="4"/>
        <v>0.30399999999999999</v>
      </c>
      <c r="L4">
        <f t="shared" si="5"/>
        <v>0.30399999999999999</v>
      </c>
      <c r="M4">
        <f t="shared" si="6"/>
        <v>0.25600000000000001</v>
      </c>
      <c r="N4">
        <f t="shared" si="7"/>
        <v>0.08</v>
      </c>
      <c r="O4" t="str">
        <f>VLOOKUP(A4,Sheet2!A$2:D$49,4,FALSE)</f>
        <v>High/Upper-Middle-Income Economies </v>
      </c>
    </row>
    <row r="5" spans="1:15" x14ac:dyDescent="0.35">
      <c r="A5" s="5" t="s">
        <v>3</v>
      </c>
      <c r="B5" s="6">
        <v>0</v>
      </c>
      <c r="C5" s="7">
        <v>256</v>
      </c>
      <c r="D5" s="7">
        <v>539</v>
      </c>
      <c r="E5" s="7">
        <v>354</v>
      </c>
      <c r="F5" s="7">
        <v>13</v>
      </c>
      <c r="G5" s="8">
        <v>0</v>
      </c>
      <c r="H5">
        <f t="shared" si="1"/>
        <v>1162</v>
      </c>
      <c r="I5">
        <f t="shared" si="2"/>
        <v>0</v>
      </c>
      <c r="J5">
        <f t="shared" si="3"/>
        <v>0.22030981067125646</v>
      </c>
      <c r="K5">
        <f t="shared" si="4"/>
        <v>0.46385542168674698</v>
      </c>
      <c r="L5">
        <f t="shared" si="5"/>
        <v>0.30464716006884679</v>
      </c>
      <c r="M5">
        <f t="shared" si="6"/>
        <v>1.1187607573149742E-2</v>
      </c>
      <c r="N5">
        <f t="shared" si="7"/>
        <v>0</v>
      </c>
      <c r="O5" t="str">
        <f>VLOOKUP(A5,Sheet2!A$2:D$49,4,FALSE)</f>
        <v>Lower-Middle-Income Economies</v>
      </c>
    </row>
    <row r="6" spans="1:15" x14ac:dyDescent="0.35">
      <c r="A6" s="5" t="s">
        <v>4</v>
      </c>
      <c r="B6" s="6">
        <v>3</v>
      </c>
      <c r="C6" s="7">
        <v>389</v>
      </c>
      <c r="D6" s="7">
        <v>201</v>
      </c>
      <c r="E6" s="7">
        <v>8</v>
      </c>
      <c r="F6" s="7">
        <v>1</v>
      </c>
      <c r="G6" s="8">
        <v>0</v>
      </c>
      <c r="H6">
        <f t="shared" si="1"/>
        <v>602</v>
      </c>
      <c r="I6">
        <f t="shared" si="2"/>
        <v>4.9833887043189366E-3</v>
      </c>
      <c r="J6">
        <f t="shared" si="3"/>
        <v>0.64617940199335544</v>
      </c>
      <c r="K6">
        <f t="shared" si="4"/>
        <v>0.33388704318936879</v>
      </c>
      <c r="L6">
        <f t="shared" si="5"/>
        <v>1.3289036544850499E-2</v>
      </c>
      <c r="M6">
        <f t="shared" si="6"/>
        <v>1.6611295681063123E-3</v>
      </c>
      <c r="N6">
        <f t="shared" si="7"/>
        <v>0</v>
      </c>
      <c r="O6" t="str">
        <f>VLOOKUP(A6,Sheet2!A$2:D$49,4,FALSE)</f>
        <v>Lower-Middle-Income Economies</v>
      </c>
    </row>
    <row r="7" spans="1:15" x14ac:dyDescent="0.35">
      <c r="A7" s="5" t="s">
        <v>5</v>
      </c>
      <c r="B7" s="6">
        <v>1</v>
      </c>
      <c r="C7" s="7">
        <v>6</v>
      </c>
      <c r="D7" s="7">
        <v>9</v>
      </c>
      <c r="E7" s="7">
        <v>4</v>
      </c>
      <c r="F7" s="7">
        <v>8</v>
      </c>
      <c r="G7" s="8"/>
      <c r="H7">
        <f t="shared" si="1"/>
        <v>28</v>
      </c>
      <c r="I7">
        <f t="shared" si="2"/>
        <v>3.5714285714285712E-2</v>
      </c>
      <c r="J7">
        <f t="shared" si="3"/>
        <v>0.21428571428571427</v>
      </c>
      <c r="K7">
        <f t="shared" si="4"/>
        <v>0.32142857142857145</v>
      </c>
      <c r="L7">
        <f t="shared" si="5"/>
        <v>0.14285714285714285</v>
      </c>
      <c r="M7">
        <f t="shared" si="6"/>
        <v>0.2857142857142857</v>
      </c>
      <c r="N7">
        <f t="shared" si="7"/>
        <v>0</v>
      </c>
      <c r="O7" t="str">
        <f>VLOOKUP(A7,Sheet2!A$2:D$49,4,FALSE)</f>
        <v>Lower-Middle-Income Economies</v>
      </c>
    </row>
    <row r="8" spans="1:15" x14ac:dyDescent="0.35">
      <c r="A8" s="5" t="s">
        <v>7</v>
      </c>
      <c r="B8" s="6">
        <v>8</v>
      </c>
      <c r="C8" s="7">
        <v>161</v>
      </c>
      <c r="D8" s="7">
        <v>20</v>
      </c>
      <c r="E8" s="7">
        <v>9</v>
      </c>
      <c r="F8" s="7">
        <v>1</v>
      </c>
      <c r="G8" s="8"/>
      <c r="H8">
        <f t="shared" si="1"/>
        <v>199</v>
      </c>
      <c r="I8">
        <f t="shared" si="2"/>
        <v>4.0201005025125629E-2</v>
      </c>
      <c r="J8">
        <f t="shared" si="3"/>
        <v>0.80904522613065322</v>
      </c>
      <c r="K8">
        <f t="shared" si="4"/>
        <v>0.10050251256281408</v>
      </c>
      <c r="L8">
        <f t="shared" si="5"/>
        <v>4.5226130653266333E-2</v>
      </c>
      <c r="M8">
        <f t="shared" si="6"/>
        <v>5.0251256281407036E-3</v>
      </c>
      <c r="N8">
        <f t="shared" si="7"/>
        <v>0</v>
      </c>
      <c r="O8" t="str">
        <f>VLOOKUP(A8,Sheet2!A$2:D$49,4,FALSE)</f>
        <v>Low-Income Economies</v>
      </c>
    </row>
    <row r="9" spans="1:15" x14ac:dyDescent="0.35">
      <c r="A9" s="5" t="s">
        <v>8</v>
      </c>
      <c r="B9" s="6">
        <v>1</v>
      </c>
      <c r="C9" s="7">
        <v>34</v>
      </c>
      <c r="D9" s="7">
        <v>38</v>
      </c>
      <c r="E9" s="7">
        <v>37</v>
      </c>
      <c r="F9" s="7">
        <v>24</v>
      </c>
      <c r="G9" s="8">
        <v>5</v>
      </c>
      <c r="H9">
        <f t="shared" si="1"/>
        <v>139</v>
      </c>
      <c r="I9">
        <f t="shared" si="2"/>
        <v>7.1942446043165471E-3</v>
      </c>
      <c r="J9">
        <f t="shared" si="3"/>
        <v>0.2446043165467626</v>
      </c>
      <c r="K9">
        <f t="shared" si="4"/>
        <v>0.2733812949640288</v>
      </c>
      <c r="L9">
        <f t="shared" si="5"/>
        <v>0.26618705035971224</v>
      </c>
      <c r="M9">
        <f t="shared" si="6"/>
        <v>0.17266187050359713</v>
      </c>
      <c r="N9">
        <f t="shared" si="7"/>
        <v>3.5971223021582732E-2</v>
      </c>
      <c r="O9" t="str">
        <f>VLOOKUP(A9,Sheet2!A$2:D$49,4,FALSE)</f>
        <v>High/Upper-Middle-Income Economies </v>
      </c>
    </row>
    <row r="10" spans="1:15" x14ac:dyDescent="0.35">
      <c r="A10" s="5" t="s">
        <v>9</v>
      </c>
      <c r="B10" s="6">
        <v>0</v>
      </c>
      <c r="C10" s="7">
        <v>431</v>
      </c>
      <c r="D10" s="7">
        <v>394</v>
      </c>
      <c r="E10" s="7">
        <v>213</v>
      </c>
      <c r="F10" s="7">
        <v>99</v>
      </c>
      <c r="G10" s="8">
        <v>0</v>
      </c>
      <c r="H10">
        <f t="shared" si="1"/>
        <v>1137</v>
      </c>
      <c r="I10">
        <f t="shared" si="2"/>
        <v>0</v>
      </c>
      <c r="J10">
        <f t="shared" si="3"/>
        <v>0.37906772207563766</v>
      </c>
      <c r="K10">
        <f t="shared" si="4"/>
        <v>0.3465259454705365</v>
      </c>
      <c r="L10">
        <f t="shared" si="5"/>
        <v>0.18733509234828497</v>
      </c>
      <c r="M10">
        <f t="shared" si="6"/>
        <v>8.7071240105540904E-2</v>
      </c>
      <c r="N10">
        <f t="shared" si="7"/>
        <v>0</v>
      </c>
      <c r="O10" t="str">
        <f>VLOOKUP(A10,Sheet2!A$2:D$49,4,FALSE)</f>
        <v>Lower-Middle-Income Economies</v>
      </c>
    </row>
    <row r="11" spans="1:15" x14ac:dyDescent="0.35">
      <c r="A11" s="5" t="s">
        <v>11</v>
      </c>
      <c r="B11" s="6">
        <v>21</v>
      </c>
      <c r="C11" s="7">
        <v>272</v>
      </c>
      <c r="D11" s="7">
        <v>473</v>
      </c>
      <c r="E11" s="7">
        <v>129</v>
      </c>
      <c r="F11" s="7">
        <v>11</v>
      </c>
      <c r="G11" s="8">
        <v>0</v>
      </c>
      <c r="H11">
        <f t="shared" si="1"/>
        <v>906</v>
      </c>
      <c r="I11">
        <f t="shared" si="2"/>
        <v>2.3178807947019868E-2</v>
      </c>
      <c r="J11">
        <f t="shared" si="3"/>
        <v>0.30022075055187636</v>
      </c>
      <c r="K11">
        <f t="shared" si="4"/>
        <v>0.52207505518763797</v>
      </c>
      <c r="L11">
        <f t="shared" si="5"/>
        <v>0.14238410596026491</v>
      </c>
      <c r="M11">
        <f t="shared" si="6"/>
        <v>1.2141280353200883E-2</v>
      </c>
      <c r="N11">
        <f t="shared" si="7"/>
        <v>0</v>
      </c>
      <c r="O11" t="str">
        <f>VLOOKUP(A11,Sheet2!A$2:D$49,4,FALSE)</f>
        <v>Lower-Middle-Income Economies</v>
      </c>
    </row>
    <row r="12" spans="1:15" x14ac:dyDescent="0.35">
      <c r="A12" s="5" t="s">
        <v>12</v>
      </c>
      <c r="B12" s="6">
        <v>5</v>
      </c>
      <c r="C12" s="7">
        <v>213</v>
      </c>
      <c r="D12" s="7">
        <v>181</v>
      </c>
      <c r="E12" s="7">
        <v>49</v>
      </c>
      <c r="F12" s="7">
        <v>11</v>
      </c>
      <c r="G12" s="8">
        <v>2</v>
      </c>
      <c r="H12">
        <f t="shared" si="1"/>
        <v>461</v>
      </c>
      <c r="I12">
        <f t="shared" si="2"/>
        <v>1.0845986984815618E-2</v>
      </c>
      <c r="J12">
        <f t="shared" si="3"/>
        <v>0.46203904555314534</v>
      </c>
      <c r="K12">
        <f t="shared" si="4"/>
        <v>0.3926247288503254</v>
      </c>
      <c r="L12">
        <f>E12/$H12</f>
        <v>0.10629067245119306</v>
      </c>
      <c r="M12">
        <f t="shared" si="6"/>
        <v>2.3861171366594359E-2</v>
      </c>
      <c r="N12">
        <f t="shared" si="7"/>
        <v>4.3383947939262474E-3</v>
      </c>
      <c r="O12" t="str">
        <f>VLOOKUP(A12,Sheet2!A$2:D$49,4,FALSE)</f>
        <v>Low-Income Economies</v>
      </c>
    </row>
    <row r="13" spans="1:15" x14ac:dyDescent="0.35">
      <c r="A13" s="5" t="s">
        <v>13</v>
      </c>
      <c r="B13" s="6">
        <v>50</v>
      </c>
      <c r="C13" s="7">
        <v>25</v>
      </c>
      <c r="D13" s="7">
        <v>19</v>
      </c>
      <c r="E13" s="7">
        <v>11</v>
      </c>
      <c r="F13" s="7">
        <v>6</v>
      </c>
      <c r="G13" s="8"/>
      <c r="H13">
        <f t="shared" si="1"/>
        <v>111</v>
      </c>
      <c r="I13">
        <f t="shared" si="2"/>
        <v>0.45045045045045046</v>
      </c>
      <c r="J13">
        <f t="shared" si="3"/>
        <v>0.22522522522522523</v>
      </c>
      <c r="K13">
        <f t="shared" si="4"/>
        <v>0.17117117117117117</v>
      </c>
      <c r="L13">
        <f t="shared" si="5"/>
        <v>9.90990990990991E-2</v>
      </c>
      <c r="M13">
        <f t="shared" si="6"/>
        <v>5.4054054054054057E-2</v>
      </c>
      <c r="N13">
        <f t="shared" si="7"/>
        <v>0</v>
      </c>
      <c r="O13" t="str">
        <f>VLOOKUP(A13,Sheet2!A$2:D$49,4,FALSE)</f>
        <v>Low-Income Economies</v>
      </c>
    </row>
    <row r="14" spans="1:15" x14ac:dyDescent="0.35">
      <c r="A14" s="5" t="s">
        <v>15</v>
      </c>
      <c r="B14" s="6">
        <v>1</v>
      </c>
      <c r="C14" s="7">
        <v>78</v>
      </c>
      <c r="D14" s="7">
        <v>151</v>
      </c>
      <c r="E14" s="7">
        <v>69</v>
      </c>
      <c r="F14" s="7">
        <v>39</v>
      </c>
      <c r="G14" s="8"/>
      <c r="H14">
        <f t="shared" si="1"/>
        <v>338</v>
      </c>
      <c r="I14">
        <f t="shared" si="2"/>
        <v>2.9585798816568047E-3</v>
      </c>
      <c r="J14">
        <f t="shared" si="3"/>
        <v>0.23076923076923078</v>
      </c>
      <c r="K14">
        <f t="shared" si="4"/>
        <v>0.44674556213017752</v>
      </c>
      <c r="L14">
        <f t="shared" si="5"/>
        <v>0.20414201183431951</v>
      </c>
      <c r="M14">
        <f t="shared" si="6"/>
        <v>0.11538461538461539</v>
      </c>
      <c r="N14">
        <f t="shared" si="7"/>
        <v>0</v>
      </c>
      <c r="O14" t="str">
        <f>VLOOKUP(A14,Sheet2!A$2:D$49,4,FALSE)</f>
        <v>Lower-Middle-Income Economies</v>
      </c>
    </row>
    <row r="15" spans="1:15" x14ac:dyDescent="0.35">
      <c r="A15" s="5" t="s">
        <v>18</v>
      </c>
      <c r="B15" s="6">
        <v>1</v>
      </c>
      <c r="C15" s="7">
        <v>140</v>
      </c>
      <c r="D15" s="7">
        <v>42</v>
      </c>
      <c r="E15" s="7">
        <v>4</v>
      </c>
      <c r="F15" s="7">
        <v>13</v>
      </c>
      <c r="G15" s="8">
        <v>5</v>
      </c>
      <c r="H15">
        <f t="shared" si="1"/>
        <v>205</v>
      </c>
      <c r="I15">
        <f t="shared" si="2"/>
        <v>4.8780487804878049E-3</v>
      </c>
      <c r="J15">
        <f t="shared" si="3"/>
        <v>0.68292682926829273</v>
      </c>
      <c r="K15">
        <f t="shared" si="4"/>
        <v>0.20487804878048779</v>
      </c>
      <c r="L15">
        <f t="shared" si="5"/>
        <v>1.9512195121951219E-2</v>
      </c>
      <c r="M15">
        <f t="shared" si="6"/>
        <v>6.3414634146341464E-2</v>
      </c>
      <c r="N15">
        <f t="shared" si="7"/>
        <v>2.4390243902439025E-2</v>
      </c>
      <c r="O15" t="str">
        <f>VLOOKUP(A15,Sheet2!A$2:D$49,4,FALSE)</f>
        <v>Low-Income Economies</v>
      </c>
    </row>
    <row r="16" spans="1:15" x14ac:dyDescent="0.35">
      <c r="A16" s="5" t="s">
        <v>20</v>
      </c>
      <c r="B16" s="6">
        <v>7</v>
      </c>
      <c r="C16" s="7">
        <v>328</v>
      </c>
      <c r="D16" s="7">
        <v>214</v>
      </c>
      <c r="E16" s="7">
        <v>58</v>
      </c>
      <c r="F16" s="7">
        <v>27</v>
      </c>
      <c r="G16" s="8">
        <v>5</v>
      </c>
      <c r="H16">
        <f t="shared" si="1"/>
        <v>639</v>
      </c>
      <c r="I16">
        <f t="shared" si="2"/>
        <v>1.0954616588419406E-2</v>
      </c>
      <c r="J16">
        <f t="shared" si="3"/>
        <v>0.51330203442879496</v>
      </c>
      <c r="K16">
        <f t="shared" si="4"/>
        <v>0.3348982785602504</v>
      </c>
      <c r="L16">
        <f t="shared" si="5"/>
        <v>9.0766823161189364E-2</v>
      </c>
      <c r="M16">
        <f t="shared" si="6"/>
        <v>4.2253521126760563E-2</v>
      </c>
      <c r="N16">
        <f t="shared" si="7"/>
        <v>7.8247261345852897E-3</v>
      </c>
      <c r="O16" t="str">
        <f>VLOOKUP(A16,Sheet2!A$2:D$49,4,FALSE)</f>
        <v>Lower-Middle-Income Economies</v>
      </c>
    </row>
    <row r="17" spans="1:15" x14ac:dyDescent="0.35">
      <c r="A17" s="5" t="s">
        <v>21</v>
      </c>
      <c r="B17" s="6">
        <v>666</v>
      </c>
      <c r="C17" s="7">
        <v>951</v>
      </c>
      <c r="D17" s="7">
        <v>114</v>
      </c>
      <c r="E17" s="7">
        <v>152</v>
      </c>
      <c r="F17" s="7">
        <v>0</v>
      </c>
      <c r="G17" s="8">
        <v>0</v>
      </c>
      <c r="H17">
        <f t="shared" si="1"/>
        <v>1883</v>
      </c>
      <c r="I17">
        <f t="shared" si="2"/>
        <v>0.35369091874668085</v>
      </c>
      <c r="J17">
        <f t="shared" si="3"/>
        <v>0.5050451407328731</v>
      </c>
      <c r="K17">
        <f t="shared" si="4"/>
        <v>6.0541688794476897E-2</v>
      </c>
      <c r="L17">
        <f t="shared" si="5"/>
        <v>8.0722251725969196E-2</v>
      </c>
      <c r="M17">
        <f t="shared" si="6"/>
        <v>0</v>
      </c>
      <c r="N17">
        <f t="shared" si="7"/>
        <v>0</v>
      </c>
      <c r="O17" t="str">
        <f>VLOOKUP(A17,Sheet2!A$2:D$49,4,FALSE)</f>
        <v>Lower-Middle-Income Economies</v>
      </c>
    </row>
    <row r="18" spans="1:15" x14ac:dyDescent="0.35">
      <c r="A18" s="5" t="s">
        <v>23</v>
      </c>
      <c r="B18" s="6">
        <v>6</v>
      </c>
      <c r="C18" s="7">
        <v>233</v>
      </c>
      <c r="D18" s="7">
        <v>119</v>
      </c>
      <c r="E18" s="7">
        <v>23</v>
      </c>
      <c r="F18" s="7">
        <v>17</v>
      </c>
      <c r="G18" s="8">
        <v>2</v>
      </c>
      <c r="H18">
        <f t="shared" si="1"/>
        <v>400</v>
      </c>
      <c r="I18">
        <f t="shared" si="2"/>
        <v>1.4999999999999999E-2</v>
      </c>
      <c r="J18">
        <f t="shared" si="3"/>
        <v>0.58250000000000002</v>
      </c>
      <c r="K18">
        <f t="shared" si="4"/>
        <v>0.29749999999999999</v>
      </c>
      <c r="L18">
        <f t="shared" si="5"/>
        <v>5.7500000000000002E-2</v>
      </c>
      <c r="M18">
        <f t="shared" si="6"/>
        <v>4.2500000000000003E-2</v>
      </c>
      <c r="N18">
        <f t="shared" si="7"/>
        <v>5.0000000000000001E-3</v>
      </c>
      <c r="O18" t="str">
        <f>VLOOKUP(A18,Sheet2!A$2:D$49,4,FALSE)</f>
        <v>Lower-Middle-Income Economies</v>
      </c>
    </row>
    <row r="19" spans="1:15" x14ac:dyDescent="0.35">
      <c r="A19" s="5" t="s">
        <v>24</v>
      </c>
      <c r="B19" s="6">
        <v>386</v>
      </c>
      <c r="C19" s="7">
        <v>4842</v>
      </c>
      <c r="D19" s="7">
        <v>4437</v>
      </c>
      <c r="E19" s="7">
        <v>4274</v>
      </c>
      <c r="F19" s="7">
        <v>4167</v>
      </c>
      <c r="G19" s="8">
        <v>701</v>
      </c>
      <c r="H19">
        <f t="shared" si="1"/>
        <v>18807</v>
      </c>
      <c r="I19">
        <f t="shared" si="2"/>
        <v>2.052427287712022E-2</v>
      </c>
      <c r="J19">
        <f t="shared" si="3"/>
        <v>0.25745732971765833</v>
      </c>
      <c r="K19">
        <f t="shared" si="4"/>
        <v>0.23592279470409955</v>
      </c>
      <c r="L19">
        <f t="shared" si="5"/>
        <v>0.22725580900728451</v>
      </c>
      <c r="M19">
        <f t="shared" si="6"/>
        <v>0.22156643802839368</v>
      </c>
      <c r="N19">
        <f t="shared" si="7"/>
        <v>3.7273355665443715E-2</v>
      </c>
      <c r="O19" t="str">
        <f>VLOOKUP(A19,Sheet2!A$2:D$49,4,FALSE)</f>
        <v>Lower-Middle-Income Economies</v>
      </c>
    </row>
    <row r="43" spans="1:7" s="9" customFormat="1" ht="72.5" x14ac:dyDescent="0.35">
      <c r="A43" s="9" t="s">
        <v>133</v>
      </c>
      <c r="B43" s="9" t="s">
        <v>25</v>
      </c>
      <c r="C43" s="9" t="s">
        <v>26</v>
      </c>
      <c r="D43" s="9" t="s">
        <v>27</v>
      </c>
      <c r="E43" s="9" t="s">
        <v>28</v>
      </c>
      <c r="F43" s="9" t="s">
        <v>29</v>
      </c>
      <c r="G43" s="9" t="s">
        <v>30</v>
      </c>
    </row>
    <row r="44" spans="1:7" x14ac:dyDescent="0.35">
      <c r="A44" t="s">
        <v>42</v>
      </c>
      <c r="B44" s="24">
        <v>3.5971223021582736E-3</v>
      </c>
      <c r="C44" s="24">
        <v>0.15030215827338131</v>
      </c>
      <c r="D44" s="24">
        <v>0.2886906474820144</v>
      </c>
      <c r="E44" s="24">
        <v>0.28509352517985609</v>
      </c>
      <c r="F44" s="24">
        <v>0.21433093525179858</v>
      </c>
      <c r="G44" s="24">
        <v>5.7985611510791367E-2</v>
      </c>
    </row>
    <row r="45" spans="1:7" x14ac:dyDescent="0.35">
      <c r="A45" t="s">
        <v>37</v>
      </c>
      <c r="B45" s="24">
        <v>4.670048704595018E-2</v>
      </c>
      <c r="C45" s="24">
        <v>0.38491371352263981</v>
      </c>
      <c r="D45" s="24">
        <v>0.33633803611518653</v>
      </c>
      <c r="E45" s="24">
        <v>0.14508994335081526</v>
      </c>
      <c r="F45" s="24">
        <v>8.1948011785405311E-2</v>
      </c>
      <c r="G45" s="24">
        <v>5.0098081800029007E-3</v>
      </c>
    </row>
    <row r="46" spans="1:7" x14ac:dyDescent="0.35">
      <c r="A46" t="s">
        <v>44</v>
      </c>
      <c r="B46" s="24">
        <v>0.1012750982481759</v>
      </c>
      <c r="C46" s="24">
        <v>0.48002117827894153</v>
      </c>
      <c r="D46" s="24">
        <v>0.28827007488165535</v>
      </c>
      <c r="E46" s="24">
        <v>9.1590836856406288E-2</v>
      </c>
      <c r="F46" s="24">
        <v>3.3097083995547852E-2</v>
      </c>
      <c r="G46" s="24">
        <v>5.7457277392730542E-3</v>
      </c>
    </row>
    <row r="47" spans="1:7" x14ac:dyDescent="0.35">
      <c r="A47" t="s">
        <v>31</v>
      </c>
      <c r="B47" s="24">
        <v>9.3811881188118812E-2</v>
      </c>
      <c r="C47" s="24">
        <v>0.39455445544554457</v>
      </c>
      <c r="D47" s="24">
        <v>0.31943069306930694</v>
      </c>
      <c r="E47" s="24">
        <v>0.15074257425742574</v>
      </c>
      <c r="F47" s="24">
        <v>3.8118811881188118E-2</v>
      </c>
      <c r="G47" s="24">
        <v>3.3415841584158415E-3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145E-3947-4761-BB96-ED42C0D531F0}">
  <dimension ref="A1:D49"/>
  <sheetViews>
    <sheetView topLeftCell="A44" workbookViewId="0">
      <selection sqref="A1:A49"/>
    </sheetView>
  </sheetViews>
  <sheetFormatPr defaultRowHeight="14.5" x14ac:dyDescent="0.35"/>
  <sheetData>
    <row r="1" spans="1:4" ht="29" x14ac:dyDescent="0.35">
      <c r="A1" s="9" t="s">
        <v>34</v>
      </c>
      <c r="B1" s="9" t="s">
        <v>33</v>
      </c>
      <c r="C1" s="9" t="s">
        <v>34</v>
      </c>
      <c r="D1" s="9" t="s">
        <v>35</v>
      </c>
    </row>
    <row r="2" spans="1:4" x14ac:dyDescent="0.35">
      <c r="A2" t="s">
        <v>24</v>
      </c>
      <c r="B2" t="s">
        <v>36</v>
      </c>
      <c r="C2" t="s">
        <v>24</v>
      </c>
      <c r="D2" t="s">
        <v>37</v>
      </c>
    </row>
    <row r="3" spans="1:4" x14ac:dyDescent="0.35">
      <c r="A3" t="s">
        <v>39</v>
      </c>
      <c r="B3" t="s">
        <v>38</v>
      </c>
      <c r="C3" t="s">
        <v>39</v>
      </c>
      <c r="D3" t="s">
        <v>37</v>
      </c>
    </row>
    <row r="4" spans="1:4" x14ac:dyDescent="0.35">
      <c r="A4" t="s">
        <v>23</v>
      </c>
      <c r="B4" t="s">
        <v>40</v>
      </c>
      <c r="C4" t="s">
        <v>23</v>
      </c>
      <c r="D4" t="s">
        <v>37</v>
      </c>
    </row>
    <row r="5" spans="1:4" x14ac:dyDescent="0.35">
      <c r="A5" t="s">
        <v>2</v>
      </c>
      <c r="B5" t="s">
        <v>41</v>
      </c>
      <c r="C5" t="s">
        <v>2</v>
      </c>
      <c r="D5" t="s">
        <v>42</v>
      </c>
    </row>
    <row r="6" spans="1:4" x14ac:dyDescent="0.35">
      <c r="A6" t="s">
        <v>1</v>
      </c>
      <c r="B6" t="s">
        <v>43</v>
      </c>
      <c r="C6" t="s">
        <v>1</v>
      </c>
      <c r="D6" t="s">
        <v>44</v>
      </c>
    </row>
    <row r="7" spans="1:4" x14ac:dyDescent="0.35">
      <c r="A7" t="s">
        <v>46</v>
      </c>
      <c r="B7" t="s">
        <v>45</v>
      </c>
      <c r="C7" t="s">
        <v>46</v>
      </c>
      <c r="D7" t="s">
        <v>44</v>
      </c>
    </row>
    <row r="8" spans="1:4" x14ac:dyDescent="0.35">
      <c r="A8" t="s">
        <v>4</v>
      </c>
      <c r="B8" t="s">
        <v>47</v>
      </c>
      <c r="C8" t="s">
        <v>4</v>
      </c>
      <c r="D8" t="s">
        <v>37</v>
      </c>
    </row>
    <row r="9" spans="1:4" x14ac:dyDescent="0.35">
      <c r="A9" t="s">
        <v>6</v>
      </c>
      <c r="B9" t="s">
        <v>48</v>
      </c>
      <c r="C9" t="s">
        <v>6</v>
      </c>
      <c r="D9" t="s">
        <v>37</v>
      </c>
    </row>
    <row r="10" spans="1:4" x14ac:dyDescent="0.35">
      <c r="A10" t="s">
        <v>50</v>
      </c>
      <c r="B10" t="s">
        <v>49</v>
      </c>
      <c r="C10" t="s">
        <v>50</v>
      </c>
      <c r="D10" t="s">
        <v>44</v>
      </c>
    </row>
    <row r="11" spans="1:4" x14ac:dyDescent="0.35">
      <c r="A11" t="s">
        <v>18</v>
      </c>
      <c r="B11" t="s">
        <v>51</v>
      </c>
      <c r="C11" t="s">
        <v>18</v>
      </c>
      <c r="D11" t="s">
        <v>44</v>
      </c>
    </row>
    <row r="12" spans="1:4" x14ac:dyDescent="0.35">
      <c r="A12" t="s">
        <v>53</v>
      </c>
      <c r="B12" t="s">
        <v>52</v>
      </c>
      <c r="C12" t="s">
        <v>53</v>
      </c>
      <c r="D12" t="s">
        <v>37</v>
      </c>
    </row>
    <row r="13" spans="1:4" x14ac:dyDescent="0.35">
      <c r="A13" t="s">
        <v>5</v>
      </c>
      <c r="B13" t="s">
        <v>54</v>
      </c>
      <c r="C13" t="s">
        <v>5</v>
      </c>
      <c r="D13" t="s">
        <v>37</v>
      </c>
    </row>
    <row r="14" spans="1:4" x14ac:dyDescent="0.35">
      <c r="A14" t="s">
        <v>3</v>
      </c>
      <c r="B14" t="s">
        <v>55</v>
      </c>
      <c r="C14" t="s">
        <v>3</v>
      </c>
      <c r="D14" t="s">
        <v>37</v>
      </c>
    </row>
    <row r="15" spans="1:4" x14ac:dyDescent="0.35">
      <c r="A15" t="s">
        <v>57</v>
      </c>
      <c r="B15" t="s">
        <v>56</v>
      </c>
      <c r="C15" t="s">
        <v>57</v>
      </c>
      <c r="D15" t="s">
        <v>44</v>
      </c>
    </row>
    <row r="16" spans="1:4" x14ac:dyDescent="0.35">
      <c r="A16" t="s">
        <v>59</v>
      </c>
      <c r="B16" t="s">
        <v>58</v>
      </c>
      <c r="C16" t="s">
        <v>59</v>
      </c>
      <c r="D16" t="s">
        <v>42</v>
      </c>
    </row>
    <row r="17" spans="1:4" x14ac:dyDescent="0.35">
      <c r="A17" t="s">
        <v>7</v>
      </c>
      <c r="B17" t="s">
        <v>60</v>
      </c>
      <c r="C17" t="s">
        <v>7</v>
      </c>
      <c r="D17" t="s">
        <v>44</v>
      </c>
    </row>
    <row r="18" spans="1:4" x14ac:dyDescent="0.35">
      <c r="A18" t="s">
        <v>16</v>
      </c>
      <c r="B18" t="s">
        <v>61</v>
      </c>
      <c r="C18" t="s">
        <v>16</v>
      </c>
      <c r="D18" t="s">
        <v>37</v>
      </c>
    </row>
    <row r="19" spans="1:4" x14ac:dyDescent="0.35">
      <c r="A19" t="s">
        <v>63</v>
      </c>
      <c r="B19" t="s">
        <v>62</v>
      </c>
      <c r="C19" t="s">
        <v>63</v>
      </c>
      <c r="D19" t="s">
        <v>44</v>
      </c>
    </row>
    <row r="20" spans="1:4" x14ac:dyDescent="0.35">
      <c r="A20" t="s">
        <v>8</v>
      </c>
      <c r="B20" t="s">
        <v>64</v>
      </c>
      <c r="C20" t="s">
        <v>8</v>
      </c>
      <c r="D20" t="s">
        <v>42</v>
      </c>
    </row>
    <row r="21" spans="1:4" x14ac:dyDescent="0.35">
      <c r="A21" t="s">
        <v>66</v>
      </c>
      <c r="B21" t="s">
        <v>65</v>
      </c>
      <c r="C21" t="s">
        <v>66</v>
      </c>
      <c r="D21" t="s">
        <v>44</v>
      </c>
    </row>
    <row r="22" spans="1:4" x14ac:dyDescent="0.35">
      <c r="A22" t="s">
        <v>9</v>
      </c>
      <c r="B22" t="s">
        <v>67</v>
      </c>
      <c r="C22" t="s">
        <v>9</v>
      </c>
      <c r="D22" t="s">
        <v>37</v>
      </c>
    </row>
    <row r="23" spans="1:4" x14ac:dyDescent="0.35">
      <c r="A23" t="s">
        <v>69</v>
      </c>
      <c r="B23" t="s">
        <v>68</v>
      </c>
      <c r="C23" t="s">
        <v>69</v>
      </c>
      <c r="D23" t="s">
        <v>44</v>
      </c>
    </row>
    <row r="24" spans="1:4" x14ac:dyDescent="0.35">
      <c r="A24" t="s">
        <v>10</v>
      </c>
      <c r="B24" t="s">
        <v>70</v>
      </c>
      <c r="C24" t="s">
        <v>10</v>
      </c>
      <c r="D24" t="s">
        <v>44</v>
      </c>
    </row>
    <row r="25" spans="1:4" x14ac:dyDescent="0.35">
      <c r="A25" t="s">
        <v>11</v>
      </c>
      <c r="B25" t="s">
        <v>71</v>
      </c>
      <c r="C25" t="s">
        <v>11</v>
      </c>
      <c r="D25" t="s">
        <v>37</v>
      </c>
    </row>
    <row r="26" spans="1:4" x14ac:dyDescent="0.35">
      <c r="A26" t="s">
        <v>73</v>
      </c>
      <c r="B26" t="s">
        <v>72</v>
      </c>
      <c r="C26" t="s">
        <v>73</v>
      </c>
      <c r="D26" t="s">
        <v>37</v>
      </c>
    </row>
    <row r="27" spans="1:4" x14ac:dyDescent="0.35">
      <c r="A27" t="s">
        <v>75</v>
      </c>
      <c r="B27" t="s">
        <v>74</v>
      </c>
      <c r="C27" t="s">
        <v>75</v>
      </c>
      <c r="D27" t="s">
        <v>44</v>
      </c>
    </row>
    <row r="28" spans="1:4" x14ac:dyDescent="0.35">
      <c r="A28" t="s">
        <v>77</v>
      </c>
      <c r="B28" t="s">
        <v>76</v>
      </c>
      <c r="C28" t="s">
        <v>77</v>
      </c>
      <c r="D28" t="s">
        <v>44</v>
      </c>
    </row>
    <row r="29" spans="1:4" x14ac:dyDescent="0.35">
      <c r="A29" t="s">
        <v>13</v>
      </c>
      <c r="B29" t="s">
        <v>78</v>
      </c>
      <c r="C29" t="s">
        <v>13</v>
      </c>
      <c r="D29" t="s">
        <v>44</v>
      </c>
    </row>
    <row r="30" spans="1:4" x14ac:dyDescent="0.35">
      <c r="A30" t="s">
        <v>80</v>
      </c>
      <c r="B30" t="s">
        <v>79</v>
      </c>
      <c r="C30" t="s">
        <v>80</v>
      </c>
      <c r="D30" t="s">
        <v>44</v>
      </c>
    </row>
    <row r="31" spans="1:4" x14ac:dyDescent="0.35">
      <c r="A31" t="s">
        <v>82</v>
      </c>
      <c r="B31" t="s">
        <v>81</v>
      </c>
      <c r="C31" t="s">
        <v>82</v>
      </c>
      <c r="D31" t="s">
        <v>37</v>
      </c>
    </row>
    <row r="32" spans="1:4" x14ac:dyDescent="0.35">
      <c r="A32" t="s">
        <v>84</v>
      </c>
      <c r="B32" t="s">
        <v>83</v>
      </c>
      <c r="C32" t="s">
        <v>84</v>
      </c>
      <c r="D32" t="s">
        <v>42</v>
      </c>
    </row>
    <row r="33" spans="1:4" x14ac:dyDescent="0.35">
      <c r="A33" t="s">
        <v>12</v>
      </c>
      <c r="B33" t="s">
        <v>85</v>
      </c>
      <c r="C33" t="s">
        <v>12</v>
      </c>
      <c r="D33" t="s">
        <v>44</v>
      </c>
    </row>
    <row r="34" spans="1:4" x14ac:dyDescent="0.35">
      <c r="A34" t="s">
        <v>87</v>
      </c>
      <c r="B34" t="s">
        <v>86</v>
      </c>
      <c r="C34" t="s">
        <v>87</v>
      </c>
      <c r="D34" t="s">
        <v>42</v>
      </c>
    </row>
    <row r="35" spans="1:4" x14ac:dyDescent="0.35">
      <c r="A35" t="s">
        <v>89</v>
      </c>
      <c r="B35" t="s">
        <v>88</v>
      </c>
      <c r="C35" t="s">
        <v>89</v>
      </c>
      <c r="D35" t="s">
        <v>44</v>
      </c>
    </row>
    <row r="36" spans="1:4" x14ac:dyDescent="0.35">
      <c r="A36" t="s">
        <v>14</v>
      </c>
      <c r="B36" t="s">
        <v>90</v>
      </c>
      <c r="C36" t="s">
        <v>14</v>
      </c>
      <c r="D36" t="s">
        <v>37</v>
      </c>
    </row>
    <row r="37" spans="1:4" x14ac:dyDescent="0.35">
      <c r="A37" t="s">
        <v>92</v>
      </c>
      <c r="B37" t="s">
        <v>91</v>
      </c>
      <c r="C37" t="s">
        <v>92</v>
      </c>
      <c r="D37" t="s">
        <v>44</v>
      </c>
    </row>
    <row r="38" spans="1:4" x14ac:dyDescent="0.35">
      <c r="A38" t="s">
        <v>94</v>
      </c>
      <c r="B38" t="s">
        <v>93</v>
      </c>
      <c r="C38" t="s">
        <v>94</v>
      </c>
      <c r="D38" t="s">
        <v>37</v>
      </c>
    </row>
    <row r="39" spans="1:4" x14ac:dyDescent="0.35">
      <c r="A39" t="s">
        <v>15</v>
      </c>
      <c r="B39" t="s">
        <v>95</v>
      </c>
      <c r="C39" t="s">
        <v>15</v>
      </c>
      <c r="D39" t="s">
        <v>37</v>
      </c>
    </row>
    <row r="40" spans="1:4" x14ac:dyDescent="0.35">
      <c r="A40" t="s">
        <v>17</v>
      </c>
      <c r="B40" t="s">
        <v>96</v>
      </c>
      <c r="C40" t="s">
        <v>17</v>
      </c>
      <c r="D40" t="s">
        <v>42</v>
      </c>
    </row>
    <row r="41" spans="1:4" x14ac:dyDescent="0.35">
      <c r="A41" t="s">
        <v>98</v>
      </c>
      <c r="B41" t="s">
        <v>97</v>
      </c>
      <c r="C41" t="s">
        <v>98</v>
      </c>
      <c r="D41" t="s">
        <v>44</v>
      </c>
    </row>
    <row r="42" spans="1:4" x14ac:dyDescent="0.35">
      <c r="A42" t="s">
        <v>100</v>
      </c>
      <c r="B42" t="s">
        <v>99</v>
      </c>
      <c r="C42" t="s">
        <v>100</v>
      </c>
      <c r="D42" t="s">
        <v>42</v>
      </c>
    </row>
    <row r="43" spans="1:4" x14ac:dyDescent="0.35">
      <c r="A43" t="s">
        <v>102</v>
      </c>
      <c r="B43" t="s">
        <v>101</v>
      </c>
      <c r="C43" t="s">
        <v>102</v>
      </c>
      <c r="D43" t="s">
        <v>44</v>
      </c>
    </row>
    <row r="44" spans="1:4" x14ac:dyDescent="0.35">
      <c r="A44" t="s">
        <v>104</v>
      </c>
      <c r="B44" t="s">
        <v>103</v>
      </c>
      <c r="C44" t="s">
        <v>104</v>
      </c>
      <c r="D44" t="s">
        <v>37</v>
      </c>
    </row>
    <row r="45" spans="1:4" x14ac:dyDescent="0.35">
      <c r="A45" t="s">
        <v>19</v>
      </c>
      <c r="B45" t="s">
        <v>105</v>
      </c>
      <c r="C45" t="s">
        <v>19</v>
      </c>
      <c r="D45" t="s">
        <v>44</v>
      </c>
    </row>
    <row r="46" spans="1:4" x14ac:dyDescent="0.35">
      <c r="A46" t="s">
        <v>107</v>
      </c>
      <c r="B46" t="s">
        <v>106</v>
      </c>
      <c r="C46" t="s">
        <v>107</v>
      </c>
      <c r="D46" t="s">
        <v>44</v>
      </c>
    </row>
    <row r="47" spans="1:4" x14ac:dyDescent="0.35">
      <c r="A47" t="s">
        <v>20</v>
      </c>
      <c r="B47" t="s">
        <v>108</v>
      </c>
      <c r="C47" t="s">
        <v>20</v>
      </c>
      <c r="D47" t="s">
        <v>37</v>
      </c>
    </row>
    <row r="48" spans="1:4" x14ac:dyDescent="0.35">
      <c r="A48" t="s">
        <v>21</v>
      </c>
      <c r="B48" t="s">
        <v>109</v>
      </c>
      <c r="C48" t="s">
        <v>21</v>
      </c>
      <c r="D48" t="s">
        <v>37</v>
      </c>
    </row>
    <row r="49" spans="1:3" x14ac:dyDescent="0.35">
      <c r="A49" t="s">
        <v>31</v>
      </c>
      <c r="B49" t="s">
        <v>31</v>
      </c>
      <c r="C49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0C277-E06A-4B43-BD38-0A6B8DD4511E}">
  <dimension ref="A3:B8"/>
  <sheetViews>
    <sheetView workbookViewId="0">
      <selection activeCell="B7" sqref="B7"/>
    </sheetView>
  </sheetViews>
  <sheetFormatPr defaultRowHeight="14.5" x14ac:dyDescent="0.35"/>
  <cols>
    <col min="1" max="1" width="34.26953125" bestFit="1" customWidth="1"/>
    <col min="2" max="2" width="31" bestFit="1" customWidth="1"/>
  </cols>
  <sheetData>
    <row r="3" spans="1:2" x14ac:dyDescent="0.35">
      <c r="A3" s="11" t="s">
        <v>0</v>
      </c>
      <c r="B3" t="s">
        <v>132</v>
      </c>
    </row>
    <row r="4" spans="1:2" x14ac:dyDescent="0.35">
      <c r="A4" s="12" t="s">
        <v>31</v>
      </c>
    </row>
    <row r="5" spans="1:2" x14ac:dyDescent="0.35">
      <c r="A5" s="12" t="s">
        <v>42</v>
      </c>
      <c r="B5">
        <v>0.28050331929892913</v>
      </c>
    </row>
    <row r="6" spans="1:2" x14ac:dyDescent="0.35">
      <c r="A6" s="12" t="s">
        <v>37</v>
      </c>
      <c r="B6">
        <v>0.21927509632720782</v>
      </c>
    </row>
    <row r="7" spans="1:2" x14ac:dyDescent="0.35">
      <c r="A7" s="12" t="s">
        <v>44</v>
      </c>
      <c r="B7">
        <v>0.28182148690184522</v>
      </c>
    </row>
    <row r="8" spans="1:2" x14ac:dyDescent="0.35">
      <c r="A8" s="12" t="s">
        <v>22</v>
      </c>
      <c r="B8">
        <v>0.26075299544314673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575C8-3DEC-491D-A7FC-9D61AC55F6BF}">
  <sheetPr>
    <tabColor rgb="FF00B050"/>
  </sheetPr>
  <dimension ref="A2:AD51"/>
  <sheetViews>
    <sheetView tabSelected="1" topLeftCell="S37" zoomScaleNormal="100" workbookViewId="0">
      <selection activeCell="Z50" sqref="Z50"/>
    </sheetView>
  </sheetViews>
  <sheetFormatPr defaultRowHeight="14.5" x14ac:dyDescent="0.35"/>
  <cols>
    <col min="1" max="1" width="18.54296875" bestFit="1" customWidth="1"/>
    <col min="3" max="3" width="29.7265625" bestFit="1" customWidth="1"/>
    <col min="20" max="20" width="10.90625" customWidth="1"/>
    <col min="22" max="22" width="11.90625" customWidth="1"/>
    <col min="23" max="23" width="10.08984375" bestFit="1" customWidth="1"/>
    <col min="24" max="26" width="11.08984375" bestFit="1" customWidth="1"/>
    <col min="27" max="27" width="14.6328125" bestFit="1" customWidth="1"/>
    <col min="28" max="28" width="17.1796875" bestFit="1" customWidth="1"/>
    <col min="29" max="29" width="20.6328125" bestFit="1" customWidth="1"/>
    <col min="30" max="30" width="11.08984375" bestFit="1" customWidth="1"/>
  </cols>
  <sheetData>
    <row r="2" spans="1:30" ht="84" x14ac:dyDescent="0.35">
      <c r="A2" s="13" t="s">
        <v>33</v>
      </c>
      <c r="B2" s="13" t="s">
        <v>117</v>
      </c>
      <c r="C2" s="13" t="s">
        <v>118</v>
      </c>
      <c r="D2" s="18">
        <v>2013</v>
      </c>
      <c r="E2" s="18">
        <v>2018</v>
      </c>
      <c r="F2" s="18" t="s">
        <v>119</v>
      </c>
      <c r="G2" s="27" t="s">
        <v>120</v>
      </c>
      <c r="H2" s="27" t="s">
        <v>121</v>
      </c>
      <c r="I2" s="27" t="s">
        <v>122</v>
      </c>
      <c r="J2" s="27" t="s">
        <v>123</v>
      </c>
      <c r="K2" s="27" t="s">
        <v>124</v>
      </c>
      <c r="L2" s="27" t="s">
        <v>125</v>
      </c>
      <c r="M2" s="27" t="s">
        <v>25</v>
      </c>
      <c r="N2" s="27" t="s">
        <v>26</v>
      </c>
      <c r="O2" s="27" t="s">
        <v>27</v>
      </c>
      <c r="P2" s="27" t="s">
        <v>28</v>
      </c>
      <c r="Q2" s="27" t="s">
        <v>29</v>
      </c>
      <c r="R2" s="27" t="s">
        <v>30</v>
      </c>
      <c r="S2" s="27" t="s">
        <v>130</v>
      </c>
      <c r="T2" s="27" t="s">
        <v>129</v>
      </c>
      <c r="U2" s="27" t="s">
        <v>131</v>
      </c>
      <c r="V2" s="27" t="s">
        <v>134</v>
      </c>
      <c r="W2" s="25" t="s">
        <v>135</v>
      </c>
      <c r="X2" s="25" t="s">
        <v>136</v>
      </c>
      <c r="Y2" s="25" t="s">
        <v>137</v>
      </c>
      <c r="Z2" s="25" t="s">
        <v>138</v>
      </c>
      <c r="AA2" s="25" t="s">
        <v>139</v>
      </c>
      <c r="AB2" s="25" t="s">
        <v>140</v>
      </c>
      <c r="AC2" s="25" t="s">
        <v>141</v>
      </c>
      <c r="AD2" s="25" t="s">
        <v>142</v>
      </c>
    </row>
    <row r="3" spans="1:30" x14ac:dyDescent="0.35">
      <c r="A3" s="14" t="s">
        <v>36</v>
      </c>
      <c r="B3" s="14" t="s">
        <v>24</v>
      </c>
      <c r="C3" s="14" t="s">
        <v>37</v>
      </c>
      <c r="D3" s="19">
        <v>0</v>
      </c>
      <c r="E3" s="19">
        <v>18807</v>
      </c>
      <c r="F3" s="21">
        <v>13642</v>
      </c>
      <c r="G3" s="35">
        <v>2.052427287712022E-2</v>
      </c>
      <c r="H3" s="35">
        <v>0.25745732971765833</v>
      </c>
      <c r="I3" s="35">
        <v>0.23592279470409955</v>
      </c>
      <c r="J3" s="35">
        <v>0.22725580900728451</v>
      </c>
      <c r="K3" s="35">
        <v>0.22156643802839368</v>
      </c>
      <c r="L3" s="35">
        <v>3.7273355665443715E-2</v>
      </c>
      <c r="M3" s="19">
        <f>$E3*G3</f>
        <v>386</v>
      </c>
      <c r="N3" s="19">
        <f t="shared" ref="N3:R4" si="0">$E3*H3</f>
        <v>4842</v>
      </c>
      <c r="O3" s="19">
        <f t="shared" si="0"/>
        <v>4437</v>
      </c>
      <c r="P3" s="19">
        <f t="shared" si="0"/>
        <v>4274</v>
      </c>
      <c r="Q3" s="19">
        <f t="shared" si="0"/>
        <v>4167</v>
      </c>
      <c r="R3" s="19">
        <f t="shared" si="0"/>
        <v>701</v>
      </c>
      <c r="S3" s="19" t="b">
        <f>F3&lt;E3*0.7</f>
        <v>0</v>
      </c>
      <c r="T3" s="19">
        <f>VLOOKUP(B3,Education!B$2:G$48,6,FALSE)</f>
        <v>0</v>
      </c>
      <c r="U3" s="28">
        <v>0.21927509632720782</v>
      </c>
      <c r="V3" s="29">
        <f>U3*E3</f>
        <v>4123.9067366257977</v>
      </c>
      <c r="W3" s="30">
        <f>F3*(1-L3)+0.7*V3</f>
        <v>16020.251597650074</v>
      </c>
      <c r="X3" s="30">
        <f>W3*(1-0.1*K3)+0.7*V3</f>
        <v>18552.031305007135</v>
      </c>
      <c r="Y3" s="30">
        <f>X3*(1-0.1*K3)+0.7*V3</f>
        <v>21027.715271201028</v>
      </c>
      <c r="Z3" s="30">
        <f>Y3*(1-0.1*K3)+0.7*V3</f>
        <v>23448.546389587558</v>
      </c>
      <c r="AA3" s="30">
        <f>Z3*(1-0.1*K3)+0.7*V3</f>
        <v>25815.740015177173</v>
      </c>
      <c r="AB3" s="30">
        <f>AA3*(1-0.1*K3)+0.7*V3</f>
        <v>28130.484574792245</v>
      </c>
      <c r="AC3" s="30">
        <f>AB3*(1-0.1*K3)+0.7*V3</f>
        <v>30393.942163705367</v>
      </c>
      <c r="AD3" s="30">
        <f>AC3*(1-0.1*K3)+0.7*V3</f>
        <v>32607.249129058109</v>
      </c>
    </row>
    <row r="4" spans="1:30" x14ac:dyDescent="0.35">
      <c r="A4" s="14" t="s">
        <v>38</v>
      </c>
      <c r="B4" s="14" t="s">
        <v>39</v>
      </c>
      <c r="C4" s="15" t="s">
        <v>37</v>
      </c>
      <c r="D4" s="19">
        <v>0</v>
      </c>
      <c r="E4" s="19">
        <v>2302</v>
      </c>
      <c r="F4" s="21">
        <v>1434.032344317616</v>
      </c>
      <c r="G4" s="35">
        <v>4.670048704595018E-2</v>
      </c>
      <c r="H4" s="35">
        <v>0.38491371352263981</v>
      </c>
      <c r="I4" s="35">
        <v>0.33633803611518653</v>
      </c>
      <c r="J4" s="35">
        <v>0.14508994335081526</v>
      </c>
      <c r="K4" s="35">
        <v>8.1948011785405311E-2</v>
      </c>
      <c r="L4" s="35">
        <v>5.0098081800029007E-3</v>
      </c>
      <c r="M4" s="19">
        <f t="shared" ref="M4" si="1">$E4*G4</f>
        <v>107.50452117977731</v>
      </c>
      <c r="N4" s="19">
        <f t="shared" si="0"/>
        <v>886.07136852911685</v>
      </c>
      <c r="O4" s="19">
        <f t="shared" si="0"/>
        <v>774.25015913715936</v>
      </c>
      <c r="P4" s="19">
        <f t="shared" si="0"/>
        <v>333.99704959357672</v>
      </c>
      <c r="Q4" s="19">
        <f t="shared" si="0"/>
        <v>188.64432313000302</v>
      </c>
      <c r="R4" s="19">
        <f t="shared" si="0"/>
        <v>11.532578430366678</v>
      </c>
      <c r="S4" s="19" t="b">
        <f t="shared" ref="S4:S49" si="2">F4&lt;E4*0.7</f>
        <v>1</v>
      </c>
      <c r="T4" s="19">
        <f>VLOOKUP(B4,Education!B$2:G$48,6,FALSE)</f>
        <v>529</v>
      </c>
      <c r="U4" s="28">
        <f>T4/E4</f>
        <v>0.22980017376194614</v>
      </c>
      <c r="V4" s="29">
        <f t="shared" ref="V4:V49" si="3">U4*F4</f>
        <v>329.54088190443912</v>
      </c>
      <c r="W4" s="30">
        <f t="shared" ref="W4:W49" si="4">F4*(1-L4)+0.7*V4</f>
        <v>1657.5267346817723</v>
      </c>
      <c r="X4" s="30">
        <f t="shared" ref="X4:X49" si="5">W4*(1-0.1*K4)+0.7*V4</f>
        <v>1874.622249976047</v>
      </c>
      <c r="Y4" s="30">
        <f t="shared" ref="Y4:Y49" si="6">X4*(1-0.1*K4)+0.7*V4</f>
        <v>2089.9387106857325</v>
      </c>
      <c r="Z4" s="30">
        <f t="shared" ref="Z4:Z49" si="7">Y4*(1-0.1*K4)+0.7*V4</f>
        <v>2303.4906958094352</v>
      </c>
      <c r="AA4" s="30">
        <f t="shared" ref="AA4:AA49" si="8">Z4*(1-0.1*K4)+0.7*V4</f>
        <v>2515.2926648737662</v>
      </c>
      <c r="AB4" s="30">
        <f t="shared" ref="AB4:AB49" si="9">AA4*(1-0.1*K4)+0.7*V4</f>
        <v>2725.3589589123917</v>
      </c>
      <c r="AC4" s="30">
        <f t="shared" ref="AC4:AC49" si="10">AB4*(1-0.1*K4)+0.7*V4</f>
        <v>2933.7038014370578</v>
      </c>
      <c r="AD4" s="30">
        <f t="shared" ref="AD4:AD49" si="11">AC4*(1-0.1*K4)+0.7*V4</f>
        <v>3140.3412994006599</v>
      </c>
    </row>
    <row r="5" spans="1:30" x14ac:dyDescent="0.35">
      <c r="A5" s="14" t="s">
        <v>40</v>
      </c>
      <c r="B5" s="14" t="s">
        <v>23</v>
      </c>
      <c r="C5" s="14" t="s">
        <v>37</v>
      </c>
      <c r="D5" s="19">
        <v>1330</v>
      </c>
      <c r="E5" s="19">
        <v>306</v>
      </c>
      <c r="F5" s="19">
        <v>382</v>
      </c>
      <c r="G5" s="35">
        <v>1.4999999999999999E-2</v>
      </c>
      <c r="H5" s="35">
        <v>0.58250000000000002</v>
      </c>
      <c r="I5" s="35">
        <v>0.29749999999999999</v>
      </c>
      <c r="J5" s="35">
        <v>5.7500000000000002E-2</v>
      </c>
      <c r="K5" s="35">
        <v>4.2500000000000003E-2</v>
      </c>
      <c r="L5" s="35">
        <v>5.0000000000000001E-3</v>
      </c>
      <c r="M5" s="19">
        <f>$F5*G5</f>
        <v>5.7299999999999995</v>
      </c>
      <c r="N5" s="19">
        <f t="shared" ref="N5:R9" si="12">$F5*H5</f>
        <v>222.51500000000001</v>
      </c>
      <c r="O5" s="19">
        <f t="shared" si="12"/>
        <v>113.645</v>
      </c>
      <c r="P5" s="19">
        <f t="shared" si="12"/>
        <v>21.965</v>
      </c>
      <c r="Q5" s="19">
        <f t="shared" si="12"/>
        <v>16.234999999999999</v>
      </c>
      <c r="R5" s="19">
        <f t="shared" si="12"/>
        <v>1.9100000000000001</v>
      </c>
      <c r="S5" s="19" t="b">
        <f t="shared" si="2"/>
        <v>0</v>
      </c>
      <c r="T5" s="19">
        <f>VLOOKUP(B5,Education!B$2:G$48,6,FALSE)</f>
        <v>143</v>
      </c>
      <c r="U5" s="28">
        <f t="shared" ref="U5:U7" si="13">T5/F5</f>
        <v>0.37434554973821987</v>
      </c>
      <c r="V5" s="29">
        <f t="shared" si="3"/>
        <v>143</v>
      </c>
      <c r="W5" s="30">
        <f t="shared" si="4"/>
        <v>480.18999999999994</v>
      </c>
      <c r="X5" s="30">
        <f t="shared" si="5"/>
        <v>578.24919249999994</v>
      </c>
      <c r="Y5" s="30">
        <f t="shared" si="6"/>
        <v>675.89163343187499</v>
      </c>
      <c r="Z5" s="30">
        <f t="shared" si="7"/>
        <v>773.11909398978958</v>
      </c>
      <c r="AA5" s="30">
        <f t="shared" si="8"/>
        <v>869.93333784033302</v>
      </c>
      <c r="AB5" s="30">
        <f t="shared" si="9"/>
        <v>966.3361211545116</v>
      </c>
      <c r="AC5" s="30">
        <f t="shared" si="10"/>
        <v>1062.329192639605</v>
      </c>
      <c r="AD5" s="30">
        <f t="shared" si="11"/>
        <v>1157.9142935708867</v>
      </c>
    </row>
    <row r="6" spans="1:30" x14ac:dyDescent="0.35">
      <c r="A6" s="14" t="s">
        <v>41</v>
      </c>
      <c r="B6" s="14" t="s">
        <v>2</v>
      </c>
      <c r="C6" s="14" t="s">
        <v>42</v>
      </c>
      <c r="D6" s="19">
        <v>0</v>
      </c>
      <c r="E6" s="19">
        <v>156</v>
      </c>
      <c r="F6" s="19">
        <v>143.6623305400519</v>
      </c>
      <c r="G6" s="35">
        <v>0</v>
      </c>
      <c r="H6" s="35">
        <v>5.6000000000000001E-2</v>
      </c>
      <c r="I6" s="35">
        <v>0.30399999999999999</v>
      </c>
      <c r="J6" s="35">
        <v>0.30399999999999999</v>
      </c>
      <c r="K6" s="35">
        <v>0.25600000000000001</v>
      </c>
      <c r="L6" s="35">
        <v>0.08</v>
      </c>
      <c r="M6" s="19">
        <f t="shared" ref="M6:M50" si="14">$F6*G6</f>
        <v>0</v>
      </c>
      <c r="N6" s="19">
        <f t="shared" si="12"/>
        <v>8.0450905102429058</v>
      </c>
      <c r="O6" s="19">
        <f t="shared" si="12"/>
        <v>43.673348484175776</v>
      </c>
      <c r="P6" s="19">
        <f t="shared" si="12"/>
        <v>43.673348484175776</v>
      </c>
      <c r="Q6" s="19">
        <f t="shared" si="12"/>
        <v>36.777556618253286</v>
      </c>
      <c r="R6" s="19">
        <f t="shared" si="12"/>
        <v>11.492986443204153</v>
      </c>
      <c r="S6" s="19" t="b">
        <f t="shared" si="2"/>
        <v>0</v>
      </c>
      <c r="T6" s="19">
        <f>VLOOKUP(B6,Education!B$2:G$48,6,FALSE)</f>
        <v>95</v>
      </c>
      <c r="U6" s="28">
        <f t="shared" si="13"/>
        <v>0.66127285867407504</v>
      </c>
      <c r="V6" s="29">
        <f t="shared" si="3"/>
        <v>94.999999999999986</v>
      </c>
      <c r="W6" s="30">
        <f t="shared" si="4"/>
        <v>198.66934409684774</v>
      </c>
      <c r="X6" s="30">
        <f t="shared" si="5"/>
        <v>260.0834088879684</v>
      </c>
      <c r="Y6" s="30">
        <f t="shared" si="6"/>
        <v>319.92527362043643</v>
      </c>
      <c r="Z6" s="30">
        <f t="shared" si="7"/>
        <v>378.23518661575326</v>
      </c>
      <c r="AA6" s="30">
        <f t="shared" si="8"/>
        <v>435.05236583839002</v>
      </c>
      <c r="AB6" s="30">
        <f t="shared" si="9"/>
        <v>490.41502527292727</v>
      </c>
      <c r="AC6" s="30">
        <f t="shared" si="10"/>
        <v>544.36040062594031</v>
      </c>
      <c r="AD6" s="30">
        <f t="shared" si="11"/>
        <v>596.92477436991624</v>
      </c>
    </row>
    <row r="7" spans="1:30" x14ac:dyDescent="0.35">
      <c r="A7" s="14" t="s">
        <v>43</v>
      </c>
      <c r="B7" s="14" t="s">
        <v>1</v>
      </c>
      <c r="C7" s="14" t="s">
        <v>44</v>
      </c>
      <c r="D7" s="19">
        <v>207</v>
      </c>
      <c r="E7" s="19">
        <v>636</v>
      </c>
      <c r="F7" s="19">
        <v>590.71659380345943</v>
      </c>
      <c r="G7" s="35">
        <v>0</v>
      </c>
      <c r="H7" s="35">
        <v>0.22086956521739132</v>
      </c>
      <c r="I7" s="35">
        <v>0.57217391304347831</v>
      </c>
      <c r="J7" s="35">
        <v>0.18782608695652173</v>
      </c>
      <c r="K7" s="35">
        <v>1.9130434782608695E-2</v>
      </c>
      <c r="L7" s="35">
        <v>0</v>
      </c>
      <c r="M7" s="19">
        <f t="shared" si="14"/>
        <v>0</v>
      </c>
      <c r="N7" s="19">
        <f t="shared" si="12"/>
        <v>130.47131724006843</v>
      </c>
      <c r="O7" s="19">
        <f t="shared" si="12"/>
        <v>337.99262497624028</v>
      </c>
      <c r="P7" s="19">
        <f t="shared" si="12"/>
        <v>110.95198631438889</v>
      </c>
      <c r="Q7" s="19">
        <f t="shared" si="12"/>
        <v>11.300665272761831</v>
      </c>
      <c r="R7" s="19">
        <f t="shared" si="12"/>
        <v>0</v>
      </c>
      <c r="S7" s="19" t="b">
        <f t="shared" si="2"/>
        <v>0</v>
      </c>
      <c r="T7" s="19">
        <f>VLOOKUP(B7,Education!B$2:G$48,6,FALSE)</f>
        <v>594</v>
      </c>
      <c r="U7" s="28">
        <f t="shared" si="13"/>
        <v>1.0055583442736891</v>
      </c>
      <c r="V7" s="29">
        <f t="shared" si="3"/>
        <v>594</v>
      </c>
      <c r="W7" s="30">
        <f>F7*(1-L7)+0.7*V7</f>
        <v>1006.5165938034594</v>
      </c>
      <c r="X7" s="30">
        <f t="shared" si="5"/>
        <v>1420.3910837979224</v>
      </c>
      <c r="Y7" s="30">
        <f t="shared" si="6"/>
        <v>1833.4738138984828</v>
      </c>
      <c r="Z7" s="30">
        <f t="shared" si="7"/>
        <v>2245.7662987762424</v>
      </c>
      <c r="AA7" s="30">
        <f t="shared" si="8"/>
        <v>2657.27005020467</v>
      </c>
      <c r="AB7" s="30">
        <f t="shared" si="9"/>
        <v>3067.9865770651486</v>
      </c>
      <c r="AC7" s="30">
        <f t="shared" si="10"/>
        <v>3477.9173853525026</v>
      </c>
      <c r="AD7" s="30">
        <f t="shared" si="11"/>
        <v>3887.0639781805239</v>
      </c>
    </row>
    <row r="8" spans="1:30" x14ac:dyDescent="0.35">
      <c r="A8" s="14" t="s">
        <v>45</v>
      </c>
      <c r="B8" s="14" t="s">
        <v>46</v>
      </c>
      <c r="C8" s="14" t="s">
        <v>44</v>
      </c>
      <c r="D8" s="19">
        <v>4</v>
      </c>
      <c r="E8" s="19">
        <v>119</v>
      </c>
      <c r="F8" s="19">
        <v>123.73305776420409</v>
      </c>
      <c r="G8" s="35">
        <v>0.1012750982481759</v>
      </c>
      <c r="H8" s="35">
        <v>0.48002117827894153</v>
      </c>
      <c r="I8" s="35">
        <v>0.28827007488165535</v>
      </c>
      <c r="J8" s="35">
        <v>9.1590836856406288E-2</v>
      </c>
      <c r="K8" s="35">
        <v>3.3097083995547852E-2</v>
      </c>
      <c r="L8" s="35">
        <v>5.7457277392730542E-3</v>
      </c>
      <c r="M8" s="19">
        <f t="shared" si="14"/>
        <v>12.531077581616994</v>
      </c>
      <c r="N8" s="19">
        <f t="shared" si="12"/>
        <v>59.394488180029583</v>
      </c>
      <c r="O8" s="19">
        <f t="shared" si="12"/>
        <v>35.6685378270233</v>
      </c>
      <c r="P8" s="19">
        <f t="shared" si="12"/>
        <v>11.332814307425512</v>
      </c>
      <c r="Q8" s="19">
        <f t="shared" si="12"/>
        <v>4.0952034058478368</v>
      </c>
      <c r="R8" s="19">
        <f t="shared" si="12"/>
        <v>0.7109364622608626</v>
      </c>
      <c r="S8" s="19" t="b">
        <f t="shared" si="2"/>
        <v>0</v>
      </c>
      <c r="T8" s="19">
        <f>VLOOKUP(B8,Education!B$2:G$48,6,FALSE)</f>
        <v>39</v>
      </c>
      <c r="U8" s="28">
        <f>T8/F8</f>
        <v>0.31519466749396602</v>
      </c>
      <c r="V8" s="29">
        <f t="shared" si="3"/>
        <v>39</v>
      </c>
      <c r="W8" s="30">
        <f t="shared" si="4"/>
        <v>150.32212130194324</v>
      </c>
      <c r="X8" s="30">
        <f t="shared" si="5"/>
        <v>177.12459891443132</v>
      </c>
      <c r="Y8" s="30">
        <f t="shared" si="6"/>
        <v>203.83836814163647</v>
      </c>
      <c r="Z8" s="30">
        <f t="shared" si="7"/>
        <v>230.46372258244656</v>
      </c>
      <c r="AA8" s="30">
        <f t="shared" si="8"/>
        <v>257.00095486402279</v>
      </c>
      <c r="AB8" s="30">
        <f t="shared" si="9"/>
        <v>283.45035664501575</v>
      </c>
      <c r="AC8" s="30">
        <f t="shared" si="10"/>
        <v>309.81221861877094</v>
      </c>
      <c r="AD8" s="30">
        <f t="shared" si="11"/>
        <v>336.08683051652372</v>
      </c>
    </row>
    <row r="9" spans="1:30" x14ac:dyDescent="0.35">
      <c r="A9" s="14" t="s">
        <v>47</v>
      </c>
      <c r="B9" s="14" t="s">
        <v>4</v>
      </c>
      <c r="C9" s="14" t="s">
        <v>37</v>
      </c>
      <c r="D9" s="19">
        <v>162</v>
      </c>
      <c r="E9" s="19">
        <v>350</v>
      </c>
      <c r="F9" s="19">
        <v>602</v>
      </c>
      <c r="G9" s="35">
        <v>4.9833887043189366E-3</v>
      </c>
      <c r="H9" s="35">
        <v>0.64617940199335544</v>
      </c>
      <c r="I9" s="35">
        <v>0.33388704318936879</v>
      </c>
      <c r="J9" s="35">
        <v>1.3289036544850499E-2</v>
      </c>
      <c r="K9" s="35">
        <v>1.6611295681063123E-3</v>
      </c>
      <c r="L9" s="35">
        <v>0</v>
      </c>
      <c r="M9" s="19">
        <f>$F9*G9</f>
        <v>3</v>
      </c>
      <c r="N9" s="19">
        <f t="shared" si="12"/>
        <v>389</v>
      </c>
      <c r="O9" s="19">
        <f t="shared" si="12"/>
        <v>201</v>
      </c>
      <c r="P9" s="19">
        <f t="shared" si="12"/>
        <v>8</v>
      </c>
      <c r="Q9" s="19">
        <f t="shared" si="12"/>
        <v>1</v>
      </c>
      <c r="R9" s="19">
        <f t="shared" si="12"/>
        <v>0</v>
      </c>
      <c r="S9" s="19" t="b">
        <f t="shared" si="2"/>
        <v>0</v>
      </c>
      <c r="T9" s="19">
        <f>VLOOKUP(B9,Education!B$2:G$48,6,FALSE)</f>
        <v>0</v>
      </c>
      <c r="U9" s="28">
        <v>0.21927509632720782</v>
      </c>
      <c r="V9" s="29">
        <f t="shared" si="3"/>
        <v>132.0036079889791</v>
      </c>
      <c r="W9" s="30">
        <f t="shared" si="4"/>
        <v>694.40252559228531</v>
      </c>
      <c r="X9" s="30">
        <f t="shared" si="5"/>
        <v>786.68970192782774</v>
      </c>
      <c r="Y9" s="30">
        <f t="shared" si="6"/>
        <v>878.96154816763328</v>
      </c>
      <c r="Z9" s="30">
        <f t="shared" si="7"/>
        <v>971.21806685822958</v>
      </c>
      <c r="AA9" s="30">
        <f t="shared" si="8"/>
        <v>1063.4592605457212</v>
      </c>
      <c r="AB9" s="30">
        <f t="shared" si="9"/>
        <v>1155.6851317757896</v>
      </c>
      <c r="AC9" s="30">
        <f t="shared" si="10"/>
        <v>1247.8956830936936</v>
      </c>
      <c r="AD9" s="30">
        <f t="shared" si="11"/>
        <v>1340.090917044269</v>
      </c>
    </row>
    <row r="10" spans="1:30" x14ac:dyDescent="0.35">
      <c r="A10" s="14" t="s">
        <v>48</v>
      </c>
      <c r="B10" s="14" t="s">
        <v>6</v>
      </c>
      <c r="C10" s="14" t="s">
        <v>37</v>
      </c>
      <c r="D10" s="19">
        <v>0</v>
      </c>
      <c r="E10" s="19">
        <v>172</v>
      </c>
      <c r="F10" s="21">
        <v>28.59881255301103</v>
      </c>
      <c r="G10" s="35">
        <v>4.670048704595018E-2</v>
      </c>
      <c r="H10" s="35">
        <v>0.38491371352263981</v>
      </c>
      <c r="I10" s="35">
        <v>0.33633803611518653</v>
      </c>
      <c r="J10" s="35">
        <v>0.14508994335081526</v>
      </c>
      <c r="K10" s="35">
        <v>8.1948011785405311E-2</v>
      </c>
      <c r="L10" s="35">
        <v>5.0098081800029007E-3</v>
      </c>
      <c r="M10" s="19">
        <f>$E10*G10</f>
        <v>8.032483771903431</v>
      </c>
      <c r="N10" s="19">
        <f t="shared" ref="N10:R11" si="15">$E10*H10</f>
        <v>66.205158725894051</v>
      </c>
      <c r="O10" s="19">
        <f t="shared" si="15"/>
        <v>57.850142211812084</v>
      </c>
      <c r="P10" s="19">
        <f t="shared" si="15"/>
        <v>24.955470256340227</v>
      </c>
      <c r="Q10" s="19">
        <f t="shared" si="15"/>
        <v>14.095058027089713</v>
      </c>
      <c r="R10" s="19">
        <f t="shared" si="15"/>
        <v>0.86168700696049894</v>
      </c>
      <c r="S10" s="19" t="b">
        <f t="shared" si="2"/>
        <v>1</v>
      </c>
      <c r="T10" s="19">
        <f>VLOOKUP(B10,Education!B$2:G$48,6,FALSE)</f>
        <v>0</v>
      </c>
      <c r="U10" s="28">
        <v>0.21927509632720782</v>
      </c>
      <c r="V10" s="29">
        <f>U10*E10</f>
        <v>37.715316568279746</v>
      </c>
      <c r="W10" s="30">
        <f>E10*(1-L10)+0.7*V10</f>
        <v>197.53903459083534</v>
      </c>
      <c r="X10" s="30">
        <f t="shared" si="5"/>
        <v>222.32096307515843</v>
      </c>
      <c r="Y10" s="30">
        <f t="shared" si="6"/>
        <v>246.89980858273168</v>
      </c>
      <c r="Z10" s="30">
        <f t="shared" si="7"/>
        <v>271.27723533817232</v>
      </c>
      <c r="AA10" s="30">
        <f t="shared" si="8"/>
        <v>295.45489392810765</v>
      </c>
      <c r="AB10" s="30">
        <f t="shared" si="9"/>
        <v>319.43442141293588</v>
      </c>
      <c r="AC10" s="30">
        <f t="shared" si="10"/>
        <v>343.21744143767057</v>
      </c>
      <c r="AD10" s="30">
        <f t="shared" si="11"/>
        <v>366.8055643418773</v>
      </c>
    </row>
    <row r="11" spans="1:30" x14ac:dyDescent="0.35">
      <c r="A11" s="14" t="s">
        <v>49</v>
      </c>
      <c r="B11" s="14" t="s">
        <v>50</v>
      </c>
      <c r="C11" s="15" t="s">
        <v>44</v>
      </c>
      <c r="D11" s="19">
        <v>20</v>
      </c>
      <c r="E11" s="19">
        <v>36</v>
      </c>
      <c r="F11" s="21">
        <v>2.5682382133995039</v>
      </c>
      <c r="G11" s="35">
        <v>0.1012750982481759</v>
      </c>
      <c r="H11" s="35">
        <v>0.48002117827894153</v>
      </c>
      <c r="I11" s="35">
        <v>0.28827007488165535</v>
      </c>
      <c r="J11" s="35">
        <v>9.1590836856406288E-2</v>
      </c>
      <c r="K11" s="35">
        <v>3.3097083995547852E-2</v>
      </c>
      <c r="L11" s="35">
        <v>5.7457277392730542E-3</v>
      </c>
      <c r="M11" s="21">
        <f>$E11*G11</f>
        <v>3.6459035369343327</v>
      </c>
      <c r="N11" s="21">
        <f t="shared" si="15"/>
        <v>17.280762418041896</v>
      </c>
      <c r="O11" s="21">
        <f t="shared" si="15"/>
        <v>10.377722695739592</v>
      </c>
      <c r="P11" s="21">
        <f t="shared" si="15"/>
        <v>3.2972701268306261</v>
      </c>
      <c r="Q11" s="21">
        <f t="shared" si="15"/>
        <v>1.1914950238397226</v>
      </c>
      <c r="R11" s="21">
        <f t="shared" si="15"/>
        <v>0.20684619861382994</v>
      </c>
      <c r="S11" s="19" t="b">
        <f t="shared" si="2"/>
        <v>1</v>
      </c>
      <c r="T11" s="19">
        <f>VLOOKUP(B11,Education!B$2:G$48,6,FALSE)</f>
        <v>0</v>
      </c>
      <c r="U11" s="28">
        <v>0.28182148690184522</v>
      </c>
      <c r="V11" s="29">
        <f>U11*E11</f>
        <v>10.145573528466429</v>
      </c>
      <c r="W11" s="30">
        <f>E11*(1-L11)+0.7*V11</f>
        <v>42.895055271312671</v>
      </c>
      <c r="X11" s="30">
        <f t="shared" si="5"/>
        <v>49.854986616508342</v>
      </c>
      <c r="Y11" s="30">
        <f t="shared" si="6"/>
        <v>56.791882618470495</v>
      </c>
      <c r="Z11" s="30">
        <f t="shared" si="7"/>
        <v>63.705819517468115</v>
      </c>
      <c r="AA11" s="30">
        <f t="shared" si="8"/>
        <v>70.596873301437128</v>
      </c>
      <c r="AB11" s="30">
        <f t="shared" si="9"/>
        <v>77.465119706815557</v>
      </c>
      <c r="AC11" s="30">
        <f t="shared" si="10"/>
        <v>84.310634219375899</v>
      </c>
      <c r="AD11" s="30">
        <f t="shared" si="11"/>
        <v>91.133492075054747</v>
      </c>
    </row>
    <row r="12" spans="1:30" x14ac:dyDescent="0.35">
      <c r="A12" s="14" t="s">
        <v>51</v>
      </c>
      <c r="B12" s="14" t="s">
        <v>18</v>
      </c>
      <c r="C12" s="14" t="s">
        <v>44</v>
      </c>
      <c r="D12" s="19">
        <v>72</v>
      </c>
      <c r="E12" s="19">
        <v>269</v>
      </c>
      <c r="F12" s="19">
        <v>188.23925427239772</v>
      </c>
      <c r="G12" s="35">
        <v>4.8780487804878049E-3</v>
      </c>
      <c r="H12" s="35">
        <v>0.68292682926829273</v>
      </c>
      <c r="I12" s="35">
        <v>0.20487804878048779</v>
      </c>
      <c r="J12" s="35">
        <v>1.9512195121951219E-2</v>
      </c>
      <c r="K12" s="35">
        <v>6.3414634146341464E-2</v>
      </c>
      <c r="L12" s="35">
        <v>2.4390243902439025E-2</v>
      </c>
      <c r="M12" s="19">
        <f t="shared" si="14"/>
        <v>0.91824026474340348</v>
      </c>
      <c r="N12" s="19">
        <f t="shared" ref="N12:N13" si="16">$F12*H12</f>
        <v>128.5536370640765</v>
      </c>
      <c r="O12" s="19">
        <f t="shared" ref="O12:O13" si="17">$F12*I12</f>
        <v>38.566091119222946</v>
      </c>
      <c r="P12" s="19">
        <f t="shared" ref="P12:P13" si="18">$F12*J12</f>
        <v>3.6729610589736139</v>
      </c>
      <c r="Q12" s="19">
        <f t="shared" ref="Q12:Q13" si="19">$F12*K12</f>
        <v>11.937123441664246</v>
      </c>
      <c r="R12" s="19">
        <f t="shared" ref="R12:R13" si="20">$F12*L12</f>
        <v>4.5912013237170175</v>
      </c>
      <c r="S12" s="19" t="b">
        <f t="shared" si="2"/>
        <v>1</v>
      </c>
      <c r="T12" s="19">
        <f>VLOOKUP(B12,Education!B$2:G$48,6,FALSE)</f>
        <v>80</v>
      </c>
      <c r="U12" s="28">
        <f>T12/E12</f>
        <v>0.29739776951672864</v>
      </c>
      <c r="V12" s="29">
        <f>U12*E12</f>
        <v>80</v>
      </c>
      <c r="W12" s="30">
        <f>E12*(1-L12)+0.7*V12</f>
        <v>318.4390243902439</v>
      </c>
      <c r="X12" s="30">
        <f t="shared" si="5"/>
        <v>372.41965496728136</v>
      </c>
      <c r="Y12" s="30">
        <f t="shared" si="6"/>
        <v>426.05796935041565</v>
      </c>
      <c r="Z12" s="30">
        <f t="shared" si="7"/>
        <v>479.35613832526667</v>
      </c>
      <c r="AA12" s="30">
        <f t="shared" si="8"/>
        <v>532.31631891149664</v>
      </c>
      <c r="AB12" s="30">
        <f t="shared" si="9"/>
        <v>584.94065445010665</v>
      </c>
      <c r="AC12" s="30">
        <f t="shared" si="10"/>
        <v>637.23127469017913</v>
      </c>
      <c r="AD12" s="30">
        <f t="shared" si="11"/>
        <v>689.19029587507066</v>
      </c>
    </row>
    <row r="13" spans="1:30" x14ac:dyDescent="0.35">
      <c r="A13" s="14" t="s">
        <v>52</v>
      </c>
      <c r="B13" s="14" t="s">
        <v>53</v>
      </c>
      <c r="C13" s="15" t="s">
        <v>37</v>
      </c>
      <c r="D13" s="19">
        <v>16</v>
      </c>
      <c r="E13" s="19">
        <v>36</v>
      </c>
      <c r="F13" s="19">
        <v>40.225452551214531</v>
      </c>
      <c r="G13" s="35">
        <v>4.670048704595018E-2</v>
      </c>
      <c r="H13" s="35">
        <v>0.38491371352263981</v>
      </c>
      <c r="I13" s="35">
        <v>0.33633803611518653</v>
      </c>
      <c r="J13" s="35">
        <v>0.14508994335081526</v>
      </c>
      <c r="K13" s="35">
        <v>8.1948011785405311E-2</v>
      </c>
      <c r="L13" s="35">
        <v>5.0098081800029007E-3</v>
      </c>
      <c r="M13" s="19">
        <f t="shared" si="14"/>
        <v>1.8785482257854778</v>
      </c>
      <c r="N13" s="19">
        <f t="shared" si="16"/>
        <v>15.48332831961673</v>
      </c>
      <c r="O13" s="19">
        <f t="shared" si="17"/>
        <v>13.529349712920116</v>
      </c>
      <c r="P13" s="19">
        <f t="shared" si="18"/>
        <v>5.8363086319166237</v>
      </c>
      <c r="Q13" s="19">
        <f t="shared" si="19"/>
        <v>3.2963958597401906</v>
      </c>
      <c r="R13" s="19">
        <f t="shared" si="20"/>
        <v>0.20152180123539312</v>
      </c>
      <c r="S13" s="19" t="b">
        <f t="shared" si="2"/>
        <v>0</v>
      </c>
      <c r="T13" s="19">
        <f>VLOOKUP(B13,Education!B$2:G$48,6,FALSE)</f>
        <v>0</v>
      </c>
      <c r="U13" s="28">
        <v>0.21927509632720782</v>
      </c>
      <c r="V13" s="29">
        <f t="shared" si="3"/>
        <v>8.8204399829730935</v>
      </c>
      <c r="W13" s="30">
        <f t="shared" si="4"/>
        <v>46.198238738060304</v>
      </c>
      <c r="X13" s="30">
        <f t="shared" si="5"/>
        <v>51.993961344884319</v>
      </c>
      <c r="Y13" s="30">
        <f t="shared" si="6"/>
        <v>57.742189157259439</v>
      </c>
      <c r="Z13" s="30">
        <f t="shared" si="7"/>
        <v>63.443311385583186</v>
      </c>
      <c r="AA13" s="30">
        <f t="shared" si="8"/>
        <v>69.097714050751264</v>
      </c>
      <c r="AB13" s="30">
        <f t="shared" si="9"/>
        <v>74.705780010294873</v>
      </c>
      <c r="AC13" s="30">
        <f t="shared" si="10"/>
        <v>80.26788898430388</v>
      </c>
      <c r="AD13" s="30">
        <f t="shared" si="11"/>
        <v>85.784417581137518</v>
      </c>
    </row>
    <row r="14" spans="1:30" x14ac:dyDescent="0.35">
      <c r="A14" s="14" t="s">
        <v>54</v>
      </c>
      <c r="B14" s="14" t="s">
        <v>5</v>
      </c>
      <c r="C14" s="14" t="s">
        <v>37</v>
      </c>
      <c r="D14" s="19">
        <v>0</v>
      </c>
      <c r="E14" s="19">
        <v>157</v>
      </c>
      <c r="F14" s="21">
        <v>32.180362040971623</v>
      </c>
      <c r="G14" s="35">
        <v>3.5714285714285712E-2</v>
      </c>
      <c r="H14" s="35">
        <v>0.21428571428571427</v>
      </c>
      <c r="I14" s="35">
        <v>0.32142857142857145</v>
      </c>
      <c r="J14" s="35">
        <v>0.14285714285714285</v>
      </c>
      <c r="K14" s="35">
        <v>0.2857142857142857</v>
      </c>
      <c r="L14" s="35">
        <v>0</v>
      </c>
      <c r="M14" s="19">
        <f>$E14*G14</f>
        <v>5.6071428571428568</v>
      </c>
      <c r="N14" s="19">
        <f t="shared" ref="N14:R14" si="21">$E14*H14</f>
        <v>33.642857142857139</v>
      </c>
      <c r="O14" s="19">
        <f t="shared" si="21"/>
        <v>50.464285714285715</v>
      </c>
      <c r="P14" s="19">
        <f t="shared" si="21"/>
        <v>22.428571428571427</v>
      </c>
      <c r="Q14" s="19">
        <f t="shared" si="21"/>
        <v>44.857142857142854</v>
      </c>
      <c r="R14" s="19">
        <f t="shared" si="21"/>
        <v>0</v>
      </c>
      <c r="S14" s="19" t="b">
        <f t="shared" si="2"/>
        <v>1</v>
      </c>
      <c r="T14" s="19">
        <f>VLOOKUP(B14,Education!B$2:G$48,6,FALSE)</f>
        <v>0</v>
      </c>
      <c r="U14" s="28">
        <v>0.21927509632720782</v>
      </c>
      <c r="V14" s="29">
        <f>U14*E14</f>
        <v>34.426190123371626</v>
      </c>
      <c r="W14" s="30">
        <f>E14*(1-L14)+0.7*V14</f>
        <v>181.09833308636013</v>
      </c>
      <c r="X14" s="30">
        <f t="shared" si="5"/>
        <v>200.02242808453855</v>
      </c>
      <c r="Y14" s="30">
        <f t="shared" si="6"/>
        <v>218.40583465419758</v>
      </c>
      <c r="Z14" s="30">
        <f t="shared" si="7"/>
        <v>236.26400103615205</v>
      </c>
      <c r="AA14" s="30">
        <f t="shared" si="8"/>
        <v>253.61193409290783</v>
      </c>
      <c r="AB14" s="30">
        <f t="shared" si="9"/>
        <v>270.46421191947059</v>
      </c>
      <c r="AC14" s="30">
        <f t="shared" si="10"/>
        <v>286.83499609384586</v>
      </c>
      <c r="AD14" s="30">
        <f t="shared" si="11"/>
        <v>302.73804357752465</v>
      </c>
    </row>
    <row r="15" spans="1:30" x14ac:dyDescent="0.35">
      <c r="A15" s="14" t="s">
        <v>55</v>
      </c>
      <c r="B15" s="14" t="s">
        <v>3</v>
      </c>
      <c r="C15" s="14" t="s">
        <v>37</v>
      </c>
      <c r="D15" s="19">
        <v>2430</v>
      </c>
      <c r="E15" s="19">
        <v>2495</v>
      </c>
      <c r="F15" s="19">
        <v>1491.4027181313502</v>
      </c>
      <c r="G15" s="35">
        <v>0</v>
      </c>
      <c r="H15" s="35">
        <v>0.22030981067125646</v>
      </c>
      <c r="I15" s="35">
        <v>0.46385542168674698</v>
      </c>
      <c r="J15" s="35">
        <v>0.30464716006884679</v>
      </c>
      <c r="K15" s="35">
        <v>1.1187607573149742E-2</v>
      </c>
      <c r="L15" s="35">
        <v>0</v>
      </c>
      <c r="M15" s="19">
        <f t="shared" si="14"/>
        <v>0</v>
      </c>
      <c r="N15" s="19">
        <f t="shared" ref="N15:N18" si="22">$F15*H15</f>
        <v>328.57065046611501</v>
      </c>
      <c r="O15" s="19">
        <f t="shared" ref="O15:O18" si="23">$F15*I15</f>
        <v>691.79523672357811</v>
      </c>
      <c r="P15" s="19">
        <f t="shared" ref="P15:P18" si="24">$F15*J15</f>
        <v>454.35160259767463</v>
      </c>
      <c r="Q15" s="19">
        <f t="shared" ref="Q15:Q18" si="25">$F15*K15</f>
        <v>16.685228343982402</v>
      </c>
      <c r="R15" s="19">
        <f t="shared" ref="R15:R18" si="26">$F15*L15</f>
        <v>0</v>
      </c>
      <c r="S15" s="19" t="b">
        <f t="shared" si="2"/>
        <v>1</v>
      </c>
      <c r="T15" s="19">
        <f>VLOOKUP(B15,Education!B$2:G$48,6,FALSE)</f>
        <v>0</v>
      </c>
      <c r="U15" s="28">
        <v>0.21927509632720782</v>
      </c>
      <c r="V15" s="29">
        <f t="shared" si="3"/>
        <v>327.02747468091138</v>
      </c>
      <c r="W15" s="30">
        <f t="shared" si="4"/>
        <v>1720.3219504079882</v>
      </c>
      <c r="X15" s="30">
        <f t="shared" si="5"/>
        <v>1947.3165539965621</v>
      </c>
      <c r="Y15" s="30">
        <f t="shared" si="6"/>
        <v>2174.0572049305188</v>
      </c>
      <c r="Z15" s="30">
        <f t="shared" si="7"/>
        <v>2400.5441873221225</v>
      </c>
      <c r="AA15" s="30">
        <f t="shared" si="8"/>
        <v>2626.7777849657841</v>
      </c>
      <c r="AB15" s="30">
        <f t="shared" si="9"/>
        <v>2852.7582813384156</v>
      </c>
      <c r="AC15" s="30">
        <f t="shared" si="10"/>
        <v>3078.4859595997868</v>
      </c>
      <c r="AD15" s="30">
        <f t="shared" si="11"/>
        <v>3303.9611025928793</v>
      </c>
    </row>
    <row r="16" spans="1:30" x14ac:dyDescent="0.35">
      <c r="A16" s="14" t="s">
        <v>56</v>
      </c>
      <c r="B16" s="14" t="s">
        <v>57</v>
      </c>
      <c r="C16" s="15" t="s">
        <v>44</v>
      </c>
      <c r="D16" s="19">
        <v>283</v>
      </c>
      <c r="E16" s="19">
        <v>1687</v>
      </c>
      <c r="F16" s="19">
        <v>927.90281336773774</v>
      </c>
      <c r="G16" s="35">
        <v>0.1012750982481759</v>
      </c>
      <c r="H16" s="35">
        <v>0.48002117827894153</v>
      </c>
      <c r="I16" s="35">
        <v>0.28827007488165535</v>
      </c>
      <c r="J16" s="35">
        <v>9.1590836856406288E-2</v>
      </c>
      <c r="K16" s="35">
        <v>3.3097083995547852E-2</v>
      </c>
      <c r="L16" s="35">
        <v>5.7457277392730542E-3</v>
      </c>
      <c r="M16" s="19">
        <f t="shared" si="14"/>
        <v>93.973448588576474</v>
      </c>
      <c r="N16" s="19">
        <f t="shared" si="22"/>
        <v>445.41300180112626</v>
      </c>
      <c r="O16" s="19">
        <f t="shared" si="23"/>
        <v>267.48661349241644</v>
      </c>
      <c r="P16" s="19">
        <f t="shared" si="24"/>
        <v>84.987395197764883</v>
      </c>
      <c r="Q16" s="19">
        <f t="shared" si="25"/>
        <v>30.710877353737178</v>
      </c>
      <c r="R16" s="19">
        <f t="shared" si="26"/>
        <v>5.3314769341165187</v>
      </c>
      <c r="S16" s="19" t="b">
        <f t="shared" si="2"/>
        <v>1</v>
      </c>
      <c r="T16" s="19">
        <f>VLOOKUP(B16,Education!B$2:G$48,6,FALSE)</f>
        <v>178</v>
      </c>
      <c r="U16" s="28">
        <f>T16/E16</f>
        <v>0.10551274451689389</v>
      </c>
      <c r="V16" s="29">
        <f>U16*E16</f>
        <v>178</v>
      </c>
      <c r="W16" s="30">
        <f>E16*(1-L16)+0.7*V16</f>
        <v>1801.9069573038462</v>
      </c>
      <c r="X16" s="30">
        <f t="shared" si="5"/>
        <v>1920.5431707120413</v>
      </c>
      <c r="Y16" s="30">
        <f t="shared" si="6"/>
        <v>2038.786732848228</v>
      </c>
      <c r="Z16" s="30">
        <f t="shared" si="7"/>
        <v>2156.6389432736191</v>
      </c>
      <c r="AA16" s="30">
        <f t="shared" si="8"/>
        <v>2274.1010972482595</v>
      </c>
      <c r="AB16" s="30">
        <f t="shared" si="9"/>
        <v>2391.17448574526</v>
      </c>
      <c r="AC16" s="30">
        <f t="shared" si="10"/>
        <v>2507.8603954649875</v>
      </c>
      <c r="AD16" s="30">
        <f t="shared" si="11"/>
        <v>2624.1601088492062</v>
      </c>
    </row>
    <row r="17" spans="1:30" x14ac:dyDescent="0.35">
      <c r="A17" s="14" t="s">
        <v>58</v>
      </c>
      <c r="B17" s="14" t="s">
        <v>59</v>
      </c>
      <c r="C17" s="15" t="s">
        <v>42</v>
      </c>
      <c r="D17" s="19">
        <v>0</v>
      </c>
      <c r="E17" s="19">
        <v>10</v>
      </c>
      <c r="F17" s="19">
        <v>14</v>
      </c>
      <c r="G17" s="35">
        <v>3.5971223021582736E-3</v>
      </c>
      <c r="H17" s="35">
        <v>0.15030215827338131</v>
      </c>
      <c r="I17" s="35">
        <v>0.2886906474820144</v>
      </c>
      <c r="J17" s="35">
        <v>0.28509352517985609</v>
      </c>
      <c r="K17" s="35">
        <v>0.21433093525179858</v>
      </c>
      <c r="L17" s="35">
        <v>5.7985611510791367E-2</v>
      </c>
      <c r="M17" s="19">
        <f t="shared" si="14"/>
        <v>5.0359712230215833E-2</v>
      </c>
      <c r="N17" s="19">
        <f t="shared" si="22"/>
        <v>2.1042302158273385</v>
      </c>
      <c r="O17" s="19">
        <f t="shared" si="23"/>
        <v>4.0416690647482012</v>
      </c>
      <c r="P17" s="19">
        <f t="shared" si="24"/>
        <v>3.9913093525179852</v>
      </c>
      <c r="Q17" s="19">
        <f t="shared" si="25"/>
        <v>3.0006330935251802</v>
      </c>
      <c r="R17" s="19">
        <f t="shared" si="26"/>
        <v>0.81179856115107918</v>
      </c>
      <c r="S17" s="19" t="b">
        <f t="shared" si="2"/>
        <v>0</v>
      </c>
      <c r="T17" s="19">
        <f>VLOOKUP(B17,Education!B$2:G$48,6,FALSE)</f>
        <v>0</v>
      </c>
      <c r="U17" s="28">
        <v>0.28050331929892913</v>
      </c>
      <c r="V17" s="29">
        <f t="shared" si="3"/>
        <v>3.9270464701850081</v>
      </c>
      <c r="W17" s="30">
        <f t="shared" si="4"/>
        <v>15.937133967978426</v>
      </c>
      <c r="X17" s="30">
        <f t="shared" si="5"/>
        <v>18.344484414248928</v>
      </c>
      <c r="Y17" s="30">
        <f t="shared" si="6"/>
        <v>20.700237893256631</v>
      </c>
      <c r="Z17" s="30">
        <f t="shared" si="7"/>
        <v>23.005500287626493</v>
      </c>
      <c r="AA17" s="30">
        <f t="shared" si="8"/>
        <v>25.261353777497746</v>
      </c>
      <c r="AB17" s="30">
        <f t="shared" si="9"/>
        <v>27.468857348541487</v>
      </c>
      <c r="AC17" s="30">
        <f t="shared" si="10"/>
        <v>29.629047289089879</v>
      </c>
      <c r="AD17" s="30">
        <f t="shared" si="11"/>
        <v>31.742937676610342</v>
      </c>
    </row>
    <row r="18" spans="1:30" x14ac:dyDescent="0.35">
      <c r="A18" s="14" t="s">
        <v>60</v>
      </c>
      <c r="B18" s="14" t="s">
        <v>7</v>
      </c>
      <c r="C18" s="14" t="s">
        <v>44</v>
      </c>
      <c r="D18" s="19">
        <v>0</v>
      </c>
      <c r="E18" s="19">
        <v>451</v>
      </c>
      <c r="F18" s="19">
        <v>228.71043021976263</v>
      </c>
      <c r="G18" s="35">
        <v>4.0201005025125629E-2</v>
      </c>
      <c r="H18" s="35">
        <v>0.80904522613065322</v>
      </c>
      <c r="I18" s="35">
        <v>0.10050251256281408</v>
      </c>
      <c r="J18" s="35">
        <v>4.5226130653266333E-2</v>
      </c>
      <c r="K18" s="35">
        <v>5.0251256281407036E-3</v>
      </c>
      <c r="L18" s="35">
        <v>0</v>
      </c>
      <c r="M18" s="19">
        <f t="shared" si="14"/>
        <v>9.1943891545633214</v>
      </c>
      <c r="N18" s="19">
        <f t="shared" si="22"/>
        <v>185.03708173558684</v>
      </c>
      <c r="O18" s="19">
        <f t="shared" si="23"/>
        <v>22.985972886408305</v>
      </c>
      <c r="P18" s="19">
        <f t="shared" si="24"/>
        <v>10.343687798883737</v>
      </c>
      <c r="Q18" s="19">
        <f t="shared" si="25"/>
        <v>1.1492986443204152</v>
      </c>
      <c r="R18" s="19">
        <f t="shared" si="26"/>
        <v>0</v>
      </c>
      <c r="S18" s="19" t="b">
        <f t="shared" si="2"/>
        <v>1</v>
      </c>
      <c r="T18" s="19">
        <f>VLOOKUP(B18,Education!B$2:G$48,6,FALSE)</f>
        <v>0</v>
      </c>
      <c r="U18" s="28">
        <v>0.28182148690184522</v>
      </c>
      <c r="V18" s="29">
        <f>U18*E18</f>
        <v>127.10149059273219</v>
      </c>
      <c r="W18" s="30">
        <f>E18*(1-L18)+0.7*V18</f>
        <v>539.97104341491251</v>
      </c>
      <c r="X18" s="30">
        <f t="shared" si="5"/>
        <v>628.67074459695323</v>
      </c>
      <c r="Y18" s="30">
        <f t="shared" si="6"/>
        <v>717.32587306483208</v>
      </c>
      <c r="Z18" s="30">
        <f t="shared" si="7"/>
        <v>805.93645121689792</v>
      </c>
      <c r="AA18" s="30">
        <f t="shared" si="8"/>
        <v>894.50250144024415</v>
      </c>
      <c r="AB18" s="30">
        <f t="shared" si="9"/>
        <v>983.02404611071427</v>
      </c>
      <c r="AC18" s="30">
        <f t="shared" si="10"/>
        <v>1071.5011075929078</v>
      </c>
      <c r="AD18" s="30">
        <f t="shared" si="11"/>
        <v>1159.9337082401858</v>
      </c>
    </row>
    <row r="19" spans="1:30" x14ac:dyDescent="0.35">
      <c r="A19" s="14" t="s">
        <v>61</v>
      </c>
      <c r="B19" s="14" t="s">
        <v>16</v>
      </c>
      <c r="C19" s="14" t="s">
        <v>37</v>
      </c>
      <c r="D19" s="19">
        <v>0</v>
      </c>
      <c r="E19" s="19">
        <v>281</v>
      </c>
      <c r="F19" s="21">
        <v>60.196904794804482</v>
      </c>
      <c r="G19" s="35">
        <v>4.670048704595018E-2</v>
      </c>
      <c r="H19" s="35">
        <v>0.38491371352263981</v>
      </c>
      <c r="I19" s="35">
        <v>0.33633803611518653</v>
      </c>
      <c r="J19" s="35">
        <v>0.14508994335081526</v>
      </c>
      <c r="K19" s="35">
        <v>8.1948011785405311E-2</v>
      </c>
      <c r="L19" s="35">
        <v>5.0098081800029007E-3</v>
      </c>
      <c r="M19" s="19">
        <f>$E19*G19</f>
        <v>13.122836859912001</v>
      </c>
      <c r="N19" s="19">
        <f t="shared" ref="N19:R19" si="27">$E19*H19</f>
        <v>108.16075349986178</v>
      </c>
      <c r="O19" s="19">
        <f t="shared" si="27"/>
        <v>94.510988148367417</v>
      </c>
      <c r="P19" s="19">
        <f t="shared" si="27"/>
        <v>40.770274081579089</v>
      </c>
      <c r="Q19" s="19">
        <f t="shared" si="27"/>
        <v>23.027391311698892</v>
      </c>
      <c r="R19" s="19">
        <f t="shared" si="27"/>
        <v>1.4077560985808151</v>
      </c>
      <c r="S19" s="19" t="b">
        <f>F19&lt;E19*0.7</f>
        <v>1</v>
      </c>
      <c r="T19" s="19">
        <f>VLOOKUP(B19,Education!B$2:G$48,6,FALSE)</f>
        <v>44</v>
      </c>
      <c r="U19" s="28">
        <f>T19/E19</f>
        <v>0.15658362989323843</v>
      </c>
      <c r="V19" s="29">
        <f>U19*E19</f>
        <v>44</v>
      </c>
      <c r="W19" s="30">
        <f>E19*(1-L19)+0.7*V19</f>
        <v>310.39224390141919</v>
      </c>
      <c r="X19" s="30">
        <f t="shared" si="5"/>
        <v>338.648641175286</v>
      </c>
      <c r="Y19" s="30">
        <f t="shared" si="6"/>
        <v>366.67348289147162</v>
      </c>
      <c r="Z19" s="30">
        <f t="shared" si="7"/>
        <v>394.46866660173305</v>
      </c>
      <c r="AA19" s="30">
        <f t="shared" si="8"/>
        <v>422.03607430776788</v>
      </c>
      <c r="AB19" s="30">
        <f t="shared" si="9"/>
        <v>449.37757258864394</v>
      </c>
      <c r="AC19" s="30">
        <f t="shared" si="10"/>
        <v>476.49501272718487</v>
      </c>
      <c r="AD19" s="30">
        <f t="shared" si="11"/>
        <v>503.39023083531947</v>
      </c>
    </row>
    <row r="20" spans="1:30" x14ac:dyDescent="0.35">
      <c r="A20" s="14" t="s">
        <v>62</v>
      </c>
      <c r="B20" s="14" t="s">
        <v>63</v>
      </c>
      <c r="C20" s="15" t="s">
        <v>44</v>
      </c>
      <c r="D20" s="19">
        <v>0</v>
      </c>
      <c r="E20" s="19">
        <v>10752</v>
      </c>
      <c r="F20" s="19">
        <v>22344</v>
      </c>
      <c r="G20" s="35">
        <v>0.1012750982481759</v>
      </c>
      <c r="H20" s="35">
        <v>0.48002117827894153</v>
      </c>
      <c r="I20" s="35">
        <v>0.28827007488165535</v>
      </c>
      <c r="J20" s="35">
        <v>9.1590836856406288E-2</v>
      </c>
      <c r="K20" s="35">
        <v>3.3097083995547852E-2</v>
      </c>
      <c r="L20" s="35">
        <v>5.7457277392730542E-3</v>
      </c>
      <c r="M20" s="19">
        <f t="shared" si="14"/>
        <v>2262.8907952572422</v>
      </c>
      <c r="N20" s="19">
        <f t="shared" ref="N20:N21" si="28">$F20*H20</f>
        <v>10725.59320746467</v>
      </c>
      <c r="O20" s="19">
        <f t="shared" ref="O20:O21" si="29">$F20*I20</f>
        <v>6441.1065531557069</v>
      </c>
      <c r="P20" s="19">
        <f t="shared" ref="P20:P21" si="30">$F20*J20</f>
        <v>2046.505658719542</v>
      </c>
      <c r="Q20" s="19">
        <f t="shared" ref="Q20:Q21" si="31">$F20*K20</f>
        <v>739.52124479652116</v>
      </c>
      <c r="R20" s="19">
        <f t="shared" ref="R20:R21" si="32">$F20*L20</f>
        <v>128.38254060631712</v>
      </c>
      <c r="S20" s="19" t="b">
        <f t="shared" si="2"/>
        <v>0</v>
      </c>
      <c r="T20" s="19">
        <f>VLOOKUP(B20,Education!B$2:G$48,6,FALSE)</f>
        <v>699</v>
      </c>
      <c r="U20" s="28">
        <f t="shared" ref="U20:U49" si="33">T20/F20</f>
        <v>3.128356605800215E-2</v>
      </c>
      <c r="V20" s="29">
        <f t="shared" si="3"/>
        <v>699</v>
      </c>
      <c r="W20" s="30">
        <f t="shared" si="4"/>
        <v>22704.91745939368</v>
      </c>
      <c r="X20" s="30">
        <f t="shared" si="5"/>
        <v>23119.070803367125</v>
      </c>
      <c r="Y20" s="30">
        <f t="shared" si="6"/>
        <v>23531.853420539319</v>
      </c>
      <c r="Z20" s="30">
        <f t="shared" si="7"/>
        <v>23943.269847616266</v>
      </c>
      <c r="AA20" s="30">
        <f t="shared" si="8"/>
        <v>24353.324606288803</v>
      </c>
      <c r="AB20" s="30">
        <f t="shared" si="9"/>
        <v>24762.022203282282</v>
      </c>
      <c r="AC20" s="30">
        <f t="shared" si="10"/>
        <v>25169.367130406117</v>
      </c>
      <c r="AD20" s="30">
        <f t="shared" si="11"/>
        <v>25575.363864603132</v>
      </c>
    </row>
    <row r="21" spans="1:30" x14ac:dyDescent="0.35">
      <c r="A21" s="14" t="s">
        <v>64</v>
      </c>
      <c r="B21" s="14" t="s">
        <v>8</v>
      </c>
      <c r="C21" s="14" t="s">
        <v>42</v>
      </c>
      <c r="D21" s="19">
        <v>0</v>
      </c>
      <c r="E21" s="19">
        <v>227</v>
      </c>
      <c r="F21" s="19">
        <v>186.64222105814565</v>
      </c>
      <c r="G21" s="35">
        <v>7.1942446043165471E-3</v>
      </c>
      <c r="H21" s="35">
        <v>0.2446043165467626</v>
      </c>
      <c r="I21" s="35">
        <v>0.2733812949640288</v>
      </c>
      <c r="J21" s="35">
        <v>0.26618705035971224</v>
      </c>
      <c r="K21" s="35">
        <v>0.17266187050359713</v>
      </c>
      <c r="L21" s="35">
        <v>3.5971223021582732E-2</v>
      </c>
      <c r="M21" s="19">
        <f t="shared" si="14"/>
        <v>1.3427497917852207</v>
      </c>
      <c r="N21" s="19">
        <f t="shared" si="28"/>
        <v>45.653492920697495</v>
      </c>
      <c r="O21" s="19">
        <f t="shared" si="29"/>
        <v>51.024492087838382</v>
      </c>
      <c r="P21" s="19">
        <f t="shared" si="30"/>
        <v>49.681742296053159</v>
      </c>
      <c r="Q21" s="19">
        <f t="shared" si="31"/>
        <v>32.225995002845295</v>
      </c>
      <c r="R21" s="19">
        <f t="shared" si="32"/>
        <v>6.7137489589261019</v>
      </c>
      <c r="S21" s="19" t="b">
        <f t="shared" si="2"/>
        <v>0</v>
      </c>
      <c r="T21" s="19">
        <f>VLOOKUP(B21,Education!B$2:G$48,6,FALSE)</f>
        <v>2</v>
      </c>
      <c r="U21" s="28">
        <f t="shared" si="33"/>
        <v>1.0715689026101599E-2</v>
      </c>
      <c r="V21" s="29">
        <f t="shared" si="3"/>
        <v>2</v>
      </c>
      <c r="W21" s="30">
        <f t="shared" si="4"/>
        <v>181.32847209921957</v>
      </c>
      <c r="X21" s="30">
        <f t="shared" si="5"/>
        <v>179.59762078239851</v>
      </c>
      <c r="Y21" s="30">
        <f t="shared" si="6"/>
        <v>177.89665466817004</v>
      </c>
      <c r="Z21" s="30">
        <f t="shared" si="7"/>
        <v>176.22505775303617</v>
      </c>
      <c r="AA21" s="30">
        <f t="shared" si="8"/>
        <v>174.58232294291179</v>
      </c>
      <c r="AB21" s="30">
        <f t="shared" si="9"/>
        <v>172.96795189929315</v>
      </c>
      <c r="AC21" s="30">
        <f t="shared" si="10"/>
        <v>171.38145488808235</v>
      </c>
      <c r="AD21" s="30">
        <f t="shared" si="11"/>
        <v>169.82235063102192</v>
      </c>
    </row>
    <row r="22" spans="1:30" x14ac:dyDescent="0.35">
      <c r="A22" s="14" t="s">
        <v>65</v>
      </c>
      <c r="B22" s="14" t="s">
        <v>66</v>
      </c>
      <c r="C22" s="15" t="s">
        <v>44</v>
      </c>
      <c r="D22" s="19">
        <v>5</v>
      </c>
      <c r="E22" s="19">
        <v>78</v>
      </c>
      <c r="F22" s="21">
        <v>4.0723751274209992</v>
      </c>
      <c r="G22" s="35">
        <v>0.1012750982481759</v>
      </c>
      <c r="H22" s="35">
        <v>0.48002117827894153</v>
      </c>
      <c r="I22" s="35">
        <v>0.28827007488165535</v>
      </c>
      <c r="J22" s="35">
        <v>9.1590836856406288E-2</v>
      </c>
      <c r="K22" s="35">
        <v>3.3097083995547852E-2</v>
      </c>
      <c r="L22" s="35">
        <v>5.7457277392730542E-3</v>
      </c>
      <c r="M22" s="19">
        <f>$E22*G22</f>
        <v>7.8994576633577207</v>
      </c>
      <c r="N22" s="19">
        <f t="shared" ref="N22:R22" si="34">$E22*H22</f>
        <v>37.441651905757439</v>
      </c>
      <c r="O22" s="19">
        <f t="shared" si="34"/>
        <v>22.485065840769117</v>
      </c>
      <c r="P22" s="19">
        <f t="shared" si="34"/>
        <v>7.1440852747996901</v>
      </c>
      <c r="Q22" s="19">
        <f t="shared" si="34"/>
        <v>2.5815725516527324</v>
      </c>
      <c r="R22" s="19">
        <f t="shared" si="34"/>
        <v>0.44816676366329822</v>
      </c>
      <c r="S22" s="19" t="b">
        <f t="shared" si="2"/>
        <v>1</v>
      </c>
      <c r="T22" s="19">
        <f>VLOOKUP(B22,Education!B$2:G$48,6,FALSE)</f>
        <v>0</v>
      </c>
      <c r="U22" s="28">
        <v>0.28182148690184522</v>
      </c>
      <c r="V22" s="29">
        <f>U22*E22</f>
        <v>21.982075978343929</v>
      </c>
      <c r="W22" s="30">
        <f>E22*(1-L22)+0.7*V22</f>
        <v>92.939286421177457</v>
      </c>
      <c r="X22" s="30">
        <f t="shared" si="5"/>
        <v>108.01913766910141</v>
      </c>
      <c r="Y22" s="30">
        <f t="shared" si="6"/>
        <v>123.04907900668607</v>
      </c>
      <c r="Z22" s="30">
        <f t="shared" si="7"/>
        <v>138.02927562118091</v>
      </c>
      <c r="AA22" s="30">
        <f t="shared" si="8"/>
        <v>152.95989215311377</v>
      </c>
      <c r="AB22" s="30">
        <f t="shared" si="9"/>
        <v>167.84109269810037</v>
      </c>
      <c r="AC22" s="30">
        <f t="shared" si="10"/>
        <v>182.67304080864776</v>
      </c>
      <c r="AD22" s="30">
        <f t="shared" si="11"/>
        <v>197.45589949595191</v>
      </c>
    </row>
    <row r="23" spans="1:30" x14ac:dyDescent="0.35">
      <c r="A23" s="14" t="s">
        <v>67</v>
      </c>
      <c r="B23" s="14" t="s">
        <v>9</v>
      </c>
      <c r="C23" s="14" t="s">
        <v>37</v>
      </c>
      <c r="D23" s="19">
        <v>0</v>
      </c>
      <c r="E23" s="19">
        <v>918</v>
      </c>
      <c r="F23" s="19">
        <v>5736</v>
      </c>
      <c r="G23" s="35">
        <v>0</v>
      </c>
      <c r="H23" s="35">
        <v>0.37906772207563766</v>
      </c>
      <c r="I23" s="35">
        <v>0.3465259454705365</v>
      </c>
      <c r="J23" s="35">
        <v>0.18733509234828497</v>
      </c>
      <c r="K23" s="35">
        <v>8.7071240105540904E-2</v>
      </c>
      <c r="L23" s="35">
        <v>0</v>
      </c>
      <c r="M23" s="19">
        <f t="shared" si="14"/>
        <v>0</v>
      </c>
      <c r="N23" s="19">
        <f t="shared" ref="N23:N28" si="35">$F23*H23</f>
        <v>2174.3324538258576</v>
      </c>
      <c r="O23" s="19">
        <f t="shared" ref="O23:O28" si="36">$F23*I23</f>
        <v>1987.6728232189973</v>
      </c>
      <c r="P23" s="19">
        <f t="shared" ref="P23:P28" si="37">$F23*J23</f>
        <v>1074.5540897097626</v>
      </c>
      <c r="Q23" s="19">
        <f t="shared" ref="Q23:Q28" si="38">$F23*K23</f>
        <v>499.44063324538263</v>
      </c>
      <c r="R23" s="19">
        <f t="shared" ref="R23:R28" si="39">$F23*L23</f>
        <v>0</v>
      </c>
      <c r="S23" s="19" t="b">
        <f t="shared" si="2"/>
        <v>0</v>
      </c>
      <c r="T23" s="19">
        <f>VLOOKUP(B23,Education!B$2:G$48,6,FALSE)</f>
        <v>343</v>
      </c>
      <c r="U23" s="28">
        <f t="shared" si="33"/>
        <v>5.9797768479776851E-2</v>
      </c>
      <c r="V23" s="29">
        <f t="shared" si="3"/>
        <v>343</v>
      </c>
      <c r="W23" s="30">
        <f t="shared" si="4"/>
        <v>5976.1</v>
      </c>
      <c r="X23" s="30">
        <f t="shared" si="5"/>
        <v>6164.1653562005285</v>
      </c>
      <c r="Y23" s="30">
        <f t="shared" si="6"/>
        <v>6350.5932040225298</v>
      </c>
      <c r="Z23" s="30">
        <f t="shared" si="7"/>
        <v>6535.3978014545237</v>
      </c>
      <c r="AA23" s="30">
        <f t="shared" si="8"/>
        <v>6718.5932823389567</v>
      </c>
      <c r="AB23" s="30">
        <f t="shared" si="9"/>
        <v>6900.1936574531564</v>
      </c>
      <c r="AC23" s="30">
        <f t="shared" si="10"/>
        <v>7080.2128155808732</v>
      </c>
      <c r="AD23" s="30">
        <f t="shared" si="11"/>
        <v>7258.6645245744967</v>
      </c>
    </row>
    <row r="24" spans="1:30" x14ac:dyDescent="0.35">
      <c r="A24" s="14" t="s">
        <v>68</v>
      </c>
      <c r="B24" s="14" t="s">
        <v>69</v>
      </c>
      <c r="C24" s="15" t="s">
        <v>44</v>
      </c>
      <c r="D24" s="19">
        <v>142</v>
      </c>
      <c r="E24" s="19">
        <v>255</v>
      </c>
      <c r="F24" s="19">
        <v>255</v>
      </c>
      <c r="G24" s="35">
        <v>0.1012750982481759</v>
      </c>
      <c r="H24" s="35">
        <v>0.48002117827894153</v>
      </c>
      <c r="I24" s="35">
        <v>0.28827007488165535</v>
      </c>
      <c r="J24" s="35">
        <v>9.1590836856406288E-2</v>
      </c>
      <c r="K24" s="35">
        <v>3.3097083995547852E-2</v>
      </c>
      <c r="L24" s="35">
        <v>5.7457277392730542E-3</v>
      </c>
      <c r="M24" s="19">
        <f t="shared" si="14"/>
        <v>25.825150053284855</v>
      </c>
      <c r="N24" s="19">
        <f t="shared" si="35"/>
        <v>122.40540046113009</v>
      </c>
      <c r="O24" s="19">
        <f t="shared" si="36"/>
        <v>73.508869094822117</v>
      </c>
      <c r="P24" s="19">
        <f t="shared" si="37"/>
        <v>23.355663398383605</v>
      </c>
      <c r="Q24" s="19">
        <f t="shared" si="38"/>
        <v>8.4397564188647021</v>
      </c>
      <c r="R24" s="19">
        <f t="shared" si="39"/>
        <v>1.4651605735146289</v>
      </c>
      <c r="S24" s="19" t="b">
        <f t="shared" si="2"/>
        <v>0</v>
      </c>
      <c r="T24" s="19">
        <f>VLOOKUP(B24,Education!B$2:G$48,6,FALSE)</f>
        <v>113</v>
      </c>
      <c r="U24" s="28">
        <f t="shared" si="33"/>
        <v>0.44313725490196076</v>
      </c>
      <c r="V24" s="29">
        <f t="shared" si="3"/>
        <v>113</v>
      </c>
      <c r="W24" s="30">
        <f t="shared" si="4"/>
        <v>332.63483942648537</v>
      </c>
      <c r="X24" s="30">
        <f t="shared" si="5"/>
        <v>410.63391510445092</v>
      </c>
      <c r="Y24" s="30">
        <f t="shared" si="6"/>
        <v>488.37483658648762</v>
      </c>
      <c r="Z24" s="30">
        <f t="shared" si="7"/>
        <v>565.85845828770607</v>
      </c>
      <c r="AA24" s="30">
        <f t="shared" si="8"/>
        <v>643.08563179535213</v>
      </c>
      <c r="AB24" s="30">
        <f t="shared" si="9"/>
        <v>720.05720587816609</v>
      </c>
      <c r="AC24" s="30">
        <f t="shared" si="10"/>
        <v>796.77402649571115</v>
      </c>
      <c r="AD24" s="30">
        <f t="shared" si="11"/>
        <v>873.23693680767121</v>
      </c>
    </row>
    <row r="25" spans="1:30" x14ac:dyDescent="0.35">
      <c r="A25" s="14" t="s">
        <v>70</v>
      </c>
      <c r="B25" s="14" t="s">
        <v>10</v>
      </c>
      <c r="C25" s="14" t="s">
        <v>44</v>
      </c>
      <c r="D25" s="19">
        <v>0</v>
      </c>
      <c r="E25" s="19">
        <v>13</v>
      </c>
      <c r="F25" s="19">
        <v>2.4240811153358681</v>
      </c>
      <c r="G25" s="35">
        <v>0.1012750982481759</v>
      </c>
      <c r="H25" s="35">
        <v>0.48002117827894153</v>
      </c>
      <c r="I25" s="35">
        <v>0.28827007488165535</v>
      </c>
      <c r="J25" s="35">
        <v>9.1590836856406288E-2</v>
      </c>
      <c r="K25" s="35">
        <v>3.3097083995547852E-2</v>
      </c>
      <c r="L25" s="35">
        <v>5.7457277392730542E-3</v>
      </c>
      <c r="M25" s="19">
        <f t="shared" si="14"/>
        <v>0.24549905311718787</v>
      </c>
      <c r="N25" s="19">
        <f t="shared" si="35"/>
        <v>1.1636102732272542</v>
      </c>
      <c r="O25" s="19">
        <f t="shared" si="36"/>
        <v>0.69879004463707728</v>
      </c>
      <c r="P25" s="19">
        <f t="shared" si="37"/>
        <v>0.22202361796142289</v>
      </c>
      <c r="Q25" s="19">
        <f t="shared" si="38"/>
        <v>8.0230016286292546E-2</v>
      </c>
      <c r="R25" s="19">
        <f t="shared" si="39"/>
        <v>1.3928110106633262E-2</v>
      </c>
      <c r="S25" s="19" t="b">
        <f t="shared" si="2"/>
        <v>1</v>
      </c>
      <c r="T25" s="19">
        <f>VLOOKUP(B25,Education!B$2:G$48,6,FALSE)</f>
        <v>0</v>
      </c>
      <c r="U25" s="28">
        <v>0.28182148690184522</v>
      </c>
      <c r="V25" s="29">
        <f>U25*E25</f>
        <v>3.6636793297239878</v>
      </c>
      <c r="W25" s="30">
        <f>E25*(1-L25)+0.7*V25</f>
        <v>15.489881070196242</v>
      </c>
      <c r="X25" s="30">
        <f t="shared" si="5"/>
        <v>18.003189611516898</v>
      </c>
      <c r="Y25" s="30">
        <f t="shared" si="6"/>
        <v>20.508179834447674</v>
      </c>
      <c r="Z25" s="30">
        <f t="shared" si="7"/>
        <v>23.004879270196813</v>
      </c>
      <c r="AA25" s="30">
        <f t="shared" si="8"/>
        <v>25.493315358852289</v>
      </c>
      <c r="AB25" s="30">
        <f t="shared" si="9"/>
        <v>27.97351544968339</v>
      </c>
      <c r="AC25" s="30">
        <f t="shared" si="10"/>
        <v>30.44550680144129</v>
      </c>
      <c r="AD25" s="30">
        <f t="shared" si="11"/>
        <v>32.909316582658647</v>
      </c>
    </row>
    <row r="26" spans="1:30" x14ac:dyDescent="0.35">
      <c r="A26" s="14" t="s">
        <v>71</v>
      </c>
      <c r="B26" s="14" t="s">
        <v>11</v>
      </c>
      <c r="C26" s="14" t="s">
        <v>37</v>
      </c>
      <c r="D26" s="19">
        <v>2202</v>
      </c>
      <c r="E26" s="19">
        <v>964</v>
      </c>
      <c r="F26" s="19">
        <v>1337</v>
      </c>
      <c r="G26" s="35">
        <v>2.3178807947019868E-2</v>
      </c>
      <c r="H26" s="35">
        <v>0.30022075055187636</v>
      </c>
      <c r="I26" s="35">
        <v>0.52207505518763797</v>
      </c>
      <c r="J26" s="35">
        <v>0.14238410596026491</v>
      </c>
      <c r="K26" s="35">
        <v>1.2141280353200883E-2</v>
      </c>
      <c r="L26" s="35">
        <v>0</v>
      </c>
      <c r="M26" s="19">
        <f t="shared" si="14"/>
        <v>30.990066225165563</v>
      </c>
      <c r="N26" s="19">
        <f t="shared" si="35"/>
        <v>401.39514348785872</v>
      </c>
      <c r="O26" s="19">
        <f t="shared" si="36"/>
        <v>698.01434878587202</v>
      </c>
      <c r="P26" s="19">
        <f t="shared" si="37"/>
        <v>190.36754966887418</v>
      </c>
      <c r="Q26" s="19">
        <f t="shared" si="38"/>
        <v>16.23289183222958</v>
      </c>
      <c r="R26" s="19">
        <f t="shared" si="39"/>
        <v>0</v>
      </c>
      <c r="S26" s="19" t="b">
        <f t="shared" si="2"/>
        <v>0</v>
      </c>
      <c r="T26" s="19">
        <f>VLOOKUP(B26,Education!B$2:G$48,6,FALSE)</f>
        <v>379</v>
      </c>
      <c r="U26" s="28">
        <f t="shared" si="33"/>
        <v>0.28347045624532535</v>
      </c>
      <c r="V26" s="29">
        <f t="shared" si="3"/>
        <v>379</v>
      </c>
      <c r="W26" s="30">
        <f t="shared" si="4"/>
        <v>1602.3</v>
      </c>
      <c r="X26" s="30">
        <f t="shared" si="5"/>
        <v>1865.6546026490066</v>
      </c>
      <c r="Y26" s="30">
        <f t="shared" si="6"/>
        <v>2128.6894590917068</v>
      </c>
      <c r="Z26" s="30">
        <f t="shared" si="7"/>
        <v>2391.4049575409335</v>
      </c>
      <c r="AA26" s="30">
        <f t="shared" si="8"/>
        <v>2653.80148573818</v>
      </c>
      <c r="AB26" s="30">
        <f t="shared" si="9"/>
        <v>2915.8794309541713</v>
      </c>
      <c r="AC26" s="30">
        <f t="shared" si="10"/>
        <v>3177.6391799894368</v>
      </c>
      <c r="AD26" s="30">
        <f t="shared" si="11"/>
        <v>3439.0811191748803</v>
      </c>
    </row>
    <row r="27" spans="1:30" x14ac:dyDescent="0.35">
      <c r="A27" s="14" t="s">
        <v>72</v>
      </c>
      <c r="B27" s="14" t="s">
        <v>73</v>
      </c>
      <c r="C27" s="15" t="s">
        <v>37</v>
      </c>
      <c r="D27" s="19">
        <v>0</v>
      </c>
      <c r="E27" s="19">
        <v>398</v>
      </c>
      <c r="F27" s="19">
        <v>256.80610832894047</v>
      </c>
      <c r="G27" s="35">
        <v>4.670048704595018E-2</v>
      </c>
      <c r="H27" s="35">
        <v>0.38491371352263981</v>
      </c>
      <c r="I27" s="35">
        <v>0.33633803611518653</v>
      </c>
      <c r="J27" s="35">
        <v>0.14508994335081526</v>
      </c>
      <c r="K27" s="35">
        <v>8.1948011785405311E-2</v>
      </c>
      <c r="L27" s="35">
        <v>5.0098081800029007E-3</v>
      </c>
      <c r="M27" s="19">
        <f t="shared" si="14"/>
        <v>11.992970335336564</v>
      </c>
      <c r="N27" s="19">
        <f t="shared" si="35"/>
        <v>98.848192812189794</v>
      </c>
      <c r="O27" s="19">
        <f t="shared" si="36"/>
        <v>86.373662137739686</v>
      </c>
      <c r="P27" s="19">
        <f t="shared" si="37"/>
        <v>37.259983709589299</v>
      </c>
      <c r="Q27" s="19">
        <f t="shared" si="38"/>
        <v>21.044749991904087</v>
      </c>
      <c r="R27" s="19">
        <f t="shared" si="39"/>
        <v>1.286549342181037</v>
      </c>
      <c r="S27" s="19" t="b">
        <f t="shared" si="2"/>
        <v>1</v>
      </c>
      <c r="T27" s="19">
        <f>VLOOKUP(B27,Education!B$2:G$48,6,FALSE)</f>
        <v>33</v>
      </c>
      <c r="U27" s="28">
        <f>T27/E27</f>
        <v>8.2914572864321606E-2</v>
      </c>
      <c r="V27" s="29">
        <f t="shared" si="3"/>
        <v>21.292968781042802</v>
      </c>
      <c r="W27" s="30">
        <f t="shared" si="4"/>
        <v>270.4246371334894</v>
      </c>
      <c r="X27" s="30">
        <f t="shared" si="5"/>
        <v>283.11363914513146</v>
      </c>
      <c r="Y27" s="30">
        <f t="shared" si="6"/>
        <v>295.69865730813399</v>
      </c>
      <c r="Z27" s="30">
        <f t="shared" si="7"/>
        <v>308.1805437494624</v>
      </c>
      <c r="AA27" s="30">
        <f t="shared" si="8"/>
        <v>320.56014361307103</v>
      </c>
      <c r="AB27" s="30">
        <f t="shared" si="9"/>
        <v>332.83829511712747</v>
      </c>
      <c r="AC27" s="30">
        <f t="shared" si="10"/>
        <v>345.01582961076821</v>
      </c>
      <c r="AD27" s="30">
        <f t="shared" si="11"/>
        <v>357.09357163038874</v>
      </c>
    </row>
    <row r="28" spans="1:30" x14ac:dyDescent="0.35">
      <c r="A28" s="14" t="s">
        <v>74</v>
      </c>
      <c r="B28" s="14" t="s">
        <v>75</v>
      </c>
      <c r="C28" s="15" t="s">
        <v>44</v>
      </c>
      <c r="D28" s="19">
        <v>0</v>
      </c>
      <c r="E28" s="19">
        <v>109</v>
      </c>
      <c r="F28" s="19">
        <v>170</v>
      </c>
      <c r="G28" s="35">
        <v>0.1012750982481759</v>
      </c>
      <c r="H28" s="35">
        <v>0.48002117827894153</v>
      </c>
      <c r="I28" s="35">
        <v>0.28827007488165535</v>
      </c>
      <c r="J28" s="35">
        <v>9.1590836856406288E-2</v>
      </c>
      <c r="K28" s="35">
        <v>3.3097083995547852E-2</v>
      </c>
      <c r="L28" s="35">
        <v>5.7457277392730542E-3</v>
      </c>
      <c r="M28" s="19">
        <f t="shared" si="14"/>
        <v>17.216766702189904</v>
      </c>
      <c r="N28" s="19">
        <f t="shared" si="35"/>
        <v>81.603600307420066</v>
      </c>
      <c r="O28" s="19">
        <f t="shared" si="36"/>
        <v>49.005912729881409</v>
      </c>
      <c r="P28" s="19">
        <f t="shared" si="37"/>
        <v>15.570442265589069</v>
      </c>
      <c r="Q28" s="19">
        <f t="shared" si="38"/>
        <v>5.626504279243135</v>
      </c>
      <c r="R28" s="19">
        <f t="shared" si="39"/>
        <v>0.97677371567641924</v>
      </c>
      <c r="S28" s="19" t="b">
        <f t="shared" si="2"/>
        <v>0</v>
      </c>
      <c r="T28" s="19">
        <f>VLOOKUP(B28,Education!B$2:G$48,6,FALSE)</f>
        <v>22</v>
      </c>
      <c r="U28" s="28">
        <f t="shared" si="33"/>
        <v>0.12941176470588237</v>
      </c>
      <c r="V28" s="29">
        <f t="shared" si="3"/>
        <v>22.000000000000004</v>
      </c>
      <c r="W28" s="30">
        <f t="shared" si="4"/>
        <v>184.42322628432359</v>
      </c>
      <c r="X28" s="30">
        <f t="shared" si="5"/>
        <v>199.21283918321737</v>
      </c>
      <c r="Y28" s="30">
        <f t="shared" si="6"/>
        <v>213.95350277607352</v>
      </c>
      <c r="Z28" s="30">
        <f t="shared" si="7"/>
        <v>228.64537907082138</v>
      </c>
      <c r="AA28" s="30">
        <f t="shared" si="8"/>
        <v>243.28862953919131</v>
      </c>
      <c r="AB28" s="30">
        <f t="shared" si="9"/>
        <v>257.88341511848927</v>
      </c>
      <c r="AC28" s="30">
        <f t="shared" si="10"/>
        <v>272.42989621336568</v>
      </c>
      <c r="AD28" s="30">
        <f t="shared" si="11"/>
        <v>286.92823269757844</v>
      </c>
    </row>
    <row r="29" spans="1:30" x14ac:dyDescent="0.35">
      <c r="A29" s="14" t="s">
        <v>76</v>
      </c>
      <c r="B29" s="14" t="s">
        <v>77</v>
      </c>
      <c r="C29" s="15" t="s">
        <v>44</v>
      </c>
      <c r="D29" s="19">
        <v>17</v>
      </c>
      <c r="E29" s="19">
        <v>319</v>
      </c>
      <c r="F29" s="21">
        <v>30.094339949726965</v>
      </c>
      <c r="G29" s="35">
        <v>0.1012750982481759</v>
      </c>
      <c r="H29" s="35">
        <v>0.48002117827894153</v>
      </c>
      <c r="I29" s="35">
        <v>0.28827007488165535</v>
      </c>
      <c r="J29" s="35">
        <v>9.1590836856406288E-2</v>
      </c>
      <c r="K29" s="35">
        <v>3.3097083995547852E-2</v>
      </c>
      <c r="L29" s="35">
        <v>5.7457277392730542E-3</v>
      </c>
      <c r="M29" s="19">
        <f>$E29*G29</f>
        <v>32.306756341168111</v>
      </c>
      <c r="N29" s="19">
        <f t="shared" ref="N29:R29" si="40">$E29*H29</f>
        <v>153.12675587098235</v>
      </c>
      <c r="O29" s="19">
        <f t="shared" si="40"/>
        <v>91.958153887248059</v>
      </c>
      <c r="P29" s="19">
        <f t="shared" si="40"/>
        <v>29.217476957193607</v>
      </c>
      <c r="Q29" s="19">
        <f t="shared" si="40"/>
        <v>10.557969794579765</v>
      </c>
      <c r="R29" s="19">
        <f t="shared" si="40"/>
        <v>1.8328871488281042</v>
      </c>
      <c r="S29" s="19" t="b">
        <f t="shared" si="2"/>
        <v>1</v>
      </c>
      <c r="T29" s="19">
        <f>VLOOKUP(B29,Education!B$2:G$48,6,FALSE)</f>
        <v>0</v>
      </c>
      <c r="U29" s="28">
        <v>0.28182148690184522</v>
      </c>
      <c r="V29" s="29">
        <f>U29*E29</f>
        <v>89.901054321688619</v>
      </c>
      <c r="W29" s="30">
        <f>E29*(1-L29)+0.7*V29</f>
        <v>380.09785087635396</v>
      </c>
      <c r="X29" s="30">
        <f t="shared" si="5"/>
        <v>441.7705758518378</v>
      </c>
      <c r="Y29" s="30">
        <f t="shared" si="6"/>
        <v>503.23918209144688</v>
      </c>
      <c r="Z29" s="30">
        <f t="shared" si="7"/>
        <v>564.50434516867574</v>
      </c>
      <c r="AA29" s="30">
        <f t="shared" si="8"/>
        <v>625.56673842106784</v>
      </c>
      <c r="AB29" s="30">
        <f t="shared" si="9"/>
        <v>686.42703295761555</v>
      </c>
      <c r="AC29" s="30">
        <f t="shared" si="10"/>
        <v>747.08589766613625</v>
      </c>
      <c r="AD29" s="30">
        <f t="shared" si="11"/>
        <v>807.54399922062373</v>
      </c>
    </row>
    <row r="30" spans="1:30" x14ac:dyDescent="0.35">
      <c r="A30" s="14" t="s">
        <v>78</v>
      </c>
      <c r="B30" s="14" t="s">
        <v>13</v>
      </c>
      <c r="C30" s="14" t="s">
        <v>44</v>
      </c>
      <c r="D30" s="19">
        <v>170</v>
      </c>
      <c r="E30" s="19">
        <v>387</v>
      </c>
      <c r="F30" s="19">
        <v>122.98752916224815</v>
      </c>
      <c r="G30" s="35">
        <v>0.45045045045045046</v>
      </c>
      <c r="H30" s="35">
        <v>0.22522522522522523</v>
      </c>
      <c r="I30" s="35">
        <v>0.17117117117117117</v>
      </c>
      <c r="J30" s="35">
        <v>9.90990990990991E-2</v>
      </c>
      <c r="K30" s="35">
        <v>5.4054054054054057E-2</v>
      </c>
      <c r="L30" s="35">
        <v>0</v>
      </c>
      <c r="M30" s="19">
        <f t="shared" si="14"/>
        <v>55.399787910922591</v>
      </c>
      <c r="N30" s="19">
        <f t="shared" ref="N30:N32" si="41">$F30*H30</f>
        <v>27.699893955461295</v>
      </c>
      <c r="O30" s="19">
        <f t="shared" ref="O30:O32" si="42">$F30*I30</f>
        <v>21.051919406150585</v>
      </c>
      <c r="P30" s="19">
        <f t="shared" ref="P30:P32" si="43">$F30*J30</f>
        <v>12.18795334040297</v>
      </c>
      <c r="Q30" s="19">
        <f t="shared" ref="Q30:Q32" si="44">$F30*K30</f>
        <v>6.6479745493107112</v>
      </c>
      <c r="R30" s="19">
        <f t="shared" ref="R30:R32" si="45">$F30*L30</f>
        <v>0</v>
      </c>
      <c r="S30" s="19" t="b">
        <f t="shared" si="2"/>
        <v>1</v>
      </c>
      <c r="T30" s="19">
        <f>VLOOKUP(B30,Education!B$2:G$48,6,FALSE)</f>
        <v>110</v>
      </c>
      <c r="U30" s="28">
        <f>T30/E30</f>
        <v>0.2842377260981912</v>
      </c>
      <c r="V30" s="29">
        <f>U30*E30</f>
        <v>110</v>
      </c>
      <c r="W30" s="30">
        <f>E30*(1-L30)+0.7*V30</f>
        <v>464</v>
      </c>
      <c r="X30" s="30">
        <f t="shared" si="5"/>
        <v>538.4918918918919</v>
      </c>
      <c r="Y30" s="30">
        <f t="shared" si="6"/>
        <v>612.58112490869246</v>
      </c>
      <c r="Z30" s="30">
        <f t="shared" si="7"/>
        <v>686.26987558486178</v>
      </c>
      <c r="AA30" s="30">
        <f t="shared" si="8"/>
        <v>759.56030868980849</v>
      </c>
      <c r="AB30" s="30">
        <f t="shared" si="9"/>
        <v>832.45457729148529</v>
      </c>
      <c r="AC30" s="30">
        <f t="shared" si="10"/>
        <v>904.9548228196395</v>
      </c>
      <c r="AD30" s="30">
        <f t="shared" si="11"/>
        <v>977.06317512872261</v>
      </c>
    </row>
    <row r="31" spans="1:30" x14ac:dyDescent="0.35">
      <c r="A31" s="14" t="s">
        <v>79</v>
      </c>
      <c r="B31" s="14" t="s">
        <v>80</v>
      </c>
      <c r="C31" s="15" t="s">
        <v>44</v>
      </c>
      <c r="D31" s="19">
        <v>0</v>
      </c>
      <c r="E31" s="19">
        <v>1340</v>
      </c>
      <c r="F31" s="19">
        <v>1721</v>
      </c>
      <c r="G31" s="35">
        <v>0.1012750982481759</v>
      </c>
      <c r="H31" s="35">
        <v>0.48002117827894153</v>
      </c>
      <c r="I31" s="35">
        <v>0.28827007488165535</v>
      </c>
      <c r="J31" s="35">
        <v>9.1590836856406288E-2</v>
      </c>
      <c r="K31" s="35">
        <v>3.3097083995547852E-2</v>
      </c>
      <c r="L31" s="35">
        <v>5.7457277392730542E-3</v>
      </c>
      <c r="M31" s="19">
        <f t="shared" si="14"/>
        <v>174.29444408511074</v>
      </c>
      <c r="N31" s="19">
        <f t="shared" si="41"/>
        <v>826.11644781805842</v>
      </c>
      <c r="O31" s="19">
        <f t="shared" si="42"/>
        <v>496.11279887132883</v>
      </c>
      <c r="P31" s="19">
        <f t="shared" si="43"/>
        <v>157.62783022987523</v>
      </c>
      <c r="Q31" s="19">
        <f t="shared" si="44"/>
        <v>56.960081556337855</v>
      </c>
      <c r="R31" s="19">
        <f t="shared" si="45"/>
        <v>9.8883974392889264</v>
      </c>
      <c r="S31" s="19" t="b">
        <f t="shared" si="2"/>
        <v>0</v>
      </c>
      <c r="T31" s="19">
        <f>VLOOKUP(B31,Education!B$2:G$48,6,FALSE)</f>
        <v>0</v>
      </c>
      <c r="U31" s="28">
        <v>0.28182148690184522</v>
      </c>
      <c r="V31" s="29">
        <f t="shared" si="3"/>
        <v>485.01477895807562</v>
      </c>
      <c r="W31" s="30">
        <f t="shared" si="4"/>
        <v>2050.6219478313642</v>
      </c>
      <c r="X31" s="30">
        <f t="shared" si="5"/>
        <v>2383.3453324169682</v>
      </c>
      <c r="Y31" s="30">
        <f t="shared" si="6"/>
        <v>2714.967499621881</v>
      </c>
      <c r="Z31" s="30">
        <f t="shared" si="7"/>
        <v>3045.492094154517</v>
      </c>
      <c r="AA31" s="30">
        <f t="shared" si="8"/>
        <v>3374.9227486603691</v>
      </c>
      <c r="AB31" s="30">
        <f t="shared" si="9"/>
        <v>3703.2630837619322</v>
      </c>
      <c r="AC31" s="30">
        <f t="shared" si="10"/>
        <v>4030.516708098497</v>
      </c>
      <c r="AD31" s="30">
        <f t="shared" si="11"/>
        <v>4356.6872183658106</v>
      </c>
    </row>
    <row r="32" spans="1:30" x14ac:dyDescent="0.35">
      <c r="A32" s="14" t="s">
        <v>81</v>
      </c>
      <c r="B32" s="14" t="s">
        <v>82</v>
      </c>
      <c r="C32" s="15" t="s">
        <v>37</v>
      </c>
      <c r="D32" s="19">
        <v>0</v>
      </c>
      <c r="E32" s="19">
        <v>87</v>
      </c>
      <c r="F32" s="19">
        <v>96.787074254283908</v>
      </c>
      <c r="G32" s="35">
        <v>4.670048704595018E-2</v>
      </c>
      <c r="H32" s="35">
        <v>0.38491371352263981</v>
      </c>
      <c r="I32" s="35">
        <v>0.33633803611518653</v>
      </c>
      <c r="J32" s="35">
        <v>0.14508994335081526</v>
      </c>
      <c r="K32" s="35">
        <v>8.1948011785405311E-2</v>
      </c>
      <c r="L32" s="35">
        <v>5.0098081800029007E-3</v>
      </c>
      <c r="M32" s="19">
        <f t="shared" si="14"/>
        <v>4.5200035074276039</v>
      </c>
      <c r="N32" s="19">
        <f t="shared" si="41"/>
        <v>37.254672172207904</v>
      </c>
      <c r="O32" s="19">
        <f t="shared" si="42"/>
        <v>32.55317447602058</v>
      </c>
      <c r="P32" s="19">
        <f t="shared" si="43"/>
        <v>14.042831120645204</v>
      </c>
      <c r="Q32" s="19">
        <f t="shared" si="44"/>
        <v>7.931508301664957</v>
      </c>
      <c r="R32" s="19">
        <f t="shared" si="45"/>
        <v>0.48488467631765969</v>
      </c>
      <c r="S32" s="19" t="b">
        <f t="shared" si="2"/>
        <v>0</v>
      </c>
      <c r="T32" s="19">
        <f>VLOOKUP(B32,Education!B$2:G$48,6,FALSE)</f>
        <v>0</v>
      </c>
      <c r="U32" s="28">
        <v>0.21927509632720782</v>
      </c>
      <c r="V32" s="29">
        <f t="shared" si="3"/>
        <v>21.222995030336719</v>
      </c>
      <c r="W32" s="30">
        <f t="shared" si="4"/>
        <v>111.15828609920196</v>
      </c>
      <c r="X32" s="30">
        <f t="shared" si="5"/>
        <v>125.10346256650737</v>
      </c>
      <c r="Y32" s="30">
        <f t="shared" si="6"/>
        <v>138.93436108526356</v>
      </c>
      <c r="Z32" s="30">
        <f t="shared" si="7"/>
        <v>152.65191814053799</v>
      </c>
      <c r="AA32" s="30">
        <f t="shared" si="8"/>
        <v>166.25706254308915</v>
      </c>
      <c r="AB32" s="30">
        <f t="shared" si="9"/>
        <v>179.75071549225606</v>
      </c>
      <c r="AC32" s="30">
        <f t="shared" si="10"/>
        <v>193.13379063833233</v>
      </c>
      <c r="AD32" s="30">
        <f t="shared" si="11"/>
        <v>206.40719414442904</v>
      </c>
    </row>
    <row r="33" spans="1:30" x14ac:dyDescent="0.35">
      <c r="A33" s="14" t="s">
        <v>83</v>
      </c>
      <c r="B33" s="14" t="s">
        <v>84</v>
      </c>
      <c r="C33" s="15" t="s">
        <v>42</v>
      </c>
      <c r="D33" s="19">
        <v>460</v>
      </c>
      <c r="E33" s="19">
        <v>748</v>
      </c>
      <c r="F33" s="21">
        <v>41.271988720290047</v>
      </c>
      <c r="G33" s="35">
        <v>3.5971223021582736E-3</v>
      </c>
      <c r="H33" s="35">
        <v>0.15030215827338131</v>
      </c>
      <c r="I33" s="35">
        <v>0.2886906474820144</v>
      </c>
      <c r="J33" s="35">
        <v>0.28509352517985609</v>
      </c>
      <c r="K33" s="35">
        <v>0.21433093525179858</v>
      </c>
      <c r="L33" s="35">
        <v>5.7985611510791367E-2</v>
      </c>
      <c r="M33" s="19">
        <f>$E33*G33</f>
        <v>2.6906474820143886</v>
      </c>
      <c r="N33" s="19">
        <f t="shared" ref="N33:R33" si="46">$E33*H33</f>
        <v>112.42601438848922</v>
      </c>
      <c r="O33" s="19">
        <f t="shared" si="46"/>
        <v>215.94060431654677</v>
      </c>
      <c r="P33" s="19">
        <f t="shared" si="46"/>
        <v>213.24995683453236</v>
      </c>
      <c r="Q33" s="19">
        <f t="shared" si="46"/>
        <v>160.31953956834533</v>
      </c>
      <c r="R33" s="19">
        <f t="shared" si="46"/>
        <v>43.373237410071944</v>
      </c>
      <c r="S33" s="19" t="b">
        <f t="shared" si="2"/>
        <v>1</v>
      </c>
      <c r="T33" s="19">
        <f>VLOOKUP(B33,Education!B$2:G$48,6,FALSE)</f>
        <v>0</v>
      </c>
      <c r="U33" s="28">
        <v>0.28050331929892913</v>
      </c>
      <c r="V33" s="29">
        <f>U33*E33</f>
        <v>209.816482835599</v>
      </c>
      <c r="W33" s="30">
        <f>E33*(1-L33)+0.7*V33</f>
        <v>851.49830057484735</v>
      </c>
      <c r="X33" s="30">
        <f t="shared" si="5"/>
        <v>980.11959584701424</v>
      </c>
      <c r="Y33" s="30">
        <f t="shared" si="6"/>
        <v>1105.984138868283</v>
      </c>
      <c r="Z33" s="30">
        <f t="shared" si="7"/>
        <v>1229.1510153674728</v>
      </c>
      <c r="AA33" s="30">
        <f t="shared" si="8"/>
        <v>1349.6780446834514</v>
      </c>
      <c r="AB33" s="30">
        <f t="shared" si="9"/>
        <v>1467.6218069077884</v>
      </c>
      <c r="AC33" s="30">
        <f t="shared" si="10"/>
        <v>1583.0376694456595</v>
      </c>
      <c r="AD33" s="30">
        <f t="shared" si="11"/>
        <v>1695.9798130074673</v>
      </c>
    </row>
    <row r="34" spans="1:30" x14ac:dyDescent="0.35">
      <c r="A34" s="14" t="s">
        <v>85</v>
      </c>
      <c r="B34" s="14" t="s">
        <v>12</v>
      </c>
      <c r="C34" s="14" t="s">
        <v>44</v>
      </c>
      <c r="D34" s="19">
        <v>103</v>
      </c>
      <c r="E34" s="19">
        <v>305</v>
      </c>
      <c r="F34" s="19">
        <v>498</v>
      </c>
      <c r="G34" s="35">
        <v>1.0845986984815618E-2</v>
      </c>
      <c r="H34" s="35">
        <v>0.46203904555314534</v>
      </c>
      <c r="I34" s="35">
        <v>0.3926247288503254</v>
      </c>
      <c r="J34" s="35">
        <v>0.10629067245119306</v>
      </c>
      <c r="K34" s="35">
        <v>2.3861171366594359E-2</v>
      </c>
      <c r="L34" s="35">
        <v>4.3383947939262474E-3</v>
      </c>
      <c r="M34" s="19">
        <f t="shared" si="14"/>
        <v>5.4013015184381779</v>
      </c>
      <c r="N34" s="19">
        <f t="shared" ref="N34:N50" si="47">$F34*H34</f>
        <v>230.09544468546639</v>
      </c>
      <c r="O34" s="19">
        <f t="shared" ref="O34:O50" si="48">$F34*I34</f>
        <v>195.52711496746204</v>
      </c>
      <c r="P34" s="19">
        <f t="shared" ref="P34:P50" si="49">$F34*J34</f>
        <v>52.932754880694141</v>
      </c>
      <c r="Q34" s="19">
        <f t="shared" ref="Q34:Q50" si="50">$F34*K34</f>
        <v>11.882863340563992</v>
      </c>
      <c r="R34" s="19">
        <f t="shared" ref="R34:R50" si="51">$F34*L34</f>
        <v>2.1605206073752714</v>
      </c>
      <c r="S34" s="19" t="b">
        <f t="shared" si="2"/>
        <v>0</v>
      </c>
      <c r="T34" s="19">
        <f>VLOOKUP(B34,Education!B$2:G$48,6,FALSE)</f>
        <v>0</v>
      </c>
      <c r="U34" s="28">
        <v>0.28182148690184522</v>
      </c>
      <c r="V34" s="29">
        <f t="shared" si="3"/>
        <v>140.34710047711891</v>
      </c>
      <c r="W34" s="30">
        <f t="shared" si="4"/>
        <v>594.08244972660793</v>
      </c>
      <c r="X34" s="30">
        <f t="shared" si="5"/>
        <v>690.90786974670982</v>
      </c>
      <c r="Y34" s="30">
        <f t="shared" si="6"/>
        <v>787.5022529728376</v>
      </c>
      <c r="Z34" s="30">
        <f t="shared" si="7"/>
        <v>883.86615068584433</v>
      </c>
      <c r="AA34" s="30">
        <f t="shared" si="8"/>
        <v>980.00011285116284</v>
      </c>
      <c r="AB34" s="30">
        <f t="shared" si="9"/>
        <v>1075.9046881219438</v>
      </c>
      <c r="AC34" s="30">
        <f t="shared" si="10"/>
        <v>1171.580423842187</v>
      </c>
      <c r="AD34" s="30">
        <f t="shared" si="11"/>
        <v>1267.0278660498657</v>
      </c>
    </row>
    <row r="35" spans="1:30" x14ac:dyDescent="0.35">
      <c r="A35" s="14" t="s">
        <v>86</v>
      </c>
      <c r="B35" s="14" t="s">
        <v>87</v>
      </c>
      <c r="C35" s="15" t="s">
        <v>42</v>
      </c>
      <c r="D35" s="19">
        <v>0</v>
      </c>
      <c r="E35" s="19">
        <v>598</v>
      </c>
      <c r="F35" s="19">
        <v>655</v>
      </c>
      <c r="G35" s="35">
        <v>3.5971223021582736E-3</v>
      </c>
      <c r="H35" s="35">
        <v>0.15030215827338131</v>
      </c>
      <c r="I35" s="35">
        <v>0.2886906474820144</v>
      </c>
      <c r="J35" s="35">
        <v>0.28509352517985609</v>
      </c>
      <c r="K35" s="35">
        <v>0.21433093525179858</v>
      </c>
      <c r="L35" s="35">
        <v>5.7985611510791367E-2</v>
      </c>
      <c r="M35" s="19">
        <f t="shared" si="14"/>
        <v>2.3561151079136691</v>
      </c>
      <c r="N35" s="19">
        <f t="shared" si="47"/>
        <v>98.447913669064761</v>
      </c>
      <c r="O35" s="19">
        <f t="shared" si="48"/>
        <v>189.09237410071944</v>
      </c>
      <c r="P35" s="19">
        <f t="shared" si="49"/>
        <v>186.73625899280574</v>
      </c>
      <c r="Q35" s="19">
        <f t="shared" si="50"/>
        <v>140.38676258992808</v>
      </c>
      <c r="R35" s="19">
        <f t="shared" si="51"/>
        <v>37.980575539568342</v>
      </c>
      <c r="S35" s="19" t="b">
        <f t="shared" si="2"/>
        <v>0</v>
      </c>
      <c r="T35" s="19">
        <f>VLOOKUP(B35,Education!B$2:G$48,6,FALSE)</f>
        <v>247</v>
      </c>
      <c r="U35" s="28">
        <f t="shared" si="33"/>
        <v>0.37709923664122136</v>
      </c>
      <c r="V35" s="29">
        <f t="shared" si="3"/>
        <v>247</v>
      </c>
      <c r="W35" s="30">
        <f t="shared" si="4"/>
        <v>789.91942446043163</v>
      </c>
      <c r="X35" s="30">
        <f t="shared" si="5"/>
        <v>945.88900755861494</v>
      </c>
      <c r="Y35" s="30">
        <f t="shared" si="6"/>
        <v>1098.5156799951715</v>
      </c>
      <c r="Z35" s="30">
        <f t="shared" si="7"/>
        <v>1247.8710906869583</v>
      </c>
      <c r="AA35" s="30">
        <f t="shared" si="8"/>
        <v>1394.0253528928965</v>
      </c>
      <c r="AB35" s="30">
        <f t="shared" si="9"/>
        <v>1537.047077127871</v>
      </c>
      <c r="AC35" s="30">
        <f t="shared" si="10"/>
        <v>1677.003403371185</v>
      </c>
      <c r="AD35" s="30">
        <f t="shared" si="11"/>
        <v>1813.9600325846855</v>
      </c>
    </row>
    <row r="36" spans="1:30" x14ac:dyDescent="0.35">
      <c r="A36" s="14" t="s">
        <v>88</v>
      </c>
      <c r="B36" s="14" t="s">
        <v>89</v>
      </c>
      <c r="C36" s="15" t="s">
        <v>44</v>
      </c>
      <c r="D36" s="19">
        <v>51</v>
      </c>
      <c r="E36" s="19">
        <v>60</v>
      </c>
      <c r="F36" s="19">
        <v>49.419841705777856</v>
      </c>
      <c r="G36" s="35">
        <v>0.1012750982481759</v>
      </c>
      <c r="H36" s="35">
        <v>0.48002117827894153</v>
      </c>
      <c r="I36" s="35">
        <v>0.28827007488165535</v>
      </c>
      <c r="J36" s="35">
        <v>9.1590836856406288E-2</v>
      </c>
      <c r="K36" s="35">
        <v>3.3097083995547852E-2</v>
      </c>
      <c r="L36" s="35">
        <v>5.7457277392730542E-3</v>
      </c>
      <c r="M36" s="19">
        <f t="shared" si="14"/>
        <v>5.004999324161953</v>
      </c>
      <c r="N36" s="19">
        <f t="shared" si="47"/>
        <v>23.722570645966261</v>
      </c>
      <c r="O36" s="19">
        <f t="shared" si="48"/>
        <v>14.246261469164136</v>
      </c>
      <c r="P36" s="19">
        <f t="shared" si="49"/>
        <v>4.5264046591433234</v>
      </c>
      <c r="Q36" s="19">
        <f t="shared" si="50"/>
        <v>1.6356526519828085</v>
      </c>
      <c r="R36" s="19">
        <f t="shared" si="51"/>
        <v>0.28395295535937121</v>
      </c>
      <c r="S36" s="19" t="b">
        <f t="shared" si="2"/>
        <v>0</v>
      </c>
      <c r="T36" s="19">
        <f>VLOOKUP(B36,Education!B$2:G$48,6,FALSE)</f>
        <v>0</v>
      </c>
      <c r="U36" s="28">
        <v>0.28182148690184522</v>
      </c>
      <c r="V36" s="29">
        <f t="shared" si="3"/>
        <v>13.927573271976138</v>
      </c>
      <c r="W36" s="30">
        <f t="shared" si="4"/>
        <v>58.885190040801774</v>
      </c>
      <c r="X36" s="30">
        <f t="shared" si="5"/>
        <v>68.439598523097644</v>
      </c>
      <c r="Y36" s="30">
        <f t="shared" si="6"/>
        <v>77.962384699386888</v>
      </c>
      <c r="Z36" s="30">
        <f t="shared" si="7"/>
        <v>87.453653230281304</v>
      </c>
      <c r="AA36" s="30">
        <f t="shared" si="8"/>
        <v>96.913508429996597</v>
      </c>
      <c r="AB36" s="30">
        <f t="shared" si="9"/>
        <v>106.34205426749881</v>
      </c>
      <c r="AC36" s="30">
        <f t="shared" si="10"/>
        <v>115.73939436764705</v>
      </c>
      <c r="AD36" s="30">
        <f t="shared" si="11"/>
        <v>125.10563201233236</v>
      </c>
    </row>
    <row r="37" spans="1:30" x14ac:dyDescent="0.35">
      <c r="A37" s="14" t="s">
        <v>90</v>
      </c>
      <c r="B37" s="14" t="s">
        <v>14</v>
      </c>
      <c r="C37" s="14" t="s">
        <v>37</v>
      </c>
      <c r="D37" s="19">
        <v>20035</v>
      </c>
      <c r="E37" s="19">
        <v>24668</v>
      </c>
      <c r="F37" s="19">
        <v>21005.731322244228</v>
      </c>
      <c r="G37" s="35">
        <v>4.670048704595018E-2</v>
      </c>
      <c r="H37" s="35">
        <v>0.38491371352263981</v>
      </c>
      <c r="I37" s="35">
        <v>0.33633803611518653</v>
      </c>
      <c r="J37" s="35">
        <v>0.14508994335081526</v>
      </c>
      <c r="K37" s="35">
        <v>8.1948011785405311E-2</v>
      </c>
      <c r="L37" s="35">
        <v>5.0098081800029007E-3</v>
      </c>
      <c r="M37" s="19">
        <f t="shared" si="14"/>
        <v>980.97788350517646</v>
      </c>
      <c r="N37" s="19">
        <f t="shared" si="47"/>
        <v>8085.3940485038565</v>
      </c>
      <c r="O37" s="19">
        <f t="shared" si="48"/>
        <v>7065.0264200868842</v>
      </c>
      <c r="P37" s="19">
        <f t="shared" si="49"/>
        <v>3047.7203675868609</v>
      </c>
      <c r="Q37" s="19">
        <f t="shared" si="50"/>
        <v>1721.3779179563276</v>
      </c>
      <c r="R37" s="19">
        <f t="shared" si="51"/>
        <v>105.23468460512228</v>
      </c>
      <c r="S37" s="19" t="b">
        <f t="shared" si="2"/>
        <v>0</v>
      </c>
      <c r="T37" s="19">
        <f>VLOOKUP(B37,Education!B$2:G$48,6,FALSE)</f>
        <v>0</v>
      </c>
      <c r="U37" s="28">
        <v>0.21927509632720782</v>
      </c>
      <c r="V37" s="29">
        <f t="shared" si="3"/>
        <v>4606.0337591085499</v>
      </c>
      <c r="W37" s="30">
        <f t="shared" si="4"/>
        <v>24124.720269015092</v>
      </c>
      <c r="X37" s="30">
        <f t="shared" si="5"/>
        <v>27151.24661429859</v>
      </c>
      <c r="Y37" s="30">
        <f t="shared" si="6"/>
        <v>30152.971177920877</v>
      </c>
      <c r="Z37" s="30">
        <f t="shared" si="7"/>
        <v>33130.097205551538</v>
      </c>
      <c r="AA37" s="30">
        <f t="shared" si="8"/>
        <v>36082.826277302309</v>
      </c>
      <c r="AB37" s="30">
        <f t="shared" si="9"/>
        <v>39011.358321375985</v>
      </c>
      <c r="AC37" s="30">
        <f t="shared" si="10"/>
        <v>41915.891627603494</v>
      </c>
      <c r="AD37" s="30">
        <f t="shared" si="11"/>
        <v>44796.622860870018</v>
      </c>
    </row>
    <row r="38" spans="1:30" x14ac:dyDescent="0.35">
      <c r="A38" s="14" t="s">
        <v>91</v>
      </c>
      <c r="B38" s="14" t="s">
        <v>92</v>
      </c>
      <c r="C38" s="15" t="s">
        <v>44</v>
      </c>
      <c r="D38" s="19">
        <v>114</v>
      </c>
      <c r="E38" s="19">
        <v>886</v>
      </c>
      <c r="F38" s="19">
        <v>886</v>
      </c>
      <c r="G38" s="35">
        <v>0.1012750982481759</v>
      </c>
      <c r="H38" s="35">
        <v>0.48002117827894153</v>
      </c>
      <c r="I38" s="35">
        <v>0.28827007488165535</v>
      </c>
      <c r="J38" s="35">
        <v>9.1590836856406288E-2</v>
      </c>
      <c r="K38" s="35">
        <v>3.3097083995547852E-2</v>
      </c>
      <c r="L38" s="35">
        <v>5.7457277392730542E-3</v>
      </c>
      <c r="M38" s="19">
        <f t="shared" si="14"/>
        <v>89.729737047883845</v>
      </c>
      <c r="N38" s="19">
        <f t="shared" si="47"/>
        <v>425.29876395514219</v>
      </c>
      <c r="O38" s="19">
        <f t="shared" si="48"/>
        <v>255.40728634514664</v>
      </c>
      <c r="P38" s="19">
        <f t="shared" si="49"/>
        <v>81.149481454775966</v>
      </c>
      <c r="Q38" s="19">
        <f t="shared" si="50"/>
        <v>29.324016420055397</v>
      </c>
      <c r="R38" s="19">
        <f t="shared" si="51"/>
        <v>5.0907147769959264</v>
      </c>
      <c r="S38" s="19" t="b">
        <f t="shared" si="2"/>
        <v>0</v>
      </c>
      <c r="T38" s="19">
        <f>VLOOKUP(B38,Education!B$2:G$48,6,FALSE)</f>
        <v>95</v>
      </c>
      <c r="U38" s="28">
        <f t="shared" si="33"/>
        <v>0.1072234762979684</v>
      </c>
      <c r="V38" s="29">
        <f t="shared" si="3"/>
        <v>95</v>
      </c>
      <c r="W38" s="30">
        <f t="shared" si="4"/>
        <v>947.40928522300408</v>
      </c>
      <c r="X38" s="30">
        <f t="shared" si="5"/>
        <v>1010.7736367538853</v>
      </c>
      <c r="Y38" s="30">
        <f t="shared" si="6"/>
        <v>1073.9282707582724</v>
      </c>
      <c r="Z38" s="30">
        <f t="shared" si="7"/>
        <v>1136.8738813400244</v>
      </c>
      <c r="AA38" s="30">
        <f t="shared" si="8"/>
        <v>1199.6111603057188</v>
      </c>
      <c r="AB38" s="30">
        <f t="shared" si="9"/>
        <v>1262.1407971722554</v>
      </c>
      <c r="AC38" s="30">
        <f t="shared" si="10"/>
        <v>1324.4634791744336</v>
      </c>
      <c r="AD38" s="30">
        <f t="shared" si="11"/>
        <v>1386.5798912725063</v>
      </c>
    </row>
    <row r="39" spans="1:30" x14ac:dyDescent="0.35">
      <c r="A39" s="14" t="s">
        <v>93</v>
      </c>
      <c r="B39" s="14" t="s">
        <v>94</v>
      </c>
      <c r="C39" s="15" t="s">
        <v>37</v>
      </c>
      <c r="D39" s="19">
        <v>0</v>
      </c>
      <c r="E39" s="19">
        <v>37</v>
      </c>
      <c r="F39" s="19">
        <v>37</v>
      </c>
      <c r="G39" s="35">
        <v>4.670048704595018E-2</v>
      </c>
      <c r="H39" s="35">
        <v>0.38491371352263981</v>
      </c>
      <c r="I39" s="35">
        <v>0.33633803611518653</v>
      </c>
      <c r="J39" s="35">
        <v>0.14508994335081526</v>
      </c>
      <c r="K39" s="35">
        <v>8.1948011785405311E-2</v>
      </c>
      <c r="L39" s="35">
        <v>5.0098081800029007E-3</v>
      </c>
      <c r="M39" s="19">
        <f t="shared" si="14"/>
        <v>1.7279180207001568</v>
      </c>
      <c r="N39" s="19">
        <f t="shared" si="47"/>
        <v>14.241807400337674</v>
      </c>
      <c r="O39" s="19">
        <f t="shared" si="48"/>
        <v>12.444507336261902</v>
      </c>
      <c r="P39" s="19">
        <f t="shared" si="49"/>
        <v>5.3683279039801644</v>
      </c>
      <c r="Q39" s="19">
        <f t="shared" si="50"/>
        <v>3.0320764360599965</v>
      </c>
      <c r="R39" s="19">
        <f t="shared" si="51"/>
        <v>0.18536290266010733</v>
      </c>
      <c r="S39" s="19" t="b">
        <f t="shared" si="2"/>
        <v>0</v>
      </c>
      <c r="T39" s="19">
        <f>VLOOKUP(B39,Education!B$2:G$48,6,FALSE)</f>
        <v>0</v>
      </c>
      <c r="U39" s="28">
        <v>0.21927509632720782</v>
      </c>
      <c r="V39" s="29">
        <f t="shared" si="3"/>
        <v>8.1131785641066898</v>
      </c>
      <c r="W39" s="30">
        <f t="shared" si="4"/>
        <v>42.493862092214577</v>
      </c>
      <c r="X39" s="30">
        <f t="shared" si="5"/>
        <v>47.824858335935239</v>
      </c>
      <c r="Y39" s="30">
        <f t="shared" si="6"/>
        <v>53.112168125355062</v>
      </c>
      <c r="Z39" s="30">
        <f t="shared" si="7"/>
        <v>58.356149462281238</v>
      </c>
      <c r="AA39" s="30">
        <f t="shared" si="8"/>
        <v>63.557157414767325</v>
      </c>
      <c r="AB39" s="30">
        <f t="shared" si="9"/>
        <v>68.71554414115478</v>
      </c>
      <c r="AC39" s="30">
        <f t="shared" si="10"/>
        <v>73.831658913917479</v>
      </c>
      <c r="AD39" s="30">
        <f t="shared" si="11"/>
        <v>78.905848143310791</v>
      </c>
    </row>
    <row r="40" spans="1:30" x14ac:dyDescent="0.35">
      <c r="A40" s="14" t="s">
        <v>95</v>
      </c>
      <c r="B40" s="14" t="s">
        <v>15</v>
      </c>
      <c r="C40" s="14" t="s">
        <v>37</v>
      </c>
      <c r="D40" s="19">
        <v>143</v>
      </c>
      <c r="E40" s="19">
        <v>162</v>
      </c>
      <c r="F40" s="19">
        <v>352</v>
      </c>
      <c r="G40" s="35">
        <v>2.9585798816568047E-3</v>
      </c>
      <c r="H40" s="35">
        <v>0.23076923076923078</v>
      </c>
      <c r="I40" s="35">
        <v>0.44674556213017752</v>
      </c>
      <c r="J40" s="35">
        <v>0.20414201183431951</v>
      </c>
      <c r="K40" s="35">
        <v>0.11538461538461539</v>
      </c>
      <c r="L40" s="35">
        <v>0</v>
      </c>
      <c r="M40" s="19">
        <f t="shared" si="14"/>
        <v>1.0414201183431953</v>
      </c>
      <c r="N40" s="19">
        <f t="shared" si="47"/>
        <v>81.230769230769241</v>
      </c>
      <c r="O40" s="19">
        <f t="shared" si="48"/>
        <v>157.25443786982248</v>
      </c>
      <c r="P40" s="19">
        <f t="shared" si="49"/>
        <v>71.857988165680467</v>
      </c>
      <c r="Q40" s="19">
        <f t="shared" si="50"/>
        <v>40.61538461538462</v>
      </c>
      <c r="R40" s="19">
        <f t="shared" si="51"/>
        <v>0</v>
      </c>
      <c r="S40" s="19" t="b">
        <f t="shared" si="2"/>
        <v>0</v>
      </c>
      <c r="T40" s="19">
        <f>VLOOKUP(B40,Education!B$2:G$48,6,FALSE)</f>
        <v>171</v>
      </c>
      <c r="U40" s="28">
        <f t="shared" si="33"/>
        <v>0.48579545454545453</v>
      </c>
      <c r="V40" s="29">
        <f t="shared" si="3"/>
        <v>171</v>
      </c>
      <c r="W40" s="30">
        <f t="shared" si="4"/>
        <v>471.7</v>
      </c>
      <c r="X40" s="30">
        <f t="shared" si="5"/>
        <v>585.95730769230772</v>
      </c>
      <c r="Y40" s="30">
        <f t="shared" si="6"/>
        <v>698.8962618343196</v>
      </c>
      <c r="Z40" s="30">
        <f t="shared" si="7"/>
        <v>810.53207419776982</v>
      </c>
      <c r="AA40" s="30">
        <f t="shared" si="8"/>
        <v>920.87978103394948</v>
      </c>
      <c r="AB40" s="30">
        <f t="shared" si="9"/>
        <v>1029.9542450989425</v>
      </c>
      <c r="AC40" s="30">
        <f t="shared" si="10"/>
        <v>1137.7701576554932</v>
      </c>
      <c r="AD40" s="30">
        <f t="shared" si="11"/>
        <v>1244.342040451776</v>
      </c>
    </row>
    <row r="41" spans="1:30" x14ac:dyDescent="0.35">
      <c r="A41" s="14" t="s">
        <v>96</v>
      </c>
      <c r="B41" s="14" t="s">
        <v>17</v>
      </c>
      <c r="C41" s="14" t="s">
        <v>42</v>
      </c>
      <c r="D41" s="19">
        <v>4</v>
      </c>
      <c r="E41" s="19">
        <v>124</v>
      </c>
      <c r="F41" s="19">
        <v>70.107217303545326</v>
      </c>
      <c r="G41" s="35">
        <v>3.5971223021582736E-3</v>
      </c>
      <c r="H41" s="35">
        <v>0.15030215827338131</v>
      </c>
      <c r="I41" s="35">
        <v>0.2886906474820144</v>
      </c>
      <c r="J41" s="35">
        <v>0.28509352517985609</v>
      </c>
      <c r="K41" s="35">
        <v>0.21433093525179858</v>
      </c>
      <c r="L41" s="35">
        <v>5.7985611510791367E-2</v>
      </c>
      <c r="M41" s="19">
        <f t="shared" si="14"/>
        <v>0.25218423490483932</v>
      </c>
      <c r="N41" s="19">
        <f t="shared" si="47"/>
        <v>10.537266071263806</v>
      </c>
      <c r="O41" s="19">
        <f t="shared" si="48"/>
        <v>20.239297956522783</v>
      </c>
      <c r="P41" s="19">
        <f t="shared" si="49"/>
        <v>19.987113721617941</v>
      </c>
      <c r="Q41" s="19">
        <f t="shared" si="50"/>
        <v>15.026145452569946</v>
      </c>
      <c r="R41" s="19">
        <f t="shared" si="51"/>
        <v>4.0652098666660095</v>
      </c>
      <c r="S41" s="19" t="b">
        <f t="shared" si="2"/>
        <v>1</v>
      </c>
      <c r="T41" s="19">
        <f>VLOOKUP(B41,Education!B$2:G$48,6,FALSE)</f>
        <v>0</v>
      </c>
      <c r="U41" s="28">
        <v>0.28050331929892913</v>
      </c>
      <c r="V41" s="29">
        <f t="shared" si="3"/>
        <v>19.665307160455782</v>
      </c>
      <c r="W41" s="30">
        <f t="shared" si="4"/>
        <v>79.807722449198366</v>
      </c>
      <c r="X41" s="30">
        <f t="shared" si="5"/>
        <v>91.862911082232145</v>
      </c>
      <c r="Y41" s="30">
        <f t="shared" si="6"/>
        <v>103.65971972983043</v>
      </c>
      <c r="Z41" s="30">
        <f t="shared" si="7"/>
        <v>115.20368627438609</v>
      </c>
      <c r="AA41" s="30">
        <f t="shared" si="8"/>
        <v>126.50022990434074</v>
      </c>
      <c r="AB41" s="30">
        <f t="shared" si="9"/>
        <v>137.55465365816329</v>
      </c>
      <c r="AC41" s="30">
        <f t="shared" si="10"/>
        <v>148.37214691380319</v>
      </c>
      <c r="AD41" s="30">
        <f t="shared" si="11"/>
        <v>158.95778782478698</v>
      </c>
    </row>
    <row r="42" spans="1:30" x14ac:dyDescent="0.35">
      <c r="A42" s="14" t="s">
        <v>97</v>
      </c>
      <c r="B42" s="14" t="s">
        <v>98</v>
      </c>
      <c r="C42" s="14" t="s">
        <v>44</v>
      </c>
      <c r="D42" s="19">
        <v>0</v>
      </c>
      <c r="E42" s="19">
        <v>156</v>
      </c>
      <c r="F42" s="19">
        <v>193</v>
      </c>
      <c r="G42" s="35">
        <v>0.1012750982481759</v>
      </c>
      <c r="H42" s="35">
        <v>0.48002117827894153</v>
      </c>
      <c r="I42" s="35">
        <v>0.28827007488165535</v>
      </c>
      <c r="J42" s="35">
        <v>9.1590836856406288E-2</v>
      </c>
      <c r="K42" s="35">
        <v>3.3097083995547852E-2</v>
      </c>
      <c r="L42" s="35">
        <v>5.7457277392730542E-3</v>
      </c>
      <c r="M42" s="19">
        <f t="shared" si="14"/>
        <v>19.546093961897949</v>
      </c>
      <c r="N42" s="19">
        <f t="shared" si="47"/>
        <v>92.644087407835713</v>
      </c>
      <c r="O42" s="19">
        <f t="shared" si="48"/>
        <v>55.636124452159478</v>
      </c>
      <c r="P42" s="19">
        <f t="shared" si="49"/>
        <v>17.677031513286412</v>
      </c>
      <c r="Q42" s="19">
        <f t="shared" si="50"/>
        <v>6.3877372111407356</v>
      </c>
      <c r="R42" s="19">
        <f t="shared" si="51"/>
        <v>1.1089254536796995</v>
      </c>
      <c r="S42" s="19" t="b">
        <f t="shared" si="2"/>
        <v>0</v>
      </c>
      <c r="T42" s="19">
        <f>VLOOKUP(B42,Education!B$2:G$48,6,FALSE)</f>
        <v>69</v>
      </c>
      <c r="U42" s="28">
        <f t="shared" si="33"/>
        <v>0.35751295336787564</v>
      </c>
      <c r="V42" s="29">
        <f t="shared" si="3"/>
        <v>69</v>
      </c>
      <c r="W42" s="30">
        <f t="shared" si="4"/>
        <v>240.19107454632029</v>
      </c>
      <c r="X42" s="30">
        <f t="shared" si="5"/>
        <v>287.69611212939623</v>
      </c>
      <c r="Y42" s="30">
        <f t="shared" si="6"/>
        <v>335.04392189056233</v>
      </c>
      <c r="Z42" s="30">
        <f t="shared" si="7"/>
        <v>382.23502420806136</v>
      </c>
      <c r="AA42" s="30">
        <f t="shared" si="8"/>
        <v>429.2699377378359</v>
      </c>
      <c r="AB42" s="30">
        <f t="shared" si="9"/>
        <v>476.14917941922863</v>
      </c>
      <c r="AC42" s="30">
        <f t="shared" si="10"/>
        <v>522.87326448066369</v>
      </c>
      <c r="AD42" s="30">
        <f t="shared" si="11"/>
        <v>569.44270644530934</v>
      </c>
    </row>
    <row r="43" spans="1:30" x14ac:dyDescent="0.35">
      <c r="A43" s="14" t="s">
        <v>99</v>
      </c>
      <c r="B43" s="14" t="s">
        <v>100</v>
      </c>
      <c r="C43" s="15" t="s">
        <v>42</v>
      </c>
      <c r="D43" s="19">
        <v>13642</v>
      </c>
      <c r="E43" s="19">
        <v>14412</v>
      </c>
      <c r="F43" s="19">
        <v>17703</v>
      </c>
      <c r="G43" s="35">
        <v>3.5971223021582736E-3</v>
      </c>
      <c r="H43" s="35">
        <v>0.15030215827338131</v>
      </c>
      <c r="I43" s="35">
        <v>0.2886906474820144</v>
      </c>
      <c r="J43" s="35">
        <v>0.28509352517985609</v>
      </c>
      <c r="K43" s="35">
        <v>0.21433093525179858</v>
      </c>
      <c r="L43" s="35">
        <v>5.7985611510791367E-2</v>
      </c>
      <c r="M43" s="19">
        <f t="shared" si="14"/>
        <v>63.679856115107917</v>
      </c>
      <c r="N43" s="19">
        <f t="shared" si="47"/>
        <v>2660.7991079136691</v>
      </c>
      <c r="O43" s="19">
        <f t="shared" si="48"/>
        <v>5110.6905323741012</v>
      </c>
      <c r="P43" s="19">
        <f t="shared" si="49"/>
        <v>5047.0106762589921</v>
      </c>
      <c r="Q43" s="19">
        <f t="shared" si="50"/>
        <v>3794.3005467625903</v>
      </c>
      <c r="R43" s="19">
        <f t="shared" si="51"/>
        <v>1026.5192805755396</v>
      </c>
      <c r="S43" s="19" t="b">
        <f t="shared" si="2"/>
        <v>0</v>
      </c>
      <c r="T43" s="19">
        <f>VLOOKUP(B43,Education!B$2:G$48,6,FALSE)</f>
        <v>1291</v>
      </c>
      <c r="U43" s="28">
        <f t="shared" si="33"/>
        <v>7.2925492854318472E-2</v>
      </c>
      <c r="V43" s="29">
        <f t="shared" si="3"/>
        <v>1291</v>
      </c>
      <c r="W43" s="30">
        <f t="shared" si="4"/>
        <v>17580.180719424461</v>
      </c>
      <c r="X43" s="30">
        <f t="shared" si="5"/>
        <v>18107.083061875474</v>
      </c>
      <c r="Y43" s="30">
        <f t="shared" si="6"/>
        <v>18622.692257142098</v>
      </c>
      <c r="Z43" s="30">
        <f t="shared" si="7"/>
        <v>19127.250352304131</v>
      </c>
      <c r="AA43" s="30">
        <f t="shared" si="8"/>
        <v>19620.994206623669</v>
      </c>
      <c r="AB43" s="30">
        <f t="shared" si="9"/>
        <v>20104.155602736093</v>
      </c>
      <c r="AC43" s="30">
        <f t="shared" si="10"/>
        <v>20576.961355457883</v>
      </c>
      <c r="AD43" s="30">
        <f t="shared" si="11"/>
        <v>21039.633418262343</v>
      </c>
    </row>
    <row r="44" spans="1:30" x14ac:dyDescent="0.35">
      <c r="A44" s="14" t="s">
        <v>101</v>
      </c>
      <c r="B44" s="14" t="s">
        <v>102</v>
      </c>
      <c r="C44" s="15" t="s">
        <v>44</v>
      </c>
      <c r="D44" s="19">
        <v>0</v>
      </c>
      <c r="E44" s="19">
        <v>360</v>
      </c>
      <c r="F44" s="19">
        <v>159.7525115605377</v>
      </c>
      <c r="G44" s="35">
        <v>0.1012750982481759</v>
      </c>
      <c r="H44" s="35">
        <v>0.48002117827894153</v>
      </c>
      <c r="I44" s="35">
        <v>0.28827007488165535</v>
      </c>
      <c r="J44" s="35">
        <v>9.1590836856406288E-2</v>
      </c>
      <c r="K44" s="35">
        <v>3.3097083995547852E-2</v>
      </c>
      <c r="L44" s="35">
        <v>5.7457277392730542E-3</v>
      </c>
      <c r="M44" s="19">
        <f t="shared" si="14"/>
        <v>16.178951303686311</v>
      </c>
      <c r="N44" s="19">
        <f t="shared" si="47"/>
        <v>76.684588832309529</v>
      </c>
      <c r="O44" s="19">
        <f t="shared" si="48"/>
        <v>46.051868470088714</v>
      </c>
      <c r="P44" s="19">
        <f t="shared" si="49"/>
        <v>14.631866223742367</v>
      </c>
      <c r="Q44" s="19">
        <f t="shared" si="50"/>
        <v>5.2873422936188454</v>
      </c>
      <c r="R44" s="19">
        <f t="shared" si="51"/>
        <v>0.91789443709192076</v>
      </c>
      <c r="S44" s="19" t="b">
        <f t="shared" si="2"/>
        <v>1</v>
      </c>
      <c r="T44" s="19">
        <f>VLOOKUP(B44,Education!B$2:G$48,6,FALSE)</f>
        <v>0</v>
      </c>
      <c r="U44" s="28">
        <v>0.28182148690184522</v>
      </c>
      <c r="V44" s="29">
        <f>U44*E44</f>
        <v>101.45573528466429</v>
      </c>
      <c r="W44" s="30">
        <f>E44*(1-L44)+0.7*V44</f>
        <v>428.95055271312674</v>
      </c>
      <c r="X44" s="30">
        <f t="shared" si="5"/>
        <v>498.54986616508347</v>
      </c>
      <c r="Y44" s="30">
        <f t="shared" si="6"/>
        <v>567.91882618470493</v>
      </c>
      <c r="Z44" s="30">
        <f t="shared" si="7"/>
        <v>637.05819517468103</v>
      </c>
      <c r="AA44" s="30">
        <f t="shared" si="8"/>
        <v>705.9687330143712</v>
      </c>
      <c r="AB44" s="30">
        <f t="shared" si="9"/>
        <v>774.6511970681554</v>
      </c>
      <c r="AC44" s="30">
        <f t="shared" si="10"/>
        <v>843.10634219375868</v>
      </c>
      <c r="AD44" s="30">
        <f t="shared" si="11"/>
        <v>911.3349207505471</v>
      </c>
    </row>
    <row r="45" spans="1:30" x14ac:dyDescent="0.35">
      <c r="A45" s="14" t="s">
        <v>103</v>
      </c>
      <c r="B45" s="14" t="s">
        <v>104</v>
      </c>
      <c r="C45" s="15" t="s">
        <v>37</v>
      </c>
      <c r="D45" s="19">
        <v>339</v>
      </c>
      <c r="E45" s="19">
        <v>1845</v>
      </c>
      <c r="F45" s="19">
        <v>2261.9470224210058</v>
      </c>
      <c r="G45" s="35">
        <v>4.670048704595018E-2</v>
      </c>
      <c r="H45" s="35">
        <v>0.38491371352263981</v>
      </c>
      <c r="I45" s="35">
        <v>0.33633803611518653</v>
      </c>
      <c r="J45" s="35">
        <v>0.14508994335081526</v>
      </c>
      <c r="K45" s="35">
        <v>8.1948011785405311E-2</v>
      </c>
      <c r="L45" s="35">
        <v>5.0098081800029007E-3</v>
      </c>
      <c r="M45" s="19">
        <f t="shared" si="14"/>
        <v>105.63402761919777</v>
      </c>
      <c r="N45" s="19">
        <f t="shared" si="47"/>
        <v>870.65442819154714</v>
      </c>
      <c r="O45" s="19">
        <f t="shared" si="48"/>
        <v>760.7788193176749</v>
      </c>
      <c r="P45" s="19">
        <f t="shared" si="49"/>
        <v>328.18576534560901</v>
      </c>
      <c r="Q45" s="19">
        <f t="shared" si="50"/>
        <v>185.36206125131903</v>
      </c>
      <c r="R45" s="19">
        <f t="shared" si="51"/>
        <v>11.33192069565796</v>
      </c>
      <c r="S45" s="19" t="b">
        <f t="shared" si="2"/>
        <v>0</v>
      </c>
      <c r="T45" s="19">
        <f>VLOOKUP(B45,Education!B$2:G$48,6,FALSE)</f>
        <v>0</v>
      </c>
      <c r="U45" s="28">
        <v>0.21927509632720782</v>
      </c>
      <c r="V45" s="29">
        <f t="shared" si="3"/>
        <v>495.98865122840698</v>
      </c>
      <c r="W45" s="30">
        <f t="shared" si="4"/>
        <v>2597.8071575852327</v>
      </c>
      <c r="X45" s="30">
        <f t="shared" si="5"/>
        <v>2923.7107002885173</v>
      </c>
      <c r="Y45" s="30">
        <f t="shared" si="6"/>
        <v>3246.9435282559662</v>
      </c>
      <c r="Z45" s="30">
        <f t="shared" si="7"/>
        <v>3567.5275274638443</v>
      </c>
      <c r="AA45" s="30">
        <f t="shared" si="8"/>
        <v>3885.4844045371929</v>
      </c>
      <c r="AB45" s="30">
        <f t="shared" si="9"/>
        <v>4200.8356882195749</v>
      </c>
      <c r="AC45" s="30">
        <f t="shared" si="10"/>
        <v>4513.602730830783</v>
      </c>
      <c r="AD45" s="30">
        <f t="shared" si="11"/>
        <v>4823.8067097125922</v>
      </c>
    </row>
    <row r="46" spans="1:30" x14ac:dyDescent="0.35">
      <c r="A46" s="14" t="s">
        <v>105</v>
      </c>
      <c r="B46" s="14" t="s">
        <v>19</v>
      </c>
      <c r="C46" s="14" t="s">
        <v>44</v>
      </c>
      <c r="D46" s="19">
        <v>17</v>
      </c>
      <c r="E46" s="19">
        <v>226</v>
      </c>
      <c r="F46" s="19">
        <v>255</v>
      </c>
      <c r="G46" s="35">
        <v>0.1012750982481759</v>
      </c>
      <c r="H46" s="35">
        <v>0.48002117827894153</v>
      </c>
      <c r="I46" s="35">
        <v>0.28827007488165535</v>
      </c>
      <c r="J46" s="35">
        <v>9.1590836856406288E-2</v>
      </c>
      <c r="K46" s="35">
        <v>3.3097083995547852E-2</v>
      </c>
      <c r="L46" s="35">
        <v>5.7457277392730542E-3</v>
      </c>
      <c r="M46" s="19">
        <f t="shared" si="14"/>
        <v>25.825150053284855</v>
      </c>
      <c r="N46" s="19">
        <f t="shared" si="47"/>
        <v>122.40540046113009</v>
      </c>
      <c r="O46" s="19">
        <f t="shared" si="48"/>
        <v>73.508869094822117</v>
      </c>
      <c r="P46" s="19">
        <f t="shared" si="49"/>
        <v>23.355663398383605</v>
      </c>
      <c r="Q46" s="19">
        <f t="shared" si="50"/>
        <v>8.4397564188647021</v>
      </c>
      <c r="R46" s="19">
        <f t="shared" si="51"/>
        <v>1.4651605735146289</v>
      </c>
      <c r="S46" s="19" t="b">
        <f t="shared" si="2"/>
        <v>0</v>
      </c>
      <c r="T46" s="19">
        <f>VLOOKUP(B46,Education!B$2:G$48,6,FALSE)</f>
        <v>60</v>
      </c>
      <c r="U46" s="28">
        <f t="shared" si="33"/>
        <v>0.23529411764705882</v>
      </c>
      <c r="V46" s="29">
        <f t="shared" si="3"/>
        <v>60</v>
      </c>
      <c r="W46" s="30">
        <f t="shared" si="4"/>
        <v>295.53483942648541</v>
      </c>
      <c r="X46" s="30">
        <f t="shared" si="5"/>
        <v>336.55670528607448</v>
      </c>
      <c r="Y46" s="30">
        <f t="shared" si="6"/>
        <v>377.44280073166266</v>
      </c>
      <c r="Z46" s="30">
        <f t="shared" si="7"/>
        <v>418.1935751237296</v>
      </c>
      <c r="AA46" s="30">
        <f t="shared" si="8"/>
        <v>458.80947633550272</v>
      </c>
      <c r="AB46" s="30">
        <f t="shared" si="9"/>
        <v>499.29095075787978</v>
      </c>
      <c r="AC46" s="30">
        <f t="shared" si="10"/>
        <v>539.63844330433471</v>
      </c>
      <c r="AD46" s="30">
        <f t="shared" si="11"/>
        <v>579.85239741580767</v>
      </c>
    </row>
    <row r="47" spans="1:30" x14ac:dyDescent="0.35">
      <c r="A47" s="14" t="s">
        <v>106</v>
      </c>
      <c r="B47" s="14" t="s">
        <v>107</v>
      </c>
      <c r="C47" s="15" t="s">
        <v>44</v>
      </c>
      <c r="D47" s="19">
        <v>550</v>
      </c>
      <c r="E47" s="19">
        <v>324</v>
      </c>
      <c r="F47" s="19">
        <v>1712</v>
      </c>
      <c r="G47" s="35">
        <v>0.1012750982481759</v>
      </c>
      <c r="H47" s="35">
        <v>0.48002117827894153</v>
      </c>
      <c r="I47" s="35">
        <v>0.28827007488165535</v>
      </c>
      <c r="J47" s="35">
        <v>9.1590836856406288E-2</v>
      </c>
      <c r="K47" s="35">
        <v>3.3097083995547852E-2</v>
      </c>
      <c r="L47" s="35">
        <v>5.7457277392730542E-3</v>
      </c>
      <c r="M47" s="19">
        <f t="shared" si="14"/>
        <v>173.38296820087714</v>
      </c>
      <c r="N47" s="19">
        <f t="shared" si="47"/>
        <v>821.79625721354785</v>
      </c>
      <c r="O47" s="19">
        <f t="shared" si="48"/>
        <v>493.51836819739395</v>
      </c>
      <c r="P47" s="19">
        <f t="shared" si="49"/>
        <v>156.80351269816757</v>
      </c>
      <c r="Q47" s="19">
        <f t="shared" si="50"/>
        <v>56.662207800377921</v>
      </c>
      <c r="R47" s="19">
        <f t="shared" si="51"/>
        <v>9.8366858896354685</v>
      </c>
      <c r="S47" s="19" t="b">
        <f t="shared" si="2"/>
        <v>0</v>
      </c>
      <c r="T47" s="19">
        <f>VLOOKUP(B47,Education!B$2:G$48,6,FALSE)</f>
        <v>120</v>
      </c>
      <c r="U47" s="28">
        <f t="shared" si="33"/>
        <v>7.0093457943925228E-2</v>
      </c>
      <c r="V47" s="29">
        <f t="shared" si="3"/>
        <v>119.99999999999999</v>
      </c>
      <c r="W47" s="30">
        <f t="shared" si="4"/>
        <v>1786.1633141103646</v>
      </c>
      <c r="X47" s="30">
        <f t="shared" si="5"/>
        <v>1864.2516343866769</v>
      </c>
      <c r="Y47" s="30">
        <f t="shared" si="6"/>
        <v>1942.0815050934634</v>
      </c>
      <c r="Z47" s="30">
        <f t="shared" si="7"/>
        <v>2019.6537816234356</v>
      </c>
      <c r="AA47" s="30">
        <f t="shared" si="8"/>
        <v>2096.9693165382037</v>
      </c>
      <c r="AB47" s="30">
        <f t="shared" si="9"/>
        <v>2174.0289595776485</v>
      </c>
      <c r="AC47" s="30">
        <f t="shared" si="10"/>
        <v>2250.8335576692589</v>
      </c>
      <c r="AD47" s="30">
        <f t="shared" si="11"/>
        <v>2327.3839549374411</v>
      </c>
    </row>
    <row r="48" spans="1:30" x14ac:dyDescent="0.35">
      <c r="A48" s="14" t="s">
        <v>108</v>
      </c>
      <c r="B48" s="14" t="s">
        <v>20</v>
      </c>
      <c r="C48" s="14" t="s">
        <v>37</v>
      </c>
      <c r="D48" s="19">
        <v>409</v>
      </c>
      <c r="E48" s="19">
        <v>727</v>
      </c>
      <c r="F48" s="19">
        <v>1425</v>
      </c>
      <c r="G48" s="35">
        <v>1.0954616588419406E-2</v>
      </c>
      <c r="H48" s="35">
        <v>0.51330203442879496</v>
      </c>
      <c r="I48" s="35">
        <v>0.3348982785602504</v>
      </c>
      <c r="J48" s="35">
        <v>9.0766823161189364E-2</v>
      </c>
      <c r="K48" s="35">
        <v>4.2253521126760563E-2</v>
      </c>
      <c r="L48" s="35">
        <v>7.8247261345852897E-3</v>
      </c>
      <c r="M48" s="19">
        <f t="shared" si="14"/>
        <v>15.610328638497652</v>
      </c>
      <c r="N48" s="19">
        <f t="shared" si="47"/>
        <v>731.45539906103284</v>
      </c>
      <c r="O48" s="19">
        <f t="shared" si="48"/>
        <v>477.2300469483568</v>
      </c>
      <c r="P48" s="19">
        <f t="shared" si="49"/>
        <v>129.34272300469485</v>
      </c>
      <c r="Q48" s="19">
        <f t="shared" si="50"/>
        <v>60.2112676056338</v>
      </c>
      <c r="R48" s="19">
        <f t="shared" si="51"/>
        <v>11.150234741784038</v>
      </c>
      <c r="S48" s="19" t="b">
        <f t="shared" si="2"/>
        <v>0</v>
      </c>
      <c r="T48" s="19">
        <f>VLOOKUP(B48,Education!B$2:G$48,6,FALSE)</f>
        <v>0</v>
      </c>
      <c r="U48" s="28">
        <v>0.21927509632720782</v>
      </c>
      <c r="V48" s="29">
        <f t="shared" si="3"/>
        <v>312.46701226627113</v>
      </c>
      <c r="W48" s="30">
        <f t="shared" si="4"/>
        <v>1632.5766738446057</v>
      </c>
      <c r="X48" s="30">
        <f t="shared" si="5"/>
        <v>1844.4053711330605</v>
      </c>
      <c r="Y48" s="30">
        <f t="shared" si="6"/>
        <v>2055.3390175879022</v>
      </c>
      <c r="Z48" s="30">
        <f t="shared" si="7"/>
        <v>2265.3813951140614</v>
      </c>
      <c r="AA48" s="30">
        <f t="shared" si="8"/>
        <v>2474.5362696365892</v>
      </c>
      <c r="AB48" s="30">
        <f t="shared" si="9"/>
        <v>2682.8073911681768</v>
      </c>
      <c r="AC48" s="30">
        <f t="shared" si="10"/>
        <v>2890.1984938763912</v>
      </c>
      <c r="AD48" s="30">
        <f t="shared" si="11"/>
        <v>3096.7132961506277</v>
      </c>
    </row>
    <row r="49" spans="1:30" x14ac:dyDescent="0.35">
      <c r="A49" s="14" t="s">
        <v>109</v>
      </c>
      <c r="B49" s="14" t="s">
        <v>21</v>
      </c>
      <c r="C49" s="14" t="s">
        <v>37</v>
      </c>
      <c r="D49" s="19">
        <v>394</v>
      </c>
      <c r="E49" s="19">
        <v>1397</v>
      </c>
      <c r="F49" s="19">
        <v>1902</v>
      </c>
      <c r="G49" s="35">
        <v>0.35369091874668085</v>
      </c>
      <c r="H49" s="35">
        <v>0.5050451407328731</v>
      </c>
      <c r="I49" s="35">
        <v>6.0541688794476897E-2</v>
      </c>
      <c r="J49" s="35">
        <v>8.0722251725969196E-2</v>
      </c>
      <c r="K49" s="35">
        <v>0</v>
      </c>
      <c r="L49" s="35">
        <v>0</v>
      </c>
      <c r="M49" s="19">
        <f t="shared" si="14"/>
        <v>672.72012745618702</v>
      </c>
      <c r="N49" s="19">
        <f t="shared" si="47"/>
        <v>960.59585767392468</v>
      </c>
      <c r="O49" s="19">
        <f t="shared" si="48"/>
        <v>115.15029208709505</v>
      </c>
      <c r="P49" s="19">
        <f t="shared" si="49"/>
        <v>153.5337227827934</v>
      </c>
      <c r="Q49" s="19">
        <f t="shared" si="50"/>
        <v>0</v>
      </c>
      <c r="R49" s="19">
        <f t="shared" si="51"/>
        <v>0</v>
      </c>
      <c r="S49" s="19" t="b">
        <f t="shared" si="2"/>
        <v>0</v>
      </c>
      <c r="T49" s="19">
        <f>VLOOKUP(B49,Education!B$2:G$48,6,FALSE)</f>
        <v>155</v>
      </c>
      <c r="U49" s="28">
        <f t="shared" si="33"/>
        <v>8.1493165089379607E-2</v>
      </c>
      <c r="V49" s="29">
        <f t="shared" si="3"/>
        <v>155</v>
      </c>
      <c r="W49" s="30">
        <f t="shared" si="4"/>
        <v>2010.5</v>
      </c>
      <c r="X49" s="30">
        <f t="shared" si="5"/>
        <v>2119</v>
      </c>
      <c r="Y49" s="30">
        <f t="shared" si="6"/>
        <v>2227.5</v>
      </c>
      <c r="Z49" s="30">
        <f t="shared" si="7"/>
        <v>2336</v>
      </c>
      <c r="AA49" s="30">
        <f t="shared" si="8"/>
        <v>2444.5</v>
      </c>
      <c r="AB49" s="30">
        <f t="shared" si="9"/>
        <v>2553</v>
      </c>
      <c r="AC49" s="30">
        <f t="shared" si="10"/>
        <v>2661.5</v>
      </c>
      <c r="AD49" s="30">
        <f t="shared" si="11"/>
        <v>2770</v>
      </c>
    </row>
    <row r="50" spans="1:30" s="26" customFormat="1" x14ac:dyDescent="0.35">
      <c r="A50" s="16" t="s">
        <v>31</v>
      </c>
      <c r="B50" s="17" t="s">
        <v>31</v>
      </c>
      <c r="C50" s="17" t="s">
        <v>31</v>
      </c>
      <c r="D50" s="20">
        <f t="shared" ref="D50:E50" si="52">SUM(D3:D49)</f>
        <v>43321</v>
      </c>
      <c r="E50" s="20">
        <f t="shared" si="52"/>
        <v>91152</v>
      </c>
      <c r="F50" s="20">
        <f>SUM(F3:F49)</f>
        <v>101401.21294552147</v>
      </c>
      <c r="G50" s="36">
        <v>9.3811881188118812E-2</v>
      </c>
      <c r="H50" s="36">
        <v>0.39455445544554457</v>
      </c>
      <c r="I50" s="36">
        <v>0.31943069306930694</v>
      </c>
      <c r="J50" s="36">
        <v>0.15074257425742574</v>
      </c>
      <c r="K50" s="36">
        <v>3.8118811881188118E-2</v>
      </c>
      <c r="L50" s="36">
        <v>3.3415841584158415E-3</v>
      </c>
      <c r="M50" s="32">
        <f t="shared" si="14"/>
        <v>9512.6385411763949</v>
      </c>
      <c r="N50" s="32">
        <f t="shared" si="47"/>
        <v>40008.30035523793</v>
      </c>
      <c r="O50" s="32">
        <f t="shared" si="48"/>
        <v>32390.659729256302</v>
      </c>
      <c r="P50" s="32">
        <f t="shared" si="49"/>
        <v>15285.479872233311</v>
      </c>
      <c r="Q50" s="32">
        <f t="shared" si="50"/>
        <v>3865.2937607946305</v>
      </c>
      <c r="R50" s="32">
        <f t="shared" si="51"/>
        <v>338.84068682290592</v>
      </c>
      <c r="S50" s="32" t="b">
        <f t="shared" ref="S50" si="53">F50&lt;E50*0.5</f>
        <v>0</v>
      </c>
      <c r="T50" s="32"/>
      <c r="U50" s="31"/>
      <c r="V50" s="33">
        <f t="shared" ref="V50:W50" si="54">SUM(V3:V49)</f>
        <v>16734.507111062492</v>
      </c>
      <c r="W50" s="34">
        <f t="shared" si="54"/>
        <v>114281.43465406765</v>
      </c>
      <c r="X50" s="34">
        <f>SUM(X3:X49)</f>
        <v>124789.78434753713</v>
      </c>
      <c r="Y50" s="34">
        <f t="shared" ref="Y50:AD50" si="55">SUM(Y3:Y49)</f>
        <v>135181.01890846976</v>
      </c>
      <c r="Z50" s="34">
        <f t="shared" si="55"/>
        <v>145457.11889974531</v>
      </c>
      <c r="AA50" s="34">
        <f t="shared" si="55"/>
        <v>155620.02533269304</v>
      </c>
      <c r="AB50" s="34">
        <f t="shared" si="55"/>
        <v>165671.64051042133</v>
      </c>
      <c r="AC50" s="34">
        <f t="shared" si="55"/>
        <v>175613.8288526902</v>
      </c>
      <c r="AD50" s="34">
        <f t="shared" si="55"/>
        <v>185448.41770273456</v>
      </c>
    </row>
    <row r="51" spans="1:30" ht="28.5" x14ac:dyDescent="0.35">
      <c r="W51" s="37" t="s">
        <v>135</v>
      </c>
      <c r="X51" s="37" t="s">
        <v>136</v>
      </c>
      <c r="Y51" s="37" t="s">
        <v>137</v>
      </c>
      <c r="Z51" s="37" t="s">
        <v>138</v>
      </c>
      <c r="AA51" s="37" t="s">
        <v>139</v>
      </c>
      <c r="AB51" s="37" t="s">
        <v>140</v>
      </c>
      <c r="AC51" s="37" t="s">
        <v>141</v>
      </c>
      <c r="AD51" s="37" t="s">
        <v>142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8C1E-0AD7-4F39-AC80-F8A7546E08C8}">
  <dimension ref="A1:O48"/>
  <sheetViews>
    <sheetView topLeftCell="A30" workbookViewId="0">
      <selection activeCell="I43" sqref="I43"/>
    </sheetView>
  </sheetViews>
  <sheetFormatPr defaultRowHeight="14.5" x14ac:dyDescent="0.35"/>
  <cols>
    <col min="6" max="6" width="22.81640625" bestFit="1" customWidth="1"/>
    <col min="7" max="7" width="10.81640625" bestFit="1" customWidth="1"/>
  </cols>
  <sheetData>
    <row r="1" spans="1:15" x14ac:dyDescent="0.35">
      <c r="A1" t="s">
        <v>33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127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32</v>
      </c>
      <c r="O1" t="s">
        <v>154</v>
      </c>
    </row>
    <row r="2" spans="1:15" x14ac:dyDescent="0.35">
      <c r="A2" t="s">
        <v>36</v>
      </c>
      <c r="B2" t="s">
        <v>24</v>
      </c>
      <c r="C2">
        <v>0</v>
      </c>
      <c r="N2">
        <v>0</v>
      </c>
      <c r="O2" t="s">
        <v>155</v>
      </c>
    </row>
    <row r="3" spans="1:15" x14ac:dyDescent="0.35">
      <c r="A3" t="s">
        <v>38</v>
      </c>
      <c r="B3" t="s">
        <v>39</v>
      </c>
      <c r="C3">
        <v>611</v>
      </c>
      <c r="E3">
        <v>145</v>
      </c>
      <c r="G3">
        <v>529</v>
      </c>
      <c r="J3">
        <v>2950</v>
      </c>
      <c r="N3">
        <v>4235</v>
      </c>
      <c r="O3" t="s">
        <v>156</v>
      </c>
    </row>
    <row r="4" spans="1:15" x14ac:dyDescent="0.35">
      <c r="A4" t="s">
        <v>40</v>
      </c>
      <c r="B4" t="s">
        <v>23</v>
      </c>
      <c r="C4">
        <v>780</v>
      </c>
      <c r="D4">
        <v>385</v>
      </c>
      <c r="G4">
        <v>143</v>
      </c>
      <c r="I4">
        <v>247</v>
      </c>
      <c r="J4">
        <v>257</v>
      </c>
      <c r="K4">
        <v>1113</v>
      </c>
      <c r="M4">
        <v>1194</v>
      </c>
      <c r="N4">
        <v>4119</v>
      </c>
      <c r="O4" t="s">
        <v>157</v>
      </c>
    </row>
    <row r="5" spans="1:15" x14ac:dyDescent="0.35">
      <c r="A5" t="s">
        <v>41</v>
      </c>
      <c r="B5" t="s">
        <v>2</v>
      </c>
      <c r="C5">
        <v>60</v>
      </c>
      <c r="D5">
        <v>48</v>
      </c>
      <c r="E5">
        <v>7</v>
      </c>
      <c r="F5">
        <v>10</v>
      </c>
      <c r="G5">
        <v>95</v>
      </c>
      <c r="H5">
        <v>60</v>
      </c>
      <c r="I5">
        <v>40</v>
      </c>
      <c r="J5">
        <v>490</v>
      </c>
      <c r="K5">
        <v>189</v>
      </c>
      <c r="L5">
        <v>30</v>
      </c>
      <c r="M5">
        <v>597</v>
      </c>
      <c r="N5">
        <v>1626</v>
      </c>
      <c r="O5" t="s">
        <v>158</v>
      </c>
    </row>
    <row r="6" spans="1:15" x14ac:dyDescent="0.35">
      <c r="A6" t="s">
        <v>43</v>
      </c>
      <c r="B6" t="s">
        <v>1</v>
      </c>
      <c r="C6">
        <v>1492</v>
      </c>
      <c r="D6">
        <v>385</v>
      </c>
      <c r="E6">
        <v>62</v>
      </c>
      <c r="G6">
        <v>594</v>
      </c>
      <c r="I6">
        <v>1170</v>
      </c>
      <c r="J6">
        <v>1170</v>
      </c>
      <c r="N6">
        <v>4873</v>
      </c>
      <c r="O6" t="s">
        <v>155</v>
      </c>
    </row>
    <row r="7" spans="1:15" x14ac:dyDescent="0.35">
      <c r="A7" t="s">
        <v>45</v>
      </c>
      <c r="B7" t="s">
        <v>46</v>
      </c>
      <c r="C7">
        <v>325</v>
      </c>
      <c r="D7">
        <v>240</v>
      </c>
      <c r="G7">
        <v>39</v>
      </c>
      <c r="I7">
        <v>196</v>
      </c>
      <c r="J7">
        <v>1467</v>
      </c>
      <c r="K7">
        <v>322</v>
      </c>
      <c r="M7">
        <v>194</v>
      </c>
      <c r="N7">
        <v>2783</v>
      </c>
      <c r="O7" t="s">
        <v>159</v>
      </c>
    </row>
    <row r="8" spans="1:15" x14ac:dyDescent="0.35">
      <c r="A8" t="s">
        <v>47</v>
      </c>
      <c r="B8" t="s">
        <v>4</v>
      </c>
      <c r="C8">
        <v>800</v>
      </c>
      <c r="J8">
        <v>2660</v>
      </c>
      <c r="K8">
        <v>800</v>
      </c>
      <c r="N8">
        <v>4260</v>
      </c>
      <c r="O8" t="s">
        <v>155</v>
      </c>
    </row>
    <row r="9" spans="1:15" x14ac:dyDescent="0.35">
      <c r="A9" t="s">
        <v>160</v>
      </c>
      <c r="B9" t="s">
        <v>6</v>
      </c>
      <c r="F9">
        <v>7</v>
      </c>
      <c r="M9">
        <v>83</v>
      </c>
      <c r="N9">
        <v>90</v>
      </c>
      <c r="O9" t="s">
        <v>155</v>
      </c>
    </row>
    <row r="10" spans="1:15" x14ac:dyDescent="0.35">
      <c r="A10" t="s">
        <v>49</v>
      </c>
      <c r="B10" t="s">
        <v>50</v>
      </c>
      <c r="C10">
        <v>18</v>
      </c>
      <c r="N10">
        <v>18</v>
      </c>
      <c r="O10" t="s">
        <v>155</v>
      </c>
    </row>
    <row r="11" spans="1:15" x14ac:dyDescent="0.35">
      <c r="A11" t="s">
        <v>51</v>
      </c>
      <c r="B11" t="s">
        <v>18</v>
      </c>
      <c r="C11">
        <v>330</v>
      </c>
      <c r="D11">
        <v>30</v>
      </c>
      <c r="G11">
        <v>80</v>
      </c>
      <c r="H11">
        <v>180</v>
      </c>
      <c r="I11">
        <v>2084</v>
      </c>
      <c r="J11">
        <v>2920</v>
      </c>
      <c r="K11">
        <v>220</v>
      </c>
      <c r="N11">
        <v>5844</v>
      </c>
      <c r="O11" t="s">
        <v>155</v>
      </c>
    </row>
    <row r="12" spans="1:15" x14ac:dyDescent="0.35">
      <c r="A12" t="s">
        <v>52</v>
      </c>
      <c r="B12" t="s">
        <v>53</v>
      </c>
      <c r="I12">
        <v>29</v>
      </c>
      <c r="J12">
        <v>40</v>
      </c>
      <c r="N12">
        <v>69</v>
      </c>
      <c r="O12" t="s">
        <v>161</v>
      </c>
    </row>
    <row r="13" spans="1:15" x14ac:dyDescent="0.35">
      <c r="A13" t="s">
        <v>54</v>
      </c>
      <c r="B13" t="s">
        <v>5</v>
      </c>
      <c r="C13">
        <v>60</v>
      </c>
      <c r="D13">
        <v>315</v>
      </c>
      <c r="F13">
        <v>10</v>
      </c>
      <c r="H13">
        <v>5</v>
      </c>
      <c r="I13">
        <v>120</v>
      </c>
      <c r="J13">
        <v>60</v>
      </c>
      <c r="L13">
        <v>50</v>
      </c>
      <c r="M13">
        <v>408</v>
      </c>
      <c r="N13">
        <v>1028</v>
      </c>
      <c r="O13" t="s">
        <v>158</v>
      </c>
    </row>
    <row r="14" spans="1:15" x14ac:dyDescent="0.35">
      <c r="A14" t="s">
        <v>55</v>
      </c>
      <c r="B14" t="s">
        <v>3</v>
      </c>
      <c r="C14">
        <v>254</v>
      </c>
      <c r="D14">
        <v>48</v>
      </c>
      <c r="H14">
        <v>151</v>
      </c>
      <c r="J14">
        <v>1007</v>
      </c>
      <c r="K14">
        <v>1106</v>
      </c>
      <c r="M14">
        <v>450</v>
      </c>
      <c r="N14">
        <v>3016</v>
      </c>
      <c r="O14" t="s">
        <v>155</v>
      </c>
    </row>
    <row r="15" spans="1:15" x14ac:dyDescent="0.35">
      <c r="A15" t="s">
        <v>162</v>
      </c>
      <c r="B15" t="s">
        <v>57</v>
      </c>
      <c r="C15">
        <v>6020</v>
      </c>
      <c r="E15">
        <v>66</v>
      </c>
      <c r="G15">
        <v>178</v>
      </c>
      <c r="H15">
        <v>328</v>
      </c>
      <c r="I15">
        <v>3453</v>
      </c>
      <c r="J15">
        <v>24061</v>
      </c>
      <c r="K15">
        <v>2571</v>
      </c>
      <c r="M15">
        <v>3151</v>
      </c>
      <c r="N15">
        <v>39828</v>
      </c>
      <c r="O15" t="s">
        <v>155</v>
      </c>
    </row>
    <row r="16" spans="1:15" x14ac:dyDescent="0.35">
      <c r="A16" t="s">
        <v>58</v>
      </c>
      <c r="B16" t="s">
        <v>59</v>
      </c>
      <c r="C16">
        <v>767</v>
      </c>
      <c r="I16">
        <v>492</v>
      </c>
      <c r="J16">
        <v>962</v>
      </c>
      <c r="K16">
        <v>27</v>
      </c>
      <c r="M16">
        <v>1304</v>
      </c>
      <c r="N16">
        <v>3552</v>
      </c>
      <c r="O16" t="s">
        <v>155</v>
      </c>
    </row>
    <row r="17" spans="1:15" x14ac:dyDescent="0.35">
      <c r="A17" t="s">
        <v>60</v>
      </c>
      <c r="B17" t="s">
        <v>7</v>
      </c>
      <c r="J17">
        <v>400</v>
      </c>
      <c r="M17">
        <v>1023</v>
      </c>
      <c r="N17">
        <v>1423</v>
      </c>
      <c r="O17" t="s">
        <v>163</v>
      </c>
    </row>
    <row r="18" spans="1:15" x14ac:dyDescent="0.35">
      <c r="A18" t="s">
        <v>61</v>
      </c>
      <c r="B18" t="s">
        <v>16</v>
      </c>
      <c r="G18">
        <v>44</v>
      </c>
      <c r="H18">
        <v>30</v>
      </c>
      <c r="I18">
        <v>80</v>
      </c>
      <c r="J18">
        <v>160</v>
      </c>
      <c r="K18">
        <v>78</v>
      </c>
      <c r="M18">
        <v>58</v>
      </c>
      <c r="N18">
        <v>450</v>
      </c>
      <c r="O18" t="s">
        <v>155</v>
      </c>
    </row>
    <row r="19" spans="1:15" x14ac:dyDescent="0.35">
      <c r="A19" t="s">
        <v>62</v>
      </c>
      <c r="B19" t="s">
        <v>63</v>
      </c>
      <c r="C19">
        <v>3114</v>
      </c>
      <c r="D19">
        <v>880</v>
      </c>
      <c r="E19">
        <v>189</v>
      </c>
      <c r="F19">
        <v>64</v>
      </c>
      <c r="G19">
        <v>699</v>
      </c>
      <c r="H19">
        <v>2878</v>
      </c>
      <c r="I19">
        <v>2440</v>
      </c>
      <c r="J19">
        <v>6298</v>
      </c>
      <c r="K19">
        <v>1220</v>
      </c>
      <c r="L19">
        <v>1613</v>
      </c>
      <c r="M19">
        <v>3672</v>
      </c>
      <c r="N19">
        <v>23067</v>
      </c>
      <c r="O19" t="s">
        <v>164</v>
      </c>
    </row>
    <row r="20" spans="1:15" x14ac:dyDescent="0.35">
      <c r="A20" t="s">
        <v>64</v>
      </c>
      <c r="B20" t="s">
        <v>8</v>
      </c>
      <c r="C20">
        <v>46</v>
      </c>
      <c r="D20">
        <v>16</v>
      </c>
      <c r="G20">
        <v>2</v>
      </c>
      <c r="I20">
        <v>34</v>
      </c>
      <c r="J20">
        <v>95</v>
      </c>
      <c r="K20">
        <v>6</v>
      </c>
      <c r="N20">
        <v>199</v>
      </c>
      <c r="O20" t="s">
        <v>155</v>
      </c>
    </row>
    <row r="21" spans="1:15" x14ac:dyDescent="0.35">
      <c r="A21" t="s">
        <v>65</v>
      </c>
      <c r="B21" t="s">
        <v>66</v>
      </c>
      <c r="C21">
        <v>23</v>
      </c>
      <c r="J21">
        <v>137</v>
      </c>
      <c r="K21">
        <v>6</v>
      </c>
      <c r="N21">
        <v>166</v>
      </c>
      <c r="O21" t="s">
        <v>155</v>
      </c>
    </row>
    <row r="22" spans="1:15" x14ac:dyDescent="0.35">
      <c r="A22" t="s">
        <v>67</v>
      </c>
      <c r="B22" t="s">
        <v>9</v>
      </c>
      <c r="C22">
        <v>1566</v>
      </c>
      <c r="G22">
        <v>343</v>
      </c>
      <c r="I22">
        <v>4827</v>
      </c>
      <c r="J22">
        <v>21271</v>
      </c>
      <c r="K22">
        <v>396</v>
      </c>
      <c r="N22">
        <v>28403</v>
      </c>
      <c r="O22" t="s">
        <v>165</v>
      </c>
    </row>
    <row r="23" spans="1:15" x14ac:dyDescent="0.35">
      <c r="A23" t="s">
        <v>68</v>
      </c>
      <c r="B23" t="s">
        <v>69</v>
      </c>
      <c r="C23">
        <v>767</v>
      </c>
      <c r="D23">
        <v>74</v>
      </c>
      <c r="G23">
        <v>113</v>
      </c>
      <c r="H23">
        <v>34</v>
      </c>
      <c r="I23">
        <v>492</v>
      </c>
      <c r="J23">
        <v>964</v>
      </c>
      <c r="K23">
        <v>27</v>
      </c>
      <c r="M23">
        <v>1304</v>
      </c>
      <c r="N23">
        <v>3775</v>
      </c>
      <c r="O23" t="s">
        <v>155</v>
      </c>
    </row>
    <row r="24" spans="1:15" x14ac:dyDescent="0.35">
      <c r="A24" t="s">
        <v>70</v>
      </c>
      <c r="B24" t="s">
        <v>10</v>
      </c>
      <c r="K24">
        <v>23</v>
      </c>
      <c r="M24">
        <v>489</v>
      </c>
      <c r="N24">
        <v>512</v>
      </c>
      <c r="O24" t="s">
        <v>155</v>
      </c>
    </row>
    <row r="25" spans="1:15" x14ac:dyDescent="0.35">
      <c r="A25" t="s">
        <v>71</v>
      </c>
      <c r="B25" t="s">
        <v>11</v>
      </c>
      <c r="C25">
        <v>558</v>
      </c>
      <c r="E25">
        <v>36</v>
      </c>
      <c r="G25">
        <v>379</v>
      </c>
      <c r="H25">
        <v>20</v>
      </c>
      <c r="J25">
        <v>1070</v>
      </c>
      <c r="K25">
        <v>519</v>
      </c>
      <c r="M25">
        <v>366</v>
      </c>
      <c r="N25">
        <v>2948</v>
      </c>
      <c r="O25" t="s">
        <v>166</v>
      </c>
    </row>
    <row r="26" spans="1:15" x14ac:dyDescent="0.35">
      <c r="A26" t="s">
        <v>72</v>
      </c>
      <c r="B26" t="s">
        <v>73</v>
      </c>
      <c r="C26">
        <v>8</v>
      </c>
      <c r="D26">
        <v>22</v>
      </c>
      <c r="E26">
        <v>8</v>
      </c>
      <c r="G26">
        <v>33</v>
      </c>
      <c r="H26">
        <v>20</v>
      </c>
      <c r="I26">
        <v>69</v>
      </c>
      <c r="J26">
        <v>376</v>
      </c>
      <c r="K26">
        <v>20</v>
      </c>
      <c r="N26">
        <v>556</v>
      </c>
      <c r="O26" t="s">
        <v>155</v>
      </c>
    </row>
    <row r="27" spans="1:15" x14ac:dyDescent="0.35">
      <c r="A27" t="s">
        <v>74</v>
      </c>
      <c r="B27" t="s">
        <v>75</v>
      </c>
      <c r="C27">
        <v>29</v>
      </c>
      <c r="D27">
        <v>50</v>
      </c>
      <c r="G27">
        <v>22</v>
      </c>
      <c r="J27">
        <v>63</v>
      </c>
      <c r="K27">
        <v>56</v>
      </c>
      <c r="M27">
        <v>50</v>
      </c>
      <c r="N27">
        <v>270</v>
      </c>
      <c r="O27" t="s">
        <v>155</v>
      </c>
    </row>
    <row r="28" spans="1:15" x14ac:dyDescent="0.35">
      <c r="A28" t="s">
        <v>76</v>
      </c>
      <c r="B28" t="s">
        <v>77</v>
      </c>
      <c r="C28">
        <v>316</v>
      </c>
      <c r="D28">
        <v>156</v>
      </c>
      <c r="I28">
        <v>2473</v>
      </c>
      <c r="J28">
        <v>2540</v>
      </c>
      <c r="K28">
        <v>116</v>
      </c>
      <c r="M28">
        <v>297</v>
      </c>
      <c r="N28">
        <v>5898</v>
      </c>
      <c r="O28" t="s">
        <v>155</v>
      </c>
    </row>
    <row r="29" spans="1:15" x14ac:dyDescent="0.35">
      <c r="A29" t="s">
        <v>78</v>
      </c>
      <c r="B29" t="s">
        <v>13</v>
      </c>
      <c r="C29">
        <v>115</v>
      </c>
      <c r="D29">
        <v>167</v>
      </c>
      <c r="G29">
        <v>110</v>
      </c>
      <c r="H29">
        <v>189</v>
      </c>
      <c r="I29">
        <v>1171</v>
      </c>
      <c r="J29">
        <v>386</v>
      </c>
      <c r="K29">
        <v>175</v>
      </c>
      <c r="M29">
        <v>616</v>
      </c>
      <c r="N29">
        <v>2929</v>
      </c>
      <c r="O29" t="s">
        <v>155</v>
      </c>
    </row>
    <row r="30" spans="1:15" x14ac:dyDescent="0.35">
      <c r="A30" t="s">
        <v>79</v>
      </c>
      <c r="B30" t="s">
        <v>80</v>
      </c>
      <c r="N30">
        <v>0</v>
      </c>
      <c r="O30" t="s">
        <v>155</v>
      </c>
    </row>
    <row r="31" spans="1:15" x14ac:dyDescent="0.35">
      <c r="A31" t="s">
        <v>81</v>
      </c>
      <c r="B31" t="s">
        <v>82</v>
      </c>
      <c r="D31">
        <v>76</v>
      </c>
      <c r="J31">
        <v>113</v>
      </c>
      <c r="M31">
        <v>366</v>
      </c>
      <c r="N31">
        <v>555</v>
      </c>
      <c r="O31" t="s">
        <v>155</v>
      </c>
    </row>
    <row r="32" spans="1:15" x14ac:dyDescent="0.35">
      <c r="A32" t="s">
        <v>83</v>
      </c>
      <c r="B32" t="s">
        <v>84</v>
      </c>
      <c r="C32">
        <v>432</v>
      </c>
      <c r="I32">
        <v>40</v>
      </c>
      <c r="J32">
        <v>175</v>
      </c>
      <c r="M32">
        <v>39</v>
      </c>
      <c r="N32">
        <v>686</v>
      </c>
      <c r="O32" t="s">
        <v>167</v>
      </c>
    </row>
    <row r="33" spans="1:15" x14ac:dyDescent="0.35">
      <c r="A33" t="s">
        <v>85</v>
      </c>
      <c r="B33" t="s">
        <v>12</v>
      </c>
      <c r="C33">
        <v>819</v>
      </c>
      <c r="D33">
        <v>146</v>
      </c>
      <c r="E33">
        <v>161</v>
      </c>
      <c r="H33">
        <v>112</v>
      </c>
      <c r="I33">
        <v>140</v>
      </c>
      <c r="J33">
        <v>580</v>
      </c>
      <c r="K33">
        <v>248</v>
      </c>
      <c r="L33">
        <v>20</v>
      </c>
      <c r="N33">
        <v>2226</v>
      </c>
      <c r="O33" t="s">
        <v>168</v>
      </c>
    </row>
    <row r="34" spans="1:15" x14ac:dyDescent="0.35">
      <c r="A34" t="s">
        <v>86</v>
      </c>
      <c r="B34" t="s">
        <v>87</v>
      </c>
      <c r="C34">
        <v>475</v>
      </c>
      <c r="D34">
        <v>3</v>
      </c>
      <c r="G34">
        <v>247</v>
      </c>
      <c r="H34">
        <v>31</v>
      </c>
      <c r="I34">
        <v>1414</v>
      </c>
      <c r="J34">
        <v>200</v>
      </c>
      <c r="K34">
        <v>121</v>
      </c>
      <c r="M34">
        <v>175</v>
      </c>
      <c r="N34">
        <v>2666</v>
      </c>
      <c r="O34" t="s">
        <v>169</v>
      </c>
    </row>
    <row r="35" spans="1:15" x14ac:dyDescent="0.35">
      <c r="A35" t="s">
        <v>88</v>
      </c>
      <c r="B35" t="s">
        <v>89</v>
      </c>
      <c r="C35">
        <v>370</v>
      </c>
      <c r="D35">
        <v>14</v>
      </c>
      <c r="I35">
        <v>124</v>
      </c>
      <c r="J35">
        <v>305</v>
      </c>
      <c r="K35">
        <v>45</v>
      </c>
      <c r="M35">
        <v>1891</v>
      </c>
      <c r="N35">
        <v>2749</v>
      </c>
      <c r="O35" t="s">
        <v>170</v>
      </c>
    </row>
    <row r="36" spans="1:15" x14ac:dyDescent="0.35">
      <c r="A36" t="s">
        <v>90</v>
      </c>
      <c r="B36" t="s">
        <v>14</v>
      </c>
      <c r="C36">
        <v>4340</v>
      </c>
      <c r="E36">
        <v>459</v>
      </c>
      <c r="I36">
        <v>375</v>
      </c>
      <c r="J36">
        <v>12835</v>
      </c>
      <c r="K36">
        <v>1774</v>
      </c>
      <c r="N36">
        <v>19783</v>
      </c>
      <c r="O36" t="s">
        <v>155</v>
      </c>
    </row>
    <row r="37" spans="1:15" x14ac:dyDescent="0.35">
      <c r="A37" t="s">
        <v>91</v>
      </c>
      <c r="B37" t="s">
        <v>92</v>
      </c>
      <c r="C37">
        <v>11</v>
      </c>
      <c r="G37">
        <v>95</v>
      </c>
      <c r="I37">
        <v>176</v>
      </c>
      <c r="J37">
        <v>355</v>
      </c>
      <c r="M37">
        <v>81</v>
      </c>
      <c r="N37">
        <v>718</v>
      </c>
      <c r="O37" t="s">
        <v>155</v>
      </c>
    </row>
    <row r="38" spans="1:15" x14ac:dyDescent="0.35">
      <c r="A38" t="s">
        <v>93</v>
      </c>
      <c r="B38" t="s">
        <v>94</v>
      </c>
      <c r="N38">
        <v>0</v>
      </c>
      <c r="O38" t="s">
        <v>155</v>
      </c>
    </row>
    <row r="39" spans="1:15" x14ac:dyDescent="0.35">
      <c r="A39" t="s">
        <v>95</v>
      </c>
      <c r="B39" t="s">
        <v>15</v>
      </c>
      <c r="C39">
        <v>434</v>
      </c>
      <c r="D39">
        <v>137</v>
      </c>
      <c r="E39">
        <v>67</v>
      </c>
      <c r="G39">
        <v>171</v>
      </c>
      <c r="I39">
        <v>104</v>
      </c>
      <c r="J39">
        <v>582</v>
      </c>
      <c r="K39">
        <v>36</v>
      </c>
      <c r="M39">
        <v>710</v>
      </c>
      <c r="N39">
        <v>2241</v>
      </c>
      <c r="O39" t="s">
        <v>155</v>
      </c>
    </row>
    <row r="40" spans="1:15" x14ac:dyDescent="0.35">
      <c r="A40" t="s">
        <v>96</v>
      </c>
      <c r="B40" t="s">
        <v>17</v>
      </c>
      <c r="C40">
        <v>10</v>
      </c>
      <c r="H40">
        <v>20</v>
      </c>
      <c r="I40">
        <v>10</v>
      </c>
      <c r="J40">
        <v>40</v>
      </c>
      <c r="M40">
        <v>80</v>
      </c>
      <c r="N40">
        <v>160</v>
      </c>
      <c r="O40" t="s">
        <v>155</v>
      </c>
    </row>
    <row r="41" spans="1:15" x14ac:dyDescent="0.35">
      <c r="A41" t="s">
        <v>97</v>
      </c>
      <c r="B41" t="s">
        <v>98</v>
      </c>
      <c r="C41">
        <v>217</v>
      </c>
      <c r="G41">
        <v>69</v>
      </c>
      <c r="H41">
        <v>51</v>
      </c>
      <c r="I41">
        <v>120</v>
      </c>
      <c r="J41">
        <v>1755</v>
      </c>
      <c r="K41">
        <v>90</v>
      </c>
      <c r="M41">
        <v>186</v>
      </c>
      <c r="N41">
        <v>2488</v>
      </c>
      <c r="O41" t="s">
        <v>155</v>
      </c>
    </row>
    <row r="42" spans="1:15" x14ac:dyDescent="0.35">
      <c r="A42" t="s">
        <v>99</v>
      </c>
      <c r="B42" t="s">
        <v>100</v>
      </c>
      <c r="C42">
        <v>998</v>
      </c>
      <c r="E42">
        <v>805</v>
      </c>
      <c r="G42">
        <v>1291</v>
      </c>
      <c r="J42">
        <v>3154</v>
      </c>
      <c r="K42">
        <v>451</v>
      </c>
      <c r="M42">
        <v>13559</v>
      </c>
      <c r="N42">
        <v>20258</v>
      </c>
      <c r="O42" t="s">
        <v>171</v>
      </c>
    </row>
    <row r="43" spans="1:15" x14ac:dyDescent="0.35">
      <c r="A43" t="s">
        <v>101</v>
      </c>
      <c r="B43" t="s">
        <v>102</v>
      </c>
      <c r="I43">
        <v>307</v>
      </c>
      <c r="J43">
        <v>241</v>
      </c>
      <c r="K43">
        <v>681</v>
      </c>
      <c r="M43">
        <v>484</v>
      </c>
      <c r="N43">
        <v>1713</v>
      </c>
      <c r="O43" t="s">
        <v>155</v>
      </c>
    </row>
    <row r="44" spans="1:15" x14ac:dyDescent="0.35">
      <c r="A44" t="s">
        <v>103</v>
      </c>
      <c r="B44" t="s">
        <v>104</v>
      </c>
      <c r="C44">
        <v>330</v>
      </c>
      <c r="D44">
        <v>1597</v>
      </c>
      <c r="E44">
        <v>80</v>
      </c>
      <c r="H44">
        <v>629</v>
      </c>
      <c r="I44">
        <v>2084</v>
      </c>
      <c r="J44">
        <v>2920</v>
      </c>
      <c r="K44">
        <v>17</v>
      </c>
      <c r="M44">
        <v>5457</v>
      </c>
      <c r="N44">
        <v>13114</v>
      </c>
      <c r="O44" t="s">
        <v>172</v>
      </c>
    </row>
    <row r="45" spans="1:15" x14ac:dyDescent="0.35">
      <c r="A45" t="s">
        <v>105</v>
      </c>
      <c r="B45" t="s">
        <v>19</v>
      </c>
      <c r="C45">
        <v>77</v>
      </c>
      <c r="D45">
        <v>37</v>
      </c>
      <c r="G45">
        <v>60</v>
      </c>
      <c r="I45">
        <v>130</v>
      </c>
      <c r="J45">
        <v>240</v>
      </c>
      <c r="K45">
        <v>215</v>
      </c>
      <c r="M45">
        <v>250</v>
      </c>
      <c r="N45">
        <v>1009</v>
      </c>
      <c r="O45" t="s">
        <v>173</v>
      </c>
    </row>
    <row r="46" spans="1:15" x14ac:dyDescent="0.35">
      <c r="A46" t="s">
        <v>106</v>
      </c>
      <c r="B46" t="s">
        <v>107</v>
      </c>
      <c r="C46">
        <v>1997</v>
      </c>
      <c r="D46">
        <v>246</v>
      </c>
      <c r="E46">
        <v>41</v>
      </c>
      <c r="F46">
        <v>220</v>
      </c>
      <c r="G46">
        <v>120</v>
      </c>
      <c r="H46">
        <v>1860</v>
      </c>
      <c r="I46">
        <v>8990</v>
      </c>
      <c r="J46">
        <v>14001</v>
      </c>
      <c r="K46">
        <v>3610</v>
      </c>
      <c r="M46">
        <v>1020</v>
      </c>
      <c r="N46">
        <v>32105</v>
      </c>
      <c r="O46" t="s">
        <v>155</v>
      </c>
    </row>
    <row r="47" spans="1:15" x14ac:dyDescent="0.35">
      <c r="A47" t="s">
        <v>108</v>
      </c>
      <c r="B47" t="s">
        <v>20</v>
      </c>
      <c r="C47">
        <v>115</v>
      </c>
      <c r="F47">
        <v>36</v>
      </c>
      <c r="H47">
        <v>180</v>
      </c>
      <c r="I47">
        <v>1939</v>
      </c>
      <c r="J47">
        <v>5272</v>
      </c>
      <c r="K47">
        <v>282</v>
      </c>
      <c r="L47">
        <v>100</v>
      </c>
      <c r="M47">
        <v>400</v>
      </c>
      <c r="N47">
        <v>8309</v>
      </c>
      <c r="O47" t="s">
        <v>174</v>
      </c>
    </row>
    <row r="48" spans="1:15" x14ac:dyDescent="0.35">
      <c r="A48" t="s">
        <v>109</v>
      </c>
      <c r="B48" t="s">
        <v>21</v>
      </c>
      <c r="C48">
        <v>265</v>
      </c>
      <c r="D48">
        <v>30</v>
      </c>
      <c r="E48">
        <v>80</v>
      </c>
      <c r="F48">
        <v>30</v>
      </c>
      <c r="G48">
        <v>155</v>
      </c>
      <c r="H48">
        <v>30</v>
      </c>
      <c r="I48">
        <v>270</v>
      </c>
      <c r="J48">
        <v>1100</v>
      </c>
      <c r="K48">
        <v>358</v>
      </c>
      <c r="M48">
        <v>421</v>
      </c>
      <c r="N48">
        <v>2739</v>
      </c>
      <c r="O48" t="s">
        <v>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685F-C62F-48CF-83C5-9E37E622C761}">
  <dimension ref="A1:D44"/>
  <sheetViews>
    <sheetView workbookViewId="0">
      <selection activeCell="D45" sqref="D45"/>
    </sheetView>
  </sheetViews>
  <sheetFormatPr defaultRowHeight="14.5" x14ac:dyDescent="0.35"/>
  <cols>
    <col min="1" max="1" width="12.6328125" bestFit="1" customWidth="1"/>
    <col min="4" max="4" width="10.1796875" customWidth="1"/>
  </cols>
  <sheetData>
    <row r="1" spans="1:4" s="9" customFormat="1" ht="87" x14ac:dyDescent="0.35">
      <c r="A1" s="9" t="s">
        <v>0</v>
      </c>
      <c r="B1" s="9" t="s">
        <v>126</v>
      </c>
      <c r="C1" s="9" t="s">
        <v>127</v>
      </c>
      <c r="D1" s="9" t="s">
        <v>127</v>
      </c>
    </row>
    <row r="2" spans="1:4" x14ac:dyDescent="0.35">
      <c r="A2" t="s">
        <v>38</v>
      </c>
      <c r="D2">
        <f>B2+C2</f>
        <v>0</v>
      </c>
    </row>
    <row r="3" spans="1:4" x14ac:dyDescent="0.35">
      <c r="A3" t="s">
        <v>40</v>
      </c>
      <c r="C3">
        <v>22</v>
      </c>
      <c r="D3">
        <f t="shared" ref="D3:D43" si="0">B3+C3</f>
        <v>22</v>
      </c>
    </row>
    <row r="4" spans="1:4" x14ac:dyDescent="0.35">
      <c r="A4" t="s">
        <v>41</v>
      </c>
      <c r="C4">
        <v>0</v>
      </c>
      <c r="D4">
        <f t="shared" si="0"/>
        <v>0</v>
      </c>
    </row>
    <row r="5" spans="1:4" x14ac:dyDescent="0.35">
      <c r="A5" t="s">
        <v>43</v>
      </c>
      <c r="C5">
        <v>86</v>
      </c>
      <c r="D5">
        <f t="shared" si="0"/>
        <v>86</v>
      </c>
    </row>
    <row r="6" spans="1:4" x14ac:dyDescent="0.35">
      <c r="A6" t="s">
        <v>45</v>
      </c>
      <c r="C6">
        <v>39</v>
      </c>
      <c r="D6">
        <f t="shared" si="0"/>
        <v>39</v>
      </c>
    </row>
    <row r="7" spans="1:4" x14ac:dyDescent="0.35">
      <c r="A7" t="s">
        <v>47</v>
      </c>
      <c r="D7">
        <f t="shared" si="0"/>
        <v>0</v>
      </c>
    </row>
    <row r="8" spans="1:4" x14ac:dyDescent="0.35">
      <c r="A8" t="s">
        <v>48</v>
      </c>
      <c r="C8">
        <v>7</v>
      </c>
      <c r="D8">
        <f t="shared" si="0"/>
        <v>7</v>
      </c>
    </row>
    <row r="9" spans="1:4" x14ac:dyDescent="0.35">
      <c r="A9" t="s">
        <v>128</v>
      </c>
      <c r="D9">
        <f t="shared" si="0"/>
        <v>0</v>
      </c>
    </row>
    <row r="10" spans="1:4" x14ac:dyDescent="0.35">
      <c r="A10" t="s">
        <v>51</v>
      </c>
      <c r="D10">
        <f t="shared" si="0"/>
        <v>0</v>
      </c>
    </row>
    <row r="11" spans="1:4" x14ac:dyDescent="0.35">
      <c r="A11" t="s">
        <v>54</v>
      </c>
      <c r="D11">
        <f t="shared" si="0"/>
        <v>0</v>
      </c>
    </row>
    <row r="12" spans="1:4" x14ac:dyDescent="0.35">
      <c r="A12" t="s">
        <v>55</v>
      </c>
      <c r="C12">
        <v>67</v>
      </c>
      <c r="D12">
        <f t="shared" si="0"/>
        <v>67</v>
      </c>
    </row>
    <row r="13" spans="1:4" x14ac:dyDescent="0.35">
      <c r="A13" t="s">
        <v>56</v>
      </c>
      <c r="D13">
        <f t="shared" si="0"/>
        <v>0</v>
      </c>
    </row>
    <row r="14" spans="1:4" x14ac:dyDescent="0.35">
      <c r="A14" t="s">
        <v>60</v>
      </c>
      <c r="B14">
        <v>39</v>
      </c>
      <c r="C14">
        <v>43</v>
      </c>
      <c r="D14">
        <f t="shared" si="0"/>
        <v>82</v>
      </c>
    </row>
    <row r="15" spans="1:4" x14ac:dyDescent="0.35">
      <c r="A15" t="s">
        <v>61</v>
      </c>
      <c r="D15">
        <f t="shared" si="0"/>
        <v>0</v>
      </c>
    </row>
    <row r="16" spans="1:4" x14ac:dyDescent="0.35">
      <c r="A16" t="s">
        <v>62</v>
      </c>
      <c r="C16">
        <v>350</v>
      </c>
      <c r="D16">
        <f t="shared" si="0"/>
        <v>350</v>
      </c>
    </row>
    <row r="17" spans="1:4" x14ac:dyDescent="0.35">
      <c r="A17" t="s">
        <v>64</v>
      </c>
      <c r="C17">
        <v>2</v>
      </c>
      <c r="D17">
        <f t="shared" si="0"/>
        <v>2</v>
      </c>
    </row>
    <row r="18" spans="1:4" x14ac:dyDescent="0.35">
      <c r="A18" t="s">
        <v>65</v>
      </c>
      <c r="D18">
        <f t="shared" si="0"/>
        <v>0</v>
      </c>
    </row>
    <row r="19" spans="1:4" x14ac:dyDescent="0.35">
      <c r="A19" t="s">
        <v>67</v>
      </c>
      <c r="D19">
        <f t="shared" si="0"/>
        <v>0</v>
      </c>
    </row>
    <row r="20" spans="1:4" x14ac:dyDescent="0.35">
      <c r="A20" t="s">
        <v>68</v>
      </c>
      <c r="C20">
        <v>113</v>
      </c>
      <c r="D20">
        <f t="shared" si="0"/>
        <v>113</v>
      </c>
    </row>
    <row r="21" spans="1:4" x14ac:dyDescent="0.35">
      <c r="A21" t="s">
        <v>70</v>
      </c>
      <c r="D21">
        <f t="shared" si="0"/>
        <v>0</v>
      </c>
    </row>
    <row r="22" spans="1:4" x14ac:dyDescent="0.35">
      <c r="A22" t="s">
        <v>71</v>
      </c>
      <c r="C22">
        <v>379</v>
      </c>
      <c r="D22">
        <f t="shared" si="0"/>
        <v>379</v>
      </c>
    </row>
    <row r="23" spans="1:4" x14ac:dyDescent="0.35">
      <c r="A23" t="s">
        <v>72</v>
      </c>
      <c r="C23">
        <v>33</v>
      </c>
      <c r="D23">
        <f t="shared" si="0"/>
        <v>33</v>
      </c>
    </row>
    <row r="24" spans="1:4" x14ac:dyDescent="0.35">
      <c r="A24" t="s">
        <v>74</v>
      </c>
      <c r="D24">
        <f t="shared" si="0"/>
        <v>0</v>
      </c>
    </row>
    <row r="25" spans="1:4" x14ac:dyDescent="0.35">
      <c r="A25" t="s">
        <v>76</v>
      </c>
      <c r="D25">
        <f t="shared" si="0"/>
        <v>0</v>
      </c>
    </row>
    <row r="26" spans="1:4" x14ac:dyDescent="0.35">
      <c r="A26" t="s">
        <v>78</v>
      </c>
      <c r="B26">
        <v>75</v>
      </c>
      <c r="C26">
        <v>35</v>
      </c>
      <c r="D26">
        <f t="shared" si="0"/>
        <v>110</v>
      </c>
    </row>
    <row r="27" spans="1:4" x14ac:dyDescent="0.35">
      <c r="A27" t="s">
        <v>79</v>
      </c>
      <c r="D27">
        <f t="shared" si="0"/>
        <v>0</v>
      </c>
    </row>
    <row r="28" spans="1:4" x14ac:dyDescent="0.35">
      <c r="A28" t="s">
        <v>81</v>
      </c>
      <c r="D28">
        <f t="shared" si="0"/>
        <v>0</v>
      </c>
    </row>
    <row r="29" spans="1:4" x14ac:dyDescent="0.35">
      <c r="A29" t="s">
        <v>83</v>
      </c>
      <c r="D29">
        <f t="shared" si="0"/>
        <v>0</v>
      </c>
    </row>
    <row r="30" spans="1:4" x14ac:dyDescent="0.35">
      <c r="A30" t="s">
        <v>85</v>
      </c>
      <c r="D30">
        <f t="shared" si="0"/>
        <v>0</v>
      </c>
    </row>
    <row r="31" spans="1:4" x14ac:dyDescent="0.35">
      <c r="A31" t="s">
        <v>86</v>
      </c>
      <c r="C31">
        <v>76</v>
      </c>
      <c r="D31">
        <f t="shared" si="0"/>
        <v>76</v>
      </c>
    </row>
    <row r="32" spans="1:4" x14ac:dyDescent="0.35">
      <c r="A32" t="s">
        <v>88</v>
      </c>
      <c r="C32">
        <v>0</v>
      </c>
      <c r="D32">
        <f t="shared" si="0"/>
        <v>0</v>
      </c>
    </row>
    <row r="33" spans="1:4" x14ac:dyDescent="0.35">
      <c r="A33" t="s">
        <v>90</v>
      </c>
      <c r="D33">
        <f t="shared" si="0"/>
        <v>0</v>
      </c>
    </row>
    <row r="34" spans="1:4" x14ac:dyDescent="0.35">
      <c r="A34" t="s">
        <v>91</v>
      </c>
      <c r="C34" s="22">
        <v>95</v>
      </c>
      <c r="D34">
        <f t="shared" si="0"/>
        <v>95</v>
      </c>
    </row>
    <row r="35" spans="1:4" x14ac:dyDescent="0.35">
      <c r="A35" t="s">
        <v>95</v>
      </c>
      <c r="D35">
        <f t="shared" si="0"/>
        <v>0</v>
      </c>
    </row>
    <row r="36" spans="1:4" x14ac:dyDescent="0.35">
      <c r="A36" t="s">
        <v>97</v>
      </c>
      <c r="C36" s="22">
        <v>29</v>
      </c>
      <c r="D36">
        <f t="shared" si="0"/>
        <v>29</v>
      </c>
    </row>
    <row r="37" spans="1:4" x14ac:dyDescent="0.35">
      <c r="A37" t="s">
        <v>99</v>
      </c>
      <c r="D37">
        <f t="shared" si="0"/>
        <v>0</v>
      </c>
    </row>
    <row r="38" spans="1:4" x14ac:dyDescent="0.35">
      <c r="A38" t="s">
        <v>101</v>
      </c>
      <c r="D38">
        <f t="shared" si="0"/>
        <v>0</v>
      </c>
    </row>
    <row r="39" spans="1:4" x14ac:dyDescent="0.35">
      <c r="A39" t="s">
        <v>103</v>
      </c>
      <c r="C39">
        <v>114</v>
      </c>
      <c r="D39">
        <f t="shared" si="0"/>
        <v>114</v>
      </c>
    </row>
    <row r="40" spans="1:4" x14ac:dyDescent="0.35">
      <c r="A40" t="s">
        <v>105</v>
      </c>
      <c r="C40">
        <v>2</v>
      </c>
      <c r="D40">
        <f t="shared" si="0"/>
        <v>2</v>
      </c>
    </row>
    <row r="41" spans="1:4" x14ac:dyDescent="0.35">
      <c r="A41" t="s">
        <v>106</v>
      </c>
      <c r="B41">
        <v>245</v>
      </c>
      <c r="D41">
        <f t="shared" si="0"/>
        <v>245</v>
      </c>
    </row>
    <row r="42" spans="1:4" x14ac:dyDescent="0.35">
      <c r="A42" t="s">
        <v>108</v>
      </c>
      <c r="B42" s="23"/>
      <c r="C42" s="23">
        <v>175</v>
      </c>
      <c r="D42">
        <f t="shared" si="0"/>
        <v>175</v>
      </c>
    </row>
    <row r="43" spans="1:4" x14ac:dyDescent="0.35">
      <c r="A43" t="s">
        <v>109</v>
      </c>
      <c r="C43">
        <v>82</v>
      </c>
      <c r="D43">
        <f t="shared" si="0"/>
        <v>82</v>
      </c>
    </row>
    <row r="44" spans="1:4" x14ac:dyDescent="0.35">
      <c r="A44" t="s">
        <v>31</v>
      </c>
      <c r="B44">
        <f t="shared" ref="B44:C44" si="1">SUM(B2:B43)</f>
        <v>359</v>
      </c>
      <c r="C44">
        <f t="shared" si="1"/>
        <v>1749</v>
      </c>
      <c r="D44">
        <f>SUM(D2:D43)</f>
        <v>2108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Sheet3</vt:lpstr>
      <vt:lpstr>proportions</vt:lpstr>
      <vt:lpstr>Sheet2</vt:lpstr>
      <vt:lpstr>Sheet7</vt:lpstr>
      <vt:lpstr>projections</vt:lpstr>
      <vt:lpstr>Education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Mung'atu</dc:creator>
  <cp:lastModifiedBy>Joseph Mung'atu</cp:lastModifiedBy>
  <dcterms:created xsi:type="dcterms:W3CDTF">2024-02-22T16:04:21Z</dcterms:created>
  <dcterms:modified xsi:type="dcterms:W3CDTF">2024-04-06T18:27:06Z</dcterms:modified>
</cp:coreProperties>
</file>