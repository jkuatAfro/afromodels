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"/>
    </mc:Choice>
  </mc:AlternateContent>
  <xr:revisionPtr revIDLastSave="0" documentId="13_ncr:1_{F14AF275-45A7-4C84-9671-F6F2458AA1FD}" xr6:coauthVersionLast="47" xr6:coauthVersionMax="47" xr10:uidLastSave="{00000000-0000-0000-0000-000000000000}"/>
  <bookViews>
    <workbookView xWindow="-110" yWindow="-110" windowWidth="19420" windowHeight="10300" xr2:uid="{B2AE6FCE-39B3-49FA-922D-09F99DAEF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1" l="1"/>
  <c r="I18" i="1"/>
  <c r="I16" i="1"/>
  <c r="O14" i="1"/>
  <c r="N14" i="1"/>
  <c r="I4" i="1"/>
  <c r="I14" i="1"/>
  <c r="H14" i="1"/>
  <c r="G14" i="1"/>
  <c r="F14" i="1"/>
  <c r="E14" i="1"/>
  <c r="L14" i="1" s="1"/>
  <c r="M14" i="1" s="1"/>
  <c r="L13" i="1"/>
  <c r="M13" i="1" s="1"/>
  <c r="K13" i="1"/>
  <c r="J13" i="1"/>
  <c r="I13" i="1"/>
  <c r="L12" i="1"/>
  <c r="M12" i="1" s="1"/>
  <c r="K12" i="1"/>
  <c r="J12" i="1"/>
  <c r="I12" i="1"/>
  <c r="L11" i="1"/>
  <c r="M11" i="1" s="1"/>
  <c r="K11" i="1"/>
  <c r="J11" i="1"/>
  <c r="I11" i="1"/>
  <c r="M10" i="1"/>
  <c r="L10" i="1"/>
  <c r="K10" i="1"/>
  <c r="J10" i="1"/>
  <c r="I10" i="1"/>
  <c r="L9" i="1"/>
  <c r="M9" i="1" s="1"/>
  <c r="K9" i="1"/>
  <c r="J9" i="1"/>
  <c r="I9" i="1"/>
  <c r="L8" i="1"/>
  <c r="M8" i="1" s="1"/>
  <c r="K8" i="1"/>
  <c r="J8" i="1"/>
  <c r="I8" i="1"/>
  <c r="L7" i="1"/>
  <c r="M7" i="1" s="1"/>
  <c r="K7" i="1"/>
  <c r="J7" i="1"/>
  <c r="I7" i="1"/>
  <c r="L6" i="1"/>
  <c r="M6" i="1" s="1"/>
  <c r="K6" i="1"/>
  <c r="J6" i="1"/>
  <c r="I6" i="1"/>
  <c r="L5" i="1"/>
  <c r="M5" i="1" s="1"/>
  <c r="K5" i="1"/>
  <c r="J5" i="1"/>
  <c r="I5" i="1"/>
  <c r="L4" i="1"/>
  <c r="M4" i="1" s="1"/>
  <c r="M16" i="1" s="1"/>
  <c r="K4" i="1"/>
  <c r="J4" i="1"/>
  <c r="K14" i="1" l="1"/>
  <c r="J14" i="1"/>
</calcChain>
</file>

<file path=xl/sharedStrings.xml><?xml version="1.0" encoding="utf-8"?>
<sst xmlns="http://schemas.openxmlformats.org/spreadsheetml/2006/main" count="44" uniqueCount="37">
  <si>
    <t>S/N </t>
  </si>
  <si>
    <t>Country </t>
  </si>
  <si>
    <t>Year  </t>
  </si>
  <si>
    <t>Total Unemployed Health Workers </t>
  </si>
  <si>
    <t>Overall Stock of all health workers (HLMA)</t>
  </si>
  <si>
    <t>Unemployed proportion (HLMA)</t>
  </si>
  <si>
    <t>Unemployed proportion (report SDG 3c)</t>
  </si>
  <si>
    <t>Unemployed proportion (report all)</t>
  </si>
  <si>
    <t>New total (Stock + Unemployed)</t>
  </si>
  <si>
    <t>New proportion</t>
  </si>
  <si>
    <t>1 </t>
  </si>
  <si>
    <t>Ghana </t>
  </si>
  <si>
    <t>2023 </t>
  </si>
  <si>
    <t>2 </t>
  </si>
  <si>
    <t>Uganda </t>
  </si>
  <si>
    <t>3 </t>
  </si>
  <si>
    <t>Zambia </t>
  </si>
  <si>
    <t>4 </t>
  </si>
  <si>
    <t>South Africa </t>
  </si>
  <si>
    <t>2019 </t>
  </si>
  <si>
    <t>5 </t>
  </si>
  <si>
    <t>Kenya </t>
  </si>
  <si>
    <t>2021 </t>
  </si>
  <si>
    <t>6 </t>
  </si>
  <si>
    <t>Mozambique </t>
  </si>
  <si>
    <t>7 </t>
  </si>
  <si>
    <t>Sierra Leone </t>
  </si>
  <si>
    <t>8 </t>
  </si>
  <si>
    <t>Rwanda </t>
  </si>
  <si>
    <t>9 </t>
  </si>
  <si>
    <t>Lesotho </t>
  </si>
  <si>
    <t>10 </t>
  </si>
  <si>
    <t>Eswatini </t>
  </si>
  <si>
    <t>All workers (Report 2nd ed)</t>
  </si>
  <si>
    <t>Overall Stock of all health workers (Report SDG 3c 2nd)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</si>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</sst>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164" fontId="0" fillId="0" borderId="0" xfId="1" applyNumberFormat="1" applyFont="1"/>
    <xf numFmtId="0" fontId="2" fillId="0" borderId="0" xfId="0" applyFont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1" xfId="0" applyBorder="1"/>
    <xf numFmtId="3" fontId="0" fillId="0" borderId="1" xfId="0" applyNumberFormat="1" applyBorder="1"/>
    <xf numFmtId="164" fontId="0" fillId="0" borderId="1" xfId="1" applyNumberFormat="1" applyFont="1" applyBorder="1"/>
    <xf numFmtId="164" fontId="0" fillId="3" borderId="1" xfId="1" applyNumberFormat="1" applyFont="1" applyFill="1" applyBorder="1"/>
    <xf numFmtId="0" fontId="2" fillId="0" borderId="1" xfId="0" applyFont="1" applyBorder="1"/>
    <xf numFmtId="3" fontId="2" fillId="0" borderId="1" xfId="0" applyNumberFormat="1" applyFont="1" applyBorder="1"/>
    <xf numFmtId="164" fontId="2" fillId="0" borderId="1" xfId="1" applyNumberFormat="1" applyFont="1" applyBorder="1"/>
    <xf numFmtId="164" fontId="0" fillId="3" borderId="0" xfId="1" applyNumberFormat="1" applyFont="1" applyFill="1" applyBorder="1"/>
    <xf numFmtId="10" fontId="0" fillId="0" borderId="0" xfId="0" applyNumberForma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4EE5-E973-43BE-8AB3-F851C96CAB08}">
  <dimension ref="B3:O18"/>
  <sheetViews>
    <sheetView tabSelected="1" topLeftCell="E4" workbookViewId="0">
      <selection activeCell="O17" sqref="O17"/>
    </sheetView>
  </sheetViews>
  <sheetFormatPr defaultRowHeight="14.5" x14ac:dyDescent="0.35"/>
  <cols>
    <col min="3" max="3" width="12.26953125" bestFit="1" customWidth="1"/>
    <col min="5" max="5" width="13.6328125" customWidth="1"/>
    <col min="6" max="6" width="15.36328125" customWidth="1"/>
    <col min="7" max="7" width="19.453125" customWidth="1"/>
    <col min="8" max="8" width="12.90625" customWidth="1"/>
    <col min="9" max="9" width="12.81640625" customWidth="1"/>
    <col min="10" max="10" width="14.26953125" customWidth="1"/>
    <col min="11" max="11" width="14.36328125" customWidth="1"/>
    <col min="12" max="12" width="12.54296875" customWidth="1"/>
    <col min="13" max="13" width="13.08984375" customWidth="1"/>
    <col min="14" max="14" width="9.453125" customWidth="1"/>
    <col min="15" max="15" width="9" customWidth="1"/>
  </cols>
  <sheetData>
    <row r="3" spans="2:15" ht="58" x14ac:dyDescent="0.35">
      <c r="B3" s="1" t="s">
        <v>0</v>
      </c>
      <c r="C3" s="1" t="s">
        <v>1</v>
      </c>
      <c r="D3" s="4" t="s">
        <v>2</v>
      </c>
      <c r="E3" s="4" t="s">
        <v>3</v>
      </c>
      <c r="F3" s="5" t="s">
        <v>4</v>
      </c>
      <c r="G3" s="4" t="s">
        <v>34</v>
      </c>
      <c r="H3" s="4" t="s">
        <v>33</v>
      </c>
      <c r="I3" s="5" t="s">
        <v>5</v>
      </c>
      <c r="J3" s="4" t="s">
        <v>6</v>
      </c>
      <c r="K3" s="4" t="s">
        <v>7</v>
      </c>
      <c r="L3" s="6" t="s">
        <v>8</v>
      </c>
      <c r="M3" s="7" t="s">
        <v>9</v>
      </c>
      <c r="N3" t="s">
        <v>36</v>
      </c>
      <c r="O3" t="s">
        <v>35</v>
      </c>
    </row>
    <row r="4" spans="2:15" x14ac:dyDescent="0.35">
      <c r="B4" t="s">
        <v>10</v>
      </c>
      <c r="C4" t="s">
        <v>11</v>
      </c>
      <c r="D4" s="8" t="s">
        <v>12</v>
      </c>
      <c r="E4" s="9">
        <v>118488</v>
      </c>
      <c r="F4" s="9">
        <v>298382</v>
      </c>
      <c r="G4" s="9">
        <v>160786.9969390177</v>
      </c>
      <c r="H4" s="9">
        <v>238026.609814786</v>
      </c>
      <c r="I4" s="10">
        <f>E4/F4</f>
        <v>0.39710170184528559</v>
      </c>
      <c r="J4" s="10">
        <f t="shared" ref="J4:J13" si="0">E4/G4</f>
        <v>0.73692526296103034</v>
      </c>
      <c r="K4" s="10">
        <f>E4/H4</f>
        <v>0.49779308326996818</v>
      </c>
      <c r="L4" s="9">
        <f>E4+G4</f>
        <v>279274.99693901767</v>
      </c>
      <c r="M4" s="11">
        <f>E4/L4</f>
        <v>0.42426998943221894</v>
      </c>
      <c r="N4" s="17"/>
      <c r="O4" s="17"/>
    </row>
    <row r="5" spans="2:15" x14ac:dyDescent="0.35">
      <c r="B5" t="s">
        <v>13</v>
      </c>
      <c r="C5" t="s">
        <v>14</v>
      </c>
      <c r="D5" s="8" t="s">
        <v>12</v>
      </c>
      <c r="E5" s="9">
        <v>75577</v>
      </c>
      <c r="F5" s="9">
        <v>158932</v>
      </c>
      <c r="G5" s="9">
        <v>121325.78132796781</v>
      </c>
      <c r="H5" s="9">
        <v>336469.64185110666</v>
      </c>
      <c r="I5" s="10">
        <f t="shared" ref="I5:I13" si="1">E5/F5</f>
        <v>0.47553041552362019</v>
      </c>
      <c r="J5" s="10">
        <f t="shared" si="0"/>
        <v>0.62292613468278668</v>
      </c>
      <c r="K5" s="10">
        <f t="shared" ref="K5:K14" si="2">E5/H5</f>
        <v>0.2246175898194229</v>
      </c>
      <c r="L5" s="9">
        <f>E5+G5</f>
        <v>196902.78132796782</v>
      </c>
      <c r="M5" s="11">
        <f t="shared" ref="M5:M13" si="3">E5/L5</f>
        <v>0.38382901191282026</v>
      </c>
    </row>
    <row r="6" spans="2:15" x14ac:dyDescent="0.35">
      <c r="B6" t="s">
        <v>15</v>
      </c>
      <c r="C6" t="s">
        <v>16</v>
      </c>
      <c r="D6" s="8" t="s">
        <v>12</v>
      </c>
      <c r="E6" s="9">
        <v>46713</v>
      </c>
      <c r="F6" s="9">
        <v>82577</v>
      </c>
      <c r="G6" s="9">
        <v>69982</v>
      </c>
      <c r="H6" s="9">
        <v>112005.8196849908</v>
      </c>
      <c r="I6" s="10">
        <f t="shared" si="1"/>
        <v>0.56569020429417394</v>
      </c>
      <c r="J6" s="10">
        <f t="shared" si="0"/>
        <v>0.66750021434083051</v>
      </c>
      <c r="K6" s="10">
        <f t="shared" si="2"/>
        <v>0.41705868615914177</v>
      </c>
      <c r="L6" s="9">
        <f t="shared" ref="L6:L14" si="4">E6+G6</f>
        <v>116695</v>
      </c>
      <c r="M6" s="11">
        <f t="shared" si="3"/>
        <v>0.40029992716054674</v>
      </c>
    </row>
    <row r="7" spans="2:15" x14ac:dyDescent="0.35">
      <c r="B7" t="s">
        <v>17</v>
      </c>
      <c r="C7" t="s">
        <v>18</v>
      </c>
      <c r="D7" s="8" t="s">
        <v>19</v>
      </c>
      <c r="E7" s="9">
        <v>45000</v>
      </c>
      <c r="F7" s="9">
        <v>406000</v>
      </c>
      <c r="G7" s="9">
        <v>468293.95185969712</v>
      </c>
      <c r="H7" s="9">
        <v>660156.69356769766</v>
      </c>
      <c r="I7" s="10">
        <f t="shared" si="1"/>
        <v>0.11083743842364532</v>
      </c>
      <c r="J7" s="10">
        <f t="shared" si="0"/>
        <v>9.6093489615433236E-2</v>
      </c>
      <c r="K7" s="10">
        <f t="shared" si="2"/>
        <v>6.8165634671983139E-2</v>
      </c>
      <c r="L7" s="9">
        <f t="shared" si="4"/>
        <v>513293.95185969712</v>
      </c>
      <c r="M7" s="11">
        <f t="shared" si="3"/>
        <v>8.7669063383587695E-2</v>
      </c>
    </row>
    <row r="8" spans="2:15" x14ac:dyDescent="0.35">
      <c r="B8" t="s">
        <v>20</v>
      </c>
      <c r="C8" t="s">
        <v>21</v>
      </c>
      <c r="D8" s="8" t="s">
        <v>22</v>
      </c>
      <c r="E8" s="9">
        <v>27243</v>
      </c>
      <c r="F8" s="9">
        <v>189932</v>
      </c>
      <c r="G8" s="9">
        <v>132496</v>
      </c>
      <c r="H8" s="9">
        <v>286045.56215030921</v>
      </c>
      <c r="I8" s="10">
        <f t="shared" si="1"/>
        <v>0.14343554535307373</v>
      </c>
      <c r="J8" s="10">
        <f t="shared" si="0"/>
        <v>0.20561375437749063</v>
      </c>
      <c r="K8" s="10">
        <f t="shared" si="2"/>
        <v>9.5240072229068662E-2</v>
      </c>
      <c r="L8" s="9">
        <f t="shared" si="4"/>
        <v>159739</v>
      </c>
      <c r="M8" s="11">
        <f t="shared" si="3"/>
        <v>0.17054695471988682</v>
      </c>
    </row>
    <row r="9" spans="2:15" x14ac:dyDescent="0.35">
      <c r="B9" t="s">
        <v>23</v>
      </c>
      <c r="C9" t="s">
        <v>24</v>
      </c>
      <c r="D9" s="8" t="s">
        <v>12</v>
      </c>
      <c r="E9" s="9">
        <v>10622</v>
      </c>
      <c r="F9" s="9">
        <v>60588</v>
      </c>
      <c r="G9" s="9">
        <v>40757</v>
      </c>
      <c r="H9" s="9">
        <v>180124.37244750268</v>
      </c>
      <c r="I9" s="10">
        <f t="shared" si="1"/>
        <v>0.17531524394269493</v>
      </c>
      <c r="J9" s="10">
        <f t="shared" si="0"/>
        <v>0.2606178079839046</v>
      </c>
      <c r="K9" s="10">
        <f t="shared" si="2"/>
        <v>5.8970365063149829E-2</v>
      </c>
      <c r="L9" s="9">
        <f t="shared" si="4"/>
        <v>51379</v>
      </c>
      <c r="M9" s="11">
        <f t="shared" si="3"/>
        <v>0.20673816150567353</v>
      </c>
    </row>
    <row r="10" spans="2:15" x14ac:dyDescent="0.35">
      <c r="B10" t="s">
        <v>25</v>
      </c>
      <c r="C10" t="s">
        <v>26</v>
      </c>
      <c r="D10" s="8" t="s">
        <v>19</v>
      </c>
      <c r="E10" s="9">
        <v>4899</v>
      </c>
      <c r="F10" s="9">
        <v>14470</v>
      </c>
      <c r="G10" s="9">
        <v>20252.811629184373</v>
      </c>
      <c r="H10" s="9">
        <v>39151.423869608989</v>
      </c>
      <c r="I10" s="10">
        <f t="shared" si="1"/>
        <v>0.3385625431928127</v>
      </c>
      <c r="J10" s="10">
        <f t="shared" si="0"/>
        <v>0.24189234016972358</v>
      </c>
      <c r="K10" s="10">
        <f t="shared" si="2"/>
        <v>0.12512954870596196</v>
      </c>
      <c r="L10" s="9">
        <f t="shared" si="4"/>
        <v>25151.811629184373</v>
      </c>
      <c r="M10" s="11">
        <f t="shared" si="3"/>
        <v>0.19477722210337919</v>
      </c>
    </row>
    <row r="11" spans="2:15" x14ac:dyDescent="0.35">
      <c r="B11" t="s">
        <v>27</v>
      </c>
      <c r="C11" t="s">
        <v>28</v>
      </c>
      <c r="D11" s="8" t="s">
        <v>19</v>
      </c>
      <c r="E11" s="9">
        <v>2891</v>
      </c>
      <c r="F11" s="9">
        <v>21552</v>
      </c>
      <c r="G11" s="9">
        <v>18462.239749316621</v>
      </c>
      <c r="H11" s="9">
        <v>82142.239749316621</v>
      </c>
      <c r="I11" s="10">
        <f t="shared" si="1"/>
        <v>0.1341406829992576</v>
      </c>
      <c r="J11" s="10">
        <f t="shared" si="0"/>
        <v>0.15658988504398608</v>
      </c>
      <c r="K11" s="10">
        <f t="shared" si="2"/>
        <v>3.5195047138023183E-2</v>
      </c>
      <c r="L11" s="9">
        <f t="shared" si="4"/>
        <v>21353.239749316621</v>
      </c>
      <c r="M11" s="11">
        <f t="shared" si="3"/>
        <v>0.13538929145833817</v>
      </c>
    </row>
    <row r="12" spans="2:15" x14ac:dyDescent="0.35">
      <c r="B12" t="s">
        <v>29</v>
      </c>
      <c r="C12" t="s">
        <v>30</v>
      </c>
      <c r="D12" s="8" t="s">
        <v>22</v>
      </c>
      <c r="E12" s="9">
        <v>1096</v>
      </c>
      <c r="F12" s="9">
        <v>15316</v>
      </c>
      <c r="G12" s="9">
        <v>5301.8248879810226</v>
      </c>
      <c r="H12" s="9">
        <v>28993.012322087507</v>
      </c>
      <c r="I12" s="10">
        <f t="shared" si="1"/>
        <v>7.1559153826064245E-2</v>
      </c>
      <c r="J12" s="10">
        <f t="shared" si="0"/>
        <v>0.20672127487359651</v>
      </c>
      <c r="K12" s="10">
        <f t="shared" si="2"/>
        <v>3.7802212058008315E-2</v>
      </c>
      <c r="L12" s="9">
        <f t="shared" si="4"/>
        <v>6397.8248879810226</v>
      </c>
      <c r="M12" s="11">
        <f t="shared" si="3"/>
        <v>0.17130822102664137</v>
      </c>
    </row>
    <row r="13" spans="2:15" x14ac:dyDescent="0.35">
      <c r="B13" t="s">
        <v>31</v>
      </c>
      <c r="C13" t="s">
        <v>32</v>
      </c>
      <c r="D13" s="8" t="s">
        <v>12</v>
      </c>
      <c r="E13" s="9">
        <v>907</v>
      </c>
      <c r="F13" s="9">
        <v>7159</v>
      </c>
      <c r="G13" s="9">
        <v>6208.1530330247342</v>
      </c>
      <c r="H13" s="9">
        <v>16850.21148265856</v>
      </c>
      <c r="I13" s="10">
        <f t="shared" si="1"/>
        <v>0.12669367230060063</v>
      </c>
      <c r="J13" s="10">
        <f t="shared" si="0"/>
        <v>0.14609820266593715</v>
      </c>
      <c r="K13" s="10">
        <f t="shared" si="2"/>
        <v>5.3827217595069442E-2</v>
      </c>
      <c r="L13" s="9">
        <f t="shared" si="4"/>
        <v>7115.1530330247342</v>
      </c>
      <c r="M13" s="11">
        <f t="shared" si="3"/>
        <v>0.1274744191432273</v>
      </c>
    </row>
    <row r="14" spans="2:15" x14ac:dyDescent="0.35">
      <c r="B14" s="3"/>
      <c r="C14" s="3"/>
      <c r="D14" s="12"/>
      <c r="E14" s="13">
        <f>SUM(E4:E13)</f>
        <v>333436</v>
      </c>
      <c r="F14" s="13">
        <f t="shared" ref="F14:H14" si="5">SUM(F4:F13)</f>
        <v>1254908</v>
      </c>
      <c r="G14" s="13">
        <f t="shared" si="5"/>
        <v>1043866.7594261895</v>
      </c>
      <c r="H14" s="13">
        <f t="shared" si="5"/>
        <v>1979965.5869400648</v>
      </c>
      <c r="I14" s="14">
        <f>E14/F14</f>
        <v>0.26570553379211864</v>
      </c>
      <c r="J14" s="14">
        <f>E14/G14</f>
        <v>0.31942390826132716</v>
      </c>
      <c r="K14" s="14">
        <f t="shared" si="2"/>
        <v>0.16840494713613091</v>
      </c>
      <c r="L14" s="9">
        <f t="shared" si="4"/>
        <v>1377302.7594261896</v>
      </c>
      <c r="M14" s="11">
        <f>E14/L14</f>
        <v>0.24209346689969297</v>
      </c>
      <c r="N14" s="16">
        <f>M14-(M16/SQRT(10))*2.262</f>
        <v>0.15323411040811949</v>
      </c>
      <c r="O14" s="16">
        <f>M14+(M16/SQRT(10))*2.262</f>
        <v>0.33095282339126642</v>
      </c>
    </row>
    <row r="16" spans="2:15" x14ac:dyDescent="0.35">
      <c r="I16" s="15">
        <f>STDEV(I4:I13)</f>
        <v>0.17531699181743193</v>
      </c>
      <c r="M16" s="15">
        <f>STDEV(M4:M13)</f>
        <v>0.12422544559250259</v>
      </c>
      <c r="N16" s="17"/>
      <c r="O16" s="17"/>
    </row>
    <row r="17" spans="9:11" x14ac:dyDescent="0.35">
      <c r="I17" s="2"/>
      <c r="J17" s="2"/>
      <c r="K17" s="2"/>
    </row>
    <row r="18" spans="9:11" x14ac:dyDescent="0.35">
      <c r="I18" s="16">
        <f>I14-(I16/SQRT(10))*2.262</f>
        <v>0.14030002608286982</v>
      </c>
      <c r="J18" s="16">
        <f>I14+(I16/SQRT(10))*2.262</f>
        <v>0.39111104150136744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2024-03-18T10:12:55Z</dcterms:created>
  <dcterms:modified xsi:type="dcterms:W3CDTF">2024-03-18T21:24:37Z</dcterms:modified>
</cp:coreProperties>
</file>