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Brazzaville\HRH 24\Analytics\Feb latest\"/>
    </mc:Choice>
  </mc:AlternateContent>
  <xr:revisionPtr revIDLastSave="0" documentId="8_{AB856F17-05A6-4478-9955-467A28DDEAF1}" xr6:coauthVersionLast="47" xr6:coauthVersionMax="47" xr10:uidLastSave="{00000000-0000-0000-0000-000000000000}"/>
  <bookViews>
    <workbookView xWindow="-110" yWindow="-110" windowWidth="19420" windowHeight="10300" xr2:uid="{A2A88114-6080-43A7-B086-6DF312C8D61B}"/>
  </bookViews>
  <sheets>
    <sheet name="Education capacity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4" l="1"/>
  <c r="N49" i="4" s="1"/>
  <c r="D49" i="4"/>
  <c r="E49" i="4"/>
  <c r="F49" i="4"/>
  <c r="G49" i="4"/>
  <c r="H49" i="4"/>
  <c r="I49" i="4"/>
  <c r="J49" i="4"/>
  <c r="K49" i="4"/>
  <c r="L49" i="4"/>
  <c r="M49" i="4"/>
  <c r="B49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2" i="4"/>
  <c r="N50" i="4" l="1"/>
</calcChain>
</file>

<file path=xl/sharedStrings.xml><?xml version="1.0" encoding="utf-8"?>
<sst xmlns="http://schemas.openxmlformats.org/spreadsheetml/2006/main" count="91" uniqueCount="89">
  <si>
    <t>Benin</t>
  </si>
  <si>
    <t>Botswana</t>
  </si>
  <si>
    <t>Comoros</t>
  </si>
  <si>
    <t>Congo</t>
  </si>
  <si>
    <t>Eritrea</t>
  </si>
  <si>
    <t>Ethiopia</t>
  </si>
  <si>
    <t>Mozambique</t>
  </si>
  <si>
    <t>Niger</t>
  </si>
  <si>
    <t>Zimbabwe</t>
  </si>
  <si>
    <t>Burkina Faso</t>
  </si>
  <si>
    <t>Cameroon</t>
  </si>
  <si>
    <t>Chad</t>
  </si>
  <si>
    <t>Eswatini</t>
  </si>
  <si>
    <t>Gabon</t>
  </si>
  <si>
    <t>Gambia</t>
  </si>
  <si>
    <t>Ghana</t>
  </si>
  <si>
    <t>Guinea</t>
  </si>
  <si>
    <t>Guinea-Bissau</t>
  </si>
  <si>
    <t>Kenya</t>
  </si>
  <si>
    <t>Madagascar</t>
  </si>
  <si>
    <t>Senegal</t>
  </si>
  <si>
    <t>Seychelles</t>
  </si>
  <si>
    <t>South Sudan</t>
  </si>
  <si>
    <t>Togo</t>
  </si>
  <si>
    <t>Zambia</t>
  </si>
  <si>
    <t>Angola</t>
  </si>
  <si>
    <t>Burundi</t>
  </si>
  <si>
    <t>Cape-Verde</t>
  </si>
  <si>
    <t>CAR</t>
  </si>
  <si>
    <t>Cote d'Ivoire</t>
  </si>
  <si>
    <t>DRC</t>
  </si>
  <si>
    <t>Lesotho</t>
  </si>
  <si>
    <t>Liberia</t>
  </si>
  <si>
    <t>Malawi</t>
  </si>
  <si>
    <t>Mali</t>
  </si>
  <si>
    <t>Mauritania</t>
  </si>
  <si>
    <t>Mauritius</t>
  </si>
  <si>
    <t>Namibia</t>
  </si>
  <si>
    <t>Nigeria</t>
  </si>
  <si>
    <t>Rwanda</t>
  </si>
  <si>
    <t>Sierra Leone</t>
  </si>
  <si>
    <t>South Africa</t>
  </si>
  <si>
    <t>Tanzania</t>
  </si>
  <si>
    <t>Uganda</t>
  </si>
  <si>
    <t>Midwives</t>
  </si>
  <si>
    <t>Nurses</t>
  </si>
  <si>
    <t>Other Health Workers</t>
  </si>
  <si>
    <t xml:space="preserve">Year </t>
  </si>
  <si>
    <t>Biomedical Scientists</t>
  </si>
  <si>
    <t>Med-2021; Pharm-2021;Mid-2021; Nur-2021;Biom-2021; others-2021</t>
  </si>
  <si>
    <t>490`</t>
  </si>
  <si>
    <t>CHW</t>
  </si>
  <si>
    <t>PA</t>
  </si>
  <si>
    <t>2022 for all</t>
  </si>
  <si>
    <t>2021 for all</t>
  </si>
  <si>
    <t>Nurs-2022</t>
  </si>
  <si>
    <t>2022-all</t>
  </si>
  <si>
    <t>Total</t>
  </si>
  <si>
    <t>Algeria</t>
  </si>
  <si>
    <t>Equatorial Guinea</t>
  </si>
  <si>
    <t>Sao Tome and Principe</t>
  </si>
  <si>
    <t>Med-2021,2022; Nurs-2022; Midw-2022; Other-2021,2022, CHW-2021</t>
  </si>
  <si>
    <t>General practitioners</t>
  </si>
  <si>
    <t xml:space="preserve">Dentist </t>
  </si>
  <si>
    <t>Pharmacist</t>
  </si>
  <si>
    <t>Other Pharmacy practitioners</t>
  </si>
  <si>
    <t>Medical  Specialist</t>
  </si>
  <si>
    <t>Other Dental practitioners</t>
  </si>
  <si>
    <t>Zambia HLMA</t>
  </si>
  <si>
    <t>Source</t>
  </si>
  <si>
    <t>1900 doctors from HLMA dataset</t>
  </si>
  <si>
    <t>HLMA data</t>
  </si>
  <si>
    <t>Dentist-2018; CMHW-2022; Biom -2018;</t>
  </si>
  <si>
    <t>HLMA extracted data</t>
  </si>
  <si>
    <t>capacity-HLMA data extracted</t>
  </si>
  <si>
    <t>Lower figure sreoirted on rxtracted data</t>
  </si>
  <si>
    <t>2030 starategic plan</t>
  </si>
  <si>
    <t>Dent-2018;</t>
  </si>
  <si>
    <t>2018 dataset</t>
  </si>
  <si>
    <t>pharmacist from 2018</t>
  </si>
  <si>
    <t>PHdD Ismaila</t>
  </si>
  <si>
    <t>capacity-HLMA data extracted, Nurs from 2018 dataset,</t>
  </si>
  <si>
    <t>Others from 2018 dataset</t>
  </si>
  <si>
    <t>Other and Medical specialist from 2018 dataHLMA dsts extracted</t>
  </si>
  <si>
    <t>other, Med specialis-2018;</t>
  </si>
  <si>
    <t>Den-2018, specialist-2018</t>
  </si>
  <si>
    <t>Total (row)</t>
  </si>
  <si>
    <t>Total (column)</t>
  </si>
  <si>
    <t>2022 data set for 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</si>
</sst>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1"/>
      <color theme="6" tint="0.59999389629810485"/>
      <name val="Arial"/>
      <family val="2"/>
    </font>
    <font>
      <sz val="11"/>
      <color theme="6" tint="0.59999389629810485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1"/>
      <name val="Arial"/>
      <family val="2"/>
    </font>
    <font>
      <sz val="11"/>
      <color rgb="FFFFC000"/>
      <name val="Arial"/>
      <family val="2"/>
    </font>
    <font>
      <sz val="11"/>
      <color rgb="FFFFC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6" fillId="0" borderId="0" xfId="0" applyFont="1"/>
    <xf numFmtId="0" fontId="1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2" fillId="4" borderId="0" xfId="0" applyFont="1" applyFill="1"/>
    <xf numFmtId="0" fontId="3" fillId="4" borderId="0" xfId="0" applyFont="1" applyFill="1"/>
    <xf numFmtId="0" fontId="0" fillId="4" borderId="0" xfId="0" applyFill="1"/>
    <xf numFmtId="0" fontId="8" fillId="0" borderId="0" xfId="0" applyFont="1" applyAlignment="1">
      <alignment horizontal="center" wrapText="1"/>
    </xf>
    <xf numFmtId="0" fontId="6" fillId="3" borderId="0" xfId="0" applyFont="1" applyFill="1"/>
    <xf numFmtId="0" fontId="6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2233-3D50-4782-B2C8-ABE347CC59C5}">
  <dimension ref="A1:P50"/>
  <sheetViews>
    <sheetView tabSelected="1" workbookViewId="0">
      <pane ySplit="1" topLeftCell="A2" activePane="bottomLeft" state="frozen"/>
      <selection pane="bottomLeft" activeCell="P53" sqref="P53"/>
    </sheetView>
  </sheetViews>
  <sheetFormatPr defaultRowHeight="14.5" x14ac:dyDescent="0.35"/>
  <cols>
    <col min="1" max="1" width="22.6328125" bestFit="1" customWidth="1"/>
    <col min="2" max="2" width="22.6328125" customWidth="1"/>
    <col min="3" max="4" width="10.54296875" customWidth="1"/>
    <col min="5" max="5" width="12.08984375" customWidth="1"/>
    <col min="6" max="6" width="12.1796875" customWidth="1"/>
    <col min="7" max="7" width="14" customWidth="1"/>
    <col min="8" max="8" width="10.54296875" customWidth="1"/>
    <col min="10" max="10" width="12.81640625" customWidth="1"/>
    <col min="13" max="13" width="10" customWidth="1"/>
    <col min="14" max="14" width="12.08984375" customWidth="1"/>
  </cols>
  <sheetData>
    <row r="1" spans="1:16" ht="56.5" x14ac:dyDescent="0.35">
      <c r="A1" s="1"/>
      <c r="B1" s="4" t="s">
        <v>62</v>
      </c>
      <c r="C1" s="2" t="s">
        <v>66</v>
      </c>
      <c r="D1" s="2" t="s">
        <v>63</v>
      </c>
      <c r="E1" s="2" t="s">
        <v>67</v>
      </c>
      <c r="F1" s="2" t="s">
        <v>64</v>
      </c>
      <c r="G1" s="2" t="s">
        <v>65</v>
      </c>
      <c r="H1" s="2" t="s">
        <v>44</v>
      </c>
      <c r="I1" s="2" t="s">
        <v>45</v>
      </c>
      <c r="J1" s="2" t="s">
        <v>48</v>
      </c>
      <c r="K1" s="2" t="s">
        <v>51</v>
      </c>
      <c r="L1" s="2" t="s">
        <v>52</v>
      </c>
      <c r="M1" s="2" t="s">
        <v>46</v>
      </c>
      <c r="N1" s="2" t="s">
        <v>57</v>
      </c>
      <c r="O1" s="2" t="s">
        <v>47</v>
      </c>
      <c r="P1" s="2" t="s">
        <v>69</v>
      </c>
    </row>
    <row r="2" spans="1:16" x14ac:dyDescent="0.35">
      <c r="A2" s="1" t="s">
        <v>58</v>
      </c>
      <c r="B2" s="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3">
        <f>SUM(B2:M2)</f>
        <v>0</v>
      </c>
      <c r="O2" s="2"/>
    </row>
    <row r="3" spans="1:16" x14ac:dyDescent="0.35">
      <c r="A3" s="1" t="s">
        <v>25</v>
      </c>
      <c r="B3" s="7">
        <v>611</v>
      </c>
      <c r="C3" s="7"/>
      <c r="D3" s="7">
        <v>145</v>
      </c>
      <c r="E3" s="7"/>
      <c r="F3" s="7">
        <v>529</v>
      </c>
      <c r="G3" s="7"/>
      <c r="H3" s="7"/>
      <c r="I3" s="7">
        <v>2950</v>
      </c>
      <c r="J3" s="7"/>
      <c r="K3" s="7"/>
      <c r="L3" s="7"/>
      <c r="M3" s="7"/>
      <c r="N3" s="3">
        <f t="shared" ref="N3:N48" si="0">SUM(B3:M3)</f>
        <v>4235</v>
      </c>
      <c r="O3" s="1" t="s">
        <v>77</v>
      </c>
    </row>
    <row r="4" spans="1:16" x14ac:dyDescent="0.35">
      <c r="A4" s="1" t="s">
        <v>0</v>
      </c>
      <c r="B4" s="7">
        <v>780</v>
      </c>
      <c r="C4" s="7">
        <v>385</v>
      </c>
      <c r="D4" s="7"/>
      <c r="E4" s="7"/>
      <c r="F4" s="7">
        <v>143</v>
      </c>
      <c r="G4" s="7"/>
      <c r="H4" s="7">
        <v>247</v>
      </c>
      <c r="I4" s="7">
        <v>257</v>
      </c>
      <c r="J4" s="7">
        <v>1113</v>
      </c>
      <c r="K4" s="7"/>
      <c r="L4" s="7"/>
      <c r="M4" s="7">
        <v>1194</v>
      </c>
      <c r="N4" s="3">
        <f t="shared" si="0"/>
        <v>4119</v>
      </c>
      <c r="O4" s="1" t="s">
        <v>49</v>
      </c>
      <c r="P4" t="s">
        <v>70</v>
      </c>
    </row>
    <row r="5" spans="1:16" x14ac:dyDescent="0.35">
      <c r="A5" s="1" t="s">
        <v>1</v>
      </c>
      <c r="B5" s="7">
        <v>60</v>
      </c>
      <c r="C5" s="7">
        <v>48</v>
      </c>
      <c r="D5" s="7">
        <v>7</v>
      </c>
      <c r="E5" s="7">
        <v>10</v>
      </c>
      <c r="F5" s="7">
        <v>95</v>
      </c>
      <c r="G5" s="7">
        <v>60</v>
      </c>
      <c r="H5" s="7">
        <v>40</v>
      </c>
      <c r="I5" s="7" t="s">
        <v>50</v>
      </c>
      <c r="J5" s="7">
        <v>189</v>
      </c>
      <c r="K5" s="7">
        <v>120</v>
      </c>
      <c r="L5" s="7">
        <v>30</v>
      </c>
      <c r="M5" s="7">
        <v>597</v>
      </c>
      <c r="N5" s="3">
        <f t="shared" si="0"/>
        <v>1256</v>
      </c>
      <c r="O5" s="1" t="s">
        <v>53</v>
      </c>
    </row>
    <row r="6" spans="1:16" x14ac:dyDescent="0.35">
      <c r="A6" s="1" t="s">
        <v>9</v>
      </c>
      <c r="B6" s="7">
        <v>1492</v>
      </c>
      <c r="C6" s="7">
        <v>385</v>
      </c>
      <c r="D6" s="7">
        <v>62</v>
      </c>
      <c r="E6" s="7"/>
      <c r="F6" s="7">
        <v>594</v>
      </c>
      <c r="G6" s="7"/>
      <c r="H6" s="7">
        <v>1170</v>
      </c>
      <c r="I6" s="7">
        <v>1170</v>
      </c>
      <c r="J6" s="7"/>
      <c r="K6" s="7"/>
      <c r="L6" s="7"/>
      <c r="M6" s="7"/>
      <c r="N6" s="3">
        <f t="shared" si="0"/>
        <v>4873</v>
      </c>
      <c r="O6" s="1"/>
    </row>
    <row r="7" spans="1:16" x14ac:dyDescent="0.35">
      <c r="A7" s="1" t="s">
        <v>26</v>
      </c>
      <c r="B7" s="7">
        <v>325</v>
      </c>
      <c r="C7" s="7">
        <v>240</v>
      </c>
      <c r="D7" s="7"/>
      <c r="E7" s="7"/>
      <c r="F7" s="7">
        <v>39</v>
      </c>
      <c r="G7" s="7"/>
      <c r="H7" s="7">
        <v>196</v>
      </c>
      <c r="I7" s="7">
        <v>1467</v>
      </c>
      <c r="J7" s="7">
        <v>322</v>
      </c>
      <c r="K7" s="7"/>
      <c r="L7" s="7"/>
      <c r="M7" s="7">
        <v>194</v>
      </c>
      <c r="N7" s="3">
        <f t="shared" si="0"/>
        <v>2783</v>
      </c>
      <c r="O7" s="1" t="s">
        <v>78</v>
      </c>
    </row>
    <row r="8" spans="1:16" s="9" customFormat="1" x14ac:dyDescent="0.35">
      <c r="A8" s="8" t="s">
        <v>10</v>
      </c>
      <c r="B8" s="19">
        <v>78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3">
        <f t="shared" si="0"/>
        <v>78</v>
      </c>
      <c r="O8" s="8"/>
    </row>
    <row r="9" spans="1:16" s="6" customFormat="1" x14ac:dyDescent="0.35">
      <c r="A9" s="5" t="s">
        <v>27</v>
      </c>
      <c r="B9" s="20"/>
      <c r="C9" s="20"/>
      <c r="D9" s="20"/>
      <c r="E9" s="20">
        <v>7</v>
      </c>
      <c r="F9" s="20"/>
      <c r="G9" s="20"/>
      <c r="H9" s="20"/>
      <c r="I9" s="20"/>
      <c r="J9" s="20"/>
      <c r="K9" s="20"/>
      <c r="L9" s="20"/>
      <c r="M9" s="20">
        <v>83</v>
      </c>
      <c r="N9" s="3">
        <f t="shared" si="0"/>
        <v>90</v>
      </c>
      <c r="O9" s="5"/>
    </row>
    <row r="10" spans="1:16" s="9" customFormat="1" x14ac:dyDescent="0.35">
      <c r="A10" s="8" t="s">
        <v>28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3">
        <f t="shared" si="0"/>
        <v>0</v>
      </c>
      <c r="O10" s="8"/>
    </row>
    <row r="11" spans="1:16" x14ac:dyDescent="0.35">
      <c r="A11" s="1" t="s">
        <v>11</v>
      </c>
      <c r="B11" s="7">
        <v>330</v>
      </c>
      <c r="C11" s="7">
        <v>30</v>
      </c>
      <c r="D11" s="7"/>
      <c r="E11" s="7"/>
      <c r="F11" s="7">
        <v>80</v>
      </c>
      <c r="G11" s="7">
        <v>180</v>
      </c>
      <c r="H11" s="7">
        <v>2084</v>
      </c>
      <c r="I11" s="7">
        <v>29020</v>
      </c>
      <c r="J11" s="7">
        <v>220</v>
      </c>
      <c r="K11" s="7"/>
      <c r="L11" s="7"/>
      <c r="M11" s="7"/>
      <c r="N11" s="3">
        <f t="shared" si="0"/>
        <v>31944</v>
      </c>
      <c r="O11" s="1"/>
    </row>
    <row r="12" spans="1:16" x14ac:dyDescent="0.35">
      <c r="A12" s="1" t="s">
        <v>2</v>
      </c>
      <c r="B12" s="7"/>
      <c r="C12" s="7"/>
      <c r="D12" s="7"/>
      <c r="E12" s="7"/>
      <c r="F12" s="7"/>
      <c r="G12" s="7"/>
      <c r="H12" s="7">
        <v>29</v>
      </c>
      <c r="I12" s="7">
        <v>40</v>
      </c>
      <c r="J12" s="7"/>
      <c r="K12" s="7"/>
      <c r="L12" s="7"/>
      <c r="M12" s="7"/>
      <c r="N12" s="3">
        <f t="shared" si="0"/>
        <v>69</v>
      </c>
      <c r="O12" s="1" t="s">
        <v>54</v>
      </c>
    </row>
    <row r="13" spans="1:16" x14ac:dyDescent="0.35">
      <c r="A13" s="1" t="s">
        <v>3</v>
      </c>
      <c r="B13" s="7">
        <v>60</v>
      </c>
      <c r="C13" s="7">
        <v>315</v>
      </c>
      <c r="D13" s="7"/>
      <c r="E13" s="7">
        <v>10</v>
      </c>
      <c r="F13" s="7"/>
      <c r="G13" s="7">
        <v>5</v>
      </c>
      <c r="H13" s="7">
        <v>120</v>
      </c>
      <c r="I13" s="7">
        <v>60</v>
      </c>
      <c r="J13" s="7"/>
      <c r="K13" s="7"/>
      <c r="L13" s="7">
        <v>50</v>
      </c>
      <c r="M13" s="7">
        <v>408</v>
      </c>
      <c r="N13" s="3">
        <f t="shared" si="0"/>
        <v>1028</v>
      </c>
      <c r="O13" s="1" t="s">
        <v>53</v>
      </c>
    </row>
    <row r="14" spans="1:16" s="11" customFormat="1" x14ac:dyDescent="0.35">
      <c r="A14" s="10" t="s">
        <v>29</v>
      </c>
      <c r="B14" s="7">
        <v>254</v>
      </c>
      <c r="C14" s="7">
        <v>48</v>
      </c>
      <c r="D14" s="7"/>
      <c r="E14" s="7"/>
      <c r="F14" s="7"/>
      <c r="G14" s="7">
        <v>151</v>
      </c>
      <c r="H14" s="7"/>
      <c r="I14" s="7">
        <v>1007</v>
      </c>
      <c r="J14" s="7">
        <v>1106</v>
      </c>
      <c r="K14" s="7"/>
      <c r="L14" s="7"/>
      <c r="M14" s="7">
        <v>450</v>
      </c>
      <c r="N14" s="3">
        <f t="shared" si="0"/>
        <v>3016</v>
      </c>
      <c r="O14" s="10"/>
    </row>
    <row r="15" spans="1:16" x14ac:dyDescent="0.35">
      <c r="A15" s="1" t="s">
        <v>30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>
        <v>84</v>
      </c>
      <c r="N15" s="3">
        <f t="shared" si="0"/>
        <v>84</v>
      </c>
      <c r="O15" s="1"/>
    </row>
    <row r="16" spans="1:16" x14ac:dyDescent="0.35">
      <c r="A16" s="1" t="s">
        <v>59</v>
      </c>
      <c r="B16" s="7">
        <v>767</v>
      </c>
      <c r="C16" s="7"/>
      <c r="D16" s="7"/>
      <c r="E16" s="7"/>
      <c r="F16" s="7"/>
      <c r="G16" s="7"/>
      <c r="H16" s="7">
        <v>492</v>
      </c>
      <c r="I16" s="7">
        <v>962</v>
      </c>
      <c r="J16" s="7">
        <v>27</v>
      </c>
      <c r="K16" s="7"/>
      <c r="L16" s="7"/>
      <c r="M16" s="7">
        <v>1304</v>
      </c>
      <c r="N16" s="3">
        <f t="shared" si="0"/>
        <v>3552</v>
      </c>
      <c r="O16" s="1"/>
    </row>
    <row r="17" spans="1:16" x14ac:dyDescent="0.35">
      <c r="A17" s="1" t="s">
        <v>4</v>
      </c>
      <c r="B17" s="7"/>
      <c r="C17" s="7"/>
      <c r="D17" s="7"/>
      <c r="E17" s="7"/>
      <c r="F17" s="7"/>
      <c r="G17" s="7"/>
      <c r="H17" s="7"/>
      <c r="I17" s="7">
        <v>400</v>
      </c>
      <c r="J17" s="7"/>
      <c r="K17" s="7"/>
      <c r="L17" s="7"/>
      <c r="M17" s="7">
        <v>1023</v>
      </c>
      <c r="N17" s="3">
        <f t="shared" si="0"/>
        <v>1423</v>
      </c>
      <c r="O17" s="1" t="s">
        <v>55</v>
      </c>
    </row>
    <row r="18" spans="1:16" x14ac:dyDescent="0.35">
      <c r="A18" s="1" t="s">
        <v>12</v>
      </c>
      <c r="B18" s="7"/>
      <c r="C18" s="7"/>
      <c r="D18" s="7"/>
      <c r="E18" s="7"/>
      <c r="F18" s="7">
        <v>44</v>
      </c>
      <c r="G18" s="7">
        <v>30</v>
      </c>
      <c r="H18" s="7">
        <v>80</v>
      </c>
      <c r="I18" s="7">
        <v>160</v>
      </c>
      <c r="J18" s="7">
        <v>78</v>
      </c>
      <c r="K18" s="7"/>
      <c r="L18" s="7"/>
      <c r="M18" s="7">
        <v>58</v>
      </c>
      <c r="N18" s="3">
        <f t="shared" si="0"/>
        <v>450</v>
      </c>
      <c r="O18" s="1"/>
    </row>
    <row r="19" spans="1:16" x14ac:dyDescent="0.35">
      <c r="A19" s="1" t="s">
        <v>5</v>
      </c>
      <c r="B19" s="7">
        <v>3114</v>
      </c>
      <c r="C19" s="7">
        <v>880</v>
      </c>
      <c r="D19" s="7">
        <v>189</v>
      </c>
      <c r="E19" s="7">
        <v>64</v>
      </c>
      <c r="F19" s="7">
        <v>699</v>
      </c>
      <c r="G19" s="7">
        <v>2878</v>
      </c>
      <c r="H19" s="7">
        <v>2440</v>
      </c>
      <c r="I19" s="7">
        <v>6298</v>
      </c>
      <c r="J19" s="7">
        <v>1220</v>
      </c>
      <c r="K19" s="7">
        <v>9363</v>
      </c>
      <c r="L19" s="7">
        <v>1613</v>
      </c>
      <c r="M19" s="7">
        <v>3672</v>
      </c>
      <c r="N19" s="3">
        <f t="shared" si="0"/>
        <v>32430</v>
      </c>
      <c r="O19" s="1" t="s">
        <v>56</v>
      </c>
      <c r="P19" t="s">
        <v>79</v>
      </c>
    </row>
    <row r="20" spans="1:16" x14ac:dyDescent="0.35">
      <c r="A20" s="1" t="s">
        <v>13</v>
      </c>
      <c r="B20" s="7">
        <v>46</v>
      </c>
      <c r="C20" s="7">
        <v>16</v>
      </c>
      <c r="D20" s="7"/>
      <c r="E20" s="7"/>
      <c r="F20" s="7">
        <v>2</v>
      </c>
      <c r="G20" s="7"/>
      <c r="H20" s="7">
        <v>34</v>
      </c>
      <c r="I20" s="7">
        <v>95</v>
      </c>
      <c r="J20" s="7">
        <v>6</v>
      </c>
      <c r="K20" s="7"/>
      <c r="L20" s="7"/>
      <c r="M20" s="7"/>
      <c r="N20" s="3">
        <f t="shared" si="0"/>
        <v>199</v>
      </c>
      <c r="O20" s="1"/>
    </row>
    <row r="21" spans="1:16" x14ac:dyDescent="0.35">
      <c r="A21" s="1" t="s">
        <v>14</v>
      </c>
      <c r="B21" s="7">
        <v>23</v>
      </c>
      <c r="C21" s="7"/>
      <c r="D21" s="7"/>
      <c r="E21" s="7"/>
      <c r="F21" s="7"/>
      <c r="G21" s="7"/>
      <c r="H21" s="7"/>
      <c r="I21" s="7">
        <v>137</v>
      </c>
      <c r="J21" s="7">
        <v>6</v>
      </c>
      <c r="K21" s="7"/>
      <c r="L21" s="7"/>
      <c r="M21" s="7"/>
      <c r="N21" s="3">
        <f t="shared" si="0"/>
        <v>166</v>
      </c>
      <c r="O21" s="1"/>
    </row>
    <row r="22" spans="1:16" x14ac:dyDescent="0.35">
      <c r="A22" s="1" t="s">
        <v>15</v>
      </c>
      <c r="B22" s="7">
        <v>1566</v>
      </c>
      <c r="C22" s="7"/>
      <c r="D22" s="7"/>
      <c r="E22" s="7"/>
      <c r="F22" s="7">
        <v>343</v>
      </c>
      <c r="G22" s="7"/>
      <c r="H22" s="7">
        <v>4827</v>
      </c>
      <c r="I22" s="7">
        <v>19916</v>
      </c>
      <c r="J22" s="7">
        <v>396</v>
      </c>
      <c r="K22" s="7"/>
      <c r="L22" s="7"/>
      <c r="M22" s="7"/>
      <c r="N22" s="3">
        <f t="shared" si="0"/>
        <v>27048</v>
      </c>
      <c r="O22" s="1"/>
      <c r="P22" t="s">
        <v>80</v>
      </c>
    </row>
    <row r="23" spans="1:16" x14ac:dyDescent="0.35">
      <c r="A23" s="1" t="s">
        <v>16</v>
      </c>
      <c r="B23" s="7">
        <v>767</v>
      </c>
      <c r="C23" s="7">
        <v>74</v>
      </c>
      <c r="D23" s="7"/>
      <c r="E23" s="7"/>
      <c r="F23" s="7">
        <v>113</v>
      </c>
      <c r="G23" s="7">
        <v>34</v>
      </c>
      <c r="H23" s="7">
        <v>492</v>
      </c>
      <c r="I23" s="7">
        <v>964</v>
      </c>
      <c r="J23" s="7">
        <v>27</v>
      </c>
      <c r="K23" s="7"/>
      <c r="L23" s="7"/>
      <c r="M23" s="7">
        <v>1304</v>
      </c>
      <c r="N23" s="3">
        <f t="shared" si="0"/>
        <v>3775</v>
      </c>
      <c r="O23" s="1"/>
    </row>
    <row r="24" spans="1:16" s="6" customFormat="1" x14ac:dyDescent="0.35">
      <c r="A24" s="5" t="s">
        <v>17</v>
      </c>
      <c r="B24" s="20"/>
      <c r="C24" s="20"/>
      <c r="D24" s="20"/>
      <c r="E24" s="20"/>
      <c r="F24" s="20"/>
      <c r="G24" s="20"/>
      <c r="H24" s="20"/>
      <c r="I24" s="20"/>
      <c r="J24" s="20">
        <v>23</v>
      </c>
      <c r="K24" s="20"/>
      <c r="L24" s="20"/>
      <c r="M24" s="20">
        <v>489</v>
      </c>
      <c r="N24" s="3">
        <f t="shared" si="0"/>
        <v>512</v>
      </c>
      <c r="O24" s="5"/>
    </row>
    <row r="25" spans="1:16" x14ac:dyDescent="0.35">
      <c r="A25" s="1" t="s">
        <v>18</v>
      </c>
      <c r="B25" s="7">
        <v>558</v>
      </c>
      <c r="C25" s="7"/>
      <c r="D25" s="7">
        <v>36</v>
      </c>
      <c r="E25" s="7"/>
      <c r="F25" s="7">
        <v>379</v>
      </c>
      <c r="G25" s="7">
        <v>20</v>
      </c>
      <c r="H25" s="7"/>
      <c r="I25" s="7">
        <v>1070</v>
      </c>
      <c r="J25" s="7">
        <v>519</v>
      </c>
      <c r="K25" s="7">
        <v>128</v>
      </c>
      <c r="L25" s="7"/>
      <c r="M25" s="7">
        <v>366</v>
      </c>
      <c r="N25" s="3">
        <f t="shared" si="0"/>
        <v>3076</v>
      </c>
      <c r="O25" s="1" t="s">
        <v>72</v>
      </c>
      <c r="P25" t="s">
        <v>71</v>
      </c>
    </row>
    <row r="26" spans="1:16" s="12" customFormat="1" x14ac:dyDescent="0.35">
      <c r="A26" s="7" t="s">
        <v>31</v>
      </c>
      <c r="B26" s="7">
        <v>8</v>
      </c>
      <c r="C26" s="7">
        <v>22</v>
      </c>
      <c r="D26" s="7">
        <v>8</v>
      </c>
      <c r="E26" s="7"/>
      <c r="F26" s="12">
        <v>33</v>
      </c>
      <c r="G26" s="7">
        <v>20</v>
      </c>
      <c r="H26" s="7">
        <v>69</v>
      </c>
      <c r="I26" s="7">
        <v>376</v>
      </c>
      <c r="J26" s="7">
        <v>20</v>
      </c>
      <c r="K26" s="7"/>
      <c r="L26" s="7"/>
      <c r="M26" s="7"/>
      <c r="N26" s="3">
        <f t="shared" si="0"/>
        <v>556</v>
      </c>
      <c r="O26" s="7"/>
      <c r="P26" s="12" t="s">
        <v>73</v>
      </c>
    </row>
    <row r="27" spans="1:16" x14ac:dyDescent="0.35">
      <c r="A27" s="1" t="s">
        <v>32</v>
      </c>
      <c r="B27" s="7">
        <v>29</v>
      </c>
      <c r="C27" s="7">
        <v>50</v>
      </c>
      <c r="D27" s="7"/>
      <c r="E27" s="7"/>
      <c r="F27" s="7">
        <v>22</v>
      </c>
      <c r="G27" s="7"/>
      <c r="H27" s="7"/>
      <c r="I27" s="7">
        <v>63</v>
      </c>
      <c r="J27" s="7">
        <v>56</v>
      </c>
      <c r="K27" s="7"/>
      <c r="L27" s="7"/>
      <c r="M27" s="7">
        <v>50</v>
      </c>
      <c r="N27" s="3">
        <f t="shared" si="0"/>
        <v>270</v>
      </c>
      <c r="O27" s="1"/>
    </row>
    <row r="28" spans="1:16" x14ac:dyDescent="0.35">
      <c r="A28" s="1" t="s">
        <v>19</v>
      </c>
      <c r="B28" s="7">
        <v>316</v>
      </c>
      <c r="C28" s="7">
        <v>156</v>
      </c>
      <c r="D28" s="7"/>
      <c r="E28" s="7"/>
      <c r="F28" s="7"/>
      <c r="G28" s="7"/>
      <c r="H28" s="7">
        <v>2473</v>
      </c>
      <c r="I28" s="12">
        <v>2540</v>
      </c>
      <c r="J28" s="7">
        <v>116</v>
      </c>
      <c r="K28" s="7"/>
      <c r="L28" s="7"/>
      <c r="M28" s="7">
        <v>297</v>
      </c>
      <c r="N28" s="3">
        <f t="shared" si="0"/>
        <v>5898</v>
      </c>
      <c r="O28" s="1"/>
    </row>
    <row r="29" spans="1:16" x14ac:dyDescent="0.35">
      <c r="A29" s="1" t="s">
        <v>33</v>
      </c>
      <c r="B29" s="7">
        <v>115</v>
      </c>
      <c r="C29" s="7">
        <v>167</v>
      </c>
      <c r="D29" s="7"/>
      <c r="E29" s="7"/>
      <c r="F29" s="7">
        <v>110</v>
      </c>
      <c r="G29" s="7">
        <v>189</v>
      </c>
      <c r="H29" s="7">
        <v>1171</v>
      </c>
      <c r="I29" s="7">
        <v>386</v>
      </c>
      <c r="J29" s="12">
        <v>175</v>
      </c>
      <c r="K29" s="7"/>
      <c r="L29" s="7"/>
      <c r="M29" s="7">
        <v>616</v>
      </c>
      <c r="N29" s="3">
        <f t="shared" si="0"/>
        <v>2929</v>
      </c>
      <c r="O29" s="1"/>
    </row>
    <row r="30" spans="1:16" s="9" customFormat="1" x14ac:dyDescent="0.35">
      <c r="A30" s="8" t="s">
        <v>34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3">
        <f t="shared" si="0"/>
        <v>0</v>
      </c>
      <c r="O30" s="8"/>
    </row>
    <row r="31" spans="1:16" s="6" customFormat="1" x14ac:dyDescent="0.35">
      <c r="A31" s="5" t="s">
        <v>35</v>
      </c>
      <c r="B31" s="20"/>
      <c r="C31" s="20">
        <v>76</v>
      </c>
      <c r="D31" s="20"/>
      <c r="E31" s="20"/>
      <c r="F31" s="20"/>
      <c r="G31" s="20"/>
      <c r="H31" s="20"/>
      <c r="I31" s="20">
        <v>113</v>
      </c>
      <c r="J31" s="20"/>
      <c r="K31" s="20"/>
      <c r="L31" s="20"/>
      <c r="M31" s="20">
        <v>366</v>
      </c>
      <c r="N31" s="3">
        <f t="shared" si="0"/>
        <v>555</v>
      </c>
      <c r="O31" s="5"/>
    </row>
    <row r="32" spans="1:16" s="9" customFormat="1" x14ac:dyDescent="0.35">
      <c r="A32" s="8" t="s">
        <v>36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3">
        <f t="shared" si="0"/>
        <v>0</v>
      </c>
      <c r="O32" s="8"/>
    </row>
    <row r="33" spans="1:16" x14ac:dyDescent="0.35">
      <c r="A33" s="1" t="s">
        <v>6</v>
      </c>
      <c r="B33" s="7">
        <v>819</v>
      </c>
      <c r="C33" s="7">
        <v>146</v>
      </c>
      <c r="D33" s="7">
        <v>161</v>
      </c>
      <c r="E33" s="7"/>
      <c r="F33" s="7"/>
      <c r="G33" s="7">
        <v>112</v>
      </c>
      <c r="H33" s="7">
        <v>140</v>
      </c>
      <c r="I33" s="7">
        <v>580</v>
      </c>
      <c r="J33" s="7">
        <v>248</v>
      </c>
      <c r="K33" s="7"/>
      <c r="L33" s="7">
        <v>20</v>
      </c>
      <c r="M33" s="7"/>
      <c r="N33" s="3">
        <f t="shared" si="0"/>
        <v>2226</v>
      </c>
      <c r="O33" s="1"/>
      <c r="P33" t="s">
        <v>74</v>
      </c>
    </row>
    <row r="34" spans="1:16" s="14" customFormat="1" x14ac:dyDescent="0.35">
      <c r="A34" s="13" t="s">
        <v>37</v>
      </c>
      <c r="B34" s="7">
        <v>475</v>
      </c>
      <c r="C34" s="7">
        <v>3</v>
      </c>
      <c r="D34" s="7"/>
      <c r="E34" s="7"/>
      <c r="F34" s="7">
        <v>247</v>
      </c>
      <c r="G34" s="7">
        <v>31</v>
      </c>
      <c r="H34" s="7">
        <v>1414</v>
      </c>
      <c r="I34" s="7">
        <v>200</v>
      </c>
      <c r="J34" s="7">
        <v>121</v>
      </c>
      <c r="K34" s="7"/>
      <c r="L34" s="7"/>
      <c r="M34" s="7">
        <v>175</v>
      </c>
      <c r="N34" s="3">
        <f t="shared" si="0"/>
        <v>2666</v>
      </c>
      <c r="O34" s="13"/>
      <c r="P34" s="14" t="s">
        <v>81</v>
      </c>
    </row>
    <row r="35" spans="1:16" x14ac:dyDescent="0.35">
      <c r="A35" s="1" t="s">
        <v>7</v>
      </c>
      <c r="B35" s="7">
        <v>370</v>
      </c>
      <c r="C35" s="7">
        <v>14</v>
      </c>
      <c r="D35" s="7"/>
      <c r="E35" s="7"/>
      <c r="F35" s="7"/>
      <c r="G35" s="7"/>
      <c r="H35" s="7">
        <v>124</v>
      </c>
      <c r="I35" s="7">
        <v>305</v>
      </c>
      <c r="J35" s="7">
        <v>45</v>
      </c>
      <c r="K35" s="7">
        <v>234</v>
      </c>
      <c r="L35" s="7"/>
      <c r="M35" s="7">
        <v>1891</v>
      </c>
      <c r="N35" s="3">
        <f t="shared" si="0"/>
        <v>2983</v>
      </c>
      <c r="O35" s="1" t="s">
        <v>61</v>
      </c>
    </row>
    <row r="36" spans="1:16" x14ac:dyDescent="0.35">
      <c r="A36" s="1" t="s">
        <v>38</v>
      </c>
      <c r="B36" s="7">
        <v>4340</v>
      </c>
      <c r="C36" s="7"/>
      <c r="D36" s="7">
        <v>459</v>
      </c>
      <c r="E36" s="7"/>
      <c r="F36" s="7"/>
      <c r="G36" s="7"/>
      <c r="H36" s="7">
        <v>375</v>
      </c>
      <c r="I36" s="7">
        <v>12835</v>
      </c>
      <c r="J36" s="7">
        <v>1774</v>
      </c>
      <c r="K36" s="7"/>
      <c r="L36" s="7"/>
      <c r="M36" s="7"/>
      <c r="N36" s="3">
        <f t="shared" si="0"/>
        <v>19783</v>
      </c>
      <c r="O36" s="1"/>
    </row>
    <row r="37" spans="1:16" x14ac:dyDescent="0.35">
      <c r="A37" s="1" t="s">
        <v>39</v>
      </c>
      <c r="B37" s="7">
        <v>11</v>
      </c>
      <c r="C37" s="7"/>
      <c r="D37" s="7"/>
      <c r="E37" s="7"/>
      <c r="F37" s="7">
        <v>95</v>
      </c>
      <c r="G37" s="7"/>
      <c r="H37" s="7">
        <v>176</v>
      </c>
      <c r="I37" s="7">
        <v>355</v>
      </c>
      <c r="J37" s="7"/>
      <c r="K37" s="7"/>
      <c r="L37" s="7"/>
      <c r="M37" s="7">
        <v>81</v>
      </c>
      <c r="N37" s="3">
        <f t="shared" si="0"/>
        <v>718</v>
      </c>
      <c r="O37" s="1"/>
    </row>
    <row r="38" spans="1:16" s="9" customFormat="1" x14ac:dyDescent="0.35">
      <c r="A38" s="8" t="s">
        <v>60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3">
        <f t="shared" si="0"/>
        <v>0</v>
      </c>
      <c r="O38" s="8"/>
    </row>
    <row r="39" spans="1:16" x14ac:dyDescent="0.35">
      <c r="A39" s="1" t="s">
        <v>20</v>
      </c>
      <c r="B39" s="7">
        <v>529</v>
      </c>
      <c r="C39" s="7"/>
      <c r="D39" s="7">
        <v>70</v>
      </c>
      <c r="E39" s="7"/>
      <c r="F39" s="7">
        <v>289</v>
      </c>
      <c r="G39" s="7"/>
      <c r="H39" s="7">
        <v>3600</v>
      </c>
      <c r="I39" s="7">
        <v>3500</v>
      </c>
      <c r="J39" s="7">
        <v>36</v>
      </c>
      <c r="K39" s="7"/>
      <c r="L39" s="7"/>
      <c r="M39" s="7">
        <v>710</v>
      </c>
      <c r="N39" s="3">
        <f t="shared" si="0"/>
        <v>8734</v>
      </c>
      <c r="O39" s="1"/>
      <c r="P39" t="s">
        <v>82</v>
      </c>
    </row>
    <row r="40" spans="1:16" x14ac:dyDescent="0.35">
      <c r="A40" s="1" t="s">
        <v>21</v>
      </c>
      <c r="B40" s="7">
        <v>10</v>
      </c>
      <c r="C40" s="7"/>
      <c r="D40" s="7"/>
      <c r="E40" s="7"/>
      <c r="F40" s="7"/>
      <c r="G40" s="7">
        <v>20</v>
      </c>
      <c r="H40" s="7">
        <v>10</v>
      </c>
      <c r="I40" s="7">
        <v>40</v>
      </c>
      <c r="J40" s="7"/>
      <c r="K40" s="7"/>
      <c r="L40" s="7"/>
      <c r="M40" s="7">
        <v>80</v>
      </c>
      <c r="N40" s="3">
        <f t="shared" si="0"/>
        <v>160</v>
      </c>
      <c r="O40" s="1"/>
    </row>
    <row r="41" spans="1:16" x14ac:dyDescent="0.35">
      <c r="A41" s="1" t="s">
        <v>40</v>
      </c>
      <c r="B41" s="7">
        <v>217</v>
      </c>
      <c r="C41" s="7"/>
      <c r="D41" s="7"/>
      <c r="E41" s="7"/>
      <c r="F41" s="7">
        <v>69</v>
      </c>
      <c r="G41" s="7">
        <v>51</v>
      </c>
      <c r="H41" s="7">
        <v>120</v>
      </c>
      <c r="I41" s="7">
        <v>1755</v>
      </c>
      <c r="J41" s="7">
        <v>90</v>
      </c>
      <c r="K41" s="7"/>
      <c r="L41" s="7"/>
      <c r="M41" s="7">
        <v>186</v>
      </c>
      <c r="N41" s="3">
        <f t="shared" si="0"/>
        <v>2488</v>
      </c>
      <c r="O41" s="1"/>
      <c r="P41" t="s">
        <v>75</v>
      </c>
    </row>
    <row r="42" spans="1:16" x14ac:dyDescent="0.35">
      <c r="A42" s="1" t="s">
        <v>41</v>
      </c>
      <c r="B42" s="7">
        <v>998</v>
      </c>
      <c r="C42" s="7"/>
      <c r="D42" s="7">
        <v>805</v>
      </c>
      <c r="E42" s="7"/>
      <c r="F42" s="7">
        <v>1291</v>
      </c>
      <c r="G42" s="7"/>
      <c r="H42" s="7"/>
      <c r="I42" s="7">
        <v>3154</v>
      </c>
      <c r="J42" s="7">
        <v>451</v>
      </c>
      <c r="K42" s="7"/>
      <c r="L42" s="7"/>
      <c r="M42" s="7">
        <v>13559</v>
      </c>
      <c r="N42" s="3">
        <f t="shared" si="0"/>
        <v>20258</v>
      </c>
      <c r="O42" s="1"/>
      <c r="P42" t="s">
        <v>76</v>
      </c>
    </row>
    <row r="43" spans="1:16" x14ac:dyDescent="0.35">
      <c r="A43" s="1" t="s">
        <v>22</v>
      </c>
      <c r="B43" s="7"/>
      <c r="C43" s="7"/>
      <c r="D43" s="7"/>
      <c r="E43" s="7"/>
      <c r="F43" s="7"/>
      <c r="G43" s="7"/>
      <c r="H43" s="7">
        <v>307</v>
      </c>
      <c r="I43" s="7">
        <v>241</v>
      </c>
      <c r="J43" s="7">
        <v>681</v>
      </c>
      <c r="K43" s="7"/>
      <c r="L43" s="7"/>
      <c r="M43" s="7">
        <v>484</v>
      </c>
      <c r="N43" s="3">
        <f t="shared" si="0"/>
        <v>1713</v>
      </c>
      <c r="O43" s="1"/>
      <c r="P43" t="s">
        <v>78</v>
      </c>
    </row>
    <row r="44" spans="1:16" x14ac:dyDescent="0.35">
      <c r="A44" s="1" t="s">
        <v>42</v>
      </c>
      <c r="B44" s="7">
        <v>330</v>
      </c>
      <c r="C44" s="7">
        <v>1597</v>
      </c>
      <c r="D44" s="7">
        <v>80</v>
      </c>
      <c r="E44" s="7"/>
      <c r="F44" s="7"/>
      <c r="G44" s="7">
        <v>629</v>
      </c>
      <c r="H44" s="7">
        <v>2084</v>
      </c>
      <c r="I44" s="7">
        <v>2920</v>
      </c>
      <c r="J44" s="7">
        <v>17</v>
      </c>
      <c r="K44" s="7"/>
      <c r="L44" s="7"/>
      <c r="M44" s="7">
        <v>5457</v>
      </c>
      <c r="N44" s="3">
        <f t="shared" si="0"/>
        <v>13114</v>
      </c>
      <c r="O44" s="1"/>
      <c r="P44" t="s">
        <v>83</v>
      </c>
    </row>
    <row r="45" spans="1:16" x14ac:dyDescent="0.35">
      <c r="A45" s="1" t="s">
        <v>23</v>
      </c>
      <c r="B45" s="7">
        <v>77</v>
      </c>
      <c r="C45" s="7">
        <v>37</v>
      </c>
      <c r="D45" s="7"/>
      <c r="E45" s="7"/>
      <c r="F45" s="7">
        <v>60</v>
      </c>
      <c r="G45" s="7"/>
      <c r="H45" s="7">
        <v>130</v>
      </c>
      <c r="I45" s="7">
        <v>240</v>
      </c>
      <c r="J45" s="7">
        <v>215</v>
      </c>
      <c r="K45" s="7"/>
      <c r="L45" s="7"/>
      <c r="M45" s="7">
        <v>250</v>
      </c>
      <c r="N45" s="3">
        <f t="shared" si="0"/>
        <v>1009</v>
      </c>
      <c r="O45" s="1"/>
      <c r="P45" t="s">
        <v>84</v>
      </c>
    </row>
    <row r="46" spans="1:16" x14ac:dyDescent="0.35">
      <c r="A46" s="1" t="s">
        <v>43</v>
      </c>
      <c r="B46" s="7">
        <v>1997</v>
      </c>
      <c r="C46" s="7">
        <v>246</v>
      </c>
      <c r="D46" s="7">
        <v>41</v>
      </c>
      <c r="E46" s="7">
        <v>220</v>
      </c>
      <c r="F46" s="7">
        <v>120</v>
      </c>
      <c r="G46" s="7">
        <v>1860</v>
      </c>
      <c r="H46" s="7">
        <v>8990</v>
      </c>
      <c r="I46" s="7">
        <v>14001</v>
      </c>
      <c r="J46" s="7">
        <v>3610</v>
      </c>
      <c r="K46" s="7"/>
      <c r="L46" s="7"/>
      <c r="M46" s="7">
        <v>1020</v>
      </c>
      <c r="N46" s="3">
        <f t="shared" si="0"/>
        <v>32105</v>
      </c>
      <c r="O46" s="1"/>
      <c r="P46" t="s">
        <v>85</v>
      </c>
    </row>
    <row r="47" spans="1:16" x14ac:dyDescent="0.35">
      <c r="A47" s="1" t="s">
        <v>24</v>
      </c>
      <c r="B47" s="7">
        <v>100</v>
      </c>
      <c r="C47" s="7"/>
      <c r="D47" s="7"/>
      <c r="E47" s="7">
        <v>36</v>
      </c>
      <c r="F47" s="7"/>
      <c r="G47" s="7">
        <v>180</v>
      </c>
      <c r="H47" s="7">
        <v>1939</v>
      </c>
      <c r="I47" s="7">
        <v>5272</v>
      </c>
      <c r="J47" s="7">
        <v>282</v>
      </c>
      <c r="K47" s="7"/>
      <c r="L47" s="7">
        <v>100</v>
      </c>
      <c r="M47" s="7">
        <v>400</v>
      </c>
      <c r="N47" s="3">
        <f t="shared" si="0"/>
        <v>8309</v>
      </c>
      <c r="O47" s="1"/>
      <c r="P47" t="s">
        <v>68</v>
      </c>
    </row>
    <row r="48" spans="1:16" x14ac:dyDescent="0.35">
      <c r="A48" s="1" t="s">
        <v>8</v>
      </c>
      <c r="B48" s="7">
        <v>265</v>
      </c>
      <c r="C48" s="7">
        <v>30</v>
      </c>
      <c r="D48" s="7">
        <v>80</v>
      </c>
      <c r="E48" s="7">
        <v>30</v>
      </c>
      <c r="F48" s="7">
        <v>155</v>
      </c>
      <c r="G48" s="7">
        <v>30</v>
      </c>
      <c r="H48" s="7">
        <v>270</v>
      </c>
      <c r="I48" s="7">
        <v>1100</v>
      </c>
      <c r="J48" s="7">
        <v>358</v>
      </c>
      <c r="K48" s="7"/>
      <c r="L48" s="7"/>
      <c r="M48" s="7">
        <v>421</v>
      </c>
      <c r="N48" s="3">
        <f t="shared" si="0"/>
        <v>2739</v>
      </c>
      <c r="O48" s="1" t="s">
        <v>88</v>
      </c>
    </row>
    <row r="49" spans="1:15" s="17" customFormat="1" x14ac:dyDescent="0.35">
      <c r="A49" s="15" t="s">
        <v>86</v>
      </c>
      <c r="B49" s="15">
        <f>SUM(B2:B48)</f>
        <v>21837</v>
      </c>
      <c r="C49" s="15">
        <f t="shared" ref="C49:M49" si="1">SUM(C2:C48)</f>
        <v>4965</v>
      </c>
      <c r="D49" s="15">
        <f t="shared" si="1"/>
        <v>2143</v>
      </c>
      <c r="E49" s="15">
        <f t="shared" si="1"/>
        <v>377</v>
      </c>
      <c r="F49" s="15">
        <f t="shared" si="1"/>
        <v>5551</v>
      </c>
      <c r="G49" s="15">
        <f t="shared" si="1"/>
        <v>6480</v>
      </c>
      <c r="H49" s="15">
        <f t="shared" si="1"/>
        <v>35643</v>
      </c>
      <c r="I49" s="15">
        <f t="shared" si="1"/>
        <v>115949</v>
      </c>
      <c r="J49" s="15">
        <f t="shared" si="1"/>
        <v>13547</v>
      </c>
      <c r="K49" s="15">
        <f t="shared" si="1"/>
        <v>9845</v>
      </c>
      <c r="L49" s="15">
        <f t="shared" si="1"/>
        <v>1813</v>
      </c>
      <c r="M49" s="15">
        <f t="shared" si="1"/>
        <v>37269</v>
      </c>
      <c r="N49" s="16">
        <f>+SUM(B49:M49)</f>
        <v>255419</v>
      </c>
      <c r="O49" s="15"/>
    </row>
    <row r="50" spans="1:15" x14ac:dyDescent="0.35">
      <c r="A50" s="21" t="s">
        <v>87</v>
      </c>
      <c r="N50" s="3">
        <f>SUM(N2:N48)</f>
        <v>255419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Christmal Christmals</dc:creator>
  <cp:lastModifiedBy>Joseph Mung'atu</cp:lastModifiedBy>
  <dcterms:created xsi:type="dcterms:W3CDTF">2024-02-25T20:47:38Z</dcterms:created>
  <dcterms:modified xsi:type="dcterms:W3CDTF">2024-03-01T12:08:05Z</dcterms:modified>
</cp:coreProperties>
</file>