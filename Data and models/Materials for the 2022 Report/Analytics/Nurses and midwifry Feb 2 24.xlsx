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D42E0303-B88D-422F-B72C-3FDAF8E35C54}" xr6:coauthVersionLast="47" xr6:coauthVersionMax="47" xr10:uidLastSave="{00000000-0000-0000-0000-000000000000}"/>
  <bookViews>
    <workbookView xWindow="-110" yWindow="-110" windowWidth="19420" windowHeight="10300" activeTab="1" xr2:uid="{A9B2B298-09CD-411D-BAC6-8D3768A0EF7C}"/>
  </bookViews>
  <sheets>
    <sheet name="Nursing personnel" sheetId="1" r:id="rId1"/>
    <sheet name="Midwifrey personn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2" l="1"/>
  <c r="D51" i="2"/>
  <c r="E51" i="2"/>
  <c r="C51" i="2"/>
  <c r="D49" i="2"/>
  <c r="E49" i="2"/>
  <c r="F49" i="2"/>
  <c r="G49" i="2"/>
  <c r="H49" i="2"/>
  <c r="C49" i="2"/>
  <c r="E51" i="1"/>
  <c r="D51" i="1"/>
  <c r="C51" i="1"/>
  <c r="F49" i="1"/>
  <c r="G49" i="1"/>
  <c r="H49" i="1"/>
  <c r="E49" i="1"/>
  <c r="D49" i="1"/>
  <c r="C49" i="1"/>
</calcChain>
</file>

<file path=xl/sharedStrings.xml><?xml version="1.0" encoding="utf-8"?>
<sst xmlns="http://schemas.openxmlformats.org/spreadsheetml/2006/main" count="209" uniqueCount="60">
  <si>
    <t>Country</t>
  </si>
  <si>
    <t>Cadre</t>
  </si>
  <si>
    <t>Population 2013</t>
  </si>
  <si>
    <t>Population 2018</t>
  </si>
  <si>
    <t>Population 2022</t>
  </si>
  <si>
    <t>2013 (or most recent before 2013)</t>
  </si>
  <si>
    <t>2018 (or most recent before 2018)</t>
  </si>
  <si>
    <t>2022 (or most recent before 2022)</t>
  </si>
  <si>
    <t>AGO</t>
  </si>
  <si>
    <t>Nursing Personnel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</si>
  <si>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</si>
  <si>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</si>
  <si>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</si>
  <si>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</si>
  <si>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</si>
  <si>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</si>
  <si>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</si>
  <si>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</si>
  <si>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</si>
  <si>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</si>
  <si>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</si>
  <si>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</si>
  <si>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</si>
  <si>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EHI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</si>
  <si>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</si>
  <si>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</si>
  <si>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</si>
  <si>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</si>
  <si>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</si>
  <si>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</si>
  <si>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</si>
  <si>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</si>
  <si>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</si>
  <si>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</si>
  <si>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</si>
  <si>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</si>
  <si>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</si>
  <si>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</si>
  <si>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</si>
  <si>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</si>
  <si>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</si>
  <si>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</si>
  <si>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</si>
  <si>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</si>
  <si>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</si>
  <si>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</si>
  <si>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</si>
  <si>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</si>
  <si>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</si>
  <si>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</si>
  <si>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</si>
  <si>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</si>
  <si>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</si>
  <si>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</si>
  <si>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</si>
  <si>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</si>
  <si>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AFRO</t>
  </si>
  <si>
    <t>Density per 10,000</t>
  </si>
  <si>
    <t>Midwifery personnel</t>
  </si>
  <si>
    <t>Density per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</si>
</sst>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1" applyNumberFormat="1" applyFont="1" applyBorder="1"/>
    <xf numFmtId="164" fontId="0" fillId="0" borderId="0" xfId="0" applyNumberFormat="1"/>
    <xf numFmtId="0" fontId="4" fillId="0" borderId="2" xfId="0" applyFont="1" applyBorder="1"/>
    <xf numFmtId="0" fontId="4" fillId="0" borderId="0" xfId="0" applyFont="1" applyAlignment="1">
      <alignment horizontal="left"/>
    </xf>
    <xf numFmtId="2" fontId="0" fillId="0" borderId="0" xfId="0" applyNumberFormat="1"/>
    <xf numFmtId="0" fontId="4" fillId="0" borderId="0" xfId="0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AA35-4F24-4E7E-B38A-9069A3919889}">
  <dimension ref="A1:H51"/>
  <sheetViews>
    <sheetView topLeftCell="A37" workbookViewId="0">
      <selection activeCell="B54" sqref="B54"/>
    </sheetView>
  </sheetViews>
  <sheetFormatPr defaultRowHeight="14.5" x14ac:dyDescent="0.35"/>
  <cols>
    <col min="2" max="2" width="14.36328125" bestFit="1" customWidth="1"/>
    <col min="3" max="5" width="13.453125" bestFit="1" customWidth="1"/>
    <col min="6" max="8" width="10" bestFit="1" customWidth="1"/>
  </cols>
  <sheetData>
    <row r="1" spans="1:8" ht="77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5" t="s">
        <v>8</v>
      </c>
      <c r="B2" s="6" t="s">
        <v>9</v>
      </c>
      <c r="C2" s="7">
        <v>26147002.000000011</v>
      </c>
      <c r="D2" s="7">
        <v>31273533.000000004</v>
      </c>
      <c r="E2" s="7">
        <v>35588987.00000003</v>
      </c>
      <c r="F2" s="5">
        <v>0</v>
      </c>
      <c r="G2" s="5">
        <v>25108</v>
      </c>
      <c r="H2" s="5">
        <v>89978</v>
      </c>
    </row>
    <row r="3" spans="1:8" x14ac:dyDescent="0.35">
      <c r="A3" s="5" t="s">
        <v>10</v>
      </c>
      <c r="B3" s="6" t="s">
        <v>9</v>
      </c>
      <c r="C3" s="7">
        <v>10149577.500000002</v>
      </c>
      <c r="D3" s="7">
        <v>11493472.499999993</v>
      </c>
      <c r="E3" s="7">
        <v>12889576.499999994</v>
      </c>
      <c r="F3" s="5">
        <v>13638</v>
      </c>
      <c r="G3" s="5">
        <v>18312</v>
      </c>
      <c r="H3" s="5">
        <v>18744</v>
      </c>
    </row>
    <row r="4" spans="1:8" x14ac:dyDescent="0.35">
      <c r="A4" s="5" t="s">
        <v>11</v>
      </c>
      <c r="B4" s="6" t="s">
        <v>9</v>
      </c>
      <c r="C4" s="7">
        <v>10308730.499999994</v>
      </c>
      <c r="D4" s="7">
        <v>11940683.499999996</v>
      </c>
      <c r="E4" s="7">
        <v>13352864</v>
      </c>
      <c r="F4" s="5">
        <v>10276</v>
      </c>
      <c r="G4" s="5">
        <v>14448</v>
      </c>
      <c r="H4" s="5">
        <v>11786</v>
      </c>
    </row>
    <row r="5" spans="1:8" x14ac:dyDescent="0.35">
      <c r="A5" s="5" t="s">
        <v>12</v>
      </c>
      <c r="B5" s="6" t="s">
        <v>9</v>
      </c>
      <c r="C5" s="7">
        <v>17636407.5</v>
      </c>
      <c r="D5" s="7">
        <v>20392723</v>
      </c>
      <c r="E5" s="7">
        <v>22673762.000000007</v>
      </c>
      <c r="F5" s="5">
        <v>19496</v>
      </c>
      <c r="G5" s="5">
        <v>20752</v>
      </c>
      <c r="H5" s="5">
        <v>27922</v>
      </c>
    </row>
    <row r="6" spans="1:8" x14ac:dyDescent="0.35">
      <c r="A6" s="5" t="s">
        <v>13</v>
      </c>
      <c r="B6" s="6" t="s">
        <v>9</v>
      </c>
      <c r="C6" s="7">
        <v>2217278.0000000009</v>
      </c>
      <c r="D6" s="7">
        <v>2451408.4999999995</v>
      </c>
      <c r="E6" s="7">
        <v>2630296.0000000019</v>
      </c>
      <c r="F6" s="5">
        <v>11632</v>
      </c>
      <c r="G6" s="5">
        <v>15290</v>
      </c>
      <c r="H6" s="5">
        <v>16056</v>
      </c>
    </row>
    <row r="7" spans="1:8" x14ac:dyDescent="0.35">
      <c r="A7" s="5" t="s">
        <v>14</v>
      </c>
      <c r="B7" s="6" t="s">
        <v>9</v>
      </c>
      <c r="C7" s="7">
        <v>4802428.5000000065</v>
      </c>
      <c r="D7" s="7">
        <v>5094779.9999999991</v>
      </c>
      <c r="E7" s="7">
        <v>5579143.5000000047</v>
      </c>
      <c r="F7" s="5">
        <v>644</v>
      </c>
      <c r="G7" s="5">
        <v>2390</v>
      </c>
      <c r="H7" s="5">
        <v>1010</v>
      </c>
    </row>
    <row r="8" spans="1:8" x14ac:dyDescent="0.35">
      <c r="A8" s="5" t="s">
        <v>15</v>
      </c>
      <c r="B8" s="6" t="s">
        <v>9</v>
      </c>
      <c r="C8" s="7">
        <v>22469267.5</v>
      </c>
      <c r="D8" s="7">
        <v>25493988.499999996</v>
      </c>
      <c r="E8" s="7">
        <v>28160542.500000004</v>
      </c>
      <c r="F8" s="5">
        <v>21782</v>
      </c>
      <c r="G8" s="5">
        <v>30326</v>
      </c>
      <c r="H8" s="5">
        <v>29958</v>
      </c>
    </row>
    <row r="9" spans="1:8" x14ac:dyDescent="0.35">
      <c r="A9" s="5" t="s">
        <v>16</v>
      </c>
      <c r="B9" s="6" t="s">
        <v>9</v>
      </c>
      <c r="C9" s="7">
        <v>21632850.000000004</v>
      </c>
      <c r="D9" s="7">
        <v>25076746.500000015</v>
      </c>
      <c r="E9" s="7">
        <v>27914536.499999989</v>
      </c>
      <c r="F9" s="5">
        <v>0</v>
      </c>
      <c r="G9" s="5">
        <v>18312</v>
      </c>
      <c r="H9" s="5">
        <v>32946</v>
      </c>
    </row>
    <row r="10" spans="1:8" x14ac:dyDescent="0.35">
      <c r="A10" s="5" t="s">
        <v>17</v>
      </c>
      <c r="B10" s="6" t="s">
        <v>9</v>
      </c>
      <c r="C10" s="7">
        <v>73460021</v>
      </c>
      <c r="D10" s="7">
        <v>87087354.999999985</v>
      </c>
      <c r="E10" s="7">
        <v>99010212</v>
      </c>
      <c r="F10" s="5">
        <v>144540</v>
      </c>
      <c r="G10" s="5">
        <v>186652</v>
      </c>
      <c r="H10" s="5">
        <v>230632</v>
      </c>
    </row>
    <row r="11" spans="1:8" x14ac:dyDescent="0.35">
      <c r="A11" s="5" t="s">
        <v>18</v>
      </c>
      <c r="B11" s="6" t="s">
        <v>9</v>
      </c>
      <c r="C11" s="7">
        <v>4828066.5000000028</v>
      </c>
      <c r="D11" s="7">
        <v>5441061.9999999972</v>
      </c>
      <c r="E11" s="7">
        <v>5970424.0000000009</v>
      </c>
      <c r="F11" s="5">
        <v>7704</v>
      </c>
      <c r="G11" s="5">
        <v>10162</v>
      </c>
      <c r="H11" s="5">
        <v>11146</v>
      </c>
    </row>
    <row r="12" spans="1:8" x14ac:dyDescent="0.35">
      <c r="A12" s="5" t="s">
        <v>19</v>
      </c>
      <c r="B12" s="6" t="s">
        <v>9</v>
      </c>
      <c r="C12" s="7">
        <v>699392.50000000035</v>
      </c>
      <c r="D12" s="7">
        <v>776313.5000000007</v>
      </c>
      <c r="E12" s="7">
        <v>836773.49999999977</v>
      </c>
      <c r="F12" s="5">
        <v>0</v>
      </c>
      <c r="G12" s="5">
        <v>1358</v>
      </c>
      <c r="H12" s="5">
        <v>1366</v>
      </c>
    </row>
    <row r="13" spans="1:8" x14ac:dyDescent="0.35">
      <c r="A13" s="5" t="s">
        <v>20</v>
      </c>
      <c r="B13" s="5" t="s">
        <v>9</v>
      </c>
      <c r="C13" s="7">
        <v>539939.99999999988</v>
      </c>
      <c r="D13" s="7">
        <v>571201.5</v>
      </c>
      <c r="E13" s="7">
        <v>593149.50000000012</v>
      </c>
      <c r="F13" s="5">
        <v>1102</v>
      </c>
      <c r="G13" s="5">
        <v>1412</v>
      </c>
      <c r="H13" s="5">
        <v>1882</v>
      </c>
    </row>
    <row r="14" spans="1:8" x14ac:dyDescent="0.35">
      <c r="A14" s="5" t="s">
        <v>21</v>
      </c>
      <c r="B14" s="5" t="s">
        <v>9</v>
      </c>
      <c r="C14" s="7">
        <v>38000626.500000022</v>
      </c>
      <c r="D14" s="7">
        <v>41927007.000000007</v>
      </c>
      <c r="E14" s="7">
        <v>44903225.000000007</v>
      </c>
      <c r="F14" s="5">
        <v>0</v>
      </c>
      <c r="G14" s="5">
        <v>184000</v>
      </c>
      <c r="H14" s="5">
        <v>8850</v>
      </c>
    </row>
    <row r="15" spans="1:8" x14ac:dyDescent="0.35">
      <c r="A15" s="5" t="s">
        <v>22</v>
      </c>
      <c r="B15" s="6" t="s">
        <v>9</v>
      </c>
      <c r="C15" s="7">
        <v>3296367</v>
      </c>
      <c r="D15" s="7">
        <v>3445374.4999999986</v>
      </c>
      <c r="E15" s="7">
        <v>3684031.5000000019</v>
      </c>
      <c r="F15" s="5">
        <v>8524</v>
      </c>
      <c r="G15" s="5">
        <v>9942</v>
      </c>
      <c r="H15" s="5">
        <v>10014</v>
      </c>
    </row>
    <row r="16" spans="1:8" x14ac:dyDescent="0.35">
      <c r="A16" s="5" t="s">
        <v>23</v>
      </c>
      <c r="B16" s="6" t="s">
        <v>9</v>
      </c>
      <c r="C16" s="7">
        <v>97084366.00000003</v>
      </c>
      <c r="D16" s="7">
        <v>111129438.00000001</v>
      </c>
      <c r="E16" s="7">
        <v>123379924.50000004</v>
      </c>
      <c r="F16" s="5">
        <v>0</v>
      </c>
      <c r="G16" s="5">
        <v>176328</v>
      </c>
      <c r="H16" s="5">
        <v>140492</v>
      </c>
    </row>
    <row r="17" spans="1:8" x14ac:dyDescent="0.35">
      <c r="A17" s="5" t="s">
        <v>24</v>
      </c>
      <c r="B17" s="6" t="s">
        <v>9</v>
      </c>
      <c r="C17" s="7">
        <v>1902226.5000000007</v>
      </c>
      <c r="D17" s="7">
        <v>2192011.5</v>
      </c>
      <c r="E17" s="7">
        <v>2388992.5000000005</v>
      </c>
      <c r="F17" s="5">
        <v>0</v>
      </c>
      <c r="G17" s="5">
        <v>12170</v>
      </c>
      <c r="H17" s="5">
        <v>10963</v>
      </c>
    </row>
    <row r="18" spans="1:8" x14ac:dyDescent="0.35">
      <c r="A18" s="5" t="s">
        <v>25</v>
      </c>
      <c r="B18" s="5" t="s">
        <v>9</v>
      </c>
      <c r="C18" s="7">
        <v>27525596.999999989</v>
      </c>
      <c r="D18" s="7">
        <v>30870640.5</v>
      </c>
      <c r="E18" s="7">
        <v>33475870.500000011</v>
      </c>
      <c r="F18" s="5">
        <v>97878</v>
      </c>
      <c r="G18" s="5">
        <v>250048</v>
      </c>
      <c r="H18" s="5">
        <v>205886</v>
      </c>
    </row>
    <row r="19" spans="1:8" x14ac:dyDescent="0.35">
      <c r="A19" s="5" t="s">
        <v>26</v>
      </c>
      <c r="B19" s="6" t="s">
        <v>9</v>
      </c>
      <c r="C19" s="7">
        <v>11055430.000000004</v>
      </c>
      <c r="D19" s="7">
        <v>12554864.499999998</v>
      </c>
      <c r="E19" s="7">
        <v>13859340.500000006</v>
      </c>
      <c r="F19" s="5">
        <v>11578</v>
      </c>
      <c r="G19" s="5">
        <v>14390</v>
      </c>
      <c r="H19" s="5">
        <v>8734</v>
      </c>
    </row>
    <row r="20" spans="1:8" x14ac:dyDescent="0.35">
      <c r="A20" s="5" t="s">
        <v>27</v>
      </c>
      <c r="B20" s="6" t="s">
        <v>9</v>
      </c>
      <c r="C20" s="7">
        <v>2124869.5</v>
      </c>
      <c r="D20" s="7">
        <v>2444915.5000000014</v>
      </c>
      <c r="E20" s="7">
        <v>2705991.9999999995</v>
      </c>
      <c r="F20" s="5">
        <v>4772</v>
      </c>
      <c r="G20" s="5">
        <v>2996</v>
      </c>
      <c r="H20" s="5">
        <v>2808</v>
      </c>
    </row>
    <row r="21" spans="1:8" x14ac:dyDescent="0.35">
      <c r="A21" s="5" t="s">
        <v>28</v>
      </c>
      <c r="B21" s="6" t="s">
        <v>9</v>
      </c>
      <c r="C21" s="7">
        <v>1697752.4999999995</v>
      </c>
      <c r="D21" s="7">
        <v>1924954.4999999988</v>
      </c>
      <c r="E21" s="7">
        <v>2105565.4999999991</v>
      </c>
      <c r="F21" s="5">
        <v>2098</v>
      </c>
      <c r="G21" s="5">
        <v>2006</v>
      </c>
      <c r="H21" s="5">
        <v>3912</v>
      </c>
    </row>
    <row r="22" spans="1:8" x14ac:dyDescent="0.35">
      <c r="A22" s="5" t="s">
        <v>29</v>
      </c>
      <c r="B22" s="6" t="s">
        <v>9</v>
      </c>
      <c r="C22" s="7">
        <v>1243941.0000000002</v>
      </c>
      <c r="D22" s="7">
        <v>1502091.5000000002</v>
      </c>
      <c r="E22" s="7">
        <v>1674908</v>
      </c>
      <c r="F22" s="5">
        <v>0</v>
      </c>
      <c r="G22" s="5">
        <v>1268</v>
      </c>
      <c r="H22" s="5">
        <v>2750</v>
      </c>
    </row>
    <row r="23" spans="1:8" x14ac:dyDescent="0.35">
      <c r="A23" s="5" t="s">
        <v>30</v>
      </c>
      <c r="B23" s="6" t="s">
        <v>9</v>
      </c>
      <c r="C23" s="7">
        <v>44792368.000000007</v>
      </c>
      <c r="D23" s="7">
        <v>49953303.999999993</v>
      </c>
      <c r="E23" s="7">
        <v>54027486.999999985</v>
      </c>
      <c r="F23" s="5">
        <v>123538</v>
      </c>
      <c r="G23" s="5">
        <v>119802</v>
      </c>
      <c r="H23" s="5">
        <v>69268</v>
      </c>
    </row>
    <row r="24" spans="1:8" x14ac:dyDescent="0.35">
      <c r="A24" s="5" t="s">
        <v>31</v>
      </c>
      <c r="B24" s="6" t="s">
        <v>9</v>
      </c>
      <c r="C24" s="7">
        <v>4427312.4999999991</v>
      </c>
      <c r="D24" s="7">
        <v>4889391</v>
      </c>
      <c r="E24" s="7">
        <v>5302681.0000000028</v>
      </c>
      <c r="F24" s="5">
        <v>0</v>
      </c>
      <c r="G24" s="5">
        <v>4526</v>
      </c>
      <c r="H24" s="5">
        <v>6880</v>
      </c>
    </row>
    <row r="25" spans="1:8" x14ac:dyDescent="0.35">
      <c r="A25" s="5" t="s">
        <v>32</v>
      </c>
      <c r="B25" s="6" t="s">
        <v>9</v>
      </c>
      <c r="C25" s="7">
        <v>2073938.4999999998</v>
      </c>
      <c r="D25" s="7">
        <v>2198017</v>
      </c>
      <c r="E25" s="7">
        <v>2305825.5000000019</v>
      </c>
      <c r="F25" s="5">
        <v>0</v>
      </c>
      <c r="G25" s="5">
        <v>13732</v>
      </c>
      <c r="H25" s="5">
        <v>0</v>
      </c>
    </row>
    <row r="26" spans="1:8" x14ac:dyDescent="0.35">
      <c r="A26" s="5" t="s">
        <v>33</v>
      </c>
      <c r="B26" s="6" t="s">
        <v>9</v>
      </c>
      <c r="C26" s="7">
        <v>23588073.5</v>
      </c>
      <c r="D26" s="7">
        <v>26846541</v>
      </c>
      <c r="E26" s="7">
        <v>29611714.000000004</v>
      </c>
      <c r="F26" s="5">
        <v>6876</v>
      </c>
      <c r="G26" s="5">
        <v>7666</v>
      </c>
      <c r="H26" s="5">
        <v>0</v>
      </c>
    </row>
    <row r="27" spans="1:8" x14ac:dyDescent="0.35">
      <c r="A27" s="5" t="s">
        <v>34</v>
      </c>
      <c r="B27" s="6" t="s">
        <v>9</v>
      </c>
      <c r="C27" s="7">
        <v>17004032.499999996</v>
      </c>
      <c r="D27" s="7">
        <v>19934298.000000004</v>
      </c>
      <c r="E27" s="7">
        <v>22593590.500000022</v>
      </c>
      <c r="F27" s="5">
        <v>8514</v>
      </c>
      <c r="G27" s="5">
        <v>11986</v>
      </c>
      <c r="H27" s="5">
        <v>12654</v>
      </c>
    </row>
    <row r="28" spans="1:8" x14ac:dyDescent="0.35">
      <c r="A28" s="5" t="s">
        <v>35</v>
      </c>
      <c r="B28" s="6" t="s">
        <v>9</v>
      </c>
      <c r="C28" s="7">
        <v>25251730.999999993</v>
      </c>
      <c r="D28" s="7">
        <v>29423878.499999993</v>
      </c>
      <c r="E28" s="7">
        <v>32969518.500000007</v>
      </c>
      <c r="F28" s="5">
        <v>13854</v>
      </c>
      <c r="G28" s="5">
        <v>16306</v>
      </c>
      <c r="H28" s="5">
        <v>21856</v>
      </c>
    </row>
    <row r="29" spans="1:8" x14ac:dyDescent="0.35">
      <c r="A29" s="5" t="s">
        <v>36</v>
      </c>
      <c r="B29" s="6" t="s">
        <v>9</v>
      </c>
      <c r="C29" s="7">
        <v>3742958.9999999981</v>
      </c>
      <c r="D29" s="7">
        <v>4270711.4999999972</v>
      </c>
      <c r="E29" s="7">
        <v>4736138.9999999991</v>
      </c>
      <c r="F29" s="5">
        <v>8274</v>
      </c>
      <c r="G29" s="5">
        <v>9142</v>
      </c>
      <c r="H29" s="5">
        <v>13006</v>
      </c>
    </row>
    <row r="30" spans="1:8" x14ac:dyDescent="0.35">
      <c r="A30" s="5" t="s">
        <v>37</v>
      </c>
      <c r="B30" s="6" t="s">
        <v>9</v>
      </c>
      <c r="C30" s="7">
        <v>1290691.4999999998</v>
      </c>
      <c r="D30" s="7">
        <v>1295381.5000000005</v>
      </c>
      <c r="E30" s="7">
        <v>1299468.9999999986</v>
      </c>
      <c r="F30" s="5">
        <v>8522</v>
      </c>
      <c r="G30" s="5">
        <v>9972</v>
      </c>
      <c r="H30" s="5">
        <v>7800</v>
      </c>
    </row>
    <row r="31" spans="1:8" x14ac:dyDescent="0.35">
      <c r="A31" s="5" t="s">
        <v>38</v>
      </c>
      <c r="B31" s="6" t="s">
        <v>9</v>
      </c>
      <c r="C31" s="7">
        <v>16024775.499999996</v>
      </c>
      <c r="D31" s="7">
        <v>18367882.999999985</v>
      </c>
      <c r="E31" s="7">
        <v>20405316.500000019</v>
      </c>
      <c r="F31" s="5">
        <v>7090</v>
      </c>
      <c r="G31" s="5">
        <v>15914</v>
      </c>
      <c r="H31" s="5">
        <v>32965</v>
      </c>
    </row>
    <row r="32" spans="1:8" x14ac:dyDescent="0.35">
      <c r="A32" s="5" t="s">
        <v>39</v>
      </c>
      <c r="B32" s="6" t="s">
        <v>9</v>
      </c>
      <c r="C32" s="7">
        <v>2204510.0000000005</v>
      </c>
      <c r="D32" s="7">
        <v>2405680.5000000005</v>
      </c>
      <c r="E32" s="7">
        <v>2567012.4999999995</v>
      </c>
      <c r="F32" s="5">
        <v>8730</v>
      </c>
      <c r="G32" s="5">
        <v>10614</v>
      </c>
      <c r="H32" s="5">
        <v>17210</v>
      </c>
    </row>
    <row r="33" spans="1:8" x14ac:dyDescent="0.35">
      <c r="A33" s="5" t="s">
        <v>40</v>
      </c>
      <c r="B33" s="6" t="s">
        <v>9</v>
      </c>
      <c r="C33" s="7">
        <v>18653199</v>
      </c>
      <c r="D33" s="7">
        <v>22577057.999999996</v>
      </c>
      <c r="E33" s="7">
        <v>26207976.5</v>
      </c>
      <c r="F33" s="5">
        <v>9880</v>
      </c>
      <c r="G33" s="5">
        <v>9492</v>
      </c>
      <c r="H33" s="5">
        <v>9130</v>
      </c>
    </row>
    <row r="34" spans="1:8" x14ac:dyDescent="0.35">
      <c r="A34" s="5" t="s">
        <v>41</v>
      </c>
      <c r="B34" s="6" t="s">
        <v>9</v>
      </c>
      <c r="C34" s="7">
        <v>174726123.50000006</v>
      </c>
      <c r="D34" s="7">
        <v>198387623.50000006</v>
      </c>
      <c r="E34" s="7">
        <v>218541211.50000003</v>
      </c>
      <c r="F34" s="5">
        <v>149840</v>
      </c>
      <c r="G34" s="5">
        <v>370202</v>
      </c>
      <c r="H34" s="5">
        <v>535392</v>
      </c>
    </row>
    <row r="35" spans="1:8" x14ac:dyDescent="0.35">
      <c r="A35" s="5" t="s">
        <v>42</v>
      </c>
      <c r="B35" s="6" t="s">
        <v>9</v>
      </c>
      <c r="C35" s="7">
        <v>11101349.499999996</v>
      </c>
      <c r="D35" s="7">
        <v>12531807.499999998</v>
      </c>
      <c r="E35" s="7">
        <v>13776697.499999994</v>
      </c>
      <c r="F35" s="5">
        <v>20734</v>
      </c>
      <c r="G35" s="5">
        <v>26690</v>
      </c>
      <c r="H35" s="5">
        <v>20818</v>
      </c>
    </row>
    <row r="36" spans="1:8" x14ac:dyDescent="0.35">
      <c r="A36" s="5" t="s">
        <v>43</v>
      </c>
      <c r="B36" s="6" t="s">
        <v>9</v>
      </c>
      <c r="C36" s="7">
        <v>13595565.499999993</v>
      </c>
      <c r="D36" s="7">
        <v>15574908.999999998</v>
      </c>
      <c r="E36" s="7">
        <v>17316449</v>
      </c>
      <c r="F36" s="5">
        <v>3364</v>
      </c>
      <c r="G36" s="5">
        <v>5640</v>
      </c>
      <c r="H36" s="5">
        <v>14883</v>
      </c>
    </row>
    <row r="37" spans="1:8" x14ac:dyDescent="0.35">
      <c r="A37" s="5" t="s">
        <v>44</v>
      </c>
      <c r="B37" s="6" t="s">
        <v>9</v>
      </c>
      <c r="C37" s="7">
        <v>6964858.4999999972</v>
      </c>
      <c r="D37" s="7">
        <v>7861281</v>
      </c>
      <c r="E37" s="7">
        <v>8605718.0000000056</v>
      </c>
      <c r="F37" s="5">
        <v>12216</v>
      </c>
      <c r="G37" s="5">
        <v>11960</v>
      </c>
      <c r="H37" s="5">
        <v>14712</v>
      </c>
    </row>
    <row r="38" spans="1:8" x14ac:dyDescent="0.35">
      <c r="A38" s="5" t="s">
        <v>45</v>
      </c>
      <c r="B38" s="6" t="s">
        <v>9</v>
      </c>
      <c r="C38" s="7">
        <v>11106031.000000004</v>
      </c>
      <c r="D38" s="7">
        <v>10395329.5</v>
      </c>
      <c r="E38" s="7">
        <v>10913163.5</v>
      </c>
      <c r="F38" s="5">
        <v>0</v>
      </c>
      <c r="G38" s="5">
        <v>7452</v>
      </c>
      <c r="H38" s="5">
        <v>9060</v>
      </c>
    </row>
    <row r="39" spans="1:8" x14ac:dyDescent="0.35">
      <c r="A39" s="5" t="s">
        <v>46</v>
      </c>
      <c r="B39" s="6" t="s">
        <v>9</v>
      </c>
      <c r="C39" s="7">
        <v>193756.99999999997</v>
      </c>
      <c r="D39" s="7">
        <v>211344</v>
      </c>
      <c r="E39" s="7">
        <v>227379.5</v>
      </c>
      <c r="F39" s="5">
        <v>884</v>
      </c>
      <c r="G39" s="5">
        <v>812</v>
      </c>
      <c r="H39" s="5">
        <v>880</v>
      </c>
    </row>
    <row r="40" spans="1:8" x14ac:dyDescent="0.35">
      <c r="A40" s="5" t="s">
        <v>47</v>
      </c>
      <c r="B40" s="6" t="s">
        <v>9</v>
      </c>
      <c r="C40" s="7">
        <v>1118318.9999999998</v>
      </c>
      <c r="D40" s="7">
        <v>1160427.5</v>
      </c>
      <c r="E40" s="7">
        <v>1201670.4999999995</v>
      </c>
      <c r="F40" s="5">
        <v>7952</v>
      </c>
      <c r="G40" s="5">
        <v>9412</v>
      </c>
      <c r="H40" s="5">
        <v>7648</v>
      </c>
    </row>
    <row r="41" spans="1:8" x14ac:dyDescent="0.35">
      <c r="A41" s="5" t="s">
        <v>48</v>
      </c>
      <c r="B41" s="6" t="s">
        <v>9</v>
      </c>
      <c r="C41" s="7">
        <v>96714</v>
      </c>
      <c r="D41" s="7">
        <v>103101.00000000003</v>
      </c>
      <c r="E41" s="7">
        <v>107118.5</v>
      </c>
      <c r="F41" s="5">
        <v>838</v>
      </c>
      <c r="G41" s="5">
        <v>2223</v>
      </c>
      <c r="H41" s="5">
        <v>1246</v>
      </c>
    </row>
    <row r="42" spans="1:8" x14ac:dyDescent="0.35">
      <c r="A42" s="5" t="s">
        <v>49</v>
      </c>
      <c r="B42" s="6" t="s">
        <v>9</v>
      </c>
      <c r="C42" s="7">
        <v>13216766.5</v>
      </c>
      <c r="D42" s="7">
        <v>15604210</v>
      </c>
      <c r="E42" s="7">
        <v>17723314.500000004</v>
      </c>
      <c r="F42" s="5">
        <v>7212</v>
      </c>
      <c r="G42" s="5">
        <v>9598</v>
      </c>
      <c r="H42" s="5">
        <v>5866</v>
      </c>
    </row>
    <row r="43" spans="1:8" x14ac:dyDescent="0.35">
      <c r="A43" s="5" t="s">
        <v>50</v>
      </c>
      <c r="B43" s="6" t="s">
        <v>9</v>
      </c>
      <c r="C43" s="7">
        <v>7106229</v>
      </c>
      <c r="D43" s="7">
        <v>8046679</v>
      </c>
      <c r="E43" s="7">
        <v>8848698.5000000019</v>
      </c>
      <c r="F43" s="5">
        <v>2682</v>
      </c>
      <c r="G43" s="5">
        <v>3932</v>
      </c>
      <c r="H43" s="5">
        <v>5260</v>
      </c>
    </row>
    <row r="44" spans="1:8" x14ac:dyDescent="0.35">
      <c r="A44" s="5" t="s">
        <v>51</v>
      </c>
      <c r="B44" s="6" t="s">
        <v>9</v>
      </c>
      <c r="C44" s="7">
        <v>49253643.5</v>
      </c>
      <c r="D44" s="7">
        <v>58090443.000000007</v>
      </c>
      <c r="E44" s="7">
        <v>65497748.000000045</v>
      </c>
      <c r="F44" s="5">
        <v>43104</v>
      </c>
      <c r="G44" s="5">
        <v>63880</v>
      </c>
      <c r="H44" s="5">
        <v>0</v>
      </c>
    </row>
    <row r="45" spans="1:8" x14ac:dyDescent="0.35">
      <c r="A45" s="5" t="s">
        <v>52</v>
      </c>
      <c r="B45" s="6" t="s">
        <v>9</v>
      </c>
      <c r="C45" s="7">
        <v>35273569.999999993</v>
      </c>
      <c r="D45" s="7">
        <v>41515395.000000015</v>
      </c>
      <c r="E45" s="7">
        <v>47249584.999999978</v>
      </c>
      <c r="F45" s="5">
        <v>101362</v>
      </c>
      <c r="G45" s="5">
        <v>120912</v>
      </c>
      <c r="H45" s="5">
        <v>148394</v>
      </c>
    </row>
    <row r="46" spans="1:8" x14ac:dyDescent="0.35">
      <c r="A46" s="5" t="s">
        <v>53</v>
      </c>
      <c r="B46" s="6" t="s">
        <v>9</v>
      </c>
      <c r="C46" s="7">
        <v>53873616</v>
      </c>
      <c r="D46" s="7">
        <v>57339635.000000015</v>
      </c>
      <c r="E46" s="7">
        <v>59893885.5</v>
      </c>
      <c r="F46" s="5">
        <v>117444</v>
      </c>
      <c r="G46" s="5">
        <v>141104</v>
      </c>
      <c r="H46" s="5">
        <v>129276</v>
      </c>
    </row>
    <row r="47" spans="1:8" x14ac:dyDescent="0.35">
      <c r="A47" s="5" t="s">
        <v>54</v>
      </c>
      <c r="B47" s="6" t="s">
        <v>9</v>
      </c>
      <c r="C47" s="7">
        <v>15234975.999999991</v>
      </c>
      <c r="D47" s="7">
        <v>17835892.999999981</v>
      </c>
      <c r="E47" s="7">
        <v>20017675.000000004</v>
      </c>
      <c r="F47" s="5">
        <v>0</v>
      </c>
      <c r="G47" s="5">
        <v>41492</v>
      </c>
      <c r="H47" s="5">
        <v>67558</v>
      </c>
    </row>
    <row r="48" spans="1:8" x14ac:dyDescent="0.35">
      <c r="A48" s="5" t="s">
        <v>55</v>
      </c>
      <c r="B48" s="6" t="s">
        <v>9</v>
      </c>
      <c r="C48" s="7">
        <v>13555421.500000011</v>
      </c>
      <c r="D48" s="7">
        <v>15052184.000000007</v>
      </c>
      <c r="E48" s="7">
        <v>16320536.999999996</v>
      </c>
      <c r="F48" s="5">
        <v>44810</v>
      </c>
      <c r="G48" s="5">
        <v>67752</v>
      </c>
      <c r="H48" s="5">
        <v>64364</v>
      </c>
    </row>
    <row r="49" spans="1:8" x14ac:dyDescent="0.35">
      <c r="A49" s="9" t="s">
        <v>56</v>
      </c>
      <c r="C49" s="8">
        <f>SUM(C2:C48)</f>
        <v>944292669</v>
      </c>
      <c r="D49" s="8">
        <f>SUM(D2:D48)</f>
        <v>1076956971</v>
      </c>
      <c r="E49" s="8">
        <f>SUM(E2:E48)</f>
        <v>1191645698.5</v>
      </c>
      <c r="F49" s="8">
        <f t="shared" ref="F49:H49" si="0">SUM(F2:F48)</f>
        <v>1063384</v>
      </c>
      <c r="G49" s="8">
        <f t="shared" si="0"/>
        <v>2109883</v>
      </c>
      <c r="H49" s="8">
        <f t="shared" si="0"/>
        <v>2083961</v>
      </c>
    </row>
    <row r="51" spans="1:8" x14ac:dyDescent="0.35">
      <c r="A51" s="12" t="s">
        <v>56</v>
      </c>
      <c r="B51" s="10" t="s">
        <v>57</v>
      </c>
      <c r="C51" s="11">
        <f>(F49*10000/C49)</f>
        <v>11.2611697083926</v>
      </c>
      <c r="D51" s="11">
        <f>(G49/D49)*10000</f>
        <v>19.59115412049271</v>
      </c>
      <c r="E51" s="11">
        <f>(H49/E49)*10000</f>
        <v>17.488092329987126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5783-4508-444F-86F3-513CAC6F629A}">
  <dimension ref="A1:H53"/>
  <sheetViews>
    <sheetView tabSelected="1" topLeftCell="A37" workbookViewId="0">
      <selection activeCell="G57" sqref="G57"/>
    </sheetView>
  </sheetViews>
  <sheetFormatPr defaultRowHeight="14.5" x14ac:dyDescent="0.35"/>
  <cols>
    <col min="2" max="2" width="15.453125" bestFit="1" customWidth="1"/>
    <col min="3" max="5" width="13.453125" bestFit="1" customWidth="1"/>
  </cols>
  <sheetData>
    <row r="1" spans="1:8" ht="77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5" t="s">
        <v>8</v>
      </c>
      <c r="B2" s="6" t="s">
        <v>58</v>
      </c>
      <c r="C2" s="7">
        <v>26147002.000000011</v>
      </c>
      <c r="D2" s="7">
        <v>31273533.000000004</v>
      </c>
      <c r="E2" s="7">
        <v>35588987.00000003</v>
      </c>
      <c r="F2" s="5">
        <v>60</v>
      </c>
      <c r="G2" s="5">
        <v>0</v>
      </c>
      <c r="H2" s="5">
        <v>44</v>
      </c>
    </row>
    <row r="3" spans="1:8" x14ac:dyDescent="0.35">
      <c r="A3" s="5" t="s">
        <v>10</v>
      </c>
      <c r="B3" s="6" t="s">
        <v>58</v>
      </c>
      <c r="C3" s="7">
        <v>10149577.500000002</v>
      </c>
      <c r="D3" s="7">
        <v>11493472.499999993</v>
      </c>
      <c r="E3" s="7">
        <v>12889576.499999994</v>
      </c>
      <c r="F3" s="5">
        <v>158</v>
      </c>
      <c r="G3" s="5">
        <v>320</v>
      </c>
      <c r="H3" s="5">
        <v>286</v>
      </c>
    </row>
    <row r="4" spans="1:8" x14ac:dyDescent="0.35">
      <c r="A4" s="5" t="s">
        <v>11</v>
      </c>
      <c r="B4" s="6" t="s">
        <v>58</v>
      </c>
      <c r="C4" s="7">
        <v>10308730.499999994</v>
      </c>
      <c r="D4" s="7">
        <v>11940683.499999996</v>
      </c>
      <c r="E4" s="7">
        <v>13352864</v>
      </c>
      <c r="F4" s="5">
        <v>2960</v>
      </c>
      <c r="G4" s="5">
        <v>2110</v>
      </c>
      <c r="H4" s="5">
        <v>4172</v>
      </c>
    </row>
    <row r="5" spans="1:8" x14ac:dyDescent="0.35">
      <c r="A5" s="5" t="s">
        <v>12</v>
      </c>
      <c r="B5" s="6" t="s">
        <v>58</v>
      </c>
      <c r="C5" s="7">
        <v>17636407.5</v>
      </c>
      <c r="D5" s="7">
        <v>20392723</v>
      </c>
      <c r="E5" s="7">
        <v>22673762.000000007</v>
      </c>
      <c r="F5" s="5">
        <v>8902</v>
      </c>
      <c r="G5" s="5">
        <v>13138</v>
      </c>
      <c r="H5" s="5">
        <v>18588</v>
      </c>
    </row>
    <row r="6" spans="1:8" x14ac:dyDescent="0.35">
      <c r="A6" s="5" t="s">
        <v>13</v>
      </c>
      <c r="B6" s="6" t="s">
        <v>58</v>
      </c>
      <c r="C6" s="7">
        <v>2217278.0000000009</v>
      </c>
      <c r="D6" s="7">
        <v>2451408.4999999995</v>
      </c>
      <c r="E6" s="7">
        <v>2630296.0000000019</v>
      </c>
      <c r="F6" s="5">
        <v>3002</v>
      </c>
      <c r="G6" s="5">
        <v>2922</v>
      </c>
      <c r="H6" s="5">
        <v>0</v>
      </c>
    </row>
    <row r="7" spans="1:8" x14ac:dyDescent="0.35">
      <c r="A7" s="5" t="s">
        <v>14</v>
      </c>
      <c r="B7" s="6" t="s">
        <v>58</v>
      </c>
      <c r="C7" s="7">
        <v>4802428.5000000065</v>
      </c>
      <c r="D7" s="7">
        <v>5094779.9999999991</v>
      </c>
      <c r="E7" s="7">
        <v>5579143.5000000047</v>
      </c>
      <c r="F7" s="5">
        <v>1210</v>
      </c>
      <c r="G7" s="5">
        <v>0</v>
      </c>
      <c r="H7" s="5">
        <v>1074</v>
      </c>
    </row>
    <row r="8" spans="1:8" x14ac:dyDescent="0.35">
      <c r="A8" s="5" t="s">
        <v>15</v>
      </c>
      <c r="B8" s="6" t="s">
        <v>58</v>
      </c>
      <c r="C8" s="7">
        <v>22469267.5</v>
      </c>
      <c r="D8" s="7">
        <v>25493988.499999996</v>
      </c>
      <c r="E8" s="7">
        <v>28160542.500000004</v>
      </c>
      <c r="F8" s="5">
        <v>10600</v>
      </c>
      <c r="G8" s="5">
        <v>0</v>
      </c>
      <c r="H8" s="5">
        <v>14850</v>
      </c>
    </row>
    <row r="9" spans="1:8" x14ac:dyDescent="0.35">
      <c r="A9" s="5" t="s">
        <v>16</v>
      </c>
      <c r="B9" s="6" t="s">
        <v>58</v>
      </c>
      <c r="C9" s="7">
        <v>21632850.000000004</v>
      </c>
      <c r="D9" s="7">
        <v>25076746.500000015</v>
      </c>
      <c r="E9" s="7">
        <v>27914536.499999989</v>
      </c>
      <c r="F9" s="5">
        <v>254</v>
      </c>
      <c r="G9" s="5">
        <v>0</v>
      </c>
      <c r="H9" s="5">
        <v>3348</v>
      </c>
    </row>
    <row r="10" spans="1:8" x14ac:dyDescent="0.35">
      <c r="A10" s="5" t="s">
        <v>17</v>
      </c>
      <c r="B10" s="6" t="s">
        <v>58</v>
      </c>
      <c r="C10" s="7">
        <v>73460021</v>
      </c>
      <c r="D10" s="7">
        <v>87087354.999999985</v>
      </c>
      <c r="E10" s="7">
        <v>99010212</v>
      </c>
      <c r="F10" s="5">
        <v>3110</v>
      </c>
      <c r="G10" s="5">
        <v>3586</v>
      </c>
      <c r="H10" s="5">
        <v>6298</v>
      </c>
    </row>
    <row r="11" spans="1:8" x14ac:dyDescent="0.35">
      <c r="A11" s="5" t="s">
        <v>18</v>
      </c>
      <c r="B11" s="6" t="s">
        <v>58</v>
      </c>
      <c r="C11" s="7">
        <v>4828066.5000000028</v>
      </c>
      <c r="D11" s="7">
        <v>5441061.9999999972</v>
      </c>
      <c r="E11" s="7">
        <v>5970424.0000000009</v>
      </c>
      <c r="F11" s="5">
        <v>2564</v>
      </c>
      <c r="G11" s="5">
        <v>1842</v>
      </c>
      <c r="H11" s="5">
        <v>1814</v>
      </c>
    </row>
    <row r="12" spans="1:8" x14ac:dyDescent="0.35">
      <c r="A12" s="5" t="s">
        <v>19</v>
      </c>
      <c r="B12" s="6" t="s">
        <v>58</v>
      </c>
      <c r="C12" s="7">
        <v>699392.50000000035</v>
      </c>
      <c r="D12" s="7">
        <v>776313.5000000007</v>
      </c>
      <c r="E12" s="7">
        <v>836773.49999999977</v>
      </c>
      <c r="F12" s="5">
        <v>1334</v>
      </c>
      <c r="G12" s="5">
        <v>1000</v>
      </c>
      <c r="H12" s="5">
        <v>1172</v>
      </c>
    </row>
    <row r="13" spans="1:8" x14ac:dyDescent="0.35">
      <c r="A13" s="5" t="s">
        <v>20</v>
      </c>
      <c r="B13" s="5" t="s">
        <v>58</v>
      </c>
      <c r="C13" s="7">
        <v>539939.99999999988</v>
      </c>
      <c r="D13" s="7">
        <v>571201.5</v>
      </c>
      <c r="E13" s="7">
        <v>593149.50000000012</v>
      </c>
      <c r="F13" s="5">
        <v>0</v>
      </c>
      <c r="G13" s="5">
        <v>0</v>
      </c>
      <c r="H13" s="5">
        <v>0</v>
      </c>
    </row>
    <row r="14" spans="1:8" x14ac:dyDescent="0.35">
      <c r="A14" s="5" t="s">
        <v>21</v>
      </c>
      <c r="B14" s="5" t="s">
        <v>58</v>
      </c>
      <c r="C14" s="7">
        <v>38000626.500000022</v>
      </c>
      <c r="D14" s="7">
        <v>41927007.000000007</v>
      </c>
      <c r="E14" s="7">
        <v>44903225.000000007</v>
      </c>
      <c r="F14" s="5">
        <v>22278</v>
      </c>
      <c r="G14" s="5">
        <v>17896</v>
      </c>
      <c r="H14" s="5">
        <v>18140</v>
      </c>
    </row>
    <row r="15" spans="1:8" x14ac:dyDescent="0.35">
      <c r="A15" s="5" t="s">
        <v>22</v>
      </c>
      <c r="B15" s="6" t="s">
        <v>58</v>
      </c>
      <c r="C15" s="7">
        <v>3296367</v>
      </c>
      <c r="D15" s="7">
        <v>3445374.4999999986</v>
      </c>
      <c r="E15" s="7">
        <v>3684031.5000000019</v>
      </c>
      <c r="F15" s="5">
        <v>0</v>
      </c>
      <c r="G15" s="5">
        <v>752</v>
      </c>
      <c r="H15" s="5">
        <v>134</v>
      </c>
    </row>
    <row r="16" spans="1:8" x14ac:dyDescent="0.35">
      <c r="A16" s="5" t="s">
        <v>23</v>
      </c>
      <c r="B16" s="6" t="s">
        <v>58</v>
      </c>
      <c r="C16" s="7">
        <v>97084366.00000003</v>
      </c>
      <c r="D16" s="7">
        <v>111129438.00000001</v>
      </c>
      <c r="E16" s="7">
        <v>123379924.50000004</v>
      </c>
      <c r="F16" s="5">
        <v>13850</v>
      </c>
      <c r="G16" s="5">
        <v>32318</v>
      </c>
      <c r="H16" s="5">
        <v>43986</v>
      </c>
    </row>
    <row r="17" spans="1:8" x14ac:dyDescent="0.35">
      <c r="A17" s="5" t="s">
        <v>24</v>
      </c>
      <c r="B17" s="6" t="s">
        <v>58</v>
      </c>
      <c r="C17" s="7">
        <v>1902226.5000000007</v>
      </c>
      <c r="D17" s="7">
        <v>2192011.5</v>
      </c>
      <c r="E17" s="7">
        <v>2388992.5000000005</v>
      </c>
      <c r="F17" s="5">
        <v>874</v>
      </c>
      <c r="G17" s="5">
        <v>1466</v>
      </c>
      <c r="H17" s="5">
        <v>1840</v>
      </c>
    </row>
    <row r="18" spans="1:8" x14ac:dyDescent="0.35">
      <c r="A18" s="5" t="s">
        <v>25</v>
      </c>
      <c r="B18" s="5" t="s">
        <v>58</v>
      </c>
      <c r="C18" s="7">
        <v>27525596.999999989</v>
      </c>
      <c r="D18" s="7">
        <v>30870640.5</v>
      </c>
      <c r="E18" s="7">
        <v>33475870.500000011</v>
      </c>
      <c r="F18" s="5">
        <v>22574</v>
      </c>
      <c r="G18" s="5">
        <v>20978</v>
      </c>
      <c r="H18" s="5">
        <v>47764</v>
      </c>
    </row>
    <row r="19" spans="1:8" x14ac:dyDescent="0.35">
      <c r="A19" s="5" t="s">
        <v>26</v>
      </c>
      <c r="B19" s="6" t="s">
        <v>58</v>
      </c>
      <c r="C19" s="7">
        <v>11055430.000000004</v>
      </c>
      <c r="D19" s="7">
        <v>12554864.499999998</v>
      </c>
      <c r="E19" s="7">
        <v>13859340.500000006</v>
      </c>
      <c r="F19" s="5">
        <v>1000</v>
      </c>
      <c r="G19" s="5">
        <v>886</v>
      </c>
      <c r="H19" s="5">
        <v>1554</v>
      </c>
    </row>
    <row r="20" spans="1:8" x14ac:dyDescent="0.35">
      <c r="A20" s="5" t="s">
        <v>27</v>
      </c>
      <c r="B20" s="6" t="s">
        <v>58</v>
      </c>
      <c r="C20" s="7">
        <v>2124869.5</v>
      </c>
      <c r="D20" s="7">
        <v>2444915.5000000014</v>
      </c>
      <c r="E20" s="7">
        <v>2705991.9999999995</v>
      </c>
      <c r="F20" s="5">
        <v>1700</v>
      </c>
      <c r="G20" s="5">
        <v>844</v>
      </c>
      <c r="H20" s="5">
        <v>1080</v>
      </c>
    </row>
    <row r="21" spans="1:8" x14ac:dyDescent="0.35">
      <c r="A21" s="5" t="s">
        <v>28</v>
      </c>
      <c r="B21" s="6" t="s">
        <v>58</v>
      </c>
      <c r="C21" s="7">
        <v>1697752.4999999995</v>
      </c>
      <c r="D21" s="7">
        <v>1924954.4999999988</v>
      </c>
      <c r="E21" s="7">
        <v>2105565.4999999991</v>
      </c>
      <c r="F21" s="5">
        <v>306</v>
      </c>
      <c r="G21" s="5">
        <v>250</v>
      </c>
      <c r="H21" s="5">
        <v>426</v>
      </c>
    </row>
    <row r="22" spans="1:8" x14ac:dyDescent="0.35">
      <c r="A22" s="5" t="s">
        <v>29</v>
      </c>
      <c r="B22" s="6" t="s">
        <v>58</v>
      </c>
      <c r="C22" s="7">
        <v>1243941.0000000002</v>
      </c>
      <c r="D22" s="7">
        <v>1502091.5000000002</v>
      </c>
      <c r="E22" s="7">
        <v>1674908</v>
      </c>
      <c r="F22" s="5">
        <v>0</v>
      </c>
      <c r="G22" s="5">
        <v>0</v>
      </c>
      <c r="H22" s="5">
        <v>46</v>
      </c>
    </row>
    <row r="23" spans="1:8" x14ac:dyDescent="0.35">
      <c r="A23" s="5" t="s">
        <v>30</v>
      </c>
      <c r="B23" s="6" t="s">
        <v>58</v>
      </c>
      <c r="C23" s="7">
        <v>44792368.000000007</v>
      </c>
      <c r="D23" s="7">
        <v>49953303.999999993</v>
      </c>
      <c r="E23" s="7">
        <v>54027486.999999985</v>
      </c>
      <c r="F23" s="5">
        <v>0</v>
      </c>
      <c r="G23" s="5">
        <v>4184</v>
      </c>
      <c r="H23" s="5">
        <v>274</v>
      </c>
    </row>
    <row r="24" spans="1:8" x14ac:dyDescent="0.35">
      <c r="A24" s="5" t="s">
        <v>31</v>
      </c>
      <c r="B24" s="6" t="s">
        <v>58</v>
      </c>
      <c r="C24" s="7">
        <v>4427312.4999999991</v>
      </c>
      <c r="D24" s="7">
        <v>4889391</v>
      </c>
      <c r="E24" s="7">
        <v>5302681.0000000028</v>
      </c>
      <c r="F24" s="5">
        <v>1612</v>
      </c>
      <c r="G24" s="5">
        <v>1784</v>
      </c>
      <c r="H24" s="5">
        <v>1744</v>
      </c>
    </row>
    <row r="25" spans="1:8" x14ac:dyDescent="0.35">
      <c r="A25" s="5" t="s">
        <v>32</v>
      </c>
      <c r="B25" s="6" t="s">
        <v>58</v>
      </c>
      <c r="C25" s="7">
        <v>2073938.4999999998</v>
      </c>
      <c r="D25" s="7">
        <v>2198017</v>
      </c>
      <c r="E25" s="7">
        <v>2305825.5000000019</v>
      </c>
      <c r="F25" s="5">
        <v>0</v>
      </c>
      <c r="G25" s="5">
        <v>0</v>
      </c>
      <c r="H25" s="5">
        <v>0</v>
      </c>
    </row>
    <row r="26" spans="1:8" x14ac:dyDescent="0.35">
      <c r="A26" s="5" t="s">
        <v>33</v>
      </c>
      <c r="B26" s="6" t="s">
        <v>58</v>
      </c>
      <c r="C26" s="7">
        <v>23588073.5</v>
      </c>
      <c r="D26" s="7">
        <v>26846541</v>
      </c>
      <c r="E26" s="7">
        <v>29611714.000000004</v>
      </c>
      <c r="F26" s="5">
        <v>6800</v>
      </c>
      <c r="G26" s="5">
        <v>7988</v>
      </c>
      <c r="H26" s="5">
        <v>0</v>
      </c>
    </row>
    <row r="27" spans="1:8" x14ac:dyDescent="0.35">
      <c r="A27" s="5" t="s">
        <v>34</v>
      </c>
      <c r="B27" s="6" t="s">
        <v>58</v>
      </c>
      <c r="C27" s="7">
        <v>17004032.499999996</v>
      </c>
      <c r="D27" s="7">
        <v>19934298.000000004</v>
      </c>
      <c r="E27" s="7">
        <v>22593590.500000022</v>
      </c>
      <c r="F27" s="5">
        <v>3922</v>
      </c>
      <c r="G27" s="5">
        <v>6470</v>
      </c>
      <c r="H27" s="5">
        <v>3258</v>
      </c>
    </row>
    <row r="28" spans="1:8" x14ac:dyDescent="0.35">
      <c r="A28" s="5" t="s">
        <v>35</v>
      </c>
      <c r="B28" s="6" t="s">
        <v>58</v>
      </c>
      <c r="C28" s="7">
        <v>25251730.999999993</v>
      </c>
      <c r="D28" s="7">
        <v>29423878.499999993</v>
      </c>
      <c r="E28" s="7">
        <v>32969518.500000007</v>
      </c>
      <c r="F28" s="5">
        <v>10316</v>
      </c>
      <c r="G28" s="5">
        <v>12042</v>
      </c>
      <c r="H28" s="5">
        <v>14556</v>
      </c>
    </row>
    <row r="29" spans="1:8" x14ac:dyDescent="0.35">
      <c r="A29" s="5" t="s">
        <v>36</v>
      </c>
      <c r="B29" s="6" t="s">
        <v>58</v>
      </c>
      <c r="C29" s="7">
        <v>3742958.9999999981</v>
      </c>
      <c r="D29" s="7">
        <v>4270711.4999999972</v>
      </c>
      <c r="E29" s="7">
        <v>4736138.9999999991</v>
      </c>
      <c r="F29" s="5">
        <v>736</v>
      </c>
      <c r="G29" s="5">
        <v>1342</v>
      </c>
      <c r="H29" s="5">
        <v>2680</v>
      </c>
    </row>
    <row r="30" spans="1:8" x14ac:dyDescent="0.35">
      <c r="A30" s="5" t="s">
        <v>37</v>
      </c>
      <c r="B30" s="6" t="s">
        <v>58</v>
      </c>
      <c r="C30" s="7">
        <v>1290691.4999999998</v>
      </c>
      <c r="D30" s="7">
        <v>1295381.5000000005</v>
      </c>
      <c r="E30" s="7">
        <v>1299468.9999999986</v>
      </c>
      <c r="F30" s="5">
        <v>0</v>
      </c>
      <c r="G30" s="5">
        <v>0</v>
      </c>
      <c r="H30" s="5">
        <v>0</v>
      </c>
    </row>
    <row r="31" spans="1:8" x14ac:dyDescent="0.35">
      <c r="A31" s="5" t="s">
        <v>38</v>
      </c>
      <c r="B31" s="6" t="s">
        <v>58</v>
      </c>
      <c r="C31" s="7">
        <v>16024775.499999996</v>
      </c>
      <c r="D31" s="7">
        <v>18367882.999999985</v>
      </c>
      <c r="E31" s="7">
        <v>20405316.500000019</v>
      </c>
      <c r="F31" s="5">
        <v>96</v>
      </c>
      <c r="G31" s="5">
        <v>1136</v>
      </c>
      <c r="H31" s="5">
        <v>1232</v>
      </c>
    </row>
    <row r="32" spans="1:8" x14ac:dyDescent="0.35">
      <c r="A32" s="5" t="s">
        <v>39</v>
      </c>
      <c r="B32" s="6" t="s">
        <v>58</v>
      </c>
      <c r="C32" s="7">
        <v>2204510.0000000005</v>
      </c>
      <c r="D32" s="7">
        <v>2405680.5000000005</v>
      </c>
      <c r="E32" s="7">
        <v>2567012.4999999995</v>
      </c>
      <c r="F32" s="5">
        <v>0</v>
      </c>
      <c r="G32" s="5">
        <v>10</v>
      </c>
      <c r="H32" s="5">
        <v>14</v>
      </c>
    </row>
    <row r="33" spans="1:8" x14ac:dyDescent="0.35">
      <c r="A33" s="5" t="s">
        <v>40</v>
      </c>
      <c r="B33" s="6" t="s">
        <v>58</v>
      </c>
      <c r="C33" s="7">
        <v>18653199</v>
      </c>
      <c r="D33" s="7">
        <v>22577057.999999996</v>
      </c>
      <c r="E33" s="7">
        <v>26207976.5</v>
      </c>
      <c r="F33" s="5">
        <v>1918</v>
      </c>
      <c r="G33" s="5">
        <v>1812</v>
      </c>
      <c r="H33" s="5">
        <v>1436</v>
      </c>
    </row>
    <row r="34" spans="1:8" x14ac:dyDescent="0.35">
      <c r="A34" s="5" t="s">
        <v>41</v>
      </c>
      <c r="B34" s="6" t="s">
        <v>58</v>
      </c>
      <c r="C34" s="7">
        <v>174726123.50000006</v>
      </c>
      <c r="D34" s="7">
        <v>198387623.50000006</v>
      </c>
      <c r="E34" s="7">
        <v>218541211.50000003</v>
      </c>
      <c r="F34" s="5">
        <v>202550</v>
      </c>
      <c r="G34" s="5">
        <v>282550</v>
      </c>
      <c r="H34" s="5">
        <v>293574</v>
      </c>
    </row>
    <row r="35" spans="1:8" x14ac:dyDescent="0.35">
      <c r="A35" s="5" t="s">
        <v>42</v>
      </c>
      <c r="B35" s="6" t="s">
        <v>58</v>
      </c>
      <c r="C35" s="7">
        <v>11101349.499999996</v>
      </c>
      <c r="D35" s="7">
        <v>12531807.499999998</v>
      </c>
      <c r="E35" s="7">
        <v>13776697.499999994</v>
      </c>
      <c r="F35" s="5">
        <v>1736</v>
      </c>
      <c r="G35" s="5">
        <v>4288</v>
      </c>
      <c r="H35" s="5">
        <v>3122</v>
      </c>
    </row>
    <row r="36" spans="1:8" x14ac:dyDescent="0.35">
      <c r="A36" s="5" t="s">
        <v>43</v>
      </c>
      <c r="B36" s="6" t="s">
        <v>58</v>
      </c>
      <c r="C36" s="7">
        <v>13595565.499999993</v>
      </c>
      <c r="D36" s="7">
        <v>15574908.999999998</v>
      </c>
      <c r="E36" s="7">
        <v>17316449</v>
      </c>
      <c r="F36" s="5">
        <v>7892</v>
      </c>
      <c r="G36" s="5">
        <v>4004</v>
      </c>
      <c r="H36" s="5">
        <v>5606</v>
      </c>
    </row>
    <row r="37" spans="1:8" x14ac:dyDescent="0.35">
      <c r="A37" s="5" t="s">
        <v>44</v>
      </c>
      <c r="B37" s="6" t="s">
        <v>58</v>
      </c>
      <c r="C37" s="7">
        <v>6964858.4999999972</v>
      </c>
      <c r="D37" s="7">
        <v>7861281</v>
      </c>
      <c r="E37" s="7">
        <v>8605718.0000000056</v>
      </c>
      <c r="F37" s="5">
        <v>4374</v>
      </c>
      <c r="G37" s="5">
        <v>626</v>
      </c>
      <c r="H37" s="5">
        <v>4746</v>
      </c>
    </row>
    <row r="38" spans="1:8" x14ac:dyDescent="0.35">
      <c r="A38" s="5" t="s">
        <v>45</v>
      </c>
      <c r="B38" s="6" t="s">
        <v>58</v>
      </c>
      <c r="C38" s="7">
        <v>11106031.000000004</v>
      </c>
      <c r="D38" s="7">
        <v>10395329.5</v>
      </c>
      <c r="E38" s="7">
        <v>10913163.5</v>
      </c>
      <c r="F38" s="5">
        <v>0</v>
      </c>
      <c r="G38" s="5">
        <v>0</v>
      </c>
      <c r="H38" s="5">
        <v>6040</v>
      </c>
    </row>
    <row r="39" spans="1:8" x14ac:dyDescent="0.35">
      <c r="A39" s="5" t="s">
        <v>46</v>
      </c>
      <c r="B39" s="6" t="s">
        <v>58</v>
      </c>
      <c r="C39" s="7">
        <v>193756.99999999997</v>
      </c>
      <c r="D39" s="7">
        <v>211344</v>
      </c>
      <c r="E39" s="7">
        <v>227379.5</v>
      </c>
      <c r="F39" s="5">
        <v>62</v>
      </c>
      <c r="G39" s="5">
        <v>0</v>
      </c>
      <c r="H39" s="5">
        <v>44</v>
      </c>
    </row>
    <row r="40" spans="1:8" x14ac:dyDescent="0.35">
      <c r="A40" s="5" t="s">
        <v>47</v>
      </c>
      <c r="B40" s="6" t="s">
        <v>58</v>
      </c>
      <c r="C40" s="7">
        <v>1118318.9999999998</v>
      </c>
      <c r="D40" s="7">
        <v>1160427.5</v>
      </c>
      <c r="E40" s="7">
        <v>1201670.4999999995</v>
      </c>
      <c r="F40" s="5">
        <v>0</v>
      </c>
      <c r="G40" s="5">
        <v>0</v>
      </c>
      <c r="H40" s="5">
        <v>0</v>
      </c>
    </row>
    <row r="41" spans="1:8" x14ac:dyDescent="0.35">
      <c r="A41" s="5" t="s">
        <v>48</v>
      </c>
      <c r="B41" s="6" t="s">
        <v>58</v>
      </c>
      <c r="C41" s="7">
        <v>96714</v>
      </c>
      <c r="D41" s="7">
        <v>103101.00000000003</v>
      </c>
      <c r="E41" s="7">
        <v>107118.5</v>
      </c>
      <c r="F41" s="5">
        <v>0</v>
      </c>
      <c r="G41" s="5">
        <v>316</v>
      </c>
      <c r="H41" s="5">
        <v>312</v>
      </c>
    </row>
    <row r="42" spans="1:8" x14ac:dyDescent="0.35">
      <c r="A42" s="5" t="s">
        <v>49</v>
      </c>
      <c r="B42" s="6" t="s">
        <v>58</v>
      </c>
      <c r="C42" s="7">
        <v>13216766.5</v>
      </c>
      <c r="D42" s="7">
        <v>15604210</v>
      </c>
      <c r="E42" s="7">
        <v>17723314.500000004</v>
      </c>
      <c r="F42" s="5">
        <v>902</v>
      </c>
      <c r="G42" s="5">
        <v>0</v>
      </c>
      <c r="H42" s="5">
        <v>1566</v>
      </c>
    </row>
    <row r="43" spans="1:8" x14ac:dyDescent="0.35">
      <c r="A43" s="5" t="s">
        <v>50</v>
      </c>
      <c r="B43" s="6" t="s">
        <v>58</v>
      </c>
      <c r="C43" s="7">
        <v>7106229</v>
      </c>
      <c r="D43" s="7">
        <v>8046679</v>
      </c>
      <c r="E43" s="7">
        <v>8848698.5000000019</v>
      </c>
      <c r="F43" s="5">
        <v>1738</v>
      </c>
      <c r="G43" s="5">
        <v>2570</v>
      </c>
      <c r="H43" s="5">
        <v>3728</v>
      </c>
    </row>
    <row r="44" spans="1:8" x14ac:dyDescent="0.35">
      <c r="A44" s="5" t="s">
        <v>51</v>
      </c>
      <c r="B44" s="6" t="s">
        <v>58</v>
      </c>
      <c r="C44" s="7">
        <v>49253643.5</v>
      </c>
      <c r="D44" s="7">
        <v>58090443.000000007</v>
      </c>
      <c r="E44" s="7">
        <v>65497748.000000045</v>
      </c>
      <c r="F44" s="5">
        <v>0</v>
      </c>
      <c r="G44" s="5">
        <v>0</v>
      </c>
      <c r="H44" s="5">
        <v>0</v>
      </c>
    </row>
    <row r="45" spans="1:8" x14ac:dyDescent="0.35">
      <c r="A45" s="5" t="s">
        <v>52</v>
      </c>
      <c r="B45" s="6" t="s">
        <v>58</v>
      </c>
      <c r="C45" s="7">
        <v>35273569.999999993</v>
      </c>
      <c r="D45" s="7">
        <v>41515395.000000015</v>
      </c>
      <c r="E45" s="7">
        <v>47249584.999999978</v>
      </c>
      <c r="F45" s="5">
        <v>17630</v>
      </c>
      <c r="G45" s="5">
        <v>19604</v>
      </c>
      <c r="H45" s="5">
        <v>65914</v>
      </c>
    </row>
    <row r="46" spans="1:8" x14ac:dyDescent="0.35">
      <c r="A46" s="5" t="s">
        <v>53</v>
      </c>
      <c r="B46" s="6" t="s">
        <v>58</v>
      </c>
      <c r="C46" s="7">
        <v>53873616</v>
      </c>
      <c r="D46" s="7">
        <v>57339635.000000015</v>
      </c>
      <c r="E46" s="7">
        <v>59893885.5</v>
      </c>
      <c r="F46" s="5">
        <v>0</v>
      </c>
      <c r="G46" s="5">
        <v>2568</v>
      </c>
      <c r="H46" s="5">
        <v>0</v>
      </c>
    </row>
    <row r="47" spans="1:8" x14ac:dyDescent="0.35">
      <c r="A47" s="5" t="s">
        <v>54</v>
      </c>
      <c r="B47" s="6" t="s">
        <v>58</v>
      </c>
      <c r="C47" s="7">
        <v>15234975.999999991</v>
      </c>
      <c r="D47" s="7">
        <v>17835892.999999981</v>
      </c>
      <c r="E47" s="7">
        <v>20017675.000000004</v>
      </c>
      <c r="F47" s="5">
        <v>5546</v>
      </c>
      <c r="G47" s="5">
        <v>6666</v>
      </c>
      <c r="H47" s="5">
        <v>18404</v>
      </c>
    </row>
    <row r="48" spans="1:8" x14ac:dyDescent="0.35">
      <c r="A48" s="5" t="s">
        <v>55</v>
      </c>
      <c r="B48" s="6" t="s">
        <v>58</v>
      </c>
      <c r="C48" s="7">
        <v>13555421.500000011</v>
      </c>
      <c r="D48" s="7">
        <v>15052184.000000007</v>
      </c>
      <c r="E48" s="7">
        <v>16320536.999999996</v>
      </c>
      <c r="F48" s="5">
        <v>0</v>
      </c>
      <c r="G48" s="5">
        <v>17612</v>
      </c>
      <c r="H48" s="5">
        <v>18586</v>
      </c>
    </row>
    <row r="49" spans="1:8" x14ac:dyDescent="0.35">
      <c r="C49" s="8">
        <f>SUM(C2:C48)</f>
        <v>944292669</v>
      </c>
      <c r="D49" s="8">
        <f t="shared" ref="D49:H49" si="0">SUM(D2:D48)</f>
        <v>1076956971</v>
      </c>
      <c r="E49" s="8">
        <f t="shared" si="0"/>
        <v>1191645698.5</v>
      </c>
      <c r="F49" s="8">
        <f t="shared" si="0"/>
        <v>364566</v>
      </c>
      <c r="G49" s="8">
        <f t="shared" si="0"/>
        <v>477880</v>
      </c>
      <c r="H49" s="8">
        <f t="shared" si="0"/>
        <v>613452</v>
      </c>
    </row>
    <row r="51" spans="1:8" x14ac:dyDescent="0.35">
      <c r="A51" s="12" t="s">
        <v>56</v>
      </c>
      <c r="B51" s="10" t="s">
        <v>59</v>
      </c>
      <c r="C51" s="11">
        <f>(F49*10000)/C49</f>
        <v>3.8607310208822558</v>
      </c>
      <c r="D51" s="11">
        <f t="shared" ref="D51:E51" si="1">(G49*10000)/D49</f>
        <v>4.4373174868469283</v>
      </c>
      <c r="E51" s="11">
        <f t="shared" si="1"/>
        <v>5.147939532464985</v>
      </c>
    </row>
    <row r="53" spans="1:8" x14ac:dyDescent="0.35">
      <c r="H53" s="13">
        <f>(H49-G49)/G49</f>
        <v>0.28369465137691469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Nursing personnel</vt:lpstr>
      <vt:lpstr>Midwifrey 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2024-02-09T12:49:25Z</dcterms:created>
  <dcterms:modified xsi:type="dcterms:W3CDTF">2024-02-25T10:27:01Z</dcterms:modified>
</cp:coreProperties>
</file>