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AA16E18D-70EF-418B-A5C9-1572FDCE5FE1}" xr6:coauthVersionLast="47" xr6:coauthVersionMax="47" xr10:uidLastSave="{00000000-0000-0000-0000-000000000000}"/>
  <bookViews>
    <workbookView xWindow="-110" yWindow="-110" windowWidth="19420" windowHeight="10300" firstSheet="2" activeTab="5" xr2:uid="{D3B5E8D0-05DC-4814-85AB-04CB050E1D4D}"/>
  </bookViews>
  <sheets>
    <sheet name="Sheet3" sheetId="3" r:id="rId1"/>
    <sheet name="Sheet7" sheetId="7" r:id="rId2"/>
    <sheet name="proportions" sheetId="1" r:id="rId3"/>
    <sheet name="Sheet2" sheetId="2" r:id="rId4"/>
    <sheet name="Sheet6" sheetId="6" r:id="rId5"/>
    <sheet name="Total dentists" sheetId="4" r:id="rId6"/>
    <sheet name="Education" sheetId="5" state="hidden" r:id="rId7"/>
    <sheet name="Edu updated" sheetId="8" r:id="rId8"/>
  </sheets>
  <definedNames>
    <definedName name="_xlnm._FilterDatabase" localSheetId="6" hidden="1">Education!$A$1:$B$1</definedName>
    <definedName name="_xlnm._FilterDatabase" localSheetId="5" hidden="1">'Total dentists'!$A$2:$X$50</definedName>
  </definedNames>
  <calcPr calcId="191029"/>
  <pivotCaches>
    <pivotCache cacheId="11" r:id="rId9"/>
    <pivotCache cacheId="1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4" l="1"/>
  <c r="N50" i="4" s="1"/>
  <c r="X4" i="4"/>
  <c r="X7" i="4"/>
  <c r="X10" i="4"/>
  <c r="X11" i="4"/>
  <c r="X14" i="4"/>
  <c r="X18" i="4"/>
  <c r="X23" i="4"/>
  <c r="X43" i="4"/>
  <c r="W4" i="4"/>
  <c r="W7" i="4"/>
  <c r="W10" i="4"/>
  <c r="W11" i="4"/>
  <c r="W14" i="4"/>
  <c r="W18" i="4"/>
  <c r="W23" i="4"/>
  <c r="W43" i="4"/>
  <c r="V4" i="4"/>
  <c r="V7" i="4"/>
  <c r="V10" i="4"/>
  <c r="V11" i="4"/>
  <c r="V14" i="4"/>
  <c r="V18" i="4"/>
  <c r="V23" i="4"/>
  <c r="V43" i="4"/>
  <c r="T4" i="4"/>
  <c r="T7" i="4"/>
  <c r="T10" i="4"/>
  <c r="T11" i="4"/>
  <c r="T14" i="4"/>
  <c r="T18" i="4"/>
  <c r="T23" i="4"/>
  <c r="T43" i="4"/>
  <c r="S4" i="4"/>
  <c r="S7" i="4"/>
  <c r="S10" i="4"/>
  <c r="S11" i="4"/>
  <c r="S14" i="4"/>
  <c r="S18" i="4"/>
  <c r="S23" i="4"/>
  <c r="S43" i="4"/>
  <c r="R4" i="4"/>
  <c r="R7" i="4"/>
  <c r="R10" i="4"/>
  <c r="R11" i="4"/>
  <c r="R14" i="4"/>
  <c r="R18" i="4"/>
  <c r="R23" i="4"/>
  <c r="R43" i="4"/>
  <c r="R46" i="4"/>
  <c r="S46" i="4" s="1"/>
  <c r="T46" i="4" s="1"/>
  <c r="Q43" i="4"/>
  <c r="Q32" i="4"/>
  <c r="R32" i="4" s="1"/>
  <c r="S32" i="4" s="1"/>
  <c r="T32" i="4" s="1"/>
  <c r="Q38" i="4"/>
  <c r="R38" i="4" s="1"/>
  <c r="S38" i="4" s="1"/>
  <c r="T38" i="4" s="1"/>
  <c r="Q40" i="4"/>
  <c r="R40" i="4" s="1"/>
  <c r="S40" i="4" s="1"/>
  <c r="T40" i="4" s="1"/>
  <c r="Q46" i="4"/>
  <c r="Q49" i="4"/>
  <c r="R49" i="4" s="1"/>
  <c r="S49" i="4" s="1"/>
  <c r="T49" i="4" s="1"/>
  <c r="Q25" i="4"/>
  <c r="R25" i="4" s="1"/>
  <c r="S25" i="4" s="1"/>
  <c r="T25" i="4" s="1"/>
  <c r="Q23" i="4"/>
  <c r="Q18" i="4"/>
  <c r="Q16" i="4"/>
  <c r="R16" i="4" s="1"/>
  <c r="S16" i="4" s="1"/>
  <c r="T16" i="4" s="1"/>
  <c r="Q15" i="4"/>
  <c r="R15" i="4" s="1"/>
  <c r="S15" i="4" s="1"/>
  <c r="T15" i="4" s="1"/>
  <c r="Q14" i="4"/>
  <c r="Q10" i="4"/>
  <c r="Q11" i="4"/>
  <c r="Q9" i="4"/>
  <c r="R9" i="4" s="1"/>
  <c r="S9" i="4" s="1"/>
  <c r="T9" i="4" s="1"/>
  <c r="Q7" i="4"/>
  <c r="Q4" i="4"/>
  <c r="N49" i="4"/>
  <c r="N47" i="4"/>
  <c r="N45" i="4"/>
  <c r="N43" i="4"/>
  <c r="N40" i="4"/>
  <c r="N37" i="4"/>
  <c r="N34" i="4"/>
  <c r="N27" i="4"/>
  <c r="N26" i="4"/>
  <c r="N20" i="4"/>
  <c r="N16" i="4"/>
  <c r="N6" i="4"/>
  <c r="N4" i="4"/>
  <c r="O21" i="4"/>
  <c r="Q21" i="4" s="1"/>
  <c r="R21" i="4" s="1"/>
  <c r="S21" i="4" s="1"/>
  <c r="T21" i="4" s="1"/>
  <c r="O22" i="4"/>
  <c r="Q22" i="4" s="1"/>
  <c r="R22" i="4" s="1"/>
  <c r="S22" i="4" s="1"/>
  <c r="T22" i="4" s="1"/>
  <c r="O23" i="4"/>
  <c r="O25" i="4"/>
  <c r="O28" i="4"/>
  <c r="Q28" i="4" s="1"/>
  <c r="R28" i="4" s="1"/>
  <c r="S28" i="4" s="1"/>
  <c r="T28" i="4" s="1"/>
  <c r="O29" i="4"/>
  <c r="Q29" i="4" s="1"/>
  <c r="R29" i="4" s="1"/>
  <c r="S29" i="4" s="1"/>
  <c r="T29" i="4" s="1"/>
  <c r="O30" i="4"/>
  <c r="Q30" i="4" s="1"/>
  <c r="R30" i="4" s="1"/>
  <c r="S30" i="4" s="1"/>
  <c r="T30" i="4" s="1"/>
  <c r="O31" i="4"/>
  <c r="Q31" i="4" s="1"/>
  <c r="R31" i="4" s="1"/>
  <c r="S31" i="4" s="1"/>
  <c r="T31" i="4" s="1"/>
  <c r="O33" i="4"/>
  <c r="Q33" i="4" s="1"/>
  <c r="R33" i="4" s="1"/>
  <c r="S33" i="4" s="1"/>
  <c r="T33" i="4" s="1"/>
  <c r="O36" i="4"/>
  <c r="Q36" i="4" s="1"/>
  <c r="R36" i="4" s="1"/>
  <c r="S36" i="4" s="1"/>
  <c r="T36" i="4" s="1"/>
  <c r="O38" i="4"/>
  <c r="O39" i="4"/>
  <c r="Q39" i="4" s="1"/>
  <c r="R39" i="4" s="1"/>
  <c r="S39" i="4" s="1"/>
  <c r="T39" i="4" s="1"/>
  <c r="O41" i="4"/>
  <c r="Q41" i="4" s="1"/>
  <c r="R41" i="4" s="1"/>
  <c r="S41" i="4" s="1"/>
  <c r="T41" i="4" s="1"/>
  <c r="O42" i="4"/>
  <c r="Q42" i="4" s="1"/>
  <c r="R42" i="4" s="1"/>
  <c r="S42" i="4" s="1"/>
  <c r="T42" i="4" s="1"/>
  <c r="O44" i="4"/>
  <c r="Q44" i="4" s="1"/>
  <c r="R44" i="4" s="1"/>
  <c r="S44" i="4" s="1"/>
  <c r="T44" i="4" s="1"/>
  <c r="O46" i="4"/>
  <c r="O5" i="4"/>
  <c r="O8" i="4"/>
  <c r="Q8" i="4" s="1"/>
  <c r="R8" i="4" s="1"/>
  <c r="S8" i="4" s="1"/>
  <c r="T8" i="4" s="1"/>
  <c r="O10" i="4"/>
  <c r="U10" i="4" s="1"/>
  <c r="O11" i="4"/>
  <c r="O12" i="4"/>
  <c r="O13" i="4"/>
  <c r="Q13" i="4" s="1"/>
  <c r="R13" i="4" s="1"/>
  <c r="S13" i="4" s="1"/>
  <c r="T13" i="4" s="1"/>
  <c r="O17" i="4"/>
  <c r="O18" i="4"/>
  <c r="O19" i="4"/>
  <c r="Q19" i="4" s="1"/>
  <c r="R19" i="4" s="1"/>
  <c r="S19" i="4" s="1"/>
  <c r="T19" i="4" s="1"/>
  <c r="M16" i="4"/>
  <c r="O16" i="4" s="1"/>
  <c r="M20" i="4"/>
  <c r="M26" i="4"/>
  <c r="O26" i="4" s="1"/>
  <c r="Q26" i="4" s="1"/>
  <c r="R26" i="4" s="1"/>
  <c r="S26" i="4" s="1"/>
  <c r="T26" i="4" s="1"/>
  <c r="M27" i="4"/>
  <c r="M34" i="4"/>
  <c r="O34" i="4" s="1"/>
  <c r="Q34" i="4" s="1"/>
  <c r="R34" i="4" s="1"/>
  <c r="S34" i="4" s="1"/>
  <c r="T34" i="4" s="1"/>
  <c r="M37" i="4"/>
  <c r="M40" i="4"/>
  <c r="O40" i="4" s="1"/>
  <c r="M43" i="4"/>
  <c r="M45" i="4"/>
  <c r="M47" i="4"/>
  <c r="M49" i="4"/>
  <c r="O49" i="4" s="1"/>
  <c r="M4" i="4"/>
  <c r="O4" i="4" s="1"/>
  <c r="U4" i="4" s="1"/>
  <c r="M6" i="4"/>
  <c r="M7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3" i="4"/>
  <c r="O9" i="4"/>
  <c r="O14" i="4"/>
  <c r="U14" i="4" s="1"/>
  <c r="O24" i="4"/>
  <c r="Q24" i="4" s="1"/>
  <c r="R24" i="4" s="1"/>
  <c r="S24" i="4" s="1"/>
  <c r="T24" i="4" s="1"/>
  <c r="O32" i="4"/>
  <c r="O35" i="4"/>
  <c r="Q35" i="4" s="1"/>
  <c r="R35" i="4" s="1"/>
  <c r="S35" i="4" s="1"/>
  <c r="T35" i="4" s="1"/>
  <c r="O48" i="4"/>
  <c r="Q48" i="4" s="1"/>
  <c r="R48" i="4" s="1"/>
  <c r="S48" i="4" s="1"/>
  <c r="T48" i="4" s="1"/>
  <c r="O3" i="4"/>
  <c r="Q3" i="4" s="1"/>
  <c r="O15" i="4"/>
  <c r="B44" i="5"/>
  <c r="O20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1" i="1"/>
  <c r="O3" i="1"/>
  <c r="L3" i="1"/>
  <c r="M3" i="1"/>
  <c r="N4" i="1"/>
  <c r="I5" i="1"/>
  <c r="J6" i="1"/>
  <c r="K6" i="1"/>
  <c r="L7" i="1"/>
  <c r="M7" i="1"/>
  <c r="K10" i="1"/>
  <c r="L10" i="1"/>
  <c r="M11" i="1"/>
  <c r="N11" i="1"/>
  <c r="I13" i="1"/>
  <c r="J13" i="1"/>
  <c r="K14" i="1"/>
  <c r="L14" i="1"/>
  <c r="M15" i="1"/>
  <c r="N15" i="1"/>
  <c r="K18" i="1"/>
  <c r="L18" i="1"/>
  <c r="N19" i="1"/>
  <c r="I20" i="1"/>
  <c r="J21" i="1"/>
  <c r="K21" i="1"/>
  <c r="K2" i="1"/>
  <c r="L2" i="1"/>
  <c r="H3" i="1"/>
  <c r="N3" i="1" s="1"/>
  <c r="H4" i="1"/>
  <c r="I4" i="1" s="1"/>
  <c r="H5" i="1"/>
  <c r="J5" i="1" s="1"/>
  <c r="H6" i="1"/>
  <c r="L6" i="1" s="1"/>
  <c r="H7" i="1"/>
  <c r="N7" i="1" s="1"/>
  <c r="H8" i="1"/>
  <c r="I8" i="1" s="1"/>
  <c r="H9" i="1"/>
  <c r="K9" i="1" s="1"/>
  <c r="H10" i="1"/>
  <c r="M10" i="1" s="1"/>
  <c r="H11" i="1"/>
  <c r="I11" i="1" s="1"/>
  <c r="H12" i="1"/>
  <c r="I12" i="1" s="1"/>
  <c r="H13" i="1"/>
  <c r="K13" i="1" s="1"/>
  <c r="H14" i="1"/>
  <c r="M14" i="1" s="1"/>
  <c r="H15" i="1"/>
  <c r="I15" i="1" s="1"/>
  <c r="H16" i="1"/>
  <c r="I16" i="1" s="1"/>
  <c r="H17" i="1"/>
  <c r="K17" i="1" s="1"/>
  <c r="H18" i="1"/>
  <c r="M18" i="1" s="1"/>
  <c r="H19" i="1"/>
  <c r="K19" i="1" s="1"/>
  <c r="H20" i="1"/>
  <c r="J20" i="1" s="1"/>
  <c r="H21" i="1"/>
  <c r="L21" i="1" s="1"/>
  <c r="H2" i="1"/>
  <c r="I2" i="1" s="1"/>
  <c r="R3" i="4" l="1"/>
  <c r="S3" i="4" s="1"/>
  <c r="T3" i="4" s="1"/>
  <c r="U3" i="4" s="1"/>
  <c r="V3" i="4" s="1"/>
  <c r="W3" i="4" s="1"/>
  <c r="X3" i="4" s="1"/>
  <c r="U9" i="4"/>
  <c r="V9" i="4" s="1"/>
  <c r="W9" i="4" s="1"/>
  <c r="X9" i="4" s="1"/>
  <c r="U17" i="4"/>
  <c r="V17" i="4" s="1"/>
  <c r="W17" i="4" s="1"/>
  <c r="X17" i="4" s="1"/>
  <c r="Q17" i="4"/>
  <c r="R17" i="4" s="1"/>
  <c r="S17" i="4" s="1"/>
  <c r="T17" i="4" s="1"/>
  <c r="O47" i="4"/>
  <c r="Q47" i="4" s="1"/>
  <c r="R47" i="4" s="1"/>
  <c r="S47" i="4" s="1"/>
  <c r="T47" i="4" s="1"/>
  <c r="U47" i="4" s="1"/>
  <c r="V47" i="4" s="1"/>
  <c r="W47" i="4" s="1"/>
  <c r="X47" i="4" s="1"/>
  <c r="O20" i="4"/>
  <c r="Q20" i="4" s="1"/>
  <c r="R20" i="4" s="1"/>
  <c r="S20" i="4" s="1"/>
  <c r="T20" i="4" s="1"/>
  <c r="U20" i="4" s="1"/>
  <c r="V20" i="4" s="1"/>
  <c r="W20" i="4" s="1"/>
  <c r="X20" i="4" s="1"/>
  <c r="Q12" i="4"/>
  <c r="R12" i="4" s="1"/>
  <c r="S12" i="4" s="1"/>
  <c r="T12" i="4" s="1"/>
  <c r="U12" i="4" s="1"/>
  <c r="V12" i="4" s="1"/>
  <c r="W12" i="4" s="1"/>
  <c r="X12" i="4" s="1"/>
  <c r="U8" i="4"/>
  <c r="V8" i="4" s="1"/>
  <c r="W8" i="4" s="1"/>
  <c r="X8" i="4" s="1"/>
  <c r="U25" i="4"/>
  <c r="V25" i="4" s="1"/>
  <c r="W25" i="4" s="1"/>
  <c r="X25" i="4" s="1"/>
  <c r="U5" i="4"/>
  <c r="V5" i="4" s="1"/>
  <c r="W5" i="4" s="1"/>
  <c r="X5" i="4" s="1"/>
  <c r="Q5" i="4"/>
  <c r="R5" i="4" s="1"/>
  <c r="S5" i="4" s="1"/>
  <c r="T5" i="4" s="1"/>
  <c r="U40" i="4"/>
  <c r="V40" i="4" s="1"/>
  <c r="W40" i="4" s="1"/>
  <c r="X40" i="4" s="1"/>
  <c r="P50" i="4"/>
  <c r="U46" i="4"/>
  <c r="V46" i="4" s="1"/>
  <c r="W46" i="4" s="1"/>
  <c r="X46" i="4" s="1"/>
  <c r="U41" i="4"/>
  <c r="V41" i="4" s="1"/>
  <c r="W41" i="4" s="1"/>
  <c r="X41" i="4" s="1"/>
  <c r="U49" i="4"/>
  <c r="V49" i="4" s="1"/>
  <c r="W49" i="4" s="1"/>
  <c r="X49" i="4" s="1"/>
  <c r="U33" i="4"/>
  <c r="V33" i="4" s="1"/>
  <c r="W33" i="4" s="1"/>
  <c r="X33" i="4" s="1"/>
  <c r="U31" i="4"/>
  <c r="V31" i="4" s="1"/>
  <c r="W31" i="4" s="1"/>
  <c r="X31" i="4" s="1"/>
  <c r="U30" i="4"/>
  <c r="V30" i="4" s="1"/>
  <c r="W30" i="4" s="1"/>
  <c r="X30" i="4" s="1"/>
  <c r="U38" i="4"/>
  <c r="V38" i="4" s="1"/>
  <c r="W38" i="4" s="1"/>
  <c r="X38" i="4" s="1"/>
  <c r="U22" i="4"/>
  <c r="V22" i="4" s="1"/>
  <c r="W22" i="4" s="1"/>
  <c r="X22" i="4" s="1"/>
  <c r="U44" i="4"/>
  <c r="V44" i="4" s="1"/>
  <c r="W44" i="4" s="1"/>
  <c r="X44" i="4" s="1"/>
  <c r="U28" i="4"/>
  <c r="V28" i="4" s="1"/>
  <c r="W28" i="4" s="1"/>
  <c r="X28" i="4" s="1"/>
  <c r="U36" i="4"/>
  <c r="V36" i="4" s="1"/>
  <c r="W36" i="4" s="1"/>
  <c r="X36" i="4" s="1"/>
  <c r="U42" i="4"/>
  <c r="V42" i="4" s="1"/>
  <c r="W42" i="4" s="1"/>
  <c r="X42" i="4" s="1"/>
  <c r="U34" i="4"/>
  <c r="V34" i="4" s="1"/>
  <c r="W34" i="4" s="1"/>
  <c r="X34" i="4" s="1"/>
  <c r="U26" i="4"/>
  <c r="V26" i="4" s="1"/>
  <c r="W26" i="4" s="1"/>
  <c r="X26" i="4" s="1"/>
  <c r="U48" i="4"/>
  <c r="V48" i="4" s="1"/>
  <c r="W48" i="4" s="1"/>
  <c r="X48" i="4" s="1"/>
  <c r="U32" i="4"/>
  <c r="V32" i="4" s="1"/>
  <c r="W32" i="4" s="1"/>
  <c r="X32" i="4" s="1"/>
  <c r="U16" i="4"/>
  <c r="V16" i="4" s="1"/>
  <c r="W16" i="4" s="1"/>
  <c r="X16" i="4" s="1"/>
  <c r="U24" i="4"/>
  <c r="V24" i="4" s="1"/>
  <c r="W24" i="4" s="1"/>
  <c r="X24" i="4" s="1"/>
  <c r="U15" i="4"/>
  <c r="V15" i="4" s="1"/>
  <c r="W15" i="4" s="1"/>
  <c r="X15" i="4" s="1"/>
  <c r="U39" i="4"/>
  <c r="V39" i="4" s="1"/>
  <c r="W39" i="4" s="1"/>
  <c r="X39" i="4" s="1"/>
  <c r="U13" i="4"/>
  <c r="V13" i="4" s="1"/>
  <c r="W13" i="4" s="1"/>
  <c r="X13" i="4" s="1"/>
  <c r="U29" i="4"/>
  <c r="V29" i="4" s="1"/>
  <c r="W29" i="4" s="1"/>
  <c r="X29" i="4" s="1"/>
  <c r="U21" i="4"/>
  <c r="V21" i="4" s="1"/>
  <c r="W21" i="4" s="1"/>
  <c r="X21" i="4" s="1"/>
  <c r="U11" i="4"/>
  <c r="U35" i="4"/>
  <c r="V35" i="4" s="1"/>
  <c r="W35" i="4" s="1"/>
  <c r="X35" i="4" s="1"/>
  <c r="U19" i="4"/>
  <c r="V19" i="4" s="1"/>
  <c r="W19" i="4" s="1"/>
  <c r="X19" i="4" s="1"/>
  <c r="O7" i="4"/>
  <c r="U7" i="4" s="1"/>
  <c r="O43" i="4"/>
  <c r="U43" i="4" s="1"/>
  <c r="M50" i="4"/>
  <c r="O45" i="4"/>
  <c r="O6" i="4"/>
  <c r="O37" i="4"/>
  <c r="O27" i="4"/>
  <c r="U23" i="4"/>
  <c r="J9" i="1"/>
  <c r="J2" i="1"/>
  <c r="I21" i="1"/>
  <c r="M19" i="1"/>
  <c r="J18" i="1"/>
  <c r="N16" i="1"/>
  <c r="L15" i="1"/>
  <c r="J14" i="1"/>
  <c r="N12" i="1"/>
  <c r="L11" i="1"/>
  <c r="J10" i="1"/>
  <c r="N8" i="1"/>
  <c r="K7" i="1"/>
  <c r="I6" i="1"/>
  <c r="M4" i="1"/>
  <c r="K3" i="1"/>
  <c r="I9" i="1"/>
  <c r="M2" i="1"/>
  <c r="N20" i="1"/>
  <c r="L19" i="1"/>
  <c r="I18" i="1"/>
  <c r="M16" i="1"/>
  <c r="K15" i="1"/>
  <c r="I14" i="1"/>
  <c r="M12" i="1"/>
  <c r="K11" i="1"/>
  <c r="I10" i="1"/>
  <c r="M8" i="1"/>
  <c r="J7" i="1"/>
  <c r="N5" i="1"/>
  <c r="L4" i="1"/>
  <c r="J3" i="1"/>
  <c r="N2" i="1"/>
  <c r="M20" i="1"/>
  <c r="J19" i="1"/>
  <c r="N17" i="1"/>
  <c r="L16" i="1"/>
  <c r="J15" i="1"/>
  <c r="N13" i="1"/>
  <c r="L12" i="1"/>
  <c r="J11" i="1"/>
  <c r="N9" i="1"/>
  <c r="L8" i="1"/>
  <c r="I7" i="1"/>
  <c r="M5" i="1"/>
  <c r="K4" i="1"/>
  <c r="I3" i="1"/>
  <c r="N21" i="1"/>
  <c r="L20" i="1"/>
  <c r="I19" i="1"/>
  <c r="M17" i="1"/>
  <c r="K16" i="1"/>
  <c r="M13" i="1"/>
  <c r="K12" i="1"/>
  <c r="M9" i="1"/>
  <c r="J8" i="1"/>
  <c r="N6" i="1"/>
  <c r="L5" i="1"/>
  <c r="J4" i="1"/>
  <c r="K8" i="1"/>
  <c r="M21" i="1"/>
  <c r="K20" i="1"/>
  <c r="N18" i="1"/>
  <c r="L17" i="1"/>
  <c r="J16" i="1"/>
  <c r="N14" i="1"/>
  <c r="L13" i="1"/>
  <c r="J12" i="1"/>
  <c r="N10" i="1"/>
  <c r="L9" i="1"/>
  <c r="M6" i="1"/>
  <c r="K5" i="1"/>
  <c r="J17" i="1"/>
  <c r="I17" i="1"/>
  <c r="Q6" i="4" l="1"/>
  <c r="Q45" i="4"/>
  <c r="R45" i="4" s="1"/>
  <c r="S45" i="4" s="1"/>
  <c r="T45" i="4" s="1"/>
  <c r="U45" i="4" s="1"/>
  <c r="V45" i="4" s="1"/>
  <c r="W45" i="4" s="1"/>
  <c r="X45" i="4" s="1"/>
  <c r="Q27" i="4"/>
  <c r="R27" i="4" s="1"/>
  <c r="S27" i="4" s="1"/>
  <c r="T27" i="4" s="1"/>
  <c r="U27" i="4" s="1"/>
  <c r="V27" i="4" s="1"/>
  <c r="W27" i="4" s="1"/>
  <c r="X27" i="4" s="1"/>
  <c r="U37" i="4"/>
  <c r="V37" i="4" s="1"/>
  <c r="W37" i="4" s="1"/>
  <c r="X37" i="4" s="1"/>
  <c r="Q37" i="4"/>
  <c r="R37" i="4" s="1"/>
  <c r="S37" i="4" s="1"/>
  <c r="T37" i="4" s="1"/>
  <c r="O50" i="4"/>
  <c r="R6" i="4" l="1"/>
  <c r="Q50" i="4"/>
  <c r="S6" i="4" l="1"/>
  <c r="R50" i="4"/>
  <c r="T6" i="4" l="1"/>
  <c r="S50" i="4"/>
  <c r="U18" i="4"/>
  <c r="U50" i="4" l="1"/>
  <c r="U6" i="4"/>
  <c r="V6" i="4" s="1"/>
  <c r="W6" i="4" s="1"/>
  <c r="X6" i="4" s="1"/>
  <c r="T50" i="4"/>
  <c r="V50" i="4"/>
  <c r="W50" i="4" l="1"/>
  <c r="X50" i="4" l="1"/>
</calcChain>
</file>

<file path=xl/sharedStrings.xml><?xml version="1.0" encoding="utf-8"?>
<sst xmlns="http://schemas.openxmlformats.org/spreadsheetml/2006/main" count="648" uniqueCount="169">
  <si>
    <t>Row Labels</t>
  </si>
  <si>
    <t>BFA</t>
  </si>
  <si>
    <t>BWA</t>
  </si>
  <si>
    <t>CIV</t>
  </si>
  <si>
    <t>CMR</t>
  </si>
  <si>
    <t>COG</t>
  </si>
  <si>
    <t>CPV</t>
  </si>
  <si>
    <t>ERI</t>
  </si>
  <si>
    <t>GAB</t>
  </si>
  <si>
    <t>GHA</t>
  </si>
  <si>
    <t>GNB</t>
  </si>
  <si>
    <t>KEN</t>
  </si>
  <si>
    <t>MOZ</t>
  </si>
  <si>
    <t>MWI</t>
  </si>
  <si>
    <t>NGA</t>
  </si>
  <si>
    <t>SEN</t>
  </si>
  <si>
    <t>SWZ</t>
  </si>
  <si>
    <t>SYC</t>
  </si>
  <si>
    <t>TCD</t>
  </si>
  <si>
    <t>TGO</t>
  </si>
  <si>
    <t>ZMB</t>
  </si>
  <si>
    <t>ZWE</t>
  </si>
  <si>
    <t>Grand Total</t>
  </si>
  <si>
    <t>BEN</t>
  </si>
  <si>
    <t>DZA</t>
  </si>
  <si>
    <t>AFRO</t>
  </si>
  <si>
    <t>Dentists Stock By Age Group &lt; 25 yrs</t>
  </si>
  <si>
    <t>Dentists Stock By Age Group 25-34 yrs</t>
  </si>
  <si>
    <t>Dentists Stock By Age Group 35-44 yrs</t>
  </si>
  <si>
    <t>Dentists Stock By Age Group 45-54 yrs</t>
  </si>
  <si>
    <t>Dentists Stock By Age Group 55-64 yrs</t>
  </si>
  <si>
    <t>Dentists Stock By Age Group ≥ 65 yrs</t>
  </si>
  <si>
    <t>Total</t>
  </si>
  <si>
    <t>Country</t>
  </si>
  <si>
    <t>country code</t>
  </si>
  <si>
    <t>Income</t>
  </si>
  <si>
    <t>Algeria</t>
  </si>
  <si>
    <t>Lower-Middle-Income Economies</t>
  </si>
  <si>
    <t>Angola</t>
  </si>
  <si>
    <t>AGO</t>
  </si>
  <si>
    <t>Benin</t>
  </si>
  <si>
    <t>Botswana</t>
  </si>
  <si>
    <t>High/Upper-Middle-Income Economies </t>
  </si>
  <si>
    <t>Burkina Faso</t>
  </si>
  <si>
    <t>Low-Income Economies</t>
  </si>
  <si>
    <t>Burundi</t>
  </si>
  <si>
    <t>BDI</t>
  </si>
  <si>
    <t>Cameroon</t>
  </si>
  <si>
    <t>Cape-Verde</t>
  </si>
  <si>
    <t>Central African Republic</t>
  </si>
  <si>
    <t>CAF</t>
  </si>
  <si>
    <t>Chad</t>
  </si>
  <si>
    <t>Comoros</t>
  </si>
  <si>
    <t>COM</t>
  </si>
  <si>
    <t>Congo</t>
  </si>
  <si>
    <t>Cote d'Ivoire</t>
  </si>
  <si>
    <t>DRC</t>
  </si>
  <si>
    <t>COD</t>
  </si>
  <si>
    <t>Equatorial Guinea</t>
  </si>
  <si>
    <t>GNQ</t>
  </si>
  <si>
    <t>Eritrea</t>
  </si>
  <si>
    <t>Eswatini</t>
  </si>
  <si>
    <t>Ethiopia</t>
  </si>
  <si>
    <t>ETH</t>
  </si>
  <si>
    <t>Gabon</t>
  </si>
  <si>
    <t>Gambia</t>
  </si>
  <si>
    <t>GMB</t>
  </si>
  <si>
    <t>Ghana</t>
  </si>
  <si>
    <t>Guinea</t>
  </si>
  <si>
    <t>GIN</t>
  </si>
  <si>
    <t>Guinea-Bissau</t>
  </si>
  <si>
    <t>Kenya</t>
  </si>
  <si>
    <t>Lesotho</t>
  </si>
  <si>
    <t>LSO</t>
  </si>
  <si>
    <t>Liberia</t>
  </si>
  <si>
    <t>LBR</t>
  </si>
  <si>
    <t>Madagascar</t>
  </si>
  <si>
    <t>MDG</t>
  </si>
  <si>
    <t>Malawi</t>
  </si>
  <si>
    <t>Mali</t>
  </si>
  <si>
    <t>MLI</t>
  </si>
  <si>
    <t>Mauritania</t>
  </si>
  <si>
    <t>MRT</t>
  </si>
  <si>
    <t>Mauritius</t>
  </si>
  <si>
    <t>MUS</t>
  </si>
  <si>
    <t>Mozambique</t>
  </si>
  <si>
    <t>Namibia</t>
  </si>
  <si>
    <t>NAM</t>
  </si>
  <si>
    <t>Niger</t>
  </si>
  <si>
    <t>NER</t>
  </si>
  <si>
    <t>Nigeria</t>
  </si>
  <si>
    <t>Rwanda</t>
  </si>
  <si>
    <t>RWA</t>
  </si>
  <si>
    <t>Sao Tome and Principe</t>
  </si>
  <si>
    <t>STP</t>
  </si>
  <si>
    <t>Senegal</t>
  </si>
  <si>
    <t>Seychelles</t>
  </si>
  <si>
    <t>Sierra Leone</t>
  </si>
  <si>
    <t>SLE</t>
  </si>
  <si>
    <t>South Africa</t>
  </si>
  <si>
    <t>ZAF</t>
  </si>
  <si>
    <t>South Sudan</t>
  </si>
  <si>
    <t>SSD</t>
  </si>
  <si>
    <t>Tanzania</t>
  </si>
  <si>
    <t>TZA</t>
  </si>
  <si>
    <t>Togo</t>
  </si>
  <si>
    <t>Uganda</t>
  </si>
  <si>
    <t>UGA</t>
  </si>
  <si>
    <t>Zambia</t>
  </si>
  <si>
    <t>Zimbabwe</t>
  </si>
  <si>
    <t>income</t>
  </si>
  <si>
    <t>Average of Dentists Stock By Age Group &lt; 25 yrs2</t>
  </si>
  <si>
    <t>Average of Dentists Stock By Age Group 25-34 yrs2</t>
  </si>
  <si>
    <t>Average of Dentists Stock By Age Group 35-44 yrs2</t>
  </si>
  <si>
    <t>Average of Dentists Stock By Age Group 45-54 yrs2</t>
  </si>
  <si>
    <t>Average of Dentists Stock By Age Group ≥ 65 yrs2</t>
  </si>
  <si>
    <t>Average of Dentists Stock By Age Group 55-64 yrs2</t>
  </si>
  <si>
    <t>Adjusted 2022</t>
  </si>
  <si>
    <t>Country code</t>
  </si>
  <si>
    <t>income level</t>
  </si>
  <si>
    <t>Dentists</t>
  </si>
  <si>
    <t>CAR</t>
  </si>
  <si>
    <t>Annual graduates</t>
  </si>
  <si>
    <t>graduate to stock ratio</t>
  </si>
  <si>
    <t>Average of graduate to stock ratio</t>
  </si>
  <si>
    <t>Income level</t>
  </si>
  <si>
    <t>Projected 2023</t>
  </si>
  <si>
    <t>Projected 2024</t>
  </si>
  <si>
    <t>Projected 2025</t>
  </si>
  <si>
    <t>Projected 2026</t>
  </si>
  <si>
    <t>Projected 2027</t>
  </si>
  <si>
    <t>Projected 2028</t>
  </si>
  <si>
    <t>Projected 2029</t>
  </si>
  <si>
    <t>Projected 2030</t>
  </si>
  <si>
    <t>Estimated numbe of graduates</t>
  </si>
  <si>
    <t>Cond</t>
  </si>
  <si>
    <t>iso codes</t>
  </si>
  <si>
    <t>Generalist Medical Practitioners</t>
  </si>
  <si>
    <t>Specialist Medical Practitioners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</si>
  <si>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</si>
  <si>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</si>
  <si>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</si>
  <si>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</si>
  <si>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</si>
  <si>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</si>
  <si>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</si>
  <si>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</si>
  <si>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</si>
  <si>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</si>
  <si>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</si>
  <si>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</si>
  <si>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</si>
  <si>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</si>
  <si>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Cabo Verde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</si>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</sst>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7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4" fillId="0" borderId="7" xfId="0" applyFont="1" applyBorder="1" applyAlignment="1">
      <alignment horizontal="left"/>
    </xf>
    <xf numFmtId="164" fontId="4" fillId="4" borderId="7" xfId="0" applyNumberFormat="1" applyFont="1" applyFill="1" applyBorder="1"/>
    <xf numFmtId="0" fontId="3" fillId="2" borderId="7" xfId="0" applyFont="1" applyFill="1" applyBorder="1" applyAlignment="1">
      <alignment horizontal="left"/>
    </xf>
    <xf numFmtId="164" fontId="3" fillId="3" borderId="7" xfId="0" applyNumberFormat="1" applyFont="1" applyFill="1" applyBorder="1"/>
    <xf numFmtId="0" fontId="5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0" fontId="0" fillId="0" borderId="0" xfId="2" applyNumberFormat="1" applyFont="1"/>
    <xf numFmtId="0" fontId="6" fillId="5" borderId="7" xfId="0" applyFont="1" applyFill="1" applyBorder="1" applyAlignment="1">
      <alignment wrapText="1"/>
    </xf>
    <xf numFmtId="0" fontId="4" fillId="0" borderId="7" xfId="0" applyFont="1" applyBorder="1" applyAlignment="1">
      <alignment vertical="top" wrapText="1"/>
    </xf>
    <xf numFmtId="164" fontId="4" fillId="0" borderId="7" xfId="1" applyNumberFormat="1" applyFont="1" applyBorder="1"/>
    <xf numFmtId="43" fontId="4" fillId="0" borderId="7" xfId="0" applyNumberFormat="1" applyFont="1" applyBorder="1"/>
    <xf numFmtId="165" fontId="4" fillId="0" borderId="7" xfId="0" applyNumberFormat="1" applyFont="1" applyBorder="1"/>
    <xf numFmtId="165" fontId="3" fillId="0" borderId="7" xfId="0" applyNumberFormat="1" applyFont="1" applyBorder="1"/>
    <xf numFmtId="164" fontId="3" fillId="0" borderId="7" xfId="1" applyNumberFormat="1" applyFont="1" applyBorder="1"/>
    <xf numFmtId="43" fontId="3" fillId="0" borderId="7" xfId="0" applyNumberFormat="1" applyFont="1" applyBorder="1"/>
    <xf numFmtId="0" fontId="2" fillId="0" borderId="0" xfId="0" applyFont="1"/>
    <xf numFmtId="0" fontId="7" fillId="5" borderId="7" xfId="0" applyFont="1" applyFill="1" applyBorder="1" applyAlignment="1">
      <alignment wrapText="1"/>
    </xf>
    <xf numFmtId="164" fontId="7" fillId="4" borderId="7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proportions!$A$28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proportions!$B$27:$G$27</c:f>
              <c:strCache>
                <c:ptCount val="6"/>
                <c:pt idx="0">
                  <c:v>Dentists Stock By Age Group &lt; 25 yrs</c:v>
                </c:pt>
                <c:pt idx="1">
                  <c:v>Dentists Stock By Age Group 25-34 yrs</c:v>
                </c:pt>
                <c:pt idx="2">
                  <c:v>Dentists Stock By Age Group 35-44 yrs</c:v>
                </c:pt>
                <c:pt idx="3">
                  <c:v>Dentists Stock By Age Group 45-54 yrs</c:v>
                </c:pt>
                <c:pt idx="4">
                  <c:v>Dentists Stock By Age Group 55-64 yrs</c:v>
                </c:pt>
                <c:pt idx="5">
                  <c:v>Dentists Stock By Age Group ≥ 65 yrs</c:v>
                </c:pt>
              </c:strCache>
            </c:strRef>
          </c:cat>
          <c:val>
            <c:numRef>
              <c:f>proportions!$B$28:$G$28</c:f>
              <c:numCache>
                <c:formatCode>0.00%</c:formatCode>
                <c:ptCount val="6"/>
                <c:pt idx="0">
                  <c:v>1.0548523206751056E-2</c:v>
                </c:pt>
                <c:pt idx="1">
                  <c:v>0.18459915611814348</c:v>
                </c:pt>
                <c:pt idx="2">
                  <c:v>0.21825853471423093</c:v>
                </c:pt>
                <c:pt idx="3">
                  <c:v>0.30705792098197165</c:v>
                </c:pt>
                <c:pt idx="4">
                  <c:v>0.24923283467587265</c:v>
                </c:pt>
                <c:pt idx="5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D-4D29-8352-3139B1C0E449}"/>
            </c:ext>
          </c:extLst>
        </c:ser>
        <c:ser>
          <c:idx val="1"/>
          <c:order val="1"/>
          <c:tx>
            <c:strRef>
              <c:f>proportions!$A$29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proportions!$B$27:$G$27</c:f>
              <c:strCache>
                <c:ptCount val="6"/>
                <c:pt idx="0">
                  <c:v>Dentists Stock By Age Group &lt; 25 yrs</c:v>
                </c:pt>
                <c:pt idx="1">
                  <c:v>Dentists Stock By Age Group 25-34 yrs</c:v>
                </c:pt>
                <c:pt idx="2">
                  <c:v>Dentists Stock By Age Group 35-44 yrs</c:v>
                </c:pt>
                <c:pt idx="3">
                  <c:v>Dentists Stock By Age Group 45-54 yrs</c:v>
                </c:pt>
                <c:pt idx="4">
                  <c:v>Dentists Stock By Age Group 55-64 yrs</c:v>
                </c:pt>
                <c:pt idx="5">
                  <c:v>Dentists Stock By Age Group ≥ 65 yrs</c:v>
                </c:pt>
              </c:strCache>
            </c:strRef>
          </c:cat>
          <c:val>
            <c:numRef>
              <c:f>proportions!$B$29:$G$29</c:f>
              <c:numCache>
                <c:formatCode>0.00%</c:formatCode>
                <c:ptCount val="6"/>
                <c:pt idx="0">
                  <c:v>3.0528380431523689E-2</c:v>
                </c:pt>
                <c:pt idx="1">
                  <c:v>0.40571500531529969</c:v>
                </c:pt>
                <c:pt idx="2">
                  <c:v>0.28603213067413186</c:v>
                </c:pt>
                <c:pt idx="3">
                  <c:v>0.15979762484296553</c:v>
                </c:pt>
                <c:pt idx="4">
                  <c:v>0.10374001058060078</c:v>
                </c:pt>
                <c:pt idx="5">
                  <c:v>1.4186848155478493E-2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D-4D29-8352-3139B1C0E449}"/>
            </c:ext>
          </c:extLst>
        </c:ser>
        <c:ser>
          <c:idx val="2"/>
          <c:order val="2"/>
          <c:tx>
            <c:strRef>
              <c:f>proportions!$A$30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proportions!$B$27:$G$27</c:f>
              <c:strCache>
                <c:ptCount val="6"/>
                <c:pt idx="0">
                  <c:v>Dentists Stock By Age Group &lt; 25 yrs</c:v>
                </c:pt>
                <c:pt idx="1">
                  <c:v>Dentists Stock By Age Group 25-34 yrs</c:v>
                </c:pt>
                <c:pt idx="2">
                  <c:v>Dentists Stock By Age Group 35-44 yrs</c:v>
                </c:pt>
                <c:pt idx="3">
                  <c:v>Dentists Stock By Age Group 45-54 yrs</c:v>
                </c:pt>
                <c:pt idx="4">
                  <c:v>Dentists Stock By Age Group 55-64 yrs</c:v>
                </c:pt>
                <c:pt idx="5">
                  <c:v>Dentists Stock By Age Group ≥ 65 yrs</c:v>
                </c:pt>
              </c:strCache>
            </c:strRef>
          </c:cat>
          <c:val>
            <c:numRef>
              <c:f>proportions!$B$30:$G$30</c:f>
              <c:numCache>
                <c:formatCode>0.00%</c:formatCode>
                <c:ptCount val="6"/>
                <c:pt idx="0">
                  <c:v>8.1764545392538027E-3</c:v>
                </c:pt>
                <c:pt idx="1">
                  <c:v>0.36686116591168444</c:v>
                </c:pt>
                <c:pt idx="2">
                  <c:v>0.32945883732337167</c:v>
                </c:pt>
                <c:pt idx="3">
                  <c:v>0.13608036387347802</c:v>
                </c:pt>
                <c:pt idx="4">
                  <c:v>0.13243992447126848</c:v>
                </c:pt>
                <c:pt idx="5">
                  <c:v>2.698325388094365E-2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6D-4D29-8352-3139B1C0E449}"/>
            </c:ext>
          </c:extLst>
        </c:ser>
        <c:ser>
          <c:idx val="3"/>
          <c:order val="3"/>
          <c:tx>
            <c:strRef>
              <c:f>proportions!$A$31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proportions!$B$27:$G$27</c:f>
              <c:strCache>
                <c:ptCount val="6"/>
                <c:pt idx="0">
                  <c:v>Dentists Stock By Age Group &lt; 25 yrs</c:v>
                </c:pt>
                <c:pt idx="1">
                  <c:v>Dentists Stock By Age Group 25-34 yrs</c:v>
                </c:pt>
                <c:pt idx="2">
                  <c:v>Dentists Stock By Age Group 35-44 yrs</c:v>
                </c:pt>
                <c:pt idx="3">
                  <c:v>Dentists Stock By Age Group 45-54 yrs</c:v>
                </c:pt>
                <c:pt idx="4">
                  <c:v>Dentists Stock By Age Group 55-64 yrs</c:v>
                </c:pt>
                <c:pt idx="5">
                  <c:v>Dentists Stock By Age Group ≥ 65 yrs</c:v>
                </c:pt>
              </c:strCache>
            </c:strRef>
          </c:cat>
          <c:val>
            <c:numRef>
              <c:f>proportions!$B$31:$G$31</c:f>
              <c:numCache>
                <c:formatCode>0.00%</c:formatCode>
                <c:ptCount val="6"/>
                <c:pt idx="0">
                  <c:v>7.5291181364392681E-2</c:v>
                </c:pt>
                <c:pt idx="1">
                  <c:v>0.44647809206877426</c:v>
                </c:pt>
                <c:pt idx="2">
                  <c:v>0.28674431503050474</c:v>
                </c:pt>
                <c:pt idx="3">
                  <c:v>0.11175818080976151</c:v>
                </c:pt>
                <c:pt idx="4">
                  <c:v>6.6694398225180251E-2</c:v>
                </c:pt>
                <c:pt idx="5">
                  <c:v>1.3033832501386578E-2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6D-4D29-8352-3139B1C0E4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386985344"/>
        <c:axId val="486720688"/>
      </c:barChart>
      <c:catAx>
        <c:axId val="38698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486720688"/>
        <c:crosses val="autoZero"/>
        <c:auto val="1"/>
        <c:lblAlgn val="ctr"/>
        <c:lblOffset val="100"/>
        <c:noMultiLvlLbl val="0"/>
      </c:catAx>
      <c:valAx>
        <c:axId val="48672068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3869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'Total dentists'!$Q$50:$X$50</c:f>
              <c:numCache>
                <c:formatCode>_-* #,##0_-;\-* #,##0_-;_-* "-"??_-;_-@_-</c:formatCode>
                <c:ptCount val="8"/>
                <c:pt idx="0">
                  <c:v>42027.424392733097</c:v>
                </c:pt>
                <c:pt idx="1">
                  <c:v>44110.80129627401</c:v>
                </c:pt>
                <c:pt idx="2">
                  <c:v>46161.738440987319</c:v>
                </c:pt>
                <c:pt idx="3">
                  <c:v>48180.880217997073</c:v>
                </c:pt>
                <c:pt idx="4">
                  <c:v>50168.856990271917</c:v>
                </c:pt>
                <c:pt idx="5">
                  <c:v>52126.285412057965</c:v>
                </c:pt>
                <c:pt idx="6">
                  <c:v>54053.768740879197</c:v>
                </c:pt>
                <c:pt idx="7">
                  <c:v>55951.897142280424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A5-43B7-B000-5F19E87E6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286112"/>
        <c:axId val="389254960"/>
      </c:scatterChart>
      <c:valAx>
        <c:axId val="49328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89254960"/>
        <c:crosses val="autoZero"/>
        <c:crossBetween val="midCat"/>
      </c:valAx>
      <c:valAx>
        <c:axId val="38925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9328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555624</xdr:colOff>
      <xdr:row>26</xdr:row>
      <xdr:rowOff>69850</xdr:rowOff>
    </xdr:from>
    <xdr:to>
      <xdr:col>21</xdr:col>
      <xdr:colOff>355600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E2890-208A-A1FE-F4F9-03E16540D4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367195</xdr:colOff>
      <xdr:row>52</xdr:row>
      <xdr:rowOff>69574</xdr:rowOff>
    </xdr:from>
    <xdr:to>
      <xdr:col>22</xdr:col>
      <xdr:colOff>339586</xdr:colOff>
      <xdr:row>67</xdr:row>
      <xdr:rowOff>79513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0828C-18BC-3957-C1FE-FDDFF80DD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806577314812" createdVersion="8" refreshedVersion="8" minRefreshableVersion="3" recordCount="20" xr:uid="{E3BC6882-AD7D-4EE8-B3AB-4F25B8323173}">
  <cacheSource type="worksheet">
    <worksheetSource ref="A1:O21" sheet="proportions"/>
  </cacheSource>
  <cacheFields count="15">
    <cacheField name="Row Labels" numFmtId="0">
      <sharedItems/>
    </cacheField>
    <cacheField name="Dentists Stock By Age Group &lt; 25 yrs" numFmtId="0">
      <sharedItems containsString="0" containsBlank="1" containsNumber="1" containsInteger="1" minValue="0" maxValue="543"/>
    </cacheField>
    <cacheField name="Dentists Stock By Age Group 25-34 yrs" numFmtId="0">
      <sharedItems containsSemiMixedTypes="0" containsString="0" containsNumber="1" containsInteger="1" minValue="0" maxValue="5156"/>
    </cacheField>
    <cacheField name="Dentists Stock By Age Group 35-44 yrs" numFmtId="0">
      <sharedItems containsString="0" containsBlank="1" containsNumber="1" containsInteger="1" minValue="4" maxValue="3659"/>
    </cacheField>
    <cacheField name="Dentists Stock By Age Group 45-54 yrs" numFmtId="0">
      <sharedItems containsString="0" containsBlank="1" containsNumber="1" containsInteger="1" minValue="0" maxValue="2096"/>
    </cacheField>
    <cacheField name="Dentists Stock By Age Group 55-64 yrs" numFmtId="0">
      <sharedItems containsString="0" containsBlank="1" containsNumber="1" containsInteger="1" minValue="0" maxValue="3445"/>
    </cacheField>
    <cacheField name="Dentists Stock By Age Group ≥ 65 yrs" numFmtId="0">
      <sharedItems containsString="0" containsBlank="1" containsNumber="1" containsInteger="1" minValue="0" maxValue="681"/>
    </cacheField>
    <cacheField name="Total" numFmtId="0">
      <sharedItems containsSemiMixedTypes="0" containsString="0" containsNumber="1" containsInteger="1" minValue="8" maxValue="15437"/>
    </cacheField>
    <cacheField name="Dentists Stock By Age Group &lt; 25 yrs2" numFmtId="0">
      <sharedItems containsSemiMixedTypes="0" containsString="0" containsNumber="1" minValue="0" maxValue="0.16895146350500184"/>
    </cacheField>
    <cacheField name="Dentists Stock By Age Group 25-34 yrs2" numFmtId="0">
      <sharedItems containsSemiMixedTypes="0" containsString="0" containsNumber="1" minValue="0" maxValue="0.875"/>
    </cacheField>
    <cacheField name="Dentists Stock By Age Group 35-44 yrs2" numFmtId="0">
      <sharedItems containsSemiMixedTypes="0" containsString="0" containsNumber="1" minValue="0" maxValue="0.52"/>
    </cacheField>
    <cacheField name="Dentists Stock By Age Group 45-54 yrs2" numFmtId="0">
      <sharedItems containsSemiMixedTypes="0" containsString="0" containsNumber="1" minValue="0" maxValue="0.38636363636363635"/>
    </cacheField>
    <cacheField name="Dentists Stock By Age Group 55-64 yrs2" numFmtId="0">
      <sharedItems containsSemiMixedTypes="0" containsString="0" containsNumber="1" minValue="0" maxValue="0.43181818181818182"/>
    </cacheField>
    <cacheField name="Dentists Stock By Age Group ≥ 65 yrs2" numFmtId="0">
      <sharedItems containsSemiMixedTypes="0" containsString="0" containsNumber="1" minValue="0" maxValue="9.2592592592592587E-2"/>
    </cacheField>
    <cacheField name="income" numFmtId="0">
      <sharedItems count="4">
        <s v="AFRO"/>
        <s v="Low-Income Economies"/>
        <s v="High/Upper-Middle-Income Economies "/>
        <s v="Lower-Middle-Income Econom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7.52888460648" createdVersion="8" refreshedVersion="8" minRefreshableVersion="3" recordCount="48" xr:uid="{25B4B66E-D818-48F7-B6A4-8154BD6F24EA}">
  <cacheSource type="worksheet">
    <worksheetSource ref="A2:N50" sheet="Total dentists"/>
  </cacheSource>
  <cacheFields count="14">
    <cacheField name="Country" numFmtId="0">
      <sharedItems/>
    </cacheField>
    <cacheField name="Country code" numFmtId="0">
      <sharedItems/>
    </cacheField>
    <cacheField name="income level" numFmtId="0">
      <sharedItems count="4">
        <s v="Lower-Middle-Income Economies"/>
        <s v="High/Upper-Middle-Income Economies "/>
        <s v="Low-Income Economies"/>
        <s v="AFRO"/>
      </sharedItems>
    </cacheField>
    <cacheField name="2013" numFmtId="164">
      <sharedItems containsSemiMixedTypes="0" containsString="0" containsNumber="1" containsInteger="1" minValue="0" maxValue="9015"/>
    </cacheField>
    <cacheField name="2018" numFmtId="164">
      <sharedItems containsSemiMixedTypes="0" containsString="0" containsNumber="1" containsInteger="1" minValue="0" maxValue="37007"/>
    </cacheField>
    <cacheField name="Adjusted 2022" numFmtId="164">
      <sharedItems containsSemiMixedTypes="0" containsString="0" containsNumber="1" minValue="0" maxValue="26182.021606768798"/>
    </cacheField>
    <cacheField name="Dentists Stock By Age Group &lt; 25 yrs" numFmtId="165">
      <sharedItems containsSemiMixedTypes="0" containsString="0" containsNumber="1" minValue="0" maxValue="0.16895146350500184"/>
    </cacheField>
    <cacheField name="Dentists Stock By Age Group 25-34 yrs" numFmtId="165">
      <sharedItems containsSemiMixedTypes="0" containsString="0" containsNumber="1" minValue="0" maxValue="0.875"/>
    </cacheField>
    <cacheField name="Dentists Stock By Age Group 35-44 yrs" numFmtId="165">
      <sharedItems containsSemiMixedTypes="0" containsString="0" containsNumber="1" minValue="0" maxValue="0.52"/>
    </cacheField>
    <cacheField name="Dentists Stock By Age Group 45-54 yrs" numFmtId="165">
      <sharedItems containsSemiMixedTypes="0" containsString="0" containsNumber="1" minValue="0" maxValue="0.38636363636363635"/>
    </cacheField>
    <cacheField name="Dentists Stock By Age Group 55-64 yrs" numFmtId="165">
      <sharedItems containsSemiMixedTypes="0" containsString="0" containsNumber="1" minValue="0" maxValue="0.43181818181818182"/>
    </cacheField>
    <cacheField name="Dentists Stock By Age Group ≥ 65 yrs" numFmtId="165">
      <sharedItems containsSemiMixedTypes="0" containsString="0" containsNumber="1" minValue="0" maxValue="9.2592592592592587E-2"/>
    </cacheField>
    <cacheField name="Annual graduates" numFmtId="165">
      <sharedItems containsString="0" containsBlank="1" containsNumber="1" containsInteger="1" minValue="7" maxValue="2206"/>
    </cacheField>
    <cacheField name="graduate to stock ratio" numFmtId="165">
      <sharedItems containsBlank="1" containsMixedTypes="1" containsNumber="1" minValue="2.6785714285714284E-2" maxValue="0.681318681318681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FRO"/>
    <n v="543"/>
    <n v="3220"/>
    <n v="2068"/>
    <n v="806"/>
    <n v="481"/>
    <n v="94"/>
    <n v="7212"/>
    <n v="7.5291181364392681E-2"/>
    <n v="0.44647809206877426"/>
    <n v="0.28674431503050474"/>
    <n v="0.11175818080976151"/>
    <n v="6.6694398225180251E-2"/>
    <n v="1.3033832501386578E-2"/>
    <x v="0"/>
  </r>
  <r>
    <s v="BFA"/>
    <n v="5"/>
    <n v="22"/>
    <n v="21"/>
    <n v="29"/>
    <n v="21"/>
    <n v="10"/>
    <n v="108"/>
    <n v="4.6296296296296294E-2"/>
    <n v="0.20370370370370369"/>
    <n v="0.19444444444444445"/>
    <n v="0.26851851851851855"/>
    <n v="0.19444444444444445"/>
    <n v="9.2592592592592587E-2"/>
    <x v="1"/>
  </r>
  <r>
    <s v="BWA"/>
    <n v="5"/>
    <n v="48"/>
    <n v="46"/>
    <n v="45"/>
    <n v="14"/>
    <m/>
    <n v="158"/>
    <n v="3.1645569620253167E-2"/>
    <n v="0.30379746835443039"/>
    <n v="0.29113924050632911"/>
    <n v="0.2848101265822785"/>
    <n v="8.8607594936708861E-2"/>
    <n v="0"/>
    <x v="2"/>
  </r>
  <r>
    <s v="CIV"/>
    <n v="0"/>
    <n v="67"/>
    <n v="145"/>
    <n v="103"/>
    <n v="100"/>
    <n v="3"/>
    <n v="418"/>
    <n v="0"/>
    <n v="0.16028708133971292"/>
    <n v="0.34688995215311003"/>
    <n v="0.24641148325358853"/>
    <n v="0.23923444976076555"/>
    <n v="7.1770334928229667E-3"/>
    <x v="3"/>
  </r>
  <r>
    <s v="CMR"/>
    <n v="0"/>
    <n v="230"/>
    <n v="59"/>
    <n v="18"/>
    <n v="10"/>
    <n v="0"/>
    <n v="317"/>
    <n v="0"/>
    <n v="0.72555205047318616"/>
    <n v="0.18611987381703471"/>
    <n v="5.6782334384858045E-2"/>
    <n v="3.1545741324921134E-2"/>
    <n v="0"/>
    <x v="3"/>
  </r>
  <r>
    <s v="ERI"/>
    <m/>
    <n v="49"/>
    <n v="7"/>
    <n v="2"/>
    <m/>
    <m/>
    <n v="58"/>
    <n v="0"/>
    <n v="0.84482758620689657"/>
    <n v="0.1206896551724138"/>
    <n v="3.4482758620689655E-2"/>
    <n v="0"/>
    <n v="0"/>
    <x v="1"/>
  </r>
  <r>
    <s v="GAB"/>
    <n v="0"/>
    <n v="2"/>
    <n v="4"/>
    <n v="17"/>
    <n v="19"/>
    <n v="2"/>
    <n v="44"/>
    <n v="0"/>
    <n v="4.5454545454545456E-2"/>
    <n v="9.0909090909090912E-2"/>
    <n v="0.38636363636363635"/>
    <n v="0.43181818181818182"/>
    <n v="4.5454545454545456E-2"/>
    <x v="2"/>
  </r>
  <r>
    <s v="GNB"/>
    <n v="0"/>
    <n v="14"/>
    <n v="7"/>
    <n v="0"/>
    <n v="0"/>
    <n v="0"/>
    <n v="21"/>
    <n v="0"/>
    <n v="0.66666666666666663"/>
    <n v="0.33333333333333331"/>
    <n v="0"/>
    <n v="0"/>
    <n v="0"/>
    <x v="1"/>
  </r>
  <r>
    <s v="KEN"/>
    <n v="22"/>
    <n v="74"/>
    <n v="142"/>
    <n v="42"/>
    <n v="14"/>
    <n v="0"/>
    <n v="294"/>
    <n v="7.4829931972789115E-2"/>
    <n v="0.25170068027210885"/>
    <n v="0.48299319727891155"/>
    <n v="0.14285714285714285"/>
    <n v="4.7619047619047616E-2"/>
    <n v="0"/>
    <x v="3"/>
  </r>
  <r>
    <s v="MWI"/>
    <m/>
    <n v="5"/>
    <n v="41"/>
    <n v="23"/>
    <n v="25"/>
    <n v="7"/>
    <n v="101"/>
    <n v="0"/>
    <n v="4.9504950495049507E-2"/>
    <n v="0.40594059405940597"/>
    <n v="0.22772277227722773"/>
    <n v="0.24752475247524752"/>
    <n v="6.9306930693069313E-2"/>
    <x v="1"/>
  </r>
  <r>
    <s v="NGA"/>
    <n v="62"/>
    <n v="1146"/>
    <n v="1086"/>
    <m/>
    <n v="217"/>
    <n v="62"/>
    <n v="2573"/>
    <n v="2.4096385542168676E-2"/>
    <n v="0.44539448115040808"/>
    <n v="0.42207539836766422"/>
    <n v="0"/>
    <n v="8.4337349397590355E-2"/>
    <n v="2.4096385542168676E-2"/>
    <x v="3"/>
  </r>
  <r>
    <s v="SEN"/>
    <n v="0"/>
    <n v="31"/>
    <n v="63"/>
    <n v="80"/>
    <n v="46"/>
    <n v="2"/>
    <n v="222"/>
    <n v="0"/>
    <n v="0.13963963963963963"/>
    <n v="0.28378378378378377"/>
    <n v="0.36036036036036034"/>
    <n v="0.2072072072072072"/>
    <n v="9.0090090090090089E-3"/>
    <x v="3"/>
  </r>
  <r>
    <s v="SWZ"/>
    <m/>
    <n v="7"/>
    <m/>
    <n v="1"/>
    <m/>
    <m/>
    <n v="8"/>
    <n v="0"/>
    <n v="0.875"/>
    <n v="0"/>
    <n v="0.125"/>
    <n v="0"/>
    <n v="0"/>
    <x v="3"/>
  </r>
  <r>
    <s v="SYC"/>
    <m/>
    <n v="9"/>
    <n v="12"/>
    <n v="11"/>
    <n v="10"/>
    <n v="2"/>
    <n v="44"/>
    <n v="0"/>
    <n v="0.20454545454545456"/>
    <n v="0.27272727272727271"/>
    <n v="0.25"/>
    <n v="0.22727272727272727"/>
    <n v="4.5454545454545456E-2"/>
    <x v="2"/>
  </r>
  <r>
    <s v="TGO"/>
    <n v="0"/>
    <n v="0"/>
    <n v="8"/>
    <n v="4"/>
    <n v="6"/>
    <n v="0"/>
    <n v="18"/>
    <n v="0"/>
    <n v="0"/>
    <n v="0.44444444444444442"/>
    <n v="0.22222222222222221"/>
    <n v="0.33333333333333331"/>
    <n v="0"/>
    <x v="1"/>
  </r>
  <r>
    <s v="ZMB"/>
    <n v="3"/>
    <n v="103"/>
    <n v="63"/>
    <n v="55"/>
    <n v="22"/>
    <n v="15"/>
    <n v="261"/>
    <n v="1.1494252873563218E-2"/>
    <n v="0.3946360153256705"/>
    <n v="0.2413793103448276"/>
    <n v="0.21072796934865901"/>
    <n v="8.4291187739463605E-2"/>
    <n v="5.7471264367816091E-2"/>
    <x v="3"/>
  </r>
  <r>
    <s v="ZWE"/>
    <n v="456"/>
    <n v="1433"/>
    <n v="378"/>
    <n v="432"/>
    <n v="0"/>
    <n v="0"/>
    <n v="2699"/>
    <n v="0.16895146350500184"/>
    <n v="0.53093738421637648"/>
    <n v="0.14005187106335679"/>
    <n v="0.16005928121526491"/>
    <n v="0"/>
    <n v="0"/>
    <x v="3"/>
  </r>
  <r>
    <s v="BEN"/>
    <n v="0"/>
    <n v="10"/>
    <n v="26"/>
    <n v="8"/>
    <n v="6"/>
    <n v="0"/>
    <n v="50"/>
    <n v="0"/>
    <n v="0.2"/>
    <n v="0.52"/>
    <n v="0.16"/>
    <n v="0.12"/>
    <n v="0"/>
    <x v="3"/>
  </r>
  <r>
    <s v="DZA"/>
    <n v="400"/>
    <n v="5156"/>
    <n v="3659"/>
    <n v="2096"/>
    <n v="3445"/>
    <n v="681"/>
    <n v="15437"/>
    <n v="2.5911770421714064E-2"/>
    <n v="0.33400272073589427"/>
    <n v="0.23702791993262939"/>
    <n v="0.13577767700978169"/>
    <n v="0.22316512275701236"/>
    <n v="4.4114789142968194E-2"/>
    <x v="3"/>
  </r>
  <r>
    <s v="MOZ"/>
    <n v="1"/>
    <n v="158"/>
    <n v="173"/>
    <n v="23"/>
    <n v="7"/>
    <n v="0"/>
    <n v="362"/>
    <n v="2.7624309392265192E-3"/>
    <n v="0.43646408839779005"/>
    <n v="0.47790055248618785"/>
    <n v="6.3535911602209949E-2"/>
    <n v="1.9337016574585635E-2"/>
    <n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lgeria"/>
    <s v="DZA"/>
    <x v="0"/>
    <n v="0"/>
    <n v="15437"/>
    <n v="7999.5581224544294"/>
    <n v="2.5911770421714064E-2"/>
    <n v="0.33400272073589427"/>
    <n v="0.23702791993262939"/>
    <n v="0.13577767700978169"/>
    <n v="0.22316512275701236"/>
    <n v="4.4114789142968194E-2"/>
    <m/>
    <m/>
  </r>
  <r>
    <s v="Angola"/>
    <s v="AGO"/>
    <x v="0"/>
    <n v="0"/>
    <n v="1652"/>
    <n v="253.58793265595901"/>
    <n v="3.0528380431523689E-2"/>
    <n v="0.40571500531529969"/>
    <n v="0.28603213067413186"/>
    <n v="0.15979762484296553"/>
    <n v="0.10374001058060078"/>
    <n v="1.4186848155478493E-2"/>
    <n v="145"/>
    <n v="8.7772397094430993E-2"/>
  </r>
  <r>
    <s v="Benin"/>
    <s v="BEN"/>
    <x v="0"/>
    <n v="0"/>
    <n v="12"/>
    <n v="50"/>
    <n v="0"/>
    <n v="0.2"/>
    <n v="0.52"/>
    <n v="0.16"/>
    <n v="0.12"/>
    <n v="0"/>
    <m/>
    <m/>
  </r>
  <r>
    <s v="Botswana"/>
    <s v="BWA"/>
    <x v="1"/>
    <n v="55"/>
    <n v="96"/>
    <n v="98.839683411555711"/>
    <n v="3.1645569620253167E-2"/>
    <n v="0.30379746835443039"/>
    <n v="0.29113924050632911"/>
    <n v="0.2848101265822785"/>
    <n v="8.8607594936708861E-2"/>
    <n v="0"/>
    <n v="7"/>
    <n v="7.0821756589940721E-2"/>
  </r>
  <r>
    <s v="Burkina Faso"/>
    <s v="BFA"/>
    <x v="2"/>
    <n v="38"/>
    <n v="91"/>
    <n v="40.065995057973772"/>
    <n v="4.6296296296296294E-2"/>
    <n v="0.20370370370370369"/>
    <n v="0.19444444444444445"/>
    <n v="0.26851851851851855"/>
    <n v="0.19444444444444445"/>
    <n v="9.2592592592592587E-2"/>
    <n v="62"/>
    <n v="0.68131868131868134"/>
  </r>
  <r>
    <s v="Burundi"/>
    <s v="BDI"/>
    <x v="2"/>
    <n v="4"/>
    <n v="14"/>
    <n v="14"/>
    <n v="8.1764545392538027E-3"/>
    <n v="0.36686116591168444"/>
    <n v="0.32945883732337167"/>
    <n v="0.13608036387347802"/>
    <n v="0.13243992447126848"/>
    <n v="2.698325388094365E-2"/>
    <m/>
    <m/>
  </r>
  <r>
    <s v="Cameroon"/>
    <s v="CMR"/>
    <x v="0"/>
    <n v="58"/>
    <n v="308"/>
    <n v="317"/>
    <n v="0"/>
    <n v="0.72555205047318616"/>
    <n v="0.18611987381703471"/>
    <n v="5.6782334384858045E-2"/>
    <n v="3.1545741324921134E-2"/>
    <n v="0"/>
    <m/>
    <m/>
  </r>
  <r>
    <s v="Cape-Verde"/>
    <s v="CPV"/>
    <x v="0"/>
    <n v="0"/>
    <n v="81"/>
    <n v="12.434266327396099"/>
    <n v="3.0528380431523689E-2"/>
    <n v="0.40571500531529969"/>
    <n v="0.28603213067413186"/>
    <n v="0.15979762484296553"/>
    <n v="0.10374001058060078"/>
    <n v="1.4186848155478493E-2"/>
    <m/>
    <m/>
  </r>
  <r>
    <s v="Central African Republic"/>
    <s v="CAF"/>
    <x v="2"/>
    <n v="0"/>
    <n v="10"/>
    <n v="2.5682382133995039"/>
    <n v="8.1764545392538027E-3"/>
    <n v="0.36686116591168444"/>
    <n v="0.32945883732337167"/>
    <n v="0.13608036387347802"/>
    <n v="0.13243992447126848"/>
    <n v="2.698325388094365E-2"/>
    <m/>
    <m/>
  </r>
  <r>
    <s v="Chad"/>
    <s v="TCD"/>
    <x v="2"/>
    <n v="0"/>
    <n v="3"/>
    <n v="21"/>
    <n v="8.1764545392538027E-3"/>
    <n v="0.36686116591168444"/>
    <n v="0.32945883732337167"/>
    <n v="0.13608036387347802"/>
    <n v="0.13243992447126848"/>
    <n v="2.698325388094365E-2"/>
    <m/>
    <m/>
  </r>
  <r>
    <s v="Comoros"/>
    <s v="COM"/>
    <x v="0"/>
    <n v="18"/>
    <n v="32"/>
    <n v="32"/>
    <n v="3.0528380431523689E-2"/>
    <n v="0.40571500531529969"/>
    <n v="0.28603213067413186"/>
    <n v="0.15979762484296553"/>
    <n v="0.10374001058060078"/>
    <n v="1.4186848155478493E-2"/>
    <m/>
    <m/>
  </r>
  <r>
    <s v="Congo"/>
    <s v="COG"/>
    <x v="0"/>
    <n v="0"/>
    <n v="27"/>
    <n v="10.343687798883737"/>
    <n v="3.0528380431523689E-2"/>
    <n v="0.40571500531529969"/>
    <n v="0.28603213067413186"/>
    <n v="0.15979762484296553"/>
    <n v="0.10374001058060078"/>
    <n v="1.4186848155478493E-2"/>
    <m/>
    <m/>
  </r>
  <r>
    <s v="Cote d'Ivoire"/>
    <s v="CIV"/>
    <x v="0"/>
    <n v="490"/>
    <n v="506"/>
    <n v="536.49426521420344"/>
    <n v="0"/>
    <n v="0.16028708133971292"/>
    <n v="0.34688995215311003"/>
    <n v="0.24641148325358853"/>
    <n v="0.23923444976076555"/>
    <n v="7.1770334928229667E-3"/>
    <m/>
    <m/>
  </r>
  <r>
    <s v="DRC"/>
    <s v="COD"/>
    <x v="2"/>
    <n v="0"/>
    <n v="404"/>
    <n v="451.28772064535138"/>
    <n v="8.1764545392538027E-3"/>
    <n v="0.36686116591168444"/>
    <n v="0.32945883732337167"/>
    <n v="0.13608036387347802"/>
    <n v="0.13243992447126848"/>
    <n v="2.698325388094365E-2"/>
    <n v="66"/>
    <n v="0.14624816271450627"/>
  </r>
  <r>
    <s v="Equatorial Guinea"/>
    <s v="GNQ"/>
    <x v="1"/>
    <n v="0"/>
    <n v="0"/>
    <n v="0"/>
    <n v="1.0548523206751056E-2"/>
    <n v="0.18459915611814348"/>
    <n v="0.21825853471423093"/>
    <n v="0.30705792098197165"/>
    <n v="0.24923283467587265"/>
    <n v="3.0303030303030304E-2"/>
    <m/>
    <e v="#DIV/0!"/>
  </r>
  <r>
    <s v="Eritrea"/>
    <s v="ERI"/>
    <x v="2"/>
    <n v="0"/>
    <n v="186"/>
    <n v="66.659321370584081"/>
    <n v="0"/>
    <n v="0.84482758620689657"/>
    <n v="0.1206896551724138"/>
    <n v="3.4482758620689655E-2"/>
    <n v="0"/>
    <n v="0"/>
    <m/>
    <m/>
  </r>
  <r>
    <s v="Eswatini"/>
    <s v="SWZ"/>
    <x v="0"/>
    <n v="0"/>
    <n v="74"/>
    <n v="50.164087329003735"/>
    <n v="0"/>
    <n v="0.875"/>
    <n v="0"/>
    <n v="0.125"/>
    <n v="0"/>
    <n v="0"/>
    <m/>
    <m/>
  </r>
  <r>
    <s v="Ethiopia"/>
    <s v="ETH"/>
    <x v="2"/>
    <n v="0"/>
    <n v="1889"/>
    <n v="3522"/>
    <n v="8.1764545392538027E-3"/>
    <n v="0.36686116591168444"/>
    <n v="0.32945883732337167"/>
    <n v="0.13608036387347802"/>
    <n v="0.13243992447126848"/>
    <n v="2.698325388094365E-2"/>
    <n v="189"/>
    <n v="5.3662691652470187E-2"/>
  </r>
  <r>
    <s v="Gabon"/>
    <s v="GAB"/>
    <x v="1"/>
    <n v="0"/>
    <n v="40"/>
    <n v="44"/>
    <n v="0"/>
    <n v="4.5454545454545456E-2"/>
    <n v="9.0909090909090912E-2"/>
    <n v="0.38636363636363635"/>
    <n v="0.43181818181818182"/>
    <n v="4.5454545454545456E-2"/>
    <m/>
    <m/>
  </r>
  <r>
    <s v="Gambia"/>
    <s v="GMB"/>
    <x v="2"/>
    <n v="17"/>
    <n v="4"/>
    <n v="9"/>
    <n v="8.1764545392538027E-3"/>
    <n v="0.36686116591168444"/>
    <n v="0.32945883732337167"/>
    <n v="0.13608036387347802"/>
    <n v="0.13243992447126848"/>
    <n v="2.698325388094365E-2"/>
    <m/>
    <m/>
  </r>
  <r>
    <s v="Ghana"/>
    <s v="GHA"/>
    <x v="0"/>
    <n v="0"/>
    <n v="713"/>
    <n v="243.71996104204348"/>
    <n v="3.0528380431523689E-2"/>
    <n v="0.40571500531529969"/>
    <n v="0.28603213067413186"/>
    <n v="0.15979762484296553"/>
    <n v="0.10374001058060078"/>
    <n v="1.4186848155478493E-2"/>
    <m/>
    <m/>
  </r>
  <r>
    <s v="Guinea"/>
    <s v="GIN"/>
    <x v="2"/>
    <n v="0"/>
    <n v="73"/>
    <n v="39.076153906894113"/>
    <n v="8.1764545392538027E-3"/>
    <n v="0.36686116591168444"/>
    <n v="0.32945883732337167"/>
    <n v="0.13608036387347802"/>
    <n v="0.13243992447126848"/>
    <n v="2.698325388094365E-2"/>
    <m/>
    <m/>
  </r>
  <r>
    <s v="Guinea-Bissau"/>
    <s v="GNB"/>
    <x v="2"/>
    <n v="0"/>
    <n v="8"/>
    <n v="20"/>
    <n v="0"/>
    <n v="0.66666666666666663"/>
    <n v="0.33333333333333331"/>
    <n v="0"/>
    <n v="0"/>
    <n v="0"/>
    <m/>
    <m/>
  </r>
  <r>
    <s v="Kenya"/>
    <s v="KEN"/>
    <x v="0"/>
    <n v="1045"/>
    <n v="1300"/>
    <n v="1344"/>
    <n v="7.4829931972789115E-2"/>
    <n v="0.25170068027210885"/>
    <n v="0.48299319727891155"/>
    <n v="0.14285714285714285"/>
    <n v="4.7619047619047616E-2"/>
    <n v="0"/>
    <n v="36"/>
    <n v="2.6785714285714284E-2"/>
  </r>
  <r>
    <s v="Lesotho"/>
    <s v="LSO"/>
    <x v="0"/>
    <n v="0"/>
    <n v="159"/>
    <n v="84.324393779652084"/>
    <n v="3.0528380431523689E-2"/>
    <n v="0.40571500531529969"/>
    <n v="0.28603213067413186"/>
    <n v="0.15979762484296553"/>
    <n v="0.10374001058060078"/>
    <n v="1.4186848155478493E-2"/>
    <n v="8"/>
    <n v="5.0314465408805034E-2"/>
  </r>
  <r>
    <s v="Liberia"/>
    <s v="LBR"/>
    <x v="2"/>
    <n v="0"/>
    <n v="14"/>
    <n v="7.715922014622258"/>
    <n v="8.1764545392538027E-3"/>
    <n v="0.36686116591168444"/>
    <n v="0.32945883732337167"/>
    <n v="0.13608036387347802"/>
    <n v="0.13243992447126848"/>
    <n v="2.698325388094365E-2"/>
    <m/>
    <m/>
  </r>
  <r>
    <s v="Madagascar"/>
    <s v="MDG"/>
    <x v="2"/>
    <n v="111"/>
    <n v="372"/>
    <n v="250.78616624772471"/>
    <n v="8.1764545392538027E-3"/>
    <n v="0.36686116591168444"/>
    <n v="0.32945883732337167"/>
    <n v="0.13608036387347802"/>
    <n v="0.13243992447126848"/>
    <n v="2.698325388094365E-2"/>
    <m/>
    <m/>
  </r>
  <r>
    <s v="Malawi"/>
    <s v="MWI"/>
    <x v="2"/>
    <n v="0"/>
    <n v="112"/>
    <n v="100.82761399787913"/>
    <n v="0"/>
    <n v="4.9504950495049507E-2"/>
    <n v="0.40594059405940597"/>
    <n v="0.22772277227722773"/>
    <n v="0.24752475247524752"/>
    <n v="6.9306930693069313E-2"/>
    <m/>
    <m/>
  </r>
  <r>
    <s v="Mali"/>
    <s v="MLI"/>
    <x v="2"/>
    <n v="0"/>
    <n v="30"/>
    <n v="30"/>
    <n v="8.1764545392538027E-3"/>
    <n v="0.36686116591168444"/>
    <n v="0.32945883732337167"/>
    <n v="0.13608036387347802"/>
    <n v="0.13243992447126848"/>
    <n v="2.698325388094365E-2"/>
    <m/>
    <m/>
  </r>
  <r>
    <s v="Mauritania"/>
    <s v="MRT"/>
    <x v="0"/>
    <n v="0"/>
    <n v="151"/>
    <n v="149.16596149777874"/>
    <n v="3.0528380431523689E-2"/>
    <n v="0.40571500531529969"/>
    <n v="0.28603213067413186"/>
    <n v="0.15979762484296553"/>
    <n v="0.10374001058060078"/>
    <n v="1.4186848155478493E-2"/>
    <m/>
    <m/>
  </r>
  <r>
    <s v="Mauritius"/>
    <s v="MUS"/>
    <x v="1"/>
    <n v="351"/>
    <n v="466"/>
    <n v="413.89908688062309"/>
    <n v="1.0548523206751056E-2"/>
    <n v="0.18459915611814348"/>
    <n v="0.21825853471423093"/>
    <n v="0.30705792098197165"/>
    <n v="0.24923283467587265"/>
    <n v="3.0303030303030304E-2"/>
    <m/>
    <m/>
  </r>
  <r>
    <s v="Mozambique"/>
    <s v="MOZ"/>
    <x v="2"/>
    <n v="136"/>
    <n v="255"/>
    <n v="348"/>
    <n v="2.7624309392265192E-3"/>
    <n v="0.43646408839779005"/>
    <n v="0.47790055248618785"/>
    <n v="6.3535911602209949E-2"/>
    <n v="1.9337016574585635E-2"/>
    <n v="0"/>
    <n v="161"/>
    <n v="0.46264367816091956"/>
  </r>
  <r>
    <s v="Namibia"/>
    <s v="NAM"/>
    <x v="1"/>
    <n v="68"/>
    <n v="181"/>
    <n v="224"/>
    <n v="1.0548523206751056E-2"/>
    <n v="0.18459915611814348"/>
    <n v="0.21825853471423093"/>
    <n v="0.30705792098197165"/>
    <n v="0.24923283467587265"/>
    <n v="3.0303030303030304E-2"/>
    <m/>
    <m/>
  </r>
  <r>
    <s v="Niger"/>
    <s v="NER"/>
    <x v="2"/>
    <n v="30"/>
    <n v="30"/>
    <n v="27.583167463689964"/>
    <n v="8.1764545392538027E-3"/>
    <n v="0.36686116591168444"/>
    <n v="0.32945883732337167"/>
    <n v="0.13608036387347802"/>
    <n v="0.13243992447126848"/>
    <n v="2.698325388094365E-2"/>
    <m/>
    <m/>
  </r>
  <r>
    <s v="Nigeria"/>
    <s v="NGA"/>
    <x v="0"/>
    <n v="0"/>
    <n v="4358"/>
    <n v="5048"/>
    <n v="2.4096385542168676E-2"/>
    <n v="0.44539448115040808"/>
    <n v="0.42207539836766422"/>
    <n v="0"/>
    <n v="8.4337349397590355E-2"/>
    <n v="2.4096385542168676E-2"/>
    <n v="459"/>
    <n v="9.0927099841521392E-2"/>
  </r>
  <r>
    <s v="Rwanda"/>
    <s v="RWA"/>
    <x v="2"/>
    <n v="127"/>
    <n v="228"/>
    <n v="236"/>
    <n v="8.1764545392538027E-3"/>
    <n v="0.36686116591168444"/>
    <n v="0.32945883732337167"/>
    <n v="0.13608036387347802"/>
    <n v="0.13243992447126848"/>
    <n v="2.698325388094365E-2"/>
    <m/>
    <m/>
  </r>
  <r>
    <s v="Sao Tome and Principe"/>
    <s v="STP"/>
    <x v="0"/>
    <n v="0"/>
    <n v="6"/>
    <n v="6"/>
    <n v="3.0528380431523689E-2"/>
    <n v="0.40571500531529969"/>
    <n v="0.28603213067413186"/>
    <n v="0.15979762484296553"/>
    <n v="0.10374001058060078"/>
    <n v="1.4186848155478493E-2"/>
    <m/>
    <m/>
  </r>
  <r>
    <s v="Senegal"/>
    <s v="SEN"/>
    <x v="0"/>
    <n v="54"/>
    <n v="136"/>
    <n v="223"/>
    <n v="0"/>
    <n v="0.13963963963963963"/>
    <n v="0.28378378378378377"/>
    <n v="0.36036036036036034"/>
    <n v="0.2072072072072072"/>
    <n v="9.0090090090090089E-3"/>
    <n v="67"/>
    <n v="0.30044843049327352"/>
  </r>
  <r>
    <s v="Seychelles"/>
    <s v="SYC"/>
    <x v="1"/>
    <n v="14"/>
    <n v="38"/>
    <n v="44"/>
    <n v="0"/>
    <n v="0.20454545454545456"/>
    <n v="0.27272727272727271"/>
    <n v="0.25"/>
    <n v="0.22727272727272727"/>
    <n v="4.5454545454545456E-2"/>
    <m/>
    <m/>
  </r>
  <r>
    <s v="Sierra Leone"/>
    <s v="SLE"/>
    <x v="2"/>
    <n v="0"/>
    <n v="15"/>
    <n v="15"/>
    <n v="8.1764545392538027E-3"/>
    <n v="0.36686116591168444"/>
    <n v="0.32945883732337167"/>
    <n v="0.13608036387347802"/>
    <n v="0.13243992447126848"/>
    <n v="2.698325388094365E-2"/>
    <m/>
    <m/>
  </r>
  <r>
    <s v="South Africa"/>
    <s v="ZAF"/>
    <x v="1"/>
    <n v="5770"/>
    <n v="6433"/>
    <n v="1975.7022379517678"/>
    <n v="1.0548523206751056E-2"/>
    <n v="0.18459915611814348"/>
    <n v="0.21825853471423093"/>
    <n v="0.30705792098197165"/>
    <n v="0.24923283467587265"/>
    <n v="3.0303030303030304E-2"/>
    <n v="805"/>
    <n v="0.12513601741022851"/>
  </r>
  <r>
    <s v="South Sudan"/>
    <s v="SSD"/>
    <x v="2"/>
    <n v="0"/>
    <n v="32"/>
    <n v="32.180362040971623"/>
    <n v="8.1764545392538027E-3"/>
    <n v="0.36686116591168444"/>
    <n v="0.32945883732337167"/>
    <n v="0.13608036387347802"/>
    <n v="0.13243992447126848"/>
    <n v="2.698325388094365E-2"/>
    <m/>
    <m/>
  </r>
  <r>
    <s v="Tanzania"/>
    <s v="TZA"/>
    <x v="0"/>
    <n v="99"/>
    <n v="682"/>
    <n v="755.27784311079404"/>
    <n v="3.0528380431523689E-2"/>
    <n v="0.40571500531529969"/>
    <n v="0.28603213067413186"/>
    <n v="0.15979762484296553"/>
    <n v="0.10374001058060078"/>
    <n v="1.4186848155478493E-2"/>
    <n v="80"/>
    <n v="0.10592128543120065"/>
  </r>
  <r>
    <s v="Togo"/>
    <s v="TGO"/>
    <x v="2"/>
    <n v="18"/>
    <n v="21"/>
    <n v="21.759416355615883"/>
    <n v="0"/>
    <n v="0"/>
    <n v="0.44444444444444442"/>
    <n v="0.22222222222222221"/>
    <n v="0.33333333333333331"/>
    <n v="0"/>
    <m/>
    <m/>
  </r>
  <r>
    <s v="Uganda"/>
    <s v="UGA"/>
    <x v="2"/>
    <n v="276"/>
    <n v="26"/>
    <n v="504"/>
    <n v="8.1764545392538027E-3"/>
    <n v="0.36686116591168444"/>
    <n v="0.32945883732337167"/>
    <n v="0.13608036387347802"/>
    <n v="0.13243992447126848"/>
    <n v="2.698325388094365E-2"/>
    <n v="41"/>
    <n v="8.1349206349206352E-2"/>
  </r>
  <r>
    <s v="Zambia"/>
    <s v="ZMB"/>
    <x v="0"/>
    <n v="0"/>
    <n v="160"/>
    <n v="306"/>
    <n v="1.1494252873563218E-2"/>
    <n v="0.3946360153256705"/>
    <n v="0.2413793103448276"/>
    <n v="0.21072796934865901"/>
    <n v="8.4291187739463605E-2"/>
    <n v="5.7471264367816091E-2"/>
    <m/>
    <m/>
  </r>
  <r>
    <s v="Zimbabwe"/>
    <s v="ZWE"/>
    <x v="0"/>
    <n v="236"/>
    <n v="142"/>
    <n v="201"/>
    <n v="0.16895146350500184"/>
    <n v="0.53093738421637648"/>
    <n v="0.14005187106335679"/>
    <n v="0.16005928121526491"/>
    <n v="0"/>
    <n v="0"/>
    <n v="80"/>
    <n v="0.39800995024875624"/>
  </r>
  <r>
    <s v="AFRO"/>
    <s v="AFRO"/>
    <x v="3"/>
    <n v="9015"/>
    <n v="37007"/>
    <n v="26182.021606768798"/>
    <n v="7.5291181364392681E-2"/>
    <n v="0.44647809206877426"/>
    <n v="0.28674431503050474"/>
    <n v="0.11175818080976151"/>
    <n v="6.6694398225180251E-2"/>
    <n v="1.3033832501386578E-2"/>
    <n v="2206"/>
    <n v="8.4256289798098946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73AC8-9888-4A8E-8F80-CE8D261C6CF8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Dentists Stock By Age Group &lt; 25 yrs2" fld="8" subtotal="average" baseField="0" baseItem="0"/>
    <dataField name="Average of Dentists Stock By Age Group 25-34 yrs2" fld="9" subtotal="average" baseField="0" baseItem="0"/>
    <dataField name="Average of Dentists Stock By Age Group 35-44 yrs2" fld="10" subtotal="average" baseField="0" baseItem="0"/>
    <dataField name="Average of Dentists Stock By Age Group 45-54 yrs2" fld="11" subtotal="average" baseField="0" baseItem="0"/>
    <dataField name="Average of Dentists Stock By Age Group 55-64 yrs2" fld="12" subtotal="average" baseField="0" baseItem="0"/>
    <dataField name="Average of Dentists Stock By Age Group ≥ 65 yrs2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BBA15-7A68-4306-A345-F395CCC27E7E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Dentists Stock By Age Group &lt; 25 yrs2" fld="8" subtotal="average" baseField="0" baseItem="0"/>
    <dataField name="Average of Dentists Stock By Age Group 25-34 yrs2" fld="9" subtotal="average" baseField="0" baseItem="0"/>
    <dataField name="Average of Dentists Stock By Age Group 35-44 yrs2" fld="10" subtotal="average" baseField="0" baseItem="0"/>
    <dataField name="Average of Dentists Stock By Age Group 45-54 yrs2" fld="11" subtotal="average" baseField="0" baseItem="0"/>
    <dataField name="Average of Dentists Stock By Age Group 55-64 yrs2" fld="12" subtotal="average" baseField="0" baseItem="0"/>
    <dataField name="Average of Dentists Stock By Age Group ≥ 65 yrs2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82D99-D3AF-4911-8C1A-2601AB9337A3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raduate to stock ratio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A85FE-49E7-4BB5-AEFB-7218CBEC2A0F}">
  <dimension ref="A3:G8"/>
  <sheetViews>
    <sheetView workbookViewId="0">
      <selection activeCell="B7" sqref="B7:G7"/>
    </sheetView>
  </sheetViews>
  <sheetFormatPr defaultRowHeight="14.5" x14ac:dyDescent="0.35"/>
  <cols>
    <col min="1" max="1" width="34.26953125" bestFit="1" customWidth="1"/>
    <col min="2" max="2" width="42.36328125" bestFit="1" customWidth="1"/>
    <col min="3" max="6" width="43.54296875" bestFit="1" customWidth="1"/>
    <col min="7" max="7" width="42.36328125" bestFit="1" customWidth="1"/>
  </cols>
  <sheetData>
    <row r="3" spans="1:7" x14ac:dyDescent="0.35">
      <c r="A3" s="11" t="s">
        <v>0</v>
      </c>
      <c r="B3" t="s">
        <v>111</v>
      </c>
      <c r="C3" t="s">
        <v>112</v>
      </c>
      <c r="D3" t="s">
        <v>113</v>
      </c>
      <c r="E3" t="s">
        <v>114</v>
      </c>
      <c r="F3" t="s">
        <v>116</v>
      </c>
      <c r="G3" t="s">
        <v>115</v>
      </c>
    </row>
    <row r="4" spans="1:7" x14ac:dyDescent="0.35">
      <c r="A4" s="12" t="s">
        <v>25</v>
      </c>
      <c r="B4">
        <v>7.5291181364392681E-2</v>
      </c>
      <c r="C4">
        <v>0.44647809206877426</v>
      </c>
      <c r="D4">
        <v>0.28674431503050474</v>
      </c>
      <c r="E4">
        <v>0.11175818080976151</v>
      </c>
      <c r="F4">
        <v>6.6694398225180251E-2</v>
      </c>
      <c r="G4">
        <v>1.3033832501386578E-2</v>
      </c>
    </row>
    <row r="5" spans="1:7" x14ac:dyDescent="0.35">
      <c r="A5" s="12" t="s">
        <v>42</v>
      </c>
      <c r="B5">
        <v>1.0548523206751056E-2</v>
      </c>
      <c r="C5">
        <v>0.18459915611814348</v>
      </c>
      <c r="D5">
        <v>0.21825853471423093</v>
      </c>
      <c r="E5">
        <v>0.30705792098197165</v>
      </c>
      <c r="F5">
        <v>0.24923283467587265</v>
      </c>
      <c r="G5">
        <v>3.0303030303030304E-2</v>
      </c>
    </row>
    <row r="6" spans="1:7" x14ac:dyDescent="0.35">
      <c r="A6" s="12" t="s">
        <v>37</v>
      </c>
      <c r="B6">
        <v>3.0528380431523689E-2</v>
      </c>
      <c r="C6">
        <v>0.40571500531529969</v>
      </c>
      <c r="D6">
        <v>0.28603213067413186</v>
      </c>
      <c r="E6">
        <v>0.15979762484296553</v>
      </c>
      <c r="F6">
        <v>0.10374001058060078</v>
      </c>
      <c r="G6">
        <v>1.4186848155478493E-2</v>
      </c>
    </row>
    <row r="7" spans="1:7" x14ac:dyDescent="0.35">
      <c r="A7" s="12" t="s">
        <v>44</v>
      </c>
      <c r="B7">
        <v>8.1764545392538027E-3</v>
      </c>
      <c r="C7">
        <v>0.36686116591168444</v>
      </c>
      <c r="D7">
        <v>0.32945883732337167</v>
      </c>
      <c r="E7">
        <v>0.13608036387347802</v>
      </c>
      <c r="F7">
        <v>0.13243992447126848</v>
      </c>
      <c r="G7">
        <v>2.698325388094365E-2</v>
      </c>
    </row>
    <row r="8" spans="1:7" x14ac:dyDescent="0.35">
      <c r="A8" s="12" t="s">
        <v>22</v>
      </c>
      <c r="B8">
        <v>2.3063964126770278E-2</v>
      </c>
      <c r="C8">
        <v>0.36292963045231541</v>
      </c>
      <c r="D8">
        <v>0.28892971249273725</v>
      </c>
      <c r="E8">
        <v>0.17236951877130999</v>
      </c>
      <c r="F8">
        <v>0.13232162774432085</v>
      </c>
      <c r="G8">
        <v>2.0385546412546217E-2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1EFE-66B6-47C9-90C8-8A9D6D5F5F90}">
  <dimension ref="A3:G8"/>
  <sheetViews>
    <sheetView topLeftCell="C1" workbookViewId="0">
      <selection activeCell="D3" sqref="D3:D7"/>
    </sheetView>
  </sheetViews>
  <sheetFormatPr defaultRowHeight="14.5" x14ac:dyDescent="0.35"/>
  <cols>
    <col min="1" max="1" width="34.26953125" bestFit="1" customWidth="1"/>
    <col min="2" max="2" width="42.36328125" bestFit="1" customWidth="1"/>
    <col min="3" max="6" width="43.54296875" bestFit="1" customWidth="1"/>
    <col min="7" max="7" width="42.36328125" bestFit="1" customWidth="1"/>
  </cols>
  <sheetData>
    <row r="3" spans="1:7" x14ac:dyDescent="0.35">
      <c r="A3" s="11" t="s">
        <v>0</v>
      </c>
      <c r="B3" t="s">
        <v>111</v>
      </c>
      <c r="C3" t="s">
        <v>112</v>
      </c>
      <c r="D3" t="s">
        <v>113</v>
      </c>
      <c r="E3" t="s">
        <v>114</v>
      </c>
      <c r="F3" t="s">
        <v>116</v>
      </c>
      <c r="G3" t="s">
        <v>115</v>
      </c>
    </row>
    <row r="4" spans="1:7" x14ac:dyDescent="0.35">
      <c r="A4" s="12" t="s">
        <v>25</v>
      </c>
      <c r="B4">
        <v>7.5291181364392681E-2</v>
      </c>
      <c r="C4">
        <v>0.44647809206877426</v>
      </c>
      <c r="D4">
        <v>0.28674431503050474</v>
      </c>
      <c r="E4">
        <v>0.11175818080976151</v>
      </c>
      <c r="F4">
        <v>6.6694398225180251E-2</v>
      </c>
      <c r="G4">
        <v>1.3033832501386578E-2</v>
      </c>
    </row>
    <row r="5" spans="1:7" x14ac:dyDescent="0.35">
      <c r="A5" s="12" t="s">
        <v>42</v>
      </c>
      <c r="B5">
        <v>1.0548523206751056E-2</v>
      </c>
      <c r="C5">
        <v>0.18459915611814348</v>
      </c>
      <c r="D5">
        <v>0.21825853471423093</v>
      </c>
      <c r="E5">
        <v>0.30705792098197165</v>
      </c>
      <c r="F5">
        <v>0.24923283467587265</v>
      </c>
      <c r="G5">
        <v>3.0303030303030304E-2</v>
      </c>
    </row>
    <row r="6" spans="1:7" x14ac:dyDescent="0.35">
      <c r="A6" s="12" t="s">
        <v>37</v>
      </c>
      <c r="B6">
        <v>3.0528380431523689E-2</v>
      </c>
      <c r="C6">
        <v>0.40571500531529969</v>
      </c>
      <c r="D6">
        <v>0.28603213067413186</v>
      </c>
      <c r="E6">
        <v>0.15979762484296553</v>
      </c>
      <c r="F6">
        <v>0.10374001058060078</v>
      </c>
      <c r="G6">
        <v>1.4186848155478493E-2</v>
      </c>
    </row>
    <row r="7" spans="1:7" x14ac:dyDescent="0.35">
      <c r="A7" s="12" t="s">
        <v>44</v>
      </c>
      <c r="B7">
        <v>8.1764545392538027E-3</v>
      </c>
      <c r="C7">
        <v>0.36686116591168444</v>
      </c>
      <c r="D7">
        <v>0.32945883732337167</v>
      </c>
      <c r="E7">
        <v>0.13608036387347802</v>
      </c>
      <c r="F7">
        <v>0.13243992447126848</v>
      </c>
      <c r="G7">
        <v>2.698325388094365E-2</v>
      </c>
    </row>
    <row r="8" spans="1:7" x14ac:dyDescent="0.35">
      <c r="A8" s="12" t="s">
        <v>22</v>
      </c>
      <c r="B8">
        <v>2.3063964126770278E-2</v>
      </c>
      <c r="C8">
        <v>0.36292963045231541</v>
      </c>
      <c r="D8">
        <v>0.28892971249273725</v>
      </c>
      <c r="E8">
        <v>0.17236951877130999</v>
      </c>
      <c r="F8">
        <v>0.13232162774432085</v>
      </c>
      <c r="G8">
        <v>2.0385546412546217E-2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1AE1-CF57-4553-A48C-FB8C04FA8B41}">
  <dimension ref="A1:O31"/>
  <sheetViews>
    <sheetView topLeftCell="A37" workbookViewId="0">
      <selection activeCell="W32" sqref="W32"/>
    </sheetView>
  </sheetViews>
  <sheetFormatPr defaultRowHeight="14.5" x14ac:dyDescent="0.35"/>
  <cols>
    <col min="15" max="15" width="34.26953125" bestFit="1" customWidth="1"/>
  </cols>
  <sheetData>
    <row r="1" spans="1:15" ht="72.5" x14ac:dyDescent="0.35">
      <c r="A1" s="1" t="s">
        <v>0</v>
      </c>
      <c r="B1" s="1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3" t="s">
        <v>31</v>
      </c>
      <c r="H1" s="9" t="s">
        <v>32</v>
      </c>
      <c r="I1" s="1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9" t="s">
        <v>110</v>
      </c>
    </row>
    <row r="2" spans="1:15" x14ac:dyDescent="0.35">
      <c r="A2" s="4" t="s">
        <v>25</v>
      </c>
      <c r="B2" s="1">
        <v>543</v>
      </c>
      <c r="C2" s="2">
        <v>3220</v>
      </c>
      <c r="D2" s="2">
        <v>2068</v>
      </c>
      <c r="E2" s="2">
        <v>806</v>
      </c>
      <c r="F2" s="2">
        <v>481</v>
      </c>
      <c r="G2" s="3">
        <v>94</v>
      </c>
      <c r="H2">
        <f>SUM(B2:G2)</f>
        <v>7212</v>
      </c>
      <c r="I2">
        <f>B2/$H2</f>
        <v>7.5291181364392681E-2</v>
      </c>
      <c r="J2">
        <f>C2/$H2</f>
        <v>0.44647809206877426</v>
      </c>
      <c r="K2">
        <f t="shared" ref="K2:L2" si="0">D2/$H2</f>
        <v>0.28674431503050474</v>
      </c>
      <c r="L2">
        <f t="shared" si="0"/>
        <v>0.11175818080976151</v>
      </c>
      <c r="M2">
        <f>F2/$H2</f>
        <v>6.6694398225180251E-2</v>
      </c>
      <c r="N2">
        <f>G2/$H2</f>
        <v>1.3033832501386578E-2</v>
      </c>
      <c r="O2" t="s">
        <v>25</v>
      </c>
    </row>
    <row r="3" spans="1:15" s="9" customFormat="1" x14ac:dyDescent="0.35">
      <c r="A3" s="5" t="s">
        <v>1</v>
      </c>
      <c r="B3" s="6">
        <v>5</v>
      </c>
      <c r="C3" s="7">
        <v>22</v>
      </c>
      <c r="D3" s="7">
        <v>21</v>
      </c>
      <c r="E3" s="7">
        <v>29</v>
      </c>
      <c r="F3" s="7">
        <v>21</v>
      </c>
      <c r="G3" s="8">
        <v>10</v>
      </c>
      <c r="H3">
        <f t="shared" ref="H3:H21" si="1">SUM(B3:G3)</f>
        <v>108</v>
      </c>
      <c r="I3">
        <f t="shared" ref="I3:I21" si="2">B3/$H3</f>
        <v>4.6296296296296294E-2</v>
      </c>
      <c r="J3">
        <f t="shared" ref="J3:J21" si="3">C3/$H3</f>
        <v>0.20370370370370369</v>
      </c>
      <c r="K3">
        <f t="shared" ref="K3:K21" si="4">D3/$H3</f>
        <v>0.19444444444444445</v>
      </c>
      <c r="L3">
        <f t="shared" ref="L3:L21" si="5">E3/$H3</f>
        <v>0.26851851851851855</v>
      </c>
      <c r="M3">
        <f t="shared" ref="M3:M21" si="6">F3/$H3</f>
        <v>0.19444444444444445</v>
      </c>
      <c r="N3">
        <f t="shared" ref="N3:N21" si="7">G3/$H3</f>
        <v>9.2592592592592587E-2</v>
      </c>
      <c r="O3" t="str">
        <f>VLOOKUP(A3,Sheet2!A$3:D$50,4,FALSE)</f>
        <v>Low-Income Economies</v>
      </c>
    </row>
    <row r="4" spans="1:15" x14ac:dyDescent="0.35">
      <c r="A4" s="5" t="s">
        <v>2</v>
      </c>
      <c r="B4" s="6">
        <v>5</v>
      </c>
      <c r="C4" s="7">
        <v>48</v>
      </c>
      <c r="D4" s="7">
        <v>46</v>
      </c>
      <c r="E4" s="7">
        <v>45</v>
      </c>
      <c r="F4" s="7">
        <v>14</v>
      </c>
      <c r="G4" s="8"/>
      <c r="H4">
        <f t="shared" si="1"/>
        <v>158</v>
      </c>
      <c r="I4">
        <f t="shared" si="2"/>
        <v>3.1645569620253167E-2</v>
      </c>
      <c r="J4">
        <f t="shared" si="3"/>
        <v>0.30379746835443039</v>
      </c>
      <c r="K4">
        <f t="shared" si="4"/>
        <v>0.29113924050632911</v>
      </c>
      <c r="L4">
        <f t="shared" si="5"/>
        <v>0.2848101265822785</v>
      </c>
      <c r="M4">
        <f t="shared" si="6"/>
        <v>8.8607594936708861E-2</v>
      </c>
      <c r="N4">
        <f t="shared" si="7"/>
        <v>0</v>
      </c>
      <c r="O4" t="str">
        <f>VLOOKUP(A4,Sheet2!A$3:D$50,4,FALSE)</f>
        <v>High/Upper-Middle-Income Economies </v>
      </c>
    </row>
    <row r="5" spans="1:15" x14ac:dyDescent="0.35">
      <c r="A5" s="5" t="s">
        <v>3</v>
      </c>
      <c r="B5" s="6">
        <v>0</v>
      </c>
      <c r="C5" s="7">
        <v>67</v>
      </c>
      <c r="D5" s="7">
        <v>145</v>
      </c>
      <c r="E5" s="7">
        <v>103</v>
      </c>
      <c r="F5" s="7">
        <v>100</v>
      </c>
      <c r="G5" s="8">
        <v>3</v>
      </c>
      <c r="H5">
        <f t="shared" si="1"/>
        <v>418</v>
      </c>
      <c r="I5">
        <f t="shared" si="2"/>
        <v>0</v>
      </c>
      <c r="J5">
        <f t="shared" si="3"/>
        <v>0.16028708133971292</v>
      </c>
      <c r="K5">
        <f t="shared" si="4"/>
        <v>0.34688995215311003</v>
      </c>
      <c r="L5">
        <f t="shared" si="5"/>
        <v>0.24641148325358853</v>
      </c>
      <c r="M5">
        <f t="shared" si="6"/>
        <v>0.23923444976076555</v>
      </c>
      <c r="N5">
        <f t="shared" si="7"/>
        <v>7.1770334928229667E-3</v>
      </c>
      <c r="O5" t="str">
        <f>VLOOKUP(A5,Sheet2!A$3:D$50,4,FALSE)</f>
        <v>Lower-Middle-Income Economies</v>
      </c>
    </row>
    <row r="6" spans="1:15" x14ac:dyDescent="0.35">
      <c r="A6" s="5" t="s">
        <v>4</v>
      </c>
      <c r="B6" s="6">
        <v>0</v>
      </c>
      <c r="C6" s="7">
        <v>230</v>
      </c>
      <c r="D6" s="7">
        <v>59</v>
      </c>
      <c r="E6" s="7">
        <v>18</v>
      </c>
      <c r="F6" s="7">
        <v>10</v>
      </c>
      <c r="G6" s="8">
        <v>0</v>
      </c>
      <c r="H6">
        <f t="shared" si="1"/>
        <v>317</v>
      </c>
      <c r="I6">
        <f t="shared" si="2"/>
        <v>0</v>
      </c>
      <c r="J6">
        <f t="shared" si="3"/>
        <v>0.72555205047318616</v>
      </c>
      <c r="K6">
        <f t="shared" si="4"/>
        <v>0.18611987381703471</v>
      </c>
      <c r="L6">
        <f t="shared" si="5"/>
        <v>5.6782334384858045E-2</v>
      </c>
      <c r="M6">
        <f t="shared" si="6"/>
        <v>3.1545741324921134E-2</v>
      </c>
      <c r="N6">
        <f t="shared" si="7"/>
        <v>0</v>
      </c>
      <c r="O6" t="str">
        <f>VLOOKUP(A6,Sheet2!A$3:D$50,4,FALSE)</f>
        <v>Lower-Middle-Income Economies</v>
      </c>
    </row>
    <row r="7" spans="1:15" x14ac:dyDescent="0.35">
      <c r="A7" s="5" t="s">
        <v>7</v>
      </c>
      <c r="B7" s="6"/>
      <c r="C7" s="7">
        <v>49</v>
      </c>
      <c r="D7" s="7">
        <v>7</v>
      </c>
      <c r="E7" s="7">
        <v>2</v>
      </c>
      <c r="F7" s="7"/>
      <c r="G7" s="8"/>
      <c r="H7">
        <f t="shared" si="1"/>
        <v>58</v>
      </c>
      <c r="I7">
        <f t="shared" si="2"/>
        <v>0</v>
      </c>
      <c r="J7">
        <f t="shared" si="3"/>
        <v>0.84482758620689657</v>
      </c>
      <c r="K7">
        <f t="shared" si="4"/>
        <v>0.1206896551724138</v>
      </c>
      <c r="L7">
        <f t="shared" si="5"/>
        <v>3.4482758620689655E-2</v>
      </c>
      <c r="M7">
        <f t="shared" si="6"/>
        <v>0</v>
      </c>
      <c r="N7">
        <f t="shared" si="7"/>
        <v>0</v>
      </c>
      <c r="O7" t="str">
        <f>VLOOKUP(A7,Sheet2!A$3:D$50,4,FALSE)</f>
        <v>Low-Income Economies</v>
      </c>
    </row>
    <row r="8" spans="1:15" x14ac:dyDescent="0.35">
      <c r="A8" s="5" t="s">
        <v>8</v>
      </c>
      <c r="B8" s="6">
        <v>0</v>
      </c>
      <c r="C8" s="7">
        <v>2</v>
      </c>
      <c r="D8" s="7">
        <v>4</v>
      </c>
      <c r="E8" s="7">
        <v>17</v>
      </c>
      <c r="F8" s="7">
        <v>19</v>
      </c>
      <c r="G8" s="8">
        <v>2</v>
      </c>
      <c r="H8">
        <f t="shared" si="1"/>
        <v>44</v>
      </c>
      <c r="I8">
        <f t="shared" si="2"/>
        <v>0</v>
      </c>
      <c r="J8">
        <f t="shared" si="3"/>
        <v>4.5454545454545456E-2</v>
      </c>
      <c r="K8">
        <f>D8/$H8</f>
        <v>9.0909090909090912E-2</v>
      </c>
      <c r="L8">
        <f t="shared" si="5"/>
        <v>0.38636363636363635</v>
      </c>
      <c r="M8">
        <f t="shared" si="6"/>
        <v>0.43181818181818182</v>
      </c>
      <c r="N8">
        <f t="shared" si="7"/>
        <v>4.5454545454545456E-2</v>
      </c>
      <c r="O8" t="str">
        <f>VLOOKUP(A8,Sheet2!A$3:D$50,4,FALSE)</f>
        <v>High/Upper-Middle-Income Economies </v>
      </c>
    </row>
    <row r="9" spans="1:15" x14ac:dyDescent="0.35">
      <c r="A9" s="5" t="s">
        <v>10</v>
      </c>
      <c r="B9" s="6">
        <v>0</v>
      </c>
      <c r="C9" s="7">
        <v>14</v>
      </c>
      <c r="D9" s="7">
        <v>7</v>
      </c>
      <c r="E9" s="7">
        <v>0</v>
      </c>
      <c r="F9" s="7">
        <v>0</v>
      </c>
      <c r="G9" s="8">
        <v>0</v>
      </c>
      <c r="H9">
        <f t="shared" si="1"/>
        <v>21</v>
      </c>
      <c r="I9">
        <f t="shared" si="2"/>
        <v>0</v>
      </c>
      <c r="J9">
        <f t="shared" si="3"/>
        <v>0.66666666666666663</v>
      </c>
      <c r="K9">
        <f t="shared" si="4"/>
        <v>0.33333333333333331</v>
      </c>
      <c r="L9">
        <f t="shared" si="5"/>
        <v>0</v>
      </c>
      <c r="M9">
        <f t="shared" si="6"/>
        <v>0</v>
      </c>
      <c r="N9">
        <f t="shared" si="7"/>
        <v>0</v>
      </c>
      <c r="O9" t="str">
        <f>VLOOKUP(A9,Sheet2!A$3:D$50,4,FALSE)</f>
        <v>Low-Income Economies</v>
      </c>
    </row>
    <row r="10" spans="1:15" x14ac:dyDescent="0.35">
      <c r="A10" s="5" t="s">
        <v>11</v>
      </c>
      <c r="B10" s="6">
        <v>22</v>
      </c>
      <c r="C10" s="7">
        <v>74</v>
      </c>
      <c r="D10" s="7">
        <v>142</v>
      </c>
      <c r="E10" s="7">
        <v>42</v>
      </c>
      <c r="F10" s="7">
        <v>14</v>
      </c>
      <c r="G10" s="8">
        <v>0</v>
      </c>
      <c r="H10">
        <f t="shared" si="1"/>
        <v>294</v>
      </c>
      <c r="I10">
        <f t="shared" si="2"/>
        <v>7.4829931972789115E-2</v>
      </c>
      <c r="J10">
        <f t="shared" si="3"/>
        <v>0.25170068027210885</v>
      </c>
      <c r="K10">
        <f t="shared" si="4"/>
        <v>0.48299319727891155</v>
      </c>
      <c r="L10">
        <f t="shared" si="5"/>
        <v>0.14285714285714285</v>
      </c>
      <c r="M10">
        <f t="shared" si="6"/>
        <v>4.7619047619047616E-2</v>
      </c>
      <c r="N10">
        <f t="shared" si="7"/>
        <v>0</v>
      </c>
      <c r="O10" t="str">
        <f>VLOOKUP(A10,Sheet2!A$3:D$50,4,FALSE)</f>
        <v>Lower-Middle-Income Economies</v>
      </c>
    </row>
    <row r="11" spans="1:15" x14ac:dyDescent="0.35">
      <c r="A11" s="5" t="s">
        <v>13</v>
      </c>
      <c r="B11" s="6"/>
      <c r="C11" s="7">
        <v>5</v>
      </c>
      <c r="D11" s="7">
        <v>41</v>
      </c>
      <c r="E11" s="7">
        <v>23</v>
      </c>
      <c r="F11" s="7">
        <v>25</v>
      </c>
      <c r="G11" s="8">
        <v>7</v>
      </c>
      <c r="H11">
        <f t="shared" si="1"/>
        <v>101</v>
      </c>
      <c r="I11">
        <f t="shared" si="2"/>
        <v>0</v>
      </c>
      <c r="J11">
        <f t="shared" si="3"/>
        <v>4.9504950495049507E-2</v>
      </c>
      <c r="K11">
        <f t="shared" si="4"/>
        <v>0.40594059405940597</v>
      </c>
      <c r="L11">
        <f t="shared" si="5"/>
        <v>0.22772277227722773</v>
      </c>
      <c r="M11">
        <f t="shared" si="6"/>
        <v>0.24752475247524752</v>
      </c>
      <c r="N11">
        <f t="shared" si="7"/>
        <v>6.9306930693069313E-2</v>
      </c>
      <c r="O11" t="str">
        <f>VLOOKUP(A11,Sheet2!A$3:D$50,4,FALSE)</f>
        <v>Low-Income Economies</v>
      </c>
    </row>
    <row r="12" spans="1:15" x14ac:dyDescent="0.35">
      <c r="A12" s="5" t="s">
        <v>14</v>
      </c>
      <c r="B12" s="6">
        <v>62</v>
      </c>
      <c r="C12" s="7">
        <v>1146</v>
      </c>
      <c r="D12" s="7">
        <v>1086</v>
      </c>
      <c r="E12" s="7"/>
      <c r="F12" s="7">
        <v>217</v>
      </c>
      <c r="G12" s="8">
        <v>62</v>
      </c>
      <c r="H12">
        <f t="shared" si="1"/>
        <v>2573</v>
      </c>
      <c r="I12">
        <f t="shared" si="2"/>
        <v>2.4096385542168676E-2</v>
      </c>
      <c r="J12">
        <f t="shared" si="3"/>
        <v>0.44539448115040808</v>
      </c>
      <c r="K12">
        <f t="shared" si="4"/>
        <v>0.42207539836766422</v>
      </c>
      <c r="L12">
        <f t="shared" si="5"/>
        <v>0</v>
      </c>
      <c r="M12">
        <f t="shared" si="6"/>
        <v>8.4337349397590355E-2</v>
      </c>
      <c r="N12">
        <f t="shared" si="7"/>
        <v>2.4096385542168676E-2</v>
      </c>
      <c r="O12" t="str">
        <f>VLOOKUP(A12,Sheet2!A$3:D$50,4,FALSE)</f>
        <v>Lower-Middle-Income Economies</v>
      </c>
    </row>
    <row r="13" spans="1:15" x14ac:dyDescent="0.35">
      <c r="A13" s="5" t="s">
        <v>15</v>
      </c>
      <c r="B13" s="6">
        <v>0</v>
      </c>
      <c r="C13" s="7">
        <v>31</v>
      </c>
      <c r="D13" s="7">
        <v>63</v>
      </c>
      <c r="E13" s="7">
        <v>80</v>
      </c>
      <c r="F13" s="7">
        <v>46</v>
      </c>
      <c r="G13" s="8">
        <v>2</v>
      </c>
      <c r="H13">
        <f t="shared" si="1"/>
        <v>222</v>
      </c>
      <c r="I13">
        <f t="shared" si="2"/>
        <v>0</v>
      </c>
      <c r="J13">
        <f t="shared" si="3"/>
        <v>0.13963963963963963</v>
      </c>
      <c r="K13">
        <f t="shared" si="4"/>
        <v>0.28378378378378377</v>
      </c>
      <c r="L13">
        <f t="shared" si="5"/>
        <v>0.36036036036036034</v>
      </c>
      <c r="M13">
        <f t="shared" si="6"/>
        <v>0.2072072072072072</v>
      </c>
      <c r="N13">
        <f t="shared" si="7"/>
        <v>9.0090090090090089E-3</v>
      </c>
      <c r="O13" t="str">
        <f>VLOOKUP(A13,Sheet2!A$3:D$50,4,FALSE)</f>
        <v>Lower-Middle-Income Economies</v>
      </c>
    </row>
    <row r="14" spans="1:15" x14ac:dyDescent="0.35">
      <c r="A14" s="5" t="s">
        <v>16</v>
      </c>
      <c r="B14" s="6"/>
      <c r="C14" s="7">
        <v>7</v>
      </c>
      <c r="D14" s="7"/>
      <c r="E14" s="7">
        <v>1</v>
      </c>
      <c r="F14" s="7"/>
      <c r="G14" s="8"/>
      <c r="H14">
        <f t="shared" si="1"/>
        <v>8</v>
      </c>
      <c r="I14">
        <f t="shared" si="2"/>
        <v>0</v>
      </c>
      <c r="J14">
        <f t="shared" si="3"/>
        <v>0.875</v>
      </c>
      <c r="K14">
        <f t="shared" si="4"/>
        <v>0</v>
      </c>
      <c r="L14">
        <f t="shared" si="5"/>
        <v>0.125</v>
      </c>
      <c r="M14">
        <f t="shared" si="6"/>
        <v>0</v>
      </c>
      <c r="N14">
        <f t="shared" si="7"/>
        <v>0</v>
      </c>
      <c r="O14" t="str">
        <f>VLOOKUP(A14,Sheet2!A$3:D$50,4,FALSE)</f>
        <v>Lower-Middle-Income Economies</v>
      </c>
    </row>
    <row r="15" spans="1:15" x14ac:dyDescent="0.35">
      <c r="A15" s="5" t="s">
        <v>17</v>
      </c>
      <c r="B15" s="6"/>
      <c r="C15" s="7">
        <v>9</v>
      </c>
      <c r="D15" s="7">
        <v>12</v>
      </c>
      <c r="E15" s="7">
        <v>11</v>
      </c>
      <c r="F15" s="7">
        <v>10</v>
      </c>
      <c r="G15" s="8">
        <v>2</v>
      </c>
      <c r="H15">
        <f t="shared" si="1"/>
        <v>44</v>
      </c>
      <c r="I15">
        <f t="shared" si="2"/>
        <v>0</v>
      </c>
      <c r="J15">
        <f t="shared" si="3"/>
        <v>0.20454545454545456</v>
      </c>
      <c r="K15">
        <f t="shared" si="4"/>
        <v>0.27272727272727271</v>
      </c>
      <c r="L15">
        <f t="shared" si="5"/>
        <v>0.25</v>
      </c>
      <c r="M15">
        <f t="shared" si="6"/>
        <v>0.22727272727272727</v>
      </c>
      <c r="N15">
        <f t="shared" si="7"/>
        <v>4.5454545454545456E-2</v>
      </c>
      <c r="O15" t="str">
        <f>VLOOKUP(A15,Sheet2!A$3:D$50,4,FALSE)</f>
        <v>High/Upper-Middle-Income Economies </v>
      </c>
    </row>
    <row r="16" spans="1:15" x14ac:dyDescent="0.35">
      <c r="A16" s="5" t="s">
        <v>19</v>
      </c>
      <c r="B16" s="6">
        <v>0</v>
      </c>
      <c r="C16" s="7">
        <v>0</v>
      </c>
      <c r="D16" s="7">
        <v>8</v>
      </c>
      <c r="E16" s="7">
        <v>4</v>
      </c>
      <c r="F16" s="7">
        <v>6</v>
      </c>
      <c r="G16" s="8">
        <v>0</v>
      </c>
      <c r="H16">
        <f t="shared" si="1"/>
        <v>18</v>
      </c>
      <c r="I16">
        <f t="shared" si="2"/>
        <v>0</v>
      </c>
      <c r="J16">
        <f t="shared" si="3"/>
        <v>0</v>
      </c>
      <c r="K16">
        <f t="shared" si="4"/>
        <v>0.44444444444444442</v>
      </c>
      <c r="L16">
        <f t="shared" si="5"/>
        <v>0.22222222222222221</v>
      </c>
      <c r="M16">
        <f t="shared" si="6"/>
        <v>0.33333333333333331</v>
      </c>
      <c r="N16">
        <f t="shared" si="7"/>
        <v>0</v>
      </c>
      <c r="O16" t="str">
        <f>VLOOKUP(A16,Sheet2!A$3:D$50,4,FALSE)</f>
        <v>Low-Income Economies</v>
      </c>
    </row>
    <row r="17" spans="1:15" x14ac:dyDescent="0.35">
      <c r="A17" s="5" t="s">
        <v>20</v>
      </c>
      <c r="B17" s="6">
        <v>3</v>
      </c>
      <c r="C17" s="7">
        <v>103</v>
      </c>
      <c r="D17" s="7">
        <v>63</v>
      </c>
      <c r="E17" s="7">
        <v>55</v>
      </c>
      <c r="F17" s="7">
        <v>22</v>
      </c>
      <c r="G17" s="8">
        <v>15</v>
      </c>
      <c r="H17">
        <f t="shared" si="1"/>
        <v>261</v>
      </c>
      <c r="I17">
        <f t="shared" si="2"/>
        <v>1.1494252873563218E-2</v>
      </c>
      <c r="J17">
        <f t="shared" si="3"/>
        <v>0.3946360153256705</v>
      </c>
      <c r="K17">
        <f t="shared" si="4"/>
        <v>0.2413793103448276</v>
      </c>
      <c r="L17">
        <f t="shared" si="5"/>
        <v>0.21072796934865901</v>
      </c>
      <c r="M17">
        <f t="shared" si="6"/>
        <v>8.4291187739463605E-2</v>
      </c>
      <c r="N17">
        <f t="shared" si="7"/>
        <v>5.7471264367816091E-2</v>
      </c>
      <c r="O17" t="str">
        <f>VLOOKUP(A17,Sheet2!A$3:D$50,4,FALSE)</f>
        <v>Lower-Middle-Income Economies</v>
      </c>
    </row>
    <row r="18" spans="1:15" x14ac:dyDescent="0.35">
      <c r="A18" s="5" t="s">
        <v>21</v>
      </c>
      <c r="B18" s="6">
        <v>456</v>
      </c>
      <c r="C18" s="7">
        <v>1433</v>
      </c>
      <c r="D18" s="7">
        <v>378</v>
      </c>
      <c r="E18" s="7">
        <v>432</v>
      </c>
      <c r="F18" s="7">
        <v>0</v>
      </c>
      <c r="G18" s="8">
        <v>0</v>
      </c>
      <c r="H18">
        <f t="shared" si="1"/>
        <v>2699</v>
      </c>
      <c r="I18">
        <f t="shared" si="2"/>
        <v>0.16895146350500184</v>
      </c>
      <c r="J18">
        <f t="shared" si="3"/>
        <v>0.53093738421637648</v>
      </c>
      <c r="K18">
        <f t="shared" si="4"/>
        <v>0.14005187106335679</v>
      </c>
      <c r="L18">
        <f t="shared" si="5"/>
        <v>0.16005928121526491</v>
      </c>
      <c r="M18">
        <f t="shared" si="6"/>
        <v>0</v>
      </c>
      <c r="N18">
        <f t="shared" si="7"/>
        <v>0</v>
      </c>
      <c r="O18" t="str">
        <f>VLOOKUP(A18,Sheet2!A$3:D$50,4,FALSE)</f>
        <v>Lower-Middle-Income Economies</v>
      </c>
    </row>
    <row r="19" spans="1:15" x14ac:dyDescent="0.35">
      <c r="A19" s="5" t="s">
        <v>23</v>
      </c>
      <c r="B19" s="6">
        <v>0</v>
      </c>
      <c r="C19" s="7">
        <v>10</v>
      </c>
      <c r="D19" s="7">
        <v>26</v>
      </c>
      <c r="E19" s="7">
        <v>8</v>
      </c>
      <c r="F19" s="7">
        <v>6</v>
      </c>
      <c r="G19" s="8">
        <v>0</v>
      </c>
      <c r="H19">
        <f t="shared" si="1"/>
        <v>50</v>
      </c>
      <c r="I19">
        <f t="shared" si="2"/>
        <v>0</v>
      </c>
      <c r="J19">
        <f t="shared" si="3"/>
        <v>0.2</v>
      </c>
      <c r="K19">
        <f>D19/$H19</f>
        <v>0.52</v>
      </c>
      <c r="L19">
        <f t="shared" si="5"/>
        <v>0.16</v>
      </c>
      <c r="M19">
        <f t="shared" si="6"/>
        <v>0.12</v>
      </c>
      <c r="N19">
        <f t="shared" si="7"/>
        <v>0</v>
      </c>
      <c r="O19" t="str">
        <f>VLOOKUP(A19,Sheet2!A$3:D$50,4,FALSE)</f>
        <v>Lower-Middle-Income Economies</v>
      </c>
    </row>
    <row r="20" spans="1:15" x14ac:dyDescent="0.35">
      <c r="A20" s="5" t="s">
        <v>24</v>
      </c>
      <c r="B20" s="6">
        <v>400</v>
      </c>
      <c r="C20" s="7">
        <v>5156</v>
      </c>
      <c r="D20" s="7">
        <v>3659</v>
      </c>
      <c r="E20" s="7">
        <v>2096</v>
      </c>
      <c r="F20" s="7">
        <v>3445</v>
      </c>
      <c r="G20" s="8">
        <v>681</v>
      </c>
      <c r="H20">
        <f t="shared" si="1"/>
        <v>15437</v>
      </c>
      <c r="I20">
        <f t="shared" si="2"/>
        <v>2.5911770421714064E-2</v>
      </c>
      <c r="J20">
        <f t="shared" si="3"/>
        <v>0.33400272073589427</v>
      </c>
      <c r="K20">
        <f t="shared" si="4"/>
        <v>0.23702791993262939</v>
      </c>
      <c r="L20">
        <f t="shared" si="5"/>
        <v>0.13577767700978169</v>
      </c>
      <c r="M20">
        <f t="shared" si="6"/>
        <v>0.22316512275701236</v>
      </c>
      <c r="N20">
        <f t="shared" si="7"/>
        <v>4.4114789142968194E-2</v>
      </c>
      <c r="O20" t="str">
        <f>VLOOKUP(A20,Sheet2!A$2:D$50,4,FALSE)</f>
        <v>Lower-Middle-Income Economies</v>
      </c>
    </row>
    <row r="21" spans="1:15" x14ac:dyDescent="0.35">
      <c r="A21" s="5" t="s">
        <v>12</v>
      </c>
      <c r="B21" s="6">
        <v>1</v>
      </c>
      <c r="C21" s="7">
        <v>158</v>
      </c>
      <c r="D21" s="7">
        <v>173</v>
      </c>
      <c r="E21" s="7">
        <v>23</v>
      </c>
      <c r="F21" s="7">
        <v>7</v>
      </c>
      <c r="G21" s="8">
        <v>0</v>
      </c>
      <c r="H21">
        <f t="shared" si="1"/>
        <v>362</v>
      </c>
      <c r="I21">
        <f t="shared" si="2"/>
        <v>2.7624309392265192E-3</v>
      </c>
      <c r="J21">
        <f t="shared" si="3"/>
        <v>0.43646408839779005</v>
      </c>
      <c r="K21">
        <f t="shared" si="4"/>
        <v>0.47790055248618785</v>
      </c>
      <c r="L21">
        <f t="shared" si="5"/>
        <v>6.3535911602209949E-2</v>
      </c>
      <c r="M21">
        <f t="shared" si="6"/>
        <v>1.9337016574585635E-2</v>
      </c>
      <c r="N21">
        <f t="shared" si="7"/>
        <v>0</v>
      </c>
      <c r="O21" t="str">
        <f>VLOOKUP(A21,Sheet2!A$3:D$50,4,FALSE)</f>
        <v>Low-Income Economies</v>
      </c>
    </row>
    <row r="27" spans="1:15" s="10" customFormat="1" ht="72.5" x14ac:dyDescent="0.35">
      <c r="A27" s="10" t="s">
        <v>125</v>
      </c>
      <c r="B27" s="10" t="s">
        <v>26</v>
      </c>
      <c r="C27" s="10" t="s">
        <v>27</v>
      </c>
      <c r="D27" s="10" t="s">
        <v>28</v>
      </c>
      <c r="E27" s="10" t="s">
        <v>29</v>
      </c>
      <c r="F27" s="10" t="s">
        <v>30</v>
      </c>
      <c r="G27" s="10" t="s">
        <v>31</v>
      </c>
    </row>
    <row r="28" spans="1:15" x14ac:dyDescent="0.35">
      <c r="A28" t="s">
        <v>42</v>
      </c>
      <c r="B28" s="21">
        <v>1.0548523206751056E-2</v>
      </c>
      <c r="C28" s="21">
        <v>0.18459915611814348</v>
      </c>
      <c r="D28" s="21">
        <v>0.21825853471423093</v>
      </c>
      <c r="E28" s="21">
        <v>0.30705792098197165</v>
      </c>
      <c r="F28" s="21">
        <v>0.24923283467587265</v>
      </c>
      <c r="G28" s="21">
        <v>3.0303030303030304E-2</v>
      </c>
    </row>
    <row r="29" spans="1:15" x14ac:dyDescent="0.35">
      <c r="A29" t="s">
        <v>37</v>
      </c>
      <c r="B29" s="21">
        <v>3.0528380431523689E-2</v>
      </c>
      <c r="C29" s="21">
        <v>0.40571500531529969</v>
      </c>
      <c r="D29" s="21">
        <v>0.28603213067413186</v>
      </c>
      <c r="E29" s="21">
        <v>0.15979762484296553</v>
      </c>
      <c r="F29" s="21">
        <v>0.10374001058060078</v>
      </c>
      <c r="G29" s="21">
        <v>1.4186848155478493E-2</v>
      </c>
    </row>
    <row r="30" spans="1:15" x14ac:dyDescent="0.35">
      <c r="A30" t="s">
        <v>44</v>
      </c>
      <c r="B30" s="21">
        <v>8.1764545392538027E-3</v>
      </c>
      <c r="C30" s="21">
        <v>0.36686116591168444</v>
      </c>
      <c r="D30" s="21">
        <v>0.32945883732337167</v>
      </c>
      <c r="E30" s="21">
        <v>0.13608036387347802</v>
      </c>
      <c r="F30" s="21">
        <v>0.13243992447126848</v>
      </c>
      <c r="G30" s="21">
        <v>2.698325388094365E-2</v>
      </c>
    </row>
    <row r="31" spans="1:15" x14ac:dyDescent="0.35">
      <c r="A31" t="s">
        <v>25</v>
      </c>
      <c r="B31" s="21">
        <v>7.5291181364392681E-2</v>
      </c>
      <c r="C31" s="21">
        <v>0.44647809206877426</v>
      </c>
      <c r="D31" s="21">
        <v>0.28674431503050474</v>
      </c>
      <c r="E31" s="21">
        <v>0.11175818080976151</v>
      </c>
      <c r="F31" s="21">
        <v>6.6694398225180251E-2</v>
      </c>
      <c r="G31" s="21">
        <v>1.3033832501386578E-2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6862-C1E0-4909-97E2-3F7D6276E1C9}">
  <dimension ref="A1:D49"/>
  <sheetViews>
    <sheetView workbookViewId="0">
      <selection activeCell="A2" sqref="A2"/>
    </sheetView>
  </sheetViews>
  <sheetFormatPr defaultRowHeight="14.5" x14ac:dyDescent="0.35"/>
  <sheetData>
    <row r="1" spans="1:4" ht="29" x14ac:dyDescent="0.35">
      <c r="A1" s="10" t="s">
        <v>34</v>
      </c>
      <c r="B1" s="10" t="s">
        <v>33</v>
      </c>
      <c r="C1" s="10" t="s">
        <v>34</v>
      </c>
      <c r="D1" s="10" t="s">
        <v>35</v>
      </c>
    </row>
    <row r="2" spans="1:4" x14ac:dyDescent="0.35">
      <c r="A2" t="s">
        <v>24</v>
      </c>
      <c r="B2" t="s">
        <v>36</v>
      </c>
      <c r="C2" t="s">
        <v>24</v>
      </c>
      <c r="D2" t="s">
        <v>37</v>
      </c>
    </row>
    <row r="3" spans="1:4" x14ac:dyDescent="0.35">
      <c r="A3" t="s">
        <v>39</v>
      </c>
      <c r="B3" t="s">
        <v>38</v>
      </c>
      <c r="C3" t="s">
        <v>39</v>
      </c>
      <c r="D3" t="s">
        <v>37</v>
      </c>
    </row>
    <row r="4" spans="1:4" x14ac:dyDescent="0.35">
      <c r="A4" t="s">
        <v>23</v>
      </c>
      <c r="B4" t="s">
        <v>40</v>
      </c>
      <c r="C4" t="s">
        <v>23</v>
      </c>
      <c r="D4" t="s">
        <v>37</v>
      </c>
    </row>
    <row r="5" spans="1:4" x14ac:dyDescent="0.35">
      <c r="A5" t="s">
        <v>2</v>
      </c>
      <c r="B5" t="s">
        <v>41</v>
      </c>
      <c r="C5" t="s">
        <v>2</v>
      </c>
      <c r="D5" t="s">
        <v>42</v>
      </c>
    </row>
    <row r="6" spans="1:4" x14ac:dyDescent="0.35">
      <c r="A6" t="s">
        <v>1</v>
      </c>
      <c r="B6" t="s">
        <v>43</v>
      </c>
      <c r="C6" t="s">
        <v>1</v>
      </c>
      <c r="D6" t="s">
        <v>44</v>
      </c>
    </row>
    <row r="7" spans="1:4" x14ac:dyDescent="0.35">
      <c r="A7" t="s">
        <v>46</v>
      </c>
      <c r="B7" t="s">
        <v>45</v>
      </c>
      <c r="C7" t="s">
        <v>46</v>
      </c>
      <c r="D7" t="s">
        <v>44</v>
      </c>
    </row>
    <row r="8" spans="1:4" x14ac:dyDescent="0.35">
      <c r="A8" t="s">
        <v>4</v>
      </c>
      <c r="B8" t="s">
        <v>47</v>
      </c>
      <c r="C8" t="s">
        <v>4</v>
      </c>
      <c r="D8" t="s">
        <v>37</v>
      </c>
    </row>
    <row r="9" spans="1:4" x14ac:dyDescent="0.35">
      <c r="A9" t="s">
        <v>6</v>
      </c>
      <c r="B9" t="s">
        <v>48</v>
      </c>
      <c r="C9" t="s">
        <v>6</v>
      </c>
      <c r="D9" t="s">
        <v>37</v>
      </c>
    </row>
    <row r="10" spans="1:4" x14ac:dyDescent="0.35">
      <c r="A10" t="s">
        <v>50</v>
      </c>
      <c r="B10" t="s">
        <v>49</v>
      </c>
      <c r="C10" t="s">
        <v>50</v>
      </c>
      <c r="D10" t="s">
        <v>44</v>
      </c>
    </row>
    <row r="11" spans="1:4" x14ac:dyDescent="0.35">
      <c r="A11" t="s">
        <v>18</v>
      </c>
      <c r="B11" t="s">
        <v>51</v>
      </c>
      <c r="C11" t="s">
        <v>18</v>
      </c>
      <c r="D11" t="s">
        <v>44</v>
      </c>
    </row>
    <row r="12" spans="1:4" x14ac:dyDescent="0.35">
      <c r="A12" t="s">
        <v>53</v>
      </c>
      <c r="B12" t="s">
        <v>52</v>
      </c>
      <c r="C12" t="s">
        <v>53</v>
      </c>
      <c r="D12" t="s">
        <v>37</v>
      </c>
    </row>
    <row r="13" spans="1:4" x14ac:dyDescent="0.35">
      <c r="A13" t="s">
        <v>5</v>
      </c>
      <c r="B13" t="s">
        <v>54</v>
      </c>
      <c r="C13" t="s">
        <v>5</v>
      </c>
      <c r="D13" t="s">
        <v>37</v>
      </c>
    </row>
    <row r="14" spans="1:4" x14ac:dyDescent="0.35">
      <c r="A14" t="s">
        <v>3</v>
      </c>
      <c r="B14" t="s">
        <v>55</v>
      </c>
      <c r="C14" t="s">
        <v>3</v>
      </c>
      <c r="D14" t="s">
        <v>37</v>
      </c>
    </row>
    <row r="15" spans="1:4" x14ac:dyDescent="0.35">
      <c r="A15" t="s">
        <v>57</v>
      </c>
      <c r="B15" t="s">
        <v>56</v>
      </c>
      <c r="C15" t="s">
        <v>57</v>
      </c>
      <c r="D15" t="s">
        <v>44</v>
      </c>
    </row>
    <row r="16" spans="1:4" x14ac:dyDescent="0.35">
      <c r="A16" t="s">
        <v>59</v>
      </c>
      <c r="B16" t="s">
        <v>58</v>
      </c>
      <c r="C16" t="s">
        <v>59</v>
      </c>
      <c r="D16" t="s">
        <v>42</v>
      </c>
    </row>
    <row r="17" spans="1:4" x14ac:dyDescent="0.35">
      <c r="A17" t="s">
        <v>7</v>
      </c>
      <c r="B17" t="s">
        <v>60</v>
      </c>
      <c r="C17" t="s">
        <v>7</v>
      </c>
      <c r="D17" t="s">
        <v>44</v>
      </c>
    </row>
    <row r="18" spans="1:4" x14ac:dyDescent="0.35">
      <c r="A18" t="s">
        <v>16</v>
      </c>
      <c r="B18" t="s">
        <v>61</v>
      </c>
      <c r="C18" t="s">
        <v>16</v>
      </c>
      <c r="D18" t="s">
        <v>37</v>
      </c>
    </row>
    <row r="19" spans="1:4" x14ac:dyDescent="0.35">
      <c r="A19" t="s">
        <v>63</v>
      </c>
      <c r="B19" t="s">
        <v>62</v>
      </c>
      <c r="C19" t="s">
        <v>63</v>
      </c>
      <c r="D19" t="s">
        <v>44</v>
      </c>
    </row>
    <row r="20" spans="1:4" x14ac:dyDescent="0.35">
      <c r="A20" t="s">
        <v>8</v>
      </c>
      <c r="B20" t="s">
        <v>64</v>
      </c>
      <c r="C20" t="s">
        <v>8</v>
      </c>
      <c r="D20" t="s">
        <v>42</v>
      </c>
    </row>
    <row r="21" spans="1:4" x14ac:dyDescent="0.35">
      <c r="A21" t="s">
        <v>66</v>
      </c>
      <c r="B21" t="s">
        <v>65</v>
      </c>
      <c r="C21" t="s">
        <v>66</v>
      </c>
      <c r="D21" t="s">
        <v>44</v>
      </c>
    </row>
    <row r="22" spans="1:4" x14ac:dyDescent="0.35">
      <c r="A22" t="s">
        <v>9</v>
      </c>
      <c r="B22" t="s">
        <v>67</v>
      </c>
      <c r="C22" t="s">
        <v>9</v>
      </c>
      <c r="D22" t="s">
        <v>37</v>
      </c>
    </row>
    <row r="23" spans="1:4" x14ac:dyDescent="0.35">
      <c r="A23" t="s">
        <v>69</v>
      </c>
      <c r="B23" t="s">
        <v>68</v>
      </c>
      <c r="C23" t="s">
        <v>69</v>
      </c>
      <c r="D23" t="s">
        <v>44</v>
      </c>
    </row>
    <row r="24" spans="1:4" x14ac:dyDescent="0.35">
      <c r="A24" t="s">
        <v>10</v>
      </c>
      <c r="B24" t="s">
        <v>70</v>
      </c>
      <c r="C24" t="s">
        <v>10</v>
      </c>
      <c r="D24" t="s">
        <v>44</v>
      </c>
    </row>
    <row r="25" spans="1:4" x14ac:dyDescent="0.35">
      <c r="A25" t="s">
        <v>11</v>
      </c>
      <c r="B25" t="s">
        <v>71</v>
      </c>
      <c r="C25" t="s">
        <v>11</v>
      </c>
      <c r="D25" t="s">
        <v>37</v>
      </c>
    </row>
    <row r="26" spans="1:4" x14ac:dyDescent="0.35">
      <c r="A26" t="s">
        <v>73</v>
      </c>
      <c r="B26" t="s">
        <v>72</v>
      </c>
      <c r="C26" t="s">
        <v>73</v>
      </c>
      <c r="D26" t="s">
        <v>37</v>
      </c>
    </row>
    <row r="27" spans="1:4" x14ac:dyDescent="0.35">
      <c r="A27" t="s">
        <v>75</v>
      </c>
      <c r="B27" t="s">
        <v>74</v>
      </c>
      <c r="C27" t="s">
        <v>75</v>
      </c>
      <c r="D27" t="s">
        <v>44</v>
      </c>
    </row>
    <row r="28" spans="1:4" x14ac:dyDescent="0.35">
      <c r="A28" t="s">
        <v>77</v>
      </c>
      <c r="B28" t="s">
        <v>76</v>
      </c>
      <c r="C28" t="s">
        <v>77</v>
      </c>
      <c r="D28" t="s">
        <v>44</v>
      </c>
    </row>
    <row r="29" spans="1:4" x14ac:dyDescent="0.35">
      <c r="A29" t="s">
        <v>13</v>
      </c>
      <c r="B29" t="s">
        <v>78</v>
      </c>
      <c r="C29" t="s">
        <v>13</v>
      </c>
      <c r="D29" t="s">
        <v>44</v>
      </c>
    </row>
    <row r="30" spans="1:4" x14ac:dyDescent="0.35">
      <c r="A30" t="s">
        <v>80</v>
      </c>
      <c r="B30" t="s">
        <v>79</v>
      </c>
      <c r="C30" t="s">
        <v>80</v>
      </c>
      <c r="D30" t="s">
        <v>44</v>
      </c>
    </row>
    <row r="31" spans="1:4" x14ac:dyDescent="0.35">
      <c r="A31" t="s">
        <v>82</v>
      </c>
      <c r="B31" t="s">
        <v>81</v>
      </c>
      <c r="C31" t="s">
        <v>82</v>
      </c>
      <c r="D31" t="s">
        <v>37</v>
      </c>
    </row>
    <row r="32" spans="1:4" x14ac:dyDescent="0.35">
      <c r="A32" t="s">
        <v>84</v>
      </c>
      <c r="B32" t="s">
        <v>83</v>
      </c>
      <c r="C32" t="s">
        <v>84</v>
      </c>
      <c r="D32" t="s">
        <v>42</v>
      </c>
    </row>
    <row r="33" spans="1:4" x14ac:dyDescent="0.35">
      <c r="A33" t="s">
        <v>12</v>
      </c>
      <c r="B33" t="s">
        <v>85</v>
      </c>
      <c r="C33" t="s">
        <v>12</v>
      </c>
      <c r="D33" t="s">
        <v>44</v>
      </c>
    </row>
    <row r="34" spans="1:4" x14ac:dyDescent="0.35">
      <c r="A34" t="s">
        <v>87</v>
      </c>
      <c r="B34" t="s">
        <v>86</v>
      </c>
      <c r="C34" t="s">
        <v>87</v>
      </c>
      <c r="D34" t="s">
        <v>42</v>
      </c>
    </row>
    <row r="35" spans="1:4" x14ac:dyDescent="0.35">
      <c r="A35" t="s">
        <v>89</v>
      </c>
      <c r="B35" t="s">
        <v>88</v>
      </c>
      <c r="C35" t="s">
        <v>89</v>
      </c>
      <c r="D35" t="s">
        <v>44</v>
      </c>
    </row>
    <row r="36" spans="1:4" x14ac:dyDescent="0.35">
      <c r="A36" t="s">
        <v>14</v>
      </c>
      <c r="B36" t="s">
        <v>90</v>
      </c>
      <c r="C36" t="s">
        <v>14</v>
      </c>
      <c r="D36" t="s">
        <v>37</v>
      </c>
    </row>
    <row r="37" spans="1:4" x14ac:dyDescent="0.35">
      <c r="A37" t="s">
        <v>92</v>
      </c>
      <c r="B37" t="s">
        <v>91</v>
      </c>
      <c r="C37" t="s">
        <v>92</v>
      </c>
      <c r="D37" t="s">
        <v>44</v>
      </c>
    </row>
    <row r="38" spans="1:4" x14ac:dyDescent="0.35">
      <c r="A38" t="s">
        <v>94</v>
      </c>
      <c r="B38" t="s">
        <v>93</v>
      </c>
      <c r="C38" t="s">
        <v>94</v>
      </c>
      <c r="D38" t="s">
        <v>37</v>
      </c>
    </row>
    <row r="39" spans="1:4" x14ac:dyDescent="0.35">
      <c r="A39" t="s">
        <v>15</v>
      </c>
      <c r="B39" t="s">
        <v>95</v>
      </c>
      <c r="C39" t="s">
        <v>15</v>
      </c>
      <c r="D39" t="s">
        <v>37</v>
      </c>
    </row>
    <row r="40" spans="1:4" x14ac:dyDescent="0.35">
      <c r="A40" t="s">
        <v>17</v>
      </c>
      <c r="B40" t="s">
        <v>96</v>
      </c>
      <c r="C40" t="s">
        <v>17</v>
      </c>
      <c r="D40" t="s">
        <v>42</v>
      </c>
    </row>
    <row r="41" spans="1:4" x14ac:dyDescent="0.35">
      <c r="A41" t="s">
        <v>98</v>
      </c>
      <c r="B41" t="s">
        <v>97</v>
      </c>
      <c r="C41" t="s">
        <v>98</v>
      </c>
      <c r="D41" t="s">
        <v>44</v>
      </c>
    </row>
    <row r="42" spans="1:4" x14ac:dyDescent="0.35">
      <c r="A42" t="s">
        <v>100</v>
      </c>
      <c r="B42" t="s">
        <v>99</v>
      </c>
      <c r="C42" t="s">
        <v>100</v>
      </c>
      <c r="D42" t="s">
        <v>42</v>
      </c>
    </row>
    <row r="43" spans="1:4" x14ac:dyDescent="0.35">
      <c r="A43" t="s">
        <v>102</v>
      </c>
      <c r="B43" t="s">
        <v>101</v>
      </c>
      <c r="C43" t="s">
        <v>102</v>
      </c>
      <c r="D43" t="s">
        <v>44</v>
      </c>
    </row>
    <row r="44" spans="1:4" x14ac:dyDescent="0.35">
      <c r="A44" t="s">
        <v>104</v>
      </c>
      <c r="B44" t="s">
        <v>103</v>
      </c>
      <c r="C44" t="s">
        <v>104</v>
      </c>
      <c r="D44" t="s">
        <v>37</v>
      </c>
    </row>
    <row r="45" spans="1:4" x14ac:dyDescent="0.35">
      <c r="A45" t="s">
        <v>19</v>
      </c>
      <c r="B45" t="s">
        <v>105</v>
      </c>
      <c r="C45" t="s">
        <v>19</v>
      </c>
      <c r="D45" t="s">
        <v>44</v>
      </c>
    </row>
    <row r="46" spans="1:4" x14ac:dyDescent="0.35">
      <c r="A46" t="s">
        <v>107</v>
      </c>
      <c r="B46" t="s">
        <v>106</v>
      </c>
      <c r="C46" t="s">
        <v>107</v>
      </c>
      <c r="D46" t="s">
        <v>44</v>
      </c>
    </row>
    <row r="47" spans="1:4" x14ac:dyDescent="0.35">
      <c r="A47" t="s">
        <v>20</v>
      </c>
      <c r="B47" t="s">
        <v>108</v>
      </c>
      <c r="C47" t="s">
        <v>20</v>
      </c>
      <c r="D47" t="s">
        <v>37</v>
      </c>
    </row>
    <row r="48" spans="1:4" x14ac:dyDescent="0.35">
      <c r="A48" t="s">
        <v>21</v>
      </c>
      <c r="B48" t="s">
        <v>109</v>
      </c>
      <c r="C48" t="s">
        <v>21</v>
      </c>
      <c r="D48" t="s">
        <v>37</v>
      </c>
    </row>
    <row r="49" spans="1:3" x14ac:dyDescent="0.35">
      <c r="A49" t="s">
        <v>25</v>
      </c>
      <c r="B49" t="s">
        <v>25</v>
      </c>
      <c r="C49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6596-7036-4A51-931B-BFC99C8DF592}">
  <dimension ref="A3:B8"/>
  <sheetViews>
    <sheetView workbookViewId="0">
      <selection activeCell="A15" sqref="A15"/>
    </sheetView>
  </sheetViews>
  <sheetFormatPr defaultRowHeight="14.5" x14ac:dyDescent="0.35"/>
  <cols>
    <col min="1" max="1" width="34.26953125" bestFit="1" customWidth="1"/>
    <col min="2" max="2" width="29.81640625" bestFit="1" customWidth="1"/>
  </cols>
  <sheetData>
    <row r="3" spans="1:2" x14ac:dyDescent="0.35">
      <c r="A3" s="11" t="s">
        <v>0</v>
      </c>
      <c r="B3" t="s">
        <v>124</v>
      </c>
    </row>
    <row r="4" spans="1:2" x14ac:dyDescent="0.35">
      <c r="A4" s="12" t="s">
        <v>25</v>
      </c>
      <c r="B4">
        <v>8.4256289798098946E-2</v>
      </c>
    </row>
    <row r="5" spans="1:2" x14ac:dyDescent="0.35">
      <c r="A5" s="12" t="s">
        <v>42</v>
      </c>
      <c r="B5" t="e">
        <v>#DIV/0!</v>
      </c>
    </row>
    <row r="6" spans="1:2" x14ac:dyDescent="0.35">
      <c r="A6" s="12" t="s">
        <v>37</v>
      </c>
      <c r="B6">
        <v>0.1514541918291003</v>
      </c>
    </row>
    <row r="7" spans="1:2" x14ac:dyDescent="0.35">
      <c r="A7" s="12" t="s">
        <v>44</v>
      </c>
      <c r="B7">
        <v>0.28504448403915672</v>
      </c>
    </row>
    <row r="8" spans="1:2" x14ac:dyDescent="0.35">
      <c r="A8" s="12" t="s">
        <v>22</v>
      </c>
      <c r="B8" t="e"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9B4A-FFFE-4909-B982-BA4F0C53DF86}">
  <sheetPr>
    <tabColor rgb="FF00B050"/>
  </sheetPr>
  <dimension ref="A2:X51"/>
  <sheetViews>
    <sheetView tabSelected="1" topLeftCell="A44" zoomScale="115" zoomScaleNormal="115" workbookViewId="0">
      <selection activeCell="F55" sqref="F55"/>
    </sheetView>
  </sheetViews>
  <sheetFormatPr defaultRowHeight="14.5" x14ac:dyDescent="0.35"/>
  <cols>
    <col min="1" max="1" width="18.54296875" bestFit="1" customWidth="1"/>
    <col min="3" max="3" width="29.7265625" bestFit="1" customWidth="1"/>
    <col min="13" max="13" width="8.7265625" customWidth="1"/>
    <col min="15" max="15" width="8.26953125" bestFit="1" customWidth="1"/>
    <col min="16" max="16" width="8.26953125" customWidth="1"/>
    <col min="17" max="17" width="10.6328125" bestFit="1" customWidth="1"/>
    <col min="18" max="18" width="10.26953125" bestFit="1" customWidth="1"/>
    <col min="19" max="21" width="10.6328125" bestFit="1" customWidth="1"/>
    <col min="22" max="23" width="12.90625" bestFit="1" customWidth="1"/>
    <col min="24" max="24" width="16.54296875" bestFit="1" customWidth="1"/>
  </cols>
  <sheetData>
    <row r="2" spans="1:24" ht="56" x14ac:dyDescent="0.35">
      <c r="A2" s="13" t="s">
        <v>33</v>
      </c>
      <c r="B2" s="13" t="s">
        <v>118</v>
      </c>
      <c r="C2" s="13" t="s">
        <v>119</v>
      </c>
      <c r="D2" s="14">
        <v>2013</v>
      </c>
      <c r="E2" s="14">
        <v>2018</v>
      </c>
      <c r="F2" s="14" t="s">
        <v>117</v>
      </c>
      <c r="G2" s="23" t="s">
        <v>26</v>
      </c>
      <c r="H2" s="23" t="s">
        <v>27</v>
      </c>
      <c r="I2" s="23" t="s">
        <v>28</v>
      </c>
      <c r="J2" s="23" t="s">
        <v>29</v>
      </c>
      <c r="K2" s="23" t="s">
        <v>30</v>
      </c>
      <c r="L2" s="23" t="s">
        <v>31</v>
      </c>
      <c r="M2" s="23" t="s">
        <v>122</v>
      </c>
      <c r="N2" s="23" t="s">
        <v>123</v>
      </c>
      <c r="O2" s="23" t="s">
        <v>134</v>
      </c>
      <c r="P2" s="23" t="s">
        <v>135</v>
      </c>
      <c r="Q2" s="22" t="s">
        <v>126</v>
      </c>
      <c r="R2" s="22" t="s">
        <v>127</v>
      </c>
      <c r="S2" s="22" t="s">
        <v>128</v>
      </c>
      <c r="T2" s="22" t="s">
        <v>129</v>
      </c>
      <c r="U2" s="22" t="s">
        <v>130</v>
      </c>
      <c r="V2" s="22" t="s">
        <v>131</v>
      </c>
      <c r="W2" s="22" t="s">
        <v>132</v>
      </c>
      <c r="X2" s="22" t="s">
        <v>133</v>
      </c>
    </row>
    <row r="3" spans="1:24" x14ac:dyDescent="0.35">
      <c r="A3" s="15" t="s">
        <v>36</v>
      </c>
      <c r="B3" s="15" t="s">
        <v>24</v>
      </c>
      <c r="C3" s="15" t="s">
        <v>37</v>
      </c>
      <c r="D3" s="16">
        <v>0</v>
      </c>
      <c r="E3" s="16">
        <v>15437</v>
      </c>
      <c r="F3" s="32">
        <v>16223</v>
      </c>
      <c r="G3" s="26">
        <v>2.5911770421714064E-2</v>
      </c>
      <c r="H3" s="26">
        <v>0.33400272073589427</v>
      </c>
      <c r="I3" s="26">
        <v>0.23702791993262939</v>
      </c>
      <c r="J3" s="26">
        <v>0.13577767700978169</v>
      </c>
      <c r="K3" s="26">
        <v>0.22316512275701236</v>
      </c>
      <c r="L3" s="26">
        <v>4.4114789142968194E-2</v>
      </c>
      <c r="M3" s="26"/>
      <c r="N3" s="26">
        <v>6.8000000000000005E-2</v>
      </c>
      <c r="O3" s="24">
        <f>N3*F3</f>
        <v>1103.164</v>
      </c>
      <c r="P3" s="25" t="b">
        <f>F3&lt;E3*0.7</f>
        <v>0</v>
      </c>
      <c r="Q3" s="24">
        <f>E3*(1-L3)+0.7*O3</f>
        <v>15528.2148</v>
      </c>
      <c r="R3" s="24">
        <f>Q3*(1-0.1*K3)+0.7*O3</f>
        <v>15953.894003796075</v>
      </c>
      <c r="S3" s="24">
        <f>R3*(1-0.1*K3)+0.7*O3</f>
        <v>16370.073532415123</v>
      </c>
      <c r="T3" s="24">
        <f>S3*(1-0.1*K3)+0.7*O3</f>
        <v>16776.96538547485</v>
      </c>
      <c r="U3" s="24">
        <f>T3*(1-0.1*K3)+0.7*O3</f>
        <v>17174.776831500887</v>
      </c>
      <c r="V3" s="24">
        <f>U3*(1-0.1*K3)+0.7*O3</f>
        <v>17563.710513508271</v>
      </c>
      <c r="W3" s="24">
        <f>V3*(1-0.1*K3)+0.7*O3</f>
        <v>17943.964552226702</v>
      </c>
      <c r="X3" s="24">
        <f>W3*(1-0.1*K3)+0.7*O3</f>
        <v>18315.732647022189</v>
      </c>
    </row>
    <row r="4" spans="1:24" x14ac:dyDescent="0.35">
      <c r="A4" s="15" t="s">
        <v>38</v>
      </c>
      <c r="B4" s="15" t="s">
        <v>39</v>
      </c>
      <c r="C4" s="19" t="s">
        <v>37</v>
      </c>
      <c r="D4" s="16">
        <v>0</v>
      </c>
      <c r="E4" s="16">
        <v>1652</v>
      </c>
      <c r="F4" s="32">
        <v>253.58793265595901</v>
      </c>
      <c r="G4" s="26">
        <v>3.0528380431523689E-2</v>
      </c>
      <c r="H4" s="26">
        <v>0.40571500531529969</v>
      </c>
      <c r="I4" s="26">
        <v>0.28603213067413186</v>
      </c>
      <c r="J4" s="26">
        <v>0.15979762484296553</v>
      </c>
      <c r="K4" s="26">
        <v>0.10374001058060078</v>
      </c>
      <c r="L4" s="26">
        <v>1.4186848155478493E-2</v>
      </c>
      <c r="M4" s="26">
        <f>VLOOKUP(B4,'Edu updated'!B$2:E$48,4,FALSE)</f>
        <v>145</v>
      </c>
      <c r="N4" s="26">
        <f>M4/E4</f>
        <v>8.7772397094430993E-2</v>
      </c>
      <c r="O4" s="24">
        <f>N4*E4</f>
        <v>145</v>
      </c>
      <c r="P4" s="25" t="b">
        <f t="shared" ref="P4:P49" si="0">F4&lt;E4*0.7</f>
        <v>1</v>
      </c>
      <c r="Q4" s="24">
        <f t="shared" ref="Q4" si="1">E4*(1-L4)+0.7*O4</f>
        <v>1730.0633268471495</v>
      </c>
      <c r="R4" s="24">
        <f t="shared" ref="R4:R49" si="2">Q4*(1-0.1*K4)+0.7*O4</f>
        <v>1813.6156480639263</v>
      </c>
      <c r="S4" s="24">
        <f t="shared" ref="S4:S49" si="3">R4*(1-0.1*K4)+0.7*O4</f>
        <v>1896.3011974119968</v>
      </c>
      <c r="T4" s="24">
        <f t="shared" ref="T4:T49" si="4">S4*(1-0.1*K4)+0.7*O4</f>
        <v>1978.128966783644</v>
      </c>
      <c r="U4" s="24">
        <f t="shared" ref="U4:U49" si="5">T4*(1-0.1*K4)+0.7*O4</f>
        <v>2059.1078547892512</v>
      </c>
      <c r="V4" s="24">
        <f t="shared" ref="V4:V49" si="6">U4*(1-0.1*K4)+0.7*O4</f>
        <v>2139.2466677250077</v>
      </c>
      <c r="W4" s="24">
        <f t="shared" ref="W4:W49" si="7">V4*(1-0.1*K4)+0.7*O4</f>
        <v>2218.5541205305772</v>
      </c>
      <c r="X4" s="24">
        <f t="shared" ref="X4:X49" si="8">W4*(1-0.1*K4)+0.7*O4</f>
        <v>2297.0388377368295</v>
      </c>
    </row>
    <row r="5" spans="1:24" x14ac:dyDescent="0.35">
      <c r="A5" s="15" t="s">
        <v>40</v>
      </c>
      <c r="B5" s="15" t="s">
        <v>23</v>
      </c>
      <c r="C5" s="15" t="s">
        <v>37</v>
      </c>
      <c r="D5" s="16">
        <v>0</v>
      </c>
      <c r="E5" s="16">
        <v>12</v>
      </c>
      <c r="F5" s="32">
        <v>50</v>
      </c>
      <c r="G5" s="26">
        <v>0</v>
      </c>
      <c r="H5" s="26">
        <v>0.2</v>
      </c>
      <c r="I5" s="26">
        <v>0.52</v>
      </c>
      <c r="J5" s="26">
        <v>0.16</v>
      </c>
      <c r="K5" s="26">
        <v>0.12</v>
      </c>
      <c r="L5" s="26">
        <v>0</v>
      </c>
      <c r="M5" s="26"/>
      <c r="N5" s="26">
        <v>0.29907975460122699</v>
      </c>
      <c r="O5" s="24">
        <f t="shared" ref="O5:O50" si="9">N5*F5</f>
        <v>14.95398773006135</v>
      </c>
      <c r="P5" s="25" t="b">
        <f t="shared" si="0"/>
        <v>0</v>
      </c>
      <c r="Q5" s="24">
        <f>F5*(1-L5)+0.7*O5</f>
        <v>60.467791411042946</v>
      </c>
      <c r="R5" s="24">
        <f t="shared" si="2"/>
        <v>70.209969325153367</v>
      </c>
      <c r="S5" s="24">
        <f t="shared" si="3"/>
        <v>79.835241104294468</v>
      </c>
      <c r="T5" s="24">
        <f t="shared" si="4"/>
        <v>89.345009622085868</v>
      </c>
      <c r="U5" s="24">
        <f t="shared" si="5"/>
        <v>98.740660917663774</v>
      </c>
      <c r="V5" s="24">
        <f t="shared" si="6"/>
        <v>108.02356439769474</v>
      </c>
      <c r="W5" s="24">
        <f t="shared" si="7"/>
        <v>117.19507303596534</v>
      </c>
      <c r="X5" s="24">
        <f t="shared" si="8"/>
        <v>126.25652357057669</v>
      </c>
    </row>
    <row r="6" spans="1:24" x14ac:dyDescent="0.35">
      <c r="A6" s="15" t="s">
        <v>41</v>
      </c>
      <c r="B6" s="15" t="s">
        <v>2</v>
      </c>
      <c r="C6" s="15" t="s">
        <v>42</v>
      </c>
      <c r="D6" s="16">
        <v>55</v>
      </c>
      <c r="E6" s="16">
        <v>96</v>
      </c>
      <c r="F6" s="32">
        <v>98.839683411555711</v>
      </c>
      <c r="G6" s="26">
        <v>3.1645569620253167E-2</v>
      </c>
      <c r="H6" s="26">
        <v>0.30379746835443039</v>
      </c>
      <c r="I6" s="26">
        <v>0.29113924050632911</v>
      </c>
      <c r="J6" s="26">
        <v>0.2848101265822785</v>
      </c>
      <c r="K6" s="26">
        <v>8.8607594936708861E-2</v>
      </c>
      <c r="L6" s="26">
        <v>0</v>
      </c>
      <c r="M6" s="26">
        <f>VLOOKUP(B6,'Edu updated'!B$2:E$48,4,FALSE)</f>
        <v>7</v>
      </c>
      <c r="N6" s="26">
        <f>M6/F6</f>
        <v>7.0821756589940721E-2</v>
      </c>
      <c r="O6" s="24">
        <f t="shared" si="9"/>
        <v>7</v>
      </c>
      <c r="P6" s="25" t="b">
        <f t="shared" si="0"/>
        <v>0</v>
      </c>
      <c r="Q6" s="24">
        <f t="shared" ref="Q6" si="10">F6*(1-L6)+0.7*O6</f>
        <v>103.73968341155572</v>
      </c>
      <c r="R6" s="24">
        <f t="shared" si="2"/>
        <v>107.72047102689636</v>
      </c>
      <c r="S6" s="24">
        <f t="shared" si="3"/>
        <v>111.6659858405821</v>
      </c>
      <c r="T6" s="24">
        <f t="shared" si="4"/>
        <v>115.57654039642505</v>
      </c>
      <c r="U6" s="24">
        <f t="shared" si="5"/>
        <v>119.45244446886178</v>
      </c>
      <c r="V6" s="24">
        <f t="shared" si="6"/>
        <v>123.29400508749212</v>
      </c>
      <c r="W6" s="24">
        <f t="shared" si="7"/>
        <v>127.10152656140042</v>
      </c>
      <c r="X6" s="24">
        <f t="shared" si="8"/>
        <v>130.87531050326143</v>
      </c>
    </row>
    <row r="7" spans="1:24" x14ac:dyDescent="0.35">
      <c r="A7" s="15" t="s">
        <v>43</v>
      </c>
      <c r="B7" s="15" t="s">
        <v>1</v>
      </c>
      <c r="C7" s="15" t="s">
        <v>44</v>
      </c>
      <c r="D7" s="16">
        <v>38</v>
      </c>
      <c r="E7" s="16">
        <v>91</v>
      </c>
      <c r="F7" s="32">
        <v>40.065995057973772</v>
      </c>
      <c r="G7" s="26">
        <v>4.6296296296296294E-2</v>
      </c>
      <c r="H7" s="26">
        <v>0.20370370370370369</v>
      </c>
      <c r="I7" s="26">
        <v>0.19444444444444445</v>
      </c>
      <c r="J7" s="26">
        <v>0.26851851851851855</v>
      </c>
      <c r="K7" s="26">
        <v>0.19444444444444445</v>
      </c>
      <c r="L7" s="26">
        <v>9.2592592592592587E-2</v>
      </c>
      <c r="M7" s="26">
        <f>VLOOKUP(B7,'Edu updated'!B$2:E$48,4,FALSE)</f>
        <v>62</v>
      </c>
      <c r="N7" s="26">
        <v>0.44899187481191694</v>
      </c>
      <c r="O7" s="24">
        <f>N7*E7</f>
        <v>40.858260607884439</v>
      </c>
      <c r="P7" s="25" t="b">
        <f t="shared" si="0"/>
        <v>1</v>
      </c>
      <c r="Q7" s="24">
        <f>E7*(1-L7)+0.7*O7</f>
        <v>111.17485649959318</v>
      </c>
      <c r="R7" s="24">
        <f t="shared" si="2"/>
        <v>137.61390560428686</v>
      </c>
      <c r="S7" s="24">
        <f t="shared" si="3"/>
        <v>163.53886208750038</v>
      </c>
      <c r="T7" s="24">
        <f t="shared" si="4"/>
        <v>188.95972219465142</v>
      </c>
      <c r="U7" s="24">
        <f t="shared" si="5"/>
        <v>213.88628779971896</v>
      </c>
      <c r="V7" s="24">
        <f t="shared" si="6"/>
        <v>238.32817018468796</v>
      </c>
      <c r="W7" s="24">
        <f t="shared" si="7"/>
        <v>262.29479374550482</v>
      </c>
      <c r="X7" s="24">
        <f t="shared" si="8"/>
        <v>285.79539962597244</v>
      </c>
    </row>
    <row r="8" spans="1:24" x14ac:dyDescent="0.35">
      <c r="A8" s="15" t="s">
        <v>45</v>
      </c>
      <c r="B8" s="15" t="s">
        <v>46</v>
      </c>
      <c r="C8" s="15" t="s">
        <v>44</v>
      </c>
      <c r="D8" s="16">
        <v>4</v>
      </c>
      <c r="E8" s="16">
        <v>14</v>
      </c>
      <c r="F8" s="32">
        <v>14</v>
      </c>
      <c r="G8" s="26">
        <v>8.1764545392538027E-3</v>
      </c>
      <c r="H8" s="26">
        <v>0.36686116591168444</v>
      </c>
      <c r="I8" s="26">
        <v>0.32945883732337167</v>
      </c>
      <c r="J8" s="26">
        <v>0.13608036387347802</v>
      </c>
      <c r="K8" s="26">
        <v>0.13243992447126848</v>
      </c>
      <c r="L8" s="26">
        <v>2.698325388094365E-2</v>
      </c>
      <c r="M8" s="26"/>
      <c r="N8" s="26">
        <v>0.3202408875400517</v>
      </c>
      <c r="O8" s="24">
        <f t="shared" si="9"/>
        <v>4.4833724255607237</v>
      </c>
      <c r="P8" s="25" t="b">
        <f t="shared" si="0"/>
        <v>0</v>
      </c>
      <c r="Q8" s="24">
        <f>F8*(1-L8)+0.7*O8</f>
        <v>16.760595143559293</v>
      </c>
      <c r="R8" s="24">
        <f t="shared" si="2"/>
        <v>19.67697864596115</v>
      </c>
      <c r="S8" s="24">
        <f t="shared" si="3"/>
        <v>22.554737587284269</v>
      </c>
      <c r="T8" s="24">
        <f t="shared" si="4"/>
        <v>25.394383510923852</v>
      </c>
      <c r="U8" s="24">
        <f t="shared" si="5"/>
        <v>28.19642118539824</v>
      </c>
      <c r="V8" s="24">
        <f t="shared" si="6"/>
        <v>30.961348694075323</v>
      </c>
      <c r="W8" s="24">
        <f t="shared" si="7"/>
        <v>33.689657523710636</v>
      </c>
      <c r="X8" s="24">
        <f t="shared" si="8"/>
        <v>36.381832651812829</v>
      </c>
    </row>
    <row r="9" spans="1:24" x14ac:dyDescent="0.35">
      <c r="A9" s="15" t="s">
        <v>47</v>
      </c>
      <c r="B9" s="15" t="s">
        <v>4</v>
      </c>
      <c r="C9" s="15" t="s">
        <v>37</v>
      </c>
      <c r="D9" s="16">
        <v>58</v>
      </c>
      <c r="E9" s="16">
        <v>308</v>
      </c>
      <c r="F9" s="32">
        <v>317</v>
      </c>
      <c r="G9" s="26">
        <v>0</v>
      </c>
      <c r="H9" s="26">
        <v>0.72555205047318616</v>
      </c>
      <c r="I9" s="26">
        <v>0.18611987381703471</v>
      </c>
      <c r="J9" s="26">
        <v>5.6782334384858045E-2</v>
      </c>
      <c r="K9" s="26">
        <v>3.1545741324921134E-2</v>
      </c>
      <c r="L9" s="26">
        <v>0</v>
      </c>
      <c r="M9" s="26"/>
      <c r="N9" s="26">
        <v>0.21282255919127427</v>
      </c>
      <c r="O9" s="24">
        <f t="shared" si="9"/>
        <v>67.464751263633943</v>
      </c>
      <c r="P9" s="25" t="b">
        <f t="shared" si="0"/>
        <v>0</v>
      </c>
      <c r="Q9" s="24">
        <f t="shared" ref="Q9" si="11">F9*(1-L9)+0.7*O9</f>
        <v>364.22532588454374</v>
      </c>
      <c r="R9" s="24">
        <f t="shared" si="2"/>
        <v>410.30167597765359</v>
      </c>
      <c r="S9" s="24">
        <f t="shared" si="3"/>
        <v>456.23267480864007</v>
      </c>
      <c r="T9" s="24">
        <f t="shared" si="4"/>
        <v>502.01878089883479</v>
      </c>
      <c r="U9" s="24">
        <f t="shared" si="5"/>
        <v>547.66045132312991</v>
      </c>
      <c r="V9" s="24">
        <f t="shared" si="6"/>
        <v>593.15814171454076</v>
      </c>
      <c r="W9" s="24">
        <f t="shared" si="7"/>
        <v>638.51230626875474</v>
      </c>
      <c r="X9" s="24">
        <f t="shared" si="8"/>
        <v>683.72339774866521</v>
      </c>
    </row>
    <row r="10" spans="1:24" x14ac:dyDescent="0.35">
      <c r="A10" s="15" t="s">
        <v>48</v>
      </c>
      <c r="B10" s="15" t="s">
        <v>6</v>
      </c>
      <c r="C10" s="15" t="s">
        <v>37</v>
      </c>
      <c r="D10" s="16">
        <v>0</v>
      </c>
      <c r="E10" s="16">
        <v>81</v>
      </c>
      <c r="F10" s="32">
        <v>12.434266327396099</v>
      </c>
      <c r="G10" s="26">
        <v>3.0528380431523689E-2</v>
      </c>
      <c r="H10" s="26">
        <v>0.40571500531529969</v>
      </c>
      <c r="I10" s="26">
        <v>0.28603213067413186</v>
      </c>
      <c r="J10" s="26">
        <v>0.15979762484296553</v>
      </c>
      <c r="K10" s="26">
        <v>0.10374001058060078</v>
      </c>
      <c r="L10" s="26">
        <v>1.4186848155478493E-2</v>
      </c>
      <c r="M10" s="26"/>
      <c r="N10" s="26">
        <v>6.8000000000000005E-2</v>
      </c>
      <c r="O10" s="24">
        <f>N10*E10</f>
        <v>5.508</v>
      </c>
      <c r="P10" s="25" t="b">
        <f t="shared" si="0"/>
        <v>1</v>
      </c>
      <c r="Q10" s="24">
        <f>E10*(1-L10)+0.7*O10</f>
        <v>83.706465299406233</v>
      </c>
      <c r="R10" s="24">
        <f t="shared" si="2"/>
        <v>86.693694339823722</v>
      </c>
      <c r="S10" s="24">
        <f t="shared" si="3"/>
        <v>89.649933863015249</v>
      </c>
      <c r="T10" s="24">
        <f t="shared" si="4"/>
        <v>92.575505354265303</v>
      </c>
      <c r="U10" s="24">
        <f t="shared" si="5"/>
        <v>95.470726963769707</v>
      </c>
      <c r="V10" s="24">
        <f t="shared" si="6"/>
        <v>98.335913541233793</v>
      </c>
      <c r="W10" s="24">
        <f t="shared" si="7"/>
        <v>101.17137667011173</v>
      </c>
      <c r="X10" s="24">
        <f t="shared" si="8"/>
        <v>103.97742470149059</v>
      </c>
    </row>
    <row r="11" spans="1:24" x14ac:dyDescent="0.35">
      <c r="A11" s="15" t="s">
        <v>49</v>
      </c>
      <c r="B11" s="15" t="s">
        <v>50</v>
      </c>
      <c r="C11" s="19" t="s">
        <v>44</v>
      </c>
      <c r="D11" s="16">
        <v>0</v>
      </c>
      <c r="E11" s="16">
        <v>10</v>
      </c>
      <c r="F11" s="32">
        <v>2.5682382133995039</v>
      </c>
      <c r="G11" s="26">
        <v>8.1764545392538027E-3</v>
      </c>
      <c r="H11" s="26">
        <v>0.36686116591168444</v>
      </c>
      <c r="I11" s="26">
        <v>0.32945883732337167</v>
      </c>
      <c r="J11" s="26">
        <v>0.13608036387347802</v>
      </c>
      <c r="K11" s="26">
        <v>0.13243992447126848</v>
      </c>
      <c r="L11" s="26">
        <v>2.698325388094365E-2</v>
      </c>
      <c r="M11" s="26"/>
      <c r="N11" s="26">
        <v>0.12295957284515636</v>
      </c>
      <c r="O11" s="24">
        <f>N11*E11</f>
        <v>1.2295957284515637</v>
      </c>
      <c r="P11" s="25" t="b">
        <f t="shared" si="0"/>
        <v>1</v>
      </c>
      <c r="Q11" s="24">
        <f t="shared" ref="Q11" si="12">E11*(1-L11)+0.7*O11</f>
        <v>10.590884471106657</v>
      </c>
      <c r="R11" s="24">
        <f t="shared" si="2"/>
        <v>11.311335887079021</v>
      </c>
      <c r="S11" s="24">
        <f t="shared" si="3"/>
        <v>12.022245649939727</v>
      </c>
      <c r="T11" s="24">
        <f t="shared" si="4"/>
        <v>12.723740129270515</v>
      </c>
      <c r="U11" s="24">
        <f t="shared" si="5"/>
        <v>13.415944021015346</v>
      </c>
      <c r="V11" s="24">
        <f t="shared" si="6"/>
        <v>14.098980369646036</v>
      </c>
      <c r="W11" s="24">
        <f t="shared" si="7"/>
        <v>14.772970590034348</v>
      </c>
      <c r="X11" s="24">
        <f t="shared" si="8"/>
        <v>15.438034489034401</v>
      </c>
    </row>
    <row r="12" spans="1:24" x14ac:dyDescent="0.35">
      <c r="A12" s="15" t="s">
        <v>51</v>
      </c>
      <c r="B12" s="15" t="s">
        <v>18</v>
      </c>
      <c r="C12" s="15" t="s">
        <v>44</v>
      </c>
      <c r="D12" s="16">
        <v>0</v>
      </c>
      <c r="E12" s="16">
        <v>3</v>
      </c>
      <c r="F12" s="32">
        <v>21</v>
      </c>
      <c r="G12" s="26">
        <v>8.1764545392538027E-3</v>
      </c>
      <c r="H12" s="26">
        <v>0.36686116591168444</v>
      </c>
      <c r="I12" s="26">
        <v>0.32945883732337167</v>
      </c>
      <c r="J12" s="26">
        <v>0.13608036387347802</v>
      </c>
      <c r="K12" s="26">
        <v>0.13243992447126848</v>
      </c>
      <c r="L12" s="26">
        <v>2.698325388094365E-2</v>
      </c>
      <c r="M12" s="26"/>
      <c r="N12" s="26">
        <v>0.21897810218978103</v>
      </c>
      <c r="O12" s="24">
        <f t="shared" si="9"/>
        <v>4.5985401459854014</v>
      </c>
      <c r="P12" s="25" t="b">
        <f t="shared" si="0"/>
        <v>0</v>
      </c>
      <c r="Q12" s="24">
        <f>F12*(1-L12)+0.7*O12</f>
        <v>23.652329770689963</v>
      </c>
      <c r="R12" s="24">
        <f t="shared" si="2"/>
        <v>26.558056596039773</v>
      </c>
      <c r="S12" s="24">
        <f t="shared" si="3"/>
        <v>29.425299997261234</v>
      </c>
      <c r="T12" s="24">
        <f t="shared" si="4"/>
        <v>32.254569648532851</v>
      </c>
      <c r="U12" s="24">
        <f t="shared" si="5"/>
        <v>35.046368473912139</v>
      </c>
      <c r="V12" s="24">
        <f t="shared" si="6"/>
        <v>37.801192736734201</v>
      </c>
      <c r="W12" s="24">
        <f t="shared" si="7"/>
        <v>40.519532127826288</v>
      </c>
      <c r="X12" s="24">
        <f t="shared" si="8"/>
        <v>43.201869852554026</v>
      </c>
    </row>
    <row r="13" spans="1:24" x14ac:dyDescent="0.35">
      <c r="A13" s="15" t="s">
        <v>52</v>
      </c>
      <c r="B13" s="15" t="s">
        <v>53</v>
      </c>
      <c r="C13" s="19" t="s">
        <v>37</v>
      </c>
      <c r="D13" s="16">
        <v>18</v>
      </c>
      <c r="E13" s="16">
        <v>32</v>
      </c>
      <c r="F13" s="32">
        <v>32</v>
      </c>
      <c r="G13" s="26">
        <v>3.0528380431523689E-2</v>
      </c>
      <c r="H13" s="26">
        <v>0.40571500531529969</v>
      </c>
      <c r="I13" s="26">
        <v>0.28603213067413186</v>
      </c>
      <c r="J13" s="26">
        <v>0.15979762484296553</v>
      </c>
      <c r="K13" s="26">
        <v>0.10374001058060078</v>
      </c>
      <c r="L13" s="26">
        <v>1.4186848155478493E-2</v>
      </c>
      <c r="M13" s="26"/>
      <c r="N13" s="26">
        <v>6.8000000000000005E-2</v>
      </c>
      <c r="O13" s="24">
        <f t="shared" si="9"/>
        <v>2.1760000000000002</v>
      </c>
      <c r="P13" s="25" t="b">
        <f t="shared" si="0"/>
        <v>0</v>
      </c>
      <c r="Q13" s="24">
        <f t="shared" ref="Q13" si="13">F13*(1-L13)+0.7*O13</f>
        <v>33.069220859024689</v>
      </c>
      <c r="R13" s="24">
        <f t="shared" si="2"/>
        <v>34.249360726843946</v>
      </c>
      <c r="S13" s="24">
        <f t="shared" si="3"/>
        <v>35.417257822425789</v>
      </c>
      <c r="T13" s="24">
        <f t="shared" si="4"/>
        <v>36.573039152302357</v>
      </c>
      <c r="U13" s="24">
        <f t="shared" si="5"/>
        <v>37.7168304054399</v>
      </c>
      <c r="V13" s="24">
        <f t="shared" si="6"/>
        <v>38.848755966907198</v>
      </c>
      <c r="W13" s="24">
        <f t="shared" si="7"/>
        <v>39.968938931402185</v>
      </c>
      <c r="X13" s="24">
        <f t="shared" si="8"/>
        <v>41.077501116638281</v>
      </c>
    </row>
    <row r="14" spans="1:24" x14ac:dyDescent="0.35">
      <c r="A14" s="15" t="s">
        <v>54</v>
      </c>
      <c r="B14" s="15" t="s">
        <v>5</v>
      </c>
      <c r="C14" s="15" t="s">
        <v>37</v>
      </c>
      <c r="D14" s="16">
        <v>0</v>
      </c>
      <c r="E14" s="16">
        <v>27</v>
      </c>
      <c r="F14" s="32">
        <v>10.343687798883737</v>
      </c>
      <c r="G14" s="26">
        <v>3.0528380431523689E-2</v>
      </c>
      <c r="H14" s="26">
        <v>0.40571500531529969</v>
      </c>
      <c r="I14" s="26">
        <v>0.28603213067413186</v>
      </c>
      <c r="J14" s="26">
        <v>0.15979762484296553</v>
      </c>
      <c r="K14" s="26">
        <v>0.10374001058060078</v>
      </c>
      <c r="L14" s="26">
        <v>1.4186848155478493E-2</v>
      </c>
      <c r="M14" s="26"/>
      <c r="N14" s="26">
        <v>5.7581573896353169E-2</v>
      </c>
      <c r="O14" s="24">
        <f>N14*E14</f>
        <v>1.5547024952015356</v>
      </c>
      <c r="P14" s="25" t="b">
        <f t="shared" si="0"/>
        <v>1</v>
      </c>
      <c r="Q14" s="24">
        <f>E14*(1-L14)+0.7*O14</f>
        <v>27.705246846443156</v>
      </c>
      <c r="R14" s="24">
        <f t="shared" si="2"/>
        <v>28.506124332985415</v>
      </c>
      <c r="S14" s="24">
        <f t="shared" si="3"/>
        <v>29.298693515634909</v>
      </c>
      <c r="T14" s="24">
        <f t="shared" si="4"/>
        <v>30.08304058474501</v>
      </c>
      <c r="U14" s="24">
        <f t="shared" si="5"/>
        <v>30.859250836530276</v>
      </c>
      <c r="V14" s="24">
        <f t="shared" si="6"/>
        <v>31.627408682342246</v>
      </c>
      <c r="W14" s="24">
        <f t="shared" si="7"/>
        <v>32.387597657849</v>
      </c>
      <c r="X14" s="24">
        <f t="shared" si="8"/>
        <v>33.139900432119525</v>
      </c>
    </row>
    <row r="15" spans="1:24" x14ac:dyDescent="0.35">
      <c r="A15" s="15" t="s">
        <v>55</v>
      </c>
      <c r="B15" s="15" t="s">
        <v>3</v>
      </c>
      <c r="C15" s="15" t="s">
        <v>37</v>
      </c>
      <c r="D15" s="16">
        <v>490</v>
      </c>
      <c r="E15" s="16">
        <v>506</v>
      </c>
      <c r="F15" s="32">
        <v>536.49426521420344</v>
      </c>
      <c r="G15" s="26">
        <v>0</v>
      </c>
      <c r="H15" s="26">
        <v>0.16028708133971292</v>
      </c>
      <c r="I15" s="26">
        <v>0.34688995215311003</v>
      </c>
      <c r="J15" s="26">
        <v>0.24641148325358853</v>
      </c>
      <c r="K15" s="26">
        <v>0.23923444976076555</v>
      </c>
      <c r="L15" s="26">
        <v>7.1770334928229667E-3</v>
      </c>
      <c r="M15" s="26"/>
      <c r="N15" s="26">
        <v>4.0141906509137244E-2</v>
      </c>
      <c r="O15" s="24">
        <f t="shared" si="9"/>
        <v>21.535902636916838</v>
      </c>
      <c r="P15" s="25" t="b">
        <f t="shared" si="0"/>
        <v>0</v>
      </c>
      <c r="Q15" s="24">
        <f>F15*(1-L15)+0.7*O15</f>
        <v>547.71895974989548</v>
      </c>
      <c r="R15" s="24">
        <f t="shared" si="2"/>
        <v>549.69076719980683</v>
      </c>
      <c r="S15" s="24">
        <f t="shared" si="3"/>
        <v>551.61540222268673</v>
      </c>
      <c r="T15" s="24">
        <f t="shared" si="4"/>
        <v>553.49399334549776</v>
      </c>
      <c r="U15" s="24">
        <f t="shared" si="5"/>
        <v>555.32764209694972</v>
      </c>
      <c r="V15" s="24">
        <f t="shared" si="6"/>
        <v>557.1174236533908</v>
      </c>
      <c r="W15" s="24">
        <f t="shared" si="7"/>
        <v>558.86438746924716</v>
      </c>
      <c r="X15" s="24">
        <f t="shared" si="8"/>
        <v>560.56955789237975</v>
      </c>
    </row>
    <row r="16" spans="1:24" x14ac:dyDescent="0.35">
      <c r="A16" s="15" t="s">
        <v>56</v>
      </c>
      <c r="B16" s="15" t="s">
        <v>57</v>
      </c>
      <c r="C16" s="19" t="s">
        <v>44</v>
      </c>
      <c r="D16" s="16">
        <v>0</v>
      </c>
      <c r="E16" s="16">
        <v>404</v>
      </c>
      <c r="F16" s="32">
        <v>451.28772064535138</v>
      </c>
      <c r="G16" s="26">
        <v>8.1764545392538027E-3</v>
      </c>
      <c r="H16" s="26">
        <v>0.36686116591168444</v>
      </c>
      <c r="I16" s="26">
        <v>0.32945883732337167</v>
      </c>
      <c r="J16" s="26">
        <v>0.13608036387347802</v>
      </c>
      <c r="K16" s="26">
        <v>0.13243992447126848</v>
      </c>
      <c r="L16" s="26">
        <v>2.698325388094365E-2</v>
      </c>
      <c r="M16" s="26">
        <f>VLOOKUP(B16,'Edu updated'!B$2:E$48,4,FALSE)</f>
        <v>66</v>
      </c>
      <c r="N16" s="26">
        <f>M16/F16</f>
        <v>0.14624816271450627</v>
      </c>
      <c r="O16" s="24">
        <f t="shared" si="9"/>
        <v>66</v>
      </c>
      <c r="P16" s="25" t="b">
        <f t="shared" si="0"/>
        <v>0</v>
      </c>
      <c r="Q16" s="24">
        <f t="shared" ref="Q16:Q17" si="14">F16*(1-L16)+0.7*O16</f>
        <v>485.31050950582545</v>
      </c>
      <c r="R16" s="24">
        <f t="shared" si="2"/>
        <v>525.083060783419</v>
      </c>
      <c r="S16" s="24">
        <f t="shared" si="3"/>
        <v>564.32886469228924</v>
      </c>
      <c r="T16" s="24">
        <f t="shared" si="4"/>
        <v>603.05489747060892</v>
      </c>
      <c r="U16" s="24">
        <f t="shared" si="5"/>
        <v>641.26804296330533</v>
      </c>
      <c r="V16" s="24">
        <f t="shared" si="6"/>
        <v>678.97509384571561</v>
      </c>
      <c r="W16" s="24">
        <f t="shared" si="7"/>
        <v>716.18275283103583</v>
      </c>
      <c r="X16" s="24">
        <f t="shared" si="8"/>
        <v>752.89763386177913</v>
      </c>
    </row>
    <row r="17" spans="1:24" x14ac:dyDescent="0.35">
      <c r="A17" s="15" t="s">
        <v>58</v>
      </c>
      <c r="B17" s="15" t="s">
        <v>59</v>
      </c>
      <c r="C17" s="19" t="s">
        <v>42</v>
      </c>
      <c r="D17" s="16">
        <v>0</v>
      </c>
      <c r="E17" s="16">
        <v>0</v>
      </c>
      <c r="F17" s="32">
        <v>0</v>
      </c>
      <c r="G17" s="26">
        <v>1.0548523206751056E-2</v>
      </c>
      <c r="H17" s="26">
        <v>0.18459915611814348</v>
      </c>
      <c r="I17" s="26">
        <v>0.21825853471423093</v>
      </c>
      <c r="J17" s="26">
        <v>0.30705792098197165</v>
      </c>
      <c r="K17" s="26">
        <v>0.24923283467587265</v>
      </c>
      <c r="L17" s="26">
        <v>3.0303030303030304E-2</v>
      </c>
      <c r="M17" s="26"/>
      <c r="N17" s="26">
        <v>2.7923160240201255</v>
      </c>
      <c r="O17" s="24">
        <f t="shared" si="9"/>
        <v>0</v>
      </c>
      <c r="P17" s="25" t="b">
        <f t="shared" si="0"/>
        <v>0</v>
      </c>
      <c r="Q17" s="24">
        <f t="shared" si="14"/>
        <v>0</v>
      </c>
      <c r="R17" s="24">
        <f t="shared" si="2"/>
        <v>0</v>
      </c>
      <c r="S17" s="24">
        <f t="shared" si="3"/>
        <v>0</v>
      </c>
      <c r="T17" s="24">
        <f t="shared" si="4"/>
        <v>0</v>
      </c>
      <c r="U17" s="24">
        <f t="shared" si="5"/>
        <v>0</v>
      </c>
      <c r="V17" s="24">
        <f t="shared" si="6"/>
        <v>0</v>
      </c>
      <c r="W17" s="24">
        <f t="shared" si="7"/>
        <v>0</v>
      </c>
      <c r="X17" s="24">
        <f t="shared" si="8"/>
        <v>0</v>
      </c>
    </row>
    <row r="18" spans="1:24" x14ac:dyDescent="0.35">
      <c r="A18" s="15" t="s">
        <v>60</v>
      </c>
      <c r="B18" s="15" t="s">
        <v>7</v>
      </c>
      <c r="C18" s="15" t="s">
        <v>44</v>
      </c>
      <c r="D18" s="16">
        <v>0</v>
      </c>
      <c r="E18" s="16">
        <v>186</v>
      </c>
      <c r="F18" s="32">
        <v>66.659321370584081</v>
      </c>
      <c r="G18" s="26">
        <v>0</v>
      </c>
      <c r="H18" s="26">
        <v>0.84482758620689657</v>
      </c>
      <c r="I18" s="26">
        <v>0.1206896551724138</v>
      </c>
      <c r="J18" s="26">
        <v>3.4482758620689655E-2</v>
      </c>
      <c r="K18" s="26">
        <v>0</v>
      </c>
      <c r="L18" s="26">
        <v>0</v>
      </c>
      <c r="M18" s="26"/>
      <c r="N18" s="26">
        <v>0.20599999999999999</v>
      </c>
      <c r="O18" s="24">
        <f>N18*E18</f>
        <v>38.315999999999995</v>
      </c>
      <c r="P18" s="25" t="b">
        <f t="shared" si="0"/>
        <v>1</v>
      </c>
      <c r="Q18" s="24">
        <f>E18*(1-L18)+0.7*O18</f>
        <v>212.8212</v>
      </c>
      <c r="R18" s="24">
        <f t="shared" si="2"/>
        <v>239.64240000000001</v>
      </c>
      <c r="S18" s="24">
        <f t="shared" si="3"/>
        <v>266.46359999999999</v>
      </c>
      <c r="T18" s="24">
        <f t="shared" si="4"/>
        <v>293.28479999999996</v>
      </c>
      <c r="U18" s="24">
        <f t="shared" si="5"/>
        <v>320.10599999999994</v>
      </c>
      <c r="V18" s="24">
        <f t="shared" si="6"/>
        <v>346.92719999999991</v>
      </c>
      <c r="W18" s="24">
        <f t="shared" si="7"/>
        <v>373.74839999999989</v>
      </c>
      <c r="X18" s="24">
        <f t="shared" si="8"/>
        <v>400.56959999999987</v>
      </c>
    </row>
    <row r="19" spans="1:24" x14ac:dyDescent="0.35">
      <c r="A19" s="15" t="s">
        <v>61</v>
      </c>
      <c r="B19" s="15" t="s">
        <v>16</v>
      </c>
      <c r="C19" s="15" t="s">
        <v>37</v>
      </c>
      <c r="D19" s="16">
        <v>0</v>
      </c>
      <c r="E19" s="16">
        <v>74</v>
      </c>
      <c r="F19" s="32">
        <v>50.164087329003735</v>
      </c>
      <c r="G19" s="26">
        <v>0</v>
      </c>
      <c r="H19" s="26">
        <v>0.875</v>
      </c>
      <c r="I19" s="26">
        <v>0</v>
      </c>
      <c r="J19" s="26">
        <v>0.125</v>
      </c>
      <c r="K19" s="26">
        <v>0</v>
      </c>
      <c r="L19" s="26">
        <v>0</v>
      </c>
      <c r="M19" s="26"/>
      <c r="N19" s="26">
        <v>6.8000000000000005E-2</v>
      </c>
      <c r="O19" s="24">
        <f t="shared" si="9"/>
        <v>3.4111579383722543</v>
      </c>
      <c r="P19" s="25" t="b">
        <f t="shared" si="0"/>
        <v>1</v>
      </c>
      <c r="Q19" s="24">
        <f t="shared" ref="Q19" si="15">E19*(1-L19)+0.7*O19</f>
        <v>76.387810556860572</v>
      </c>
      <c r="R19" s="24">
        <f t="shared" si="2"/>
        <v>78.775621113721144</v>
      </c>
      <c r="S19" s="24">
        <f t="shared" si="3"/>
        <v>81.163431670581716</v>
      </c>
      <c r="T19" s="24">
        <f t="shared" si="4"/>
        <v>83.551242227442287</v>
      </c>
      <c r="U19" s="24">
        <f t="shared" si="5"/>
        <v>85.939052784302859</v>
      </c>
      <c r="V19" s="24">
        <f t="shared" si="6"/>
        <v>88.326863341163431</v>
      </c>
      <c r="W19" s="24">
        <f t="shared" si="7"/>
        <v>90.714673898024003</v>
      </c>
      <c r="X19" s="24">
        <f t="shared" si="8"/>
        <v>93.102484454884575</v>
      </c>
    </row>
    <row r="20" spans="1:24" x14ac:dyDescent="0.35">
      <c r="A20" s="15" t="s">
        <v>62</v>
      </c>
      <c r="B20" s="15" t="s">
        <v>63</v>
      </c>
      <c r="C20" s="19" t="s">
        <v>44</v>
      </c>
      <c r="D20" s="16">
        <v>0</v>
      </c>
      <c r="E20" s="16">
        <v>1889</v>
      </c>
      <c r="F20" s="32">
        <v>3522</v>
      </c>
      <c r="G20" s="26">
        <v>8.1764545392538027E-3</v>
      </c>
      <c r="H20" s="26">
        <v>0.36686116591168444</v>
      </c>
      <c r="I20" s="26">
        <v>0.32945883732337167</v>
      </c>
      <c r="J20" s="26">
        <v>0.13608036387347802</v>
      </c>
      <c r="K20" s="26">
        <v>0.13243992447126848</v>
      </c>
      <c r="L20" s="26">
        <v>2.698325388094365E-2</v>
      </c>
      <c r="M20" s="26">
        <f>VLOOKUP(B20,'Edu updated'!B$2:E$48,4,FALSE)</f>
        <v>189</v>
      </c>
      <c r="N20" s="26">
        <f>M20/F20</f>
        <v>5.3662691652470187E-2</v>
      </c>
      <c r="O20" s="24">
        <f t="shared" si="9"/>
        <v>189</v>
      </c>
      <c r="P20" s="25" t="b">
        <f t="shared" si="0"/>
        <v>0</v>
      </c>
      <c r="Q20" s="24">
        <f>F20*(1-L20)+0.7*O20</f>
        <v>3559.2649798313164</v>
      </c>
      <c r="R20" s="24">
        <f t="shared" si="2"/>
        <v>3644.4261013211076</v>
      </c>
      <c r="S20" s="24">
        <f t="shared" si="3"/>
        <v>3728.4593495610993</v>
      </c>
      <c r="T20" s="24">
        <f t="shared" si="4"/>
        <v>3811.3796620960929</v>
      </c>
      <c r="U20" s="24">
        <f t="shared" si="5"/>
        <v>3893.2017786381598</v>
      </c>
      <c r="V20" s="24">
        <f t="shared" si="6"/>
        <v>3973.9402436867354</v>
      </c>
      <c r="W20" s="24">
        <f t="shared" si="7"/>
        <v>4053.6094091140153</v>
      </c>
      <c r="X20" s="24">
        <f t="shared" si="8"/>
        <v>4132.2234367161072</v>
      </c>
    </row>
    <row r="21" spans="1:24" x14ac:dyDescent="0.35">
      <c r="A21" s="15" t="s">
        <v>64</v>
      </c>
      <c r="B21" s="15" t="s">
        <v>8</v>
      </c>
      <c r="C21" s="15" t="s">
        <v>42</v>
      </c>
      <c r="D21" s="16">
        <v>0</v>
      </c>
      <c r="E21" s="16">
        <v>40</v>
      </c>
      <c r="F21" s="32">
        <v>44</v>
      </c>
      <c r="G21" s="26">
        <v>0</v>
      </c>
      <c r="H21" s="26">
        <v>4.5454545454545456E-2</v>
      </c>
      <c r="I21" s="26">
        <v>9.0909090909090912E-2</v>
      </c>
      <c r="J21" s="26">
        <v>0.38636363636363635</v>
      </c>
      <c r="K21" s="26">
        <v>0.43181818181818182</v>
      </c>
      <c r="L21" s="26">
        <v>4.5454545454545456E-2</v>
      </c>
      <c r="M21" s="26"/>
      <c r="N21" s="26">
        <v>3.6352434062209463E-2</v>
      </c>
      <c r="O21" s="24">
        <f t="shared" si="9"/>
        <v>1.5995070987372164</v>
      </c>
      <c r="P21" s="25" t="b">
        <f t="shared" si="0"/>
        <v>0</v>
      </c>
      <c r="Q21" s="24">
        <f t="shared" ref="Q21:Q22" si="16">F21*(1-L21)+0.7*O21</f>
        <v>43.119654969116048</v>
      </c>
      <c r="R21" s="24">
        <f t="shared" si="2"/>
        <v>42.377324837292996</v>
      </c>
      <c r="S21" s="24">
        <f t="shared" si="3"/>
        <v>41.667049870253209</v>
      </c>
      <c r="T21" s="24">
        <f t="shared" si="4"/>
        <v>40.987445867699229</v>
      </c>
      <c r="U21" s="24">
        <f t="shared" si="5"/>
        <v>40.337188401619173</v>
      </c>
      <c r="V21" s="24">
        <f t="shared" si="6"/>
        <v>39.715010235210755</v>
      </c>
      <c r="W21" s="24">
        <f t="shared" si="7"/>
        <v>39.119698853260886</v>
      </c>
      <c r="X21" s="24">
        <f t="shared" si="8"/>
        <v>38.550094099167943</v>
      </c>
    </row>
    <row r="22" spans="1:24" x14ac:dyDescent="0.35">
      <c r="A22" s="15" t="s">
        <v>65</v>
      </c>
      <c r="B22" s="15" t="s">
        <v>66</v>
      </c>
      <c r="C22" s="19" t="s">
        <v>44</v>
      </c>
      <c r="D22" s="16">
        <v>17</v>
      </c>
      <c r="E22" s="16">
        <v>4</v>
      </c>
      <c r="F22" s="32">
        <v>9</v>
      </c>
      <c r="G22" s="26">
        <v>8.1764545392538027E-3</v>
      </c>
      <c r="H22" s="26">
        <v>0.36686116591168444</v>
      </c>
      <c r="I22" s="26">
        <v>0.32945883732337167</v>
      </c>
      <c r="J22" s="26">
        <v>0.13608036387347802</v>
      </c>
      <c r="K22" s="26">
        <v>0.13243992447126848</v>
      </c>
      <c r="L22" s="26">
        <v>2.698325388094365E-2</v>
      </c>
      <c r="M22" s="26"/>
      <c r="N22" s="26">
        <v>8.3982301296695219E-2</v>
      </c>
      <c r="O22" s="24">
        <f t="shared" si="9"/>
        <v>0.75584071167025701</v>
      </c>
      <c r="P22" s="25" t="b">
        <f t="shared" si="0"/>
        <v>0</v>
      </c>
      <c r="Q22" s="24">
        <f t="shared" si="16"/>
        <v>9.2862392132406875</v>
      </c>
      <c r="R22" s="24">
        <f t="shared" si="2"/>
        <v>9.6923408294074953</v>
      </c>
      <c r="S22" s="24">
        <f t="shared" si="3"/>
        <v>10.093064038837024</v>
      </c>
      <c r="T22" s="24">
        <f t="shared" si="4"/>
        <v>10.48848007310748</v>
      </c>
      <c r="U22" s="24">
        <f t="shared" si="5"/>
        <v>10.878659220406584</v>
      </c>
      <c r="V22" s="24">
        <f t="shared" si="6"/>
        <v>11.263670838025833</v>
      </c>
      <c r="W22" s="24">
        <f t="shared" si="7"/>
        <v>11.643583364689277</v>
      </c>
      <c r="X22" s="24">
        <f t="shared" si="8"/>
        <v>12.018464332719022</v>
      </c>
    </row>
    <row r="23" spans="1:24" x14ac:dyDescent="0.35">
      <c r="A23" s="15" t="s">
        <v>67</v>
      </c>
      <c r="B23" s="15" t="s">
        <v>9</v>
      </c>
      <c r="C23" s="15" t="s">
        <v>37</v>
      </c>
      <c r="D23" s="16">
        <v>0</v>
      </c>
      <c r="E23" s="16">
        <v>713</v>
      </c>
      <c r="F23" s="32">
        <v>243.71996104204348</v>
      </c>
      <c r="G23" s="26">
        <v>3.0528380431523689E-2</v>
      </c>
      <c r="H23" s="26">
        <v>0.40571500531529969</v>
      </c>
      <c r="I23" s="26">
        <v>0.28603213067413186</v>
      </c>
      <c r="J23" s="26">
        <v>0.15979762484296553</v>
      </c>
      <c r="K23" s="26">
        <v>0.10374001058060078</v>
      </c>
      <c r="L23" s="26">
        <v>1.4186848155478493E-2</v>
      </c>
      <c r="M23" s="26"/>
      <c r="N23" s="26">
        <v>0.33135844265763859</v>
      </c>
      <c r="O23" s="24">
        <f>N23*E23</f>
        <v>236.25856961489632</v>
      </c>
      <c r="P23" s="25" t="b">
        <f t="shared" si="0"/>
        <v>1</v>
      </c>
      <c r="Q23" s="24">
        <f>E23*(1-L23)+0.7*O23</f>
        <v>868.26577599557129</v>
      </c>
      <c r="R23" s="24">
        <f t="shared" si="2"/>
        <v>1024.6393846471433</v>
      </c>
      <c r="S23" s="24">
        <f t="shared" si="3"/>
        <v>1179.3907733171111</v>
      </c>
      <c r="T23" s="24">
        <f t="shared" si="4"/>
        <v>1332.5367709172804</v>
      </c>
      <c r="U23" s="24">
        <f t="shared" si="5"/>
        <v>1484.0940317763079</v>
      </c>
      <c r="V23" s="24">
        <f t="shared" si="6"/>
        <v>1634.0790374508272</v>
      </c>
      <c r="W23" s="24">
        <f t="shared" si="7"/>
        <v>1782.5080985177858</v>
      </c>
      <c r="X23" s="24">
        <f t="shared" si="8"/>
        <v>1929.3973563481891</v>
      </c>
    </row>
    <row r="24" spans="1:24" x14ac:dyDescent="0.35">
      <c r="A24" s="15" t="s">
        <v>68</v>
      </c>
      <c r="B24" s="15" t="s">
        <v>69</v>
      </c>
      <c r="C24" s="19" t="s">
        <v>44</v>
      </c>
      <c r="D24" s="16">
        <v>0</v>
      </c>
      <c r="E24" s="16">
        <v>73</v>
      </c>
      <c r="F24" s="32">
        <v>39.076153906894113</v>
      </c>
      <c r="G24" s="26">
        <v>8.1764545392538027E-3</v>
      </c>
      <c r="H24" s="26">
        <v>0.36686116591168444</v>
      </c>
      <c r="I24" s="26">
        <v>0.32945883732337167</v>
      </c>
      <c r="J24" s="26">
        <v>0.13608036387347802</v>
      </c>
      <c r="K24" s="26">
        <v>0.13243992447126848</v>
      </c>
      <c r="L24" s="26">
        <v>2.698325388094365E-2</v>
      </c>
      <c r="M24" s="26"/>
      <c r="N24" s="26">
        <v>2.247015251652559</v>
      </c>
      <c r="O24" s="24">
        <f t="shared" si="9"/>
        <v>87.804713804713799</v>
      </c>
      <c r="P24" s="25" t="b">
        <f t="shared" si="0"/>
        <v>1</v>
      </c>
      <c r="Q24" s="24">
        <f t="shared" ref="Q24" si="17">E24*(1-L24)+0.7*O24</f>
        <v>132.49352212999077</v>
      </c>
      <c r="R24" s="24">
        <f t="shared" si="2"/>
        <v>192.20207858690759</v>
      </c>
      <c r="S24" s="24">
        <f t="shared" si="3"/>
        <v>251.11985537308018</v>
      </c>
      <c r="T24" s="24">
        <f t="shared" si="4"/>
        <v>309.25732556849516</v>
      </c>
      <c r="U24" s="24">
        <f t="shared" si="5"/>
        <v>366.62482354774704</v>
      </c>
      <c r="V24" s="24">
        <f t="shared" si="6"/>
        <v>423.23254681705112</v>
      </c>
      <c r="W24" s="24">
        <f t="shared" si="7"/>
        <v>479.09055782692752</v>
      </c>
      <c r="X24" s="24">
        <f t="shared" si="8"/>
        <v>534.2087857608775</v>
      </c>
    </row>
    <row r="25" spans="1:24" x14ac:dyDescent="0.35">
      <c r="A25" s="15" t="s">
        <v>70</v>
      </c>
      <c r="B25" s="15" t="s">
        <v>10</v>
      </c>
      <c r="C25" s="15" t="s">
        <v>44</v>
      </c>
      <c r="D25" s="16">
        <v>0</v>
      </c>
      <c r="E25" s="16">
        <v>8</v>
      </c>
      <c r="F25" s="32">
        <v>20</v>
      </c>
      <c r="G25" s="26">
        <v>0</v>
      </c>
      <c r="H25" s="26">
        <v>0.66666666666666663</v>
      </c>
      <c r="I25" s="26">
        <v>0.33333333333333331</v>
      </c>
      <c r="J25" s="26">
        <v>0</v>
      </c>
      <c r="K25" s="26">
        <v>0</v>
      </c>
      <c r="L25" s="26">
        <v>0</v>
      </c>
      <c r="M25" s="26"/>
      <c r="N25" s="26">
        <v>0.20599999999999999</v>
      </c>
      <c r="O25" s="24">
        <f t="shared" si="9"/>
        <v>4.12</v>
      </c>
      <c r="P25" s="25" t="b">
        <f t="shared" si="0"/>
        <v>0</v>
      </c>
      <c r="Q25" s="24">
        <f>F25*(1-L25)+0.7*O25</f>
        <v>22.884</v>
      </c>
      <c r="R25" s="24">
        <f t="shared" si="2"/>
        <v>25.768000000000001</v>
      </c>
      <c r="S25" s="24">
        <f t="shared" si="3"/>
        <v>28.652000000000001</v>
      </c>
      <c r="T25" s="24">
        <f t="shared" si="4"/>
        <v>31.536000000000001</v>
      </c>
      <c r="U25" s="24">
        <f t="shared" si="5"/>
        <v>34.42</v>
      </c>
      <c r="V25" s="24">
        <f t="shared" si="6"/>
        <v>37.304000000000002</v>
      </c>
      <c r="W25" s="24">
        <f t="shared" si="7"/>
        <v>40.188000000000002</v>
      </c>
      <c r="X25" s="24">
        <f t="shared" si="8"/>
        <v>43.072000000000003</v>
      </c>
    </row>
    <row r="26" spans="1:24" x14ac:dyDescent="0.35">
      <c r="A26" s="15" t="s">
        <v>71</v>
      </c>
      <c r="B26" s="15" t="s">
        <v>11</v>
      </c>
      <c r="C26" s="15" t="s">
        <v>37</v>
      </c>
      <c r="D26" s="16">
        <v>1045</v>
      </c>
      <c r="E26" s="16">
        <v>1300</v>
      </c>
      <c r="F26" s="32">
        <v>1344</v>
      </c>
      <c r="G26" s="26">
        <v>7.4829931972789115E-2</v>
      </c>
      <c r="H26" s="26">
        <v>0.25170068027210885</v>
      </c>
      <c r="I26" s="26">
        <v>0.48299319727891155</v>
      </c>
      <c r="J26" s="26">
        <v>0.14285714285714285</v>
      </c>
      <c r="K26" s="26">
        <v>4.7619047619047616E-2</v>
      </c>
      <c r="L26" s="26">
        <v>0</v>
      </c>
      <c r="M26" s="26">
        <f>VLOOKUP(B26,'Edu updated'!B$2:E$48,4,FALSE)</f>
        <v>36</v>
      </c>
      <c r="N26" s="26">
        <f>M26/F26</f>
        <v>2.6785714285714284E-2</v>
      </c>
      <c r="O26" s="24">
        <f t="shared" si="9"/>
        <v>36</v>
      </c>
      <c r="P26" s="25" t="b">
        <f t="shared" si="0"/>
        <v>0</v>
      </c>
      <c r="Q26" s="24">
        <f t="shared" ref="Q26" si="18">F26*(1-L26)+0.7*O26</f>
        <v>1369.2</v>
      </c>
      <c r="R26" s="24">
        <f t="shared" si="2"/>
        <v>1387.88</v>
      </c>
      <c r="S26" s="24">
        <f t="shared" si="3"/>
        <v>1406.4710476190478</v>
      </c>
      <c r="T26" s="24">
        <f t="shared" si="4"/>
        <v>1424.9735664399095</v>
      </c>
      <c r="U26" s="24">
        <f t="shared" si="5"/>
        <v>1443.3879780282909</v>
      </c>
      <c r="V26" s="24">
        <f t="shared" si="6"/>
        <v>1461.7147019424419</v>
      </c>
      <c r="W26" s="24">
        <f t="shared" si="7"/>
        <v>1479.954155742716</v>
      </c>
      <c r="X26" s="24">
        <f t="shared" si="8"/>
        <v>1498.1067550010841</v>
      </c>
    </row>
    <row r="27" spans="1:24" x14ac:dyDescent="0.35">
      <c r="A27" s="15" t="s">
        <v>72</v>
      </c>
      <c r="B27" s="15" t="s">
        <v>73</v>
      </c>
      <c r="C27" s="19" t="s">
        <v>37</v>
      </c>
      <c r="D27" s="16">
        <v>0</v>
      </c>
      <c r="E27" s="16">
        <v>159</v>
      </c>
      <c r="F27" s="32">
        <v>84.324393779652084</v>
      </c>
      <c r="G27" s="26">
        <v>3.0528380431523689E-2</v>
      </c>
      <c r="H27" s="26">
        <v>0.40571500531529969</v>
      </c>
      <c r="I27" s="26">
        <v>0.28603213067413186</v>
      </c>
      <c r="J27" s="26">
        <v>0.15979762484296553</v>
      </c>
      <c r="K27" s="26">
        <v>0.10374001058060078</v>
      </c>
      <c r="L27" s="26">
        <v>1.4186848155478493E-2</v>
      </c>
      <c r="M27" s="26">
        <f>VLOOKUP(B27,'Edu updated'!B$2:E$48,4,FALSE)</f>
        <v>8</v>
      </c>
      <c r="N27" s="26">
        <f>M27/E27</f>
        <v>5.0314465408805034E-2</v>
      </c>
      <c r="O27" s="24">
        <f t="shared" si="9"/>
        <v>4.2427367939447596</v>
      </c>
      <c r="P27" s="25" t="b">
        <f t="shared" si="0"/>
        <v>1</v>
      </c>
      <c r="Q27" s="24">
        <f>E27*(1-L27)+0.7*O27</f>
        <v>159.71420689904022</v>
      </c>
      <c r="R27" s="24">
        <f t="shared" si="2"/>
        <v>161.02724730344366</v>
      </c>
      <c r="S27" s="24">
        <f t="shared" si="3"/>
        <v>162.32666622530255</v>
      </c>
      <c r="T27" s="24">
        <f t="shared" si="4"/>
        <v>163.61260497389122</v>
      </c>
      <c r="U27" s="24">
        <f t="shared" si="5"/>
        <v>164.88520339254143</v>
      </c>
      <c r="V27" s="24">
        <f t="shared" si="6"/>
        <v>166.14459987385007</v>
      </c>
      <c r="W27" s="24">
        <f t="shared" si="7"/>
        <v>167.39093137472909</v>
      </c>
      <c r="X27" s="24">
        <f t="shared" si="8"/>
        <v>168.62433343129931</v>
      </c>
    </row>
    <row r="28" spans="1:24" x14ac:dyDescent="0.35">
      <c r="A28" s="15" t="s">
        <v>74</v>
      </c>
      <c r="B28" s="15" t="s">
        <v>75</v>
      </c>
      <c r="C28" s="19" t="s">
        <v>44</v>
      </c>
      <c r="D28" s="16">
        <v>0</v>
      </c>
      <c r="E28" s="16">
        <v>14</v>
      </c>
      <c r="F28" s="32">
        <v>7.715922014622258</v>
      </c>
      <c r="G28" s="26">
        <v>8.1764545392538027E-3</v>
      </c>
      <c r="H28" s="26">
        <v>0.36686116591168444</v>
      </c>
      <c r="I28" s="26">
        <v>0.32945883732337167</v>
      </c>
      <c r="J28" s="26">
        <v>0.13608036387347802</v>
      </c>
      <c r="K28" s="26">
        <v>0.13243992447126848</v>
      </c>
      <c r="L28" s="26">
        <v>2.698325388094365E-2</v>
      </c>
      <c r="M28" s="26"/>
      <c r="N28" s="26">
        <v>3.0398322851153039E-2</v>
      </c>
      <c r="O28" s="24">
        <f t="shared" si="9"/>
        <v>0.23455108849480658</v>
      </c>
      <c r="P28" s="25" t="b">
        <f t="shared" si="0"/>
        <v>1</v>
      </c>
      <c r="Q28" s="24">
        <f t="shared" ref="Q28:Q29" si="19">E28*(1-L28)+0.7*O28</f>
        <v>13.786420207613153</v>
      </c>
      <c r="R28" s="24">
        <f t="shared" si="2"/>
        <v>13.768018724456974</v>
      </c>
      <c r="S28" s="24">
        <f t="shared" si="3"/>
        <v>13.749860950404731</v>
      </c>
      <c r="T28" s="24">
        <f t="shared" si="4"/>
        <v>13.731943657774892</v>
      </c>
      <c r="U28" s="24">
        <f t="shared" si="5"/>
        <v>13.714263661633316</v>
      </c>
      <c r="V28" s="24">
        <f t="shared" si="6"/>
        <v>13.696817819227103</v>
      </c>
      <c r="W28" s="24">
        <f t="shared" si="7"/>
        <v>13.679603029425953</v>
      </c>
      <c r="X28" s="24">
        <f t="shared" si="8"/>
        <v>13.662616232170908</v>
      </c>
    </row>
    <row r="29" spans="1:24" x14ac:dyDescent="0.35">
      <c r="A29" s="15" t="s">
        <v>76</v>
      </c>
      <c r="B29" s="15" t="s">
        <v>77</v>
      </c>
      <c r="C29" s="19" t="s">
        <v>44</v>
      </c>
      <c r="D29" s="16">
        <v>111</v>
      </c>
      <c r="E29" s="16">
        <v>372</v>
      </c>
      <c r="F29" s="32">
        <v>250.78616624772471</v>
      </c>
      <c r="G29" s="26">
        <v>8.1764545392538027E-3</v>
      </c>
      <c r="H29" s="26">
        <v>0.36686116591168444</v>
      </c>
      <c r="I29" s="26">
        <v>0.32945883732337167</v>
      </c>
      <c r="J29" s="26">
        <v>0.13608036387347802</v>
      </c>
      <c r="K29" s="26">
        <v>0.13243992447126848</v>
      </c>
      <c r="L29" s="26">
        <v>2.698325388094365E-2</v>
      </c>
      <c r="M29" s="26"/>
      <c r="N29" s="26">
        <v>6.0420650095602296E-2</v>
      </c>
      <c r="O29" s="24">
        <f t="shared" si="9"/>
        <v>15.152663199671322</v>
      </c>
      <c r="P29" s="25" t="b">
        <f t="shared" si="0"/>
        <v>1</v>
      </c>
      <c r="Q29" s="24">
        <f t="shared" si="19"/>
        <v>372.56909379605889</v>
      </c>
      <c r="R29" s="24">
        <f t="shared" si="2"/>
        <v>378.24165577156094</v>
      </c>
      <c r="S29" s="24">
        <f t="shared" si="3"/>
        <v>383.8390903791036</v>
      </c>
      <c r="T29" s="24">
        <f t="shared" si="4"/>
        <v>389.36239260498064</v>
      </c>
      <c r="U29" s="24">
        <f t="shared" si="5"/>
        <v>394.81254425789501</v>
      </c>
      <c r="V29" s="24">
        <f t="shared" si="6"/>
        <v>400.19051414348246</v>
      </c>
      <c r="W29" s="24">
        <f t="shared" si="7"/>
        <v>405.49725823652432</v>
      </c>
      <c r="X29" s="24">
        <f t="shared" si="8"/>
        <v>410.73371985087908</v>
      </c>
    </row>
    <row r="30" spans="1:24" x14ac:dyDescent="0.35">
      <c r="A30" s="15" t="s">
        <v>78</v>
      </c>
      <c r="B30" s="15" t="s">
        <v>13</v>
      </c>
      <c r="C30" s="15" t="s">
        <v>44</v>
      </c>
      <c r="D30" s="16">
        <v>0</v>
      </c>
      <c r="E30" s="16">
        <v>112</v>
      </c>
      <c r="F30" s="32">
        <v>100.82761399787913</v>
      </c>
      <c r="G30" s="26">
        <v>0</v>
      </c>
      <c r="H30" s="26">
        <v>4.9504950495049507E-2</v>
      </c>
      <c r="I30" s="26">
        <v>0.40594059405940597</v>
      </c>
      <c r="J30" s="26">
        <v>0.22772277227722773</v>
      </c>
      <c r="K30" s="26">
        <v>0.24752475247524752</v>
      </c>
      <c r="L30" s="26">
        <v>6.9306930693069313E-2</v>
      </c>
      <c r="M30" s="26"/>
      <c r="N30" s="26">
        <v>0.10420784243362945</v>
      </c>
      <c r="O30" s="24">
        <f t="shared" si="9"/>
        <v>10.507028112449799</v>
      </c>
      <c r="P30" s="25" t="b">
        <f t="shared" si="0"/>
        <v>0</v>
      </c>
      <c r="Q30" s="24">
        <f>F30*(1-L30)+0.7*O30</f>
        <v>101.19448122129543</v>
      </c>
      <c r="R30" s="24">
        <f t="shared" si="2"/>
        <v>106.04458700839407</v>
      </c>
      <c r="S30" s="24">
        <f t="shared" si="3"/>
        <v>110.77464067204967</v>
      </c>
      <c r="T30" s="24">
        <f t="shared" si="4"/>
        <v>115.38761379947617</v>
      </c>
      <c r="U30" s="24">
        <f t="shared" si="5"/>
        <v>119.88640442374856</v>
      </c>
      <c r="V30" s="24">
        <f t="shared" si="6"/>
        <v>124.27383884444984</v>
      </c>
      <c r="W30" s="24">
        <f t="shared" si="7"/>
        <v>128.55267340325258</v>
      </c>
      <c r="X30" s="24">
        <f t="shared" si="8"/>
        <v>132.7255962155503</v>
      </c>
    </row>
    <row r="31" spans="1:24" x14ac:dyDescent="0.35">
      <c r="A31" s="15" t="s">
        <v>79</v>
      </c>
      <c r="B31" s="15" t="s">
        <v>80</v>
      </c>
      <c r="C31" s="19" t="s">
        <v>44</v>
      </c>
      <c r="D31" s="16">
        <v>0</v>
      </c>
      <c r="E31" s="16">
        <v>30</v>
      </c>
      <c r="F31" s="32">
        <v>30</v>
      </c>
      <c r="G31" s="26">
        <v>8.1764545392538027E-3</v>
      </c>
      <c r="H31" s="26">
        <v>0.36686116591168444</v>
      </c>
      <c r="I31" s="26">
        <v>0.32945883732337167</v>
      </c>
      <c r="J31" s="26">
        <v>0.13608036387347802</v>
      </c>
      <c r="K31" s="26">
        <v>0.13243992447126848</v>
      </c>
      <c r="L31" s="26">
        <v>2.698325388094365E-2</v>
      </c>
      <c r="M31" s="26"/>
      <c r="N31" s="26">
        <v>0.20599999999999999</v>
      </c>
      <c r="O31" s="24">
        <f t="shared" si="9"/>
        <v>6.18</v>
      </c>
      <c r="P31" s="25" t="b">
        <f t="shared" si="0"/>
        <v>0</v>
      </c>
      <c r="Q31" s="24">
        <f t="shared" ref="Q31:Q49" si="20">F31*(1-L31)+0.7*O31</f>
        <v>33.516502383571691</v>
      </c>
      <c r="R31" s="24">
        <f t="shared" si="2"/>
        <v>37.398610079149563</v>
      </c>
      <c r="S31" s="24">
        <f t="shared" si="3"/>
        <v>41.229303169728269</v>
      </c>
      <c r="T31" s="24">
        <f t="shared" si="4"/>
        <v>45.009262589948086</v>
      </c>
      <c r="U31" s="24">
        <f t="shared" si="5"/>
        <v>48.739160256156069</v>
      </c>
      <c r="V31" s="24">
        <f t="shared" si="6"/>
        <v>52.419659185844232</v>
      </c>
      <c r="W31" s="24">
        <f t="shared" si="7"/>
        <v>56.05141361550595</v>
      </c>
      <c r="X31" s="24">
        <f t="shared" si="8"/>
        <v>59.635069116931412</v>
      </c>
    </row>
    <row r="32" spans="1:24" x14ac:dyDescent="0.35">
      <c r="A32" s="15" t="s">
        <v>81</v>
      </c>
      <c r="B32" s="15" t="s">
        <v>82</v>
      </c>
      <c r="C32" s="19" t="s">
        <v>37</v>
      </c>
      <c r="D32" s="16">
        <v>0</v>
      </c>
      <c r="E32" s="16">
        <v>151</v>
      </c>
      <c r="F32" s="32">
        <v>149.16596149777874</v>
      </c>
      <c r="G32" s="26">
        <v>3.0528380431523689E-2</v>
      </c>
      <c r="H32" s="26">
        <v>0.40571500531529969</v>
      </c>
      <c r="I32" s="26">
        <v>0.28603213067413186</v>
      </c>
      <c r="J32" s="26">
        <v>0.15979762484296553</v>
      </c>
      <c r="K32" s="26">
        <v>0.10374001058060078</v>
      </c>
      <c r="L32" s="26">
        <v>1.4186848155478493E-2</v>
      </c>
      <c r="M32" s="26"/>
      <c r="N32" s="26">
        <v>6.8000000000000005E-2</v>
      </c>
      <c r="O32" s="24">
        <f t="shared" si="9"/>
        <v>10.143285381848955</v>
      </c>
      <c r="P32" s="25" t="b">
        <f t="shared" si="0"/>
        <v>0</v>
      </c>
      <c r="Q32" s="24">
        <f t="shared" si="20"/>
        <v>154.15006641933806</v>
      </c>
      <c r="R32" s="24">
        <f t="shared" si="2"/>
        <v>159.6512132344981</v>
      </c>
      <c r="S32" s="24">
        <f t="shared" si="3"/>
        <v>165.09529114677713</v>
      </c>
      <c r="T32" s="24">
        <f t="shared" si="4"/>
        <v>170.482892189034</v>
      </c>
      <c r="U32" s="24">
        <f t="shared" si="5"/>
        <v>175.81460225237811</v>
      </c>
      <c r="V32" s="24">
        <f t="shared" si="6"/>
        <v>181.09100114988379</v>
      </c>
      <c r="W32" s="24">
        <f t="shared" si="7"/>
        <v>186.31266267964401</v>
      </c>
      <c r="X32" s="24">
        <f t="shared" si="8"/>
        <v>191.48015468716966</v>
      </c>
    </row>
    <row r="33" spans="1:24" x14ac:dyDescent="0.35">
      <c r="A33" s="15" t="s">
        <v>83</v>
      </c>
      <c r="B33" s="15" t="s">
        <v>84</v>
      </c>
      <c r="C33" s="19" t="s">
        <v>42</v>
      </c>
      <c r="D33" s="16">
        <v>351</v>
      </c>
      <c r="E33" s="16">
        <v>466</v>
      </c>
      <c r="F33" s="32">
        <v>413.89908688062309</v>
      </c>
      <c r="G33" s="26">
        <v>1.0548523206751056E-2</v>
      </c>
      <c r="H33" s="26">
        <v>0.18459915611814348</v>
      </c>
      <c r="I33" s="26">
        <v>0.21825853471423093</v>
      </c>
      <c r="J33" s="26">
        <v>0.30705792098197165</v>
      </c>
      <c r="K33" s="26">
        <v>0.24923283467587265</v>
      </c>
      <c r="L33" s="26">
        <v>3.0303030303030304E-2</v>
      </c>
      <c r="M33" s="26"/>
      <c r="N33" s="26">
        <v>0.23559496332266769</v>
      </c>
      <c r="O33" s="24">
        <f t="shared" si="9"/>
        <v>97.512540192926039</v>
      </c>
      <c r="P33" s="25" t="b">
        <f t="shared" si="0"/>
        <v>0</v>
      </c>
      <c r="Q33" s="24">
        <f t="shared" si="20"/>
        <v>469.6154684435312</v>
      </c>
      <c r="R33" s="24">
        <f t="shared" si="2"/>
        <v>526.16988713779756</v>
      </c>
      <c r="S33" s="24">
        <f t="shared" si="3"/>
        <v>581.3147840236021</v>
      </c>
      <c r="T33" s="24">
        <f t="shared" si="4"/>
        <v>635.08528901253089</v>
      </c>
      <c r="U33" s="24">
        <f t="shared" si="5"/>
        <v>687.51565646342533</v>
      </c>
      <c r="V33" s="24">
        <f t="shared" si="6"/>
        <v>738.6392870040313</v>
      </c>
      <c r="W33" s="24">
        <f t="shared" si="7"/>
        <v>788.48874880878157</v>
      </c>
      <c r="X33" s="24">
        <f t="shared" si="8"/>
        <v>837.09579834626538</v>
      </c>
    </row>
    <row r="34" spans="1:24" x14ac:dyDescent="0.35">
      <c r="A34" s="15" t="s">
        <v>85</v>
      </c>
      <c r="B34" s="15" t="s">
        <v>12</v>
      </c>
      <c r="C34" s="15" t="s">
        <v>44</v>
      </c>
      <c r="D34" s="16">
        <v>136</v>
      </c>
      <c r="E34" s="16">
        <v>255</v>
      </c>
      <c r="F34" s="32">
        <v>348</v>
      </c>
      <c r="G34" s="26">
        <v>2.7624309392265192E-3</v>
      </c>
      <c r="H34" s="26">
        <v>0.43646408839779005</v>
      </c>
      <c r="I34" s="26">
        <v>0.47790055248618785</v>
      </c>
      <c r="J34" s="26">
        <v>6.3535911602209949E-2</v>
      </c>
      <c r="K34" s="26">
        <v>1.9337016574585635E-2</v>
      </c>
      <c r="L34" s="26">
        <v>0</v>
      </c>
      <c r="M34" s="26">
        <f>VLOOKUP(B34,'Edu updated'!B$2:E$48,4,FALSE)</f>
        <v>161</v>
      </c>
      <c r="N34" s="26">
        <f>M34/F34</f>
        <v>0.46264367816091956</v>
      </c>
      <c r="O34" s="24">
        <f t="shared" si="9"/>
        <v>161</v>
      </c>
      <c r="P34" s="25" t="b">
        <f t="shared" si="0"/>
        <v>0</v>
      </c>
      <c r="Q34" s="24">
        <f t="shared" si="20"/>
        <v>460.7</v>
      </c>
      <c r="R34" s="24">
        <f t="shared" si="2"/>
        <v>572.5091436464088</v>
      </c>
      <c r="S34" s="24">
        <f t="shared" si="3"/>
        <v>684.10208176642959</v>
      </c>
      <c r="T34" s="24">
        <f t="shared" si="4"/>
        <v>795.4792324370469</v>
      </c>
      <c r="U34" s="24">
        <f t="shared" si="5"/>
        <v>906.64101292680948</v>
      </c>
      <c r="V34" s="24">
        <f t="shared" si="6"/>
        <v>1017.5878396973931</v>
      </c>
      <c r="W34" s="24">
        <f t="shared" si="7"/>
        <v>1128.3201284051606</v>
      </c>
      <c r="X34" s="24">
        <f t="shared" si="8"/>
        <v>1238.8382939027197</v>
      </c>
    </row>
    <row r="35" spans="1:24" x14ac:dyDescent="0.35">
      <c r="A35" s="15" t="s">
        <v>86</v>
      </c>
      <c r="B35" s="15" t="s">
        <v>87</v>
      </c>
      <c r="C35" s="19" t="s">
        <v>42</v>
      </c>
      <c r="D35" s="16">
        <v>68</v>
      </c>
      <c r="E35" s="16">
        <v>181</v>
      </c>
      <c r="F35" s="32">
        <v>224</v>
      </c>
      <c r="G35" s="26">
        <v>1.0548523206751056E-2</v>
      </c>
      <c r="H35" s="26">
        <v>0.18459915611814348</v>
      </c>
      <c r="I35" s="26">
        <v>0.21825853471423093</v>
      </c>
      <c r="J35" s="26">
        <v>0.30705792098197165</v>
      </c>
      <c r="K35" s="26">
        <v>0.24923283467587265</v>
      </c>
      <c r="L35" s="26">
        <v>3.0303030303030304E-2</v>
      </c>
      <c r="M35" s="26"/>
      <c r="N35" s="26">
        <v>0.29743268628678771</v>
      </c>
      <c r="O35" s="24">
        <f t="shared" si="9"/>
        <v>66.624921728240452</v>
      </c>
      <c r="P35" s="25" t="b">
        <f t="shared" si="0"/>
        <v>0</v>
      </c>
      <c r="Q35" s="24">
        <f t="shared" si="20"/>
        <v>263.84956642188956</v>
      </c>
      <c r="R35" s="24">
        <f t="shared" si="2"/>
        <v>303.91101409492512</v>
      </c>
      <c r="S35" s="24">
        <f t="shared" si="3"/>
        <v>342.97399895148374</v>
      </c>
      <c r="T35" s="24">
        <f t="shared" si="4"/>
        <v>381.06340596337225</v>
      </c>
      <c r="U35" s="24">
        <f t="shared" si="5"/>
        <v>418.20349988719119</v>
      </c>
      <c r="V35" s="24">
        <f t="shared" si="6"/>
        <v>454.41794072213395</v>
      </c>
      <c r="W35" s="24">
        <f t="shared" si="7"/>
        <v>489.72979878252727</v>
      </c>
      <c r="X35" s="24">
        <f t="shared" si="8"/>
        <v>524.16156939471421</v>
      </c>
    </row>
    <row r="36" spans="1:24" x14ac:dyDescent="0.35">
      <c r="A36" s="15" t="s">
        <v>88</v>
      </c>
      <c r="B36" s="15" t="s">
        <v>89</v>
      </c>
      <c r="C36" s="19" t="s">
        <v>44</v>
      </c>
      <c r="D36" s="16">
        <v>30</v>
      </c>
      <c r="E36" s="16">
        <v>30</v>
      </c>
      <c r="F36" s="32">
        <v>27.583167463689964</v>
      </c>
      <c r="G36" s="26">
        <v>8.1764545392538027E-3</v>
      </c>
      <c r="H36" s="26">
        <v>0.36686116591168444</v>
      </c>
      <c r="I36" s="26">
        <v>0.32945883732337167</v>
      </c>
      <c r="J36" s="26">
        <v>0.13608036387347802</v>
      </c>
      <c r="K36" s="26">
        <v>0.13243992447126848</v>
      </c>
      <c r="L36" s="26">
        <v>2.698325388094365E-2</v>
      </c>
      <c r="M36" s="26"/>
      <c r="N36" s="26">
        <v>0.52432487079849088</v>
      </c>
      <c r="O36" s="24">
        <f t="shared" si="9"/>
        <v>14.462540716612377</v>
      </c>
      <c r="P36" s="25" t="b">
        <f t="shared" si="0"/>
        <v>0</v>
      </c>
      <c r="Q36" s="24">
        <f t="shared" si="20"/>
        <v>36.962662354805296</v>
      </c>
      <c r="R36" s="24">
        <f t="shared" si="2"/>
        <v>46.596907635381221</v>
      </c>
      <c r="S36" s="24">
        <f t="shared" si="3"/>
        <v>56.103557044227429</v>
      </c>
      <c r="T36" s="24">
        <f t="shared" si="4"/>
        <v>65.484300460105402</v>
      </c>
      <c r="U36" s="24">
        <f t="shared" si="5"/>
        <v>74.740805381035045</v>
      </c>
      <c r="V36" s="24">
        <f t="shared" si="6"/>
        <v>83.874717220705108</v>
      </c>
      <c r="W36" s="24">
        <f t="shared" si="7"/>
        <v>92.887659600957861</v>
      </c>
      <c r="X36" s="24">
        <f t="shared" si="8"/>
        <v>101.78123464040016</v>
      </c>
    </row>
    <row r="37" spans="1:24" x14ac:dyDescent="0.35">
      <c r="A37" s="15" t="s">
        <v>90</v>
      </c>
      <c r="B37" s="15" t="s">
        <v>14</v>
      </c>
      <c r="C37" s="15" t="s">
        <v>37</v>
      </c>
      <c r="D37" s="16">
        <v>0</v>
      </c>
      <c r="E37" s="16">
        <v>4358</v>
      </c>
      <c r="F37" s="32">
        <v>5048</v>
      </c>
      <c r="G37" s="26">
        <v>2.4096385542168676E-2</v>
      </c>
      <c r="H37" s="26">
        <v>0.44539448115040808</v>
      </c>
      <c r="I37" s="26">
        <v>0.42207539836766422</v>
      </c>
      <c r="J37" s="26">
        <v>0</v>
      </c>
      <c r="K37" s="26">
        <v>8.4337349397590355E-2</v>
      </c>
      <c r="L37" s="26">
        <v>2.4096385542168676E-2</v>
      </c>
      <c r="M37" s="26">
        <f>VLOOKUP(B37,'Edu updated'!B$2:E$48,4,FALSE)</f>
        <v>459</v>
      </c>
      <c r="N37" s="26">
        <f>M37/F37</f>
        <v>9.0927099841521392E-2</v>
      </c>
      <c r="O37" s="24">
        <f t="shared" si="9"/>
        <v>459</v>
      </c>
      <c r="P37" s="25" t="b">
        <f t="shared" si="0"/>
        <v>0</v>
      </c>
      <c r="Q37" s="24">
        <f t="shared" si="20"/>
        <v>5247.6614457831329</v>
      </c>
      <c r="R37" s="24">
        <f t="shared" si="2"/>
        <v>5524.7040600958053</v>
      </c>
      <c r="S37" s="24">
        <f t="shared" si="3"/>
        <v>5799.4101704323466</v>
      </c>
      <c r="T37" s="24">
        <f t="shared" si="4"/>
        <v>6071.7994822479777</v>
      </c>
      <c r="U37" s="24">
        <f t="shared" si="5"/>
        <v>6341.8915348073324</v>
      </c>
      <c r="V37" s="24">
        <f t="shared" si="6"/>
        <v>6609.7057025860659</v>
      </c>
      <c r="W37" s="24">
        <f t="shared" si="7"/>
        <v>6875.261196660641</v>
      </c>
      <c r="X37" s="24">
        <f t="shared" si="8"/>
        <v>7138.5770660863946</v>
      </c>
    </row>
    <row r="38" spans="1:24" x14ac:dyDescent="0.35">
      <c r="A38" s="15" t="s">
        <v>91</v>
      </c>
      <c r="B38" s="15" t="s">
        <v>92</v>
      </c>
      <c r="C38" s="19" t="s">
        <v>44</v>
      </c>
      <c r="D38" s="16">
        <v>127</v>
      </c>
      <c r="E38" s="16">
        <v>228</v>
      </c>
      <c r="F38" s="32">
        <v>236</v>
      </c>
      <c r="G38" s="26">
        <v>8.1764545392538027E-3</v>
      </c>
      <c r="H38" s="26">
        <v>0.36686116591168444</v>
      </c>
      <c r="I38" s="26">
        <v>0.32945883732337167</v>
      </c>
      <c r="J38" s="26">
        <v>0.13608036387347802</v>
      </c>
      <c r="K38" s="26">
        <v>0.13243992447126848</v>
      </c>
      <c r="L38" s="26">
        <v>2.698325388094365E-2</v>
      </c>
      <c r="M38" s="26"/>
      <c r="N38" s="26">
        <v>6.6747572815533977E-3</v>
      </c>
      <c r="O38" s="24">
        <f t="shared" si="9"/>
        <v>1.5752427184466018</v>
      </c>
      <c r="P38" s="25" t="b">
        <f t="shared" si="0"/>
        <v>0</v>
      </c>
      <c r="Q38" s="24">
        <f t="shared" si="20"/>
        <v>230.73462198700992</v>
      </c>
      <c r="R38" s="24">
        <f t="shared" si="2"/>
        <v>228.78144429903591</v>
      </c>
      <c r="S38" s="24">
        <f t="shared" si="3"/>
        <v>226.85413448160935</v>
      </c>
      <c r="T38" s="24">
        <f t="shared" si="4"/>
        <v>224.95234994084805</v>
      </c>
      <c r="U38" s="24">
        <f t="shared" si="5"/>
        <v>223.07575262018065</v>
      </c>
      <c r="V38" s="24">
        <f t="shared" si="6"/>
        <v>221.22400894025446</v>
      </c>
      <c r="W38" s="24">
        <f t="shared" si="7"/>
        <v>219.39678973963925</v>
      </c>
      <c r="X38" s="24">
        <f t="shared" si="8"/>
        <v>217.59377021631622</v>
      </c>
    </row>
    <row r="39" spans="1:24" x14ac:dyDescent="0.35">
      <c r="A39" s="15" t="s">
        <v>93</v>
      </c>
      <c r="B39" s="15" t="s">
        <v>94</v>
      </c>
      <c r="C39" s="19" t="s">
        <v>37</v>
      </c>
      <c r="D39" s="16">
        <v>0</v>
      </c>
      <c r="E39" s="16">
        <v>6</v>
      </c>
      <c r="F39" s="32">
        <v>6</v>
      </c>
      <c r="G39" s="26">
        <v>3.0528380431523689E-2</v>
      </c>
      <c r="H39" s="26">
        <v>0.40571500531529969</v>
      </c>
      <c r="I39" s="26">
        <v>0.28603213067413186</v>
      </c>
      <c r="J39" s="26">
        <v>0.15979762484296553</v>
      </c>
      <c r="K39" s="26">
        <v>0.10374001058060078</v>
      </c>
      <c r="L39" s="26">
        <v>1.4186848155478493E-2</v>
      </c>
      <c r="M39" s="26"/>
      <c r="N39" s="26">
        <v>6.8000000000000005E-2</v>
      </c>
      <c r="O39" s="24">
        <f t="shared" si="9"/>
        <v>0.40800000000000003</v>
      </c>
      <c r="P39" s="25" t="b">
        <f t="shared" si="0"/>
        <v>0</v>
      </c>
      <c r="Q39" s="24">
        <f t="shared" si="20"/>
        <v>6.2004789110671288</v>
      </c>
      <c r="R39" s="24">
        <f t="shared" si="2"/>
        <v>6.421755136283239</v>
      </c>
      <c r="S39" s="24">
        <f t="shared" si="3"/>
        <v>6.6407358417048332</v>
      </c>
      <c r="T39" s="24">
        <f t="shared" si="4"/>
        <v>6.8574448410566893</v>
      </c>
      <c r="U39" s="24">
        <f t="shared" si="5"/>
        <v>7.0719057010199782</v>
      </c>
      <c r="V39" s="24">
        <f t="shared" si="6"/>
        <v>7.2841417437950957</v>
      </c>
      <c r="W39" s="24">
        <f t="shared" si="7"/>
        <v>7.4941760496379057</v>
      </c>
      <c r="X39" s="24">
        <f t="shared" si="8"/>
        <v>7.7020314593696728</v>
      </c>
    </row>
    <row r="40" spans="1:24" x14ac:dyDescent="0.35">
      <c r="A40" s="15" t="s">
        <v>95</v>
      </c>
      <c r="B40" s="15" t="s">
        <v>15</v>
      </c>
      <c r="C40" s="15" t="s">
        <v>37</v>
      </c>
      <c r="D40" s="16">
        <v>54</v>
      </c>
      <c r="E40" s="16">
        <v>136</v>
      </c>
      <c r="F40" s="32">
        <v>223</v>
      </c>
      <c r="G40" s="26">
        <v>0</v>
      </c>
      <c r="H40" s="26">
        <v>0.13963963963963963</v>
      </c>
      <c r="I40" s="26">
        <v>0.28378378378378377</v>
      </c>
      <c r="J40" s="26">
        <v>0.36036036036036034</v>
      </c>
      <c r="K40" s="26">
        <v>0.2072072072072072</v>
      </c>
      <c r="L40" s="26">
        <v>9.0090090090090089E-3</v>
      </c>
      <c r="M40" s="26">
        <f>VLOOKUP(B40,'Edu updated'!B$2:E$48,4,FALSE)</f>
        <v>67</v>
      </c>
      <c r="N40" s="26">
        <f>M40/F40</f>
        <v>0.30044843049327352</v>
      </c>
      <c r="O40" s="24">
        <f t="shared" si="9"/>
        <v>67</v>
      </c>
      <c r="P40" s="25" t="b">
        <f t="shared" si="0"/>
        <v>0</v>
      </c>
      <c r="Q40" s="24">
        <f t="shared" si="20"/>
        <v>267.89099099099099</v>
      </c>
      <c r="R40" s="24">
        <f t="shared" si="2"/>
        <v>309.24009658306954</v>
      </c>
      <c r="S40" s="24">
        <f t="shared" si="3"/>
        <v>349.73241890612303</v>
      </c>
      <c r="T40" s="24">
        <f t="shared" si="4"/>
        <v>389.38571112698713</v>
      </c>
      <c r="U40" s="24">
        <f t="shared" si="5"/>
        <v>428.21735855408559</v>
      </c>
      <c r="V40" s="24">
        <f t="shared" si="6"/>
        <v>466.24438625972164</v>
      </c>
      <c r="W40" s="24">
        <f t="shared" si="7"/>
        <v>503.48346654443009</v>
      </c>
      <c r="X40" s="24">
        <f t="shared" si="8"/>
        <v>539.95092624666256</v>
      </c>
    </row>
    <row r="41" spans="1:24" x14ac:dyDescent="0.35">
      <c r="A41" s="15" t="s">
        <v>96</v>
      </c>
      <c r="B41" s="15" t="s">
        <v>17</v>
      </c>
      <c r="C41" s="15" t="s">
        <v>42</v>
      </c>
      <c r="D41" s="16">
        <v>14</v>
      </c>
      <c r="E41" s="16">
        <v>38</v>
      </c>
      <c r="F41" s="32">
        <v>44</v>
      </c>
      <c r="G41" s="26">
        <v>0</v>
      </c>
      <c r="H41" s="26">
        <v>0.20454545454545456</v>
      </c>
      <c r="I41" s="26">
        <v>0.27272727272727271</v>
      </c>
      <c r="J41" s="26">
        <v>0.25</v>
      </c>
      <c r="K41" s="26">
        <v>0.22727272727272727</v>
      </c>
      <c r="L41" s="26">
        <v>4.5454545454545456E-2</v>
      </c>
      <c r="M41" s="26"/>
      <c r="N41" s="26">
        <v>1.2077294685990338E-2</v>
      </c>
      <c r="O41" s="24">
        <f t="shared" si="9"/>
        <v>0.53140096618357491</v>
      </c>
      <c r="P41" s="25" t="b">
        <f t="shared" si="0"/>
        <v>0</v>
      </c>
      <c r="Q41" s="24">
        <f t="shared" si="20"/>
        <v>42.371980676328505</v>
      </c>
      <c r="R41" s="24">
        <f t="shared" si="2"/>
        <v>41.780961791831366</v>
      </c>
      <c r="S41" s="24">
        <f t="shared" si="3"/>
        <v>41.203375154709157</v>
      </c>
      <c r="T41" s="24">
        <f t="shared" si="4"/>
        <v>40.638915486612454</v>
      </c>
      <c r="U41" s="24">
        <f t="shared" si="5"/>
        <v>40.087284447336131</v>
      </c>
      <c r="V41" s="24">
        <f t="shared" si="6"/>
        <v>39.54819047713427</v>
      </c>
      <c r="W41" s="24">
        <f t="shared" si="7"/>
        <v>39.021348642618818</v>
      </c>
      <c r="X41" s="24">
        <f t="shared" si="8"/>
        <v>38.506480486160534</v>
      </c>
    </row>
    <row r="42" spans="1:24" x14ac:dyDescent="0.35">
      <c r="A42" s="15" t="s">
        <v>97</v>
      </c>
      <c r="B42" s="15" t="s">
        <v>98</v>
      </c>
      <c r="C42" s="15" t="s">
        <v>44</v>
      </c>
      <c r="D42" s="16">
        <v>0</v>
      </c>
      <c r="E42" s="16">
        <v>15</v>
      </c>
      <c r="F42" s="32">
        <v>15</v>
      </c>
      <c r="G42" s="26">
        <v>8.1764545392538027E-3</v>
      </c>
      <c r="H42" s="26">
        <v>0.36686116591168444</v>
      </c>
      <c r="I42" s="26">
        <v>0.32945883732337167</v>
      </c>
      <c r="J42" s="26">
        <v>0.13608036387347802</v>
      </c>
      <c r="K42" s="26">
        <v>0.13243992447126848</v>
      </c>
      <c r="L42" s="26">
        <v>2.698325388094365E-2</v>
      </c>
      <c r="M42" s="26"/>
      <c r="N42" s="26">
        <v>0.19620253164556961</v>
      </c>
      <c r="O42" s="24">
        <f t="shared" si="9"/>
        <v>2.943037974683544</v>
      </c>
      <c r="P42" s="25" t="b">
        <f t="shared" si="0"/>
        <v>0</v>
      </c>
      <c r="Q42" s="24">
        <f t="shared" si="20"/>
        <v>16.655377774064327</v>
      </c>
      <c r="R42" s="24">
        <f t="shared" si="2"/>
        <v>18.494920658899058</v>
      </c>
      <c r="S42" s="24">
        <f t="shared" si="3"/>
        <v>20.310100651660871</v>
      </c>
      <c r="T42" s="24">
        <f t="shared" si="4"/>
        <v>22.101240414308371</v>
      </c>
      <c r="U42" s="24">
        <f t="shared" si="5"/>
        <v>23.868658335467618</v>
      </c>
      <c r="V42" s="24">
        <f t="shared" si="6"/>
        <v>25.612668587028118</v>
      </c>
      <c r="W42" s="24">
        <f t="shared" si="7"/>
        <v>27.333581179989238</v>
      </c>
      <c r="X42" s="24">
        <f t="shared" si="8"/>
        <v>29.031702019567014</v>
      </c>
    </row>
    <row r="43" spans="1:24" x14ac:dyDescent="0.35">
      <c r="A43" s="15" t="s">
        <v>99</v>
      </c>
      <c r="B43" s="15" t="s">
        <v>100</v>
      </c>
      <c r="C43" s="19" t="s">
        <v>42</v>
      </c>
      <c r="D43" s="16">
        <v>5770</v>
      </c>
      <c r="E43" s="16">
        <v>6433</v>
      </c>
      <c r="F43" s="32">
        <v>1975.7022379517678</v>
      </c>
      <c r="G43" s="26">
        <v>1.0548523206751056E-2</v>
      </c>
      <c r="H43" s="26">
        <v>0.18459915611814348</v>
      </c>
      <c r="I43" s="26">
        <v>0.21825853471423093</v>
      </c>
      <c r="J43" s="26">
        <v>0.30705792098197165</v>
      </c>
      <c r="K43" s="26">
        <v>0.24923283467587265</v>
      </c>
      <c r="L43" s="26">
        <v>3.0303030303030304E-2</v>
      </c>
      <c r="M43" s="26">
        <f>VLOOKUP(B43,'Edu updated'!B$2:E$48,4,FALSE)</f>
        <v>805</v>
      </c>
      <c r="N43" s="26">
        <f>M43/E43</f>
        <v>0.12513601741022851</v>
      </c>
      <c r="O43" s="24">
        <f>N43*E43</f>
        <v>805</v>
      </c>
      <c r="P43" s="25" t="b">
        <f t="shared" si="0"/>
        <v>1</v>
      </c>
      <c r="Q43" s="24">
        <f>E43*(1-L43)+0.7*O43</f>
        <v>6801.560606060606</v>
      </c>
      <c r="R43" s="24">
        <f t="shared" si="2"/>
        <v>7195.5433830537831</v>
      </c>
      <c r="S43" s="24">
        <f t="shared" si="3"/>
        <v>7579.7068156146124</v>
      </c>
      <c r="T43" s="24">
        <f t="shared" si="4"/>
        <v>7954.2956340478468</v>
      </c>
      <c r="U43" s="24">
        <f t="shared" si="5"/>
        <v>8319.5484691754809</v>
      </c>
      <c r="V43" s="24">
        <f t="shared" si="6"/>
        <v>8675.6980043558888</v>
      </c>
      <c r="W43" s="24">
        <f t="shared" si="7"/>
        <v>9022.9711237141455</v>
      </c>
      <c r="X43" s="24">
        <f t="shared" si="8"/>
        <v>9361.5890566779635</v>
      </c>
    </row>
    <row r="44" spans="1:24" x14ac:dyDescent="0.35">
      <c r="A44" s="15" t="s">
        <v>101</v>
      </c>
      <c r="B44" s="15" t="s">
        <v>102</v>
      </c>
      <c r="C44" s="19" t="s">
        <v>44</v>
      </c>
      <c r="D44" s="16">
        <v>0</v>
      </c>
      <c r="E44" s="16">
        <v>32</v>
      </c>
      <c r="F44" s="32">
        <v>32.180362040971623</v>
      </c>
      <c r="G44" s="26">
        <v>8.1764545392538027E-3</v>
      </c>
      <c r="H44" s="26">
        <v>0.36686116591168444</v>
      </c>
      <c r="I44" s="26">
        <v>0.32945883732337167</v>
      </c>
      <c r="J44" s="26">
        <v>0.13608036387347802</v>
      </c>
      <c r="K44" s="26">
        <v>0.13243992447126848</v>
      </c>
      <c r="L44" s="26">
        <v>2.698325388094365E-2</v>
      </c>
      <c r="M44" s="26"/>
      <c r="N44" s="26">
        <v>0.20599999999999999</v>
      </c>
      <c r="O44" s="24">
        <f t="shared" si="9"/>
        <v>6.6291545804401544</v>
      </c>
      <c r="P44" s="25" t="b">
        <f t="shared" si="0"/>
        <v>0</v>
      </c>
      <c r="Q44" s="24">
        <f t="shared" si="20"/>
        <v>35.952439368347513</v>
      </c>
      <c r="R44" s="24">
        <f t="shared" si="2"/>
        <v>40.116693739205445</v>
      </c>
      <c r="S44" s="24">
        <f t="shared" si="3"/>
        <v>44.225796756627815</v>
      </c>
      <c r="T44" s="24">
        <f t="shared" si="4"/>
        <v>48.280478844722978</v>
      </c>
      <c r="U44" s="24">
        <f t="shared" si="5"/>
        <v>52.281460753867911</v>
      </c>
      <c r="V44" s="24">
        <f t="shared" si="6"/>
        <v>56.229453688827036</v>
      </c>
      <c r="W44" s="24">
        <f t="shared" si="7"/>
        <v>60.125159435174254</v>
      </c>
      <c r="X44" s="24">
        <f t="shared" si="8"/>
        <v>63.969270484040621</v>
      </c>
    </row>
    <row r="45" spans="1:24" x14ac:dyDescent="0.35">
      <c r="A45" s="15" t="s">
        <v>103</v>
      </c>
      <c r="B45" s="15" t="s">
        <v>104</v>
      </c>
      <c r="C45" s="19" t="s">
        <v>37</v>
      </c>
      <c r="D45" s="16">
        <v>99</v>
      </c>
      <c r="E45" s="16">
        <v>682</v>
      </c>
      <c r="F45" s="32">
        <v>755.27784311079404</v>
      </c>
      <c r="G45" s="26">
        <v>3.0528380431523689E-2</v>
      </c>
      <c r="H45" s="26">
        <v>0.40571500531529969</v>
      </c>
      <c r="I45" s="26">
        <v>0.28603213067413186</v>
      </c>
      <c r="J45" s="26">
        <v>0.15979762484296553</v>
      </c>
      <c r="K45" s="26">
        <v>0.10374001058060078</v>
      </c>
      <c r="L45" s="26">
        <v>1.4186848155478493E-2</v>
      </c>
      <c r="M45" s="26">
        <f>VLOOKUP(B45,'Edu updated'!B$2:E$48,4,FALSE)</f>
        <v>80</v>
      </c>
      <c r="N45" s="26">
        <f>M45/F45</f>
        <v>0.10592128543120065</v>
      </c>
      <c r="O45" s="24">
        <f t="shared" si="9"/>
        <v>80</v>
      </c>
      <c r="P45" s="25" t="b">
        <f t="shared" si="0"/>
        <v>0</v>
      </c>
      <c r="Q45" s="24">
        <f t="shared" si="20"/>
        <v>800.56283103538385</v>
      </c>
      <c r="R45" s="24">
        <f t="shared" si="2"/>
        <v>848.25779137917925</v>
      </c>
      <c r="S45" s="24">
        <f t="shared" si="3"/>
        <v>895.45796415390396</v>
      </c>
      <c r="T45" s="24">
        <f t="shared" si="4"/>
        <v>942.16848228632307</v>
      </c>
      <c r="U45" s="24">
        <f t="shared" si="5"/>
        <v>988.39442545421389</v>
      </c>
      <c r="V45" s="24">
        <f t="shared" si="6"/>
        <v>1034.1408206387712</v>
      </c>
      <c r="W45" s="24">
        <f t="shared" si="7"/>
        <v>1079.4126426712814</v>
      </c>
      <c r="X45" s="24">
        <f t="shared" si="8"/>
        <v>1124.2148147741261</v>
      </c>
    </row>
    <row r="46" spans="1:24" x14ac:dyDescent="0.35">
      <c r="A46" s="15" t="s">
        <v>105</v>
      </c>
      <c r="B46" s="15" t="s">
        <v>19</v>
      </c>
      <c r="C46" s="15" t="s">
        <v>44</v>
      </c>
      <c r="D46" s="16">
        <v>18</v>
      </c>
      <c r="E46" s="16">
        <v>21</v>
      </c>
      <c r="F46" s="32">
        <v>21.759416355615883</v>
      </c>
      <c r="G46" s="26">
        <v>0</v>
      </c>
      <c r="H46" s="26">
        <v>0</v>
      </c>
      <c r="I46" s="26">
        <v>0.44444444444444442</v>
      </c>
      <c r="J46" s="26">
        <v>0.22222222222222221</v>
      </c>
      <c r="K46" s="26">
        <v>0.33333333333333331</v>
      </c>
      <c r="L46" s="26">
        <v>0</v>
      </c>
      <c r="M46" s="26"/>
      <c r="N46" s="26">
        <v>0.10547945205479452</v>
      </c>
      <c r="O46" s="24">
        <f t="shared" si="9"/>
        <v>2.2951713142224972</v>
      </c>
      <c r="P46" s="25" t="b">
        <f t="shared" si="0"/>
        <v>0</v>
      </c>
      <c r="Q46" s="24">
        <f t="shared" si="20"/>
        <v>23.366036275571631</v>
      </c>
      <c r="R46" s="24">
        <f t="shared" si="2"/>
        <v>24.19378831967499</v>
      </c>
      <c r="S46" s="24">
        <f t="shared" si="3"/>
        <v>24.993948628974906</v>
      </c>
      <c r="T46" s="24">
        <f t="shared" si="4"/>
        <v>25.767436927964823</v>
      </c>
      <c r="U46" s="24">
        <f t="shared" si="5"/>
        <v>26.515142283655077</v>
      </c>
      <c r="V46" s="24">
        <f t="shared" si="6"/>
        <v>27.237924127488988</v>
      </c>
      <c r="W46" s="24">
        <f t="shared" si="7"/>
        <v>27.936613243195101</v>
      </c>
      <c r="X46" s="24">
        <f t="shared" si="8"/>
        <v>28.612012721711011</v>
      </c>
    </row>
    <row r="47" spans="1:24" x14ac:dyDescent="0.35">
      <c r="A47" s="15" t="s">
        <v>106</v>
      </c>
      <c r="B47" s="15" t="s">
        <v>107</v>
      </c>
      <c r="C47" s="19" t="s">
        <v>44</v>
      </c>
      <c r="D47" s="16">
        <v>276</v>
      </c>
      <c r="E47" s="16">
        <v>26</v>
      </c>
      <c r="F47" s="32">
        <v>504</v>
      </c>
      <c r="G47" s="26">
        <v>8.1764545392538027E-3</v>
      </c>
      <c r="H47" s="26">
        <v>0.36686116591168444</v>
      </c>
      <c r="I47" s="26">
        <v>0.32945883732337167</v>
      </c>
      <c r="J47" s="26">
        <v>0.13608036387347802</v>
      </c>
      <c r="K47" s="26">
        <v>0.13243992447126848</v>
      </c>
      <c r="L47" s="26">
        <v>2.698325388094365E-2</v>
      </c>
      <c r="M47" s="26">
        <f>VLOOKUP(B47,'Edu updated'!B$2:E$48,4,FALSE)</f>
        <v>41</v>
      </c>
      <c r="N47" s="26">
        <f>M47/F47</f>
        <v>8.1349206349206352E-2</v>
      </c>
      <c r="O47" s="24">
        <f t="shared" si="9"/>
        <v>41</v>
      </c>
      <c r="P47" s="25" t="b">
        <f t="shared" si="0"/>
        <v>0</v>
      </c>
      <c r="Q47" s="24">
        <f t="shared" si="20"/>
        <v>519.10044004400436</v>
      </c>
      <c r="R47" s="24">
        <f t="shared" si="2"/>
        <v>540.92547773676142</v>
      </c>
      <c r="S47" s="24">
        <f t="shared" si="3"/>
        <v>562.46146479515733</v>
      </c>
      <c r="T47" s="24">
        <f t="shared" si="4"/>
        <v>583.71222940361042</v>
      </c>
      <c r="U47" s="24">
        <f t="shared" si="5"/>
        <v>604.68154904609355</v>
      </c>
      <c r="V47" s="24">
        <f t="shared" si="6"/>
        <v>625.37315117761023</v>
      </c>
      <c r="W47" s="24">
        <f t="shared" si="7"/>
        <v>645.79071388677812</v>
      </c>
      <c r="X47" s="24">
        <f t="shared" si="8"/>
        <v>665.93786654963708</v>
      </c>
    </row>
    <row r="48" spans="1:24" x14ac:dyDescent="0.35">
      <c r="A48" s="15" t="s">
        <v>108</v>
      </c>
      <c r="B48" s="15" t="s">
        <v>20</v>
      </c>
      <c r="C48" s="15" t="s">
        <v>37</v>
      </c>
      <c r="D48" s="16">
        <v>0</v>
      </c>
      <c r="E48" s="16">
        <v>160</v>
      </c>
      <c r="F48" s="32">
        <v>306</v>
      </c>
      <c r="G48" s="26">
        <v>1.1494252873563218E-2</v>
      </c>
      <c r="H48" s="26">
        <v>0.3946360153256705</v>
      </c>
      <c r="I48" s="26">
        <v>0.2413793103448276</v>
      </c>
      <c r="J48" s="26">
        <v>0.21072796934865901</v>
      </c>
      <c r="K48" s="26">
        <v>8.4291187739463605E-2</v>
      </c>
      <c r="L48" s="26">
        <v>5.7471264367816091E-2</v>
      </c>
      <c r="M48" s="26"/>
      <c r="N48" s="26">
        <v>1.7608329505435616E-2</v>
      </c>
      <c r="O48" s="24">
        <f t="shared" si="9"/>
        <v>5.3881488286632981</v>
      </c>
      <c r="P48" s="25" t="b">
        <f t="shared" si="0"/>
        <v>0</v>
      </c>
      <c r="Q48" s="24">
        <f t="shared" si="20"/>
        <v>292.18549728351257</v>
      </c>
      <c r="R48" s="24">
        <f t="shared" si="2"/>
        <v>293.49433520294957</v>
      </c>
      <c r="S48" s="24">
        <f t="shared" si="3"/>
        <v>294.79214077210781</v>
      </c>
      <c r="T48" s="24">
        <f t="shared" si="4"/>
        <v>296.0790069839781</v>
      </c>
      <c r="U48" s="24">
        <f t="shared" si="5"/>
        <v>297.35502604770238</v>
      </c>
      <c r="V48" s="24">
        <f t="shared" si="6"/>
        <v>298.62028939518069</v>
      </c>
      <c r="W48" s="24">
        <f t="shared" si="7"/>
        <v>299.87488768762279</v>
      </c>
      <c r="X48" s="24">
        <f t="shared" si="8"/>
        <v>301.11891082204431</v>
      </c>
    </row>
    <row r="49" spans="1:24" x14ac:dyDescent="0.35">
      <c r="A49" s="15" t="s">
        <v>109</v>
      </c>
      <c r="B49" s="15" t="s">
        <v>21</v>
      </c>
      <c r="C49" s="15" t="s">
        <v>37</v>
      </c>
      <c r="D49" s="16">
        <v>236</v>
      </c>
      <c r="E49" s="16">
        <v>142</v>
      </c>
      <c r="F49" s="32">
        <v>201</v>
      </c>
      <c r="G49" s="26">
        <v>0.16895146350500184</v>
      </c>
      <c r="H49" s="26">
        <v>0.53093738421637648</v>
      </c>
      <c r="I49" s="26">
        <v>0.14005187106335679</v>
      </c>
      <c r="J49" s="26">
        <v>0.16005928121526491</v>
      </c>
      <c r="K49" s="26">
        <v>0</v>
      </c>
      <c r="L49" s="26">
        <v>0</v>
      </c>
      <c r="M49" s="26">
        <f>VLOOKUP(B49,'Edu updated'!B$2:E$48,4,FALSE)</f>
        <v>80</v>
      </c>
      <c r="N49" s="26">
        <f>M49/F49</f>
        <v>0.39800995024875624</v>
      </c>
      <c r="O49" s="24">
        <f t="shared" si="9"/>
        <v>80</v>
      </c>
      <c r="P49" s="25" t="b">
        <f t="shared" si="0"/>
        <v>0</v>
      </c>
      <c r="Q49" s="24">
        <f t="shared" si="20"/>
        <v>257</v>
      </c>
      <c r="R49" s="24">
        <f t="shared" si="2"/>
        <v>313</v>
      </c>
      <c r="S49" s="24">
        <f t="shared" si="3"/>
        <v>369</v>
      </c>
      <c r="T49" s="24">
        <f t="shared" si="4"/>
        <v>425</v>
      </c>
      <c r="U49" s="24">
        <f t="shared" si="5"/>
        <v>481</v>
      </c>
      <c r="V49" s="24">
        <f t="shared" si="6"/>
        <v>537</v>
      </c>
      <c r="W49" s="24">
        <f t="shared" si="7"/>
        <v>593</v>
      </c>
      <c r="X49" s="24">
        <f t="shared" si="8"/>
        <v>649</v>
      </c>
    </row>
    <row r="50" spans="1:24" s="30" customFormat="1" x14ac:dyDescent="0.35">
      <c r="A50" s="17" t="s">
        <v>25</v>
      </c>
      <c r="B50" s="20" t="s">
        <v>25</v>
      </c>
      <c r="C50" s="20" t="s">
        <v>25</v>
      </c>
      <c r="D50" s="18">
        <v>9015</v>
      </c>
      <c r="E50" s="18">
        <v>37007</v>
      </c>
      <c r="F50" s="18">
        <f>SUM(F3:F49)</f>
        <v>34405.463484314365</v>
      </c>
      <c r="G50" s="27">
        <v>7.5291181364392681E-2</v>
      </c>
      <c r="H50" s="27">
        <v>0.44647809206877426</v>
      </c>
      <c r="I50" s="27">
        <v>0.28674431503050474</v>
      </c>
      <c r="J50" s="27">
        <v>0.11175818080976151</v>
      </c>
      <c r="K50" s="27">
        <v>6.6694398225180251E-2</v>
      </c>
      <c r="L50" s="27">
        <v>1.3033832501386578E-2</v>
      </c>
      <c r="M50" s="26">
        <f>SUM(M3:M49)</f>
        <v>2206</v>
      </c>
      <c r="N50" s="26">
        <f>M50/F50</f>
        <v>6.4117723657631506E-2</v>
      </c>
      <c r="O50" s="28">
        <f t="shared" si="9"/>
        <v>2206</v>
      </c>
      <c r="P50" s="29" t="b">
        <f t="shared" ref="P50" si="21">F50&lt;E50*0.5</f>
        <v>0</v>
      </c>
      <c r="Q50" s="28">
        <f>SUM(Q3:Q49)</f>
        <v>42027.424392733097</v>
      </c>
      <c r="R50" s="28">
        <f t="shared" ref="R50:X50" si="22">SUM(R3:R49)</f>
        <v>44110.80129627401</v>
      </c>
      <c r="S50" s="28">
        <f t="shared" si="22"/>
        <v>46161.738440987319</v>
      </c>
      <c r="T50" s="28">
        <f t="shared" si="22"/>
        <v>48180.880217997073</v>
      </c>
      <c r="U50" s="28">
        <f t="shared" si="22"/>
        <v>50168.856990271917</v>
      </c>
      <c r="V50" s="28">
        <f t="shared" si="22"/>
        <v>52126.285412057965</v>
      </c>
      <c r="W50" s="28">
        <f t="shared" si="22"/>
        <v>54053.768740879197</v>
      </c>
      <c r="X50" s="28">
        <f t="shared" si="22"/>
        <v>55951.897142280424</v>
      </c>
    </row>
    <row r="51" spans="1:24" ht="28.5" x14ac:dyDescent="0.35">
      <c r="Q51" s="31" t="s">
        <v>126</v>
      </c>
      <c r="R51" s="31" t="s">
        <v>127</v>
      </c>
      <c r="S51" s="31" t="s">
        <v>128</v>
      </c>
      <c r="T51" s="31" t="s">
        <v>129</v>
      </c>
      <c r="U51" s="31" t="s">
        <v>130</v>
      </c>
      <c r="V51" s="31" t="s">
        <v>131</v>
      </c>
      <c r="W51" s="31" t="s">
        <v>132</v>
      </c>
      <c r="X51" s="31" t="s">
        <v>133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3C57-B6F8-41BA-8EFB-4524E480DEF7}">
  <dimension ref="A1:B44"/>
  <sheetViews>
    <sheetView topLeftCell="A27" workbookViewId="0">
      <selection activeCell="G14" sqref="G14"/>
    </sheetView>
  </sheetViews>
  <sheetFormatPr defaultRowHeight="14.5" x14ac:dyDescent="0.35"/>
  <cols>
    <col min="1" max="1" width="12.6328125" bestFit="1" customWidth="1"/>
  </cols>
  <sheetData>
    <row r="1" spans="1:2" s="10" customFormat="1" ht="29" x14ac:dyDescent="0.35">
      <c r="A1" s="10" t="s">
        <v>0</v>
      </c>
      <c r="B1" s="10" t="s">
        <v>120</v>
      </c>
    </row>
    <row r="2" spans="1:2" x14ac:dyDescent="0.35">
      <c r="A2" t="s">
        <v>38</v>
      </c>
    </row>
    <row r="3" spans="1:2" x14ac:dyDescent="0.35">
      <c r="A3" t="s">
        <v>40</v>
      </c>
    </row>
    <row r="4" spans="1:2" x14ac:dyDescent="0.35">
      <c r="A4" t="s">
        <v>41</v>
      </c>
    </row>
    <row r="5" spans="1:2" x14ac:dyDescent="0.35">
      <c r="A5" t="s">
        <v>43</v>
      </c>
    </row>
    <row r="6" spans="1:2" x14ac:dyDescent="0.35">
      <c r="A6" t="s">
        <v>45</v>
      </c>
    </row>
    <row r="7" spans="1:2" x14ac:dyDescent="0.35">
      <c r="A7" t="s">
        <v>47</v>
      </c>
    </row>
    <row r="8" spans="1:2" x14ac:dyDescent="0.35">
      <c r="A8" t="s">
        <v>48</v>
      </c>
    </row>
    <row r="9" spans="1:2" x14ac:dyDescent="0.35">
      <c r="A9" t="s">
        <v>121</v>
      </c>
    </row>
    <row r="10" spans="1:2" x14ac:dyDescent="0.35">
      <c r="A10" t="s">
        <v>51</v>
      </c>
    </row>
    <row r="11" spans="1:2" x14ac:dyDescent="0.35">
      <c r="A11" t="s">
        <v>54</v>
      </c>
    </row>
    <row r="12" spans="1:2" x14ac:dyDescent="0.35">
      <c r="A12" t="s">
        <v>55</v>
      </c>
      <c r="B12">
        <v>37</v>
      </c>
    </row>
    <row r="13" spans="1:2" x14ac:dyDescent="0.35">
      <c r="A13" t="s">
        <v>56</v>
      </c>
    </row>
    <row r="14" spans="1:2" x14ac:dyDescent="0.35">
      <c r="A14" t="s">
        <v>60</v>
      </c>
      <c r="B14">
        <v>30</v>
      </c>
    </row>
    <row r="15" spans="1:2" x14ac:dyDescent="0.35">
      <c r="A15" t="s">
        <v>61</v>
      </c>
    </row>
    <row r="16" spans="1:2" x14ac:dyDescent="0.35">
      <c r="A16" t="s">
        <v>62</v>
      </c>
      <c r="B16">
        <v>185</v>
      </c>
    </row>
    <row r="17" spans="1:2" x14ac:dyDescent="0.35">
      <c r="A17" t="s">
        <v>64</v>
      </c>
    </row>
    <row r="18" spans="1:2" x14ac:dyDescent="0.35">
      <c r="A18" t="s">
        <v>65</v>
      </c>
    </row>
    <row r="19" spans="1:2" x14ac:dyDescent="0.35">
      <c r="A19" t="s">
        <v>67</v>
      </c>
      <c r="B19">
        <v>51</v>
      </c>
    </row>
    <row r="20" spans="1:2" x14ac:dyDescent="0.35">
      <c r="A20" t="s">
        <v>68</v>
      </c>
    </row>
    <row r="21" spans="1:2" x14ac:dyDescent="0.35">
      <c r="A21" t="s">
        <v>70</v>
      </c>
    </row>
    <row r="22" spans="1:2" x14ac:dyDescent="0.35">
      <c r="A22" t="s">
        <v>72</v>
      </c>
      <c r="B22">
        <v>8</v>
      </c>
    </row>
    <row r="23" spans="1:2" x14ac:dyDescent="0.35">
      <c r="A23" t="s">
        <v>71</v>
      </c>
      <c r="B23">
        <v>36</v>
      </c>
    </row>
    <row r="24" spans="1:2" x14ac:dyDescent="0.35">
      <c r="A24" t="s">
        <v>74</v>
      </c>
    </row>
    <row r="25" spans="1:2" x14ac:dyDescent="0.35">
      <c r="A25" t="s">
        <v>76</v>
      </c>
      <c r="B25">
        <v>48</v>
      </c>
    </row>
    <row r="26" spans="1:2" x14ac:dyDescent="0.35">
      <c r="A26" t="s">
        <v>78</v>
      </c>
      <c r="B26">
        <v>22</v>
      </c>
    </row>
    <row r="27" spans="1:2" x14ac:dyDescent="0.35">
      <c r="A27" t="s">
        <v>79</v>
      </c>
    </row>
    <row r="28" spans="1:2" x14ac:dyDescent="0.35">
      <c r="A28" t="s">
        <v>81</v>
      </c>
    </row>
    <row r="29" spans="1:2" x14ac:dyDescent="0.35">
      <c r="A29" t="s">
        <v>83</v>
      </c>
    </row>
    <row r="30" spans="1:2" x14ac:dyDescent="0.35">
      <c r="A30" t="s">
        <v>85</v>
      </c>
    </row>
    <row r="31" spans="1:2" x14ac:dyDescent="0.35">
      <c r="A31" t="s">
        <v>86</v>
      </c>
    </row>
    <row r="32" spans="1:2" x14ac:dyDescent="0.35">
      <c r="A32" t="s">
        <v>88</v>
      </c>
    </row>
    <row r="33" spans="1:2" x14ac:dyDescent="0.35">
      <c r="A33" t="s">
        <v>90</v>
      </c>
      <c r="B33">
        <v>194</v>
      </c>
    </row>
    <row r="34" spans="1:2" x14ac:dyDescent="0.35">
      <c r="A34" t="s">
        <v>91</v>
      </c>
    </row>
    <row r="35" spans="1:2" x14ac:dyDescent="0.35">
      <c r="A35" t="s">
        <v>95</v>
      </c>
    </row>
    <row r="36" spans="1:2" x14ac:dyDescent="0.35">
      <c r="A36" t="s">
        <v>97</v>
      </c>
    </row>
    <row r="37" spans="1:2" x14ac:dyDescent="0.35">
      <c r="A37" t="s">
        <v>99</v>
      </c>
    </row>
    <row r="38" spans="1:2" x14ac:dyDescent="0.35">
      <c r="A38" t="s">
        <v>101</v>
      </c>
    </row>
    <row r="39" spans="1:2" x14ac:dyDescent="0.35">
      <c r="A39" t="s">
        <v>103</v>
      </c>
      <c r="B39">
        <v>38</v>
      </c>
    </row>
    <row r="40" spans="1:2" x14ac:dyDescent="0.35">
      <c r="A40" t="s">
        <v>105</v>
      </c>
    </row>
    <row r="41" spans="1:2" x14ac:dyDescent="0.35">
      <c r="A41" t="s">
        <v>106</v>
      </c>
      <c r="B41">
        <v>61</v>
      </c>
    </row>
    <row r="42" spans="1:2" x14ac:dyDescent="0.35">
      <c r="A42" t="s">
        <v>108</v>
      </c>
    </row>
    <row r="43" spans="1:2" x14ac:dyDescent="0.35">
      <c r="A43" t="s">
        <v>109</v>
      </c>
      <c r="B43">
        <v>64</v>
      </c>
    </row>
    <row r="44" spans="1:2" x14ac:dyDescent="0.35">
      <c r="A44" t="s">
        <v>25</v>
      </c>
      <c r="B44">
        <f>SUM(B2:B43)</f>
        <v>774</v>
      </c>
    </row>
  </sheetData>
  <autoFilter ref="A1:B1" xr:uid="{60A13C57-B6F8-41BA-8EFB-4524E480DEF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FB24-1611-4DE1-A0A5-6FECF146F626}">
  <dimension ref="A1:O48"/>
  <sheetViews>
    <sheetView workbookViewId="0">
      <selection activeCell="H16" sqref="H16"/>
    </sheetView>
  </sheetViews>
  <sheetFormatPr defaultRowHeight="14.5" x14ac:dyDescent="0.35"/>
  <cols>
    <col min="1" max="1" width="29.36328125" bestFit="1" customWidth="1"/>
  </cols>
  <sheetData>
    <row r="1" spans="1:15" x14ac:dyDescent="0.35">
      <c r="A1" t="s">
        <v>33</v>
      </c>
      <c r="B1" t="s">
        <v>136</v>
      </c>
      <c r="C1" t="s">
        <v>137</v>
      </c>
      <c r="D1" t="s">
        <v>138</v>
      </c>
      <c r="E1" t="s">
        <v>120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32</v>
      </c>
      <c r="O1" t="s">
        <v>147</v>
      </c>
    </row>
    <row r="2" spans="1:15" x14ac:dyDescent="0.35">
      <c r="A2" t="s">
        <v>36</v>
      </c>
      <c r="B2" t="s">
        <v>24</v>
      </c>
      <c r="C2">
        <v>0</v>
      </c>
      <c r="N2">
        <v>0</v>
      </c>
      <c r="O2" t="s">
        <v>148</v>
      </c>
    </row>
    <row r="3" spans="1:15" x14ac:dyDescent="0.35">
      <c r="A3" t="s">
        <v>38</v>
      </c>
      <c r="B3" t="s">
        <v>39</v>
      </c>
      <c r="C3">
        <v>611</v>
      </c>
      <c r="E3">
        <v>145</v>
      </c>
      <c r="G3">
        <v>529</v>
      </c>
      <c r="J3">
        <v>2950</v>
      </c>
      <c r="N3">
        <v>4235</v>
      </c>
      <c r="O3" t="s">
        <v>149</v>
      </c>
    </row>
    <row r="4" spans="1:15" x14ac:dyDescent="0.35">
      <c r="A4" t="s">
        <v>40</v>
      </c>
      <c r="B4" t="s">
        <v>23</v>
      </c>
      <c r="C4">
        <v>780</v>
      </c>
      <c r="D4">
        <v>385</v>
      </c>
      <c r="G4">
        <v>143</v>
      </c>
      <c r="I4">
        <v>247</v>
      </c>
      <c r="J4">
        <v>257</v>
      </c>
      <c r="K4">
        <v>1113</v>
      </c>
      <c r="M4">
        <v>1194</v>
      </c>
      <c r="N4">
        <v>4119</v>
      </c>
      <c r="O4" t="s">
        <v>150</v>
      </c>
    </row>
    <row r="5" spans="1:15" x14ac:dyDescent="0.35">
      <c r="A5" t="s">
        <v>41</v>
      </c>
      <c r="B5" t="s">
        <v>2</v>
      </c>
      <c r="C5">
        <v>60</v>
      </c>
      <c r="D5">
        <v>48</v>
      </c>
      <c r="E5">
        <v>7</v>
      </c>
      <c r="F5">
        <v>10</v>
      </c>
      <c r="G5">
        <v>95</v>
      </c>
      <c r="H5">
        <v>60</v>
      </c>
      <c r="I5">
        <v>40</v>
      </c>
      <c r="J5">
        <v>490</v>
      </c>
      <c r="K5">
        <v>189</v>
      </c>
      <c r="L5">
        <v>30</v>
      </c>
      <c r="M5">
        <v>597</v>
      </c>
      <c r="N5">
        <v>1626</v>
      </c>
      <c r="O5" t="s">
        <v>151</v>
      </c>
    </row>
    <row r="6" spans="1:15" x14ac:dyDescent="0.35">
      <c r="A6" t="s">
        <v>43</v>
      </c>
      <c r="B6" t="s">
        <v>1</v>
      </c>
      <c r="C6">
        <v>1492</v>
      </c>
      <c r="D6">
        <v>385</v>
      </c>
      <c r="E6">
        <v>62</v>
      </c>
      <c r="G6">
        <v>594</v>
      </c>
      <c r="I6">
        <v>1170</v>
      </c>
      <c r="J6">
        <v>1170</v>
      </c>
      <c r="N6">
        <v>4873</v>
      </c>
      <c r="O6" t="s">
        <v>148</v>
      </c>
    </row>
    <row r="7" spans="1:15" x14ac:dyDescent="0.35">
      <c r="A7" t="s">
        <v>45</v>
      </c>
      <c r="B7" t="s">
        <v>46</v>
      </c>
      <c r="C7">
        <v>325</v>
      </c>
      <c r="D7">
        <v>240</v>
      </c>
      <c r="G7">
        <v>39</v>
      </c>
      <c r="I7">
        <v>196</v>
      </c>
      <c r="J7">
        <v>1467</v>
      </c>
      <c r="K7">
        <v>322</v>
      </c>
      <c r="M7">
        <v>194</v>
      </c>
      <c r="N7">
        <v>2783</v>
      </c>
      <c r="O7" t="s">
        <v>152</v>
      </c>
    </row>
    <row r="8" spans="1:15" x14ac:dyDescent="0.35">
      <c r="A8" t="s">
        <v>47</v>
      </c>
      <c r="B8" t="s">
        <v>4</v>
      </c>
      <c r="C8">
        <v>800</v>
      </c>
      <c r="J8">
        <v>2660</v>
      </c>
      <c r="K8">
        <v>800</v>
      </c>
      <c r="N8">
        <v>4260</v>
      </c>
      <c r="O8" t="s">
        <v>148</v>
      </c>
    </row>
    <row r="9" spans="1:15" x14ac:dyDescent="0.35">
      <c r="A9" t="s">
        <v>153</v>
      </c>
      <c r="B9" t="s">
        <v>6</v>
      </c>
      <c r="F9">
        <v>7</v>
      </c>
      <c r="M9">
        <v>83</v>
      </c>
      <c r="N9">
        <v>90</v>
      </c>
      <c r="O9" t="s">
        <v>148</v>
      </c>
    </row>
    <row r="10" spans="1:15" x14ac:dyDescent="0.35">
      <c r="A10" t="s">
        <v>49</v>
      </c>
      <c r="B10" t="s">
        <v>50</v>
      </c>
      <c r="C10">
        <v>18</v>
      </c>
      <c r="N10">
        <v>18</v>
      </c>
      <c r="O10" t="s">
        <v>148</v>
      </c>
    </row>
    <row r="11" spans="1:15" x14ac:dyDescent="0.35">
      <c r="A11" t="s">
        <v>51</v>
      </c>
      <c r="B11" t="s">
        <v>18</v>
      </c>
      <c r="C11">
        <v>330</v>
      </c>
      <c r="D11">
        <v>30</v>
      </c>
      <c r="G11">
        <v>80</v>
      </c>
      <c r="H11">
        <v>180</v>
      </c>
      <c r="I11">
        <v>2084</v>
      </c>
      <c r="J11">
        <v>2920</v>
      </c>
      <c r="K11">
        <v>220</v>
      </c>
      <c r="N11">
        <v>5844</v>
      </c>
      <c r="O11" t="s">
        <v>148</v>
      </c>
    </row>
    <row r="12" spans="1:15" x14ac:dyDescent="0.35">
      <c r="A12" t="s">
        <v>52</v>
      </c>
      <c r="B12" t="s">
        <v>53</v>
      </c>
      <c r="I12">
        <v>29</v>
      </c>
      <c r="J12">
        <v>40</v>
      </c>
      <c r="N12">
        <v>69</v>
      </c>
      <c r="O12" t="s">
        <v>154</v>
      </c>
    </row>
    <row r="13" spans="1:15" x14ac:dyDescent="0.35">
      <c r="A13" t="s">
        <v>54</v>
      </c>
      <c r="B13" t="s">
        <v>5</v>
      </c>
      <c r="C13">
        <v>60</v>
      </c>
      <c r="D13">
        <v>315</v>
      </c>
      <c r="F13">
        <v>10</v>
      </c>
      <c r="H13">
        <v>5</v>
      </c>
      <c r="I13">
        <v>120</v>
      </c>
      <c r="J13">
        <v>60</v>
      </c>
      <c r="L13">
        <v>50</v>
      </c>
      <c r="M13">
        <v>408</v>
      </c>
      <c r="N13">
        <v>1028</v>
      </c>
      <c r="O13" t="s">
        <v>151</v>
      </c>
    </row>
    <row r="14" spans="1:15" x14ac:dyDescent="0.35">
      <c r="A14" t="s">
        <v>55</v>
      </c>
      <c r="B14" t="s">
        <v>3</v>
      </c>
      <c r="C14">
        <v>254</v>
      </c>
      <c r="D14">
        <v>48</v>
      </c>
      <c r="H14">
        <v>151</v>
      </c>
      <c r="J14">
        <v>1007</v>
      </c>
      <c r="K14">
        <v>1106</v>
      </c>
      <c r="M14">
        <v>450</v>
      </c>
      <c r="N14">
        <v>3016</v>
      </c>
      <c r="O14" t="s">
        <v>148</v>
      </c>
    </row>
    <row r="15" spans="1:15" x14ac:dyDescent="0.35">
      <c r="A15" t="s">
        <v>155</v>
      </c>
      <c r="B15" t="s">
        <v>57</v>
      </c>
      <c r="C15">
        <v>6020</v>
      </c>
      <c r="E15">
        <v>66</v>
      </c>
      <c r="G15">
        <v>178</v>
      </c>
      <c r="H15">
        <v>328</v>
      </c>
      <c r="I15">
        <v>3453</v>
      </c>
      <c r="J15">
        <v>24061</v>
      </c>
      <c r="K15">
        <v>2571</v>
      </c>
      <c r="M15">
        <v>3151</v>
      </c>
      <c r="N15">
        <v>39828</v>
      </c>
      <c r="O15" t="s">
        <v>148</v>
      </c>
    </row>
    <row r="16" spans="1:15" x14ac:dyDescent="0.35">
      <c r="A16" t="s">
        <v>58</v>
      </c>
      <c r="B16" t="s">
        <v>59</v>
      </c>
      <c r="C16">
        <v>767</v>
      </c>
      <c r="I16">
        <v>492</v>
      </c>
      <c r="J16">
        <v>962</v>
      </c>
      <c r="K16">
        <v>27</v>
      </c>
      <c r="M16">
        <v>1304</v>
      </c>
      <c r="N16">
        <v>3552</v>
      </c>
      <c r="O16" t="s">
        <v>148</v>
      </c>
    </row>
    <row r="17" spans="1:15" x14ac:dyDescent="0.35">
      <c r="A17" t="s">
        <v>60</v>
      </c>
      <c r="B17" t="s">
        <v>7</v>
      </c>
      <c r="J17">
        <v>400</v>
      </c>
      <c r="M17">
        <v>1023</v>
      </c>
      <c r="N17">
        <v>1423</v>
      </c>
      <c r="O17" t="s">
        <v>156</v>
      </c>
    </row>
    <row r="18" spans="1:15" x14ac:dyDescent="0.35">
      <c r="A18" t="s">
        <v>61</v>
      </c>
      <c r="B18" t="s">
        <v>16</v>
      </c>
      <c r="G18">
        <v>44</v>
      </c>
      <c r="H18">
        <v>30</v>
      </c>
      <c r="I18">
        <v>80</v>
      </c>
      <c r="J18">
        <v>160</v>
      </c>
      <c r="K18">
        <v>78</v>
      </c>
      <c r="M18">
        <v>58</v>
      </c>
      <c r="N18">
        <v>450</v>
      </c>
      <c r="O18" t="s">
        <v>148</v>
      </c>
    </row>
    <row r="19" spans="1:15" x14ac:dyDescent="0.35">
      <c r="A19" t="s">
        <v>62</v>
      </c>
      <c r="B19" t="s">
        <v>63</v>
      </c>
      <c r="C19">
        <v>3114</v>
      </c>
      <c r="D19">
        <v>880</v>
      </c>
      <c r="E19">
        <v>189</v>
      </c>
      <c r="F19">
        <v>64</v>
      </c>
      <c r="G19">
        <v>699</v>
      </c>
      <c r="H19">
        <v>2878</v>
      </c>
      <c r="I19">
        <v>2440</v>
      </c>
      <c r="J19">
        <v>6298</v>
      </c>
      <c r="K19">
        <v>1220</v>
      </c>
      <c r="L19">
        <v>1613</v>
      </c>
      <c r="M19">
        <v>3672</v>
      </c>
      <c r="N19">
        <v>23067</v>
      </c>
      <c r="O19" t="s">
        <v>157</v>
      </c>
    </row>
    <row r="20" spans="1:15" x14ac:dyDescent="0.35">
      <c r="A20" t="s">
        <v>64</v>
      </c>
      <c r="B20" t="s">
        <v>8</v>
      </c>
      <c r="C20">
        <v>46</v>
      </c>
      <c r="D20">
        <v>16</v>
      </c>
      <c r="G20">
        <v>2</v>
      </c>
      <c r="I20">
        <v>34</v>
      </c>
      <c r="J20">
        <v>95</v>
      </c>
      <c r="K20">
        <v>6</v>
      </c>
      <c r="N20">
        <v>199</v>
      </c>
      <c r="O20" t="s">
        <v>148</v>
      </c>
    </row>
    <row r="21" spans="1:15" x14ac:dyDescent="0.35">
      <c r="A21" t="s">
        <v>65</v>
      </c>
      <c r="B21" t="s">
        <v>66</v>
      </c>
      <c r="C21">
        <v>23</v>
      </c>
      <c r="J21">
        <v>137</v>
      </c>
      <c r="K21">
        <v>6</v>
      </c>
      <c r="N21">
        <v>166</v>
      </c>
      <c r="O21" t="s">
        <v>148</v>
      </c>
    </row>
    <row r="22" spans="1:15" x14ac:dyDescent="0.35">
      <c r="A22" t="s">
        <v>67</v>
      </c>
      <c r="B22" t="s">
        <v>9</v>
      </c>
      <c r="C22">
        <v>1566</v>
      </c>
      <c r="G22">
        <v>343</v>
      </c>
      <c r="I22">
        <v>4827</v>
      </c>
      <c r="J22">
        <v>21271</v>
      </c>
      <c r="K22">
        <v>396</v>
      </c>
      <c r="N22">
        <v>28403</v>
      </c>
      <c r="O22" t="s">
        <v>158</v>
      </c>
    </row>
    <row r="23" spans="1:15" x14ac:dyDescent="0.35">
      <c r="A23" t="s">
        <v>68</v>
      </c>
      <c r="B23" t="s">
        <v>69</v>
      </c>
      <c r="C23">
        <v>767</v>
      </c>
      <c r="D23">
        <v>74</v>
      </c>
      <c r="G23">
        <v>113</v>
      </c>
      <c r="H23">
        <v>34</v>
      </c>
      <c r="I23">
        <v>492</v>
      </c>
      <c r="J23">
        <v>964</v>
      </c>
      <c r="K23">
        <v>27</v>
      </c>
      <c r="M23">
        <v>1304</v>
      </c>
      <c r="N23">
        <v>3775</v>
      </c>
      <c r="O23" t="s">
        <v>148</v>
      </c>
    </row>
    <row r="24" spans="1:15" x14ac:dyDescent="0.35">
      <c r="A24" t="s">
        <v>70</v>
      </c>
      <c r="B24" t="s">
        <v>10</v>
      </c>
      <c r="K24">
        <v>23</v>
      </c>
      <c r="M24">
        <v>489</v>
      </c>
      <c r="N24">
        <v>512</v>
      </c>
      <c r="O24" t="s">
        <v>148</v>
      </c>
    </row>
    <row r="25" spans="1:15" x14ac:dyDescent="0.35">
      <c r="A25" t="s">
        <v>71</v>
      </c>
      <c r="B25" t="s">
        <v>11</v>
      </c>
      <c r="C25">
        <v>558</v>
      </c>
      <c r="E25">
        <v>36</v>
      </c>
      <c r="G25">
        <v>379</v>
      </c>
      <c r="H25">
        <v>20</v>
      </c>
      <c r="J25">
        <v>1070</v>
      </c>
      <c r="K25">
        <v>519</v>
      </c>
      <c r="M25">
        <v>366</v>
      </c>
      <c r="N25">
        <v>2948</v>
      </c>
      <c r="O25" t="s">
        <v>159</v>
      </c>
    </row>
    <row r="26" spans="1:15" x14ac:dyDescent="0.35">
      <c r="A26" t="s">
        <v>72</v>
      </c>
      <c r="B26" t="s">
        <v>73</v>
      </c>
      <c r="C26">
        <v>8</v>
      </c>
      <c r="D26">
        <v>22</v>
      </c>
      <c r="E26">
        <v>8</v>
      </c>
      <c r="G26">
        <v>33</v>
      </c>
      <c r="H26">
        <v>20</v>
      </c>
      <c r="I26">
        <v>69</v>
      </c>
      <c r="J26">
        <v>376</v>
      </c>
      <c r="K26">
        <v>20</v>
      </c>
      <c r="N26">
        <v>556</v>
      </c>
      <c r="O26" t="s">
        <v>148</v>
      </c>
    </row>
    <row r="27" spans="1:15" x14ac:dyDescent="0.35">
      <c r="A27" t="s">
        <v>74</v>
      </c>
      <c r="B27" t="s">
        <v>75</v>
      </c>
      <c r="C27">
        <v>29</v>
      </c>
      <c r="D27">
        <v>50</v>
      </c>
      <c r="G27">
        <v>22</v>
      </c>
      <c r="J27">
        <v>63</v>
      </c>
      <c r="K27">
        <v>56</v>
      </c>
      <c r="M27">
        <v>50</v>
      </c>
      <c r="N27">
        <v>270</v>
      </c>
      <c r="O27" t="s">
        <v>148</v>
      </c>
    </row>
    <row r="28" spans="1:15" x14ac:dyDescent="0.35">
      <c r="A28" t="s">
        <v>76</v>
      </c>
      <c r="B28" t="s">
        <v>77</v>
      </c>
      <c r="C28">
        <v>316</v>
      </c>
      <c r="D28">
        <v>156</v>
      </c>
      <c r="I28">
        <v>2473</v>
      </c>
      <c r="J28">
        <v>2540</v>
      </c>
      <c r="K28">
        <v>116</v>
      </c>
      <c r="M28">
        <v>297</v>
      </c>
      <c r="N28">
        <v>5898</v>
      </c>
      <c r="O28" t="s">
        <v>148</v>
      </c>
    </row>
    <row r="29" spans="1:15" x14ac:dyDescent="0.35">
      <c r="A29" t="s">
        <v>78</v>
      </c>
      <c r="B29" t="s">
        <v>13</v>
      </c>
      <c r="C29">
        <v>115</v>
      </c>
      <c r="D29">
        <v>167</v>
      </c>
      <c r="G29">
        <v>110</v>
      </c>
      <c r="H29">
        <v>189</v>
      </c>
      <c r="I29">
        <v>1171</v>
      </c>
      <c r="J29">
        <v>386</v>
      </c>
      <c r="K29">
        <v>175</v>
      </c>
      <c r="M29">
        <v>616</v>
      </c>
      <c r="N29">
        <v>2929</v>
      </c>
      <c r="O29" t="s">
        <v>148</v>
      </c>
    </row>
    <row r="30" spans="1:15" x14ac:dyDescent="0.35">
      <c r="A30" t="s">
        <v>79</v>
      </c>
      <c r="B30" t="s">
        <v>80</v>
      </c>
      <c r="N30">
        <v>0</v>
      </c>
      <c r="O30" t="s">
        <v>148</v>
      </c>
    </row>
    <row r="31" spans="1:15" x14ac:dyDescent="0.35">
      <c r="A31" t="s">
        <v>81</v>
      </c>
      <c r="B31" t="s">
        <v>82</v>
      </c>
      <c r="D31">
        <v>76</v>
      </c>
      <c r="J31">
        <v>113</v>
      </c>
      <c r="M31">
        <v>366</v>
      </c>
      <c r="N31">
        <v>555</v>
      </c>
      <c r="O31" t="s">
        <v>148</v>
      </c>
    </row>
    <row r="32" spans="1:15" x14ac:dyDescent="0.35">
      <c r="A32" t="s">
        <v>83</v>
      </c>
      <c r="B32" t="s">
        <v>84</v>
      </c>
      <c r="C32">
        <v>432</v>
      </c>
      <c r="I32">
        <v>40</v>
      </c>
      <c r="J32">
        <v>175</v>
      </c>
      <c r="M32">
        <v>39</v>
      </c>
      <c r="N32">
        <v>686</v>
      </c>
      <c r="O32" t="s">
        <v>160</v>
      </c>
    </row>
    <row r="33" spans="1:15" x14ac:dyDescent="0.35">
      <c r="A33" t="s">
        <v>85</v>
      </c>
      <c r="B33" t="s">
        <v>12</v>
      </c>
      <c r="C33">
        <v>819</v>
      </c>
      <c r="D33">
        <v>146</v>
      </c>
      <c r="E33">
        <v>161</v>
      </c>
      <c r="H33">
        <v>112</v>
      </c>
      <c r="I33">
        <v>140</v>
      </c>
      <c r="J33">
        <v>580</v>
      </c>
      <c r="K33">
        <v>248</v>
      </c>
      <c r="L33">
        <v>20</v>
      </c>
      <c r="N33">
        <v>2226</v>
      </c>
      <c r="O33" t="s">
        <v>161</v>
      </c>
    </row>
    <row r="34" spans="1:15" x14ac:dyDescent="0.35">
      <c r="A34" t="s">
        <v>86</v>
      </c>
      <c r="B34" t="s">
        <v>87</v>
      </c>
      <c r="C34">
        <v>475</v>
      </c>
      <c r="D34">
        <v>3</v>
      </c>
      <c r="G34">
        <v>247</v>
      </c>
      <c r="H34">
        <v>31</v>
      </c>
      <c r="I34">
        <v>1414</v>
      </c>
      <c r="J34">
        <v>200</v>
      </c>
      <c r="K34">
        <v>121</v>
      </c>
      <c r="M34">
        <v>175</v>
      </c>
      <c r="N34">
        <v>2666</v>
      </c>
      <c r="O34" t="s">
        <v>162</v>
      </c>
    </row>
    <row r="35" spans="1:15" x14ac:dyDescent="0.35">
      <c r="A35" t="s">
        <v>88</v>
      </c>
      <c r="B35" t="s">
        <v>89</v>
      </c>
      <c r="C35">
        <v>370</v>
      </c>
      <c r="D35">
        <v>14</v>
      </c>
      <c r="I35">
        <v>124</v>
      </c>
      <c r="J35">
        <v>305</v>
      </c>
      <c r="K35">
        <v>45</v>
      </c>
      <c r="M35">
        <v>1891</v>
      </c>
      <c r="N35">
        <v>2749</v>
      </c>
      <c r="O35" t="s">
        <v>163</v>
      </c>
    </row>
    <row r="36" spans="1:15" x14ac:dyDescent="0.35">
      <c r="A36" t="s">
        <v>90</v>
      </c>
      <c r="B36" t="s">
        <v>14</v>
      </c>
      <c r="C36">
        <v>4340</v>
      </c>
      <c r="E36">
        <v>459</v>
      </c>
      <c r="I36">
        <v>375</v>
      </c>
      <c r="J36">
        <v>12835</v>
      </c>
      <c r="K36">
        <v>1774</v>
      </c>
      <c r="N36">
        <v>19783</v>
      </c>
      <c r="O36" t="s">
        <v>148</v>
      </c>
    </row>
    <row r="37" spans="1:15" x14ac:dyDescent="0.35">
      <c r="A37" t="s">
        <v>91</v>
      </c>
      <c r="B37" t="s">
        <v>92</v>
      </c>
      <c r="C37">
        <v>11</v>
      </c>
      <c r="G37">
        <v>95</v>
      </c>
      <c r="I37">
        <v>176</v>
      </c>
      <c r="J37">
        <v>355</v>
      </c>
      <c r="M37">
        <v>81</v>
      </c>
      <c r="N37">
        <v>718</v>
      </c>
      <c r="O37" t="s">
        <v>148</v>
      </c>
    </row>
    <row r="38" spans="1:15" x14ac:dyDescent="0.35">
      <c r="A38" t="s">
        <v>93</v>
      </c>
      <c r="B38" t="s">
        <v>94</v>
      </c>
      <c r="N38">
        <v>0</v>
      </c>
      <c r="O38" t="s">
        <v>148</v>
      </c>
    </row>
    <row r="39" spans="1:15" x14ac:dyDescent="0.35">
      <c r="A39" t="s">
        <v>95</v>
      </c>
      <c r="B39" t="s">
        <v>15</v>
      </c>
      <c r="C39">
        <v>434</v>
      </c>
      <c r="D39">
        <v>137</v>
      </c>
      <c r="E39">
        <v>67</v>
      </c>
      <c r="G39">
        <v>171</v>
      </c>
      <c r="I39">
        <v>104</v>
      </c>
      <c r="J39">
        <v>582</v>
      </c>
      <c r="K39">
        <v>36</v>
      </c>
      <c r="M39">
        <v>710</v>
      </c>
      <c r="N39">
        <v>2241</v>
      </c>
      <c r="O39" t="s">
        <v>148</v>
      </c>
    </row>
    <row r="40" spans="1:15" x14ac:dyDescent="0.35">
      <c r="A40" t="s">
        <v>96</v>
      </c>
      <c r="B40" t="s">
        <v>17</v>
      </c>
      <c r="C40">
        <v>10</v>
      </c>
      <c r="H40">
        <v>20</v>
      </c>
      <c r="I40">
        <v>10</v>
      </c>
      <c r="J40">
        <v>40</v>
      </c>
      <c r="M40">
        <v>80</v>
      </c>
      <c r="N40">
        <v>160</v>
      </c>
      <c r="O40" t="s">
        <v>148</v>
      </c>
    </row>
    <row r="41" spans="1:15" x14ac:dyDescent="0.35">
      <c r="A41" t="s">
        <v>97</v>
      </c>
      <c r="B41" t="s">
        <v>98</v>
      </c>
      <c r="C41">
        <v>217</v>
      </c>
      <c r="G41">
        <v>69</v>
      </c>
      <c r="H41">
        <v>51</v>
      </c>
      <c r="I41">
        <v>120</v>
      </c>
      <c r="J41">
        <v>1755</v>
      </c>
      <c r="K41">
        <v>90</v>
      </c>
      <c r="M41">
        <v>186</v>
      </c>
      <c r="N41">
        <v>2488</v>
      </c>
      <c r="O41" t="s">
        <v>148</v>
      </c>
    </row>
    <row r="42" spans="1:15" x14ac:dyDescent="0.35">
      <c r="A42" t="s">
        <v>99</v>
      </c>
      <c r="B42" t="s">
        <v>100</v>
      </c>
      <c r="C42">
        <v>998</v>
      </c>
      <c r="E42">
        <v>805</v>
      </c>
      <c r="G42">
        <v>1291</v>
      </c>
      <c r="J42">
        <v>3154</v>
      </c>
      <c r="K42">
        <v>451</v>
      </c>
      <c r="M42">
        <v>13559</v>
      </c>
      <c r="N42">
        <v>20258</v>
      </c>
      <c r="O42" t="s">
        <v>164</v>
      </c>
    </row>
    <row r="43" spans="1:15" x14ac:dyDescent="0.35">
      <c r="A43" t="s">
        <v>101</v>
      </c>
      <c r="B43" t="s">
        <v>102</v>
      </c>
      <c r="I43">
        <v>307</v>
      </c>
      <c r="J43">
        <v>241</v>
      </c>
      <c r="K43">
        <v>681</v>
      </c>
      <c r="M43">
        <v>484</v>
      </c>
      <c r="N43">
        <v>1713</v>
      </c>
      <c r="O43" t="s">
        <v>148</v>
      </c>
    </row>
    <row r="44" spans="1:15" x14ac:dyDescent="0.35">
      <c r="A44" t="s">
        <v>103</v>
      </c>
      <c r="B44" t="s">
        <v>104</v>
      </c>
      <c r="C44">
        <v>330</v>
      </c>
      <c r="D44">
        <v>1597</v>
      </c>
      <c r="E44">
        <v>80</v>
      </c>
      <c r="H44">
        <v>629</v>
      </c>
      <c r="I44">
        <v>2084</v>
      </c>
      <c r="J44">
        <v>2920</v>
      </c>
      <c r="K44">
        <v>17</v>
      </c>
      <c r="M44">
        <v>5457</v>
      </c>
      <c r="N44">
        <v>13114</v>
      </c>
      <c r="O44" t="s">
        <v>165</v>
      </c>
    </row>
    <row r="45" spans="1:15" x14ac:dyDescent="0.35">
      <c r="A45" t="s">
        <v>105</v>
      </c>
      <c r="B45" t="s">
        <v>19</v>
      </c>
      <c r="C45">
        <v>77</v>
      </c>
      <c r="D45">
        <v>37</v>
      </c>
      <c r="G45">
        <v>60</v>
      </c>
      <c r="I45">
        <v>130</v>
      </c>
      <c r="J45">
        <v>240</v>
      </c>
      <c r="K45">
        <v>215</v>
      </c>
      <c r="M45">
        <v>250</v>
      </c>
      <c r="N45">
        <v>1009</v>
      </c>
      <c r="O45" t="s">
        <v>166</v>
      </c>
    </row>
    <row r="46" spans="1:15" x14ac:dyDescent="0.35">
      <c r="A46" t="s">
        <v>106</v>
      </c>
      <c r="B46" t="s">
        <v>107</v>
      </c>
      <c r="C46">
        <v>1997</v>
      </c>
      <c r="D46">
        <v>246</v>
      </c>
      <c r="E46">
        <v>41</v>
      </c>
      <c r="F46">
        <v>220</v>
      </c>
      <c r="G46">
        <v>120</v>
      </c>
      <c r="H46">
        <v>1860</v>
      </c>
      <c r="I46">
        <v>8990</v>
      </c>
      <c r="J46">
        <v>14001</v>
      </c>
      <c r="K46">
        <v>3610</v>
      </c>
      <c r="M46">
        <v>1020</v>
      </c>
      <c r="N46">
        <v>32105</v>
      </c>
      <c r="O46" t="s">
        <v>148</v>
      </c>
    </row>
    <row r="47" spans="1:15" x14ac:dyDescent="0.35">
      <c r="A47" t="s">
        <v>108</v>
      </c>
      <c r="B47" t="s">
        <v>20</v>
      </c>
      <c r="C47">
        <v>100</v>
      </c>
      <c r="F47">
        <v>36</v>
      </c>
      <c r="H47">
        <v>180</v>
      </c>
      <c r="I47">
        <v>1939</v>
      </c>
      <c r="J47">
        <v>5272</v>
      </c>
      <c r="K47">
        <v>282</v>
      </c>
      <c r="L47">
        <v>100</v>
      </c>
      <c r="M47">
        <v>400</v>
      </c>
      <c r="N47">
        <v>8309</v>
      </c>
      <c r="O47" t="s">
        <v>167</v>
      </c>
    </row>
    <row r="48" spans="1:15" x14ac:dyDescent="0.35">
      <c r="A48" t="s">
        <v>109</v>
      </c>
      <c r="B48" t="s">
        <v>21</v>
      </c>
      <c r="C48">
        <v>265</v>
      </c>
      <c r="D48">
        <v>30</v>
      </c>
      <c r="E48">
        <v>80</v>
      </c>
      <c r="F48">
        <v>30</v>
      </c>
      <c r="G48">
        <v>155</v>
      </c>
      <c r="H48">
        <v>30</v>
      </c>
      <c r="I48">
        <v>270</v>
      </c>
      <c r="J48">
        <v>1100</v>
      </c>
      <c r="K48">
        <v>358</v>
      </c>
      <c r="M48">
        <v>421</v>
      </c>
      <c r="N48">
        <v>2739</v>
      </c>
      <c r="O48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Sheet7</vt:lpstr>
      <vt:lpstr>proportions</vt:lpstr>
      <vt:lpstr>Sheet2</vt:lpstr>
      <vt:lpstr>Sheet6</vt:lpstr>
      <vt:lpstr>Total dentists</vt:lpstr>
      <vt:lpstr>Education</vt:lpstr>
      <vt:lpstr>Edu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2024-02-22T15:55:57Z</dcterms:created>
  <dcterms:modified xsi:type="dcterms:W3CDTF">2024-04-06T18:26:58Z</dcterms:modified>
</cp:coreProperties>
</file>