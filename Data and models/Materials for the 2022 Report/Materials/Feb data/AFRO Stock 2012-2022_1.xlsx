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Materials\Feb data\"/>
    </mc:Choice>
  </mc:AlternateContent>
  <xr:revisionPtr revIDLastSave="0" documentId="8_{DAE80DEC-7862-4D75-AD74-6550392C7175}" xr6:coauthVersionLast="47" xr6:coauthVersionMax="47" xr10:uidLastSave="{00000000-0000-0000-0000-000000000000}"/>
  <bookViews>
    <workbookView xWindow="-110" yWindow="-110" windowWidth="19420" windowHeight="10300" tabRatio="897" xr2:uid="{00000000-000D-0000-FFFF-FFFF00000000}"/>
  </bookViews>
  <sheets>
    <sheet name="Home" sheetId="50" r:id="rId1"/>
    <sheet name="Algeria" sheetId="38" r:id="rId2"/>
    <sheet name="Angola" sheetId="40" r:id="rId3"/>
    <sheet name="Benin" sheetId="39" r:id="rId4"/>
    <sheet name="Botswana" sheetId="41" r:id="rId5"/>
    <sheet name="Burkina Faso" sheetId="42" r:id="rId6"/>
    <sheet name="Burundi" sheetId="43" r:id="rId7"/>
    <sheet name="Cabo Verde" sheetId="44" r:id="rId8"/>
    <sheet name="Cameroon" sheetId="45" r:id="rId9"/>
    <sheet name="CAR" sheetId="46" r:id="rId10"/>
    <sheet name="Chad" sheetId="47" r:id="rId11"/>
    <sheet name="Comoros" sheetId="48" r:id="rId12"/>
    <sheet name="Congo" sheetId="49" r:id="rId13"/>
    <sheet name="Cote d'Ivoire" sheetId="51" r:id="rId14"/>
    <sheet name="DRC" sheetId="52" r:id="rId15"/>
    <sheet name="Equatorial Guinea" sheetId="86" r:id="rId16"/>
    <sheet name="Eritrea" sheetId="54" r:id="rId17"/>
    <sheet name="Eswatini" sheetId="55" r:id="rId18"/>
    <sheet name="Ethiopia" sheetId="56" r:id="rId19"/>
    <sheet name="Gabon" sheetId="57" r:id="rId20"/>
    <sheet name="Gambia" sheetId="58" r:id="rId21"/>
    <sheet name="Ghana" sheetId="59" r:id="rId22"/>
    <sheet name="Guinea" sheetId="60" r:id="rId23"/>
    <sheet name="Guinea-Bissau" sheetId="61" r:id="rId24"/>
    <sheet name="Kenya" sheetId="62" r:id="rId25"/>
    <sheet name="Lesotho" sheetId="63" r:id="rId26"/>
    <sheet name="Liberia" sheetId="64" r:id="rId27"/>
    <sheet name="Madagascar" sheetId="65" r:id="rId28"/>
    <sheet name="Malawi" sheetId="66" r:id="rId29"/>
    <sheet name="Mali" sheetId="67" r:id="rId30"/>
    <sheet name="Mauritania" sheetId="68" r:id="rId31"/>
    <sheet name="Mauritius" sheetId="69" r:id="rId32"/>
    <sheet name="Mozambique" sheetId="70" r:id="rId33"/>
    <sheet name="Namibia" sheetId="71" r:id="rId34"/>
    <sheet name="Niger" sheetId="72" r:id="rId35"/>
    <sheet name="Nigeria" sheetId="73" r:id="rId36"/>
    <sheet name="Rwanda" sheetId="74" r:id="rId37"/>
    <sheet name="Sao Tome and Principe" sheetId="75" r:id="rId38"/>
    <sheet name="Senegal" sheetId="76" r:id="rId39"/>
    <sheet name="Seychelles" sheetId="77" r:id="rId40"/>
    <sheet name="Sierra Leone" sheetId="78" r:id="rId41"/>
    <sheet name="South Africa" sheetId="79" r:id="rId42"/>
    <sheet name="South Sudan" sheetId="80" r:id="rId43"/>
    <sheet name="Tanzania" sheetId="81" r:id="rId44"/>
    <sheet name="Togo" sheetId="82" r:id="rId45"/>
    <sheet name="Uganda" sheetId="83" r:id="rId46"/>
    <sheet name="Zambia" sheetId="84" r:id="rId47"/>
    <sheet name="Zimbabwe" sheetId="85" r:id="rId48"/>
    <sheet name="AFRO Stock 20240123" sheetId="1" r:id="rId49"/>
    <sheet name="AFRO Stock 2022" sheetId="12" r:id="rId50"/>
    <sheet name="AFRO Stock 2021" sheetId="28" r:id="rId51"/>
    <sheet name="AFRO Stock 2020" sheetId="29" r:id="rId52"/>
    <sheet name="AFRO Stock 2019" sheetId="30" r:id="rId53"/>
    <sheet name="AFRO Stock 2018" sheetId="31" r:id="rId54"/>
    <sheet name="AFRO Stock 2017" sheetId="32" r:id="rId55"/>
    <sheet name="AFRO Stock 2016" sheetId="33" r:id="rId56"/>
    <sheet name="AFRO Stock 2015" sheetId="34" r:id="rId57"/>
    <sheet name="AFRO Stock 2014" sheetId="35" r:id="rId58"/>
    <sheet name="AFRO Stock 2013" sheetId="36" r:id="rId59"/>
    <sheet name="AFRO Stock 2012" sheetId="37" r:id="rId60"/>
  </sheets>
  <definedNames>
    <definedName name="_xlnm.Print_Area" localSheetId="1">Algeria!$A$1:$L$65</definedName>
    <definedName name="_xlnm.Print_Titles" localSheetId="1">Algeria!$1:$2</definedName>
    <definedName name="_xlnm.Print_Titles" localSheetId="11">Comoros!$1:$2</definedName>
    <definedName name="_xlnm.Print_Titles" localSheetId="47">Zimbabwe!$1:$2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" i="38" l="1"/>
  <c r="D63" i="38"/>
  <c r="E63" i="38"/>
  <c r="F63" i="38"/>
  <c r="G63" i="38"/>
  <c r="H63" i="38"/>
  <c r="I63" i="38"/>
  <c r="J63" i="38"/>
  <c r="K63" i="38"/>
  <c r="L63" i="38"/>
  <c r="B63" i="38"/>
  <c r="C63" i="40"/>
  <c r="D63" i="40"/>
  <c r="E63" i="40"/>
  <c r="F63" i="40"/>
  <c r="G63" i="40"/>
  <c r="H63" i="40"/>
  <c r="I63" i="40"/>
  <c r="J63" i="40"/>
  <c r="K63" i="40"/>
  <c r="L63" i="40"/>
  <c r="B63" i="40"/>
  <c r="C63" i="39"/>
  <c r="D63" i="39"/>
  <c r="E63" i="39"/>
  <c r="F63" i="39"/>
  <c r="G63" i="39"/>
  <c r="H63" i="39"/>
  <c r="I63" i="39"/>
  <c r="J63" i="39"/>
  <c r="K63" i="39"/>
  <c r="L63" i="39"/>
  <c r="B63" i="39"/>
  <c r="C63" i="41"/>
  <c r="D63" i="41"/>
  <c r="E63" i="41"/>
  <c r="F63" i="41"/>
  <c r="G63" i="41"/>
  <c r="H63" i="41"/>
  <c r="I63" i="41"/>
  <c r="J63" i="41"/>
  <c r="K63" i="41"/>
  <c r="L63" i="41"/>
  <c r="B63" i="41"/>
  <c r="C63" i="42"/>
  <c r="D63" i="42"/>
  <c r="E63" i="42"/>
  <c r="F63" i="42"/>
  <c r="G63" i="42"/>
  <c r="H63" i="42"/>
  <c r="I63" i="42"/>
  <c r="J63" i="42"/>
  <c r="K63" i="42"/>
  <c r="L63" i="42"/>
  <c r="B63" i="42"/>
  <c r="C63" i="44"/>
  <c r="D63" i="44"/>
  <c r="E63" i="44"/>
  <c r="F63" i="44"/>
  <c r="G63" i="44"/>
  <c r="H63" i="44"/>
  <c r="I63" i="44"/>
  <c r="J63" i="44"/>
  <c r="K63" i="44"/>
  <c r="L63" i="44"/>
  <c r="B63" i="44"/>
  <c r="C63" i="45"/>
  <c r="D63" i="45"/>
  <c r="E63" i="45"/>
  <c r="F63" i="45"/>
  <c r="G63" i="45"/>
  <c r="H63" i="45"/>
  <c r="I63" i="45"/>
  <c r="J63" i="45"/>
  <c r="K63" i="45"/>
  <c r="L63" i="45"/>
  <c r="B63" i="45"/>
  <c r="C63" i="46"/>
  <c r="D63" i="46"/>
  <c r="E63" i="46"/>
  <c r="F63" i="46"/>
  <c r="G63" i="46"/>
  <c r="H63" i="46"/>
  <c r="I63" i="46"/>
  <c r="J63" i="46"/>
  <c r="K63" i="46"/>
  <c r="L63" i="46"/>
  <c r="B63" i="46"/>
  <c r="C63" i="47"/>
  <c r="D63" i="47"/>
  <c r="E63" i="47"/>
  <c r="F63" i="47"/>
  <c r="G63" i="47"/>
  <c r="H63" i="47"/>
  <c r="I63" i="47"/>
  <c r="J63" i="47"/>
  <c r="K63" i="47"/>
  <c r="L63" i="47"/>
  <c r="B63" i="47"/>
  <c r="C63" i="48"/>
  <c r="D63" i="48"/>
  <c r="E63" i="48"/>
  <c r="F63" i="48"/>
  <c r="G63" i="48"/>
  <c r="H63" i="48"/>
  <c r="I63" i="48"/>
  <c r="J63" i="48"/>
  <c r="K63" i="48"/>
  <c r="L63" i="48"/>
  <c r="B63" i="48"/>
  <c r="C63" i="49"/>
  <c r="D63" i="49"/>
  <c r="E63" i="49"/>
  <c r="F63" i="49"/>
  <c r="G63" i="49"/>
  <c r="H63" i="49"/>
  <c r="I63" i="49"/>
  <c r="J63" i="49"/>
  <c r="K63" i="49"/>
  <c r="L63" i="49"/>
  <c r="B63" i="49"/>
  <c r="C63" i="51"/>
  <c r="D63" i="51"/>
  <c r="E63" i="51"/>
  <c r="F63" i="51"/>
  <c r="G63" i="51"/>
  <c r="H63" i="51"/>
  <c r="I63" i="51"/>
  <c r="J63" i="51"/>
  <c r="K63" i="51"/>
  <c r="L63" i="51"/>
  <c r="B63" i="51"/>
  <c r="C63" i="52"/>
  <c r="D63" i="52"/>
  <c r="E63" i="52"/>
  <c r="F63" i="52"/>
  <c r="G63" i="52"/>
  <c r="H63" i="52"/>
  <c r="I63" i="52"/>
  <c r="J63" i="52"/>
  <c r="K63" i="52"/>
  <c r="L63" i="52"/>
  <c r="B63" i="52"/>
  <c r="C63" i="54"/>
  <c r="D63" i="54"/>
  <c r="E63" i="54"/>
  <c r="F63" i="54"/>
  <c r="G63" i="54"/>
  <c r="H63" i="54"/>
  <c r="I63" i="54"/>
  <c r="J63" i="54"/>
  <c r="K63" i="54"/>
  <c r="L63" i="54"/>
  <c r="B63" i="54"/>
  <c r="L65" i="62"/>
  <c r="K65" i="62"/>
  <c r="J65" i="62"/>
  <c r="I65" i="62"/>
  <c r="H65" i="62"/>
  <c r="G65" i="62"/>
  <c r="F65" i="62"/>
  <c r="E65" i="62"/>
  <c r="D65" i="62"/>
  <c r="C65" i="62"/>
  <c r="B65" i="62"/>
  <c r="C63" i="84" l="1"/>
  <c r="D63" i="84"/>
  <c r="E63" i="84"/>
  <c r="F63" i="84"/>
  <c r="G63" i="84"/>
  <c r="H63" i="84"/>
  <c r="I63" i="84"/>
  <c r="J63" i="84"/>
  <c r="K63" i="84"/>
  <c r="L63" i="84"/>
  <c r="B63" i="84"/>
  <c r="B4" i="86" l="1"/>
  <c r="C4" i="86"/>
  <c r="D4" i="86"/>
  <c r="E4" i="86"/>
  <c r="F4" i="86"/>
  <c r="G4" i="86"/>
  <c r="H4" i="86"/>
  <c r="I4" i="86"/>
  <c r="J4" i="86"/>
  <c r="K4" i="86"/>
  <c r="L4" i="86"/>
  <c r="B5" i="86"/>
  <c r="C5" i="86"/>
  <c r="D5" i="86"/>
  <c r="E5" i="86"/>
  <c r="F5" i="86"/>
  <c r="G5" i="86"/>
  <c r="H5" i="86"/>
  <c r="I5" i="86"/>
  <c r="J5" i="86"/>
  <c r="K5" i="86"/>
  <c r="L5" i="86"/>
  <c r="B6" i="86"/>
  <c r="C6" i="86"/>
  <c r="D6" i="86"/>
  <c r="E6" i="86"/>
  <c r="F6" i="86"/>
  <c r="G6" i="86"/>
  <c r="H6" i="86"/>
  <c r="I6" i="86"/>
  <c r="J6" i="86"/>
  <c r="K6" i="86"/>
  <c r="L6" i="86"/>
  <c r="B7" i="86"/>
  <c r="C7" i="86"/>
  <c r="D7" i="86"/>
  <c r="E7" i="86"/>
  <c r="F7" i="86"/>
  <c r="G7" i="86"/>
  <c r="H7" i="86"/>
  <c r="I7" i="86"/>
  <c r="J7" i="86"/>
  <c r="K7" i="86"/>
  <c r="L7" i="86"/>
  <c r="B8" i="86"/>
  <c r="C8" i="86"/>
  <c r="C63" i="86" s="1"/>
  <c r="D8" i="86"/>
  <c r="E8" i="86"/>
  <c r="F8" i="86"/>
  <c r="G8" i="86"/>
  <c r="H8" i="86"/>
  <c r="I8" i="86"/>
  <c r="J8" i="86"/>
  <c r="K8" i="86"/>
  <c r="L8" i="86"/>
  <c r="B9" i="86"/>
  <c r="C9" i="86"/>
  <c r="D9" i="86"/>
  <c r="E9" i="86"/>
  <c r="F9" i="86"/>
  <c r="G9" i="86"/>
  <c r="H9" i="86"/>
  <c r="I9" i="86"/>
  <c r="J9" i="86"/>
  <c r="K9" i="86"/>
  <c r="L9" i="86"/>
  <c r="B10" i="86"/>
  <c r="C10" i="86"/>
  <c r="D10" i="86"/>
  <c r="E10" i="86"/>
  <c r="F10" i="86"/>
  <c r="G10" i="86"/>
  <c r="H10" i="86"/>
  <c r="I10" i="86"/>
  <c r="J10" i="86"/>
  <c r="K10" i="86"/>
  <c r="L10" i="86"/>
  <c r="B11" i="86"/>
  <c r="B63" i="86" s="1"/>
  <c r="C11" i="86"/>
  <c r="D11" i="86"/>
  <c r="E11" i="86"/>
  <c r="F11" i="86"/>
  <c r="G11" i="86"/>
  <c r="H11" i="86"/>
  <c r="I11" i="86"/>
  <c r="J11" i="86"/>
  <c r="J63" i="86" s="1"/>
  <c r="K11" i="86"/>
  <c r="L11" i="86"/>
  <c r="B12" i="86"/>
  <c r="C12" i="86"/>
  <c r="D12" i="86"/>
  <c r="E12" i="86"/>
  <c r="F12" i="86"/>
  <c r="G12" i="86"/>
  <c r="H12" i="86"/>
  <c r="I12" i="86"/>
  <c r="J12" i="86"/>
  <c r="K12" i="86"/>
  <c r="L12" i="86"/>
  <c r="B13" i="86"/>
  <c r="C13" i="86"/>
  <c r="D13" i="86"/>
  <c r="E13" i="86"/>
  <c r="F13" i="86"/>
  <c r="G13" i="86"/>
  <c r="H13" i="86"/>
  <c r="I13" i="86"/>
  <c r="J13" i="86"/>
  <c r="K13" i="86"/>
  <c r="L13" i="86"/>
  <c r="B14" i="86"/>
  <c r="C14" i="86"/>
  <c r="D14" i="86"/>
  <c r="E14" i="86"/>
  <c r="F14" i="86"/>
  <c r="G14" i="86"/>
  <c r="H14" i="86"/>
  <c r="I14" i="86"/>
  <c r="J14" i="86"/>
  <c r="K14" i="86"/>
  <c r="L14" i="86"/>
  <c r="B15" i="86"/>
  <c r="C15" i="86"/>
  <c r="D15" i="86"/>
  <c r="E15" i="86"/>
  <c r="F15" i="86"/>
  <c r="G15" i="86"/>
  <c r="H15" i="86"/>
  <c r="I15" i="86"/>
  <c r="J15" i="86"/>
  <c r="K15" i="86"/>
  <c r="L15" i="86"/>
  <c r="B16" i="86"/>
  <c r="C16" i="86"/>
  <c r="D16" i="86"/>
  <c r="E16" i="86"/>
  <c r="F16" i="86"/>
  <c r="G16" i="86"/>
  <c r="H16" i="86"/>
  <c r="I16" i="86"/>
  <c r="J16" i="86"/>
  <c r="K16" i="86"/>
  <c r="L16" i="86"/>
  <c r="B17" i="86"/>
  <c r="C17" i="86"/>
  <c r="D17" i="86"/>
  <c r="E17" i="86"/>
  <c r="F17" i="86"/>
  <c r="G17" i="86"/>
  <c r="H17" i="86"/>
  <c r="I17" i="86"/>
  <c r="J17" i="86"/>
  <c r="K17" i="86"/>
  <c r="L17" i="86"/>
  <c r="B18" i="86"/>
  <c r="C18" i="86"/>
  <c r="D18" i="86"/>
  <c r="E18" i="86"/>
  <c r="F18" i="86"/>
  <c r="G18" i="86"/>
  <c r="H18" i="86"/>
  <c r="I18" i="86"/>
  <c r="J18" i="86"/>
  <c r="K18" i="86"/>
  <c r="L18" i="86"/>
  <c r="B19" i="86"/>
  <c r="C19" i="86"/>
  <c r="D19" i="86"/>
  <c r="E19" i="86"/>
  <c r="F19" i="86"/>
  <c r="G19" i="86"/>
  <c r="H19" i="86"/>
  <c r="I19" i="86"/>
  <c r="J19" i="86"/>
  <c r="K19" i="86"/>
  <c r="L19" i="86"/>
  <c r="B20" i="86"/>
  <c r="C20" i="86"/>
  <c r="D20" i="86"/>
  <c r="E20" i="86"/>
  <c r="F20" i="86"/>
  <c r="G20" i="86"/>
  <c r="H20" i="86"/>
  <c r="I20" i="86"/>
  <c r="J20" i="86"/>
  <c r="K20" i="86"/>
  <c r="L20" i="86"/>
  <c r="B21" i="86"/>
  <c r="C21" i="86"/>
  <c r="D21" i="86"/>
  <c r="E21" i="86"/>
  <c r="F21" i="86"/>
  <c r="G21" i="86"/>
  <c r="H21" i="86"/>
  <c r="I21" i="86"/>
  <c r="J21" i="86"/>
  <c r="K21" i="86"/>
  <c r="L21" i="86"/>
  <c r="B22" i="86"/>
  <c r="C22" i="86"/>
  <c r="D22" i="86"/>
  <c r="E22" i="86"/>
  <c r="F22" i="86"/>
  <c r="G22" i="86"/>
  <c r="H22" i="86"/>
  <c r="I22" i="86"/>
  <c r="J22" i="86"/>
  <c r="K22" i="86"/>
  <c r="L22" i="86"/>
  <c r="B23" i="86"/>
  <c r="C23" i="86"/>
  <c r="D23" i="86"/>
  <c r="E23" i="86"/>
  <c r="F23" i="86"/>
  <c r="G23" i="86"/>
  <c r="H23" i="86"/>
  <c r="I23" i="86"/>
  <c r="J23" i="86"/>
  <c r="K23" i="86"/>
  <c r="L23" i="86"/>
  <c r="B24" i="86"/>
  <c r="C24" i="86"/>
  <c r="D24" i="86"/>
  <c r="E24" i="86"/>
  <c r="F24" i="86"/>
  <c r="G24" i="86"/>
  <c r="H24" i="86"/>
  <c r="I24" i="86"/>
  <c r="J24" i="86"/>
  <c r="K24" i="86"/>
  <c r="L24" i="86"/>
  <c r="B25" i="86"/>
  <c r="C25" i="86"/>
  <c r="D25" i="86"/>
  <c r="E25" i="86"/>
  <c r="F25" i="86"/>
  <c r="G25" i="86"/>
  <c r="H25" i="86"/>
  <c r="I25" i="86"/>
  <c r="J25" i="86"/>
  <c r="K25" i="86"/>
  <c r="L25" i="86"/>
  <c r="B26" i="86"/>
  <c r="C26" i="86"/>
  <c r="D26" i="86"/>
  <c r="E26" i="86"/>
  <c r="F26" i="86"/>
  <c r="G26" i="86"/>
  <c r="H26" i="86"/>
  <c r="I26" i="86"/>
  <c r="J26" i="86"/>
  <c r="K26" i="86"/>
  <c r="L26" i="86"/>
  <c r="B27" i="86"/>
  <c r="C27" i="86"/>
  <c r="D27" i="86"/>
  <c r="E27" i="86"/>
  <c r="F27" i="86"/>
  <c r="G27" i="86"/>
  <c r="H27" i="86"/>
  <c r="I27" i="86"/>
  <c r="J27" i="86"/>
  <c r="K27" i="86"/>
  <c r="L27" i="86"/>
  <c r="B28" i="86"/>
  <c r="C28" i="86"/>
  <c r="D28" i="86"/>
  <c r="E28" i="86"/>
  <c r="F28" i="86"/>
  <c r="G28" i="86"/>
  <c r="H28" i="86"/>
  <c r="I28" i="86"/>
  <c r="J28" i="86"/>
  <c r="K28" i="86"/>
  <c r="L28" i="86"/>
  <c r="B29" i="86"/>
  <c r="C29" i="86"/>
  <c r="D29" i="86"/>
  <c r="E29" i="86"/>
  <c r="F29" i="86"/>
  <c r="G29" i="86"/>
  <c r="H29" i="86"/>
  <c r="I29" i="86"/>
  <c r="J29" i="86"/>
  <c r="K29" i="86"/>
  <c r="L29" i="86"/>
  <c r="B30" i="86"/>
  <c r="C30" i="86"/>
  <c r="D30" i="86"/>
  <c r="E30" i="86"/>
  <c r="F30" i="86"/>
  <c r="G30" i="86"/>
  <c r="H30" i="86"/>
  <c r="I30" i="86"/>
  <c r="J30" i="86"/>
  <c r="K30" i="86"/>
  <c r="L30" i="86"/>
  <c r="B31" i="86"/>
  <c r="C31" i="86"/>
  <c r="D31" i="86"/>
  <c r="E31" i="86"/>
  <c r="F31" i="86"/>
  <c r="G31" i="86"/>
  <c r="H31" i="86"/>
  <c r="I31" i="86"/>
  <c r="J31" i="86"/>
  <c r="K31" i="86"/>
  <c r="L31" i="86"/>
  <c r="B32" i="86"/>
  <c r="C32" i="86"/>
  <c r="D32" i="86"/>
  <c r="E32" i="86"/>
  <c r="F32" i="86"/>
  <c r="G32" i="86"/>
  <c r="H32" i="86"/>
  <c r="I32" i="86"/>
  <c r="J32" i="86"/>
  <c r="K32" i="86"/>
  <c r="L32" i="86"/>
  <c r="B33" i="86"/>
  <c r="C33" i="86"/>
  <c r="D33" i="86"/>
  <c r="E33" i="86"/>
  <c r="F33" i="86"/>
  <c r="G33" i="86"/>
  <c r="H33" i="86"/>
  <c r="I33" i="86"/>
  <c r="J33" i="86"/>
  <c r="K33" i="86"/>
  <c r="L33" i="86"/>
  <c r="B34" i="86"/>
  <c r="C34" i="86"/>
  <c r="D34" i="86"/>
  <c r="E34" i="86"/>
  <c r="F34" i="86"/>
  <c r="G34" i="86"/>
  <c r="H34" i="86"/>
  <c r="I34" i="86"/>
  <c r="J34" i="86"/>
  <c r="K34" i="86"/>
  <c r="L34" i="86"/>
  <c r="B35" i="86"/>
  <c r="C35" i="86"/>
  <c r="D35" i="86"/>
  <c r="E35" i="86"/>
  <c r="F35" i="86"/>
  <c r="G35" i="86"/>
  <c r="H35" i="86"/>
  <c r="I35" i="86"/>
  <c r="J35" i="86"/>
  <c r="K35" i="86"/>
  <c r="L35" i="86"/>
  <c r="B36" i="86"/>
  <c r="C36" i="86"/>
  <c r="D36" i="86"/>
  <c r="E36" i="86"/>
  <c r="F36" i="86"/>
  <c r="G36" i="86"/>
  <c r="H36" i="86"/>
  <c r="I36" i="86"/>
  <c r="J36" i="86"/>
  <c r="K36" i="86"/>
  <c r="L36" i="86"/>
  <c r="B37" i="86"/>
  <c r="C37" i="86"/>
  <c r="D37" i="86"/>
  <c r="E37" i="86"/>
  <c r="F37" i="86"/>
  <c r="G37" i="86"/>
  <c r="H37" i="86"/>
  <c r="I37" i="86"/>
  <c r="J37" i="86"/>
  <c r="K37" i="86"/>
  <c r="L37" i="86"/>
  <c r="B38" i="86"/>
  <c r="C38" i="86"/>
  <c r="D38" i="86"/>
  <c r="E38" i="86"/>
  <c r="F38" i="86"/>
  <c r="G38" i="86"/>
  <c r="H38" i="86"/>
  <c r="I38" i="86"/>
  <c r="J38" i="86"/>
  <c r="K38" i="86"/>
  <c r="L38" i="86"/>
  <c r="B39" i="86"/>
  <c r="C39" i="86"/>
  <c r="D39" i="86"/>
  <c r="E39" i="86"/>
  <c r="F39" i="86"/>
  <c r="G39" i="86"/>
  <c r="H39" i="86"/>
  <c r="I39" i="86"/>
  <c r="J39" i="86"/>
  <c r="K39" i="86"/>
  <c r="L39" i="86"/>
  <c r="B40" i="86"/>
  <c r="C40" i="86"/>
  <c r="D40" i="86"/>
  <c r="E40" i="86"/>
  <c r="F40" i="86"/>
  <c r="G40" i="86"/>
  <c r="H40" i="86"/>
  <c r="I40" i="86"/>
  <c r="J40" i="86"/>
  <c r="K40" i="86"/>
  <c r="L40" i="86"/>
  <c r="B41" i="86"/>
  <c r="C41" i="86"/>
  <c r="D41" i="86"/>
  <c r="E41" i="86"/>
  <c r="F41" i="86"/>
  <c r="G41" i="86"/>
  <c r="H41" i="86"/>
  <c r="I41" i="86"/>
  <c r="J41" i="86"/>
  <c r="K41" i="86"/>
  <c r="L41" i="86"/>
  <c r="B42" i="86"/>
  <c r="C42" i="86"/>
  <c r="D42" i="86"/>
  <c r="E42" i="86"/>
  <c r="F42" i="86"/>
  <c r="G42" i="86"/>
  <c r="H42" i="86"/>
  <c r="I42" i="86"/>
  <c r="J42" i="86"/>
  <c r="K42" i="86"/>
  <c r="L42" i="86"/>
  <c r="B43" i="86"/>
  <c r="C43" i="86"/>
  <c r="D43" i="86"/>
  <c r="E43" i="86"/>
  <c r="F43" i="86"/>
  <c r="G43" i="86"/>
  <c r="H43" i="86"/>
  <c r="I43" i="86"/>
  <c r="J43" i="86"/>
  <c r="K43" i="86"/>
  <c r="L43" i="86"/>
  <c r="B44" i="86"/>
  <c r="C44" i="86"/>
  <c r="D44" i="86"/>
  <c r="E44" i="86"/>
  <c r="F44" i="86"/>
  <c r="G44" i="86"/>
  <c r="H44" i="86"/>
  <c r="I44" i="86"/>
  <c r="J44" i="86"/>
  <c r="K44" i="86"/>
  <c r="L44" i="86"/>
  <c r="B45" i="86"/>
  <c r="C45" i="86"/>
  <c r="D45" i="86"/>
  <c r="E45" i="86"/>
  <c r="F45" i="86"/>
  <c r="G45" i="86"/>
  <c r="H45" i="86"/>
  <c r="I45" i="86"/>
  <c r="J45" i="86"/>
  <c r="K45" i="86"/>
  <c r="L45" i="86"/>
  <c r="B46" i="86"/>
  <c r="C46" i="86"/>
  <c r="D46" i="86"/>
  <c r="E46" i="86"/>
  <c r="F46" i="86"/>
  <c r="G46" i="86"/>
  <c r="H46" i="86"/>
  <c r="I46" i="86"/>
  <c r="J46" i="86"/>
  <c r="K46" i="86"/>
  <c r="L46" i="86"/>
  <c r="B47" i="86"/>
  <c r="C47" i="86"/>
  <c r="D47" i="86"/>
  <c r="E47" i="86"/>
  <c r="F47" i="86"/>
  <c r="G47" i="86"/>
  <c r="H47" i="86"/>
  <c r="I47" i="86"/>
  <c r="J47" i="86"/>
  <c r="K47" i="86"/>
  <c r="L47" i="86"/>
  <c r="B48" i="86"/>
  <c r="C48" i="86"/>
  <c r="D48" i="86"/>
  <c r="E48" i="86"/>
  <c r="F48" i="86"/>
  <c r="G48" i="86"/>
  <c r="H48" i="86"/>
  <c r="I48" i="86"/>
  <c r="J48" i="86"/>
  <c r="K48" i="86"/>
  <c r="L48" i="86"/>
  <c r="B49" i="86"/>
  <c r="C49" i="86"/>
  <c r="D49" i="86"/>
  <c r="E49" i="86"/>
  <c r="F49" i="86"/>
  <c r="G49" i="86"/>
  <c r="H49" i="86"/>
  <c r="I49" i="86"/>
  <c r="J49" i="86"/>
  <c r="K49" i="86"/>
  <c r="L49" i="86"/>
  <c r="B50" i="86"/>
  <c r="C50" i="86"/>
  <c r="D50" i="86"/>
  <c r="E50" i="86"/>
  <c r="F50" i="86"/>
  <c r="G50" i="86"/>
  <c r="H50" i="86"/>
  <c r="I50" i="86"/>
  <c r="J50" i="86"/>
  <c r="K50" i="86"/>
  <c r="L50" i="86"/>
  <c r="B51" i="86"/>
  <c r="C51" i="86"/>
  <c r="D51" i="86"/>
  <c r="E51" i="86"/>
  <c r="F51" i="86"/>
  <c r="G51" i="86"/>
  <c r="H51" i="86"/>
  <c r="I51" i="86"/>
  <c r="J51" i="86"/>
  <c r="K51" i="86"/>
  <c r="L51" i="86"/>
  <c r="B52" i="86"/>
  <c r="C52" i="86"/>
  <c r="D52" i="86"/>
  <c r="E52" i="86"/>
  <c r="F52" i="86"/>
  <c r="G52" i="86"/>
  <c r="H52" i="86"/>
  <c r="I52" i="86"/>
  <c r="J52" i="86"/>
  <c r="K52" i="86"/>
  <c r="L52" i="86"/>
  <c r="B53" i="86"/>
  <c r="C53" i="86"/>
  <c r="D53" i="86"/>
  <c r="E53" i="86"/>
  <c r="F53" i="86"/>
  <c r="G53" i="86"/>
  <c r="H53" i="86"/>
  <c r="I53" i="86"/>
  <c r="J53" i="86"/>
  <c r="K53" i="86"/>
  <c r="L53" i="86"/>
  <c r="B54" i="86"/>
  <c r="C54" i="86"/>
  <c r="D54" i="86"/>
  <c r="E54" i="86"/>
  <c r="F54" i="86"/>
  <c r="G54" i="86"/>
  <c r="H54" i="86"/>
  <c r="I54" i="86"/>
  <c r="J54" i="86"/>
  <c r="K54" i="86"/>
  <c r="L54" i="86"/>
  <c r="B55" i="86"/>
  <c r="C55" i="86"/>
  <c r="D55" i="86"/>
  <c r="E55" i="86"/>
  <c r="F55" i="86"/>
  <c r="G55" i="86"/>
  <c r="H55" i="86"/>
  <c r="I55" i="86"/>
  <c r="J55" i="86"/>
  <c r="K55" i="86"/>
  <c r="L55" i="86"/>
  <c r="B56" i="86"/>
  <c r="C56" i="86"/>
  <c r="D56" i="86"/>
  <c r="E56" i="86"/>
  <c r="F56" i="86"/>
  <c r="G56" i="86"/>
  <c r="H56" i="86"/>
  <c r="I56" i="86"/>
  <c r="J56" i="86"/>
  <c r="K56" i="86"/>
  <c r="L56" i="86"/>
  <c r="B57" i="86"/>
  <c r="C57" i="86"/>
  <c r="D57" i="86"/>
  <c r="E57" i="86"/>
  <c r="F57" i="86"/>
  <c r="G57" i="86"/>
  <c r="H57" i="86"/>
  <c r="I57" i="86"/>
  <c r="J57" i="86"/>
  <c r="K57" i="86"/>
  <c r="L57" i="86"/>
  <c r="B58" i="86"/>
  <c r="C58" i="86"/>
  <c r="D58" i="86"/>
  <c r="E58" i="86"/>
  <c r="F58" i="86"/>
  <c r="G58" i="86"/>
  <c r="H58" i="86"/>
  <c r="I58" i="86"/>
  <c r="J58" i="86"/>
  <c r="K58" i="86"/>
  <c r="L58" i="86"/>
  <c r="B59" i="86"/>
  <c r="C59" i="86"/>
  <c r="D59" i="86"/>
  <c r="E59" i="86"/>
  <c r="F59" i="86"/>
  <c r="G59" i="86"/>
  <c r="H59" i="86"/>
  <c r="I59" i="86"/>
  <c r="J59" i="86"/>
  <c r="K59" i="86"/>
  <c r="L59" i="86"/>
  <c r="B60" i="86"/>
  <c r="C60" i="86"/>
  <c r="D60" i="86"/>
  <c r="E60" i="86"/>
  <c r="F60" i="86"/>
  <c r="G60" i="86"/>
  <c r="H60" i="86"/>
  <c r="I60" i="86"/>
  <c r="J60" i="86"/>
  <c r="K60" i="86"/>
  <c r="L60" i="86"/>
  <c r="B61" i="86"/>
  <c r="C61" i="86"/>
  <c r="D61" i="86"/>
  <c r="E61" i="86"/>
  <c r="F61" i="86"/>
  <c r="G61" i="86"/>
  <c r="H61" i="86"/>
  <c r="I61" i="86"/>
  <c r="J61" i="86"/>
  <c r="K61" i="86"/>
  <c r="L61" i="86"/>
  <c r="B62" i="86"/>
  <c r="C62" i="86"/>
  <c r="D62" i="86"/>
  <c r="E62" i="86"/>
  <c r="F62" i="86"/>
  <c r="G62" i="86"/>
  <c r="H62" i="86"/>
  <c r="I62" i="86"/>
  <c r="J62" i="86"/>
  <c r="K62" i="86"/>
  <c r="L62" i="86"/>
  <c r="L3" i="86"/>
  <c r="K3" i="86"/>
  <c r="J3" i="86"/>
  <c r="I3" i="86"/>
  <c r="H3" i="86"/>
  <c r="H63" i="86" s="1"/>
  <c r="G3" i="86"/>
  <c r="F3" i="86"/>
  <c r="E3" i="86"/>
  <c r="D3" i="86"/>
  <c r="C3" i="86"/>
  <c r="B3" i="86"/>
  <c r="K63" i="81"/>
  <c r="B63" i="81"/>
  <c r="F63" i="78"/>
  <c r="H63" i="68"/>
  <c r="K63" i="66"/>
  <c r="D63" i="64"/>
  <c r="G63" i="63"/>
  <c r="E63" i="61"/>
  <c r="B4" i="59"/>
  <c r="C4" i="59"/>
  <c r="D4" i="59"/>
  <c r="E4" i="59"/>
  <c r="F4" i="59"/>
  <c r="G4" i="59"/>
  <c r="H4" i="59"/>
  <c r="I4" i="59"/>
  <c r="J4" i="59"/>
  <c r="K4" i="59"/>
  <c r="L4" i="59"/>
  <c r="B5" i="59"/>
  <c r="C5" i="59"/>
  <c r="D5" i="59"/>
  <c r="E5" i="59"/>
  <c r="F5" i="59"/>
  <c r="G5" i="59"/>
  <c r="H5" i="59"/>
  <c r="I5" i="59"/>
  <c r="J5" i="59"/>
  <c r="K5" i="59"/>
  <c r="L5" i="59"/>
  <c r="B6" i="59"/>
  <c r="C6" i="59"/>
  <c r="D6" i="59"/>
  <c r="E6" i="59"/>
  <c r="F6" i="59"/>
  <c r="G6" i="59"/>
  <c r="H6" i="59"/>
  <c r="I6" i="59"/>
  <c r="J6" i="59"/>
  <c r="K6" i="59"/>
  <c r="L6" i="59"/>
  <c r="B7" i="59"/>
  <c r="C7" i="59"/>
  <c r="D7" i="59"/>
  <c r="E7" i="59"/>
  <c r="F7" i="59"/>
  <c r="G7" i="59"/>
  <c r="H7" i="59"/>
  <c r="I7" i="59"/>
  <c r="J7" i="59"/>
  <c r="K7" i="59"/>
  <c r="L7" i="59"/>
  <c r="B8" i="59"/>
  <c r="C8" i="59"/>
  <c r="D8" i="59"/>
  <c r="E8" i="59"/>
  <c r="F8" i="59"/>
  <c r="G8" i="59"/>
  <c r="H8" i="59"/>
  <c r="I8" i="59"/>
  <c r="J8" i="59"/>
  <c r="K8" i="59"/>
  <c r="L8" i="59"/>
  <c r="B9" i="59"/>
  <c r="C9" i="59"/>
  <c r="D9" i="59"/>
  <c r="E9" i="59"/>
  <c r="F9" i="59"/>
  <c r="G9" i="59"/>
  <c r="H9" i="59"/>
  <c r="I9" i="59"/>
  <c r="J9" i="59"/>
  <c r="K9" i="59"/>
  <c r="L9" i="59"/>
  <c r="B10" i="59"/>
  <c r="C10" i="59"/>
  <c r="D10" i="59"/>
  <c r="E10" i="59"/>
  <c r="F10" i="59"/>
  <c r="G10" i="59"/>
  <c r="H10" i="59"/>
  <c r="I10" i="59"/>
  <c r="J10" i="59"/>
  <c r="K10" i="59"/>
  <c r="L10" i="59"/>
  <c r="B11" i="59"/>
  <c r="C11" i="59"/>
  <c r="D11" i="59"/>
  <c r="E11" i="59"/>
  <c r="F11" i="59"/>
  <c r="G11" i="59"/>
  <c r="H11" i="59"/>
  <c r="I11" i="59"/>
  <c r="J11" i="59"/>
  <c r="K11" i="59"/>
  <c r="L11" i="59"/>
  <c r="L3" i="59"/>
  <c r="K3" i="59"/>
  <c r="J3" i="59"/>
  <c r="I3" i="59"/>
  <c r="H3" i="59"/>
  <c r="G3" i="59"/>
  <c r="F3" i="59"/>
  <c r="E3" i="59"/>
  <c r="D3" i="59"/>
  <c r="D63" i="59" s="1"/>
  <c r="C3" i="59"/>
  <c r="B3" i="59"/>
  <c r="G63" i="58"/>
  <c r="K63" i="56"/>
  <c r="F63" i="85"/>
  <c r="J63" i="83"/>
  <c r="E63" i="82"/>
  <c r="H63" i="81"/>
  <c r="K63" i="80"/>
  <c r="B63" i="80"/>
  <c r="F63" i="79"/>
  <c r="G63" i="78"/>
  <c r="F63" i="77"/>
  <c r="C63" i="77"/>
  <c r="G63" i="76"/>
  <c r="J63" i="75"/>
  <c r="E63" i="74"/>
  <c r="H63" i="73"/>
  <c r="K63" i="72"/>
  <c r="B63" i="72"/>
  <c r="F63" i="71"/>
  <c r="J63" i="70"/>
  <c r="J63" i="69"/>
  <c r="K63" i="69"/>
  <c r="D63" i="69"/>
  <c r="K63" i="67"/>
  <c r="F63" i="66"/>
  <c r="D63" i="66"/>
  <c r="L63" i="65"/>
  <c r="H63" i="65"/>
  <c r="J63" i="63"/>
  <c r="L63" i="62"/>
  <c r="H63" i="60"/>
  <c r="F63" i="86" l="1"/>
  <c r="I63" i="86"/>
  <c r="K63" i="86"/>
  <c r="D63" i="86"/>
  <c r="L63" i="86"/>
  <c r="E63" i="86"/>
  <c r="G63" i="86"/>
  <c r="I63" i="57"/>
  <c r="L63" i="56"/>
  <c r="D63" i="56"/>
  <c r="G63" i="56"/>
  <c r="J63" i="56"/>
  <c r="B63" i="56"/>
  <c r="E63" i="56"/>
  <c r="H63" i="56"/>
  <c r="C63" i="56"/>
  <c r="F63" i="56"/>
  <c r="I63" i="56"/>
  <c r="L63" i="58"/>
  <c r="J63" i="58"/>
  <c r="L63" i="57"/>
  <c r="D63" i="57"/>
  <c r="G63" i="57"/>
  <c r="J63" i="57"/>
  <c r="B63" i="57"/>
  <c r="H63" i="57"/>
  <c r="K63" i="57"/>
  <c r="C63" i="57"/>
  <c r="L63" i="82"/>
  <c r="D63" i="82"/>
  <c r="G63" i="82"/>
  <c r="J63" i="82"/>
  <c r="B63" i="82"/>
  <c r="H63" i="82"/>
  <c r="K63" i="82"/>
  <c r="C63" i="82"/>
  <c r="F63" i="82"/>
  <c r="I63" i="82"/>
  <c r="B63" i="58"/>
  <c r="E63" i="58"/>
  <c r="H63" i="58"/>
  <c r="K63" i="58"/>
  <c r="C63" i="58"/>
  <c r="F63" i="58"/>
  <c r="I63" i="58"/>
  <c r="L63" i="60"/>
  <c r="D63" i="60"/>
  <c r="G63" i="60"/>
  <c r="J63" i="60"/>
  <c r="B63" i="60"/>
  <c r="E63" i="60"/>
  <c r="C63" i="60"/>
  <c r="F63" i="60"/>
  <c r="I63" i="60"/>
  <c r="D63" i="62"/>
  <c r="J63" i="62"/>
  <c r="B63" i="62"/>
  <c r="E63" i="62"/>
  <c r="H63" i="62"/>
  <c r="K63" i="62"/>
  <c r="C63" i="62"/>
  <c r="F63" i="62"/>
  <c r="I63" i="62"/>
  <c r="L63" i="64"/>
  <c r="J63" i="64"/>
  <c r="B63" i="64"/>
  <c r="H63" i="64"/>
  <c r="K63" i="64"/>
  <c r="C63" i="64"/>
  <c r="F63" i="64"/>
  <c r="I63" i="64"/>
  <c r="J63" i="66"/>
  <c r="B63" i="66"/>
  <c r="E63" i="66"/>
  <c r="H63" i="66"/>
  <c r="C63" i="66"/>
  <c r="I63" i="66"/>
  <c r="L63" i="70"/>
  <c r="D63" i="70"/>
  <c r="G63" i="70"/>
  <c r="B63" i="70"/>
  <c r="H63" i="70"/>
  <c r="K63" i="70"/>
  <c r="C63" i="70"/>
  <c r="F63" i="70"/>
  <c r="I63" i="70"/>
  <c r="L63" i="72"/>
  <c r="D63" i="72"/>
  <c r="G63" i="72"/>
  <c r="J63" i="72"/>
  <c r="H63" i="72"/>
  <c r="C63" i="72"/>
  <c r="F63" i="72"/>
  <c r="I63" i="72"/>
  <c r="K63" i="74"/>
  <c r="C63" i="74"/>
  <c r="F63" i="74"/>
  <c r="I63" i="74"/>
  <c r="L63" i="76"/>
  <c r="D63" i="76"/>
  <c r="J63" i="76"/>
  <c r="B63" i="76"/>
  <c r="E63" i="76"/>
  <c r="H63" i="76"/>
  <c r="K63" i="76"/>
  <c r="C63" i="76"/>
  <c r="F63" i="76"/>
  <c r="I63" i="76"/>
  <c r="L63" i="78"/>
  <c r="D63" i="78"/>
  <c r="J63" i="78"/>
  <c r="B63" i="78"/>
  <c r="E63" i="78"/>
  <c r="K63" i="78"/>
  <c r="C63" i="78"/>
  <c r="L63" i="80"/>
  <c r="D63" i="80"/>
  <c r="J63" i="80"/>
  <c r="E63" i="80"/>
  <c r="H63" i="80"/>
  <c r="C63" i="80"/>
  <c r="F63" i="80"/>
  <c r="I63" i="80"/>
  <c r="L63" i="66"/>
  <c r="J63" i="68"/>
  <c r="B63" i="68"/>
  <c r="E63" i="68"/>
  <c r="K63" i="68"/>
  <c r="C63" i="68"/>
  <c r="F63" i="68"/>
  <c r="I63" i="68"/>
  <c r="G63" i="68"/>
  <c r="F63" i="57"/>
  <c r="L63" i="59"/>
  <c r="B63" i="59"/>
  <c r="K63" i="59"/>
  <c r="C63" i="59"/>
  <c r="F63" i="59"/>
  <c r="I63" i="59"/>
  <c r="L63" i="61"/>
  <c r="D63" i="61"/>
  <c r="G63" i="61"/>
  <c r="H63" i="61"/>
  <c r="K63" i="61"/>
  <c r="C63" i="61"/>
  <c r="F63" i="61"/>
  <c r="B63" i="63"/>
  <c r="E63" i="63"/>
  <c r="H63" i="63"/>
  <c r="K63" i="63"/>
  <c r="C63" i="63"/>
  <c r="F63" i="63"/>
  <c r="I63" i="63"/>
  <c r="J63" i="65"/>
  <c r="B63" i="65"/>
  <c r="E63" i="65"/>
  <c r="K63" i="65"/>
  <c r="C63" i="65"/>
  <c r="F63" i="65"/>
  <c r="L63" i="67"/>
  <c r="B63" i="67"/>
  <c r="C63" i="67"/>
  <c r="F63" i="67"/>
  <c r="I63" i="67"/>
  <c r="L63" i="69"/>
  <c r="B63" i="69"/>
  <c r="E63" i="69"/>
  <c r="H63" i="69"/>
  <c r="C63" i="69"/>
  <c r="F63" i="69"/>
  <c r="I63" i="69"/>
  <c r="L63" i="71"/>
  <c r="D63" i="71"/>
  <c r="G63" i="71"/>
  <c r="J63" i="71"/>
  <c r="B63" i="71"/>
  <c r="H63" i="71"/>
  <c r="K63" i="71"/>
  <c r="C63" i="71"/>
  <c r="I63" i="71"/>
  <c r="K63" i="73"/>
  <c r="C63" i="73"/>
  <c r="F63" i="73"/>
  <c r="I63" i="73"/>
  <c r="B63" i="75"/>
  <c r="K63" i="75"/>
  <c r="C63" i="75"/>
  <c r="F63" i="75"/>
  <c r="I63" i="75"/>
  <c r="J63" i="77"/>
  <c r="B63" i="77"/>
  <c r="H63" i="77"/>
  <c r="K63" i="77"/>
  <c r="I63" i="77"/>
  <c r="L63" i="79"/>
  <c r="D63" i="79"/>
  <c r="G63" i="79"/>
  <c r="J63" i="79"/>
  <c r="B63" i="79"/>
  <c r="E63" i="79"/>
  <c r="H63" i="79"/>
  <c r="K63" i="79"/>
  <c r="C63" i="79"/>
  <c r="I63" i="79"/>
  <c r="L63" i="81"/>
  <c r="D63" i="81"/>
  <c r="J63" i="81"/>
  <c r="E63" i="81"/>
  <c r="F63" i="81"/>
  <c r="I63" i="81"/>
  <c r="J63" i="59"/>
  <c r="H63" i="59"/>
  <c r="J63" i="67"/>
  <c r="E63" i="67"/>
  <c r="H63" i="67"/>
  <c r="L63" i="73"/>
  <c r="D63" i="73"/>
  <c r="G63" i="73"/>
  <c r="J63" i="73"/>
  <c r="B63" i="73"/>
  <c r="L63" i="75"/>
  <c r="D63" i="75"/>
  <c r="E63" i="75"/>
  <c r="H63" i="75"/>
  <c r="J63" i="85"/>
  <c r="B63" i="85"/>
  <c r="H63" i="85"/>
  <c r="K63" i="85"/>
  <c r="C63" i="85"/>
  <c r="I63" i="85"/>
  <c r="L63" i="85"/>
  <c r="D63" i="85"/>
  <c r="G63" i="85"/>
  <c r="G63" i="59"/>
  <c r="L63" i="63"/>
  <c r="D63" i="63"/>
  <c r="D63" i="65"/>
  <c r="G63" i="65"/>
  <c r="D63" i="67"/>
  <c r="L63" i="77"/>
  <c r="D63" i="77"/>
  <c r="G63" i="77"/>
  <c r="L63" i="74"/>
  <c r="D63" i="74"/>
  <c r="G63" i="74"/>
  <c r="J63" i="74"/>
  <c r="B63" i="74"/>
  <c r="H63" i="74"/>
  <c r="L63" i="83"/>
  <c r="D63" i="83"/>
  <c r="G63" i="83"/>
  <c r="B63" i="83"/>
  <c r="H63" i="83"/>
  <c r="K63" i="83"/>
  <c r="C63" i="83"/>
  <c r="F63" i="83"/>
  <c r="I63" i="83"/>
  <c r="E63" i="85"/>
  <c r="E63" i="83"/>
  <c r="G63" i="81"/>
  <c r="G63" i="80"/>
  <c r="H63" i="78"/>
  <c r="I63" i="78"/>
  <c r="E63" i="77"/>
  <c r="G63" i="75"/>
  <c r="E63" i="73"/>
  <c r="E63" i="72"/>
  <c r="E63" i="71"/>
  <c r="E63" i="70"/>
  <c r="G63" i="69"/>
  <c r="D63" i="68"/>
  <c r="L63" i="68"/>
  <c r="G63" i="67"/>
  <c r="G63" i="66"/>
  <c r="I63" i="65"/>
  <c r="G63" i="64"/>
  <c r="E63" i="64"/>
  <c r="G63" i="62"/>
  <c r="I63" i="61"/>
  <c r="B63" i="61"/>
  <c r="J63" i="61"/>
  <c r="K63" i="60"/>
  <c r="E63" i="59"/>
  <c r="D63" i="58"/>
  <c r="E63" i="57"/>
  <c r="C64" i="12" l="1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B64" i="12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B64" i="28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B64" i="29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B64" i="30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B64" i="31"/>
  <c r="C64" i="32"/>
  <c r="D64" i="32"/>
  <c r="E64" i="32"/>
  <c r="F64" i="32"/>
  <c r="G64" i="32"/>
  <c r="H64" i="32"/>
  <c r="I64" i="32"/>
  <c r="J64" i="32"/>
  <c r="K64" i="32"/>
  <c r="L64" i="32"/>
  <c r="M64" i="32"/>
  <c r="N64" i="32"/>
  <c r="O64" i="32"/>
  <c r="P64" i="32"/>
  <c r="Q64" i="32"/>
  <c r="R64" i="32"/>
  <c r="S64" i="32"/>
  <c r="T64" i="32"/>
  <c r="U64" i="32"/>
  <c r="V64" i="32"/>
  <c r="W64" i="32"/>
  <c r="X64" i="32"/>
  <c r="Y64" i="32"/>
  <c r="Z64" i="32"/>
  <c r="AA64" i="32"/>
  <c r="AB64" i="32"/>
  <c r="AC64" i="32"/>
  <c r="AD64" i="32"/>
  <c r="AE64" i="32"/>
  <c r="AF64" i="32"/>
  <c r="AG64" i="32"/>
  <c r="AH64" i="32"/>
  <c r="AI64" i="32"/>
  <c r="AJ64" i="32"/>
  <c r="AK64" i="32"/>
  <c r="AL64" i="32"/>
  <c r="AM64" i="32"/>
  <c r="AN64" i="32"/>
  <c r="AO64" i="32"/>
  <c r="AP64" i="32"/>
  <c r="AQ64" i="32"/>
  <c r="AR64" i="32"/>
  <c r="AS64" i="32"/>
  <c r="AT64" i="32"/>
  <c r="AU64" i="32"/>
  <c r="AV64" i="32"/>
  <c r="B64" i="32"/>
  <c r="C64" i="33"/>
  <c r="D64" i="33"/>
  <c r="E64" i="33"/>
  <c r="F64" i="33"/>
  <c r="G64" i="33"/>
  <c r="H64" i="33"/>
  <c r="I64" i="33"/>
  <c r="J64" i="33"/>
  <c r="K64" i="33"/>
  <c r="L64" i="33"/>
  <c r="M64" i="33"/>
  <c r="N64" i="33"/>
  <c r="O64" i="33"/>
  <c r="P64" i="33"/>
  <c r="Q64" i="33"/>
  <c r="R64" i="33"/>
  <c r="S64" i="33"/>
  <c r="T64" i="33"/>
  <c r="U64" i="33"/>
  <c r="V64" i="33"/>
  <c r="W64" i="33"/>
  <c r="X64" i="33"/>
  <c r="Y64" i="33"/>
  <c r="Z64" i="33"/>
  <c r="AA64" i="33"/>
  <c r="AB64" i="33"/>
  <c r="AC64" i="33"/>
  <c r="AD64" i="33"/>
  <c r="AE64" i="33"/>
  <c r="AF64" i="33"/>
  <c r="AG64" i="33"/>
  <c r="AH64" i="33"/>
  <c r="AI64" i="33"/>
  <c r="AJ64" i="33"/>
  <c r="AK64" i="33"/>
  <c r="AL64" i="33"/>
  <c r="AM64" i="33"/>
  <c r="AN64" i="33"/>
  <c r="AO64" i="33"/>
  <c r="AP64" i="33"/>
  <c r="AQ64" i="33"/>
  <c r="AR64" i="33"/>
  <c r="AS64" i="33"/>
  <c r="AT64" i="33"/>
  <c r="AU64" i="33"/>
  <c r="AV64" i="33"/>
  <c r="B64" i="33"/>
  <c r="C64" i="34"/>
  <c r="D64" i="34"/>
  <c r="E64" i="34"/>
  <c r="F64" i="34"/>
  <c r="G64" i="34"/>
  <c r="H64" i="34"/>
  <c r="I64" i="34"/>
  <c r="J64" i="34"/>
  <c r="K64" i="34"/>
  <c r="L64" i="34"/>
  <c r="M64" i="34"/>
  <c r="N64" i="34"/>
  <c r="O64" i="34"/>
  <c r="P64" i="34"/>
  <c r="Q64" i="34"/>
  <c r="R64" i="34"/>
  <c r="S64" i="34"/>
  <c r="T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AM64" i="34"/>
  <c r="AN64" i="34"/>
  <c r="AO64" i="34"/>
  <c r="AP64" i="34"/>
  <c r="AQ64" i="34"/>
  <c r="AR64" i="34"/>
  <c r="AS64" i="34"/>
  <c r="AT64" i="34"/>
  <c r="AU64" i="34"/>
  <c r="AV64" i="34"/>
  <c r="B64" i="34"/>
  <c r="AW3" i="35"/>
  <c r="AW4" i="35"/>
  <c r="AW5" i="35"/>
  <c r="AW6" i="35"/>
  <c r="AW7" i="35"/>
  <c r="AW8" i="35"/>
  <c r="AW9" i="35"/>
  <c r="AW10" i="35"/>
  <c r="AW11" i="35"/>
  <c r="AW12" i="35"/>
  <c r="AW13" i="35"/>
  <c r="AW14" i="35"/>
  <c r="AW15" i="35"/>
  <c r="AW16" i="35"/>
  <c r="AW17" i="35"/>
  <c r="AW18" i="35"/>
  <c r="AW19" i="35"/>
  <c r="AW20" i="35"/>
  <c r="AW21" i="35"/>
  <c r="AW22" i="35"/>
  <c r="AW23" i="35"/>
  <c r="AW24" i="35"/>
  <c r="AW25" i="35"/>
  <c r="AW26" i="35"/>
  <c r="AW27" i="35"/>
  <c r="AW28" i="35"/>
  <c r="AW29" i="35"/>
  <c r="AW30" i="35"/>
  <c r="AW31" i="35"/>
  <c r="AW32" i="35"/>
  <c r="AW33" i="35"/>
  <c r="AW34" i="35"/>
  <c r="AW35" i="35"/>
  <c r="AW36" i="35"/>
  <c r="AW37" i="35"/>
  <c r="AW38" i="35"/>
  <c r="AW39" i="35"/>
  <c r="AW40" i="35"/>
  <c r="AW41" i="35"/>
  <c r="AW42" i="35"/>
  <c r="AW43" i="35"/>
  <c r="AW44" i="35"/>
  <c r="AW45" i="35"/>
  <c r="AW46" i="35"/>
  <c r="AW47" i="35"/>
  <c r="AW48" i="35"/>
  <c r="AW49" i="35"/>
  <c r="AW50" i="35"/>
  <c r="AW51" i="35"/>
  <c r="AW52" i="35"/>
  <c r="AW53" i="35"/>
  <c r="AW54" i="35"/>
  <c r="AW55" i="35"/>
  <c r="AW56" i="35"/>
  <c r="AW57" i="35"/>
  <c r="AW58" i="35"/>
  <c r="AW59" i="35"/>
  <c r="AW60" i="35"/>
  <c r="AW61" i="35"/>
  <c r="AW62" i="35"/>
  <c r="AW63" i="35"/>
  <c r="C64" i="35"/>
  <c r="D64" i="35"/>
  <c r="E64" i="35"/>
  <c r="F64" i="35"/>
  <c r="G64" i="35"/>
  <c r="H64" i="35"/>
  <c r="I64" i="35"/>
  <c r="J64" i="35"/>
  <c r="K64" i="35"/>
  <c r="L64" i="35"/>
  <c r="M64" i="35"/>
  <c r="N64" i="35"/>
  <c r="O64" i="35"/>
  <c r="P64" i="35"/>
  <c r="Q64" i="35"/>
  <c r="R64" i="35"/>
  <c r="S64" i="35"/>
  <c r="T64" i="35"/>
  <c r="U64" i="35"/>
  <c r="V64" i="35"/>
  <c r="W64" i="35"/>
  <c r="X64" i="35"/>
  <c r="Y64" i="35"/>
  <c r="Z64" i="35"/>
  <c r="AA64" i="35"/>
  <c r="AB64" i="35"/>
  <c r="AC64" i="35"/>
  <c r="AD64" i="35"/>
  <c r="AE64" i="35"/>
  <c r="AF64" i="35"/>
  <c r="AG64" i="35"/>
  <c r="AH64" i="35"/>
  <c r="AI64" i="35"/>
  <c r="AJ64" i="35"/>
  <c r="AK64" i="35"/>
  <c r="AL64" i="35"/>
  <c r="AM64" i="35"/>
  <c r="AN64" i="35"/>
  <c r="AO64" i="35"/>
  <c r="AP64" i="35"/>
  <c r="AQ64" i="35"/>
  <c r="AR64" i="35"/>
  <c r="AS64" i="35"/>
  <c r="AT64" i="35"/>
  <c r="AU64" i="35"/>
  <c r="AV64" i="35"/>
  <c r="B64" i="35"/>
  <c r="AV4" i="36"/>
  <c r="AV5" i="36"/>
  <c r="AV7" i="36"/>
  <c r="AV8" i="36"/>
  <c r="AV9" i="36"/>
  <c r="AV10" i="36"/>
  <c r="AV11" i="36"/>
  <c r="AV12" i="36"/>
  <c r="AV13" i="36"/>
  <c r="AV14" i="36"/>
  <c r="AV15" i="36"/>
  <c r="AV16" i="36"/>
  <c r="AV17" i="36"/>
  <c r="AV18" i="36"/>
  <c r="AV19" i="36"/>
  <c r="AV21" i="36"/>
  <c r="AV22" i="36"/>
  <c r="AV27" i="36"/>
  <c r="AV30" i="36"/>
  <c r="AV31" i="36"/>
  <c r="AV32" i="36"/>
  <c r="AV34" i="36"/>
  <c r="AV36" i="36"/>
  <c r="AV37" i="36"/>
  <c r="AV38" i="36"/>
  <c r="AV39" i="36"/>
  <c r="AV40" i="36"/>
  <c r="AV41" i="36"/>
  <c r="AV42" i="36"/>
  <c r="AV44" i="36"/>
  <c r="AV45" i="36"/>
  <c r="AV46" i="36"/>
  <c r="AV47" i="36"/>
  <c r="AV50" i="36"/>
  <c r="AV53" i="36"/>
  <c r="AV54" i="36"/>
  <c r="AV55" i="36"/>
  <c r="AV56" i="36"/>
  <c r="AV58" i="36"/>
  <c r="AV59" i="36"/>
  <c r="AV60" i="36"/>
  <c r="AV61" i="36"/>
  <c r="AV62" i="36"/>
  <c r="AV63" i="36"/>
  <c r="B64" i="36"/>
  <c r="C64" i="36"/>
  <c r="D64" i="36"/>
  <c r="E64" i="36"/>
  <c r="F64" i="36"/>
  <c r="G64" i="36"/>
  <c r="H64" i="36"/>
  <c r="I64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V64" i="36"/>
  <c r="W64" i="36"/>
  <c r="X64" i="36"/>
  <c r="Y64" i="36"/>
  <c r="Z64" i="36"/>
  <c r="AA64" i="36"/>
  <c r="AB64" i="36"/>
  <c r="AC64" i="36"/>
  <c r="AD64" i="36"/>
  <c r="AE64" i="36"/>
  <c r="AF64" i="36"/>
  <c r="AG64" i="36"/>
  <c r="AH64" i="36"/>
  <c r="AI64" i="36"/>
  <c r="AJ64" i="36"/>
  <c r="AK64" i="36"/>
  <c r="AL64" i="36"/>
  <c r="AM64" i="36"/>
  <c r="AN64" i="36"/>
  <c r="AO64" i="36"/>
  <c r="AP64" i="36"/>
  <c r="AQ64" i="36"/>
  <c r="AR64" i="36"/>
  <c r="AS64" i="36"/>
  <c r="AT64" i="36"/>
  <c r="AU64" i="36"/>
  <c r="AW5" i="37"/>
  <c r="AW6" i="37"/>
  <c r="AW7" i="37"/>
  <c r="AW8" i="37"/>
  <c r="AW9" i="37"/>
  <c r="AW10" i="37"/>
  <c r="AW11" i="37"/>
  <c r="AW12" i="37"/>
  <c r="AW13" i="37"/>
  <c r="AW14" i="37"/>
  <c r="AW15" i="37"/>
  <c r="AW16" i="37"/>
  <c r="AW17" i="37"/>
  <c r="AW18" i="37"/>
  <c r="AW19" i="37"/>
  <c r="AW20" i="37"/>
  <c r="AW21" i="37"/>
  <c r="AW22" i="37"/>
  <c r="AW23" i="37"/>
  <c r="AW24" i="37"/>
  <c r="AW25" i="37"/>
  <c r="AW26" i="37"/>
  <c r="AW27" i="37"/>
  <c r="AW28" i="37"/>
  <c r="AW29" i="37"/>
  <c r="AW30" i="37"/>
  <c r="AW31" i="37"/>
  <c r="AW32" i="37"/>
  <c r="AW33" i="37"/>
  <c r="AW34" i="37"/>
  <c r="AW35" i="37"/>
  <c r="AW36" i="37"/>
  <c r="AW37" i="37"/>
  <c r="AW38" i="37"/>
  <c r="AW39" i="37"/>
  <c r="AW40" i="37"/>
  <c r="AW41" i="37"/>
  <c r="AW42" i="37"/>
  <c r="AW43" i="37"/>
  <c r="AW44" i="37"/>
  <c r="AW45" i="37"/>
  <c r="AW46" i="37"/>
  <c r="AW47" i="37"/>
  <c r="AW48" i="37"/>
  <c r="AW49" i="37"/>
  <c r="AW50" i="37"/>
  <c r="AW51" i="37"/>
  <c r="AW52" i="37"/>
  <c r="AW53" i="37"/>
  <c r="AW54" i="37"/>
  <c r="AW55" i="37"/>
  <c r="AW56" i="37"/>
  <c r="AW57" i="37"/>
  <c r="AW58" i="37"/>
  <c r="AW59" i="37"/>
  <c r="AW60" i="37"/>
  <c r="AW61" i="37"/>
  <c r="AW62" i="37"/>
  <c r="AW63" i="37"/>
  <c r="AW4" i="37"/>
  <c r="C64" i="37"/>
  <c r="D64" i="37"/>
  <c r="E64" i="37"/>
  <c r="F64" i="37"/>
  <c r="G64" i="37"/>
  <c r="H64" i="37"/>
  <c r="I64" i="37"/>
  <c r="J64" i="37"/>
  <c r="K64" i="37"/>
  <c r="L64" i="37"/>
  <c r="M64" i="37"/>
  <c r="N64" i="37"/>
  <c r="O64" i="37"/>
  <c r="P64" i="37"/>
  <c r="Q64" i="37"/>
  <c r="R64" i="37"/>
  <c r="S64" i="37"/>
  <c r="T64" i="37"/>
  <c r="U64" i="37"/>
  <c r="V64" i="37"/>
  <c r="W64" i="37"/>
  <c r="X64" i="37"/>
  <c r="Y64" i="37"/>
  <c r="Z64" i="37"/>
  <c r="AA64" i="37"/>
  <c r="AB64" i="37"/>
  <c r="AC64" i="37"/>
  <c r="AD64" i="37"/>
  <c r="AE64" i="37"/>
  <c r="AF64" i="37"/>
  <c r="AG64" i="37"/>
  <c r="AH64" i="37"/>
  <c r="AI64" i="37"/>
  <c r="AJ64" i="37"/>
  <c r="AK64" i="37"/>
  <c r="AL64" i="37"/>
  <c r="AM64" i="37"/>
  <c r="AN64" i="37"/>
  <c r="AO64" i="37"/>
  <c r="AP64" i="37"/>
  <c r="AQ64" i="37"/>
  <c r="AR64" i="37"/>
  <c r="AS64" i="37"/>
  <c r="AT64" i="37"/>
  <c r="AU64" i="37"/>
  <c r="AV64" i="37"/>
  <c r="B64" i="37"/>
  <c r="C63" i="81" l="1"/>
  <c r="AW64" i="37"/>
  <c r="AV64" i="36"/>
  <c r="AW64" i="35"/>
</calcChain>
</file>

<file path=xl/sharedStrings.xml><?xml version="1.0" encoding="utf-8"?>
<sst xmlns="http://schemas.openxmlformats.org/spreadsheetml/2006/main" count="6488" uniqueCount="398">
  <si>
    <t>periodid</t>
  </si>
  <si>
    <t>periodname</t>
  </si>
  <si>
    <t>periodcode</t>
  </si>
  <si>
    <t>perioddescription</t>
  </si>
  <si>
    <t>organisationunitid</t>
  </si>
  <si>
    <t>organisationunitname</t>
  </si>
  <si>
    <t>organisationunitcode</t>
  </si>
  <si>
    <t>organisationunitdescription</t>
  </si>
  <si>
    <t>Population UN</t>
  </si>
  <si>
    <t>NHWA_Medical Doctors Stock Total</t>
  </si>
  <si>
    <t>NHWA_Generalist Medical Practitioners (incl. Family medical practitioners) Stock Total</t>
  </si>
  <si>
    <t>NHWA_Medical group of Specialists Practitioners Stock Total</t>
  </si>
  <si>
    <t>NHWA_Nursing Personnel Stock Total</t>
  </si>
  <si>
    <t>NHWA_Midwifery personnel Stock Total</t>
  </si>
  <si>
    <t>NHWA_Dentists Stock Total</t>
  </si>
  <si>
    <t>NHWA_Pharmacists Stock Total</t>
  </si>
  <si>
    <t>NHWA_Administrative staff Stock Total</t>
  </si>
  <si>
    <t>NHWA_Ambulance Workers Stock Total</t>
  </si>
  <si>
    <t>NHWA_Audiologists and Speech Therapists Stock Total</t>
  </si>
  <si>
    <t>NHWA_Biomedical engineer Stock Total</t>
  </si>
  <si>
    <t>NHWA_Community Health Workers Stock Total</t>
  </si>
  <si>
    <t>NHWA_Dental Assistants and Therapists Stock Total</t>
  </si>
  <si>
    <t>NHWA_Dental Prosthetic Technicians Stock Total</t>
  </si>
  <si>
    <t>NHWA_Dieticians Stock Total</t>
  </si>
  <si>
    <t>NHWA_Dispensing Opticians Stock Total</t>
  </si>
  <si>
    <t>NHWA_Engineering and maintenance staff Stock Total</t>
  </si>
  <si>
    <t>NHWA_Environmental and Occupational Health Inspectors and Associates Stock Total</t>
  </si>
  <si>
    <t>NHWA_Environmental and Occupational Health and Hygiene Professionals Stock Total</t>
  </si>
  <si>
    <t>NHWA_General Paediatricians Practitioners Stock Total</t>
  </si>
  <si>
    <t>NHWA_Health Care Assistants Stock Total</t>
  </si>
  <si>
    <t>NHWA_Health information systems personnel Stock Total</t>
  </si>
  <si>
    <t>NHWA_Home-based Personal Care Workers Stock Total</t>
  </si>
  <si>
    <t>NHWA_Medical Imaging and Therapeutic Equipment Technicians Stock Total</t>
  </si>
  <si>
    <t>NHWA_Managerial staff Stock Total</t>
  </si>
  <si>
    <t>NHWA_Medical Assistants Stock Total</t>
  </si>
  <si>
    <t>NHWA_Medical and Pathology Laboratory Technicians Stock Total</t>
  </si>
  <si>
    <t>NHWA_Medical and Pathology Laboratory scientists Stock Total</t>
  </si>
  <si>
    <t>NHWA_Medical Prosthetic Technicians Stock Total</t>
  </si>
  <si>
    <t>NHWA_Medical Records and Health Information Technicians Stock Total</t>
  </si>
  <si>
    <t>NHWA_Medical doctors not further defined Stock Total</t>
  </si>
  <si>
    <t>NHWA_Medical secretaries stock Total</t>
  </si>
  <si>
    <t>NHWA_Midwifery Associate Professionals Stock Total</t>
  </si>
  <si>
    <t>NHWA_Midwifery Professionals Stock Total</t>
  </si>
  <si>
    <t>NHWA_Midwives not further defined Stock Total</t>
  </si>
  <si>
    <t>NHWA_Nurses not further defined Stock Total</t>
  </si>
  <si>
    <t>NHWA_Nursing Associate Professionals Stock Total</t>
  </si>
  <si>
    <t>NHWA_Nursing Professionals Stock Total</t>
  </si>
  <si>
    <t>NHWA_Nursing Professionals Stock with additional midwifery training Total</t>
  </si>
  <si>
    <t>NHWA_Nursing Associate Professionals Stock with additional midwifery training Total</t>
  </si>
  <si>
    <t>NHWA_Nutritionists Stock Total</t>
  </si>
  <si>
    <t>NHWA_Obstetricians and Gynaecologists Practitioners Stock Total</t>
  </si>
  <si>
    <t>NHWA_Optometrists and Ophthalmic Opticians Stock Total</t>
  </si>
  <si>
    <t>NHWA_Other Specialists Practitioners Stock Total</t>
  </si>
  <si>
    <t>NHWA_Other non-medical professional staff Stock Total</t>
  </si>
  <si>
    <t>NHWA_Other non-medical support staff Stock Total</t>
  </si>
  <si>
    <t>NHWA_Paramedical Practitioners Stock Total</t>
  </si>
  <si>
    <t>NHWA_Personal care workers Stock Total</t>
  </si>
  <si>
    <t>NHWA_Personal care workers in health services n.e.c Stock Total</t>
  </si>
  <si>
    <t>NHWA_Pharmaceutical Technicians and Assistants Stock Total</t>
  </si>
  <si>
    <t>NHWA_Physiotherapists Stock Total</t>
  </si>
  <si>
    <t>NHWA_Physiotherapy Technicians and Assistants Stock Total</t>
  </si>
  <si>
    <t>NHWA_Psychiatrists Practitioners Stock Total</t>
  </si>
  <si>
    <t>NHWA_Psychologists Stock Total</t>
  </si>
  <si>
    <t>NHWA_Social work associate professionals Stock Total</t>
  </si>
  <si>
    <t>NHWA_Social work and counselling professionals Stock Total</t>
  </si>
  <si>
    <t>NHWA_Specialist Medical Practitioners Stock Total</t>
  </si>
  <si>
    <t>NHWA_Surgical group of Specialists Practitioners Stock Total</t>
  </si>
  <si>
    <t>NHWA_Traditional and Complementary Medicine Associate Professionals Stock Total</t>
  </si>
  <si>
    <t>NHWA_Traditional and Complementary Medicine Professionals Stock Total</t>
  </si>
  <si>
    <t>hmZE3mVAZFf</t>
  </si>
  <si>
    <t>Burkina Faso</t>
  </si>
  <si>
    <t>BFA</t>
  </si>
  <si>
    <t>ZcrjvJaYQb7</t>
  </si>
  <si>
    <t>Central African Republic</t>
  </si>
  <si>
    <t>CAF</t>
  </si>
  <si>
    <t>FNduj2N3e8s</t>
  </si>
  <si>
    <t>Democratic Republic of Sao Tome and Principe</t>
  </si>
  <si>
    <t>STP</t>
  </si>
  <si>
    <t>EDHO4qOyY88</t>
  </si>
  <si>
    <t>Democratic Republic of the Congo</t>
  </si>
  <si>
    <t>COD</t>
  </si>
  <si>
    <t>zEYrsiNUGIo</t>
  </si>
  <si>
    <t>Federal Democratic Republic of Ethiopia</t>
  </si>
  <si>
    <t>ETH</t>
  </si>
  <si>
    <t>I3NxIqG7bD4</t>
  </si>
  <si>
    <t>Federal Republic of Nigeria</t>
  </si>
  <si>
    <t>NGA</t>
  </si>
  <si>
    <t>EGLpIMSAWhx</t>
  </si>
  <si>
    <t>Gabonese Republic</t>
  </si>
  <si>
    <t>GAB</t>
  </si>
  <si>
    <t>XYpsN5j30R9</t>
  </si>
  <si>
    <t>Islamic Republic of Mauritania</t>
  </si>
  <si>
    <t>MRT</t>
  </si>
  <si>
    <t>G3thRWUQAX9</t>
  </si>
  <si>
    <t>Kingdom of Eswatini</t>
  </si>
  <si>
    <t>SWZ</t>
  </si>
  <si>
    <t>D4JnxOsqwE4</t>
  </si>
  <si>
    <t>Kingdom of Lesotho</t>
  </si>
  <si>
    <t>LSO</t>
  </si>
  <si>
    <t>mNa42CHbkO7</t>
  </si>
  <si>
    <t>People's Democratic Republic of Algeria</t>
  </si>
  <si>
    <t>DZA</t>
  </si>
  <si>
    <t>jFOZHDZpjPL</t>
  </si>
  <si>
    <t>Republic of Angola</t>
  </si>
  <si>
    <t>AGO</t>
  </si>
  <si>
    <t>DzAOqCf0ots</t>
  </si>
  <si>
    <t>Republic of Benin</t>
  </si>
  <si>
    <t>BEN</t>
  </si>
  <si>
    <t>c82mDnhUQly</t>
  </si>
  <si>
    <t>Republic of Botswana</t>
  </si>
  <si>
    <t>BWA</t>
  </si>
  <si>
    <t>Xz7rnovuiOx</t>
  </si>
  <si>
    <t>Republic of Burundi</t>
  </si>
  <si>
    <t>BDI</t>
  </si>
  <si>
    <t>bGWaeVBrOcc</t>
  </si>
  <si>
    <t>Republic of Cabo Verde</t>
  </si>
  <si>
    <t>CPV</t>
  </si>
  <si>
    <t>VPesUmegQpP</t>
  </si>
  <si>
    <t>Republic of Cameroon</t>
  </si>
  <si>
    <t>CMR</t>
  </si>
  <si>
    <t>tV0rWhHr9cj</t>
  </si>
  <si>
    <t>Republic of Chad</t>
  </si>
  <si>
    <t>TCD</t>
  </si>
  <si>
    <t>WXGcnQWJ0Qd</t>
  </si>
  <si>
    <t>Republic of CÃ´te d'Ivoire</t>
  </si>
  <si>
    <t>CIV</t>
  </si>
  <si>
    <t>Fi5lLVwe1Th</t>
  </si>
  <si>
    <t>Republic of Equatorial Guinea</t>
  </si>
  <si>
    <t>GNQ</t>
  </si>
  <si>
    <t>z51rgcc5R8V</t>
  </si>
  <si>
    <t>Republic of Gambia</t>
  </si>
  <si>
    <t>GMB</t>
  </si>
  <si>
    <t>WC5rU5fLMzY</t>
  </si>
  <si>
    <t>Republic of Ghana</t>
  </si>
  <si>
    <t>GHA</t>
  </si>
  <si>
    <t>quQpOfBIDFC</t>
  </si>
  <si>
    <t>Republic of Guinea</t>
  </si>
  <si>
    <t>GIN</t>
  </si>
  <si>
    <t>G9o5ad4oJJX</t>
  </si>
  <si>
    <t>Republic of Guinea-Bissau</t>
  </si>
  <si>
    <t>GNB</t>
  </si>
  <si>
    <t>HfVjCurKxh2</t>
  </si>
  <si>
    <t>Republic of Kenya</t>
  </si>
  <si>
    <t>KEN</t>
  </si>
  <si>
    <t>JEHwU064LAj</t>
  </si>
  <si>
    <t>Republic of Liberia</t>
  </si>
  <si>
    <t>LBR</t>
  </si>
  <si>
    <t>bcy4159FETR</t>
  </si>
  <si>
    <t>Republic of Madagascar</t>
  </si>
  <si>
    <t>MDG</t>
  </si>
  <si>
    <t>G037PAPU5dO</t>
  </si>
  <si>
    <t>Republic of Malawi</t>
  </si>
  <si>
    <t>MWI</t>
  </si>
  <si>
    <t>EubjsxqlA4d</t>
  </si>
  <si>
    <t>Republic of Mali</t>
  </si>
  <si>
    <t>MLI</t>
  </si>
  <si>
    <t>EB4aSZN0eQr</t>
  </si>
  <si>
    <t>Republic of Mauritius</t>
  </si>
  <si>
    <t>MUS</t>
  </si>
  <si>
    <t>Gan3VYicAWe</t>
  </si>
  <si>
    <t>Republic of Mozambique</t>
  </si>
  <si>
    <t>MOZ</t>
  </si>
  <si>
    <t>rtLnlu4GUI2</t>
  </si>
  <si>
    <t>Republic of Namibia</t>
  </si>
  <si>
    <t>NAM</t>
  </si>
  <si>
    <t>UlQiEogy3wG</t>
  </si>
  <si>
    <t>Republic of Rwanda</t>
  </si>
  <si>
    <t>RWA</t>
  </si>
  <si>
    <t>wj7iV08dvFq</t>
  </si>
  <si>
    <t>Republic of Senegal</t>
  </si>
  <si>
    <t>SEN</t>
  </si>
  <si>
    <t>wimH12ukPK5</t>
  </si>
  <si>
    <t>Republic of Seychelles</t>
  </si>
  <si>
    <t>SYC</t>
  </si>
  <si>
    <t>qbqrFLCJewu</t>
  </si>
  <si>
    <t>Republic of Sierra Leone</t>
  </si>
  <si>
    <t>SLE</t>
  </si>
  <si>
    <t>lVPoUAKCdmU</t>
  </si>
  <si>
    <t>Republic of South Africa</t>
  </si>
  <si>
    <t>ZAF</t>
  </si>
  <si>
    <t>mhWSEv79IJW</t>
  </si>
  <si>
    <t>Republic of South Sudan</t>
  </si>
  <si>
    <t>SSD</t>
  </si>
  <si>
    <t>shRXArPWh8H</t>
  </si>
  <si>
    <t>Republic of the Congo</t>
  </si>
  <si>
    <t>COG</t>
  </si>
  <si>
    <t>O0hWoXlHhIS</t>
  </si>
  <si>
    <t>Republic of the Niger</t>
  </si>
  <si>
    <t>NER</t>
  </si>
  <si>
    <t>SnYHrnchKjL</t>
  </si>
  <si>
    <t>Republic of Uganda</t>
  </si>
  <si>
    <t>UGA</t>
  </si>
  <si>
    <t>gb7vWtO7Wjp</t>
  </si>
  <si>
    <t>Republic of Zambia</t>
  </si>
  <si>
    <t>ZMB</t>
  </si>
  <si>
    <t>buSEeeViTo3</t>
  </si>
  <si>
    <t>Republic of Zimbabwe</t>
  </si>
  <si>
    <t>ZWE</t>
  </si>
  <si>
    <t>vnbnnSZXGTv</t>
  </si>
  <si>
    <t>State of Eritrea</t>
  </si>
  <si>
    <t>ERI</t>
  </si>
  <si>
    <t>WtcZBCTspgM</t>
  </si>
  <si>
    <t>Togolese Republic</t>
  </si>
  <si>
    <t>TGO</t>
  </si>
  <si>
    <t>RTdjvXHJdnH</t>
  </si>
  <si>
    <t>Union of the Comoros</t>
  </si>
  <si>
    <t>COM</t>
  </si>
  <si>
    <t>S52uSY3lb8V</t>
  </si>
  <si>
    <t>United Republic of Tanzania</t>
  </si>
  <si>
    <t>TZA</t>
  </si>
  <si>
    <t>Nursing Professionals Stock with additional midwifery training Total</t>
  </si>
  <si>
    <t>Nursing Associate Professionals Stock with additional midwifery training Total</t>
  </si>
  <si>
    <t xml:space="preserve">Medical Doctors </t>
  </si>
  <si>
    <t xml:space="preserve">Generalist Medical Practitioners (incl. Family medical practitioners) </t>
  </si>
  <si>
    <t xml:space="preserve">Medical group of Specialists Practitioners </t>
  </si>
  <si>
    <t xml:space="preserve">Nursing Personnel </t>
  </si>
  <si>
    <t xml:space="preserve">Midwifery personnel </t>
  </si>
  <si>
    <t xml:space="preserve">Dentists </t>
  </si>
  <si>
    <t xml:space="preserve">Pharmacists </t>
  </si>
  <si>
    <t xml:space="preserve">Administrative staff </t>
  </si>
  <si>
    <t xml:space="preserve">Ambulance Workers </t>
  </si>
  <si>
    <t xml:space="preserve">Audiologists and Speech Therapists </t>
  </si>
  <si>
    <t xml:space="preserve">Biomedical engineer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</si>
  <si>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</si>
  <si>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</si>
  <si>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</si>
  <si>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Dieticians </t>
  </si>
  <si>
    <t xml:space="preserve">Dispensing Opticians </t>
  </si>
  <si>
    <t xml:space="preserve">Engineering and maintenance staff </t>
  </si>
  <si>
    <t xml:space="preserve">Environmental and Occupational Health Inspectors and Associates </t>
  </si>
  <si>
    <t xml:space="preserve">Environmental and Occupational Health and Hygiene Professionals </t>
  </si>
  <si>
    <t xml:space="preserve">General Paediatricians Practitioners </t>
  </si>
  <si>
    <t xml:space="preserve">Health Care Assistants </t>
  </si>
  <si>
    <t xml:space="preserve">Health information systems personnel </t>
  </si>
  <si>
    <t xml:space="preserve">Home-based Personal Care Workers </t>
  </si>
  <si>
    <t xml:space="preserve">Medical Imaging and Therapeutic Equipment Technicians </t>
  </si>
  <si>
    <t xml:space="preserve">Managerial staff </t>
  </si>
  <si>
    <t xml:space="preserve">Medical Assistants </t>
  </si>
  <si>
    <t xml:space="preserve">Medical and Pathology Laboratory Technicians </t>
  </si>
  <si>
    <t xml:space="preserve">Medical and Pathology Laboratory scientists </t>
  </si>
  <si>
    <t xml:space="preserve">Medical Prosthetic Technicians </t>
  </si>
  <si>
    <t xml:space="preserve">Medical Records and Health Information Technicians </t>
  </si>
  <si>
    <t xml:space="preserve">Medical doctors not further defined </t>
  </si>
  <si>
    <t xml:space="preserve">Medical secretaries </t>
  </si>
  <si>
    <t xml:space="preserve">Midwifery Associate Professionals </t>
  </si>
  <si>
    <t xml:space="preserve">Midwifery Professionals </t>
  </si>
  <si>
    <t xml:space="preserve">Midwives not further defined </t>
  </si>
  <si>
    <t xml:space="preserve">Nurses not further defined </t>
  </si>
  <si>
    <t xml:space="preserve">Nursing Associate Professionals </t>
  </si>
  <si>
    <t xml:space="preserve">Nursing Professionals </t>
  </si>
  <si>
    <t xml:space="preserve">Nutritionists </t>
  </si>
  <si>
    <t xml:space="preserve">Obstetricians and Gynaecologists Practitioners </t>
  </si>
  <si>
    <t xml:space="preserve">Optometrists and Ophthalmic Opticians </t>
  </si>
  <si>
    <t xml:space="preserve">Other Specialists Practitioners </t>
  </si>
  <si>
    <t xml:space="preserve">Other non-medical professional staff </t>
  </si>
  <si>
    <t xml:space="preserve">Other non-medical support staff </t>
  </si>
  <si>
    <t xml:space="preserve">Paramedical Practitioners </t>
  </si>
  <si>
    <t xml:space="preserve">Personal care workers </t>
  </si>
  <si>
    <t xml:space="preserve">Personal care workers in health services n.e.c </t>
  </si>
  <si>
    <t xml:space="preserve">Pharmaceutical Technicians and Assistants </t>
  </si>
  <si>
    <t xml:space="preserve">Physiotherapists </t>
  </si>
  <si>
    <t xml:space="preserve">Physiotherapy Technicians and Assistants </t>
  </si>
  <si>
    <t xml:space="preserve">Psychiatrists Practitioners </t>
  </si>
  <si>
    <t xml:space="preserve">Psychologists </t>
  </si>
  <si>
    <t xml:space="preserve">Social work associate professionals </t>
  </si>
  <si>
    <t xml:space="preserve">Social work and counselling professionals </t>
  </si>
  <si>
    <t xml:space="preserve">Specialist Medical Practitioners </t>
  </si>
  <si>
    <t xml:space="preserve">Surgical group of Specialists Practitioners </t>
  </si>
  <si>
    <t xml:space="preserve">Traditional and Complementary Medicine Associate Professionals </t>
  </si>
  <si>
    <t xml:space="preserve">Traditional and Complementary Medicine Professionals </t>
  </si>
  <si>
    <t>CAR</t>
  </si>
  <si>
    <t>DRC</t>
  </si>
  <si>
    <t>Sao Tome and Principe</t>
  </si>
  <si>
    <t>Ethiopia</t>
  </si>
  <si>
    <t>Nigeria</t>
  </si>
  <si>
    <t>Gabon</t>
  </si>
  <si>
    <t>Mauritania</t>
  </si>
  <si>
    <t>Eswatini</t>
  </si>
  <si>
    <t>Lesotho</t>
  </si>
  <si>
    <t>Algeria</t>
  </si>
  <si>
    <t>Angola</t>
  </si>
  <si>
    <t>Benin</t>
  </si>
  <si>
    <t>Botswana</t>
  </si>
  <si>
    <t>Burundi</t>
  </si>
  <si>
    <t>Cabo Verde</t>
  </si>
  <si>
    <t>Cameroon</t>
  </si>
  <si>
    <t>Chad</t>
  </si>
  <si>
    <t>Côte d'Ivoire</t>
  </si>
  <si>
    <t>Equatorial Guinea</t>
  </si>
  <si>
    <t>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</si>
  <si>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</si>
  <si>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</si>
  <si>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</si>
  <si>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</si>
  <si>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</si>
  <si>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</si>
  <si>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</si>
  <si>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</si>
  <si>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Mauritius</t>
  </si>
  <si>
    <t>Mozambique</t>
  </si>
  <si>
    <t>Namibia</t>
  </si>
  <si>
    <t>Rwanda</t>
  </si>
  <si>
    <t>Senegal</t>
  </si>
  <si>
    <t>Seychelles</t>
  </si>
  <si>
    <t>Sierra Leone</t>
  </si>
  <si>
    <t>South Africa</t>
  </si>
  <si>
    <t>South Sudan</t>
  </si>
  <si>
    <t>Congo</t>
  </si>
  <si>
    <t>Niger</t>
  </si>
  <si>
    <t>Uganda</t>
  </si>
  <si>
    <t>Zambia</t>
  </si>
  <si>
    <t>Zimbabwe</t>
  </si>
  <si>
    <t>Eritrea</t>
  </si>
  <si>
    <t>Togo</t>
  </si>
  <si>
    <t>Comoros</t>
  </si>
  <si>
    <t>Tanzania</t>
  </si>
  <si>
    <t>Year : 2012</t>
  </si>
  <si>
    <t>Total</t>
  </si>
  <si>
    <t xml:space="preserve"> </t>
  </si>
  <si>
    <t>Occupation</t>
  </si>
  <si>
    <t>Year : 2013</t>
  </si>
  <si>
    <t>Occupant</t>
  </si>
  <si>
    <t>Year : 2014</t>
  </si>
  <si>
    <t>Year : 2015</t>
  </si>
  <si>
    <t>Year : 2016</t>
  </si>
  <si>
    <t>Year : 2017</t>
  </si>
  <si>
    <t>Year : 2018</t>
  </si>
  <si>
    <t>Year: 2019</t>
  </si>
  <si>
    <t>Year: 2020</t>
  </si>
  <si>
    <t>Year : 2021</t>
  </si>
  <si>
    <t>Year : 2022</t>
  </si>
  <si>
    <t>BurkinaFaso</t>
  </si>
  <si>
    <t>Nursing Professionals Stock with additional midwifery training</t>
  </si>
  <si>
    <t>Nursing Associate Professionals Stock with additional midwifery training</t>
  </si>
  <si>
    <t>Algeria HRH Stock from 2012 to 2022</t>
  </si>
  <si>
    <t>Angola HRH Stock from 2012 to 2022</t>
  </si>
  <si>
    <t>Home</t>
  </si>
  <si>
    <t>Benin HRH Stock from 2012 to 2022</t>
  </si>
  <si>
    <t>Botswana HRH Stock from 2012 to 2022</t>
  </si>
  <si>
    <t>Burkina Faso HRH Stock from 2012 to 2022</t>
  </si>
  <si>
    <t>Burundi HRH Stock from 2012 to 2022</t>
  </si>
  <si>
    <t>Cabo Verde HRH Stock from 2012 to 2022</t>
  </si>
  <si>
    <t>Cameroon HRH Stock from 2012 to 2022</t>
  </si>
  <si>
    <t>CAR HRH Stock from 2012 to 2022</t>
  </si>
  <si>
    <t>Chad HRH Stock from 2012 to 2022</t>
  </si>
  <si>
    <t>Comoros HRH Stock from 2012 to 2022</t>
  </si>
  <si>
    <t>Congo HRH Stock from 2012 to 2022</t>
  </si>
  <si>
    <t>Cote d'Ivoire HRH Stock from 2012 to 2022</t>
  </si>
  <si>
    <t>DRC HRH Stock from 2012 to 2022</t>
  </si>
  <si>
    <t>Equatorial Guinea HRH Stock from 2012 to 2022</t>
  </si>
  <si>
    <t>Guinea-Bissau HRH Stock from 2012 to 2022</t>
  </si>
  <si>
    <t>Kenya HRH Stock from 2012 to 2022</t>
  </si>
  <si>
    <t>Lesotho HRH Stock from 2012 to 2022</t>
  </si>
  <si>
    <t>Liberia HRH Stock from 2012 to 2022</t>
  </si>
  <si>
    <t>Madagascar HRH Stock from 2012 to 2022</t>
  </si>
  <si>
    <t>Malawi HRH Stock from 2012 to 2022</t>
  </si>
  <si>
    <t>Mali HRH Stock from 2012 to 2022</t>
  </si>
  <si>
    <t>Mauritania HRH Stock from 2012 to 2022</t>
  </si>
  <si>
    <t>Mauritius HRH Stock from 2012 to 2022</t>
  </si>
  <si>
    <t>Mozambique HRH Stock from 2012 to 2022</t>
  </si>
  <si>
    <t>Namibia HRH Stock from 2012 to 2022</t>
  </si>
  <si>
    <t>Niger HRH Stock from 2012 to 2022</t>
  </si>
  <si>
    <t>Nigeria HRH Stock from 2012 to 2022</t>
  </si>
  <si>
    <t>Rwanda HRH Stock from 2012 to 2022</t>
  </si>
  <si>
    <t>Sao Tome and Principe HRH Stock from 2012 to 2022</t>
  </si>
  <si>
    <t>Senegal HRH Stock from 2012 to 2022</t>
  </si>
  <si>
    <t>Seychelles HRH Stock from 2012 to 2022</t>
  </si>
  <si>
    <t>Sierra Leone HRH Stock from 2012 to 2022</t>
  </si>
  <si>
    <t>South Africa HRH Stock from 2012 to 2022</t>
  </si>
  <si>
    <t>South Sudan HRH Stock from 2012 to 2022</t>
  </si>
  <si>
    <t>Tanzania HRH Stock from 2012 to 2022</t>
  </si>
  <si>
    <t>Togo HRH Stock from 2012 to 2022</t>
  </si>
  <si>
    <t>Uganda HRH Stock from 2012 to 2022</t>
  </si>
  <si>
    <t>Zambia HRH Stock from 2012 to 2022</t>
  </si>
  <si>
    <t>Zimbabwe HRH Stock from 2012 to 2022</t>
  </si>
  <si>
    <t>Cote d'Ivoire</t>
  </si>
  <si>
    <t>HOME</t>
  </si>
  <si>
    <t>Eritrea HRH Stock from 2012 to 2022</t>
  </si>
  <si>
    <t>Eswatini HRH Stock from 2012 to 2022</t>
  </si>
  <si>
    <t>Ethiopia HRH Stock from 2012 to 2022</t>
  </si>
  <si>
    <t>Gambia HRH Stock from 2012 to 2022</t>
  </si>
  <si>
    <t>Ghana HRH Stock from 2012 to 2022</t>
  </si>
  <si>
    <t>Guinea HRH Stock from 2012 to 2022</t>
  </si>
  <si>
    <t>Gabon HRH Stock from 2012 to 2022</t>
  </si>
  <si>
    <t>Click on the following name of country for viewing data</t>
  </si>
  <si>
    <t>AFRO Stock 20240123</t>
  </si>
  <si>
    <t>AFRO Stock 2022</t>
  </si>
  <si>
    <t>AFRO Stock 2012</t>
  </si>
  <si>
    <t>AFRO Stock 2013</t>
  </si>
  <si>
    <t>AFRO Stock 2014</t>
  </si>
  <si>
    <t>AFRO Stock 2015</t>
  </si>
  <si>
    <t>AFRO Stock 2016</t>
  </si>
  <si>
    <t>AFRO Stock 2017</t>
  </si>
  <si>
    <t>AFRO Stock 2018</t>
  </si>
  <si>
    <t>AFRO Stock 2019</t>
  </si>
  <si>
    <t>AFRO Stock 2020</t>
  </si>
  <si>
    <t>AFRO Stock 2021</t>
  </si>
  <si>
    <t>Data per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</si>
</sst>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0" fillId="0" borderId="10" xfId="0" applyBorder="1"/>
    <xf numFmtId="3" fontId="0" fillId="0" borderId="10" xfId="0" applyNumberFormat="1" applyBorder="1"/>
    <xf numFmtId="3" fontId="16" fillId="0" borderId="10" xfId="0" applyNumberFormat="1" applyFont="1" applyBorder="1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0" xfId="0" applyFont="1" applyAlignment="1">
      <alignment horizontal="center" vertical="center"/>
    </xf>
    <xf numFmtId="0" fontId="0" fillId="0" borderId="11" xfId="0" applyBorder="1"/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2" xfId="0" applyBorder="1"/>
    <xf numFmtId="3" fontId="0" fillId="0" borderId="0" xfId="0" applyNumberFormat="1"/>
    <xf numFmtId="0" fontId="0" fillId="0" borderId="0" xfId="0" applyAlignment="1">
      <alignment horizontal="left" vertical="center"/>
    </xf>
    <xf numFmtId="0" fontId="0" fillId="0" borderId="13" xfId="0" applyBorder="1"/>
    <xf numFmtId="0" fontId="0" fillId="0" borderId="10" xfId="0" applyBorder="1" applyAlignment="1">
      <alignment wrapText="1"/>
    </xf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3" xfId="0" applyBorder="1" applyAlignment="1">
      <alignment wrapText="1"/>
    </xf>
    <xf numFmtId="3" fontId="0" fillId="0" borderId="10" xfId="0" applyNumberFormat="1" applyBorder="1" applyAlignment="1">
      <alignment vertical="top"/>
    </xf>
    <xf numFmtId="0" fontId="19" fillId="0" borderId="0" xfId="0" applyFont="1"/>
    <xf numFmtId="0" fontId="21" fillId="0" borderId="0" xfId="0" applyFont="1"/>
    <xf numFmtId="0" fontId="20" fillId="0" borderId="0" xfId="0" applyFont="1"/>
    <xf numFmtId="3" fontId="0" fillId="0" borderId="0" xfId="0" applyNumberFormat="1" applyProtection="1">
      <protection locked="0"/>
    </xf>
    <xf numFmtId="0" fontId="23" fillId="0" borderId="0" xfId="42" applyFont="1" applyAlignment="1" applyProtection="1">
      <alignment horizontal="center" vertical="center"/>
      <protection locked="0"/>
    </xf>
    <xf numFmtId="0" fontId="24" fillId="0" borderId="0" xfId="42" applyFont="1" applyAlignment="1" applyProtection="1">
      <alignment horizontal="center" vertical="center"/>
      <protection locked="0"/>
    </xf>
    <xf numFmtId="0" fontId="25" fillId="0" borderId="0" xfId="42" applyFont="1" applyAlignment="1" applyProtection="1">
      <alignment horizontal="center" vertical="center"/>
      <protection locked="0"/>
    </xf>
    <xf numFmtId="0" fontId="24" fillId="0" borderId="0" xfId="42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3" fontId="0" fillId="33" borderId="10" xfId="0" applyNumberFormat="1" applyFill="1" applyBorder="1"/>
    <xf numFmtId="0" fontId="0" fillId="33" borderId="10" xfId="0" applyFill="1" applyBorder="1"/>
    <xf numFmtId="0" fontId="0" fillId="33" borderId="10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0" fontId="0" fillId="0" borderId="1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33" borderId="10" xfId="0" applyFill="1" applyBorder="1" applyAlignment="1">
      <alignment horizontal="center" vertical="top"/>
    </xf>
    <xf numFmtId="3" fontId="0" fillId="33" borderId="10" xfId="0" applyNumberFormat="1" applyFill="1" applyBorder="1" applyAlignment="1">
      <alignment vertical="top"/>
    </xf>
    <xf numFmtId="0" fontId="26" fillId="0" borderId="0" xfId="42" applyFont="1"/>
    <xf numFmtId="0" fontId="28" fillId="0" borderId="0" xfId="0" applyFont="1"/>
    <xf numFmtId="0" fontId="29" fillId="0" borderId="0" xfId="42" applyFont="1"/>
    <xf numFmtId="0" fontId="16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496808</xdr:colOff>
      <xdr:row>16</xdr:row>
      <xdr:rowOff>136023</xdr:rowOff>
    </xdr:from>
    <xdr:to>
      <xdr:col>8</xdr:col>
      <xdr:colOff>466725</xdr:colOff>
      <xdr:row>26</xdr:row>
      <xdr:rowOff>44883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9FC23F3-EF59-487D-A8DE-D6ED93AE754F}"/>
            </a:ext>
          </a:extLst>
        </xdr:cNvPr>
        <xdr:cNvGrpSpPr/>
      </xdr:nvGrpSpPr>
      <xdr:grpSpPr>
        <a:xfrm>
          <a:off x="2795508" y="3260223"/>
          <a:ext cx="3818017" cy="1877360"/>
          <a:chOff x="2611358" y="1669548"/>
          <a:chExt cx="3627517" cy="181386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B56D27D-FA28-40E5-BC12-6351963FB16D}"/>
              </a:ext>
            </a:extLst>
          </xdr:cNvPr>
          <xdr:cNvGrpSpPr/>
        </xdr:nvGrpSpPr>
        <xdr:grpSpPr>
          <a:xfrm>
            <a:off x="2611358" y="1669548"/>
            <a:ext cx="3627517" cy="1254627"/>
            <a:chOff x="2611358" y="1669548"/>
            <a:chExt cx="3627517" cy="1254627"/>
          </a:xfrm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89D1ED7D-FC25-416E-AAC7-CA24B1E57FE0}"/>
                </a:ext>
              </a:extLst>
            </xdr:cNvPr>
            <xdr:cNvSpPr/>
          </xdr:nvSpPr>
          <xdr:spPr>
            <a:xfrm>
              <a:off x="2611358" y="1669548"/>
              <a:ext cx="3627517" cy="125462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prstTxWarp prst="textArchUp">
                <a:avLst/>
              </a:prstTxWarp>
              <a:spAutoFit/>
            </a:bodyPr>
            <a:lstStyle/>
            <a:p>
              <a:pPr algn="ctr"/>
              <a:r>
                <a:rPr lang="en-US" sz="54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AFRO HRH Stock 2012 - 2022</a:t>
              </a:r>
            </a:p>
          </xdr:txBody>
        </xdr:sp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6D460777-5845-46B0-84A4-74E59E297F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638550" y="2171700"/>
              <a:ext cx="1518036" cy="688908"/>
            </a:xfrm>
            <a:prstGeom prst="rect">
              <a:avLst/>
            </a:prstGeom>
          </xdr:spPr>
        </xdr:pic>
      </xdr:grp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4105C06-7988-4B8D-A361-24F87EFF063A}"/>
              </a:ext>
            </a:extLst>
          </xdr:cNvPr>
          <xdr:cNvSpPr/>
        </xdr:nvSpPr>
        <xdr:spPr>
          <a:xfrm>
            <a:off x="2833256" y="2952750"/>
            <a:ext cx="3091294" cy="530658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HWF Unit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E331-9513-46D2-AB0A-DCBDDBF63919}">
  <dimension ref="A1:L50"/>
  <sheetViews>
    <sheetView tabSelected="1" workbookViewId="0">
      <selection activeCell="G15" sqref="G15"/>
    </sheetView>
  </sheetViews>
  <sheetFormatPr defaultColWidth="9.1796875" defaultRowHeight="14.5" x14ac:dyDescent="0.35"/>
  <cols>
    <col min="1" max="1" width="23.7265625" customWidth="1"/>
  </cols>
  <sheetData>
    <row r="1" spans="1:12" x14ac:dyDescent="0.35">
      <c r="A1" s="24" t="s">
        <v>384</v>
      </c>
    </row>
    <row r="2" spans="1:12" x14ac:dyDescent="0.35">
      <c r="A2" s="46" t="s">
        <v>397</v>
      </c>
      <c r="L2" s="46"/>
    </row>
    <row r="3" spans="1:12" ht="15.5" x14ac:dyDescent="0.35">
      <c r="A3" s="45" t="s">
        <v>279</v>
      </c>
      <c r="L3" s="47" t="s">
        <v>385</v>
      </c>
    </row>
    <row r="4" spans="1:12" ht="15.5" x14ac:dyDescent="0.35">
      <c r="A4" s="45" t="s">
        <v>280</v>
      </c>
      <c r="L4" s="47" t="s">
        <v>387</v>
      </c>
    </row>
    <row r="5" spans="1:12" ht="15.5" x14ac:dyDescent="0.35">
      <c r="A5" s="45" t="s">
        <v>281</v>
      </c>
      <c r="L5" s="47" t="s">
        <v>388</v>
      </c>
    </row>
    <row r="6" spans="1:12" ht="15.5" x14ac:dyDescent="0.35">
      <c r="A6" s="45" t="s">
        <v>282</v>
      </c>
      <c r="L6" s="47" t="s">
        <v>389</v>
      </c>
    </row>
    <row r="7" spans="1:12" ht="15.5" x14ac:dyDescent="0.35">
      <c r="A7" s="45" t="s">
        <v>331</v>
      </c>
      <c r="L7" s="47" t="s">
        <v>390</v>
      </c>
    </row>
    <row r="8" spans="1:12" ht="15.5" x14ac:dyDescent="0.35">
      <c r="A8" s="45" t="s">
        <v>283</v>
      </c>
      <c r="L8" s="47" t="s">
        <v>391</v>
      </c>
    </row>
    <row r="9" spans="1:12" ht="15.5" x14ac:dyDescent="0.35">
      <c r="A9" s="45" t="s">
        <v>284</v>
      </c>
      <c r="L9" s="47" t="s">
        <v>392</v>
      </c>
    </row>
    <row r="10" spans="1:12" ht="15.5" x14ac:dyDescent="0.35">
      <c r="A10" s="45" t="s">
        <v>285</v>
      </c>
      <c r="L10" s="47" t="s">
        <v>393</v>
      </c>
    </row>
    <row r="11" spans="1:12" ht="15.5" x14ac:dyDescent="0.35">
      <c r="A11" s="45" t="s">
        <v>270</v>
      </c>
      <c r="L11" s="47" t="s">
        <v>394</v>
      </c>
    </row>
    <row r="12" spans="1:12" ht="15.5" x14ac:dyDescent="0.35">
      <c r="A12" s="45" t="s">
        <v>286</v>
      </c>
      <c r="L12" s="47" t="s">
        <v>395</v>
      </c>
    </row>
    <row r="13" spans="1:12" ht="15.5" x14ac:dyDescent="0.35">
      <c r="A13" s="45" t="s">
        <v>314</v>
      </c>
      <c r="L13" s="47" t="s">
        <v>396</v>
      </c>
    </row>
    <row r="14" spans="1:12" ht="15.5" x14ac:dyDescent="0.35">
      <c r="A14" s="45" t="s">
        <v>307</v>
      </c>
      <c r="L14" s="47" t="s">
        <v>386</v>
      </c>
    </row>
    <row r="15" spans="1:12" ht="15.5" x14ac:dyDescent="0.35">
      <c r="A15" s="45" t="s">
        <v>375</v>
      </c>
    </row>
    <row r="16" spans="1:12" ht="15.5" x14ac:dyDescent="0.35">
      <c r="A16" s="45" t="s">
        <v>271</v>
      </c>
    </row>
    <row r="17" spans="1:1" ht="15.5" x14ac:dyDescent="0.35">
      <c r="A17" s="45" t="s">
        <v>288</v>
      </c>
    </row>
    <row r="18" spans="1:1" ht="15.5" x14ac:dyDescent="0.35">
      <c r="A18" s="45" t="s">
        <v>312</v>
      </c>
    </row>
    <row r="19" spans="1:1" ht="15.5" x14ac:dyDescent="0.35">
      <c r="A19" s="45" t="s">
        <v>277</v>
      </c>
    </row>
    <row r="20" spans="1:1" ht="15.5" x14ac:dyDescent="0.35">
      <c r="A20" s="45" t="s">
        <v>273</v>
      </c>
    </row>
    <row r="21" spans="1:1" ht="15.5" x14ac:dyDescent="0.35">
      <c r="A21" s="45" t="s">
        <v>275</v>
      </c>
    </row>
    <row r="22" spans="1:1" ht="15.5" x14ac:dyDescent="0.35">
      <c r="A22" s="45" t="s">
        <v>289</v>
      </c>
    </row>
    <row r="23" spans="1:1" ht="15.5" x14ac:dyDescent="0.35">
      <c r="A23" s="45" t="s">
        <v>290</v>
      </c>
    </row>
    <row r="24" spans="1:1" ht="15.5" x14ac:dyDescent="0.35">
      <c r="A24" s="45" t="s">
        <v>291</v>
      </c>
    </row>
    <row r="25" spans="1:1" ht="15.5" x14ac:dyDescent="0.35">
      <c r="A25" s="45" t="s">
        <v>292</v>
      </c>
    </row>
    <row r="26" spans="1:1" ht="15.5" x14ac:dyDescent="0.35">
      <c r="A26" s="45" t="s">
        <v>293</v>
      </c>
    </row>
    <row r="27" spans="1:1" ht="15.5" x14ac:dyDescent="0.35">
      <c r="A27" s="45" t="s">
        <v>278</v>
      </c>
    </row>
    <row r="28" spans="1:1" ht="15.5" x14ac:dyDescent="0.35">
      <c r="A28" s="45" t="s">
        <v>294</v>
      </c>
    </row>
    <row r="29" spans="1:1" ht="15.5" x14ac:dyDescent="0.35">
      <c r="A29" s="45" t="s">
        <v>295</v>
      </c>
    </row>
    <row r="30" spans="1:1" ht="15.5" x14ac:dyDescent="0.35">
      <c r="A30" s="45" t="s">
        <v>296</v>
      </c>
    </row>
    <row r="31" spans="1:1" ht="15.5" x14ac:dyDescent="0.35">
      <c r="A31" s="45" t="s">
        <v>297</v>
      </c>
    </row>
    <row r="32" spans="1:1" ht="15.5" x14ac:dyDescent="0.35">
      <c r="A32" s="45" t="s">
        <v>276</v>
      </c>
    </row>
    <row r="33" spans="1:1" ht="15.5" x14ac:dyDescent="0.35">
      <c r="A33" s="45" t="s">
        <v>298</v>
      </c>
    </row>
    <row r="34" spans="1:1" ht="15.5" x14ac:dyDescent="0.35">
      <c r="A34" s="45" t="s">
        <v>299</v>
      </c>
    </row>
    <row r="35" spans="1:1" ht="15.5" x14ac:dyDescent="0.35">
      <c r="A35" s="45" t="s">
        <v>300</v>
      </c>
    </row>
    <row r="36" spans="1:1" ht="15.5" x14ac:dyDescent="0.35">
      <c r="A36" s="45" t="s">
        <v>308</v>
      </c>
    </row>
    <row r="37" spans="1:1" ht="15.5" x14ac:dyDescent="0.35">
      <c r="A37" s="45" t="s">
        <v>274</v>
      </c>
    </row>
    <row r="38" spans="1:1" ht="15.5" x14ac:dyDescent="0.35">
      <c r="A38" s="45" t="s">
        <v>301</v>
      </c>
    </row>
    <row r="39" spans="1:1" ht="15.5" x14ac:dyDescent="0.35">
      <c r="A39" s="45" t="s">
        <v>272</v>
      </c>
    </row>
    <row r="40" spans="1:1" ht="15.5" x14ac:dyDescent="0.35">
      <c r="A40" s="45" t="s">
        <v>302</v>
      </c>
    </row>
    <row r="41" spans="1:1" ht="15.5" x14ac:dyDescent="0.35">
      <c r="A41" s="45" t="s">
        <v>303</v>
      </c>
    </row>
    <row r="42" spans="1:1" ht="15.5" x14ac:dyDescent="0.35">
      <c r="A42" s="45" t="s">
        <v>304</v>
      </c>
    </row>
    <row r="43" spans="1:1" ht="15.5" x14ac:dyDescent="0.35">
      <c r="A43" s="45" t="s">
        <v>305</v>
      </c>
    </row>
    <row r="44" spans="1:1" ht="15.5" x14ac:dyDescent="0.35">
      <c r="A44" s="45" t="s">
        <v>306</v>
      </c>
    </row>
    <row r="45" spans="1:1" ht="15.5" x14ac:dyDescent="0.35">
      <c r="A45" s="45" t="s">
        <v>315</v>
      </c>
    </row>
    <row r="46" spans="1:1" ht="15.5" x14ac:dyDescent="0.35">
      <c r="A46" s="45" t="s">
        <v>313</v>
      </c>
    </row>
    <row r="47" spans="1:1" ht="15.5" x14ac:dyDescent="0.35">
      <c r="A47" s="45" t="s">
        <v>309</v>
      </c>
    </row>
    <row r="48" spans="1:1" ht="15.5" x14ac:dyDescent="0.35">
      <c r="A48" s="45" t="s">
        <v>310</v>
      </c>
    </row>
    <row r="49" spans="1:1" ht="15.5" x14ac:dyDescent="0.35">
      <c r="A49" s="45" t="s">
        <v>311</v>
      </c>
    </row>
    <row r="50" spans="1:1" ht="15.5" x14ac:dyDescent="0.35">
      <c r="A50" s="45"/>
    </row>
  </sheetData>
  <phoneticPr fontId="27" type="noConversion"/>
  <hyperlinks>
    <hyperlink ref="A3" location="Algeria!A1" display="Algeria" xr:uid="{3A669FE6-634A-4030-BE35-3F83AECC6DA1}"/>
    <hyperlink ref="A4" location="Angola!A1" display="Angola" xr:uid="{D9977713-E63C-4A4C-9EBD-D8F86D366F5B}"/>
    <hyperlink ref="A5" location="Benin!A1" display="Benin" xr:uid="{399509CF-9B17-4BF7-8760-7E7083AF949C}"/>
    <hyperlink ref="A6" location="Botswana!A1" display="Botswana" xr:uid="{B48843B9-3350-4EF8-8344-9964B0450958}"/>
    <hyperlink ref="A7" location="'Burkina Faso'!A1" display="BurkinaFaso" xr:uid="{5BEBFEE8-C417-42AE-B317-090FCD9221BC}"/>
    <hyperlink ref="A8" location="Burundi!A1" display="Burundi" xr:uid="{59FD44D7-72C6-4FE9-A303-59BCF3245CFC}"/>
    <hyperlink ref="A9" location="'Cabo Verde'!A1" display="Cabo Verde" xr:uid="{4864FA73-1D11-499D-B9B7-58BF87B03A05}"/>
    <hyperlink ref="A10" location="Cameroon!A1" display="Cameroon" xr:uid="{3DC145E8-4F56-4B2D-9D96-399BE015DD67}"/>
    <hyperlink ref="A11" location="CAR!A1" display="CAR" xr:uid="{16640121-1ADE-49AA-B6AD-A17E41AAA55B}"/>
    <hyperlink ref="A12" location="Chad!A1" display="Chad" xr:uid="{F15C7200-B06E-4515-87B9-9943EA8E0DC1}"/>
    <hyperlink ref="A13" location="Comoros!A1" display="Comoros" xr:uid="{12FBEF6C-32DF-470D-BB4F-3D98D3E1D880}"/>
    <hyperlink ref="A14" location="Congo!A1" display="Congo" xr:uid="{C07E8A64-BB9C-4981-BF5C-364C00633E90}"/>
    <hyperlink ref="A15" location="'Cote d''Ivoire'!A1" display="Cote d'Ivoire" xr:uid="{4CB62184-3134-4388-A583-F474BAE3A0AA}"/>
    <hyperlink ref="A16" location="DRC!A1" display="DRC" xr:uid="{642A7E2C-126B-43F1-85A1-4BAA8BFE8D1E}"/>
    <hyperlink ref="A17" location="'Equatorial Guinea'!A1" display="Equatorial Guinea" xr:uid="{58221729-2C8E-436A-B252-726F788D094A}"/>
    <hyperlink ref="A18" location="Eritrea!A1" display="Eritrea" xr:uid="{C4DF79E7-7411-4D0C-9A46-88A4F5D3E233}"/>
    <hyperlink ref="A19" location="Eswatini!A1" display="Eswatini" xr:uid="{99134D44-654D-4BB3-AD73-B311B30C7D22}"/>
    <hyperlink ref="A20" location="Ethiopia!A1" display="Ethiopia" xr:uid="{A25C3EC9-593C-413A-831E-00E2F7E226C5}"/>
    <hyperlink ref="A21" location="Gabon!A1" display="Gabon" xr:uid="{7569D864-E722-4E7C-9DB3-6FA1ADB61F87}"/>
    <hyperlink ref="A22" location="Gambia!A1" display="Gambia" xr:uid="{51A51466-3AF5-467F-B0CB-A90EE2DA81DA}"/>
    <hyperlink ref="A23" location="Ghana!A1" display="Ghana" xr:uid="{1DC95EC9-4B77-4C97-A022-1E2C2FBF90B9}"/>
    <hyperlink ref="A24" location="Guinea!A1" display="Guinea" xr:uid="{4FE0BF48-5E3F-4AED-A736-A292E4A36C51}"/>
    <hyperlink ref="A25" location="'Guinea-Bissau'!A1" display="Guinea-Bissau" xr:uid="{50D4CEA7-4109-4E74-8791-F115047EF9D6}"/>
    <hyperlink ref="A26" location="Kenya!A1" display="Kenya" xr:uid="{A1AA53E7-8564-4836-8CD7-146C22EF6B79}"/>
    <hyperlink ref="A27" location="Lesotho!A1" display="Lesotho" xr:uid="{B48CA72D-5147-43EE-BE18-94B6E365B90A}"/>
    <hyperlink ref="A28" location="Liberia!A1" display="Liberia" xr:uid="{A5082640-93D3-4A25-928E-8FF63BC41B74}"/>
    <hyperlink ref="A29" location="Madagascar!A1" display="Madagascar" xr:uid="{0422EDB3-B11E-4BA3-B3F6-88AC82915605}"/>
    <hyperlink ref="A30" location="Malawi!A1" display="Malawi" xr:uid="{A757D867-4A44-4C3B-97B1-34AD4DB3EA7F}"/>
    <hyperlink ref="A31" location="Mali!A1" display="Mali" xr:uid="{CDBBDF35-C1E3-4134-A6D6-C3BD8A79E8CF}"/>
    <hyperlink ref="A32" location="Mauritania!A1" display="Mauritania" xr:uid="{C42BE51D-556E-4F41-AEB7-5EF442134D53}"/>
    <hyperlink ref="A33" location="Mauritius!A1" display="Mauritius" xr:uid="{11C1DECC-4CBA-4122-8CDD-DBF184BEA045}"/>
    <hyperlink ref="A34" location="Mozambique!A1" display="Mozambique" xr:uid="{1BAE1637-9117-4DB6-942F-18A863860C58}"/>
    <hyperlink ref="A35" location="Namibia!A1" display="Namibia" xr:uid="{F07013C0-71F2-4855-BF92-3BD7D2545159}"/>
    <hyperlink ref="A36" location="Niger!A1" display="Niger" xr:uid="{4A5B03D9-257D-4014-B25D-26212E225F66}"/>
    <hyperlink ref="A37" location="Nigeria!A1" display="Nigeria" xr:uid="{863F2E2B-919A-4AE0-AEFF-6256034D1AA3}"/>
    <hyperlink ref="A38" location="Rwanda!A1" display="Rwanda" xr:uid="{82C31D6A-BCAA-47E6-A1EB-6B9D5C1801F0}"/>
    <hyperlink ref="A39" location="'Sao Tome and Principe'!A1" display="Sao Tome and Principe" xr:uid="{F68F64B9-26DA-4430-A3C3-53E9C6F4ED18}"/>
    <hyperlink ref="A40" location="Senegal!A1" display="Senegal" xr:uid="{707094E3-BA52-4C6C-BBCB-8A4BA4B8EADA}"/>
    <hyperlink ref="A41" location="Seychelles!A1" display="Seychelles" xr:uid="{6E817EC6-7953-4424-B6E7-709A57968A10}"/>
    <hyperlink ref="A42" location="'Sierra Leone'!A1" display="Sierra Leone" xr:uid="{A17DC2C9-0F72-4D42-86AB-889A3B54B355}"/>
    <hyperlink ref="A43" location="'South Africa'!A1" display="South Africa" xr:uid="{494E1F2A-046F-4A53-B505-9E58E602D628}"/>
    <hyperlink ref="A44" location="'South Sudan'!A1" display="South Sudan" xr:uid="{BAEA2C71-DC20-4652-8A85-B8AF37ABDDA7}"/>
    <hyperlink ref="A45" location="Tanzania!A1" display="Tanzania" xr:uid="{71865C86-DC6F-411D-947E-4B94642B37C0}"/>
    <hyperlink ref="A46" location="Togo!A1" display="Togo" xr:uid="{151BCB33-0E7D-433E-85DE-1598094A6CE5}"/>
    <hyperlink ref="A47" location="Uganda!A1" display="Uganda" xr:uid="{4AD92F0C-EFC2-4C35-B6B6-89AA03D8A243}"/>
    <hyperlink ref="A48" location="Zambia!A1" display="Zambia" xr:uid="{866EBB4B-B765-4B24-8587-76E7B710313C}"/>
    <hyperlink ref="A49" location="Zimbabwe!A1" display="Zimbabwe" xr:uid="{92565C92-90C1-4B84-AB4F-43D0F4C7F9BE}"/>
    <hyperlink ref="L3" location="'AFRO Stock 20240123'!A1" display="AFRO Stock 20240123" xr:uid="{3698E76D-A646-40F7-967B-50AC98DD27EE}"/>
    <hyperlink ref="L4" location="'AFRO Stock 2012'!A1" display="AFRO Stock 2012" xr:uid="{6BB00943-0271-41BB-8C39-372087B2A64E}"/>
    <hyperlink ref="L5" location="'AFRO Stock 2013'!A1" display="AFRO Stock 2013" xr:uid="{072C8B98-8384-45DA-8C21-E52844D61931}"/>
    <hyperlink ref="L6" location="'AFRO Stock 2014'!A1" display="AFRO Stock 2014" xr:uid="{20FC16F2-20D7-458D-B6C7-69B724E2325F}"/>
    <hyperlink ref="L7" location="'AFRO Stock 2015'!A1" display="AFRO Stock 2015" xr:uid="{EF94D05B-B5CE-4D39-8381-7B9996954308}"/>
    <hyperlink ref="L8" location="'AFRO Stock 2016'!A1" display="AFRO Stock 2016" xr:uid="{C7C7E9F6-DE34-440E-97E5-883AB5DB71CD}"/>
    <hyperlink ref="L9" location="'AFRO Stock 2017'!A1" display="AFRO Stock 2017" xr:uid="{BEABEA8E-A93A-4E28-82B5-A64B8633B1D2}"/>
    <hyperlink ref="L10" location="'AFRO Stock 2018'!A1" display="AFRO Stock 2018" xr:uid="{5320914A-D25F-4228-8C90-33E13B65F240}"/>
    <hyperlink ref="L11" location="'AFRO Stock 2019'!A1" display="AFRO Stock 2019" xr:uid="{C927AE26-433B-425F-8D0B-17BBDDB2DA84}"/>
    <hyperlink ref="L12" location="'AFRO Stock 2020'!A1" display="AFRO Stock 2020" xr:uid="{8D8A1A1E-1E9B-4E51-ADE8-4FBDB6A0E176}"/>
    <hyperlink ref="L13" location="'AFRO Stock 2021'!A1" display="AFRO Stock 2021" xr:uid="{FD27499C-96B4-40FF-8224-F20C2CDC27AB}"/>
    <hyperlink ref="L14" location="'AFRO Stock 2022'!A1" display="AFRO Stock 2022" xr:uid="{A9D3DF64-4427-40AD-8862-A4C0008A67DF}"/>
  </hyperlinks>
  <pageMargins left="0.7" right="0.7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22FC-05E5-4B49-BFCB-9853F82E8000}">
  <dimension ref="A1:M65"/>
  <sheetViews>
    <sheetView zoomScale="96" zoomScaleNormal="96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M1" sqref="M1"/>
    </sheetView>
  </sheetViews>
  <sheetFormatPr defaultColWidth="11.453125" defaultRowHeight="14.5" x14ac:dyDescent="0.35"/>
  <cols>
    <col min="1" max="1" width="36.7265625" style="20" customWidth="1"/>
    <col min="2" max="4" width="7.81640625" style="20" bestFit="1" customWidth="1"/>
    <col min="5" max="10" width="9.54296875" style="20" bestFit="1" customWidth="1"/>
    <col min="11" max="12" width="7.81640625" style="20" bestFit="1" customWidth="1"/>
    <col min="13" max="16384" width="11.453125" style="20"/>
  </cols>
  <sheetData>
    <row r="1" spans="1:13" ht="18.5" x14ac:dyDescent="0.45">
      <c r="A1" s="25" t="s">
        <v>334</v>
      </c>
      <c r="B1"/>
      <c r="C1"/>
      <c r="D1"/>
      <c r="E1"/>
      <c r="F1"/>
      <c r="G1"/>
      <c r="H1"/>
      <c r="I1"/>
      <c r="J1"/>
      <c r="K1"/>
      <c r="L1"/>
      <c r="M1" s="30" t="s">
        <v>336</v>
      </c>
    </row>
    <row r="2" spans="1:13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</row>
    <row r="3" spans="1:13" x14ac:dyDescent="0.35">
      <c r="A3" s="41" t="s">
        <v>212</v>
      </c>
      <c r="B3" s="23">
        <v>0</v>
      </c>
      <c r="C3" s="23">
        <v>0</v>
      </c>
      <c r="D3" s="23">
        <v>0</v>
      </c>
      <c r="E3" s="23">
        <v>0</v>
      </c>
      <c r="F3" s="23">
        <v>74309</v>
      </c>
      <c r="G3" s="23">
        <v>0</v>
      </c>
      <c r="H3" s="23">
        <v>72604</v>
      </c>
      <c r="I3" s="23">
        <v>42140</v>
      </c>
      <c r="J3" s="23">
        <v>0</v>
      </c>
      <c r="K3" s="23">
        <v>0</v>
      </c>
      <c r="L3" s="23">
        <v>0</v>
      </c>
    </row>
    <row r="4" spans="1:13" ht="29" x14ac:dyDescent="0.35">
      <c r="A4" s="41" t="s">
        <v>213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32774</v>
      </c>
      <c r="I4" s="23">
        <v>27560</v>
      </c>
      <c r="J4" s="23">
        <v>0</v>
      </c>
      <c r="K4" s="23">
        <v>0</v>
      </c>
      <c r="L4" s="23">
        <v>0</v>
      </c>
    </row>
    <row r="5" spans="1:13" x14ac:dyDescent="0.35">
      <c r="A5" s="42" t="s">
        <v>214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19815</v>
      </c>
      <c r="I5" s="23">
        <v>0</v>
      </c>
      <c r="J5" s="23">
        <v>0</v>
      </c>
      <c r="K5" s="23">
        <v>0</v>
      </c>
      <c r="L5" s="23">
        <v>0</v>
      </c>
    </row>
    <row r="6" spans="1:13" x14ac:dyDescent="0.35">
      <c r="A6" s="42" t="s">
        <v>215</v>
      </c>
      <c r="B6" s="23">
        <v>0</v>
      </c>
      <c r="C6" s="23">
        <v>0</v>
      </c>
      <c r="D6" s="23">
        <v>0</v>
      </c>
      <c r="E6" s="23">
        <v>0</v>
      </c>
      <c r="F6" s="23">
        <v>90958</v>
      </c>
      <c r="G6" s="23">
        <v>92000</v>
      </c>
      <c r="H6" s="23">
        <v>56411</v>
      </c>
      <c r="I6" s="23">
        <v>4425</v>
      </c>
      <c r="J6" s="23">
        <v>0</v>
      </c>
      <c r="K6" s="23">
        <v>0</v>
      </c>
      <c r="L6" s="23">
        <v>0</v>
      </c>
    </row>
    <row r="7" spans="1:13" x14ac:dyDescent="0.35">
      <c r="A7" s="42" t="s">
        <v>216</v>
      </c>
      <c r="B7" s="23">
        <v>0</v>
      </c>
      <c r="C7" s="23">
        <v>0</v>
      </c>
      <c r="D7" s="23">
        <v>11139</v>
      </c>
      <c r="E7" s="23">
        <v>0</v>
      </c>
      <c r="F7" s="23">
        <v>0</v>
      </c>
      <c r="G7" s="23">
        <v>0</v>
      </c>
      <c r="H7" s="23">
        <v>8948</v>
      </c>
      <c r="I7" s="23">
        <v>9070</v>
      </c>
      <c r="J7" s="23">
        <v>0</v>
      </c>
      <c r="K7" s="23">
        <v>0</v>
      </c>
      <c r="L7" s="23">
        <v>0</v>
      </c>
    </row>
    <row r="8" spans="1:13" x14ac:dyDescent="0.35">
      <c r="A8" s="42" t="s">
        <v>217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14263</v>
      </c>
      <c r="H8" s="23">
        <v>15437</v>
      </c>
      <c r="I8" s="23">
        <v>7018</v>
      </c>
      <c r="J8" s="23">
        <v>0</v>
      </c>
      <c r="K8" s="23">
        <v>0</v>
      </c>
      <c r="L8" s="23">
        <v>0</v>
      </c>
    </row>
    <row r="9" spans="1:13" x14ac:dyDescent="0.35">
      <c r="A9" s="42" t="s">
        <v>218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18807</v>
      </c>
      <c r="I9" s="23">
        <v>2156</v>
      </c>
      <c r="J9" s="23">
        <v>0</v>
      </c>
      <c r="K9" s="23">
        <v>0</v>
      </c>
      <c r="L9" s="23">
        <v>0</v>
      </c>
    </row>
    <row r="10" spans="1:13" x14ac:dyDescent="0.35">
      <c r="A10" s="42" t="s">
        <v>219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25611</v>
      </c>
      <c r="I10" s="23">
        <v>0</v>
      </c>
      <c r="J10" s="23">
        <v>0</v>
      </c>
      <c r="K10" s="23">
        <v>0</v>
      </c>
      <c r="L10" s="23">
        <v>0</v>
      </c>
    </row>
    <row r="11" spans="1:13" x14ac:dyDescent="0.35">
      <c r="A11" s="42" t="s">
        <v>220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</row>
    <row r="12" spans="1:13" x14ac:dyDescent="0.35">
      <c r="A12" s="42" t="s">
        <v>221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</row>
    <row r="13" spans="1:13" x14ac:dyDescent="0.35">
      <c r="A13" s="42" t="s">
        <v>222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515</v>
      </c>
      <c r="I13" s="23">
        <v>0</v>
      </c>
      <c r="J13" s="23">
        <v>0</v>
      </c>
      <c r="K13" s="23">
        <v>0</v>
      </c>
      <c r="L13" s="23">
        <v>0</v>
      </c>
    </row>
    <row r="14" spans="1:13" x14ac:dyDescent="0.35">
      <c r="A14" s="42" t="s">
        <v>223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</row>
    <row r="15" spans="1:13" x14ac:dyDescent="0.35">
      <c r="A15" s="42" t="s">
        <v>224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46</v>
      </c>
      <c r="I15" s="23">
        <v>0</v>
      </c>
      <c r="J15" s="23">
        <v>0</v>
      </c>
      <c r="K15" s="23">
        <v>0</v>
      </c>
      <c r="L15" s="23">
        <v>0</v>
      </c>
    </row>
    <row r="16" spans="1:13" x14ac:dyDescent="0.35">
      <c r="A16" s="42" t="s">
        <v>225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521</v>
      </c>
      <c r="H16" s="23">
        <v>729</v>
      </c>
      <c r="I16" s="23">
        <v>0</v>
      </c>
      <c r="J16" s="23">
        <v>0</v>
      </c>
      <c r="K16" s="23">
        <v>0</v>
      </c>
      <c r="L16" s="23">
        <v>0</v>
      </c>
    </row>
    <row r="17" spans="1:12" x14ac:dyDescent="0.35">
      <c r="A17" s="42" t="s">
        <v>226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406</v>
      </c>
      <c r="I17" s="23">
        <v>0</v>
      </c>
      <c r="J17" s="23">
        <v>0</v>
      </c>
      <c r="K17" s="23">
        <v>0</v>
      </c>
      <c r="L17" s="23">
        <v>0</v>
      </c>
    </row>
    <row r="18" spans="1:12" x14ac:dyDescent="0.35">
      <c r="A18" s="42" t="s">
        <v>227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</row>
    <row r="19" spans="1:12" x14ac:dyDescent="0.35">
      <c r="A19" s="42" t="s">
        <v>228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240</v>
      </c>
      <c r="I19" s="23">
        <v>0</v>
      </c>
      <c r="J19" s="23">
        <v>0</v>
      </c>
      <c r="K19" s="23">
        <v>0</v>
      </c>
      <c r="L19" s="23">
        <v>0</v>
      </c>
    </row>
    <row r="20" spans="1:12" ht="29" x14ac:dyDescent="0.35">
      <c r="A20" s="42" t="s">
        <v>229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</row>
    <row r="21" spans="1:12" ht="29" x14ac:dyDescent="0.35">
      <c r="A21" s="42" t="s">
        <v>230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1258</v>
      </c>
      <c r="I21" s="23">
        <v>0</v>
      </c>
      <c r="J21" s="23">
        <v>0</v>
      </c>
      <c r="K21" s="23">
        <v>0</v>
      </c>
      <c r="L21" s="23">
        <v>0</v>
      </c>
    </row>
    <row r="22" spans="1:12" x14ac:dyDescent="0.35">
      <c r="A22" s="42" t="s">
        <v>231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2960</v>
      </c>
      <c r="I22" s="23">
        <v>0</v>
      </c>
      <c r="J22" s="23">
        <v>0</v>
      </c>
      <c r="K22" s="23">
        <v>0</v>
      </c>
      <c r="L22" s="23">
        <v>0</v>
      </c>
    </row>
    <row r="23" spans="1:12" x14ac:dyDescent="0.35">
      <c r="A23" s="42" t="s">
        <v>232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</row>
    <row r="24" spans="1:12" x14ac:dyDescent="0.35">
      <c r="A24" s="42" t="s">
        <v>233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653</v>
      </c>
      <c r="I24" s="23">
        <v>0</v>
      </c>
      <c r="J24" s="23">
        <v>0</v>
      </c>
      <c r="K24" s="23">
        <v>0</v>
      </c>
      <c r="L24" s="23">
        <v>0</v>
      </c>
    </row>
    <row r="25" spans="1:12" x14ac:dyDescent="0.35">
      <c r="A25" s="42" t="s">
        <v>234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</row>
    <row r="26" spans="1:12" ht="29" x14ac:dyDescent="0.35">
      <c r="A26" s="42" t="s">
        <v>235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6245</v>
      </c>
      <c r="I26" s="23">
        <v>0</v>
      </c>
      <c r="J26" s="23">
        <v>0</v>
      </c>
      <c r="K26" s="23">
        <v>0</v>
      </c>
      <c r="L26" s="23">
        <v>0</v>
      </c>
    </row>
    <row r="27" spans="1:12" x14ac:dyDescent="0.35">
      <c r="A27" s="42" t="s">
        <v>236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900</v>
      </c>
      <c r="I27" s="23">
        <v>0</v>
      </c>
      <c r="J27" s="23">
        <v>0</v>
      </c>
      <c r="K27" s="23">
        <v>0</v>
      </c>
      <c r="L27" s="23">
        <v>0</v>
      </c>
    </row>
    <row r="28" spans="1:12" x14ac:dyDescent="0.35">
      <c r="A28" s="42" t="s">
        <v>237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2148</v>
      </c>
      <c r="I28" s="23">
        <v>0</v>
      </c>
      <c r="J28" s="23">
        <v>0</v>
      </c>
      <c r="K28" s="23">
        <v>0</v>
      </c>
      <c r="L28" s="23">
        <v>0</v>
      </c>
    </row>
    <row r="29" spans="1:12" ht="29" x14ac:dyDescent="0.35">
      <c r="A29" s="42" t="s">
        <v>238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15238</v>
      </c>
      <c r="I29" s="23">
        <v>0</v>
      </c>
      <c r="J29" s="23">
        <v>0</v>
      </c>
      <c r="K29" s="23">
        <v>0</v>
      </c>
      <c r="L29" s="23">
        <v>0</v>
      </c>
    </row>
    <row r="30" spans="1:12" ht="29" x14ac:dyDescent="0.35">
      <c r="A30" s="42" t="s">
        <v>239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136</v>
      </c>
      <c r="I30" s="23">
        <v>0</v>
      </c>
      <c r="J30" s="23">
        <v>0</v>
      </c>
      <c r="K30" s="23">
        <v>0</v>
      </c>
      <c r="L30" s="23">
        <v>0</v>
      </c>
    </row>
    <row r="31" spans="1:12" x14ac:dyDescent="0.35">
      <c r="A31" s="42" t="s">
        <v>240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107</v>
      </c>
      <c r="I31" s="23">
        <v>0</v>
      </c>
      <c r="J31" s="23">
        <v>0</v>
      </c>
      <c r="K31" s="23">
        <v>0</v>
      </c>
      <c r="L31" s="23">
        <v>0</v>
      </c>
    </row>
    <row r="32" spans="1:12" ht="29" x14ac:dyDescent="0.35">
      <c r="A32" s="42" t="s">
        <v>241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</row>
    <row r="33" spans="1:12" x14ac:dyDescent="0.35">
      <c r="A33" s="42" t="s">
        <v>242</v>
      </c>
      <c r="B33" s="23">
        <v>0</v>
      </c>
      <c r="C33" s="23">
        <v>0</v>
      </c>
      <c r="D33" s="23">
        <v>0</v>
      </c>
      <c r="E33" s="23">
        <v>0</v>
      </c>
      <c r="F33" s="23">
        <v>74309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</row>
    <row r="34" spans="1:12" x14ac:dyDescent="0.35">
      <c r="A34" s="42" t="s">
        <v>243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168</v>
      </c>
      <c r="I34" s="23">
        <v>0</v>
      </c>
      <c r="J34" s="23">
        <v>0</v>
      </c>
      <c r="K34" s="23">
        <v>0</v>
      </c>
      <c r="L34" s="23">
        <v>0</v>
      </c>
    </row>
    <row r="35" spans="1:12" x14ac:dyDescent="0.35">
      <c r="A35" s="42" t="s">
        <v>244</v>
      </c>
      <c r="B35" s="23">
        <v>0</v>
      </c>
      <c r="C35" s="23">
        <v>0</v>
      </c>
      <c r="D35" s="23">
        <v>1735</v>
      </c>
      <c r="E35" s="23">
        <v>0</v>
      </c>
      <c r="F35" s="23">
        <v>0</v>
      </c>
      <c r="G35" s="23">
        <v>0</v>
      </c>
      <c r="H35" s="23">
        <v>209</v>
      </c>
      <c r="I35" s="23">
        <v>0</v>
      </c>
      <c r="J35" s="23">
        <v>0</v>
      </c>
      <c r="K35" s="23">
        <v>0</v>
      </c>
      <c r="L35" s="23">
        <v>0</v>
      </c>
    </row>
    <row r="36" spans="1:12" x14ac:dyDescent="0.35">
      <c r="A36" s="42" t="s">
        <v>245</v>
      </c>
      <c r="B36" s="23">
        <v>0</v>
      </c>
      <c r="C36" s="23">
        <v>0</v>
      </c>
      <c r="D36" s="23">
        <v>9404</v>
      </c>
      <c r="E36" s="23">
        <v>0</v>
      </c>
      <c r="F36" s="23">
        <v>0</v>
      </c>
      <c r="G36" s="23">
        <v>0</v>
      </c>
      <c r="H36" s="23">
        <v>8739</v>
      </c>
      <c r="I36" s="23">
        <v>9070</v>
      </c>
      <c r="J36" s="23">
        <v>0</v>
      </c>
      <c r="K36" s="23">
        <v>0</v>
      </c>
      <c r="L36" s="23">
        <v>0</v>
      </c>
    </row>
    <row r="37" spans="1:12" x14ac:dyDescent="0.35">
      <c r="A37" s="42" t="s">
        <v>246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</row>
    <row r="38" spans="1:12" x14ac:dyDescent="0.35">
      <c r="A38" s="42" t="s">
        <v>247</v>
      </c>
      <c r="B38" s="23">
        <v>0</v>
      </c>
      <c r="C38" s="23">
        <v>0</v>
      </c>
      <c r="D38" s="23">
        <v>0</v>
      </c>
      <c r="E38" s="23">
        <v>0</v>
      </c>
      <c r="F38" s="23">
        <v>90958</v>
      </c>
      <c r="G38" s="23">
        <v>92000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</row>
    <row r="39" spans="1:12" x14ac:dyDescent="0.35">
      <c r="A39" s="42" t="s">
        <v>248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11238</v>
      </c>
      <c r="I39" s="23">
        <v>0</v>
      </c>
      <c r="J39" s="23">
        <v>0</v>
      </c>
      <c r="K39" s="23">
        <v>0</v>
      </c>
      <c r="L39" s="23">
        <v>0</v>
      </c>
    </row>
    <row r="40" spans="1:12" x14ac:dyDescent="0.35">
      <c r="A40" s="42" t="s">
        <v>249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45173</v>
      </c>
      <c r="I40" s="23">
        <v>4425</v>
      </c>
      <c r="J40" s="23">
        <v>0</v>
      </c>
      <c r="K40" s="23">
        <v>0</v>
      </c>
      <c r="L40" s="23">
        <v>0</v>
      </c>
    </row>
    <row r="41" spans="1:12" ht="29" x14ac:dyDescent="0.35">
      <c r="A41" s="42" t="s">
        <v>332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</row>
    <row r="42" spans="1:12" ht="29" x14ac:dyDescent="0.35">
      <c r="A42" s="42" t="s">
        <v>333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</row>
    <row r="43" spans="1:12" x14ac:dyDescent="0.35">
      <c r="A43" s="42" t="s">
        <v>250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</row>
    <row r="44" spans="1:12" ht="29" x14ac:dyDescent="0.35">
      <c r="A44" s="42" t="s">
        <v>251</v>
      </c>
      <c r="B44" s="23">
        <v>0</v>
      </c>
      <c r="C44" s="23">
        <v>599</v>
      </c>
      <c r="D44" s="23">
        <v>612</v>
      </c>
      <c r="E44" s="23">
        <v>0</v>
      </c>
      <c r="F44" s="23">
        <v>0</v>
      </c>
      <c r="G44" s="23">
        <v>0</v>
      </c>
      <c r="H44" s="23">
        <v>3114</v>
      </c>
      <c r="I44" s="23">
        <v>0</v>
      </c>
      <c r="J44" s="23">
        <v>0</v>
      </c>
      <c r="K44" s="23">
        <v>0</v>
      </c>
      <c r="L44" s="23">
        <v>0</v>
      </c>
    </row>
    <row r="45" spans="1:12" x14ac:dyDescent="0.35">
      <c r="A45" s="42" t="s">
        <v>252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1533</v>
      </c>
      <c r="I45" s="23">
        <v>0</v>
      </c>
      <c r="J45" s="23">
        <v>0</v>
      </c>
      <c r="K45" s="23">
        <v>0</v>
      </c>
      <c r="L45" s="23">
        <v>0</v>
      </c>
    </row>
    <row r="46" spans="1:12" x14ac:dyDescent="0.35">
      <c r="A46" s="42" t="s">
        <v>253</v>
      </c>
      <c r="B46" s="23">
        <v>0</v>
      </c>
      <c r="C46" s="23">
        <v>825</v>
      </c>
      <c r="D46" s="23">
        <v>0</v>
      </c>
      <c r="E46" s="23">
        <v>0</v>
      </c>
      <c r="F46" s="23">
        <v>0</v>
      </c>
      <c r="G46" s="23">
        <v>0</v>
      </c>
      <c r="H46" s="23">
        <v>3792</v>
      </c>
      <c r="I46" s="23">
        <v>0</v>
      </c>
      <c r="J46" s="23">
        <v>0</v>
      </c>
      <c r="K46" s="23">
        <v>0</v>
      </c>
      <c r="L46" s="23">
        <v>0</v>
      </c>
    </row>
    <row r="47" spans="1:12" x14ac:dyDescent="0.35">
      <c r="A47" s="42" t="s">
        <v>254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6184</v>
      </c>
      <c r="I47" s="23">
        <v>0</v>
      </c>
      <c r="J47" s="23">
        <v>0</v>
      </c>
      <c r="K47" s="23">
        <v>0</v>
      </c>
      <c r="L47" s="23">
        <v>0</v>
      </c>
    </row>
    <row r="48" spans="1:12" x14ac:dyDescent="0.35">
      <c r="A48" s="42" t="s">
        <v>255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75033</v>
      </c>
      <c r="I48" s="23">
        <v>0</v>
      </c>
      <c r="J48" s="23">
        <v>0</v>
      </c>
      <c r="K48" s="23">
        <v>0</v>
      </c>
      <c r="L48" s="23">
        <v>0</v>
      </c>
    </row>
    <row r="49" spans="1:12" x14ac:dyDescent="0.35">
      <c r="A49" s="42" t="s">
        <v>256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365</v>
      </c>
      <c r="I49" s="23">
        <v>128823</v>
      </c>
      <c r="J49" s="23">
        <v>0</v>
      </c>
      <c r="K49" s="23">
        <v>0</v>
      </c>
      <c r="L49" s="23">
        <v>0</v>
      </c>
    </row>
    <row r="50" spans="1:12" x14ac:dyDescent="0.35">
      <c r="A50" s="42" t="s">
        <v>257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</row>
    <row r="51" spans="1:12" ht="29" x14ac:dyDescent="0.35">
      <c r="A51" s="42" t="s">
        <v>258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42507</v>
      </c>
      <c r="I51" s="23">
        <v>0</v>
      </c>
      <c r="J51" s="23">
        <v>0</v>
      </c>
      <c r="K51" s="23">
        <v>0</v>
      </c>
      <c r="L51" s="23">
        <v>0</v>
      </c>
    </row>
    <row r="52" spans="1:12" x14ac:dyDescent="0.35">
      <c r="A52" s="42" t="s">
        <v>259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880</v>
      </c>
      <c r="I52" s="23">
        <v>0</v>
      </c>
      <c r="J52" s="23">
        <v>0</v>
      </c>
      <c r="K52" s="23">
        <v>0</v>
      </c>
      <c r="L52" s="23">
        <v>0</v>
      </c>
    </row>
    <row r="53" spans="1:12" x14ac:dyDescent="0.35">
      <c r="A53" s="42" t="s">
        <v>260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1751</v>
      </c>
      <c r="I53" s="23">
        <v>0</v>
      </c>
      <c r="J53" s="23">
        <v>0</v>
      </c>
      <c r="K53" s="23">
        <v>0</v>
      </c>
      <c r="L53" s="23">
        <v>0</v>
      </c>
    </row>
    <row r="54" spans="1:12" x14ac:dyDescent="0.35">
      <c r="A54" s="42" t="s">
        <v>261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220</v>
      </c>
      <c r="I54" s="23">
        <v>0</v>
      </c>
      <c r="J54" s="23">
        <v>0</v>
      </c>
      <c r="K54" s="23">
        <v>0</v>
      </c>
      <c r="L54" s="23">
        <v>0</v>
      </c>
    </row>
    <row r="55" spans="1:12" x14ac:dyDescent="0.35">
      <c r="A55" s="42" t="s">
        <v>262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1192</v>
      </c>
      <c r="I55" s="23">
        <v>0</v>
      </c>
      <c r="J55" s="23">
        <v>0</v>
      </c>
      <c r="K55" s="23">
        <v>0</v>
      </c>
      <c r="L55" s="23">
        <v>0</v>
      </c>
    </row>
    <row r="56" spans="1:12" x14ac:dyDescent="0.35">
      <c r="A56" s="42" t="s">
        <v>263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4403</v>
      </c>
      <c r="I56" s="23">
        <v>0</v>
      </c>
      <c r="J56" s="23">
        <v>0</v>
      </c>
      <c r="K56" s="23">
        <v>0</v>
      </c>
      <c r="L56" s="23">
        <v>0</v>
      </c>
    </row>
    <row r="57" spans="1:12" x14ac:dyDescent="0.35">
      <c r="A57" s="42" t="s">
        <v>264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</row>
    <row r="58" spans="1:12" x14ac:dyDescent="0.35">
      <c r="A58" s="42" t="s">
        <v>265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</row>
    <row r="59" spans="1:12" x14ac:dyDescent="0.35">
      <c r="A59" s="42" t="s">
        <v>266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39830</v>
      </c>
      <c r="I59" s="23">
        <v>14580</v>
      </c>
      <c r="J59" s="23">
        <v>0</v>
      </c>
      <c r="K59" s="23">
        <v>0</v>
      </c>
      <c r="L59" s="23">
        <v>0</v>
      </c>
    </row>
    <row r="60" spans="1:12" x14ac:dyDescent="0.35">
      <c r="A60" s="42" t="s">
        <v>267</v>
      </c>
      <c r="B60" s="23">
        <v>0</v>
      </c>
      <c r="C60" s="23">
        <v>3204</v>
      </c>
      <c r="D60" s="23">
        <v>0</v>
      </c>
      <c r="E60" s="23">
        <v>0</v>
      </c>
      <c r="F60" s="23">
        <v>0</v>
      </c>
      <c r="G60" s="23">
        <v>0</v>
      </c>
      <c r="H60" s="23">
        <v>8957</v>
      </c>
      <c r="I60" s="23">
        <v>0</v>
      </c>
      <c r="J60" s="23">
        <v>0</v>
      </c>
      <c r="K60" s="23">
        <v>0</v>
      </c>
      <c r="L60" s="23">
        <v>0</v>
      </c>
    </row>
    <row r="61" spans="1:12" ht="29" x14ac:dyDescent="0.35">
      <c r="A61" s="42" t="s">
        <v>268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</row>
    <row r="62" spans="1:12" ht="29" x14ac:dyDescent="0.35">
      <c r="A62" s="42" t="s">
        <v>269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</row>
    <row r="63" spans="1:12" x14ac:dyDescent="0.35">
      <c r="A63" s="43" t="s">
        <v>317</v>
      </c>
      <c r="B63" s="44">
        <f>SUM(B3:B62)</f>
        <v>0</v>
      </c>
      <c r="C63" s="44">
        <f t="shared" ref="C63:L63" si="0">SUM(C3:C62)</f>
        <v>4628</v>
      </c>
      <c r="D63" s="44">
        <f t="shared" si="0"/>
        <v>22890</v>
      </c>
      <c r="E63" s="44">
        <f t="shared" si="0"/>
        <v>0</v>
      </c>
      <c r="F63" s="44">
        <f t="shared" si="0"/>
        <v>330534</v>
      </c>
      <c r="G63" s="44">
        <f t="shared" si="0"/>
        <v>198784</v>
      </c>
      <c r="H63" s="44">
        <f t="shared" si="0"/>
        <v>537276</v>
      </c>
      <c r="I63" s="44">
        <f t="shared" si="0"/>
        <v>249267</v>
      </c>
      <c r="J63" s="44">
        <f t="shared" si="0"/>
        <v>0</v>
      </c>
      <c r="K63" s="44">
        <f t="shared" si="0"/>
        <v>0</v>
      </c>
      <c r="L63" s="44">
        <f t="shared" si="0"/>
        <v>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944686.2</v>
      </c>
      <c r="C65" s="15">
        <v>971174.5</v>
      </c>
      <c r="D65" s="15">
        <v>991164.8</v>
      </c>
      <c r="E65" s="15">
        <v>1014537.2</v>
      </c>
      <c r="F65" s="15">
        <v>1030448.2</v>
      </c>
      <c r="G65" s="15">
        <v>1038181.5</v>
      </c>
      <c r="H65" s="15">
        <v>1036361.6</v>
      </c>
      <c r="I65" s="15">
        <v>1025953.1</v>
      </c>
      <c r="J65" s="15">
        <v>1010048.1</v>
      </c>
      <c r="K65" s="15">
        <v>989535.7</v>
      </c>
      <c r="L65" s="15">
        <v>966316.9</v>
      </c>
    </row>
  </sheetData>
  <hyperlinks>
    <hyperlink ref="M1" location="Home!A1" display="Home" xr:uid="{8B8761A1-7985-44B1-9163-1F88F45F1014}"/>
  </hyperlinks>
  <printOptions horizontalCentered="1"/>
  <pageMargins left="0.45" right="0.45" top="0.5" bottom="0.5" header="0.3" footer="0.3"/>
  <pageSetup scale="96" orientation="landscape" r:id="rId1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7D5-1DD2-49B2-B5D3-AE34287AA35C}">
  <dimension ref="A1:N65"/>
  <sheetViews>
    <sheetView zoomScale="95" zoomScaleNormal="95" workbookViewId="0">
      <pane xSplit="1" ySplit="2" topLeftCell="B39" activePane="bottomRight" state="frozen"/>
      <selection activeCell="J41" sqref="J41"/>
      <selection pane="topRight" activeCell="J41" sqref="J41"/>
      <selection pane="bottomLeft" activeCell="J41" sqref="J41"/>
      <selection pane="bottomRight" activeCell="G68" sqref="G68"/>
    </sheetView>
  </sheetViews>
  <sheetFormatPr defaultColWidth="11.453125" defaultRowHeight="14.5" x14ac:dyDescent="0.35"/>
  <cols>
    <col min="1" max="1" width="71.81640625" style="20" bestFit="1" customWidth="1"/>
    <col min="2" max="16384" width="11.453125" style="20"/>
  </cols>
  <sheetData>
    <row r="1" spans="1:14" ht="18.5" x14ac:dyDescent="0.45">
      <c r="A1" s="25" t="s">
        <v>335</v>
      </c>
      <c r="B1"/>
      <c r="C1"/>
      <c r="D1"/>
      <c r="E1"/>
      <c r="F1"/>
      <c r="G1"/>
      <c r="H1"/>
      <c r="I1"/>
      <c r="J1"/>
      <c r="K1"/>
      <c r="L1"/>
      <c r="N1" s="30" t="s">
        <v>336</v>
      </c>
    </row>
    <row r="2" spans="1:14" x14ac:dyDescent="0.35">
      <c r="A2" s="32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6400</v>
      </c>
      <c r="H3" s="5">
        <v>6593</v>
      </c>
      <c r="I3" s="5">
        <v>0</v>
      </c>
      <c r="J3" s="5">
        <v>0</v>
      </c>
      <c r="K3" s="5">
        <v>0</v>
      </c>
      <c r="L3" s="5">
        <v>8693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3043</v>
      </c>
      <c r="I4" s="5">
        <v>0</v>
      </c>
      <c r="J4" s="5">
        <v>0</v>
      </c>
      <c r="K4" s="5">
        <v>0</v>
      </c>
      <c r="L4" s="5">
        <v>4778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2510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12554</v>
      </c>
      <c r="I6" s="5">
        <v>0</v>
      </c>
      <c r="J6" s="5">
        <v>0</v>
      </c>
      <c r="K6" s="5">
        <v>0</v>
      </c>
      <c r="L6" s="5">
        <v>44989</v>
      </c>
    </row>
    <row r="7" spans="1:14" x14ac:dyDescent="0.35">
      <c r="A7" s="4" t="s">
        <v>216</v>
      </c>
      <c r="B7" s="5">
        <v>0</v>
      </c>
      <c r="C7" s="5">
        <v>30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22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1652</v>
      </c>
      <c r="I8" s="5">
        <v>0</v>
      </c>
      <c r="J8" s="5">
        <v>0</v>
      </c>
      <c r="K8" s="5">
        <v>0</v>
      </c>
      <c r="L8" s="5">
        <v>171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2302</v>
      </c>
      <c r="I9" s="5">
        <v>0</v>
      </c>
      <c r="J9" s="5">
        <v>0</v>
      </c>
      <c r="K9" s="5">
        <v>0</v>
      </c>
      <c r="L9" s="5">
        <v>967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13442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1045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16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1680</v>
      </c>
      <c r="I14" s="5">
        <v>0</v>
      </c>
      <c r="J14" s="5">
        <v>2652</v>
      </c>
      <c r="K14" s="5">
        <v>0</v>
      </c>
      <c r="L14" s="5">
        <v>5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11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273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110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107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2072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12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98</v>
      </c>
      <c r="I30" s="5">
        <v>0</v>
      </c>
      <c r="J30" s="5">
        <v>0</v>
      </c>
      <c r="K30" s="5">
        <v>0</v>
      </c>
      <c r="L30" s="5">
        <v>9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117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6400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20</v>
      </c>
    </row>
    <row r="36" spans="1:12" x14ac:dyDescent="0.35">
      <c r="A36" s="4" t="s">
        <v>245</v>
      </c>
      <c r="B36" s="5">
        <v>0</v>
      </c>
      <c r="C36" s="5">
        <v>30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2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1597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3237</v>
      </c>
      <c r="I39" s="5">
        <v>0</v>
      </c>
      <c r="J39" s="5">
        <v>0</v>
      </c>
      <c r="K39" s="5">
        <v>0</v>
      </c>
      <c r="L39" s="5">
        <v>37151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9317</v>
      </c>
      <c r="I40" s="5">
        <v>0</v>
      </c>
      <c r="J40" s="5">
        <v>0</v>
      </c>
      <c r="K40" s="5">
        <v>0</v>
      </c>
      <c r="L40" s="5">
        <v>6241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15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279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6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599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8431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636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705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490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44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767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41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3550</v>
      </c>
      <c r="I59" s="5">
        <v>0</v>
      </c>
      <c r="J59" s="5">
        <v>0</v>
      </c>
      <c r="K59" s="5">
        <v>0</v>
      </c>
      <c r="L59" s="5">
        <v>3915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210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60</v>
      </c>
      <c r="D63" s="36">
        <f t="shared" si="0"/>
        <v>0</v>
      </c>
      <c r="E63" s="36">
        <f t="shared" si="0"/>
        <v>0</v>
      </c>
      <c r="F63" s="36">
        <f t="shared" si="0"/>
        <v>0</v>
      </c>
      <c r="G63" s="36">
        <f t="shared" si="0"/>
        <v>12800</v>
      </c>
      <c r="H63" s="36">
        <f t="shared" si="0"/>
        <v>44026</v>
      </c>
      <c r="I63" s="36">
        <f t="shared" si="0"/>
        <v>0</v>
      </c>
      <c r="J63" s="36">
        <f t="shared" si="0"/>
        <v>2652</v>
      </c>
      <c r="K63" s="36">
        <f t="shared" si="0"/>
        <v>0</v>
      </c>
      <c r="L63" s="36">
        <f t="shared" si="0"/>
        <v>140499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1060133.3</v>
      </c>
      <c r="C65" s="15">
        <v>1089608.5</v>
      </c>
      <c r="D65" s="15">
        <v>1117632.7</v>
      </c>
      <c r="E65" s="15">
        <v>1144292.3999999999</v>
      </c>
      <c r="F65" s="15">
        <v>1170060.7</v>
      </c>
      <c r="G65" s="15">
        <v>1196892.8</v>
      </c>
      <c r="H65" s="15">
        <v>1224269.3</v>
      </c>
      <c r="I65" s="15">
        <v>1251836.8999999999</v>
      </c>
      <c r="J65" s="15">
        <v>1280498.2</v>
      </c>
      <c r="K65" s="15">
        <v>1308712.3</v>
      </c>
      <c r="L65" s="15">
        <v>1332678.6000000001</v>
      </c>
    </row>
  </sheetData>
  <hyperlinks>
    <hyperlink ref="N1" location="Home!A1" display="Home" xr:uid="{515CC00D-EC97-46D1-8C53-93834B2B97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F302-B0EE-4A4F-83D0-5506721FCCAE}">
  <dimension ref="A1:N65"/>
  <sheetViews>
    <sheetView zoomScale="118" zoomScaleNormal="118" workbookViewId="0">
      <pane xSplit="1" ySplit="2" topLeftCell="B42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:L63"/>
    </sheetView>
  </sheetViews>
  <sheetFormatPr defaultColWidth="11.453125" defaultRowHeight="14.5" x14ac:dyDescent="0.35"/>
  <cols>
    <col min="1" max="1" width="66.7265625" style="20" bestFit="1" customWidth="1"/>
    <col min="2" max="16384" width="11.453125" style="20"/>
  </cols>
  <sheetData>
    <row r="1" spans="1:14" ht="15.5" x14ac:dyDescent="0.35">
      <c r="A1" s="26" t="s">
        <v>337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M2" s="28" t="s">
        <v>336</v>
      </c>
      <c r="N2" s="21"/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523</v>
      </c>
      <c r="G3" s="5">
        <v>0</v>
      </c>
      <c r="H3" s="5">
        <v>908</v>
      </c>
      <c r="I3" s="5">
        <v>763</v>
      </c>
      <c r="J3" s="5">
        <v>0</v>
      </c>
      <c r="K3" s="5">
        <v>2755</v>
      </c>
      <c r="L3" s="5">
        <v>2608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346</v>
      </c>
      <c r="I4" s="5">
        <v>202</v>
      </c>
      <c r="J4" s="5">
        <v>0</v>
      </c>
      <c r="K4" s="5">
        <v>1797</v>
      </c>
      <c r="L4" s="5">
        <v>1753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13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17" t="s">
        <v>215</v>
      </c>
      <c r="B6" s="5">
        <v>5138</v>
      </c>
      <c r="C6" s="5">
        <v>4880</v>
      </c>
      <c r="D6" s="5">
        <v>0</v>
      </c>
      <c r="E6" s="5">
        <v>0</v>
      </c>
      <c r="F6" s="5">
        <v>7224</v>
      </c>
      <c r="G6" s="5">
        <v>0</v>
      </c>
      <c r="H6" s="5">
        <v>3410</v>
      </c>
      <c r="I6" s="5">
        <v>2670</v>
      </c>
      <c r="J6" s="5">
        <v>0</v>
      </c>
      <c r="K6" s="5">
        <v>5484</v>
      </c>
      <c r="L6" s="5">
        <v>5893</v>
      </c>
    </row>
    <row r="7" spans="1:14" x14ac:dyDescent="0.35">
      <c r="A7" s="17" t="s">
        <v>216</v>
      </c>
      <c r="B7" s="5">
        <v>1480</v>
      </c>
      <c r="C7" s="5">
        <v>943</v>
      </c>
      <c r="D7" s="5">
        <v>0</v>
      </c>
      <c r="E7" s="5">
        <v>0</v>
      </c>
      <c r="F7" s="5">
        <v>1034</v>
      </c>
      <c r="G7" s="5">
        <v>0</v>
      </c>
      <c r="H7" s="5">
        <v>1055</v>
      </c>
      <c r="I7" s="5">
        <v>905</v>
      </c>
      <c r="J7" s="5">
        <v>0</v>
      </c>
      <c r="K7" s="5">
        <v>2086</v>
      </c>
      <c r="L7" s="5">
        <v>2055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9</v>
      </c>
      <c r="G8" s="5">
        <v>73</v>
      </c>
      <c r="H8" s="5">
        <v>12</v>
      </c>
      <c r="I8" s="5">
        <v>0</v>
      </c>
      <c r="J8" s="5">
        <v>0</v>
      </c>
      <c r="K8" s="5">
        <v>50</v>
      </c>
      <c r="L8" s="5">
        <v>50</v>
      </c>
    </row>
    <row r="9" spans="1:14" x14ac:dyDescent="0.35">
      <c r="A9" s="17" t="s">
        <v>218</v>
      </c>
      <c r="B9" s="5">
        <v>0</v>
      </c>
      <c r="C9" s="5">
        <v>1330</v>
      </c>
      <c r="D9" s="5">
        <v>0</v>
      </c>
      <c r="E9" s="5">
        <v>0</v>
      </c>
      <c r="F9" s="5">
        <v>13</v>
      </c>
      <c r="G9" s="5">
        <v>0</v>
      </c>
      <c r="H9" s="5">
        <v>306</v>
      </c>
      <c r="I9" s="5">
        <v>0</v>
      </c>
      <c r="J9" s="5">
        <v>0</v>
      </c>
      <c r="K9" s="5">
        <v>403</v>
      </c>
      <c r="L9" s="5">
        <v>382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4463</v>
      </c>
      <c r="I10" s="5">
        <v>0</v>
      </c>
      <c r="J10" s="5">
        <v>0</v>
      </c>
      <c r="K10" s="5">
        <v>5903</v>
      </c>
      <c r="L10" s="5">
        <v>5106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21</v>
      </c>
      <c r="L14" s="5">
        <v>21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33</v>
      </c>
      <c r="H15" s="5">
        <v>0</v>
      </c>
      <c r="I15" s="5">
        <v>0</v>
      </c>
      <c r="J15" s="5">
        <v>0</v>
      </c>
      <c r="K15" s="5">
        <v>6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254</v>
      </c>
      <c r="G21" s="5">
        <v>0</v>
      </c>
      <c r="H21" s="5">
        <v>255</v>
      </c>
      <c r="I21" s="5">
        <v>0</v>
      </c>
      <c r="J21" s="5">
        <v>0</v>
      </c>
      <c r="K21" s="5">
        <v>311</v>
      </c>
      <c r="L21" s="5">
        <v>257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47</v>
      </c>
      <c r="I22" s="5">
        <v>34</v>
      </c>
      <c r="J22" s="5">
        <v>0</v>
      </c>
      <c r="K22" s="5">
        <v>97</v>
      </c>
      <c r="L22" s="5">
        <v>97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6809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241</v>
      </c>
      <c r="C26" s="5">
        <v>206</v>
      </c>
      <c r="D26" s="5">
        <v>0</v>
      </c>
      <c r="E26" s="5">
        <v>0</v>
      </c>
      <c r="F26" s="5">
        <v>234</v>
      </c>
      <c r="G26" s="5">
        <v>0</v>
      </c>
      <c r="H26" s="5">
        <v>137</v>
      </c>
      <c r="I26" s="5">
        <v>92</v>
      </c>
      <c r="J26" s="5">
        <v>0</v>
      </c>
      <c r="K26" s="5">
        <v>352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7" t="s">
        <v>238</v>
      </c>
      <c r="B29" s="5">
        <v>845</v>
      </c>
      <c r="C29" s="5">
        <v>830</v>
      </c>
      <c r="D29" s="5">
        <v>0</v>
      </c>
      <c r="E29" s="5">
        <v>0</v>
      </c>
      <c r="F29" s="5">
        <v>1166</v>
      </c>
      <c r="G29" s="5">
        <v>0</v>
      </c>
      <c r="H29" s="5">
        <v>0</v>
      </c>
      <c r="I29" s="5">
        <v>0</v>
      </c>
      <c r="J29" s="5">
        <v>0</v>
      </c>
      <c r="K29" s="5">
        <v>1744</v>
      </c>
      <c r="L29" s="5">
        <v>1602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668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523</v>
      </c>
      <c r="G33" s="5">
        <v>0</v>
      </c>
      <c r="H33" s="5">
        <v>0</v>
      </c>
      <c r="I33" s="5">
        <v>561</v>
      </c>
      <c r="J33" s="5">
        <v>0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4</v>
      </c>
      <c r="L34" s="5">
        <v>4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943</v>
      </c>
      <c r="D36" s="5">
        <v>0</v>
      </c>
      <c r="E36" s="5">
        <v>0</v>
      </c>
      <c r="F36" s="5">
        <v>0</v>
      </c>
      <c r="G36" s="5">
        <v>0</v>
      </c>
      <c r="H36" s="5">
        <v>1055</v>
      </c>
      <c r="I36" s="5">
        <v>0</v>
      </c>
      <c r="J36" s="5">
        <v>0</v>
      </c>
      <c r="K36" s="5">
        <v>2086</v>
      </c>
      <c r="L36" s="5">
        <v>2055</v>
      </c>
    </row>
    <row r="37" spans="1:12" x14ac:dyDescent="0.35">
      <c r="A37" s="17" t="s">
        <v>246</v>
      </c>
      <c r="B37" s="5">
        <v>1480</v>
      </c>
      <c r="C37" s="5">
        <v>0</v>
      </c>
      <c r="D37" s="5">
        <v>0</v>
      </c>
      <c r="E37" s="5">
        <v>0</v>
      </c>
      <c r="F37" s="5">
        <v>1034</v>
      </c>
      <c r="G37" s="5">
        <v>0</v>
      </c>
      <c r="H37" s="5">
        <v>0</v>
      </c>
      <c r="I37" s="5">
        <v>905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5138</v>
      </c>
      <c r="C38" s="5">
        <v>4880</v>
      </c>
      <c r="D38" s="5">
        <v>0</v>
      </c>
      <c r="E38" s="5">
        <v>0</v>
      </c>
      <c r="F38" s="5">
        <v>5647</v>
      </c>
      <c r="G38" s="5">
        <v>0</v>
      </c>
      <c r="H38" s="5">
        <v>0</v>
      </c>
      <c r="I38" s="5">
        <v>2670</v>
      </c>
      <c r="J38" s="5">
        <v>0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1577</v>
      </c>
      <c r="G40" s="5">
        <v>0</v>
      </c>
      <c r="H40" s="5">
        <v>3410</v>
      </c>
      <c r="I40" s="5">
        <v>0</v>
      </c>
      <c r="J40" s="5">
        <v>0</v>
      </c>
      <c r="K40" s="5">
        <v>5484</v>
      </c>
      <c r="L40" s="5">
        <v>5893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44</v>
      </c>
      <c r="L43" s="5">
        <v>44</v>
      </c>
    </row>
    <row r="44" spans="1:12" x14ac:dyDescent="0.35">
      <c r="A44" s="17" t="s">
        <v>251</v>
      </c>
      <c r="B44" s="5">
        <v>26</v>
      </c>
      <c r="C44" s="5">
        <v>0</v>
      </c>
      <c r="D44" s="5">
        <v>90</v>
      </c>
      <c r="E44" s="5">
        <v>0</v>
      </c>
      <c r="F44" s="5">
        <v>0</v>
      </c>
      <c r="G44" s="5">
        <v>0</v>
      </c>
      <c r="H44" s="5">
        <v>76</v>
      </c>
      <c r="I44" s="5">
        <v>89</v>
      </c>
      <c r="J44" s="5">
        <v>0</v>
      </c>
      <c r="K44" s="5">
        <v>157</v>
      </c>
      <c r="L44" s="5">
        <v>157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20</v>
      </c>
      <c r="E46" s="5">
        <v>0</v>
      </c>
      <c r="F46" s="5">
        <v>0</v>
      </c>
      <c r="G46" s="5">
        <v>0</v>
      </c>
      <c r="H46" s="5">
        <v>334</v>
      </c>
      <c r="I46" s="5">
        <v>133</v>
      </c>
      <c r="J46" s="5">
        <v>0</v>
      </c>
      <c r="K46" s="5">
        <v>0</v>
      </c>
      <c r="L46" s="5">
        <v>0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5086</v>
      </c>
      <c r="I49" s="5">
        <v>0</v>
      </c>
      <c r="J49" s="5">
        <v>0</v>
      </c>
      <c r="K49" s="5">
        <v>382</v>
      </c>
      <c r="L49" s="5">
        <v>382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770</v>
      </c>
      <c r="D52" s="5">
        <v>0</v>
      </c>
      <c r="E52" s="5">
        <v>0</v>
      </c>
      <c r="F52" s="5">
        <v>0</v>
      </c>
      <c r="G52" s="5">
        <v>0</v>
      </c>
      <c r="H52" s="5">
        <v>45</v>
      </c>
      <c r="I52" s="5">
        <v>0</v>
      </c>
      <c r="J52" s="5">
        <v>0</v>
      </c>
      <c r="K52" s="5">
        <v>56</v>
      </c>
      <c r="L52" s="5">
        <v>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58</v>
      </c>
      <c r="I53" s="5">
        <v>0</v>
      </c>
      <c r="J53" s="5">
        <v>0</v>
      </c>
      <c r="K53" s="5">
        <v>187</v>
      </c>
      <c r="L53" s="5">
        <v>187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6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102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562</v>
      </c>
      <c r="I59" s="5">
        <v>0</v>
      </c>
      <c r="J59" s="5">
        <v>0</v>
      </c>
      <c r="K59" s="5">
        <v>958</v>
      </c>
      <c r="L59" s="5">
        <v>855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81</v>
      </c>
      <c r="E60" s="5">
        <v>0</v>
      </c>
      <c r="F60" s="5">
        <v>0</v>
      </c>
      <c r="G60" s="5">
        <v>0</v>
      </c>
      <c r="H60" s="5">
        <v>8</v>
      </c>
      <c r="I60" s="5">
        <v>60</v>
      </c>
      <c r="J60" s="5">
        <v>0</v>
      </c>
      <c r="K60" s="5">
        <v>97</v>
      </c>
      <c r="L60" s="5">
        <v>97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10200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f>SUM(B3:B62)</f>
        <v>14348</v>
      </c>
      <c r="C63" s="36">
        <f t="shared" ref="C63:L63" si="0">SUM(C3:C62)</f>
        <v>24982</v>
      </c>
      <c r="D63" s="36">
        <f t="shared" si="0"/>
        <v>191</v>
      </c>
      <c r="E63" s="36">
        <f t="shared" si="0"/>
        <v>0</v>
      </c>
      <c r="F63" s="36">
        <f t="shared" si="0"/>
        <v>19238</v>
      </c>
      <c r="G63" s="36">
        <f t="shared" si="0"/>
        <v>121</v>
      </c>
      <c r="H63" s="36">
        <f t="shared" si="0"/>
        <v>22362</v>
      </c>
      <c r="I63" s="36">
        <f t="shared" si="0"/>
        <v>9084</v>
      </c>
      <c r="J63" s="36">
        <f t="shared" si="0"/>
        <v>0</v>
      </c>
      <c r="K63" s="36">
        <f t="shared" si="0"/>
        <v>37273</v>
      </c>
      <c r="L63" s="36">
        <f t="shared" si="0"/>
        <v>29498</v>
      </c>
    </row>
    <row r="64" spans="1:12" x14ac:dyDescent="0.35">
      <c r="A64" s="1"/>
      <c r="B64"/>
      <c r="C64"/>
      <c r="D64"/>
      <c r="E64"/>
      <c r="F64"/>
      <c r="G64"/>
      <c r="H64"/>
      <c r="I64"/>
      <c r="J64"/>
      <c r="K64"/>
      <c r="L64"/>
    </row>
    <row r="65" spans="1:12" x14ac:dyDescent="0.35">
      <c r="A65" t="s">
        <v>8</v>
      </c>
      <c r="B65" s="15">
        <v>376547.2</v>
      </c>
      <c r="C65" s="15">
        <v>387605.1</v>
      </c>
      <c r="D65" s="15">
        <v>399718.40000000002</v>
      </c>
      <c r="E65" s="15">
        <v>411367.9</v>
      </c>
      <c r="F65" s="15">
        <v>422641.3</v>
      </c>
      <c r="G65" s="15">
        <v>433722.2</v>
      </c>
      <c r="H65" s="15">
        <v>442748.4</v>
      </c>
      <c r="I65" s="15">
        <v>450366.9</v>
      </c>
      <c r="J65" s="15">
        <v>457449.9</v>
      </c>
      <c r="K65" s="15">
        <v>464321.1</v>
      </c>
      <c r="L65" s="15">
        <v>470912.8</v>
      </c>
    </row>
  </sheetData>
  <hyperlinks>
    <hyperlink ref="M2" location="Home!A1" display="Home" xr:uid="{082698B2-E984-4C20-A833-B858B5D8AC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2CF7-DAFE-4B25-8D1B-0F4C634C4AA0}">
  <dimension ref="A1:M65"/>
  <sheetViews>
    <sheetView zoomScale="124" zoomScaleNormal="12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C68" sqref="C68"/>
    </sheetView>
  </sheetViews>
  <sheetFormatPr defaultColWidth="11.453125" defaultRowHeight="14.5" x14ac:dyDescent="0.35"/>
  <cols>
    <col min="1" max="1" width="66.7265625" style="20" bestFit="1" customWidth="1"/>
    <col min="2" max="16384" width="11.453125" style="20"/>
  </cols>
  <sheetData>
    <row r="1" spans="1:13" ht="15.5" x14ac:dyDescent="0.35">
      <c r="A1" s="2" t="s">
        <v>338</v>
      </c>
      <c r="B1"/>
      <c r="C1"/>
      <c r="D1"/>
      <c r="E1"/>
      <c r="F1"/>
      <c r="G1"/>
      <c r="H1"/>
      <c r="I1"/>
      <c r="J1"/>
      <c r="K1"/>
      <c r="L1"/>
      <c r="M1" s="28" t="s">
        <v>336</v>
      </c>
    </row>
    <row r="2" spans="1:13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</row>
    <row r="3" spans="1:13" x14ac:dyDescent="0.35">
      <c r="A3" s="17" t="s">
        <v>212</v>
      </c>
      <c r="B3" s="5">
        <v>819</v>
      </c>
      <c r="C3" s="5">
        <v>0</v>
      </c>
      <c r="D3" s="5">
        <v>0</v>
      </c>
      <c r="E3" s="5">
        <v>0</v>
      </c>
      <c r="F3" s="5">
        <v>830</v>
      </c>
      <c r="G3" s="5">
        <v>0</v>
      </c>
      <c r="H3" s="5">
        <v>925</v>
      </c>
      <c r="I3" s="5">
        <v>920</v>
      </c>
      <c r="J3" s="5">
        <v>1024</v>
      </c>
      <c r="K3" s="5">
        <v>1014</v>
      </c>
      <c r="L3" s="5">
        <v>992</v>
      </c>
    </row>
    <row r="4" spans="1:13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807</v>
      </c>
      <c r="I4" s="5">
        <v>813</v>
      </c>
      <c r="J4" s="5">
        <v>902</v>
      </c>
      <c r="K4" s="5">
        <v>900</v>
      </c>
      <c r="L4" s="5">
        <v>898</v>
      </c>
    </row>
    <row r="5" spans="1:13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3" x14ac:dyDescent="0.35">
      <c r="A6" s="17" t="s">
        <v>215</v>
      </c>
      <c r="B6" s="5">
        <v>5816</v>
      </c>
      <c r="C6" s="5">
        <v>0</v>
      </c>
      <c r="D6" s="5">
        <v>0</v>
      </c>
      <c r="E6" s="5">
        <v>0</v>
      </c>
      <c r="F6" s="5">
        <v>7427</v>
      </c>
      <c r="G6" s="5">
        <v>0</v>
      </c>
      <c r="H6" s="5">
        <v>7645</v>
      </c>
      <c r="I6" s="5">
        <v>7763</v>
      </c>
      <c r="J6" s="5">
        <v>7771</v>
      </c>
      <c r="K6" s="5">
        <v>7886</v>
      </c>
      <c r="L6" s="5">
        <v>8028</v>
      </c>
    </row>
    <row r="7" spans="1:13" x14ac:dyDescent="0.35">
      <c r="A7" s="17" t="s">
        <v>216</v>
      </c>
      <c r="B7" s="5">
        <v>0</v>
      </c>
      <c r="C7" s="5">
        <v>1501</v>
      </c>
      <c r="D7" s="5">
        <v>0</v>
      </c>
      <c r="E7" s="5">
        <v>0</v>
      </c>
      <c r="F7" s="5">
        <v>1461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3" x14ac:dyDescent="0.35">
      <c r="A8" s="17" t="s">
        <v>217</v>
      </c>
      <c r="B8" s="5">
        <v>55</v>
      </c>
      <c r="C8" s="5">
        <v>0</v>
      </c>
      <c r="D8" s="5">
        <v>0</v>
      </c>
      <c r="E8" s="5">
        <v>0</v>
      </c>
      <c r="F8" s="5">
        <v>91</v>
      </c>
      <c r="G8" s="5">
        <v>0</v>
      </c>
      <c r="H8" s="5">
        <v>96</v>
      </c>
      <c r="I8" s="5">
        <v>88</v>
      </c>
      <c r="J8" s="5">
        <v>89</v>
      </c>
      <c r="K8" s="5">
        <v>89</v>
      </c>
      <c r="L8" s="5">
        <v>86</v>
      </c>
    </row>
    <row r="9" spans="1:13" x14ac:dyDescent="0.35">
      <c r="A9" s="17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156</v>
      </c>
      <c r="I9" s="5">
        <v>138</v>
      </c>
      <c r="J9" s="5">
        <v>145</v>
      </c>
      <c r="K9" s="5">
        <v>158</v>
      </c>
      <c r="L9" s="5">
        <v>125</v>
      </c>
    </row>
    <row r="10" spans="1:13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534</v>
      </c>
      <c r="I10" s="5">
        <v>491</v>
      </c>
      <c r="J10" s="5">
        <v>463</v>
      </c>
      <c r="K10" s="5">
        <v>465</v>
      </c>
      <c r="L10" s="5">
        <v>449</v>
      </c>
    </row>
    <row r="11" spans="1:13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927</v>
      </c>
      <c r="I11" s="5">
        <v>843</v>
      </c>
      <c r="J11" s="5">
        <v>842</v>
      </c>
      <c r="K11" s="5">
        <v>845</v>
      </c>
      <c r="L11" s="5">
        <v>848</v>
      </c>
    </row>
    <row r="12" spans="1:13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9</v>
      </c>
      <c r="I12" s="5">
        <v>8</v>
      </c>
      <c r="J12" s="5">
        <v>7</v>
      </c>
      <c r="K12" s="5">
        <v>8</v>
      </c>
      <c r="L12" s="5">
        <v>11</v>
      </c>
    </row>
    <row r="13" spans="1:13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16</v>
      </c>
      <c r="I13" s="5">
        <v>11</v>
      </c>
      <c r="J13" s="5">
        <v>11</v>
      </c>
      <c r="K13" s="5">
        <v>12</v>
      </c>
      <c r="L13" s="5">
        <v>13</v>
      </c>
    </row>
    <row r="14" spans="1:13" x14ac:dyDescent="0.35">
      <c r="A14" s="17" t="s">
        <v>223</v>
      </c>
      <c r="B14" s="5">
        <v>166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3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27</v>
      </c>
      <c r="I15" s="5">
        <v>27</v>
      </c>
      <c r="J15" s="5">
        <v>28</v>
      </c>
      <c r="K15" s="5">
        <v>26</v>
      </c>
      <c r="L15" s="5">
        <v>24</v>
      </c>
    </row>
    <row r="16" spans="1:13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27</v>
      </c>
      <c r="I16" s="5">
        <v>33</v>
      </c>
      <c r="J16" s="5">
        <v>33</v>
      </c>
      <c r="K16" s="5">
        <v>35</v>
      </c>
      <c r="L16" s="5">
        <v>33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40</v>
      </c>
      <c r="I17" s="5">
        <v>41</v>
      </c>
      <c r="J17" s="5">
        <v>40</v>
      </c>
      <c r="K17" s="5">
        <v>45</v>
      </c>
      <c r="L17" s="5">
        <v>40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36</v>
      </c>
      <c r="I19" s="5">
        <v>32</v>
      </c>
      <c r="J19" s="5">
        <v>92</v>
      </c>
      <c r="K19" s="5">
        <v>35</v>
      </c>
      <c r="L19" s="5">
        <v>106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1563</v>
      </c>
      <c r="I23" s="5">
        <v>1421</v>
      </c>
      <c r="J23" s="5">
        <v>1423</v>
      </c>
      <c r="K23" s="5">
        <v>1519</v>
      </c>
      <c r="L23" s="5">
        <v>1563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24</v>
      </c>
      <c r="I24" s="5">
        <v>25</v>
      </c>
      <c r="J24" s="5">
        <v>25</v>
      </c>
      <c r="K24" s="5">
        <v>203</v>
      </c>
      <c r="L24" s="5">
        <v>113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134</v>
      </c>
      <c r="I26" s="5">
        <v>116</v>
      </c>
      <c r="J26" s="5">
        <v>117</v>
      </c>
      <c r="K26" s="5">
        <v>123</v>
      </c>
      <c r="L26" s="5">
        <v>82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156</v>
      </c>
      <c r="I27" s="5">
        <v>131</v>
      </c>
      <c r="J27" s="5">
        <v>125</v>
      </c>
      <c r="K27" s="5">
        <v>147</v>
      </c>
      <c r="L27" s="5">
        <v>159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63</v>
      </c>
      <c r="I28" s="5">
        <v>64</v>
      </c>
      <c r="J28" s="5">
        <v>67</v>
      </c>
      <c r="K28" s="5">
        <v>66</v>
      </c>
      <c r="L28" s="5">
        <v>63</v>
      </c>
    </row>
    <row r="29" spans="1:12" x14ac:dyDescent="0.35">
      <c r="A29" s="17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318</v>
      </c>
      <c r="I29" s="5">
        <v>330</v>
      </c>
      <c r="J29" s="5">
        <v>338</v>
      </c>
      <c r="K29" s="5">
        <v>337</v>
      </c>
      <c r="L29" s="5">
        <v>318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160</v>
      </c>
      <c r="I30" s="5">
        <v>156</v>
      </c>
      <c r="J30" s="5">
        <v>167</v>
      </c>
      <c r="K30" s="5">
        <v>161</v>
      </c>
      <c r="L30" s="5">
        <v>191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73</v>
      </c>
      <c r="I32" s="5">
        <v>110</v>
      </c>
      <c r="J32" s="5">
        <v>63</v>
      </c>
      <c r="K32" s="5">
        <v>62</v>
      </c>
      <c r="L32" s="5">
        <v>74</v>
      </c>
    </row>
    <row r="33" spans="1:12" x14ac:dyDescent="0.35">
      <c r="A33" s="17" t="s">
        <v>242</v>
      </c>
      <c r="B33" s="5">
        <v>819</v>
      </c>
      <c r="C33" s="5">
        <v>0</v>
      </c>
      <c r="D33" s="5">
        <v>0</v>
      </c>
      <c r="E33" s="5">
        <v>0</v>
      </c>
      <c r="F33" s="5">
        <v>830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1501</v>
      </c>
      <c r="D36" s="5">
        <v>0</v>
      </c>
      <c r="E36" s="5">
        <v>0</v>
      </c>
      <c r="F36" s="5">
        <v>1461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17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5816</v>
      </c>
      <c r="C38" s="5">
        <v>0</v>
      </c>
      <c r="D38" s="5">
        <v>0</v>
      </c>
      <c r="E38" s="5">
        <v>0</v>
      </c>
      <c r="F38" s="5">
        <v>7427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7645</v>
      </c>
      <c r="I40" s="5">
        <v>7763</v>
      </c>
      <c r="J40" s="5">
        <v>7771</v>
      </c>
      <c r="K40" s="5">
        <v>7886</v>
      </c>
      <c r="L40" s="5">
        <v>8028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3</v>
      </c>
      <c r="I43" s="5">
        <v>3</v>
      </c>
      <c r="J43" s="5">
        <v>3</v>
      </c>
      <c r="K43" s="5">
        <v>3</v>
      </c>
      <c r="L43" s="5">
        <v>4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18</v>
      </c>
      <c r="E44" s="5">
        <v>0</v>
      </c>
      <c r="F44" s="5">
        <v>11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5</v>
      </c>
      <c r="I45" s="5">
        <v>3</v>
      </c>
      <c r="J45" s="5">
        <v>3</v>
      </c>
      <c r="K45" s="5">
        <v>6</v>
      </c>
      <c r="L45" s="5">
        <v>4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18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1248</v>
      </c>
      <c r="I47" s="5">
        <v>1376</v>
      </c>
      <c r="J47" s="5">
        <v>1221</v>
      </c>
      <c r="K47" s="5">
        <v>1355</v>
      </c>
      <c r="L47" s="5">
        <v>1579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3342</v>
      </c>
      <c r="I48" s="5">
        <v>3956</v>
      </c>
      <c r="J48" s="5">
        <v>3691</v>
      </c>
      <c r="K48" s="5">
        <v>3629</v>
      </c>
      <c r="L48" s="5">
        <v>3204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10</v>
      </c>
      <c r="I49" s="5">
        <v>10</v>
      </c>
      <c r="J49" s="5">
        <v>10</v>
      </c>
      <c r="K49" s="5">
        <v>11</v>
      </c>
      <c r="L49" s="5">
        <v>6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435</v>
      </c>
      <c r="I52" s="5">
        <v>408</v>
      </c>
      <c r="J52" s="5">
        <v>435</v>
      </c>
      <c r="K52" s="5">
        <v>413</v>
      </c>
      <c r="L52" s="5">
        <v>449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42</v>
      </c>
      <c r="I53" s="5">
        <v>38</v>
      </c>
      <c r="J53" s="5">
        <v>66</v>
      </c>
      <c r="K53" s="5">
        <v>42</v>
      </c>
      <c r="L53" s="5">
        <v>30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16</v>
      </c>
      <c r="I56" s="5">
        <v>15</v>
      </c>
      <c r="J56" s="5">
        <v>13</v>
      </c>
      <c r="K56" s="5">
        <v>15</v>
      </c>
      <c r="L56" s="5">
        <v>17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118</v>
      </c>
      <c r="I59" s="5">
        <v>107</v>
      </c>
      <c r="J59" s="5">
        <v>122</v>
      </c>
      <c r="K59" s="5">
        <v>114</v>
      </c>
      <c r="L59" s="5">
        <v>94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40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f>SUM(B3:B62)</f>
        <v>13491</v>
      </c>
      <c r="C63" s="36">
        <f t="shared" ref="C63:L63" si="0">SUM(C3:C62)</f>
        <v>3002</v>
      </c>
      <c r="D63" s="36">
        <f t="shared" si="0"/>
        <v>76</v>
      </c>
      <c r="E63" s="36">
        <f t="shared" si="0"/>
        <v>0</v>
      </c>
      <c r="F63" s="36">
        <f t="shared" si="0"/>
        <v>19538</v>
      </c>
      <c r="G63" s="36">
        <f t="shared" si="0"/>
        <v>0</v>
      </c>
      <c r="H63" s="36">
        <f t="shared" si="0"/>
        <v>26600</v>
      </c>
      <c r="I63" s="36">
        <f t="shared" si="0"/>
        <v>27240</v>
      </c>
      <c r="J63" s="36">
        <f t="shared" si="0"/>
        <v>27107</v>
      </c>
      <c r="K63" s="36">
        <f t="shared" si="0"/>
        <v>27610</v>
      </c>
      <c r="L63" s="36">
        <f t="shared" si="0"/>
        <v>27631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59490.1</v>
      </c>
      <c r="C65" s="15">
        <v>60143.3</v>
      </c>
      <c r="D65" s="15">
        <v>60621.9</v>
      </c>
      <c r="E65" s="15">
        <v>61044.4</v>
      </c>
      <c r="F65" s="15">
        <v>61561.1</v>
      </c>
      <c r="G65" s="15">
        <v>62008.2</v>
      </c>
      <c r="H65" s="15">
        <v>62387.4</v>
      </c>
      <c r="I65" s="15">
        <v>62733.4</v>
      </c>
      <c r="J65" s="15">
        <v>62582.3</v>
      </c>
      <c r="K65" s="15">
        <v>62086.9</v>
      </c>
      <c r="L65" s="15">
        <v>61665.2</v>
      </c>
    </row>
  </sheetData>
  <hyperlinks>
    <hyperlink ref="M1" location="Home!A1" display="Home" xr:uid="{75B9519E-F4FF-4DE4-9964-DBC55AF04493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4184-7ABC-401F-80CD-EDDDCF23DC78}">
  <dimension ref="A1:N65"/>
  <sheetViews>
    <sheetView zoomScale="95" zoomScaleNormal="95" workbookViewId="0">
      <pane xSplit="1" ySplit="2" topLeftCell="B45" activePane="bottomRight" state="frozen"/>
      <selection activeCell="J41" sqref="J41"/>
      <selection pane="topRight" activeCell="J41" sqref="J41"/>
      <selection pane="bottomLeft" activeCell="J41" sqref="J41"/>
      <selection pane="bottomRight" activeCell="E69" sqref="E69"/>
    </sheetView>
  </sheetViews>
  <sheetFormatPr defaultColWidth="11.453125" defaultRowHeight="14.5" x14ac:dyDescent="0.35"/>
  <cols>
    <col min="1" max="1" width="68" style="20" bestFit="1" customWidth="1"/>
    <col min="2" max="2" width="11.54296875" style="20" customWidth="1"/>
    <col min="3" max="16384" width="11.453125" style="20"/>
  </cols>
  <sheetData>
    <row r="1" spans="1:14" ht="18.5" x14ac:dyDescent="0.35">
      <c r="A1" s="2" t="s">
        <v>339</v>
      </c>
      <c r="B1"/>
      <c r="C1"/>
      <c r="D1"/>
      <c r="E1"/>
      <c r="F1"/>
      <c r="G1"/>
      <c r="H1"/>
      <c r="I1"/>
      <c r="J1"/>
      <c r="K1"/>
      <c r="L1"/>
      <c r="N1" s="30" t="s">
        <v>336</v>
      </c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</row>
    <row r="3" spans="1:14" x14ac:dyDescent="0.35">
      <c r="A3" s="17" t="s">
        <v>212</v>
      </c>
      <c r="B3" s="5">
        <v>787</v>
      </c>
      <c r="C3" s="5">
        <v>803</v>
      </c>
      <c r="D3" s="5">
        <v>857</v>
      </c>
      <c r="E3" s="5">
        <v>1189</v>
      </c>
      <c r="F3" s="5">
        <v>1202</v>
      </c>
      <c r="G3" s="5">
        <v>1626</v>
      </c>
      <c r="H3" s="5">
        <v>1684</v>
      </c>
      <c r="I3" s="5">
        <v>1910</v>
      </c>
      <c r="J3" s="5">
        <v>2061</v>
      </c>
      <c r="K3" s="5">
        <v>2221</v>
      </c>
      <c r="L3" s="5">
        <v>3323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888</v>
      </c>
      <c r="H4" s="5">
        <v>732</v>
      </c>
      <c r="I4" s="5">
        <v>1026</v>
      </c>
      <c r="J4" s="5">
        <v>1088</v>
      </c>
      <c r="K4" s="5">
        <v>1220</v>
      </c>
      <c r="L4" s="5">
        <v>2372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693</v>
      </c>
      <c r="J5" s="5">
        <v>0</v>
      </c>
      <c r="K5" s="5">
        <v>0</v>
      </c>
      <c r="L5" s="5">
        <v>32</v>
      </c>
    </row>
    <row r="6" spans="1:14" x14ac:dyDescent="0.35">
      <c r="A6" s="17" t="s">
        <v>215</v>
      </c>
      <c r="B6" s="5">
        <v>6008</v>
      </c>
      <c r="C6" s="5">
        <v>6196</v>
      </c>
      <c r="D6" s="5">
        <v>6358</v>
      </c>
      <c r="E6" s="5">
        <v>9748</v>
      </c>
      <c r="F6" s="5">
        <v>9701</v>
      </c>
      <c r="G6" s="5">
        <v>10376</v>
      </c>
      <c r="H6" s="5">
        <v>0</v>
      </c>
      <c r="I6" s="5">
        <v>11364</v>
      </c>
      <c r="J6" s="5">
        <v>11874</v>
      </c>
      <c r="K6" s="5">
        <v>12189</v>
      </c>
      <c r="L6" s="5">
        <v>13961</v>
      </c>
    </row>
    <row r="7" spans="1:14" x14ac:dyDescent="0.35">
      <c r="A7" s="17" t="s">
        <v>216</v>
      </c>
      <c r="B7" s="5">
        <v>4451</v>
      </c>
      <c r="C7" s="5">
        <v>1591</v>
      </c>
      <c r="D7" s="5">
        <v>1744</v>
      </c>
      <c r="E7" s="5">
        <v>2383</v>
      </c>
      <c r="F7" s="5">
        <v>2580</v>
      </c>
      <c r="G7" s="5">
        <v>6569</v>
      </c>
      <c r="H7" s="5">
        <v>0</v>
      </c>
      <c r="I7" s="5">
        <v>7477</v>
      </c>
      <c r="J7" s="5">
        <v>7804</v>
      </c>
      <c r="K7" s="5">
        <v>8052</v>
      </c>
      <c r="L7" s="5">
        <v>9294</v>
      </c>
    </row>
    <row r="8" spans="1:14" x14ac:dyDescent="0.35">
      <c r="A8" s="17" t="s">
        <v>217</v>
      </c>
      <c r="B8" s="5">
        <v>38</v>
      </c>
      <c r="C8" s="5">
        <v>0</v>
      </c>
      <c r="D8" s="5">
        <v>0</v>
      </c>
      <c r="E8" s="5">
        <v>0</v>
      </c>
      <c r="F8" s="5">
        <v>0</v>
      </c>
      <c r="G8" s="5">
        <v>80</v>
      </c>
      <c r="H8" s="5">
        <v>91</v>
      </c>
      <c r="I8" s="5">
        <v>52</v>
      </c>
      <c r="J8" s="5">
        <v>103</v>
      </c>
      <c r="K8" s="5">
        <v>107</v>
      </c>
      <c r="L8" s="5">
        <v>39</v>
      </c>
    </row>
    <row r="9" spans="1:14" x14ac:dyDescent="0.35">
      <c r="A9" s="17" t="s">
        <v>218</v>
      </c>
      <c r="B9" s="5">
        <v>203</v>
      </c>
      <c r="C9" s="5">
        <v>207</v>
      </c>
      <c r="D9" s="5">
        <v>217</v>
      </c>
      <c r="E9" s="5">
        <v>258</v>
      </c>
      <c r="F9" s="5">
        <v>235</v>
      </c>
      <c r="G9" s="5">
        <v>284</v>
      </c>
      <c r="H9" s="5">
        <v>239</v>
      </c>
      <c r="I9" s="5">
        <v>313</v>
      </c>
      <c r="J9" s="5">
        <v>718</v>
      </c>
      <c r="K9" s="5">
        <v>691</v>
      </c>
      <c r="L9" s="5">
        <v>575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811</v>
      </c>
      <c r="J10" s="5">
        <v>0</v>
      </c>
      <c r="K10" s="5">
        <v>0</v>
      </c>
      <c r="L10" s="5">
        <v>0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200</v>
      </c>
      <c r="J11" s="5">
        <v>0</v>
      </c>
      <c r="K11" s="5">
        <v>0</v>
      </c>
      <c r="L11" s="5">
        <v>275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7</v>
      </c>
      <c r="J13" s="5">
        <v>8</v>
      </c>
      <c r="K13" s="5">
        <v>0</v>
      </c>
      <c r="L13" s="5">
        <v>18</v>
      </c>
    </row>
    <row r="14" spans="1:14" x14ac:dyDescent="0.35">
      <c r="A14" s="17" t="s">
        <v>223</v>
      </c>
      <c r="B14" s="5">
        <v>2099</v>
      </c>
      <c r="C14" s="5">
        <v>0</v>
      </c>
      <c r="D14" s="5">
        <v>0</v>
      </c>
      <c r="E14" s="5">
        <v>0</v>
      </c>
      <c r="F14" s="5">
        <v>0</v>
      </c>
      <c r="G14" s="5">
        <v>2749</v>
      </c>
      <c r="H14" s="5">
        <v>0</v>
      </c>
      <c r="I14" s="5">
        <v>2979</v>
      </c>
      <c r="J14" s="5">
        <v>2923</v>
      </c>
      <c r="K14" s="5">
        <v>2947</v>
      </c>
      <c r="L14" s="5">
        <v>3145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185</v>
      </c>
      <c r="I15" s="5">
        <v>143</v>
      </c>
      <c r="J15" s="5">
        <v>172</v>
      </c>
      <c r="K15" s="5">
        <v>168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</v>
      </c>
      <c r="I16" s="5">
        <v>0</v>
      </c>
      <c r="J16" s="5">
        <v>0</v>
      </c>
      <c r="K16" s="5">
        <v>0</v>
      </c>
      <c r="L16" s="5">
        <v>7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57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6</v>
      </c>
      <c r="J19" s="5">
        <v>0</v>
      </c>
      <c r="K19" s="5">
        <v>19</v>
      </c>
      <c r="L19" s="5">
        <v>0</v>
      </c>
    </row>
    <row r="20" spans="1:12" x14ac:dyDescent="0.35">
      <c r="A20" s="17" t="s">
        <v>229</v>
      </c>
      <c r="B20" s="5">
        <v>91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1348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160</v>
      </c>
      <c r="H21" s="5">
        <v>0</v>
      </c>
      <c r="I21" s="5">
        <v>222</v>
      </c>
      <c r="J21" s="5">
        <v>275</v>
      </c>
      <c r="K21" s="5">
        <v>0</v>
      </c>
      <c r="L21" s="5">
        <v>1791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86</v>
      </c>
      <c r="H22" s="5">
        <v>0</v>
      </c>
      <c r="I22" s="5">
        <v>90</v>
      </c>
      <c r="J22" s="5">
        <v>101</v>
      </c>
      <c r="K22" s="5">
        <v>105</v>
      </c>
      <c r="L22" s="5">
        <v>102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68</v>
      </c>
      <c r="K23" s="5">
        <v>0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174</v>
      </c>
      <c r="J24" s="5">
        <v>0</v>
      </c>
      <c r="K24" s="5">
        <v>0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109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191</v>
      </c>
      <c r="J26" s="5">
        <v>274</v>
      </c>
      <c r="K26" s="5">
        <v>209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8</v>
      </c>
      <c r="L28" s="5">
        <v>0</v>
      </c>
    </row>
    <row r="29" spans="1:12" x14ac:dyDescent="0.35">
      <c r="A29" s="17" t="s">
        <v>238</v>
      </c>
      <c r="B29" s="5">
        <v>458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699</v>
      </c>
      <c r="H30" s="5">
        <v>648</v>
      </c>
      <c r="I30" s="5">
        <v>800</v>
      </c>
      <c r="J30" s="5">
        <v>906</v>
      </c>
      <c r="K30" s="5">
        <v>899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3</v>
      </c>
      <c r="H31" s="5">
        <v>0</v>
      </c>
      <c r="I31" s="5">
        <v>143</v>
      </c>
      <c r="J31" s="5">
        <v>0</v>
      </c>
      <c r="K31" s="5">
        <v>0</v>
      </c>
      <c r="L31" s="5">
        <v>7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44</v>
      </c>
    </row>
    <row r="33" spans="1:12" x14ac:dyDescent="0.35">
      <c r="A33" s="17" t="s">
        <v>242</v>
      </c>
      <c r="B33" s="5">
        <v>787</v>
      </c>
      <c r="C33" s="5">
        <v>803</v>
      </c>
      <c r="D33" s="5">
        <v>857</v>
      </c>
      <c r="E33" s="5">
        <v>1189</v>
      </c>
      <c r="F33" s="5">
        <v>1202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4</v>
      </c>
      <c r="H34" s="5">
        <v>0</v>
      </c>
      <c r="I34" s="5">
        <v>15</v>
      </c>
      <c r="J34" s="5">
        <v>16</v>
      </c>
      <c r="K34" s="5">
        <v>16</v>
      </c>
      <c r="L34" s="5">
        <v>2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2986</v>
      </c>
      <c r="H35" s="5">
        <v>0</v>
      </c>
      <c r="I35" s="5">
        <v>3057</v>
      </c>
      <c r="J35" s="5">
        <v>2977</v>
      </c>
      <c r="K35" s="5">
        <v>3066</v>
      </c>
      <c r="L35" s="5">
        <v>3608</v>
      </c>
    </row>
    <row r="36" spans="1:12" x14ac:dyDescent="0.35">
      <c r="A36" s="17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3583</v>
      </c>
      <c r="H36" s="5">
        <v>0</v>
      </c>
      <c r="I36" s="5">
        <v>4420</v>
      </c>
      <c r="J36" s="5">
        <v>4827</v>
      </c>
      <c r="K36" s="5">
        <v>4986</v>
      </c>
      <c r="L36" s="5">
        <v>5686</v>
      </c>
    </row>
    <row r="37" spans="1:12" x14ac:dyDescent="0.35">
      <c r="A37" s="17" t="s">
        <v>246</v>
      </c>
      <c r="B37" s="5">
        <v>4451</v>
      </c>
      <c r="C37" s="5">
        <v>1591</v>
      </c>
      <c r="D37" s="5">
        <v>1744</v>
      </c>
      <c r="E37" s="5">
        <v>2383</v>
      </c>
      <c r="F37" s="5">
        <v>2580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6008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2707</v>
      </c>
      <c r="D39" s="5">
        <v>2640</v>
      </c>
      <c r="E39" s="5">
        <v>2652</v>
      </c>
      <c r="F39" s="5">
        <v>2337</v>
      </c>
      <c r="G39" s="5">
        <v>2117</v>
      </c>
      <c r="H39" s="5">
        <v>0</v>
      </c>
      <c r="I39" s="5">
        <v>1893</v>
      </c>
      <c r="J39" s="5">
        <v>1646</v>
      </c>
      <c r="K39" s="5">
        <v>1486</v>
      </c>
      <c r="L39" s="5">
        <v>67</v>
      </c>
    </row>
    <row r="40" spans="1:12" x14ac:dyDescent="0.35">
      <c r="A40" s="17" t="s">
        <v>249</v>
      </c>
      <c r="B40" s="5">
        <v>0</v>
      </c>
      <c r="C40" s="5">
        <v>3489</v>
      </c>
      <c r="D40" s="5">
        <v>3718</v>
      </c>
      <c r="E40" s="5">
        <v>7096</v>
      </c>
      <c r="F40" s="5">
        <v>7364</v>
      </c>
      <c r="G40" s="5">
        <v>8259</v>
      </c>
      <c r="H40" s="5">
        <v>0</v>
      </c>
      <c r="I40" s="5">
        <v>9471</v>
      </c>
      <c r="J40" s="5">
        <v>10228</v>
      </c>
      <c r="K40" s="5">
        <v>10703</v>
      </c>
      <c r="L40" s="5">
        <v>13894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19</v>
      </c>
      <c r="H43" s="5">
        <v>0</v>
      </c>
      <c r="I43" s="5">
        <v>21</v>
      </c>
      <c r="J43" s="5">
        <v>31</v>
      </c>
      <c r="K43" s="5">
        <v>35</v>
      </c>
      <c r="L43" s="5">
        <v>71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10</v>
      </c>
      <c r="E44" s="5">
        <v>0</v>
      </c>
      <c r="F44" s="5">
        <v>0</v>
      </c>
      <c r="G44" s="5">
        <v>88</v>
      </c>
      <c r="H44" s="5">
        <v>0</v>
      </c>
      <c r="I44" s="5">
        <v>106</v>
      </c>
      <c r="J44" s="5">
        <v>126</v>
      </c>
      <c r="K44" s="5">
        <v>126</v>
      </c>
      <c r="L44" s="5">
        <v>127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3</v>
      </c>
      <c r="H45" s="5">
        <v>0</v>
      </c>
      <c r="I45" s="5">
        <v>0</v>
      </c>
      <c r="J45" s="5">
        <v>3</v>
      </c>
      <c r="K45" s="5">
        <v>3</v>
      </c>
      <c r="L45" s="5">
        <v>2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58</v>
      </c>
      <c r="E46" s="5">
        <v>0</v>
      </c>
      <c r="F46" s="5">
        <v>0</v>
      </c>
      <c r="G46" s="5">
        <v>473</v>
      </c>
      <c r="H46" s="5">
        <v>0</v>
      </c>
      <c r="I46" s="5">
        <v>580</v>
      </c>
      <c r="J46" s="5">
        <v>0</v>
      </c>
      <c r="K46" s="5">
        <v>0</v>
      </c>
      <c r="L46" s="5">
        <v>555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22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2079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1698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886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148</v>
      </c>
      <c r="C52" s="5">
        <v>0</v>
      </c>
      <c r="D52" s="5">
        <v>0</v>
      </c>
      <c r="E52" s="5">
        <v>0</v>
      </c>
      <c r="F52" s="5">
        <v>0</v>
      </c>
      <c r="G52" s="5">
        <v>156</v>
      </c>
      <c r="H52" s="5">
        <v>0</v>
      </c>
      <c r="I52" s="5">
        <v>192</v>
      </c>
      <c r="J52" s="5">
        <v>203</v>
      </c>
      <c r="K52" s="5">
        <v>203</v>
      </c>
      <c r="L52" s="5">
        <v>210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18</v>
      </c>
      <c r="H53" s="5">
        <v>0</v>
      </c>
      <c r="I53" s="5">
        <v>0</v>
      </c>
      <c r="J53" s="5">
        <v>22</v>
      </c>
      <c r="K53" s="5">
        <v>0</v>
      </c>
      <c r="L53" s="5">
        <v>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47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11</v>
      </c>
      <c r="H55" s="5">
        <v>0</v>
      </c>
      <c r="I55" s="5">
        <v>9</v>
      </c>
      <c r="J55" s="5">
        <v>11</v>
      </c>
      <c r="K55" s="5">
        <v>11</v>
      </c>
      <c r="L55" s="5">
        <v>13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8</v>
      </c>
      <c r="J56" s="5">
        <v>8</v>
      </c>
      <c r="K56" s="5">
        <v>8</v>
      </c>
      <c r="L56" s="5">
        <v>9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6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28</v>
      </c>
      <c r="J58" s="5">
        <v>0</v>
      </c>
      <c r="K58" s="5">
        <v>0</v>
      </c>
      <c r="L58" s="5">
        <v>39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738</v>
      </c>
      <c r="H59" s="5">
        <v>952</v>
      </c>
      <c r="I59" s="5">
        <v>884</v>
      </c>
      <c r="J59" s="5">
        <v>973</v>
      </c>
      <c r="K59" s="5">
        <v>1001</v>
      </c>
      <c r="L59" s="5">
        <v>951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36</v>
      </c>
      <c r="E60" s="5">
        <v>0</v>
      </c>
      <c r="F60" s="5">
        <v>0</v>
      </c>
      <c r="G60" s="5">
        <v>80</v>
      </c>
      <c r="H60" s="5">
        <v>0</v>
      </c>
      <c r="I60" s="5">
        <v>99</v>
      </c>
      <c r="J60" s="5">
        <v>0</v>
      </c>
      <c r="K60" s="5">
        <v>0</v>
      </c>
      <c r="L60" s="5">
        <v>112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335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336</v>
      </c>
      <c r="H62" s="5">
        <v>0</v>
      </c>
      <c r="I62" s="5">
        <v>1</v>
      </c>
      <c r="J62" s="5">
        <v>0</v>
      </c>
      <c r="K62" s="5">
        <v>50</v>
      </c>
      <c r="L62" s="5">
        <v>0</v>
      </c>
    </row>
    <row r="63" spans="1:12" x14ac:dyDescent="0.35">
      <c r="A63" s="35" t="s">
        <v>317</v>
      </c>
      <c r="B63" s="36">
        <f>SUM(B3:B62)</f>
        <v>25638</v>
      </c>
      <c r="C63" s="36">
        <f t="shared" ref="C63:L63" si="0">SUM(C3:C62)</f>
        <v>17387</v>
      </c>
      <c r="D63" s="36">
        <f t="shared" si="0"/>
        <v>18239</v>
      </c>
      <c r="E63" s="36">
        <f t="shared" si="0"/>
        <v>26898</v>
      </c>
      <c r="F63" s="36">
        <f t="shared" si="0"/>
        <v>27201</v>
      </c>
      <c r="G63" s="36">
        <f t="shared" si="0"/>
        <v>42391</v>
      </c>
      <c r="H63" s="36">
        <f t="shared" si="0"/>
        <v>4533</v>
      </c>
      <c r="I63" s="36">
        <f t="shared" si="0"/>
        <v>53175</v>
      </c>
      <c r="J63" s="36">
        <f t="shared" si="0"/>
        <v>49446</v>
      </c>
      <c r="K63" s="36">
        <f t="shared" si="0"/>
        <v>50576</v>
      </c>
      <c r="L63" s="36">
        <f t="shared" si="0"/>
        <v>62972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699018.1</v>
      </c>
      <c r="C65" s="15">
        <v>712157.2</v>
      </c>
      <c r="D65" s="15">
        <v>722847.5</v>
      </c>
      <c r="E65" s="15">
        <v>731106.9</v>
      </c>
      <c r="F65" s="15">
        <v>735658.4</v>
      </c>
      <c r="G65" s="15">
        <v>737568.4</v>
      </c>
      <c r="H65" s="15">
        <v>743373</v>
      </c>
      <c r="I65" s="15">
        <v>752782.1</v>
      </c>
      <c r="J65" s="15">
        <v>761670.7</v>
      </c>
      <c r="K65" s="15">
        <v>770961.1</v>
      </c>
      <c r="L65" s="15">
        <v>780085.6</v>
      </c>
    </row>
  </sheetData>
  <hyperlinks>
    <hyperlink ref="N1" location="Home!A1" display="Home" xr:uid="{693D98A5-0AEB-45FC-BE69-A66AECAD32D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2E78-F5A4-447A-9BE6-6A4A94DCC3F1}">
  <dimension ref="A1:N65"/>
  <sheetViews>
    <sheetView zoomScale="86" zoomScaleNormal="86" workbookViewId="0">
      <pane xSplit="1" ySplit="2" topLeftCell="B33" activePane="bottomRight" state="frozen"/>
      <selection activeCell="J41" sqref="J41"/>
      <selection pane="topRight" activeCell="J41" sqref="J41"/>
      <selection pane="bottomLeft" activeCell="J41" sqref="J41"/>
      <selection pane="bottomRight" activeCell="C65" sqref="B65:L65"/>
    </sheetView>
  </sheetViews>
  <sheetFormatPr defaultColWidth="11.453125" defaultRowHeight="14.5" x14ac:dyDescent="0.35"/>
  <cols>
    <col min="1" max="1" width="66.26953125" style="20" bestFit="1" customWidth="1"/>
    <col min="2" max="16384" width="11.453125" style="20"/>
  </cols>
  <sheetData>
    <row r="1" spans="1:14" x14ac:dyDescent="0.35">
      <c r="A1" s="2" t="s">
        <v>340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9" t="s">
        <v>319</v>
      </c>
      <c r="B2" s="37">
        <v>2012</v>
      </c>
      <c r="C2" s="37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609</v>
      </c>
      <c r="E3" s="5">
        <v>508</v>
      </c>
      <c r="F3" s="5">
        <v>0</v>
      </c>
      <c r="G3" s="5">
        <v>0</v>
      </c>
      <c r="H3" s="5">
        <v>0</v>
      </c>
      <c r="I3" s="5">
        <v>0</v>
      </c>
      <c r="J3" s="5">
        <v>852</v>
      </c>
      <c r="K3" s="5">
        <v>812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556</v>
      </c>
      <c r="E4" s="5">
        <v>467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725</v>
      </c>
      <c r="L4" s="5">
        <v>0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96</v>
      </c>
      <c r="L5" s="5">
        <v>0</v>
      </c>
    </row>
    <row r="6" spans="1:14" x14ac:dyDescent="0.35">
      <c r="A6" s="17" t="s">
        <v>215</v>
      </c>
      <c r="B6" s="5">
        <v>5138</v>
      </c>
      <c r="C6" s="5">
        <v>4880</v>
      </c>
      <c r="D6" s="5">
        <v>6819</v>
      </c>
      <c r="E6" s="5">
        <v>6688</v>
      </c>
      <c r="F6" s="5">
        <v>0</v>
      </c>
      <c r="G6" s="5">
        <v>9071</v>
      </c>
      <c r="H6" s="5">
        <v>9156</v>
      </c>
      <c r="I6" s="5">
        <v>7518</v>
      </c>
      <c r="J6" s="5">
        <v>7713</v>
      </c>
      <c r="K6" s="5">
        <v>9372</v>
      </c>
      <c r="L6" s="5">
        <v>0</v>
      </c>
    </row>
    <row r="7" spans="1:14" x14ac:dyDescent="0.35">
      <c r="A7" s="17" t="s">
        <v>216</v>
      </c>
      <c r="B7" s="5">
        <v>1480</v>
      </c>
      <c r="C7" s="5">
        <v>943</v>
      </c>
      <c r="D7" s="5">
        <v>24</v>
      </c>
      <c r="E7" s="5">
        <v>79</v>
      </c>
      <c r="F7" s="5">
        <v>0</v>
      </c>
      <c r="G7" s="5">
        <v>160</v>
      </c>
      <c r="H7" s="5">
        <v>0</v>
      </c>
      <c r="I7" s="5">
        <v>124</v>
      </c>
      <c r="J7" s="5">
        <v>0</v>
      </c>
      <c r="K7" s="5">
        <v>143</v>
      </c>
      <c r="L7" s="5">
        <v>0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14</v>
      </c>
      <c r="I8" s="5">
        <v>0</v>
      </c>
      <c r="J8" s="5">
        <v>0</v>
      </c>
      <c r="K8" s="5">
        <v>0</v>
      </c>
      <c r="L8" s="5">
        <v>0</v>
      </c>
    </row>
    <row r="9" spans="1:14" x14ac:dyDescent="0.35">
      <c r="A9" s="17" t="s">
        <v>218</v>
      </c>
      <c r="B9" s="5">
        <v>0</v>
      </c>
      <c r="C9" s="5">
        <v>1330</v>
      </c>
      <c r="D9" s="5">
        <v>0</v>
      </c>
      <c r="E9" s="5">
        <v>0</v>
      </c>
      <c r="F9" s="5">
        <v>0</v>
      </c>
      <c r="G9" s="5">
        <v>0</v>
      </c>
      <c r="H9" s="5">
        <v>119</v>
      </c>
      <c r="I9" s="5">
        <v>0</v>
      </c>
      <c r="J9" s="5">
        <v>0</v>
      </c>
      <c r="K9" s="5">
        <v>99</v>
      </c>
      <c r="L9" s="5">
        <v>0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1750</v>
      </c>
      <c r="L10" s="5">
        <v>0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5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11845</v>
      </c>
      <c r="I14" s="5">
        <v>0</v>
      </c>
      <c r="J14" s="5">
        <v>11845</v>
      </c>
      <c r="K14" s="5">
        <v>0</v>
      </c>
      <c r="L14" s="5">
        <v>0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363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14</v>
      </c>
      <c r="L22" s="5">
        <v>0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1352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241</v>
      </c>
      <c r="C26" s="5">
        <v>206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81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7" t="s">
        <v>238</v>
      </c>
      <c r="B29" s="5">
        <v>845</v>
      </c>
      <c r="C29" s="5">
        <v>830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729</v>
      </c>
      <c r="L29" s="5">
        <v>0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1073</v>
      </c>
      <c r="H30" s="5">
        <v>1071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852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943</v>
      </c>
      <c r="D36" s="5">
        <v>24</v>
      </c>
      <c r="E36" s="5">
        <v>79</v>
      </c>
      <c r="F36" s="5">
        <v>0</v>
      </c>
      <c r="G36" s="5">
        <v>160</v>
      </c>
      <c r="H36" s="5">
        <v>0</v>
      </c>
      <c r="I36" s="5">
        <v>124</v>
      </c>
      <c r="J36" s="5">
        <v>0</v>
      </c>
      <c r="K36" s="5">
        <v>143</v>
      </c>
      <c r="L36" s="5">
        <v>0</v>
      </c>
    </row>
    <row r="37" spans="1:12" x14ac:dyDescent="0.35">
      <c r="A37" s="17" t="s">
        <v>246</v>
      </c>
      <c r="B37" s="5">
        <v>1480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5138</v>
      </c>
      <c r="C38" s="5">
        <v>4880</v>
      </c>
      <c r="D38" s="5">
        <v>0</v>
      </c>
      <c r="E38" s="5">
        <v>0</v>
      </c>
      <c r="F38" s="5">
        <v>0</v>
      </c>
      <c r="G38" s="5">
        <v>0</v>
      </c>
      <c r="H38" s="5">
        <v>9156</v>
      </c>
      <c r="I38" s="5">
        <v>0</v>
      </c>
      <c r="J38" s="5">
        <v>7713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4072</v>
      </c>
      <c r="E39" s="5">
        <v>4072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2747</v>
      </c>
      <c r="E40" s="5">
        <v>2616</v>
      </c>
      <c r="F40" s="5">
        <v>0</v>
      </c>
      <c r="G40" s="5">
        <v>9071</v>
      </c>
      <c r="H40" s="5">
        <v>0</v>
      </c>
      <c r="I40" s="5">
        <v>7518</v>
      </c>
      <c r="J40" s="5">
        <v>0</v>
      </c>
      <c r="K40" s="5">
        <v>9372</v>
      </c>
      <c r="L40" s="5">
        <v>0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7</v>
      </c>
      <c r="L43" s="5">
        <v>0</v>
      </c>
    </row>
    <row r="44" spans="1:12" x14ac:dyDescent="0.35">
      <c r="A44" s="17" t="s">
        <v>251</v>
      </c>
      <c r="B44" s="5">
        <v>26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20</v>
      </c>
      <c r="I44" s="5">
        <v>0</v>
      </c>
      <c r="J44" s="5">
        <v>0</v>
      </c>
      <c r="K44" s="5">
        <v>7</v>
      </c>
      <c r="L44" s="5">
        <v>0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5</v>
      </c>
      <c r="I46" s="5">
        <v>0</v>
      </c>
      <c r="J46" s="5">
        <v>0</v>
      </c>
      <c r="K46" s="5">
        <v>61</v>
      </c>
      <c r="L46" s="5">
        <v>0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2946</v>
      </c>
      <c r="H47" s="5">
        <v>0</v>
      </c>
      <c r="I47" s="5">
        <v>0</v>
      </c>
      <c r="J47" s="5">
        <v>0</v>
      </c>
      <c r="K47" s="5">
        <v>7805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9003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770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6</v>
      </c>
      <c r="L52" s="5">
        <v>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93</v>
      </c>
      <c r="H56" s="5">
        <v>0</v>
      </c>
      <c r="I56" s="5">
        <v>0</v>
      </c>
      <c r="J56" s="5">
        <v>0</v>
      </c>
      <c r="K56" s="5">
        <v>15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53</v>
      </c>
      <c r="E59" s="5">
        <v>41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87</v>
      </c>
      <c r="L59" s="5">
        <v>0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20</v>
      </c>
      <c r="I60" s="5">
        <v>0</v>
      </c>
      <c r="J60" s="5">
        <v>0</v>
      </c>
      <c r="K60" s="5">
        <v>14</v>
      </c>
      <c r="L60" s="5">
        <v>0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10200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v>14348</v>
      </c>
      <c r="C63" s="36">
        <v>24982</v>
      </c>
      <c r="D63" s="36">
        <v>14904</v>
      </c>
      <c r="E63" s="36">
        <v>14550</v>
      </c>
      <c r="F63" s="36">
        <v>0</v>
      </c>
      <c r="G63" s="36">
        <v>31940</v>
      </c>
      <c r="H63" s="36">
        <v>31406</v>
      </c>
      <c r="I63" s="36">
        <v>15284</v>
      </c>
      <c r="J63" s="36">
        <v>28975</v>
      </c>
      <c r="K63" s="36">
        <v>32695</v>
      </c>
      <c r="L63" s="36">
        <v>0</v>
      </c>
    </row>
    <row r="64" spans="1:12" x14ac:dyDescent="0.35">
      <c r="A64" s="1"/>
      <c r="B64"/>
      <c r="C64"/>
      <c r="D64"/>
      <c r="E64"/>
      <c r="F64"/>
      <c r="G64"/>
      <c r="H64"/>
      <c r="I64"/>
      <c r="J64"/>
      <c r="K64"/>
      <c r="L64"/>
    </row>
    <row r="65" spans="1:12" x14ac:dyDescent="0.35">
      <c r="A65" t="s">
        <v>8</v>
      </c>
      <c r="B65" s="15">
        <v>423678.2</v>
      </c>
      <c r="C65" s="15">
        <v>429312</v>
      </c>
      <c r="D65" s="15">
        <v>435003</v>
      </c>
      <c r="E65" s="15">
        <v>437619.8</v>
      </c>
      <c r="F65" s="15">
        <v>431656.2</v>
      </c>
      <c r="G65" s="15">
        <v>423373</v>
      </c>
      <c r="H65" s="15">
        <v>421562</v>
      </c>
      <c r="I65" s="15">
        <v>425247.1</v>
      </c>
      <c r="J65" s="15">
        <v>430785.2</v>
      </c>
      <c r="K65" s="15">
        <v>434393</v>
      </c>
      <c r="L65" s="15">
        <v>437298.7</v>
      </c>
    </row>
  </sheetData>
  <hyperlinks>
    <hyperlink ref="N2" location="Home!A1" display="HOME" xr:uid="{EB7A3250-8269-4A81-9543-7CDB54DD911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3512-B27D-4722-9111-C9A404A3335D}">
  <dimension ref="A1:N65"/>
  <sheetViews>
    <sheetView zoomScale="93" zoomScaleNormal="93" workbookViewId="0">
      <pane xSplit="1" ySplit="2" topLeftCell="B33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:L63"/>
    </sheetView>
  </sheetViews>
  <sheetFormatPr defaultColWidth="11.453125" defaultRowHeight="14.5" x14ac:dyDescent="0.35"/>
  <cols>
    <col min="1" max="1" width="66.26953125" style="20" bestFit="1" customWidth="1"/>
    <col min="2" max="16384" width="11.453125" style="20"/>
  </cols>
  <sheetData>
    <row r="1" spans="1:14" x14ac:dyDescent="0.35">
      <c r="A1" s="2" t="s">
        <v>341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9" t="s">
        <v>376</v>
      </c>
    </row>
    <row r="3" spans="1:14" x14ac:dyDescent="0.35">
      <c r="A3" s="17" t="s">
        <v>212</v>
      </c>
      <c r="B3" s="5">
        <v>260</v>
      </c>
      <c r="C3" s="5">
        <v>308</v>
      </c>
      <c r="D3" s="5">
        <v>0</v>
      </c>
      <c r="E3" s="5">
        <v>410</v>
      </c>
      <c r="F3" s="5">
        <v>408</v>
      </c>
      <c r="G3" s="5">
        <v>0</v>
      </c>
      <c r="H3" s="5">
        <v>452</v>
      </c>
      <c r="I3" s="5">
        <v>0</v>
      </c>
      <c r="J3" s="5">
        <v>0</v>
      </c>
      <c r="K3" s="5">
        <v>0</v>
      </c>
      <c r="L3" s="5">
        <v>2644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165</v>
      </c>
      <c r="I4" s="5">
        <v>0</v>
      </c>
      <c r="J4" s="5">
        <v>0</v>
      </c>
      <c r="K4" s="5">
        <v>0</v>
      </c>
      <c r="L4" s="5">
        <v>187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100</v>
      </c>
    </row>
    <row r="6" spans="1:14" x14ac:dyDescent="0.35">
      <c r="A6" s="17" t="s">
        <v>215</v>
      </c>
      <c r="B6" s="5">
        <v>551</v>
      </c>
      <c r="C6" s="5">
        <v>403</v>
      </c>
      <c r="D6" s="5">
        <v>476</v>
      </c>
      <c r="E6" s="5">
        <v>498</v>
      </c>
      <c r="F6" s="5">
        <v>612</v>
      </c>
      <c r="G6" s="5">
        <v>688</v>
      </c>
      <c r="H6" s="5">
        <v>706</v>
      </c>
      <c r="I6" s="5">
        <v>0</v>
      </c>
      <c r="J6" s="5">
        <v>0</v>
      </c>
      <c r="K6" s="5">
        <v>0</v>
      </c>
      <c r="L6" s="5">
        <v>941</v>
      </c>
    </row>
    <row r="7" spans="1:14" x14ac:dyDescent="0.35">
      <c r="A7" s="17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4</v>
      </c>
      <c r="G8" s="5">
        <v>0</v>
      </c>
      <c r="H8" s="5">
        <v>81</v>
      </c>
      <c r="I8" s="5">
        <v>120</v>
      </c>
      <c r="J8" s="5">
        <v>0</v>
      </c>
      <c r="K8" s="5">
        <v>0</v>
      </c>
      <c r="L8" s="5">
        <v>10</v>
      </c>
    </row>
    <row r="9" spans="1:14" x14ac:dyDescent="0.35">
      <c r="A9" s="17" t="s">
        <v>218</v>
      </c>
      <c r="B9" s="5">
        <v>0</v>
      </c>
      <c r="C9" s="5">
        <v>0</v>
      </c>
      <c r="D9" s="5">
        <v>0</v>
      </c>
      <c r="E9" s="5">
        <v>0</v>
      </c>
      <c r="F9" s="5">
        <v>4</v>
      </c>
      <c r="G9" s="5">
        <v>0</v>
      </c>
      <c r="H9" s="5">
        <v>172</v>
      </c>
      <c r="I9" s="5">
        <v>0</v>
      </c>
      <c r="J9" s="5">
        <v>0</v>
      </c>
      <c r="K9" s="5">
        <v>0</v>
      </c>
      <c r="L9" s="5">
        <v>23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117</v>
      </c>
      <c r="I14" s="5">
        <v>0</v>
      </c>
      <c r="J14" s="5">
        <v>0</v>
      </c>
      <c r="K14" s="5">
        <v>0</v>
      </c>
      <c r="L14" s="5">
        <v>155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74</v>
      </c>
      <c r="J15" s="5">
        <v>0</v>
      </c>
      <c r="K15" s="5">
        <v>0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20</v>
      </c>
      <c r="J16" s="5">
        <v>0</v>
      </c>
      <c r="K16" s="5">
        <v>0</v>
      </c>
      <c r="L16" s="5">
        <v>0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23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7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65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260</v>
      </c>
      <c r="C33" s="5">
        <v>308</v>
      </c>
      <c r="D33" s="5">
        <v>0</v>
      </c>
      <c r="E33" s="5">
        <v>410</v>
      </c>
      <c r="F33" s="5">
        <v>408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2349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17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551</v>
      </c>
      <c r="C38" s="5">
        <v>403</v>
      </c>
      <c r="D38" s="5">
        <v>476</v>
      </c>
      <c r="E38" s="5">
        <v>498</v>
      </c>
      <c r="F38" s="5">
        <v>612</v>
      </c>
      <c r="G38" s="5">
        <v>688</v>
      </c>
      <c r="H38" s="5">
        <v>706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95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846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11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33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4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24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6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8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287</v>
      </c>
      <c r="I59" s="5">
        <v>0</v>
      </c>
      <c r="J59" s="5">
        <v>0</v>
      </c>
      <c r="K59" s="5">
        <v>0</v>
      </c>
      <c r="L59" s="5">
        <v>108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12</v>
      </c>
      <c r="I60" s="5">
        <v>0</v>
      </c>
      <c r="J60" s="5">
        <v>0</v>
      </c>
      <c r="K60" s="5">
        <v>0</v>
      </c>
      <c r="L60" s="5">
        <v>56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f>SUM(B3:B62)</f>
        <v>1622</v>
      </c>
      <c r="C63" s="36">
        <f t="shared" ref="C63:L63" si="0">SUM(C3:C62)</f>
        <v>1422</v>
      </c>
      <c r="D63" s="36">
        <f t="shared" si="0"/>
        <v>952</v>
      </c>
      <c r="E63" s="36">
        <f t="shared" si="0"/>
        <v>1816</v>
      </c>
      <c r="F63" s="36">
        <f t="shared" si="0"/>
        <v>2048</v>
      </c>
      <c r="G63" s="36">
        <f t="shared" si="0"/>
        <v>1376</v>
      </c>
      <c r="H63" s="36">
        <f t="shared" si="0"/>
        <v>2763</v>
      </c>
      <c r="I63" s="36">
        <f t="shared" si="0"/>
        <v>214</v>
      </c>
      <c r="J63" s="36">
        <f t="shared" si="0"/>
        <v>0</v>
      </c>
      <c r="K63" s="36">
        <f t="shared" si="0"/>
        <v>0</v>
      </c>
      <c r="L63" s="36">
        <f t="shared" si="0"/>
        <v>7633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11441.9</v>
      </c>
      <c r="C65" s="15">
        <v>11037.4</v>
      </c>
      <c r="D65" s="15">
        <v>10993.6</v>
      </c>
      <c r="E65" s="15">
        <v>11002.7</v>
      </c>
      <c r="F65" s="15">
        <v>11070.9</v>
      </c>
      <c r="G65" s="15">
        <v>11160.3</v>
      </c>
      <c r="H65" s="15">
        <v>10880.9</v>
      </c>
      <c r="I65" s="15">
        <v>10569</v>
      </c>
      <c r="J65" s="15">
        <v>10491.7</v>
      </c>
      <c r="K65" s="15">
        <v>10447</v>
      </c>
      <c r="L65" s="15">
        <v>10405.299999999999</v>
      </c>
    </row>
  </sheetData>
  <hyperlinks>
    <hyperlink ref="N2" location="Home!A1" display="HOME" xr:uid="{8C104975-CC7A-4F48-9312-F9388FD362C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3BEC-81E1-48C4-A6D2-E5054C171579}">
  <dimension ref="A1:N65"/>
  <sheetViews>
    <sheetView zoomScale="95" zoomScaleNormal="95" workbookViewId="0">
      <pane xSplit="1" ySplit="2" topLeftCell="B42" activePane="bottomRight" state="frozen"/>
      <selection activeCell="J41" sqref="J41"/>
      <selection pane="topRight" activeCell="J41" sqref="J41"/>
      <selection pane="bottomLeft" activeCell="J41" sqref="J41"/>
      <selection pane="bottomRight" activeCell="B65" sqref="B65"/>
    </sheetView>
  </sheetViews>
  <sheetFormatPr defaultColWidth="11.453125" defaultRowHeight="14.5" x14ac:dyDescent="0.35"/>
  <cols>
    <col min="1" max="1" width="66.26953125" style="20" bestFit="1" customWidth="1"/>
    <col min="2" max="16384" width="11.453125" style="20"/>
  </cols>
  <sheetData>
    <row r="1" spans="1:14" x14ac:dyDescent="0.35">
      <c r="A1" s="2" t="s">
        <v>342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3259</v>
      </c>
      <c r="I3" s="5">
        <v>0</v>
      </c>
      <c r="J3" s="5">
        <v>2562</v>
      </c>
      <c r="K3" s="5">
        <v>3378</v>
      </c>
      <c r="L3" s="5">
        <v>3759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2400</v>
      </c>
      <c r="I4" s="5">
        <v>0</v>
      </c>
      <c r="J4" s="5">
        <v>1643</v>
      </c>
      <c r="K4" s="5">
        <v>2477</v>
      </c>
      <c r="L4" s="5">
        <v>2467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16</v>
      </c>
      <c r="K5" s="5">
        <v>486</v>
      </c>
      <c r="L5" s="5">
        <v>639</v>
      </c>
    </row>
    <row r="6" spans="1:14" x14ac:dyDescent="0.35">
      <c r="A6" s="17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9156</v>
      </c>
      <c r="I6" s="5">
        <v>0</v>
      </c>
      <c r="J6" s="5">
        <v>11478</v>
      </c>
      <c r="K6" s="5">
        <v>4543</v>
      </c>
      <c r="L6" s="5">
        <v>16473</v>
      </c>
    </row>
    <row r="7" spans="1:14" x14ac:dyDescent="0.35">
      <c r="A7" s="17" t="s">
        <v>216</v>
      </c>
      <c r="B7" s="5">
        <v>0</v>
      </c>
      <c r="C7" s="5">
        <v>127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1258</v>
      </c>
      <c r="K7" s="5">
        <v>704</v>
      </c>
      <c r="L7" s="5">
        <v>1674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88</v>
      </c>
      <c r="G8" s="5">
        <v>0</v>
      </c>
      <c r="H8" s="5">
        <v>0</v>
      </c>
      <c r="I8" s="5">
        <v>300</v>
      </c>
      <c r="J8" s="5">
        <v>179</v>
      </c>
      <c r="K8" s="5">
        <v>133</v>
      </c>
      <c r="L8" s="5">
        <v>317</v>
      </c>
    </row>
    <row r="9" spans="1:14" x14ac:dyDescent="0.35">
      <c r="A9" s="17" t="s">
        <v>218</v>
      </c>
      <c r="B9" s="5">
        <v>0</v>
      </c>
      <c r="C9" s="5">
        <v>0</v>
      </c>
      <c r="D9" s="5">
        <v>0</v>
      </c>
      <c r="E9" s="5">
        <v>0</v>
      </c>
      <c r="F9" s="5">
        <v>199</v>
      </c>
      <c r="G9" s="5">
        <v>0</v>
      </c>
      <c r="H9" s="5">
        <v>14</v>
      </c>
      <c r="I9" s="5">
        <v>0</v>
      </c>
      <c r="J9" s="5">
        <v>337</v>
      </c>
      <c r="K9" s="5">
        <v>264</v>
      </c>
      <c r="L9" s="5">
        <v>602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2735</v>
      </c>
      <c r="K10" s="5">
        <v>3229</v>
      </c>
      <c r="L10" s="5">
        <v>3699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16</v>
      </c>
      <c r="K11" s="5">
        <v>37</v>
      </c>
      <c r="L11" s="5">
        <v>61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15</v>
      </c>
      <c r="K13" s="5">
        <v>22</v>
      </c>
      <c r="L13" s="5">
        <v>85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154</v>
      </c>
      <c r="K14" s="5">
        <v>0</v>
      </c>
      <c r="L14" s="5">
        <v>310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45</v>
      </c>
      <c r="K15" s="5">
        <v>97</v>
      </c>
      <c r="L15" s="5">
        <v>88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12</v>
      </c>
      <c r="K16" s="5">
        <v>3</v>
      </c>
      <c r="L16" s="5">
        <v>11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3</v>
      </c>
      <c r="K17" s="5">
        <v>6</v>
      </c>
      <c r="L17" s="5">
        <v>6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10</v>
      </c>
      <c r="K18" s="5">
        <v>0</v>
      </c>
      <c r="L18" s="5">
        <v>1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137</v>
      </c>
      <c r="K19" s="5">
        <v>364</v>
      </c>
      <c r="L19" s="5">
        <v>89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5</v>
      </c>
      <c r="K20" s="5">
        <v>0</v>
      </c>
      <c r="L20" s="5">
        <v>1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194</v>
      </c>
      <c r="K21" s="5">
        <v>0</v>
      </c>
      <c r="L21" s="5">
        <v>668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45</v>
      </c>
      <c r="K22" s="5">
        <v>59</v>
      </c>
      <c r="L22" s="5">
        <v>87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5366</v>
      </c>
      <c r="K23" s="5">
        <v>0</v>
      </c>
      <c r="L23" s="5">
        <v>132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21</v>
      </c>
      <c r="K24" s="5">
        <v>339</v>
      </c>
      <c r="L24" s="5">
        <v>20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4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73</v>
      </c>
      <c r="K26" s="5">
        <v>267</v>
      </c>
      <c r="L26" s="5">
        <v>4864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21</v>
      </c>
      <c r="K27" s="5">
        <v>4216</v>
      </c>
      <c r="L27" s="5">
        <v>1195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6</v>
      </c>
      <c r="K28" s="5">
        <v>0</v>
      </c>
      <c r="L28" s="5">
        <v>118</v>
      </c>
    </row>
    <row r="29" spans="1:12" x14ac:dyDescent="0.35">
      <c r="A29" s="17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48</v>
      </c>
      <c r="K29" s="5">
        <v>249</v>
      </c>
      <c r="L29" s="5">
        <v>161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241</v>
      </c>
      <c r="I30" s="5">
        <v>0</v>
      </c>
      <c r="J30" s="5">
        <v>112</v>
      </c>
      <c r="K30" s="5">
        <v>2247</v>
      </c>
      <c r="L30" s="5">
        <v>293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19</v>
      </c>
      <c r="K31" s="5">
        <v>0</v>
      </c>
      <c r="L31" s="5">
        <v>8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4</v>
      </c>
      <c r="K32" s="5">
        <v>0</v>
      </c>
      <c r="L32" s="5">
        <v>85</v>
      </c>
    </row>
    <row r="33" spans="1:12" x14ac:dyDescent="0.35">
      <c r="A33" s="17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4</v>
      </c>
      <c r="L33" s="5">
        <v>3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13</v>
      </c>
      <c r="K34" s="5">
        <v>639</v>
      </c>
      <c r="L34" s="5">
        <v>83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239</v>
      </c>
      <c r="K35" s="5">
        <v>0</v>
      </c>
      <c r="L35" s="5">
        <v>77</v>
      </c>
    </row>
    <row r="36" spans="1:12" x14ac:dyDescent="0.35">
      <c r="A36" s="17" t="s">
        <v>245</v>
      </c>
      <c r="B36" s="5">
        <v>0</v>
      </c>
      <c r="C36" s="5">
        <v>127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998</v>
      </c>
      <c r="K36" s="5">
        <v>704</v>
      </c>
      <c r="L36" s="5">
        <v>1578</v>
      </c>
    </row>
    <row r="37" spans="1:12" x14ac:dyDescent="0.35">
      <c r="A37" s="17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21</v>
      </c>
      <c r="K37" s="5">
        <v>0</v>
      </c>
      <c r="L37" s="5">
        <v>19</v>
      </c>
    </row>
    <row r="38" spans="1:12" x14ac:dyDescent="0.35">
      <c r="A38" s="17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9156</v>
      </c>
      <c r="I38" s="5">
        <v>0</v>
      </c>
      <c r="J38" s="5">
        <v>1435</v>
      </c>
      <c r="K38" s="5">
        <v>981</v>
      </c>
      <c r="L38" s="5">
        <v>63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1202</v>
      </c>
      <c r="K39" s="5">
        <v>43</v>
      </c>
      <c r="L39" s="5">
        <v>4925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8841</v>
      </c>
      <c r="K40" s="5">
        <v>3519</v>
      </c>
      <c r="L40" s="5">
        <v>11485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290</v>
      </c>
      <c r="K41" s="5">
        <v>131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190</v>
      </c>
      <c r="K42" s="5">
        <v>37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17</v>
      </c>
      <c r="K43" s="5">
        <v>65</v>
      </c>
      <c r="L43" s="5">
        <v>49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114</v>
      </c>
      <c r="K44" s="5">
        <v>125</v>
      </c>
      <c r="L44" s="5">
        <v>152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207</v>
      </c>
      <c r="K45" s="5">
        <v>0</v>
      </c>
      <c r="L45" s="5">
        <v>10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538</v>
      </c>
      <c r="K46" s="5">
        <v>40</v>
      </c>
      <c r="L46" s="5">
        <v>158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1406</v>
      </c>
      <c r="K47" s="5">
        <v>0</v>
      </c>
      <c r="L47" s="5">
        <v>5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152</v>
      </c>
      <c r="K48" s="5">
        <v>0</v>
      </c>
      <c r="L48" s="5">
        <v>74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2098</v>
      </c>
      <c r="K49" s="5">
        <v>0</v>
      </c>
      <c r="L49" s="5">
        <v>34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18</v>
      </c>
      <c r="K50" s="5">
        <v>0</v>
      </c>
      <c r="L50" s="5">
        <v>14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54</v>
      </c>
      <c r="K52" s="5">
        <v>324</v>
      </c>
      <c r="L52" s="5">
        <v>369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5</v>
      </c>
      <c r="K53" s="5">
        <v>21</v>
      </c>
      <c r="L53" s="5">
        <v>24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64</v>
      </c>
      <c r="K54" s="5">
        <v>0</v>
      </c>
      <c r="L54" s="5">
        <v>167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9</v>
      </c>
      <c r="K55" s="5">
        <v>7</v>
      </c>
      <c r="L55" s="5">
        <v>10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6</v>
      </c>
      <c r="K56" s="5">
        <v>44</v>
      </c>
      <c r="L56" s="5">
        <v>32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16</v>
      </c>
      <c r="K57" s="5">
        <v>0</v>
      </c>
      <c r="L57" s="5">
        <v>11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48</v>
      </c>
      <c r="K58" s="5">
        <v>584</v>
      </c>
      <c r="L58" s="5">
        <v>595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859</v>
      </c>
      <c r="I59" s="5">
        <v>0</v>
      </c>
      <c r="J59" s="5">
        <v>919</v>
      </c>
      <c r="K59" s="5">
        <v>897</v>
      </c>
      <c r="L59" s="5">
        <v>1289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84</v>
      </c>
      <c r="K60" s="5">
        <v>180</v>
      </c>
      <c r="L60" s="5">
        <v>301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4</v>
      </c>
      <c r="K61" s="5">
        <v>0</v>
      </c>
      <c r="L61" s="5">
        <v>11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3</v>
      </c>
      <c r="K62" s="5">
        <v>0</v>
      </c>
      <c r="L62" s="5">
        <v>5</v>
      </c>
    </row>
    <row r="63" spans="1:12" x14ac:dyDescent="0.35">
      <c r="A63" s="35" t="s">
        <v>317</v>
      </c>
      <c r="B63" s="36">
        <f>SUM(B3:B62)</f>
        <v>0</v>
      </c>
      <c r="C63" s="36">
        <f t="shared" ref="C63:L63" si="0">SUM(C3:C62)</f>
        <v>254</v>
      </c>
      <c r="D63" s="36">
        <f t="shared" si="0"/>
        <v>0</v>
      </c>
      <c r="E63" s="36">
        <f t="shared" si="0"/>
        <v>0</v>
      </c>
      <c r="F63" s="36">
        <f t="shared" si="0"/>
        <v>287</v>
      </c>
      <c r="G63" s="36">
        <f t="shared" si="0"/>
        <v>0</v>
      </c>
      <c r="H63" s="36">
        <f t="shared" si="0"/>
        <v>25085</v>
      </c>
      <c r="I63" s="36">
        <f t="shared" si="0"/>
        <v>300</v>
      </c>
      <c r="J63" s="36">
        <f t="shared" si="0"/>
        <v>45513</v>
      </c>
      <c r="K63" s="36">
        <f t="shared" si="0"/>
        <v>31465</v>
      </c>
      <c r="L63" s="36">
        <f t="shared" si="0"/>
        <v>59456</v>
      </c>
    </row>
    <row r="64" spans="1:12" x14ac:dyDescent="0.35">
      <c r="A64" s="21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x14ac:dyDescent="0.35">
      <c r="A65" s="20" t="s">
        <v>8</v>
      </c>
      <c r="B65" s="15">
        <v>791411.5</v>
      </c>
      <c r="C65" s="15">
        <v>803500.2</v>
      </c>
      <c r="D65" s="15">
        <v>818448.6</v>
      </c>
      <c r="E65" s="15">
        <v>840650.2</v>
      </c>
      <c r="F65" s="15">
        <v>867237.3</v>
      </c>
      <c r="G65" s="15">
        <v>889229.5</v>
      </c>
      <c r="H65" s="15">
        <v>903131.8</v>
      </c>
      <c r="I65" s="15">
        <v>914051.2</v>
      </c>
      <c r="J65" s="15">
        <v>925124.6</v>
      </c>
      <c r="K65" s="15">
        <v>935437.5</v>
      </c>
      <c r="L65" s="15">
        <v>946149.4</v>
      </c>
    </row>
  </sheetData>
  <hyperlinks>
    <hyperlink ref="N2" location="Home!A1" display="HOME" xr:uid="{69FE9968-38B7-45EA-BE1A-DADBFCEA7EE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8E83-2D31-4BAE-A553-58392BAE6259}">
  <dimension ref="A1:N65"/>
  <sheetViews>
    <sheetView workbookViewId="0">
      <pane xSplit="1" ySplit="2" topLeftCell="B48" activePane="bottomRight" state="frozen"/>
      <selection activeCell="J41" sqref="J41"/>
      <selection pane="topRight" activeCell="J41" sqref="J41"/>
      <selection pane="bottomLeft" activeCell="J41" sqref="J41"/>
      <selection pane="bottomRight" activeCell="B65" sqref="B65"/>
    </sheetView>
  </sheetViews>
  <sheetFormatPr defaultColWidth="11.453125" defaultRowHeight="14.5" x14ac:dyDescent="0.35"/>
  <cols>
    <col min="1" max="1" width="66.26953125" style="20" bestFit="1" customWidth="1"/>
    <col min="2" max="16384" width="11.453125" style="20"/>
  </cols>
  <sheetData>
    <row r="1" spans="1:14" x14ac:dyDescent="0.35">
      <c r="A1" s="2" t="s">
        <v>343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40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324</v>
      </c>
      <c r="F3" s="5">
        <v>0</v>
      </c>
      <c r="G3" s="5">
        <v>0</v>
      </c>
      <c r="H3" s="5">
        <v>335</v>
      </c>
      <c r="I3" s="5">
        <v>0</v>
      </c>
      <c r="J3" s="5">
        <v>0</v>
      </c>
      <c r="K3" s="5">
        <v>114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263</v>
      </c>
      <c r="I4" s="5">
        <v>0</v>
      </c>
      <c r="J4" s="5">
        <v>0</v>
      </c>
      <c r="K4" s="5">
        <v>108</v>
      </c>
      <c r="L4" s="5">
        <v>0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0</v>
      </c>
    </row>
    <row r="6" spans="1:14" x14ac:dyDescent="0.35">
      <c r="A6" s="17" t="s">
        <v>215</v>
      </c>
      <c r="B6" s="5">
        <v>0</v>
      </c>
      <c r="C6" s="5">
        <v>0</v>
      </c>
      <c r="D6" s="5">
        <v>0</v>
      </c>
      <c r="E6" s="5">
        <v>322</v>
      </c>
      <c r="F6" s="5">
        <v>0</v>
      </c>
      <c r="G6" s="5">
        <v>0</v>
      </c>
      <c r="H6" s="5">
        <v>1195</v>
      </c>
      <c r="I6" s="5">
        <v>0</v>
      </c>
      <c r="J6" s="5">
        <v>0</v>
      </c>
      <c r="K6" s="5">
        <v>505</v>
      </c>
      <c r="L6" s="5">
        <v>0</v>
      </c>
    </row>
    <row r="7" spans="1:14" x14ac:dyDescent="0.35">
      <c r="A7" s="17" t="s">
        <v>216</v>
      </c>
      <c r="B7" s="5">
        <v>0</v>
      </c>
      <c r="C7" s="5">
        <v>514</v>
      </c>
      <c r="D7" s="5">
        <v>0</v>
      </c>
      <c r="E7" s="5">
        <v>605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537</v>
      </c>
      <c r="L7" s="5">
        <v>0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10</v>
      </c>
      <c r="I8" s="5">
        <v>0</v>
      </c>
      <c r="J8" s="5">
        <v>0</v>
      </c>
      <c r="K8" s="5">
        <v>2</v>
      </c>
      <c r="L8" s="5">
        <v>0</v>
      </c>
    </row>
    <row r="9" spans="1:14" x14ac:dyDescent="0.35">
      <c r="A9" s="17" t="s">
        <v>218</v>
      </c>
      <c r="B9" s="5">
        <v>0</v>
      </c>
      <c r="C9" s="5">
        <v>0</v>
      </c>
      <c r="D9" s="5">
        <v>0</v>
      </c>
      <c r="E9" s="5">
        <v>20</v>
      </c>
      <c r="F9" s="5">
        <v>0</v>
      </c>
      <c r="G9" s="5">
        <v>0</v>
      </c>
      <c r="H9" s="5">
        <v>36</v>
      </c>
      <c r="I9" s="5">
        <v>0</v>
      </c>
      <c r="J9" s="5">
        <v>0</v>
      </c>
      <c r="K9" s="5">
        <v>2</v>
      </c>
      <c r="L9" s="5">
        <v>0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734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12</v>
      </c>
      <c r="L10" s="5">
        <v>0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109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115</v>
      </c>
      <c r="I14" s="5">
        <v>0</v>
      </c>
      <c r="J14" s="5">
        <v>0</v>
      </c>
      <c r="K14" s="5">
        <v>1595</v>
      </c>
      <c r="L14" s="5">
        <v>0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85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39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25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121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7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47</v>
      </c>
      <c r="L29" s="5">
        <v>0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112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0</v>
      </c>
      <c r="C33" s="5">
        <v>0</v>
      </c>
      <c r="D33" s="5">
        <v>0</v>
      </c>
      <c r="E33" s="5">
        <v>286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2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273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197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241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130</v>
      </c>
      <c r="L36" s="5">
        <v>0</v>
      </c>
    </row>
    <row r="37" spans="1:12" x14ac:dyDescent="0.35">
      <c r="A37" s="17" t="s">
        <v>246</v>
      </c>
      <c r="B37" s="5">
        <v>0</v>
      </c>
      <c r="C37" s="5">
        <v>0</v>
      </c>
      <c r="D37" s="5">
        <v>0</v>
      </c>
      <c r="E37" s="5">
        <v>605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210</v>
      </c>
      <c r="L37" s="5">
        <v>0</v>
      </c>
    </row>
    <row r="38" spans="1:12" x14ac:dyDescent="0.35">
      <c r="A38" s="17" t="s">
        <v>247</v>
      </c>
      <c r="B38" s="5">
        <v>0</v>
      </c>
      <c r="C38" s="5">
        <v>0</v>
      </c>
      <c r="D38" s="5">
        <v>0</v>
      </c>
      <c r="E38" s="5">
        <v>322</v>
      </c>
      <c r="F38" s="5">
        <v>0</v>
      </c>
      <c r="G38" s="5">
        <v>0</v>
      </c>
      <c r="H38" s="5">
        <v>1195</v>
      </c>
      <c r="I38" s="5">
        <v>0</v>
      </c>
      <c r="J38" s="5">
        <v>0</v>
      </c>
      <c r="K38" s="5">
        <v>255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249</v>
      </c>
      <c r="L40" s="5">
        <v>0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5</v>
      </c>
      <c r="L44" s="5">
        <v>0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322</v>
      </c>
      <c r="L46" s="5">
        <v>0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187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155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83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38</v>
      </c>
      <c r="F59" s="5">
        <v>0</v>
      </c>
      <c r="G59" s="5">
        <v>0</v>
      </c>
      <c r="H59" s="5">
        <v>72</v>
      </c>
      <c r="I59" s="5">
        <v>0</v>
      </c>
      <c r="J59" s="5">
        <v>0</v>
      </c>
      <c r="K59" s="5">
        <v>4</v>
      </c>
      <c r="L59" s="5">
        <v>0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5</v>
      </c>
      <c r="L60" s="5">
        <v>0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f>SUM(B3:B62)</f>
        <v>0</v>
      </c>
      <c r="C63" s="36">
        <f t="shared" ref="C63:L63" si="0">SUM(C3:C62)</f>
        <v>1028</v>
      </c>
      <c r="D63" s="36">
        <f t="shared" si="0"/>
        <v>17</v>
      </c>
      <c r="E63" s="36">
        <f t="shared" si="0"/>
        <v>3533</v>
      </c>
      <c r="F63" s="36">
        <f t="shared" si="0"/>
        <v>0</v>
      </c>
      <c r="G63" s="36">
        <f t="shared" si="0"/>
        <v>0</v>
      </c>
      <c r="H63" s="36">
        <f t="shared" si="0"/>
        <v>3334</v>
      </c>
      <c r="I63" s="36">
        <f t="shared" si="0"/>
        <v>0</v>
      </c>
      <c r="J63" s="36">
        <f t="shared" si="0"/>
        <v>0</v>
      </c>
      <c r="K63" s="36">
        <f t="shared" si="0"/>
        <v>4830</v>
      </c>
      <c r="L63" s="36">
        <f t="shared" si="0"/>
        <v>0</v>
      </c>
    </row>
    <row r="64" spans="1:12" x14ac:dyDescent="0.35">
      <c r="A64" s="1"/>
      <c r="B64"/>
      <c r="C64"/>
      <c r="D64"/>
      <c r="E64"/>
      <c r="F64"/>
      <c r="G64"/>
      <c r="H64"/>
      <c r="I64"/>
      <c r="J64"/>
      <c r="K64"/>
      <c r="L64"/>
    </row>
    <row r="65" spans="1:12" x14ac:dyDescent="0.35">
      <c r="A65" t="s">
        <v>8</v>
      </c>
      <c r="B65" s="15">
        <v>196643.20000000001</v>
      </c>
      <c r="C65" s="15">
        <v>196632.4</v>
      </c>
      <c r="D65" s="15">
        <v>194995.3</v>
      </c>
      <c r="E65" s="15">
        <v>192500.5</v>
      </c>
      <c r="F65" s="15">
        <v>193339.6</v>
      </c>
      <c r="G65" s="15">
        <v>198589</v>
      </c>
      <c r="H65" s="15">
        <v>204196.5</v>
      </c>
      <c r="I65" s="15">
        <v>209572.8</v>
      </c>
      <c r="J65" s="15">
        <v>215791.4</v>
      </c>
      <c r="K65" s="15">
        <v>223125.3</v>
      </c>
      <c r="L65" s="15">
        <v>228677.8</v>
      </c>
    </row>
  </sheetData>
  <hyperlinks>
    <hyperlink ref="N2" location="Home!A1" display="HOME" xr:uid="{32B7D0DF-66E4-4A10-95C2-E877395CA0A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334C-0ADD-4F37-A174-F9B53119CCF3}">
  <dimension ref="A1:N65"/>
  <sheetViews>
    <sheetView zoomScale="84" zoomScaleNormal="84" workbookViewId="0">
      <pane xSplit="1" ySplit="2" topLeftCell="B9" activePane="bottomRight" state="frozen"/>
      <selection activeCell="J41" sqref="J41"/>
      <selection pane="topRight" activeCell="J41" sqref="J41"/>
      <selection pane="bottomLeft" activeCell="J41" sqref="J41"/>
      <selection pane="bottomRight" activeCell="E58" sqref="E58"/>
    </sheetView>
  </sheetViews>
  <sheetFormatPr defaultColWidth="11.453125" defaultRowHeight="14.5" x14ac:dyDescent="0.35"/>
  <cols>
    <col min="1" max="1" width="70.7265625" style="20" bestFit="1" customWidth="1"/>
    <col min="2" max="16384" width="11.453125" style="20"/>
  </cols>
  <sheetData>
    <row r="1" spans="1:14" x14ac:dyDescent="0.35">
      <c r="A1" s="2" t="s">
        <v>344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8" t="s">
        <v>376</v>
      </c>
    </row>
    <row r="3" spans="1:14" x14ac:dyDescent="0.35">
      <c r="A3" s="17" t="s">
        <v>212</v>
      </c>
      <c r="B3" s="5">
        <v>528</v>
      </c>
      <c r="C3" s="5">
        <v>573</v>
      </c>
      <c r="D3" s="5">
        <v>608</v>
      </c>
      <c r="E3" s="5">
        <v>696</v>
      </c>
      <c r="F3" s="5">
        <v>540</v>
      </c>
      <c r="G3" s="5">
        <v>651</v>
      </c>
      <c r="H3" s="5">
        <v>803</v>
      </c>
      <c r="I3" s="5">
        <v>859</v>
      </c>
      <c r="J3" s="5">
        <v>1003</v>
      </c>
      <c r="K3" s="5">
        <v>1000</v>
      </c>
      <c r="L3" s="5">
        <v>1507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646</v>
      </c>
      <c r="I4" s="5">
        <v>642</v>
      </c>
      <c r="J4" s="5">
        <v>784</v>
      </c>
      <c r="K4" s="5">
        <v>740</v>
      </c>
      <c r="L4" s="5">
        <v>1197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174</v>
      </c>
      <c r="L5" s="5">
        <v>0</v>
      </c>
    </row>
    <row r="6" spans="1:14" x14ac:dyDescent="0.35">
      <c r="A6" s="17" t="s">
        <v>215</v>
      </c>
      <c r="B6" s="5">
        <v>3141</v>
      </c>
      <c r="C6" s="5">
        <v>3606</v>
      </c>
      <c r="D6" s="5">
        <v>3606</v>
      </c>
      <c r="E6" s="5">
        <v>3563</v>
      </c>
      <c r="F6" s="5">
        <v>3106</v>
      </c>
      <c r="G6" s="5">
        <v>3487</v>
      </c>
      <c r="H6" s="5">
        <v>4799</v>
      </c>
      <c r="I6" s="5">
        <v>0</v>
      </c>
      <c r="J6" s="5">
        <v>2623</v>
      </c>
      <c r="K6" s="5">
        <v>2677</v>
      </c>
      <c r="L6" s="5">
        <v>2933</v>
      </c>
    </row>
    <row r="7" spans="1:14" x14ac:dyDescent="0.35">
      <c r="A7" s="17" t="s">
        <v>216</v>
      </c>
      <c r="B7" s="5">
        <v>416</v>
      </c>
      <c r="C7" s="5">
        <v>451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589</v>
      </c>
      <c r="J7" s="5">
        <v>710</v>
      </c>
      <c r="K7" s="5">
        <v>721</v>
      </c>
      <c r="L7" s="5">
        <v>783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</v>
      </c>
      <c r="I8" s="5">
        <v>0</v>
      </c>
      <c r="J8" s="5">
        <v>0</v>
      </c>
      <c r="K8" s="5">
        <v>19</v>
      </c>
      <c r="L8" s="5">
        <v>21</v>
      </c>
    </row>
    <row r="9" spans="1:14" x14ac:dyDescent="0.35">
      <c r="A9" s="17" t="s">
        <v>218</v>
      </c>
      <c r="B9" s="5">
        <v>68</v>
      </c>
      <c r="C9" s="5">
        <v>72</v>
      </c>
      <c r="D9" s="5">
        <v>78</v>
      </c>
      <c r="E9" s="5">
        <v>79</v>
      </c>
      <c r="F9" s="5">
        <v>0</v>
      </c>
      <c r="G9" s="5">
        <v>71</v>
      </c>
      <c r="H9" s="5">
        <v>269</v>
      </c>
      <c r="I9" s="5">
        <v>52</v>
      </c>
      <c r="J9" s="5">
        <v>54</v>
      </c>
      <c r="K9" s="5">
        <v>142</v>
      </c>
      <c r="L9" s="5">
        <v>163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335</v>
      </c>
      <c r="J10" s="5">
        <v>0</v>
      </c>
      <c r="K10" s="5">
        <v>0</v>
      </c>
      <c r="L10" s="5">
        <v>431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560</v>
      </c>
      <c r="J13" s="5">
        <v>2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592</v>
      </c>
      <c r="K14" s="5">
        <v>8077</v>
      </c>
      <c r="L14" s="5">
        <v>0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11</v>
      </c>
      <c r="J15" s="5">
        <v>0</v>
      </c>
      <c r="K15" s="5">
        <v>11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4</v>
      </c>
      <c r="L16" s="5">
        <v>11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26</v>
      </c>
      <c r="J19" s="5">
        <v>0</v>
      </c>
      <c r="K19" s="5">
        <v>30</v>
      </c>
      <c r="L19" s="5">
        <v>30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96</v>
      </c>
      <c r="J21" s="5">
        <v>0</v>
      </c>
      <c r="K21" s="5">
        <v>0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20</v>
      </c>
      <c r="J22" s="5">
        <v>2</v>
      </c>
      <c r="K22" s="5">
        <v>17</v>
      </c>
      <c r="L22" s="5">
        <v>28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31</v>
      </c>
      <c r="J23" s="5">
        <v>0</v>
      </c>
      <c r="K23" s="5">
        <v>0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18</v>
      </c>
      <c r="L24" s="5">
        <v>18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48</v>
      </c>
      <c r="J26" s="5">
        <v>0</v>
      </c>
      <c r="K26" s="5">
        <v>0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109</v>
      </c>
      <c r="J27" s="5">
        <v>0</v>
      </c>
      <c r="K27" s="5">
        <v>371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104</v>
      </c>
      <c r="L28" s="5">
        <v>104</v>
      </c>
    </row>
    <row r="29" spans="1:12" x14ac:dyDescent="0.35">
      <c r="A29" s="17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848</v>
      </c>
      <c r="L29" s="5">
        <v>1028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749</v>
      </c>
      <c r="I30" s="5">
        <v>0</v>
      </c>
      <c r="J30" s="5">
        <v>0</v>
      </c>
      <c r="K30" s="5">
        <v>848</v>
      </c>
      <c r="L30" s="5">
        <v>1028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528</v>
      </c>
      <c r="C33" s="5">
        <v>573</v>
      </c>
      <c r="D33" s="5">
        <v>608</v>
      </c>
      <c r="E33" s="5">
        <v>696</v>
      </c>
      <c r="F33" s="5">
        <v>540</v>
      </c>
      <c r="G33" s="5">
        <v>651</v>
      </c>
      <c r="H33" s="5">
        <v>0</v>
      </c>
      <c r="I33" s="5">
        <v>15</v>
      </c>
      <c r="J33" s="5">
        <v>0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150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104</v>
      </c>
      <c r="L35" s="5">
        <v>126</v>
      </c>
    </row>
    <row r="36" spans="1:12" x14ac:dyDescent="0.35">
      <c r="A36" s="17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710</v>
      </c>
      <c r="K36" s="5">
        <v>617</v>
      </c>
      <c r="L36" s="5">
        <v>657</v>
      </c>
    </row>
    <row r="37" spans="1:12" x14ac:dyDescent="0.35">
      <c r="A37" s="17" t="s">
        <v>246</v>
      </c>
      <c r="B37" s="5">
        <v>416</v>
      </c>
      <c r="C37" s="5">
        <v>451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589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3141</v>
      </c>
      <c r="C38" s="5">
        <v>3606</v>
      </c>
      <c r="D38" s="5">
        <v>3606</v>
      </c>
      <c r="E38" s="5">
        <v>3563</v>
      </c>
      <c r="F38" s="5">
        <v>3106</v>
      </c>
      <c r="G38" s="5">
        <v>3487</v>
      </c>
      <c r="H38" s="5">
        <v>4799</v>
      </c>
      <c r="I38" s="5">
        <v>0</v>
      </c>
      <c r="J38" s="5">
        <v>268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827</v>
      </c>
      <c r="K39" s="5">
        <v>1140</v>
      </c>
      <c r="L39" s="5">
        <v>1265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1528</v>
      </c>
      <c r="K40" s="5">
        <v>1537</v>
      </c>
      <c r="L40" s="5">
        <v>1668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42</v>
      </c>
      <c r="J43" s="5">
        <v>1</v>
      </c>
      <c r="K43" s="5">
        <v>77</v>
      </c>
      <c r="L43" s="5">
        <v>77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52</v>
      </c>
      <c r="J44" s="5">
        <v>5</v>
      </c>
      <c r="K44" s="5">
        <v>56</v>
      </c>
      <c r="L44" s="5">
        <v>57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50</v>
      </c>
      <c r="J45" s="5">
        <v>1</v>
      </c>
      <c r="K45" s="5">
        <v>0</v>
      </c>
      <c r="L45" s="5">
        <v>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88</v>
      </c>
      <c r="J46" s="5">
        <v>9</v>
      </c>
      <c r="K46" s="5">
        <v>0</v>
      </c>
      <c r="L46" s="5">
        <v>183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6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791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177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136</v>
      </c>
      <c r="J52" s="5">
        <v>0</v>
      </c>
      <c r="K52" s="5">
        <v>277</v>
      </c>
      <c r="L52" s="5">
        <v>320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18</v>
      </c>
      <c r="J53" s="5">
        <v>0</v>
      </c>
      <c r="K53" s="5">
        <v>0</v>
      </c>
      <c r="L53" s="5">
        <v>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1</v>
      </c>
      <c r="L55" s="5">
        <v>1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19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157</v>
      </c>
      <c r="I59" s="5">
        <v>202</v>
      </c>
      <c r="J59" s="5">
        <v>219</v>
      </c>
      <c r="K59" s="5">
        <v>260</v>
      </c>
      <c r="L59" s="5">
        <v>310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26</v>
      </c>
      <c r="J60" s="5">
        <v>1</v>
      </c>
      <c r="K60" s="5">
        <v>12</v>
      </c>
      <c r="L60" s="5">
        <v>28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21983</v>
      </c>
    </row>
    <row r="63" spans="1:12" x14ac:dyDescent="0.35">
      <c r="A63" s="35" t="s">
        <v>317</v>
      </c>
      <c r="B63" s="36">
        <f>SUM(B3:B62)</f>
        <v>8238</v>
      </c>
      <c r="C63" s="36">
        <f t="shared" ref="C63:L63" si="0">SUM(C3:C62)</f>
        <v>9332</v>
      </c>
      <c r="D63" s="36">
        <f t="shared" si="0"/>
        <v>8506</v>
      </c>
      <c r="E63" s="36">
        <f t="shared" si="0"/>
        <v>8597</v>
      </c>
      <c r="F63" s="36">
        <f t="shared" si="0"/>
        <v>7292</v>
      </c>
      <c r="G63" s="36">
        <f t="shared" si="0"/>
        <v>8347</v>
      </c>
      <c r="H63" s="36">
        <f t="shared" si="0"/>
        <v>12225</v>
      </c>
      <c r="I63" s="36">
        <f t="shared" si="0"/>
        <v>5740</v>
      </c>
      <c r="J63" s="36">
        <f t="shared" si="0"/>
        <v>9339</v>
      </c>
      <c r="K63" s="36">
        <f t="shared" si="0"/>
        <v>19882</v>
      </c>
      <c r="L63" s="36">
        <f t="shared" si="0"/>
        <v>35957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579359.69999999995</v>
      </c>
      <c r="C65" s="15">
        <v>595182.19999999995</v>
      </c>
      <c r="D65" s="15">
        <v>610899.30000000005</v>
      </c>
      <c r="E65" s="15">
        <v>625581.19999999995</v>
      </c>
      <c r="F65" s="15">
        <v>635851.69999999995</v>
      </c>
      <c r="G65" s="15">
        <v>646467.9</v>
      </c>
      <c r="H65" s="15">
        <v>661394.80000000005</v>
      </c>
      <c r="I65" s="15">
        <v>680354</v>
      </c>
      <c r="J65" s="15">
        <v>699467.2</v>
      </c>
      <c r="K65" s="15">
        <v>715665.6</v>
      </c>
      <c r="L65" s="15">
        <v>734070.3</v>
      </c>
    </row>
  </sheetData>
  <hyperlinks>
    <hyperlink ref="N2" location="Home!A1" display="HOME" xr:uid="{92BF45A8-7675-4A2F-A8A3-A85C6252FC5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C005-C8A7-4728-9FB0-3F1899616616}">
  <dimension ref="A1:N65"/>
  <sheetViews>
    <sheetView zoomScale="84" zoomScaleNormal="84" workbookViewId="0">
      <pane xSplit="1" ySplit="2" topLeftCell="B39" activePane="bottomRight" state="frozen"/>
      <selection activeCell="J41" sqref="J41"/>
      <selection pane="topRight" activeCell="J41" sqref="J41"/>
      <selection pane="bottomLeft" activeCell="J41" sqref="J41"/>
      <selection pane="bottomRight" activeCell="C67" sqref="C67"/>
    </sheetView>
  </sheetViews>
  <sheetFormatPr defaultColWidth="11.453125" defaultRowHeight="14.5" x14ac:dyDescent="0.35"/>
  <cols>
    <col min="1" max="1" width="64.81640625" style="20" customWidth="1"/>
    <col min="2" max="16384" width="11.453125" style="20"/>
  </cols>
  <sheetData>
    <row r="1" spans="1:14" x14ac:dyDescent="0.35">
      <c r="A1" s="2" t="s">
        <v>345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9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9" t="s">
        <v>376</v>
      </c>
    </row>
    <row r="3" spans="1:14" x14ac:dyDescent="0.35">
      <c r="A3" s="17" t="s">
        <v>212</v>
      </c>
      <c r="B3" s="5">
        <v>123</v>
      </c>
      <c r="C3" s="5">
        <v>0</v>
      </c>
      <c r="D3" s="5">
        <v>0</v>
      </c>
      <c r="E3" s="5">
        <v>0</v>
      </c>
      <c r="F3" s="5">
        <v>216</v>
      </c>
      <c r="G3" s="5">
        <v>0</v>
      </c>
      <c r="H3" s="5">
        <v>220</v>
      </c>
      <c r="I3" s="5">
        <v>0</v>
      </c>
      <c r="J3" s="5">
        <v>354</v>
      </c>
      <c r="K3" s="5">
        <v>0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216</v>
      </c>
      <c r="G4" s="5">
        <v>0</v>
      </c>
      <c r="H4" s="5">
        <v>130</v>
      </c>
      <c r="I4" s="5">
        <v>0</v>
      </c>
      <c r="J4" s="5">
        <v>241</v>
      </c>
      <c r="K4" s="5">
        <v>0</v>
      </c>
      <c r="L4" s="5">
        <v>0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17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679</v>
      </c>
      <c r="I6" s="5">
        <v>0</v>
      </c>
      <c r="J6" s="5">
        <v>683</v>
      </c>
      <c r="K6" s="5">
        <v>0</v>
      </c>
      <c r="L6" s="5">
        <v>0</v>
      </c>
    </row>
    <row r="7" spans="1:14" x14ac:dyDescent="0.35">
      <c r="A7" s="17" t="s">
        <v>216</v>
      </c>
      <c r="B7" s="5">
        <v>667</v>
      </c>
      <c r="C7" s="5">
        <v>295</v>
      </c>
      <c r="D7" s="5">
        <v>0</v>
      </c>
      <c r="E7" s="5">
        <v>0</v>
      </c>
      <c r="F7" s="5">
        <v>500</v>
      </c>
      <c r="G7" s="5">
        <v>0</v>
      </c>
      <c r="H7" s="5">
        <v>484</v>
      </c>
      <c r="I7" s="5">
        <v>0</v>
      </c>
      <c r="J7" s="5">
        <v>586</v>
      </c>
      <c r="K7" s="5">
        <v>0</v>
      </c>
      <c r="L7" s="5">
        <v>0</v>
      </c>
    </row>
    <row r="8" spans="1:14" x14ac:dyDescent="0.35">
      <c r="A8" s="17" t="s">
        <v>217</v>
      </c>
      <c r="B8" s="5">
        <v>18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32</v>
      </c>
      <c r="I8" s="5">
        <v>0</v>
      </c>
      <c r="J8" s="5">
        <v>32</v>
      </c>
      <c r="K8" s="5">
        <v>0</v>
      </c>
      <c r="L8" s="5">
        <v>0</v>
      </c>
    </row>
    <row r="9" spans="1:14" x14ac:dyDescent="0.35">
      <c r="A9" s="17" t="s">
        <v>218</v>
      </c>
      <c r="B9" s="5">
        <v>16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36</v>
      </c>
      <c r="I9" s="5">
        <v>0</v>
      </c>
      <c r="J9" s="5">
        <v>35</v>
      </c>
      <c r="K9" s="5">
        <v>0</v>
      </c>
      <c r="L9" s="5">
        <v>0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25</v>
      </c>
      <c r="K26" s="5">
        <v>0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7" t="s">
        <v>238</v>
      </c>
      <c r="B29" s="5">
        <v>86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8</v>
      </c>
      <c r="I29" s="5">
        <v>0</v>
      </c>
      <c r="J29" s="5">
        <v>16</v>
      </c>
      <c r="K29" s="5">
        <v>0</v>
      </c>
      <c r="L29" s="5">
        <v>0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123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11</v>
      </c>
      <c r="D35" s="5">
        <v>0</v>
      </c>
      <c r="E35" s="5">
        <v>0</v>
      </c>
      <c r="F35" s="5">
        <v>25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284</v>
      </c>
      <c r="D36" s="5">
        <v>0</v>
      </c>
      <c r="E36" s="5">
        <v>0</v>
      </c>
      <c r="F36" s="5">
        <v>475</v>
      </c>
      <c r="G36" s="5">
        <v>0</v>
      </c>
      <c r="H36" s="5">
        <v>484</v>
      </c>
      <c r="I36" s="5">
        <v>0</v>
      </c>
      <c r="J36" s="5">
        <v>586</v>
      </c>
      <c r="K36" s="5">
        <v>0</v>
      </c>
      <c r="L36" s="5">
        <v>0</v>
      </c>
    </row>
    <row r="37" spans="1:12" x14ac:dyDescent="0.35">
      <c r="A37" s="17" t="s">
        <v>246</v>
      </c>
      <c r="B37" s="5">
        <v>667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679</v>
      </c>
      <c r="I40" s="5">
        <v>0</v>
      </c>
      <c r="J40" s="5">
        <v>683</v>
      </c>
      <c r="K40" s="5">
        <v>0</v>
      </c>
      <c r="L40" s="5">
        <v>0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8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19</v>
      </c>
      <c r="I52" s="5">
        <v>0</v>
      </c>
      <c r="J52" s="5">
        <v>71</v>
      </c>
      <c r="K52" s="5">
        <v>0</v>
      </c>
      <c r="L52" s="5">
        <v>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90</v>
      </c>
      <c r="I59" s="5">
        <v>0</v>
      </c>
      <c r="J59" s="5">
        <v>113</v>
      </c>
      <c r="K59" s="5">
        <v>0</v>
      </c>
      <c r="L59" s="5">
        <v>0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f>SUM(B3:B62)</f>
        <v>1700</v>
      </c>
      <c r="C63" s="36">
        <f t="shared" ref="C63:L63" si="0">SUM(C3:C62)</f>
        <v>590</v>
      </c>
      <c r="D63" s="36">
        <f t="shared" si="0"/>
        <v>0</v>
      </c>
      <c r="E63" s="36">
        <f t="shared" si="0"/>
        <v>0</v>
      </c>
      <c r="F63" s="36">
        <f t="shared" si="0"/>
        <v>1440</v>
      </c>
      <c r="G63" s="36">
        <f t="shared" si="0"/>
        <v>0</v>
      </c>
      <c r="H63" s="36">
        <f t="shared" si="0"/>
        <v>2861</v>
      </c>
      <c r="I63" s="36">
        <f t="shared" si="0"/>
        <v>0</v>
      </c>
      <c r="J63" s="36">
        <f t="shared" si="0"/>
        <v>3425</v>
      </c>
      <c r="K63" s="36">
        <f t="shared" si="0"/>
        <v>0</v>
      </c>
      <c r="L63" s="36">
        <f t="shared" si="0"/>
        <v>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22453.8</v>
      </c>
      <c r="C65" s="15">
        <v>22675.4</v>
      </c>
      <c r="D65" s="15">
        <v>22908.400000000001</v>
      </c>
      <c r="E65" s="15">
        <v>23131.8</v>
      </c>
      <c r="F65" s="15">
        <v>23359.599999999999</v>
      </c>
      <c r="G65" s="15">
        <v>23590.799999999999</v>
      </c>
      <c r="H65" s="15">
        <v>23759.3</v>
      </c>
      <c r="I65" s="15">
        <v>23881.9</v>
      </c>
      <c r="J65" s="15">
        <v>23981</v>
      </c>
      <c r="K65" s="15">
        <v>24060.400000000001</v>
      </c>
      <c r="L65" s="15">
        <v>24120.5</v>
      </c>
    </row>
  </sheetData>
  <hyperlinks>
    <hyperlink ref="N2" location="Home!A1" display="HOME" xr:uid="{15A0F8BB-2931-41C1-8682-7B0DBE235638}"/>
  </hyperlinks>
  <pageMargins left="0.45" right="0.45" top="0.75" bottom="0.75" header="0.3" footer="0.3"/>
  <pageSetup scale="6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A526-5A99-4ED4-82EF-2FE84A68603D}">
  <dimension ref="A1:N65"/>
  <sheetViews>
    <sheetView workbookViewId="0">
      <pane xSplit="1" ySplit="2" topLeftCell="B48" activePane="bottomRight" state="frozen"/>
      <selection activeCell="J41" sqref="J41"/>
      <selection pane="topRight" activeCell="J41" sqref="J41"/>
      <selection pane="bottomLeft" activeCell="J41" sqref="J41"/>
      <selection pane="bottomRight" activeCell="I68" sqref="I68"/>
    </sheetView>
  </sheetViews>
  <sheetFormatPr defaultColWidth="11.453125" defaultRowHeight="14.5" x14ac:dyDescent="0.35"/>
  <cols>
    <col min="1" max="1" width="66.26953125" style="20" bestFit="1" customWidth="1"/>
    <col min="2" max="16384" width="11.453125" style="20"/>
  </cols>
  <sheetData>
    <row r="1" spans="1:14" x14ac:dyDescent="0.35">
      <c r="A1" s="2" t="s">
        <v>346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3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530</v>
      </c>
      <c r="G3" s="5">
        <v>0</v>
      </c>
      <c r="H3" s="5">
        <v>544</v>
      </c>
      <c r="I3" s="5">
        <v>0</v>
      </c>
      <c r="J3" s="5">
        <v>0</v>
      </c>
      <c r="K3" s="5">
        <v>0</v>
      </c>
      <c r="L3" s="5">
        <v>1042</v>
      </c>
      <c r="N3" s="21"/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269</v>
      </c>
      <c r="G4" s="5">
        <v>0</v>
      </c>
      <c r="H4" s="5">
        <v>269</v>
      </c>
      <c r="I4" s="5">
        <v>0</v>
      </c>
      <c r="J4" s="5">
        <v>0</v>
      </c>
      <c r="K4" s="5">
        <v>0</v>
      </c>
      <c r="L4" s="5">
        <v>787</v>
      </c>
    </row>
    <row r="5" spans="1:14" x14ac:dyDescent="0.35">
      <c r="A5" s="17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169</v>
      </c>
    </row>
    <row r="6" spans="1:14" x14ac:dyDescent="0.35">
      <c r="A6" s="17" t="s">
        <v>215</v>
      </c>
      <c r="B6" s="5">
        <v>0</v>
      </c>
      <c r="C6" s="5">
        <v>3289</v>
      </c>
      <c r="D6" s="5">
        <v>3458</v>
      </c>
      <c r="E6" s="5">
        <v>3852</v>
      </c>
      <c r="F6" s="5">
        <v>3717</v>
      </c>
      <c r="G6" s="5">
        <v>0</v>
      </c>
      <c r="H6" s="5">
        <v>5081</v>
      </c>
      <c r="I6" s="5">
        <v>0</v>
      </c>
      <c r="J6" s="5">
        <v>0</v>
      </c>
      <c r="K6" s="5">
        <v>0</v>
      </c>
      <c r="L6" s="5">
        <v>5573</v>
      </c>
    </row>
    <row r="7" spans="1:14" x14ac:dyDescent="0.35">
      <c r="A7" s="17" t="s">
        <v>216</v>
      </c>
      <c r="B7" s="5">
        <v>0</v>
      </c>
      <c r="C7" s="5">
        <v>1282</v>
      </c>
      <c r="D7" s="5">
        <v>0</v>
      </c>
      <c r="E7" s="5">
        <v>0</v>
      </c>
      <c r="F7" s="5">
        <v>921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907</v>
      </c>
    </row>
    <row r="8" spans="1:14" x14ac:dyDescent="0.35">
      <c r="A8" s="17" t="s">
        <v>217</v>
      </c>
      <c r="B8" s="5">
        <v>0</v>
      </c>
      <c r="C8" s="5">
        <v>0</v>
      </c>
      <c r="D8" s="5">
        <v>0</v>
      </c>
      <c r="E8" s="5">
        <v>0</v>
      </c>
      <c r="F8" s="5">
        <v>27</v>
      </c>
      <c r="G8" s="5">
        <v>0</v>
      </c>
      <c r="H8" s="5">
        <v>27</v>
      </c>
      <c r="I8" s="5">
        <v>0</v>
      </c>
      <c r="J8" s="5">
        <v>0</v>
      </c>
      <c r="K8" s="5">
        <v>0</v>
      </c>
      <c r="L8" s="5">
        <v>9</v>
      </c>
    </row>
    <row r="9" spans="1:14" x14ac:dyDescent="0.35">
      <c r="A9" s="17" t="s">
        <v>218</v>
      </c>
      <c r="B9" s="5">
        <v>0</v>
      </c>
      <c r="C9" s="5">
        <v>0</v>
      </c>
      <c r="D9" s="5">
        <v>0</v>
      </c>
      <c r="E9" s="5">
        <v>0</v>
      </c>
      <c r="F9" s="5">
        <v>73</v>
      </c>
      <c r="G9" s="5">
        <v>0</v>
      </c>
      <c r="H9" s="5">
        <v>157</v>
      </c>
      <c r="I9" s="5">
        <v>0</v>
      </c>
      <c r="J9" s="5">
        <v>0</v>
      </c>
      <c r="K9" s="5">
        <v>0</v>
      </c>
      <c r="L9" s="5">
        <v>28</v>
      </c>
    </row>
    <row r="10" spans="1:14" x14ac:dyDescent="0.35">
      <c r="A10" s="17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2442</v>
      </c>
    </row>
    <row r="11" spans="1:14" x14ac:dyDescent="0.35">
      <c r="A11" s="17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7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7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17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17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17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17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17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7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17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17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17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24</v>
      </c>
    </row>
    <row r="23" spans="1:12" x14ac:dyDescent="0.35">
      <c r="A23" s="17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17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17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17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17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7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7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777</v>
      </c>
    </row>
    <row r="30" spans="1:12" x14ac:dyDescent="0.35">
      <c r="A30" s="17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320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17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7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7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17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7" t="s">
        <v>244</v>
      </c>
      <c r="B35" s="5">
        <v>0</v>
      </c>
      <c r="C35" s="5">
        <v>67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7" t="s">
        <v>245</v>
      </c>
      <c r="B36" s="5">
        <v>0</v>
      </c>
      <c r="C36" s="5">
        <v>1215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907</v>
      </c>
    </row>
    <row r="37" spans="1:12" x14ac:dyDescent="0.35">
      <c r="A37" s="17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921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17" t="s">
        <v>247</v>
      </c>
      <c r="B38" s="5">
        <v>0</v>
      </c>
      <c r="C38" s="5">
        <v>3289</v>
      </c>
      <c r="D38" s="5">
        <v>3458</v>
      </c>
      <c r="E38" s="5">
        <v>0</v>
      </c>
      <c r="F38" s="5">
        <v>0</v>
      </c>
      <c r="G38" s="5">
        <v>0</v>
      </c>
      <c r="H38" s="5">
        <v>5081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17" t="s">
        <v>248</v>
      </c>
      <c r="B39" s="5">
        <v>0</v>
      </c>
      <c r="C39" s="5">
        <v>0</v>
      </c>
      <c r="D39" s="5">
        <v>0</v>
      </c>
      <c r="E39" s="5">
        <v>1918</v>
      </c>
      <c r="F39" s="5">
        <v>1847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17" t="s">
        <v>249</v>
      </c>
      <c r="B40" s="5">
        <v>0</v>
      </c>
      <c r="C40" s="5">
        <v>0</v>
      </c>
      <c r="D40" s="5">
        <v>0</v>
      </c>
      <c r="E40" s="5">
        <v>1934</v>
      </c>
      <c r="F40" s="5">
        <v>1870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5573</v>
      </c>
    </row>
    <row r="41" spans="1:12" x14ac:dyDescent="0.35">
      <c r="A41" s="17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7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7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17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31</v>
      </c>
    </row>
    <row r="45" spans="1:12" x14ac:dyDescent="0.35">
      <c r="A45" s="17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17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17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17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7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7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565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7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7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80</v>
      </c>
    </row>
    <row r="53" spans="1:12" x14ac:dyDescent="0.35">
      <c r="A53" s="17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17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17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17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67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17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7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17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261</v>
      </c>
      <c r="G59" s="5">
        <v>0</v>
      </c>
      <c r="H59" s="5">
        <v>275</v>
      </c>
      <c r="I59" s="5">
        <v>0</v>
      </c>
      <c r="J59" s="5">
        <v>0</v>
      </c>
      <c r="K59" s="5">
        <v>0</v>
      </c>
      <c r="L59" s="5">
        <v>255</v>
      </c>
    </row>
    <row r="60" spans="1:12" x14ac:dyDescent="0.35">
      <c r="A60" s="17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31</v>
      </c>
    </row>
    <row r="61" spans="1:12" x14ac:dyDescent="0.35">
      <c r="A61" s="17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7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5" t="s">
        <v>317</v>
      </c>
      <c r="B63" s="36">
        <f>SUM(B3:B62)</f>
        <v>0</v>
      </c>
      <c r="C63" s="36">
        <f t="shared" ref="C63:L63" si="0">SUM(C3:C62)</f>
        <v>9142</v>
      </c>
      <c r="D63" s="36">
        <f t="shared" si="0"/>
        <v>6916</v>
      </c>
      <c r="E63" s="36">
        <f t="shared" si="0"/>
        <v>7704</v>
      </c>
      <c r="F63" s="36">
        <f t="shared" si="0"/>
        <v>11068</v>
      </c>
      <c r="G63" s="36">
        <f t="shared" si="0"/>
        <v>0</v>
      </c>
      <c r="H63" s="36">
        <f t="shared" si="0"/>
        <v>11754</v>
      </c>
      <c r="I63" s="36">
        <f t="shared" si="0"/>
        <v>0</v>
      </c>
      <c r="J63" s="36">
        <f t="shared" si="0"/>
        <v>0</v>
      </c>
      <c r="K63" s="36">
        <f t="shared" si="0"/>
        <v>0</v>
      </c>
      <c r="L63" s="36">
        <f t="shared" si="0"/>
        <v>18635</v>
      </c>
    </row>
    <row r="64" spans="1:12" x14ac:dyDescent="0.35">
      <c r="A64" s="1"/>
      <c r="B64"/>
      <c r="C64"/>
      <c r="D64"/>
      <c r="E64"/>
      <c r="F64"/>
      <c r="G64"/>
      <c r="H64"/>
      <c r="I64"/>
      <c r="J64"/>
      <c r="K64"/>
      <c r="L64"/>
    </row>
    <row r="65" spans="1:12" x14ac:dyDescent="0.35">
      <c r="A65" t="s">
        <v>8</v>
      </c>
      <c r="B65" s="15">
        <v>174681.1</v>
      </c>
      <c r="C65" s="15">
        <v>175389.3</v>
      </c>
      <c r="D65" s="15">
        <v>175074.6</v>
      </c>
      <c r="E65" s="15">
        <v>174962.3</v>
      </c>
      <c r="F65" s="15">
        <v>174800</v>
      </c>
      <c r="G65" s="15">
        <v>175040.4</v>
      </c>
      <c r="H65" s="15">
        <v>175834.5</v>
      </c>
      <c r="I65" s="15">
        <v>176455.7</v>
      </c>
      <c r="J65" s="15">
        <v>177536.2</v>
      </c>
      <c r="K65" s="15">
        <v>179200.3</v>
      </c>
      <c r="L65" s="15">
        <v>180285.9</v>
      </c>
    </row>
  </sheetData>
  <hyperlinks>
    <hyperlink ref="N2" location="Home!A1" display="HOME" xr:uid="{56628907-051B-449B-AC90-F9515A33882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19C8-A6A9-4198-A240-C7271E4063C1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:L63"/>
    </sheetView>
  </sheetViews>
  <sheetFormatPr defaultColWidth="11.453125" defaultRowHeight="14.5" x14ac:dyDescent="0.35"/>
  <cols>
    <col min="1" max="1" width="70.7265625" style="20" bestFit="1" customWidth="1"/>
    <col min="2" max="16384" width="11.453125" style="20"/>
  </cols>
  <sheetData>
    <row r="1" spans="1:14" ht="18.5" x14ac:dyDescent="0.35">
      <c r="A1" s="2" t="s">
        <v>347</v>
      </c>
      <c r="B1"/>
      <c r="C1"/>
      <c r="D1"/>
      <c r="E1"/>
      <c r="F1"/>
      <c r="G1"/>
      <c r="H1"/>
      <c r="I1"/>
      <c r="J1"/>
      <c r="K1"/>
      <c r="L1"/>
      <c r="N1" s="30" t="s">
        <v>336</v>
      </c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</row>
    <row r="3" spans="1:14" x14ac:dyDescent="0.35">
      <c r="A3" s="17" t="s">
        <v>212</v>
      </c>
      <c r="B3" s="5">
        <v>0</v>
      </c>
      <c r="C3" s="5">
        <v>0</v>
      </c>
      <c r="D3" s="5">
        <v>5240</v>
      </c>
      <c r="E3" s="5">
        <v>0</v>
      </c>
      <c r="F3" s="5">
        <v>0</v>
      </c>
      <c r="G3" s="5">
        <v>0</v>
      </c>
      <c r="H3" s="5">
        <v>5602</v>
      </c>
      <c r="I3" s="5">
        <v>4173</v>
      </c>
      <c r="J3" s="5">
        <v>4435</v>
      </c>
      <c r="K3" s="5">
        <v>4951</v>
      </c>
      <c r="L3" s="5">
        <v>4930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4246</v>
      </c>
      <c r="I4" s="5">
        <v>0</v>
      </c>
      <c r="J4" s="5">
        <v>4435</v>
      </c>
      <c r="K4" s="5">
        <v>4623</v>
      </c>
      <c r="L4" s="5">
        <v>4412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8780</v>
      </c>
      <c r="D6" s="5">
        <v>8868</v>
      </c>
      <c r="E6" s="5">
        <v>10891</v>
      </c>
      <c r="F6" s="5">
        <v>12132</v>
      </c>
      <c r="G6" s="5">
        <v>13583</v>
      </c>
      <c r="H6" s="5">
        <v>15163</v>
      </c>
      <c r="I6" s="5">
        <v>11259</v>
      </c>
      <c r="J6" s="5">
        <v>13396</v>
      </c>
      <c r="K6" s="5">
        <v>12887</v>
      </c>
      <c r="L6" s="5">
        <v>14979</v>
      </c>
    </row>
    <row r="7" spans="1:14" x14ac:dyDescent="0.35">
      <c r="A7" s="4" t="s">
        <v>216</v>
      </c>
      <c r="B7" s="5">
        <v>0</v>
      </c>
      <c r="C7" s="5">
        <v>3851</v>
      </c>
      <c r="D7" s="5">
        <v>5300</v>
      </c>
      <c r="E7" s="5">
        <v>0</v>
      </c>
      <c r="F7" s="5">
        <v>0</v>
      </c>
      <c r="G7" s="5">
        <v>0</v>
      </c>
      <c r="H7" s="5">
        <v>0</v>
      </c>
      <c r="I7" s="5">
        <v>5601</v>
      </c>
      <c r="J7" s="5">
        <v>6345</v>
      </c>
      <c r="K7" s="5">
        <v>7074</v>
      </c>
      <c r="L7" s="5">
        <v>7425</v>
      </c>
    </row>
    <row r="8" spans="1:14" x14ac:dyDescent="0.35">
      <c r="A8" s="4" t="s">
        <v>217</v>
      </c>
      <c r="B8" s="5">
        <v>0</v>
      </c>
      <c r="C8" s="5">
        <v>0</v>
      </c>
      <c r="D8" s="5">
        <v>490</v>
      </c>
      <c r="E8" s="5">
        <v>0</v>
      </c>
      <c r="F8" s="5">
        <v>0</v>
      </c>
      <c r="G8" s="5">
        <v>0</v>
      </c>
      <c r="H8" s="5">
        <v>506</v>
      </c>
      <c r="I8" s="5">
        <v>373</v>
      </c>
      <c r="J8" s="5">
        <v>397</v>
      </c>
      <c r="K8" s="5">
        <v>416</v>
      </c>
      <c r="L8" s="5">
        <v>418</v>
      </c>
    </row>
    <row r="9" spans="1:14" x14ac:dyDescent="0.35">
      <c r="A9" s="4" t="s">
        <v>218</v>
      </c>
      <c r="B9" s="5">
        <v>0</v>
      </c>
      <c r="C9" s="5">
        <v>0</v>
      </c>
      <c r="D9" s="5">
        <v>2430</v>
      </c>
      <c r="E9" s="5">
        <v>0</v>
      </c>
      <c r="F9" s="5">
        <v>0</v>
      </c>
      <c r="G9" s="5">
        <v>0</v>
      </c>
      <c r="H9" s="5">
        <v>2495</v>
      </c>
      <c r="I9" s="5">
        <v>944</v>
      </c>
      <c r="J9" s="5">
        <v>1029</v>
      </c>
      <c r="K9" s="5">
        <v>1117</v>
      </c>
      <c r="L9" s="5">
        <v>1162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14556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120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28</v>
      </c>
    </row>
    <row r="16" spans="1:14" x14ac:dyDescent="0.35">
      <c r="A16" s="4" t="s">
        <v>225</v>
      </c>
      <c r="B16" s="5">
        <v>0</v>
      </c>
      <c r="C16" s="5">
        <v>0</v>
      </c>
      <c r="D16" s="5">
        <v>190</v>
      </c>
      <c r="E16" s="5">
        <v>0</v>
      </c>
      <c r="F16" s="5">
        <v>0</v>
      </c>
      <c r="G16" s="5">
        <v>0</v>
      </c>
      <c r="H16" s="5">
        <v>0</v>
      </c>
      <c r="I16" s="5">
        <v>40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50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790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4168</v>
      </c>
      <c r="J23" s="5">
        <v>0</v>
      </c>
      <c r="K23" s="5">
        <v>4221</v>
      </c>
      <c r="L23" s="5">
        <v>4140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820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1600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2380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5240</v>
      </c>
      <c r="E33" s="5">
        <v>0</v>
      </c>
      <c r="F33" s="5">
        <v>0</v>
      </c>
      <c r="G33" s="5">
        <v>0</v>
      </c>
      <c r="H33" s="5">
        <v>0</v>
      </c>
      <c r="I33" s="5">
        <v>4173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139</v>
      </c>
      <c r="L34" s="5">
        <v>148</v>
      </c>
    </row>
    <row r="35" spans="1:12" x14ac:dyDescent="0.35">
      <c r="A35" s="4" t="s">
        <v>244</v>
      </c>
      <c r="B35" s="5">
        <v>0</v>
      </c>
      <c r="C35" s="5">
        <v>1224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4</v>
      </c>
    </row>
    <row r="36" spans="1:12" x14ac:dyDescent="0.35">
      <c r="A36" s="4" t="s">
        <v>245</v>
      </c>
      <c r="B36" s="5">
        <v>0</v>
      </c>
      <c r="C36" s="5">
        <v>2627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5601</v>
      </c>
      <c r="J36" s="5">
        <v>6345</v>
      </c>
      <c r="K36" s="5">
        <v>7074</v>
      </c>
      <c r="L36" s="5">
        <v>7421</v>
      </c>
    </row>
    <row r="37" spans="1:12" x14ac:dyDescent="0.35">
      <c r="A37" s="4" t="s">
        <v>246</v>
      </c>
      <c r="B37" s="5">
        <v>0</v>
      </c>
      <c r="C37" s="5">
        <v>0</v>
      </c>
      <c r="D37" s="5">
        <v>5300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45</v>
      </c>
    </row>
    <row r="39" spans="1:12" x14ac:dyDescent="0.35">
      <c r="A39" s="4" t="s">
        <v>248</v>
      </c>
      <c r="B39" s="5">
        <v>0</v>
      </c>
      <c r="C39" s="5">
        <v>1608</v>
      </c>
      <c r="D39" s="5">
        <v>1623</v>
      </c>
      <c r="E39" s="5">
        <v>1987</v>
      </c>
      <c r="F39" s="5">
        <v>2327</v>
      </c>
      <c r="G39" s="5">
        <v>2770</v>
      </c>
      <c r="H39" s="5">
        <v>3595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7172</v>
      </c>
      <c r="D40" s="5">
        <v>7245</v>
      </c>
      <c r="E40" s="5">
        <v>8904</v>
      </c>
      <c r="F40" s="5">
        <v>9805</v>
      </c>
      <c r="G40" s="5">
        <v>10813</v>
      </c>
      <c r="H40" s="5">
        <v>11568</v>
      </c>
      <c r="I40" s="5">
        <v>11259</v>
      </c>
      <c r="J40" s="5">
        <v>13396</v>
      </c>
      <c r="K40" s="5">
        <v>12887</v>
      </c>
      <c r="L40" s="5">
        <v>14934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70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238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70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3470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3734</v>
      </c>
      <c r="K49" s="5">
        <v>3480</v>
      </c>
      <c r="L49" s="5">
        <v>3896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2310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215</v>
      </c>
      <c r="L52" s="5">
        <v>200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60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97</v>
      </c>
      <c r="L53" s="5">
        <v>95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1356</v>
      </c>
      <c r="I59" s="5">
        <v>0</v>
      </c>
      <c r="J59" s="5">
        <v>0</v>
      </c>
      <c r="K59" s="5">
        <v>328</v>
      </c>
      <c r="L59" s="5">
        <v>518</v>
      </c>
    </row>
    <row r="60" spans="1:12" x14ac:dyDescent="0.35">
      <c r="A60" s="4" t="s">
        <v>267</v>
      </c>
      <c r="B60" s="5">
        <v>0</v>
      </c>
      <c r="C60" s="5">
        <v>0</v>
      </c>
      <c r="D60" s="5">
        <v>318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25262</v>
      </c>
      <c r="D63" s="36">
        <f t="shared" si="0"/>
        <v>50752</v>
      </c>
      <c r="E63" s="36">
        <f t="shared" si="0"/>
        <v>21782</v>
      </c>
      <c r="F63" s="36">
        <f t="shared" si="0"/>
        <v>24264</v>
      </c>
      <c r="G63" s="36">
        <f t="shared" si="0"/>
        <v>27166</v>
      </c>
      <c r="H63" s="36">
        <f t="shared" si="0"/>
        <v>59087</v>
      </c>
      <c r="I63" s="36">
        <f t="shared" si="0"/>
        <v>51061</v>
      </c>
      <c r="J63" s="36">
        <f t="shared" si="0"/>
        <v>53512</v>
      </c>
      <c r="K63" s="36">
        <f t="shared" si="0"/>
        <v>59509</v>
      </c>
      <c r="L63" s="36">
        <f t="shared" si="0"/>
        <v>64755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808861.1</v>
      </c>
      <c r="C65" s="15">
        <v>812933</v>
      </c>
      <c r="D65" s="15">
        <v>819320.4</v>
      </c>
      <c r="E65" s="15">
        <v>830910.6</v>
      </c>
      <c r="F65" s="15">
        <v>846051</v>
      </c>
      <c r="G65" s="15">
        <v>863980</v>
      </c>
      <c r="H65" s="15">
        <v>875669</v>
      </c>
      <c r="I65" s="15">
        <v>883020.80000000005</v>
      </c>
      <c r="J65" s="15">
        <v>896181.6</v>
      </c>
      <c r="K65" s="15">
        <v>911396.5</v>
      </c>
      <c r="L65" s="15">
        <v>924980.8</v>
      </c>
    </row>
  </sheetData>
  <hyperlinks>
    <hyperlink ref="N1" location="Home!A1" display="Home" xr:uid="{595A5D3B-DF69-4495-B0F1-A8999B455560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49FE-0848-48B8-93F5-D6ED979C0364}">
  <dimension ref="A1:N65"/>
  <sheetViews>
    <sheetView zoomScale="84" zoomScaleNormal="84" workbookViewId="0">
      <pane xSplit="1" ySplit="2" topLeftCell="B33" activePane="bottomRight" state="frozen"/>
      <selection activeCell="J41" sqref="J41"/>
      <selection pane="topRight" activeCell="J41" sqref="J41"/>
      <selection pane="bottomLeft" activeCell="J41" sqref="J41"/>
      <selection pane="bottomRight" activeCell="H61" sqref="H61"/>
    </sheetView>
  </sheetViews>
  <sheetFormatPr defaultColWidth="11.453125" defaultRowHeight="14.5" x14ac:dyDescent="0.35"/>
  <cols>
    <col min="1" max="1" width="79" style="20" bestFit="1" customWidth="1"/>
    <col min="2" max="16384" width="11.453125" style="20"/>
  </cols>
  <sheetData>
    <row r="1" spans="1:14" x14ac:dyDescent="0.35">
      <c r="A1" s="2" t="s">
        <v>348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6418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15016</v>
      </c>
      <c r="J3" s="5">
        <v>0</v>
      </c>
      <c r="K3" s="5">
        <v>16989</v>
      </c>
      <c r="L3" s="5">
        <v>18493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15016</v>
      </c>
      <c r="J4" s="5">
        <v>0</v>
      </c>
      <c r="K4" s="5">
        <v>16989</v>
      </c>
      <c r="L4" s="5">
        <v>18493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59813</v>
      </c>
      <c r="D6" s="5">
        <v>0</v>
      </c>
      <c r="E6" s="5">
        <v>72270</v>
      </c>
      <c r="F6" s="5">
        <v>44897</v>
      </c>
      <c r="G6" s="5">
        <v>73046</v>
      </c>
      <c r="H6" s="5">
        <v>93326</v>
      </c>
      <c r="I6" s="5">
        <v>93964</v>
      </c>
      <c r="J6" s="5">
        <v>0</v>
      </c>
      <c r="K6" s="5">
        <v>101752</v>
      </c>
      <c r="L6" s="5">
        <v>115316</v>
      </c>
    </row>
    <row r="7" spans="1:14" x14ac:dyDescent="0.35">
      <c r="A7" s="4" t="s">
        <v>216</v>
      </c>
      <c r="B7" s="5">
        <v>0</v>
      </c>
      <c r="C7" s="5">
        <v>1555</v>
      </c>
      <c r="D7" s="5">
        <v>0</v>
      </c>
      <c r="E7" s="5">
        <v>0</v>
      </c>
      <c r="F7" s="5">
        <v>1793</v>
      </c>
      <c r="G7" s="5">
        <v>0</v>
      </c>
      <c r="H7" s="5">
        <v>0</v>
      </c>
      <c r="I7" s="5">
        <v>3149</v>
      </c>
      <c r="J7" s="5">
        <v>0</v>
      </c>
      <c r="K7" s="5">
        <v>2093</v>
      </c>
      <c r="L7" s="5">
        <v>2640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147</v>
      </c>
      <c r="G8" s="5">
        <v>0</v>
      </c>
      <c r="H8" s="5">
        <v>404</v>
      </c>
      <c r="I8" s="5">
        <v>422</v>
      </c>
      <c r="J8" s="5">
        <v>0</v>
      </c>
      <c r="K8" s="5">
        <v>268</v>
      </c>
      <c r="L8" s="5">
        <v>392</v>
      </c>
    </row>
    <row r="9" spans="1:14" x14ac:dyDescent="0.35">
      <c r="A9" s="4" t="s">
        <v>218</v>
      </c>
      <c r="B9" s="5">
        <v>0</v>
      </c>
      <c r="C9" s="5">
        <v>283</v>
      </c>
      <c r="D9" s="5">
        <v>0</v>
      </c>
      <c r="E9" s="5">
        <v>0</v>
      </c>
      <c r="F9" s="5">
        <v>404</v>
      </c>
      <c r="G9" s="5">
        <v>0</v>
      </c>
      <c r="H9" s="5">
        <v>1687</v>
      </c>
      <c r="I9" s="5">
        <v>584</v>
      </c>
      <c r="J9" s="5">
        <v>0</v>
      </c>
      <c r="K9" s="5">
        <v>682</v>
      </c>
      <c r="L9" s="5">
        <v>806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75871</v>
      </c>
      <c r="J10" s="5">
        <v>0</v>
      </c>
      <c r="K10" s="5">
        <v>87086</v>
      </c>
      <c r="L10" s="5">
        <v>101117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166</v>
      </c>
      <c r="J21" s="5">
        <v>0</v>
      </c>
      <c r="K21" s="5">
        <v>665</v>
      </c>
      <c r="L21" s="5">
        <v>718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287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439</v>
      </c>
      <c r="L26" s="5">
        <v>528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3342</v>
      </c>
      <c r="J27" s="5">
        <v>0</v>
      </c>
      <c r="K27" s="5">
        <v>3724</v>
      </c>
      <c r="L27" s="5">
        <v>4695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2126</v>
      </c>
      <c r="D30" s="5">
        <v>0</v>
      </c>
      <c r="E30" s="5">
        <v>0</v>
      </c>
      <c r="F30" s="5">
        <v>0</v>
      </c>
      <c r="G30" s="5">
        <v>0</v>
      </c>
      <c r="H30" s="5">
        <v>2934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6418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1555</v>
      </c>
      <c r="D35" s="5">
        <v>0</v>
      </c>
      <c r="E35" s="5">
        <v>0</v>
      </c>
      <c r="F35" s="5">
        <v>1753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40</v>
      </c>
      <c r="G36" s="5">
        <v>0</v>
      </c>
      <c r="H36" s="5">
        <v>0</v>
      </c>
      <c r="I36" s="5">
        <v>3149</v>
      </c>
      <c r="J36" s="5">
        <v>0</v>
      </c>
      <c r="K36" s="5">
        <v>2093</v>
      </c>
      <c r="L36" s="5">
        <v>2640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59813</v>
      </c>
      <c r="D38" s="5">
        <v>0</v>
      </c>
      <c r="E38" s="5">
        <v>27286</v>
      </c>
      <c r="F38" s="5">
        <v>44897</v>
      </c>
      <c r="G38" s="5">
        <v>29281</v>
      </c>
      <c r="H38" s="5">
        <v>41948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17611</v>
      </c>
      <c r="F39" s="5">
        <v>0</v>
      </c>
      <c r="G39" s="5">
        <v>14251</v>
      </c>
      <c r="H39" s="5">
        <v>14398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27373</v>
      </c>
      <c r="F40" s="5">
        <v>0</v>
      </c>
      <c r="G40" s="5">
        <v>29514</v>
      </c>
      <c r="H40" s="5">
        <v>36980</v>
      </c>
      <c r="I40" s="5">
        <v>93964</v>
      </c>
      <c r="J40" s="5">
        <v>0</v>
      </c>
      <c r="K40" s="5">
        <v>101752</v>
      </c>
      <c r="L40" s="5">
        <v>115316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582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668</v>
      </c>
      <c r="J43" s="5">
        <v>0</v>
      </c>
      <c r="K43" s="5">
        <v>1385</v>
      </c>
      <c r="L43" s="5">
        <v>1688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200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1939</v>
      </c>
      <c r="J47" s="5">
        <v>0</v>
      </c>
      <c r="K47" s="5">
        <v>1785</v>
      </c>
      <c r="L47" s="5">
        <v>1803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188</v>
      </c>
      <c r="J52" s="5">
        <v>0</v>
      </c>
      <c r="K52" s="5">
        <v>313</v>
      </c>
      <c r="L52" s="5">
        <v>378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496</v>
      </c>
      <c r="J53" s="5">
        <v>0</v>
      </c>
      <c r="K53" s="5">
        <v>680</v>
      </c>
      <c r="L53" s="5">
        <v>793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138850</v>
      </c>
      <c r="D63" s="36">
        <f t="shared" si="0"/>
        <v>0</v>
      </c>
      <c r="E63" s="36">
        <f t="shared" si="0"/>
        <v>144540</v>
      </c>
      <c r="F63" s="36">
        <f t="shared" si="0"/>
        <v>94131</v>
      </c>
      <c r="G63" s="36">
        <f t="shared" si="0"/>
        <v>146092</v>
      </c>
      <c r="H63" s="36">
        <f t="shared" si="0"/>
        <v>191677</v>
      </c>
      <c r="I63" s="36">
        <f t="shared" si="0"/>
        <v>307934</v>
      </c>
      <c r="J63" s="36">
        <f t="shared" si="0"/>
        <v>0</v>
      </c>
      <c r="K63" s="36">
        <f t="shared" si="0"/>
        <v>338695</v>
      </c>
      <c r="L63" s="36">
        <f t="shared" si="0"/>
        <v>385816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3026941</v>
      </c>
      <c r="C65" s="15">
        <v>3118004.4</v>
      </c>
      <c r="D65" s="15">
        <v>3207143.3</v>
      </c>
      <c r="E65" s="15">
        <v>3300775.6</v>
      </c>
      <c r="F65" s="15">
        <v>3397335.8</v>
      </c>
      <c r="G65" s="15">
        <v>3505486.6</v>
      </c>
      <c r="H65" s="15">
        <v>3612384.5</v>
      </c>
      <c r="I65" s="15">
        <v>3709546.6</v>
      </c>
      <c r="J65" s="15">
        <v>3804138.2</v>
      </c>
      <c r="K65" s="15">
        <v>3905396.8</v>
      </c>
      <c r="L65" s="15">
        <v>4011145.2</v>
      </c>
    </row>
  </sheetData>
  <hyperlinks>
    <hyperlink ref="N2" location="Home!A1" display="HOME" xr:uid="{062D524A-C892-41D6-A5F2-AAA321A81C88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A2D5-78E7-4169-8FC8-81A679D2C418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349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8" t="s">
        <v>376</v>
      </c>
    </row>
    <row r="3" spans="1:14" x14ac:dyDescent="0.35">
      <c r="A3" s="17" t="s">
        <v>212</v>
      </c>
      <c r="B3" s="5">
        <f>+'AFRO Stock 2012'!U4</f>
        <v>0</v>
      </c>
      <c r="C3" s="5">
        <f>+'AFRO Stock 2013'!U4</f>
        <v>0</v>
      </c>
      <c r="D3" s="5">
        <f>+'AFRO Stock 2014'!U4</f>
        <v>0</v>
      </c>
      <c r="E3" s="5">
        <f>+'AFRO Stock 2015'!U4</f>
        <v>0</v>
      </c>
      <c r="F3" s="5">
        <f>+'AFRO Stock 2016'!U4</f>
        <v>0</v>
      </c>
      <c r="G3" s="5">
        <f>+'AFRO Stock 2017'!U4</f>
        <v>507</v>
      </c>
      <c r="H3" s="5">
        <f>+'AFRO Stock 2018'!U4</f>
        <v>0</v>
      </c>
      <c r="I3" s="5">
        <f>+'AFRO Stock 2019'!U4</f>
        <v>0</v>
      </c>
      <c r="J3" s="5">
        <f>+'AFRO Stock 2020'!U4</f>
        <v>0</v>
      </c>
      <c r="K3" s="5">
        <f>+'AFRO Stock 2021'!U4</f>
        <v>0</v>
      </c>
      <c r="L3" s="5">
        <f>+'AFRO Stock 2022'!U4</f>
        <v>239</v>
      </c>
    </row>
    <row r="4" spans="1:14" x14ac:dyDescent="0.35">
      <c r="A4" s="17" t="s">
        <v>213</v>
      </c>
      <c r="B4" s="5">
        <f>+'AFRO Stock 2012'!U5</f>
        <v>0</v>
      </c>
      <c r="C4" s="5">
        <f>+'AFRO Stock 2013'!U5</f>
        <v>0</v>
      </c>
      <c r="D4" s="5">
        <f>+'AFRO Stock 2014'!U5</f>
        <v>0</v>
      </c>
      <c r="E4" s="5">
        <f>+'AFRO Stock 2015'!U5</f>
        <v>0</v>
      </c>
      <c r="F4" s="5">
        <f>+'AFRO Stock 2016'!U5</f>
        <v>0</v>
      </c>
      <c r="G4" s="5">
        <f>+'AFRO Stock 2017'!U5</f>
        <v>0</v>
      </c>
      <c r="H4" s="5">
        <f>+'AFRO Stock 2018'!U5</f>
        <v>0</v>
      </c>
      <c r="I4" s="5">
        <f>+'AFRO Stock 2019'!U5</f>
        <v>0</v>
      </c>
      <c r="J4" s="5">
        <f>+'AFRO Stock 2020'!U5</f>
        <v>0</v>
      </c>
      <c r="K4" s="5">
        <f>+'AFRO Stock 2021'!U5</f>
        <v>0</v>
      </c>
      <c r="L4" s="5">
        <f>+'AFRO Stock 2022'!U5</f>
        <v>182</v>
      </c>
    </row>
    <row r="5" spans="1:14" x14ac:dyDescent="0.35">
      <c r="A5" s="4" t="s">
        <v>214</v>
      </c>
      <c r="B5" s="5">
        <f>+'AFRO Stock 2012'!U6</f>
        <v>0</v>
      </c>
      <c r="C5" s="5">
        <f>+'AFRO Stock 2013'!U6</f>
        <v>0</v>
      </c>
      <c r="D5" s="5">
        <f>+'AFRO Stock 2014'!U6</f>
        <v>0</v>
      </c>
      <c r="E5" s="5">
        <f>+'AFRO Stock 2015'!U6</f>
        <v>0</v>
      </c>
      <c r="F5" s="5">
        <f>+'AFRO Stock 2016'!U6</f>
        <v>0</v>
      </c>
      <c r="G5" s="5">
        <f>+'AFRO Stock 2017'!U6</f>
        <v>0</v>
      </c>
      <c r="H5" s="5">
        <f>+'AFRO Stock 2018'!U6</f>
        <v>0</v>
      </c>
      <c r="I5" s="5">
        <f>+'AFRO Stock 2019'!U6</f>
        <v>0</v>
      </c>
      <c r="J5" s="5">
        <f>+'AFRO Stock 2020'!U6</f>
        <v>0</v>
      </c>
      <c r="K5" s="5">
        <f>+'AFRO Stock 2021'!U6</f>
        <v>0</v>
      </c>
      <c r="L5" s="5">
        <f>+'AFRO Stock 2022'!U6</f>
        <v>0</v>
      </c>
    </row>
    <row r="6" spans="1:14" x14ac:dyDescent="0.35">
      <c r="A6" s="4" t="s">
        <v>215</v>
      </c>
      <c r="B6" s="5">
        <f>+'AFRO Stock 2012'!U7</f>
        <v>0</v>
      </c>
      <c r="C6" s="5">
        <f>+'AFRO Stock 2013'!U7</f>
        <v>0</v>
      </c>
      <c r="D6" s="5">
        <f>+'AFRO Stock 2014'!U7</f>
        <v>0</v>
      </c>
      <c r="E6" s="5">
        <f>+'AFRO Stock 2015'!U7</f>
        <v>0</v>
      </c>
      <c r="F6" s="5">
        <f>+'AFRO Stock 2016'!U7</f>
        <v>0</v>
      </c>
      <c r="G6" s="5">
        <f>+'AFRO Stock 2017'!U7</f>
        <v>634</v>
      </c>
      <c r="H6" s="5">
        <f>+'AFRO Stock 2018'!U7</f>
        <v>0</v>
      </c>
      <c r="I6" s="5">
        <f>+'AFRO Stock 2019'!U7</f>
        <v>0</v>
      </c>
      <c r="J6" s="5">
        <f>+'AFRO Stock 2020'!U7</f>
        <v>0</v>
      </c>
      <c r="K6" s="5">
        <f>+'AFRO Stock 2021'!U7</f>
        <v>0</v>
      </c>
      <c r="L6" s="5">
        <f>+'AFRO Stock 2022'!U7</f>
        <v>1375</v>
      </c>
    </row>
    <row r="7" spans="1:14" x14ac:dyDescent="0.35">
      <c r="A7" s="4" t="s">
        <v>216</v>
      </c>
      <c r="B7" s="5">
        <f>+'AFRO Stock 2012'!U8</f>
        <v>0</v>
      </c>
      <c r="C7" s="5">
        <f>+'AFRO Stock 2013'!U8</f>
        <v>0</v>
      </c>
      <c r="D7" s="5">
        <f>+'AFRO Stock 2014'!U8</f>
        <v>0</v>
      </c>
      <c r="E7" s="5">
        <f>+'AFRO Stock 2015'!U8</f>
        <v>0</v>
      </c>
      <c r="F7" s="5">
        <f>+'AFRO Stock 2016'!U8</f>
        <v>0</v>
      </c>
      <c r="G7" s="5">
        <f>+'AFRO Stock 2017'!U8</f>
        <v>0</v>
      </c>
      <c r="H7" s="5">
        <f>+'AFRO Stock 2018'!U8</f>
        <v>0</v>
      </c>
      <c r="I7" s="5">
        <f>+'AFRO Stock 2019'!U8</f>
        <v>0</v>
      </c>
      <c r="J7" s="5">
        <f>+'AFRO Stock 2020'!U8</f>
        <v>0</v>
      </c>
      <c r="K7" s="5">
        <f>+'AFRO Stock 2021'!U8</f>
        <v>0</v>
      </c>
      <c r="L7" s="5">
        <f>+'AFRO Stock 2022'!U8</f>
        <v>23</v>
      </c>
    </row>
    <row r="8" spans="1:14" x14ac:dyDescent="0.35">
      <c r="A8" s="4" t="s">
        <v>217</v>
      </c>
      <c r="B8" s="5">
        <f>+'AFRO Stock 2012'!U9</f>
        <v>0</v>
      </c>
      <c r="C8" s="5">
        <f>+'AFRO Stock 2013'!U9</f>
        <v>0</v>
      </c>
      <c r="D8" s="5">
        <f>+'AFRO Stock 2014'!U9</f>
        <v>0</v>
      </c>
      <c r="E8" s="5">
        <f>+'AFRO Stock 2015'!U9</f>
        <v>0</v>
      </c>
      <c r="F8" s="5">
        <f>+'AFRO Stock 2016'!U9</f>
        <v>0</v>
      </c>
      <c r="G8" s="5">
        <f>+'AFRO Stock 2017'!U9</f>
        <v>0</v>
      </c>
      <c r="H8" s="5">
        <f>+'AFRO Stock 2018'!U9</f>
        <v>0</v>
      </c>
      <c r="I8" s="5">
        <f>+'AFRO Stock 2019'!U9</f>
        <v>0</v>
      </c>
      <c r="J8" s="5">
        <f>+'AFRO Stock 2020'!U9</f>
        <v>0</v>
      </c>
      <c r="K8" s="5">
        <f>+'AFRO Stock 2021'!U9</f>
        <v>0</v>
      </c>
      <c r="L8" s="5">
        <f>+'AFRO Stock 2022'!U9</f>
        <v>0</v>
      </c>
    </row>
    <row r="9" spans="1:14" x14ac:dyDescent="0.35">
      <c r="A9" s="4" t="s">
        <v>218</v>
      </c>
      <c r="B9" s="5">
        <f>+'AFRO Stock 2012'!U10</f>
        <v>0</v>
      </c>
      <c r="C9" s="5">
        <f>+'AFRO Stock 2013'!U10</f>
        <v>0</v>
      </c>
      <c r="D9" s="5">
        <f>+'AFRO Stock 2014'!U10</f>
        <v>0</v>
      </c>
      <c r="E9" s="5">
        <f>+'AFRO Stock 2015'!U10</f>
        <v>0</v>
      </c>
      <c r="F9" s="5">
        <f>+'AFRO Stock 2016'!U10</f>
        <v>0</v>
      </c>
      <c r="G9" s="5">
        <f>+'AFRO Stock 2017'!U10</f>
        <v>0</v>
      </c>
      <c r="H9" s="5">
        <f>+'AFRO Stock 2018'!U10</f>
        <v>10</v>
      </c>
      <c r="I9" s="5">
        <f>+'AFRO Stock 2019'!U10</f>
        <v>0</v>
      </c>
      <c r="J9" s="5">
        <f>+'AFRO Stock 2020'!U10</f>
        <v>0</v>
      </c>
      <c r="K9" s="5">
        <f>+'AFRO Stock 2021'!U10</f>
        <v>0</v>
      </c>
      <c r="L9" s="5">
        <f>+'AFRO Stock 2022'!U10</f>
        <v>14</v>
      </c>
    </row>
    <row r="10" spans="1:14" x14ac:dyDescent="0.35">
      <c r="A10" s="4" t="s">
        <v>219</v>
      </c>
      <c r="B10" s="5">
        <f>+'AFRO Stock 2012'!U11</f>
        <v>0</v>
      </c>
      <c r="C10" s="5">
        <f>+'AFRO Stock 2013'!U11</f>
        <v>0</v>
      </c>
      <c r="D10" s="5">
        <f>+'AFRO Stock 2014'!U11</f>
        <v>0</v>
      </c>
      <c r="E10" s="5">
        <f>+'AFRO Stock 2015'!U11</f>
        <v>0</v>
      </c>
      <c r="F10" s="5">
        <f>+'AFRO Stock 2016'!U11</f>
        <v>0</v>
      </c>
      <c r="G10" s="5">
        <f>+'AFRO Stock 2017'!U11</f>
        <v>0</v>
      </c>
      <c r="H10" s="5">
        <f>+'AFRO Stock 2018'!U11</f>
        <v>0</v>
      </c>
      <c r="I10" s="5">
        <f>+'AFRO Stock 2019'!U11</f>
        <v>0</v>
      </c>
      <c r="J10" s="5">
        <f>+'AFRO Stock 2020'!U11</f>
        <v>0</v>
      </c>
      <c r="K10" s="5">
        <f>+'AFRO Stock 2021'!U11</f>
        <v>0</v>
      </c>
      <c r="L10" s="5">
        <f>+'AFRO Stock 2022'!U11</f>
        <v>0</v>
      </c>
    </row>
    <row r="11" spans="1:14" x14ac:dyDescent="0.35">
      <c r="A11" s="4" t="s">
        <v>220</v>
      </c>
      <c r="B11" s="5">
        <f>+'AFRO Stock 2012'!U12</f>
        <v>0</v>
      </c>
      <c r="C11" s="5">
        <f>+'AFRO Stock 2013'!U12</f>
        <v>0</v>
      </c>
      <c r="D11" s="5">
        <f>+'AFRO Stock 2014'!U12</f>
        <v>0</v>
      </c>
      <c r="E11" s="5">
        <f>+'AFRO Stock 2015'!U12</f>
        <v>0</v>
      </c>
      <c r="F11" s="5">
        <f>+'AFRO Stock 2016'!U12</f>
        <v>0</v>
      </c>
      <c r="G11" s="5">
        <f>+'AFRO Stock 2017'!U12</f>
        <v>0</v>
      </c>
      <c r="H11" s="5">
        <f>+'AFRO Stock 2018'!U12</f>
        <v>0</v>
      </c>
      <c r="I11" s="5">
        <f>+'AFRO Stock 2019'!U12</f>
        <v>0</v>
      </c>
      <c r="J11" s="5">
        <f>+'AFRO Stock 2020'!U12</f>
        <v>0</v>
      </c>
      <c r="K11" s="5">
        <f>+'AFRO Stock 2021'!U12</f>
        <v>0</v>
      </c>
      <c r="L11" s="5">
        <f>+'AFRO Stock 2022'!U12</f>
        <v>0</v>
      </c>
    </row>
    <row r="12" spans="1:14" x14ac:dyDescent="0.35">
      <c r="A12" s="4" t="s">
        <v>221</v>
      </c>
      <c r="B12" s="5">
        <f>+'AFRO Stock 2012'!U13</f>
        <v>0</v>
      </c>
      <c r="C12" s="5">
        <f>+'AFRO Stock 2013'!U13</f>
        <v>0</v>
      </c>
      <c r="D12" s="5">
        <f>+'AFRO Stock 2014'!U13</f>
        <v>0</v>
      </c>
      <c r="E12" s="5">
        <f>+'AFRO Stock 2015'!U13</f>
        <v>0</v>
      </c>
      <c r="F12" s="5">
        <f>+'AFRO Stock 2016'!U13</f>
        <v>0</v>
      </c>
      <c r="G12" s="5">
        <f>+'AFRO Stock 2017'!U13</f>
        <v>0</v>
      </c>
      <c r="H12" s="5">
        <f>+'AFRO Stock 2018'!U13</f>
        <v>0</v>
      </c>
      <c r="I12" s="5">
        <f>+'AFRO Stock 2019'!U13</f>
        <v>0</v>
      </c>
      <c r="J12" s="5">
        <f>+'AFRO Stock 2020'!U13</f>
        <v>0</v>
      </c>
      <c r="K12" s="5">
        <f>+'AFRO Stock 2021'!U13</f>
        <v>0</v>
      </c>
      <c r="L12" s="5">
        <f>+'AFRO Stock 2022'!U13</f>
        <v>0</v>
      </c>
    </row>
    <row r="13" spans="1:14" x14ac:dyDescent="0.35">
      <c r="A13" s="4" t="s">
        <v>222</v>
      </c>
      <c r="B13" s="5">
        <f>+'AFRO Stock 2012'!U14</f>
        <v>0</v>
      </c>
      <c r="C13" s="5">
        <f>+'AFRO Stock 2013'!U14</f>
        <v>0</v>
      </c>
      <c r="D13" s="5">
        <f>+'AFRO Stock 2014'!U14</f>
        <v>0</v>
      </c>
      <c r="E13" s="5">
        <f>+'AFRO Stock 2015'!U14</f>
        <v>0</v>
      </c>
      <c r="F13" s="5">
        <f>+'AFRO Stock 2016'!U14</f>
        <v>0</v>
      </c>
      <c r="G13" s="5">
        <f>+'AFRO Stock 2017'!U14</f>
        <v>0</v>
      </c>
      <c r="H13" s="5">
        <f>+'AFRO Stock 2018'!U14</f>
        <v>0</v>
      </c>
      <c r="I13" s="5">
        <f>+'AFRO Stock 2019'!U14</f>
        <v>0</v>
      </c>
      <c r="J13" s="5">
        <f>+'AFRO Stock 2020'!U14</f>
        <v>0</v>
      </c>
      <c r="K13" s="5">
        <f>+'AFRO Stock 2021'!U14</f>
        <v>0</v>
      </c>
      <c r="L13" s="5">
        <f>+'AFRO Stock 2022'!U14</f>
        <v>0</v>
      </c>
    </row>
    <row r="14" spans="1:14" x14ac:dyDescent="0.35">
      <c r="A14" s="4" t="s">
        <v>223</v>
      </c>
      <c r="B14" s="5">
        <f>+'AFRO Stock 2012'!U15</f>
        <v>0</v>
      </c>
      <c r="C14" s="5">
        <f>+'AFRO Stock 2013'!U15</f>
        <v>0</v>
      </c>
      <c r="D14" s="5">
        <f>+'AFRO Stock 2014'!U15</f>
        <v>0</v>
      </c>
      <c r="E14" s="5">
        <f>+'AFRO Stock 2015'!U15</f>
        <v>0</v>
      </c>
      <c r="F14" s="5">
        <f>+'AFRO Stock 2016'!U15</f>
        <v>0</v>
      </c>
      <c r="G14" s="5">
        <f>+'AFRO Stock 2017'!U15</f>
        <v>0</v>
      </c>
      <c r="H14" s="5">
        <f>+'AFRO Stock 2018'!U15</f>
        <v>0</v>
      </c>
      <c r="I14" s="5">
        <f>+'AFRO Stock 2019'!U15</f>
        <v>0</v>
      </c>
      <c r="J14" s="5">
        <f>+'AFRO Stock 2020'!U15</f>
        <v>0</v>
      </c>
      <c r="K14" s="5">
        <f>+'AFRO Stock 2021'!U15</f>
        <v>0</v>
      </c>
      <c r="L14" s="5">
        <f>+'AFRO Stock 2022'!U15</f>
        <v>146</v>
      </c>
    </row>
    <row r="15" spans="1:14" x14ac:dyDescent="0.35">
      <c r="A15" s="4" t="s">
        <v>224</v>
      </c>
      <c r="B15" s="5">
        <f>+'AFRO Stock 2012'!U16</f>
        <v>0</v>
      </c>
      <c r="C15" s="5">
        <f>+'AFRO Stock 2013'!U16</f>
        <v>0</v>
      </c>
      <c r="D15" s="5">
        <f>+'AFRO Stock 2014'!U16</f>
        <v>0</v>
      </c>
      <c r="E15" s="5">
        <f>+'AFRO Stock 2015'!U16</f>
        <v>0</v>
      </c>
      <c r="F15" s="5">
        <f>+'AFRO Stock 2016'!U16</f>
        <v>0</v>
      </c>
      <c r="G15" s="5">
        <f>+'AFRO Stock 2017'!U16</f>
        <v>0</v>
      </c>
      <c r="H15" s="5">
        <f>+'AFRO Stock 2018'!U16</f>
        <v>0</v>
      </c>
      <c r="I15" s="5">
        <f>+'AFRO Stock 2019'!U16</f>
        <v>0</v>
      </c>
      <c r="J15" s="5">
        <f>+'AFRO Stock 2020'!U16</f>
        <v>0</v>
      </c>
      <c r="K15" s="5">
        <f>+'AFRO Stock 2021'!U16</f>
        <v>0</v>
      </c>
      <c r="L15" s="5">
        <f>+'AFRO Stock 2022'!U16</f>
        <v>0</v>
      </c>
    </row>
    <row r="16" spans="1:14" x14ac:dyDescent="0.35">
      <c r="A16" s="4" t="s">
        <v>225</v>
      </c>
      <c r="B16" s="5">
        <f>+'AFRO Stock 2012'!U17</f>
        <v>0</v>
      </c>
      <c r="C16" s="5">
        <f>+'AFRO Stock 2013'!U17</f>
        <v>0</v>
      </c>
      <c r="D16" s="5">
        <f>+'AFRO Stock 2014'!U17</f>
        <v>0</v>
      </c>
      <c r="E16" s="5">
        <f>+'AFRO Stock 2015'!U17</f>
        <v>0</v>
      </c>
      <c r="F16" s="5">
        <f>+'AFRO Stock 2016'!U17</f>
        <v>0</v>
      </c>
      <c r="G16" s="5">
        <f>+'AFRO Stock 2017'!U17</f>
        <v>0</v>
      </c>
      <c r="H16" s="5">
        <f>+'AFRO Stock 2018'!U17</f>
        <v>0</v>
      </c>
      <c r="I16" s="5">
        <f>+'AFRO Stock 2019'!U17</f>
        <v>0</v>
      </c>
      <c r="J16" s="5">
        <f>+'AFRO Stock 2020'!U17</f>
        <v>0</v>
      </c>
      <c r="K16" s="5">
        <f>+'AFRO Stock 2021'!U17</f>
        <v>0</v>
      </c>
      <c r="L16" s="5">
        <f>+'AFRO Stock 2022'!U17</f>
        <v>0</v>
      </c>
    </row>
    <row r="17" spans="1:12" x14ac:dyDescent="0.35">
      <c r="A17" s="4" t="s">
        <v>226</v>
      </c>
      <c r="B17" s="5">
        <f>+'AFRO Stock 2012'!U18</f>
        <v>0</v>
      </c>
      <c r="C17" s="5">
        <f>+'AFRO Stock 2013'!U18</f>
        <v>0</v>
      </c>
      <c r="D17" s="5">
        <f>+'AFRO Stock 2014'!U18</f>
        <v>0</v>
      </c>
      <c r="E17" s="5">
        <f>+'AFRO Stock 2015'!U18</f>
        <v>0</v>
      </c>
      <c r="F17" s="5">
        <f>+'AFRO Stock 2016'!U18</f>
        <v>0</v>
      </c>
      <c r="G17" s="5">
        <f>+'AFRO Stock 2017'!U18</f>
        <v>0</v>
      </c>
      <c r="H17" s="5">
        <f>+'AFRO Stock 2018'!U18</f>
        <v>0</v>
      </c>
      <c r="I17" s="5">
        <f>+'AFRO Stock 2019'!U18</f>
        <v>0</v>
      </c>
      <c r="J17" s="5">
        <f>+'AFRO Stock 2020'!U18</f>
        <v>0</v>
      </c>
      <c r="K17" s="5">
        <f>+'AFRO Stock 2021'!U18</f>
        <v>0</v>
      </c>
      <c r="L17" s="5">
        <f>+'AFRO Stock 2022'!U18</f>
        <v>0</v>
      </c>
    </row>
    <row r="18" spans="1:12" x14ac:dyDescent="0.35">
      <c r="A18" s="4" t="s">
        <v>227</v>
      </c>
      <c r="B18" s="5">
        <f>+'AFRO Stock 2012'!U19</f>
        <v>0</v>
      </c>
      <c r="C18" s="5">
        <f>+'AFRO Stock 2013'!U19</f>
        <v>0</v>
      </c>
      <c r="D18" s="5">
        <f>+'AFRO Stock 2014'!U19</f>
        <v>0</v>
      </c>
      <c r="E18" s="5">
        <f>+'AFRO Stock 2015'!U19</f>
        <v>0</v>
      </c>
      <c r="F18" s="5">
        <f>+'AFRO Stock 2016'!U19</f>
        <v>0</v>
      </c>
      <c r="G18" s="5">
        <f>+'AFRO Stock 2017'!U19</f>
        <v>0</v>
      </c>
      <c r="H18" s="5">
        <f>+'AFRO Stock 2018'!U19</f>
        <v>0</v>
      </c>
      <c r="I18" s="5">
        <f>+'AFRO Stock 2019'!U19</f>
        <v>0</v>
      </c>
      <c r="J18" s="5">
        <f>+'AFRO Stock 2020'!U19</f>
        <v>0</v>
      </c>
      <c r="K18" s="5">
        <f>+'AFRO Stock 2021'!U19</f>
        <v>0</v>
      </c>
      <c r="L18" s="5">
        <f>+'AFRO Stock 2022'!U19</f>
        <v>0</v>
      </c>
    </row>
    <row r="19" spans="1:12" x14ac:dyDescent="0.35">
      <c r="A19" s="4" t="s">
        <v>228</v>
      </c>
      <c r="B19" s="5">
        <f>+'AFRO Stock 2012'!U20</f>
        <v>0</v>
      </c>
      <c r="C19" s="5">
        <f>+'AFRO Stock 2013'!U20</f>
        <v>0</v>
      </c>
      <c r="D19" s="5">
        <f>+'AFRO Stock 2014'!U20</f>
        <v>0</v>
      </c>
      <c r="E19" s="5">
        <f>+'AFRO Stock 2015'!U20</f>
        <v>0</v>
      </c>
      <c r="F19" s="5">
        <f>+'AFRO Stock 2016'!U20</f>
        <v>0</v>
      </c>
      <c r="G19" s="5">
        <f>+'AFRO Stock 2017'!U20</f>
        <v>0</v>
      </c>
      <c r="H19" s="5">
        <f>+'AFRO Stock 2018'!U20</f>
        <v>0</v>
      </c>
      <c r="I19" s="5">
        <f>+'AFRO Stock 2019'!U20</f>
        <v>0</v>
      </c>
      <c r="J19" s="5">
        <f>+'AFRO Stock 2020'!U20</f>
        <v>0</v>
      </c>
      <c r="K19" s="5">
        <f>+'AFRO Stock 2021'!U20</f>
        <v>0</v>
      </c>
      <c r="L19" s="5">
        <f>+'AFRO Stock 2022'!U20</f>
        <v>0</v>
      </c>
    </row>
    <row r="20" spans="1:12" x14ac:dyDescent="0.35">
      <c r="A20" s="4" t="s">
        <v>229</v>
      </c>
      <c r="B20" s="5">
        <f>+'AFRO Stock 2012'!U21</f>
        <v>0</v>
      </c>
      <c r="C20" s="5">
        <f>+'AFRO Stock 2013'!U21</f>
        <v>0</v>
      </c>
      <c r="D20" s="5">
        <f>+'AFRO Stock 2014'!U21</f>
        <v>0</v>
      </c>
      <c r="E20" s="5">
        <f>+'AFRO Stock 2015'!U21</f>
        <v>0</v>
      </c>
      <c r="F20" s="5">
        <f>+'AFRO Stock 2016'!U21</f>
        <v>0</v>
      </c>
      <c r="G20" s="5">
        <f>+'AFRO Stock 2017'!U21</f>
        <v>0</v>
      </c>
      <c r="H20" s="5">
        <f>+'AFRO Stock 2018'!U21</f>
        <v>0</v>
      </c>
      <c r="I20" s="5">
        <f>+'AFRO Stock 2019'!U21</f>
        <v>0</v>
      </c>
      <c r="J20" s="5">
        <f>+'AFRO Stock 2020'!U21</f>
        <v>0</v>
      </c>
      <c r="K20" s="5">
        <f>+'AFRO Stock 2021'!U21</f>
        <v>0</v>
      </c>
      <c r="L20" s="5">
        <f>+'AFRO Stock 2022'!U21</f>
        <v>0</v>
      </c>
    </row>
    <row r="21" spans="1:12" x14ac:dyDescent="0.35">
      <c r="A21" s="4" t="s">
        <v>230</v>
      </c>
      <c r="B21" s="5">
        <f>+'AFRO Stock 2012'!U22</f>
        <v>0</v>
      </c>
      <c r="C21" s="5">
        <f>+'AFRO Stock 2013'!U22</f>
        <v>0</v>
      </c>
      <c r="D21" s="5">
        <f>+'AFRO Stock 2014'!U22</f>
        <v>0</v>
      </c>
      <c r="E21" s="5">
        <f>+'AFRO Stock 2015'!U22</f>
        <v>0</v>
      </c>
      <c r="F21" s="5">
        <f>+'AFRO Stock 2016'!U22</f>
        <v>0</v>
      </c>
      <c r="G21" s="5">
        <f>+'AFRO Stock 2017'!U22</f>
        <v>0</v>
      </c>
      <c r="H21" s="5">
        <f>+'AFRO Stock 2018'!U22</f>
        <v>0</v>
      </c>
      <c r="I21" s="5">
        <f>+'AFRO Stock 2019'!U22</f>
        <v>0</v>
      </c>
      <c r="J21" s="5">
        <f>+'AFRO Stock 2020'!U22</f>
        <v>0</v>
      </c>
      <c r="K21" s="5">
        <f>+'AFRO Stock 2021'!U22</f>
        <v>0</v>
      </c>
      <c r="L21" s="5">
        <f>+'AFRO Stock 2022'!U22</f>
        <v>0</v>
      </c>
    </row>
    <row r="22" spans="1:12" x14ac:dyDescent="0.35">
      <c r="A22" s="4" t="s">
        <v>231</v>
      </c>
      <c r="B22" s="5">
        <f>+'AFRO Stock 2012'!U23</f>
        <v>0</v>
      </c>
      <c r="C22" s="5">
        <f>+'AFRO Stock 2013'!U23</f>
        <v>0</v>
      </c>
      <c r="D22" s="5">
        <f>+'AFRO Stock 2014'!U23</f>
        <v>0</v>
      </c>
      <c r="E22" s="5">
        <f>+'AFRO Stock 2015'!U23</f>
        <v>0</v>
      </c>
      <c r="F22" s="5">
        <f>+'AFRO Stock 2016'!U23</f>
        <v>0</v>
      </c>
      <c r="G22" s="5">
        <f>+'AFRO Stock 2017'!U23</f>
        <v>0</v>
      </c>
      <c r="H22" s="5">
        <f>+'AFRO Stock 2018'!U23</f>
        <v>0</v>
      </c>
      <c r="I22" s="5">
        <f>+'AFRO Stock 2019'!U23</f>
        <v>0</v>
      </c>
      <c r="J22" s="5">
        <f>+'AFRO Stock 2020'!U23</f>
        <v>0</v>
      </c>
      <c r="K22" s="5">
        <f>+'AFRO Stock 2021'!U23</f>
        <v>0</v>
      </c>
      <c r="L22" s="5">
        <f>+'AFRO Stock 2022'!U23</f>
        <v>0</v>
      </c>
    </row>
    <row r="23" spans="1:12" x14ac:dyDescent="0.35">
      <c r="A23" s="4" t="s">
        <v>232</v>
      </c>
      <c r="B23" s="5">
        <f>+'AFRO Stock 2012'!U24</f>
        <v>0</v>
      </c>
      <c r="C23" s="5">
        <f>+'AFRO Stock 2013'!U24</f>
        <v>0</v>
      </c>
      <c r="D23" s="5">
        <f>+'AFRO Stock 2014'!U24</f>
        <v>0</v>
      </c>
      <c r="E23" s="5">
        <f>+'AFRO Stock 2015'!U24</f>
        <v>0</v>
      </c>
      <c r="F23" s="5">
        <f>+'AFRO Stock 2016'!U24</f>
        <v>0</v>
      </c>
      <c r="G23" s="5">
        <f>+'AFRO Stock 2017'!U24</f>
        <v>0</v>
      </c>
      <c r="H23" s="5">
        <f>+'AFRO Stock 2018'!U24</f>
        <v>0</v>
      </c>
      <c r="I23" s="5">
        <f>+'AFRO Stock 2019'!U24</f>
        <v>0</v>
      </c>
      <c r="J23" s="5">
        <f>+'AFRO Stock 2020'!U24</f>
        <v>0</v>
      </c>
      <c r="K23" s="5">
        <f>+'AFRO Stock 2021'!U24</f>
        <v>0</v>
      </c>
      <c r="L23" s="5">
        <f>+'AFRO Stock 2022'!U24</f>
        <v>0</v>
      </c>
    </row>
    <row r="24" spans="1:12" x14ac:dyDescent="0.35">
      <c r="A24" s="4" t="s">
        <v>233</v>
      </c>
      <c r="B24" s="5">
        <f>+'AFRO Stock 2012'!U25</f>
        <v>0</v>
      </c>
      <c r="C24" s="5">
        <f>+'AFRO Stock 2013'!U25</f>
        <v>0</v>
      </c>
      <c r="D24" s="5">
        <f>+'AFRO Stock 2014'!U25</f>
        <v>0</v>
      </c>
      <c r="E24" s="5">
        <f>+'AFRO Stock 2015'!U25</f>
        <v>0</v>
      </c>
      <c r="F24" s="5">
        <f>+'AFRO Stock 2016'!U25</f>
        <v>0</v>
      </c>
      <c r="G24" s="5">
        <f>+'AFRO Stock 2017'!U25</f>
        <v>0</v>
      </c>
      <c r="H24" s="5">
        <f>+'AFRO Stock 2018'!U25</f>
        <v>0</v>
      </c>
      <c r="I24" s="5">
        <f>+'AFRO Stock 2019'!U25</f>
        <v>0</v>
      </c>
      <c r="J24" s="5">
        <f>+'AFRO Stock 2020'!U25</f>
        <v>0</v>
      </c>
      <c r="K24" s="5">
        <f>+'AFRO Stock 2021'!U25</f>
        <v>0</v>
      </c>
      <c r="L24" s="5">
        <f>+'AFRO Stock 2022'!U25</f>
        <v>0</v>
      </c>
    </row>
    <row r="25" spans="1:12" x14ac:dyDescent="0.35">
      <c r="A25" s="4" t="s">
        <v>234</v>
      </c>
      <c r="B25" s="5">
        <f>+'AFRO Stock 2012'!U26</f>
        <v>0</v>
      </c>
      <c r="C25" s="5">
        <f>+'AFRO Stock 2013'!U26</f>
        <v>0</v>
      </c>
      <c r="D25" s="5">
        <f>+'AFRO Stock 2014'!U26</f>
        <v>0</v>
      </c>
      <c r="E25" s="5">
        <f>+'AFRO Stock 2015'!U26</f>
        <v>0</v>
      </c>
      <c r="F25" s="5">
        <f>+'AFRO Stock 2016'!U26</f>
        <v>0</v>
      </c>
      <c r="G25" s="5">
        <f>+'AFRO Stock 2017'!U26</f>
        <v>0</v>
      </c>
      <c r="H25" s="5">
        <f>+'AFRO Stock 2018'!U26</f>
        <v>0</v>
      </c>
      <c r="I25" s="5">
        <f>+'AFRO Stock 2019'!U26</f>
        <v>0</v>
      </c>
      <c r="J25" s="5">
        <f>+'AFRO Stock 2020'!U26</f>
        <v>0</v>
      </c>
      <c r="K25" s="5">
        <f>+'AFRO Stock 2021'!U26</f>
        <v>0</v>
      </c>
      <c r="L25" s="5">
        <f>+'AFRO Stock 2022'!U26</f>
        <v>0</v>
      </c>
    </row>
    <row r="26" spans="1:12" x14ac:dyDescent="0.35">
      <c r="A26" s="4" t="s">
        <v>235</v>
      </c>
      <c r="B26" s="5">
        <f>+'AFRO Stock 2012'!U27</f>
        <v>0</v>
      </c>
      <c r="C26" s="5">
        <f>+'AFRO Stock 2013'!U27</f>
        <v>0</v>
      </c>
      <c r="D26" s="5">
        <f>+'AFRO Stock 2014'!U27</f>
        <v>0</v>
      </c>
      <c r="E26" s="5">
        <f>+'AFRO Stock 2015'!U27</f>
        <v>0</v>
      </c>
      <c r="F26" s="5">
        <f>+'AFRO Stock 2016'!U27</f>
        <v>0</v>
      </c>
      <c r="G26" s="5">
        <f>+'AFRO Stock 2017'!U27</f>
        <v>0</v>
      </c>
      <c r="H26" s="5">
        <f>+'AFRO Stock 2018'!U27</f>
        <v>0</v>
      </c>
      <c r="I26" s="5">
        <f>+'AFRO Stock 2019'!U27</f>
        <v>0</v>
      </c>
      <c r="J26" s="5">
        <f>+'AFRO Stock 2020'!U27</f>
        <v>0</v>
      </c>
      <c r="K26" s="5">
        <f>+'AFRO Stock 2021'!U27</f>
        <v>0</v>
      </c>
      <c r="L26" s="5">
        <f>+'AFRO Stock 2022'!U27</f>
        <v>0</v>
      </c>
    </row>
    <row r="27" spans="1:12" x14ac:dyDescent="0.35">
      <c r="A27" s="4" t="s">
        <v>236</v>
      </c>
      <c r="B27" s="5">
        <f>+'AFRO Stock 2012'!U28</f>
        <v>0</v>
      </c>
      <c r="C27" s="5">
        <f>+'AFRO Stock 2013'!U28</f>
        <v>0</v>
      </c>
      <c r="D27" s="5">
        <f>+'AFRO Stock 2014'!U28</f>
        <v>0</v>
      </c>
      <c r="E27" s="5">
        <f>+'AFRO Stock 2015'!U28</f>
        <v>0</v>
      </c>
      <c r="F27" s="5">
        <f>+'AFRO Stock 2016'!U28</f>
        <v>0</v>
      </c>
      <c r="G27" s="5">
        <f>+'AFRO Stock 2017'!U28</f>
        <v>0</v>
      </c>
      <c r="H27" s="5">
        <f>+'AFRO Stock 2018'!U28</f>
        <v>0</v>
      </c>
      <c r="I27" s="5">
        <f>+'AFRO Stock 2019'!U28</f>
        <v>0</v>
      </c>
      <c r="J27" s="5">
        <f>+'AFRO Stock 2020'!U28</f>
        <v>0</v>
      </c>
      <c r="K27" s="5">
        <f>+'AFRO Stock 2021'!U28</f>
        <v>0</v>
      </c>
      <c r="L27" s="5">
        <f>+'AFRO Stock 2022'!U28</f>
        <v>0</v>
      </c>
    </row>
    <row r="28" spans="1:12" x14ac:dyDescent="0.35">
      <c r="A28" s="4" t="s">
        <v>237</v>
      </c>
      <c r="B28" s="5">
        <f>+'AFRO Stock 2012'!U29</f>
        <v>0</v>
      </c>
      <c r="C28" s="5">
        <f>+'AFRO Stock 2013'!U29</f>
        <v>0</v>
      </c>
      <c r="D28" s="5">
        <f>+'AFRO Stock 2014'!U29</f>
        <v>0</v>
      </c>
      <c r="E28" s="5">
        <f>+'AFRO Stock 2015'!U29</f>
        <v>0</v>
      </c>
      <c r="F28" s="5">
        <f>+'AFRO Stock 2016'!U29</f>
        <v>0</v>
      </c>
      <c r="G28" s="5">
        <f>+'AFRO Stock 2017'!U29</f>
        <v>0</v>
      </c>
      <c r="H28" s="5">
        <f>+'AFRO Stock 2018'!U29</f>
        <v>0</v>
      </c>
      <c r="I28" s="5">
        <f>+'AFRO Stock 2019'!U29</f>
        <v>0</v>
      </c>
      <c r="J28" s="5">
        <f>+'AFRO Stock 2020'!U29</f>
        <v>0</v>
      </c>
      <c r="K28" s="5">
        <f>+'AFRO Stock 2021'!U29</f>
        <v>0</v>
      </c>
      <c r="L28" s="5">
        <f>+'AFRO Stock 2022'!U29</f>
        <v>282</v>
      </c>
    </row>
    <row r="29" spans="1:12" x14ac:dyDescent="0.35">
      <c r="A29" s="4" t="s">
        <v>238</v>
      </c>
      <c r="B29" s="5">
        <f>+'AFRO Stock 2012'!U30</f>
        <v>0</v>
      </c>
      <c r="C29" s="5">
        <f>+'AFRO Stock 2013'!U30</f>
        <v>0</v>
      </c>
      <c r="D29" s="5">
        <f>+'AFRO Stock 2014'!U30</f>
        <v>0</v>
      </c>
      <c r="E29" s="5">
        <f>+'AFRO Stock 2015'!U30</f>
        <v>0</v>
      </c>
      <c r="F29" s="5">
        <f>+'AFRO Stock 2016'!U30</f>
        <v>0</v>
      </c>
      <c r="G29" s="5">
        <f>+'AFRO Stock 2017'!U30</f>
        <v>0</v>
      </c>
      <c r="H29" s="5">
        <f>+'AFRO Stock 2018'!U30</f>
        <v>0</v>
      </c>
      <c r="I29" s="5">
        <f>+'AFRO Stock 2019'!U30</f>
        <v>0</v>
      </c>
      <c r="J29" s="5">
        <f>+'AFRO Stock 2020'!U30</f>
        <v>0</v>
      </c>
      <c r="K29" s="5">
        <f>+'AFRO Stock 2021'!U30</f>
        <v>0</v>
      </c>
      <c r="L29" s="5">
        <f>+'AFRO Stock 2022'!U30</f>
        <v>228</v>
      </c>
    </row>
    <row r="30" spans="1:12" x14ac:dyDescent="0.35">
      <c r="A30" s="4" t="s">
        <v>239</v>
      </c>
      <c r="B30" s="5">
        <f>+'AFRO Stock 2012'!U31</f>
        <v>0</v>
      </c>
      <c r="C30" s="5">
        <f>+'AFRO Stock 2013'!U31</f>
        <v>0</v>
      </c>
      <c r="D30" s="5">
        <f>+'AFRO Stock 2014'!U31</f>
        <v>0</v>
      </c>
      <c r="E30" s="5">
        <f>+'AFRO Stock 2015'!U31</f>
        <v>0</v>
      </c>
      <c r="F30" s="5">
        <f>+'AFRO Stock 2016'!U31</f>
        <v>0</v>
      </c>
      <c r="G30" s="5">
        <f>+'AFRO Stock 2017'!U31</f>
        <v>0</v>
      </c>
      <c r="H30" s="5">
        <f>+'AFRO Stock 2018'!U31</f>
        <v>2</v>
      </c>
      <c r="I30" s="5">
        <f>+'AFRO Stock 2019'!U31</f>
        <v>0</v>
      </c>
      <c r="J30" s="5">
        <f>+'AFRO Stock 2020'!U31</f>
        <v>0</v>
      </c>
      <c r="K30" s="5">
        <f>+'AFRO Stock 2021'!U31</f>
        <v>0</v>
      </c>
      <c r="L30" s="5">
        <f>+'AFRO Stock 2022'!U31</f>
        <v>0</v>
      </c>
    </row>
    <row r="31" spans="1:12" x14ac:dyDescent="0.35">
      <c r="A31" s="4" t="s">
        <v>240</v>
      </c>
      <c r="B31" s="5">
        <f>+'AFRO Stock 2012'!U32</f>
        <v>0</v>
      </c>
      <c r="C31" s="5">
        <f>+'AFRO Stock 2013'!U32</f>
        <v>0</v>
      </c>
      <c r="D31" s="5">
        <f>+'AFRO Stock 2014'!U32</f>
        <v>0</v>
      </c>
      <c r="E31" s="5">
        <f>+'AFRO Stock 2015'!U32</f>
        <v>0</v>
      </c>
      <c r="F31" s="5">
        <f>+'AFRO Stock 2016'!U32</f>
        <v>0</v>
      </c>
      <c r="G31" s="5">
        <f>+'AFRO Stock 2017'!U32</f>
        <v>0</v>
      </c>
      <c r="H31" s="5">
        <f>+'AFRO Stock 2018'!U32</f>
        <v>0</v>
      </c>
      <c r="I31" s="5">
        <f>+'AFRO Stock 2019'!U32</f>
        <v>0</v>
      </c>
      <c r="J31" s="5">
        <f>+'AFRO Stock 2020'!U32</f>
        <v>0</v>
      </c>
      <c r="K31" s="5">
        <f>+'AFRO Stock 2021'!U32</f>
        <v>0</v>
      </c>
      <c r="L31" s="5">
        <f>+'AFRO Stock 2022'!U32</f>
        <v>0</v>
      </c>
    </row>
    <row r="32" spans="1:12" x14ac:dyDescent="0.35">
      <c r="A32" s="4" t="s">
        <v>241</v>
      </c>
      <c r="B32" s="5">
        <f>+'AFRO Stock 2012'!U33</f>
        <v>0</v>
      </c>
      <c r="C32" s="5">
        <f>+'AFRO Stock 2013'!U33</f>
        <v>0</v>
      </c>
      <c r="D32" s="5">
        <f>+'AFRO Stock 2014'!U33</f>
        <v>0</v>
      </c>
      <c r="E32" s="5">
        <f>+'AFRO Stock 2015'!U33</f>
        <v>0</v>
      </c>
      <c r="F32" s="5">
        <f>+'AFRO Stock 2016'!U33</f>
        <v>0</v>
      </c>
      <c r="G32" s="5">
        <f>+'AFRO Stock 2017'!U33</f>
        <v>0</v>
      </c>
      <c r="H32" s="5">
        <f>+'AFRO Stock 2018'!U33</f>
        <v>0</v>
      </c>
      <c r="I32" s="5">
        <f>+'AFRO Stock 2019'!U33</f>
        <v>0</v>
      </c>
      <c r="J32" s="5">
        <f>+'AFRO Stock 2020'!U33</f>
        <v>0</v>
      </c>
      <c r="K32" s="5">
        <f>+'AFRO Stock 2021'!U33</f>
        <v>0</v>
      </c>
      <c r="L32" s="5">
        <f>+'AFRO Stock 2022'!U33</f>
        <v>0</v>
      </c>
    </row>
    <row r="33" spans="1:12" x14ac:dyDescent="0.35">
      <c r="A33" s="4" t="s">
        <v>242</v>
      </c>
      <c r="B33" s="5">
        <f>+'AFRO Stock 2012'!U34</f>
        <v>0</v>
      </c>
      <c r="C33" s="5">
        <f>+'AFRO Stock 2013'!U34</f>
        <v>0</v>
      </c>
      <c r="D33" s="5">
        <f>+'AFRO Stock 2014'!U34</f>
        <v>0</v>
      </c>
      <c r="E33" s="5">
        <f>+'AFRO Stock 2015'!U34</f>
        <v>0</v>
      </c>
      <c r="F33" s="5">
        <f>+'AFRO Stock 2016'!U34</f>
        <v>0</v>
      </c>
      <c r="G33" s="5">
        <f>+'AFRO Stock 2017'!U34</f>
        <v>507</v>
      </c>
      <c r="H33" s="5">
        <f>+'AFRO Stock 2018'!U34</f>
        <v>0</v>
      </c>
      <c r="I33" s="5">
        <f>+'AFRO Stock 2019'!U34</f>
        <v>0</v>
      </c>
      <c r="J33" s="5">
        <f>+'AFRO Stock 2020'!U34</f>
        <v>0</v>
      </c>
      <c r="K33" s="5">
        <f>+'AFRO Stock 2021'!U34</f>
        <v>0</v>
      </c>
      <c r="L33" s="5">
        <f>+'AFRO Stock 2022'!U34</f>
        <v>0</v>
      </c>
    </row>
    <row r="34" spans="1:12" x14ac:dyDescent="0.35">
      <c r="A34" s="4" t="s">
        <v>243</v>
      </c>
      <c r="B34" s="5">
        <f>+'AFRO Stock 2012'!U35</f>
        <v>0</v>
      </c>
      <c r="C34" s="5">
        <f>+'AFRO Stock 2013'!U35</f>
        <v>0</v>
      </c>
      <c r="D34" s="5">
        <f>+'AFRO Stock 2014'!U35</f>
        <v>0</v>
      </c>
      <c r="E34" s="5">
        <f>+'AFRO Stock 2015'!U35</f>
        <v>0</v>
      </c>
      <c r="F34" s="5">
        <f>+'AFRO Stock 2016'!U35</f>
        <v>0</v>
      </c>
      <c r="G34" s="5">
        <f>+'AFRO Stock 2017'!U35</f>
        <v>0</v>
      </c>
      <c r="H34" s="5">
        <f>+'AFRO Stock 2018'!U35</f>
        <v>0</v>
      </c>
      <c r="I34" s="5">
        <f>+'AFRO Stock 2019'!U35</f>
        <v>0</v>
      </c>
      <c r="J34" s="5">
        <f>+'AFRO Stock 2020'!U35</f>
        <v>0</v>
      </c>
      <c r="K34" s="5">
        <f>+'AFRO Stock 2021'!U35</f>
        <v>0</v>
      </c>
      <c r="L34" s="5">
        <f>+'AFRO Stock 2022'!U35</f>
        <v>0</v>
      </c>
    </row>
    <row r="35" spans="1:12" x14ac:dyDescent="0.35">
      <c r="A35" s="4" t="s">
        <v>244</v>
      </c>
      <c r="B35" s="5">
        <f>+'AFRO Stock 2012'!U36</f>
        <v>0</v>
      </c>
      <c r="C35" s="5">
        <f>+'AFRO Stock 2013'!U36</f>
        <v>0</v>
      </c>
      <c r="D35" s="5">
        <f>+'AFRO Stock 2014'!U36</f>
        <v>0</v>
      </c>
      <c r="E35" s="5">
        <f>+'AFRO Stock 2015'!U36</f>
        <v>0</v>
      </c>
      <c r="F35" s="5">
        <f>+'AFRO Stock 2016'!U36</f>
        <v>0</v>
      </c>
      <c r="G35" s="5">
        <f>+'AFRO Stock 2017'!U36</f>
        <v>0</v>
      </c>
      <c r="H35" s="5">
        <f>+'AFRO Stock 2018'!U36</f>
        <v>0</v>
      </c>
      <c r="I35" s="5">
        <f>+'AFRO Stock 2019'!U36</f>
        <v>0</v>
      </c>
      <c r="J35" s="5">
        <f>+'AFRO Stock 2020'!U36</f>
        <v>0</v>
      </c>
      <c r="K35" s="5">
        <f>+'AFRO Stock 2021'!U36</f>
        <v>0</v>
      </c>
      <c r="L35" s="5">
        <f>+'AFRO Stock 2022'!U36</f>
        <v>0</v>
      </c>
    </row>
    <row r="36" spans="1:12" x14ac:dyDescent="0.35">
      <c r="A36" s="4" t="s">
        <v>245</v>
      </c>
      <c r="B36" s="5">
        <f>+'AFRO Stock 2012'!U37</f>
        <v>0</v>
      </c>
      <c r="C36" s="5">
        <f>+'AFRO Stock 2013'!U37</f>
        <v>0</v>
      </c>
      <c r="D36" s="5">
        <f>+'AFRO Stock 2014'!U37</f>
        <v>0</v>
      </c>
      <c r="E36" s="5">
        <f>+'AFRO Stock 2015'!U37</f>
        <v>0</v>
      </c>
      <c r="F36" s="5">
        <f>+'AFRO Stock 2016'!U37</f>
        <v>0</v>
      </c>
      <c r="G36" s="5">
        <f>+'AFRO Stock 2017'!U37</f>
        <v>0</v>
      </c>
      <c r="H36" s="5">
        <f>+'AFRO Stock 2018'!U37</f>
        <v>0</v>
      </c>
      <c r="I36" s="5">
        <f>+'AFRO Stock 2019'!U37</f>
        <v>0</v>
      </c>
      <c r="J36" s="5">
        <f>+'AFRO Stock 2020'!U37</f>
        <v>0</v>
      </c>
      <c r="K36" s="5">
        <f>+'AFRO Stock 2021'!U37</f>
        <v>0</v>
      </c>
      <c r="L36" s="5">
        <f>+'AFRO Stock 2022'!U37</f>
        <v>23</v>
      </c>
    </row>
    <row r="37" spans="1:12" x14ac:dyDescent="0.35">
      <c r="A37" s="4" t="s">
        <v>246</v>
      </c>
      <c r="B37" s="5">
        <f>+'AFRO Stock 2012'!U38</f>
        <v>0</v>
      </c>
      <c r="C37" s="5">
        <f>+'AFRO Stock 2013'!U38</f>
        <v>0</v>
      </c>
      <c r="D37" s="5">
        <f>+'AFRO Stock 2014'!U38</f>
        <v>0</v>
      </c>
      <c r="E37" s="5">
        <f>+'AFRO Stock 2015'!U38</f>
        <v>0</v>
      </c>
      <c r="F37" s="5">
        <f>+'AFRO Stock 2016'!U38</f>
        <v>0</v>
      </c>
      <c r="G37" s="5">
        <f>+'AFRO Stock 2017'!U38</f>
        <v>0</v>
      </c>
      <c r="H37" s="5">
        <f>+'AFRO Stock 2018'!U38</f>
        <v>0</v>
      </c>
      <c r="I37" s="5">
        <f>+'AFRO Stock 2019'!U38</f>
        <v>0</v>
      </c>
      <c r="J37" s="5">
        <f>+'AFRO Stock 2020'!U38</f>
        <v>0</v>
      </c>
      <c r="K37" s="5">
        <f>+'AFRO Stock 2021'!U38</f>
        <v>0</v>
      </c>
      <c r="L37" s="5">
        <f>+'AFRO Stock 2022'!U38</f>
        <v>0</v>
      </c>
    </row>
    <row r="38" spans="1:12" x14ac:dyDescent="0.35">
      <c r="A38" s="4" t="s">
        <v>247</v>
      </c>
      <c r="B38" s="5">
        <f>+'AFRO Stock 2012'!U39</f>
        <v>0</v>
      </c>
      <c r="C38" s="5">
        <f>+'AFRO Stock 2013'!U39</f>
        <v>0</v>
      </c>
      <c r="D38" s="5">
        <f>+'AFRO Stock 2014'!U39</f>
        <v>0</v>
      </c>
      <c r="E38" s="5">
        <f>+'AFRO Stock 2015'!U39</f>
        <v>0</v>
      </c>
      <c r="F38" s="5">
        <f>+'AFRO Stock 2016'!U39</f>
        <v>0</v>
      </c>
      <c r="G38" s="5">
        <f>+'AFRO Stock 2017'!U39</f>
        <v>634</v>
      </c>
      <c r="H38" s="5">
        <f>+'AFRO Stock 2018'!U39</f>
        <v>0</v>
      </c>
      <c r="I38" s="5">
        <f>+'AFRO Stock 2019'!U39</f>
        <v>0</v>
      </c>
      <c r="J38" s="5">
        <f>+'AFRO Stock 2020'!U39</f>
        <v>0</v>
      </c>
      <c r="K38" s="5">
        <f>+'AFRO Stock 2021'!U39</f>
        <v>0</v>
      </c>
      <c r="L38" s="5">
        <f>+'AFRO Stock 2022'!U39</f>
        <v>1078</v>
      </c>
    </row>
    <row r="39" spans="1:12" x14ac:dyDescent="0.35">
      <c r="A39" s="4" t="s">
        <v>248</v>
      </c>
      <c r="B39" s="5">
        <f>+'AFRO Stock 2012'!U40</f>
        <v>0</v>
      </c>
      <c r="C39" s="5">
        <f>+'AFRO Stock 2013'!U40</f>
        <v>0</v>
      </c>
      <c r="D39" s="5">
        <f>+'AFRO Stock 2014'!U40</f>
        <v>0</v>
      </c>
      <c r="E39" s="5">
        <f>+'AFRO Stock 2015'!U40</f>
        <v>0</v>
      </c>
      <c r="F39" s="5">
        <f>+'AFRO Stock 2016'!U40</f>
        <v>0</v>
      </c>
      <c r="G39" s="5">
        <f>+'AFRO Stock 2017'!U40</f>
        <v>0</v>
      </c>
      <c r="H39" s="5">
        <f>+'AFRO Stock 2018'!U40</f>
        <v>0</v>
      </c>
      <c r="I39" s="5">
        <f>+'AFRO Stock 2019'!U40</f>
        <v>0</v>
      </c>
      <c r="J39" s="5">
        <f>+'AFRO Stock 2020'!U40</f>
        <v>0</v>
      </c>
      <c r="K39" s="5">
        <f>+'AFRO Stock 2021'!U40</f>
        <v>0</v>
      </c>
      <c r="L39" s="5">
        <f>+'AFRO Stock 2022'!U40</f>
        <v>0</v>
      </c>
    </row>
    <row r="40" spans="1:12" x14ac:dyDescent="0.35">
      <c r="A40" s="4" t="s">
        <v>249</v>
      </c>
      <c r="B40" s="5">
        <f>+'AFRO Stock 2012'!U41</f>
        <v>0</v>
      </c>
      <c r="C40" s="5">
        <f>+'AFRO Stock 2013'!U41</f>
        <v>0</v>
      </c>
      <c r="D40" s="5">
        <f>+'AFRO Stock 2014'!U41</f>
        <v>0</v>
      </c>
      <c r="E40" s="5">
        <f>+'AFRO Stock 2015'!U41</f>
        <v>0</v>
      </c>
      <c r="F40" s="5">
        <f>+'AFRO Stock 2016'!U41</f>
        <v>0</v>
      </c>
      <c r="G40" s="5">
        <f>+'AFRO Stock 2017'!U41</f>
        <v>0</v>
      </c>
      <c r="H40" s="5">
        <f>+'AFRO Stock 2018'!U41</f>
        <v>0</v>
      </c>
      <c r="I40" s="5">
        <f>+'AFRO Stock 2019'!U41</f>
        <v>0</v>
      </c>
      <c r="J40" s="5">
        <f>+'AFRO Stock 2020'!U41</f>
        <v>0</v>
      </c>
      <c r="K40" s="5">
        <f>+'AFRO Stock 2021'!U41</f>
        <v>0</v>
      </c>
      <c r="L40" s="5">
        <f>+'AFRO Stock 2022'!U41</f>
        <v>297</v>
      </c>
    </row>
    <row r="41" spans="1:12" x14ac:dyDescent="0.35">
      <c r="A41" s="4" t="s">
        <v>332</v>
      </c>
      <c r="B41" s="5">
        <f>+'AFRO Stock 2012'!U42</f>
        <v>0</v>
      </c>
      <c r="C41" s="5">
        <f>+'AFRO Stock 2013'!U42</f>
        <v>0</v>
      </c>
      <c r="D41" s="5">
        <f>+'AFRO Stock 2014'!U42</f>
        <v>0</v>
      </c>
      <c r="E41" s="5">
        <f>+'AFRO Stock 2015'!U42</f>
        <v>0</v>
      </c>
      <c r="F41" s="5">
        <f>+'AFRO Stock 2016'!U42</f>
        <v>0</v>
      </c>
      <c r="G41" s="5">
        <f>+'AFRO Stock 2017'!U42</f>
        <v>0</v>
      </c>
      <c r="H41" s="5">
        <f>+'AFRO Stock 2018'!U42</f>
        <v>0</v>
      </c>
      <c r="I41" s="5">
        <f>+'AFRO Stock 2019'!U42</f>
        <v>0</v>
      </c>
      <c r="J41" s="5">
        <f>+'AFRO Stock 2020'!U42</f>
        <v>0</v>
      </c>
      <c r="K41" s="5">
        <f>+'AFRO Stock 2021'!U42</f>
        <v>0</v>
      </c>
      <c r="L41" s="5">
        <f>+'AFRO Stock 2022'!U42</f>
        <v>0</v>
      </c>
    </row>
    <row r="42" spans="1:12" x14ac:dyDescent="0.35">
      <c r="A42" s="4" t="s">
        <v>333</v>
      </c>
      <c r="B42" s="5">
        <f>+'AFRO Stock 2012'!U43</f>
        <v>0</v>
      </c>
      <c r="C42" s="5">
        <f>+'AFRO Stock 2013'!U43</f>
        <v>0</v>
      </c>
      <c r="D42" s="5">
        <f>+'AFRO Stock 2014'!U43</f>
        <v>0</v>
      </c>
      <c r="E42" s="5">
        <f>+'AFRO Stock 2015'!U43</f>
        <v>0</v>
      </c>
      <c r="F42" s="5">
        <f>+'AFRO Stock 2016'!U43</f>
        <v>0</v>
      </c>
      <c r="G42" s="5">
        <f>+'AFRO Stock 2017'!U43</f>
        <v>0</v>
      </c>
      <c r="H42" s="5">
        <f>+'AFRO Stock 2018'!U43</f>
        <v>0</v>
      </c>
      <c r="I42" s="5">
        <f>+'AFRO Stock 2019'!U43</f>
        <v>0</v>
      </c>
      <c r="J42" s="5">
        <f>+'AFRO Stock 2020'!U43</f>
        <v>0</v>
      </c>
      <c r="K42" s="5">
        <f>+'AFRO Stock 2021'!U43</f>
        <v>0</v>
      </c>
      <c r="L42" s="5">
        <f>+'AFRO Stock 2022'!U43</f>
        <v>0</v>
      </c>
    </row>
    <row r="43" spans="1:12" x14ac:dyDescent="0.35">
      <c r="A43" s="4" t="s">
        <v>250</v>
      </c>
      <c r="B43" s="5">
        <f>+'AFRO Stock 2012'!U44</f>
        <v>0</v>
      </c>
      <c r="C43" s="5">
        <f>+'AFRO Stock 2013'!U44</f>
        <v>0</v>
      </c>
      <c r="D43" s="5">
        <f>+'AFRO Stock 2014'!U44</f>
        <v>0</v>
      </c>
      <c r="E43" s="5">
        <f>+'AFRO Stock 2015'!U44</f>
        <v>0</v>
      </c>
      <c r="F43" s="5">
        <f>+'AFRO Stock 2016'!U44</f>
        <v>0</v>
      </c>
      <c r="G43" s="5">
        <f>+'AFRO Stock 2017'!U44</f>
        <v>0</v>
      </c>
      <c r="H43" s="5">
        <f>+'AFRO Stock 2018'!U44</f>
        <v>0</v>
      </c>
      <c r="I43" s="5">
        <f>+'AFRO Stock 2019'!U44</f>
        <v>0</v>
      </c>
      <c r="J43" s="5">
        <f>+'AFRO Stock 2020'!U44</f>
        <v>0</v>
      </c>
      <c r="K43" s="5">
        <f>+'AFRO Stock 2021'!U44</f>
        <v>0</v>
      </c>
      <c r="L43" s="5">
        <f>+'AFRO Stock 2022'!U44</f>
        <v>0</v>
      </c>
    </row>
    <row r="44" spans="1:12" x14ac:dyDescent="0.35">
      <c r="A44" s="4" t="s">
        <v>251</v>
      </c>
      <c r="B44" s="5">
        <f>+'AFRO Stock 2012'!U45</f>
        <v>0</v>
      </c>
      <c r="C44" s="5">
        <f>+'AFRO Stock 2013'!U45</f>
        <v>0</v>
      </c>
      <c r="D44" s="5">
        <f>+'AFRO Stock 2014'!U45</f>
        <v>0</v>
      </c>
      <c r="E44" s="5">
        <f>+'AFRO Stock 2015'!U45</f>
        <v>0</v>
      </c>
      <c r="F44" s="5">
        <f>+'AFRO Stock 2016'!U45</f>
        <v>0</v>
      </c>
      <c r="G44" s="5">
        <f>+'AFRO Stock 2017'!U45</f>
        <v>0</v>
      </c>
      <c r="H44" s="5">
        <f>+'AFRO Stock 2018'!U45</f>
        <v>0</v>
      </c>
      <c r="I44" s="5">
        <f>+'AFRO Stock 2019'!U45</f>
        <v>0</v>
      </c>
      <c r="J44" s="5">
        <f>+'AFRO Stock 2020'!U45</f>
        <v>0</v>
      </c>
      <c r="K44" s="5">
        <f>+'AFRO Stock 2021'!U45</f>
        <v>0</v>
      </c>
      <c r="L44" s="5">
        <f>+'AFRO Stock 2022'!U45</f>
        <v>0</v>
      </c>
    </row>
    <row r="45" spans="1:12" x14ac:dyDescent="0.35">
      <c r="A45" s="4" t="s">
        <v>252</v>
      </c>
      <c r="B45" s="5">
        <f>+'AFRO Stock 2012'!U46</f>
        <v>0</v>
      </c>
      <c r="C45" s="5">
        <f>+'AFRO Stock 2013'!U46</f>
        <v>0</v>
      </c>
      <c r="D45" s="5">
        <f>+'AFRO Stock 2014'!U46</f>
        <v>0</v>
      </c>
      <c r="E45" s="5">
        <f>+'AFRO Stock 2015'!U46</f>
        <v>0</v>
      </c>
      <c r="F45" s="5">
        <f>+'AFRO Stock 2016'!U46</f>
        <v>0</v>
      </c>
      <c r="G45" s="5">
        <f>+'AFRO Stock 2017'!U46</f>
        <v>0</v>
      </c>
      <c r="H45" s="5">
        <f>+'AFRO Stock 2018'!U46</f>
        <v>0</v>
      </c>
      <c r="I45" s="5">
        <f>+'AFRO Stock 2019'!U46</f>
        <v>0</v>
      </c>
      <c r="J45" s="5">
        <f>+'AFRO Stock 2020'!U46</f>
        <v>0</v>
      </c>
      <c r="K45" s="5">
        <f>+'AFRO Stock 2021'!U46</f>
        <v>0</v>
      </c>
      <c r="L45" s="5">
        <f>+'AFRO Stock 2022'!U46</f>
        <v>0</v>
      </c>
    </row>
    <row r="46" spans="1:12" x14ac:dyDescent="0.35">
      <c r="A46" s="4" t="s">
        <v>253</v>
      </c>
      <c r="B46" s="5">
        <f>+'AFRO Stock 2012'!U47</f>
        <v>0</v>
      </c>
      <c r="C46" s="5">
        <f>+'AFRO Stock 2013'!U47</f>
        <v>0</v>
      </c>
      <c r="D46" s="5">
        <f>+'AFRO Stock 2014'!U47</f>
        <v>0</v>
      </c>
      <c r="E46" s="5">
        <f>+'AFRO Stock 2015'!U47</f>
        <v>0</v>
      </c>
      <c r="F46" s="5">
        <f>+'AFRO Stock 2016'!U47</f>
        <v>0</v>
      </c>
      <c r="G46" s="5">
        <f>+'AFRO Stock 2017'!U47</f>
        <v>0</v>
      </c>
      <c r="H46" s="5">
        <f>+'AFRO Stock 2018'!U47</f>
        <v>0</v>
      </c>
      <c r="I46" s="5">
        <f>+'AFRO Stock 2019'!U47</f>
        <v>0</v>
      </c>
      <c r="J46" s="5">
        <f>+'AFRO Stock 2020'!U47</f>
        <v>0</v>
      </c>
      <c r="K46" s="5">
        <f>+'AFRO Stock 2021'!U47</f>
        <v>0</v>
      </c>
      <c r="L46" s="5">
        <f>+'AFRO Stock 2022'!U47</f>
        <v>0</v>
      </c>
    </row>
    <row r="47" spans="1:12" x14ac:dyDescent="0.35">
      <c r="A47" s="4" t="s">
        <v>254</v>
      </c>
      <c r="B47" s="5">
        <f>+'AFRO Stock 2012'!U48</f>
        <v>0</v>
      </c>
      <c r="C47" s="5">
        <f>+'AFRO Stock 2013'!U48</f>
        <v>0</v>
      </c>
      <c r="D47" s="5">
        <f>+'AFRO Stock 2014'!U48</f>
        <v>0</v>
      </c>
      <c r="E47" s="5">
        <f>+'AFRO Stock 2015'!U48</f>
        <v>0</v>
      </c>
      <c r="F47" s="5">
        <f>+'AFRO Stock 2016'!U48</f>
        <v>0</v>
      </c>
      <c r="G47" s="5">
        <f>+'AFRO Stock 2017'!U48</f>
        <v>0</v>
      </c>
      <c r="H47" s="5">
        <f>+'AFRO Stock 2018'!U48</f>
        <v>0</v>
      </c>
      <c r="I47" s="5">
        <f>+'AFRO Stock 2019'!U48</f>
        <v>0</v>
      </c>
      <c r="J47" s="5">
        <f>+'AFRO Stock 2020'!U48</f>
        <v>0</v>
      </c>
      <c r="K47" s="5">
        <f>+'AFRO Stock 2021'!U48</f>
        <v>0</v>
      </c>
      <c r="L47" s="5">
        <f>+'AFRO Stock 2022'!U48</f>
        <v>0</v>
      </c>
    </row>
    <row r="48" spans="1:12" x14ac:dyDescent="0.35">
      <c r="A48" s="4" t="s">
        <v>255</v>
      </c>
      <c r="B48" s="5">
        <f>+'AFRO Stock 2012'!U49</f>
        <v>0</v>
      </c>
      <c r="C48" s="5">
        <f>+'AFRO Stock 2013'!U49</f>
        <v>0</v>
      </c>
      <c r="D48" s="5">
        <f>+'AFRO Stock 2014'!U49</f>
        <v>0</v>
      </c>
      <c r="E48" s="5">
        <f>+'AFRO Stock 2015'!U49</f>
        <v>0</v>
      </c>
      <c r="F48" s="5">
        <f>+'AFRO Stock 2016'!U49</f>
        <v>0</v>
      </c>
      <c r="G48" s="5">
        <f>+'AFRO Stock 2017'!U49</f>
        <v>0</v>
      </c>
      <c r="H48" s="5">
        <f>+'AFRO Stock 2018'!U49</f>
        <v>0</v>
      </c>
      <c r="I48" s="5">
        <f>+'AFRO Stock 2019'!U49</f>
        <v>0</v>
      </c>
      <c r="J48" s="5">
        <f>+'AFRO Stock 2020'!U49</f>
        <v>0</v>
      </c>
      <c r="K48" s="5">
        <f>+'AFRO Stock 2021'!U49</f>
        <v>0</v>
      </c>
      <c r="L48" s="5">
        <f>+'AFRO Stock 2022'!U49</f>
        <v>0</v>
      </c>
    </row>
    <row r="49" spans="1:12" x14ac:dyDescent="0.35">
      <c r="A49" s="4" t="s">
        <v>256</v>
      </c>
      <c r="B49" s="5">
        <f>+'AFRO Stock 2012'!U50</f>
        <v>0</v>
      </c>
      <c r="C49" s="5">
        <f>+'AFRO Stock 2013'!U50</f>
        <v>0</v>
      </c>
      <c r="D49" s="5">
        <f>+'AFRO Stock 2014'!U50</f>
        <v>0</v>
      </c>
      <c r="E49" s="5">
        <f>+'AFRO Stock 2015'!U50</f>
        <v>0</v>
      </c>
      <c r="F49" s="5">
        <f>+'AFRO Stock 2016'!U50</f>
        <v>0</v>
      </c>
      <c r="G49" s="5">
        <f>+'AFRO Stock 2017'!U50</f>
        <v>0</v>
      </c>
      <c r="H49" s="5">
        <f>+'AFRO Stock 2018'!U50</f>
        <v>0</v>
      </c>
      <c r="I49" s="5">
        <f>+'AFRO Stock 2019'!U50</f>
        <v>0</v>
      </c>
      <c r="J49" s="5">
        <f>+'AFRO Stock 2020'!U50</f>
        <v>0</v>
      </c>
      <c r="K49" s="5">
        <f>+'AFRO Stock 2021'!U50</f>
        <v>0</v>
      </c>
      <c r="L49" s="5">
        <f>+'AFRO Stock 2022'!U50</f>
        <v>101</v>
      </c>
    </row>
    <row r="50" spans="1:12" x14ac:dyDescent="0.35">
      <c r="A50" s="4" t="s">
        <v>257</v>
      </c>
      <c r="B50" s="5">
        <f>+'AFRO Stock 2012'!U51</f>
        <v>0</v>
      </c>
      <c r="C50" s="5">
        <f>+'AFRO Stock 2013'!U51</f>
        <v>0</v>
      </c>
      <c r="D50" s="5">
        <f>+'AFRO Stock 2014'!U51</f>
        <v>0</v>
      </c>
      <c r="E50" s="5">
        <f>+'AFRO Stock 2015'!U51</f>
        <v>0</v>
      </c>
      <c r="F50" s="5">
        <f>+'AFRO Stock 2016'!U51</f>
        <v>0</v>
      </c>
      <c r="G50" s="5">
        <f>+'AFRO Stock 2017'!U51</f>
        <v>0</v>
      </c>
      <c r="H50" s="5">
        <f>+'AFRO Stock 2018'!U51</f>
        <v>0</v>
      </c>
      <c r="I50" s="5">
        <f>+'AFRO Stock 2019'!U51</f>
        <v>0</v>
      </c>
      <c r="J50" s="5">
        <f>+'AFRO Stock 2020'!U51</f>
        <v>0</v>
      </c>
      <c r="K50" s="5">
        <f>+'AFRO Stock 2021'!U51</f>
        <v>0</v>
      </c>
      <c r="L50" s="5">
        <f>+'AFRO Stock 2022'!U51</f>
        <v>0</v>
      </c>
    </row>
    <row r="51" spans="1:12" x14ac:dyDescent="0.35">
      <c r="A51" s="4" t="s">
        <v>258</v>
      </c>
      <c r="B51" s="5">
        <f>+'AFRO Stock 2012'!U52</f>
        <v>0</v>
      </c>
      <c r="C51" s="5">
        <f>+'AFRO Stock 2013'!U52</f>
        <v>0</v>
      </c>
      <c r="D51" s="5">
        <f>+'AFRO Stock 2014'!U52</f>
        <v>0</v>
      </c>
      <c r="E51" s="5">
        <f>+'AFRO Stock 2015'!U52</f>
        <v>0</v>
      </c>
      <c r="F51" s="5">
        <f>+'AFRO Stock 2016'!U52</f>
        <v>0</v>
      </c>
      <c r="G51" s="5">
        <f>+'AFRO Stock 2017'!U52</f>
        <v>0</v>
      </c>
      <c r="H51" s="5">
        <f>+'AFRO Stock 2018'!U52</f>
        <v>0</v>
      </c>
      <c r="I51" s="5">
        <f>+'AFRO Stock 2019'!U52</f>
        <v>0</v>
      </c>
      <c r="J51" s="5">
        <f>+'AFRO Stock 2020'!U52</f>
        <v>0</v>
      </c>
      <c r="K51" s="5">
        <f>+'AFRO Stock 2021'!U52</f>
        <v>0</v>
      </c>
      <c r="L51" s="5">
        <f>+'AFRO Stock 2022'!U52</f>
        <v>0</v>
      </c>
    </row>
    <row r="52" spans="1:12" x14ac:dyDescent="0.35">
      <c r="A52" s="4" t="s">
        <v>259</v>
      </c>
      <c r="B52" s="5">
        <f>+'AFRO Stock 2012'!U53</f>
        <v>0</v>
      </c>
      <c r="C52" s="5">
        <f>+'AFRO Stock 2013'!U53</f>
        <v>0</v>
      </c>
      <c r="D52" s="5">
        <f>+'AFRO Stock 2014'!U53</f>
        <v>0</v>
      </c>
      <c r="E52" s="5">
        <f>+'AFRO Stock 2015'!U53</f>
        <v>0</v>
      </c>
      <c r="F52" s="5">
        <f>+'AFRO Stock 2016'!U53</f>
        <v>0</v>
      </c>
      <c r="G52" s="5">
        <f>+'AFRO Stock 2017'!U53</f>
        <v>0</v>
      </c>
      <c r="H52" s="5">
        <f>+'AFRO Stock 2018'!U53</f>
        <v>0</v>
      </c>
      <c r="I52" s="5">
        <f>+'AFRO Stock 2019'!U53</f>
        <v>0</v>
      </c>
      <c r="J52" s="5">
        <f>+'AFRO Stock 2020'!U53</f>
        <v>0</v>
      </c>
      <c r="K52" s="5">
        <f>+'AFRO Stock 2021'!U53</f>
        <v>0</v>
      </c>
      <c r="L52" s="5">
        <f>+'AFRO Stock 2022'!U53</f>
        <v>91</v>
      </c>
    </row>
    <row r="53" spans="1:12" x14ac:dyDescent="0.35">
      <c r="A53" s="4" t="s">
        <v>260</v>
      </c>
      <c r="B53" s="5">
        <f>+'AFRO Stock 2012'!U54</f>
        <v>0</v>
      </c>
      <c r="C53" s="5">
        <f>+'AFRO Stock 2013'!U54</f>
        <v>0</v>
      </c>
      <c r="D53" s="5">
        <f>+'AFRO Stock 2014'!U54</f>
        <v>0</v>
      </c>
      <c r="E53" s="5">
        <f>+'AFRO Stock 2015'!U54</f>
        <v>0</v>
      </c>
      <c r="F53" s="5">
        <f>+'AFRO Stock 2016'!U54</f>
        <v>0</v>
      </c>
      <c r="G53" s="5">
        <f>+'AFRO Stock 2017'!U54</f>
        <v>0</v>
      </c>
      <c r="H53" s="5">
        <f>+'AFRO Stock 2018'!U54</f>
        <v>0</v>
      </c>
      <c r="I53" s="5">
        <f>+'AFRO Stock 2019'!U54</f>
        <v>0</v>
      </c>
      <c r="J53" s="5">
        <f>+'AFRO Stock 2020'!U54</f>
        <v>0</v>
      </c>
      <c r="K53" s="5">
        <f>+'AFRO Stock 2021'!U54</f>
        <v>0</v>
      </c>
      <c r="L53" s="5">
        <f>+'AFRO Stock 2022'!U54</f>
        <v>0</v>
      </c>
    </row>
    <row r="54" spans="1:12" x14ac:dyDescent="0.35">
      <c r="A54" s="4" t="s">
        <v>261</v>
      </c>
      <c r="B54" s="5">
        <f>+'AFRO Stock 2012'!U55</f>
        <v>0</v>
      </c>
      <c r="C54" s="5">
        <f>+'AFRO Stock 2013'!U55</f>
        <v>0</v>
      </c>
      <c r="D54" s="5">
        <f>+'AFRO Stock 2014'!U55</f>
        <v>0</v>
      </c>
      <c r="E54" s="5">
        <f>+'AFRO Stock 2015'!U55</f>
        <v>0</v>
      </c>
      <c r="F54" s="5">
        <f>+'AFRO Stock 2016'!U55</f>
        <v>0</v>
      </c>
      <c r="G54" s="5">
        <f>+'AFRO Stock 2017'!U55</f>
        <v>0</v>
      </c>
      <c r="H54" s="5">
        <f>+'AFRO Stock 2018'!U55</f>
        <v>0</v>
      </c>
      <c r="I54" s="5">
        <f>+'AFRO Stock 2019'!U55</f>
        <v>0</v>
      </c>
      <c r="J54" s="5">
        <f>+'AFRO Stock 2020'!U55</f>
        <v>0</v>
      </c>
      <c r="K54" s="5">
        <f>+'AFRO Stock 2021'!U55</f>
        <v>0</v>
      </c>
      <c r="L54" s="5">
        <f>+'AFRO Stock 2022'!U55</f>
        <v>0</v>
      </c>
    </row>
    <row r="55" spans="1:12" x14ac:dyDescent="0.35">
      <c r="A55" s="4" t="s">
        <v>262</v>
      </c>
      <c r="B55" s="5">
        <f>+'AFRO Stock 2012'!U56</f>
        <v>0</v>
      </c>
      <c r="C55" s="5">
        <f>+'AFRO Stock 2013'!U56</f>
        <v>0</v>
      </c>
      <c r="D55" s="5">
        <f>+'AFRO Stock 2014'!U56</f>
        <v>0</v>
      </c>
      <c r="E55" s="5">
        <f>+'AFRO Stock 2015'!U56</f>
        <v>0</v>
      </c>
      <c r="F55" s="5">
        <f>+'AFRO Stock 2016'!U56</f>
        <v>0</v>
      </c>
      <c r="G55" s="5">
        <f>+'AFRO Stock 2017'!U56</f>
        <v>0</v>
      </c>
      <c r="H55" s="5">
        <f>+'AFRO Stock 2018'!U56</f>
        <v>0</v>
      </c>
      <c r="I55" s="5">
        <f>+'AFRO Stock 2019'!U56</f>
        <v>0</v>
      </c>
      <c r="J55" s="5">
        <f>+'AFRO Stock 2020'!U56</f>
        <v>0</v>
      </c>
      <c r="K55" s="5">
        <f>+'AFRO Stock 2021'!U56</f>
        <v>0</v>
      </c>
      <c r="L55" s="5">
        <f>+'AFRO Stock 2022'!U56</f>
        <v>0</v>
      </c>
    </row>
    <row r="56" spans="1:12" x14ac:dyDescent="0.35">
      <c r="A56" s="4" t="s">
        <v>263</v>
      </c>
      <c r="B56" s="5">
        <f>+'AFRO Stock 2012'!U57</f>
        <v>0</v>
      </c>
      <c r="C56" s="5">
        <f>+'AFRO Stock 2013'!U57</f>
        <v>0</v>
      </c>
      <c r="D56" s="5">
        <f>+'AFRO Stock 2014'!U57</f>
        <v>0</v>
      </c>
      <c r="E56" s="5">
        <f>+'AFRO Stock 2015'!U57</f>
        <v>0</v>
      </c>
      <c r="F56" s="5">
        <f>+'AFRO Stock 2016'!U57</f>
        <v>0</v>
      </c>
      <c r="G56" s="5">
        <f>+'AFRO Stock 2017'!U57</f>
        <v>0</v>
      </c>
      <c r="H56" s="5">
        <f>+'AFRO Stock 2018'!U57</f>
        <v>0</v>
      </c>
      <c r="I56" s="5">
        <f>+'AFRO Stock 2019'!U57</f>
        <v>0</v>
      </c>
      <c r="J56" s="5">
        <f>+'AFRO Stock 2020'!U57</f>
        <v>0</v>
      </c>
      <c r="K56" s="5">
        <f>+'AFRO Stock 2021'!U57</f>
        <v>0</v>
      </c>
      <c r="L56" s="5">
        <f>+'AFRO Stock 2022'!U57</f>
        <v>0</v>
      </c>
    </row>
    <row r="57" spans="1:12" x14ac:dyDescent="0.35">
      <c r="A57" s="4" t="s">
        <v>264</v>
      </c>
      <c r="B57" s="5">
        <f>+'AFRO Stock 2012'!U58</f>
        <v>0</v>
      </c>
      <c r="C57" s="5">
        <f>+'AFRO Stock 2013'!U58</f>
        <v>0</v>
      </c>
      <c r="D57" s="5">
        <f>+'AFRO Stock 2014'!U58</f>
        <v>0</v>
      </c>
      <c r="E57" s="5">
        <f>+'AFRO Stock 2015'!U58</f>
        <v>0</v>
      </c>
      <c r="F57" s="5">
        <f>+'AFRO Stock 2016'!U58</f>
        <v>0</v>
      </c>
      <c r="G57" s="5">
        <f>+'AFRO Stock 2017'!U58</f>
        <v>0</v>
      </c>
      <c r="H57" s="5">
        <f>+'AFRO Stock 2018'!U58</f>
        <v>0</v>
      </c>
      <c r="I57" s="5">
        <f>+'AFRO Stock 2019'!U58</f>
        <v>0</v>
      </c>
      <c r="J57" s="5">
        <f>+'AFRO Stock 2020'!U58</f>
        <v>0</v>
      </c>
      <c r="K57" s="5">
        <f>+'AFRO Stock 2021'!U58</f>
        <v>0</v>
      </c>
      <c r="L57" s="5">
        <f>+'AFRO Stock 2022'!U58</f>
        <v>0</v>
      </c>
    </row>
    <row r="58" spans="1:12" x14ac:dyDescent="0.35">
      <c r="A58" s="4" t="s">
        <v>265</v>
      </c>
      <c r="B58" s="5">
        <f>+'AFRO Stock 2012'!U59</f>
        <v>0</v>
      </c>
      <c r="C58" s="5">
        <f>+'AFRO Stock 2013'!U59</f>
        <v>0</v>
      </c>
      <c r="D58" s="5">
        <f>+'AFRO Stock 2014'!U59</f>
        <v>0</v>
      </c>
      <c r="E58" s="5">
        <f>+'AFRO Stock 2015'!U59</f>
        <v>0</v>
      </c>
      <c r="F58" s="5">
        <f>+'AFRO Stock 2016'!U59</f>
        <v>0</v>
      </c>
      <c r="G58" s="5">
        <f>+'AFRO Stock 2017'!U59</f>
        <v>0</v>
      </c>
      <c r="H58" s="5">
        <f>+'AFRO Stock 2018'!U59</f>
        <v>0</v>
      </c>
      <c r="I58" s="5">
        <f>+'AFRO Stock 2019'!U59</f>
        <v>0</v>
      </c>
      <c r="J58" s="5">
        <f>+'AFRO Stock 2020'!U59</f>
        <v>0</v>
      </c>
      <c r="K58" s="5">
        <f>+'AFRO Stock 2021'!U59</f>
        <v>0</v>
      </c>
      <c r="L58" s="5">
        <f>+'AFRO Stock 2022'!U59</f>
        <v>0</v>
      </c>
    </row>
    <row r="59" spans="1:12" x14ac:dyDescent="0.35">
      <c r="A59" s="4" t="s">
        <v>266</v>
      </c>
      <c r="B59" s="5">
        <f>+'AFRO Stock 2012'!U60</f>
        <v>0</v>
      </c>
      <c r="C59" s="5">
        <f>+'AFRO Stock 2013'!U60</f>
        <v>0</v>
      </c>
      <c r="D59" s="5">
        <f>+'AFRO Stock 2014'!U60</f>
        <v>0</v>
      </c>
      <c r="E59" s="5">
        <f>+'AFRO Stock 2015'!U60</f>
        <v>0</v>
      </c>
      <c r="F59" s="5">
        <f>+'AFRO Stock 2016'!U60</f>
        <v>0</v>
      </c>
      <c r="G59" s="5">
        <f>+'AFRO Stock 2017'!U60</f>
        <v>0</v>
      </c>
      <c r="H59" s="5">
        <f>+'AFRO Stock 2018'!U60</f>
        <v>0</v>
      </c>
      <c r="I59" s="5">
        <f>+'AFRO Stock 2019'!U60</f>
        <v>0</v>
      </c>
      <c r="J59" s="5">
        <f>+'AFRO Stock 2020'!U60</f>
        <v>0</v>
      </c>
      <c r="K59" s="5">
        <f>+'AFRO Stock 2021'!U60</f>
        <v>0</v>
      </c>
      <c r="L59" s="5">
        <f>+'AFRO Stock 2022'!U60</f>
        <v>57</v>
      </c>
    </row>
    <row r="60" spans="1:12" x14ac:dyDescent="0.35">
      <c r="A60" s="4" t="s">
        <v>267</v>
      </c>
      <c r="B60" s="5">
        <f>+'AFRO Stock 2012'!U61</f>
        <v>0</v>
      </c>
      <c r="C60" s="5">
        <f>+'AFRO Stock 2013'!U61</f>
        <v>0</v>
      </c>
      <c r="D60" s="5">
        <f>+'AFRO Stock 2014'!U61</f>
        <v>0</v>
      </c>
      <c r="E60" s="5">
        <f>+'AFRO Stock 2015'!U61</f>
        <v>0</v>
      </c>
      <c r="F60" s="5">
        <f>+'AFRO Stock 2016'!U61</f>
        <v>0</v>
      </c>
      <c r="G60" s="5">
        <f>+'AFRO Stock 2017'!U61</f>
        <v>0</v>
      </c>
      <c r="H60" s="5">
        <f>+'AFRO Stock 2018'!U61</f>
        <v>0</v>
      </c>
      <c r="I60" s="5">
        <f>+'AFRO Stock 2019'!U61</f>
        <v>0</v>
      </c>
      <c r="J60" s="5">
        <f>+'AFRO Stock 2020'!U61</f>
        <v>0</v>
      </c>
      <c r="K60" s="5">
        <f>+'AFRO Stock 2021'!U61</f>
        <v>0</v>
      </c>
      <c r="L60" s="5">
        <f>+'AFRO Stock 2022'!U61</f>
        <v>0</v>
      </c>
    </row>
    <row r="61" spans="1:12" x14ac:dyDescent="0.35">
      <c r="A61" s="4" t="s">
        <v>268</v>
      </c>
      <c r="B61" s="5">
        <f>+'AFRO Stock 2012'!U62</f>
        <v>0</v>
      </c>
      <c r="C61" s="5">
        <f>+'AFRO Stock 2013'!U62</f>
        <v>0</v>
      </c>
      <c r="D61" s="5">
        <f>+'AFRO Stock 2014'!U62</f>
        <v>0</v>
      </c>
      <c r="E61" s="5">
        <f>+'AFRO Stock 2015'!U62</f>
        <v>0</v>
      </c>
      <c r="F61" s="5">
        <f>+'AFRO Stock 2016'!U62</f>
        <v>0</v>
      </c>
      <c r="G61" s="5">
        <f>+'AFRO Stock 2017'!U62</f>
        <v>0</v>
      </c>
      <c r="H61" s="5">
        <f>+'AFRO Stock 2018'!U62</f>
        <v>0</v>
      </c>
      <c r="I61" s="5">
        <f>+'AFRO Stock 2019'!U62</f>
        <v>0</v>
      </c>
      <c r="J61" s="5">
        <f>+'AFRO Stock 2020'!U62</f>
        <v>0</v>
      </c>
      <c r="K61" s="5">
        <f>+'AFRO Stock 2021'!U62</f>
        <v>0</v>
      </c>
      <c r="L61" s="5">
        <f>+'AFRO Stock 2022'!U62</f>
        <v>0</v>
      </c>
    </row>
    <row r="62" spans="1:12" x14ac:dyDescent="0.35">
      <c r="A62" s="4" t="s">
        <v>269</v>
      </c>
      <c r="B62" s="5">
        <f>+'AFRO Stock 2012'!U63</f>
        <v>0</v>
      </c>
      <c r="C62" s="5">
        <f>+'AFRO Stock 2013'!U63</f>
        <v>0</v>
      </c>
      <c r="D62" s="5">
        <f>+'AFRO Stock 2014'!U63</f>
        <v>0</v>
      </c>
      <c r="E62" s="5">
        <f>+'AFRO Stock 2015'!U63</f>
        <v>0</v>
      </c>
      <c r="F62" s="5">
        <f>+'AFRO Stock 2016'!U63</f>
        <v>0</v>
      </c>
      <c r="G62" s="5">
        <f>+'AFRO Stock 2017'!U63</f>
        <v>0</v>
      </c>
      <c r="H62" s="5">
        <f>+'AFRO Stock 2018'!U63</f>
        <v>0</v>
      </c>
      <c r="I62" s="5">
        <f>+'AFRO Stock 2019'!U63</f>
        <v>0</v>
      </c>
      <c r="J62" s="5">
        <f>+'AFRO Stock 2020'!U63</f>
        <v>0</v>
      </c>
      <c r="K62" s="5">
        <f>+'AFRO Stock 2021'!U63</f>
        <v>0</v>
      </c>
      <c r="L62" s="5">
        <f>+'AFRO Stock 2022'!U63</f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0</v>
      </c>
      <c r="D63" s="36">
        <f t="shared" si="0"/>
        <v>0</v>
      </c>
      <c r="E63" s="36">
        <f t="shared" si="0"/>
        <v>0</v>
      </c>
      <c r="F63" s="36">
        <f t="shared" si="0"/>
        <v>0</v>
      </c>
      <c r="G63" s="36">
        <f t="shared" si="0"/>
        <v>2282</v>
      </c>
      <c r="H63" s="36">
        <f t="shared" si="0"/>
        <v>12</v>
      </c>
      <c r="I63" s="36">
        <f t="shared" si="0"/>
        <v>0</v>
      </c>
      <c r="J63" s="36">
        <f t="shared" si="0"/>
        <v>0</v>
      </c>
      <c r="K63" s="36">
        <f t="shared" si="0"/>
        <v>0</v>
      </c>
      <c r="L63" s="36">
        <f t="shared" si="0"/>
        <v>4136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42828</v>
      </c>
      <c r="C65" s="15">
        <v>44010.1</v>
      </c>
      <c r="D65" s="15">
        <v>45062.400000000001</v>
      </c>
      <c r="E65" s="15">
        <v>45967.3</v>
      </c>
      <c r="F65" s="15">
        <v>46750.5</v>
      </c>
      <c r="G65" s="15">
        <v>47406.7</v>
      </c>
      <c r="H65" s="15">
        <v>47969.599999999999</v>
      </c>
      <c r="I65" s="15">
        <v>48504</v>
      </c>
      <c r="J65" s="15">
        <v>48954.6</v>
      </c>
      <c r="K65" s="15">
        <v>49221.8</v>
      </c>
      <c r="L65" s="15">
        <v>49447.1</v>
      </c>
    </row>
  </sheetData>
  <hyperlinks>
    <hyperlink ref="N2" location="Home!A1" display="HOME" xr:uid="{B1DAE571-12DE-44C0-ABC2-16ECCCA785E7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CD8E-9A6D-4C7B-9BE8-8C0B38766F8E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E53" sqref="E5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377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8" t="s">
        <v>376</v>
      </c>
    </row>
    <row r="3" spans="1:14" x14ac:dyDescent="0.35">
      <c r="A3" s="17" t="s">
        <v>212</v>
      </c>
      <c r="B3" s="5">
        <v>153</v>
      </c>
      <c r="C3" s="5">
        <v>172</v>
      </c>
      <c r="D3" s="5">
        <v>204</v>
      </c>
      <c r="E3" s="5">
        <v>212</v>
      </c>
      <c r="F3" s="5">
        <v>226</v>
      </c>
      <c r="G3" s="5">
        <v>224</v>
      </c>
      <c r="H3" s="5">
        <v>280</v>
      </c>
      <c r="I3" s="5">
        <v>248</v>
      </c>
      <c r="J3" s="5">
        <v>291</v>
      </c>
      <c r="K3" s="5">
        <v>286</v>
      </c>
      <c r="L3" s="5">
        <v>260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160</v>
      </c>
      <c r="I4" s="5">
        <v>0</v>
      </c>
      <c r="J4" s="5">
        <v>0</v>
      </c>
      <c r="K4" s="5">
        <v>276</v>
      </c>
      <c r="L4" s="5">
        <v>260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19</v>
      </c>
      <c r="L5" s="5">
        <v>19</v>
      </c>
    </row>
    <row r="6" spans="1:14" x14ac:dyDescent="0.35">
      <c r="A6" s="4" t="s">
        <v>215</v>
      </c>
      <c r="B6" s="5">
        <v>0</v>
      </c>
      <c r="C6" s="5">
        <v>4262</v>
      </c>
      <c r="D6" s="5">
        <v>4132</v>
      </c>
      <c r="E6" s="5">
        <v>3962</v>
      </c>
      <c r="F6" s="5">
        <v>4484</v>
      </c>
      <c r="G6" s="5">
        <v>4528</v>
      </c>
      <c r="H6" s="5">
        <v>4971</v>
      </c>
      <c r="I6" s="5">
        <v>0</v>
      </c>
      <c r="J6" s="5">
        <v>0</v>
      </c>
      <c r="K6" s="5">
        <v>4681</v>
      </c>
      <c r="L6" s="5">
        <v>5007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376</v>
      </c>
      <c r="G7" s="5">
        <v>0</v>
      </c>
      <c r="H7" s="5">
        <v>0</v>
      </c>
      <c r="I7" s="5">
        <v>0</v>
      </c>
      <c r="J7" s="5">
        <v>0</v>
      </c>
      <c r="K7" s="5">
        <v>67</v>
      </c>
      <c r="L7" s="5">
        <v>67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186</v>
      </c>
      <c r="I8" s="5">
        <v>0</v>
      </c>
      <c r="J8" s="5">
        <v>0</v>
      </c>
      <c r="K8" s="5">
        <v>60</v>
      </c>
      <c r="L8" s="5">
        <v>58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451</v>
      </c>
      <c r="I9" s="5">
        <v>0</v>
      </c>
      <c r="J9" s="5">
        <v>0</v>
      </c>
      <c r="K9" s="5">
        <v>208</v>
      </c>
      <c r="L9" s="5">
        <v>199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4713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11</v>
      </c>
      <c r="L13" s="5">
        <v>11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243</v>
      </c>
      <c r="I14" s="5">
        <v>0</v>
      </c>
      <c r="J14" s="5">
        <v>6000</v>
      </c>
      <c r="K14" s="5">
        <v>2626</v>
      </c>
      <c r="L14" s="5">
        <v>2626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154</v>
      </c>
      <c r="L15" s="5">
        <v>157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  <c r="L19" s="5">
        <v>8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234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233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10</v>
      </c>
      <c r="L22" s="5">
        <v>10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44</v>
      </c>
      <c r="L24" s="5">
        <v>49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137</v>
      </c>
      <c r="L26" s="5">
        <v>141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381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267</v>
      </c>
      <c r="L29" s="5">
        <v>267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549</v>
      </c>
      <c r="I30" s="5">
        <v>0</v>
      </c>
      <c r="J30" s="5">
        <v>0</v>
      </c>
      <c r="K30" s="5">
        <v>298</v>
      </c>
      <c r="L30" s="5">
        <v>296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153</v>
      </c>
      <c r="C33" s="5">
        <v>172</v>
      </c>
      <c r="D33" s="5">
        <v>204</v>
      </c>
      <c r="E33" s="5">
        <v>212</v>
      </c>
      <c r="F33" s="5">
        <v>226</v>
      </c>
      <c r="G33" s="5">
        <v>224</v>
      </c>
      <c r="H33" s="5">
        <v>0</v>
      </c>
      <c r="I33" s="5">
        <v>248</v>
      </c>
      <c r="J33" s="5">
        <v>291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376</v>
      </c>
      <c r="G36" s="5">
        <v>0</v>
      </c>
      <c r="H36" s="5">
        <v>0</v>
      </c>
      <c r="I36" s="5">
        <v>0</v>
      </c>
      <c r="J36" s="5">
        <v>0</v>
      </c>
      <c r="K36" s="5">
        <v>67</v>
      </c>
      <c r="L36" s="5">
        <v>67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182</v>
      </c>
      <c r="L38" s="5">
        <v>188</v>
      </c>
    </row>
    <row r="39" spans="1:12" x14ac:dyDescent="0.35">
      <c r="A39" s="4" t="s">
        <v>248</v>
      </c>
      <c r="B39" s="5">
        <v>0</v>
      </c>
      <c r="C39" s="5">
        <v>2867</v>
      </c>
      <c r="D39" s="5">
        <v>2735</v>
      </c>
      <c r="E39" s="5">
        <v>2658</v>
      </c>
      <c r="F39" s="5">
        <v>2979</v>
      </c>
      <c r="G39" s="5">
        <v>2899</v>
      </c>
      <c r="H39" s="5">
        <v>2913</v>
      </c>
      <c r="I39" s="5">
        <v>0</v>
      </c>
      <c r="J39" s="5">
        <v>0</v>
      </c>
      <c r="K39" s="5">
        <v>3050</v>
      </c>
      <c r="L39" s="5">
        <v>3372</v>
      </c>
    </row>
    <row r="40" spans="1:12" x14ac:dyDescent="0.35">
      <c r="A40" s="4" t="s">
        <v>249</v>
      </c>
      <c r="B40" s="5">
        <v>0</v>
      </c>
      <c r="C40" s="5">
        <v>1395</v>
      </c>
      <c r="D40" s="5">
        <v>1397</v>
      </c>
      <c r="E40" s="5">
        <v>1304</v>
      </c>
      <c r="F40" s="5">
        <v>1505</v>
      </c>
      <c r="G40" s="5">
        <v>1629</v>
      </c>
      <c r="H40" s="5">
        <v>2058</v>
      </c>
      <c r="I40" s="5">
        <v>0</v>
      </c>
      <c r="J40" s="5">
        <v>0</v>
      </c>
      <c r="K40" s="5">
        <v>1449</v>
      </c>
      <c r="L40" s="5">
        <v>1447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11</v>
      </c>
      <c r="G44" s="5">
        <v>0</v>
      </c>
      <c r="H44" s="5">
        <v>0</v>
      </c>
      <c r="I44" s="5">
        <v>0</v>
      </c>
      <c r="J44" s="5">
        <v>0</v>
      </c>
      <c r="K44" s="5">
        <v>10</v>
      </c>
      <c r="L44" s="5">
        <v>10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99</v>
      </c>
      <c r="L45" s="5">
        <v>96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280</v>
      </c>
      <c r="L52" s="5">
        <v>288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131</v>
      </c>
      <c r="L53" s="5">
        <v>1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129</v>
      </c>
    </row>
    <row r="55" spans="1:12" x14ac:dyDescent="0.35">
      <c r="A55" s="4" t="s">
        <v>262</v>
      </c>
      <c r="B55" s="5">
        <v>21</v>
      </c>
      <c r="C55" s="5">
        <v>23</v>
      </c>
      <c r="D55" s="5">
        <v>23</v>
      </c>
      <c r="E55" s="5">
        <v>23</v>
      </c>
      <c r="F55" s="5">
        <v>24</v>
      </c>
      <c r="G55" s="5">
        <v>33</v>
      </c>
      <c r="H55" s="5">
        <v>31</v>
      </c>
      <c r="I55" s="5">
        <v>34</v>
      </c>
      <c r="J55" s="5">
        <v>34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7</v>
      </c>
      <c r="L56" s="5">
        <v>7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6</v>
      </c>
      <c r="L58" s="5">
        <v>6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120</v>
      </c>
      <c r="I59" s="5">
        <v>0</v>
      </c>
      <c r="J59" s="5">
        <v>0</v>
      </c>
      <c r="K59" s="5">
        <v>10</v>
      </c>
      <c r="L59" s="5">
        <v>0</v>
      </c>
    </row>
    <row r="60" spans="1:12" x14ac:dyDescent="0.35">
      <c r="A60" s="4" t="s">
        <v>267</v>
      </c>
      <c r="B60" s="5">
        <v>62</v>
      </c>
      <c r="C60" s="5">
        <v>60</v>
      </c>
      <c r="D60" s="5">
        <v>53</v>
      </c>
      <c r="E60" s="5">
        <v>50</v>
      </c>
      <c r="F60" s="5">
        <v>50</v>
      </c>
      <c r="G60" s="5">
        <v>48</v>
      </c>
      <c r="H60" s="5">
        <v>48</v>
      </c>
      <c r="I60" s="5">
        <v>46</v>
      </c>
      <c r="J60" s="5">
        <v>46</v>
      </c>
      <c r="K60" s="5">
        <v>25</v>
      </c>
      <c r="L60" s="5">
        <v>25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389</v>
      </c>
      <c r="C63" s="36">
        <f t="shared" ref="C63:L63" si="0">SUM(C3:C62)</f>
        <v>8951</v>
      </c>
      <c r="D63" s="36">
        <f t="shared" si="0"/>
        <v>8748</v>
      </c>
      <c r="E63" s="36">
        <f t="shared" si="0"/>
        <v>8421</v>
      </c>
      <c r="F63" s="36">
        <f t="shared" si="0"/>
        <v>10257</v>
      </c>
      <c r="G63" s="36">
        <f t="shared" si="0"/>
        <v>9585</v>
      </c>
      <c r="H63" s="36">
        <f t="shared" si="0"/>
        <v>12010</v>
      </c>
      <c r="I63" s="36">
        <f t="shared" si="0"/>
        <v>576</v>
      </c>
      <c r="J63" s="36">
        <f t="shared" si="0"/>
        <v>6662</v>
      </c>
      <c r="K63" s="36">
        <f t="shared" si="0"/>
        <v>14702</v>
      </c>
      <c r="L63" s="36">
        <f t="shared" si="0"/>
        <v>20398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105648.1</v>
      </c>
      <c r="C65" s="15">
        <v>104956.6</v>
      </c>
      <c r="D65" s="15">
        <v>104202.4</v>
      </c>
      <c r="E65" s="15">
        <v>102828.4</v>
      </c>
      <c r="F65" s="15">
        <v>101415.1</v>
      </c>
      <c r="G65" s="15">
        <v>100718.5</v>
      </c>
      <c r="H65" s="15">
        <v>100677</v>
      </c>
      <c r="I65" s="15">
        <v>101446.8</v>
      </c>
      <c r="J65" s="15">
        <v>102444.9</v>
      </c>
      <c r="K65" s="15">
        <v>103744.1</v>
      </c>
      <c r="L65" s="15">
        <v>105140.5</v>
      </c>
    </row>
  </sheetData>
  <hyperlinks>
    <hyperlink ref="N2" location="Home!A1" display="HOME" xr:uid="{036BA3E9-00FC-4831-A138-3F438FAE81CE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8AC3-98BB-4C67-80CE-DF87C0EE7335}">
  <dimension ref="A1:N65"/>
  <sheetViews>
    <sheetView zoomScale="84" zoomScaleNormal="84" workbookViewId="0">
      <pane xSplit="1" ySplit="2" topLeftCell="B24" activePane="bottomRight" state="frozen"/>
      <selection activeCell="J41" sqref="J41"/>
      <selection pane="topRight" activeCell="J41" sqref="J41"/>
      <selection pane="bottomLeft" activeCell="J41" sqref="J41"/>
      <selection pane="bottomRight" activeCell="C40" sqref="C40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378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8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107</v>
      </c>
      <c r="G3" s="5">
        <v>208</v>
      </c>
      <c r="H3" s="5">
        <v>278</v>
      </c>
      <c r="I3" s="5">
        <v>0</v>
      </c>
      <c r="J3" s="5">
        <v>165</v>
      </c>
      <c r="K3" s="5">
        <v>0</v>
      </c>
      <c r="L3" s="5">
        <v>1912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211</v>
      </c>
      <c r="I4" s="5">
        <v>0</v>
      </c>
      <c r="J4" s="5">
        <v>136</v>
      </c>
      <c r="K4" s="5">
        <v>0</v>
      </c>
      <c r="L4" s="5">
        <v>623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3735</v>
      </c>
      <c r="D6" s="5">
        <v>3847</v>
      </c>
      <c r="E6" s="5">
        <v>3976</v>
      </c>
      <c r="F6" s="5">
        <v>4200</v>
      </c>
      <c r="G6" s="5">
        <v>4431</v>
      </c>
      <c r="H6" s="5">
        <v>4706</v>
      </c>
      <c r="I6" s="5">
        <v>0</v>
      </c>
      <c r="J6" s="5">
        <v>2917</v>
      </c>
      <c r="K6" s="5">
        <v>0</v>
      </c>
      <c r="L6" s="5">
        <v>3824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74</v>
      </c>
      <c r="I8" s="5">
        <v>14</v>
      </c>
      <c r="J8" s="5">
        <v>22</v>
      </c>
      <c r="K8" s="5">
        <v>0</v>
      </c>
      <c r="L8" s="5">
        <v>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281</v>
      </c>
      <c r="I9" s="5">
        <v>0</v>
      </c>
      <c r="J9" s="5">
        <v>48</v>
      </c>
      <c r="K9" s="5">
        <v>0</v>
      </c>
      <c r="L9" s="5">
        <v>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2087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374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7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75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6324</v>
      </c>
      <c r="I14" s="5">
        <v>0</v>
      </c>
      <c r="J14" s="5">
        <v>5386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19</v>
      </c>
      <c r="J15" s="5">
        <v>28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18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63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79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87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51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53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370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107</v>
      </c>
      <c r="G33" s="5">
        <v>208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809</v>
      </c>
      <c r="D39" s="5">
        <v>845</v>
      </c>
      <c r="E39" s="5">
        <v>895</v>
      </c>
      <c r="F39" s="5">
        <v>943</v>
      </c>
      <c r="G39" s="5">
        <v>993</v>
      </c>
      <c r="H39" s="5">
        <v>1029</v>
      </c>
      <c r="I39" s="5">
        <v>0</v>
      </c>
      <c r="J39" s="5">
        <v>394</v>
      </c>
      <c r="K39" s="5">
        <v>0</v>
      </c>
      <c r="L39" s="5">
        <v>680</v>
      </c>
    </row>
    <row r="40" spans="1:12" x14ac:dyDescent="0.35">
      <c r="A40" s="4" t="s">
        <v>249</v>
      </c>
      <c r="B40" s="5">
        <v>0</v>
      </c>
      <c r="C40" s="5">
        <v>2926</v>
      </c>
      <c r="D40" s="5">
        <v>3002</v>
      </c>
      <c r="E40" s="5">
        <v>3081</v>
      </c>
      <c r="F40" s="5">
        <v>3257</v>
      </c>
      <c r="G40" s="5">
        <v>3438</v>
      </c>
      <c r="H40" s="5">
        <v>3677</v>
      </c>
      <c r="I40" s="5">
        <v>0</v>
      </c>
      <c r="J40" s="5">
        <v>2523</v>
      </c>
      <c r="K40" s="5">
        <v>0</v>
      </c>
      <c r="L40" s="5">
        <v>3144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1047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9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152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6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52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1861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80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5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12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16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22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67</v>
      </c>
      <c r="I59" s="5">
        <v>0</v>
      </c>
      <c r="J59" s="5">
        <v>29</v>
      </c>
      <c r="K59" s="5">
        <v>0</v>
      </c>
      <c r="L59" s="5">
        <v>1289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v>0</v>
      </c>
      <c r="C63" s="36">
        <v>7470</v>
      </c>
      <c r="D63" s="36">
        <v>7694</v>
      </c>
      <c r="E63" s="36">
        <v>7952</v>
      </c>
      <c r="F63" s="36">
        <v>8620</v>
      </c>
      <c r="G63" s="36">
        <v>9287</v>
      </c>
      <c r="H63" s="36">
        <v>17017</v>
      </c>
      <c r="I63" s="36">
        <v>36</v>
      </c>
      <c r="J63" s="36">
        <v>17612</v>
      </c>
      <c r="K63" s="36">
        <v>0</v>
      </c>
      <c r="L63" s="36">
        <v>11711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32540</v>
      </c>
      <c r="C65" s="15">
        <v>32451</v>
      </c>
      <c r="D65" s="15">
        <v>32210.7</v>
      </c>
      <c r="E65" s="15">
        <v>31767.3</v>
      </c>
      <c r="F65" s="15">
        <v>31320.3</v>
      </c>
      <c r="G65" s="15">
        <v>30815.7</v>
      </c>
      <c r="H65" s="15">
        <v>30300.3</v>
      </c>
      <c r="I65" s="15">
        <v>29875.9</v>
      </c>
      <c r="J65" s="15">
        <v>29530.3</v>
      </c>
      <c r="K65" s="15">
        <v>29226.2</v>
      </c>
      <c r="L65" s="15">
        <v>28860</v>
      </c>
    </row>
  </sheetData>
  <hyperlinks>
    <hyperlink ref="N2" location="Home!A1" display="HOME" xr:uid="{043192B5-710D-4F12-A79F-FAB658650AD9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2386-3D93-4B62-BF75-B9D1C2EB0821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C36" sqref="C36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379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8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8395</v>
      </c>
      <c r="I3" s="5">
        <v>5867</v>
      </c>
      <c r="J3" s="5">
        <v>12174</v>
      </c>
      <c r="K3" s="5">
        <v>12174</v>
      </c>
      <c r="L3" s="5">
        <v>13327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5867</v>
      </c>
      <c r="I4" s="5">
        <v>5867</v>
      </c>
      <c r="J4" s="5">
        <v>9361</v>
      </c>
      <c r="K4" s="5">
        <v>9361</v>
      </c>
      <c r="L4" s="5">
        <v>8860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847</v>
      </c>
      <c r="K5" s="5">
        <v>0</v>
      </c>
      <c r="L5" s="5">
        <v>540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88164</v>
      </c>
      <c r="H6" s="5">
        <v>61772</v>
      </c>
      <c r="I6" s="5">
        <v>0</v>
      </c>
      <c r="J6" s="5">
        <v>69824</v>
      </c>
      <c r="K6" s="5">
        <v>69824</v>
      </c>
      <c r="L6" s="5">
        <v>70246</v>
      </c>
    </row>
    <row r="7" spans="1:14" x14ac:dyDescent="0.35">
      <c r="A7" s="4" t="s">
        <v>216</v>
      </c>
      <c r="B7" s="5">
        <v>0</v>
      </c>
      <c r="C7" s="5">
        <v>6925</v>
      </c>
      <c r="D7" s="5">
        <v>0</v>
      </c>
      <c r="E7" s="5">
        <v>0</v>
      </c>
      <c r="F7" s="5">
        <v>12069</v>
      </c>
      <c r="G7" s="5">
        <v>0</v>
      </c>
      <c r="H7" s="5">
        <v>16159</v>
      </c>
      <c r="I7" s="5">
        <v>0</v>
      </c>
      <c r="J7" s="5">
        <v>20355</v>
      </c>
      <c r="K7" s="5">
        <v>20355</v>
      </c>
      <c r="L7" s="5">
        <v>21993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1889</v>
      </c>
      <c r="I8" s="5">
        <v>52</v>
      </c>
      <c r="J8" s="5">
        <v>228</v>
      </c>
      <c r="K8" s="5">
        <v>0</v>
      </c>
      <c r="L8" s="5">
        <v>271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10752</v>
      </c>
      <c r="I9" s="5">
        <v>0</v>
      </c>
      <c r="J9" s="5">
        <v>5394</v>
      </c>
      <c r="K9" s="5">
        <v>15498</v>
      </c>
      <c r="L9" s="5">
        <v>5871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113189</v>
      </c>
      <c r="K10" s="5">
        <v>113189</v>
      </c>
      <c r="L10" s="5">
        <v>121853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4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423</v>
      </c>
      <c r="K13" s="5">
        <v>987</v>
      </c>
      <c r="L13" s="5">
        <v>1086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37259</v>
      </c>
      <c r="I14" s="5">
        <v>0</v>
      </c>
      <c r="J14" s="5">
        <v>42630</v>
      </c>
      <c r="K14" s="5">
        <v>42630</v>
      </c>
      <c r="L14" s="5">
        <v>41101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110</v>
      </c>
      <c r="K15" s="5">
        <v>0</v>
      </c>
      <c r="L15" s="5">
        <v>195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65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310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508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2378</v>
      </c>
      <c r="K21" s="5">
        <v>0</v>
      </c>
      <c r="L21" s="5">
        <v>2367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303</v>
      </c>
      <c r="K22" s="5">
        <v>0</v>
      </c>
      <c r="L22" s="5">
        <v>352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5002</v>
      </c>
      <c r="K24" s="5">
        <v>4921</v>
      </c>
      <c r="L24" s="5">
        <v>5283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1469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4752</v>
      </c>
      <c r="K29" s="5">
        <v>0</v>
      </c>
      <c r="L29" s="5">
        <v>13915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10450</v>
      </c>
      <c r="I30" s="5">
        <v>0</v>
      </c>
      <c r="J30" s="5">
        <v>8005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22</v>
      </c>
      <c r="K31" s="5">
        <v>17</v>
      </c>
      <c r="L31" s="5">
        <v>65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6925</v>
      </c>
      <c r="D36" s="5">
        <v>0</v>
      </c>
      <c r="E36" s="5">
        <v>0</v>
      </c>
      <c r="F36" s="5">
        <v>12069</v>
      </c>
      <c r="G36" s="5">
        <v>0</v>
      </c>
      <c r="H36" s="5">
        <v>16159</v>
      </c>
      <c r="I36" s="5">
        <v>0</v>
      </c>
      <c r="J36" s="5">
        <v>20355</v>
      </c>
      <c r="K36" s="5">
        <v>20355</v>
      </c>
      <c r="L36" s="5">
        <v>21993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88164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61772</v>
      </c>
      <c r="I40" s="5">
        <v>0</v>
      </c>
      <c r="J40" s="5">
        <v>69824</v>
      </c>
      <c r="K40" s="5">
        <v>69824</v>
      </c>
      <c r="L40" s="5">
        <v>70246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688</v>
      </c>
      <c r="K43" s="5">
        <v>0</v>
      </c>
      <c r="L43" s="5">
        <v>630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296</v>
      </c>
      <c r="G44" s="5">
        <v>0</v>
      </c>
      <c r="H44" s="5">
        <v>200</v>
      </c>
      <c r="I44" s="5">
        <v>0</v>
      </c>
      <c r="J44" s="5">
        <v>436</v>
      </c>
      <c r="K44" s="5">
        <v>0</v>
      </c>
      <c r="L44" s="5">
        <v>454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654</v>
      </c>
      <c r="K45" s="5">
        <v>567</v>
      </c>
      <c r="L45" s="5">
        <v>383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36</v>
      </c>
      <c r="I46" s="5">
        <v>0</v>
      </c>
      <c r="J46" s="5">
        <v>482</v>
      </c>
      <c r="K46" s="5">
        <v>0</v>
      </c>
      <c r="L46" s="5">
        <v>2440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1234</v>
      </c>
      <c r="K49" s="5">
        <v>0</v>
      </c>
      <c r="L49" s="5">
        <v>1205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10104</v>
      </c>
      <c r="K52" s="5">
        <v>0</v>
      </c>
      <c r="L52" s="5">
        <v>11220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240</v>
      </c>
      <c r="K53" s="5">
        <v>0</v>
      </c>
      <c r="L53" s="5">
        <v>231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9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83</v>
      </c>
      <c r="K55" s="5">
        <v>1076</v>
      </c>
      <c r="L55" s="5">
        <v>4658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2528</v>
      </c>
      <c r="I59" s="5">
        <v>0</v>
      </c>
      <c r="J59" s="5">
        <v>2813</v>
      </c>
      <c r="K59" s="5">
        <v>2813</v>
      </c>
      <c r="L59" s="5">
        <v>4467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656</v>
      </c>
      <c r="K60" s="5">
        <v>0</v>
      </c>
      <c r="L60" s="5">
        <v>656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13850</v>
      </c>
      <c r="D63" s="36">
        <f t="shared" si="0"/>
        <v>0</v>
      </c>
      <c r="E63" s="36">
        <f t="shared" si="0"/>
        <v>0</v>
      </c>
      <c r="F63" s="36">
        <f t="shared" si="0"/>
        <v>24434</v>
      </c>
      <c r="G63" s="36">
        <f t="shared" si="0"/>
        <v>176328</v>
      </c>
      <c r="H63" s="36">
        <f t="shared" si="0"/>
        <v>233238</v>
      </c>
      <c r="I63" s="36">
        <f t="shared" si="0"/>
        <v>11786</v>
      </c>
      <c r="J63" s="36">
        <f t="shared" si="0"/>
        <v>403087</v>
      </c>
      <c r="K63" s="36">
        <f t="shared" si="0"/>
        <v>383591</v>
      </c>
      <c r="L63" s="36">
        <f t="shared" si="0"/>
        <v>427752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3248329.2</v>
      </c>
      <c r="C65" s="15">
        <v>3257516.8</v>
      </c>
      <c r="D65" s="15">
        <v>3292126.2</v>
      </c>
      <c r="E65" s="15">
        <v>3362812.3</v>
      </c>
      <c r="F65" s="15">
        <v>3447899.3</v>
      </c>
      <c r="G65" s="15">
        <v>3528311.4</v>
      </c>
      <c r="H65" s="15">
        <v>3612346.7</v>
      </c>
      <c r="I65" s="15">
        <v>3717724.4</v>
      </c>
      <c r="J65" s="15">
        <v>3808847.5</v>
      </c>
      <c r="K65" s="15">
        <v>3870531</v>
      </c>
      <c r="L65" s="15">
        <v>3920543</v>
      </c>
    </row>
  </sheetData>
  <hyperlinks>
    <hyperlink ref="N2" location="Home!A1" display="HOME" xr:uid="{BE21C6A1-26BF-473B-B7E7-A1AFC0BF456D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E3E1-0FB0-4EB6-9011-B7E869299230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G46" sqref="G46"/>
    </sheetView>
  </sheetViews>
  <sheetFormatPr defaultColWidth="11.453125" defaultRowHeight="14.5" x14ac:dyDescent="0.35"/>
  <cols>
    <col min="1" max="1" width="79" bestFit="1" customWidth="1"/>
  </cols>
  <sheetData>
    <row r="1" spans="1:14" x14ac:dyDescent="0.35">
      <c r="A1" s="2" t="s">
        <v>383</v>
      </c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31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715</v>
      </c>
      <c r="G3" s="5">
        <v>1408</v>
      </c>
      <c r="H3" s="5">
        <v>1368</v>
      </c>
      <c r="I3" s="5">
        <v>1368</v>
      </c>
      <c r="J3" s="5">
        <v>1362</v>
      </c>
      <c r="K3" s="5">
        <v>0</v>
      </c>
      <c r="L3" s="5">
        <v>1139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570</v>
      </c>
      <c r="H4" s="5">
        <v>570</v>
      </c>
      <c r="I4" s="5">
        <v>516</v>
      </c>
      <c r="J4" s="5">
        <v>526</v>
      </c>
      <c r="K4" s="5">
        <v>0</v>
      </c>
      <c r="L4" s="5">
        <v>612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113</v>
      </c>
      <c r="J5" s="5">
        <v>114</v>
      </c>
      <c r="K5" s="5">
        <v>0</v>
      </c>
      <c r="L5" s="5">
        <v>137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4596</v>
      </c>
      <c r="G6" s="5">
        <v>5350</v>
      </c>
      <c r="H6" s="5">
        <v>6085</v>
      </c>
      <c r="I6" s="5">
        <v>4711</v>
      </c>
      <c r="J6" s="5">
        <v>5481</v>
      </c>
      <c r="K6" s="5">
        <v>0</v>
      </c>
      <c r="L6" s="5">
        <v>4277</v>
      </c>
    </row>
    <row r="7" spans="1:14" x14ac:dyDescent="0.35">
      <c r="A7" s="4" t="s">
        <v>216</v>
      </c>
      <c r="B7" s="5">
        <v>0</v>
      </c>
      <c r="C7" s="5">
        <v>437</v>
      </c>
      <c r="D7" s="5">
        <v>0</v>
      </c>
      <c r="E7" s="5">
        <v>0</v>
      </c>
      <c r="F7" s="5">
        <v>513</v>
      </c>
      <c r="G7" s="5">
        <v>733</v>
      </c>
      <c r="H7" s="5">
        <v>0</v>
      </c>
      <c r="I7" s="5">
        <v>607</v>
      </c>
      <c r="J7" s="5">
        <v>662</v>
      </c>
      <c r="K7" s="5">
        <v>0</v>
      </c>
      <c r="L7" s="5">
        <v>920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37</v>
      </c>
      <c r="H8" s="5">
        <v>40</v>
      </c>
      <c r="I8" s="5">
        <v>34</v>
      </c>
      <c r="J8" s="5">
        <v>34</v>
      </c>
      <c r="K8" s="5">
        <v>0</v>
      </c>
      <c r="L8" s="5">
        <v>44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46</v>
      </c>
      <c r="G9" s="5">
        <v>121</v>
      </c>
      <c r="H9" s="5">
        <v>227</v>
      </c>
      <c r="I9" s="5">
        <v>140</v>
      </c>
      <c r="J9" s="5">
        <v>139</v>
      </c>
      <c r="K9" s="5">
        <v>0</v>
      </c>
      <c r="L9" s="5">
        <v>168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1943</v>
      </c>
      <c r="H10" s="5">
        <v>0</v>
      </c>
      <c r="I10" s="5">
        <v>693</v>
      </c>
      <c r="J10" s="5">
        <v>693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159</v>
      </c>
      <c r="J11" s="5">
        <v>132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8</v>
      </c>
      <c r="H13" s="5">
        <v>0</v>
      </c>
      <c r="I13" s="5">
        <v>65</v>
      </c>
      <c r="J13" s="5">
        <v>66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117</v>
      </c>
      <c r="J14" s="5">
        <v>110</v>
      </c>
      <c r="K14" s="5">
        <v>0</v>
      </c>
      <c r="L14" s="5">
        <v>98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3</v>
      </c>
      <c r="H15" s="5">
        <v>0</v>
      </c>
      <c r="I15" s="5">
        <v>32</v>
      </c>
      <c r="J15" s="5">
        <v>32</v>
      </c>
      <c r="K15" s="5">
        <v>0</v>
      </c>
      <c r="L15" s="5">
        <v>67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33</v>
      </c>
      <c r="G16" s="5">
        <v>46</v>
      </c>
      <c r="H16" s="5">
        <v>0</v>
      </c>
      <c r="I16" s="5">
        <v>9</v>
      </c>
      <c r="J16" s="5">
        <v>9</v>
      </c>
      <c r="K16" s="5">
        <v>0</v>
      </c>
      <c r="L16" s="5">
        <v>17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10</v>
      </c>
      <c r="J17" s="5">
        <v>8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14</v>
      </c>
      <c r="J18" s="5">
        <v>14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30</v>
      </c>
      <c r="J19" s="5">
        <v>31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7</v>
      </c>
      <c r="J20" s="5">
        <v>7</v>
      </c>
      <c r="K20" s="5">
        <v>0</v>
      </c>
      <c r="L20" s="5">
        <v>2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174</v>
      </c>
      <c r="G21" s="5">
        <v>0</v>
      </c>
      <c r="H21" s="5">
        <v>0</v>
      </c>
      <c r="I21" s="5">
        <v>201</v>
      </c>
      <c r="J21" s="5">
        <v>198</v>
      </c>
      <c r="K21" s="5">
        <v>0</v>
      </c>
      <c r="L21" s="5">
        <v>155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102</v>
      </c>
      <c r="H22" s="5">
        <v>0</v>
      </c>
      <c r="I22" s="5">
        <v>69</v>
      </c>
      <c r="J22" s="5">
        <v>67</v>
      </c>
      <c r="K22" s="5">
        <v>0</v>
      </c>
      <c r="L22" s="5">
        <v>154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</v>
      </c>
      <c r="J23" s="5">
        <v>17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127</v>
      </c>
      <c r="H24" s="5">
        <v>0</v>
      </c>
      <c r="I24" s="5">
        <v>89</v>
      </c>
      <c r="J24" s="5">
        <v>86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66</v>
      </c>
      <c r="G26" s="5">
        <v>93</v>
      </c>
      <c r="H26" s="5">
        <v>0</v>
      </c>
      <c r="I26" s="5">
        <v>78</v>
      </c>
      <c r="J26" s="5">
        <v>82</v>
      </c>
      <c r="K26" s="5">
        <v>0</v>
      </c>
      <c r="L26" s="5">
        <v>478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344</v>
      </c>
      <c r="J27" s="5">
        <v>390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18</v>
      </c>
      <c r="H28" s="5">
        <v>0</v>
      </c>
      <c r="I28" s="5">
        <v>14</v>
      </c>
      <c r="J28" s="5">
        <v>14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287</v>
      </c>
      <c r="G29" s="5">
        <v>442</v>
      </c>
      <c r="H29" s="5">
        <v>0</v>
      </c>
      <c r="I29" s="5">
        <v>72</v>
      </c>
      <c r="J29" s="5">
        <v>74</v>
      </c>
      <c r="K29" s="5">
        <v>0</v>
      </c>
      <c r="L29" s="5">
        <v>228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439</v>
      </c>
      <c r="I30" s="5">
        <v>454</v>
      </c>
      <c r="J30" s="5">
        <v>469</v>
      </c>
      <c r="K30" s="5">
        <v>0</v>
      </c>
      <c r="L30" s="5">
        <v>231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32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715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195</v>
      </c>
      <c r="H34" s="5">
        <v>0</v>
      </c>
      <c r="I34" s="5">
        <v>107</v>
      </c>
      <c r="J34" s="5">
        <v>106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43</v>
      </c>
    </row>
    <row r="36" spans="1:12" x14ac:dyDescent="0.35">
      <c r="A36" s="4" t="s">
        <v>245</v>
      </c>
      <c r="B36" s="5">
        <v>0</v>
      </c>
      <c r="C36" s="5">
        <v>437</v>
      </c>
      <c r="D36" s="5">
        <v>0</v>
      </c>
      <c r="E36" s="5">
        <v>0</v>
      </c>
      <c r="F36" s="5">
        <v>0</v>
      </c>
      <c r="G36" s="5">
        <v>109</v>
      </c>
      <c r="H36" s="5">
        <v>0</v>
      </c>
      <c r="I36" s="5">
        <v>607</v>
      </c>
      <c r="J36" s="5">
        <v>662</v>
      </c>
      <c r="K36" s="5">
        <v>0</v>
      </c>
      <c r="L36" s="5">
        <v>867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513</v>
      </c>
      <c r="G37" s="5">
        <v>624</v>
      </c>
      <c r="H37" s="5">
        <v>0</v>
      </c>
      <c r="I37" s="5">
        <v>0</v>
      </c>
      <c r="J37" s="5">
        <v>0</v>
      </c>
      <c r="K37" s="5">
        <v>0</v>
      </c>
      <c r="L37" s="5">
        <v>10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4596</v>
      </c>
      <c r="G38" s="5">
        <v>4273</v>
      </c>
      <c r="H38" s="5">
        <v>6085</v>
      </c>
      <c r="I38" s="5">
        <v>2</v>
      </c>
      <c r="J38" s="5">
        <v>2</v>
      </c>
      <c r="K38" s="5">
        <v>0</v>
      </c>
      <c r="L38" s="5">
        <v>84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1408</v>
      </c>
      <c r="J39" s="5">
        <v>635</v>
      </c>
      <c r="K39" s="5">
        <v>0</v>
      </c>
      <c r="L39" s="5">
        <v>3201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1077</v>
      </c>
      <c r="H40" s="5">
        <v>0</v>
      </c>
      <c r="I40" s="5">
        <v>3301</v>
      </c>
      <c r="J40" s="5">
        <v>4844</v>
      </c>
      <c r="K40" s="5">
        <v>0</v>
      </c>
      <c r="L40" s="5">
        <v>992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746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11</v>
      </c>
      <c r="J42" s="5">
        <v>1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4</v>
      </c>
      <c r="H43" s="5">
        <v>0</v>
      </c>
      <c r="I43" s="5">
        <v>3</v>
      </c>
      <c r="J43" s="5">
        <v>3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89</v>
      </c>
      <c r="H44" s="5">
        <v>0</v>
      </c>
      <c r="I44" s="5">
        <v>79</v>
      </c>
      <c r="J44" s="5">
        <v>82</v>
      </c>
      <c r="K44" s="5">
        <v>0</v>
      </c>
      <c r="L44" s="5">
        <v>134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5</v>
      </c>
      <c r="H45" s="5">
        <v>0</v>
      </c>
      <c r="I45" s="5">
        <v>9</v>
      </c>
      <c r="J45" s="5">
        <v>9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452</v>
      </c>
      <c r="H46" s="5">
        <v>0</v>
      </c>
      <c r="I46" s="5">
        <v>429</v>
      </c>
      <c r="J46" s="5">
        <v>416</v>
      </c>
      <c r="K46" s="5">
        <v>0</v>
      </c>
      <c r="L46" s="5">
        <v>22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942</v>
      </c>
      <c r="J47" s="5">
        <v>947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2595</v>
      </c>
      <c r="J48" s="5">
        <v>2714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58</v>
      </c>
      <c r="H49" s="5">
        <v>0</v>
      </c>
      <c r="I49" s="5">
        <v>703</v>
      </c>
      <c r="J49" s="5">
        <v>615</v>
      </c>
      <c r="K49" s="5">
        <v>0</v>
      </c>
      <c r="L49" s="5">
        <v>84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</v>
      </c>
      <c r="J50" s="5">
        <v>1</v>
      </c>
      <c r="K50" s="5">
        <v>0</v>
      </c>
      <c r="L50" s="5">
        <v>70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72</v>
      </c>
      <c r="G52" s="5">
        <v>106</v>
      </c>
      <c r="H52" s="5">
        <v>0</v>
      </c>
      <c r="I52" s="5">
        <v>179</v>
      </c>
      <c r="J52" s="5">
        <v>179</v>
      </c>
      <c r="K52" s="5">
        <v>0</v>
      </c>
      <c r="L52" s="5">
        <v>233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43</v>
      </c>
      <c r="H53" s="5">
        <v>0</v>
      </c>
      <c r="I53" s="5">
        <v>29</v>
      </c>
      <c r="J53" s="5">
        <v>17</v>
      </c>
      <c r="K53" s="5">
        <v>0</v>
      </c>
      <c r="L53" s="5">
        <v>2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14</v>
      </c>
      <c r="J54" s="5">
        <v>15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4</v>
      </c>
      <c r="H55" s="5">
        <v>0</v>
      </c>
      <c r="I55" s="5">
        <v>4</v>
      </c>
      <c r="J55" s="5">
        <v>3</v>
      </c>
      <c r="K55" s="5">
        <v>0</v>
      </c>
      <c r="L55" s="5">
        <v>4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41</v>
      </c>
      <c r="H56" s="5">
        <v>0</v>
      </c>
      <c r="I56" s="5">
        <v>85</v>
      </c>
      <c r="J56" s="5">
        <v>86</v>
      </c>
      <c r="K56" s="5">
        <v>0</v>
      </c>
      <c r="L56" s="5">
        <v>175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10</v>
      </c>
      <c r="J57" s="5">
        <v>9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109</v>
      </c>
      <c r="J58" s="5">
        <v>106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838</v>
      </c>
      <c r="H59" s="5">
        <v>798</v>
      </c>
      <c r="I59" s="5">
        <v>851</v>
      </c>
      <c r="J59" s="5">
        <v>835</v>
      </c>
      <c r="K59" s="5">
        <v>0</v>
      </c>
      <c r="L59" s="5">
        <v>527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80</v>
      </c>
      <c r="H60" s="5">
        <v>0</v>
      </c>
      <c r="I60" s="5">
        <v>157</v>
      </c>
      <c r="J60" s="5">
        <v>153</v>
      </c>
      <c r="K60" s="5">
        <v>0</v>
      </c>
      <c r="L60" s="5">
        <v>103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84</v>
      </c>
      <c r="J61" s="5">
        <v>79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99</v>
      </c>
      <c r="H62" s="5">
        <v>0</v>
      </c>
      <c r="I62" s="5">
        <v>33</v>
      </c>
      <c r="J62" s="5">
        <v>33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874</v>
      </c>
      <c r="D63" s="36">
        <f t="shared" si="0"/>
        <v>0</v>
      </c>
      <c r="E63" s="36">
        <f t="shared" si="0"/>
        <v>0</v>
      </c>
      <c r="F63" s="36">
        <f t="shared" si="0"/>
        <v>12326</v>
      </c>
      <c r="G63" s="36">
        <f t="shared" si="0"/>
        <v>19134</v>
      </c>
      <c r="H63" s="36">
        <f t="shared" si="0"/>
        <v>15612</v>
      </c>
      <c r="I63" s="36">
        <f t="shared" si="0"/>
        <v>22486</v>
      </c>
      <c r="J63" s="36">
        <f t="shared" si="0"/>
        <v>23370</v>
      </c>
      <c r="K63" s="36">
        <f t="shared" si="0"/>
        <v>0</v>
      </c>
      <c r="L63" s="36">
        <f t="shared" si="0"/>
        <v>15278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59226.3</v>
      </c>
      <c r="C65" s="15">
        <v>60469.599999999999</v>
      </c>
      <c r="D65" s="15">
        <v>61619.1</v>
      </c>
      <c r="E65" s="15">
        <v>62601.9</v>
      </c>
      <c r="F65" s="15">
        <v>63306.9</v>
      </c>
      <c r="G65" s="15">
        <v>63752.5</v>
      </c>
      <c r="H65" s="15">
        <v>63976.2</v>
      </c>
      <c r="I65" s="15">
        <v>64066.9</v>
      </c>
      <c r="J65" s="15">
        <v>64112.7</v>
      </c>
      <c r="K65" s="15">
        <v>64185.3</v>
      </c>
      <c r="L65" s="15">
        <v>64514.8</v>
      </c>
    </row>
  </sheetData>
  <hyperlinks>
    <hyperlink ref="N2" location="Home!A1" display="HOME" xr:uid="{62436BF6-71B8-4349-A4B7-F070BD6AF921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5A2F-422A-4D8A-9CBA-CCDAF97E836D}">
  <dimension ref="A1:N65"/>
  <sheetViews>
    <sheetView zoomScale="84" zoomScaleNormal="84" workbookViewId="0">
      <pane xSplit="1" ySplit="2" topLeftCell="B39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380</v>
      </c>
      <c r="B1"/>
      <c r="C1"/>
      <c r="D1"/>
      <c r="E1"/>
      <c r="F1"/>
      <c r="G1"/>
      <c r="H1"/>
      <c r="I1"/>
      <c r="J1"/>
      <c r="K1"/>
      <c r="L1"/>
    </row>
    <row r="2" spans="1:14" ht="15.5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8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213</v>
      </c>
      <c r="F3" s="5">
        <v>0</v>
      </c>
      <c r="G3" s="5">
        <v>232</v>
      </c>
      <c r="H3" s="5">
        <v>298</v>
      </c>
      <c r="I3" s="5">
        <v>188</v>
      </c>
      <c r="J3" s="5">
        <v>196</v>
      </c>
      <c r="K3" s="5">
        <v>269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152</v>
      </c>
      <c r="H4" s="5">
        <v>181</v>
      </c>
      <c r="I4" s="5">
        <v>107</v>
      </c>
      <c r="J4" s="5">
        <v>122</v>
      </c>
      <c r="K4" s="5">
        <v>156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51</v>
      </c>
      <c r="J5" s="5">
        <v>47</v>
      </c>
      <c r="K5" s="5">
        <v>69</v>
      </c>
      <c r="L5" s="5">
        <v>0</v>
      </c>
    </row>
    <row r="6" spans="1:14" x14ac:dyDescent="0.35">
      <c r="A6" s="4" t="s">
        <v>215</v>
      </c>
      <c r="B6" s="5">
        <v>2386</v>
      </c>
      <c r="C6" s="5">
        <v>0</v>
      </c>
      <c r="D6" s="5">
        <v>0</v>
      </c>
      <c r="E6" s="5">
        <v>2372</v>
      </c>
      <c r="F6" s="5">
        <v>0</v>
      </c>
      <c r="G6" s="5">
        <v>1127</v>
      </c>
      <c r="H6" s="5">
        <v>1498</v>
      </c>
      <c r="I6" s="5">
        <v>749</v>
      </c>
      <c r="J6" s="5">
        <v>1229</v>
      </c>
      <c r="K6" s="5">
        <v>1404</v>
      </c>
      <c r="L6" s="5">
        <v>0</v>
      </c>
    </row>
    <row r="7" spans="1:14" x14ac:dyDescent="0.35">
      <c r="A7" s="4" t="s">
        <v>216</v>
      </c>
      <c r="B7" s="5">
        <v>0</v>
      </c>
      <c r="C7" s="5">
        <v>259</v>
      </c>
      <c r="D7" s="5">
        <v>0</v>
      </c>
      <c r="E7" s="5">
        <v>850</v>
      </c>
      <c r="F7" s="5">
        <v>0</v>
      </c>
      <c r="G7" s="5">
        <v>422</v>
      </c>
      <c r="H7" s="5">
        <v>0</v>
      </c>
      <c r="I7" s="5">
        <v>341</v>
      </c>
      <c r="J7" s="5">
        <v>540</v>
      </c>
      <c r="K7" s="5">
        <v>379</v>
      </c>
      <c r="L7" s="5">
        <v>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17</v>
      </c>
      <c r="F8" s="5">
        <v>0</v>
      </c>
      <c r="G8" s="5">
        <v>0</v>
      </c>
      <c r="H8" s="5">
        <v>4</v>
      </c>
      <c r="I8" s="5">
        <v>12</v>
      </c>
      <c r="J8" s="5">
        <v>8</v>
      </c>
      <c r="K8" s="5">
        <v>9</v>
      </c>
      <c r="L8" s="5">
        <v>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5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4</v>
      </c>
      <c r="L9" s="5">
        <v>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10</v>
      </c>
      <c r="J13" s="5">
        <v>10</v>
      </c>
      <c r="K13" s="5">
        <v>3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1553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10</v>
      </c>
      <c r="I15" s="5">
        <v>6</v>
      </c>
      <c r="J15" s="5">
        <v>17</v>
      </c>
      <c r="K15" s="5">
        <v>16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3</v>
      </c>
      <c r="F16" s="5">
        <v>0</v>
      </c>
      <c r="G16" s="5">
        <v>0</v>
      </c>
      <c r="H16" s="5">
        <v>7</v>
      </c>
      <c r="I16" s="5">
        <v>95</v>
      </c>
      <c r="J16" s="5">
        <v>4</v>
      </c>
      <c r="K16" s="5">
        <v>6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4</v>
      </c>
      <c r="J18" s="5">
        <v>9</v>
      </c>
      <c r="K18" s="5">
        <v>2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106</v>
      </c>
      <c r="J20" s="5">
        <v>237</v>
      </c>
      <c r="K20" s="5">
        <v>252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172</v>
      </c>
      <c r="F21" s="5">
        <v>0</v>
      </c>
      <c r="G21" s="5">
        <v>0</v>
      </c>
      <c r="H21" s="5">
        <v>0</v>
      </c>
      <c r="I21" s="5">
        <v>43</v>
      </c>
      <c r="J21" s="5">
        <v>67</v>
      </c>
      <c r="K21" s="5">
        <v>44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7</v>
      </c>
      <c r="J22" s="5">
        <v>10</v>
      </c>
      <c r="K22" s="5">
        <v>10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32</v>
      </c>
      <c r="F26" s="5">
        <v>0</v>
      </c>
      <c r="G26" s="5">
        <v>0</v>
      </c>
      <c r="H26" s="5">
        <v>0</v>
      </c>
      <c r="I26" s="5">
        <v>149</v>
      </c>
      <c r="J26" s="5">
        <v>173</v>
      </c>
      <c r="K26" s="5">
        <v>172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246</v>
      </c>
      <c r="J27" s="5">
        <v>479</v>
      </c>
      <c r="K27" s="5">
        <v>522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141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11</v>
      </c>
      <c r="F30" s="5">
        <v>0</v>
      </c>
      <c r="G30" s="5">
        <v>0</v>
      </c>
      <c r="H30" s="5">
        <v>138</v>
      </c>
      <c r="I30" s="5">
        <v>22</v>
      </c>
      <c r="J30" s="5">
        <v>13</v>
      </c>
      <c r="K30" s="5">
        <v>18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213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180</v>
      </c>
      <c r="D35" s="5">
        <v>0</v>
      </c>
      <c r="E35" s="5">
        <v>0</v>
      </c>
      <c r="F35" s="5">
        <v>0</v>
      </c>
      <c r="G35" s="5">
        <v>341</v>
      </c>
      <c r="H35" s="5">
        <v>0</v>
      </c>
      <c r="I35" s="5">
        <v>252</v>
      </c>
      <c r="J35" s="5">
        <v>412</v>
      </c>
      <c r="K35" s="5">
        <v>278</v>
      </c>
      <c r="L35" s="5">
        <v>0</v>
      </c>
    </row>
    <row r="36" spans="1:12" x14ac:dyDescent="0.35">
      <c r="A36" s="4" t="s">
        <v>245</v>
      </c>
      <c r="B36" s="5">
        <v>0</v>
      </c>
      <c r="C36" s="5">
        <v>79</v>
      </c>
      <c r="D36" s="5">
        <v>0</v>
      </c>
      <c r="E36" s="5">
        <v>0</v>
      </c>
      <c r="F36" s="5">
        <v>0</v>
      </c>
      <c r="G36" s="5">
        <v>81</v>
      </c>
      <c r="H36" s="5">
        <v>0</v>
      </c>
      <c r="I36" s="5">
        <v>89</v>
      </c>
      <c r="J36" s="5">
        <v>128</v>
      </c>
      <c r="K36" s="5">
        <v>101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850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2386</v>
      </c>
      <c r="C38" s="5">
        <v>0</v>
      </c>
      <c r="D38" s="5">
        <v>0</v>
      </c>
      <c r="E38" s="5">
        <v>2372</v>
      </c>
      <c r="F38" s="5">
        <v>0</v>
      </c>
      <c r="G38" s="5">
        <v>0</v>
      </c>
      <c r="H38" s="5">
        <v>1498</v>
      </c>
      <c r="I38" s="5">
        <v>38</v>
      </c>
      <c r="J38" s="5">
        <v>42</v>
      </c>
      <c r="K38" s="5">
        <v>47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879</v>
      </c>
      <c r="H39" s="5">
        <v>0</v>
      </c>
      <c r="I39" s="5">
        <v>391</v>
      </c>
      <c r="J39" s="5">
        <v>484</v>
      </c>
      <c r="K39" s="5">
        <v>449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248</v>
      </c>
      <c r="H40" s="5">
        <v>0</v>
      </c>
      <c r="I40" s="5">
        <v>320</v>
      </c>
      <c r="J40" s="5">
        <v>703</v>
      </c>
      <c r="K40" s="5">
        <v>908</v>
      </c>
      <c r="L40" s="5">
        <v>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68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326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9</v>
      </c>
      <c r="J44" s="5">
        <v>0</v>
      </c>
      <c r="K44" s="5">
        <v>20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17</v>
      </c>
      <c r="F45" s="5">
        <v>0</v>
      </c>
      <c r="G45" s="5">
        <v>0</v>
      </c>
      <c r="H45" s="5">
        <v>0</v>
      </c>
      <c r="I45" s="5">
        <v>16</v>
      </c>
      <c r="J45" s="5">
        <v>20</v>
      </c>
      <c r="K45" s="5">
        <v>18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2253</v>
      </c>
      <c r="K48" s="5">
        <v>2193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99</v>
      </c>
      <c r="F52" s="5">
        <v>0</v>
      </c>
      <c r="G52" s="5">
        <v>74</v>
      </c>
      <c r="H52" s="5">
        <v>76</v>
      </c>
      <c r="I52" s="5">
        <v>81</v>
      </c>
      <c r="J52" s="5">
        <v>81</v>
      </c>
      <c r="K52" s="5">
        <v>94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5</v>
      </c>
      <c r="F53" s="5">
        <v>0</v>
      </c>
      <c r="G53" s="5">
        <v>0</v>
      </c>
      <c r="H53" s="5">
        <v>0</v>
      </c>
      <c r="I53" s="5">
        <v>3</v>
      </c>
      <c r="J53" s="5">
        <v>7</v>
      </c>
      <c r="K53" s="5">
        <v>1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15</v>
      </c>
      <c r="F54" s="5">
        <v>0</v>
      </c>
      <c r="G54" s="5">
        <v>0</v>
      </c>
      <c r="H54" s="5">
        <v>0</v>
      </c>
      <c r="I54" s="5">
        <v>20</v>
      </c>
      <c r="J54" s="5">
        <v>25</v>
      </c>
      <c r="K54" s="5">
        <v>23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1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127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80</v>
      </c>
      <c r="H59" s="5">
        <v>117</v>
      </c>
      <c r="I59" s="5">
        <v>81</v>
      </c>
      <c r="J59" s="5">
        <v>74</v>
      </c>
      <c r="K59" s="5">
        <v>113</v>
      </c>
      <c r="L59" s="5">
        <v>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14</v>
      </c>
      <c r="J60" s="5">
        <v>16</v>
      </c>
      <c r="K60" s="5">
        <v>13</v>
      </c>
      <c r="L60" s="5">
        <v>0</v>
      </c>
    </row>
    <row r="61" spans="1:12" x14ac:dyDescent="0.35">
      <c r="A61" s="4" t="s">
        <v>268</v>
      </c>
      <c r="B61" s="5">
        <v>656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5555</v>
      </c>
      <c r="C63" s="36">
        <f t="shared" ref="C63:L63" si="0">SUM(C3:C62)</f>
        <v>518</v>
      </c>
      <c r="D63" s="36">
        <f t="shared" si="0"/>
        <v>0</v>
      </c>
      <c r="E63" s="36">
        <f t="shared" si="0"/>
        <v>7387</v>
      </c>
      <c r="F63" s="36">
        <f t="shared" si="0"/>
        <v>1</v>
      </c>
      <c r="G63" s="36">
        <f t="shared" si="0"/>
        <v>4030</v>
      </c>
      <c r="H63" s="36">
        <f t="shared" si="0"/>
        <v>5382</v>
      </c>
      <c r="I63" s="36">
        <f t="shared" si="0"/>
        <v>3452</v>
      </c>
      <c r="J63" s="36">
        <f t="shared" si="0"/>
        <v>7407</v>
      </c>
      <c r="K63" s="36">
        <f t="shared" si="0"/>
        <v>7594</v>
      </c>
      <c r="L63" s="36">
        <f t="shared" si="0"/>
        <v>0</v>
      </c>
    </row>
    <row r="64" spans="1:12" x14ac:dyDescent="0.35">
      <c r="A64" s="21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x14ac:dyDescent="0.35">
      <c r="A65" s="20" t="s">
        <v>8</v>
      </c>
      <c r="B65" s="27">
        <v>81185.8</v>
      </c>
      <c r="C65" s="27">
        <v>82489.399999999994</v>
      </c>
      <c r="D65" s="27">
        <v>83366.8</v>
      </c>
      <c r="E65" s="27">
        <v>83965.3</v>
      </c>
      <c r="F65" s="27">
        <v>84366.1</v>
      </c>
      <c r="G65" s="27">
        <v>84719.8</v>
      </c>
      <c r="H65" s="27">
        <v>85148.1</v>
      </c>
      <c r="I65" s="27">
        <v>85715.6</v>
      </c>
      <c r="J65" s="27">
        <v>86528</v>
      </c>
      <c r="K65" s="27">
        <v>87525.9</v>
      </c>
      <c r="L65" s="27">
        <v>88529.1</v>
      </c>
    </row>
  </sheetData>
  <hyperlinks>
    <hyperlink ref="N2" location="Home!A1" display="HOME" xr:uid="{A6F7189B-28FB-46B6-BCA8-EC36044D508F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1BEA-EB77-443A-86F9-A953D2893712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381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f>+'AFRO Stock 2012'!W4</f>
        <v>2486</v>
      </c>
      <c r="C3" s="5">
        <f>+'AFRO Stock 2013'!W4</f>
        <v>2730</v>
      </c>
      <c r="D3" s="5">
        <f>+'AFRO Stock 2014'!W4</f>
        <v>3016</v>
      </c>
      <c r="E3" s="5">
        <f>+'AFRO Stock 2015'!W4</f>
        <v>3263</v>
      </c>
      <c r="F3" s="5">
        <f>+'AFRO Stock 2016'!W4</f>
        <v>3618</v>
      </c>
      <c r="G3" s="5">
        <f>+'AFRO Stock 2017'!W4</f>
        <v>2679</v>
      </c>
      <c r="H3" s="5">
        <f>+'AFRO Stock 2018'!W4</f>
        <v>4406</v>
      </c>
      <c r="I3" s="5">
        <f>+'AFRO Stock 2019'!W4</f>
        <v>3236</v>
      </c>
      <c r="J3" s="5">
        <f>+'AFRO Stock 2020'!W4</f>
        <v>5285</v>
      </c>
      <c r="K3" s="5">
        <f>+'AFRO Stock 2021'!W4</f>
        <v>4169</v>
      </c>
      <c r="L3" s="5">
        <f>+'AFRO Stock 2022'!W4</f>
        <v>4726</v>
      </c>
    </row>
    <row r="4" spans="1:14" x14ac:dyDescent="0.35">
      <c r="A4" s="17" t="s">
        <v>213</v>
      </c>
      <c r="B4" s="5">
        <f>+'AFRO Stock 2012'!W5</f>
        <v>0</v>
      </c>
      <c r="C4" s="5">
        <f>+'AFRO Stock 2013'!W5</f>
        <v>0</v>
      </c>
      <c r="D4" s="5">
        <f>+'AFRO Stock 2014'!W5</f>
        <v>0</v>
      </c>
      <c r="E4" s="5">
        <f>+'AFRO Stock 2015'!W5</f>
        <v>0</v>
      </c>
      <c r="F4" s="5">
        <f>+'AFRO Stock 2016'!W5</f>
        <v>0</v>
      </c>
      <c r="G4" s="5">
        <f>+'AFRO Stock 2017'!W5</f>
        <v>1757</v>
      </c>
      <c r="H4" s="5">
        <f>+'AFRO Stock 2018'!W5</f>
        <v>3316</v>
      </c>
      <c r="I4" s="5">
        <f>+'AFRO Stock 2019'!W5</f>
        <v>2181</v>
      </c>
      <c r="J4" s="5">
        <f>+'AFRO Stock 2020'!W5</f>
        <v>0</v>
      </c>
      <c r="K4" s="5">
        <f>+'AFRO Stock 2021'!W5</f>
        <v>3034</v>
      </c>
      <c r="L4" s="5">
        <f>+'AFRO Stock 2022'!W5</f>
        <v>3344</v>
      </c>
    </row>
    <row r="5" spans="1:14" x14ac:dyDescent="0.35">
      <c r="A5" s="4" t="s">
        <v>214</v>
      </c>
      <c r="B5" s="5">
        <f>+'AFRO Stock 2012'!W6</f>
        <v>0</v>
      </c>
      <c r="C5" s="5">
        <f>+'AFRO Stock 2013'!W6</f>
        <v>0</v>
      </c>
      <c r="D5" s="5">
        <f>+'AFRO Stock 2014'!W6</f>
        <v>0</v>
      </c>
      <c r="E5" s="5">
        <f>+'AFRO Stock 2015'!W6</f>
        <v>0</v>
      </c>
      <c r="F5" s="5">
        <f>+'AFRO Stock 2016'!W6</f>
        <v>0</v>
      </c>
      <c r="G5" s="5">
        <f>+'AFRO Stock 2017'!W6</f>
        <v>0</v>
      </c>
      <c r="H5" s="5">
        <f>+'AFRO Stock 2018'!W6</f>
        <v>0</v>
      </c>
      <c r="I5" s="5">
        <f>+'AFRO Stock 2019'!W6</f>
        <v>0</v>
      </c>
      <c r="J5" s="5">
        <f>+'AFRO Stock 2020'!W6</f>
        <v>0</v>
      </c>
      <c r="K5" s="5">
        <f>+'AFRO Stock 2021'!W6</f>
        <v>0</v>
      </c>
      <c r="L5" s="5">
        <f>+'AFRO Stock 2022'!W6</f>
        <v>0</v>
      </c>
    </row>
    <row r="6" spans="1:14" x14ac:dyDescent="0.35">
      <c r="A6" s="4" t="s">
        <v>215</v>
      </c>
      <c r="B6" s="5">
        <f>+'AFRO Stock 2012'!W7</f>
        <v>0</v>
      </c>
      <c r="C6" s="5">
        <f>+'AFRO Stock 2013'!W7</f>
        <v>0</v>
      </c>
      <c r="D6" s="5">
        <f>+'AFRO Stock 2014'!W7</f>
        <v>37404</v>
      </c>
      <c r="E6" s="5">
        <f>+'AFRO Stock 2015'!W7</f>
        <v>48939</v>
      </c>
      <c r="F6" s="5">
        <f>+'AFRO Stock 2016'!W7</f>
        <v>52605</v>
      </c>
      <c r="G6" s="5">
        <f>+'AFRO Stock 2017'!W7</f>
        <v>58608</v>
      </c>
      <c r="H6" s="5">
        <f>+'AFRO Stock 2018'!W7</f>
        <v>125024</v>
      </c>
      <c r="I6" s="5">
        <f>+'AFRO Stock 2019'!W7</f>
        <v>69789</v>
      </c>
      <c r="J6" s="5">
        <f>+'AFRO Stock 2020'!W7</f>
        <v>95789</v>
      </c>
      <c r="K6" s="5">
        <f>+'AFRO Stock 2021'!W7</f>
        <v>93144</v>
      </c>
      <c r="L6" s="5">
        <f>+'AFRO Stock 2022'!W7</f>
        <v>102943</v>
      </c>
    </row>
    <row r="7" spans="1:14" x14ac:dyDescent="0.35">
      <c r="A7" s="4" t="s">
        <v>216</v>
      </c>
      <c r="B7" s="5">
        <f>+'AFRO Stock 2012'!W8</f>
        <v>0</v>
      </c>
      <c r="C7" s="5">
        <f>+'AFRO Stock 2013'!W8</f>
        <v>11287</v>
      </c>
      <c r="D7" s="5">
        <f>+'AFRO Stock 2014'!W8</f>
        <v>0</v>
      </c>
      <c r="E7" s="5">
        <f>+'AFRO Stock 2015'!W8</f>
        <v>6808</v>
      </c>
      <c r="F7" s="5">
        <f>+'AFRO Stock 2016'!W8</f>
        <v>7662</v>
      </c>
      <c r="G7" s="5">
        <f>+'AFRO Stock 2017'!W8</f>
        <v>9554</v>
      </c>
      <c r="H7" s="5">
        <f>+'AFRO Stock 2018'!W8</f>
        <v>10489</v>
      </c>
      <c r="I7" s="5">
        <f>+'AFRO Stock 2019'!W8</f>
        <v>12673</v>
      </c>
      <c r="J7" s="5">
        <f>+'AFRO Stock 2020'!W8</f>
        <v>16700</v>
      </c>
      <c r="K7" s="5">
        <f>+'AFRO Stock 2021'!W8</f>
        <v>19141</v>
      </c>
      <c r="L7" s="5">
        <f>+'AFRO Stock 2022'!W8</f>
        <v>23882</v>
      </c>
    </row>
    <row r="8" spans="1:14" x14ac:dyDescent="0.35">
      <c r="A8" s="4" t="s">
        <v>217</v>
      </c>
      <c r="B8" s="5">
        <f>+'AFRO Stock 2012'!W9</f>
        <v>0</v>
      </c>
      <c r="C8" s="5">
        <f>+'AFRO Stock 2013'!W9</f>
        <v>0</v>
      </c>
      <c r="D8" s="5">
        <f>+'AFRO Stock 2014'!W9</f>
        <v>0</v>
      </c>
      <c r="E8" s="5">
        <f>+'AFRO Stock 2015'!W9</f>
        <v>0</v>
      </c>
      <c r="F8" s="5">
        <f>+'AFRO Stock 2016'!W9</f>
        <v>400</v>
      </c>
      <c r="G8" s="5">
        <f>+'AFRO Stock 2017'!W9</f>
        <v>0</v>
      </c>
      <c r="H8" s="5">
        <f>+'AFRO Stock 2018'!W9</f>
        <v>713</v>
      </c>
      <c r="I8" s="5">
        <f>+'AFRO Stock 2019'!W9</f>
        <v>0</v>
      </c>
      <c r="J8" s="5">
        <f>+'AFRO Stock 2020'!W9</f>
        <v>0</v>
      </c>
      <c r="K8" s="5">
        <f>+'AFRO Stock 2021'!W9</f>
        <v>0</v>
      </c>
      <c r="L8" s="5">
        <f>+'AFRO Stock 2022'!W9</f>
        <v>0</v>
      </c>
    </row>
    <row r="9" spans="1:14" x14ac:dyDescent="0.35">
      <c r="A9" s="4" t="s">
        <v>218</v>
      </c>
      <c r="B9" s="5">
        <f>+'AFRO Stock 2012'!W10</f>
        <v>0</v>
      </c>
      <c r="C9" s="5">
        <f>+'AFRO Stock 2013'!W10</f>
        <v>0</v>
      </c>
      <c r="D9" s="5">
        <f>+'AFRO Stock 2014'!W10</f>
        <v>0</v>
      </c>
      <c r="E9" s="5">
        <f>+'AFRO Stock 2015'!W10</f>
        <v>0</v>
      </c>
      <c r="F9" s="5">
        <f>+'AFRO Stock 2016'!W10</f>
        <v>570</v>
      </c>
      <c r="G9" s="5">
        <f>+'AFRO Stock 2017'!W10</f>
        <v>718</v>
      </c>
      <c r="H9" s="5">
        <f>+'AFRO Stock 2018'!W10</f>
        <v>918</v>
      </c>
      <c r="I9" s="5">
        <f>+'AFRO Stock 2019'!W10</f>
        <v>1138</v>
      </c>
      <c r="J9" s="5">
        <f>+'AFRO Stock 2020'!W10</f>
        <v>1388</v>
      </c>
      <c r="K9" s="5">
        <f>+'AFRO Stock 2021'!W10</f>
        <v>1035</v>
      </c>
      <c r="L9" s="5">
        <f>+'AFRO Stock 2022'!W10</f>
        <v>1188</v>
      </c>
    </row>
    <row r="10" spans="1:14" x14ac:dyDescent="0.35">
      <c r="A10" s="4" t="s">
        <v>219</v>
      </c>
      <c r="B10" s="5">
        <f>+'AFRO Stock 2012'!W11</f>
        <v>0</v>
      </c>
      <c r="C10" s="5">
        <f>+'AFRO Stock 2013'!W11</f>
        <v>0</v>
      </c>
      <c r="D10" s="5">
        <f>+'AFRO Stock 2014'!W11</f>
        <v>0</v>
      </c>
      <c r="E10" s="5">
        <f>+'AFRO Stock 2015'!W11</f>
        <v>0</v>
      </c>
      <c r="F10" s="5">
        <f>+'AFRO Stock 2016'!W11</f>
        <v>0</v>
      </c>
      <c r="G10" s="5">
        <f>+'AFRO Stock 2017'!W11</f>
        <v>0</v>
      </c>
      <c r="H10" s="5">
        <f>+'AFRO Stock 2018'!W11</f>
        <v>0</v>
      </c>
      <c r="I10" s="5">
        <f>+'AFRO Stock 2019'!W11</f>
        <v>0</v>
      </c>
      <c r="J10" s="5">
        <f>+'AFRO Stock 2020'!W11</f>
        <v>0</v>
      </c>
      <c r="K10" s="5">
        <f>+'AFRO Stock 2021'!W11</f>
        <v>4274</v>
      </c>
      <c r="L10" s="5">
        <f>+'AFRO Stock 2022'!W11</f>
        <v>4065</v>
      </c>
    </row>
    <row r="11" spans="1:14" x14ac:dyDescent="0.35">
      <c r="A11" s="4" t="s">
        <v>220</v>
      </c>
      <c r="B11" s="5">
        <f>+'AFRO Stock 2012'!W12</f>
        <v>0</v>
      </c>
      <c r="C11" s="5">
        <f>+'AFRO Stock 2013'!W12</f>
        <v>0</v>
      </c>
      <c r="D11" s="5">
        <f>+'AFRO Stock 2014'!W12</f>
        <v>0</v>
      </c>
      <c r="E11" s="5">
        <f>+'AFRO Stock 2015'!W12</f>
        <v>0</v>
      </c>
      <c r="F11" s="5">
        <f>+'AFRO Stock 2016'!W12</f>
        <v>0</v>
      </c>
      <c r="G11" s="5">
        <f>+'AFRO Stock 2017'!W12</f>
        <v>0</v>
      </c>
      <c r="H11" s="5">
        <f>+'AFRO Stock 2018'!W12</f>
        <v>0</v>
      </c>
      <c r="I11" s="5">
        <f>+'AFRO Stock 2019'!W12</f>
        <v>0</v>
      </c>
      <c r="J11" s="5">
        <f>+'AFRO Stock 2020'!W12</f>
        <v>0</v>
      </c>
      <c r="K11" s="5">
        <f>+'AFRO Stock 2021'!W12</f>
        <v>2091</v>
      </c>
      <c r="L11" s="5">
        <f>+'AFRO Stock 2022'!W12</f>
        <v>3583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9</v>
      </c>
      <c r="L12" s="5">
        <v>30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5293</v>
      </c>
      <c r="D14" s="5">
        <v>0</v>
      </c>
      <c r="E14" s="5">
        <v>0</v>
      </c>
      <c r="F14" s="5">
        <v>0</v>
      </c>
      <c r="G14" s="5">
        <v>15456</v>
      </c>
      <c r="H14" s="5">
        <v>15820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516</v>
      </c>
      <c r="G15" s="5">
        <v>46</v>
      </c>
      <c r="H15" s="5">
        <v>0</v>
      </c>
      <c r="I15" s="5">
        <v>0</v>
      </c>
      <c r="J15" s="5">
        <v>0</v>
      </c>
      <c r="K15" s="5">
        <v>396</v>
      </c>
      <c r="L15" s="5">
        <v>488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30</v>
      </c>
      <c r="G16" s="5">
        <v>167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34</v>
      </c>
      <c r="H17" s="5">
        <v>0</v>
      </c>
      <c r="I17" s="5">
        <v>0</v>
      </c>
      <c r="J17" s="5">
        <v>0</v>
      </c>
      <c r="K17" s="5">
        <v>112</v>
      </c>
      <c r="L17" s="5">
        <v>153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380</v>
      </c>
      <c r="L19" s="5">
        <v>436</v>
      </c>
    </row>
    <row r="20" spans="1:12" x14ac:dyDescent="0.35">
      <c r="A20" s="4" t="s">
        <v>229</v>
      </c>
      <c r="B20" s="5">
        <v>0</v>
      </c>
      <c r="C20" s="5">
        <v>1473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3639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6</v>
      </c>
      <c r="L21" s="5">
        <v>47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1673</v>
      </c>
      <c r="L26" s="5">
        <v>2703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240</v>
      </c>
      <c r="H28" s="5">
        <v>0</v>
      </c>
      <c r="I28" s="5">
        <v>0</v>
      </c>
      <c r="J28" s="5">
        <v>0</v>
      </c>
      <c r="K28" s="5">
        <v>2352</v>
      </c>
      <c r="L28" s="5">
        <v>2471</v>
      </c>
    </row>
    <row r="29" spans="1:12" x14ac:dyDescent="0.35">
      <c r="A29" s="4" t="s">
        <v>238</v>
      </c>
      <c r="B29" s="5">
        <v>0</v>
      </c>
      <c r="C29" s="5">
        <v>3987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6276</v>
      </c>
      <c r="L29" s="5">
        <v>477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1563</v>
      </c>
      <c r="I30" s="5">
        <v>0</v>
      </c>
      <c r="J30" s="5">
        <v>0</v>
      </c>
      <c r="K30" s="5">
        <v>1759</v>
      </c>
      <c r="L30" s="5">
        <v>2139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3238</v>
      </c>
      <c r="L32" s="5">
        <v>3555</v>
      </c>
    </row>
    <row r="33" spans="1:12" x14ac:dyDescent="0.35">
      <c r="A33" s="4" t="s">
        <v>242</v>
      </c>
      <c r="B33" s="5">
        <v>2486</v>
      </c>
      <c r="C33" s="5">
        <v>2730</v>
      </c>
      <c r="D33" s="5">
        <v>3016</v>
      </c>
      <c r="E33" s="5">
        <v>3263</v>
      </c>
      <c r="F33" s="5">
        <v>3618</v>
      </c>
      <c r="G33" s="5">
        <v>61</v>
      </c>
      <c r="H33" s="5">
        <v>0</v>
      </c>
      <c r="I33" s="5">
        <v>0</v>
      </c>
      <c r="J33" s="5">
        <v>5285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4185</v>
      </c>
      <c r="D36" s="5">
        <v>0</v>
      </c>
      <c r="E36" s="5">
        <v>0</v>
      </c>
      <c r="F36" s="5">
        <v>0</v>
      </c>
      <c r="G36" s="5">
        <v>9554</v>
      </c>
      <c r="H36" s="5">
        <v>10489</v>
      </c>
      <c r="I36" s="5">
        <v>12673</v>
      </c>
      <c r="J36" s="5">
        <v>0</v>
      </c>
      <c r="K36" s="5">
        <v>19141</v>
      </c>
      <c r="L36" s="5">
        <v>23882</v>
      </c>
    </row>
    <row r="37" spans="1:12" x14ac:dyDescent="0.35">
      <c r="A37" s="4" t="s">
        <v>246</v>
      </c>
      <c r="B37" s="5">
        <v>0</v>
      </c>
      <c r="C37" s="5">
        <v>7102</v>
      </c>
      <c r="D37" s="5">
        <v>0</v>
      </c>
      <c r="E37" s="5">
        <v>6808</v>
      </c>
      <c r="F37" s="5">
        <v>7662</v>
      </c>
      <c r="G37" s="5">
        <v>0</v>
      </c>
      <c r="H37" s="5">
        <v>0</v>
      </c>
      <c r="I37" s="5">
        <v>0</v>
      </c>
      <c r="J37" s="5">
        <v>16700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48939</v>
      </c>
      <c r="F38" s="5">
        <v>52605</v>
      </c>
      <c r="G38" s="5">
        <v>0</v>
      </c>
      <c r="H38" s="5">
        <v>0</v>
      </c>
      <c r="I38" s="5">
        <v>0</v>
      </c>
      <c r="J38" s="5">
        <v>95789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21992</v>
      </c>
      <c r="E39" s="5">
        <v>0</v>
      </c>
      <c r="F39" s="5">
        <v>0</v>
      </c>
      <c r="G39" s="5">
        <v>36681</v>
      </c>
      <c r="H39" s="5">
        <v>64494</v>
      </c>
      <c r="I39" s="5">
        <v>43830</v>
      </c>
      <c r="J39" s="5">
        <v>0</v>
      </c>
      <c r="K39" s="5">
        <v>51836</v>
      </c>
      <c r="L39" s="5">
        <v>56484</v>
      </c>
    </row>
    <row r="40" spans="1:12" x14ac:dyDescent="0.35">
      <c r="A40" s="4" t="s">
        <v>249</v>
      </c>
      <c r="B40" s="5">
        <v>0</v>
      </c>
      <c r="C40" s="5">
        <v>0</v>
      </c>
      <c r="D40" s="5">
        <v>15412</v>
      </c>
      <c r="E40" s="5">
        <v>0</v>
      </c>
      <c r="F40" s="5">
        <v>0</v>
      </c>
      <c r="G40" s="5">
        <v>21927</v>
      </c>
      <c r="H40" s="5">
        <v>60530</v>
      </c>
      <c r="I40" s="5">
        <v>25959</v>
      </c>
      <c r="J40" s="5">
        <v>0</v>
      </c>
      <c r="K40" s="5">
        <v>41308</v>
      </c>
      <c r="L40" s="5">
        <v>46459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462</v>
      </c>
      <c r="H43" s="5">
        <v>0</v>
      </c>
      <c r="I43" s="5">
        <v>0</v>
      </c>
      <c r="J43" s="5">
        <v>0</v>
      </c>
      <c r="K43" s="5">
        <v>887</v>
      </c>
      <c r="L43" s="5">
        <v>1481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162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133</v>
      </c>
      <c r="H45" s="5">
        <v>0</v>
      </c>
      <c r="I45" s="5">
        <v>0</v>
      </c>
      <c r="J45" s="5">
        <v>0</v>
      </c>
      <c r="K45" s="5">
        <v>235</v>
      </c>
      <c r="L45" s="5">
        <v>309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3453</v>
      </c>
      <c r="L50" s="5">
        <v>3602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821</v>
      </c>
      <c r="H52" s="5">
        <v>0</v>
      </c>
      <c r="I52" s="5">
        <v>0</v>
      </c>
      <c r="J52" s="5">
        <v>0</v>
      </c>
      <c r="K52" s="5">
        <v>1096</v>
      </c>
      <c r="L52" s="5">
        <v>1507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324</v>
      </c>
      <c r="H53" s="5">
        <v>0</v>
      </c>
      <c r="I53" s="5">
        <v>0</v>
      </c>
      <c r="J53" s="5">
        <v>0</v>
      </c>
      <c r="K53" s="5">
        <v>159</v>
      </c>
      <c r="L53" s="5">
        <v>196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149</v>
      </c>
      <c r="L54" s="5">
        <v>185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48</v>
      </c>
      <c r="L56" s="5">
        <v>65</v>
      </c>
    </row>
    <row r="57" spans="1:12" x14ac:dyDescent="0.35">
      <c r="A57" s="4" t="s">
        <v>264</v>
      </c>
      <c r="B57" s="5">
        <v>0</v>
      </c>
      <c r="C57" s="5">
        <v>3482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2636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861</v>
      </c>
      <c r="H59" s="5">
        <v>1090</v>
      </c>
      <c r="I59" s="5">
        <v>1055</v>
      </c>
      <c r="J59" s="5">
        <v>0</v>
      </c>
      <c r="K59" s="5">
        <v>1135</v>
      </c>
      <c r="L59" s="5">
        <v>1382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4472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4166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7</v>
      </c>
      <c r="L62" s="5">
        <v>0</v>
      </c>
    </row>
    <row r="63" spans="1:12" x14ac:dyDescent="0.35">
      <c r="A63" s="38" t="s">
        <v>317</v>
      </c>
      <c r="B63" s="36">
        <f>SUM(B3:B62)</f>
        <v>4972</v>
      </c>
      <c r="C63" s="36">
        <f t="shared" ref="C63:L63" si="0">SUM(C3:C62)</f>
        <v>57182</v>
      </c>
      <c r="D63" s="36">
        <f t="shared" si="0"/>
        <v>80840</v>
      </c>
      <c r="E63" s="36">
        <f t="shared" si="0"/>
        <v>118020</v>
      </c>
      <c r="F63" s="36">
        <f t="shared" si="0"/>
        <v>129286</v>
      </c>
      <c r="G63" s="36">
        <f t="shared" si="0"/>
        <v>160083</v>
      </c>
      <c r="H63" s="36">
        <f t="shared" si="0"/>
        <v>298852</v>
      </c>
      <c r="I63" s="36">
        <f t="shared" si="0"/>
        <v>172696</v>
      </c>
      <c r="J63" s="36">
        <f t="shared" si="0"/>
        <v>236936</v>
      </c>
      <c r="K63" s="36">
        <f t="shared" si="0"/>
        <v>262543</v>
      </c>
      <c r="L63" s="36">
        <f t="shared" si="0"/>
        <v>291782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867829</v>
      </c>
      <c r="C65" s="15">
        <v>884877.4</v>
      </c>
      <c r="D65" s="15">
        <v>893372.3</v>
      </c>
      <c r="E65" s="15">
        <v>904717.2</v>
      </c>
      <c r="F65" s="15">
        <v>908452.5</v>
      </c>
      <c r="G65" s="15">
        <v>890481.1</v>
      </c>
      <c r="H65" s="15">
        <v>889062.6</v>
      </c>
      <c r="I65" s="15">
        <v>902628.3</v>
      </c>
      <c r="J65" s="15">
        <v>906937.8</v>
      </c>
      <c r="K65" s="15">
        <v>910102.9</v>
      </c>
      <c r="L65" s="15">
        <v>913289.2</v>
      </c>
    </row>
  </sheetData>
  <hyperlinks>
    <hyperlink ref="N2" location="Home!A1" display="HOME" xr:uid="{8785B903-6BBB-4C12-A7FA-A6184F097CB0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77FB-286E-4499-94E4-1AD72463DEE7}">
  <dimension ref="A1:N65"/>
  <sheetViews>
    <sheetView zoomScale="84" zoomScaleNormal="84" workbookViewId="0">
      <pane xSplit="1" ySplit="2" topLeftCell="B21" activePane="bottomRight" state="frozen"/>
      <selection activeCell="J41" sqref="J41"/>
      <selection pane="topRight" activeCell="J41" sqref="J41"/>
      <selection pane="bottomLeft" activeCell="J41" sqref="J41"/>
      <selection pane="bottomRight" activeCell="B65" sqref="B65"/>
    </sheetView>
  </sheetViews>
  <sheetFormatPr defaultColWidth="11.453125" defaultRowHeight="14.5" x14ac:dyDescent="0.35"/>
  <cols>
    <col min="1" max="1" width="79" style="20" bestFit="1" customWidth="1"/>
    <col min="2" max="16384" width="11.453125" style="20"/>
  </cols>
  <sheetData>
    <row r="1" spans="1:14" ht="15.5" x14ac:dyDescent="0.35">
      <c r="A1" s="26" t="s">
        <v>382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1844</v>
      </c>
      <c r="E3" s="5">
        <v>977</v>
      </c>
      <c r="F3" s="5">
        <v>977</v>
      </c>
      <c r="G3" s="5">
        <v>0</v>
      </c>
      <c r="H3" s="5">
        <v>2787</v>
      </c>
      <c r="I3" s="5">
        <v>0</v>
      </c>
      <c r="J3" s="5">
        <v>0</v>
      </c>
      <c r="K3" s="5">
        <v>0</v>
      </c>
      <c r="L3" s="5">
        <v>297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2649</v>
      </c>
      <c r="I4" s="5">
        <v>0</v>
      </c>
      <c r="J4" s="5">
        <v>0</v>
      </c>
      <c r="K4" s="5">
        <v>0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5</v>
      </c>
    </row>
    <row r="6" spans="1:14" x14ac:dyDescent="0.35">
      <c r="A6" s="4" t="s">
        <v>215</v>
      </c>
      <c r="B6" s="5">
        <v>0</v>
      </c>
      <c r="C6" s="5">
        <v>0</v>
      </c>
      <c r="D6" s="5">
        <v>5789</v>
      </c>
      <c r="E6" s="5">
        <v>4389</v>
      </c>
      <c r="F6" s="5">
        <v>1010</v>
      </c>
      <c r="G6" s="5">
        <v>0</v>
      </c>
      <c r="H6" s="5">
        <v>7195</v>
      </c>
      <c r="I6" s="5">
        <v>0</v>
      </c>
      <c r="J6" s="5">
        <v>0</v>
      </c>
      <c r="K6" s="5">
        <v>0</v>
      </c>
      <c r="L6" s="5">
        <v>4367</v>
      </c>
    </row>
    <row r="7" spans="1:14" x14ac:dyDescent="0.35">
      <c r="A7" s="4" t="s">
        <v>216</v>
      </c>
      <c r="B7" s="5">
        <v>0</v>
      </c>
      <c r="C7" s="5">
        <v>500</v>
      </c>
      <c r="D7" s="5">
        <v>500</v>
      </c>
      <c r="E7" s="5">
        <v>376</v>
      </c>
      <c r="F7" s="5">
        <v>443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777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50</v>
      </c>
      <c r="G8" s="5">
        <v>0</v>
      </c>
      <c r="H8" s="5">
        <v>73</v>
      </c>
      <c r="I8" s="5">
        <v>0</v>
      </c>
      <c r="J8" s="5">
        <v>0</v>
      </c>
      <c r="K8" s="5">
        <v>0</v>
      </c>
      <c r="L8" s="5">
        <v>34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142</v>
      </c>
      <c r="F9" s="5">
        <v>107</v>
      </c>
      <c r="G9" s="5">
        <v>0</v>
      </c>
      <c r="H9" s="5">
        <v>255</v>
      </c>
      <c r="I9" s="5">
        <v>0</v>
      </c>
      <c r="J9" s="5">
        <v>0</v>
      </c>
      <c r="K9" s="5">
        <v>0</v>
      </c>
      <c r="L9" s="5">
        <v>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6700</v>
      </c>
      <c r="F14" s="5">
        <v>6700</v>
      </c>
      <c r="G14" s="5">
        <v>0</v>
      </c>
      <c r="H14" s="5">
        <v>16567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8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209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181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1844</v>
      </c>
      <c r="E33" s="5">
        <v>977</v>
      </c>
      <c r="F33" s="5">
        <v>977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500</v>
      </c>
      <c r="D36" s="5">
        <v>0</v>
      </c>
      <c r="E36" s="5">
        <v>376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777</v>
      </c>
    </row>
    <row r="37" spans="1:12" x14ac:dyDescent="0.35">
      <c r="A37" s="4" t="s">
        <v>246</v>
      </c>
      <c r="B37" s="5">
        <v>0</v>
      </c>
      <c r="C37" s="5">
        <v>0</v>
      </c>
      <c r="D37" s="5">
        <v>500</v>
      </c>
      <c r="E37" s="5">
        <v>0</v>
      </c>
      <c r="F37" s="5">
        <v>443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1010</v>
      </c>
      <c r="G38" s="5">
        <v>0</v>
      </c>
      <c r="H38" s="5">
        <v>7195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4284</v>
      </c>
      <c r="E39" s="5">
        <v>3476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2680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1505</v>
      </c>
      <c r="E40" s="5">
        <v>913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1687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31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111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5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138</v>
      </c>
      <c r="I59" s="5">
        <v>0</v>
      </c>
      <c r="J59" s="5">
        <v>0</v>
      </c>
      <c r="K59" s="5">
        <v>0</v>
      </c>
      <c r="L59" s="5">
        <v>296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80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1000</v>
      </c>
      <c r="D63" s="36">
        <f t="shared" si="0"/>
        <v>16266</v>
      </c>
      <c r="E63" s="36">
        <f t="shared" si="0"/>
        <v>18326</v>
      </c>
      <c r="F63" s="36">
        <f t="shared" si="0"/>
        <v>11934</v>
      </c>
      <c r="G63" s="36">
        <f t="shared" si="0"/>
        <v>0</v>
      </c>
      <c r="H63" s="36">
        <f t="shared" si="0"/>
        <v>37040</v>
      </c>
      <c r="I63" s="36">
        <f t="shared" si="0"/>
        <v>0</v>
      </c>
      <c r="J63" s="36">
        <f t="shared" si="0"/>
        <v>0</v>
      </c>
      <c r="K63" s="36">
        <f t="shared" si="0"/>
        <v>0</v>
      </c>
      <c r="L63" s="36">
        <f t="shared" si="0"/>
        <v>11228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399755.3</v>
      </c>
      <c r="C65" s="15">
        <v>405974.1</v>
      </c>
      <c r="D65" s="15">
        <v>413410.9</v>
      </c>
      <c r="E65" s="15">
        <v>422845.4</v>
      </c>
      <c r="F65" s="15">
        <v>431325.2</v>
      </c>
      <c r="G65" s="15">
        <v>435595</v>
      </c>
      <c r="H65" s="15">
        <v>438506.5</v>
      </c>
      <c r="I65" s="15">
        <v>442929.1</v>
      </c>
      <c r="J65" s="15">
        <v>448514.4</v>
      </c>
      <c r="K65" s="15">
        <v>453737.3</v>
      </c>
      <c r="L65" s="15">
        <v>458014.7</v>
      </c>
    </row>
  </sheetData>
  <hyperlinks>
    <hyperlink ref="N2" location="Home!A1" display="HOME" xr:uid="{12E74C13-C9A7-47DF-8E60-7486B2A83F08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84D-B0D8-46A6-8DE3-3D45F181F2F9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9" style="20" bestFit="1" customWidth="1"/>
    <col min="2" max="16384" width="11.453125" style="20"/>
  </cols>
  <sheetData>
    <row r="1" spans="1:14" ht="15.5" x14ac:dyDescent="0.35">
      <c r="A1" s="26" t="s">
        <v>350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354</v>
      </c>
      <c r="F3" s="5">
        <v>183</v>
      </c>
      <c r="G3" s="5">
        <v>0</v>
      </c>
      <c r="H3" s="5">
        <v>578</v>
      </c>
      <c r="I3" s="5">
        <v>0</v>
      </c>
      <c r="J3" s="5">
        <v>385</v>
      </c>
      <c r="K3" s="5">
        <v>453</v>
      </c>
      <c r="L3" s="5">
        <v>438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169</v>
      </c>
      <c r="G4" s="5">
        <v>0</v>
      </c>
      <c r="H4" s="5">
        <v>544</v>
      </c>
      <c r="I4" s="5">
        <v>0</v>
      </c>
      <c r="J4" s="5">
        <v>375</v>
      </c>
      <c r="K4" s="5">
        <v>444</v>
      </c>
      <c r="L4" s="5">
        <v>428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21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727</v>
      </c>
      <c r="D6" s="5">
        <v>885</v>
      </c>
      <c r="E6" s="5">
        <v>964</v>
      </c>
      <c r="F6" s="5">
        <v>918</v>
      </c>
      <c r="G6" s="5">
        <v>0</v>
      </c>
      <c r="H6" s="5">
        <v>744</v>
      </c>
      <c r="I6" s="5">
        <v>0</v>
      </c>
      <c r="J6" s="5">
        <v>1371</v>
      </c>
      <c r="K6" s="5">
        <v>1956</v>
      </c>
      <c r="L6" s="5">
        <v>1879</v>
      </c>
    </row>
    <row r="7" spans="1:14" x14ac:dyDescent="0.35">
      <c r="A7" s="4" t="s">
        <v>216</v>
      </c>
      <c r="B7" s="5">
        <v>0</v>
      </c>
      <c r="C7" s="5">
        <v>153</v>
      </c>
      <c r="D7" s="5">
        <v>0</v>
      </c>
      <c r="E7" s="5">
        <v>0</v>
      </c>
      <c r="F7" s="5">
        <v>125</v>
      </c>
      <c r="G7" s="5">
        <v>0</v>
      </c>
      <c r="H7" s="5">
        <v>0</v>
      </c>
      <c r="I7" s="5">
        <v>0</v>
      </c>
      <c r="J7" s="5">
        <v>185</v>
      </c>
      <c r="K7" s="5">
        <v>213</v>
      </c>
      <c r="L7" s="5">
        <v>197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7</v>
      </c>
      <c r="G8" s="5">
        <v>0</v>
      </c>
      <c r="H8" s="5">
        <v>0</v>
      </c>
      <c r="I8" s="5">
        <v>0</v>
      </c>
      <c r="J8" s="5">
        <v>5</v>
      </c>
      <c r="K8" s="5">
        <v>2</v>
      </c>
      <c r="L8" s="5">
        <v>20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5</v>
      </c>
      <c r="G9" s="5">
        <v>0</v>
      </c>
      <c r="H9" s="5">
        <v>11</v>
      </c>
      <c r="I9" s="5">
        <v>0</v>
      </c>
      <c r="J9" s="5">
        <v>13</v>
      </c>
      <c r="K9" s="5">
        <v>2</v>
      </c>
      <c r="L9" s="5">
        <v>2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</v>
      </c>
      <c r="I10" s="5">
        <v>0</v>
      </c>
      <c r="J10" s="5">
        <v>119</v>
      </c>
      <c r="K10" s="5">
        <v>196</v>
      </c>
      <c r="L10" s="5">
        <v>181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15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2</v>
      </c>
      <c r="I13" s="5">
        <v>0</v>
      </c>
      <c r="J13" s="5">
        <v>4</v>
      </c>
      <c r="K13" s="5">
        <v>0</v>
      </c>
      <c r="L13" s="5">
        <v>11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3481</v>
      </c>
      <c r="I14" s="5">
        <v>0</v>
      </c>
      <c r="J14" s="5">
        <v>3711</v>
      </c>
      <c r="K14" s="5">
        <v>0</v>
      </c>
      <c r="L14" s="5">
        <v>3975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8</v>
      </c>
      <c r="G15" s="5">
        <v>0</v>
      </c>
      <c r="H15" s="5">
        <v>8</v>
      </c>
      <c r="I15" s="5">
        <v>0</v>
      </c>
      <c r="J15" s="5">
        <v>0</v>
      </c>
      <c r="K15" s="5">
        <v>21</v>
      </c>
      <c r="L15" s="5">
        <v>2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8</v>
      </c>
      <c r="K16" s="5">
        <v>3</v>
      </c>
      <c r="L16" s="5">
        <v>2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4</v>
      </c>
      <c r="G17" s="5">
        <v>0</v>
      </c>
      <c r="H17" s="5">
        <v>5</v>
      </c>
      <c r="I17" s="5">
        <v>0</v>
      </c>
      <c r="J17" s="5">
        <v>3</v>
      </c>
      <c r="K17" s="5">
        <v>2</v>
      </c>
      <c r="L17" s="5">
        <v>3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0</v>
      </c>
      <c r="L18" s="5">
        <v>1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1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18</v>
      </c>
      <c r="K20" s="5">
        <v>28</v>
      </c>
      <c r="L20" s="5">
        <v>24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2</v>
      </c>
      <c r="K21" s="5">
        <v>1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6</v>
      </c>
      <c r="K22" s="5">
        <v>5</v>
      </c>
      <c r="L22" s="5">
        <v>5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</v>
      </c>
      <c r="I24" s="5">
        <v>0</v>
      </c>
      <c r="J24" s="5">
        <v>10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17</v>
      </c>
      <c r="I26" s="5">
        <v>0</v>
      </c>
      <c r="J26" s="5">
        <v>3</v>
      </c>
      <c r="K26" s="5">
        <v>2</v>
      </c>
      <c r="L26" s="5">
        <v>51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16</v>
      </c>
      <c r="G29" s="5">
        <v>0</v>
      </c>
      <c r="H29" s="5">
        <v>0</v>
      </c>
      <c r="I29" s="5">
        <v>0</v>
      </c>
      <c r="J29" s="5">
        <v>1</v>
      </c>
      <c r="K29" s="5">
        <v>1</v>
      </c>
      <c r="L29" s="5">
        <v>197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158</v>
      </c>
      <c r="G30" s="5">
        <v>0</v>
      </c>
      <c r="H30" s="5">
        <v>53</v>
      </c>
      <c r="I30" s="5">
        <v>0</v>
      </c>
      <c r="J30" s="5">
        <v>285</v>
      </c>
      <c r="K30" s="5">
        <v>200</v>
      </c>
      <c r="L30" s="5">
        <v>1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354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221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167</v>
      </c>
      <c r="K35" s="5">
        <v>0</v>
      </c>
      <c r="L35" s="5">
        <v>171</v>
      </c>
    </row>
    <row r="36" spans="1:12" x14ac:dyDescent="0.35">
      <c r="A36" s="4" t="s">
        <v>245</v>
      </c>
      <c r="B36" s="5">
        <v>0</v>
      </c>
      <c r="C36" s="5">
        <v>148</v>
      </c>
      <c r="D36" s="5">
        <v>0</v>
      </c>
      <c r="E36" s="5">
        <v>0</v>
      </c>
      <c r="F36" s="5">
        <v>125</v>
      </c>
      <c r="G36" s="5">
        <v>0</v>
      </c>
      <c r="H36" s="5">
        <v>0</v>
      </c>
      <c r="I36" s="5">
        <v>0</v>
      </c>
      <c r="J36" s="5">
        <v>18</v>
      </c>
      <c r="K36" s="5">
        <v>213</v>
      </c>
      <c r="L36" s="5">
        <v>26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14</v>
      </c>
      <c r="K38" s="5">
        <v>2</v>
      </c>
      <c r="L38" s="5">
        <v>3</v>
      </c>
    </row>
    <row r="39" spans="1:12" x14ac:dyDescent="0.35">
      <c r="A39" s="4" t="s">
        <v>248</v>
      </c>
      <c r="B39" s="5">
        <v>0</v>
      </c>
      <c r="C39" s="5">
        <v>253</v>
      </c>
      <c r="D39" s="5">
        <v>178</v>
      </c>
      <c r="E39" s="5">
        <v>112</v>
      </c>
      <c r="F39" s="5">
        <v>53</v>
      </c>
      <c r="G39" s="5">
        <v>0</v>
      </c>
      <c r="H39" s="5">
        <v>0</v>
      </c>
      <c r="I39" s="5">
        <v>0</v>
      </c>
      <c r="J39" s="5">
        <v>1016</v>
      </c>
      <c r="K39" s="5">
        <v>951</v>
      </c>
      <c r="L39" s="5">
        <v>889</v>
      </c>
    </row>
    <row r="40" spans="1:12" x14ac:dyDescent="0.35">
      <c r="A40" s="4" t="s">
        <v>249</v>
      </c>
      <c r="B40" s="5">
        <v>0</v>
      </c>
      <c r="C40" s="5">
        <v>474</v>
      </c>
      <c r="D40" s="5">
        <v>707</v>
      </c>
      <c r="E40" s="5">
        <v>852</v>
      </c>
      <c r="F40" s="5">
        <v>865</v>
      </c>
      <c r="G40" s="5">
        <v>0</v>
      </c>
      <c r="H40" s="5">
        <v>744</v>
      </c>
      <c r="I40" s="5">
        <v>0</v>
      </c>
      <c r="J40" s="5">
        <v>341</v>
      </c>
      <c r="K40" s="5">
        <v>1003</v>
      </c>
      <c r="L40" s="5">
        <v>987</v>
      </c>
    </row>
    <row r="41" spans="1:12" x14ac:dyDescent="0.35">
      <c r="A41" s="4" t="s">
        <v>332</v>
      </c>
      <c r="B41" s="5">
        <v>0</v>
      </c>
      <c r="C41" s="5">
        <v>14</v>
      </c>
      <c r="D41" s="5">
        <v>129</v>
      </c>
      <c r="E41" s="5">
        <v>170</v>
      </c>
      <c r="F41" s="5">
        <v>170</v>
      </c>
      <c r="G41" s="5">
        <v>0</v>
      </c>
      <c r="H41" s="5">
        <v>0</v>
      </c>
      <c r="I41" s="5">
        <v>0</v>
      </c>
      <c r="J41" s="5">
        <v>40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5</v>
      </c>
      <c r="G43" s="5">
        <v>0</v>
      </c>
      <c r="H43" s="5">
        <v>0</v>
      </c>
      <c r="I43" s="5">
        <v>0</v>
      </c>
      <c r="J43" s="5">
        <v>4</v>
      </c>
      <c r="K43" s="5">
        <v>2</v>
      </c>
      <c r="L43" s="5">
        <v>1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1</v>
      </c>
      <c r="I44" s="5">
        <v>0</v>
      </c>
      <c r="J44" s="5">
        <v>4</v>
      </c>
      <c r="K44" s="5">
        <v>4</v>
      </c>
      <c r="L44" s="5">
        <v>4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9</v>
      </c>
      <c r="K45" s="5">
        <v>10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19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149</v>
      </c>
      <c r="K47" s="5">
        <v>0</v>
      </c>
      <c r="L47" s="5">
        <v>10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115</v>
      </c>
      <c r="K48" s="5">
        <v>86</v>
      </c>
      <c r="L48" s="5">
        <v>64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11</v>
      </c>
      <c r="G49" s="5">
        <v>0</v>
      </c>
      <c r="H49" s="5">
        <v>0</v>
      </c>
      <c r="I49" s="5">
        <v>0</v>
      </c>
      <c r="J49" s="5">
        <v>2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35</v>
      </c>
      <c r="G52" s="5">
        <v>0</v>
      </c>
      <c r="H52" s="5">
        <v>18</v>
      </c>
      <c r="I52" s="5">
        <v>0</v>
      </c>
      <c r="J52" s="5">
        <v>73</v>
      </c>
      <c r="K52" s="5">
        <v>76</v>
      </c>
      <c r="L52" s="5">
        <v>80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15</v>
      </c>
      <c r="I53" s="5">
        <v>0</v>
      </c>
      <c r="J53" s="5">
        <v>4</v>
      </c>
      <c r="K53" s="5">
        <v>6</v>
      </c>
      <c r="L53" s="5">
        <v>5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2</v>
      </c>
      <c r="I56" s="5">
        <v>0</v>
      </c>
      <c r="J56" s="5">
        <v>11</v>
      </c>
      <c r="K56" s="5">
        <v>12</v>
      </c>
      <c r="L56" s="5">
        <v>11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61</v>
      </c>
      <c r="K57" s="5">
        <v>0</v>
      </c>
      <c r="L57" s="5">
        <v>68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53</v>
      </c>
      <c r="I58" s="5">
        <v>0</v>
      </c>
      <c r="J58" s="5">
        <v>0</v>
      </c>
      <c r="K58" s="5">
        <v>16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14</v>
      </c>
      <c r="G59" s="5">
        <v>0</v>
      </c>
      <c r="H59" s="5">
        <v>34</v>
      </c>
      <c r="I59" s="5">
        <v>0</v>
      </c>
      <c r="J59" s="5">
        <v>10</v>
      </c>
      <c r="K59" s="5">
        <v>9</v>
      </c>
      <c r="L59" s="5">
        <v>10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3</v>
      </c>
      <c r="I60" s="5">
        <v>0</v>
      </c>
      <c r="J60" s="5">
        <v>1</v>
      </c>
      <c r="K60" s="5">
        <v>1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1774</v>
      </c>
      <c r="D63" s="36">
        <f t="shared" si="0"/>
        <v>1899</v>
      </c>
      <c r="E63" s="36">
        <f t="shared" si="0"/>
        <v>2806</v>
      </c>
      <c r="F63" s="36">
        <f t="shared" si="0"/>
        <v>2897</v>
      </c>
      <c r="G63" s="36">
        <f t="shared" si="0"/>
        <v>0</v>
      </c>
      <c r="H63" s="36">
        <f t="shared" si="0"/>
        <v>6577</v>
      </c>
      <c r="I63" s="36">
        <f t="shared" si="0"/>
        <v>0</v>
      </c>
      <c r="J63" s="36">
        <f t="shared" si="0"/>
        <v>8553</v>
      </c>
      <c r="K63" s="36">
        <f t="shared" si="0"/>
        <v>5920</v>
      </c>
      <c r="L63" s="36">
        <f t="shared" si="0"/>
        <v>9747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60700.6</v>
      </c>
      <c r="C65" s="15">
        <v>61757.599999999999</v>
      </c>
      <c r="D65" s="15">
        <v>62283.7</v>
      </c>
      <c r="E65" s="15">
        <v>62364.3</v>
      </c>
      <c r="F65" s="15">
        <v>62337</v>
      </c>
      <c r="G65" s="15">
        <v>61977.7</v>
      </c>
      <c r="H65" s="15">
        <v>61876.9</v>
      </c>
      <c r="I65" s="15">
        <v>62304.1</v>
      </c>
      <c r="J65" s="15">
        <v>62815</v>
      </c>
      <c r="K65" s="15">
        <v>63310.400000000001</v>
      </c>
      <c r="L65" s="15">
        <v>63757.9</v>
      </c>
    </row>
  </sheetData>
  <hyperlinks>
    <hyperlink ref="N2" location="Home!A1" display="HOME" xr:uid="{592C6CAB-8AAC-44ED-A7BF-B06B0F17F7CF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E1F7-B57A-4F5A-BC62-58558941EC6B}">
  <dimension ref="A1:N65"/>
  <sheetViews>
    <sheetView zoomScale="84" zoomScaleNormal="84" workbookViewId="0">
      <pane xSplit="1" ySplit="2" topLeftCell="B33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9" style="20" bestFit="1" customWidth="1"/>
    <col min="2" max="16384" width="11.453125" style="20"/>
  </cols>
  <sheetData>
    <row r="1" spans="1:14" ht="18.5" x14ac:dyDescent="0.45">
      <c r="A1" s="25" t="s">
        <v>351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8092</v>
      </c>
      <c r="C3" s="5">
        <v>8682</v>
      </c>
      <c r="D3" s="5">
        <v>9149</v>
      </c>
      <c r="E3" s="5">
        <v>0</v>
      </c>
      <c r="F3" s="5">
        <v>0</v>
      </c>
      <c r="G3" s="5">
        <v>0</v>
      </c>
      <c r="H3" s="5">
        <v>8042</v>
      </c>
      <c r="I3" s="5">
        <v>0</v>
      </c>
      <c r="J3" s="5">
        <v>0</v>
      </c>
      <c r="K3" s="5">
        <v>5203</v>
      </c>
      <c r="L3" s="5">
        <v>5517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5602</v>
      </c>
      <c r="I4" s="5">
        <v>0</v>
      </c>
      <c r="J4" s="5">
        <v>0</v>
      </c>
      <c r="K4" s="5">
        <v>3252</v>
      </c>
      <c r="L4" s="5">
        <v>3544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2440</v>
      </c>
      <c r="I5" s="5">
        <v>0</v>
      </c>
      <c r="J5" s="5">
        <v>0</v>
      </c>
      <c r="K5" s="5">
        <v>447</v>
      </c>
      <c r="L5" s="5">
        <v>333</v>
      </c>
    </row>
    <row r="6" spans="1:14" x14ac:dyDescent="0.35">
      <c r="A6" s="4" t="s">
        <v>215</v>
      </c>
      <c r="B6" s="5">
        <v>61769</v>
      </c>
      <c r="C6" s="5">
        <v>40292</v>
      </c>
      <c r="D6" s="5">
        <v>43311</v>
      </c>
      <c r="E6" s="5">
        <v>41413</v>
      </c>
      <c r="F6" s="5">
        <v>48737</v>
      </c>
      <c r="G6" s="5">
        <v>53168</v>
      </c>
      <c r="H6" s="5">
        <v>59901</v>
      </c>
      <c r="I6" s="5">
        <v>0</v>
      </c>
      <c r="J6" s="5">
        <v>0</v>
      </c>
      <c r="K6" s="5">
        <v>34588</v>
      </c>
      <c r="L6" s="5">
        <v>34634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2092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137</v>
      </c>
    </row>
    <row r="8" spans="1:14" x14ac:dyDescent="0.35">
      <c r="A8" s="4" t="s">
        <v>217</v>
      </c>
      <c r="B8" s="5">
        <v>985</v>
      </c>
      <c r="C8" s="5">
        <v>1045</v>
      </c>
      <c r="D8" s="5">
        <v>1090</v>
      </c>
      <c r="E8" s="5">
        <v>0</v>
      </c>
      <c r="F8" s="5">
        <v>0</v>
      </c>
      <c r="G8" s="5">
        <v>0</v>
      </c>
      <c r="H8" s="5">
        <v>841</v>
      </c>
      <c r="I8" s="5">
        <v>1300</v>
      </c>
      <c r="J8" s="5">
        <v>0</v>
      </c>
      <c r="K8" s="5">
        <v>0</v>
      </c>
      <c r="L8" s="5">
        <v>273</v>
      </c>
    </row>
    <row r="9" spans="1:14" x14ac:dyDescent="0.35">
      <c r="A9" s="4" t="s">
        <v>218</v>
      </c>
      <c r="B9" s="5">
        <v>2076</v>
      </c>
      <c r="C9" s="5">
        <v>2202</v>
      </c>
      <c r="D9" s="5">
        <v>2355</v>
      </c>
      <c r="E9" s="5">
        <v>0</v>
      </c>
      <c r="F9" s="5">
        <v>0</v>
      </c>
      <c r="G9" s="5">
        <v>0</v>
      </c>
      <c r="H9" s="5">
        <v>964</v>
      </c>
      <c r="I9" s="5">
        <v>0</v>
      </c>
      <c r="J9" s="5">
        <v>0</v>
      </c>
      <c r="K9" s="5">
        <v>1137</v>
      </c>
      <c r="L9" s="5">
        <v>886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2759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141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725</v>
      </c>
      <c r="L13" s="5">
        <v>603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58079</v>
      </c>
      <c r="I14" s="5">
        <v>0</v>
      </c>
      <c r="J14" s="5">
        <v>91653</v>
      </c>
      <c r="K14" s="5">
        <v>86490</v>
      </c>
      <c r="L14" s="5">
        <v>86423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464</v>
      </c>
      <c r="J15" s="5">
        <v>0</v>
      </c>
      <c r="K15" s="5">
        <v>246</v>
      </c>
      <c r="L15" s="5">
        <v>255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468</v>
      </c>
      <c r="J16" s="5">
        <v>0</v>
      </c>
      <c r="K16" s="5">
        <v>261</v>
      </c>
      <c r="L16" s="5">
        <v>181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3682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1628</v>
      </c>
      <c r="I21" s="5">
        <v>0</v>
      </c>
      <c r="J21" s="5">
        <v>0</v>
      </c>
      <c r="K21" s="5">
        <v>5029</v>
      </c>
      <c r="L21" s="5">
        <v>4286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339</v>
      </c>
      <c r="I22" s="5">
        <v>0</v>
      </c>
      <c r="J22" s="5">
        <v>0</v>
      </c>
      <c r="K22" s="5">
        <v>199</v>
      </c>
      <c r="L22" s="5">
        <v>206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1705</v>
      </c>
      <c r="I24" s="5">
        <v>0</v>
      </c>
      <c r="J24" s="5">
        <v>0</v>
      </c>
      <c r="K24" s="5">
        <v>2137</v>
      </c>
      <c r="L24" s="5">
        <v>2153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430</v>
      </c>
      <c r="I26" s="5">
        <v>0</v>
      </c>
      <c r="J26" s="5">
        <v>0</v>
      </c>
      <c r="K26" s="5">
        <v>717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636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5019</v>
      </c>
      <c r="L30" s="5">
        <v>4663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714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8092</v>
      </c>
      <c r="C33" s="5">
        <v>8682</v>
      </c>
      <c r="D33" s="5">
        <v>9149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2092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137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61769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11992</v>
      </c>
      <c r="D39" s="5">
        <v>12144</v>
      </c>
      <c r="E39" s="5">
        <v>8899</v>
      </c>
      <c r="F39" s="5">
        <v>10437</v>
      </c>
      <c r="G39" s="5">
        <v>11585</v>
      </c>
      <c r="H39" s="5">
        <v>13198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28300</v>
      </c>
      <c r="D40" s="5">
        <v>31167</v>
      </c>
      <c r="E40" s="5">
        <v>32514</v>
      </c>
      <c r="F40" s="5">
        <v>38300</v>
      </c>
      <c r="G40" s="5">
        <v>41583</v>
      </c>
      <c r="H40" s="5">
        <v>46703</v>
      </c>
      <c r="I40" s="5">
        <v>0</v>
      </c>
      <c r="J40" s="5">
        <v>0</v>
      </c>
      <c r="K40" s="5">
        <v>34588</v>
      </c>
      <c r="L40" s="5">
        <v>34634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1147</v>
      </c>
      <c r="I43" s="5">
        <v>0</v>
      </c>
      <c r="J43" s="5">
        <v>0</v>
      </c>
      <c r="K43" s="5">
        <v>1985</v>
      </c>
      <c r="L43" s="5">
        <v>2217</v>
      </c>
    </row>
    <row r="44" spans="1:12" x14ac:dyDescent="0.35">
      <c r="A44" s="4" t="s">
        <v>251</v>
      </c>
      <c r="B44" s="5">
        <v>0</v>
      </c>
      <c r="C44" s="5">
        <v>0</v>
      </c>
      <c r="D44" s="5">
        <v>357</v>
      </c>
      <c r="E44" s="5">
        <v>0</v>
      </c>
      <c r="F44" s="5">
        <v>380</v>
      </c>
      <c r="G44" s="5">
        <v>0</v>
      </c>
      <c r="H44" s="5">
        <v>400</v>
      </c>
      <c r="I44" s="5">
        <v>0</v>
      </c>
      <c r="J44" s="5">
        <v>0</v>
      </c>
      <c r="K44" s="5">
        <v>242</v>
      </c>
      <c r="L44" s="5">
        <v>285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129</v>
      </c>
      <c r="D46" s="5">
        <v>0</v>
      </c>
      <c r="E46" s="5">
        <v>0</v>
      </c>
      <c r="F46" s="5">
        <v>0</v>
      </c>
      <c r="G46" s="5">
        <v>0</v>
      </c>
      <c r="H46" s="5">
        <v>1112</v>
      </c>
      <c r="I46" s="5">
        <v>0</v>
      </c>
      <c r="J46" s="5">
        <v>0</v>
      </c>
      <c r="K46" s="5">
        <v>426</v>
      </c>
      <c r="L46" s="5">
        <v>812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3295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11129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21942</v>
      </c>
      <c r="I49" s="5">
        <v>0</v>
      </c>
      <c r="J49" s="5">
        <v>0</v>
      </c>
      <c r="K49" s="5">
        <v>8087</v>
      </c>
      <c r="L49" s="5">
        <v>8639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1331</v>
      </c>
      <c r="I52" s="5">
        <v>0</v>
      </c>
      <c r="J52" s="5">
        <v>0</v>
      </c>
      <c r="K52" s="5">
        <v>1780</v>
      </c>
      <c r="L52" s="5">
        <v>1797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718</v>
      </c>
      <c r="L53" s="5">
        <v>631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71</v>
      </c>
      <c r="I55" s="5">
        <v>0</v>
      </c>
      <c r="J55" s="5">
        <v>0</v>
      </c>
      <c r="K55" s="5">
        <v>92</v>
      </c>
      <c r="L55" s="5">
        <v>77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749</v>
      </c>
      <c r="L58" s="5">
        <v>642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2440</v>
      </c>
      <c r="I59" s="5">
        <v>0</v>
      </c>
      <c r="J59" s="5">
        <v>0</v>
      </c>
      <c r="K59" s="5">
        <v>1951</v>
      </c>
      <c r="L59" s="5">
        <v>1973</v>
      </c>
    </row>
    <row r="60" spans="1:12" x14ac:dyDescent="0.35">
      <c r="A60" s="4" t="s">
        <v>267</v>
      </c>
      <c r="B60" s="5">
        <v>0</v>
      </c>
      <c r="C60" s="5">
        <v>0</v>
      </c>
      <c r="D60" s="5">
        <v>316</v>
      </c>
      <c r="E60" s="5">
        <v>0</v>
      </c>
      <c r="F60" s="5">
        <v>0</v>
      </c>
      <c r="G60" s="5">
        <v>0</v>
      </c>
      <c r="H60" s="5">
        <v>518</v>
      </c>
      <c r="I60" s="5">
        <v>0</v>
      </c>
      <c r="J60" s="5">
        <v>0</v>
      </c>
      <c r="K60" s="5">
        <v>565</v>
      </c>
      <c r="L60" s="5">
        <v>593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142783</v>
      </c>
      <c r="C63" s="36">
        <f t="shared" ref="C63:L63" si="0">SUM(C3:C62)</f>
        <v>101324</v>
      </c>
      <c r="D63" s="36">
        <f t="shared" si="0"/>
        <v>109038</v>
      </c>
      <c r="E63" s="36">
        <f t="shared" si="0"/>
        <v>82826</v>
      </c>
      <c r="F63" s="36">
        <f t="shared" si="0"/>
        <v>102038</v>
      </c>
      <c r="G63" s="36">
        <f t="shared" si="0"/>
        <v>106336</v>
      </c>
      <c r="H63" s="36">
        <f t="shared" si="0"/>
        <v>235988</v>
      </c>
      <c r="I63" s="36">
        <f t="shared" si="0"/>
        <v>2232</v>
      </c>
      <c r="J63" s="36">
        <f t="shared" si="0"/>
        <v>91653</v>
      </c>
      <c r="K63" s="36">
        <f t="shared" si="0"/>
        <v>211057</v>
      </c>
      <c r="L63" s="36">
        <f t="shared" si="0"/>
        <v>197308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f>+'AFRO Stock 2012'!Z66</f>
        <v>1436441.7</v>
      </c>
      <c r="C65" s="15">
        <f>+'AFRO Stock 2013'!Z66</f>
        <v>1427073.7</v>
      </c>
      <c r="D65" s="15">
        <f>+'AFRO Stock 2014'!Z66</f>
        <v>1418695.6</v>
      </c>
      <c r="E65" s="15">
        <f>+'AFRO Stock 2015'!Z66</f>
        <v>1423217.7</v>
      </c>
      <c r="F65" s="15">
        <f>+'AFRO Stock 2016'!Z66</f>
        <v>1439435.7</v>
      </c>
      <c r="G65" s="15">
        <f>+'AFRO Stock 2017'!Z66</f>
        <v>1446540.2</v>
      </c>
      <c r="H65" s="15">
        <f>+'AFRO Stock 2018'!Z66</f>
        <v>1442173.7</v>
      </c>
      <c r="I65" s="15">
        <f>+'AFRO Stock 2019'!Z66</f>
        <v>1444188.8</v>
      </c>
      <c r="J65" s="15">
        <f>+'AFRO Stock 2020'!Z66</f>
        <v>1455623.7</v>
      </c>
      <c r="K65" s="15">
        <f>+'AFRO Stock 2021'!Z66</f>
        <v>1466518.7</v>
      </c>
      <c r="L65" s="15">
        <f>+'AFRO Stock 2022'!Z66</f>
        <v>1487676.4</v>
      </c>
    </row>
  </sheetData>
  <hyperlinks>
    <hyperlink ref="N2" location="Home!A1" display="HOME" xr:uid="{83E64B3D-C5DF-4F64-BC0D-B01E28171741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2459-883A-42B3-8513-9935ACFA9BC9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0.7265625" style="20" bestFit="1" customWidth="1"/>
    <col min="2" max="16384" width="11.453125" style="20"/>
  </cols>
  <sheetData>
    <row r="1" spans="1:14" x14ac:dyDescent="0.35">
      <c r="A1" s="2" t="s">
        <v>352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998</v>
      </c>
      <c r="I3" s="5">
        <v>0</v>
      </c>
      <c r="J3" s="5">
        <v>0</v>
      </c>
      <c r="K3" s="5">
        <v>0</v>
      </c>
      <c r="L3" s="5">
        <v>347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815</v>
      </c>
      <c r="I4" s="5">
        <v>0</v>
      </c>
      <c r="J4" s="5">
        <v>0</v>
      </c>
      <c r="K4" s="5">
        <v>0</v>
      </c>
      <c r="L4" s="5">
        <v>281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6866</v>
      </c>
      <c r="I6" s="5">
        <v>0</v>
      </c>
      <c r="J6" s="5">
        <v>0</v>
      </c>
      <c r="K6" s="5">
        <v>0</v>
      </c>
      <c r="L6" s="5">
        <v>0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159</v>
      </c>
      <c r="I8" s="5">
        <v>37</v>
      </c>
      <c r="J8" s="5">
        <v>0</v>
      </c>
      <c r="K8" s="5">
        <v>0</v>
      </c>
      <c r="L8" s="5">
        <v>31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398</v>
      </c>
      <c r="I9" s="5">
        <v>0</v>
      </c>
      <c r="J9" s="5">
        <v>0</v>
      </c>
      <c r="K9" s="5">
        <v>0</v>
      </c>
      <c r="L9" s="5">
        <v>201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343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14508</v>
      </c>
      <c r="I14" s="5">
        <v>0</v>
      </c>
      <c r="J14" s="5">
        <v>0</v>
      </c>
      <c r="K14" s="5">
        <v>0</v>
      </c>
      <c r="L14" s="5">
        <v>9196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47</v>
      </c>
      <c r="J15" s="5">
        <v>0</v>
      </c>
      <c r="K15" s="5">
        <v>0</v>
      </c>
      <c r="L15" s="5">
        <v>49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6</v>
      </c>
      <c r="J16" s="5">
        <v>0</v>
      </c>
      <c r="K16" s="5">
        <v>0</v>
      </c>
      <c r="L16" s="5">
        <v>5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15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31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9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3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76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33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28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205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2180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4686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9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3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30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620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2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31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5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2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183</v>
      </c>
      <c r="I59" s="5">
        <v>0</v>
      </c>
      <c r="J59" s="5">
        <v>0</v>
      </c>
      <c r="K59" s="5">
        <v>0</v>
      </c>
      <c r="L59" s="5">
        <v>66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6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0</v>
      </c>
      <c r="D63" s="36">
        <f t="shared" si="0"/>
        <v>0</v>
      </c>
      <c r="E63" s="36">
        <f t="shared" si="0"/>
        <v>0</v>
      </c>
      <c r="F63" s="36">
        <f t="shared" si="0"/>
        <v>0</v>
      </c>
      <c r="G63" s="36">
        <f t="shared" si="0"/>
        <v>0</v>
      </c>
      <c r="H63" s="36">
        <f t="shared" si="0"/>
        <v>30998</v>
      </c>
      <c r="I63" s="36">
        <f t="shared" si="0"/>
        <v>90</v>
      </c>
      <c r="J63" s="36">
        <f t="shared" si="0"/>
        <v>0</v>
      </c>
      <c r="K63" s="36">
        <f t="shared" si="0"/>
        <v>0</v>
      </c>
      <c r="L63" s="36">
        <f t="shared" si="0"/>
        <v>11432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58544.2</v>
      </c>
      <c r="C65" s="15">
        <v>59174.8</v>
      </c>
      <c r="D65" s="15">
        <v>59339.9</v>
      </c>
      <c r="E65" s="15">
        <v>59058.5</v>
      </c>
      <c r="F65" s="15">
        <v>59260.7</v>
      </c>
      <c r="G65" s="15">
        <v>59424.3</v>
      </c>
      <c r="H65" s="15">
        <v>59244.9</v>
      </c>
      <c r="I65" s="15">
        <v>59062.8</v>
      </c>
      <c r="J65" s="15">
        <v>58877.4</v>
      </c>
      <c r="K65" s="15">
        <v>58852.800000000003</v>
      </c>
      <c r="L65" s="15">
        <v>58859.199999999997</v>
      </c>
    </row>
  </sheetData>
  <hyperlinks>
    <hyperlink ref="N2" location="Home!A1" display="HOME" xr:uid="{DE2BED49-5268-4A0C-8960-4153E78CE76D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7016-0BE3-4A2B-BF3D-03490AB54B32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B2" sqref="B2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353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168</v>
      </c>
      <c r="F3" s="5">
        <v>234</v>
      </c>
      <c r="G3" s="5">
        <v>248</v>
      </c>
      <c r="H3" s="5">
        <v>693</v>
      </c>
      <c r="I3" s="5">
        <v>732</v>
      </c>
      <c r="J3" s="5">
        <v>777</v>
      </c>
      <c r="K3" s="5">
        <v>887</v>
      </c>
      <c r="L3" s="5">
        <v>954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672</v>
      </c>
      <c r="I4" s="5">
        <v>697</v>
      </c>
      <c r="J4" s="5">
        <v>725</v>
      </c>
      <c r="K4" s="5">
        <v>800</v>
      </c>
      <c r="L4" s="5">
        <v>840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6</v>
      </c>
      <c r="I5" s="5">
        <v>16</v>
      </c>
      <c r="J5" s="5">
        <v>16</v>
      </c>
      <c r="K5" s="5">
        <v>26</v>
      </c>
      <c r="L5" s="5">
        <v>37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2263</v>
      </c>
      <c r="I6" s="5">
        <v>1978</v>
      </c>
      <c r="J6" s="5">
        <v>2416</v>
      </c>
      <c r="K6" s="5">
        <v>1761</v>
      </c>
      <c r="L6" s="5">
        <v>3440</v>
      </c>
    </row>
    <row r="7" spans="1:14" x14ac:dyDescent="0.35">
      <c r="A7" s="4" t="s">
        <v>216</v>
      </c>
      <c r="B7" s="5">
        <v>0</v>
      </c>
      <c r="C7" s="5">
        <v>806</v>
      </c>
      <c r="D7" s="5">
        <v>0</v>
      </c>
      <c r="E7" s="5">
        <v>0</v>
      </c>
      <c r="F7" s="5">
        <v>0</v>
      </c>
      <c r="G7" s="5">
        <v>0</v>
      </c>
      <c r="H7" s="5">
        <v>892</v>
      </c>
      <c r="I7" s="5">
        <v>767</v>
      </c>
      <c r="J7" s="5">
        <v>872</v>
      </c>
      <c r="K7" s="5">
        <v>795</v>
      </c>
      <c r="L7" s="5">
        <v>769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</v>
      </c>
      <c r="I8" s="5">
        <v>4</v>
      </c>
      <c r="J8" s="5">
        <v>6</v>
      </c>
      <c r="K8" s="5">
        <v>6</v>
      </c>
      <c r="L8" s="5">
        <v>6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93</v>
      </c>
      <c r="I9" s="5">
        <v>54</v>
      </c>
      <c r="J9" s="5">
        <v>127</v>
      </c>
      <c r="K9" s="5">
        <v>124</v>
      </c>
      <c r="L9" s="5">
        <v>170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3391</v>
      </c>
      <c r="I14" s="5">
        <v>0</v>
      </c>
      <c r="J14" s="5">
        <v>12625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5</v>
      </c>
      <c r="I22" s="5">
        <v>7</v>
      </c>
      <c r="J22" s="5">
        <v>10</v>
      </c>
      <c r="K22" s="5">
        <v>15</v>
      </c>
      <c r="L22" s="5">
        <v>20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168</v>
      </c>
      <c r="F33" s="5">
        <v>234</v>
      </c>
      <c r="G33" s="5">
        <v>248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806</v>
      </c>
      <c r="D36" s="5">
        <v>0</v>
      </c>
      <c r="E36" s="5">
        <v>0</v>
      </c>
      <c r="F36" s="5">
        <v>0</v>
      </c>
      <c r="G36" s="5">
        <v>0</v>
      </c>
      <c r="H36" s="5">
        <v>892</v>
      </c>
      <c r="I36" s="5">
        <v>767</v>
      </c>
      <c r="J36" s="5">
        <v>872</v>
      </c>
      <c r="K36" s="5">
        <v>795</v>
      </c>
      <c r="L36" s="5">
        <v>769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1423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2263</v>
      </c>
      <c r="I40" s="5">
        <v>1978</v>
      </c>
      <c r="J40" s="5">
        <v>2416</v>
      </c>
      <c r="K40" s="5">
        <v>1761</v>
      </c>
      <c r="L40" s="5">
        <v>2017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6</v>
      </c>
      <c r="I44" s="5">
        <v>10</v>
      </c>
      <c r="J44" s="5">
        <v>15</v>
      </c>
      <c r="K44" s="5">
        <v>23</v>
      </c>
      <c r="L44" s="5">
        <v>30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201</v>
      </c>
      <c r="J52" s="5">
        <v>486</v>
      </c>
      <c r="K52" s="5">
        <v>472</v>
      </c>
      <c r="L52" s="5">
        <v>447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21</v>
      </c>
      <c r="I59" s="5">
        <v>35</v>
      </c>
      <c r="J59" s="5">
        <v>52</v>
      </c>
      <c r="K59" s="5">
        <v>87</v>
      </c>
      <c r="L59" s="5">
        <v>114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4</v>
      </c>
      <c r="I60" s="5">
        <v>11</v>
      </c>
      <c r="J60" s="5">
        <v>16</v>
      </c>
      <c r="K60" s="5">
        <v>23</v>
      </c>
      <c r="L60" s="5">
        <v>30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1612</v>
      </c>
      <c r="D63" s="36">
        <f t="shared" si="0"/>
        <v>0</v>
      </c>
      <c r="E63" s="36">
        <f t="shared" si="0"/>
        <v>336</v>
      </c>
      <c r="F63" s="36">
        <f t="shared" si="0"/>
        <v>468</v>
      </c>
      <c r="G63" s="36">
        <f t="shared" si="0"/>
        <v>496</v>
      </c>
      <c r="H63" s="36">
        <f t="shared" si="0"/>
        <v>11204</v>
      </c>
      <c r="I63" s="36">
        <f t="shared" si="0"/>
        <v>7257</v>
      </c>
      <c r="J63" s="36">
        <f t="shared" si="0"/>
        <v>21431</v>
      </c>
      <c r="K63" s="36">
        <f t="shared" si="0"/>
        <v>7575</v>
      </c>
      <c r="L63" s="36">
        <f t="shared" si="0"/>
        <v>11066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155206.70000000001</v>
      </c>
      <c r="C65" s="15">
        <v>157241.29999999999</v>
      </c>
      <c r="D65" s="15">
        <v>155883.9</v>
      </c>
      <c r="E65" s="15">
        <v>154970.79999999999</v>
      </c>
      <c r="F65" s="15">
        <v>155266.4</v>
      </c>
      <c r="G65" s="15">
        <v>156073.20000000001</v>
      </c>
      <c r="H65" s="15">
        <v>156857.29999999999</v>
      </c>
      <c r="I65" s="15">
        <v>157728.4</v>
      </c>
      <c r="J65" s="15">
        <v>158615.9</v>
      </c>
      <c r="K65" s="15">
        <v>159834.6</v>
      </c>
      <c r="L65" s="15">
        <v>161499.29999999999</v>
      </c>
    </row>
  </sheetData>
  <hyperlinks>
    <hyperlink ref="N2" location="Home!A1" display="HOME" xr:uid="{011CB375-DF2F-49E9-AD98-05973CDEE3B2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A6DB-0549-4347-90FA-FC342D17A3EA}">
  <dimension ref="A1:N65"/>
  <sheetViews>
    <sheetView zoomScale="84" zoomScaleNormal="84" workbookViewId="0">
      <pane xSplit="1" ySplit="2" topLeftCell="B42" activePane="bottomRight" state="frozen"/>
      <selection activeCell="J41" sqref="J41"/>
      <selection pane="topRight" activeCell="J41" sqref="J41"/>
      <selection pane="bottomLeft" activeCell="J41" sqref="J41"/>
      <selection pane="bottomRight" activeCell="B65" sqref="B65:L65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354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3188</v>
      </c>
      <c r="C3" s="5">
        <v>3523</v>
      </c>
      <c r="D3" s="5">
        <v>4275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4" x14ac:dyDescent="0.35">
      <c r="A4" s="17" t="s">
        <v>213</v>
      </c>
      <c r="B4" s="5">
        <v>0</v>
      </c>
      <c r="C4" s="5">
        <v>3028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3383</v>
      </c>
      <c r="C6" s="5">
        <v>3438</v>
      </c>
      <c r="D6" s="5">
        <v>0</v>
      </c>
      <c r="E6" s="5">
        <v>0</v>
      </c>
      <c r="F6" s="5">
        <v>0</v>
      </c>
      <c r="G6" s="5">
        <v>0</v>
      </c>
      <c r="H6" s="5">
        <v>3833</v>
      </c>
      <c r="I6" s="5">
        <v>0</v>
      </c>
      <c r="J6" s="5">
        <v>0</v>
      </c>
      <c r="K6" s="5">
        <v>0</v>
      </c>
      <c r="L6" s="5">
        <v>0</v>
      </c>
    </row>
    <row r="7" spans="1:14" x14ac:dyDescent="0.35">
      <c r="A7" s="4" t="s">
        <v>216</v>
      </c>
      <c r="B7" s="5">
        <v>1475</v>
      </c>
      <c r="C7" s="5">
        <v>3400</v>
      </c>
      <c r="D7" s="5">
        <v>0</v>
      </c>
      <c r="E7" s="5">
        <v>0</v>
      </c>
      <c r="F7" s="5">
        <v>1583</v>
      </c>
      <c r="G7" s="5">
        <v>2931</v>
      </c>
      <c r="H7" s="5">
        <v>3994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181</v>
      </c>
      <c r="C8" s="5">
        <v>111</v>
      </c>
      <c r="D8" s="5">
        <v>0</v>
      </c>
      <c r="E8" s="5">
        <v>0</v>
      </c>
      <c r="F8" s="5">
        <v>0</v>
      </c>
      <c r="G8" s="5">
        <v>0</v>
      </c>
      <c r="H8" s="5">
        <v>225</v>
      </c>
      <c r="I8" s="5">
        <v>0</v>
      </c>
      <c r="J8" s="5">
        <v>0</v>
      </c>
      <c r="K8" s="5">
        <v>0</v>
      </c>
      <c r="L8" s="5">
        <v>225</v>
      </c>
    </row>
    <row r="9" spans="1:14" x14ac:dyDescent="0.35">
      <c r="A9" s="4" t="s">
        <v>218</v>
      </c>
      <c r="B9" s="5">
        <v>6</v>
      </c>
      <c r="C9" s="5">
        <v>17</v>
      </c>
      <c r="D9" s="5">
        <v>0</v>
      </c>
      <c r="E9" s="5">
        <v>0</v>
      </c>
      <c r="F9" s="5">
        <v>4</v>
      </c>
      <c r="G9" s="5">
        <v>0</v>
      </c>
      <c r="H9" s="5">
        <v>27</v>
      </c>
      <c r="I9" s="5">
        <v>0</v>
      </c>
      <c r="J9" s="5">
        <v>0</v>
      </c>
      <c r="K9" s="5">
        <v>0</v>
      </c>
      <c r="L9" s="5">
        <v>27</v>
      </c>
    </row>
    <row r="10" spans="1:14" x14ac:dyDescent="0.35">
      <c r="A10" s="4" t="s">
        <v>219</v>
      </c>
      <c r="B10" s="5">
        <v>0</v>
      </c>
      <c r="C10" s="5">
        <v>0</v>
      </c>
      <c r="D10" s="5">
        <v>2510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35000</v>
      </c>
      <c r="I14" s="5">
        <v>38338</v>
      </c>
      <c r="J14" s="5">
        <v>41616</v>
      </c>
      <c r="K14" s="5">
        <v>41616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21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12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755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306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3188</v>
      </c>
      <c r="C33" s="5">
        <v>0</v>
      </c>
      <c r="D33" s="5">
        <v>4275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3400</v>
      </c>
      <c r="D36" s="5">
        <v>0</v>
      </c>
      <c r="E36" s="5">
        <v>0</v>
      </c>
      <c r="F36" s="5">
        <v>1583</v>
      </c>
      <c r="G36" s="5">
        <v>2931</v>
      </c>
      <c r="H36" s="5">
        <v>3994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1475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3383</v>
      </c>
      <c r="C38" s="5">
        <v>3438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3833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35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495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17034</v>
      </c>
      <c r="C63" s="36">
        <f t="shared" ref="C63:L63" si="0">SUM(C3:C62)</f>
        <v>20850</v>
      </c>
      <c r="D63" s="36">
        <f t="shared" si="0"/>
        <v>11060</v>
      </c>
      <c r="E63" s="36">
        <f t="shared" si="0"/>
        <v>0</v>
      </c>
      <c r="F63" s="36">
        <f t="shared" si="0"/>
        <v>3205</v>
      </c>
      <c r="G63" s="36">
        <f t="shared" si="0"/>
        <v>5862</v>
      </c>
      <c r="H63" s="36">
        <f t="shared" si="0"/>
        <v>51212</v>
      </c>
      <c r="I63" s="36">
        <f t="shared" si="0"/>
        <v>38371</v>
      </c>
      <c r="J63" s="36">
        <f t="shared" si="0"/>
        <v>41616</v>
      </c>
      <c r="K63" s="36">
        <f t="shared" si="0"/>
        <v>41616</v>
      </c>
      <c r="L63" s="36">
        <f t="shared" si="0"/>
        <v>252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s="20" t="s">
        <v>8</v>
      </c>
      <c r="B65" s="27">
        <v>778427</v>
      </c>
      <c r="C65" s="27">
        <v>785163.7</v>
      </c>
      <c r="D65" s="27">
        <v>793162.3</v>
      </c>
      <c r="E65" s="27">
        <v>803737.2</v>
      </c>
      <c r="F65" s="27">
        <v>821643</v>
      </c>
      <c r="G65" s="27">
        <v>840158.7</v>
      </c>
      <c r="H65" s="27">
        <v>853987.6</v>
      </c>
      <c r="I65" s="27">
        <v>866367.5</v>
      </c>
      <c r="J65" s="27">
        <v>878903.6</v>
      </c>
      <c r="K65" s="27">
        <v>890888.8</v>
      </c>
      <c r="L65" s="27">
        <v>903175.3</v>
      </c>
    </row>
  </sheetData>
  <hyperlinks>
    <hyperlink ref="N2" location="Home!A1" display="HOME" xr:uid="{D6B0B4BC-BAE2-4C85-96DD-1BF5D9F4097B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B7A3-8E5B-41C6-A42C-CAA94A7EBABF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C63" sqref="C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355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200</v>
      </c>
      <c r="D3" s="5">
        <v>0</v>
      </c>
      <c r="E3" s="5">
        <v>0</v>
      </c>
      <c r="F3" s="5">
        <v>539</v>
      </c>
      <c r="G3" s="5">
        <v>0</v>
      </c>
      <c r="H3" s="5">
        <v>2760</v>
      </c>
      <c r="I3" s="5">
        <v>0</v>
      </c>
      <c r="J3" s="5">
        <v>958</v>
      </c>
      <c r="K3" s="5">
        <v>0</v>
      </c>
      <c r="L3" s="5">
        <v>996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255</v>
      </c>
      <c r="G4" s="5">
        <v>0</v>
      </c>
      <c r="H4" s="5">
        <v>2582</v>
      </c>
      <c r="I4" s="5">
        <v>0</v>
      </c>
      <c r="J4" s="5">
        <v>639</v>
      </c>
      <c r="K4" s="5">
        <v>0</v>
      </c>
      <c r="L4" s="5">
        <v>843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32</v>
      </c>
    </row>
    <row r="6" spans="1:14" x14ac:dyDescent="0.35">
      <c r="A6" s="4" t="s">
        <v>215</v>
      </c>
      <c r="B6" s="5">
        <v>0</v>
      </c>
      <c r="C6" s="5">
        <v>3545</v>
      </c>
      <c r="D6" s="5">
        <v>0</v>
      </c>
      <c r="E6" s="5">
        <v>0</v>
      </c>
      <c r="F6" s="5">
        <v>4573</v>
      </c>
      <c r="G6" s="5">
        <v>0</v>
      </c>
      <c r="H6" s="5">
        <v>7957</v>
      </c>
      <c r="I6" s="5">
        <v>0</v>
      </c>
      <c r="J6" s="5">
        <v>13564</v>
      </c>
      <c r="K6" s="5">
        <v>0</v>
      </c>
      <c r="L6" s="5">
        <v>9592</v>
      </c>
    </row>
    <row r="7" spans="1:14" x14ac:dyDescent="0.35">
      <c r="A7" s="4" t="s">
        <v>216</v>
      </c>
      <c r="B7" s="5">
        <v>0</v>
      </c>
      <c r="C7" s="5">
        <v>48</v>
      </c>
      <c r="D7" s="5">
        <v>0</v>
      </c>
      <c r="E7" s="5">
        <v>0</v>
      </c>
      <c r="F7" s="5">
        <v>568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616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112</v>
      </c>
      <c r="I8" s="5">
        <v>0</v>
      </c>
      <c r="J8" s="5">
        <v>149</v>
      </c>
      <c r="K8" s="5">
        <v>0</v>
      </c>
      <c r="L8" s="5">
        <v>91</v>
      </c>
    </row>
    <row r="9" spans="1:14" x14ac:dyDescent="0.35">
      <c r="A9" s="4" t="s">
        <v>218</v>
      </c>
      <c r="B9" s="5">
        <v>0</v>
      </c>
      <c r="C9" s="5">
        <v>170</v>
      </c>
      <c r="D9" s="5">
        <v>0</v>
      </c>
      <c r="E9" s="5">
        <v>0</v>
      </c>
      <c r="F9" s="5">
        <v>0</v>
      </c>
      <c r="G9" s="5">
        <v>0</v>
      </c>
      <c r="H9" s="5">
        <v>387</v>
      </c>
      <c r="I9" s="5">
        <v>0</v>
      </c>
      <c r="J9" s="5">
        <v>151</v>
      </c>
      <c r="K9" s="5">
        <v>0</v>
      </c>
      <c r="L9" s="5">
        <v>111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2848</v>
      </c>
      <c r="K10" s="5">
        <v>0</v>
      </c>
      <c r="L10" s="5">
        <v>82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272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13</v>
      </c>
      <c r="K13" s="5">
        <v>0</v>
      </c>
      <c r="L13" s="5">
        <v>56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10016</v>
      </c>
      <c r="I14" s="5">
        <v>0</v>
      </c>
      <c r="J14" s="5">
        <v>0</v>
      </c>
      <c r="K14" s="5">
        <v>0</v>
      </c>
      <c r="L14" s="5">
        <v>10747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204</v>
      </c>
      <c r="K15" s="5">
        <v>0</v>
      </c>
      <c r="L15" s="5">
        <v>173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31</v>
      </c>
      <c r="K17" s="5">
        <v>0</v>
      </c>
      <c r="L17" s="5">
        <v>33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249</v>
      </c>
      <c r="K19" s="5">
        <v>0</v>
      </c>
      <c r="L19" s="5">
        <v>71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321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196</v>
      </c>
      <c r="K21" s="5">
        <v>0</v>
      </c>
      <c r="L21" s="5">
        <v>548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30</v>
      </c>
      <c r="K22" s="5">
        <v>0</v>
      </c>
      <c r="L22" s="5">
        <v>33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334</v>
      </c>
      <c r="K24" s="5">
        <v>0</v>
      </c>
      <c r="L24" s="5">
        <v>68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610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2630</v>
      </c>
      <c r="K27" s="5">
        <v>0</v>
      </c>
      <c r="L27" s="5">
        <v>561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1809</v>
      </c>
      <c r="K28" s="5">
        <v>0</v>
      </c>
      <c r="L28" s="5">
        <v>1661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397</v>
      </c>
      <c r="G29" s="5">
        <v>0</v>
      </c>
      <c r="H29" s="5">
        <v>0</v>
      </c>
      <c r="I29" s="5">
        <v>0</v>
      </c>
      <c r="J29" s="5">
        <v>282</v>
      </c>
      <c r="K29" s="5">
        <v>0</v>
      </c>
      <c r="L29" s="5">
        <v>189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542</v>
      </c>
      <c r="I30" s="5">
        <v>0</v>
      </c>
      <c r="J30" s="5">
        <v>743</v>
      </c>
      <c r="K30" s="5">
        <v>0</v>
      </c>
      <c r="L30" s="5">
        <v>81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168</v>
      </c>
      <c r="D33" s="5">
        <v>0</v>
      </c>
      <c r="E33" s="5">
        <v>0</v>
      </c>
      <c r="F33" s="5">
        <v>284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12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48</v>
      </c>
      <c r="D35" s="5">
        <v>0</v>
      </c>
      <c r="E35" s="5">
        <v>0</v>
      </c>
      <c r="F35" s="5">
        <v>568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616</v>
      </c>
    </row>
    <row r="38" spans="1:12" x14ac:dyDescent="0.35">
      <c r="A38" s="4" t="s">
        <v>247</v>
      </c>
      <c r="B38" s="5">
        <v>0</v>
      </c>
      <c r="C38" s="5">
        <v>3545</v>
      </c>
      <c r="D38" s="5">
        <v>0</v>
      </c>
      <c r="E38" s="5">
        <v>0</v>
      </c>
      <c r="F38" s="5">
        <v>4573</v>
      </c>
      <c r="G38" s="5">
        <v>0</v>
      </c>
      <c r="H38" s="5">
        <v>0</v>
      </c>
      <c r="I38" s="5">
        <v>0</v>
      </c>
      <c r="J38" s="5">
        <v>77</v>
      </c>
      <c r="K38" s="5">
        <v>0</v>
      </c>
      <c r="L38" s="5">
        <v>227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6324</v>
      </c>
      <c r="I39" s="5">
        <v>0</v>
      </c>
      <c r="J39" s="5">
        <v>6004</v>
      </c>
      <c r="K39" s="5">
        <v>0</v>
      </c>
      <c r="L39" s="5">
        <v>6474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1633</v>
      </c>
      <c r="I40" s="5">
        <v>0</v>
      </c>
      <c r="J40" s="5">
        <v>7483</v>
      </c>
      <c r="K40" s="5">
        <v>0</v>
      </c>
      <c r="L40" s="5">
        <v>2891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1479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4358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54</v>
      </c>
      <c r="K43" s="5">
        <v>0</v>
      </c>
      <c r="L43" s="5">
        <v>28</v>
      </c>
    </row>
    <row r="44" spans="1:12" x14ac:dyDescent="0.35">
      <c r="A44" s="4" t="s">
        <v>251</v>
      </c>
      <c r="B44" s="5">
        <v>0</v>
      </c>
      <c r="C44" s="5">
        <v>0</v>
      </c>
      <c r="D44" s="5">
        <v>7</v>
      </c>
      <c r="E44" s="5">
        <v>0</v>
      </c>
      <c r="F44" s="5">
        <v>15</v>
      </c>
      <c r="G44" s="5">
        <v>0</v>
      </c>
      <c r="H44" s="5">
        <v>0</v>
      </c>
      <c r="I44" s="5">
        <v>0</v>
      </c>
      <c r="J44" s="5">
        <v>52</v>
      </c>
      <c r="K44" s="5">
        <v>0</v>
      </c>
      <c r="L44" s="5">
        <v>21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91</v>
      </c>
      <c r="K45" s="5">
        <v>0</v>
      </c>
      <c r="L45" s="5">
        <v>73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11</v>
      </c>
      <c r="H46" s="5">
        <v>0</v>
      </c>
      <c r="I46" s="5">
        <v>0</v>
      </c>
      <c r="J46" s="5">
        <v>195</v>
      </c>
      <c r="K46" s="5">
        <v>0</v>
      </c>
      <c r="L46" s="5">
        <v>13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11178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1159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37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218</v>
      </c>
      <c r="G52" s="5">
        <v>0</v>
      </c>
      <c r="H52" s="5">
        <v>234</v>
      </c>
      <c r="I52" s="5">
        <v>0</v>
      </c>
      <c r="J52" s="5">
        <v>600</v>
      </c>
      <c r="K52" s="5">
        <v>0</v>
      </c>
      <c r="L52" s="5">
        <v>710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152</v>
      </c>
      <c r="K53" s="5">
        <v>0</v>
      </c>
      <c r="L53" s="5">
        <v>160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88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4</v>
      </c>
      <c r="K55" s="5">
        <v>0</v>
      </c>
      <c r="L55" s="5">
        <v>4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11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48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24</v>
      </c>
    </row>
    <row r="59" spans="1:12" x14ac:dyDescent="0.35">
      <c r="A59" s="4" t="s">
        <v>266</v>
      </c>
      <c r="B59" s="5">
        <v>0</v>
      </c>
      <c r="C59" s="5">
        <v>32</v>
      </c>
      <c r="D59" s="5">
        <v>0</v>
      </c>
      <c r="E59" s="5">
        <v>0</v>
      </c>
      <c r="F59" s="5">
        <v>0</v>
      </c>
      <c r="G59" s="5">
        <v>0</v>
      </c>
      <c r="H59" s="5">
        <v>178</v>
      </c>
      <c r="I59" s="5">
        <v>0</v>
      </c>
      <c r="J59" s="5">
        <v>319</v>
      </c>
      <c r="K59" s="5">
        <v>0</v>
      </c>
      <c r="L59" s="5">
        <v>141</v>
      </c>
    </row>
    <row r="60" spans="1:12" x14ac:dyDescent="0.35">
      <c r="A60" s="4" t="s">
        <v>267</v>
      </c>
      <c r="B60" s="5">
        <v>0</v>
      </c>
      <c r="C60" s="5">
        <v>0</v>
      </c>
      <c r="D60" s="5">
        <v>61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68</v>
      </c>
      <c r="K60" s="5">
        <v>0</v>
      </c>
      <c r="L60" s="5">
        <v>26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2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7756</v>
      </c>
      <c r="D63" s="36">
        <f t="shared" si="0"/>
        <v>68</v>
      </c>
      <c r="E63" s="36">
        <f t="shared" si="0"/>
        <v>0</v>
      </c>
      <c r="F63" s="36">
        <f t="shared" si="0"/>
        <v>13149</v>
      </c>
      <c r="G63" s="36">
        <f t="shared" si="0"/>
        <v>11</v>
      </c>
      <c r="H63" s="36">
        <f t="shared" si="0"/>
        <v>32725</v>
      </c>
      <c r="I63" s="36">
        <f t="shared" si="0"/>
        <v>0</v>
      </c>
      <c r="J63" s="36">
        <f t="shared" si="0"/>
        <v>46087</v>
      </c>
      <c r="K63" s="36">
        <f t="shared" si="0"/>
        <v>0</v>
      </c>
      <c r="L63" s="36">
        <f t="shared" si="0"/>
        <v>50262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s="20" t="s">
        <v>8</v>
      </c>
      <c r="B65" s="27">
        <v>595474.80000000005</v>
      </c>
      <c r="C65" s="27">
        <v>598581.6</v>
      </c>
      <c r="D65" s="27">
        <v>601396.5</v>
      </c>
      <c r="E65" s="27">
        <v>602721.6</v>
      </c>
      <c r="F65" s="27">
        <v>604185.30000000005</v>
      </c>
      <c r="G65" s="27">
        <v>609708.69999999995</v>
      </c>
      <c r="H65" s="27">
        <v>619407.19999999995</v>
      </c>
      <c r="I65" s="27">
        <v>630365.19999999995</v>
      </c>
      <c r="J65" s="27">
        <v>641720.1</v>
      </c>
      <c r="K65" s="27">
        <v>652416.6</v>
      </c>
      <c r="L65" s="27">
        <v>663702.4</v>
      </c>
    </row>
  </sheetData>
  <hyperlinks>
    <hyperlink ref="N2" location="Home!A1" display="HOME" xr:uid="{387E6323-BE03-4EA3-8D5A-19DE6E2B58AD}"/>
  </hyperlink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F52B-71BB-47E3-AD15-14F455CF7BBC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B3" sqref="B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356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2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1704</v>
      </c>
      <c r="C3" s="5">
        <v>1971</v>
      </c>
      <c r="D3" s="5">
        <v>1750</v>
      </c>
      <c r="E3" s="5">
        <v>1750</v>
      </c>
      <c r="F3" s="5">
        <v>2247</v>
      </c>
      <c r="G3" s="5">
        <v>2247</v>
      </c>
      <c r="H3" s="5">
        <v>2454</v>
      </c>
      <c r="I3" s="5">
        <v>0</v>
      </c>
      <c r="J3" s="5">
        <v>0</v>
      </c>
      <c r="K3" s="5">
        <v>0</v>
      </c>
      <c r="L3" s="5">
        <v>4402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1417</v>
      </c>
      <c r="I4" s="5">
        <v>0</v>
      </c>
      <c r="J4" s="5">
        <v>0</v>
      </c>
      <c r="K4" s="5">
        <v>0</v>
      </c>
      <c r="L4" s="5">
        <v>3557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4257</v>
      </c>
      <c r="C6" s="5">
        <v>0</v>
      </c>
      <c r="D6" s="5">
        <v>0</v>
      </c>
      <c r="E6" s="5">
        <v>0</v>
      </c>
      <c r="F6" s="5">
        <v>4765</v>
      </c>
      <c r="G6" s="5">
        <v>0</v>
      </c>
      <c r="H6" s="5">
        <v>5174</v>
      </c>
      <c r="I6" s="5">
        <v>0</v>
      </c>
      <c r="J6" s="5">
        <v>0</v>
      </c>
      <c r="K6" s="5">
        <v>0</v>
      </c>
      <c r="L6" s="5">
        <v>6327</v>
      </c>
    </row>
    <row r="7" spans="1:14" x14ac:dyDescent="0.35">
      <c r="A7" s="4" t="s">
        <v>216</v>
      </c>
      <c r="B7" s="5">
        <v>1770</v>
      </c>
      <c r="C7" s="5">
        <v>1961</v>
      </c>
      <c r="D7" s="5">
        <v>0</v>
      </c>
      <c r="E7" s="5">
        <v>0</v>
      </c>
      <c r="F7" s="5">
        <v>2657</v>
      </c>
      <c r="G7" s="5">
        <v>0</v>
      </c>
      <c r="H7" s="5">
        <v>3235</v>
      </c>
      <c r="I7" s="5">
        <v>0</v>
      </c>
      <c r="J7" s="5">
        <v>0</v>
      </c>
      <c r="K7" s="5">
        <v>0</v>
      </c>
      <c r="L7" s="5">
        <v>1629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107</v>
      </c>
      <c r="G8" s="5">
        <v>0</v>
      </c>
      <c r="H8" s="5">
        <v>30</v>
      </c>
      <c r="I8" s="5">
        <v>0</v>
      </c>
      <c r="J8" s="5">
        <v>0</v>
      </c>
      <c r="K8" s="5">
        <v>0</v>
      </c>
      <c r="L8" s="5">
        <v>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194</v>
      </c>
      <c r="G9" s="5">
        <v>0</v>
      </c>
      <c r="H9" s="5">
        <v>182</v>
      </c>
      <c r="I9" s="5">
        <v>0</v>
      </c>
      <c r="J9" s="5">
        <v>0</v>
      </c>
      <c r="K9" s="5">
        <v>0</v>
      </c>
      <c r="L9" s="5">
        <v>1721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1152</v>
      </c>
      <c r="I14" s="5">
        <v>0</v>
      </c>
      <c r="J14" s="5">
        <v>3303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53</v>
      </c>
      <c r="H15" s="5">
        <v>53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15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61</v>
      </c>
      <c r="I22" s="5">
        <v>0</v>
      </c>
      <c r="J22" s="5">
        <v>0</v>
      </c>
      <c r="K22" s="5">
        <v>0</v>
      </c>
      <c r="L22" s="5">
        <v>69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13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1022</v>
      </c>
      <c r="I28" s="5">
        <v>0</v>
      </c>
      <c r="J28" s="5">
        <v>0</v>
      </c>
      <c r="K28" s="5">
        <v>0</v>
      </c>
      <c r="L28" s="5">
        <v>1481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1704</v>
      </c>
      <c r="C33" s="5">
        <v>1971</v>
      </c>
      <c r="D33" s="5">
        <v>1750</v>
      </c>
      <c r="E33" s="5">
        <v>1750</v>
      </c>
      <c r="F33" s="5">
        <v>2247</v>
      </c>
      <c r="G33" s="5">
        <v>2247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1275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686</v>
      </c>
      <c r="D36" s="5">
        <v>0</v>
      </c>
      <c r="E36" s="5">
        <v>0</v>
      </c>
      <c r="F36" s="5">
        <v>2657</v>
      </c>
      <c r="G36" s="5">
        <v>0</v>
      </c>
      <c r="H36" s="5">
        <v>3235</v>
      </c>
      <c r="I36" s="5">
        <v>0</v>
      </c>
      <c r="J36" s="5">
        <v>0</v>
      </c>
      <c r="K36" s="5">
        <v>0</v>
      </c>
      <c r="L36" s="5">
        <v>1629</v>
      </c>
    </row>
    <row r="37" spans="1:12" x14ac:dyDescent="0.35">
      <c r="A37" s="4" t="s">
        <v>246</v>
      </c>
      <c r="B37" s="5">
        <v>1770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4257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6327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4765</v>
      </c>
      <c r="G40" s="5">
        <v>0</v>
      </c>
      <c r="H40" s="5">
        <v>5174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1638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6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92</v>
      </c>
      <c r="I44" s="5">
        <v>0</v>
      </c>
      <c r="J44" s="5">
        <v>0</v>
      </c>
      <c r="K44" s="5">
        <v>0</v>
      </c>
      <c r="L44" s="5">
        <v>50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7</v>
      </c>
      <c r="C55" s="5">
        <v>8</v>
      </c>
      <c r="D55" s="5">
        <v>9</v>
      </c>
      <c r="E55" s="5">
        <v>11</v>
      </c>
      <c r="F55" s="5">
        <v>9</v>
      </c>
      <c r="G55" s="5">
        <v>10</v>
      </c>
      <c r="H55" s="5">
        <v>9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1037</v>
      </c>
      <c r="I59" s="5">
        <v>0</v>
      </c>
      <c r="J59" s="5">
        <v>0</v>
      </c>
      <c r="K59" s="5">
        <v>0</v>
      </c>
      <c r="L59" s="5">
        <v>845</v>
      </c>
    </row>
    <row r="60" spans="1:12" x14ac:dyDescent="0.35">
      <c r="A60" s="4" t="s">
        <v>267</v>
      </c>
      <c r="B60" s="5">
        <v>110</v>
      </c>
      <c r="C60" s="5">
        <v>113</v>
      </c>
      <c r="D60" s="5">
        <v>67</v>
      </c>
      <c r="E60" s="5">
        <v>72</v>
      </c>
      <c r="F60" s="5">
        <v>67</v>
      </c>
      <c r="G60" s="5">
        <v>72</v>
      </c>
      <c r="H60" s="5">
        <v>85</v>
      </c>
      <c r="I60" s="5">
        <v>0</v>
      </c>
      <c r="J60" s="5">
        <v>0</v>
      </c>
      <c r="K60" s="5">
        <v>0</v>
      </c>
      <c r="L60" s="5">
        <v>75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15579</v>
      </c>
      <c r="C63" s="36">
        <f t="shared" ref="C63:L63" si="0">SUM(C3:C62)</f>
        <v>7985</v>
      </c>
      <c r="D63" s="36">
        <f t="shared" si="0"/>
        <v>3576</v>
      </c>
      <c r="E63" s="36">
        <f t="shared" si="0"/>
        <v>3583</v>
      </c>
      <c r="F63" s="36">
        <f t="shared" si="0"/>
        <v>19715</v>
      </c>
      <c r="G63" s="36">
        <f t="shared" si="0"/>
        <v>4629</v>
      </c>
      <c r="H63" s="36">
        <f t="shared" si="0"/>
        <v>26084</v>
      </c>
      <c r="I63" s="36">
        <f t="shared" si="0"/>
        <v>0</v>
      </c>
      <c r="J63" s="36">
        <f t="shared" si="0"/>
        <v>3303</v>
      </c>
      <c r="K63" s="36">
        <f t="shared" si="0"/>
        <v>0</v>
      </c>
      <c r="L63" s="36">
        <f t="shared" si="0"/>
        <v>28112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725926.6</v>
      </c>
      <c r="C65" s="15">
        <v>740567.7</v>
      </c>
      <c r="D65" s="15">
        <v>754923.7</v>
      </c>
      <c r="E65" s="15">
        <v>772249</v>
      </c>
      <c r="F65" s="15">
        <v>789423.6</v>
      </c>
      <c r="G65" s="15">
        <v>807286.6</v>
      </c>
      <c r="H65" s="15">
        <v>825813.6</v>
      </c>
      <c r="I65" s="15">
        <v>843431.7</v>
      </c>
      <c r="J65" s="15">
        <v>862128.3</v>
      </c>
      <c r="K65" s="15">
        <v>883083.9</v>
      </c>
      <c r="L65" s="15">
        <v>903993.3</v>
      </c>
    </row>
  </sheetData>
  <hyperlinks>
    <hyperlink ref="N2" location="Home!A1" display="HOME" xr:uid="{9826CB9C-C136-4B10-B41C-AC4C1B799DD0}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58AC-8542-435F-BC9C-D1714602C357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C7" sqref="C7"/>
    </sheetView>
  </sheetViews>
  <sheetFormatPr defaultColWidth="11.453125" defaultRowHeight="14.5" x14ac:dyDescent="0.35"/>
  <cols>
    <col min="1" max="1" width="79" style="20" bestFit="1" customWidth="1"/>
    <col min="2" max="16384" width="11.453125" style="20"/>
  </cols>
  <sheetData>
    <row r="1" spans="1:14" x14ac:dyDescent="0.35">
      <c r="A1" s="2" t="s">
        <v>357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622</v>
      </c>
      <c r="E3" s="5">
        <v>692</v>
      </c>
      <c r="F3" s="5">
        <v>0</v>
      </c>
      <c r="G3" s="5">
        <v>791</v>
      </c>
      <c r="H3" s="5">
        <v>850</v>
      </c>
      <c r="I3" s="5">
        <v>897</v>
      </c>
      <c r="J3" s="5">
        <v>934</v>
      </c>
      <c r="K3" s="5">
        <v>1035</v>
      </c>
      <c r="L3" s="5">
        <v>1118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487</v>
      </c>
      <c r="I4" s="5">
        <v>533</v>
      </c>
      <c r="J4" s="5">
        <v>532</v>
      </c>
      <c r="K4" s="5">
        <v>597</v>
      </c>
      <c r="L4" s="5">
        <v>616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3846</v>
      </c>
      <c r="E6" s="5">
        <v>4137</v>
      </c>
      <c r="F6" s="5">
        <v>0</v>
      </c>
      <c r="G6" s="5">
        <v>4571</v>
      </c>
      <c r="H6" s="5">
        <v>4066</v>
      </c>
      <c r="I6" s="5">
        <v>4369</v>
      </c>
      <c r="J6" s="5">
        <v>4290</v>
      </c>
      <c r="K6" s="5">
        <v>6156</v>
      </c>
      <c r="L6" s="5">
        <v>6503</v>
      </c>
    </row>
    <row r="7" spans="1:14" x14ac:dyDescent="0.35">
      <c r="A7" s="4" t="s">
        <v>216</v>
      </c>
      <c r="B7" s="5">
        <v>0</v>
      </c>
      <c r="C7" s="5">
        <v>368</v>
      </c>
      <c r="D7" s="5">
        <v>0</v>
      </c>
      <c r="E7" s="5">
        <v>0</v>
      </c>
      <c r="F7" s="5">
        <v>0</v>
      </c>
      <c r="G7" s="5">
        <v>0</v>
      </c>
      <c r="H7" s="5">
        <v>671</v>
      </c>
      <c r="I7" s="5">
        <v>932</v>
      </c>
      <c r="J7" s="5">
        <v>1027</v>
      </c>
      <c r="K7" s="5">
        <v>1252</v>
      </c>
      <c r="L7" s="5">
        <v>1340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112</v>
      </c>
      <c r="I8" s="5">
        <v>118</v>
      </c>
      <c r="J8" s="5">
        <v>117</v>
      </c>
      <c r="K8" s="5">
        <v>121</v>
      </c>
      <c r="L8" s="5">
        <v>131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78</v>
      </c>
      <c r="I9" s="5">
        <v>74</v>
      </c>
      <c r="J9" s="5">
        <v>76</v>
      </c>
      <c r="K9" s="5">
        <v>75</v>
      </c>
      <c r="L9" s="5">
        <v>85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5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622</v>
      </c>
      <c r="E33" s="5">
        <v>692</v>
      </c>
      <c r="F33" s="5">
        <v>0</v>
      </c>
      <c r="G33" s="5">
        <v>791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368</v>
      </c>
      <c r="D36" s="5">
        <v>0</v>
      </c>
      <c r="E36" s="5">
        <v>0</v>
      </c>
      <c r="F36" s="5">
        <v>0</v>
      </c>
      <c r="G36" s="5">
        <v>0</v>
      </c>
      <c r="H36" s="5">
        <v>671</v>
      </c>
      <c r="I36" s="5">
        <v>932</v>
      </c>
      <c r="J36" s="5">
        <v>1027</v>
      </c>
      <c r="K36" s="5">
        <v>1252</v>
      </c>
      <c r="L36" s="5">
        <v>1340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3846</v>
      </c>
      <c r="E38" s="5">
        <v>4137</v>
      </c>
      <c r="F38" s="5">
        <v>0</v>
      </c>
      <c r="G38" s="5">
        <v>4571</v>
      </c>
      <c r="H38" s="5">
        <v>3605</v>
      </c>
      <c r="I38" s="5">
        <v>3819</v>
      </c>
      <c r="J38" s="5">
        <v>3764</v>
      </c>
      <c r="K38" s="5">
        <v>5510</v>
      </c>
      <c r="L38" s="5">
        <v>5840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461</v>
      </c>
      <c r="I40" s="5">
        <v>550</v>
      </c>
      <c r="J40" s="5">
        <v>526</v>
      </c>
      <c r="K40" s="5">
        <v>646</v>
      </c>
      <c r="L40" s="5">
        <v>663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11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80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363</v>
      </c>
      <c r="I59" s="5">
        <v>364</v>
      </c>
      <c r="J59" s="5">
        <v>402</v>
      </c>
      <c r="K59" s="5">
        <v>438</v>
      </c>
      <c r="L59" s="5">
        <v>502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736</v>
      </c>
      <c r="D63" s="36">
        <f t="shared" si="0"/>
        <v>8936</v>
      </c>
      <c r="E63" s="36">
        <f t="shared" si="0"/>
        <v>9658</v>
      </c>
      <c r="F63" s="36">
        <f t="shared" si="0"/>
        <v>0</v>
      </c>
      <c r="G63" s="36">
        <f t="shared" si="0"/>
        <v>10724</v>
      </c>
      <c r="H63" s="36">
        <f t="shared" si="0"/>
        <v>11460</v>
      </c>
      <c r="I63" s="36">
        <f t="shared" si="0"/>
        <v>12588</v>
      </c>
      <c r="J63" s="36">
        <f t="shared" si="0"/>
        <v>12695</v>
      </c>
      <c r="K63" s="36">
        <f t="shared" si="0"/>
        <v>17082</v>
      </c>
      <c r="L63" s="36">
        <f t="shared" si="0"/>
        <v>18138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140118.5</v>
      </c>
      <c r="C65" s="15">
        <v>137079.5</v>
      </c>
      <c r="D65" s="15">
        <v>133349.5</v>
      </c>
      <c r="E65" s="15">
        <v>135862.20000000001</v>
      </c>
      <c r="F65" s="15">
        <v>138275.5</v>
      </c>
      <c r="G65" s="15">
        <v>140591.4</v>
      </c>
      <c r="H65" s="15">
        <v>143140.70000000001</v>
      </c>
      <c r="I65" s="15">
        <v>145586.5</v>
      </c>
      <c r="J65" s="15">
        <v>147926</v>
      </c>
      <c r="K65" s="15">
        <v>150737.70000000001</v>
      </c>
      <c r="L65" s="15">
        <v>153744</v>
      </c>
    </row>
  </sheetData>
  <hyperlinks>
    <hyperlink ref="N2" location="Home!A1" display="HOME" xr:uid="{26082277-DC69-47D7-96C7-2FBCDE063F1A}"/>
  </hyperlink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C37B-9AA5-439A-8E7C-A51C897B78C0}">
  <dimension ref="A1:N65"/>
  <sheetViews>
    <sheetView zoomScale="84" zoomScaleNormal="84" workbookViewId="0">
      <pane xSplit="1" ySplit="2" topLeftCell="B33" activePane="bottomRight" state="frozen"/>
      <selection activeCell="J41" sqref="J41"/>
      <selection pane="topRight" activeCell="J41" sqref="J41"/>
      <selection pane="bottomLeft" activeCell="J41" sqref="J41"/>
      <selection pane="bottomRight" activeCell="B2" sqref="B2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358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1722</v>
      </c>
      <c r="C3" s="5">
        <v>2046</v>
      </c>
      <c r="D3" s="5">
        <v>2429</v>
      </c>
      <c r="E3" s="5">
        <v>2550</v>
      </c>
      <c r="F3" s="5">
        <v>2769</v>
      </c>
      <c r="G3" s="5">
        <v>2927</v>
      </c>
      <c r="H3" s="5">
        <v>2395</v>
      </c>
      <c r="I3" s="5">
        <v>3290</v>
      </c>
      <c r="J3" s="5">
        <v>3450</v>
      </c>
      <c r="K3" s="5">
        <v>0</v>
      </c>
      <c r="L3" s="5">
        <v>1555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1188</v>
      </c>
      <c r="I4" s="5">
        <v>0</v>
      </c>
      <c r="J4" s="5">
        <v>0</v>
      </c>
      <c r="K4" s="5">
        <v>0</v>
      </c>
      <c r="L4" s="5">
        <v>1207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34</v>
      </c>
    </row>
    <row r="6" spans="1:14" x14ac:dyDescent="0.35">
      <c r="A6" s="4" t="s">
        <v>215</v>
      </c>
      <c r="B6" s="5">
        <v>3737</v>
      </c>
      <c r="C6" s="5">
        <v>3963</v>
      </c>
      <c r="D6" s="5">
        <v>4125</v>
      </c>
      <c r="E6" s="5">
        <v>4261</v>
      </c>
      <c r="F6" s="5">
        <v>4134</v>
      </c>
      <c r="G6" s="5">
        <v>4445</v>
      </c>
      <c r="H6" s="5">
        <v>4986</v>
      </c>
      <c r="I6" s="5">
        <v>0</v>
      </c>
      <c r="J6" s="5">
        <v>0</v>
      </c>
      <c r="K6" s="5">
        <v>0</v>
      </c>
      <c r="L6" s="5">
        <v>3900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301</v>
      </c>
      <c r="C8" s="5">
        <v>351</v>
      </c>
      <c r="D8" s="5">
        <v>366</v>
      </c>
      <c r="E8" s="5">
        <v>380</v>
      </c>
      <c r="F8" s="5">
        <v>385</v>
      </c>
      <c r="G8" s="5">
        <v>401</v>
      </c>
      <c r="H8" s="5">
        <v>466</v>
      </c>
      <c r="I8" s="5">
        <v>351</v>
      </c>
      <c r="J8" s="5">
        <v>0</v>
      </c>
      <c r="K8" s="5">
        <v>0</v>
      </c>
      <c r="L8" s="5">
        <v>0</v>
      </c>
    </row>
    <row r="9" spans="1:14" x14ac:dyDescent="0.35">
      <c r="A9" s="4" t="s">
        <v>218</v>
      </c>
      <c r="B9" s="5">
        <v>432</v>
      </c>
      <c r="C9" s="5">
        <v>460</v>
      </c>
      <c r="D9" s="5">
        <v>494</v>
      </c>
      <c r="E9" s="5">
        <v>497</v>
      </c>
      <c r="F9" s="5">
        <v>514</v>
      </c>
      <c r="G9" s="5">
        <v>531</v>
      </c>
      <c r="H9" s="5">
        <v>748</v>
      </c>
      <c r="I9" s="5">
        <v>0</v>
      </c>
      <c r="J9" s="5">
        <v>0</v>
      </c>
      <c r="K9" s="5">
        <v>0</v>
      </c>
      <c r="L9" s="5">
        <v>35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293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27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27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180</v>
      </c>
      <c r="I14" s="5">
        <v>0</v>
      </c>
      <c r="J14" s="5">
        <v>163</v>
      </c>
      <c r="K14" s="5">
        <v>0</v>
      </c>
      <c r="L14" s="5">
        <v>916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78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15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26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25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224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291</v>
      </c>
      <c r="I30" s="5">
        <v>0</v>
      </c>
      <c r="J30" s="5">
        <v>0</v>
      </c>
      <c r="K30" s="5">
        <v>0</v>
      </c>
      <c r="L30" s="5">
        <v>270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378</v>
      </c>
    </row>
    <row r="33" spans="1:12" x14ac:dyDescent="0.35">
      <c r="A33" s="4" t="s">
        <v>242</v>
      </c>
      <c r="B33" s="5">
        <v>1722</v>
      </c>
      <c r="C33" s="5">
        <v>2046</v>
      </c>
      <c r="D33" s="5">
        <v>2429</v>
      </c>
      <c r="E33" s="5">
        <v>2550</v>
      </c>
      <c r="F33" s="5">
        <v>2769</v>
      </c>
      <c r="G33" s="5">
        <v>2927</v>
      </c>
      <c r="H33" s="5">
        <v>0</v>
      </c>
      <c r="I33" s="5">
        <v>3290</v>
      </c>
      <c r="J33" s="5">
        <v>3450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3737</v>
      </c>
      <c r="C38" s="5">
        <v>3963</v>
      </c>
      <c r="D38" s="5">
        <v>4125</v>
      </c>
      <c r="E38" s="5">
        <v>4261</v>
      </c>
      <c r="F38" s="5">
        <v>4134</v>
      </c>
      <c r="G38" s="5">
        <v>4445</v>
      </c>
      <c r="H38" s="5">
        <v>4986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185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3715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14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30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6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314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61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16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1207</v>
      </c>
      <c r="I59" s="5">
        <v>0</v>
      </c>
      <c r="J59" s="5">
        <v>0</v>
      </c>
      <c r="K59" s="5">
        <v>0</v>
      </c>
      <c r="L59" s="5">
        <v>348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140</v>
      </c>
      <c r="K60" s="5">
        <v>0</v>
      </c>
      <c r="L60" s="5">
        <v>25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11651</v>
      </c>
      <c r="C63" s="36">
        <f t="shared" ref="C63:L63" si="0">SUM(C3:C62)</f>
        <v>12829</v>
      </c>
      <c r="D63" s="36">
        <f t="shared" si="0"/>
        <v>13968</v>
      </c>
      <c r="E63" s="36">
        <f t="shared" si="0"/>
        <v>14499</v>
      </c>
      <c r="F63" s="36">
        <f t="shared" si="0"/>
        <v>14705</v>
      </c>
      <c r="G63" s="36">
        <f t="shared" si="0"/>
        <v>15676</v>
      </c>
      <c r="H63" s="36">
        <f t="shared" si="0"/>
        <v>16447</v>
      </c>
      <c r="I63" s="36">
        <f t="shared" si="0"/>
        <v>6946</v>
      </c>
      <c r="J63" s="36">
        <f t="shared" si="0"/>
        <v>7264</v>
      </c>
      <c r="K63" s="36">
        <f t="shared" si="0"/>
        <v>0</v>
      </c>
      <c r="L63" s="36">
        <f t="shared" si="0"/>
        <v>13648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16273.7</v>
      </c>
      <c r="C65" s="15">
        <v>15623.3</v>
      </c>
      <c r="D65" s="15">
        <v>15026.4</v>
      </c>
      <c r="E65" s="15">
        <v>14693.7</v>
      </c>
      <c r="F65" s="15">
        <v>14486.7</v>
      </c>
      <c r="G65" s="15">
        <v>14729.3</v>
      </c>
      <c r="H65" s="15">
        <v>14714</v>
      </c>
      <c r="I65" s="15">
        <v>14477.1</v>
      </c>
      <c r="J65" s="15">
        <v>14492.6</v>
      </c>
      <c r="K65" s="15">
        <v>14565.6</v>
      </c>
      <c r="L65" s="15">
        <v>14474.3</v>
      </c>
    </row>
  </sheetData>
  <hyperlinks>
    <hyperlink ref="N2" location="Home!A1" display="HOME" xr:uid="{6A4E9B9E-2F49-4B95-BA68-AB368566C39F}"/>
  </hyperlink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ACE7-8631-46E4-8CCB-EA038538211B}">
  <dimension ref="A1:N65"/>
  <sheetViews>
    <sheetView zoomScale="84" zoomScaleNormal="84" workbookViewId="0">
      <pane xSplit="1" ySplit="2" topLeftCell="B18" activePane="bottomRight" state="frozen"/>
      <selection activeCell="J41" sqref="J41"/>
      <selection pane="topRight" activeCell="J41" sqref="J41"/>
      <selection pane="bottomLeft" activeCell="J41" sqref="J41"/>
      <selection pane="bottomRight" activeCell="B52" sqref="B52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359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1358</v>
      </c>
      <c r="C3" s="5">
        <v>1452</v>
      </c>
      <c r="D3" s="5">
        <v>0</v>
      </c>
      <c r="E3" s="5">
        <v>0</v>
      </c>
      <c r="F3" s="5">
        <v>0</v>
      </c>
      <c r="G3" s="5">
        <v>2180</v>
      </c>
      <c r="H3" s="5">
        <v>2473</v>
      </c>
      <c r="I3" s="5">
        <v>2570</v>
      </c>
      <c r="J3" s="5">
        <v>2573</v>
      </c>
      <c r="K3" s="5">
        <v>2611</v>
      </c>
      <c r="L3" s="5">
        <v>2689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1555</v>
      </c>
      <c r="H4" s="5">
        <v>1695</v>
      </c>
      <c r="I4" s="5">
        <v>1715</v>
      </c>
      <c r="J4" s="5">
        <v>1655</v>
      </c>
      <c r="K4" s="5">
        <v>1807</v>
      </c>
      <c r="L4" s="5">
        <v>1933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445</v>
      </c>
      <c r="L5" s="5">
        <v>0</v>
      </c>
    </row>
    <row r="6" spans="1:14" x14ac:dyDescent="0.35">
      <c r="A6" s="4" t="s">
        <v>215</v>
      </c>
      <c r="B6" s="5">
        <v>5826</v>
      </c>
      <c r="C6" s="5">
        <v>6432</v>
      </c>
      <c r="D6" s="5">
        <v>6348</v>
      </c>
      <c r="E6" s="5">
        <v>6927</v>
      </c>
      <c r="F6" s="5">
        <v>7660</v>
      </c>
      <c r="G6" s="5">
        <v>7961</v>
      </c>
      <c r="H6" s="5">
        <v>8153</v>
      </c>
      <c r="I6" s="5">
        <v>8179</v>
      </c>
      <c r="J6" s="5">
        <v>8831</v>
      </c>
      <c r="K6" s="5">
        <v>10928</v>
      </c>
      <c r="L6" s="5">
        <v>9775</v>
      </c>
    </row>
    <row r="7" spans="1:14" x14ac:dyDescent="0.35">
      <c r="A7" s="4" t="s">
        <v>216</v>
      </c>
      <c r="B7" s="5">
        <v>4261</v>
      </c>
      <c r="C7" s="5">
        <v>4265</v>
      </c>
      <c r="D7" s="5">
        <v>4649</v>
      </c>
      <c r="E7" s="5">
        <v>5158</v>
      </c>
      <c r="F7" s="5">
        <v>5705</v>
      </c>
      <c r="G7" s="5">
        <v>5820</v>
      </c>
      <c r="H7" s="5">
        <v>6021</v>
      </c>
      <c r="I7" s="5">
        <v>6175</v>
      </c>
      <c r="J7" s="5">
        <v>6324</v>
      </c>
      <c r="K7" s="5">
        <v>7278</v>
      </c>
      <c r="L7" s="5">
        <v>7120</v>
      </c>
    </row>
    <row r="8" spans="1:14" x14ac:dyDescent="0.35">
      <c r="A8" s="4" t="s">
        <v>217</v>
      </c>
      <c r="B8" s="5">
        <v>69</v>
      </c>
      <c r="C8" s="5">
        <v>136</v>
      </c>
      <c r="D8" s="5">
        <v>0</v>
      </c>
      <c r="E8" s="5">
        <v>189</v>
      </c>
      <c r="F8" s="5">
        <v>0</v>
      </c>
      <c r="G8" s="5">
        <v>217</v>
      </c>
      <c r="H8" s="5">
        <v>255</v>
      </c>
      <c r="I8" s="5">
        <v>288</v>
      </c>
      <c r="J8" s="5">
        <v>277</v>
      </c>
      <c r="K8" s="5">
        <v>355</v>
      </c>
      <c r="L8" s="5">
        <v>348</v>
      </c>
    </row>
    <row r="9" spans="1:14" x14ac:dyDescent="0.35">
      <c r="A9" s="4" t="s">
        <v>218</v>
      </c>
      <c r="B9" s="5">
        <v>72</v>
      </c>
      <c r="C9" s="5">
        <v>103</v>
      </c>
      <c r="D9" s="5">
        <v>0</v>
      </c>
      <c r="E9" s="5">
        <v>194</v>
      </c>
      <c r="F9" s="5">
        <v>0</v>
      </c>
      <c r="G9" s="5">
        <v>255</v>
      </c>
      <c r="H9" s="5">
        <v>305</v>
      </c>
      <c r="I9" s="5">
        <v>385</v>
      </c>
      <c r="J9" s="5">
        <v>423</v>
      </c>
      <c r="K9" s="5">
        <v>406</v>
      </c>
      <c r="L9" s="5">
        <v>498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7242</v>
      </c>
      <c r="H10" s="5">
        <v>7169</v>
      </c>
      <c r="I10" s="5">
        <v>9444</v>
      </c>
      <c r="J10" s="5">
        <v>9913</v>
      </c>
      <c r="K10" s="5">
        <v>11559</v>
      </c>
      <c r="L10" s="5">
        <v>10769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133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</v>
      </c>
      <c r="H12" s="5">
        <v>3</v>
      </c>
      <c r="I12" s="5">
        <v>2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1213</v>
      </c>
      <c r="C14" s="5">
        <v>1204</v>
      </c>
      <c r="D14" s="5">
        <v>0</v>
      </c>
      <c r="E14" s="5">
        <v>0</v>
      </c>
      <c r="F14" s="5">
        <v>0</v>
      </c>
      <c r="G14" s="5">
        <v>1991</v>
      </c>
      <c r="H14" s="5">
        <v>4787</v>
      </c>
      <c r="I14" s="5">
        <v>6632</v>
      </c>
      <c r="J14" s="5">
        <v>6696</v>
      </c>
      <c r="K14" s="5">
        <v>7329</v>
      </c>
      <c r="L14" s="5">
        <v>6992</v>
      </c>
    </row>
    <row r="15" spans="1:14" x14ac:dyDescent="0.35">
      <c r="A15" s="4" t="s">
        <v>224</v>
      </c>
      <c r="B15" s="5">
        <v>305</v>
      </c>
      <c r="C15" s="5">
        <v>238</v>
      </c>
      <c r="D15" s="5">
        <v>0</v>
      </c>
      <c r="E15" s="5">
        <v>45</v>
      </c>
      <c r="F15" s="5">
        <v>0</v>
      </c>
      <c r="G15" s="5">
        <v>319</v>
      </c>
      <c r="H15" s="5">
        <v>39</v>
      </c>
      <c r="I15" s="5">
        <v>305</v>
      </c>
      <c r="J15" s="5">
        <v>318</v>
      </c>
      <c r="K15" s="5">
        <v>340</v>
      </c>
      <c r="L15" s="5">
        <v>341</v>
      </c>
    </row>
    <row r="16" spans="1:14" x14ac:dyDescent="0.35">
      <c r="A16" s="4" t="s">
        <v>225</v>
      </c>
      <c r="B16" s="5">
        <v>33</v>
      </c>
      <c r="C16" s="5">
        <v>44</v>
      </c>
      <c r="D16" s="5">
        <v>0</v>
      </c>
      <c r="E16" s="5">
        <v>212</v>
      </c>
      <c r="F16" s="5">
        <v>0</v>
      </c>
      <c r="G16" s="5">
        <v>0</v>
      </c>
      <c r="H16" s="5">
        <v>276</v>
      </c>
      <c r="I16" s="5">
        <v>27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103</v>
      </c>
      <c r="H19" s="5">
        <v>0</v>
      </c>
      <c r="I19" s="5">
        <v>123</v>
      </c>
      <c r="J19" s="5">
        <v>128</v>
      </c>
      <c r="K19" s="5">
        <v>105</v>
      </c>
      <c r="L19" s="5">
        <v>120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68</v>
      </c>
      <c r="H22" s="5">
        <v>67</v>
      </c>
      <c r="I22" s="5">
        <v>66</v>
      </c>
      <c r="J22" s="5">
        <v>73</v>
      </c>
      <c r="K22" s="5">
        <v>57</v>
      </c>
      <c r="L22" s="5">
        <v>55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452</v>
      </c>
      <c r="H24" s="5">
        <v>0</v>
      </c>
      <c r="I24" s="5">
        <v>416</v>
      </c>
      <c r="J24" s="5">
        <v>169</v>
      </c>
      <c r="K24" s="5">
        <v>264</v>
      </c>
      <c r="L24" s="5">
        <v>302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267</v>
      </c>
      <c r="C26" s="5">
        <v>238</v>
      </c>
      <c r="D26" s="5">
        <v>0</v>
      </c>
      <c r="E26" s="5">
        <v>0</v>
      </c>
      <c r="F26" s="5">
        <v>0</v>
      </c>
      <c r="G26" s="5">
        <v>290</v>
      </c>
      <c r="H26" s="5">
        <v>0</v>
      </c>
      <c r="I26" s="5">
        <v>315</v>
      </c>
      <c r="J26" s="5">
        <v>301</v>
      </c>
      <c r="K26" s="5">
        <v>264</v>
      </c>
      <c r="L26" s="5">
        <v>276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2466</v>
      </c>
      <c r="H27" s="5">
        <v>0</v>
      </c>
      <c r="I27" s="5">
        <v>2789</v>
      </c>
      <c r="J27" s="5">
        <v>2954</v>
      </c>
      <c r="K27" s="5">
        <v>3318</v>
      </c>
      <c r="L27" s="5">
        <v>3337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1425</v>
      </c>
      <c r="C29" s="5">
        <v>1465</v>
      </c>
      <c r="D29" s="5">
        <v>0</v>
      </c>
      <c r="E29" s="5">
        <v>0</v>
      </c>
      <c r="F29" s="5">
        <v>0</v>
      </c>
      <c r="G29" s="5">
        <v>1958</v>
      </c>
      <c r="H29" s="5">
        <v>0</v>
      </c>
      <c r="I29" s="5">
        <v>0</v>
      </c>
      <c r="J29" s="5">
        <v>0</v>
      </c>
      <c r="K29" s="5">
        <v>301</v>
      </c>
      <c r="L29" s="5">
        <v>2040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2055</v>
      </c>
      <c r="J30" s="5">
        <v>2041</v>
      </c>
      <c r="K30" s="5">
        <v>1912</v>
      </c>
      <c r="L30" s="5">
        <v>335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29</v>
      </c>
      <c r="H31" s="5">
        <v>28</v>
      </c>
      <c r="I31" s="5">
        <v>27</v>
      </c>
      <c r="J31" s="5">
        <v>0</v>
      </c>
      <c r="K31" s="5">
        <v>0</v>
      </c>
      <c r="L31" s="5">
        <v>72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172</v>
      </c>
    </row>
    <row r="33" spans="1:12" x14ac:dyDescent="0.35">
      <c r="A33" s="4" t="s">
        <v>242</v>
      </c>
      <c r="B33" s="5">
        <v>1358</v>
      </c>
      <c r="C33" s="5">
        <v>1452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720</v>
      </c>
      <c r="D35" s="5">
        <v>0</v>
      </c>
      <c r="E35" s="5">
        <v>0</v>
      </c>
      <c r="F35" s="5">
        <v>557</v>
      </c>
      <c r="G35" s="5">
        <v>436</v>
      </c>
      <c r="H35" s="5">
        <v>0</v>
      </c>
      <c r="I35" s="5">
        <v>286</v>
      </c>
      <c r="J35" s="5">
        <v>1275</v>
      </c>
      <c r="K35" s="5">
        <v>7236</v>
      </c>
      <c r="L35" s="5">
        <v>7082</v>
      </c>
    </row>
    <row r="36" spans="1:12" x14ac:dyDescent="0.35">
      <c r="A36" s="4" t="s">
        <v>245</v>
      </c>
      <c r="B36" s="5">
        <v>0</v>
      </c>
      <c r="C36" s="5">
        <v>3545</v>
      </c>
      <c r="D36" s="5">
        <v>0</v>
      </c>
      <c r="E36" s="5">
        <v>0</v>
      </c>
      <c r="F36" s="5">
        <v>5148</v>
      </c>
      <c r="G36" s="5">
        <v>5384</v>
      </c>
      <c r="H36" s="5">
        <v>6021</v>
      </c>
      <c r="I36" s="5">
        <v>5889</v>
      </c>
      <c r="J36" s="5">
        <v>5049</v>
      </c>
      <c r="K36" s="5">
        <v>42</v>
      </c>
      <c r="L36" s="5">
        <v>38</v>
      </c>
    </row>
    <row r="37" spans="1:12" x14ac:dyDescent="0.35">
      <c r="A37" s="4" t="s">
        <v>246</v>
      </c>
      <c r="B37" s="5">
        <v>4261</v>
      </c>
      <c r="C37" s="5">
        <v>0</v>
      </c>
      <c r="D37" s="5">
        <v>4649</v>
      </c>
      <c r="E37" s="5">
        <v>5158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5826</v>
      </c>
      <c r="C38" s="5">
        <v>6432</v>
      </c>
      <c r="D38" s="5">
        <v>6348</v>
      </c>
      <c r="E38" s="5">
        <v>6927</v>
      </c>
      <c r="F38" s="5">
        <v>7660</v>
      </c>
      <c r="G38" s="5">
        <v>7961</v>
      </c>
      <c r="H38" s="5">
        <v>8153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377</v>
      </c>
      <c r="J39" s="5">
        <v>1616</v>
      </c>
      <c r="K39" s="5">
        <v>8781</v>
      </c>
      <c r="L39" s="5">
        <v>7983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7802</v>
      </c>
      <c r="J40" s="5">
        <v>7215</v>
      </c>
      <c r="K40" s="5">
        <v>2147</v>
      </c>
      <c r="L40" s="5">
        <v>1792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211</v>
      </c>
      <c r="H43" s="5">
        <v>620</v>
      </c>
      <c r="I43" s="5">
        <v>745</v>
      </c>
      <c r="J43" s="5">
        <v>870</v>
      </c>
      <c r="K43" s="5">
        <v>1172</v>
      </c>
      <c r="L43" s="5">
        <v>1344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57</v>
      </c>
      <c r="G44" s="5">
        <v>57</v>
      </c>
      <c r="H44" s="5">
        <v>49</v>
      </c>
      <c r="I44" s="5">
        <v>76</v>
      </c>
      <c r="J44" s="5">
        <v>76</v>
      </c>
      <c r="K44" s="5">
        <v>63</v>
      </c>
      <c r="L44" s="5">
        <v>58</v>
      </c>
    </row>
    <row r="45" spans="1:12" x14ac:dyDescent="0.35">
      <c r="A45" s="4" t="s">
        <v>252</v>
      </c>
      <c r="B45" s="5">
        <v>76</v>
      </c>
      <c r="C45" s="5">
        <v>115</v>
      </c>
      <c r="D45" s="5">
        <v>0</v>
      </c>
      <c r="E45" s="5">
        <v>0</v>
      </c>
      <c r="F45" s="5">
        <v>0</v>
      </c>
      <c r="G45" s="5">
        <v>147</v>
      </c>
      <c r="H45" s="5">
        <v>150</v>
      </c>
      <c r="I45" s="5">
        <v>165</v>
      </c>
      <c r="J45" s="5">
        <v>156</v>
      </c>
      <c r="K45" s="5">
        <v>151</v>
      </c>
      <c r="L45" s="5">
        <v>154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38</v>
      </c>
      <c r="F46" s="5">
        <v>0</v>
      </c>
      <c r="G46" s="5">
        <v>424</v>
      </c>
      <c r="H46" s="5">
        <v>0</v>
      </c>
      <c r="I46" s="5">
        <v>605</v>
      </c>
      <c r="J46" s="5">
        <v>636</v>
      </c>
      <c r="K46" s="5">
        <v>0</v>
      </c>
      <c r="L46" s="5">
        <v>525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34992</v>
      </c>
      <c r="H47" s="5">
        <v>0</v>
      </c>
      <c r="I47" s="5">
        <v>399</v>
      </c>
      <c r="J47" s="5">
        <v>8308</v>
      </c>
      <c r="K47" s="5">
        <v>3530</v>
      </c>
      <c r="L47" s="5">
        <v>696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26735</v>
      </c>
      <c r="H48" s="5">
        <v>0</v>
      </c>
      <c r="I48" s="5">
        <v>16937</v>
      </c>
      <c r="J48" s="5">
        <v>14416</v>
      </c>
      <c r="K48" s="5">
        <v>10717</v>
      </c>
      <c r="L48" s="5">
        <v>12261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6281</v>
      </c>
      <c r="H49" s="5">
        <v>0</v>
      </c>
      <c r="I49" s="5">
        <v>6665</v>
      </c>
      <c r="J49" s="5">
        <v>0</v>
      </c>
      <c r="K49" s="5">
        <v>0</v>
      </c>
      <c r="L49" s="5">
        <v>6873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1390</v>
      </c>
      <c r="C52" s="5">
        <v>1388</v>
      </c>
      <c r="D52" s="5">
        <v>0</v>
      </c>
      <c r="E52" s="5">
        <v>0</v>
      </c>
      <c r="F52" s="5">
        <v>0</v>
      </c>
      <c r="G52" s="5">
        <v>2055</v>
      </c>
      <c r="H52" s="5">
        <v>1887</v>
      </c>
      <c r="I52" s="5">
        <v>2261</v>
      </c>
      <c r="J52" s="5">
        <v>2358</v>
      </c>
      <c r="K52" s="5">
        <v>3039</v>
      </c>
      <c r="L52" s="5">
        <v>3299</v>
      </c>
    </row>
    <row r="53" spans="1:12" x14ac:dyDescent="0.35">
      <c r="A53" s="4" t="s">
        <v>260</v>
      </c>
      <c r="B53" s="5">
        <v>281</v>
      </c>
      <c r="C53" s="5">
        <v>287</v>
      </c>
      <c r="D53" s="5">
        <v>0</v>
      </c>
      <c r="E53" s="5">
        <v>0</v>
      </c>
      <c r="F53" s="5">
        <v>0</v>
      </c>
      <c r="G53" s="5">
        <v>52</v>
      </c>
      <c r="H53" s="5">
        <v>78</v>
      </c>
      <c r="I53" s="5">
        <v>93</v>
      </c>
      <c r="J53" s="5">
        <v>108</v>
      </c>
      <c r="K53" s="5">
        <v>123</v>
      </c>
      <c r="L53" s="5">
        <v>114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325</v>
      </c>
      <c r="H54" s="5">
        <v>284</v>
      </c>
      <c r="I54" s="5">
        <v>302</v>
      </c>
      <c r="J54" s="5">
        <v>336</v>
      </c>
      <c r="K54" s="5">
        <v>412</v>
      </c>
      <c r="L54" s="5">
        <v>383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17</v>
      </c>
      <c r="H55" s="5">
        <v>17</v>
      </c>
      <c r="I55" s="5">
        <v>11</v>
      </c>
      <c r="J55" s="5">
        <v>17</v>
      </c>
      <c r="K55" s="5">
        <v>11</v>
      </c>
      <c r="L55" s="5">
        <v>11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219</v>
      </c>
      <c r="H56" s="5">
        <v>608</v>
      </c>
      <c r="I56" s="5">
        <v>393</v>
      </c>
      <c r="J56" s="5">
        <v>530</v>
      </c>
      <c r="K56" s="5">
        <v>610</v>
      </c>
      <c r="L56" s="5">
        <v>655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8</v>
      </c>
      <c r="H57" s="5">
        <v>0</v>
      </c>
      <c r="I57" s="5">
        <v>8</v>
      </c>
      <c r="J57" s="5">
        <v>400</v>
      </c>
      <c r="K57" s="5">
        <v>399</v>
      </c>
      <c r="L57" s="5">
        <v>232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279</v>
      </c>
      <c r="H58" s="5">
        <v>338</v>
      </c>
      <c r="I58" s="5">
        <v>414</v>
      </c>
      <c r="J58" s="5">
        <v>154</v>
      </c>
      <c r="K58" s="5">
        <v>153</v>
      </c>
      <c r="L58" s="5">
        <v>110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625</v>
      </c>
      <c r="H59" s="5">
        <v>778</v>
      </c>
      <c r="I59" s="5">
        <v>855</v>
      </c>
      <c r="J59" s="5">
        <v>918</v>
      </c>
      <c r="K59" s="5">
        <v>804</v>
      </c>
      <c r="L59" s="5">
        <v>756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59</v>
      </c>
      <c r="H60" s="5">
        <v>68</v>
      </c>
      <c r="I60" s="5">
        <v>95</v>
      </c>
      <c r="J60" s="5">
        <v>116</v>
      </c>
      <c r="K60" s="5">
        <v>218</v>
      </c>
      <c r="L60" s="5">
        <v>113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99939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3</v>
      </c>
    </row>
    <row r="63" spans="1:12" x14ac:dyDescent="0.35">
      <c r="A63" s="38" t="s">
        <v>317</v>
      </c>
      <c r="B63" s="36">
        <f>SUM(B3:B62)</f>
        <v>28021</v>
      </c>
      <c r="C63" s="36">
        <f t="shared" ref="C63:L63" si="0">SUM(C3:C62)</f>
        <v>29516</v>
      </c>
      <c r="D63" s="36">
        <f t="shared" si="0"/>
        <v>21994</v>
      </c>
      <c r="E63" s="36">
        <f t="shared" si="0"/>
        <v>24848</v>
      </c>
      <c r="F63" s="36">
        <f t="shared" si="0"/>
        <v>26787</v>
      </c>
      <c r="G63" s="36">
        <f t="shared" si="0"/>
        <v>119175</v>
      </c>
      <c r="H63" s="36">
        <f t="shared" si="0"/>
        <v>50322</v>
      </c>
      <c r="I63" s="36">
        <f t="shared" si="0"/>
        <v>85891</v>
      </c>
      <c r="J63" s="36">
        <f t="shared" si="0"/>
        <v>87230</v>
      </c>
      <c r="K63" s="36">
        <f t="shared" si="0"/>
        <v>88887</v>
      </c>
      <c r="L63" s="36">
        <f t="shared" si="0"/>
        <v>191728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970830.3</v>
      </c>
      <c r="C65" s="15">
        <v>989682.3</v>
      </c>
      <c r="D65" s="15">
        <v>999254.5</v>
      </c>
      <c r="E65" s="15">
        <v>1009693.4</v>
      </c>
      <c r="F65" s="15">
        <v>1032089.1</v>
      </c>
      <c r="G65" s="15">
        <v>1056956</v>
      </c>
      <c r="H65" s="15">
        <v>1081131.1000000001</v>
      </c>
      <c r="I65" s="15">
        <v>1103037.8</v>
      </c>
      <c r="J65" s="15">
        <v>1124965.3999999999</v>
      </c>
      <c r="K65" s="15">
        <v>1147375.7</v>
      </c>
      <c r="L65" s="15">
        <v>1166744.6000000001</v>
      </c>
    </row>
  </sheetData>
  <hyperlinks>
    <hyperlink ref="N2" location="Home!A1" display="HOME" xr:uid="{5DFA603C-BF4C-4429-A953-BEDCD6A7247E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CAC3-0A2C-42DA-BBF6-688077C90DC9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C63" sqref="C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360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1421</v>
      </c>
      <c r="H3" s="5">
        <v>806</v>
      </c>
      <c r="I3" s="5">
        <v>900</v>
      </c>
      <c r="J3" s="5">
        <v>1036</v>
      </c>
      <c r="K3" s="5">
        <v>1181</v>
      </c>
      <c r="L3" s="5">
        <v>1394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806</v>
      </c>
      <c r="I4" s="5">
        <v>900</v>
      </c>
      <c r="J4" s="5">
        <v>1036</v>
      </c>
      <c r="K4" s="5">
        <v>1181</v>
      </c>
      <c r="L4" s="5">
        <v>1336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4110</v>
      </c>
      <c r="D6" s="5">
        <v>4212</v>
      </c>
      <c r="E6" s="5">
        <v>4365</v>
      </c>
      <c r="F6" s="5">
        <v>4816</v>
      </c>
      <c r="G6" s="5">
        <v>4853</v>
      </c>
      <c r="H6" s="5">
        <v>5307</v>
      </c>
      <c r="I6" s="5">
        <v>5903</v>
      </c>
      <c r="J6" s="5">
        <v>6440</v>
      </c>
      <c r="K6" s="5">
        <v>7166</v>
      </c>
      <c r="L6" s="5">
        <v>8605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5</v>
      </c>
      <c r="I7" s="5">
        <v>5</v>
      </c>
      <c r="J7" s="5">
        <v>5</v>
      </c>
      <c r="K7" s="5">
        <v>6</v>
      </c>
      <c r="L7" s="5">
        <v>7</v>
      </c>
    </row>
    <row r="8" spans="1:14" x14ac:dyDescent="0.35">
      <c r="A8" s="4" t="s">
        <v>217</v>
      </c>
      <c r="B8" s="5">
        <v>0</v>
      </c>
      <c r="C8" s="5">
        <v>0</v>
      </c>
      <c r="D8" s="5">
        <v>68</v>
      </c>
      <c r="E8" s="5">
        <v>0</v>
      </c>
      <c r="F8" s="5">
        <v>0</v>
      </c>
      <c r="G8" s="5">
        <v>0</v>
      </c>
      <c r="H8" s="5">
        <v>87</v>
      </c>
      <c r="I8" s="5">
        <v>117</v>
      </c>
      <c r="J8" s="5">
        <v>138</v>
      </c>
      <c r="K8" s="5">
        <v>161</v>
      </c>
      <c r="L8" s="5">
        <v>207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464</v>
      </c>
      <c r="I9" s="5">
        <v>514</v>
      </c>
      <c r="J9" s="5">
        <v>546</v>
      </c>
      <c r="K9" s="5">
        <v>603</v>
      </c>
      <c r="L9" s="5">
        <v>655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4865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2292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41</v>
      </c>
      <c r="I15" s="5">
        <v>43</v>
      </c>
      <c r="J15" s="5">
        <v>43</v>
      </c>
      <c r="K15" s="5">
        <v>48</v>
      </c>
      <c r="L15" s="5">
        <v>49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137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25</v>
      </c>
      <c r="I17" s="5">
        <v>29</v>
      </c>
      <c r="J17" s="5">
        <v>32</v>
      </c>
      <c r="K17" s="5">
        <v>35</v>
      </c>
      <c r="L17" s="5">
        <v>44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134</v>
      </c>
      <c r="I21" s="5">
        <v>148</v>
      </c>
      <c r="J21" s="5">
        <v>177</v>
      </c>
      <c r="K21" s="5">
        <v>209</v>
      </c>
      <c r="L21" s="5">
        <v>245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17</v>
      </c>
      <c r="I22" s="5">
        <v>19</v>
      </c>
      <c r="J22" s="5">
        <v>28</v>
      </c>
      <c r="K22" s="5">
        <v>34</v>
      </c>
      <c r="L22" s="5">
        <v>44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889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291</v>
      </c>
      <c r="J26" s="5">
        <v>0</v>
      </c>
      <c r="K26" s="5">
        <v>0</v>
      </c>
      <c r="L26" s="5">
        <v>289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51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3</v>
      </c>
      <c r="I28" s="5">
        <v>3</v>
      </c>
      <c r="J28" s="5">
        <v>3</v>
      </c>
      <c r="K28" s="5">
        <v>3</v>
      </c>
      <c r="L28" s="5">
        <v>5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140</v>
      </c>
      <c r="I29" s="5">
        <v>0</v>
      </c>
      <c r="J29" s="5">
        <v>99</v>
      </c>
      <c r="K29" s="5">
        <v>99</v>
      </c>
      <c r="L29" s="5">
        <v>1065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503</v>
      </c>
      <c r="J30" s="5">
        <v>99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1421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5</v>
      </c>
      <c r="I36" s="5">
        <v>5</v>
      </c>
      <c r="J36" s="5">
        <v>5</v>
      </c>
      <c r="K36" s="5">
        <v>6</v>
      </c>
      <c r="L36" s="5">
        <v>7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2068</v>
      </c>
      <c r="D39" s="5">
        <v>2118</v>
      </c>
      <c r="E39" s="5">
        <v>2189</v>
      </c>
      <c r="F39" s="5">
        <v>2458</v>
      </c>
      <c r="G39" s="5">
        <v>2539</v>
      </c>
      <c r="H39" s="5">
        <v>44</v>
      </c>
      <c r="I39" s="5">
        <v>44</v>
      </c>
      <c r="J39" s="5">
        <v>44</v>
      </c>
      <c r="K39" s="5">
        <v>45</v>
      </c>
      <c r="L39" s="5">
        <v>45</v>
      </c>
    </row>
    <row r="40" spans="1:12" x14ac:dyDescent="0.35">
      <c r="A40" s="4" t="s">
        <v>249</v>
      </c>
      <c r="B40" s="5">
        <v>0</v>
      </c>
      <c r="C40" s="5">
        <v>2042</v>
      </c>
      <c r="D40" s="5">
        <v>2094</v>
      </c>
      <c r="E40" s="5">
        <v>2176</v>
      </c>
      <c r="F40" s="5">
        <v>2358</v>
      </c>
      <c r="G40" s="5">
        <v>2314</v>
      </c>
      <c r="H40" s="5">
        <v>5263</v>
      </c>
      <c r="I40" s="5">
        <v>5859</v>
      </c>
      <c r="J40" s="5">
        <v>6396</v>
      </c>
      <c r="K40" s="5">
        <v>7121</v>
      </c>
      <c r="L40" s="5">
        <v>8560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30</v>
      </c>
      <c r="D44" s="5">
        <v>0</v>
      </c>
      <c r="E44" s="5">
        <v>0</v>
      </c>
      <c r="F44" s="5">
        <v>0</v>
      </c>
      <c r="G44" s="5">
        <v>0</v>
      </c>
      <c r="H44" s="5">
        <v>35</v>
      </c>
      <c r="I44" s="5">
        <v>39</v>
      </c>
      <c r="J44" s="5">
        <v>46</v>
      </c>
      <c r="K44" s="5">
        <v>56</v>
      </c>
      <c r="L44" s="5">
        <v>65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84</v>
      </c>
      <c r="I45" s="5">
        <v>99</v>
      </c>
      <c r="J45" s="5">
        <v>95</v>
      </c>
      <c r="K45" s="5">
        <v>99</v>
      </c>
      <c r="L45" s="5">
        <v>107</v>
      </c>
    </row>
    <row r="46" spans="1:12" x14ac:dyDescent="0.35">
      <c r="A46" s="4" t="s">
        <v>253</v>
      </c>
      <c r="B46" s="5">
        <v>0</v>
      </c>
      <c r="C46" s="5">
        <v>0</v>
      </c>
      <c r="D46" s="5">
        <v>24</v>
      </c>
      <c r="E46" s="5">
        <v>0</v>
      </c>
      <c r="F46" s="5">
        <v>0</v>
      </c>
      <c r="G46" s="5">
        <v>0</v>
      </c>
      <c r="H46" s="5">
        <v>27</v>
      </c>
      <c r="I46" s="5">
        <v>32</v>
      </c>
      <c r="J46" s="5">
        <v>37</v>
      </c>
      <c r="K46" s="5">
        <v>47</v>
      </c>
      <c r="L46" s="5">
        <v>57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52</v>
      </c>
      <c r="I49" s="5">
        <v>53</v>
      </c>
      <c r="J49" s="5">
        <v>54</v>
      </c>
      <c r="K49" s="5">
        <v>63</v>
      </c>
      <c r="L49" s="5">
        <v>82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226</v>
      </c>
      <c r="I52" s="5">
        <v>300</v>
      </c>
      <c r="J52" s="5">
        <v>338</v>
      </c>
      <c r="K52" s="5">
        <v>372</v>
      </c>
      <c r="L52" s="5">
        <v>402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118</v>
      </c>
      <c r="I53" s="5">
        <v>123</v>
      </c>
      <c r="J53" s="5">
        <v>134</v>
      </c>
      <c r="K53" s="5">
        <v>140</v>
      </c>
      <c r="L53" s="5">
        <v>144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58</v>
      </c>
    </row>
    <row r="60" spans="1:12" x14ac:dyDescent="0.35">
      <c r="A60" s="4" t="s">
        <v>267</v>
      </c>
      <c r="B60" s="5">
        <v>0</v>
      </c>
      <c r="C60" s="5">
        <v>83</v>
      </c>
      <c r="D60" s="5">
        <v>0</v>
      </c>
      <c r="E60" s="5">
        <v>0</v>
      </c>
      <c r="F60" s="5">
        <v>0</v>
      </c>
      <c r="G60" s="5">
        <v>0</v>
      </c>
      <c r="H60" s="5">
        <v>35</v>
      </c>
      <c r="I60" s="5">
        <v>41</v>
      </c>
      <c r="J60" s="5">
        <v>47</v>
      </c>
      <c r="K60" s="5">
        <v>50</v>
      </c>
      <c r="L60" s="5">
        <v>58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8333</v>
      </c>
      <c r="D63" s="36">
        <f t="shared" si="0"/>
        <v>8516</v>
      </c>
      <c r="E63" s="36">
        <f t="shared" si="0"/>
        <v>8730</v>
      </c>
      <c r="F63" s="36">
        <f t="shared" si="0"/>
        <v>9632</v>
      </c>
      <c r="G63" s="36">
        <f t="shared" si="0"/>
        <v>12548</v>
      </c>
      <c r="H63" s="36">
        <f t="shared" si="0"/>
        <v>16016</v>
      </c>
      <c r="I63" s="36">
        <f t="shared" si="0"/>
        <v>16107</v>
      </c>
      <c r="J63" s="36">
        <f t="shared" si="0"/>
        <v>16878</v>
      </c>
      <c r="K63" s="36">
        <f t="shared" si="0"/>
        <v>18725</v>
      </c>
      <c r="L63" s="36">
        <f t="shared" si="0"/>
        <v>29335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66722.8</v>
      </c>
      <c r="C65" s="15">
        <v>67950.7</v>
      </c>
      <c r="D65" s="15">
        <v>68792.399999999994</v>
      </c>
      <c r="E65" s="15">
        <v>69483.399999999994</v>
      </c>
      <c r="F65" s="15">
        <v>69993.600000000006</v>
      </c>
      <c r="G65" s="15">
        <v>70261.600000000006</v>
      </c>
      <c r="H65" s="15">
        <v>70319.7</v>
      </c>
      <c r="I65" s="15">
        <v>70307.7</v>
      </c>
      <c r="J65" s="15">
        <v>70199.3</v>
      </c>
      <c r="K65" s="15">
        <v>70214.399999999994</v>
      </c>
      <c r="L65" s="15">
        <v>70063.5</v>
      </c>
    </row>
  </sheetData>
  <hyperlinks>
    <hyperlink ref="N2" location="Home!A1" display="HOME" xr:uid="{C12B7482-55AD-40C1-9044-5F6422DB8B08}"/>
  </hyperlink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49EC-37E8-436A-B54C-BA48E91E18BA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361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952</v>
      </c>
      <c r="C3" s="5">
        <v>946</v>
      </c>
      <c r="D3" s="5">
        <v>523</v>
      </c>
      <c r="E3" s="5">
        <v>634</v>
      </c>
      <c r="F3" s="5">
        <v>681</v>
      </c>
      <c r="G3" s="5">
        <v>472</v>
      </c>
      <c r="H3" s="5">
        <v>818</v>
      </c>
      <c r="I3" s="5">
        <v>888</v>
      </c>
      <c r="J3" s="5">
        <v>835</v>
      </c>
      <c r="K3" s="5">
        <v>0</v>
      </c>
      <c r="L3" s="5">
        <v>614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316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3289</v>
      </c>
      <c r="D6" s="5">
        <v>4940</v>
      </c>
      <c r="E6" s="5">
        <v>3253</v>
      </c>
      <c r="F6" s="5">
        <v>4746</v>
      </c>
      <c r="G6" s="5">
        <v>0</v>
      </c>
      <c r="H6" s="5">
        <v>4107</v>
      </c>
      <c r="I6" s="5">
        <v>0</v>
      </c>
      <c r="J6" s="5">
        <v>0</v>
      </c>
      <c r="K6" s="5">
        <v>0</v>
      </c>
      <c r="L6" s="5">
        <v>4565</v>
      </c>
    </row>
    <row r="7" spans="1:14" x14ac:dyDescent="0.35">
      <c r="A7" s="4" t="s">
        <v>216</v>
      </c>
      <c r="B7" s="5">
        <v>894</v>
      </c>
      <c r="C7" s="5">
        <v>836</v>
      </c>
      <c r="D7" s="5">
        <v>959</v>
      </c>
      <c r="E7" s="5">
        <v>824</v>
      </c>
      <c r="F7" s="5">
        <v>856</v>
      </c>
      <c r="G7" s="5">
        <v>0</v>
      </c>
      <c r="H7" s="5">
        <v>906</v>
      </c>
      <c r="I7" s="5">
        <v>0</v>
      </c>
      <c r="J7" s="5">
        <v>0</v>
      </c>
      <c r="K7" s="5">
        <v>0</v>
      </c>
      <c r="L7" s="5">
        <v>718</v>
      </c>
    </row>
    <row r="8" spans="1:14" x14ac:dyDescent="0.35">
      <c r="A8" s="4" t="s">
        <v>217</v>
      </c>
      <c r="B8" s="5">
        <v>0</v>
      </c>
      <c r="C8" s="5">
        <v>30</v>
      </c>
      <c r="D8" s="5">
        <v>21</v>
      </c>
      <c r="E8" s="5">
        <v>30</v>
      </c>
      <c r="F8" s="5">
        <v>18</v>
      </c>
      <c r="G8" s="5">
        <v>0</v>
      </c>
      <c r="H8" s="5">
        <v>30</v>
      </c>
      <c r="I8" s="5">
        <v>0</v>
      </c>
      <c r="J8" s="5">
        <v>0</v>
      </c>
      <c r="K8" s="5">
        <v>0</v>
      </c>
      <c r="L8" s="5">
        <v>24</v>
      </c>
    </row>
    <row r="9" spans="1:14" x14ac:dyDescent="0.35">
      <c r="A9" s="4" t="s">
        <v>218</v>
      </c>
      <c r="B9" s="5">
        <v>53</v>
      </c>
      <c r="C9" s="5">
        <v>51</v>
      </c>
      <c r="D9" s="5">
        <v>0</v>
      </c>
      <c r="E9" s="5">
        <v>50</v>
      </c>
      <c r="F9" s="5">
        <v>24</v>
      </c>
      <c r="G9" s="5">
        <v>0</v>
      </c>
      <c r="H9" s="5">
        <v>60</v>
      </c>
      <c r="I9" s="5">
        <v>0</v>
      </c>
      <c r="J9" s="5">
        <v>0</v>
      </c>
      <c r="K9" s="5">
        <v>0</v>
      </c>
      <c r="L9" s="5">
        <v>43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6560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21429</v>
      </c>
      <c r="K14" s="5">
        <v>0</v>
      </c>
      <c r="L14" s="5">
        <v>2239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136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3</v>
      </c>
      <c r="I22" s="5">
        <v>0</v>
      </c>
      <c r="J22" s="5">
        <v>0</v>
      </c>
      <c r="K22" s="5">
        <v>0</v>
      </c>
      <c r="L22" s="5">
        <v>69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95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439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418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432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952</v>
      </c>
      <c r="C33" s="5">
        <v>946</v>
      </c>
      <c r="D33" s="5">
        <v>523</v>
      </c>
      <c r="E33" s="5">
        <v>634</v>
      </c>
      <c r="F33" s="5">
        <v>681</v>
      </c>
      <c r="G33" s="5">
        <v>472</v>
      </c>
      <c r="H33" s="5">
        <v>818</v>
      </c>
      <c r="I33" s="5">
        <v>888</v>
      </c>
      <c r="J33" s="5">
        <v>835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12</v>
      </c>
      <c r="E35" s="5">
        <v>7</v>
      </c>
      <c r="F35" s="5">
        <v>5</v>
      </c>
      <c r="G35" s="5">
        <v>0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829</v>
      </c>
      <c r="D36" s="5">
        <v>947</v>
      </c>
      <c r="E36" s="5">
        <v>817</v>
      </c>
      <c r="F36" s="5">
        <v>851</v>
      </c>
      <c r="G36" s="5">
        <v>0</v>
      </c>
      <c r="H36" s="5">
        <v>903</v>
      </c>
      <c r="I36" s="5">
        <v>0</v>
      </c>
      <c r="J36" s="5">
        <v>0</v>
      </c>
      <c r="K36" s="5">
        <v>0</v>
      </c>
      <c r="L36" s="5">
        <v>718</v>
      </c>
    </row>
    <row r="37" spans="1:12" x14ac:dyDescent="0.35">
      <c r="A37" s="4" t="s">
        <v>246</v>
      </c>
      <c r="B37" s="5">
        <v>894</v>
      </c>
      <c r="C37" s="5">
        <v>7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3289</v>
      </c>
      <c r="D38" s="5">
        <v>4940</v>
      </c>
      <c r="E38" s="5">
        <v>3253</v>
      </c>
      <c r="F38" s="5">
        <v>4746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1709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2398</v>
      </c>
      <c r="I40" s="5">
        <v>0</v>
      </c>
      <c r="J40" s="5">
        <v>0</v>
      </c>
      <c r="K40" s="5">
        <v>0</v>
      </c>
      <c r="L40" s="5">
        <v>4565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37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119</v>
      </c>
    </row>
    <row r="44" spans="1:12" x14ac:dyDescent="0.35">
      <c r="A44" s="4" t="s">
        <v>251</v>
      </c>
      <c r="B44" s="5">
        <v>0</v>
      </c>
      <c r="C44" s="5">
        <v>0</v>
      </c>
      <c r="D44" s="5">
        <v>42</v>
      </c>
      <c r="E44" s="5">
        <v>0</v>
      </c>
      <c r="F44" s="5">
        <v>0</v>
      </c>
      <c r="G44" s="5">
        <v>0</v>
      </c>
      <c r="H44" s="5">
        <v>22</v>
      </c>
      <c r="I44" s="5">
        <v>0</v>
      </c>
      <c r="J44" s="5">
        <v>0</v>
      </c>
      <c r="K44" s="5">
        <v>0</v>
      </c>
      <c r="L44" s="5">
        <v>118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6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249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1592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4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298</v>
      </c>
    </row>
    <row r="60" spans="1:12" x14ac:dyDescent="0.35">
      <c r="A60" s="4" t="s">
        <v>267</v>
      </c>
      <c r="B60" s="5">
        <v>0</v>
      </c>
      <c r="C60" s="5">
        <v>0</v>
      </c>
      <c r="D60" s="5">
        <v>31</v>
      </c>
      <c r="E60" s="5">
        <v>0</v>
      </c>
      <c r="F60" s="5">
        <v>0</v>
      </c>
      <c r="G60" s="5">
        <v>0</v>
      </c>
      <c r="H60" s="5">
        <v>84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3745</v>
      </c>
      <c r="C63" s="36">
        <f t="shared" ref="C63:L63" si="0">SUM(C3:C62)</f>
        <v>16783</v>
      </c>
      <c r="D63" s="36">
        <f t="shared" si="0"/>
        <v>12938</v>
      </c>
      <c r="E63" s="36">
        <f t="shared" si="0"/>
        <v>9502</v>
      </c>
      <c r="F63" s="36">
        <f t="shared" si="0"/>
        <v>12608</v>
      </c>
      <c r="G63" s="36">
        <f t="shared" si="0"/>
        <v>950</v>
      </c>
      <c r="H63" s="36">
        <f t="shared" si="0"/>
        <v>13113</v>
      </c>
      <c r="I63" s="36">
        <f t="shared" si="0"/>
        <v>1776</v>
      </c>
      <c r="J63" s="36">
        <f t="shared" si="0"/>
        <v>23099</v>
      </c>
      <c r="K63" s="36">
        <f t="shared" si="0"/>
        <v>0</v>
      </c>
      <c r="L63" s="36">
        <f t="shared" si="0"/>
        <v>16562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819636.9</v>
      </c>
      <c r="C65" s="15">
        <v>845295.7</v>
      </c>
      <c r="D65" s="15">
        <v>873411.1</v>
      </c>
      <c r="E65" s="15">
        <v>903031.3</v>
      </c>
      <c r="F65" s="15">
        <v>937299.4</v>
      </c>
      <c r="G65" s="15">
        <v>973023.7</v>
      </c>
      <c r="H65" s="15">
        <v>1007593.1</v>
      </c>
      <c r="I65" s="15">
        <v>1041927.9</v>
      </c>
      <c r="J65" s="15">
        <v>1076476.3999999999</v>
      </c>
      <c r="K65" s="15">
        <v>1111347.5</v>
      </c>
      <c r="L65" s="15">
        <v>1147745.3</v>
      </c>
    </row>
  </sheetData>
  <hyperlinks>
    <hyperlink ref="N2" location="Home!A1" display="HOME" xr:uid="{606E549D-78A8-4CBB-B13D-DE3BC8CBF08C}"/>
  </hyperlink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601A-79F0-40B6-B0DB-5F4818706627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H18" sqref="H18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362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65759</v>
      </c>
      <c r="D3" s="5">
        <v>0</v>
      </c>
      <c r="E3" s="5">
        <v>0</v>
      </c>
      <c r="F3" s="5">
        <v>83565</v>
      </c>
      <c r="G3" s="5">
        <v>0</v>
      </c>
      <c r="H3" s="5">
        <v>74543</v>
      </c>
      <c r="I3" s="5">
        <v>74543</v>
      </c>
      <c r="J3" s="5">
        <v>0</v>
      </c>
      <c r="K3" s="5">
        <v>84277</v>
      </c>
      <c r="L3" s="5">
        <v>86181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71508</v>
      </c>
      <c r="I4" s="5">
        <v>0</v>
      </c>
      <c r="J4" s="5">
        <v>0</v>
      </c>
      <c r="K4" s="5">
        <v>84277</v>
      </c>
      <c r="L4" s="5">
        <v>85719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74920</v>
      </c>
      <c r="D6" s="5">
        <v>0</v>
      </c>
      <c r="E6" s="5">
        <v>0</v>
      </c>
      <c r="F6" s="5">
        <v>185101</v>
      </c>
      <c r="G6" s="5">
        <v>0</v>
      </c>
      <c r="H6" s="5">
        <v>110105</v>
      </c>
      <c r="I6" s="5">
        <v>180709</v>
      </c>
      <c r="J6" s="5">
        <v>0</v>
      </c>
      <c r="K6" s="5">
        <v>201735</v>
      </c>
      <c r="L6" s="5">
        <v>220681</v>
      </c>
    </row>
    <row r="7" spans="1:14" x14ac:dyDescent="0.35">
      <c r="A7" s="4" t="s">
        <v>216</v>
      </c>
      <c r="B7" s="5">
        <v>0</v>
      </c>
      <c r="C7" s="5">
        <v>101275</v>
      </c>
      <c r="D7" s="5">
        <v>0</v>
      </c>
      <c r="E7" s="5">
        <v>0</v>
      </c>
      <c r="F7" s="5">
        <v>141275</v>
      </c>
      <c r="G7" s="5">
        <v>0</v>
      </c>
      <c r="H7" s="5">
        <v>71237</v>
      </c>
      <c r="I7" s="5">
        <v>120870</v>
      </c>
      <c r="J7" s="5">
        <v>0</v>
      </c>
      <c r="K7" s="5">
        <v>131922</v>
      </c>
      <c r="L7" s="5">
        <v>146787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4081</v>
      </c>
      <c r="G8" s="5">
        <v>0</v>
      </c>
      <c r="H8" s="5">
        <v>4358</v>
      </c>
      <c r="I8" s="5">
        <v>4358</v>
      </c>
      <c r="J8" s="5">
        <v>0</v>
      </c>
      <c r="K8" s="5">
        <v>4358</v>
      </c>
      <c r="L8" s="5">
        <v>5048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20035</v>
      </c>
      <c r="F9" s="5">
        <v>0</v>
      </c>
      <c r="G9" s="5">
        <v>0</v>
      </c>
      <c r="H9" s="5">
        <v>24668</v>
      </c>
      <c r="I9" s="5">
        <v>24668</v>
      </c>
      <c r="J9" s="5">
        <v>0</v>
      </c>
      <c r="K9" s="5">
        <v>17331</v>
      </c>
      <c r="L9" s="5">
        <v>18277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56</v>
      </c>
      <c r="I12" s="5">
        <v>79</v>
      </c>
      <c r="J12" s="5">
        <v>0</v>
      </c>
      <c r="K12" s="5">
        <v>0</v>
      </c>
      <c r="L12" s="5">
        <v>168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116454</v>
      </c>
      <c r="I14" s="5">
        <v>116454</v>
      </c>
      <c r="J14" s="5">
        <v>0</v>
      </c>
      <c r="K14" s="5">
        <v>7912</v>
      </c>
      <c r="L14" s="5">
        <v>154477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19269</v>
      </c>
      <c r="I15" s="5">
        <v>6165</v>
      </c>
      <c r="J15" s="5">
        <v>0</v>
      </c>
      <c r="K15" s="5">
        <v>11781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6165</v>
      </c>
      <c r="I16" s="5">
        <v>0</v>
      </c>
      <c r="J16" s="5">
        <v>0</v>
      </c>
      <c r="K16" s="5">
        <v>11408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1029</v>
      </c>
      <c r="I18" s="5">
        <v>942</v>
      </c>
      <c r="J18" s="5">
        <v>0</v>
      </c>
      <c r="K18" s="5">
        <v>2071</v>
      </c>
      <c r="L18" s="5">
        <v>2660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14743</v>
      </c>
      <c r="J21" s="5">
        <v>0</v>
      </c>
      <c r="K21" s="5">
        <v>1234</v>
      </c>
      <c r="L21" s="5">
        <v>20392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370</v>
      </c>
      <c r="I22" s="5">
        <v>1031</v>
      </c>
      <c r="J22" s="5">
        <v>0</v>
      </c>
      <c r="K22" s="5">
        <v>36</v>
      </c>
      <c r="L22" s="5">
        <v>45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7146</v>
      </c>
      <c r="J24" s="5">
        <v>0</v>
      </c>
      <c r="K24" s="5">
        <v>9205</v>
      </c>
      <c r="L24" s="5">
        <v>354339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2578</v>
      </c>
      <c r="I26" s="5">
        <v>369</v>
      </c>
      <c r="J26" s="5">
        <v>0</v>
      </c>
      <c r="K26" s="5">
        <v>0</v>
      </c>
      <c r="L26" s="5">
        <v>4262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29246</v>
      </c>
      <c r="I29" s="5">
        <v>29803</v>
      </c>
      <c r="J29" s="5">
        <v>0</v>
      </c>
      <c r="K29" s="5">
        <v>34554</v>
      </c>
      <c r="L29" s="5">
        <v>38712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26677</v>
      </c>
      <c r="I30" s="5">
        <v>26677</v>
      </c>
      <c r="J30" s="5">
        <v>0</v>
      </c>
      <c r="K30" s="5">
        <v>37181</v>
      </c>
      <c r="L30" s="5">
        <v>36833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37181</v>
      </c>
      <c r="L31" s="5">
        <v>280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27247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65759</v>
      </c>
      <c r="D33" s="5">
        <v>0</v>
      </c>
      <c r="E33" s="5">
        <v>0</v>
      </c>
      <c r="F33" s="5">
        <v>83565</v>
      </c>
      <c r="G33" s="5">
        <v>0</v>
      </c>
      <c r="H33" s="5">
        <v>0</v>
      </c>
      <c r="I33" s="5">
        <v>74543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101275</v>
      </c>
      <c r="D36" s="5">
        <v>0</v>
      </c>
      <c r="E36" s="5">
        <v>0</v>
      </c>
      <c r="F36" s="5">
        <v>0</v>
      </c>
      <c r="G36" s="5">
        <v>0</v>
      </c>
      <c r="H36" s="5">
        <v>71237</v>
      </c>
      <c r="I36" s="5">
        <v>120870</v>
      </c>
      <c r="J36" s="5">
        <v>0</v>
      </c>
      <c r="K36" s="5">
        <v>131922</v>
      </c>
      <c r="L36" s="5">
        <v>146787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141275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74920</v>
      </c>
      <c r="D38" s="5">
        <v>0</v>
      </c>
      <c r="E38" s="5">
        <v>0</v>
      </c>
      <c r="F38" s="5">
        <v>185101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110105</v>
      </c>
      <c r="I40" s="5">
        <v>180709</v>
      </c>
      <c r="J40" s="5">
        <v>0</v>
      </c>
      <c r="K40" s="5">
        <v>201735</v>
      </c>
      <c r="L40" s="5">
        <v>220681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131922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454</v>
      </c>
      <c r="E44" s="5">
        <v>0</v>
      </c>
      <c r="F44" s="5">
        <v>0</v>
      </c>
      <c r="G44" s="5">
        <v>0</v>
      </c>
      <c r="H44" s="5">
        <v>404</v>
      </c>
      <c r="I44" s="5">
        <v>1238</v>
      </c>
      <c r="J44" s="5">
        <v>0</v>
      </c>
      <c r="K44" s="5">
        <v>49</v>
      </c>
      <c r="L44" s="5">
        <v>81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4626</v>
      </c>
      <c r="I45" s="5">
        <v>4429</v>
      </c>
      <c r="J45" s="5">
        <v>0</v>
      </c>
      <c r="K45" s="5">
        <v>5485</v>
      </c>
      <c r="L45" s="5">
        <v>5632</v>
      </c>
    </row>
    <row r="46" spans="1:12" x14ac:dyDescent="0.35">
      <c r="A46" s="4" t="s">
        <v>253</v>
      </c>
      <c r="B46" s="5">
        <v>144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5698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5793</v>
      </c>
      <c r="I52" s="5">
        <v>5793</v>
      </c>
      <c r="J52" s="5">
        <v>0</v>
      </c>
      <c r="K52" s="5">
        <v>0</v>
      </c>
      <c r="L52" s="5">
        <v>2326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4793</v>
      </c>
      <c r="I53" s="5">
        <v>4971</v>
      </c>
      <c r="J53" s="5">
        <v>0</v>
      </c>
      <c r="K53" s="5">
        <v>0</v>
      </c>
      <c r="L53" s="5">
        <v>6282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360</v>
      </c>
      <c r="I54" s="5">
        <v>118</v>
      </c>
      <c r="J54" s="5">
        <v>0</v>
      </c>
      <c r="K54" s="5">
        <v>0</v>
      </c>
      <c r="L54" s="5">
        <v>197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116</v>
      </c>
      <c r="I55" s="5">
        <v>267</v>
      </c>
      <c r="J55" s="5">
        <v>0</v>
      </c>
      <c r="K55" s="5">
        <v>14</v>
      </c>
      <c r="L55" s="5">
        <v>27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267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68565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3035</v>
      </c>
      <c r="I59" s="5">
        <v>0</v>
      </c>
      <c r="J59" s="5">
        <v>0</v>
      </c>
      <c r="K59" s="5">
        <v>0</v>
      </c>
      <c r="L59" s="5">
        <v>462</v>
      </c>
    </row>
    <row r="60" spans="1:12" x14ac:dyDescent="0.35">
      <c r="A60" s="4" t="s">
        <v>267</v>
      </c>
      <c r="B60" s="5">
        <v>0</v>
      </c>
      <c r="C60" s="5">
        <v>0</v>
      </c>
      <c r="D60" s="5">
        <v>1827</v>
      </c>
      <c r="E60" s="5">
        <v>0</v>
      </c>
      <c r="F60" s="5">
        <v>0</v>
      </c>
      <c r="G60" s="5">
        <v>0</v>
      </c>
      <c r="H60" s="5">
        <v>0</v>
      </c>
      <c r="I60" s="5">
        <v>2368</v>
      </c>
      <c r="J60" s="5">
        <v>0</v>
      </c>
      <c r="K60" s="5">
        <v>42</v>
      </c>
      <c r="L60" s="5">
        <v>61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262512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32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144</v>
      </c>
      <c r="C63" s="36">
        <f t="shared" ref="C63:L63" si="0">SUM(C3:C62)</f>
        <v>814985</v>
      </c>
      <c r="D63" s="36">
        <f t="shared" si="0"/>
        <v>2281</v>
      </c>
      <c r="E63" s="36">
        <f t="shared" si="0"/>
        <v>20035</v>
      </c>
      <c r="F63" s="36">
        <f t="shared" si="0"/>
        <v>823963</v>
      </c>
      <c r="G63" s="36">
        <f t="shared" si="0"/>
        <v>0</v>
      </c>
      <c r="H63" s="36">
        <f t="shared" si="0"/>
        <v>758732</v>
      </c>
      <c r="I63" s="36">
        <f t="shared" si="0"/>
        <v>1037114</v>
      </c>
      <c r="J63" s="36">
        <f t="shared" si="0"/>
        <v>0</v>
      </c>
      <c r="K63" s="36">
        <f t="shared" si="0"/>
        <v>1147632</v>
      </c>
      <c r="L63" s="36">
        <f t="shared" si="0"/>
        <v>1557397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s="20" t="s">
        <v>8</v>
      </c>
      <c r="B65" s="27">
        <v>6713643.7999999998</v>
      </c>
      <c r="C65" s="27">
        <v>6805083.0999999996</v>
      </c>
      <c r="D65" s="27">
        <v>6894101.5999999996</v>
      </c>
      <c r="E65" s="27">
        <v>6983906.0999999996</v>
      </c>
      <c r="F65" s="27">
        <v>7083326.4000000004</v>
      </c>
      <c r="G65" s="27">
        <v>7193818.5999999996</v>
      </c>
      <c r="H65" s="27">
        <v>7300350.5</v>
      </c>
      <c r="I65" s="27">
        <v>7409670.9000000004</v>
      </c>
      <c r="J65" s="27">
        <v>7523678.7000000002</v>
      </c>
      <c r="K65" s="27">
        <v>7641925.4000000004</v>
      </c>
      <c r="L65" s="27">
        <v>7745147.0999999996</v>
      </c>
    </row>
  </sheetData>
  <hyperlinks>
    <hyperlink ref="N2" location="Home!A1" display="HOME" xr:uid="{F443B592-5CF8-4743-A247-E82E0D24FD70}"/>
  </hyperlink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A6C8-9F1B-40E2-B9A0-1DDF00D32119}">
  <dimension ref="A1:N65"/>
  <sheetViews>
    <sheetView zoomScale="84" zoomScaleNormal="84" workbookViewId="0">
      <pane xSplit="1" ySplit="2" topLeftCell="B39" activePane="bottomRight" state="frozen"/>
      <selection activeCell="J41" sqref="J41"/>
      <selection pane="topRight" activeCell="J41" sqref="J41"/>
      <selection pane="bottomLeft" activeCell="J41" sqref="J41"/>
      <selection pane="bottomRight" activeCell="F75" sqref="F75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363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2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1104</v>
      </c>
      <c r="D3" s="5">
        <v>1008</v>
      </c>
      <c r="E3" s="5">
        <v>1284</v>
      </c>
      <c r="F3" s="5">
        <v>1431</v>
      </c>
      <c r="G3" s="5">
        <v>1648</v>
      </c>
      <c r="H3" s="5">
        <v>1648</v>
      </c>
      <c r="I3" s="5">
        <v>1492</v>
      </c>
      <c r="J3" s="5">
        <v>0</v>
      </c>
      <c r="K3" s="5">
        <v>0</v>
      </c>
      <c r="L3" s="5">
        <v>0</v>
      </c>
    </row>
    <row r="4" spans="1:14" x14ac:dyDescent="0.35">
      <c r="A4" s="17" t="s">
        <v>213</v>
      </c>
      <c r="B4" s="5">
        <v>0</v>
      </c>
      <c r="C4" s="5">
        <v>609</v>
      </c>
      <c r="D4" s="5">
        <v>834</v>
      </c>
      <c r="E4" s="5">
        <v>1042</v>
      </c>
      <c r="F4" s="5">
        <v>1107</v>
      </c>
      <c r="G4" s="5">
        <v>1114</v>
      </c>
      <c r="H4" s="5">
        <v>1114</v>
      </c>
      <c r="I4" s="5">
        <v>0</v>
      </c>
      <c r="J4" s="5">
        <v>0</v>
      </c>
      <c r="K4" s="5">
        <v>0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9625</v>
      </c>
      <c r="E6" s="5">
        <v>10367</v>
      </c>
      <c r="F6" s="5">
        <v>11281</v>
      </c>
      <c r="G6" s="5">
        <v>0</v>
      </c>
      <c r="H6" s="5">
        <v>13345</v>
      </c>
      <c r="I6" s="5">
        <v>10409</v>
      </c>
      <c r="J6" s="5">
        <v>0</v>
      </c>
      <c r="K6" s="5">
        <v>0</v>
      </c>
      <c r="L6" s="5">
        <v>0</v>
      </c>
    </row>
    <row r="7" spans="1:14" x14ac:dyDescent="0.35">
      <c r="A7" s="4" t="s">
        <v>216</v>
      </c>
      <c r="B7" s="5">
        <v>0</v>
      </c>
      <c r="C7" s="5">
        <v>622</v>
      </c>
      <c r="D7" s="5">
        <v>692</v>
      </c>
      <c r="E7" s="5">
        <v>868</v>
      </c>
      <c r="F7" s="5">
        <v>1070</v>
      </c>
      <c r="G7" s="5">
        <v>2144</v>
      </c>
      <c r="H7" s="5">
        <v>1471</v>
      </c>
      <c r="I7" s="5">
        <v>1561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127</v>
      </c>
      <c r="F8" s="5">
        <v>0</v>
      </c>
      <c r="G8" s="5">
        <v>236</v>
      </c>
      <c r="H8" s="5">
        <v>228</v>
      </c>
      <c r="I8" s="5">
        <v>0</v>
      </c>
      <c r="J8" s="5">
        <v>0</v>
      </c>
      <c r="K8" s="5">
        <v>0</v>
      </c>
      <c r="L8" s="5">
        <v>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114</v>
      </c>
      <c r="F9" s="5">
        <v>0</v>
      </c>
      <c r="G9" s="5">
        <v>879</v>
      </c>
      <c r="H9" s="5">
        <v>886</v>
      </c>
      <c r="I9" s="5">
        <v>0</v>
      </c>
      <c r="J9" s="5">
        <v>0</v>
      </c>
      <c r="K9" s="5">
        <v>0</v>
      </c>
      <c r="L9" s="5">
        <v>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4006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45000</v>
      </c>
      <c r="I14" s="5">
        <v>0</v>
      </c>
      <c r="J14" s="5">
        <v>58567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226</v>
      </c>
      <c r="F21" s="5">
        <v>0</v>
      </c>
      <c r="G21" s="5">
        <v>201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76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116</v>
      </c>
      <c r="F26" s="5">
        <v>0</v>
      </c>
      <c r="G26" s="5">
        <v>0</v>
      </c>
      <c r="H26" s="5">
        <v>152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1545</v>
      </c>
      <c r="F29" s="5">
        <v>0</v>
      </c>
      <c r="G29" s="5">
        <v>1990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1990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23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1492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879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622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692</v>
      </c>
      <c r="E37" s="5">
        <v>868</v>
      </c>
      <c r="F37" s="5">
        <v>1070</v>
      </c>
      <c r="G37" s="5">
        <v>1265</v>
      </c>
      <c r="H37" s="5">
        <v>1471</v>
      </c>
      <c r="I37" s="5">
        <v>1561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9625</v>
      </c>
      <c r="E38" s="5">
        <v>10367</v>
      </c>
      <c r="F38" s="5">
        <v>11281</v>
      </c>
      <c r="G38" s="5">
        <v>0</v>
      </c>
      <c r="H38" s="5">
        <v>13345</v>
      </c>
      <c r="I38" s="5">
        <v>10409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1290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207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25</v>
      </c>
      <c r="E44" s="5">
        <v>0</v>
      </c>
      <c r="F44" s="5">
        <v>56</v>
      </c>
      <c r="G44" s="5">
        <v>83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13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15</v>
      </c>
      <c r="E46" s="5">
        <v>0</v>
      </c>
      <c r="F46" s="5">
        <v>0</v>
      </c>
      <c r="G46" s="5">
        <v>309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201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125</v>
      </c>
      <c r="F53" s="5">
        <v>0</v>
      </c>
      <c r="G53" s="5">
        <v>182</v>
      </c>
      <c r="H53" s="5">
        <v>225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10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310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886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495</v>
      </c>
      <c r="D59" s="5">
        <v>174</v>
      </c>
      <c r="E59" s="5">
        <v>242</v>
      </c>
      <c r="F59" s="5">
        <v>324</v>
      </c>
      <c r="G59" s="5">
        <v>534</v>
      </c>
      <c r="H59" s="5">
        <v>534</v>
      </c>
      <c r="I59" s="5">
        <v>0</v>
      </c>
      <c r="J59" s="5">
        <v>0</v>
      </c>
      <c r="K59" s="5">
        <v>0</v>
      </c>
      <c r="L59" s="5">
        <v>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42</v>
      </c>
      <c r="E60" s="5">
        <v>0</v>
      </c>
      <c r="F60" s="5">
        <v>0</v>
      </c>
      <c r="G60" s="5">
        <v>56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3452</v>
      </c>
      <c r="D63" s="36">
        <f t="shared" si="0"/>
        <v>22732</v>
      </c>
      <c r="E63" s="36">
        <f t="shared" si="0"/>
        <v>32413</v>
      </c>
      <c r="F63" s="36">
        <f t="shared" si="0"/>
        <v>27620</v>
      </c>
      <c r="G63" s="36">
        <f t="shared" si="0"/>
        <v>13097</v>
      </c>
      <c r="H63" s="36">
        <f t="shared" si="0"/>
        <v>81732</v>
      </c>
      <c r="I63" s="36">
        <f t="shared" si="0"/>
        <v>26924</v>
      </c>
      <c r="J63" s="36">
        <f t="shared" si="0"/>
        <v>58567</v>
      </c>
      <c r="K63" s="36">
        <f t="shared" si="0"/>
        <v>0</v>
      </c>
      <c r="L63" s="36">
        <f t="shared" si="0"/>
        <v>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352562.3</v>
      </c>
      <c r="C65" s="15">
        <v>357235.9</v>
      </c>
      <c r="D65" s="15">
        <v>362267.2</v>
      </c>
      <c r="E65" s="15">
        <v>368170.1</v>
      </c>
      <c r="F65" s="15">
        <v>375065.4</v>
      </c>
      <c r="G65" s="15">
        <v>382138</v>
      </c>
      <c r="H65" s="15">
        <v>388863.1</v>
      </c>
      <c r="I65" s="15">
        <v>394736.7</v>
      </c>
      <c r="J65" s="15">
        <v>399189.9</v>
      </c>
      <c r="K65" s="15">
        <v>403959</v>
      </c>
      <c r="L65" s="15">
        <v>408235.8</v>
      </c>
    </row>
  </sheetData>
  <hyperlinks>
    <hyperlink ref="N2" location="Home!A1" display="HOME" xr:uid="{318B086B-387D-4970-A151-23A2C7269F30}"/>
  </hyperlink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A5C8-A923-4C9B-9B58-4EB0FF2A7E69}">
  <dimension ref="A1:N65"/>
  <sheetViews>
    <sheetView zoomScale="84" zoomScaleNormal="84" workbookViewId="0">
      <pane xSplit="1" ySplit="2" topLeftCell="B3" activePane="bottomRight" state="frozen"/>
      <selection activeCell="J41" sqref="J41"/>
      <selection pane="topRight" activeCell="J41" sqref="J41"/>
      <selection pane="bottomLeft" activeCell="J41" sqref="J41"/>
      <selection pane="bottomRight" activeCell="E38" sqref="E38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364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63</v>
      </c>
      <c r="F3" s="5">
        <v>0</v>
      </c>
      <c r="G3" s="5">
        <v>0</v>
      </c>
      <c r="H3" s="5">
        <v>0</v>
      </c>
      <c r="I3" s="5">
        <v>105</v>
      </c>
      <c r="J3" s="5">
        <v>0</v>
      </c>
      <c r="K3" s="5">
        <v>0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442</v>
      </c>
      <c r="F6" s="5">
        <v>0</v>
      </c>
      <c r="G6" s="5">
        <v>0</v>
      </c>
      <c r="H6" s="5">
        <v>406</v>
      </c>
      <c r="I6" s="5">
        <v>440</v>
      </c>
      <c r="J6" s="5">
        <v>0</v>
      </c>
      <c r="K6" s="5">
        <v>0</v>
      </c>
      <c r="L6" s="5">
        <v>0</v>
      </c>
    </row>
    <row r="7" spans="1:14" x14ac:dyDescent="0.35">
      <c r="A7" s="4" t="s">
        <v>216</v>
      </c>
      <c r="B7" s="5">
        <v>0</v>
      </c>
      <c r="C7" s="5">
        <v>31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22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</v>
      </c>
      <c r="J8" s="5">
        <v>0</v>
      </c>
      <c r="K8" s="5">
        <v>0</v>
      </c>
      <c r="L8" s="5">
        <v>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37</v>
      </c>
      <c r="J9" s="5">
        <v>0</v>
      </c>
      <c r="K9" s="5">
        <v>0</v>
      </c>
      <c r="L9" s="5">
        <v>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63</v>
      </c>
      <c r="F33" s="5">
        <v>0</v>
      </c>
      <c r="G33" s="5">
        <v>0</v>
      </c>
      <c r="H33" s="5">
        <v>0</v>
      </c>
      <c r="I33" s="5">
        <v>105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31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22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442</v>
      </c>
      <c r="F38" s="5">
        <v>0</v>
      </c>
      <c r="G38" s="5">
        <v>0</v>
      </c>
      <c r="H38" s="5">
        <v>406</v>
      </c>
      <c r="I38" s="5">
        <v>440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62</v>
      </c>
      <c r="D63" s="36">
        <f t="shared" si="0"/>
        <v>0</v>
      </c>
      <c r="E63" s="36">
        <f t="shared" si="0"/>
        <v>1010</v>
      </c>
      <c r="F63" s="36">
        <f t="shared" si="0"/>
        <v>0</v>
      </c>
      <c r="G63" s="36">
        <f t="shared" si="0"/>
        <v>0</v>
      </c>
      <c r="H63" s="36">
        <f t="shared" si="0"/>
        <v>812</v>
      </c>
      <c r="I63" s="36">
        <f t="shared" si="0"/>
        <v>1180</v>
      </c>
      <c r="J63" s="36">
        <f t="shared" si="0"/>
        <v>0</v>
      </c>
      <c r="K63" s="36">
        <f t="shared" si="0"/>
        <v>0</v>
      </c>
      <c r="L63" s="36">
        <f t="shared" si="0"/>
        <v>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6575.5</v>
      </c>
      <c r="C65" s="15">
        <v>6883.1</v>
      </c>
      <c r="D65" s="15">
        <v>6820.9</v>
      </c>
      <c r="E65" s="15">
        <v>6722.6</v>
      </c>
      <c r="F65" s="15">
        <v>6608.2</v>
      </c>
      <c r="G65" s="15">
        <v>6489.7</v>
      </c>
      <c r="H65" s="15">
        <v>6389.2</v>
      </c>
      <c r="I65" s="15">
        <v>6338.5</v>
      </c>
      <c r="J65" s="15">
        <v>6343.5</v>
      </c>
      <c r="K65" s="15">
        <v>6406.9</v>
      </c>
      <c r="L65" s="15">
        <v>6481.1</v>
      </c>
    </row>
  </sheetData>
  <hyperlinks>
    <hyperlink ref="N2" location="Home!A1" display="HOME" xr:uid="{0517425D-7589-415A-9BC4-C00617903549}"/>
  </hyperlink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DD3F-CE49-427E-B166-09FBFAAC27F9}">
  <dimension ref="A1:N65"/>
  <sheetViews>
    <sheetView zoomScale="84" zoomScaleNormal="84" workbookViewId="0">
      <pane xSplit="1" ySplit="2" topLeftCell="B40" activePane="bottomRight" state="frozen"/>
      <selection activeCell="J41" sqref="J41"/>
      <selection pane="topRight" activeCell="J41" sqref="J41"/>
      <selection pane="bottomLeft" activeCell="J41" sqref="J41"/>
      <selection pane="bottomRight" activeCell="C63" sqref="C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365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1154</v>
      </c>
      <c r="G3" s="5">
        <v>1066</v>
      </c>
      <c r="H3" s="5">
        <v>0</v>
      </c>
      <c r="I3" s="5">
        <v>1435</v>
      </c>
      <c r="J3" s="5">
        <v>1384</v>
      </c>
      <c r="K3" s="5">
        <v>1707</v>
      </c>
      <c r="L3" s="5">
        <v>2188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267</v>
      </c>
      <c r="G4" s="5">
        <v>0</v>
      </c>
      <c r="H4" s="5">
        <v>0</v>
      </c>
      <c r="I4" s="5">
        <v>353</v>
      </c>
      <c r="J4" s="5">
        <v>308</v>
      </c>
      <c r="K4" s="5">
        <v>487</v>
      </c>
      <c r="L4" s="5">
        <v>703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1082</v>
      </c>
      <c r="J5" s="5">
        <v>450</v>
      </c>
      <c r="K5" s="5">
        <v>810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1682</v>
      </c>
      <c r="F6" s="5">
        <v>2490</v>
      </c>
      <c r="G6" s="5">
        <v>2820</v>
      </c>
      <c r="H6" s="5">
        <v>0</v>
      </c>
      <c r="I6" s="5">
        <v>6151</v>
      </c>
      <c r="J6" s="5">
        <v>3800</v>
      </c>
      <c r="K6" s="5">
        <v>6477</v>
      </c>
      <c r="L6" s="5">
        <v>4737</v>
      </c>
    </row>
    <row r="7" spans="1:14" x14ac:dyDescent="0.35">
      <c r="A7" s="4" t="s">
        <v>216</v>
      </c>
      <c r="B7" s="5">
        <v>0</v>
      </c>
      <c r="C7" s="5">
        <v>3946</v>
      </c>
      <c r="D7" s="5">
        <v>0</v>
      </c>
      <c r="E7" s="5">
        <v>1116</v>
      </c>
      <c r="F7" s="5">
        <v>2002</v>
      </c>
      <c r="G7" s="5">
        <v>2002</v>
      </c>
      <c r="H7" s="5">
        <v>0</v>
      </c>
      <c r="I7" s="5">
        <v>2656</v>
      </c>
      <c r="J7" s="5">
        <v>2061</v>
      </c>
      <c r="K7" s="5">
        <v>2739</v>
      </c>
      <c r="L7" s="5">
        <v>2803</v>
      </c>
    </row>
    <row r="8" spans="1:14" x14ac:dyDescent="0.35">
      <c r="A8" s="4" t="s">
        <v>217</v>
      </c>
      <c r="B8" s="5">
        <v>0</v>
      </c>
      <c r="C8" s="5">
        <v>54</v>
      </c>
      <c r="D8" s="5">
        <v>0</v>
      </c>
      <c r="E8" s="5">
        <v>0</v>
      </c>
      <c r="F8" s="5">
        <v>121</v>
      </c>
      <c r="G8" s="5">
        <v>121</v>
      </c>
      <c r="H8" s="5">
        <v>0</v>
      </c>
      <c r="I8" s="5">
        <v>219</v>
      </c>
      <c r="J8" s="5">
        <v>134</v>
      </c>
      <c r="K8" s="5">
        <v>176</v>
      </c>
      <c r="L8" s="5">
        <v>223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143</v>
      </c>
      <c r="F9" s="5">
        <v>170</v>
      </c>
      <c r="G9" s="5">
        <v>170</v>
      </c>
      <c r="H9" s="5">
        <v>0</v>
      </c>
      <c r="I9" s="5">
        <v>188</v>
      </c>
      <c r="J9" s="5">
        <v>212</v>
      </c>
      <c r="K9" s="5">
        <v>293</v>
      </c>
      <c r="L9" s="5">
        <v>352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2663</v>
      </c>
      <c r="J10" s="5">
        <v>5427</v>
      </c>
      <c r="K10" s="5">
        <v>5833</v>
      </c>
      <c r="L10" s="5">
        <v>3584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445</v>
      </c>
      <c r="J11" s="5">
        <v>35</v>
      </c>
      <c r="K11" s="5">
        <v>36</v>
      </c>
      <c r="L11" s="5">
        <v>31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</v>
      </c>
      <c r="J12" s="5">
        <v>1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12</v>
      </c>
      <c r="J13" s="5">
        <v>19</v>
      </c>
      <c r="K13" s="5">
        <v>15</v>
      </c>
      <c r="L13" s="5">
        <v>17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770</v>
      </c>
      <c r="F14" s="5">
        <v>5</v>
      </c>
      <c r="G14" s="5">
        <v>5</v>
      </c>
      <c r="H14" s="5">
        <v>17417</v>
      </c>
      <c r="I14" s="5">
        <v>1116</v>
      </c>
      <c r="J14" s="5">
        <v>0</v>
      </c>
      <c r="K14" s="5">
        <v>16443</v>
      </c>
      <c r="L14" s="5">
        <v>18757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57</v>
      </c>
      <c r="H15" s="5">
        <v>0</v>
      </c>
      <c r="I15" s="5">
        <v>0</v>
      </c>
      <c r="J15" s="5">
        <v>0</v>
      </c>
      <c r="K15" s="5">
        <v>28</v>
      </c>
      <c r="L15" s="5">
        <v>64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57</v>
      </c>
      <c r="G16" s="5">
        <v>0</v>
      </c>
      <c r="H16" s="5">
        <v>0</v>
      </c>
      <c r="I16" s="5">
        <v>21</v>
      </c>
      <c r="J16" s="5">
        <v>13</v>
      </c>
      <c r="K16" s="5">
        <v>94</v>
      </c>
      <c r="L16" s="5">
        <v>15</v>
      </c>
    </row>
    <row r="17" spans="1:12" x14ac:dyDescent="0.35">
      <c r="A17" s="4" t="s">
        <v>226</v>
      </c>
      <c r="B17" s="5">
        <v>0</v>
      </c>
      <c r="C17" s="5">
        <v>66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4</v>
      </c>
      <c r="J17" s="5">
        <v>2</v>
      </c>
      <c r="K17" s="5">
        <v>4</v>
      </c>
      <c r="L17" s="5">
        <v>12</v>
      </c>
    </row>
    <row r="18" spans="1:12" x14ac:dyDescent="0.35">
      <c r="A18" s="4" t="s">
        <v>227</v>
      </c>
      <c r="B18" s="5">
        <v>0</v>
      </c>
      <c r="C18" s="5">
        <v>22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155</v>
      </c>
      <c r="J19" s="5">
        <v>60</v>
      </c>
      <c r="K19" s="5">
        <v>87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146</v>
      </c>
      <c r="G21" s="5">
        <v>146</v>
      </c>
      <c r="H21" s="5">
        <v>0</v>
      </c>
      <c r="I21" s="5">
        <v>835</v>
      </c>
      <c r="J21" s="5">
        <v>411</v>
      </c>
      <c r="K21" s="5">
        <v>53</v>
      </c>
      <c r="L21" s="5">
        <v>634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34</v>
      </c>
      <c r="F22" s="5">
        <v>84</v>
      </c>
      <c r="G22" s="5">
        <v>0</v>
      </c>
      <c r="H22" s="5">
        <v>0</v>
      </c>
      <c r="I22" s="5">
        <v>103</v>
      </c>
      <c r="J22" s="5">
        <v>95</v>
      </c>
      <c r="K22" s="5">
        <v>107</v>
      </c>
      <c r="L22" s="5">
        <v>144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3141</v>
      </c>
      <c r="J23" s="5">
        <v>0</v>
      </c>
      <c r="K23" s="5">
        <v>949</v>
      </c>
      <c r="L23" s="5">
        <v>3378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90</v>
      </c>
      <c r="J24" s="5">
        <v>14</v>
      </c>
      <c r="K24" s="5">
        <v>103</v>
      </c>
      <c r="L24" s="5">
        <v>122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22</v>
      </c>
      <c r="D26" s="5">
        <v>0</v>
      </c>
      <c r="E26" s="5">
        <v>0</v>
      </c>
      <c r="F26" s="5">
        <v>78</v>
      </c>
      <c r="G26" s="5">
        <v>0</v>
      </c>
      <c r="H26" s="5">
        <v>0</v>
      </c>
      <c r="I26" s="5">
        <v>124</v>
      </c>
      <c r="J26" s="5">
        <v>121</v>
      </c>
      <c r="K26" s="5">
        <v>123</v>
      </c>
      <c r="L26" s="5">
        <v>237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686</v>
      </c>
      <c r="J27" s="5">
        <v>27</v>
      </c>
      <c r="K27" s="5">
        <v>188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2112</v>
      </c>
      <c r="J28" s="5">
        <v>1482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546</v>
      </c>
      <c r="D29" s="5">
        <v>0</v>
      </c>
      <c r="E29" s="5">
        <v>0</v>
      </c>
      <c r="F29" s="5">
        <v>37</v>
      </c>
      <c r="G29" s="5">
        <v>0</v>
      </c>
      <c r="H29" s="5">
        <v>0</v>
      </c>
      <c r="I29" s="5">
        <v>0</v>
      </c>
      <c r="J29" s="5">
        <v>323</v>
      </c>
      <c r="K29" s="5">
        <v>14</v>
      </c>
      <c r="L29" s="5">
        <v>252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37</v>
      </c>
      <c r="H30" s="5">
        <v>328</v>
      </c>
      <c r="I30" s="5">
        <v>715</v>
      </c>
      <c r="J30" s="5">
        <v>101</v>
      </c>
      <c r="K30" s="5">
        <v>434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4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123</v>
      </c>
      <c r="J32" s="5">
        <v>0</v>
      </c>
      <c r="K32" s="5">
        <v>2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1066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70</v>
      </c>
      <c r="J34" s="5">
        <v>72</v>
      </c>
      <c r="K34" s="5">
        <v>104</v>
      </c>
      <c r="L34" s="5">
        <v>109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460</v>
      </c>
      <c r="J35" s="5">
        <v>92</v>
      </c>
      <c r="K35" s="5">
        <v>29</v>
      </c>
      <c r="L35" s="5">
        <v>0</v>
      </c>
    </row>
    <row r="36" spans="1:12" x14ac:dyDescent="0.35">
      <c r="A36" s="4" t="s">
        <v>245</v>
      </c>
      <c r="B36" s="5">
        <v>0</v>
      </c>
      <c r="C36" s="5">
        <v>3946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2196</v>
      </c>
      <c r="J36" s="5">
        <v>1969</v>
      </c>
      <c r="K36" s="5">
        <v>2710</v>
      </c>
      <c r="L36" s="5">
        <v>2803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1116</v>
      </c>
      <c r="F37" s="5">
        <v>2002</v>
      </c>
      <c r="G37" s="5">
        <v>2002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22</v>
      </c>
      <c r="K38" s="5">
        <v>1781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662</v>
      </c>
      <c r="F39" s="5">
        <v>1045</v>
      </c>
      <c r="G39" s="5">
        <v>1093</v>
      </c>
      <c r="H39" s="5">
        <v>0</v>
      </c>
      <c r="I39" s="5">
        <v>3058</v>
      </c>
      <c r="J39" s="5">
        <v>483</v>
      </c>
      <c r="K39" s="5">
        <v>2173</v>
      </c>
      <c r="L39" s="5">
        <v>1968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1020</v>
      </c>
      <c r="F40" s="5">
        <v>1445</v>
      </c>
      <c r="G40" s="5">
        <v>1727</v>
      </c>
      <c r="H40" s="5">
        <v>0</v>
      </c>
      <c r="I40" s="5">
        <v>3093</v>
      </c>
      <c r="J40" s="5">
        <v>3295</v>
      </c>
      <c r="K40" s="5">
        <v>2523</v>
      </c>
      <c r="L40" s="5">
        <v>2769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1981</v>
      </c>
      <c r="J41" s="5">
        <v>0</v>
      </c>
      <c r="K41" s="5">
        <v>0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600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</v>
      </c>
      <c r="J43" s="5">
        <v>2</v>
      </c>
      <c r="K43" s="5">
        <v>8</v>
      </c>
      <c r="L43" s="5">
        <v>7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38</v>
      </c>
      <c r="F44" s="5">
        <v>91</v>
      </c>
      <c r="G44" s="5">
        <v>0</v>
      </c>
      <c r="H44" s="5">
        <v>0</v>
      </c>
      <c r="I44" s="5">
        <v>116</v>
      </c>
      <c r="J44" s="5">
        <v>106</v>
      </c>
      <c r="K44" s="5">
        <v>133</v>
      </c>
      <c r="L44" s="5">
        <v>164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107</v>
      </c>
      <c r="L45" s="5">
        <v>0</v>
      </c>
    </row>
    <row r="46" spans="1:12" x14ac:dyDescent="0.35">
      <c r="A46" s="4" t="s">
        <v>253</v>
      </c>
      <c r="B46" s="5">
        <v>0</v>
      </c>
      <c r="C46" s="5">
        <v>42</v>
      </c>
      <c r="D46" s="5">
        <v>0</v>
      </c>
      <c r="E46" s="5">
        <v>0</v>
      </c>
      <c r="F46" s="5">
        <v>456</v>
      </c>
      <c r="G46" s="5">
        <v>0</v>
      </c>
      <c r="H46" s="5">
        <v>0</v>
      </c>
      <c r="I46" s="5">
        <v>1552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3647</v>
      </c>
      <c r="J47" s="5">
        <v>0</v>
      </c>
      <c r="K47" s="5">
        <v>16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1722</v>
      </c>
      <c r="J48" s="5">
        <v>0</v>
      </c>
      <c r="K48" s="5">
        <v>344</v>
      </c>
      <c r="L48" s="5">
        <v>0</v>
      </c>
    </row>
    <row r="49" spans="1:12" x14ac:dyDescent="0.35">
      <c r="A49" s="4" t="s">
        <v>256</v>
      </c>
      <c r="B49" s="5">
        <v>0</v>
      </c>
      <c r="C49" s="5">
        <v>11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2352</v>
      </c>
      <c r="J49" s="5">
        <v>662</v>
      </c>
      <c r="K49" s="5">
        <v>917</v>
      </c>
      <c r="L49" s="5">
        <v>1083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12281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371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45</v>
      </c>
      <c r="J52" s="5">
        <v>48</v>
      </c>
      <c r="K52" s="5">
        <v>40</v>
      </c>
      <c r="L52" s="5">
        <v>57</v>
      </c>
    </row>
    <row r="53" spans="1:12" x14ac:dyDescent="0.35">
      <c r="A53" s="4" t="s">
        <v>260</v>
      </c>
      <c r="B53" s="5">
        <v>0</v>
      </c>
      <c r="C53" s="5">
        <v>11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90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97</v>
      </c>
      <c r="K54" s="5">
        <v>0</v>
      </c>
      <c r="L54" s="5">
        <v>4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20</v>
      </c>
      <c r="G55" s="5">
        <v>0</v>
      </c>
      <c r="H55" s="5">
        <v>0</v>
      </c>
      <c r="I55" s="5">
        <v>41</v>
      </c>
      <c r="J55" s="5">
        <v>38</v>
      </c>
      <c r="K55" s="5">
        <v>35</v>
      </c>
      <c r="L55" s="5">
        <v>37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16</v>
      </c>
      <c r="J56" s="5">
        <v>2</v>
      </c>
      <c r="K56" s="5">
        <v>0</v>
      </c>
      <c r="L56" s="5">
        <v>14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402</v>
      </c>
      <c r="J58" s="5">
        <v>491</v>
      </c>
      <c r="K58" s="5">
        <v>173</v>
      </c>
      <c r="L58" s="5">
        <v>543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887</v>
      </c>
      <c r="G59" s="5">
        <v>0</v>
      </c>
      <c r="H59" s="5">
        <v>0</v>
      </c>
      <c r="I59" s="5">
        <v>1082</v>
      </c>
      <c r="J59" s="5">
        <v>1076</v>
      </c>
      <c r="K59" s="5">
        <v>1220</v>
      </c>
      <c r="L59" s="5">
        <v>1485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236</v>
      </c>
      <c r="G60" s="5">
        <v>0</v>
      </c>
      <c r="H60" s="5">
        <v>0</v>
      </c>
      <c r="I60" s="5">
        <v>188</v>
      </c>
      <c r="J60" s="5">
        <v>149</v>
      </c>
      <c r="K60" s="5">
        <v>135</v>
      </c>
      <c r="L60" s="5">
        <v>155</v>
      </c>
    </row>
    <row r="61" spans="1:12" x14ac:dyDescent="0.35">
      <c r="A61" s="4" t="s">
        <v>268</v>
      </c>
      <c r="B61" s="5">
        <v>0</v>
      </c>
      <c r="C61" s="5">
        <v>22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32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9091</v>
      </c>
      <c r="D63" s="36">
        <f t="shared" si="0"/>
        <v>0</v>
      </c>
      <c r="E63" s="36">
        <f t="shared" si="0"/>
        <v>6581</v>
      </c>
      <c r="F63" s="36">
        <f t="shared" si="0"/>
        <v>12793</v>
      </c>
      <c r="G63" s="36">
        <f t="shared" si="0"/>
        <v>12312</v>
      </c>
      <c r="H63" s="36">
        <f t="shared" si="0"/>
        <v>17745</v>
      </c>
      <c r="I63" s="36">
        <f t="shared" si="0"/>
        <v>59338</v>
      </c>
      <c r="J63" s="36">
        <f t="shared" si="0"/>
        <v>25086</v>
      </c>
      <c r="K63" s="36">
        <f t="shared" si="0"/>
        <v>49654</v>
      </c>
      <c r="L63" s="36">
        <f t="shared" si="0"/>
        <v>49541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485442.2</v>
      </c>
      <c r="C65" s="15">
        <v>494983.7</v>
      </c>
      <c r="D65" s="15">
        <v>503266.5</v>
      </c>
      <c r="E65" s="15">
        <v>507578.5</v>
      </c>
      <c r="F65" s="15">
        <v>510487.1</v>
      </c>
      <c r="G65" s="15">
        <v>516925.5</v>
      </c>
      <c r="H65" s="15">
        <v>526366.6</v>
      </c>
      <c r="I65" s="15">
        <v>535460.80000000005</v>
      </c>
      <c r="J65" s="15">
        <v>543180.80000000005</v>
      </c>
      <c r="K65" s="15">
        <v>550908.19999999995</v>
      </c>
      <c r="L65" s="15">
        <v>558327.9</v>
      </c>
    </row>
  </sheetData>
  <hyperlinks>
    <hyperlink ref="N2" location="Home!A1" display="HOME" xr:uid="{BF1D6124-6C5C-48D3-BB90-D0ACB8F4AB74}"/>
  </hyperlink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9018-5DC4-43CE-B2C8-CFE0BFFF2595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B63" sqref="B63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366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93</v>
      </c>
      <c r="C3" s="5">
        <v>0</v>
      </c>
      <c r="D3" s="5">
        <v>0</v>
      </c>
      <c r="E3" s="5">
        <v>0</v>
      </c>
      <c r="F3" s="5">
        <v>203</v>
      </c>
      <c r="G3" s="5">
        <v>0</v>
      </c>
      <c r="H3" s="5">
        <v>240</v>
      </c>
      <c r="I3" s="5">
        <v>220</v>
      </c>
      <c r="J3" s="5">
        <v>0</v>
      </c>
      <c r="K3" s="5">
        <v>0</v>
      </c>
      <c r="L3" s="5">
        <v>409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82</v>
      </c>
      <c r="G4" s="5">
        <v>0</v>
      </c>
      <c r="H4" s="5">
        <v>125</v>
      </c>
      <c r="I4" s="5">
        <v>0</v>
      </c>
      <c r="J4" s="5">
        <v>0</v>
      </c>
      <c r="K4" s="5">
        <v>0</v>
      </c>
      <c r="L4" s="5">
        <v>57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419</v>
      </c>
      <c r="C6" s="5">
        <v>0</v>
      </c>
      <c r="D6" s="5">
        <v>0</v>
      </c>
      <c r="E6" s="5">
        <v>0</v>
      </c>
      <c r="F6" s="5">
        <v>684</v>
      </c>
      <c r="G6" s="5">
        <v>0</v>
      </c>
      <c r="H6" s="5">
        <v>951</v>
      </c>
      <c r="I6" s="5">
        <v>0</v>
      </c>
      <c r="J6" s="5">
        <v>0</v>
      </c>
      <c r="K6" s="5">
        <v>0</v>
      </c>
      <c r="L6" s="5">
        <v>623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89</v>
      </c>
      <c r="G7" s="5">
        <v>0</v>
      </c>
      <c r="H7" s="5">
        <v>158</v>
      </c>
      <c r="I7" s="5">
        <v>0</v>
      </c>
      <c r="J7" s="5">
        <v>0</v>
      </c>
      <c r="K7" s="5">
        <v>0</v>
      </c>
      <c r="L7" s="5">
        <v>156</v>
      </c>
    </row>
    <row r="8" spans="1:14" x14ac:dyDescent="0.35">
      <c r="A8" s="4" t="s">
        <v>217</v>
      </c>
      <c r="B8" s="5">
        <v>14</v>
      </c>
      <c r="C8" s="5">
        <v>0</v>
      </c>
      <c r="D8" s="5">
        <v>0</v>
      </c>
      <c r="E8" s="5">
        <v>0</v>
      </c>
      <c r="F8" s="5">
        <v>34</v>
      </c>
      <c r="G8" s="5">
        <v>0</v>
      </c>
      <c r="H8" s="5">
        <v>0</v>
      </c>
      <c r="I8" s="5">
        <v>42</v>
      </c>
      <c r="J8" s="5">
        <v>0</v>
      </c>
      <c r="K8" s="5">
        <v>0</v>
      </c>
      <c r="L8" s="5">
        <v>44</v>
      </c>
    </row>
    <row r="9" spans="1:14" x14ac:dyDescent="0.35">
      <c r="A9" s="4" t="s">
        <v>218</v>
      </c>
      <c r="B9" s="5">
        <v>4</v>
      </c>
      <c r="C9" s="5">
        <v>0</v>
      </c>
      <c r="D9" s="5">
        <v>0</v>
      </c>
      <c r="E9" s="5">
        <v>0</v>
      </c>
      <c r="F9" s="5">
        <v>45</v>
      </c>
      <c r="G9" s="5">
        <v>0</v>
      </c>
      <c r="H9" s="5">
        <v>124</v>
      </c>
      <c r="I9" s="5">
        <v>0</v>
      </c>
      <c r="J9" s="5">
        <v>0</v>
      </c>
      <c r="K9" s="5">
        <v>0</v>
      </c>
      <c r="L9" s="5">
        <v>35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19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5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37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14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4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7</v>
      </c>
      <c r="I22" s="5">
        <v>0</v>
      </c>
      <c r="J22" s="5">
        <v>0</v>
      </c>
      <c r="K22" s="5">
        <v>0</v>
      </c>
      <c r="L22" s="5">
        <v>12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71</v>
      </c>
      <c r="I30" s="5">
        <v>0</v>
      </c>
      <c r="J30" s="5">
        <v>0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4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93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220</v>
      </c>
      <c r="J33" s="5">
        <v>0</v>
      </c>
      <c r="K33" s="5">
        <v>0</v>
      </c>
      <c r="L33" s="5">
        <v>6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158</v>
      </c>
      <c r="I36" s="5">
        <v>0</v>
      </c>
      <c r="J36" s="5">
        <v>0</v>
      </c>
      <c r="K36" s="5">
        <v>0</v>
      </c>
      <c r="L36" s="5">
        <v>156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89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419</v>
      </c>
      <c r="C38" s="5">
        <v>0</v>
      </c>
      <c r="D38" s="5">
        <v>0</v>
      </c>
      <c r="E38" s="5">
        <v>0</v>
      </c>
      <c r="F38" s="5">
        <v>684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951</v>
      </c>
      <c r="I40" s="5">
        <v>0</v>
      </c>
      <c r="J40" s="5">
        <v>0</v>
      </c>
      <c r="K40" s="5">
        <v>0</v>
      </c>
      <c r="L40" s="5">
        <v>623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321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3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11</v>
      </c>
      <c r="I44" s="5">
        <v>0</v>
      </c>
      <c r="J44" s="5">
        <v>0</v>
      </c>
      <c r="K44" s="5">
        <v>0</v>
      </c>
      <c r="L44" s="5">
        <v>16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22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4</v>
      </c>
      <c r="I46" s="5">
        <v>0</v>
      </c>
      <c r="J46" s="5">
        <v>0</v>
      </c>
      <c r="K46" s="5">
        <v>0</v>
      </c>
      <c r="L46" s="5">
        <v>62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64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40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4</v>
      </c>
      <c r="F55" s="5">
        <v>4</v>
      </c>
      <c r="G55" s="5">
        <v>4</v>
      </c>
      <c r="H55" s="5">
        <v>0</v>
      </c>
      <c r="I55" s="5">
        <v>4</v>
      </c>
      <c r="J55" s="5">
        <v>0</v>
      </c>
      <c r="K55" s="5">
        <v>0</v>
      </c>
      <c r="L55" s="5">
        <v>5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6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2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121</v>
      </c>
      <c r="G59" s="5">
        <v>0</v>
      </c>
      <c r="H59" s="5">
        <v>115</v>
      </c>
      <c r="I59" s="5">
        <v>0</v>
      </c>
      <c r="J59" s="5">
        <v>0</v>
      </c>
      <c r="K59" s="5">
        <v>0</v>
      </c>
      <c r="L59" s="5">
        <v>346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35</v>
      </c>
      <c r="H60" s="5">
        <v>35</v>
      </c>
      <c r="I60" s="5">
        <v>35</v>
      </c>
      <c r="J60" s="5">
        <v>0</v>
      </c>
      <c r="K60" s="5">
        <v>0</v>
      </c>
      <c r="L60" s="5">
        <v>10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2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1042</v>
      </c>
      <c r="C63" s="36">
        <f t="shared" ref="C63:L63" si="0">SUM(C3:C62)</f>
        <v>0</v>
      </c>
      <c r="D63" s="36">
        <f t="shared" si="0"/>
        <v>0</v>
      </c>
      <c r="E63" s="36">
        <f t="shared" si="0"/>
        <v>4</v>
      </c>
      <c r="F63" s="36">
        <f t="shared" si="0"/>
        <v>2099</v>
      </c>
      <c r="G63" s="36">
        <f t="shared" si="0"/>
        <v>39</v>
      </c>
      <c r="H63" s="36">
        <f t="shared" si="0"/>
        <v>3271</v>
      </c>
      <c r="I63" s="36">
        <f t="shared" si="0"/>
        <v>572</v>
      </c>
      <c r="J63" s="36">
        <f t="shared" si="0"/>
        <v>0</v>
      </c>
      <c r="K63" s="36">
        <f t="shared" si="0"/>
        <v>128</v>
      </c>
      <c r="L63" s="36">
        <f t="shared" si="0"/>
        <v>2560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1803.6</v>
      </c>
      <c r="C65" s="15">
        <v>1775</v>
      </c>
      <c r="D65" s="15">
        <v>1726.4</v>
      </c>
      <c r="E65" s="15">
        <v>1743.6</v>
      </c>
      <c r="F65" s="15">
        <v>1795.8</v>
      </c>
      <c r="G65" s="15">
        <v>1837.1</v>
      </c>
      <c r="H65" s="15">
        <v>1833.4</v>
      </c>
      <c r="I65" s="15">
        <v>1804.7</v>
      </c>
      <c r="J65" s="15">
        <v>1773.9</v>
      </c>
      <c r="K65" s="15">
        <v>1744.8</v>
      </c>
      <c r="L65" s="15">
        <v>1715.5</v>
      </c>
    </row>
  </sheetData>
  <hyperlinks>
    <hyperlink ref="N2" location="Home!A1" display="HOME" xr:uid="{C60FEA74-DD18-46EB-9307-EB6E200AB4FB}"/>
  </hyperlink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BB07-972C-4C1A-BB1C-76FBC0421B64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I72" sqref="I72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367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566</v>
      </c>
      <c r="I3" s="5">
        <v>256</v>
      </c>
      <c r="J3" s="5">
        <v>576</v>
      </c>
      <c r="K3" s="5">
        <v>0</v>
      </c>
      <c r="L3" s="5">
        <v>366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500</v>
      </c>
      <c r="I4" s="5">
        <v>231</v>
      </c>
      <c r="J4" s="5">
        <v>515</v>
      </c>
      <c r="K4" s="5">
        <v>0</v>
      </c>
      <c r="L4" s="5">
        <v>338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10</v>
      </c>
      <c r="J5" s="5">
        <v>0</v>
      </c>
      <c r="K5" s="5">
        <v>0</v>
      </c>
      <c r="L5" s="5">
        <v>11</v>
      </c>
    </row>
    <row r="6" spans="1:14" x14ac:dyDescent="0.35">
      <c r="A6" s="4" t="s">
        <v>215</v>
      </c>
      <c r="B6" s="5">
        <v>0</v>
      </c>
      <c r="C6" s="5">
        <v>6106</v>
      </c>
      <c r="D6" s="5">
        <v>6108</v>
      </c>
      <c r="E6" s="5">
        <v>5873</v>
      </c>
      <c r="F6" s="5">
        <v>5160</v>
      </c>
      <c r="G6" s="5">
        <v>5980</v>
      </c>
      <c r="H6" s="5">
        <v>5757</v>
      </c>
      <c r="I6" s="5">
        <v>4311</v>
      </c>
      <c r="J6" s="5">
        <v>1040</v>
      </c>
      <c r="K6" s="5">
        <v>0</v>
      </c>
      <c r="L6" s="5">
        <v>7356</v>
      </c>
    </row>
    <row r="7" spans="1:14" x14ac:dyDescent="0.35">
      <c r="A7" s="4" t="s">
        <v>216</v>
      </c>
      <c r="B7" s="5">
        <v>0</v>
      </c>
      <c r="C7" s="5">
        <v>2187</v>
      </c>
      <c r="D7" s="5">
        <v>585</v>
      </c>
      <c r="E7" s="5">
        <v>0</v>
      </c>
      <c r="F7" s="5">
        <v>313</v>
      </c>
      <c r="G7" s="5">
        <v>0</v>
      </c>
      <c r="H7" s="5">
        <v>0</v>
      </c>
      <c r="I7" s="5">
        <v>2373</v>
      </c>
      <c r="J7" s="5">
        <v>639</v>
      </c>
      <c r="K7" s="5">
        <v>0</v>
      </c>
      <c r="L7" s="5">
        <v>2271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53</v>
      </c>
      <c r="G8" s="5">
        <v>0</v>
      </c>
      <c r="H8" s="5">
        <v>15</v>
      </c>
      <c r="I8" s="5">
        <v>7</v>
      </c>
      <c r="J8" s="5">
        <v>15</v>
      </c>
      <c r="K8" s="5">
        <v>0</v>
      </c>
      <c r="L8" s="5">
        <v>6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82</v>
      </c>
      <c r="G9" s="5">
        <v>0</v>
      </c>
      <c r="H9" s="5">
        <v>156</v>
      </c>
      <c r="I9" s="5">
        <v>164</v>
      </c>
      <c r="J9" s="5">
        <v>193</v>
      </c>
      <c r="K9" s="5">
        <v>0</v>
      </c>
      <c r="L9" s="5">
        <v>89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22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14622</v>
      </c>
      <c r="G14" s="5">
        <v>0</v>
      </c>
      <c r="H14" s="5">
        <v>0</v>
      </c>
      <c r="I14" s="5">
        <v>15000</v>
      </c>
      <c r="J14" s="5">
        <v>13966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140</v>
      </c>
      <c r="J15" s="5">
        <v>66</v>
      </c>
      <c r="K15" s="5">
        <v>0</v>
      </c>
      <c r="L15" s="5">
        <v>126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25</v>
      </c>
      <c r="J16" s="5">
        <v>530</v>
      </c>
      <c r="K16" s="5">
        <v>0</v>
      </c>
      <c r="L16" s="5">
        <v>13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100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14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17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121</v>
      </c>
      <c r="J21" s="5">
        <v>219</v>
      </c>
      <c r="K21" s="5">
        <v>0</v>
      </c>
      <c r="L21" s="5">
        <v>163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3</v>
      </c>
      <c r="J22" s="5">
        <v>0</v>
      </c>
      <c r="K22" s="5">
        <v>0</v>
      </c>
      <c r="L22" s="5">
        <v>2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36</v>
      </c>
      <c r="J26" s="5">
        <v>0</v>
      </c>
      <c r="K26" s="5">
        <v>0</v>
      </c>
      <c r="L26" s="5">
        <v>38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93</v>
      </c>
      <c r="J27" s="5">
        <v>487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342</v>
      </c>
      <c r="J29" s="5">
        <v>0</v>
      </c>
      <c r="K29" s="5">
        <v>0</v>
      </c>
      <c r="L29" s="5">
        <v>298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311</v>
      </c>
      <c r="I30" s="5">
        <v>0</v>
      </c>
      <c r="J30" s="5">
        <v>114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64</v>
      </c>
      <c r="J32" s="5">
        <v>0</v>
      </c>
      <c r="K32" s="5">
        <v>0</v>
      </c>
      <c r="L32" s="5">
        <v>195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1901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1951</v>
      </c>
      <c r="J35" s="5">
        <v>109</v>
      </c>
      <c r="K35" s="5">
        <v>0</v>
      </c>
      <c r="L35" s="5">
        <v>2087</v>
      </c>
    </row>
    <row r="36" spans="1:12" x14ac:dyDescent="0.35">
      <c r="A36" s="4" t="s">
        <v>245</v>
      </c>
      <c r="B36" s="5">
        <v>0</v>
      </c>
      <c r="C36" s="5">
        <v>286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422</v>
      </c>
      <c r="J36" s="5">
        <v>530</v>
      </c>
      <c r="K36" s="5">
        <v>0</v>
      </c>
      <c r="L36" s="5">
        <v>184</v>
      </c>
    </row>
    <row r="37" spans="1:12" x14ac:dyDescent="0.35">
      <c r="A37" s="4" t="s">
        <v>246</v>
      </c>
      <c r="B37" s="5">
        <v>0</v>
      </c>
      <c r="C37" s="5">
        <v>0</v>
      </c>
      <c r="D37" s="5">
        <v>585</v>
      </c>
      <c r="E37" s="5">
        <v>0</v>
      </c>
      <c r="F37" s="5">
        <v>313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2765</v>
      </c>
      <c r="D38" s="5">
        <v>2767</v>
      </c>
      <c r="E38" s="5">
        <v>2502</v>
      </c>
      <c r="F38" s="5">
        <v>2315</v>
      </c>
      <c r="G38" s="5">
        <v>2326</v>
      </c>
      <c r="H38" s="5">
        <v>2344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2707</v>
      </c>
      <c r="D39" s="5">
        <v>2707</v>
      </c>
      <c r="E39" s="5">
        <v>2605</v>
      </c>
      <c r="F39" s="5">
        <v>2090</v>
      </c>
      <c r="G39" s="5">
        <v>2690</v>
      </c>
      <c r="H39" s="5">
        <v>2545</v>
      </c>
      <c r="I39" s="5">
        <v>3492</v>
      </c>
      <c r="J39" s="5">
        <v>0</v>
      </c>
      <c r="K39" s="5">
        <v>0</v>
      </c>
      <c r="L39" s="5">
        <v>5907</v>
      </c>
    </row>
    <row r="40" spans="1:12" x14ac:dyDescent="0.35">
      <c r="A40" s="4" t="s">
        <v>249</v>
      </c>
      <c r="B40" s="5">
        <v>0</v>
      </c>
      <c r="C40" s="5">
        <v>634</v>
      </c>
      <c r="D40" s="5">
        <v>634</v>
      </c>
      <c r="E40" s="5">
        <v>766</v>
      </c>
      <c r="F40" s="5">
        <v>755</v>
      </c>
      <c r="G40" s="5">
        <v>964</v>
      </c>
      <c r="H40" s="5">
        <v>868</v>
      </c>
      <c r="I40" s="5">
        <v>819</v>
      </c>
      <c r="J40" s="5">
        <v>1040</v>
      </c>
      <c r="K40" s="5">
        <v>0</v>
      </c>
      <c r="L40" s="5">
        <v>1449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130</v>
      </c>
      <c r="J43" s="5">
        <v>57</v>
      </c>
      <c r="K43" s="5">
        <v>0</v>
      </c>
      <c r="L43" s="5">
        <v>261</v>
      </c>
    </row>
    <row r="44" spans="1:12" x14ac:dyDescent="0.35">
      <c r="A44" s="4" t="s">
        <v>251</v>
      </c>
      <c r="B44" s="5">
        <v>3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3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15</v>
      </c>
      <c r="J45" s="5">
        <v>1</v>
      </c>
      <c r="K45" s="5">
        <v>0</v>
      </c>
      <c r="L45" s="5">
        <v>2</v>
      </c>
    </row>
    <row r="46" spans="1:12" x14ac:dyDescent="0.35">
      <c r="A46" s="4" t="s">
        <v>253</v>
      </c>
      <c r="B46" s="5">
        <v>0</v>
      </c>
      <c r="C46" s="5">
        <v>0</v>
      </c>
      <c r="D46" s="5">
        <v>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319</v>
      </c>
      <c r="J49" s="5">
        <v>650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2251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213</v>
      </c>
      <c r="J52" s="5">
        <v>332</v>
      </c>
      <c r="K52" s="5">
        <v>0</v>
      </c>
      <c r="L52" s="5">
        <v>88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8</v>
      </c>
      <c r="J53" s="5">
        <v>6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1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1511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66</v>
      </c>
      <c r="I59" s="5">
        <v>25</v>
      </c>
      <c r="J59" s="5">
        <v>61</v>
      </c>
      <c r="K59" s="5">
        <v>0</v>
      </c>
      <c r="L59" s="5">
        <v>28</v>
      </c>
    </row>
    <row r="60" spans="1:12" x14ac:dyDescent="0.35">
      <c r="A60" s="4" t="s">
        <v>267</v>
      </c>
      <c r="B60" s="5">
        <v>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9</v>
      </c>
      <c r="J60" s="5">
        <v>0</v>
      </c>
      <c r="K60" s="5">
        <v>0</v>
      </c>
      <c r="L60" s="5">
        <v>7</v>
      </c>
    </row>
    <row r="61" spans="1:12" x14ac:dyDescent="0.35">
      <c r="A61" s="4" t="s">
        <v>268</v>
      </c>
      <c r="B61" s="5">
        <v>0</v>
      </c>
      <c r="C61" s="5">
        <v>0</v>
      </c>
      <c r="D61" s="5">
        <v>3046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8</v>
      </c>
      <c r="C63" s="36">
        <f t="shared" ref="C63:L63" si="0">SUM(C3:C62)</f>
        <v>16586</v>
      </c>
      <c r="D63" s="36">
        <f t="shared" si="0"/>
        <v>17944</v>
      </c>
      <c r="E63" s="36">
        <f t="shared" si="0"/>
        <v>11746</v>
      </c>
      <c r="F63" s="36">
        <f t="shared" si="0"/>
        <v>25703</v>
      </c>
      <c r="G63" s="36">
        <f t="shared" si="0"/>
        <v>11960</v>
      </c>
      <c r="H63" s="36">
        <f t="shared" si="0"/>
        <v>13128</v>
      </c>
      <c r="I63" s="36">
        <f t="shared" si="0"/>
        <v>30583</v>
      </c>
      <c r="J63" s="36">
        <f t="shared" si="0"/>
        <v>23436</v>
      </c>
      <c r="K63" s="36">
        <f t="shared" si="0"/>
        <v>0</v>
      </c>
      <c r="L63" s="36">
        <f t="shared" si="0"/>
        <v>21400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s="20" t="s">
        <v>8</v>
      </c>
      <c r="B65" s="27">
        <v>243297.8</v>
      </c>
      <c r="C65" s="27">
        <v>244461.1</v>
      </c>
      <c r="D65" s="27">
        <v>244533.1</v>
      </c>
      <c r="E65" s="27">
        <v>244577.3</v>
      </c>
      <c r="F65" s="27">
        <v>245921.2</v>
      </c>
      <c r="G65" s="27">
        <v>248976</v>
      </c>
      <c r="H65" s="27">
        <v>252080.8</v>
      </c>
      <c r="I65" s="27">
        <v>254698.9</v>
      </c>
      <c r="J65" s="27">
        <v>256574.4</v>
      </c>
      <c r="K65" s="27">
        <v>258166.6</v>
      </c>
      <c r="L65" s="27">
        <v>259656.4</v>
      </c>
    </row>
  </sheetData>
  <hyperlinks>
    <hyperlink ref="N2" location="Home!A1" display="HOME" xr:uid="{4CEB1454-1497-4B75-B89B-E570326A1EB0}"/>
  </hyperlink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6AB9-362F-4D0E-9B66-6E83066F5CD0}">
  <dimension ref="A1:N65"/>
  <sheetViews>
    <sheetView zoomScale="84" zoomScaleNormal="84" workbookViewId="0">
      <pane xSplit="1" ySplit="2" topLeftCell="B36" activePane="bottomRight" state="frozen"/>
      <selection activeCell="J41" sqref="J41"/>
      <selection pane="topRight" activeCell="J41" sqref="J41"/>
      <selection pane="bottomLeft" activeCell="J41" sqref="J41"/>
      <selection pane="bottomRight" activeCell="K70" sqref="K70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368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43141</v>
      </c>
      <c r="G3" s="5">
        <v>44653</v>
      </c>
      <c r="H3" s="5">
        <v>43503</v>
      </c>
      <c r="I3" s="5">
        <v>46393</v>
      </c>
      <c r="J3" s="5">
        <v>0</v>
      </c>
      <c r="K3" s="5">
        <v>48021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29311</v>
      </c>
      <c r="I4" s="5">
        <v>0</v>
      </c>
      <c r="J4" s="5">
        <v>0</v>
      </c>
      <c r="K4" s="5">
        <v>0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58722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70552</v>
      </c>
      <c r="I6" s="5">
        <v>64638</v>
      </c>
      <c r="J6" s="5">
        <v>61028</v>
      </c>
      <c r="K6" s="5">
        <v>0</v>
      </c>
      <c r="L6" s="5">
        <v>0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1284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5554</v>
      </c>
      <c r="C8" s="5">
        <v>5770</v>
      </c>
      <c r="D8" s="5">
        <v>5817</v>
      </c>
      <c r="E8" s="5">
        <v>5985</v>
      </c>
      <c r="F8" s="5">
        <v>6158</v>
      </c>
      <c r="G8" s="5">
        <v>6314</v>
      </c>
      <c r="H8" s="5">
        <v>6433</v>
      </c>
      <c r="I8" s="5">
        <v>6365</v>
      </c>
      <c r="J8" s="5">
        <v>0</v>
      </c>
      <c r="K8" s="5">
        <v>6586</v>
      </c>
      <c r="L8" s="5">
        <v>1348</v>
      </c>
    </row>
    <row r="9" spans="1:14" x14ac:dyDescent="0.35">
      <c r="A9" s="4" t="s">
        <v>218</v>
      </c>
      <c r="B9" s="5">
        <v>13642</v>
      </c>
      <c r="C9" s="5">
        <v>0</v>
      </c>
      <c r="D9" s="5">
        <v>14994</v>
      </c>
      <c r="E9" s="5">
        <v>15784</v>
      </c>
      <c r="F9" s="5">
        <v>15267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3609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33735</v>
      </c>
    </row>
    <row r="11" spans="1:14" x14ac:dyDescent="0.35">
      <c r="A11" s="4" t="s">
        <v>220</v>
      </c>
      <c r="B11" s="5">
        <v>61920</v>
      </c>
      <c r="C11" s="5">
        <v>64876</v>
      </c>
      <c r="D11" s="5">
        <v>67335</v>
      </c>
      <c r="E11" s="5">
        <v>69276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41029</v>
      </c>
      <c r="L11" s="5">
        <v>2025</v>
      </c>
    </row>
    <row r="12" spans="1:14" x14ac:dyDescent="0.35">
      <c r="A12" s="4" t="s">
        <v>221</v>
      </c>
      <c r="B12" s="5">
        <v>2285</v>
      </c>
      <c r="C12" s="5">
        <v>2586</v>
      </c>
      <c r="D12" s="5">
        <v>2746</v>
      </c>
      <c r="E12" s="5">
        <v>2913</v>
      </c>
      <c r="F12" s="5">
        <v>3140</v>
      </c>
      <c r="G12" s="5">
        <v>3323</v>
      </c>
      <c r="H12" s="5">
        <v>3512</v>
      </c>
      <c r="I12" s="5">
        <v>3676</v>
      </c>
      <c r="J12" s="5">
        <v>0</v>
      </c>
      <c r="K12" s="5">
        <v>4037</v>
      </c>
      <c r="L12" s="5">
        <v>586</v>
      </c>
    </row>
    <row r="13" spans="1:14" x14ac:dyDescent="0.35">
      <c r="A13" s="4" t="s">
        <v>222</v>
      </c>
      <c r="B13" s="5">
        <v>1</v>
      </c>
      <c r="C13" s="5">
        <v>2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0</v>
      </c>
      <c r="K13" s="5">
        <v>1</v>
      </c>
      <c r="L13" s="5">
        <v>53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54180</v>
      </c>
      <c r="I14" s="5">
        <v>0</v>
      </c>
      <c r="J14" s="5">
        <v>0</v>
      </c>
      <c r="K14" s="5">
        <v>0</v>
      </c>
      <c r="L14" s="5">
        <v>63290</v>
      </c>
    </row>
    <row r="15" spans="1:14" x14ac:dyDescent="0.35">
      <c r="A15" s="4" t="s">
        <v>224</v>
      </c>
      <c r="B15" s="5">
        <v>4104</v>
      </c>
      <c r="C15" s="5">
        <v>4625</v>
      </c>
      <c r="D15" s="5">
        <v>4687</v>
      </c>
      <c r="E15" s="5">
        <v>4785</v>
      </c>
      <c r="F15" s="5">
        <v>5484</v>
      </c>
      <c r="G15" s="5">
        <v>6948</v>
      </c>
      <c r="H15" s="5">
        <v>0</v>
      </c>
      <c r="I15" s="5">
        <v>0</v>
      </c>
      <c r="J15" s="5">
        <v>0</v>
      </c>
      <c r="K15" s="5">
        <v>6165</v>
      </c>
      <c r="L15" s="5">
        <v>1550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3330</v>
      </c>
      <c r="H16" s="5">
        <v>0</v>
      </c>
      <c r="I16" s="5">
        <v>0</v>
      </c>
      <c r="J16" s="5">
        <v>0</v>
      </c>
      <c r="K16" s="5">
        <v>0</v>
      </c>
      <c r="L16" s="5">
        <v>54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3145</v>
      </c>
      <c r="G17" s="5">
        <v>3658</v>
      </c>
      <c r="H17" s="5">
        <v>3422</v>
      </c>
      <c r="I17" s="5">
        <v>3555</v>
      </c>
      <c r="J17" s="5">
        <v>0</v>
      </c>
      <c r="K17" s="5">
        <v>3822</v>
      </c>
      <c r="L17" s="5">
        <v>1549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156</v>
      </c>
      <c r="G18" s="5">
        <v>152</v>
      </c>
      <c r="H18" s="5">
        <v>150</v>
      </c>
      <c r="I18" s="5">
        <v>140</v>
      </c>
      <c r="J18" s="5">
        <v>0</v>
      </c>
      <c r="K18" s="5">
        <v>135</v>
      </c>
      <c r="L18" s="5">
        <v>2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339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549</v>
      </c>
      <c r="L20" s="5">
        <v>0</v>
      </c>
    </row>
    <row r="21" spans="1:12" x14ac:dyDescent="0.35">
      <c r="A21" s="4" t="s">
        <v>230</v>
      </c>
      <c r="B21" s="5">
        <v>3255</v>
      </c>
      <c r="C21" s="5">
        <v>3330</v>
      </c>
      <c r="D21" s="5">
        <v>3435</v>
      </c>
      <c r="E21" s="5">
        <v>3518</v>
      </c>
      <c r="F21" s="5">
        <v>3642</v>
      </c>
      <c r="G21" s="5">
        <v>3730</v>
      </c>
      <c r="H21" s="5">
        <v>3831</v>
      </c>
      <c r="I21" s="5">
        <v>3881</v>
      </c>
      <c r="J21" s="5">
        <v>0</v>
      </c>
      <c r="K21" s="5">
        <v>4196</v>
      </c>
      <c r="L21" s="5">
        <v>1168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1015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8095</v>
      </c>
      <c r="C26" s="5">
        <v>8476</v>
      </c>
      <c r="D26" s="5">
        <v>8924</v>
      </c>
      <c r="E26" s="5">
        <v>9175</v>
      </c>
      <c r="F26" s="5">
        <v>8484</v>
      </c>
      <c r="G26" s="5">
        <v>8681</v>
      </c>
      <c r="H26" s="5">
        <v>8878</v>
      </c>
      <c r="I26" s="5">
        <v>0</v>
      </c>
      <c r="J26" s="5">
        <v>0</v>
      </c>
      <c r="K26" s="5">
        <v>9281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26692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171</v>
      </c>
      <c r="C29" s="5">
        <v>273</v>
      </c>
      <c r="D29" s="5">
        <v>326</v>
      </c>
      <c r="E29" s="5">
        <v>453</v>
      </c>
      <c r="F29" s="5">
        <v>5377</v>
      </c>
      <c r="G29" s="5">
        <v>5525</v>
      </c>
      <c r="H29" s="5">
        <v>5731</v>
      </c>
      <c r="I29" s="5">
        <v>0</v>
      </c>
      <c r="J29" s="5">
        <v>0</v>
      </c>
      <c r="K29" s="5">
        <v>6353</v>
      </c>
      <c r="L29" s="5">
        <v>0</v>
      </c>
    </row>
    <row r="30" spans="1:12" x14ac:dyDescent="0.35">
      <c r="A30" s="4" t="s">
        <v>239</v>
      </c>
      <c r="B30" s="5">
        <v>133</v>
      </c>
      <c r="C30" s="5">
        <v>144</v>
      </c>
      <c r="D30" s="5">
        <v>145</v>
      </c>
      <c r="E30" s="5">
        <v>149</v>
      </c>
      <c r="F30" s="5">
        <v>4802</v>
      </c>
      <c r="G30" s="5">
        <v>5267</v>
      </c>
      <c r="H30" s="5">
        <v>5455</v>
      </c>
      <c r="I30" s="5">
        <v>9939</v>
      </c>
      <c r="J30" s="5">
        <v>0</v>
      </c>
      <c r="K30" s="5">
        <v>6166</v>
      </c>
      <c r="L30" s="5">
        <v>13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275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43141</v>
      </c>
      <c r="G33" s="5">
        <v>44653</v>
      </c>
      <c r="H33" s="5">
        <v>0</v>
      </c>
      <c r="I33" s="5">
        <v>46393</v>
      </c>
      <c r="J33" s="5">
        <v>0</v>
      </c>
      <c r="K33" s="5">
        <v>48021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1284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58722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70552</v>
      </c>
      <c r="I38" s="5">
        <v>64638</v>
      </c>
      <c r="J38" s="5">
        <v>61028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18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18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197</v>
      </c>
      <c r="G43" s="5">
        <v>219</v>
      </c>
      <c r="H43" s="5">
        <v>230</v>
      </c>
      <c r="I43" s="5">
        <v>226</v>
      </c>
      <c r="J43" s="5">
        <v>0</v>
      </c>
      <c r="K43" s="5">
        <v>216</v>
      </c>
      <c r="L43" s="5">
        <v>643</v>
      </c>
    </row>
    <row r="44" spans="1:12" x14ac:dyDescent="0.35">
      <c r="A44" s="4" t="s">
        <v>251</v>
      </c>
      <c r="B44" s="5">
        <v>0</v>
      </c>
      <c r="C44" s="5">
        <v>0</v>
      </c>
      <c r="D44" s="5">
        <v>1631</v>
      </c>
      <c r="E44" s="5">
        <v>0</v>
      </c>
      <c r="F44" s="5">
        <v>1247</v>
      </c>
      <c r="G44" s="5">
        <v>0</v>
      </c>
      <c r="H44" s="5">
        <v>0</v>
      </c>
      <c r="I44" s="5">
        <v>0</v>
      </c>
      <c r="J44" s="5">
        <v>0</v>
      </c>
      <c r="K44" s="5">
        <v>1183</v>
      </c>
      <c r="L44" s="5">
        <v>0</v>
      </c>
    </row>
    <row r="45" spans="1:12" x14ac:dyDescent="0.35">
      <c r="A45" s="4" t="s">
        <v>252</v>
      </c>
      <c r="B45" s="5">
        <v>3453</v>
      </c>
      <c r="C45" s="5">
        <v>3588</v>
      </c>
      <c r="D45" s="5">
        <v>3705</v>
      </c>
      <c r="E45" s="5">
        <v>3783</v>
      </c>
      <c r="F45" s="5">
        <v>3725</v>
      </c>
      <c r="G45" s="5">
        <v>3790</v>
      </c>
      <c r="H45" s="5">
        <v>3848</v>
      </c>
      <c r="I45" s="5">
        <v>3830</v>
      </c>
      <c r="J45" s="5">
        <v>0</v>
      </c>
      <c r="K45" s="5">
        <v>4012</v>
      </c>
      <c r="L45" s="5">
        <v>255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1143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15459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90</v>
      </c>
      <c r="C49" s="5">
        <v>217</v>
      </c>
      <c r="D49" s="5">
        <v>362</v>
      </c>
      <c r="E49" s="5">
        <v>474</v>
      </c>
      <c r="F49" s="5">
        <v>0</v>
      </c>
      <c r="G49" s="5">
        <v>8919</v>
      </c>
      <c r="H49" s="5">
        <v>0</v>
      </c>
      <c r="I49" s="5">
        <v>0</v>
      </c>
      <c r="J49" s="5">
        <v>0</v>
      </c>
      <c r="K49" s="5">
        <v>3870</v>
      </c>
      <c r="L49" s="5">
        <v>20327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2857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7320</v>
      </c>
      <c r="C52" s="5">
        <v>0</v>
      </c>
      <c r="D52" s="5">
        <v>17491</v>
      </c>
      <c r="E52" s="5">
        <v>18477</v>
      </c>
      <c r="F52" s="5">
        <v>21713</v>
      </c>
      <c r="G52" s="5">
        <v>11741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7199</v>
      </c>
      <c r="G53" s="5">
        <v>7476</v>
      </c>
      <c r="H53" s="5">
        <v>7705</v>
      </c>
      <c r="I53" s="5">
        <v>7908</v>
      </c>
      <c r="J53" s="5">
        <v>0</v>
      </c>
      <c r="K53" s="5">
        <v>8345</v>
      </c>
      <c r="L53" s="5">
        <v>1446</v>
      </c>
    </row>
    <row r="54" spans="1:12" x14ac:dyDescent="0.35">
      <c r="A54" s="4" t="s">
        <v>261</v>
      </c>
      <c r="B54" s="5">
        <v>7791</v>
      </c>
      <c r="C54" s="5">
        <v>8185</v>
      </c>
      <c r="D54" s="5">
        <v>8781</v>
      </c>
      <c r="E54" s="5">
        <v>9289</v>
      </c>
      <c r="F54" s="5">
        <v>252</v>
      </c>
      <c r="G54" s="5">
        <v>228</v>
      </c>
      <c r="H54" s="5">
        <v>217</v>
      </c>
      <c r="I54" s="5">
        <v>202</v>
      </c>
      <c r="J54" s="5">
        <v>0</v>
      </c>
      <c r="K54" s="5">
        <v>164</v>
      </c>
      <c r="L54" s="5">
        <v>109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853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8190</v>
      </c>
      <c r="G56" s="5">
        <v>8453</v>
      </c>
      <c r="H56" s="5">
        <v>8565</v>
      </c>
      <c r="I56" s="5">
        <v>8742</v>
      </c>
      <c r="J56" s="5">
        <v>0</v>
      </c>
      <c r="K56" s="5">
        <v>9125</v>
      </c>
      <c r="L56" s="5">
        <v>723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12683</v>
      </c>
      <c r="H57" s="5">
        <v>0</v>
      </c>
      <c r="I57" s="5">
        <v>0</v>
      </c>
      <c r="J57" s="5">
        <v>0</v>
      </c>
      <c r="K57" s="5">
        <v>0</v>
      </c>
      <c r="L57" s="5">
        <v>6656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15011</v>
      </c>
      <c r="H58" s="5">
        <v>0</v>
      </c>
      <c r="I58" s="5">
        <v>0</v>
      </c>
      <c r="J58" s="5">
        <v>0</v>
      </c>
      <c r="K58" s="5">
        <v>0</v>
      </c>
      <c r="L58" s="5">
        <v>9098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14192</v>
      </c>
      <c r="I59" s="5">
        <v>0</v>
      </c>
      <c r="J59" s="5">
        <v>0</v>
      </c>
      <c r="K59" s="5">
        <v>0</v>
      </c>
      <c r="L59" s="5">
        <v>0</v>
      </c>
    </row>
    <row r="60" spans="1:12" x14ac:dyDescent="0.35">
      <c r="A60" s="4" t="s">
        <v>267</v>
      </c>
      <c r="B60" s="5">
        <v>0</v>
      </c>
      <c r="C60" s="5">
        <v>0</v>
      </c>
      <c r="D60" s="5">
        <v>3453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49732</v>
      </c>
      <c r="H62" s="5">
        <v>0</v>
      </c>
      <c r="I62" s="5">
        <v>0</v>
      </c>
      <c r="J62" s="5">
        <v>0</v>
      </c>
      <c r="K62" s="5">
        <v>0</v>
      </c>
      <c r="L62" s="5">
        <v>9</v>
      </c>
    </row>
    <row r="63" spans="1:12" x14ac:dyDescent="0.35">
      <c r="A63" s="38" t="s">
        <v>317</v>
      </c>
      <c r="B63" s="36">
        <f>SUM(B3:B62)</f>
        <v>235258</v>
      </c>
      <c r="C63" s="36">
        <f t="shared" ref="C63:L63" si="0">SUM(C3:C62)</f>
        <v>102072</v>
      </c>
      <c r="D63" s="36">
        <f t="shared" si="0"/>
        <v>143834</v>
      </c>
      <c r="E63" s="36">
        <f t="shared" si="0"/>
        <v>145206</v>
      </c>
      <c r="F63" s="36">
        <f t="shared" si="0"/>
        <v>187030</v>
      </c>
      <c r="G63" s="36">
        <f t="shared" si="0"/>
        <v>254488</v>
      </c>
      <c r="H63" s="36">
        <f t="shared" si="0"/>
        <v>340269</v>
      </c>
      <c r="I63" s="36">
        <f t="shared" si="0"/>
        <v>270528</v>
      </c>
      <c r="J63" s="36">
        <f t="shared" si="0"/>
        <v>122056</v>
      </c>
      <c r="K63" s="36">
        <f t="shared" si="0"/>
        <v>213145</v>
      </c>
      <c r="L63" s="36">
        <f t="shared" si="0"/>
        <v>193870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1201525.5</v>
      </c>
      <c r="C65" s="15">
        <v>1214423.8999999999</v>
      </c>
      <c r="D65" s="15">
        <v>1224226.8999999999</v>
      </c>
      <c r="E65" s="15">
        <v>1224304.8999999999</v>
      </c>
      <c r="F65" s="15">
        <v>1193987.6000000001</v>
      </c>
      <c r="G65" s="15">
        <v>1185951.8</v>
      </c>
      <c r="H65" s="15">
        <v>1221592.2</v>
      </c>
      <c r="I65" s="15">
        <v>1253306.6000000001</v>
      </c>
      <c r="J65" s="15">
        <v>1247502</v>
      </c>
      <c r="K65" s="15">
        <v>1219311.2</v>
      </c>
      <c r="L65" s="15">
        <v>1197906.7</v>
      </c>
    </row>
  </sheetData>
  <hyperlinks>
    <hyperlink ref="N2" location="Home!A1" display="HOME" xr:uid="{3318BCD3-2FCA-4AE6-B825-7B26D8F2CF05}"/>
  </hyperlink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9217-55EF-4F0F-B139-E6C057AE8C96}">
  <dimension ref="A1:N65"/>
  <sheetViews>
    <sheetView zoomScale="84" zoomScaleNormal="84" workbookViewId="0">
      <pane xSplit="1" ySplit="2" topLeftCell="B32" activePane="bottomRight" state="frozen"/>
      <selection activeCell="J41" sqref="J41"/>
      <selection pane="topRight" activeCell="J41" sqref="J41"/>
      <selection pane="bottomLeft" activeCell="J41" sqref="J41"/>
      <selection pane="bottomRight" activeCell="B65" sqref="B65:L65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369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411</v>
      </c>
      <c r="I3" s="5">
        <v>342</v>
      </c>
      <c r="J3" s="5">
        <v>456</v>
      </c>
      <c r="K3" s="5">
        <v>0</v>
      </c>
      <c r="L3" s="5">
        <v>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338</v>
      </c>
      <c r="I4" s="5">
        <v>274</v>
      </c>
      <c r="J4" s="5">
        <v>383</v>
      </c>
      <c r="K4" s="5">
        <v>0</v>
      </c>
      <c r="L4" s="5">
        <v>0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9</v>
      </c>
      <c r="J5" s="5">
        <v>13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3726</v>
      </c>
      <c r="I6" s="5">
        <v>3714</v>
      </c>
      <c r="J6" s="5">
        <v>4530</v>
      </c>
      <c r="K6" s="5">
        <v>0</v>
      </c>
      <c r="L6" s="5">
        <v>0</v>
      </c>
    </row>
    <row r="7" spans="1:14" x14ac:dyDescent="0.35">
      <c r="A7" s="4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2380</v>
      </c>
      <c r="J7" s="5">
        <v>3020</v>
      </c>
      <c r="K7" s="5">
        <v>0</v>
      </c>
      <c r="L7" s="5">
        <v>0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32</v>
      </c>
      <c r="I8" s="5">
        <v>20</v>
      </c>
      <c r="J8" s="5">
        <v>28</v>
      </c>
      <c r="K8" s="5">
        <v>0</v>
      </c>
      <c r="L8" s="5">
        <v>0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360</v>
      </c>
      <c r="I9" s="5">
        <v>98</v>
      </c>
      <c r="J9" s="5">
        <v>139</v>
      </c>
      <c r="K9" s="5">
        <v>0</v>
      </c>
      <c r="L9" s="5">
        <v>0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9</v>
      </c>
      <c r="J13" s="5">
        <v>7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1455</v>
      </c>
      <c r="I14" s="5">
        <v>850</v>
      </c>
      <c r="J14" s="5">
        <v>2826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22</v>
      </c>
      <c r="I15" s="5">
        <v>96</v>
      </c>
      <c r="J15" s="5">
        <v>128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8</v>
      </c>
      <c r="J21" s="5">
        <v>10</v>
      </c>
      <c r="K21" s="5">
        <v>0</v>
      </c>
      <c r="L21" s="5">
        <v>0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8</v>
      </c>
      <c r="J22" s="5">
        <v>11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13</v>
      </c>
      <c r="J26" s="5">
        <v>16</v>
      </c>
      <c r="K26" s="5">
        <v>0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272</v>
      </c>
      <c r="I30" s="5">
        <v>485</v>
      </c>
      <c r="J30" s="5">
        <v>635</v>
      </c>
      <c r="K30" s="5">
        <v>0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850</v>
      </c>
      <c r="J32" s="5">
        <v>1006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2000</v>
      </c>
      <c r="J35" s="5">
        <v>2564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380</v>
      </c>
      <c r="J36" s="5">
        <v>456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3726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3212</v>
      </c>
      <c r="J39" s="5">
        <v>3934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502</v>
      </c>
      <c r="J40" s="5">
        <v>596</v>
      </c>
      <c r="K40" s="5">
        <v>0</v>
      </c>
      <c r="L40" s="5">
        <v>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168</v>
      </c>
      <c r="J43" s="5">
        <v>197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17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9</v>
      </c>
      <c r="J44" s="5">
        <v>12</v>
      </c>
      <c r="K44" s="5">
        <v>0</v>
      </c>
      <c r="L44" s="5">
        <v>0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13</v>
      </c>
      <c r="J45" s="5">
        <v>24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  <c r="H46" s="5">
        <v>0</v>
      </c>
      <c r="I46" s="5">
        <v>20</v>
      </c>
      <c r="J46" s="5">
        <v>26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580</v>
      </c>
      <c r="J49" s="5">
        <v>623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5870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253</v>
      </c>
      <c r="J52" s="5">
        <v>291</v>
      </c>
      <c r="K52" s="5">
        <v>0</v>
      </c>
      <c r="L52" s="5">
        <v>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11</v>
      </c>
      <c r="J53" s="5">
        <v>0</v>
      </c>
      <c r="K53" s="5">
        <v>0</v>
      </c>
      <c r="L53" s="5">
        <v>0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17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</v>
      </c>
      <c r="J55" s="5">
        <v>3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73</v>
      </c>
      <c r="I59" s="5">
        <v>68</v>
      </c>
      <c r="J59" s="5">
        <v>73</v>
      </c>
      <c r="K59" s="5">
        <v>0</v>
      </c>
      <c r="L59" s="5">
        <v>0</v>
      </c>
    </row>
    <row r="60" spans="1:12" x14ac:dyDescent="0.35">
      <c r="A60" s="4" t="s">
        <v>267</v>
      </c>
      <c r="B60" s="5">
        <v>0</v>
      </c>
      <c r="C60" s="5">
        <v>15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14</v>
      </c>
      <c r="J60" s="5">
        <v>18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0</v>
      </c>
      <c r="C63" s="36">
        <f t="shared" ref="C63:L63" si="0">SUM(C3:C62)</f>
        <v>32</v>
      </c>
      <c r="D63" s="36">
        <f t="shared" si="0"/>
        <v>0</v>
      </c>
      <c r="E63" s="36">
        <f t="shared" si="0"/>
        <v>0</v>
      </c>
      <c r="F63" s="36">
        <f t="shared" si="0"/>
        <v>0</v>
      </c>
      <c r="G63" s="36">
        <f t="shared" si="0"/>
        <v>1</v>
      </c>
      <c r="H63" s="36">
        <f t="shared" si="0"/>
        <v>10417</v>
      </c>
      <c r="I63" s="36">
        <f t="shared" si="0"/>
        <v>22259</v>
      </c>
      <c r="J63" s="36">
        <f t="shared" si="0"/>
        <v>22052</v>
      </c>
      <c r="K63" s="36">
        <f t="shared" si="0"/>
        <v>0</v>
      </c>
      <c r="L63" s="36">
        <f t="shared" si="0"/>
        <v>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408449.5</v>
      </c>
      <c r="C65" s="15">
        <v>420676</v>
      </c>
      <c r="D65" s="15">
        <v>423842.2</v>
      </c>
      <c r="E65" s="15">
        <v>409891.2</v>
      </c>
      <c r="F65" s="15">
        <v>389229.6</v>
      </c>
      <c r="G65" s="15">
        <v>360673.9</v>
      </c>
      <c r="H65" s="15">
        <v>323958.40000000002</v>
      </c>
      <c r="I65" s="15">
        <v>303184.59999999998</v>
      </c>
      <c r="J65" s="15">
        <v>301708.79999999999</v>
      </c>
      <c r="K65" s="15">
        <v>306239.5</v>
      </c>
      <c r="L65" s="15">
        <v>309372.40000000002</v>
      </c>
    </row>
  </sheetData>
  <hyperlinks>
    <hyperlink ref="N2" location="Home!A1" display="HOME" xr:uid="{6B28387C-99A6-4F02-83F7-E1F5A5C0E934}"/>
  </hyperlink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9597-B34C-438D-BB44-33C979D6FD03}">
  <dimension ref="A1:N65"/>
  <sheetViews>
    <sheetView zoomScale="84" zoomScaleNormal="84" workbookViewId="0">
      <pane xSplit="1" ySplit="2" topLeftCell="B37" activePane="bottomRight" state="frozen"/>
      <selection activeCell="J41" sqref="J41"/>
      <selection pane="topRight" activeCell="J41" sqref="J41"/>
      <selection pane="bottomLeft" activeCell="J41" sqref="J41"/>
      <selection pane="bottomRight" activeCell="E66" sqref="E66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370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1481</v>
      </c>
      <c r="C3" s="5">
        <v>98355</v>
      </c>
      <c r="D3" s="5">
        <v>3015</v>
      </c>
      <c r="E3" s="5">
        <v>0</v>
      </c>
      <c r="F3" s="5">
        <v>0</v>
      </c>
      <c r="G3" s="5">
        <v>0</v>
      </c>
      <c r="H3" s="5">
        <v>2885</v>
      </c>
      <c r="I3" s="5">
        <v>0</v>
      </c>
      <c r="J3" s="5">
        <v>0</v>
      </c>
      <c r="K3" s="5">
        <v>0</v>
      </c>
      <c r="L3" s="5">
        <v>8693</v>
      </c>
    </row>
    <row r="4" spans="1:14" x14ac:dyDescent="0.35">
      <c r="A4" s="17" t="s">
        <v>213</v>
      </c>
      <c r="B4" s="5">
        <v>0</v>
      </c>
      <c r="C4" s="5">
        <v>4123</v>
      </c>
      <c r="D4" s="5">
        <v>0</v>
      </c>
      <c r="E4" s="5">
        <v>0</v>
      </c>
      <c r="F4" s="5">
        <v>0</v>
      </c>
      <c r="G4" s="5">
        <v>0</v>
      </c>
      <c r="H4" s="5">
        <v>2434</v>
      </c>
      <c r="I4" s="5">
        <v>0</v>
      </c>
      <c r="J4" s="5">
        <v>0</v>
      </c>
      <c r="K4" s="5">
        <v>0</v>
      </c>
      <c r="L4" s="5">
        <v>6701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20800</v>
      </c>
      <c r="C6" s="5">
        <v>307230</v>
      </c>
      <c r="D6" s="5">
        <v>21552</v>
      </c>
      <c r="E6" s="5">
        <v>0</v>
      </c>
      <c r="F6" s="5">
        <v>0</v>
      </c>
      <c r="G6" s="5">
        <v>31940</v>
      </c>
      <c r="H6" s="5">
        <v>31940</v>
      </c>
      <c r="I6" s="5">
        <v>0</v>
      </c>
      <c r="J6" s="5">
        <v>0</v>
      </c>
      <c r="K6" s="5">
        <v>0</v>
      </c>
      <c r="L6" s="5">
        <v>0</v>
      </c>
    </row>
    <row r="7" spans="1:14" x14ac:dyDescent="0.35">
      <c r="A7" s="4" t="s">
        <v>216</v>
      </c>
      <c r="B7" s="5">
        <v>0</v>
      </c>
      <c r="C7" s="5">
        <v>162049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 x14ac:dyDescent="0.35">
      <c r="A8" s="4" t="s">
        <v>217</v>
      </c>
      <c r="B8" s="5">
        <v>99</v>
      </c>
      <c r="C8" s="5">
        <v>7737</v>
      </c>
      <c r="D8" s="5">
        <v>104</v>
      </c>
      <c r="E8" s="5">
        <v>0</v>
      </c>
      <c r="F8" s="5">
        <v>0</v>
      </c>
      <c r="G8" s="5">
        <v>0</v>
      </c>
      <c r="H8" s="5">
        <v>682</v>
      </c>
      <c r="I8" s="5">
        <v>0</v>
      </c>
      <c r="J8" s="5">
        <v>0</v>
      </c>
      <c r="K8" s="5">
        <v>0</v>
      </c>
      <c r="L8" s="5">
        <v>583</v>
      </c>
    </row>
    <row r="9" spans="1:14" x14ac:dyDescent="0.35">
      <c r="A9" s="4" t="s">
        <v>218</v>
      </c>
      <c r="B9" s="5">
        <v>339</v>
      </c>
      <c r="C9" s="5">
        <v>5289</v>
      </c>
      <c r="D9" s="5">
        <v>707</v>
      </c>
      <c r="E9" s="5">
        <v>0</v>
      </c>
      <c r="F9" s="5">
        <v>0</v>
      </c>
      <c r="G9" s="5">
        <v>0</v>
      </c>
      <c r="H9" s="5">
        <v>1845</v>
      </c>
      <c r="I9" s="5">
        <v>0</v>
      </c>
      <c r="J9" s="5">
        <v>0</v>
      </c>
      <c r="K9" s="5">
        <v>0</v>
      </c>
      <c r="L9" s="5">
        <v>1746</v>
      </c>
    </row>
    <row r="10" spans="1:14" x14ac:dyDescent="0.35">
      <c r="A10" s="4" t="s">
        <v>219</v>
      </c>
      <c r="B10" s="5">
        <v>317</v>
      </c>
      <c r="C10" s="5">
        <v>5334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64876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2586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</row>
    <row r="13" spans="1:14" x14ac:dyDescent="0.35">
      <c r="A13" s="4" t="s">
        <v>222</v>
      </c>
      <c r="B13" s="5">
        <v>28</v>
      </c>
      <c r="C13" s="5">
        <v>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96</v>
      </c>
    </row>
    <row r="14" spans="1:14" x14ac:dyDescent="0.35">
      <c r="A14" s="4" t="s">
        <v>223</v>
      </c>
      <c r="B14" s="5">
        <v>0</v>
      </c>
      <c r="C14" s="5">
        <v>13057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20737</v>
      </c>
    </row>
    <row r="15" spans="1:14" x14ac:dyDescent="0.35">
      <c r="A15" s="4" t="s">
        <v>224</v>
      </c>
      <c r="B15" s="5">
        <v>366</v>
      </c>
      <c r="C15" s="5">
        <v>4863</v>
      </c>
      <c r="D15" s="5">
        <v>933</v>
      </c>
      <c r="E15" s="5">
        <v>0</v>
      </c>
      <c r="F15" s="5">
        <v>0</v>
      </c>
      <c r="G15" s="5">
        <v>0</v>
      </c>
      <c r="H15" s="5">
        <v>768</v>
      </c>
      <c r="I15" s="5">
        <v>0</v>
      </c>
      <c r="J15" s="5">
        <v>0</v>
      </c>
      <c r="K15" s="5">
        <v>0</v>
      </c>
      <c r="L15" s="5">
        <v>449</v>
      </c>
    </row>
    <row r="16" spans="1:14" x14ac:dyDescent="0.35">
      <c r="A16" s="4" t="s">
        <v>225</v>
      </c>
      <c r="B16" s="5">
        <v>44</v>
      </c>
      <c r="C16" s="5">
        <v>44</v>
      </c>
      <c r="D16" s="5">
        <v>0</v>
      </c>
      <c r="E16" s="5">
        <v>0</v>
      </c>
      <c r="F16" s="5">
        <v>0</v>
      </c>
      <c r="G16" s="5">
        <v>0</v>
      </c>
      <c r="H16" s="5">
        <v>89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66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22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1473</v>
      </c>
      <c r="D20" s="5">
        <v>1119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2313</v>
      </c>
    </row>
    <row r="21" spans="1:12" x14ac:dyDescent="0.35">
      <c r="A21" s="4" t="s">
        <v>230</v>
      </c>
      <c r="B21" s="5">
        <v>929</v>
      </c>
      <c r="C21" s="5">
        <v>8854</v>
      </c>
      <c r="D21" s="5">
        <v>1205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657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787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223</v>
      </c>
      <c r="C26" s="5">
        <v>9468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543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2337</v>
      </c>
    </row>
    <row r="29" spans="1:12" x14ac:dyDescent="0.35">
      <c r="A29" s="4" t="s">
        <v>238</v>
      </c>
      <c r="B29" s="5">
        <v>1997</v>
      </c>
      <c r="C29" s="5">
        <v>7101</v>
      </c>
      <c r="D29" s="5">
        <v>2508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4743</v>
      </c>
    </row>
    <row r="30" spans="1:12" x14ac:dyDescent="0.35">
      <c r="A30" s="4" t="s">
        <v>239</v>
      </c>
      <c r="B30" s="5">
        <v>89</v>
      </c>
      <c r="C30" s="5">
        <v>2613</v>
      </c>
      <c r="D30" s="5">
        <v>93</v>
      </c>
      <c r="E30" s="5">
        <v>0</v>
      </c>
      <c r="F30" s="5">
        <v>0</v>
      </c>
      <c r="G30" s="5">
        <v>0</v>
      </c>
      <c r="H30" s="5">
        <v>4361</v>
      </c>
      <c r="I30" s="5">
        <v>0</v>
      </c>
      <c r="J30" s="5">
        <v>0</v>
      </c>
      <c r="K30" s="5">
        <v>0</v>
      </c>
      <c r="L30" s="5">
        <v>1198</v>
      </c>
    </row>
    <row r="31" spans="1:12" x14ac:dyDescent="0.35">
      <c r="A31" s="4" t="s">
        <v>240</v>
      </c>
      <c r="B31" s="5">
        <v>16</v>
      </c>
      <c r="C31" s="5">
        <v>26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12</v>
      </c>
    </row>
    <row r="32" spans="1:12" x14ac:dyDescent="0.35">
      <c r="A32" s="4" t="s">
        <v>241</v>
      </c>
      <c r="B32" s="5">
        <v>470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724</v>
      </c>
    </row>
    <row r="33" spans="1:12" x14ac:dyDescent="0.35">
      <c r="A33" s="4" t="s">
        <v>242</v>
      </c>
      <c r="B33" s="5">
        <v>1481</v>
      </c>
      <c r="C33" s="5">
        <v>93142</v>
      </c>
      <c r="D33" s="5">
        <v>2086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7658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145240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9151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20800</v>
      </c>
      <c r="C38" s="5">
        <v>189065</v>
      </c>
      <c r="D38" s="5">
        <v>21552</v>
      </c>
      <c r="E38" s="5">
        <v>0</v>
      </c>
      <c r="F38" s="5">
        <v>0</v>
      </c>
      <c r="G38" s="5">
        <v>0</v>
      </c>
      <c r="H38" s="5">
        <v>31940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54862</v>
      </c>
      <c r="D39" s="5">
        <v>0</v>
      </c>
      <c r="E39" s="5">
        <v>0</v>
      </c>
      <c r="F39" s="5">
        <v>0</v>
      </c>
      <c r="G39" s="5">
        <v>21351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63303</v>
      </c>
      <c r="D40" s="5">
        <v>0</v>
      </c>
      <c r="E40" s="5">
        <v>0</v>
      </c>
      <c r="F40" s="5">
        <v>0</v>
      </c>
      <c r="G40" s="5">
        <v>10589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4" t="s">
        <v>332</v>
      </c>
      <c r="B41" s="5">
        <v>0</v>
      </c>
      <c r="C41" s="5">
        <v>14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65</v>
      </c>
      <c r="C43" s="5">
        <v>1427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646</v>
      </c>
      <c r="D44" s="5">
        <v>0</v>
      </c>
      <c r="E44" s="5">
        <v>0</v>
      </c>
      <c r="F44" s="5">
        <v>67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5">
      <c r="A45" s="4" t="s">
        <v>252</v>
      </c>
      <c r="B45" s="5">
        <v>82</v>
      </c>
      <c r="C45" s="5">
        <v>3703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201</v>
      </c>
    </row>
    <row r="46" spans="1:12" x14ac:dyDescent="0.35">
      <c r="A46" s="4" t="s">
        <v>253</v>
      </c>
      <c r="B46" s="5">
        <v>0</v>
      </c>
      <c r="C46" s="5">
        <v>996</v>
      </c>
      <c r="D46" s="5">
        <v>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2</v>
      </c>
    </row>
    <row r="49" spans="1:12" x14ac:dyDescent="0.35">
      <c r="A49" s="4" t="s">
        <v>256</v>
      </c>
      <c r="B49" s="5">
        <v>8787</v>
      </c>
      <c r="C49" s="5">
        <v>228</v>
      </c>
      <c r="D49" s="5">
        <v>10536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71119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317</v>
      </c>
      <c r="C52" s="5">
        <v>2529</v>
      </c>
      <c r="D52" s="5">
        <v>1132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5583</v>
      </c>
    </row>
    <row r="53" spans="1:12" x14ac:dyDescent="0.35">
      <c r="A53" s="4" t="s">
        <v>260</v>
      </c>
      <c r="B53" s="5">
        <v>118</v>
      </c>
      <c r="C53" s="5">
        <v>717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526</v>
      </c>
    </row>
    <row r="54" spans="1:12" x14ac:dyDescent="0.35">
      <c r="A54" s="4" t="s">
        <v>261</v>
      </c>
      <c r="B54" s="5">
        <v>12</v>
      </c>
      <c r="C54" s="5">
        <v>8185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832</v>
      </c>
    </row>
    <row r="55" spans="1:12" x14ac:dyDescent="0.35">
      <c r="A55" s="4" t="s">
        <v>262</v>
      </c>
      <c r="B55" s="5">
        <v>0</v>
      </c>
      <c r="C55" s="5">
        <v>33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0</v>
      </c>
      <c r="C57" s="5">
        <v>72047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2636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1090</v>
      </c>
      <c r="D59" s="5">
        <v>929</v>
      </c>
      <c r="E59" s="5">
        <v>0</v>
      </c>
      <c r="F59" s="5">
        <v>0</v>
      </c>
      <c r="G59" s="5">
        <v>0</v>
      </c>
      <c r="H59" s="5">
        <v>451</v>
      </c>
      <c r="I59" s="5">
        <v>0</v>
      </c>
      <c r="J59" s="5">
        <v>0</v>
      </c>
      <c r="K59" s="5">
        <v>0</v>
      </c>
      <c r="L59" s="5">
        <v>1992</v>
      </c>
    </row>
    <row r="60" spans="1:12" x14ac:dyDescent="0.35">
      <c r="A60" s="4" t="s">
        <v>267</v>
      </c>
      <c r="B60" s="5">
        <v>0</v>
      </c>
      <c r="C60" s="5">
        <v>3526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35">
      <c r="A61" s="4" t="s">
        <v>268</v>
      </c>
      <c r="B61" s="5">
        <v>0</v>
      </c>
      <c r="C61" s="5">
        <v>4494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4710</v>
      </c>
    </row>
    <row r="62" spans="1:12" x14ac:dyDescent="0.35">
      <c r="A62" s="4" t="s">
        <v>269</v>
      </c>
      <c r="B62" s="5">
        <v>0</v>
      </c>
      <c r="C62" s="5">
        <v>276910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58860</v>
      </c>
      <c r="C63" s="36">
        <f t="shared" ref="C63:L63" si="0">SUM(C3:C62)</f>
        <v>1646770</v>
      </c>
      <c r="D63" s="36">
        <f t="shared" si="0"/>
        <v>67477</v>
      </c>
      <c r="E63" s="36">
        <f t="shared" si="0"/>
        <v>0</v>
      </c>
      <c r="F63" s="36">
        <f t="shared" si="0"/>
        <v>67</v>
      </c>
      <c r="G63" s="36">
        <f t="shared" si="0"/>
        <v>63880</v>
      </c>
      <c r="H63" s="36">
        <f t="shared" si="0"/>
        <v>77395</v>
      </c>
      <c r="I63" s="36">
        <f t="shared" si="0"/>
        <v>0</v>
      </c>
      <c r="J63" s="36">
        <f t="shared" si="0"/>
        <v>0</v>
      </c>
      <c r="K63" s="36">
        <f t="shared" si="0"/>
        <v>0</v>
      </c>
      <c r="L63" s="36">
        <f t="shared" si="0"/>
        <v>137286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1802575.6</v>
      </c>
      <c r="C65" s="15">
        <v>1850826.3</v>
      </c>
      <c r="D65" s="15">
        <v>1924245.2</v>
      </c>
      <c r="E65" s="15">
        <v>1988487.9</v>
      </c>
      <c r="F65" s="15">
        <v>2044971.2</v>
      </c>
      <c r="G65" s="15">
        <v>2100281</v>
      </c>
      <c r="H65" s="15">
        <v>2149250.2000000002</v>
      </c>
      <c r="I65" s="15">
        <v>2192621.7000000002</v>
      </c>
      <c r="J65" s="15">
        <v>2235369.7000000002</v>
      </c>
      <c r="K65" s="15">
        <v>2277499.2000000002</v>
      </c>
      <c r="L65" s="15">
        <v>2323148.7999999998</v>
      </c>
    </row>
  </sheetData>
  <hyperlinks>
    <hyperlink ref="N2" location="Home!A1" display="HOME" xr:uid="{4A9A4A15-9E2E-4F65-A99D-E969746D012E}"/>
  </hyperlink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5108-0463-4619-B285-BF1E9B25304B}">
  <dimension ref="A1:N65"/>
  <sheetViews>
    <sheetView zoomScale="84" zoomScaleNormal="84" workbookViewId="0">
      <pane xSplit="1" ySplit="2" topLeftCell="B42" activePane="bottomRight" state="frozen"/>
      <selection activeCell="J41" sqref="J41"/>
      <selection pane="topRight" activeCell="J41" sqref="J41"/>
      <selection pane="bottomLeft" activeCell="J41" sqref="J41"/>
      <selection pane="bottomRight" activeCell="L71" sqref="L71"/>
    </sheetView>
  </sheetViews>
  <sheetFormatPr defaultColWidth="11.453125" defaultRowHeight="14.5" x14ac:dyDescent="0.35"/>
  <cols>
    <col min="1" max="1" width="71.26953125" style="20" bestFit="1" customWidth="1"/>
    <col min="2" max="16384" width="11.453125" style="20"/>
  </cols>
  <sheetData>
    <row r="1" spans="1:14" x14ac:dyDescent="0.35">
      <c r="A1" s="2" t="s">
        <v>371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361</v>
      </c>
      <c r="F3" s="5">
        <v>347</v>
      </c>
      <c r="G3" s="5">
        <v>583</v>
      </c>
      <c r="H3" s="5">
        <v>611</v>
      </c>
      <c r="I3" s="5">
        <v>627</v>
      </c>
      <c r="J3" s="5">
        <v>685</v>
      </c>
      <c r="K3" s="5">
        <v>506</v>
      </c>
      <c r="L3" s="5">
        <v>730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97</v>
      </c>
      <c r="F4" s="5">
        <v>0</v>
      </c>
      <c r="G4" s="5">
        <v>230</v>
      </c>
      <c r="H4" s="5">
        <v>219</v>
      </c>
      <c r="I4" s="5">
        <v>230</v>
      </c>
      <c r="J4" s="5">
        <v>354</v>
      </c>
      <c r="K4" s="5">
        <v>149</v>
      </c>
      <c r="L4" s="5">
        <v>331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1341</v>
      </c>
      <c r="F6" s="5">
        <v>1419</v>
      </c>
      <c r="G6" s="5">
        <v>1966</v>
      </c>
      <c r="H6" s="5">
        <v>1951</v>
      </c>
      <c r="I6" s="5">
        <v>2134</v>
      </c>
      <c r="J6" s="5">
        <v>2455</v>
      </c>
      <c r="K6" s="5">
        <v>1946</v>
      </c>
      <c r="L6" s="5">
        <v>2630</v>
      </c>
    </row>
    <row r="7" spans="1:14" x14ac:dyDescent="0.35">
      <c r="A7" s="4" t="s">
        <v>216</v>
      </c>
      <c r="B7" s="5">
        <v>0</v>
      </c>
      <c r="C7" s="5">
        <v>795</v>
      </c>
      <c r="D7" s="5">
        <v>0</v>
      </c>
      <c r="E7" s="5">
        <v>869</v>
      </c>
      <c r="F7" s="5">
        <v>961</v>
      </c>
      <c r="G7" s="5">
        <v>1268</v>
      </c>
      <c r="H7" s="5">
        <v>1285</v>
      </c>
      <c r="I7" s="5">
        <v>1619</v>
      </c>
      <c r="J7" s="5">
        <v>1743</v>
      </c>
      <c r="K7" s="5">
        <v>1482</v>
      </c>
      <c r="L7" s="5">
        <v>1864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18</v>
      </c>
      <c r="F8" s="5">
        <v>0</v>
      </c>
      <c r="G8" s="5">
        <v>57</v>
      </c>
      <c r="H8" s="5">
        <v>21</v>
      </c>
      <c r="I8" s="5">
        <v>0</v>
      </c>
      <c r="J8" s="5">
        <v>0</v>
      </c>
      <c r="K8" s="5">
        <v>13</v>
      </c>
      <c r="L8" s="5">
        <v>18</v>
      </c>
    </row>
    <row r="9" spans="1:14" x14ac:dyDescent="0.35">
      <c r="A9" s="4" t="s">
        <v>218</v>
      </c>
      <c r="B9" s="5">
        <v>0</v>
      </c>
      <c r="C9" s="5">
        <v>0</v>
      </c>
      <c r="D9" s="5">
        <v>0</v>
      </c>
      <c r="E9" s="5">
        <v>17</v>
      </c>
      <c r="F9" s="5">
        <v>13</v>
      </c>
      <c r="G9" s="5">
        <v>218</v>
      </c>
      <c r="H9" s="5">
        <v>213</v>
      </c>
      <c r="I9" s="5">
        <v>222</v>
      </c>
      <c r="J9" s="5">
        <v>232</v>
      </c>
      <c r="K9" s="5">
        <v>21</v>
      </c>
      <c r="L9" s="5">
        <v>255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1107</v>
      </c>
      <c r="F10" s="5">
        <v>688</v>
      </c>
      <c r="G10" s="5">
        <v>1431</v>
      </c>
      <c r="H10" s="5">
        <v>1050</v>
      </c>
      <c r="I10" s="5">
        <v>884</v>
      </c>
      <c r="J10" s="5">
        <v>1411</v>
      </c>
      <c r="K10" s="5">
        <v>991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9</v>
      </c>
      <c r="G12" s="5">
        <v>21</v>
      </c>
      <c r="H12" s="5">
        <v>25</v>
      </c>
      <c r="I12" s="5">
        <v>35</v>
      </c>
      <c r="J12" s="5">
        <v>83</v>
      </c>
      <c r="K12" s="5">
        <v>33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9</v>
      </c>
      <c r="G13" s="5">
        <v>22</v>
      </c>
      <c r="H13" s="5">
        <v>23</v>
      </c>
      <c r="I13" s="5">
        <v>16</v>
      </c>
      <c r="J13" s="5">
        <v>20</v>
      </c>
      <c r="K13" s="5">
        <v>5</v>
      </c>
      <c r="L13" s="5">
        <v>19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7545</v>
      </c>
      <c r="H14" s="5">
        <v>7086</v>
      </c>
      <c r="I14" s="5">
        <v>0</v>
      </c>
      <c r="J14" s="5">
        <v>7386</v>
      </c>
      <c r="K14" s="5">
        <v>7500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25</v>
      </c>
      <c r="J15" s="5">
        <v>0</v>
      </c>
      <c r="K15" s="5">
        <v>0</v>
      </c>
      <c r="L15" s="5">
        <v>1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2</v>
      </c>
      <c r="G16" s="5">
        <v>6</v>
      </c>
      <c r="H16" s="5">
        <v>4</v>
      </c>
      <c r="I16" s="5">
        <v>2</v>
      </c>
      <c r="J16" s="5">
        <v>2</v>
      </c>
      <c r="K16" s="5">
        <v>2</v>
      </c>
      <c r="L16" s="5">
        <v>19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2</v>
      </c>
      <c r="I18" s="5">
        <v>2</v>
      </c>
      <c r="J18" s="5">
        <v>2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19</v>
      </c>
      <c r="G19" s="5">
        <v>11</v>
      </c>
      <c r="H19" s="5">
        <v>0</v>
      </c>
      <c r="I19" s="5">
        <v>17</v>
      </c>
      <c r="J19" s="5">
        <v>20</v>
      </c>
      <c r="K19" s="5">
        <v>104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18</v>
      </c>
      <c r="G20" s="5">
        <v>35</v>
      </c>
      <c r="H20" s="5">
        <v>300</v>
      </c>
      <c r="I20" s="5">
        <v>332</v>
      </c>
      <c r="J20" s="5">
        <v>50</v>
      </c>
      <c r="K20" s="5">
        <v>86</v>
      </c>
      <c r="L20" s="5">
        <v>0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0</v>
      </c>
      <c r="F21" s="5">
        <v>293</v>
      </c>
      <c r="G21" s="5">
        <v>309</v>
      </c>
      <c r="H21" s="5">
        <v>51</v>
      </c>
      <c r="I21" s="5">
        <v>21</v>
      </c>
      <c r="J21" s="5">
        <v>379</v>
      </c>
      <c r="K21" s="5">
        <v>342</v>
      </c>
      <c r="L21" s="5">
        <v>461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29</v>
      </c>
      <c r="G22" s="5">
        <v>43</v>
      </c>
      <c r="H22" s="5">
        <v>45</v>
      </c>
      <c r="I22" s="5">
        <v>48</v>
      </c>
      <c r="J22" s="5">
        <v>45</v>
      </c>
      <c r="K22" s="5">
        <v>38</v>
      </c>
      <c r="L22" s="5">
        <v>37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2249</v>
      </c>
      <c r="G23" s="5">
        <v>3474</v>
      </c>
      <c r="H23" s="5">
        <v>0</v>
      </c>
      <c r="I23" s="5">
        <v>3845</v>
      </c>
      <c r="J23" s="5">
        <v>4622</v>
      </c>
      <c r="K23" s="5">
        <v>2974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0</v>
      </c>
      <c r="F26" s="5">
        <v>112</v>
      </c>
      <c r="G26" s="5">
        <v>151</v>
      </c>
      <c r="H26" s="5">
        <v>148</v>
      </c>
      <c r="I26" s="5">
        <v>139</v>
      </c>
      <c r="J26" s="5">
        <v>280</v>
      </c>
      <c r="K26" s="5">
        <v>95</v>
      </c>
      <c r="L26" s="5">
        <v>0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1377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997</v>
      </c>
      <c r="K28" s="5">
        <v>0</v>
      </c>
      <c r="L28" s="5">
        <v>595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0</v>
      </c>
      <c r="F29" s="5">
        <v>129</v>
      </c>
      <c r="G29" s="5">
        <v>201</v>
      </c>
      <c r="H29" s="5">
        <v>183</v>
      </c>
      <c r="I29" s="5">
        <v>195</v>
      </c>
      <c r="J29" s="5">
        <v>338</v>
      </c>
      <c r="K29" s="5">
        <v>149</v>
      </c>
      <c r="L29" s="5">
        <v>887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407</v>
      </c>
      <c r="F30" s="5">
        <v>276</v>
      </c>
      <c r="G30" s="5">
        <v>454</v>
      </c>
      <c r="H30" s="5">
        <v>460</v>
      </c>
      <c r="I30" s="5">
        <v>518</v>
      </c>
      <c r="J30" s="5">
        <v>589</v>
      </c>
      <c r="K30" s="5">
        <v>446</v>
      </c>
      <c r="L30" s="5">
        <v>0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0</v>
      </c>
      <c r="F31" s="5">
        <v>48</v>
      </c>
      <c r="G31" s="5">
        <v>58</v>
      </c>
      <c r="H31" s="5">
        <v>51</v>
      </c>
      <c r="I31" s="5">
        <v>14</v>
      </c>
      <c r="J31" s="5">
        <v>6</v>
      </c>
      <c r="K31" s="5">
        <v>17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347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14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399</v>
      </c>
      <c r="D35" s="5">
        <v>0</v>
      </c>
      <c r="E35" s="5">
        <v>0</v>
      </c>
      <c r="F35" s="5">
        <v>502</v>
      </c>
      <c r="G35" s="5">
        <v>614</v>
      </c>
      <c r="H35" s="5">
        <v>630</v>
      </c>
      <c r="I35" s="5">
        <v>834</v>
      </c>
      <c r="J35" s="5">
        <v>809</v>
      </c>
      <c r="K35" s="5">
        <v>709</v>
      </c>
      <c r="L35" s="5">
        <v>821</v>
      </c>
    </row>
    <row r="36" spans="1:12" x14ac:dyDescent="0.35">
      <c r="A36" s="4" t="s">
        <v>245</v>
      </c>
      <c r="B36" s="5">
        <v>0</v>
      </c>
      <c r="C36" s="5">
        <v>396</v>
      </c>
      <c r="D36" s="5">
        <v>0</v>
      </c>
      <c r="E36" s="5">
        <v>0</v>
      </c>
      <c r="F36" s="5">
        <v>459</v>
      </c>
      <c r="G36" s="5">
        <v>654</v>
      </c>
      <c r="H36" s="5">
        <v>655</v>
      </c>
      <c r="I36" s="5">
        <v>785</v>
      </c>
      <c r="J36" s="5">
        <v>934</v>
      </c>
      <c r="K36" s="5">
        <v>773</v>
      </c>
      <c r="L36" s="5">
        <v>1043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869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1341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499</v>
      </c>
      <c r="G39" s="5">
        <v>762</v>
      </c>
      <c r="H39" s="5">
        <v>925</v>
      </c>
      <c r="I39" s="5">
        <v>899</v>
      </c>
      <c r="J39" s="5">
        <v>902</v>
      </c>
      <c r="K39" s="5">
        <v>759</v>
      </c>
      <c r="L39" s="5">
        <v>931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920</v>
      </c>
      <c r="G40" s="5">
        <v>1204</v>
      </c>
      <c r="H40" s="5">
        <v>1026</v>
      </c>
      <c r="I40" s="5">
        <v>1235</v>
      </c>
      <c r="J40" s="5">
        <v>1553</v>
      </c>
      <c r="K40" s="5">
        <v>1187</v>
      </c>
      <c r="L40" s="5">
        <v>1699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1</v>
      </c>
      <c r="G43" s="5">
        <v>7</v>
      </c>
      <c r="H43" s="5">
        <v>3</v>
      </c>
      <c r="I43" s="5">
        <v>5</v>
      </c>
      <c r="J43" s="5">
        <v>7</v>
      </c>
      <c r="K43" s="5">
        <v>14</v>
      </c>
      <c r="L43" s="5">
        <v>50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35</v>
      </c>
      <c r="G44" s="5">
        <v>47</v>
      </c>
      <c r="H44" s="5">
        <v>49</v>
      </c>
      <c r="I44" s="5">
        <v>45</v>
      </c>
      <c r="J44" s="5">
        <v>61</v>
      </c>
      <c r="K44" s="5">
        <v>34</v>
      </c>
      <c r="L44" s="5">
        <v>43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2</v>
      </c>
      <c r="G45" s="5">
        <v>6</v>
      </c>
      <c r="H45" s="5">
        <v>5</v>
      </c>
      <c r="I45" s="5">
        <v>4</v>
      </c>
      <c r="J45" s="5">
        <v>3</v>
      </c>
      <c r="K45" s="5">
        <v>1</v>
      </c>
      <c r="L45" s="5">
        <v>2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144</v>
      </c>
      <c r="G46" s="5">
        <v>229</v>
      </c>
      <c r="H46" s="5">
        <v>233</v>
      </c>
      <c r="I46" s="5">
        <v>236</v>
      </c>
      <c r="J46" s="5">
        <v>61</v>
      </c>
      <c r="K46" s="5">
        <v>190</v>
      </c>
      <c r="L46" s="5">
        <v>0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1340</v>
      </c>
      <c r="G47" s="5">
        <v>1364</v>
      </c>
      <c r="H47" s="5">
        <v>1353</v>
      </c>
      <c r="I47" s="5">
        <v>1353</v>
      </c>
      <c r="J47" s="5">
        <v>2137</v>
      </c>
      <c r="K47" s="5">
        <v>2139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1264</v>
      </c>
      <c r="G48" s="5">
        <v>1806</v>
      </c>
      <c r="H48" s="5">
        <v>1554</v>
      </c>
      <c r="I48" s="5">
        <v>1948</v>
      </c>
      <c r="J48" s="5">
        <v>1371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638</v>
      </c>
      <c r="G49" s="5">
        <v>945</v>
      </c>
      <c r="H49" s="5">
        <v>978</v>
      </c>
      <c r="I49" s="5">
        <v>817</v>
      </c>
      <c r="J49" s="5">
        <v>0</v>
      </c>
      <c r="K49" s="5">
        <v>813</v>
      </c>
      <c r="L49" s="5">
        <v>390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3903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0</v>
      </c>
      <c r="C52" s="5">
        <v>0</v>
      </c>
      <c r="D52" s="5">
        <v>0</v>
      </c>
      <c r="E52" s="5">
        <v>0</v>
      </c>
      <c r="F52" s="5">
        <v>1</v>
      </c>
      <c r="G52" s="5">
        <v>3</v>
      </c>
      <c r="H52" s="5">
        <v>3</v>
      </c>
      <c r="I52" s="5">
        <v>32</v>
      </c>
      <c r="J52" s="5">
        <v>49</v>
      </c>
      <c r="K52" s="5">
        <v>44</v>
      </c>
      <c r="L52" s="5">
        <v>73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0</v>
      </c>
      <c r="F53" s="5">
        <v>152</v>
      </c>
      <c r="G53" s="5">
        <v>174</v>
      </c>
      <c r="H53" s="5">
        <v>160</v>
      </c>
      <c r="I53" s="5">
        <v>117</v>
      </c>
      <c r="J53" s="5">
        <v>230</v>
      </c>
      <c r="K53" s="5">
        <v>161</v>
      </c>
      <c r="L53" s="5">
        <v>183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231</v>
      </c>
      <c r="F54" s="5">
        <v>0</v>
      </c>
      <c r="G54" s="5">
        <v>0</v>
      </c>
      <c r="H54" s="5">
        <v>0</v>
      </c>
      <c r="I54" s="5">
        <v>58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3</v>
      </c>
      <c r="C55" s="5">
        <v>2</v>
      </c>
      <c r="D55" s="5">
        <v>0</v>
      </c>
      <c r="E55" s="5">
        <v>0</v>
      </c>
      <c r="F55" s="5">
        <v>2</v>
      </c>
      <c r="G55" s="5">
        <v>5</v>
      </c>
      <c r="H55" s="5">
        <v>3</v>
      </c>
      <c r="I55" s="5">
        <v>5</v>
      </c>
      <c r="J55" s="5">
        <v>6</v>
      </c>
      <c r="K55" s="5">
        <v>5</v>
      </c>
      <c r="L55" s="5">
        <v>0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33</v>
      </c>
      <c r="G56" s="5">
        <v>57</v>
      </c>
      <c r="H56" s="5">
        <v>62</v>
      </c>
      <c r="I56" s="5">
        <v>61</v>
      </c>
      <c r="J56" s="5">
        <v>65</v>
      </c>
      <c r="K56" s="5">
        <v>69</v>
      </c>
      <c r="L56" s="5">
        <v>0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41</v>
      </c>
      <c r="H57" s="5">
        <v>42</v>
      </c>
      <c r="I57" s="5">
        <v>41</v>
      </c>
      <c r="J57" s="5">
        <v>45</v>
      </c>
      <c r="K57" s="5">
        <v>33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14</v>
      </c>
      <c r="G58" s="5">
        <v>21</v>
      </c>
      <c r="H58" s="5">
        <v>20</v>
      </c>
      <c r="I58" s="5">
        <v>21</v>
      </c>
      <c r="J58" s="5">
        <v>21</v>
      </c>
      <c r="K58" s="5">
        <v>23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264</v>
      </c>
      <c r="F59" s="5">
        <v>0</v>
      </c>
      <c r="G59" s="5">
        <v>353</v>
      </c>
      <c r="H59" s="5">
        <v>392</v>
      </c>
      <c r="I59" s="5">
        <v>397</v>
      </c>
      <c r="J59" s="5">
        <v>331</v>
      </c>
      <c r="K59" s="5">
        <v>357</v>
      </c>
      <c r="L59" s="5">
        <v>399</v>
      </c>
    </row>
    <row r="60" spans="1:12" x14ac:dyDescent="0.35">
      <c r="A60" s="4" t="s">
        <v>267</v>
      </c>
      <c r="B60" s="5">
        <v>46</v>
      </c>
      <c r="C60" s="5">
        <v>51</v>
      </c>
      <c r="D60" s="5">
        <v>0</v>
      </c>
      <c r="E60" s="5">
        <v>0</v>
      </c>
      <c r="F60" s="5">
        <v>60</v>
      </c>
      <c r="G60" s="5">
        <v>0</v>
      </c>
      <c r="H60" s="5">
        <v>81</v>
      </c>
      <c r="I60" s="5">
        <v>63</v>
      </c>
      <c r="J60" s="5">
        <v>76</v>
      </c>
      <c r="K60" s="5">
        <v>90</v>
      </c>
      <c r="L60" s="5">
        <v>101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49</v>
      </c>
      <c r="C63" s="36">
        <f t="shared" ref="C63:L63" si="0">SUM(C3:C62)</f>
        <v>1643</v>
      </c>
      <c r="D63" s="36">
        <f t="shared" si="0"/>
        <v>0</v>
      </c>
      <c r="E63" s="36">
        <f t="shared" si="0"/>
        <v>6922</v>
      </c>
      <c r="F63" s="36">
        <f t="shared" si="0"/>
        <v>13034</v>
      </c>
      <c r="G63" s="36">
        <f t="shared" si="0"/>
        <v>26376</v>
      </c>
      <c r="H63" s="36">
        <f t="shared" si="0"/>
        <v>25806</v>
      </c>
      <c r="I63" s="36">
        <f t="shared" si="0"/>
        <v>19882</v>
      </c>
      <c r="J63" s="36">
        <f t="shared" si="0"/>
        <v>30375</v>
      </c>
      <c r="K63" s="36">
        <f t="shared" si="0"/>
        <v>24301</v>
      </c>
      <c r="L63" s="36">
        <f t="shared" si="0"/>
        <v>14959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243236.1</v>
      </c>
      <c r="C65" s="15">
        <v>245420.7</v>
      </c>
      <c r="D65" s="15">
        <v>248497.9</v>
      </c>
      <c r="E65" s="15">
        <v>251850.6</v>
      </c>
      <c r="F65" s="15">
        <v>255832.9</v>
      </c>
      <c r="G65" s="15">
        <v>259750.6</v>
      </c>
      <c r="H65" s="15">
        <v>262963.5</v>
      </c>
      <c r="I65" s="15">
        <v>266152.90000000002</v>
      </c>
      <c r="J65" s="15">
        <v>269323.40000000002</v>
      </c>
      <c r="K65" s="15">
        <v>272351.90000000002</v>
      </c>
      <c r="L65" s="15">
        <v>275519.8</v>
      </c>
    </row>
  </sheetData>
  <hyperlinks>
    <hyperlink ref="N2" location="Home!A1" display="HOME" xr:uid="{42F0E99D-F69D-4FE2-A572-355EC74D15B7}"/>
  </hyperlink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D9C3-5C34-4F41-986F-344D336560F8}">
  <dimension ref="A1:N65"/>
  <sheetViews>
    <sheetView zoomScale="84" zoomScaleNormal="84" workbookViewId="0">
      <pane xSplit="1" ySplit="2" topLeftCell="B30" activePane="bottomRight" state="frozen"/>
      <selection activeCell="J41" sqref="J41"/>
      <selection pane="topRight" activeCell="J41" sqref="J41"/>
      <selection pane="bottomLeft" activeCell="J41" sqref="J41"/>
      <selection pane="bottomRight" activeCell="B65" sqref="B65"/>
    </sheetView>
  </sheetViews>
  <sheetFormatPr defaultColWidth="11.453125" defaultRowHeight="14.5" x14ac:dyDescent="0.35"/>
  <cols>
    <col min="1" max="1" width="71.1796875" style="20" customWidth="1"/>
    <col min="2" max="16384" width="11.453125" style="20"/>
  </cols>
  <sheetData>
    <row r="1" spans="1:14" x14ac:dyDescent="0.35">
      <c r="A1" s="2" t="s">
        <v>372</v>
      </c>
      <c r="B1"/>
      <c r="C1"/>
      <c r="D1"/>
      <c r="E1"/>
      <c r="F1"/>
      <c r="G1"/>
      <c r="H1"/>
      <c r="I1"/>
      <c r="J1"/>
      <c r="K1"/>
      <c r="L1"/>
    </row>
    <row r="2" spans="1:14" x14ac:dyDescent="0.35">
      <c r="A2" s="34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3370</v>
      </c>
      <c r="C3" s="5">
        <v>0</v>
      </c>
      <c r="D3" s="5">
        <v>0</v>
      </c>
      <c r="E3" s="5">
        <v>3645</v>
      </c>
      <c r="F3" s="5">
        <v>0</v>
      </c>
      <c r="G3" s="5">
        <v>6918</v>
      </c>
      <c r="H3" s="5">
        <v>0</v>
      </c>
      <c r="I3" s="5">
        <v>0</v>
      </c>
      <c r="J3" s="5">
        <v>7031</v>
      </c>
      <c r="K3" s="5">
        <v>0</v>
      </c>
      <c r="L3" s="5">
        <v>7941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6369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338</v>
      </c>
    </row>
    <row r="6" spans="1:14" x14ac:dyDescent="0.35">
      <c r="A6" s="4" t="s">
        <v>215</v>
      </c>
      <c r="B6" s="5">
        <v>40816</v>
      </c>
      <c r="C6" s="5">
        <v>40149</v>
      </c>
      <c r="D6" s="5">
        <v>45388</v>
      </c>
      <c r="E6" s="5">
        <v>50681</v>
      </c>
      <c r="F6" s="5">
        <v>55228</v>
      </c>
      <c r="G6" s="5">
        <v>60456</v>
      </c>
      <c r="H6" s="5">
        <v>52907</v>
      </c>
      <c r="I6" s="5">
        <v>0</v>
      </c>
      <c r="J6" s="5">
        <v>51327</v>
      </c>
      <c r="K6" s="5">
        <v>0</v>
      </c>
      <c r="L6" s="5">
        <v>74197</v>
      </c>
    </row>
    <row r="7" spans="1:14" x14ac:dyDescent="0.35">
      <c r="A7" s="4" t="s">
        <v>216</v>
      </c>
      <c r="B7" s="5">
        <v>0</v>
      </c>
      <c r="C7" s="5">
        <v>7000</v>
      </c>
      <c r="D7" s="5">
        <v>0</v>
      </c>
      <c r="E7" s="5">
        <v>8815</v>
      </c>
      <c r="F7" s="5">
        <v>9802</v>
      </c>
      <c r="G7" s="5">
        <v>0</v>
      </c>
      <c r="H7" s="5">
        <v>0</v>
      </c>
      <c r="I7" s="5">
        <v>0</v>
      </c>
      <c r="J7" s="5">
        <v>23546</v>
      </c>
      <c r="K7" s="5">
        <v>0</v>
      </c>
      <c r="L7" s="5">
        <v>32957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276</v>
      </c>
      <c r="F8" s="5">
        <v>0</v>
      </c>
      <c r="G8" s="5">
        <v>0</v>
      </c>
      <c r="H8" s="5">
        <v>26</v>
      </c>
      <c r="I8" s="5">
        <v>310</v>
      </c>
      <c r="J8" s="5">
        <v>255</v>
      </c>
      <c r="K8" s="5">
        <v>0</v>
      </c>
      <c r="L8" s="5">
        <v>1440</v>
      </c>
    </row>
    <row r="9" spans="1:14" x14ac:dyDescent="0.35">
      <c r="A9" s="4" t="s">
        <v>218</v>
      </c>
      <c r="B9" s="5">
        <v>550</v>
      </c>
      <c r="C9" s="5">
        <v>0</v>
      </c>
      <c r="D9" s="5">
        <v>0</v>
      </c>
      <c r="E9" s="5">
        <v>45</v>
      </c>
      <c r="F9" s="5">
        <v>0</v>
      </c>
      <c r="G9" s="5">
        <v>0</v>
      </c>
      <c r="H9" s="5">
        <v>324</v>
      </c>
      <c r="I9" s="5">
        <v>0</v>
      </c>
      <c r="J9" s="5">
        <v>1717</v>
      </c>
      <c r="K9" s="5">
        <v>0</v>
      </c>
      <c r="L9" s="5">
        <v>1712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179175</v>
      </c>
      <c r="F14" s="5">
        <v>0</v>
      </c>
      <c r="G14" s="5">
        <v>0</v>
      </c>
      <c r="H14" s="5">
        <v>0</v>
      </c>
      <c r="I14" s="5">
        <v>179000</v>
      </c>
      <c r="J14" s="5">
        <v>0</v>
      </c>
      <c r="K14" s="5">
        <v>0</v>
      </c>
      <c r="L14" s="5">
        <v>0</v>
      </c>
    </row>
    <row r="15" spans="1:14" x14ac:dyDescent="0.35">
      <c r="A15" s="4" t="s">
        <v>224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900</v>
      </c>
      <c r="J15" s="5">
        <v>0</v>
      </c>
      <c r="K15" s="5">
        <v>0</v>
      </c>
      <c r="L15" s="5">
        <v>0</v>
      </c>
    </row>
    <row r="16" spans="1:14" x14ac:dyDescent="0.35">
      <c r="A16" s="4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30</v>
      </c>
      <c r="J16" s="5">
        <v>0</v>
      </c>
      <c r="K16" s="5">
        <v>0</v>
      </c>
      <c r="L16" s="5">
        <v>0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3936</v>
      </c>
    </row>
    <row r="21" spans="1:12" x14ac:dyDescent="0.35">
      <c r="A21" s="4" t="s">
        <v>230</v>
      </c>
      <c r="B21" s="5">
        <v>0</v>
      </c>
      <c r="C21" s="5">
        <v>0</v>
      </c>
      <c r="D21" s="5">
        <v>0</v>
      </c>
      <c r="E21" s="5">
        <v>1925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426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273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0</v>
      </c>
      <c r="C26" s="5">
        <v>0</v>
      </c>
      <c r="D26" s="5">
        <v>0</v>
      </c>
      <c r="E26" s="5">
        <v>121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1249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14531</v>
      </c>
    </row>
    <row r="29" spans="1:12" x14ac:dyDescent="0.35">
      <c r="A29" s="4" t="s">
        <v>238</v>
      </c>
      <c r="B29" s="5">
        <v>0</v>
      </c>
      <c r="C29" s="5">
        <v>0</v>
      </c>
      <c r="D29" s="5">
        <v>0</v>
      </c>
      <c r="E29" s="5">
        <v>2447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13380</v>
      </c>
    </row>
    <row r="30" spans="1:12" x14ac:dyDescent="0.35">
      <c r="A30" s="4" t="s">
        <v>239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3874</v>
      </c>
      <c r="I30" s="5">
        <v>0</v>
      </c>
      <c r="J30" s="5">
        <v>0</v>
      </c>
      <c r="K30" s="5">
        <v>0</v>
      </c>
      <c r="L30" s="5">
        <v>3309</v>
      </c>
    </row>
    <row r="31" spans="1:12" x14ac:dyDescent="0.35">
      <c r="A31" s="4" t="s">
        <v>240</v>
      </c>
      <c r="B31" s="5">
        <v>0</v>
      </c>
      <c r="C31" s="5">
        <v>0</v>
      </c>
      <c r="D31" s="5">
        <v>0</v>
      </c>
      <c r="E31" s="5">
        <v>227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3370</v>
      </c>
      <c r="C33" s="5">
        <v>0</v>
      </c>
      <c r="D33" s="5">
        <v>0</v>
      </c>
      <c r="E33" s="5">
        <v>3645</v>
      </c>
      <c r="F33" s="5">
        <v>0</v>
      </c>
      <c r="G33" s="5">
        <v>6918</v>
      </c>
      <c r="H33" s="5">
        <v>0</v>
      </c>
      <c r="I33" s="5">
        <v>0</v>
      </c>
      <c r="J33" s="5">
        <v>7031</v>
      </c>
      <c r="K33" s="5">
        <v>0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8698</v>
      </c>
    </row>
    <row r="36" spans="1:12" x14ac:dyDescent="0.35">
      <c r="A36" s="4" t="s">
        <v>245</v>
      </c>
      <c r="B36" s="5">
        <v>0</v>
      </c>
      <c r="C36" s="5">
        <v>7000</v>
      </c>
      <c r="D36" s="5">
        <v>0</v>
      </c>
      <c r="E36" s="5">
        <v>0</v>
      </c>
      <c r="F36" s="5">
        <v>9802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8815</v>
      </c>
      <c r="F37" s="5">
        <v>0</v>
      </c>
      <c r="G37" s="5">
        <v>0</v>
      </c>
      <c r="H37" s="5">
        <v>0</v>
      </c>
      <c r="I37" s="5">
        <v>0</v>
      </c>
      <c r="J37" s="5">
        <v>23546</v>
      </c>
      <c r="K37" s="5">
        <v>0</v>
      </c>
      <c r="L37" s="5">
        <v>24259</v>
      </c>
    </row>
    <row r="38" spans="1:12" x14ac:dyDescent="0.35">
      <c r="A38" s="4" t="s">
        <v>247</v>
      </c>
      <c r="B38" s="5">
        <v>40816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51327</v>
      </c>
      <c r="K38" s="5">
        <v>0</v>
      </c>
      <c r="L38" s="5">
        <v>52772</v>
      </c>
    </row>
    <row r="39" spans="1:12" x14ac:dyDescent="0.35">
      <c r="A39" s="4" t="s">
        <v>248</v>
      </c>
      <c r="B39" s="5">
        <v>0</v>
      </c>
      <c r="C39" s="5">
        <v>25846</v>
      </c>
      <c r="D39" s="5">
        <v>29982</v>
      </c>
      <c r="E39" s="5">
        <v>33980</v>
      </c>
      <c r="F39" s="5">
        <v>39631</v>
      </c>
      <c r="G39" s="5">
        <v>45008</v>
      </c>
      <c r="H39" s="5">
        <v>47881</v>
      </c>
      <c r="I39" s="5">
        <v>0</v>
      </c>
      <c r="J39" s="5">
        <v>0</v>
      </c>
      <c r="K39" s="5">
        <v>0</v>
      </c>
      <c r="L39" s="5">
        <v>21425</v>
      </c>
    </row>
    <row r="40" spans="1:12" x14ac:dyDescent="0.35">
      <c r="A40" s="4" t="s">
        <v>249</v>
      </c>
      <c r="B40" s="5">
        <v>0</v>
      </c>
      <c r="C40" s="5">
        <v>14303</v>
      </c>
      <c r="D40" s="5">
        <v>15406</v>
      </c>
      <c r="E40" s="5">
        <v>16701</v>
      </c>
      <c r="F40" s="5">
        <v>15597</v>
      </c>
      <c r="G40" s="5">
        <v>15448</v>
      </c>
      <c r="H40" s="5">
        <v>5026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5">
      <c r="A44" s="4" t="s">
        <v>251</v>
      </c>
      <c r="B44" s="5">
        <v>0</v>
      </c>
      <c r="C44" s="5">
        <v>0</v>
      </c>
      <c r="D44" s="5">
        <v>0</v>
      </c>
      <c r="E44" s="5">
        <v>0</v>
      </c>
      <c r="F44" s="5">
        <v>42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315</v>
      </c>
    </row>
    <row r="45" spans="1:12" x14ac:dyDescent="0.35">
      <c r="A45" s="4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4" t="s">
        <v>253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158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650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1820</v>
      </c>
    </row>
    <row r="53" spans="1:12" x14ac:dyDescent="0.35">
      <c r="A53" s="4" t="s">
        <v>260</v>
      </c>
      <c r="B53" s="5">
        <v>0</v>
      </c>
      <c r="C53" s="5">
        <v>0</v>
      </c>
      <c r="D53" s="5">
        <v>0</v>
      </c>
      <c r="E53" s="5">
        <v>114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572</v>
      </c>
    </row>
    <row r="54" spans="1:12" x14ac:dyDescent="0.35">
      <c r="A54" s="4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59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5">
      <c r="A57" s="4" t="s">
        <v>264</v>
      </c>
      <c r="B57" s="5">
        <v>6046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1572</v>
      </c>
    </row>
    <row r="60" spans="1:12" x14ac:dyDescent="0.35">
      <c r="A60" s="4" t="s">
        <v>267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429</v>
      </c>
    </row>
    <row r="61" spans="1:12" x14ac:dyDescent="0.35">
      <c r="A61" s="4" t="s">
        <v>268</v>
      </c>
      <c r="B61" s="5">
        <v>19791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115409</v>
      </c>
      <c r="C63" s="36">
        <f t="shared" ref="C63:L63" si="0">SUM(C3:C62)</f>
        <v>94298</v>
      </c>
      <c r="D63" s="36">
        <f t="shared" si="0"/>
        <v>90776</v>
      </c>
      <c r="E63" s="36">
        <f t="shared" si="0"/>
        <v>310612</v>
      </c>
      <c r="F63" s="36">
        <f t="shared" si="0"/>
        <v>130102</v>
      </c>
      <c r="G63" s="36">
        <f t="shared" si="0"/>
        <v>134748</v>
      </c>
      <c r="H63" s="36">
        <f t="shared" si="0"/>
        <v>110038</v>
      </c>
      <c r="I63" s="36">
        <f t="shared" si="0"/>
        <v>180240</v>
      </c>
      <c r="J63" s="36">
        <f t="shared" si="0"/>
        <v>165780</v>
      </c>
      <c r="K63" s="36">
        <f t="shared" si="0"/>
        <v>0</v>
      </c>
      <c r="L63" s="36">
        <f t="shared" si="0"/>
        <v>274137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1402343.9</v>
      </c>
      <c r="C65" s="15">
        <v>1420776.7</v>
      </c>
      <c r="D65" s="15">
        <v>1437486</v>
      </c>
      <c r="E65" s="15">
        <v>1456401</v>
      </c>
      <c r="F65" s="15">
        <v>1479060.5</v>
      </c>
      <c r="G65" s="15">
        <v>1511805.9</v>
      </c>
      <c r="H65" s="15">
        <v>1554009.4</v>
      </c>
      <c r="I65" s="15">
        <v>1595456</v>
      </c>
      <c r="J65" s="15">
        <v>1634390</v>
      </c>
      <c r="K65" s="15">
        <v>1671156.9</v>
      </c>
      <c r="L65" s="15">
        <v>1701068.1</v>
      </c>
    </row>
  </sheetData>
  <hyperlinks>
    <hyperlink ref="N2" location="Home!A1" display="HOME" xr:uid="{8CA7E022-B56F-4222-B1FC-37A0139BBA0D}"/>
  </hyperlink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B32A-413C-4FAD-96E4-10A1638FFC12}">
  <dimension ref="A1:N65"/>
  <sheetViews>
    <sheetView zoomScale="84" zoomScaleNormal="84" workbookViewId="0">
      <pane xSplit="1" ySplit="2" topLeftCell="B26" activePane="bottomRight" state="frozen"/>
      <selection activeCell="J41" sqref="J41"/>
      <selection pane="topRight" activeCell="J41" sqref="J41"/>
      <selection pane="bottomLeft" activeCell="J41" sqref="J41"/>
      <selection pane="bottomRight" activeCell="P60" sqref="P60"/>
    </sheetView>
  </sheetViews>
  <sheetFormatPr defaultColWidth="11.453125" defaultRowHeight="14.5" x14ac:dyDescent="0.35"/>
  <cols>
    <col min="1" max="1" width="70.7265625" style="20" customWidth="1"/>
    <col min="2" max="4" width="7.81640625" style="20" bestFit="1" customWidth="1"/>
    <col min="5" max="10" width="9.26953125" style="20" bestFit="1" customWidth="1"/>
    <col min="11" max="12" width="7.81640625" style="20" bestFit="1" customWidth="1"/>
    <col min="13" max="16384" width="11.453125" style="20"/>
  </cols>
  <sheetData>
    <row r="1" spans="1:14" x14ac:dyDescent="0.35">
      <c r="A1" s="19" t="s">
        <v>373</v>
      </c>
    </row>
    <row r="2" spans="1:14" x14ac:dyDescent="0.35">
      <c r="A2" s="39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17" t="s">
        <v>212</v>
      </c>
      <c r="B3" s="5">
        <v>0</v>
      </c>
      <c r="C3" s="5">
        <v>0</v>
      </c>
      <c r="D3" s="5">
        <v>0</v>
      </c>
      <c r="E3" s="5">
        <v>0</v>
      </c>
      <c r="F3" s="5">
        <v>1514</v>
      </c>
      <c r="G3" s="5">
        <v>0</v>
      </c>
      <c r="H3" s="5">
        <v>4021</v>
      </c>
      <c r="I3" s="5">
        <v>4386</v>
      </c>
      <c r="J3" s="5">
        <v>4818</v>
      </c>
      <c r="K3" s="5">
        <v>5773</v>
      </c>
      <c r="L3" s="5">
        <v>5243</v>
      </c>
    </row>
    <row r="4" spans="1:14" x14ac:dyDescent="0.35">
      <c r="A4" s="17" t="s">
        <v>213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4709</v>
      </c>
    </row>
    <row r="5" spans="1:14" x14ac:dyDescent="0.35">
      <c r="A5" s="4" t="s">
        <v>214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101</v>
      </c>
    </row>
    <row r="6" spans="1:14" x14ac:dyDescent="0.35">
      <c r="A6" s="4" t="s">
        <v>215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15691</v>
      </c>
      <c r="H6" s="5">
        <v>20746</v>
      </c>
      <c r="I6" s="5">
        <v>23035</v>
      </c>
      <c r="J6" s="5">
        <v>27674</v>
      </c>
      <c r="K6" s="5">
        <v>32542</v>
      </c>
      <c r="L6" s="5">
        <v>33779</v>
      </c>
    </row>
    <row r="7" spans="1:14" x14ac:dyDescent="0.35">
      <c r="A7" s="4" t="s">
        <v>216</v>
      </c>
      <c r="B7" s="5">
        <v>0</v>
      </c>
      <c r="C7" s="5">
        <v>2773</v>
      </c>
      <c r="D7" s="5">
        <v>0</v>
      </c>
      <c r="E7" s="5">
        <v>0</v>
      </c>
      <c r="F7" s="5">
        <v>3333</v>
      </c>
      <c r="G7" s="5">
        <v>0</v>
      </c>
      <c r="H7" s="5">
        <v>2137</v>
      </c>
      <c r="I7" s="5">
        <v>3223</v>
      </c>
      <c r="J7" s="5">
        <v>3312</v>
      </c>
      <c r="K7" s="5">
        <v>3746</v>
      </c>
      <c r="L7" s="5">
        <v>9202</v>
      </c>
    </row>
    <row r="8" spans="1:14" x14ac:dyDescent="0.35">
      <c r="A8" s="4" t="s">
        <v>217</v>
      </c>
      <c r="B8" s="5">
        <v>0</v>
      </c>
      <c r="C8" s="5">
        <v>0</v>
      </c>
      <c r="D8" s="5">
        <v>0</v>
      </c>
      <c r="E8" s="5">
        <v>0</v>
      </c>
      <c r="F8" s="5">
        <v>312</v>
      </c>
      <c r="G8" s="5">
        <v>0</v>
      </c>
      <c r="H8" s="5">
        <v>160</v>
      </c>
      <c r="I8" s="5">
        <v>180</v>
      </c>
      <c r="J8" s="5">
        <v>205</v>
      </c>
      <c r="K8" s="5">
        <v>269</v>
      </c>
      <c r="L8" s="5">
        <v>261</v>
      </c>
    </row>
    <row r="9" spans="1:14" x14ac:dyDescent="0.35">
      <c r="A9" s="4" t="s">
        <v>218</v>
      </c>
      <c r="B9" s="5">
        <v>409</v>
      </c>
      <c r="C9" s="5">
        <v>0</v>
      </c>
      <c r="D9" s="5">
        <v>0</v>
      </c>
      <c r="E9" s="5">
        <v>0</v>
      </c>
      <c r="F9" s="5">
        <v>1159</v>
      </c>
      <c r="G9" s="5">
        <v>0</v>
      </c>
      <c r="H9" s="5">
        <v>727</v>
      </c>
      <c r="I9" s="5">
        <v>856</v>
      </c>
      <c r="J9" s="5">
        <v>1082</v>
      </c>
      <c r="K9" s="5">
        <v>1376</v>
      </c>
      <c r="L9" s="5">
        <v>639</v>
      </c>
    </row>
    <row r="10" spans="1:14" x14ac:dyDescent="0.35">
      <c r="A10" s="4" t="s">
        <v>219</v>
      </c>
      <c r="B10" s="5">
        <v>0</v>
      </c>
      <c r="C10" s="5">
        <v>0</v>
      </c>
      <c r="D10" s="5">
        <v>0</v>
      </c>
      <c r="E10" s="5">
        <v>0</v>
      </c>
      <c r="F10" s="5">
        <v>19254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4" t="s">
        <v>220</v>
      </c>
      <c r="B11" s="5">
        <v>17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18</v>
      </c>
    </row>
    <row r="12" spans="1:14" x14ac:dyDescent="0.35">
      <c r="A12" s="4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</row>
    <row r="13" spans="1:14" x14ac:dyDescent="0.35">
      <c r="A13" s="4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</row>
    <row r="14" spans="1:14" x14ac:dyDescent="0.35">
      <c r="A14" s="4" t="s">
        <v>223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1283</v>
      </c>
      <c r="I14" s="5">
        <v>1846</v>
      </c>
      <c r="J14" s="5">
        <v>41669</v>
      </c>
      <c r="K14" s="5">
        <v>0</v>
      </c>
      <c r="L14" s="5">
        <v>2421</v>
      </c>
    </row>
    <row r="15" spans="1:14" x14ac:dyDescent="0.35">
      <c r="A15" s="4" t="s">
        <v>224</v>
      </c>
      <c r="B15" s="5">
        <v>282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353</v>
      </c>
      <c r="I15" s="5">
        <v>390</v>
      </c>
      <c r="J15" s="5">
        <v>453</v>
      </c>
      <c r="K15" s="5">
        <v>499</v>
      </c>
      <c r="L15" s="5">
        <v>743</v>
      </c>
    </row>
    <row r="16" spans="1:14" x14ac:dyDescent="0.35">
      <c r="A16" s="4" t="s">
        <v>225</v>
      </c>
      <c r="B16" s="5">
        <v>42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23</v>
      </c>
    </row>
    <row r="17" spans="1:12" x14ac:dyDescent="0.35">
      <c r="A17" s="4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3</v>
      </c>
    </row>
    <row r="18" spans="1:12" x14ac:dyDescent="0.35">
      <c r="A18" s="4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4" t="s">
        <v>228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 x14ac:dyDescent="0.35">
      <c r="A20" s="4" t="s">
        <v>229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3325</v>
      </c>
    </row>
    <row r="21" spans="1:12" x14ac:dyDescent="0.35">
      <c r="A21" s="4" t="s">
        <v>230</v>
      </c>
      <c r="B21" s="5">
        <v>566</v>
      </c>
      <c r="C21" s="5">
        <v>0</v>
      </c>
      <c r="D21" s="5">
        <v>0</v>
      </c>
      <c r="E21" s="5">
        <v>0</v>
      </c>
      <c r="F21" s="5">
        <v>1796</v>
      </c>
      <c r="G21" s="5">
        <v>0</v>
      </c>
      <c r="H21" s="5">
        <v>2742</v>
      </c>
      <c r="I21" s="5">
        <v>3207</v>
      </c>
      <c r="J21" s="5">
        <v>3830</v>
      </c>
      <c r="K21" s="5">
        <v>4646</v>
      </c>
      <c r="L21" s="5">
        <v>463</v>
      </c>
    </row>
    <row r="22" spans="1:12" x14ac:dyDescent="0.35">
      <c r="A22" s="4" t="s">
        <v>231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61</v>
      </c>
    </row>
    <row r="23" spans="1:12" x14ac:dyDescent="0.35">
      <c r="A23" s="4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4" t="s">
        <v>233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5">
      <c r="A25" s="4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119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5">
      <c r="A26" s="4" t="s">
        <v>235</v>
      </c>
      <c r="B26" s="5">
        <v>500</v>
      </c>
      <c r="C26" s="5">
        <v>0</v>
      </c>
      <c r="D26" s="5">
        <v>0</v>
      </c>
      <c r="E26" s="5">
        <v>0</v>
      </c>
      <c r="F26" s="5">
        <v>419</v>
      </c>
      <c r="G26" s="5">
        <v>0</v>
      </c>
      <c r="H26" s="5">
        <v>761</v>
      </c>
      <c r="I26" s="5">
        <v>929</v>
      </c>
      <c r="J26" s="5">
        <v>1075</v>
      </c>
      <c r="K26" s="5">
        <v>1375</v>
      </c>
      <c r="L26" s="5">
        <v>2633</v>
      </c>
    </row>
    <row r="27" spans="1:12" x14ac:dyDescent="0.35">
      <c r="A27" s="4" t="s">
        <v>236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4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7144</v>
      </c>
    </row>
    <row r="29" spans="1:12" x14ac:dyDescent="0.35">
      <c r="A29" s="4" t="s">
        <v>238</v>
      </c>
      <c r="B29" s="5">
        <v>1126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1712</v>
      </c>
      <c r="I29" s="5">
        <v>2045</v>
      </c>
      <c r="J29" s="5">
        <v>2506</v>
      </c>
      <c r="K29" s="5">
        <v>3182</v>
      </c>
      <c r="L29" s="5">
        <v>1474</v>
      </c>
    </row>
    <row r="30" spans="1:12" x14ac:dyDescent="0.35">
      <c r="A30" s="4" t="s">
        <v>239</v>
      </c>
      <c r="B30" s="5">
        <v>184</v>
      </c>
      <c r="C30" s="5">
        <v>0</v>
      </c>
      <c r="D30" s="5">
        <v>0</v>
      </c>
      <c r="E30" s="5">
        <v>0</v>
      </c>
      <c r="F30" s="5">
        <v>921</v>
      </c>
      <c r="G30" s="5">
        <v>0</v>
      </c>
      <c r="H30" s="5">
        <v>18</v>
      </c>
      <c r="I30" s="5">
        <v>18</v>
      </c>
      <c r="J30" s="5">
        <v>19</v>
      </c>
      <c r="K30" s="5">
        <v>19</v>
      </c>
      <c r="L30" s="5">
        <v>388</v>
      </c>
    </row>
    <row r="31" spans="1:12" x14ac:dyDescent="0.35">
      <c r="A31" s="4" t="s">
        <v>240</v>
      </c>
      <c r="B31" s="5">
        <v>11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5</v>
      </c>
    </row>
    <row r="32" spans="1:12" x14ac:dyDescent="0.35">
      <c r="A32" s="4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67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4" t="s">
        <v>242</v>
      </c>
      <c r="B33" s="5">
        <v>0</v>
      </c>
      <c r="C33" s="5">
        <v>0</v>
      </c>
      <c r="D33" s="5">
        <v>0</v>
      </c>
      <c r="E33" s="5">
        <v>0</v>
      </c>
      <c r="F33" s="5">
        <v>1514</v>
      </c>
      <c r="G33" s="5">
        <v>0</v>
      </c>
      <c r="H33" s="5">
        <v>4021</v>
      </c>
      <c r="I33" s="5">
        <v>4386</v>
      </c>
      <c r="J33" s="5">
        <v>4818</v>
      </c>
      <c r="K33" s="5">
        <v>5773</v>
      </c>
      <c r="L33" s="5">
        <v>0</v>
      </c>
    </row>
    <row r="34" spans="1:12" x14ac:dyDescent="0.35">
      <c r="A34" s="4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4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4" t="s">
        <v>245</v>
      </c>
      <c r="B36" s="5">
        <v>0</v>
      </c>
      <c r="C36" s="5">
        <v>2773</v>
      </c>
      <c r="D36" s="5">
        <v>0</v>
      </c>
      <c r="E36" s="5">
        <v>0</v>
      </c>
      <c r="F36" s="5">
        <v>192</v>
      </c>
      <c r="G36" s="5">
        <v>0</v>
      </c>
      <c r="H36" s="5">
        <v>2137</v>
      </c>
      <c r="I36" s="5">
        <v>3223</v>
      </c>
      <c r="J36" s="5">
        <v>3312</v>
      </c>
      <c r="K36" s="5">
        <v>3746</v>
      </c>
      <c r="L36" s="5">
        <v>9202</v>
      </c>
    </row>
    <row r="37" spans="1:12" x14ac:dyDescent="0.35">
      <c r="A37" s="4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3141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5">
      <c r="A38" s="4" t="s">
        <v>247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5">
      <c r="A39" s="4" t="s">
        <v>248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4" t="s">
        <v>249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15691</v>
      </c>
      <c r="H40" s="5">
        <v>20746</v>
      </c>
      <c r="I40" s="5">
        <v>23035</v>
      </c>
      <c r="J40" s="5">
        <v>27674</v>
      </c>
      <c r="K40" s="5">
        <v>32542</v>
      </c>
      <c r="L40" s="5">
        <v>33779</v>
      </c>
    </row>
    <row r="41" spans="1:12" x14ac:dyDescent="0.35">
      <c r="A41" s="4" t="s">
        <v>332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5">
      <c r="A42" s="4" t="s">
        <v>333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4" t="s">
        <v>250</v>
      </c>
      <c r="B43" s="5">
        <v>49</v>
      </c>
      <c r="C43" s="5">
        <v>0</v>
      </c>
      <c r="D43" s="5">
        <v>0</v>
      </c>
      <c r="E43" s="5">
        <v>0</v>
      </c>
      <c r="F43" s="5">
        <v>202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773</v>
      </c>
    </row>
    <row r="44" spans="1:12" x14ac:dyDescent="0.35">
      <c r="A44" s="4" t="s">
        <v>251</v>
      </c>
      <c r="B44" s="5">
        <v>46</v>
      </c>
      <c r="C44" s="5">
        <v>0</v>
      </c>
      <c r="D44" s="5">
        <v>0</v>
      </c>
      <c r="E44" s="5">
        <v>0</v>
      </c>
      <c r="F44" s="5">
        <v>46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85</v>
      </c>
    </row>
    <row r="45" spans="1:12" x14ac:dyDescent="0.35">
      <c r="A45" s="4" t="s">
        <v>252</v>
      </c>
      <c r="B45" s="5">
        <v>18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16</v>
      </c>
      <c r="I45" s="5">
        <v>0</v>
      </c>
      <c r="J45" s="5">
        <v>0</v>
      </c>
      <c r="K45" s="5">
        <v>0</v>
      </c>
      <c r="L45" s="5">
        <v>137</v>
      </c>
    </row>
    <row r="46" spans="1:12" x14ac:dyDescent="0.35">
      <c r="A46" s="4" t="s">
        <v>253</v>
      </c>
      <c r="B46" s="5">
        <v>13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79</v>
      </c>
    </row>
    <row r="47" spans="1:12" x14ac:dyDescent="0.35">
      <c r="A47" s="4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4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4" t="s">
        <v>256</v>
      </c>
      <c r="B49" s="5">
        <v>3141</v>
      </c>
      <c r="C49" s="5">
        <v>0</v>
      </c>
      <c r="D49" s="5">
        <v>0</v>
      </c>
      <c r="E49" s="5">
        <v>0</v>
      </c>
      <c r="F49" s="5">
        <v>1814</v>
      </c>
      <c r="G49" s="5">
        <v>0</v>
      </c>
      <c r="H49" s="5">
        <v>3616</v>
      </c>
      <c r="I49" s="5">
        <v>4562</v>
      </c>
      <c r="J49" s="5">
        <v>5544</v>
      </c>
      <c r="K49" s="5">
        <v>8281</v>
      </c>
      <c r="L49" s="5">
        <v>970</v>
      </c>
    </row>
    <row r="50" spans="1:12" x14ac:dyDescent="0.35">
      <c r="A50" s="4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4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4" t="s">
        <v>259</v>
      </c>
      <c r="B52" s="5">
        <v>814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1132</v>
      </c>
      <c r="I52" s="5">
        <v>1312</v>
      </c>
      <c r="J52" s="5">
        <v>1544</v>
      </c>
      <c r="K52" s="5">
        <v>1944</v>
      </c>
      <c r="L52" s="5">
        <v>1800</v>
      </c>
    </row>
    <row r="53" spans="1:12" x14ac:dyDescent="0.35">
      <c r="A53" s="4" t="s">
        <v>260</v>
      </c>
      <c r="B53" s="5">
        <v>70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739</v>
      </c>
      <c r="I53" s="5">
        <v>864</v>
      </c>
      <c r="J53" s="5">
        <v>1036</v>
      </c>
      <c r="K53" s="5">
        <v>1324</v>
      </c>
      <c r="L53" s="5">
        <v>269</v>
      </c>
    </row>
    <row r="54" spans="1:12" x14ac:dyDescent="0.35">
      <c r="A54" s="4" t="s">
        <v>261</v>
      </c>
      <c r="B54" s="5">
        <v>415</v>
      </c>
      <c r="C54" s="5">
        <v>0</v>
      </c>
      <c r="D54" s="5">
        <v>0</v>
      </c>
      <c r="E54" s="5">
        <v>0</v>
      </c>
      <c r="F54" s="5">
        <v>432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970</v>
      </c>
    </row>
    <row r="55" spans="1:12" x14ac:dyDescent="0.35">
      <c r="A55" s="4" t="s">
        <v>262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12</v>
      </c>
    </row>
    <row r="56" spans="1:12" x14ac:dyDescent="0.35">
      <c r="A56" s="4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4</v>
      </c>
    </row>
    <row r="57" spans="1:12" x14ac:dyDescent="0.35">
      <c r="A57" s="4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4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</row>
    <row r="59" spans="1:12" x14ac:dyDescent="0.35">
      <c r="A59" s="4" t="s">
        <v>266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534</v>
      </c>
    </row>
    <row r="60" spans="1:12" x14ac:dyDescent="0.35">
      <c r="A60" s="4" t="s">
        <v>267</v>
      </c>
      <c r="B60" s="5">
        <v>97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196</v>
      </c>
    </row>
    <row r="61" spans="1:12" x14ac:dyDescent="0.35">
      <c r="A61" s="4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4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7800</v>
      </c>
      <c r="C63" s="36">
        <f t="shared" ref="C63:L63" si="0">SUM(C3:C62)</f>
        <v>5546</v>
      </c>
      <c r="D63" s="36">
        <f t="shared" si="0"/>
        <v>0</v>
      </c>
      <c r="E63" s="36">
        <f t="shared" si="0"/>
        <v>0</v>
      </c>
      <c r="F63" s="36">
        <f t="shared" si="0"/>
        <v>36049</v>
      </c>
      <c r="G63" s="36">
        <f t="shared" si="0"/>
        <v>31382</v>
      </c>
      <c r="H63" s="36">
        <f t="shared" si="0"/>
        <v>67254</v>
      </c>
      <c r="I63" s="36">
        <f t="shared" si="0"/>
        <v>77497</v>
      </c>
      <c r="J63" s="36">
        <f t="shared" si="0"/>
        <v>130571</v>
      </c>
      <c r="K63" s="36">
        <f t="shared" si="0"/>
        <v>107037</v>
      </c>
      <c r="L63" s="36">
        <f t="shared" si="0"/>
        <v>121450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581879</v>
      </c>
      <c r="C65" s="15">
        <v>589977.69999999995</v>
      </c>
      <c r="D65" s="15">
        <v>597001.9</v>
      </c>
      <c r="E65" s="15">
        <v>604047.80000000005</v>
      </c>
      <c r="F65" s="15">
        <v>613228.69999999995</v>
      </c>
      <c r="G65" s="15">
        <v>622980.80000000005</v>
      </c>
      <c r="H65" s="15">
        <v>632342.80000000005</v>
      </c>
      <c r="I65" s="15">
        <v>641968.30000000005</v>
      </c>
      <c r="J65" s="15">
        <v>652088.9</v>
      </c>
      <c r="K65" s="15">
        <v>663224.69999999995</v>
      </c>
      <c r="L65" s="15">
        <v>675227.8</v>
      </c>
    </row>
  </sheetData>
  <hyperlinks>
    <hyperlink ref="N2" location="Home!A1" display="HOME" xr:uid="{BD6FC062-064E-4163-AC3E-3A06AC6EC603}"/>
  </hyperlink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CE3A-D675-4F8D-B7A5-F346BCB36900}">
  <dimension ref="A1:N65"/>
  <sheetViews>
    <sheetView zoomScale="84" zoomScaleNormal="84" workbookViewId="0">
      <pane xSplit="1" ySplit="2" topLeftCell="B33" activePane="bottomRight" state="frozen"/>
      <selection activeCell="J41" sqref="J41"/>
      <selection pane="topRight" activeCell="J41" sqref="J41"/>
      <selection pane="bottomLeft" activeCell="J41" sqref="J41"/>
      <selection pane="bottomRight" activeCell="N2" sqref="N2"/>
    </sheetView>
  </sheetViews>
  <sheetFormatPr defaultColWidth="11.453125" defaultRowHeight="14.5" x14ac:dyDescent="0.35"/>
  <cols>
    <col min="1" max="1" width="48.1796875" style="20" customWidth="1"/>
    <col min="2" max="4" width="8.1796875" style="20" customWidth="1"/>
    <col min="5" max="10" width="9.26953125" style="20" bestFit="1" customWidth="1"/>
    <col min="11" max="12" width="8.1796875" style="20" customWidth="1"/>
    <col min="13" max="16384" width="11.453125" style="20"/>
  </cols>
  <sheetData>
    <row r="1" spans="1:14" x14ac:dyDescent="0.35">
      <c r="A1" s="19" t="s">
        <v>374</v>
      </c>
    </row>
    <row r="2" spans="1:14" x14ac:dyDescent="0.35">
      <c r="A2" s="39" t="s">
        <v>319</v>
      </c>
      <c r="B2" s="33">
        <v>2012</v>
      </c>
      <c r="C2" s="33">
        <v>2013</v>
      </c>
      <c r="D2" s="33">
        <v>2014</v>
      </c>
      <c r="E2" s="33">
        <v>2015</v>
      </c>
      <c r="F2" s="33">
        <v>2016</v>
      </c>
      <c r="G2" s="33">
        <v>2017</v>
      </c>
      <c r="H2" s="33">
        <v>2018</v>
      </c>
      <c r="I2" s="33">
        <v>2019</v>
      </c>
      <c r="J2" s="33">
        <v>2020</v>
      </c>
      <c r="K2" s="33">
        <v>2021</v>
      </c>
      <c r="L2" s="37">
        <v>2022</v>
      </c>
      <c r="N2" s="29" t="s">
        <v>376</v>
      </c>
    </row>
    <row r="3" spans="1:14" x14ac:dyDescent="0.35">
      <c r="A3" s="22" t="s">
        <v>212</v>
      </c>
      <c r="B3" s="5">
        <v>1059</v>
      </c>
      <c r="C3" s="5">
        <v>1114</v>
      </c>
      <c r="D3" s="5">
        <v>1685</v>
      </c>
      <c r="E3" s="5">
        <v>2508</v>
      </c>
      <c r="F3" s="5">
        <v>2508</v>
      </c>
      <c r="G3" s="5">
        <v>2646</v>
      </c>
      <c r="H3" s="5">
        <v>3026</v>
      </c>
      <c r="I3" s="5">
        <v>0</v>
      </c>
      <c r="J3" s="5">
        <v>2957</v>
      </c>
      <c r="K3" s="5">
        <v>0</v>
      </c>
      <c r="L3" s="5">
        <v>2708</v>
      </c>
    </row>
    <row r="4" spans="1:14" ht="29" x14ac:dyDescent="0.35">
      <c r="A4" s="22" t="s">
        <v>213</v>
      </c>
      <c r="B4" s="5">
        <v>0</v>
      </c>
      <c r="C4" s="5">
        <v>0</v>
      </c>
      <c r="D4" s="5">
        <v>1458</v>
      </c>
      <c r="E4" s="5">
        <v>1754</v>
      </c>
      <c r="F4" s="5">
        <v>1754</v>
      </c>
      <c r="G4" s="5">
        <v>1754</v>
      </c>
      <c r="H4" s="5">
        <v>1863</v>
      </c>
      <c r="I4" s="5">
        <v>0</v>
      </c>
      <c r="J4" s="5">
        <v>0</v>
      </c>
      <c r="K4" s="5">
        <v>0</v>
      </c>
      <c r="L4" s="5">
        <v>2032</v>
      </c>
    </row>
    <row r="5" spans="1:14" x14ac:dyDescent="0.35">
      <c r="A5" s="18" t="s">
        <v>214</v>
      </c>
      <c r="B5" s="5">
        <v>0</v>
      </c>
      <c r="C5" s="5">
        <v>0</v>
      </c>
      <c r="D5" s="5">
        <v>0</v>
      </c>
      <c r="E5" s="5">
        <v>83</v>
      </c>
      <c r="F5" s="5">
        <v>84</v>
      </c>
      <c r="G5" s="5">
        <v>84</v>
      </c>
      <c r="H5" s="5">
        <v>116</v>
      </c>
      <c r="I5" s="5">
        <v>0</v>
      </c>
      <c r="J5" s="5">
        <v>0</v>
      </c>
      <c r="K5" s="5">
        <v>0</v>
      </c>
      <c r="L5" s="5">
        <v>92</v>
      </c>
    </row>
    <row r="6" spans="1:14" x14ac:dyDescent="0.35">
      <c r="A6" s="18" t="s">
        <v>215</v>
      </c>
      <c r="B6" s="5">
        <v>15536</v>
      </c>
      <c r="C6" s="5">
        <v>18722</v>
      </c>
      <c r="D6" s="5">
        <v>20885</v>
      </c>
      <c r="E6" s="5">
        <v>19099</v>
      </c>
      <c r="F6" s="5">
        <v>19642</v>
      </c>
      <c r="G6" s="5">
        <v>28170</v>
      </c>
      <c r="H6" s="5">
        <v>27874</v>
      </c>
      <c r="I6" s="5">
        <v>0</v>
      </c>
      <c r="J6" s="5">
        <v>22499</v>
      </c>
      <c r="K6" s="5">
        <v>0</v>
      </c>
      <c r="L6" s="5">
        <v>32182</v>
      </c>
    </row>
    <row r="7" spans="1:14" x14ac:dyDescent="0.35">
      <c r="A7" s="18" t="s">
        <v>216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8806</v>
      </c>
      <c r="H7" s="5">
        <v>0</v>
      </c>
      <c r="I7" s="5">
        <v>0</v>
      </c>
      <c r="J7" s="5">
        <v>9293</v>
      </c>
      <c r="K7" s="5">
        <v>0</v>
      </c>
      <c r="L7" s="5">
        <v>2796</v>
      </c>
    </row>
    <row r="8" spans="1:14" x14ac:dyDescent="0.35">
      <c r="A8" s="18" t="s">
        <v>217</v>
      </c>
      <c r="B8" s="5">
        <v>233</v>
      </c>
      <c r="C8" s="5">
        <v>236</v>
      </c>
      <c r="D8" s="5">
        <v>107</v>
      </c>
      <c r="E8" s="5">
        <v>66</v>
      </c>
      <c r="F8" s="5">
        <v>136</v>
      </c>
      <c r="G8" s="5">
        <v>109</v>
      </c>
      <c r="H8" s="5">
        <v>104</v>
      </c>
      <c r="I8" s="5">
        <v>248</v>
      </c>
      <c r="J8" s="5">
        <v>234</v>
      </c>
      <c r="K8" s="5">
        <v>0</v>
      </c>
      <c r="L8" s="5">
        <v>2703</v>
      </c>
    </row>
    <row r="9" spans="1:14" x14ac:dyDescent="0.35">
      <c r="A9" s="18" t="s">
        <v>218</v>
      </c>
      <c r="B9" s="5">
        <v>378</v>
      </c>
      <c r="C9" s="5">
        <v>394</v>
      </c>
      <c r="D9" s="5">
        <v>193</v>
      </c>
      <c r="E9" s="5">
        <v>141</v>
      </c>
      <c r="F9" s="5">
        <v>219</v>
      </c>
      <c r="G9" s="5">
        <v>272</v>
      </c>
      <c r="H9" s="5">
        <v>1397</v>
      </c>
      <c r="I9" s="5">
        <v>0</v>
      </c>
      <c r="J9" s="5">
        <v>1600</v>
      </c>
      <c r="K9" s="5">
        <v>0</v>
      </c>
      <c r="L9" s="5">
        <v>1902</v>
      </c>
    </row>
    <row r="10" spans="1:14" x14ac:dyDescent="0.35">
      <c r="A10" s="18" t="s">
        <v>219</v>
      </c>
      <c r="B10" s="5">
        <v>5226</v>
      </c>
      <c r="C10" s="5">
        <v>5334</v>
      </c>
      <c r="D10" s="5">
        <v>5218</v>
      </c>
      <c r="E10" s="5">
        <v>8424</v>
      </c>
      <c r="F10" s="5">
        <v>9368</v>
      </c>
      <c r="G10" s="5">
        <v>11460</v>
      </c>
      <c r="H10" s="5">
        <v>12259</v>
      </c>
      <c r="I10" s="5">
        <v>0</v>
      </c>
      <c r="J10" s="5">
        <v>0</v>
      </c>
      <c r="K10" s="5">
        <v>0</v>
      </c>
      <c r="L10" s="5">
        <v>0</v>
      </c>
    </row>
    <row r="11" spans="1:14" x14ac:dyDescent="0.35">
      <c r="A11" s="18" t="s">
        <v>220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419</v>
      </c>
      <c r="I11" s="5">
        <v>0</v>
      </c>
      <c r="J11" s="5">
        <v>0</v>
      </c>
      <c r="K11" s="5">
        <v>0</v>
      </c>
      <c r="L11" s="5">
        <v>0</v>
      </c>
    </row>
    <row r="12" spans="1:14" x14ac:dyDescent="0.35">
      <c r="A12" s="18" t="s">
        <v>221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 x14ac:dyDescent="0.35">
      <c r="A13" s="18" t="s">
        <v>222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63</v>
      </c>
    </row>
    <row r="14" spans="1:14" x14ac:dyDescent="0.35">
      <c r="A14" s="18" t="s">
        <v>223</v>
      </c>
      <c r="B14" s="5">
        <v>0</v>
      </c>
      <c r="C14" s="5">
        <v>0</v>
      </c>
      <c r="D14" s="5">
        <v>0</v>
      </c>
      <c r="E14" s="5">
        <v>11200</v>
      </c>
      <c r="F14" s="5">
        <v>0</v>
      </c>
      <c r="G14" s="5">
        <v>15000</v>
      </c>
      <c r="H14" s="5">
        <v>15888</v>
      </c>
      <c r="I14" s="5">
        <v>0</v>
      </c>
      <c r="J14" s="5">
        <v>0</v>
      </c>
      <c r="K14" s="5">
        <v>0</v>
      </c>
      <c r="L14" s="5">
        <v>19722</v>
      </c>
    </row>
    <row r="15" spans="1:14" x14ac:dyDescent="0.35">
      <c r="A15" s="18" t="s">
        <v>224</v>
      </c>
      <c r="B15" s="5">
        <v>0</v>
      </c>
      <c r="C15" s="5">
        <v>0</v>
      </c>
      <c r="D15" s="5">
        <v>171</v>
      </c>
      <c r="E15" s="5">
        <v>261</v>
      </c>
      <c r="F15" s="5">
        <v>157</v>
      </c>
      <c r="G15" s="5">
        <v>276</v>
      </c>
      <c r="H15" s="5">
        <v>508</v>
      </c>
      <c r="I15" s="5">
        <v>329</v>
      </c>
      <c r="J15" s="5">
        <v>0</v>
      </c>
      <c r="K15" s="5">
        <v>0</v>
      </c>
      <c r="L15" s="5">
        <v>178</v>
      </c>
    </row>
    <row r="16" spans="1:14" x14ac:dyDescent="0.35">
      <c r="A16" s="18" t="s">
        <v>225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14</v>
      </c>
      <c r="I16" s="5">
        <v>25</v>
      </c>
      <c r="J16" s="5">
        <v>0</v>
      </c>
      <c r="K16" s="5">
        <v>0</v>
      </c>
      <c r="L16" s="5">
        <v>0</v>
      </c>
    </row>
    <row r="17" spans="1:12" x14ac:dyDescent="0.35">
      <c r="A17" s="18" t="s">
        <v>226</v>
      </c>
      <c r="B17" s="5">
        <v>0</v>
      </c>
      <c r="C17" s="5">
        <v>0</v>
      </c>
      <c r="D17" s="5">
        <v>0</v>
      </c>
      <c r="E17" s="5">
        <v>0</v>
      </c>
      <c r="F17" s="5">
        <v>3</v>
      </c>
      <c r="G17" s="5">
        <v>0</v>
      </c>
      <c r="H17" s="5">
        <v>3</v>
      </c>
      <c r="I17" s="5">
        <v>0</v>
      </c>
      <c r="J17" s="5">
        <v>0</v>
      </c>
      <c r="K17" s="5">
        <v>0</v>
      </c>
      <c r="L17" s="5">
        <v>14</v>
      </c>
    </row>
    <row r="18" spans="1:12" x14ac:dyDescent="0.35">
      <c r="A18" s="18" t="s">
        <v>227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 x14ac:dyDescent="0.35">
      <c r="A19" s="18" t="s">
        <v>228</v>
      </c>
      <c r="B19" s="5">
        <v>0</v>
      </c>
      <c r="C19" s="5">
        <v>0</v>
      </c>
      <c r="D19" s="5">
        <v>111</v>
      </c>
      <c r="E19" s="5">
        <v>0</v>
      </c>
      <c r="F19" s="5">
        <v>117</v>
      </c>
      <c r="G19" s="5">
        <v>0</v>
      </c>
      <c r="H19" s="5">
        <v>80</v>
      </c>
      <c r="I19" s="5">
        <v>0</v>
      </c>
      <c r="J19" s="5">
        <v>0</v>
      </c>
      <c r="K19" s="5">
        <v>0</v>
      </c>
      <c r="L19" s="5">
        <v>0</v>
      </c>
    </row>
    <row r="20" spans="1:12" ht="29" x14ac:dyDescent="0.35">
      <c r="A20" s="18" t="s">
        <v>229</v>
      </c>
      <c r="B20" s="23">
        <v>0</v>
      </c>
      <c r="C20" s="23">
        <v>0</v>
      </c>
      <c r="D20" s="23">
        <v>2052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1994</v>
      </c>
    </row>
    <row r="21" spans="1:12" ht="29" x14ac:dyDescent="0.35">
      <c r="A21" s="18" t="s">
        <v>230</v>
      </c>
      <c r="B21" s="5">
        <v>1905</v>
      </c>
      <c r="C21" s="5">
        <v>1885</v>
      </c>
      <c r="D21" s="5">
        <v>2052</v>
      </c>
      <c r="E21" s="5">
        <v>2494</v>
      </c>
      <c r="F21" s="5">
        <v>1843</v>
      </c>
      <c r="G21" s="5">
        <v>2036</v>
      </c>
      <c r="H21" s="5">
        <v>2305</v>
      </c>
      <c r="I21" s="5">
        <v>0</v>
      </c>
      <c r="J21" s="5">
        <v>0</v>
      </c>
      <c r="K21" s="5">
        <v>0</v>
      </c>
      <c r="L21" s="5">
        <v>690</v>
      </c>
    </row>
    <row r="22" spans="1:12" x14ac:dyDescent="0.35">
      <c r="A22" s="18" t="s">
        <v>231</v>
      </c>
      <c r="B22" s="5">
        <v>0</v>
      </c>
      <c r="C22" s="5">
        <v>0</v>
      </c>
      <c r="D22" s="5">
        <v>0</v>
      </c>
      <c r="E22" s="5">
        <v>41</v>
      </c>
      <c r="F22" s="5">
        <v>41</v>
      </c>
      <c r="G22" s="5">
        <v>41</v>
      </c>
      <c r="H22" s="5">
        <v>51</v>
      </c>
      <c r="I22" s="5">
        <v>0</v>
      </c>
      <c r="J22" s="5">
        <v>0</v>
      </c>
      <c r="K22" s="5">
        <v>0</v>
      </c>
      <c r="L22" s="5">
        <v>55</v>
      </c>
    </row>
    <row r="23" spans="1:12" x14ac:dyDescent="0.35">
      <c r="A23" s="18" t="s">
        <v>232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5">
      <c r="A24" s="18" t="s">
        <v>233</v>
      </c>
      <c r="B24" s="5">
        <v>0</v>
      </c>
      <c r="C24" s="5">
        <v>0</v>
      </c>
      <c r="D24" s="5">
        <v>190</v>
      </c>
      <c r="E24" s="5">
        <v>418</v>
      </c>
      <c r="F24" s="5">
        <v>52</v>
      </c>
      <c r="G24" s="5">
        <v>0</v>
      </c>
      <c r="H24" s="5">
        <v>10</v>
      </c>
      <c r="I24" s="5">
        <v>0</v>
      </c>
      <c r="J24" s="5">
        <v>0</v>
      </c>
      <c r="K24" s="5">
        <v>0</v>
      </c>
      <c r="L24" s="5">
        <v>265</v>
      </c>
    </row>
    <row r="25" spans="1:12" x14ac:dyDescent="0.35">
      <c r="A25" s="18" t="s">
        <v>234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</row>
    <row r="26" spans="1:12" ht="29" x14ac:dyDescent="0.35">
      <c r="A26" s="18" t="s">
        <v>235</v>
      </c>
      <c r="B26" s="5">
        <v>233</v>
      </c>
      <c r="C26" s="5">
        <v>239</v>
      </c>
      <c r="D26" s="5">
        <v>312</v>
      </c>
      <c r="E26" s="5">
        <v>511</v>
      </c>
      <c r="F26" s="5">
        <v>320</v>
      </c>
      <c r="G26" s="5">
        <v>417</v>
      </c>
      <c r="H26" s="5">
        <v>480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35">
      <c r="A27" s="18" t="s">
        <v>236</v>
      </c>
      <c r="B27" s="5">
        <v>0</v>
      </c>
      <c r="C27" s="5">
        <v>0</v>
      </c>
      <c r="D27" s="5">
        <v>229</v>
      </c>
      <c r="E27" s="5">
        <v>270</v>
      </c>
      <c r="F27" s="5">
        <v>257</v>
      </c>
      <c r="G27" s="5">
        <v>451</v>
      </c>
      <c r="H27" s="5">
        <v>414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5">
      <c r="A28" s="18" t="s">
        <v>237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164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35">
      <c r="A29" s="18" t="s">
        <v>238</v>
      </c>
      <c r="B29" s="5">
        <v>0</v>
      </c>
      <c r="C29" s="5">
        <v>0</v>
      </c>
      <c r="D29" s="5">
        <v>519</v>
      </c>
      <c r="E29" s="5">
        <v>644</v>
      </c>
      <c r="F29" s="5">
        <v>600</v>
      </c>
      <c r="G29" s="5">
        <v>781</v>
      </c>
      <c r="H29" s="5">
        <v>1126</v>
      </c>
      <c r="I29" s="5">
        <v>0</v>
      </c>
      <c r="J29" s="5">
        <v>0</v>
      </c>
      <c r="K29" s="5">
        <v>0</v>
      </c>
      <c r="L29" s="5">
        <v>795</v>
      </c>
    </row>
    <row r="30" spans="1:12" x14ac:dyDescent="0.35">
      <c r="A30" s="18" t="s">
        <v>239</v>
      </c>
      <c r="B30" s="5">
        <v>352</v>
      </c>
      <c r="C30" s="5">
        <v>343</v>
      </c>
      <c r="D30" s="5">
        <v>0</v>
      </c>
      <c r="E30" s="5">
        <v>0</v>
      </c>
      <c r="F30" s="5">
        <v>0</v>
      </c>
      <c r="G30" s="5">
        <v>0</v>
      </c>
      <c r="H30" s="5">
        <v>644</v>
      </c>
      <c r="I30" s="5">
        <v>0</v>
      </c>
      <c r="J30" s="5">
        <v>0</v>
      </c>
      <c r="K30" s="5">
        <v>0</v>
      </c>
      <c r="L30" s="5">
        <v>757</v>
      </c>
    </row>
    <row r="31" spans="1:12" x14ac:dyDescent="0.35">
      <c r="A31" s="18" t="s">
        <v>240</v>
      </c>
      <c r="B31" s="5">
        <v>27</v>
      </c>
      <c r="C31" s="5">
        <v>26</v>
      </c>
      <c r="D31" s="5">
        <v>26</v>
      </c>
      <c r="E31" s="5">
        <v>0</v>
      </c>
      <c r="F31" s="5">
        <v>17</v>
      </c>
      <c r="G31" s="5">
        <v>0</v>
      </c>
      <c r="H31" s="5">
        <v>26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5">
      <c r="A32" s="18" t="s">
        <v>241</v>
      </c>
      <c r="B32" s="5">
        <v>0</v>
      </c>
      <c r="C32" s="5">
        <v>0</v>
      </c>
      <c r="D32" s="5">
        <v>0</v>
      </c>
      <c r="E32" s="5">
        <v>0</v>
      </c>
      <c r="F32" s="5">
        <v>678</v>
      </c>
      <c r="G32" s="5">
        <v>605</v>
      </c>
      <c r="H32" s="5">
        <v>703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5">
      <c r="A33" s="18" t="s">
        <v>242</v>
      </c>
      <c r="B33" s="5">
        <v>1059</v>
      </c>
      <c r="C33" s="5">
        <v>1114</v>
      </c>
      <c r="D33" s="5">
        <v>0</v>
      </c>
      <c r="E33" s="5">
        <v>308</v>
      </c>
      <c r="F33" s="5">
        <v>308</v>
      </c>
      <c r="G33" s="5">
        <v>446</v>
      </c>
      <c r="H33" s="5">
        <v>544</v>
      </c>
      <c r="I33" s="5">
        <v>0</v>
      </c>
      <c r="J33" s="5">
        <v>2957</v>
      </c>
      <c r="K33" s="5">
        <v>0</v>
      </c>
      <c r="L33" s="5">
        <v>0</v>
      </c>
    </row>
    <row r="34" spans="1:12" x14ac:dyDescent="0.35">
      <c r="A34" s="18" t="s">
        <v>243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5">
      <c r="A35" s="18" t="s">
        <v>244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5">
      <c r="A36" s="18" t="s">
        <v>245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2796</v>
      </c>
    </row>
    <row r="37" spans="1:12" x14ac:dyDescent="0.35">
      <c r="A37" s="18" t="s">
        <v>246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8806</v>
      </c>
      <c r="H37" s="5">
        <v>0</v>
      </c>
      <c r="I37" s="5">
        <v>0</v>
      </c>
      <c r="J37" s="5">
        <v>9293</v>
      </c>
      <c r="K37" s="5">
        <v>0</v>
      </c>
      <c r="L37" s="5">
        <v>0</v>
      </c>
    </row>
    <row r="38" spans="1:12" x14ac:dyDescent="0.35">
      <c r="A38" s="18" t="s">
        <v>247</v>
      </c>
      <c r="B38" s="5">
        <v>15536</v>
      </c>
      <c r="C38" s="5">
        <v>18722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22499</v>
      </c>
      <c r="K38" s="5">
        <v>0</v>
      </c>
      <c r="L38" s="5">
        <v>0</v>
      </c>
    </row>
    <row r="39" spans="1:12" x14ac:dyDescent="0.35">
      <c r="A39" s="18" t="s">
        <v>248</v>
      </c>
      <c r="B39" s="5">
        <v>0</v>
      </c>
      <c r="C39" s="5">
        <v>0</v>
      </c>
      <c r="D39" s="5">
        <v>2570</v>
      </c>
      <c r="E39" s="5">
        <v>2318</v>
      </c>
      <c r="F39" s="5">
        <v>2588</v>
      </c>
      <c r="G39" s="5">
        <v>9360</v>
      </c>
      <c r="H39" s="5">
        <v>13052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5">
      <c r="A40" s="18" t="s">
        <v>249</v>
      </c>
      <c r="B40" s="5">
        <v>0</v>
      </c>
      <c r="C40" s="5">
        <v>0</v>
      </c>
      <c r="D40" s="5">
        <v>18315</v>
      </c>
      <c r="E40" s="5">
        <v>16781</v>
      </c>
      <c r="F40" s="5">
        <v>17054</v>
      </c>
      <c r="G40" s="5">
        <v>18810</v>
      </c>
      <c r="H40" s="5">
        <v>14822</v>
      </c>
      <c r="I40" s="5">
        <v>0</v>
      </c>
      <c r="J40" s="5">
        <v>0</v>
      </c>
      <c r="K40" s="5">
        <v>0</v>
      </c>
      <c r="L40" s="5">
        <v>32182</v>
      </c>
    </row>
    <row r="41" spans="1:12" ht="29" x14ac:dyDescent="0.35">
      <c r="A41" s="18" t="s">
        <v>332</v>
      </c>
      <c r="B41" s="5">
        <v>0</v>
      </c>
      <c r="C41" s="5">
        <v>0</v>
      </c>
      <c r="D41" s="5">
        <v>3000</v>
      </c>
      <c r="E41" s="5">
        <v>3334</v>
      </c>
      <c r="F41" s="5">
        <v>3434</v>
      </c>
      <c r="G41" s="5">
        <v>3586</v>
      </c>
      <c r="H41" s="5">
        <v>6174</v>
      </c>
      <c r="I41" s="5">
        <v>0</v>
      </c>
      <c r="J41" s="5">
        <v>0</v>
      </c>
      <c r="K41" s="5">
        <v>0</v>
      </c>
      <c r="L41" s="5">
        <v>0</v>
      </c>
    </row>
    <row r="42" spans="1:12" ht="29" x14ac:dyDescent="0.35">
      <c r="A42" s="18" t="s">
        <v>333</v>
      </c>
      <c r="B42" s="5">
        <v>0</v>
      </c>
      <c r="C42" s="5">
        <v>0</v>
      </c>
      <c r="D42" s="5">
        <v>40</v>
      </c>
      <c r="E42" s="5">
        <v>0</v>
      </c>
      <c r="F42" s="5">
        <v>29</v>
      </c>
      <c r="G42" s="5">
        <v>39</v>
      </c>
      <c r="H42" s="5">
        <v>5830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5">
      <c r="A43" s="18" t="s">
        <v>250</v>
      </c>
      <c r="B43" s="5">
        <v>855</v>
      </c>
      <c r="C43" s="5">
        <v>845</v>
      </c>
      <c r="D43" s="5">
        <v>819</v>
      </c>
      <c r="E43" s="5">
        <v>0</v>
      </c>
      <c r="F43" s="5">
        <v>58</v>
      </c>
      <c r="G43" s="5">
        <v>0</v>
      </c>
      <c r="H43" s="5">
        <v>56</v>
      </c>
      <c r="I43" s="5">
        <v>0</v>
      </c>
      <c r="J43" s="5">
        <v>0</v>
      </c>
      <c r="K43" s="5">
        <v>0</v>
      </c>
      <c r="L43" s="5">
        <v>77</v>
      </c>
    </row>
    <row r="44" spans="1:12" x14ac:dyDescent="0.35">
      <c r="A44" s="18" t="s">
        <v>251</v>
      </c>
      <c r="B44" s="5">
        <v>0</v>
      </c>
      <c r="C44" s="5">
        <v>0</v>
      </c>
      <c r="D44" s="5">
        <v>63</v>
      </c>
      <c r="E44" s="5">
        <v>69</v>
      </c>
      <c r="F44" s="5">
        <v>69</v>
      </c>
      <c r="G44" s="5">
        <v>69</v>
      </c>
      <c r="H44" s="5">
        <v>107</v>
      </c>
      <c r="I44" s="5">
        <v>0</v>
      </c>
      <c r="J44" s="5">
        <v>0</v>
      </c>
      <c r="K44" s="5">
        <v>0</v>
      </c>
      <c r="L44" s="5">
        <v>141</v>
      </c>
    </row>
    <row r="45" spans="1:12" x14ac:dyDescent="0.35">
      <c r="A45" s="18" t="s">
        <v>252</v>
      </c>
      <c r="B45" s="5">
        <v>0</v>
      </c>
      <c r="C45" s="5">
        <v>0</v>
      </c>
      <c r="D45" s="5">
        <v>0</v>
      </c>
      <c r="E45" s="5">
        <v>0</v>
      </c>
      <c r="F45" s="5">
        <v>13</v>
      </c>
      <c r="G45" s="5">
        <v>20</v>
      </c>
      <c r="H45" s="5">
        <v>20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5">
      <c r="A46" s="18" t="s">
        <v>253</v>
      </c>
      <c r="B46" s="5">
        <v>0</v>
      </c>
      <c r="C46" s="5">
        <v>0</v>
      </c>
      <c r="D46" s="5">
        <v>48</v>
      </c>
      <c r="E46" s="5">
        <v>165</v>
      </c>
      <c r="F46" s="5">
        <v>154</v>
      </c>
      <c r="G46" s="5">
        <v>154</v>
      </c>
      <c r="H46" s="5">
        <v>224</v>
      </c>
      <c r="I46" s="5">
        <v>0</v>
      </c>
      <c r="J46" s="5">
        <v>0</v>
      </c>
      <c r="K46" s="5">
        <v>0</v>
      </c>
      <c r="L46" s="5">
        <v>351</v>
      </c>
    </row>
    <row r="47" spans="1:12" x14ac:dyDescent="0.35">
      <c r="A47" s="18" t="s">
        <v>254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1733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5">
      <c r="A48" s="18" t="s">
        <v>255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5">
      <c r="A49" s="18" t="s">
        <v>256</v>
      </c>
      <c r="B49" s="5">
        <v>0</v>
      </c>
      <c r="C49" s="5">
        <v>0</v>
      </c>
      <c r="D49" s="5">
        <v>145</v>
      </c>
      <c r="E49" s="5">
        <v>0</v>
      </c>
      <c r="F49" s="5">
        <v>130</v>
      </c>
      <c r="G49" s="5">
        <v>174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5">
      <c r="A50" s="18" t="s">
        <v>257</v>
      </c>
      <c r="B50" s="5">
        <v>0</v>
      </c>
      <c r="C50" s="5">
        <v>0</v>
      </c>
      <c r="D50" s="5">
        <v>0</v>
      </c>
      <c r="E50" s="5">
        <v>0</v>
      </c>
      <c r="F50" s="5">
        <v>551</v>
      </c>
      <c r="G50" s="5">
        <v>607</v>
      </c>
      <c r="H50" s="5">
        <v>2021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5">
      <c r="A51" s="18" t="s">
        <v>258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5">
      <c r="A52" s="18" t="s">
        <v>259</v>
      </c>
      <c r="B52" s="5">
        <v>0</v>
      </c>
      <c r="C52" s="5">
        <v>0</v>
      </c>
      <c r="D52" s="5">
        <v>511</v>
      </c>
      <c r="E52" s="5">
        <v>443</v>
      </c>
      <c r="F52" s="5">
        <v>540</v>
      </c>
      <c r="G52" s="5">
        <v>726</v>
      </c>
      <c r="H52" s="5">
        <v>1827</v>
      </c>
      <c r="I52" s="5">
        <v>0</v>
      </c>
      <c r="J52" s="5">
        <v>0</v>
      </c>
      <c r="K52" s="5">
        <v>0</v>
      </c>
      <c r="L52" s="5">
        <v>588</v>
      </c>
    </row>
    <row r="53" spans="1:12" x14ac:dyDescent="0.35">
      <c r="A53" s="18" t="s">
        <v>260</v>
      </c>
      <c r="B53" s="5">
        <v>377</v>
      </c>
      <c r="C53" s="5">
        <v>419</v>
      </c>
      <c r="D53" s="5">
        <v>413</v>
      </c>
      <c r="E53" s="5">
        <v>472</v>
      </c>
      <c r="F53" s="5">
        <v>432</v>
      </c>
      <c r="G53" s="5">
        <v>503</v>
      </c>
      <c r="H53" s="5">
        <v>439</v>
      </c>
      <c r="I53" s="5">
        <v>0</v>
      </c>
      <c r="J53" s="5">
        <v>0</v>
      </c>
      <c r="K53" s="5">
        <v>0</v>
      </c>
      <c r="L53" s="5">
        <v>400</v>
      </c>
    </row>
    <row r="54" spans="1:12" x14ac:dyDescent="0.35">
      <c r="A54" s="18" t="s">
        <v>261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249</v>
      </c>
      <c r="I54" s="5">
        <v>0</v>
      </c>
      <c r="J54" s="5">
        <v>0</v>
      </c>
      <c r="K54" s="5">
        <v>0</v>
      </c>
      <c r="L54" s="5">
        <v>557</v>
      </c>
    </row>
    <row r="55" spans="1:12" x14ac:dyDescent="0.35">
      <c r="A55" s="18" t="s">
        <v>262</v>
      </c>
      <c r="B55" s="5">
        <v>0</v>
      </c>
      <c r="C55" s="5">
        <v>0</v>
      </c>
      <c r="D55" s="5">
        <v>0</v>
      </c>
      <c r="E55" s="5">
        <v>15</v>
      </c>
      <c r="F55" s="5">
        <v>15</v>
      </c>
      <c r="G55" s="5">
        <v>15</v>
      </c>
      <c r="H55" s="5">
        <v>23</v>
      </c>
      <c r="I55" s="5">
        <v>0</v>
      </c>
      <c r="J55" s="5">
        <v>0</v>
      </c>
      <c r="K55" s="5">
        <v>0</v>
      </c>
      <c r="L55" s="5">
        <v>23</v>
      </c>
    </row>
    <row r="56" spans="1:12" x14ac:dyDescent="0.35">
      <c r="A56" s="18" t="s">
        <v>263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39</v>
      </c>
    </row>
    <row r="57" spans="1:12" x14ac:dyDescent="0.35">
      <c r="A57" s="18" t="s">
        <v>264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</row>
    <row r="58" spans="1:12" x14ac:dyDescent="0.35">
      <c r="A58" s="18" t="s">
        <v>265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12</v>
      </c>
      <c r="I58" s="5">
        <v>0</v>
      </c>
      <c r="J58" s="5">
        <v>0</v>
      </c>
      <c r="K58" s="5">
        <v>0</v>
      </c>
      <c r="L58" s="5">
        <v>84</v>
      </c>
    </row>
    <row r="59" spans="1:12" x14ac:dyDescent="0.35">
      <c r="A59" s="18" t="s">
        <v>266</v>
      </c>
      <c r="B59" s="5">
        <v>0</v>
      </c>
      <c r="C59" s="5">
        <v>0</v>
      </c>
      <c r="D59" s="5">
        <v>227</v>
      </c>
      <c r="E59" s="5">
        <v>446</v>
      </c>
      <c r="F59" s="5">
        <v>446</v>
      </c>
      <c r="G59" s="5">
        <v>446</v>
      </c>
      <c r="H59" s="5">
        <v>619</v>
      </c>
      <c r="I59" s="5">
        <v>0</v>
      </c>
      <c r="J59" s="5">
        <v>0</v>
      </c>
      <c r="K59" s="5">
        <v>0</v>
      </c>
      <c r="L59" s="5">
        <v>676</v>
      </c>
    </row>
    <row r="60" spans="1:12" x14ac:dyDescent="0.35">
      <c r="A60" s="18" t="s">
        <v>267</v>
      </c>
      <c r="B60" s="5">
        <v>0</v>
      </c>
      <c r="C60" s="5">
        <v>0</v>
      </c>
      <c r="D60" s="5">
        <v>80</v>
      </c>
      <c r="E60" s="5">
        <v>73</v>
      </c>
      <c r="F60" s="5">
        <v>79</v>
      </c>
      <c r="G60" s="5">
        <v>79</v>
      </c>
      <c r="H60" s="5">
        <v>92</v>
      </c>
      <c r="I60" s="5">
        <v>0</v>
      </c>
      <c r="J60" s="5">
        <v>0</v>
      </c>
      <c r="K60" s="5">
        <v>0</v>
      </c>
      <c r="L60" s="5">
        <v>55</v>
      </c>
    </row>
    <row r="61" spans="1:12" ht="29" x14ac:dyDescent="0.35">
      <c r="A61" s="18" t="s">
        <v>268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5">
      <c r="A62" s="18" t="s">
        <v>269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596</v>
      </c>
      <c r="H62" s="5">
        <v>1215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5">
      <c r="A63" s="38" t="s">
        <v>317</v>
      </c>
      <c r="B63" s="36">
        <f>SUM(B3:B62)</f>
        <v>42776</v>
      </c>
      <c r="C63" s="36">
        <f t="shared" ref="C63:L63" si="0">SUM(C3:C62)</f>
        <v>49393</v>
      </c>
      <c r="D63" s="36">
        <f t="shared" si="0"/>
        <v>61439</v>
      </c>
      <c r="E63" s="36">
        <f t="shared" si="0"/>
        <v>72338</v>
      </c>
      <c r="F63" s="36">
        <f t="shared" si="0"/>
        <v>63696</v>
      </c>
      <c r="G63" s="36">
        <f t="shared" si="0"/>
        <v>119077</v>
      </c>
      <c r="H63" s="36">
        <f t="shared" si="0"/>
        <v>116800</v>
      </c>
      <c r="I63" s="36">
        <f t="shared" si="0"/>
        <v>602</v>
      </c>
      <c r="J63" s="36">
        <f t="shared" si="0"/>
        <v>71332</v>
      </c>
      <c r="K63" s="36">
        <f t="shared" si="0"/>
        <v>0</v>
      </c>
      <c r="L63" s="36">
        <f t="shared" si="0"/>
        <v>106917</v>
      </c>
    </row>
    <row r="64" spans="1:12" x14ac:dyDescent="0.35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35">
      <c r="A65" t="s">
        <v>8</v>
      </c>
      <c r="B65" s="15">
        <v>481316.8</v>
      </c>
      <c r="C65" s="15">
        <v>485648.9</v>
      </c>
      <c r="D65" s="15">
        <v>485908.2</v>
      </c>
      <c r="E65" s="15">
        <v>481447.2</v>
      </c>
      <c r="F65" s="15">
        <v>478618.1</v>
      </c>
      <c r="G65" s="15">
        <v>478807.6</v>
      </c>
      <c r="H65" s="15">
        <v>481109.7</v>
      </c>
      <c r="I65" s="15">
        <v>483729.8</v>
      </c>
      <c r="J65" s="15">
        <v>485539.3</v>
      </c>
      <c r="K65" s="15">
        <v>487965.1</v>
      </c>
      <c r="L65" s="15">
        <v>490571.8</v>
      </c>
    </row>
  </sheetData>
  <hyperlinks>
    <hyperlink ref="N2" location="Home!A1" display="HOME" xr:uid="{EB16AA1C-B9C9-4E9E-931E-94551CB09C84}"/>
  </hyperlinks>
  <printOptions horizontalCentered="1"/>
  <pageMargins left="0.45" right="0.45" top="0.75" bottom="0.75" header="0.3" footer="0.3"/>
  <pageSetup paperSize="9" scale="89" orientation="landscape" r:id="rId1"/>
  <headerFooter>
    <oddHeader>&amp;C&amp;F - &amp;A</oddHeader>
    <oddFooter>&amp;R&amp;P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19"/>
  <sheetViews>
    <sheetView workbookViewId="0"/>
  </sheetViews>
  <sheetFormatPr defaultColWidth="11.453125" defaultRowHeight="14.5" x14ac:dyDescent="0.35"/>
  <sheetData>
    <row r="1" spans="1:69" x14ac:dyDescent="0.35">
      <c r="A1" s="29" t="s">
        <v>376</v>
      </c>
    </row>
    <row r="2" spans="1:6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</row>
    <row r="3" spans="1:69" x14ac:dyDescent="0.35">
      <c r="A3">
        <v>2022</v>
      </c>
      <c r="B3">
        <v>2022</v>
      </c>
      <c r="C3">
        <v>2022</v>
      </c>
      <c r="E3" t="s">
        <v>69</v>
      </c>
      <c r="F3" t="s">
        <v>70</v>
      </c>
      <c r="G3" t="s">
        <v>71</v>
      </c>
      <c r="I3">
        <v>780085.6</v>
      </c>
      <c r="J3">
        <v>3323</v>
      </c>
      <c r="K3">
        <v>2372</v>
      </c>
      <c r="L3">
        <v>32</v>
      </c>
      <c r="M3">
        <v>13961</v>
      </c>
      <c r="N3">
        <v>9294</v>
      </c>
      <c r="O3">
        <v>39</v>
      </c>
      <c r="P3">
        <v>575</v>
      </c>
      <c r="R3">
        <v>275</v>
      </c>
      <c r="T3">
        <v>18</v>
      </c>
      <c r="U3">
        <v>3145</v>
      </c>
      <c r="W3">
        <v>7</v>
      </c>
      <c r="X3">
        <v>57</v>
      </c>
      <c r="AB3">
        <v>1791</v>
      </c>
      <c r="AC3">
        <v>102</v>
      </c>
      <c r="AL3">
        <v>7</v>
      </c>
      <c r="AM3">
        <v>44</v>
      </c>
      <c r="AO3">
        <v>2</v>
      </c>
      <c r="AP3">
        <v>3608</v>
      </c>
      <c r="AQ3">
        <v>5686</v>
      </c>
      <c r="AT3">
        <v>67</v>
      </c>
      <c r="AU3">
        <v>13894</v>
      </c>
      <c r="AX3">
        <v>71</v>
      </c>
      <c r="AY3">
        <v>127</v>
      </c>
      <c r="AZ3">
        <v>2</v>
      </c>
      <c r="BA3">
        <v>555</v>
      </c>
      <c r="BD3">
        <v>1698</v>
      </c>
      <c r="BE3">
        <v>886</v>
      </c>
      <c r="BG3">
        <v>210</v>
      </c>
      <c r="BJ3">
        <v>13</v>
      </c>
      <c r="BK3">
        <v>9</v>
      </c>
      <c r="BM3">
        <v>39</v>
      </c>
      <c r="BN3">
        <v>951</v>
      </c>
      <c r="BO3">
        <v>112</v>
      </c>
    </row>
    <row r="4" spans="1:69" x14ac:dyDescent="0.35">
      <c r="A4">
        <v>2022</v>
      </c>
      <c r="B4">
        <v>2022</v>
      </c>
      <c r="C4">
        <v>2022</v>
      </c>
      <c r="E4" t="s">
        <v>72</v>
      </c>
      <c r="F4" t="s">
        <v>73</v>
      </c>
      <c r="G4" t="s">
        <v>74</v>
      </c>
      <c r="I4">
        <v>228677.8</v>
      </c>
    </row>
    <row r="5" spans="1:69" x14ac:dyDescent="0.35">
      <c r="A5">
        <v>2022</v>
      </c>
      <c r="B5">
        <v>2022</v>
      </c>
      <c r="C5">
        <v>2022</v>
      </c>
      <c r="E5" t="s">
        <v>75</v>
      </c>
      <c r="F5" t="s">
        <v>76</v>
      </c>
      <c r="G5" t="s">
        <v>77</v>
      </c>
      <c r="I5">
        <v>6481.1</v>
      </c>
    </row>
    <row r="6" spans="1:69" x14ac:dyDescent="0.35">
      <c r="A6">
        <v>2022</v>
      </c>
      <c r="B6">
        <v>2022</v>
      </c>
      <c r="C6">
        <v>2022</v>
      </c>
      <c r="E6" t="s">
        <v>78</v>
      </c>
      <c r="F6" t="s">
        <v>79</v>
      </c>
      <c r="G6" t="s">
        <v>80</v>
      </c>
      <c r="I6">
        <v>4011145.2</v>
      </c>
      <c r="J6">
        <v>18493</v>
      </c>
      <c r="K6">
        <v>18493</v>
      </c>
      <c r="M6">
        <v>115316</v>
      </c>
      <c r="N6">
        <v>2640</v>
      </c>
      <c r="O6">
        <v>392</v>
      </c>
      <c r="P6">
        <v>806</v>
      </c>
      <c r="Q6">
        <v>101117</v>
      </c>
      <c r="AB6">
        <v>718</v>
      </c>
      <c r="AG6">
        <v>528</v>
      </c>
      <c r="AH6">
        <v>4695</v>
      </c>
      <c r="AQ6">
        <v>2640</v>
      </c>
      <c r="AU6">
        <v>115316</v>
      </c>
      <c r="AX6">
        <v>1688</v>
      </c>
      <c r="BB6">
        <v>1803</v>
      </c>
      <c r="BG6">
        <v>378</v>
      </c>
      <c r="BH6">
        <v>793</v>
      </c>
    </row>
    <row r="7" spans="1:69" x14ac:dyDescent="0.35">
      <c r="A7">
        <v>2022</v>
      </c>
      <c r="B7">
        <v>2022</v>
      </c>
      <c r="C7">
        <v>2022</v>
      </c>
      <c r="E7" t="s">
        <v>81</v>
      </c>
      <c r="F7" t="s">
        <v>82</v>
      </c>
      <c r="G7" t="s">
        <v>83</v>
      </c>
      <c r="I7">
        <v>3920543</v>
      </c>
      <c r="J7">
        <v>13327</v>
      </c>
      <c r="K7">
        <v>8860</v>
      </c>
      <c r="L7">
        <v>540</v>
      </c>
      <c r="M7">
        <v>70246</v>
      </c>
      <c r="N7">
        <v>21993</v>
      </c>
      <c r="O7">
        <v>271</v>
      </c>
      <c r="P7">
        <v>5871</v>
      </c>
      <c r="Q7">
        <v>121853</v>
      </c>
      <c r="T7">
        <v>1086</v>
      </c>
      <c r="U7">
        <v>41101</v>
      </c>
      <c r="V7">
        <v>195</v>
      </c>
      <c r="W7">
        <v>65</v>
      </c>
      <c r="X7">
        <v>310</v>
      </c>
      <c r="AA7">
        <v>0</v>
      </c>
      <c r="AB7">
        <v>2367</v>
      </c>
      <c r="AC7">
        <v>352</v>
      </c>
      <c r="AE7">
        <v>5283</v>
      </c>
      <c r="AG7">
        <v>1469</v>
      </c>
      <c r="AJ7">
        <v>13915</v>
      </c>
      <c r="AK7">
        <v>0</v>
      </c>
      <c r="AL7">
        <v>65</v>
      </c>
      <c r="AP7">
        <v>0</v>
      </c>
      <c r="AQ7">
        <v>21993</v>
      </c>
      <c r="AR7">
        <v>0</v>
      </c>
      <c r="AS7">
        <v>0</v>
      </c>
      <c r="AT7">
        <v>0</v>
      </c>
      <c r="AU7">
        <v>70246</v>
      </c>
      <c r="AX7">
        <v>630</v>
      </c>
      <c r="AY7">
        <v>454</v>
      </c>
      <c r="AZ7">
        <v>383</v>
      </c>
      <c r="BA7">
        <v>2440</v>
      </c>
      <c r="BD7">
        <v>1205</v>
      </c>
      <c r="BG7">
        <v>11220</v>
      </c>
      <c r="BH7">
        <v>231</v>
      </c>
      <c r="BJ7">
        <v>4658</v>
      </c>
      <c r="BN7">
        <v>4467</v>
      </c>
      <c r="BO7">
        <v>656</v>
      </c>
      <c r="BP7">
        <v>0</v>
      </c>
      <c r="BQ7">
        <v>0</v>
      </c>
    </row>
    <row r="8" spans="1:69" x14ac:dyDescent="0.35">
      <c r="A8">
        <v>2022</v>
      </c>
      <c r="B8">
        <v>2022</v>
      </c>
      <c r="C8">
        <v>2022</v>
      </c>
      <c r="E8" t="s">
        <v>84</v>
      </c>
      <c r="F8" t="s">
        <v>85</v>
      </c>
      <c r="G8" t="s">
        <v>86</v>
      </c>
      <c r="I8">
        <v>7745147.0999999996</v>
      </c>
      <c r="J8">
        <v>86181</v>
      </c>
      <c r="K8">
        <v>85719</v>
      </c>
      <c r="M8">
        <v>220681</v>
      </c>
      <c r="N8">
        <v>146787</v>
      </c>
      <c r="O8">
        <v>5048</v>
      </c>
      <c r="P8">
        <v>18277</v>
      </c>
      <c r="S8">
        <v>168</v>
      </c>
      <c r="U8">
        <v>154477</v>
      </c>
      <c r="Y8">
        <v>2660</v>
      </c>
      <c r="AB8">
        <v>20392</v>
      </c>
      <c r="AC8">
        <v>45</v>
      </c>
      <c r="AE8">
        <v>354339</v>
      </c>
      <c r="AG8">
        <v>4262</v>
      </c>
      <c r="AJ8">
        <v>38712</v>
      </c>
      <c r="AK8">
        <v>36833</v>
      </c>
      <c r="AL8">
        <v>280</v>
      </c>
      <c r="AQ8">
        <v>146787</v>
      </c>
      <c r="AU8">
        <v>220681</v>
      </c>
      <c r="AY8">
        <v>81</v>
      </c>
      <c r="AZ8">
        <v>5632</v>
      </c>
      <c r="BG8">
        <v>2326</v>
      </c>
      <c r="BH8">
        <v>6282</v>
      </c>
      <c r="BI8">
        <v>197</v>
      </c>
      <c r="BJ8">
        <v>27</v>
      </c>
      <c r="BN8">
        <v>462</v>
      </c>
      <c r="BO8">
        <v>61</v>
      </c>
    </row>
    <row r="9" spans="1:69" x14ac:dyDescent="0.35">
      <c r="A9">
        <v>2022</v>
      </c>
      <c r="B9">
        <v>2022</v>
      </c>
      <c r="C9">
        <v>2022</v>
      </c>
      <c r="E9" t="s">
        <v>87</v>
      </c>
      <c r="F9" t="s">
        <v>88</v>
      </c>
      <c r="G9" t="s">
        <v>89</v>
      </c>
      <c r="I9">
        <v>64514.8</v>
      </c>
      <c r="J9">
        <v>1139</v>
      </c>
      <c r="K9">
        <v>612</v>
      </c>
      <c r="L9">
        <v>137</v>
      </c>
      <c r="M9">
        <v>4277</v>
      </c>
      <c r="N9">
        <v>920</v>
      </c>
      <c r="O9">
        <v>44</v>
      </c>
      <c r="P9">
        <v>168</v>
      </c>
      <c r="U9">
        <v>98</v>
      </c>
      <c r="V9">
        <v>67</v>
      </c>
      <c r="W9">
        <v>17</v>
      </c>
      <c r="AA9">
        <v>2</v>
      </c>
      <c r="AB9">
        <v>155</v>
      </c>
      <c r="AC9">
        <v>154</v>
      </c>
      <c r="AG9">
        <v>478</v>
      </c>
      <c r="AJ9">
        <v>228</v>
      </c>
      <c r="AK9">
        <v>231</v>
      </c>
      <c r="AN9">
        <v>0</v>
      </c>
      <c r="AP9">
        <v>43</v>
      </c>
      <c r="AQ9">
        <v>867</v>
      </c>
      <c r="AR9">
        <v>10</v>
      </c>
      <c r="AS9">
        <v>84</v>
      </c>
      <c r="AT9">
        <v>3201</v>
      </c>
      <c r="AU9">
        <v>992</v>
      </c>
      <c r="AY9">
        <v>134</v>
      </c>
      <c r="BA9">
        <v>22</v>
      </c>
      <c r="BD9">
        <v>84</v>
      </c>
      <c r="BE9">
        <v>70</v>
      </c>
      <c r="BG9">
        <v>233</v>
      </c>
      <c r="BH9">
        <v>2</v>
      </c>
      <c r="BJ9">
        <v>4</v>
      </c>
      <c r="BK9">
        <v>175</v>
      </c>
      <c r="BN9">
        <v>527</v>
      </c>
      <c r="BO9">
        <v>103</v>
      </c>
    </row>
    <row r="10" spans="1:69" x14ac:dyDescent="0.35">
      <c r="A10">
        <v>2022</v>
      </c>
      <c r="B10">
        <v>2022</v>
      </c>
      <c r="C10">
        <v>2022</v>
      </c>
      <c r="E10" t="s">
        <v>90</v>
      </c>
      <c r="F10" t="s">
        <v>91</v>
      </c>
      <c r="G10" t="s">
        <v>92</v>
      </c>
      <c r="I10">
        <v>153744</v>
      </c>
      <c r="J10">
        <v>1118</v>
      </c>
      <c r="K10">
        <v>616</v>
      </c>
      <c r="M10">
        <v>6503</v>
      </c>
      <c r="N10">
        <v>1340</v>
      </c>
      <c r="O10">
        <v>131</v>
      </c>
      <c r="P10">
        <v>85</v>
      </c>
      <c r="AQ10">
        <v>1340</v>
      </c>
      <c r="AS10">
        <v>5840</v>
      </c>
      <c r="AU10">
        <v>663</v>
      </c>
      <c r="BN10">
        <v>502</v>
      </c>
    </row>
    <row r="11" spans="1:69" x14ac:dyDescent="0.35">
      <c r="A11">
        <v>2022</v>
      </c>
      <c r="B11">
        <v>2022</v>
      </c>
      <c r="C11">
        <v>2022</v>
      </c>
      <c r="E11" t="s">
        <v>93</v>
      </c>
      <c r="F11" t="s">
        <v>94</v>
      </c>
      <c r="G11" t="s">
        <v>95</v>
      </c>
      <c r="I11">
        <v>28860</v>
      </c>
      <c r="J11">
        <v>1912</v>
      </c>
      <c r="K11">
        <v>623</v>
      </c>
      <c r="M11">
        <v>3824</v>
      </c>
      <c r="AC11">
        <v>87</v>
      </c>
      <c r="AT11">
        <v>680</v>
      </c>
      <c r="AU11">
        <v>3144</v>
      </c>
      <c r="AY11">
        <v>152</v>
      </c>
      <c r="BN11">
        <v>1289</v>
      </c>
    </row>
    <row r="12" spans="1:69" x14ac:dyDescent="0.35">
      <c r="A12">
        <v>2022</v>
      </c>
      <c r="B12">
        <v>2022</v>
      </c>
      <c r="C12">
        <v>2022</v>
      </c>
      <c r="E12" t="s">
        <v>96</v>
      </c>
      <c r="F12" t="s">
        <v>97</v>
      </c>
      <c r="G12" t="s">
        <v>98</v>
      </c>
      <c r="I12">
        <v>58859.199999999997</v>
      </c>
      <c r="J12">
        <v>347</v>
      </c>
      <c r="K12">
        <v>281</v>
      </c>
      <c r="L12">
        <v>0</v>
      </c>
      <c r="M12">
        <v>0</v>
      </c>
      <c r="N12">
        <v>0</v>
      </c>
      <c r="O12">
        <v>31</v>
      </c>
      <c r="P12">
        <v>201</v>
      </c>
      <c r="Q12">
        <v>343</v>
      </c>
      <c r="R12">
        <v>0</v>
      </c>
      <c r="S12">
        <v>0</v>
      </c>
      <c r="T12">
        <v>1</v>
      </c>
      <c r="U12">
        <v>9196</v>
      </c>
      <c r="V12">
        <v>49</v>
      </c>
      <c r="W12">
        <v>5</v>
      </c>
      <c r="X12">
        <v>15</v>
      </c>
      <c r="Y12">
        <v>0</v>
      </c>
      <c r="Z12">
        <v>4</v>
      </c>
      <c r="AA12">
        <v>0</v>
      </c>
      <c r="AB12">
        <v>31</v>
      </c>
      <c r="AC12">
        <v>9</v>
      </c>
      <c r="AD12">
        <v>0</v>
      </c>
      <c r="AE12">
        <v>3</v>
      </c>
      <c r="AF12">
        <v>0</v>
      </c>
      <c r="AG12">
        <v>76</v>
      </c>
      <c r="AH12">
        <v>33</v>
      </c>
      <c r="AI12">
        <v>5</v>
      </c>
      <c r="AJ12">
        <v>28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X12">
        <v>0</v>
      </c>
      <c r="AY12">
        <v>9</v>
      </c>
      <c r="AZ12">
        <v>3</v>
      </c>
      <c r="BA12">
        <v>30</v>
      </c>
      <c r="BB12">
        <v>620</v>
      </c>
      <c r="BC12">
        <v>0</v>
      </c>
      <c r="BD12">
        <v>2</v>
      </c>
      <c r="BE12">
        <v>0</v>
      </c>
      <c r="BF12">
        <v>0</v>
      </c>
      <c r="BG12">
        <v>31</v>
      </c>
      <c r="BH12">
        <v>5</v>
      </c>
      <c r="BI12">
        <v>2</v>
      </c>
      <c r="BJ12">
        <v>0</v>
      </c>
      <c r="BK12">
        <v>0</v>
      </c>
      <c r="BL12">
        <v>0</v>
      </c>
      <c r="BM12">
        <v>0</v>
      </c>
      <c r="BN12">
        <v>66</v>
      </c>
      <c r="BO12">
        <v>6</v>
      </c>
      <c r="BP12">
        <v>0</v>
      </c>
      <c r="BQ12">
        <v>0</v>
      </c>
    </row>
    <row r="13" spans="1:69" x14ac:dyDescent="0.35">
      <c r="A13">
        <v>2022</v>
      </c>
      <c r="B13">
        <v>2022</v>
      </c>
      <c r="C13">
        <v>2022</v>
      </c>
      <c r="E13" t="s">
        <v>99</v>
      </c>
      <c r="F13" t="s">
        <v>100</v>
      </c>
      <c r="G13" t="s">
        <v>101</v>
      </c>
      <c r="I13">
        <v>966316.9</v>
      </c>
    </row>
    <row r="14" spans="1:69" x14ac:dyDescent="0.35">
      <c r="A14">
        <v>2022</v>
      </c>
      <c r="B14">
        <v>2022</v>
      </c>
      <c r="C14">
        <v>2022</v>
      </c>
      <c r="E14" t="s">
        <v>102</v>
      </c>
      <c r="F14" t="s">
        <v>103</v>
      </c>
      <c r="G14" t="s">
        <v>104</v>
      </c>
      <c r="I14">
        <v>1332678.6000000001</v>
      </c>
      <c r="J14">
        <v>8693</v>
      </c>
      <c r="K14">
        <v>4778</v>
      </c>
      <c r="L14">
        <v>2510</v>
      </c>
      <c r="M14">
        <v>44989</v>
      </c>
      <c r="N14">
        <v>22</v>
      </c>
      <c r="O14">
        <v>171</v>
      </c>
      <c r="P14">
        <v>967</v>
      </c>
      <c r="Q14">
        <v>13442</v>
      </c>
      <c r="R14">
        <v>1045</v>
      </c>
      <c r="S14">
        <v>1</v>
      </c>
      <c r="T14">
        <v>16</v>
      </c>
      <c r="U14">
        <v>5</v>
      </c>
      <c r="V14">
        <v>0</v>
      </c>
      <c r="W14">
        <v>0</v>
      </c>
      <c r="X14">
        <v>0</v>
      </c>
      <c r="AA14">
        <v>0</v>
      </c>
      <c r="AB14">
        <v>11</v>
      </c>
      <c r="AC14">
        <v>273</v>
      </c>
      <c r="AE14">
        <v>110</v>
      </c>
      <c r="AG14">
        <v>107</v>
      </c>
      <c r="AH14">
        <v>2072</v>
      </c>
      <c r="AJ14">
        <v>12</v>
      </c>
      <c r="AK14">
        <v>9</v>
      </c>
      <c r="AM14">
        <v>117</v>
      </c>
      <c r="AP14">
        <v>20</v>
      </c>
      <c r="AQ14">
        <v>2</v>
      </c>
      <c r="AR14">
        <v>0</v>
      </c>
      <c r="AS14">
        <v>1597</v>
      </c>
      <c r="AT14">
        <v>37151</v>
      </c>
      <c r="AU14">
        <v>6241</v>
      </c>
      <c r="AX14">
        <v>15</v>
      </c>
      <c r="AY14">
        <v>279</v>
      </c>
      <c r="AZ14">
        <v>6</v>
      </c>
      <c r="BA14">
        <v>599</v>
      </c>
      <c r="BC14">
        <v>8431</v>
      </c>
      <c r="BD14">
        <v>0</v>
      </c>
      <c r="BG14">
        <v>636</v>
      </c>
      <c r="BH14">
        <v>705</v>
      </c>
      <c r="BI14">
        <v>490</v>
      </c>
      <c r="BJ14">
        <v>44</v>
      </c>
      <c r="BK14">
        <v>767</v>
      </c>
      <c r="BM14">
        <v>41</v>
      </c>
      <c r="BN14">
        <v>3915</v>
      </c>
      <c r="BO14">
        <v>210</v>
      </c>
      <c r="BP14">
        <v>0</v>
      </c>
      <c r="BQ14">
        <v>0</v>
      </c>
    </row>
    <row r="15" spans="1:69" x14ac:dyDescent="0.35">
      <c r="A15">
        <v>2022</v>
      </c>
      <c r="B15">
        <v>2022</v>
      </c>
      <c r="C15">
        <v>2022</v>
      </c>
      <c r="E15" t="s">
        <v>105</v>
      </c>
      <c r="F15" t="s">
        <v>106</v>
      </c>
      <c r="G15" t="s">
        <v>107</v>
      </c>
      <c r="I15">
        <v>470912.8</v>
      </c>
      <c r="J15">
        <v>2608</v>
      </c>
      <c r="K15">
        <v>1753</v>
      </c>
      <c r="M15">
        <v>5893</v>
      </c>
      <c r="N15">
        <v>2055</v>
      </c>
      <c r="O15">
        <v>50</v>
      </c>
      <c r="P15">
        <v>382</v>
      </c>
      <c r="Q15">
        <v>5106</v>
      </c>
      <c r="U15">
        <v>21</v>
      </c>
      <c r="AB15">
        <v>257</v>
      </c>
      <c r="AC15">
        <v>97</v>
      </c>
      <c r="AJ15">
        <v>1602</v>
      </c>
      <c r="AO15">
        <v>4</v>
      </c>
      <c r="AQ15">
        <v>2055</v>
      </c>
      <c r="AU15">
        <v>5893</v>
      </c>
      <c r="AX15">
        <v>44</v>
      </c>
      <c r="AY15">
        <v>157</v>
      </c>
      <c r="BD15">
        <v>382</v>
      </c>
      <c r="BH15">
        <v>187</v>
      </c>
      <c r="BN15">
        <v>855</v>
      </c>
      <c r="BO15">
        <v>97</v>
      </c>
    </row>
    <row r="16" spans="1:69" x14ac:dyDescent="0.35">
      <c r="A16">
        <v>2022</v>
      </c>
      <c r="B16">
        <v>2022</v>
      </c>
      <c r="C16">
        <v>2022</v>
      </c>
      <c r="E16" t="s">
        <v>108</v>
      </c>
      <c r="F16" t="s">
        <v>109</v>
      </c>
      <c r="G16" t="s">
        <v>110</v>
      </c>
      <c r="I16">
        <v>61665.2</v>
      </c>
      <c r="J16">
        <v>992</v>
      </c>
      <c r="K16">
        <v>898</v>
      </c>
      <c r="M16">
        <v>8028</v>
      </c>
      <c r="O16">
        <v>86</v>
      </c>
      <c r="P16">
        <v>125</v>
      </c>
      <c r="Q16">
        <v>449</v>
      </c>
      <c r="R16">
        <v>848</v>
      </c>
      <c r="S16">
        <v>11</v>
      </c>
      <c r="T16">
        <v>13</v>
      </c>
      <c r="V16">
        <v>24</v>
      </c>
      <c r="W16">
        <v>33</v>
      </c>
      <c r="X16">
        <v>40</v>
      </c>
      <c r="Z16">
        <v>106</v>
      </c>
      <c r="AD16">
        <v>1563</v>
      </c>
      <c r="AE16">
        <v>113</v>
      </c>
      <c r="AG16">
        <v>82</v>
      </c>
      <c r="AH16">
        <v>159</v>
      </c>
      <c r="AI16">
        <v>63</v>
      </c>
      <c r="AJ16">
        <v>318</v>
      </c>
      <c r="AK16">
        <v>191</v>
      </c>
      <c r="AM16">
        <v>74</v>
      </c>
      <c r="AU16">
        <v>8028</v>
      </c>
      <c r="AX16">
        <v>4</v>
      </c>
      <c r="AZ16">
        <v>4</v>
      </c>
      <c r="BB16">
        <v>1579</v>
      </c>
      <c r="BC16">
        <v>3204</v>
      </c>
      <c r="BD16">
        <v>6</v>
      </c>
      <c r="BG16">
        <v>449</v>
      </c>
      <c r="BH16">
        <v>30</v>
      </c>
      <c r="BK16">
        <v>17</v>
      </c>
      <c r="BN16">
        <v>94</v>
      </c>
    </row>
    <row r="17" spans="1:69" x14ac:dyDescent="0.35">
      <c r="A17">
        <v>2022</v>
      </c>
      <c r="B17">
        <v>2022</v>
      </c>
      <c r="C17">
        <v>2022</v>
      </c>
      <c r="E17" t="s">
        <v>111</v>
      </c>
      <c r="F17" t="s">
        <v>112</v>
      </c>
      <c r="G17" t="s">
        <v>113</v>
      </c>
      <c r="I17">
        <v>437298.7</v>
      </c>
    </row>
    <row r="18" spans="1:69" x14ac:dyDescent="0.35">
      <c r="A18">
        <v>2022</v>
      </c>
      <c r="B18">
        <v>2022</v>
      </c>
      <c r="C18">
        <v>2022</v>
      </c>
      <c r="E18" t="s">
        <v>114</v>
      </c>
      <c r="F18" t="s">
        <v>115</v>
      </c>
      <c r="G18" t="s">
        <v>116</v>
      </c>
      <c r="I18">
        <v>10405.299999999999</v>
      </c>
      <c r="J18">
        <v>2644</v>
      </c>
      <c r="K18">
        <v>187</v>
      </c>
      <c r="L18">
        <v>100</v>
      </c>
      <c r="M18">
        <v>941</v>
      </c>
      <c r="N18">
        <v>0</v>
      </c>
      <c r="O18">
        <v>10</v>
      </c>
      <c r="P18">
        <v>23</v>
      </c>
      <c r="Q18">
        <v>0</v>
      </c>
      <c r="R18">
        <v>0</v>
      </c>
      <c r="S18">
        <v>0</v>
      </c>
      <c r="T18">
        <v>0</v>
      </c>
      <c r="U18">
        <v>155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2349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95</v>
      </c>
      <c r="AU18">
        <v>846</v>
      </c>
      <c r="AX18">
        <v>11</v>
      </c>
      <c r="AY18">
        <v>33</v>
      </c>
      <c r="AZ18">
        <v>4</v>
      </c>
      <c r="BA18">
        <v>24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6</v>
      </c>
      <c r="BH18">
        <v>10</v>
      </c>
      <c r="BI18">
        <v>0</v>
      </c>
      <c r="BJ18">
        <v>8</v>
      </c>
      <c r="BK18">
        <v>0</v>
      </c>
      <c r="BL18">
        <v>0</v>
      </c>
      <c r="BM18">
        <v>0</v>
      </c>
      <c r="BN18">
        <v>108</v>
      </c>
      <c r="BO18">
        <v>56</v>
      </c>
      <c r="BP18">
        <v>0</v>
      </c>
      <c r="BQ18">
        <v>0</v>
      </c>
    </row>
    <row r="19" spans="1:69" x14ac:dyDescent="0.35">
      <c r="A19">
        <v>2022</v>
      </c>
      <c r="B19">
        <v>2022</v>
      </c>
      <c r="C19">
        <v>2022</v>
      </c>
      <c r="E19" t="s">
        <v>117</v>
      </c>
      <c r="F19" t="s">
        <v>118</v>
      </c>
      <c r="G19" t="s">
        <v>119</v>
      </c>
      <c r="I19">
        <v>946149.4</v>
      </c>
      <c r="J19">
        <v>3759</v>
      </c>
      <c r="K19">
        <v>2467</v>
      </c>
      <c r="L19">
        <v>639</v>
      </c>
      <c r="M19">
        <v>16473</v>
      </c>
      <c r="N19">
        <v>1674</v>
      </c>
      <c r="O19">
        <v>317</v>
      </c>
      <c r="P19">
        <v>602</v>
      </c>
      <c r="Q19">
        <v>3699</v>
      </c>
      <c r="R19">
        <v>61</v>
      </c>
      <c r="S19">
        <v>0</v>
      </c>
      <c r="T19">
        <v>85</v>
      </c>
      <c r="U19">
        <v>310</v>
      </c>
      <c r="V19">
        <v>88</v>
      </c>
      <c r="W19">
        <v>11</v>
      </c>
      <c r="X19">
        <v>6</v>
      </c>
      <c r="Y19">
        <v>1</v>
      </c>
      <c r="Z19">
        <v>89</v>
      </c>
      <c r="AA19">
        <v>1</v>
      </c>
      <c r="AB19">
        <v>668</v>
      </c>
      <c r="AC19">
        <v>87</v>
      </c>
      <c r="AD19">
        <v>132</v>
      </c>
      <c r="AE19">
        <v>20</v>
      </c>
      <c r="AF19">
        <v>0</v>
      </c>
      <c r="AG19">
        <v>4864</v>
      </c>
      <c r="AH19">
        <v>1195</v>
      </c>
      <c r="AI19">
        <v>118</v>
      </c>
      <c r="AJ19">
        <v>161</v>
      </c>
      <c r="AK19">
        <v>293</v>
      </c>
      <c r="AL19">
        <v>8</v>
      </c>
      <c r="AM19">
        <v>85</v>
      </c>
      <c r="AN19">
        <v>3</v>
      </c>
      <c r="AO19">
        <v>83</v>
      </c>
      <c r="AP19">
        <v>77</v>
      </c>
      <c r="AQ19">
        <v>1578</v>
      </c>
      <c r="AR19">
        <v>19</v>
      </c>
      <c r="AS19">
        <v>63</v>
      </c>
      <c r="AT19">
        <v>4925</v>
      </c>
      <c r="AU19">
        <v>11485</v>
      </c>
      <c r="AX19">
        <v>49</v>
      </c>
      <c r="AY19">
        <v>152</v>
      </c>
      <c r="AZ19">
        <v>10</v>
      </c>
      <c r="BA19">
        <v>158</v>
      </c>
      <c r="BB19">
        <v>5</v>
      </c>
      <c r="BC19">
        <v>74</v>
      </c>
      <c r="BD19">
        <v>34</v>
      </c>
      <c r="BE19">
        <v>14</v>
      </c>
      <c r="BF19">
        <v>0</v>
      </c>
      <c r="BG19">
        <v>369</v>
      </c>
      <c r="BH19">
        <v>24</v>
      </c>
      <c r="BI19">
        <v>167</v>
      </c>
      <c r="BJ19">
        <v>10</v>
      </c>
      <c r="BK19">
        <v>32</v>
      </c>
      <c r="BL19">
        <v>11</v>
      </c>
      <c r="BM19">
        <v>595</v>
      </c>
      <c r="BN19">
        <v>1289</v>
      </c>
      <c r="BO19">
        <v>301</v>
      </c>
      <c r="BP19">
        <v>11</v>
      </c>
      <c r="BQ19">
        <v>5</v>
      </c>
    </row>
    <row r="20" spans="1:69" x14ac:dyDescent="0.35">
      <c r="A20">
        <v>2022</v>
      </c>
      <c r="B20">
        <v>2022</v>
      </c>
      <c r="C20">
        <v>2022</v>
      </c>
      <c r="E20" t="s">
        <v>120</v>
      </c>
      <c r="F20" t="s">
        <v>121</v>
      </c>
      <c r="G20" t="s">
        <v>122</v>
      </c>
      <c r="I20">
        <v>734070.3</v>
      </c>
      <c r="J20">
        <v>1507</v>
      </c>
      <c r="K20">
        <v>1197</v>
      </c>
      <c r="M20">
        <v>2933</v>
      </c>
      <c r="N20">
        <v>783</v>
      </c>
      <c r="O20">
        <v>21</v>
      </c>
      <c r="P20">
        <v>163</v>
      </c>
      <c r="Q20">
        <v>431</v>
      </c>
      <c r="W20">
        <v>11</v>
      </c>
      <c r="Z20">
        <v>30</v>
      </c>
      <c r="AC20">
        <v>28</v>
      </c>
      <c r="AE20">
        <v>18</v>
      </c>
      <c r="AI20">
        <v>104</v>
      </c>
      <c r="AJ20">
        <v>1028</v>
      </c>
      <c r="AK20">
        <v>1028</v>
      </c>
      <c r="AP20">
        <v>126</v>
      </c>
      <c r="AQ20">
        <v>657</v>
      </c>
      <c r="AT20">
        <v>1265</v>
      </c>
      <c r="AU20">
        <v>1668</v>
      </c>
      <c r="AX20">
        <v>77</v>
      </c>
      <c r="AY20">
        <v>57</v>
      </c>
      <c r="BA20">
        <v>183</v>
      </c>
      <c r="BG20">
        <v>320</v>
      </c>
      <c r="BJ20">
        <v>1</v>
      </c>
      <c r="BN20">
        <v>310</v>
      </c>
      <c r="BO20">
        <v>28</v>
      </c>
      <c r="BQ20">
        <v>21983</v>
      </c>
    </row>
    <row r="21" spans="1:69" x14ac:dyDescent="0.35">
      <c r="A21">
        <v>2022</v>
      </c>
      <c r="B21">
        <v>2022</v>
      </c>
      <c r="C21">
        <v>2022</v>
      </c>
      <c r="E21" t="s">
        <v>123</v>
      </c>
      <c r="F21" t="s">
        <v>124</v>
      </c>
      <c r="G21" t="s">
        <v>125</v>
      </c>
      <c r="I21">
        <v>924980.8</v>
      </c>
      <c r="J21">
        <v>4930</v>
      </c>
      <c r="K21">
        <v>4412</v>
      </c>
      <c r="M21">
        <v>14979</v>
      </c>
      <c r="N21">
        <v>7425</v>
      </c>
      <c r="O21">
        <v>418</v>
      </c>
      <c r="P21">
        <v>1162</v>
      </c>
      <c r="V21">
        <v>28</v>
      </c>
      <c r="AD21">
        <v>4140</v>
      </c>
      <c r="AO21">
        <v>148</v>
      </c>
      <c r="AP21">
        <v>4</v>
      </c>
      <c r="AQ21">
        <v>7421</v>
      </c>
      <c r="AS21">
        <v>45</v>
      </c>
      <c r="AU21">
        <v>14934</v>
      </c>
      <c r="BD21">
        <v>3896</v>
      </c>
      <c r="BG21">
        <v>200</v>
      </c>
      <c r="BH21">
        <v>95</v>
      </c>
      <c r="BN21">
        <v>518</v>
      </c>
    </row>
    <row r="22" spans="1:69" x14ac:dyDescent="0.35">
      <c r="A22">
        <v>2022</v>
      </c>
      <c r="B22">
        <v>2022</v>
      </c>
      <c r="C22">
        <v>2022</v>
      </c>
      <c r="E22" t="s">
        <v>126</v>
      </c>
      <c r="F22" t="s">
        <v>127</v>
      </c>
      <c r="G22" t="s">
        <v>128</v>
      </c>
      <c r="I22">
        <v>49447.1</v>
      </c>
      <c r="J22">
        <v>239</v>
      </c>
      <c r="K22">
        <v>182</v>
      </c>
      <c r="M22">
        <v>1375</v>
      </c>
      <c r="N22">
        <v>23</v>
      </c>
      <c r="P22">
        <v>14</v>
      </c>
      <c r="U22">
        <v>146</v>
      </c>
      <c r="AI22">
        <v>282</v>
      </c>
      <c r="AJ22">
        <v>228</v>
      </c>
      <c r="AQ22">
        <v>23</v>
      </c>
      <c r="AS22">
        <v>1078</v>
      </c>
      <c r="AU22">
        <v>297</v>
      </c>
      <c r="BD22">
        <v>101</v>
      </c>
      <c r="BG22">
        <v>91</v>
      </c>
      <c r="BN22">
        <v>57</v>
      </c>
    </row>
    <row r="23" spans="1:69" x14ac:dyDescent="0.35">
      <c r="A23">
        <v>2022</v>
      </c>
      <c r="B23">
        <v>2022</v>
      </c>
      <c r="C23">
        <v>2022</v>
      </c>
      <c r="E23" t="s">
        <v>129</v>
      </c>
      <c r="F23" t="s">
        <v>130</v>
      </c>
      <c r="G23" t="s">
        <v>131</v>
      </c>
      <c r="I23">
        <v>88529.1</v>
      </c>
    </row>
    <row r="24" spans="1:69" x14ac:dyDescent="0.35">
      <c r="A24">
        <v>2022</v>
      </c>
      <c r="B24">
        <v>2022</v>
      </c>
      <c r="C24">
        <v>2022</v>
      </c>
      <c r="E24" t="s">
        <v>132</v>
      </c>
      <c r="F24" t="s">
        <v>133</v>
      </c>
      <c r="G24" t="s">
        <v>134</v>
      </c>
      <c r="I24">
        <v>913289.2</v>
      </c>
      <c r="J24">
        <v>4726</v>
      </c>
      <c r="K24">
        <v>3344</v>
      </c>
      <c r="L24">
        <v>0</v>
      </c>
      <c r="M24">
        <v>102943</v>
      </c>
      <c r="N24">
        <v>23882</v>
      </c>
      <c r="O24">
        <v>0</v>
      </c>
      <c r="P24">
        <v>1188</v>
      </c>
      <c r="Q24">
        <v>4065</v>
      </c>
      <c r="R24">
        <v>3583</v>
      </c>
      <c r="S24">
        <v>30</v>
      </c>
      <c r="T24">
        <v>0</v>
      </c>
      <c r="U24">
        <v>0</v>
      </c>
      <c r="V24">
        <v>488</v>
      </c>
      <c r="W24">
        <v>0</v>
      </c>
      <c r="X24">
        <v>153</v>
      </c>
      <c r="Y24">
        <v>0</v>
      </c>
      <c r="Z24">
        <v>436</v>
      </c>
      <c r="AA24">
        <v>0</v>
      </c>
      <c r="AB24">
        <v>47</v>
      </c>
      <c r="AC24">
        <v>0</v>
      </c>
      <c r="AD24">
        <v>0</v>
      </c>
      <c r="AE24">
        <v>0</v>
      </c>
      <c r="AF24">
        <v>0</v>
      </c>
      <c r="AG24">
        <v>2703</v>
      </c>
      <c r="AH24">
        <v>0</v>
      </c>
      <c r="AI24">
        <v>2471</v>
      </c>
      <c r="AJ24">
        <v>477</v>
      </c>
      <c r="AK24">
        <v>2139</v>
      </c>
      <c r="AL24">
        <v>0</v>
      </c>
      <c r="AM24">
        <v>3555</v>
      </c>
      <c r="AN24">
        <v>0</v>
      </c>
      <c r="AO24">
        <v>0</v>
      </c>
      <c r="AP24">
        <v>0</v>
      </c>
      <c r="AQ24">
        <v>23882</v>
      </c>
      <c r="AR24">
        <v>0</v>
      </c>
      <c r="AS24">
        <v>0</v>
      </c>
      <c r="AT24">
        <v>56484</v>
      </c>
      <c r="AU24">
        <v>46459</v>
      </c>
      <c r="AX24">
        <v>1481</v>
      </c>
      <c r="AY24">
        <v>0</v>
      </c>
      <c r="AZ24">
        <v>309</v>
      </c>
      <c r="BA24">
        <v>0</v>
      </c>
      <c r="BB24">
        <v>0</v>
      </c>
      <c r="BC24">
        <v>0</v>
      </c>
      <c r="BD24">
        <v>0</v>
      </c>
      <c r="BE24">
        <v>3602</v>
      </c>
      <c r="BF24">
        <v>0</v>
      </c>
      <c r="BG24">
        <v>1507</v>
      </c>
      <c r="BH24">
        <v>196</v>
      </c>
      <c r="BI24">
        <v>185</v>
      </c>
      <c r="BJ24">
        <v>0</v>
      </c>
      <c r="BK24">
        <v>65</v>
      </c>
      <c r="BL24">
        <v>0</v>
      </c>
      <c r="BM24">
        <v>0</v>
      </c>
      <c r="BN24">
        <v>1382</v>
      </c>
      <c r="BO24">
        <v>0</v>
      </c>
      <c r="BP24">
        <v>0</v>
      </c>
      <c r="BQ24">
        <v>0</v>
      </c>
    </row>
    <row r="25" spans="1:69" x14ac:dyDescent="0.35">
      <c r="A25">
        <v>2022</v>
      </c>
      <c r="B25">
        <v>2022</v>
      </c>
      <c r="C25">
        <v>2022</v>
      </c>
      <c r="E25" t="s">
        <v>135</v>
      </c>
      <c r="F25" t="s">
        <v>136</v>
      </c>
      <c r="G25" t="s">
        <v>137</v>
      </c>
      <c r="I25">
        <v>458014.7</v>
      </c>
      <c r="J25">
        <v>297</v>
      </c>
      <c r="L25">
        <v>5</v>
      </c>
      <c r="M25">
        <v>4367</v>
      </c>
      <c r="N25">
        <v>777</v>
      </c>
      <c r="O25">
        <v>34</v>
      </c>
      <c r="V25">
        <v>50</v>
      </c>
      <c r="AC25">
        <v>30</v>
      </c>
      <c r="AN25">
        <v>1</v>
      </c>
      <c r="AP25">
        <v>0</v>
      </c>
      <c r="AQ25">
        <v>777</v>
      </c>
      <c r="AR25">
        <v>0</v>
      </c>
      <c r="AS25">
        <v>0</v>
      </c>
      <c r="AT25">
        <v>2680</v>
      </c>
      <c r="AU25">
        <v>1687</v>
      </c>
      <c r="AY25">
        <v>31</v>
      </c>
      <c r="BA25">
        <v>111</v>
      </c>
      <c r="BJ25">
        <v>5</v>
      </c>
      <c r="BN25">
        <v>296</v>
      </c>
      <c r="BO25">
        <v>80</v>
      </c>
    </row>
    <row r="26" spans="1:69" x14ac:dyDescent="0.35">
      <c r="A26">
        <v>2022</v>
      </c>
      <c r="B26">
        <v>2022</v>
      </c>
      <c r="C26">
        <v>2022</v>
      </c>
      <c r="E26" t="s">
        <v>138</v>
      </c>
      <c r="F26" t="s">
        <v>139</v>
      </c>
      <c r="G26" t="s">
        <v>140</v>
      </c>
      <c r="I26">
        <v>63757.9</v>
      </c>
      <c r="J26">
        <v>438</v>
      </c>
      <c r="K26">
        <v>428</v>
      </c>
      <c r="L26">
        <v>0</v>
      </c>
      <c r="M26">
        <v>1879</v>
      </c>
      <c r="N26">
        <v>197</v>
      </c>
      <c r="O26">
        <v>20</v>
      </c>
      <c r="P26">
        <v>2</v>
      </c>
      <c r="Q26">
        <v>181</v>
      </c>
      <c r="R26">
        <v>0</v>
      </c>
      <c r="S26">
        <v>0</v>
      </c>
      <c r="T26">
        <v>11</v>
      </c>
      <c r="U26">
        <v>3975</v>
      </c>
      <c r="V26">
        <v>2</v>
      </c>
      <c r="W26">
        <v>2</v>
      </c>
      <c r="X26">
        <v>3</v>
      </c>
      <c r="Y26">
        <v>1</v>
      </c>
      <c r="Z26">
        <v>1</v>
      </c>
      <c r="AA26">
        <v>24</v>
      </c>
      <c r="AB26">
        <v>0</v>
      </c>
      <c r="AC26">
        <v>5</v>
      </c>
      <c r="AD26">
        <v>0</v>
      </c>
      <c r="AE26">
        <v>0</v>
      </c>
      <c r="AF26">
        <v>0</v>
      </c>
      <c r="AG26">
        <v>51</v>
      </c>
      <c r="AH26">
        <v>0</v>
      </c>
      <c r="AI26">
        <v>0</v>
      </c>
      <c r="AJ26">
        <v>197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171</v>
      </c>
      <c r="AQ26">
        <v>26</v>
      </c>
      <c r="AR26">
        <v>0</v>
      </c>
      <c r="AS26">
        <v>3</v>
      </c>
      <c r="AT26">
        <v>889</v>
      </c>
      <c r="AU26">
        <v>987</v>
      </c>
      <c r="AX26">
        <v>1</v>
      </c>
      <c r="AY26">
        <v>4</v>
      </c>
      <c r="AZ26">
        <v>0</v>
      </c>
      <c r="BA26">
        <v>0</v>
      </c>
      <c r="BB26">
        <v>10</v>
      </c>
      <c r="BC26">
        <v>64</v>
      </c>
      <c r="BD26">
        <v>0</v>
      </c>
      <c r="BE26">
        <v>0</v>
      </c>
      <c r="BF26">
        <v>0</v>
      </c>
      <c r="BG26">
        <v>80</v>
      </c>
      <c r="BH26">
        <v>5</v>
      </c>
      <c r="BI26">
        <v>0</v>
      </c>
      <c r="BJ26">
        <v>0</v>
      </c>
      <c r="BK26">
        <v>11</v>
      </c>
      <c r="BL26">
        <v>68</v>
      </c>
      <c r="BM26">
        <v>0</v>
      </c>
      <c r="BN26">
        <v>10</v>
      </c>
      <c r="BO26">
        <v>0</v>
      </c>
      <c r="BP26">
        <v>0</v>
      </c>
      <c r="BQ26">
        <v>0</v>
      </c>
    </row>
    <row r="27" spans="1:69" x14ac:dyDescent="0.35">
      <c r="A27">
        <v>2022</v>
      </c>
      <c r="B27">
        <v>2022</v>
      </c>
      <c r="C27">
        <v>2022</v>
      </c>
      <c r="E27" t="s">
        <v>141</v>
      </c>
      <c r="F27" t="s">
        <v>142</v>
      </c>
      <c r="G27" t="s">
        <v>143</v>
      </c>
      <c r="I27">
        <v>1487676.4</v>
      </c>
      <c r="J27">
        <v>5517</v>
      </c>
      <c r="K27">
        <v>3544</v>
      </c>
      <c r="L27">
        <v>333</v>
      </c>
      <c r="M27">
        <v>34634</v>
      </c>
      <c r="N27">
        <v>137</v>
      </c>
      <c r="O27">
        <v>273</v>
      </c>
      <c r="P27">
        <v>886</v>
      </c>
      <c r="Q27">
        <v>0</v>
      </c>
      <c r="R27">
        <v>141</v>
      </c>
      <c r="S27">
        <v>0</v>
      </c>
      <c r="T27">
        <v>603</v>
      </c>
      <c r="U27">
        <v>86423</v>
      </c>
      <c r="V27">
        <v>255</v>
      </c>
      <c r="W27">
        <v>181</v>
      </c>
      <c r="X27">
        <v>0</v>
      </c>
      <c r="Y27">
        <v>0</v>
      </c>
      <c r="Z27">
        <v>0</v>
      </c>
      <c r="AA27">
        <v>0</v>
      </c>
      <c r="AB27">
        <v>4286</v>
      </c>
      <c r="AC27">
        <v>206</v>
      </c>
      <c r="AD27">
        <v>0</v>
      </c>
      <c r="AE27">
        <v>2153</v>
      </c>
      <c r="AF27">
        <v>0</v>
      </c>
      <c r="AG27">
        <v>0</v>
      </c>
      <c r="AH27">
        <v>0</v>
      </c>
      <c r="AI27">
        <v>0</v>
      </c>
      <c r="AJ27">
        <v>636</v>
      </c>
      <c r="AK27">
        <v>4663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137</v>
      </c>
      <c r="AR27">
        <v>0</v>
      </c>
      <c r="AS27">
        <v>0</v>
      </c>
      <c r="AT27">
        <v>0</v>
      </c>
      <c r="AU27">
        <v>34634</v>
      </c>
      <c r="AX27">
        <v>2217</v>
      </c>
      <c r="AY27">
        <v>285</v>
      </c>
      <c r="AZ27">
        <v>0</v>
      </c>
      <c r="BA27">
        <v>812</v>
      </c>
      <c r="BB27">
        <v>0</v>
      </c>
      <c r="BC27">
        <v>0</v>
      </c>
      <c r="BD27">
        <v>8639</v>
      </c>
      <c r="BE27">
        <v>0</v>
      </c>
      <c r="BF27">
        <v>0</v>
      </c>
      <c r="BG27">
        <v>1797</v>
      </c>
      <c r="BH27">
        <v>631</v>
      </c>
      <c r="BI27">
        <v>0</v>
      </c>
      <c r="BJ27">
        <v>77</v>
      </c>
      <c r="BK27">
        <v>0</v>
      </c>
      <c r="BL27">
        <v>0</v>
      </c>
      <c r="BM27">
        <v>642</v>
      </c>
      <c r="BN27">
        <v>1973</v>
      </c>
      <c r="BO27">
        <v>593</v>
      </c>
      <c r="BP27">
        <v>0</v>
      </c>
      <c r="BQ27">
        <v>0</v>
      </c>
    </row>
    <row r="28" spans="1:69" x14ac:dyDescent="0.35">
      <c r="A28">
        <v>2022</v>
      </c>
      <c r="B28">
        <v>2022</v>
      </c>
      <c r="C28">
        <v>2022</v>
      </c>
      <c r="E28" t="s">
        <v>144</v>
      </c>
      <c r="F28" t="s">
        <v>145</v>
      </c>
      <c r="G28" t="s">
        <v>146</v>
      </c>
      <c r="I28">
        <v>161499.29999999999</v>
      </c>
      <c r="J28">
        <v>954</v>
      </c>
      <c r="K28">
        <v>840</v>
      </c>
      <c r="L28">
        <v>37</v>
      </c>
      <c r="M28">
        <v>3440</v>
      </c>
      <c r="N28">
        <v>769</v>
      </c>
      <c r="O28">
        <v>6</v>
      </c>
      <c r="P28">
        <v>170</v>
      </c>
      <c r="AC28">
        <v>20</v>
      </c>
      <c r="AQ28">
        <v>769</v>
      </c>
      <c r="AT28">
        <v>1423</v>
      </c>
      <c r="AU28">
        <v>2017</v>
      </c>
      <c r="AY28">
        <v>30</v>
      </c>
      <c r="BG28">
        <v>447</v>
      </c>
      <c r="BJ28">
        <v>0</v>
      </c>
      <c r="BN28">
        <v>114</v>
      </c>
      <c r="BO28">
        <v>30</v>
      </c>
    </row>
    <row r="29" spans="1:69" x14ac:dyDescent="0.35">
      <c r="A29">
        <v>2022</v>
      </c>
      <c r="B29">
        <v>2022</v>
      </c>
      <c r="C29">
        <v>2022</v>
      </c>
      <c r="E29" t="s">
        <v>147</v>
      </c>
      <c r="F29" t="s">
        <v>148</v>
      </c>
      <c r="G29" t="s">
        <v>149</v>
      </c>
      <c r="I29">
        <v>903175.3</v>
      </c>
      <c r="O29">
        <v>225</v>
      </c>
      <c r="P29">
        <v>27</v>
      </c>
    </row>
    <row r="30" spans="1:69" x14ac:dyDescent="0.35">
      <c r="A30">
        <v>2022</v>
      </c>
      <c r="B30">
        <v>2022</v>
      </c>
      <c r="C30">
        <v>2022</v>
      </c>
      <c r="E30" t="s">
        <v>150</v>
      </c>
      <c r="F30" t="s">
        <v>151</v>
      </c>
      <c r="G30" t="s">
        <v>152</v>
      </c>
      <c r="I30">
        <v>663702.4</v>
      </c>
      <c r="J30">
        <v>996</v>
      </c>
      <c r="K30">
        <v>843</v>
      </c>
      <c r="L30">
        <v>32</v>
      </c>
      <c r="M30">
        <v>9592</v>
      </c>
      <c r="N30">
        <v>616</v>
      </c>
      <c r="O30">
        <v>91</v>
      </c>
      <c r="P30">
        <v>111</v>
      </c>
      <c r="Q30">
        <v>82</v>
      </c>
      <c r="R30">
        <v>272</v>
      </c>
      <c r="S30">
        <v>0</v>
      </c>
      <c r="T30">
        <v>56</v>
      </c>
      <c r="U30">
        <v>10747</v>
      </c>
      <c r="V30">
        <v>173</v>
      </c>
      <c r="W30">
        <v>12</v>
      </c>
      <c r="X30">
        <v>33</v>
      </c>
      <c r="Y30">
        <v>0</v>
      </c>
      <c r="Z30">
        <v>71</v>
      </c>
      <c r="AA30">
        <v>0</v>
      </c>
      <c r="AB30">
        <v>548</v>
      </c>
      <c r="AC30">
        <v>33</v>
      </c>
      <c r="AD30">
        <v>0</v>
      </c>
      <c r="AE30">
        <v>68</v>
      </c>
      <c r="AF30">
        <v>0</v>
      </c>
      <c r="AG30">
        <v>610</v>
      </c>
      <c r="AH30">
        <v>561</v>
      </c>
      <c r="AI30">
        <v>1661</v>
      </c>
      <c r="AJ30">
        <v>189</v>
      </c>
      <c r="AK30">
        <v>81</v>
      </c>
      <c r="AL30">
        <v>0</v>
      </c>
      <c r="AM30">
        <v>0</v>
      </c>
      <c r="AN30">
        <v>12</v>
      </c>
      <c r="AO30">
        <v>0</v>
      </c>
      <c r="AP30">
        <v>0</v>
      </c>
      <c r="AQ30">
        <v>0</v>
      </c>
      <c r="AR30">
        <v>616</v>
      </c>
      <c r="AS30">
        <v>227</v>
      </c>
      <c r="AT30">
        <v>6474</v>
      </c>
      <c r="AU30">
        <v>2891</v>
      </c>
      <c r="AX30">
        <v>28</v>
      </c>
      <c r="AY30">
        <v>21</v>
      </c>
      <c r="AZ30">
        <v>73</v>
      </c>
      <c r="BA30">
        <v>13</v>
      </c>
      <c r="BB30">
        <v>0</v>
      </c>
      <c r="BC30">
        <v>11178</v>
      </c>
      <c r="BD30">
        <v>37</v>
      </c>
      <c r="BE30">
        <v>0</v>
      </c>
      <c r="BF30">
        <v>0</v>
      </c>
      <c r="BG30">
        <v>710</v>
      </c>
      <c r="BH30">
        <v>160</v>
      </c>
      <c r="BI30">
        <v>88</v>
      </c>
      <c r="BJ30">
        <v>4</v>
      </c>
      <c r="BK30">
        <v>11</v>
      </c>
      <c r="BL30">
        <v>48</v>
      </c>
      <c r="BM30">
        <v>24</v>
      </c>
      <c r="BN30">
        <v>141</v>
      </c>
      <c r="BO30">
        <v>26</v>
      </c>
      <c r="BP30">
        <v>0</v>
      </c>
      <c r="BQ30">
        <v>2</v>
      </c>
    </row>
    <row r="31" spans="1:69" x14ac:dyDescent="0.35">
      <c r="A31">
        <v>2022</v>
      </c>
      <c r="B31">
        <v>2022</v>
      </c>
      <c r="C31">
        <v>2022</v>
      </c>
      <c r="E31" t="s">
        <v>153</v>
      </c>
      <c r="F31" t="s">
        <v>154</v>
      </c>
      <c r="G31" t="s">
        <v>155</v>
      </c>
      <c r="I31">
        <v>903993.3</v>
      </c>
      <c r="J31">
        <v>4402</v>
      </c>
      <c r="K31">
        <v>3557</v>
      </c>
      <c r="M31">
        <v>6327</v>
      </c>
      <c r="N31">
        <v>1629</v>
      </c>
      <c r="P31">
        <v>1721</v>
      </c>
      <c r="AC31">
        <v>69</v>
      </c>
      <c r="AI31">
        <v>1481</v>
      </c>
      <c r="AQ31">
        <v>1629</v>
      </c>
      <c r="AT31">
        <v>6327</v>
      </c>
      <c r="AY31">
        <v>50</v>
      </c>
      <c r="BN31">
        <v>845</v>
      </c>
      <c r="BO31">
        <v>75</v>
      </c>
    </row>
    <row r="32" spans="1:69" x14ac:dyDescent="0.35">
      <c r="A32">
        <v>2022</v>
      </c>
      <c r="B32">
        <v>2022</v>
      </c>
      <c r="C32">
        <v>2022</v>
      </c>
      <c r="E32" t="s">
        <v>156</v>
      </c>
      <c r="F32" t="s">
        <v>157</v>
      </c>
      <c r="G32" t="s">
        <v>158</v>
      </c>
      <c r="I32">
        <v>14474.3</v>
      </c>
      <c r="J32">
        <v>1555</v>
      </c>
      <c r="K32">
        <v>1207</v>
      </c>
      <c r="L32">
        <v>34</v>
      </c>
      <c r="M32">
        <v>3900</v>
      </c>
      <c r="P32">
        <v>35</v>
      </c>
      <c r="R32">
        <v>293</v>
      </c>
      <c r="S32">
        <v>27</v>
      </c>
      <c r="T32">
        <v>27</v>
      </c>
      <c r="U32">
        <v>916</v>
      </c>
      <c r="V32">
        <v>78</v>
      </c>
      <c r="AB32">
        <v>26</v>
      </c>
      <c r="AC32">
        <v>25</v>
      </c>
      <c r="AJ32">
        <v>224</v>
      </c>
      <c r="AK32">
        <v>270</v>
      </c>
      <c r="AM32">
        <v>378</v>
      </c>
      <c r="AT32">
        <v>185</v>
      </c>
      <c r="AU32">
        <v>3715</v>
      </c>
      <c r="AX32">
        <v>14</v>
      </c>
      <c r="AY32">
        <v>30</v>
      </c>
      <c r="AZ32">
        <v>6</v>
      </c>
      <c r="BG32">
        <v>314</v>
      </c>
      <c r="BK32">
        <v>16</v>
      </c>
      <c r="BN32">
        <v>348</v>
      </c>
      <c r="BO32">
        <v>25</v>
      </c>
    </row>
    <row r="33" spans="1:69" x14ac:dyDescent="0.35">
      <c r="A33">
        <v>2022</v>
      </c>
      <c r="B33">
        <v>2022</v>
      </c>
      <c r="C33">
        <v>2022</v>
      </c>
      <c r="E33" t="s">
        <v>159</v>
      </c>
      <c r="F33" t="s">
        <v>160</v>
      </c>
      <c r="G33" t="s">
        <v>161</v>
      </c>
      <c r="I33">
        <v>1166744.6000000001</v>
      </c>
      <c r="J33">
        <v>2689</v>
      </c>
      <c r="K33">
        <v>1933</v>
      </c>
      <c r="M33">
        <v>9775</v>
      </c>
      <c r="N33">
        <v>7120</v>
      </c>
      <c r="O33">
        <v>348</v>
      </c>
      <c r="P33">
        <v>498</v>
      </c>
      <c r="Q33">
        <v>10769</v>
      </c>
      <c r="R33">
        <v>133</v>
      </c>
      <c r="U33">
        <v>6992</v>
      </c>
      <c r="V33">
        <v>341</v>
      </c>
      <c r="Z33">
        <v>120</v>
      </c>
      <c r="AC33">
        <v>55</v>
      </c>
      <c r="AE33">
        <v>302</v>
      </c>
      <c r="AG33">
        <v>276</v>
      </c>
      <c r="AH33">
        <v>3337</v>
      </c>
      <c r="AJ33">
        <v>2040</v>
      </c>
      <c r="AK33">
        <v>335</v>
      </c>
      <c r="AL33">
        <v>72</v>
      </c>
      <c r="AM33">
        <v>172</v>
      </c>
      <c r="AP33">
        <v>7082</v>
      </c>
      <c r="AQ33">
        <v>38</v>
      </c>
      <c r="AT33">
        <v>7983</v>
      </c>
      <c r="AU33">
        <v>1792</v>
      </c>
      <c r="AX33">
        <v>1344</v>
      </c>
      <c r="AY33">
        <v>58</v>
      </c>
      <c r="AZ33">
        <v>154</v>
      </c>
      <c r="BA33">
        <v>525</v>
      </c>
      <c r="BB33">
        <v>696</v>
      </c>
      <c r="BC33">
        <v>12261</v>
      </c>
      <c r="BD33">
        <v>6873</v>
      </c>
      <c r="BG33">
        <v>3299</v>
      </c>
      <c r="BH33">
        <v>114</v>
      </c>
      <c r="BI33">
        <v>383</v>
      </c>
      <c r="BJ33">
        <v>11</v>
      </c>
      <c r="BK33">
        <v>655</v>
      </c>
      <c r="BL33">
        <v>232</v>
      </c>
      <c r="BM33">
        <v>110</v>
      </c>
      <c r="BN33">
        <v>756</v>
      </c>
      <c r="BO33">
        <v>113</v>
      </c>
      <c r="BP33">
        <v>99939</v>
      </c>
      <c r="BQ33">
        <v>3</v>
      </c>
    </row>
    <row r="34" spans="1:69" x14ac:dyDescent="0.35">
      <c r="A34">
        <v>2022</v>
      </c>
      <c r="B34">
        <v>2022</v>
      </c>
      <c r="C34">
        <v>2022</v>
      </c>
      <c r="E34" t="s">
        <v>162</v>
      </c>
      <c r="F34" t="s">
        <v>163</v>
      </c>
      <c r="G34" t="s">
        <v>164</v>
      </c>
      <c r="I34">
        <v>70063.5</v>
      </c>
      <c r="J34">
        <v>1394</v>
      </c>
      <c r="K34">
        <v>1336</v>
      </c>
      <c r="M34">
        <v>8605</v>
      </c>
      <c r="N34">
        <v>7</v>
      </c>
      <c r="O34">
        <v>207</v>
      </c>
      <c r="P34">
        <v>655</v>
      </c>
      <c r="Q34">
        <v>4865</v>
      </c>
      <c r="V34">
        <v>49</v>
      </c>
      <c r="X34">
        <v>44</v>
      </c>
      <c r="AB34">
        <v>245</v>
      </c>
      <c r="AC34">
        <v>44</v>
      </c>
      <c r="AD34">
        <v>889</v>
      </c>
      <c r="AG34">
        <v>289</v>
      </c>
      <c r="AH34">
        <v>51</v>
      </c>
      <c r="AI34">
        <v>5</v>
      </c>
      <c r="AJ34">
        <v>1065</v>
      </c>
      <c r="AQ34">
        <v>7</v>
      </c>
      <c r="AT34">
        <v>45</v>
      </c>
      <c r="AU34">
        <v>8560</v>
      </c>
      <c r="AY34">
        <v>65</v>
      </c>
      <c r="AZ34">
        <v>107</v>
      </c>
      <c r="BA34">
        <v>57</v>
      </c>
      <c r="BD34">
        <v>82</v>
      </c>
      <c r="BG34">
        <v>402</v>
      </c>
      <c r="BH34">
        <v>144</v>
      </c>
      <c r="BN34">
        <v>58</v>
      </c>
      <c r="BO34">
        <v>58</v>
      </c>
    </row>
    <row r="35" spans="1:69" x14ac:dyDescent="0.35">
      <c r="A35">
        <v>2022</v>
      </c>
      <c r="B35">
        <v>2022</v>
      </c>
      <c r="C35">
        <v>2022</v>
      </c>
      <c r="E35" t="s">
        <v>165</v>
      </c>
      <c r="F35" t="s">
        <v>166</v>
      </c>
      <c r="G35" t="s">
        <v>167</v>
      </c>
      <c r="I35">
        <v>408235.8</v>
      </c>
    </row>
    <row r="36" spans="1:69" x14ac:dyDescent="0.35">
      <c r="A36">
        <v>2022</v>
      </c>
      <c r="B36">
        <v>2022</v>
      </c>
      <c r="C36">
        <v>2022</v>
      </c>
      <c r="E36" t="s">
        <v>168</v>
      </c>
      <c r="F36" t="s">
        <v>169</v>
      </c>
      <c r="G36" t="s">
        <v>170</v>
      </c>
      <c r="I36">
        <v>558327.9</v>
      </c>
      <c r="J36">
        <v>2188</v>
      </c>
      <c r="K36">
        <v>703</v>
      </c>
      <c r="M36">
        <v>4737</v>
      </c>
      <c r="N36">
        <v>2803</v>
      </c>
      <c r="O36">
        <v>223</v>
      </c>
      <c r="P36">
        <v>352</v>
      </c>
      <c r="Q36">
        <v>3584</v>
      </c>
      <c r="R36">
        <v>31</v>
      </c>
      <c r="T36">
        <v>17</v>
      </c>
      <c r="U36">
        <v>18757</v>
      </c>
      <c r="V36">
        <v>64</v>
      </c>
      <c r="W36">
        <v>15</v>
      </c>
      <c r="X36">
        <v>12</v>
      </c>
      <c r="AB36">
        <v>634</v>
      </c>
      <c r="AC36">
        <v>144</v>
      </c>
      <c r="AD36">
        <v>3378</v>
      </c>
      <c r="AE36">
        <v>122</v>
      </c>
      <c r="AG36">
        <v>237</v>
      </c>
      <c r="AJ36">
        <v>252</v>
      </c>
      <c r="AO36">
        <v>109</v>
      </c>
      <c r="AQ36">
        <v>2803</v>
      </c>
      <c r="AT36">
        <v>1968</v>
      </c>
      <c r="AU36">
        <v>2769</v>
      </c>
      <c r="AX36">
        <v>7</v>
      </c>
      <c r="AY36">
        <v>164</v>
      </c>
      <c r="BD36">
        <v>1083</v>
      </c>
      <c r="BG36">
        <v>57</v>
      </c>
      <c r="BH36">
        <v>90</v>
      </c>
      <c r="BI36">
        <v>4</v>
      </c>
      <c r="BJ36">
        <v>37</v>
      </c>
      <c r="BK36">
        <v>14</v>
      </c>
      <c r="BM36">
        <v>543</v>
      </c>
      <c r="BN36">
        <v>1485</v>
      </c>
      <c r="BO36">
        <v>155</v>
      </c>
    </row>
    <row r="37" spans="1:69" x14ac:dyDescent="0.35">
      <c r="A37">
        <v>2022</v>
      </c>
      <c r="B37">
        <v>2022</v>
      </c>
      <c r="C37">
        <v>2022</v>
      </c>
      <c r="E37" t="s">
        <v>171</v>
      </c>
      <c r="F37" t="s">
        <v>172</v>
      </c>
      <c r="G37" t="s">
        <v>173</v>
      </c>
      <c r="I37">
        <v>1715.5</v>
      </c>
      <c r="J37">
        <v>409</v>
      </c>
      <c r="K37">
        <v>57</v>
      </c>
      <c r="L37">
        <v>0</v>
      </c>
      <c r="M37">
        <v>623</v>
      </c>
      <c r="N37">
        <v>156</v>
      </c>
      <c r="O37">
        <v>44</v>
      </c>
      <c r="P37">
        <v>35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6</v>
      </c>
      <c r="AO37">
        <v>0</v>
      </c>
      <c r="AP37">
        <v>0</v>
      </c>
      <c r="AQ37">
        <v>156</v>
      </c>
      <c r="AR37">
        <v>0</v>
      </c>
      <c r="AS37">
        <v>0</v>
      </c>
      <c r="AT37">
        <v>0</v>
      </c>
      <c r="AU37">
        <v>623</v>
      </c>
      <c r="AX37">
        <v>0</v>
      </c>
      <c r="AY37">
        <v>16</v>
      </c>
      <c r="AZ37">
        <v>0</v>
      </c>
      <c r="BA37">
        <v>62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5</v>
      </c>
      <c r="BK37">
        <v>0</v>
      </c>
      <c r="BL37">
        <v>0</v>
      </c>
      <c r="BM37">
        <v>0</v>
      </c>
      <c r="BN37">
        <v>346</v>
      </c>
      <c r="BO37">
        <v>10</v>
      </c>
      <c r="BP37">
        <v>0</v>
      </c>
      <c r="BQ37">
        <v>0</v>
      </c>
    </row>
    <row r="38" spans="1:69" x14ac:dyDescent="0.35">
      <c r="A38">
        <v>2022</v>
      </c>
      <c r="B38">
        <v>2022</v>
      </c>
      <c r="C38">
        <v>2022</v>
      </c>
      <c r="E38" t="s">
        <v>174</v>
      </c>
      <c r="F38" t="s">
        <v>175</v>
      </c>
      <c r="G38" t="s">
        <v>176</v>
      </c>
      <c r="I38">
        <v>259656.4</v>
      </c>
      <c r="J38">
        <v>366</v>
      </c>
      <c r="K38">
        <v>338</v>
      </c>
      <c r="L38">
        <v>11</v>
      </c>
      <c r="M38">
        <v>7356</v>
      </c>
      <c r="N38">
        <v>2271</v>
      </c>
      <c r="O38">
        <v>6</v>
      </c>
      <c r="P38">
        <v>89</v>
      </c>
      <c r="V38">
        <v>126</v>
      </c>
      <c r="W38">
        <v>13</v>
      </c>
      <c r="X38">
        <v>100</v>
      </c>
      <c r="Y38">
        <v>14</v>
      </c>
      <c r="AB38">
        <v>163</v>
      </c>
      <c r="AC38">
        <v>2</v>
      </c>
      <c r="AG38">
        <v>38</v>
      </c>
      <c r="AJ38">
        <v>298</v>
      </c>
      <c r="AM38">
        <v>195</v>
      </c>
      <c r="AP38">
        <v>2087</v>
      </c>
      <c r="AQ38">
        <v>184</v>
      </c>
      <c r="AT38">
        <v>5907</v>
      </c>
      <c r="AU38">
        <v>1449</v>
      </c>
      <c r="AX38">
        <v>261</v>
      </c>
      <c r="AZ38">
        <v>2</v>
      </c>
      <c r="BG38">
        <v>88</v>
      </c>
      <c r="BJ38">
        <v>1</v>
      </c>
      <c r="BN38">
        <v>28</v>
      </c>
      <c r="BO38">
        <v>7</v>
      </c>
    </row>
    <row r="39" spans="1:69" x14ac:dyDescent="0.35">
      <c r="A39">
        <v>2022</v>
      </c>
      <c r="B39">
        <v>2022</v>
      </c>
      <c r="C39">
        <v>2022</v>
      </c>
      <c r="E39" t="s">
        <v>177</v>
      </c>
      <c r="F39" t="s">
        <v>178</v>
      </c>
      <c r="G39" t="s">
        <v>179</v>
      </c>
      <c r="I39">
        <v>1197906.7</v>
      </c>
      <c r="O39">
        <v>1348</v>
      </c>
      <c r="P39">
        <v>3609</v>
      </c>
      <c r="Q39">
        <v>33735</v>
      </c>
      <c r="R39">
        <v>2025</v>
      </c>
      <c r="S39">
        <v>586</v>
      </c>
      <c r="T39">
        <v>53</v>
      </c>
      <c r="U39">
        <v>63290</v>
      </c>
      <c r="V39">
        <v>1550</v>
      </c>
      <c r="W39">
        <v>54</v>
      </c>
      <c r="X39">
        <v>1549</v>
      </c>
      <c r="Y39">
        <v>2</v>
      </c>
      <c r="Z39">
        <v>339</v>
      </c>
      <c r="AB39">
        <v>1168</v>
      </c>
      <c r="AH39">
        <v>26692</v>
      </c>
      <c r="AK39">
        <v>13</v>
      </c>
      <c r="AL39">
        <v>275</v>
      </c>
      <c r="AX39">
        <v>643</v>
      </c>
      <c r="AZ39">
        <v>255</v>
      </c>
      <c r="BB39">
        <v>15459</v>
      </c>
      <c r="BD39">
        <v>20327</v>
      </c>
      <c r="BE39">
        <v>2857</v>
      </c>
      <c r="BH39">
        <v>1446</v>
      </c>
      <c r="BI39">
        <v>109</v>
      </c>
      <c r="BK39">
        <v>723</v>
      </c>
      <c r="BL39">
        <v>6656</v>
      </c>
      <c r="BM39">
        <v>9098</v>
      </c>
      <c r="BQ39">
        <v>9</v>
      </c>
    </row>
    <row r="40" spans="1:69" x14ac:dyDescent="0.35">
      <c r="A40">
        <v>2022</v>
      </c>
      <c r="B40">
        <v>2022</v>
      </c>
      <c r="C40">
        <v>2022</v>
      </c>
      <c r="E40" t="s">
        <v>180</v>
      </c>
      <c r="F40" t="s">
        <v>181</v>
      </c>
      <c r="G40" t="s">
        <v>182</v>
      </c>
      <c r="I40">
        <v>309372.40000000002</v>
      </c>
    </row>
    <row r="41" spans="1:69" x14ac:dyDescent="0.35">
      <c r="A41">
        <v>2022</v>
      </c>
      <c r="B41">
        <v>2022</v>
      </c>
      <c r="C41">
        <v>2022</v>
      </c>
      <c r="E41" t="s">
        <v>183</v>
      </c>
      <c r="F41" t="s">
        <v>184</v>
      </c>
      <c r="G41" t="s">
        <v>185</v>
      </c>
      <c r="I41">
        <v>180285.9</v>
      </c>
      <c r="J41">
        <v>1042</v>
      </c>
      <c r="K41">
        <v>787</v>
      </c>
      <c r="L41">
        <v>169</v>
      </c>
      <c r="M41">
        <v>5573</v>
      </c>
      <c r="N41">
        <v>907</v>
      </c>
      <c r="O41">
        <v>9</v>
      </c>
      <c r="P41">
        <v>28</v>
      </c>
      <c r="Q41">
        <v>2442</v>
      </c>
      <c r="AC41">
        <v>24</v>
      </c>
      <c r="AJ41">
        <v>777</v>
      </c>
      <c r="AQ41">
        <v>907</v>
      </c>
      <c r="AU41">
        <v>5573</v>
      </c>
      <c r="AY41">
        <v>31</v>
      </c>
      <c r="BG41">
        <v>80</v>
      </c>
      <c r="BN41">
        <v>255</v>
      </c>
      <c r="BO41">
        <v>31</v>
      </c>
    </row>
    <row r="42" spans="1:69" x14ac:dyDescent="0.35">
      <c r="A42">
        <v>2022</v>
      </c>
      <c r="B42">
        <v>2022</v>
      </c>
      <c r="C42">
        <v>2022</v>
      </c>
      <c r="E42" t="s">
        <v>186</v>
      </c>
      <c r="F42" t="s">
        <v>187</v>
      </c>
      <c r="G42" t="s">
        <v>188</v>
      </c>
      <c r="I42">
        <v>1147745.3</v>
      </c>
      <c r="J42">
        <v>614</v>
      </c>
      <c r="K42">
        <v>316</v>
      </c>
      <c r="M42">
        <v>4565</v>
      </c>
      <c r="N42">
        <v>718</v>
      </c>
      <c r="O42">
        <v>24</v>
      </c>
      <c r="P42">
        <v>43</v>
      </c>
      <c r="U42">
        <v>2239</v>
      </c>
      <c r="W42">
        <v>6</v>
      </c>
      <c r="AB42">
        <v>136</v>
      </c>
      <c r="AC42">
        <v>69</v>
      </c>
      <c r="AJ42">
        <v>418</v>
      </c>
      <c r="AQ42">
        <v>718</v>
      </c>
      <c r="AU42">
        <v>4565</v>
      </c>
      <c r="AX42">
        <v>119</v>
      </c>
      <c r="AY42">
        <v>118</v>
      </c>
      <c r="BD42">
        <v>1592</v>
      </c>
      <c r="BG42">
        <v>4</v>
      </c>
      <c r="BN42">
        <v>298</v>
      </c>
    </row>
    <row r="43" spans="1:69" x14ac:dyDescent="0.35">
      <c r="A43">
        <v>2022</v>
      </c>
      <c r="B43">
        <v>2022</v>
      </c>
      <c r="C43">
        <v>2022</v>
      </c>
      <c r="E43" t="s">
        <v>189</v>
      </c>
      <c r="F43" t="s">
        <v>190</v>
      </c>
      <c r="G43" t="s">
        <v>191</v>
      </c>
      <c r="I43">
        <v>1701068.1</v>
      </c>
      <c r="J43">
        <v>7941</v>
      </c>
      <c r="K43">
        <v>6369</v>
      </c>
      <c r="L43">
        <v>338</v>
      </c>
      <c r="M43">
        <v>74197</v>
      </c>
      <c r="N43">
        <v>32957</v>
      </c>
      <c r="O43">
        <v>1440</v>
      </c>
      <c r="P43">
        <v>1712</v>
      </c>
      <c r="AA43">
        <v>3936</v>
      </c>
      <c r="AB43">
        <v>426</v>
      </c>
      <c r="AC43">
        <v>273</v>
      </c>
      <c r="AG43">
        <v>1249</v>
      </c>
      <c r="AI43">
        <v>14531</v>
      </c>
      <c r="AJ43">
        <v>13380</v>
      </c>
      <c r="AK43">
        <v>3309</v>
      </c>
      <c r="AP43">
        <v>8698</v>
      </c>
      <c r="AR43">
        <v>24259</v>
      </c>
      <c r="AS43">
        <v>52772</v>
      </c>
      <c r="AT43">
        <v>21425</v>
      </c>
      <c r="AY43">
        <v>315</v>
      </c>
      <c r="BA43">
        <v>158</v>
      </c>
      <c r="BG43">
        <v>1820</v>
      </c>
      <c r="BH43">
        <v>572</v>
      </c>
      <c r="BJ43">
        <v>59</v>
      </c>
      <c r="BN43">
        <v>1572</v>
      </c>
      <c r="BO43">
        <v>429</v>
      </c>
    </row>
    <row r="44" spans="1:69" x14ac:dyDescent="0.35">
      <c r="A44">
        <v>2022</v>
      </c>
      <c r="B44">
        <v>2022</v>
      </c>
      <c r="C44">
        <v>2022</v>
      </c>
      <c r="E44" t="s">
        <v>192</v>
      </c>
      <c r="F44" t="s">
        <v>193</v>
      </c>
      <c r="G44" t="s">
        <v>194</v>
      </c>
      <c r="I44">
        <v>675227.8</v>
      </c>
      <c r="J44">
        <v>5243</v>
      </c>
      <c r="K44">
        <v>4709</v>
      </c>
      <c r="L44">
        <v>101</v>
      </c>
      <c r="M44">
        <v>33779</v>
      </c>
      <c r="N44">
        <v>9202</v>
      </c>
      <c r="O44">
        <v>261</v>
      </c>
      <c r="P44">
        <v>639</v>
      </c>
      <c r="Q44">
        <v>0</v>
      </c>
      <c r="R44">
        <v>18</v>
      </c>
      <c r="S44">
        <v>2</v>
      </c>
      <c r="T44">
        <v>3</v>
      </c>
      <c r="U44">
        <v>2421</v>
      </c>
      <c r="V44">
        <v>743</v>
      </c>
      <c r="W44">
        <v>23</v>
      </c>
      <c r="X44">
        <v>3</v>
      </c>
      <c r="Y44">
        <v>0</v>
      </c>
      <c r="Z44">
        <v>0</v>
      </c>
      <c r="AA44">
        <v>3325</v>
      </c>
      <c r="AB44">
        <v>463</v>
      </c>
      <c r="AC44">
        <v>61</v>
      </c>
      <c r="AD44">
        <v>0</v>
      </c>
      <c r="AE44">
        <v>0</v>
      </c>
      <c r="AF44">
        <v>0</v>
      </c>
      <c r="AG44">
        <v>2633</v>
      </c>
      <c r="AH44">
        <v>0</v>
      </c>
      <c r="AI44">
        <v>7144</v>
      </c>
      <c r="AJ44">
        <v>1474</v>
      </c>
      <c r="AK44">
        <v>388</v>
      </c>
      <c r="AL44">
        <v>5</v>
      </c>
      <c r="AM44">
        <v>0</v>
      </c>
      <c r="AN44">
        <v>0</v>
      </c>
      <c r="AO44">
        <v>0</v>
      </c>
      <c r="AP44">
        <v>0</v>
      </c>
      <c r="AQ44">
        <v>9202</v>
      </c>
      <c r="AR44">
        <v>0</v>
      </c>
      <c r="AS44">
        <v>0</v>
      </c>
      <c r="AT44">
        <v>0</v>
      </c>
      <c r="AU44">
        <v>33779</v>
      </c>
      <c r="AX44">
        <v>773</v>
      </c>
      <c r="AY44">
        <v>85</v>
      </c>
      <c r="AZ44">
        <v>137</v>
      </c>
      <c r="BA44">
        <v>79</v>
      </c>
      <c r="BB44">
        <v>0</v>
      </c>
      <c r="BC44">
        <v>0</v>
      </c>
      <c r="BD44">
        <v>970</v>
      </c>
      <c r="BE44">
        <v>0</v>
      </c>
      <c r="BF44">
        <v>0</v>
      </c>
      <c r="BG44">
        <v>1800</v>
      </c>
      <c r="BH44">
        <v>269</v>
      </c>
      <c r="BI44">
        <v>970</v>
      </c>
      <c r="BJ44">
        <v>12</v>
      </c>
      <c r="BK44">
        <v>4</v>
      </c>
      <c r="BL44">
        <v>0</v>
      </c>
      <c r="BM44">
        <v>0</v>
      </c>
      <c r="BN44">
        <v>534</v>
      </c>
      <c r="BO44">
        <v>196</v>
      </c>
      <c r="BP44">
        <v>0</v>
      </c>
      <c r="BQ44">
        <v>0</v>
      </c>
    </row>
    <row r="45" spans="1:69" x14ac:dyDescent="0.35">
      <c r="A45">
        <v>2022</v>
      </c>
      <c r="B45">
        <v>2022</v>
      </c>
      <c r="C45">
        <v>2022</v>
      </c>
      <c r="E45" t="s">
        <v>195</v>
      </c>
      <c r="F45" t="s">
        <v>196</v>
      </c>
      <c r="G45" t="s">
        <v>197</v>
      </c>
      <c r="I45">
        <v>490571.8</v>
      </c>
      <c r="J45">
        <v>2708</v>
      </c>
      <c r="K45">
        <v>2032</v>
      </c>
      <c r="L45">
        <v>92</v>
      </c>
      <c r="M45">
        <v>32182</v>
      </c>
      <c r="N45">
        <v>2796</v>
      </c>
      <c r="O45">
        <v>2703</v>
      </c>
      <c r="P45">
        <v>1902</v>
      </c>
      <c r="T45">
        <v>63</v>
      </c>
      <c r="U45">
        <v>19722</v>
      </c>
      <c r="V45">
        <v>178</v>
      </c>
      <c r="X45">
        <v>14</v>
      </c>
      <c r="AA45">
        <v>1994</v>
      </c>
      <c r="AB45">
        <v>690</v>
      </c>
      <c r="AC45">
        <v>55</v>
      </c>
      <c r="AE45">
        <v>265</v>
      </c>
      <c r="AJ45">
        <v>795</v>
      </c>
      <c r="AK45">
        <v>757</v>
      </c>
      <c r="AQ45">
        <v>2796</v>
      </c>
      <c r="AU45">
        <v>32182</v>
      </c>
      <c r="AX45">
        <v>77</v>
      </c>
      <c r="AY45">
        <v>141</v>
      </c>
      <c r="BA45">
        <v>351</v>
      </c>
      <c r="BG45">
        <v>588</v>
      </c>
      <c r="BH45">
        <v>400</v>
      </c>
      <c r="BI45">
        <v>557</v>
      </c>
      <c r="BJ45">
        <v>23</v>
      </c>
      <c r="BK45">
        <v>39</v>
      </c>
      <c r="BM45">
        <v>84</v>
      </c>
      <c r="BN45">
        <v>676</v>
      </c>
      <c r="BO45">
        <v>55</v>
      </c>
    </row>
    <row r="46" spans="1:69" x14ac:dyDescent="0.35">
      <c r="A46">
        <v>2022</v>
      </c>
      <c r="B46">
        <v>2022</v>
      </c>
      <c r="C46">
        <v>2022</v>
      </c>
      <c r="E46" t="s">
        <v>198</v>
      </c>
      <c r="F46" t="s">
        <v>199</v>
      </c>
      <c r="G46" t="s">
        <v>200</v>
      </c>
      <c r="I46">
        <v>105140.5</v>
      </c>
      <c r="J46">
        <v>260</v>
      </c>
      <c r="K46">
        <v>260</v>
      </c>
      <c r="L46">
        <v>19</v>
      </c>
      <c r="M46">
        <v>5007</v>
      </c>
      <c r="N46">
        <v>67</v>
      </c>
      <c r="O46">
        <v>58</v>
      </c>
      <c r="P46">
        <v>199</v>
      </c>
      <c r="Q46">
        <v>4713</v>
      </c>
      <c r="T46">
        <v>11</v>
      </c>
      <c r="U46">
        <v>2626</v>
      </c>
      <c r="V46">
        <v>157</v>
      </c>
      <c r="Z46">
        <v>8</v>
      </c>
      <c r="AB46">
        <v>233</v>
      </c>
      <c r="AC46">
        <v>10</v>
      </c>
      <c r="AE46">
        <v>49</v>
      </c>
      <c r="AG46">
        <v>141</v>
      </c>
      <c r="AH46">
        <v>381</v>
      </c>
      <c r="AJ46">
        <v>267</v>
      </c>
      <c r="AK46">
        <v>296</v>
      </c>
      <c r="AQ46">
        <v>67</v>
      </c>
      <c r="AS46">
        <v>188</v>
      </c>
      <c r="AT46">
        <v>3372</v>
      </c>
      <c r="AU46">
        <v>1447</v>
      </c>
      <c r="AY46">
        <v>10</v>
      </c>
      <c r="AZ46">
        <v>96</v>
      </c>
      <c r="BG46">
        <v>288</v>
      </c>
      <c r="BH46">
        <v>1</v>
      </c>
      <c r="BI46">
        <v>129</v>
      </c>
      <c r="BK46">
        <v>7</v>
      </c>
      <c r="BM46">
        <v>6</v>
      </c>
      <c r="BO46">
        <v>25</v>
      </c>
    </row>
    <row r="47" spans="1:69" x14ac:dyDescent="0.35">
      <c r="A47">
        <v>2022</v>
      </c>
      <c r="B47">
        <v>2022</v>
      </c>
      <c r="C47">
        <v>2022</v>
      </c>
      <c r="E47" t="s">
        <v>201</v>
      </c>
      <c r="F47" t="s">
        <v>202</v>
      </c>
      <c r="G47" t="s">
        <v>203</v>
      </c>
      <c r="I47">
        <v>275519.8</v>
      </c>
      <c r="J47">
        <v>730</v>
      </c>
      <c r="K47">
        <v>331</v>
      </c>
      <c r="M47">
        <v>2630</v>
      </c>
      <c r="N47">
        <v>1864</v>
      </c>
      <c r="O47">
        <v>18</v>
      </c>
      <c r="P47">
        <v>255</v>
      </c>
      <c r="T47">
        <v>19</v>
      </c>
      <c r="V47">
        <v>1</v>
      </c>
      <c r="W47">
        <v>19</v>
      </c>
      <c r="AB47">
        <v>461</v>
      </c>
      <c r="AC47">
        <v>37</v>
      </c>
      <c r="AH47">
        <v>1377</v>
      </c>
      <c r="AI47">
        <v>595</v>
      </c>
      <c r="AJ47">
        <v>887</v>
      </c>
      <c r="AP47">
        <v>821</v>
      </c>
      <c r="AQ47">
        <v>1043</v>
      </c>
      <c r="AT47">
        <v>931</v>
      </c>
      <c r="AU47">
        <v>1699</v>
      </c>
      <c r="AX47">
        <v>50</v>
      </c>
      <c r="AY47">
        <v>43</v>
      </c>
      <c r="AZ47">
        <v>2</v>
      </c>
      <c r="BD47">
        <v>390</v>
      </c>
      <c r="BG47">
        <v>73</v>
      </c>
      <c r="BH47">
        <v>183</v>
      </c>
      <c r="BN47">
        <v>399</v>
      </c>
      <c r="BO47">
        <v>101</v>
      </c>
    </row>
    <row r="48" spans="1:69" x14ac:dyDescent="0.35">
      <c r="A48">
        <v>2022</v>
      </c>
      <c r="B48">
        <v>2022</v>
      </c>
      <c r="C48">
        <v>2022</v>
      </c>
      <c r="E48" t="s">
        <v>204</v>
      </c>
      <c r="F48" t="s">
        <v>205</v>
      </c>
      <c r="G48" t="s">
        <v>206</v>
      </c>
      <c r="I48">
        <v>24120.5</v>
      </c>
    </row>
    <row r="49" spans="1:69" x14ac:dyDescent="0.35">
      <c r="A49">
        <v>2022</v>
      </c>
      <c r="B49">
        <v>2022</v>
      </c>
      <c r="C49">
        <v>2022</v>
      </c>
      <c r="E49" t="s">
        <v>207</v>
      </c>
      <c r="F49" t="s">
        <v>208</v>
      </c>
      <c r="G49" t="s">
        <v>209</v>
      </c>
      <c r="I49">
        <v>2323148.7999999998</v>
      </c>
      <c r="J49">
        <v>8693</v>
      </c>
      <c r="K49">
        <v>6701</v>
      </c>
      <c r="O49">
        <v>583</v>
      </c>
      <c r="P49">
        <v>1746</v>
      </c>
      <c r="S49">
        <v>2</v>
      </c>
      <c r="T49">
        <v>96</v>
      </c>
      <c r="U49">
        <v>20737</v>
      </c>
      <c r="V49">
        <v>449</v>
      </c>
      <c r="AA49">
        <v>2313</v>
      </c>
      <c r="AB49">
        <v>657</v>
      </c>
      <c r="AE49">
        <v>787</v>
      </c>
      <c r="AG49">
        <v>543</v>
      </c>
      <c r="AI49">
        <v>2337</v>
      </c>
      <c r="AJ49">
        <v>4743</v>
      </c>
      <c r="AK49">
        <v>1198</v>
      </c>
      <c r="AL49">
        <v>12</v>
      </c>
      <c r="AM49">
        <v>724</v>
      </c>
      <c r="AZ49">
        <v>201</v>
      </c>
      <c r="BC49">
        <v>2</v>
      </c>
      <c r="BD49">
        <v>71119</v>
      </c>
      <c r="BG49">
        <v>5583</v>
      </c>
      <c r="BH49">
        <v>526</v>
      </c>
      <c r="BI49">
        <v>832</v>
      </c>
      <c r="BN49">
        <v>1992</v>
      </c>
      <c r="BP49">
        <v>4710</v>
      </c>
    </row>
    <row r="50" spans="1:69" x14ac:dyDescent="0.35">
      <c r="A50">
        <v>2021</v>
      </c>
      <c r="B50">
        <v>2021</v>
      </c>
      <c r="C50">
        <v>2021</v>
      </c>
      <c r="E50" t="s">
        <v>69</v>
      </c>
      <c r="F50" t="s">
        <v>70</v>
      </c>
      <c r="G50" t="s">
        <v>71</v>
      </c>
      <c r="I50">
        <v>770961.1</v>
      </c>
      <c r="J50">
        <v>2221</v>
      </c>
      <c r="K50">
        <v>1220</v>
      </c>
      <c r="M50">
        <v>12189</v>
      </c>
      <c r="N50">
        <v>8052</v>
      </c>
      <c r="O50">
        <v>107</v>
      </c>
      <c r="P50">
        <v>691</v>
      </c>
      <c r="U50">
        <v>2947</v>
      </c>
      <c r="V50">
        <v>168</v>
      </c>
      <c r="Z50">
        <v>19</v>
      </c>
      <c r="AC50">
        <v>105</v>
      </c>
      <c r="AG50">
        <v>209</v>
      </c>
      <c r="AI50">
        <v>8</v>
      </c>
      <c r="AK50">
        <v>899</v>
      </c>
      <c r="AO50">
        <v>16</v>
      </c>
      <c r="AP50">
        <v>3066</v>
      </c>
      <c r="AQ50">
        <v>4986</v>
      </c>
      <c r="AT50">
        <v>1486</v>
      </c>
      <c r="AU50">
        <v>10703</v>
      </c>
      <c r="AX50">
        <v>35</v>
      </c>
      <c r="AY50">
        <v>126</v>
      </c>
      <c r="AZ50">
        <v>3</v>
      </c>
      <c r="BG50">
        <v>203</v>
      </c>
      <c r="BI50">
        <v>47</v>
      </c>
      <c r="BJ50">
        <v>11</v>
      </c>
      <c r="BK50">
        <v>8</v>
      </c>
      <c r="BN50">
        <v>1001</v>
      </c>
      <c r="BQ50">
        <v>50</v>
      </c>
    </row>
    <row r="51" spans="1:69" x14ac:dyDescent="0.35">
      <c r="A51">
        <v>2021</v>
      </c>
      <c r="B51">
        <v>2021</v>
      </c>
      <c r="C51">
        <v>2021</v>
      </c>
      <c r="E51" t="s">
        <v>72</v>
      </c>
      <c r="F51" t="s">
        <v>73</v>
      </c>
      <c r="G51" t="s">
        <v>74</v>
      </c>
      <c r="I51">
        <v>223125.3</v>
      </c>
      <c r="J51">
        <v>114</v>
      </c>
      <c r="K51">
        <v>108</v>
      </c>
      <c r="L51">
        <v>1</v>
      </c>
      <c r="M51">
        <v>505</v>
      </c>
      <c r="N51">
        <v>537</v>
      </c>
      <c r="O51">
        <v>2</v>
      </c>
      <c r="P51">
        <v>2</v>
      </c>
      <c r="Q51">
        <v>12</v>
      </c>
      <c r="U51">
        <v>1595</v>
      </c>
      <c r="AA51">
        <v>39</v>
      </c>
      <c r="AB51">
        <v>25</v>
      </c>
      <c r="AD51">
        <v>121</v>
      </c>
      <c r="AJ51">
        <v>47</v>
      </c>
      <c r="AN51">
        <v>2</v>
      </c>
      <c r="AP51">
        <v>197</v>
      </c>
      <c r="AQ51">
        <v>130</v>
      </c>
      <c r="AR51">
        <v>210</v>
      </c>
      <c r="AS51">
        <v>255</v>
      </c>
      <c r="AT51">
        <v>1</v>
      </c>
      <c r="AU51">
        <v>249</v>
      </c>
      <c r="AY51">
        <v>5</v>
      </c>
      <c r="BA51">
        <v>322</v>
      </c>
      <c r="BE51">
        <v>187</v>
      </c>
      <c r="BI51">
        <v>155</v>
      </c>
      <c r="BN51">
        <v>4</v>
      </c>
      <c r="BO51">
        <v>5</v>
      </c>
    </row>
    <row r="52" spans="1:69" x14ac:dyDescent="0.35">
      <c r="A52">
        <v>2021</v>
      </c>
      <c r="B52">
        <v>2021</v>
      </c>
      <c r="C52">
        <v>2021</v>
      </c>
      <c r="E52" t="s">
        <v>75</v>
      </c>
      <c r="F52" t="s">
        <v>76</v>
      </c>
      <c r="G52" t="s">
        <v>77</v>
      </c>
      <c r="I52">
        <v>6406.9</v>
      </c>
    </row>
    <row r="53" spans="1:69" x14ac:dyDescent="0.35">
      <c r="A53">
        <v>2021</v>
      </c>
      <c r="B53">
        <v>2021</v>
      </c>
      <c r="C53">
        <v>2021</v>
      </c>
      <c r="E53" t="s">
        <v>78</v>
      </c>
      <c r="F53" t="s">
        <v>79</v>
      </c>
      <c r="G53" t="s">
        <v>80</v>
      </c>
      <c r="I53">
        <v>3905396.8</v>
      </c>
      <c r="J53">
        <v>16989</v>
      </c>
      <c r="K53">
        <v>16989</v>
      </c>
      <c r="M53">
        <v>101752</v>
      </c>
      <c r="N53">
        <v>2093</v>
      </c>
      <c r="O53">
        <v>268</v>
      </c>
      <c r="P53">
        <v>682</v>
      </c>
      <c r="Q53">
        <v>87086</v>
      </c>
      <c r="AB53">
        <v>665</v>
      </c>
      <c r="AG53">
        <v>439</v>
      </c>
      <c r="AH53">
        <v>3724</v>
      </c>
      <c r="AQ53">
        <v>2093</v>
      </c>
      <c r="AU53">
        <v>101752</v>
      </c>
      <c r="AX53">
        <v>1385</v>
      </c>
      <c r="BB53">
        <v>1785</v>
      </c>
      <c r="BG53">
        <v>313</v>
      </c>
      <c r="BH53">
        <v>680</v>
      </c>
    </row>
    <row r="54" spans="1:69" x14ac:dyDescent="0.35">
      <c r="A54">
        <v>2021</v>
      </c>
      <c r="B54">
        <v>2021</v>
      </c>
      <c r="C54">
        <v>2021</v>
      </c>
      <c r="E54" t="s">
        <v>81</v>
      </c>
      <c r="F54" t="s">
        <v>82</v>
      </c>
      <c r="G54" t="s">
        <v>83</v>
      </c>
      <c r="I54">
        <v>3870531</v>
      </c>
      <c r="J54">
        <v>12174</v>
      </c>
      <c r="K54">
        <v>9361</v>
      </c>
      <c r="M54">
        <v>69824</v>
      </c>
      <c r="N54">
        <v>20355</v>
      </c>
      <c r="P54">
        <v>15498</v>
      </c>
      <c r="Q54">
        <v>113189</v>
      </c>
      <c r="T54">
        <v>987</v>
      </c>
      <c r="U54">
        <v>42630</v>
      </c>
      <c r="AE54">
        <v>4921</v>
      </c>
      <c r="AL54">
        <v>17</v>
      </c>
      <c r="AQ54">
        <v>20355</v>
      </c>
      <c r="AU54">
        <v>69824</v>
      </c>
      <c r="AZ54">
        <v>567</v>
      </c>
      <c r="BJ54">
        <v>1076</v>
      </c>
      <c r="BN54">
        <v>2813</v>
      </c>
    </row>
    <row r="55" spans="1:69" x14ac:dyDescent="0.35">
      <c r="A55">
        <v>2021</v>
      </c>
      <c r="B55">
        <v>2021</v>
      </c>
      <c r="C55">
        <v>2021</v>
      </c>
      <c r="E55" t="s">
        <v>84</v>
      </c>
      <c r="F55" t="s">
        <v>85</v>
      </c>
      <c r="G55" t="s">
        <v>86</v>
      </c>
      <c r="I55">
        <v>7641925.4000000004</v>
      </c>
      <c r="J55">
        <v>84277</v>
      </c>
      <c r="K55">
        <v>84277</v>
      </c>
      <c r="M55">
        <v>201735</v>
      </c>
      <c r="N55">
        <v>131922</v>
      </c>
      <c r="O55">
        <v>4358</v>
      </c>
      <c r="P55">
        <v>17331</v>
      </c>
      <c r="U55">
        <v>7912</v>
      </c>
      <c r="V55">
        <v>11781</v>
      </c>
      <c r="W55">
        <v>11408</v>
      </c>
      <c r="Y55">
        <v>2071</v>
      </c>
      <c r="AB55">
        <v>1234</v>
      </c>
      <c r="AC55">
        <v>36</v>
      </c>
      <c r="AE55">
        <v>9205</v>
      </c>
      <c r="AJ55">
        <v>34554</v>
      </c>
      <c r="AK55">
        <v>37181</v>
      </c>
      <c r="AL55">
        <v>37181</v>
      </c>
      <c r="AQ55">
        <v>131922</v>
      </c>
      <c r="AU55">
        <v>201735</v>
      </c>
      <c r="AV55">
        <v>131922</v>
      </c>
      <c r="AY55">
        <v>49</v>
      </c>
      <c r="AZ55">
        <v>5485</v>
      </c>
      <c r="BJ55">
        <v>14</v>
      </c>
      <c r="BO55">
        <v>42</v>
      </c>
    </row>
    <row r="56" spans="1:69" x14ac:dyDescent="0.35">
      <c r="A56">
        <v>2021</v>
      </c>
      <c r="B56">
        <v>2021</v>
      </c>
      <c r="C56">
        <v>2021</v>
      </c>
      <c r="E56" t="s">
        <v>87</v>
      </c>
      <c r="F56" t="s">
        <v>88</v>
      </c>
      <c r="G56" t="s">
        <v>89</v>
      </c>
      <c r="I56">
        <v>64185.3</v>
      </c>
    </row>
    <row r="57" spans="1:69" x14ac:dyDescent="0.35">
      <c r="A57">
        <v>2021</v>
      </c>
      <c r="B57">
        <v>2021</v>
      </c>
      <c r="C57">
        <v>2021</v>
      </c>
      <c r="E57" t="s">
        <v>90</v>
      </c>
      <c r="F57" t="s">
        <v>91</v>
      </c>
      <c r="G57" t="s">
        <v>92</v>
      </c>
      <c r="I57">
        <v>150737.70000000001</v>
      </c>
      <c r="J57">
        <v>1035</v>
      </c>
      <c r="K57">
        <v>597</v>
      </c>
      <c r="M57">
        <v>6156</v>
      </c>
      <c r="N57">
        <v>1252</v>
      </c>
      <c r="O57">
        <v>121</v>
      </c>
      <c r="P57">
        <v>75</v>
      </c>
      <c r="AQ57">
        <v>1252</v>
      </c>
      <c r="AS57">
        <v>5510</v>
      </c>
      <c r="AU57">
        <v>646</v>
      </c>
      <c r="BN57">
        <v>438</v>
      </c>
    </row>
    <row r="58" spans="1:69" x14ac:dyDescent="0.35">
      <c r="A58">
        <v>2021</v>
      </c>
      <c r="B58">
        <v>2021</v>
      </c>
      <c r="C58">
        <v>2021</v>
      </c>
      <c r="E58" t="s">
        <v>93</v>
      </c>
      <c r="F58" t="s">
        <v>94</v>
      </c>
      <c r="G58" t="s">
        <v>95</v>
      </c>
      <c r="I58">
        <v>29226.2</v>
      </c>
    </row>
    <row r="59" spans="1:69" x14ac:dyDescent="0.35">
      <c r="A59">
        <v>2021</v>
      </c>
      <c r="B59">
        <v>2021</v>
      </c>
      <c r="C59">
        <v>2021</v>
      </c>
      <c r="E59" t="s">
        <v>96</v>
      </c>
      <c r="F59" t="s">
        <v>97</v>
      </c>
      <c r="G59" t="s">
        <v>98</v>
      </c>
      <c r="I59">
        <v>58852.800000000003</v>
      </c>
    </row>
    <row r="60" spans="1:69" x14ac:dyDescent="0.35">
      <c r="A60">
        <v>2021</v>
      </c>
      <c r="B60">
        <v>2021</v>
      </c>
      <c r="C60">
        <v>2021</v>
      </c>
      <c r="E60" t="s">
        <v>99</v>
      </c>
      <c r="F60" t="s">
        <v>100</v>
      </c>
      <c r="G60" t="s">
        <v>101</v>
      </c>
      <c r="I60">
        <v>989535.7</v>
      </c>
    </row>
    <row r="61" spans="1:69" x14ac:dyDescent="0.35">
      <c r="A61">
        <v>2021</v>
      </c>
      <c r="B61">
        <v>2021</v>
      </c>
      <c r="C61">
        <v>2021</v>
      </c>
      <c r="E61" t="s">
        <v>102</v>
      </c>
      <c r="F61" t="s">
        <v>103</v>
      </c>
      <c r="G61" t="s">
        <v>104</v>
      </c>
      <c r="I61">
        <v>1308712.3</v>
      </c>
    </row>
    <row r="62" spans="1:69" x14ac:dyDescent="0.35">
      <c r="A62">
        <v>2021</v>
      </c>
      <c r="B62">
        <v>2021</v>
      </c>
      <c r="C62">
        <v>2021</v>
      </c>
      <c r="E62" t="s">
        <v>105</v>
      </c>
      <c r="F62" t="s">
        <v>106</v>
      </c>
      <c r="G62" t="s">
        <v>107</v>
      </c>
      <c r="I62">
        <v>464321.1</v>
      </c>
      <c r="J62">
        <v>2755</v>
      </c>
      <c r="K62">
        <v>1797</v>
      </c>
      <c r="M62">
        <v>5484</v>
      </c>
      <c r="N62">
        <v>2086</v>
      </c>
      <c r="O62">
        <v>50</v>
      </c>
      <c r="P62">
        <v>403</v>
      </c>
      <c r="Q62">
        <v>5903</v>
      </c>
      <c r="U62">
        <v>21</v>
      </c>
      <c r="V62">
        <v>6</v>
      </c>
      <c r="AB62">
        <v>311</v>
      </c>
      <c r="AC62">
        <v>97</v>
      </c>
      <c r="AD62">
        <v>6809</v>
      </c>
      <c r="AG62">
        <v>352</v>
      </c>
      <c r="AJ62">
        <v>1744</v>
      </c>
      <c r="AO62">
        <v>4</v>
      </c>
      <c r="AQ62">
        <v>2086</v>
      </c>
      <c r="AU62">
        <v>5484</v>
      </c>
      <c r="AX62">
        <v>44</v>
      </c>
      <c r="AY62">
        <v>157</v>
      </c>
      <c r="BD62">
        <v>382</v>
      </c>
      <c r="BG62">
        <v>56</v>
      </c>
      <c r="BH62">
        <v>187</v>
      </c>
      <c r="BN62">
        <v>958</v>
      </c>
      <c r="BO62">
        <v>97</v>
      </c>
    </row>
    <row r="63" spans="1:69" x14ac:dyDescent="0.35">
      <c r="A63">
        <v>2021</v>
      </c>
      <c r="B63">
        <v>2021</v>
      </c>
      <c r="C63">
        <v>2021</v>
      </c>
      <c r="E63" t="s">
        <v>108</v>
      </c>
      <c r="F63" t="s">
        <v>109</v>
      </c>
      <c r="G63" t="s">
        <v>110</v>
      </c>
      <c r="I63">
        <v>62086.9</v>
      </c>
      <c r="J63">
        <v>1014</v>
      </c>
      <c r="K63">
        <v>900</v>
      </c>
      <c r="M63">
        <v>7886</v>
      </c>
      <c r="O63">
        <v>89</v>
      </c>
      <c r="P63">
        <v>158</v>
      </c>
      <c r="Q63">
        <v>465</v>
      </c>
      <c r="R63">
        <v>845</v>
      </c>
      <c r="S63">
        <v>8</v>
      </c>
      <c r="T63">
        <v>12</v>
      </c>
      <c r="V63">
        <v>26</v>
      </c>
      <c r="W63">
        <v>35</v>
      </c>
      <c r="X63">
        <v>45</v>
      </c>
      <c r="Z63">
        <v>35</v>
      </c>
      <c r="AD63">
        <v>1519</v>
      </c>
      <c r="AE63">
        <v>203</v>
      </c>
      <c r="AG63">
        <v>123</v>
      </c>
      <c r="AH63">
        <v>147</v>
      </c>
      <c r="AI63">
        <v>66</v>
      </c>
      <c r="AJ63">
        <v>337</v>
      </c>
      <c r="AK63">
        <v>161</v>
      </c>
      <c r="AM63">
        <v>62</v>
      </c>
      <c r="AU63">
        <v>7886</v>
      </c>
      <c r="AX63">
        <v>3</v>
      </c>
      <c r="AZ63">
        <v>6</v>
      </c>
      <c r="BB63">
        <v>1355</v>
      </c>
      <c r="BC63">
        <v>3629</v>
      </c>
      <c r="BD63">
        <v>11</v>
      </c>
      <c r="BG63">
        <v>413</v>
      </c>
      <c r="BH63">
        <v>42</v>
      </c>
      <c r="BK63">
        <v>15</v>
      </c>
      <c r="BN63">
        <v>114</v>
      </c>
    </row>
    <row r="64" spans="1:69" x14ac:dyDescent="0.35">
      <c r="A64">
        <v>2021</v>
      </c>
      <c r="B64">
        <v>2021</v>
      </c>
      <c r="C64">
        <v>2021</v>
      </c>
      <c r="E64" t="s">
        <v>111</v>
      </c>
      <c r="F64" t="s">
        <v>112</v>
      </c>
      <c r="G64" t="s">
        <v>113</v>
      </c>
      <c r="I64">
        <v>434393</v>
      </c>
      <c r="J64">
        <v>812</v>
      </c>
      <c r="K64">
        <v>725</v>
      </c>
      <c r="L64">
        <v>96</v>
      </c>
      <c r="M64">
        <v>9372</v>
      </c>
      <c r="N64">
        <v>143</v>
      </c>
      <c r="P64">
        <v>99</v>
      </c>
      <c r="Q64">
        <v>1750</v>
      </c>
      <c r="S64">
        <v>5</v>
      </c>
      <c r="AC64">
        <v>14</v>
      </c>
      <c r="AE64">
        <v>1352</v>
      </c>
      <c r="AG64">
        <v>81</v>
      </c>
      <c r="AJ64">
        <v>729</v>
      </c>
      <c r="AQ64">
        <v>143</v>
      </c>
      <c r="AU64">
        <v>9372</v>
      </c>
      <c r="AX64">
        <v>7</v>
      </c>
      <c r="AY64">
        <v>7</v>
      </c>
      <c r="BA64">
        <v>61</v>
      </c>
      <c r="BB64">
        <v>7805</v>
      </c>
      <c r="BG64">
        <v>6</v>
      </c>
      <c r="BK64">
        <v>15</v>
      </c>
      <c r="BN64">
        <v>87</v>
      </c>
      <c r="BO64">
        <v>14</v>
      </c>
    </row>
    <row r="65" spans="1:69" x14ac:dyDescent="0.35">
      <c r="A65">
        <v>2021</v>
      </c>
      <c r="B65">
        <v>2021</v>
      </c>
      <c r="C65">
        <v>2021</v>
      </c>
      <c r="E65" t="s">
        <v>114</v>
      </c>
      <c r="F65" t="s">
        <v>115</v>
      </c>
      <c r="G65" t="s">
        <v>116</v>
      </c>
      <c r="I65">
        <v>10447</v>
      </c>
    </row>
    <row r="66" spans="1:69" x14ac:dyDescent="0.35">
      <c r="A66">
        <v>2021</v>
      </c>
      <c r="B66">
        <v>2021</v>
      </c>
      <c r="C66">
        <v>2021</v>
      </c>
      <c r="E66" t="s">
        <v>117</v>
      </c>
      <c r="F66" t="s">
        <v>118</v>
      </c>
      <c r="G66" t="s">
        <v>119</v>
      </c>
      <c r="I66">
        <v>935437.5</v>
      </c>
      <c r="J66">
        <v>3378</v>
      </c>
      <c r="K66">
        <v>2477</v>
      </c>
      <c r="L66">
        <v>486</v>
      </c>
      <c r="M66">
        <v>4543</v>
      </c>
      <c r="N66">
        <v>704</v>
      </c>
      <c r="O66">
        <v>133</v>
      </c>
      <c r="P66">
        <v>264</v>
      </c>
      <c r="Q66">
        <v>3229</v>
      </c>
      <c r="R66">
        <v>37</v>
      </c>
      <c r="T66">
        <v>22</v>
      </c>
      <c r="V66">
        <v>97</v>
      </c>
      <c r="W66">
        <v>3</v>
      </c>
      <c r="X66">
        <v>6</v>
      </c>
      <c r="Z66">
        <v>364</v>
      </c>
      <c r="AC66">
        <v>59</v>
      </c>
      <c r="AE66">
        <v>339</v>
      </c>
      <c r="AG66">
        <v>267</v>
      </c>
      <c r="AH66">
        <v>4216</v>
      </c>
      <c r="AJ66">
        <v>249</v>
      </c>
      <c r="AK66">
        <v>2247</v>
      </c>
      <c r="AN66">
        <v>4</v>
      </c>
      <c r="AO66">
        <v>639</v>
      </c>
      <c r="AQ66">
        <v>704</v>
      </c>
      <c r="AS66">
        <v>981</v>
      </c>
      <c r="AT66">
        <v>43</v>
      </c>
      <c r="AU66">
        <v>3519</v>
      </c>
      <c r="AV66">
        <v>131</v>
      </c>
      <c r="AW66">
        <v>37</v>
      </c>
      <c r="AX66">
        <v>65</v>
      </c>
      <c r="AY66">
        <v>125</v>
      </c>
      <c r="BA66">
        <v>40</v>
      </c>
      <c r="BG66">
        <v>324</v>
      </c>
      <c r="BH66">
        <v>21</v>
      </c>
      <c r="BJ66">
        <v>7</v>
      </c>
      <c r="BK66">
        <v>44</v>
      </c>
      <c r="BM66">
        <v>584</v>
      </c>
      <c r="BN66">
        <v>897</v>
      </c>
      <c r="BO66">
        <v>180</v>
      </c>
    </row>
    <row r="67" spans="1:69" x14ac:dyDescent="0.35">
      <c r="A67">
        <v>2021</v>
      </c>
      <c r="B67">
        <v>2021</v>
      </c>
      <c r="C67">
        <v>2021</v>
      </c>
      <c r="E67" t="s">
        <v>120</v>
      </c>
      <c r="F67" t="s">
        <v>121</v>
      </c>
      <c r="G67" t="s">
        <v>122</v>
      </c>
      <c r="I67">
        <v>715665.6</v>
      </c>
      <c r="J67">
        <v>1000</v>
      </c>
      <c r="K67">
        <v>740</v>
      </c>
      <c r="L67">
        <v>174</v>
      </c>
      <c r="M67">
        <v>2677</v>
      </c>
      <c r="N67">
        <v>721</v>
      </c>
      <c r="O67">
        <v>19</v>
      </c>
      <c r="P67">
        <v>142</v>
      </c>
      <c r="U67">
        <v>8077</v>
      </c>
      <c r="V67">
        <v>11</v>
      </c>
      <c r="W67">
        <v>4</v>
      </c>
      <c r="Z67">
        <v>30</v>
      </c>
      <c r="AC67">
        <v>17</v>
      </c>
      <c r="AE67">
        <v>18</v>
      </c>
      <c r="AH67">
        <v>371</v>
      </c>
      <c r="AI67">
        <v>104</v>
      </c>
      <c r="AJ67">
        <v>848</v>
      </c>
      <c r="AK67">
        <v>848</v>
      </c>
      <c r="AP67">
        <v>104</v>
      </c>
      <c r="AQ67">
        <v>617</v>
      </c>
      <c r="AT67">
        <v>1140</v>
      </c>
      <c r="AU67">
        <v>1537</v>
      </c>
      <c r="AX67">
        <v>77</v>
      </c>
      <c r="AY67">
        <v>56</v>
      </c>
      <c r="BG67">
        <v>277</v>
      </c>
      <c r="BJ67">
        <v>1</v>
      </c>
      <c r="BN67">
        <v>260</v>
      </c>
      <c r="BO67">
        <v>12</v>
      </c>
    </row>
    <row r="68" spans="1:69" x14ac:dyDescent="0.35">
      <c r="A68">
        <v>2021</v>
      </c>
      <c r="B68">
        <v>2021</v>
      </c>
      <c r="C68">
        <v>2021</v>
      </c>
      <c r="E68" t="s">
        <v>123</v>
      </c>
      <c r="F68" t="s">
        <v>124</v>
      </c>
      <c r="G68" t="s">
        <v>125</v>
      </c>
      <c r="I68">
        <v>911396.5</v>
      </c>
      <c r="J68">
        <v>4951</v>
      </c>
      <c r="K68">
        <v>4623</v>
      </c>
      <c r="M68">
        <v>12887</v>
      </c>
      <c r="N68">
        <v>7074</v>
      </c>
      <c r="O68">
        <v>416</v>
      </c>
      <c r="P68">
        <v>1117</v>
      </c>
      <c r="AD68">
        <v>4221</v>
      </c>
      <c r="AO68">
        <v>139</v>
      </c>
      <c r="AQ68">
        <v>7074</v>
      </c>
      <c r="AS68">
        <v>0</v>
      </c>
      <c r="AU68">
        <v>12887</v>
      </c>
      <c r="BD68">
        <v>3480</v>
      </c>
      <c r="BG68">
        <v>215</v>
      </c>
      <c r="BH68">
        <v>97</v>
      </c>
      <c r="BN68">
        <v>328</v>
      </c>
    </row>
    <row r="69" spans="1:69" x14ac:dyDescent="0.35">
      <c r="A69">
        <v>2021</v>
      </c>
      <c r="B69">
        <v>2021</v>
      </c>
      <c r="C69">
        <v>2021</v>
      </c>
      <c r="E69" t="s">
        <v>126</v>
      </c>
      <c r="F69" t="s">
        <v>127</v>
      </c>
      <c r="G69" t="s">
        <v>128</v>
      </c>
      <c r="I69">
        <v>49221.8</v>
      </c>
    </row>
    <row r="70" spans="1:69" x14ac:dyDescent="0.35">
      <c r="A70">
        <v>2021</v>
      </c>
      <c r="B70">
        <v>2021</v>
      </c>
      <c r="C70">
        <v>2021</v>
      </c>
      <c r="E70" t="s">
        <v>129</v>
      </c>
      <c r="F70" t="s">
        <v>130</v>
      </c>
      <c r="G70" t="s">
        <v>131</v>
      </c>
      <c r="I70">
        <v>87525.9</v>
      </c>
      <c r="J70">
        <v>269</v>
      </c>
      <c r="K70">
        <v>156</v>
      </c>
      <c r="L70">
        <v>69</v>
      </c>
      <c r="M70">
        <v>1404</v>
      </c>
      <c r="N70">
        <v>379</v>
      </c>
      <c r="O70">
        <v>9</v>
      </c>
      <c r="P70">
        <v>4</v>
      </c>
      <c r="Q70">
        <v>0</v>
      </c>
      <c r="R70">
        <v>0</v>
      </c>
      <c r="S70">
        <v>0</v>
      </c>
      <c r="T70">
        <v>3</v>
      </c>
      <c r="U70">
        <v>0</v>
      </c>
      <c r="V70">
        <v>16</v>
      </c>
      <c r="W70">
        <v>6</v>
      </c>
      <c r="X70">
        <v>0</v>
      </c>
      <c r="Y70">
        <v>2</v>
      </c>
      <c r="Z70">
        <v>0</v>
      </c>
      <c r="AA70">
        <v>252</v>
      </c>
      <c r="AB70">
        <v>44</v>
      </c>
      <c r="AC70">
        <v>10</v>
      </c>
      <c r="AD70">
        <v>0</v>
      </c>
      <c r="AE70">
        <v>0</v>
      </c>
      <c r="AF70">
        <v>0</v>
      </c>
      <c r="AG70">
        <v>172</v>
      </c>
      <c r="AH70">
        <v>522</v>
      </c>
      <c r="AI70">
        <v>0</v>
      </c>
      <c r="AJ70">
        <v>0</v>
      </c>
      <c r="AK70">
        <v>18</v>
      </c>
      <c r="AL70">
        <v>0</v>
      </c>
      <c r="AM70">
        <v>0</v>
      </c>
      <c r="AN70">
        <v>0</v>
      </c>
      <c r="AO70">
        <v>0</v>
      </c>
      <c r="AP70">
        <v>278</v>
      </c>
      <c r="AQ70">
        <v>101</v>
      </c>
      <c r="AR70">
        <v>0</v>
      </c>
      <c r="AS70">
        <v>47</v>
      </c>
      <c r="AT70">
        <v>449</v>
      </c>
      <c r="AU70">
        <v>908</v>
      </c>
      <c r="AX70">
        <v>0</v>
      </c>
      <c r="AY70">
        <v>20</v>
      </c>
      <c r="AZ70">
        <v>18</v>
      </c>
      <c r="BA70">
        <v>0</v>
      </c>
      <c r="BB70">
        <v>0</v>
      </c>
      <c r="BC70">
        <v>2193</v>
      </c>
      <c r="BD70">
        <v>0</v>
      </c>
      <c r="BE70">
        <v>0</v>
      </c>
      <c r="BF70">
        <v>0</v>
      </c>
      <c r="BG70">
        <v>94</v>
      </c>
      <c r="BH70">
        <v>1</v>
      </c>
      <c r="BI70">
        <v>23</v>
      </c>
      <c r="BJ70">
        <v>1</v>
      </c>
      <c r="BK70">
        <v>0</v>
      </c>
      <c r="BL70">
        <v>0</v>
      </c>
      <c r="BM70">
        <v>0</v>
      </c>
      <c r="BN70">
        <v>113</v>
      </c>
      <c r="BO70">
        <v>13</v>
      </c>
      <c r="BP70">
        <v>0</v>
      </c>
      <c r="BQ70">
        <v>0</v>
      </c>
    </row>
    <row r="71" spans="1:69" x14ac:dyDescent="0.35">
      <c r="A71">
        <v>2021</v>
      </c>
      <c r="B71">
        <v>2021</v>
      </c>
      <c r="C71">
        <v>2021</v>
      </c>
      <c r="E71" t="s">
        <v>132</v>
      </c>
      <c r="F71" t="s">
        <v>133</v>
      </c>
      <c r="G71" t="s">
        <v>134</v>
      </c>
      <c r="I71">
        <v>910102.9</v>
      </c>
      <c r="J71">
        <v>4169</v>
      </c>
      <c r="K71">
        <v>3034</v>
      </c>
      <c r="L71">
        <v>0</v>
      </c>
      <c r="M71">
        <v>93144</v>
      </c>
      <c r="N71">
        <v>19141</v>
      </c>
      <c r="O71">
        <v>0</v>
      </c>
      <c r="P71">
        <v>1035</v>
      </c>
      <c r="Q71">
        <v>4274</v>
      </c>
      <c r="R71">
        <v>2091</v>
      </c>
      <c r="S71">
        <v>9</v>
      </c>
      <c r="T71">
        <v>0</v>
      </c>
      <c r="U71">
        <v>0</v>
      </c>
      <c r="V71">
        <v>396</v>
      </c>
      <c r="W71">
        <v>0</v>
      </c>
      <c r="X71">
        <v>112</v>
      </c>
      <c r="Y71">
        <v>0</v>
      </c>
      <c r="Z71">
        <v>380</v>
      </c>
      <c r="AA71">
        <v>0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1673</v>
      </c>
      <c r="AH71">
        <v>0</v>
      </c>
      <c r="AI71">
        <v>2352</v>
      </c>
      <c r="AJ71">
        <v>6276</v>
      </c>
      <c r="AK71">
        <v>1759</v>
      </c>
      <c r="AL71">
        <v>0</v>
      </c>
      <c r="AM71">
        <v>3238</v>
      </c>
      <c r="AN71">
        <v>0</v>
      </c>
      <c r="AO71">
        <v>0</v>
      </c>
      <c r="AP71">
        <v>0</v>
      </c>
      <c r="AQ71">
        <v>19141</v>
      </c>
      <c r="AR71">
        <v>0</v>
      </c>
      <c r="AS71">
        <v>0</v>
      </c>
      <c r="AT71">
        <v>51836</v>
      </c>
      <c r="AU71">
        <v>41308</v>
      </c>
      <c r="AX71">
        <v>887</v>
      </c>
      <c r="AY71">
        <v>0</v>
      </c>
      <c r="AZ71">
        <v>235</v>
      </c>
      <c r="BA71">
        <v>0</v>
      </c>
      <c r="BB71">
        <v>0</v>
      </c>
      <c r="BC71">
        <v>0</v>
      </c>
      <c r="BD71">
        <v>0</v>
      </c>
      <c r="BE71">
        <v>3453</v>
      </c>
      <c r="BF71">
        <v>0</v>
      </c>
      <c r="BG71">
        <v>1096</v>
      </c>
      <c r="BH71">
        <v>159</v>
      </c>
      <c r="BI71">
        <v>149</v>
      </c>
      <c r="BJ71">
        <v>0</v>
      </c>
      <c r="BK71">
        <v>48</v>
      </c>
      <c r="BL71">
        <v>0</v>
      </c>
      <c r="BM71">
        <v>0</v>
      </c>
      <c r="BN71">
        <v>1135</v>
      </c>
      <c r="BO71">
        <v>0</v>
      </c>
      <c r="BP71">
        <v>0</v>
      </c>
      <c r="BQ71">
        <v>7</v>
      </c>
    </row>
    <row r="72" spans="1:69" x14ac:dyDescent="0.35">
      <c r="A72">
        <v>2021</v>
      </c>
      <c r="B72">
        <v>2021</v>
      </c>
      <c r="C72">
        <v>2021</v>
      </c>
      <c r="E72" t="s">
        <v>135</v>
      </c>
      <c r="F72" t="s">
        <v>136</v>
      </c>
      <c r="G72" t="s">
        <v>137</v>
      </c>
      <c r="I72">
        <v>453737.3</v>
      </c>
    </row>
    <row r="73" spans="1:69" x14ac:dyDescent="0.35">
      <c r="A73">
        <v>2021</v>
      </c>
      <c r="B73">
        <v>2021</v>
      </c>
      <c r="C73">
        <v>2021</v>
      </c>
      <c r="E73" t="s">
        <v>138</v>
      </c>
      <c r="F73" t="s">
        <v>139</v>
      </c>
      <c r="G73" t="s">
        <v>140</v>
      </c>
      <c r="I73">
        <v>63310.400000000001</v>
      </c>
      <c r="J73">
        <v>453</v>
      </c>
      <c r="K73">
        <v>444</v>
      </c>
      <c r="L73">
        <v>0</v>
      </c>
      <c r="M73">
        <v>1956</v>
      </c>
      <c r="N73">
        <v>213</v>
      </c>
      <c r="O73">
        <v>2</v>
      </c>
      <c r="P73">
        <v>2</v>
      </c>
      <c r="Q73">
        <v>196</v>
      </c>
      <c r="R73">
        <v>0</v>
      </c>
      <c r="S73">
        <v>0</v>
      </c>
      <c r="T73">
        <v>0</v>
      </c>
      <c r="U73">
        <v>0</v>
      </c>
      <c r="V73">
        <v>21</v>
      </c>
      <c r="W73">
        <v>3</v>
      </c>
      <c r="X73">
        <v>2</v>
      </c>
      <c r="Y73">
        <v>0</v>
      </c>
      <c r="Z73">
        <v>0</v>
      </c>
      <c r="AA73">
        <v>28</v>
      </c>
      <c r="AB73">
        <v>1</v>
      </c>
      <c r="AC73">
        <v>5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1</v>
      </c>
      <c r="AK73">
        <v>200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213</v>
      </c>
      <c r="AR73">
        <v>0</v>
      </c>
      <c r="AS73">
        <v>2</v>
      </c>
      <c r="AT73">
        <v>951</v>
      </c>
      <c r="AU73">
        <v>1003</v>
      </c>
      <c r="AV73">
        <v>0</v>
      </c>
      <c r="AW73">
        <v>0</v>
      </c>
      <c r="AX73">
        <v>2</v>
      </c>
      <c r="AY73">
        <v>4</v>
      </c>
      <c r="AZ73">
        <v>10</v>
      </c>
      <c r="BA73">
        <v>0</v>
      </c>
      <c r="BB73">
        <v>0</v>
      </c>
      <c r="BC73">
        <v>86</v>
      </c>
      <c r="BD73">
        <v>0</v>
      </c>
      <c r="BE73">
        <v>0</v>
      </c>
      <c r="BF73">
        <v>0</v>
      </c>
      <c r="BG73">
        <v>76</v>
      </c>
      <c r="BH73">
        <v>6</v>
      </c>
      <c r="BI73">
        <v>0</v>
      </c>
      <c r="BJ73">
        <v>0</v>
      </c>
      <c r="BK73">
        <v>12</v>
      </c>
      <c r="BL73">
        <v>0</v>
      </c>
      <c r="BM73">
        <v>16</v>
      </c>
      <c r="BN73">
        <v>9</v>
      </c>
      <c r="BO73">
        <v>1</v>
      </c>
      <c r="BP73">
        <v>0</v>
      </c>
      <c r="BQ73">
        <v>0</v>
      </c>
    </row>
    <row r="74" spans="1:69" x14ac:dyDescent="0.35">
      <c r="A74">
        <v>2021</v>
      </c>
      <c r="B74">
        <v>2021</v>
      </c>
      <c r="C74">
        <v>2021</v>
      </c>
      <c r="E74" t="s">
        <v>141</v>
      </c>
      <c r="F74" t="s">
        <v>142</v>
      </c>
      <c r="G74" t="s">
        <v>143</v>
      </c>
      <c r="I74">
        <v>1466518.7</v>
      </c>
      <c r="J74">
        <v>5203</v>
      </c>
      <c r="K74">
        <v>3252</v>
      </c>
      <c r="L74">
        <v>447</v>
      </c>
      <c r="M74">
        <v>34588</v>
      </c>
      <c r="P74">
        <v>1137</v>
      </c>
      <c r="T74">
        <v>725</v>
      </c>
      <c r="U74">
        <v>86490</v>
      </c>
      <c r="V74">
        <v>246</v>
      </c>
      <c r="W74">
        <v>261</v>
      </c>
      <c r="AB74">
        <v>5029</v>
      </c>
      <c r="AC74">
        <v>199</v>
      </c>
      <c r="AE74">
        <v>2137</v>
      </c>
      <c r="AG74">
        <v>717</v>
      </c>
      <c r="AK74">
        <v>5019</v>
      </c>
      <c r="AU74">
        <v>34588</v>
      </c>
      <c r="AX74">
        <v>1985</v>
      </c>
      <c r="AY74">
        <v>242</v>
      </c>
      <c r="BA74">
        <v>426</v>
      </c>
      <c r="BB74">
        <v>3295</v>
      </c>
      <c r="BC74">
        <v>11129</v>
      </c>
      <c r="BD74">
        <v>8087</v>
      </c>
      <c r="BG74">
        <v>1780</v>
      </c>
      <c r="BH74">
        <v>718</v>
      </c>
      <c r="BJ74">
        <v>92</v>
      </c>
      <c r="BM74">
        <v>749</v>
      </c>
      <c r="BN74">
        <v>1951</v>
      </c>
      <c r="BO74">
        <v>565</v>
      </c>
    </row>
    <row r="75" spans="1:69" x14ac:dyDescent="0.35">
      <c r="A75">
        <v>2021</v>
      </c>
      <c r="B75">
        <v>2021</v>
      </c>
      <c r="C75">
        <v>2021</v>
      </c>
      <c r="E75" t="s">
        <v>144</v>
      </c>
      <c r="F75" t="s">
        <v>145</v>
      </c>
      <c r="G75" t="s">
        <v>146</v>
      </c>
      <c r="I75">
        <v>159834.6</v>
      </c>
      <c r="J75">
        <v>887</v>
      </c>
      <c r="K75">
        <v>800</v>
      </c>
      <c r="L75">
        <v>26</v>
      </c>
      <c r="M75">
        <v>1761</v>
      </c>
      <c r="N75">
        <v>795</v>
      </c>
      <c r="O75">
        <v>6</v>
      </c>
      <c r="P75">
        <v>124</v>
      </c>
      <c r="AC75">
        <v>15</v>
      </c>
      <c r="AQ75">
        <v>795</v>
      </c>
      <c r="AU75">
        <v>1761</v>
      </c>
      <c r="AY75">
        <v>23</v>
      </c>
      <c r="BG75">
        <v>472</v>
      </c>
      <c r="BN75">
        <v>87</v>
      </c>
      <c r="BO75">
        <v>23</v>
      </c>
    </row>
    <row r="76" spans="1:69" x14ac:dyDescent="0.35">
      <c r="A76">
        <v>2021</v>
      </c>
      <c r="B76">
        <v>2021</v>
      </c>
      <c r="C76">
        <v>2021</v>
      </c>
      <c r="E76" t="s">
        <v>147</v>
      </c>
      <c r="F76" t="s">
        <v>148</v>
      </c>
      <c r="G76" t="s">
        <v>149</v>
      </c>
      <c r="I76">
        <v>890888.8</v>
      </c>
      <c r="U76">
        <v>41616</v>
      </c>
    </row>
    <row r="77" spans="1:69" x14ac:dyDescent="0.35">
      <c r="A77">
        <v>2021</v>
      </c>
      <c r="B77">
        <v>2021</v>
      </c>
      <c r="C77">
        <v>2021</v>
      </c>
      <c r="E77" t="s">
        <v>150</v>
      </c>
      <c r="F77" t="s">
        <v>151</v>
      </c>
      <c r="G77" t="s">
        <v>152</v>
      </c>
      <c r="I77">
        <v>652416.6</v>
      </c>
    </row>
    <row r="78" spans="1:69" x14ac:dyDescent="0.35">
      <c r="A78">
        <v>2021</v>
      </c>
      <c r="B78">
        <v>2021</v>
      </c>
      <c r="C78">
        <v>2021</v>
      </c>
      <c r="E78" t="s">
        <v>153</v>
      </c>
      <c r="F78" t="s">
        <v>154</v>
      </c>
      <c r="G78" t="s">
        <v>155</v>
      </c>
      <c r="I78">
        <v>883083.9</v>
      </c>
    </row>
    <row r="79" spans="1:69" x14ac:dyDescent="0.35">
      <c r="A79">
        <v>2021</v>
      </c>
      <c r="B79">
        <v>2021</v>
      </c>
      <c r="C79">
        <v>2021</v>
      </c>
      <c r="E79" t="s">
        <v>156</v>
      </c>
      <c r="F79" t="s">
        <v>157</v>
      </c>
      <c r="G79" t="s">
        <v>158</v>
      </c>
      <c r="I79">
        <v>14565.6</v>
      </c>
    </row>
    <row r="80" spans="1:69" x14ac:dyDescent="0.35">
      <c r="A80">
        <v>2021</v>
      </c>
      <c r="B80">
        <v>2021</v>
      </c>
      <c r="C80">
        <v>2021</v>
      </c>
      <c r="E80" t="s">
        <v>159</v>
      </c>
      <c r="F80" t="s">
        <v>160</v>
      </c>
      <c r="G80" t="s">
        <v>161</v>
      </c>
      <c r="I80">
        <v>1147375.7</v>
      </c>
      <c r="J80">
        <v>2611</v>
      </c>
      <c r="K80">
        <v>1807</v>
      </c>
      <c r="L80">
        <v>445</v>
      </c>
      <c r="M80">
        <v>10928</v>
      </c>
      <c r="N80">
        <v>7278</v>
      </c>
      <c r="O80">
        <v>355</v>
      </c>
      <c r="P80">
        <v>406</v>
      </c>
      <c r="Q80">
        <v>11559</v>
      </c>
      <c r="U80">
        <v>7329</v>
      </c>
      <c r="V80">
        <v>340</v>
      </c>
      <c r="Z80">
        <v>105</v>
      </c>
      <c r="AC80">
        <v>57</v>
      </c>
      <c r="AE80">
        <v>264</v>
      </c>
      <c r="AG80">
        <v>264</v>
      </c>
      <c r="AH80">
        <v>3318</v>
      </c>
      <c r="AJ80">
        <v>301</v>
      </c>
      <c r="AK80">
        <v>1912</v>
      </c>
      <c r="AP80">
        <v>7236</v>
      </c>
      <c r="AQ80">
        <v>42</v>
      </c>
      <c r="AT80">
        <v>8781</v>
      </c>
      <c r="AU80">
        <v>2147</v>
      </c>
      <c r="AX80">
        <v>1172</v>
      </c>
      <c r="AY80">
        <v>63</v>
      </c>
      <c r="AZ80">
        <v>151</v>
      </c>
      <c r="BB80">
        <v>3530</v>
      </c>
      <c r="BC80">
        <v>10717</v>
      </c>
      <c r="BG80">
        <v>3039</v>
      </c>
      <c r="BH80">
        <v>123</v>
      </c>
      <c r="BI80">
        <v>412</v>
      </c>
      <c r="BJ80">
        <v>11</v>
      </c>
      <c r="BK80">
        <v>610</v>
      </c>
      <c r="BL80">
        <v>399</v>
      </c>
      <c r="BM80">
        <v>153</v>
      </c>
      <c r="BN80">
        <v>804</v>
      </c>
      <c r="BO80">
        <v>218</v>
      </c>
    </row>
    <row r="81" spans="1:69" x14ac:dyDescent="0.35">
      <c r="A81">
        <v>2021</v>
      </c>
      <c r="B81">
        <v>2021</v>
      </c>
      <c r="C81">
        <v>2021</v>
      </c>
      <c r="E81" t="s">
        <v>162</v>
      </c>
      <c r="F81" t="s">
        <v>163</v>
      </c>
      <c r="G81" t="s">
        <v>164</v>
      </c>
      <c r="I81">
        <v>70214.399999999994</v>
      </c>
      <c r="J81">
        <v>1181</v>
      </c>
      <c r="K81">
        <v>1181</v>
      </c>
      <c r="M81">
        <v>7166</v>
      </c>
      <c r="N81">
        <v>6</v>
      </c>
      <c r="O81">
        <v>161</v>
      </c>
      <c r="P81">
        <v>603</v>
      </c>
      <c r="V81">
        <v>48</v>
      </c>
      <c r="X81">
        <v>35</v>
      </c>
      <c r="AB81">
        <v>209</v>
      </c>
      <c r="AC81">
        <v>34</v>
      </c>
      <c r="AI81">
        <v>3</v>
      </c>
      <c r="AJ81">
        <v>99</v>
      </c>
      <c r="AQ81">
        <v>6</v>
      </c>
      <c r="AT81">
        <v>45</v>
      </c>
      <c r="AU81">
        <v>7121</v>
      </c>
      <c r="AY81">
        <v>56</v>
      </c>
      <c r="AZ81">
        <v>99</v>
      </c>
      <c r="BA81">
        <v>47</v>
      </c>
      <c r="BD81">
        <v>63</v>
      </c>
      <c r="BG81">
        <v>372</v>
      </c>
      <c r="BH81">
        <v>140</v>
      </c>
      <c r="BO81">
        <v>50</v>
      </c>
    </row>
    <row r="82" spans="1:69" x14ac:dyDescent="0.35">
      <c r="A82">
        <v>2021</v>
      </c>
      <c r="B82">
        <v>2021</v>
      </c>
      <c r="C82">
        <v>2021</v>
      </c>
      <c r="E82" t="s">
        <v>165</v>
      </c>
      <c r="F82" t="s">
        <v>166</v>
      </c>
      <c r="G82" t="s">
        <v>167</v>
      </c>
      <c r="I82">
        <v>403959</v>
      </c>
    </row>
    <row r="83" spans="1:69" x14ac:dyDescent="0.35">
      <c r="A83">
        <v>2021</v>
      </c>
      <c r="B83">
        <v>2021</v>
      </c>
      <c r="C83">
        <v>2021</v>
      </c>
      <c r="E83" t="s">
        <v>168</v>
      </c>
      <c r="F83" t="s">
        <v>169</v>
      </c>
      <c r="G83" t="s">
        <v>170</v>
      </c>
      <c r="I83">
        <v>550908.19999999995</v>
      </c>
      <c r="J83">
        <v>1707</v>
      </c>
      <c r="K83">
        <v>487</v>
      </c>
      <c r="L83">
        <v>810</v>
      </c>
      <c r="M83">
        <v>6477</v>
      </c>
      <c r="N83">
        <v>2739</v>
      </c>
      <c r="O83">
        <v>176</v>
      </c>
      <c r="P83">
        <v>293</v>
      </c>
      <c r="Q83">
        <v>5833</v>
      </c>
      <c r="R83">
        <v>36</v>
      </c>
      <c r="T83">
        <v>15</v>
      </c>
      <c r="U83">
        <v>16443</v>
      </c>
      <c r="V83">
        <v>28</v>
      </c>
      <c r="W83">
        <v>94</v>
      </c>
      <c r="X83">
        <v>4</v>
      </c>
      <c r="Z83">
        <v>87</v>
      </c>
      <c r="AB83">
        <v>53</v>
      </c>
      <c r="AC83">
        <v>107</v>
      </c>
      <c r="AD83">
        <v>949</v>
      </c>
      <c r="AE83">
        <v>103</v>
      </c>
      <c r="AG83">
        <v>123</v>
      </c>
      <c r="AH83">
        <v>188</v>
      </c>
      <c r="AJ83">
        <v>14</v>
      </c>
      <c r="AK83">
        <v>434</v>
      </c>
      <c r="AL83">
        <v>4</v>
      </c>
      <c r="AM83">
        <v>2</v>
      </c>
      <c r="AO83">
        <v>104</v>
      </c>
      <c r="AP83">
        <v>29</v>
      </c>
      <c r="AQ83">
        <v>2710</v>
      </c>
      <c r="AS83">
        <v>1781</v>
      </c>
      <c r="AT83">
        <v>2173</v>
      </c>
      <c r="AU83">
        <v>2523</v>
      </c>
      <c r="AX83">
        <v>8</v>
      </c>
      <c r="AY83">
        <v>133</v>
      </c>
      <c r="AZ83">
        <v>107</v>
      </c>
      <c r="BB83">
        <v>16</v>
      </c>
      <c r="BC83">
        <v>344</v>
      </c>
      <c r="BD83">
        <v>917</v>
      </c>
      <c r="BG83">
        <v>40</v>
      </c>
      <c r="BJ83">
        <v>35</v>
      </c>
      <c r="BM83">
        <v>173</v>
      </c>
      <c r="BN83">
        <v>1220</v>
      </c>
      <c r="BO83">
        <v>135</v>
      </c>
    </row>
    <row r="84" spans="1:69" x14ac:dyDescent="0.35">
      <c r="A84">
        <v>2021</v>
      </c>
      <c r="B84">
        <v>2021</v>
      </c>
      <c r="C84">
        <v>2021</v>
      </c>
      <c r="E84" t="s">
        <v>171</v>
      </c>
      <c r="F84" t="s">
        <v>172</v>
      </c>
      <c r="G84" t="s">
        <v>173</v>
      </c>
      <c r="I84">
        <v>1744.8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19</v>
      </c>
      <c r="S84">
        <v>5</v>
      </c>
      <c r="T84">
        <v>0</v>
      </c>
      <c r="U84">
        <v>0</v>
      </c>
      <c r="V84">
        <v>0</v>
      </c>
      <c r="W84">
        <v>0</v>
      </c>
      <c r="X84">
        <v>1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X84">
        <v>3</v>
      </c>
      <c r="AY84">
        <v>0</v>
      </c>
      <c r="AZ84">
        <v>22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20</v>
      </c>
      <c r="BI84">
        <v>40</v>
      </c>
      <c r="BJ84">
        <v>0</v>
      </c>
      <c r="BK84">
        <v>6</v>
      </c>
      <c r="BL84">
        <v>0</v>
      </c>
      <c r="BM84">
        <v>2</v>
      </c>
      <c r="BN84">
        <v>0</v>
      </c>
      <c r="BO84">
        <v>0</v>
      </c>
      <c r="BP84">
        <v>2</v>
      </c>
      <c r="BQ84">
        <v>0</v>
      </c>
    </row>
    <row r="85" spans="1:69" x14ac:dyDescent="0.35">
      <c r="A85">
        <v>2021</v>
      </c>
      <c r="B85">
        <v>2021</v>
      </c>
      <c r="C85">
        <v>2021</v>
      </c>
      <c r="E85" t="s">
        <v>174</v>
      </c>
      <c r="F85" t="s">
        <v>175</v>
      </c>
      <c r="G85" t="s">
        <v>176</v>
      </c>
      <c r="I85">
        <v>258166.6</v>
      </c>
    </row>
    <row r="86" spans="1:69" x14ac:dyDescent="0.35">
      <c r="A86">
        <v>2021</v>
      </c>
      <c r="B86">
        <v>2021</v>
      </c>
      <c r="C86">
        <v>2021</v>
      </c>
      <c r="E86" t="s">
        <v>177</v>
      </c>
      <c r="F86" t="s">
        <v>178</v>
      </c>
      <c r="G86" t="s">
        <v>179</v>
      </c>
      <c r="I86">
        <v>1219311.2</v>
      </c>
      <c r="J86">
        <v>48021</v>
      </c>
      <c r="O86">
        <v>6586</v>
      </c>
      <c r="R86">
        <v>41029</v>
      </c>
      <c r="S86">
        <v>4037</v>
      </c>
      <c r="T86">
        <v>1</v>
      </c>
      <c r="V86">
        <v>6165</v>
      </c>
      <c r="X86">
        <v>3822</v>
      </c>
      <c r="Y86">
        <v>135</v>
      </c>
      <c r="AA86">
        <v>549</v>
      </c>
      <c r="AB86">
        <v>4196</v>
      </c>
      <c r="AC86">
        <v>1015</v>
      </c>
      <c r="AG86">
        <v>9281</v>
      </c>
      <c r="AJ86">
        <v>6353</v>
      </c>
      <c r="AK86">
        <v>6166</v>
      </c>
      <c r="AN86">
        <v>48021</v>
      </c>
      <c r="AX86">
        <v>216</v>
      </c>
      <c r="AY86">
        <v>1183</v>
      </c>
      <c r="AZ86">
        <v>4012</v>
      </c>
      <c r="BD86">
        <v>3870</v>
      </c>
      <c r="BH86">
        <v>8345</v>
      </c>
      <c r="BI86">
        <v>164</v>
      </c>
      <c r="BJ86">
        <v>853</v>
      </c>
      <c r="BK86">
        <v>9125</v>
      </c>
    </row>
    <row r="87" spans="1:69" x14ac:dyDescent="0.35">
      <c r="A87">
        <v>2021</v>
      </c>
      <c r="B87">
        <v>2021</v>
      </c>
      <c r="C87">
        <v>2021</v>
      </c>
      <c r="E87" t="s">
        <v>180</v>
      </c>
      <c r="F87" t="s">
        <v>181</v>
      </c>
      <c r="G87" t="s">
        <v>182</v>
      </c>
      <c r="I87">
        <v>306239.5</v>
      </c>
    </row>
    <row r="88" spans="1:69" x14ac:dyDescent="0.35">
      <c r="A88">
        <v>2021</v>
      </c>
      <c r="B88">
        <v>2021</v>
      </c>
      <c r="C88">
        <v>2021</v>
      </c>
      <c r="E88" t="s">
        <v>183</v>
      </c>
      <c r="F88" t="s">
        <v>184</v>
      </c>
      <c r="G88" t="s">
        <v>185</v>
      </c>
      <c r="I88">
        <v>179200.3</v>
      </c>
    </row>
    <row r="89" spans="1:69" x14ac:dyDescent="0.35">
      <c r="A89">
        <v>2021</v>
      </c>
      <c r="B89">
        <v>2021</v>
      </c>
      <c r="C89">
        <v>2021</v>
      </c>
      <c r="E89" t="s">
        <v>186</v>
      </c>
      <c r="F89" t="s">
        <v>187</v>
      </c>
      <c r="G89" t="s">
        <v>188</v>
      </c>
      <c r="I89">
        <v>1111347.5</v>
      </c>
    </row>
    <row r="90" spans="1:69" x14ac:dyDescent="0.35">
      <c r="A90">
        <v>2021</v>
      </c>
      <c r="B90">
        <v>2021</v>
      </c>
      <c r="C90">
        <v>2021</v>
      </c>
      <c r="E90" t="s">
        <v>189</v>
      </c>
      <c r="F90" t="s">
        <v>190</v>
      </c>
      <c r="G90" t="s">
        <v>191</v>
      </c>
      <c r="I90">
        <v>1671156.9</v>
      </c>
    </row>
    <row r="91" spans="1:69" x14ac:dyDescent="0.35">
      <c r="A91">
        <v>2021</v>
      </c>
      <c r="B91">
        <v>2021</v>
      </c>
      <c r="C91">
        <v>2021</v>
      </c>
      <c r="E91" t="s">
        <v>192</v>
      </c>
      <c r="F91" t="s">
        <v>193</v>
      </c>
      <c r="G91" t="s">
        <v>194</v>
      </c>
      <c r="I91">
        <v>663224.69999999995</v>
      </c>
      <c r="J91">
        <v>5773</v>
      </c>
      <c r="M91">
        <v>32542</v>
      </c>
      <c r="N91">
        <v>3746</v>
      </c>
      <c r="O91">
        <v>269</v>
      </c>
      <c r="P91">
        <v>1376</v>
      </c>
      <c r="V91">
        <v>499</v>
      </c>
      <c r="AB91">
        <v>4646</v>
      </c>
      <c r="AG91">
        <v>1375</v>
      </c>
      <c r="AJ91">
        <v>3182</v>
      </c>
      <c r="AK91">
        <v>19</v>
      </c>
      <c r="AN91">
        <v>5773</v>
      </c>
      <c r="AQ91">
        <v>3746</v>
      </c>
      <c r="AU91">
        <v>32542</v>
      </c>
      <c r="BD91">
        <v>8281</v>
      </c>
      <c r="BG91">
        <v>1944</v>
      </c>
      <c r="BH91">
        <v>1324</v>
      </c>
    </row>
    <row r="92" spans="1:69" x14ac:dyDescent="0.35">
      <c r="A92">
        <v>2021</v>
      </c>
      <c r="B92">
        <v>2021</v>
      </c>
      <c r="C92">
        <v>2021</v>
      </c>
      <c r="E92" t="s">
        <v>195</v>
      </c>
      <c r="F92" t="s">
        <v>196</v>
      </c>
      <c r="G92" t="s">
        <v>197</v>
      </c>
      <c r="I92">
        <v>487965.1</v>
      </c>
    </row>
    <row r="93" spans="1:69" x14ac:dyDescent="0.35">
      <c r="A93">
        <v>2021</v>
      </c>
      <c r="B93">
        <v>2021</v>
      </c>
      <c r="C93">
        <v>2021</v>
      </c>
      <c r="E93" t="s">
        <v>198</v>
      </c>
      <c r="F93" t="s">
        <v>199</v>
      </c>
      <c r="G93" t="s">
        <v>200</v>
      </c>
      <c r="I93">
        <v>103744.1</v>
      </c>
      <c r="J93">
        <v>286</v>
      </c>
      <c r="K93">
        <v>276</v>
      </c>
      <c r="L93">
        <v>19</v>
      </c>
      <c r="M93">
        <v>4681</v>
      </c>
      <c r="N93">
        <v>67</v>
      </c>
      <c r="O93">
        <v>60</v>
      </c>
      <c r="P93">
        <v>208</v>
      </c>
      <c r="T93">
        <v>11</v>
      </c>
      <c r="U93">
        <v>2626</v>
      </c>
      <c r="V93">
        <v>154</v>
      </c>
      <c r="Z93">
        <v>8</v>
      </c>
      <c r="AA93">
        <v>234</v>
      </c>
      <c r="AC93">
        <v>10</v>
      </c>
      <c r="AE93">
        <v>44</v>
      </c>
      <c r="AG93">
        <v>137</v>
      </c>
      <c r="AJ93">
        <v>267</v>
      </c>
      <c r="AK93">
        <v>298</v>
      </c>
      <c r="AQ93">
        <v>67</v>
      </c>
      <c r="AS93">
        <v>182</v>
      </c>
      <c r="AT93">
        <v>3050</v>
      </c>
      <c r="AU93">
        <v>1449</v>
      </c>
      <c r="AY93">
        <v>10</v>
      </c>
      <c r="AZ93">
        <v>99</v>
      </c>
      <c r="BG93">
        <v>280</v>
      </c>
      <c r="BH93">
        <v>131</v>
      </c>
      <c r="BK93">
        <v>7</v>
      </c>
      <c r="BM93">
        <v>6</v>
      </c>
      <c r="BN93">
        <v>10</v>
      </c>
      <c r="BO93">
        <v>25</v>
      </c>
    </row>
    <row r="94" spans="1:69" x14ac:dyDescent="0.35">
      <c r="A94">
        <v>2021</v>
      </c>
      <c r="B94">
        <v>2021</v>
      </c>
      <c r="C94">
        <v>2021</v>
      </c>
      <c r="E94" t="s">
        <v>201</v>
      </c>
      <c r="F94" t="s">
        <v>202</v>
      </c>
      <c r="G94" t="s">
        <v>203</v>
      </c>
      <c r="I94">
        <v>272351.90000000002</v>
      </c>
      <c r="J94">
        <v>506</v>
      </c>
      <c r="K94">
        <v>149</v>
      </c>
      <c r="M94">
        <v>1946</v>
      </c>
      <c r="N94">
        <v>1482</v>
      </c>
      <c r="O94">
        <v>13</v>
      </c>
      <c r="P94">
        <v>21</v>
      </c>
      <c r="Q94">
        <v>991</v>
      </c>
      <c r="S94">
        <v>33</v>
      </c>
      <c r="T94">
        <v>5</v>
      </c>
      <c r="U94">
        <v>7500</v>
      </c>
      <c r="W94">
        <v>2</v>
      </c>
      <c r="X94">
        <v>1</v>
      </c>
      <c r="Z94">
        <v>104</v>
      </c>
      <c r="AA94">
        <v>86</v>
      </c>
      <c r="AB94">
        <v>342</v>
      </c>
      <c r="AC94">
        <v>38</v>
      </c>
      <c r="AD94">
        <v>2974</v>
      </c>
      <c r="AG94">
        <v>95</v>
      </c>
      <c r="AJ94">
        <v>149</v>
      </c>
      <c r="AK94">
        <v>446</v>
      </c>
      <c r="AL94">
        <v>17</v>
      </c>
      <c r="AP94">
        <v>709</v>
      </c>
      <c r="AQ94">
        <v>773</v>
      </c>
      <c r="AT94">
        <v>759</v>
      </c>
      <c r="AU94">
        <v>1187</v>
      </c>
      <c r="AX94">
        <v>14</v>
      </c>
      <c r="AY94">
        <v>34</v>
      </c>
      <c r="AZ94">
        <v>1</v>
      </c>
      <c r="BA94">
        <v>190</v>
      </c>
      <c r="BB94">
        <v>2139</v>
      </c>
      <c r="BD94">
        <v>813</v>
      </c>
      <c r="BG94">
        <v>44</v>
      </c>
      <c r="BH94">
        <v>161</v>
      </c>
      <c r="BJ94">
        <v>5</v>
      </c>
      <c r="BK94">
        <v>69</v>
      </c>
      <c r="BL94">
        <v>33</v>
      </c>
      <c r="BM94">
        <v>23</v>
      </c>
      <c r="BN94">
        <v>357</v>
      </c>
      <c r="BO94">
        <v>90</v>
      </c>
    </row>
    <row r="95" spans="1:69" x14ac:dyDescent="0.35">
      <c r="A95">
        <v>2021</v>
      </c>
      <c r="B95">
        <v>2021</v>
      </c>
      <c r="C95">
        <v>2021</v>
      </c>
      <c r="E95" t="s">
        <v>204</v>
      </c>
      <c r="F95" t="s">
        <v>205</v>
      </c>
      <c r="G95" t="s">
        <v>206</v>
      </c>
      <c r="I95">
        <v>24060.400000000001</v>
      </c>
    </row>
    <row r="96" spans="1:69" x14ac:dyDescent="0.35">
      <c r="A96">
        <v>2021</v>
      </c>
      <c r="B96">
        <v>2021</v>
      </c>
      <c r="C96">
        <v>2021</v>
      </c>
      <c r="E96" t="s">
        <v>207</v>
      </c>
      <c r="F96" t="s">
        <v>208</v>
      </c>
      <c r="G96" t="s">
        <v>209</v>
      </c>
      <c r="I96">
        <v>2277499.2000000002</v>
      </c>
    </row>
    <row r="97" spans="1:69" x14ac:dyDescent="0.35">
      <c r="A97">
        <v>2020</v>
      </c>
      <c r="B97">
        <v>2020</v>
      </c>
      <c r="C97">
        <v>2020</v>
      </c>
      <c r="E97" t="s">
        <v>69</v>
      </c>
      <c r="F97" t="s">
        <v>70</v>
      </c>
      <c r="G97" t="s">
        <v>71</v>
      </c>
      <c r="I97">
        <v>761670.7</v>
      </c>
      <c r="J97">
        <v>2061</v>
      </c>
      <c r="K97">
        <v>1088</v>
      </c>
      <c r="M97">
        <v>11874</v>
      </c>
      <c r="N97">
        <v>7804</v>
      </c>
      <c r="O97">
        <v>103</v>
      </c>
      <c r="P97">
        <v>718</v>
      </c>
      <c r="T97">
        <v>8</v>
      </c>
      <c r="U97">
        <v>2923</v>
      </c>
      <c r="V97">
        <v>172</v>
      </c>
      <c r="AB97">
        <v>275</v>
      </c>
      <c r="AC97">
        <v>101</v>
      </c>
      <c r="AD97">
        <v>68</v>
      </c>
      <c r="AG97">
        <v>274</v>
      </c>
      <c r="AK97">
        <v>906</v>
      </c>
      <c r="AO97">
        <v>16</v>
      </c>
      <c r="AP97">
        <v>2977</v>
      </c>
      <c r="AQ97">
        <v>4827</v>
      </c>
      <c r="AT97">
        <v>1646</v>
      </c>
      <c r="AU97">
        <v>10228</v>
      </c>
      <c r="AX97">
        <v>31</v>
      </c>
      <c r="AY97">
        <v>126</v>
      </c>
      <c r="AZ97">
        <v>3</v>
      </c>
      <c r="BG97">
        <v>203</v>
      </c>
      <c r="BH97">
        <v>22</v>
      </c>
      <c r="BJ97">
        <v>11</v>
      </c>
      <c r="BK97">
        <v>8</v>
      </c>
      <c r="BN97">
        <v>973</v>
      </c>
    </row>
    <row r="98" spans="1:69" x14ac:dyDescent="0.35">
      <c r="A98">
        <v>2020</v>
      </c>
      <c r="B98">
        <v>2020</v>
      </c>
      <c r="C98">
        <v>2020</v>
      </c>
      <c r="E98" t="s">
        <v>72</v>
      </c>
      <c r="F98" t="s">
        <v>73</v>
      </c>
      <c r="G98" t="s">
        <v>74</v>
      </c>
      <c r="I98">
        <v>215791.4</v>
      </c>
    </row>
    <row r="99" spans="1:69" x14ac:dyDescent="0.35">
      <c r="A99">
        <v>2020</v>
      </c>
      <c r="B99">
        <v>2020</v>
      </c>
      <c r="C99">
        <v>2020</v>
      </c>
      <c r="E99" t="s">
        <v>75</v>
      </c>
      <c r="F99" t="s">
        <v>76</v>
      </c>
      <c r="G99" t="s">
        <v>77</v>
      </c>
      <c r="I99">
        <v>6343.5</v>
      </c>
    </row>
    <row r="100" spans="1:69" x14ac:dyDescent="0.35">
      <c r="A100">
        <v>2020</v>
      </c>
      <c r="B100">
        <v>2020</v>
      </c>
      <c r="C100">
        <v>2020</v>
      </c>
      <c r="E100" t="s">
        <v>78</v>
      </c>
      <c r="F100" t="s">
        <v>79</v>
      </c>
      <c r="G100" t="s">
        <v>80</v>
      </c>
      <c r="I100">
        <v>3804138.2</v>
      </c>
    </row>
    <row r="101" spans="1:69" x14ac:dyDescent="0.35">
      <c r="A101">
        <v>2020</v>
      </c>
      <c r="B101">
        <v>2020</v>
      </c>
      <c r="C101">
        <v>2020</v>
      </c>
      <c r="E101" t="s">
        <v>81</v>
      </c>
      <c r="F101" t="s">
        <v>82</v>
      </c>
      <c r="G101" t="s">
        <v>83</v>
      </c>
      <c r="I101">
        <v>3808847.5</v>
      </c>
      <c r="J101">
        <v>12174</v>
      </c>
      <c r="K101">
        <v>9361</v>
      </c>
      <c r="L101">
        <v>847</v>
      </c>
      <c r="M101">
        <v>69824</v>
      </c>
      <c r="N101">
        <v>20355</v>
      </c>
      <c r="O101">
        <v>228</v>
      </c>
      <c r="P101">
        <v>5394</v>
      </c>
      <c r="Q101">
        <v>113189</v>
      </c>
      <c r="S101">
        <v>4</v>
      </c>
      <c r="T101">
        <v>423</v>
      </c>
      <c r="U101">
        <v>42630</v>
      </c>
      <c r="V101">
        <v>110</v>
      </c>
      <c r="AA101">
        <v>508</v>
      </c>
      <c r="AB101">
        <v>2378</v>
      </c>
      <c r="AC101">
        <v>303</v>
      </c>
      <c r="AE101">
        <v>5002</v>
      </c>
      <c r="AJ101">
        <v>4752</v>
      </c>
      <c r="AK101">
        <v>8005</v>
      </c>
      <c r="AL101">
        <v>22</v>
      </c>
      <c r="AQ101">
        <v>20355</v>
      </c>
      <c r="AU101">
        <v>69824</v>
      </c>
      <c r="AX101">
        <v>688</v>
      </c>
      <c r="AY101">
        <v>436</v>
      </c>
      <c r="AZ101">
        <v>654</v>
      </c>
      <c r="BA101">
        <v>482</v>
      </c>
      <c r="BD101">
        <v>1234</v>
      </c>
      <c r="BG101">
        <v>10104</v>
      </c>
      <c r="BH101">
        <v>240</v>
      </c>
      <c r="BI101">
        <v>9</v>
      </c>
      <c r="BJ101">
        <v>83</v>
      </c>
      <c r="BN101">
        <v>2813</v>
      </c>
      <c r="BO101">
        <v>656</v>
      </c>
    </row>
    <row r="102" spans="1:69" x14ac:dyDescent="0.35">
      <c r="A102">
        <v>2020</v>
      </c>
      <c r="B102">
        <v>2020</v>
      </c>
      <c r="C102">
        <v>2020</v>
      </c>
      <c r="E102" t="s">
        <v>84</v>
      </c>
      <c r="F102" t="s">
        <v>85</v>
      </c>
      <c r="G102" t="s">
        <v>86</v>
      </c>
      <c r="I102">
        <v>7523678.7000000002</v>
      </c>
    </row>
    <row r="103" spans="1:69" x14ac:dyDescent="0.35">
      <c r="A103">
        <v>2020</v>
      </c>
      <c r="B103">
        <v>2020</v>
      </c>
      <c r="C103">
        <v>2020</v>
      </c>
      <c r="E103" t="s">
        <v>87</v>
      </c>
      <c r="F103" t="s">
        <v>88</v>
      </c>
      <c r="G103" t="s">
        <v>89</v>
      </c>
      <c r="I103">
        <v>64112.7</v>
      </c>
      <c r="J103">
        <v>1362</v>
      </c>
      <c r="K103">
        <v>526</v>
      </c>
      <c r="L103">
        <v>114</v>
      </c>
      <c r="M103">
        <v>5481</v>
      </c>
      <c r="N103">
        <v>662</v>
      </c>
      <c r="O103">
        <v>34</v>
      </c>
      <c r="P103">
        <v>139</v>
      </c>
      <c r="Q103">
        <v>693</v>
      </c>
      <c r="R103">
        <v>132</v>
      </c>
      <c r="S103">
        <v>0</v>
      </c>
      <c r="T103">
        <v>66</v>
      </c>
      <c r="U103">
        <v>110</v>
      </c>
      <c r="V103">
        <v>32</v>
      </c>
      <c r="W103">
        <v>9</v>
      </c>
      <c r="X103">
        <v>8</v>
      </c>
      <c r="Y103">
        <v>14</v>
      </c>
      <c r="Z103">
        <v>31</v>
      </c>
      <c r="AA103">
        <v>7</v>
      </c>
      <c r="AB103">
        <v>198</v>
      </c>
      <c r="AC103">
        <v>67</v>
      </c>
      <c r="AD103">
        <v>17</v>
      </c>
      <c r="AE103">
        <v>86</v>
      </c>
      <c r="AF103">
        <v>0</v>
      </c>
      <c r="AG103">
        <v>82</v>
      </c>
      <c r="AH103">
        <v>390</v>
      </c>
      <c r="AI103">
        <v>14</v>
      </c>
      <c r="AJ103">
        <v>74</v>
      </c>
      <c r="AK103">
        <v>469</v>
      </c>
      <c r="AL103">
        <v>0</v>
      </c>
      <c r="AM103">
        <v>0</v>
      </c>
      <c r="AN103">
        <v>1</v>
      </c>
      <c r="AO103">
        <v>106</v>
      </c>
      <c r="AP103">
        <v>0</v>
      </c>
      <c r="AQ103">
        <v>662</v>
      </c>
      <c r="AR103">
        <v>0</v>
      </c>
      <c r="AS103">
        <v>2</v>
      </c>
      <c r="AT103">
        <v>635</v>
      </c>
      <c r="AU103">
        <v>4844</v>
      </c>
      <c r="AV103">
        <v>0</v>
      </c>
      <c r="AW103">
        <v>1</v>
      </c>
      <c r="AX103">
        <v>3</v>
      </c>
      <c r="AY103">
        <v>82</v>
      </c>
      <c r="AZ103">
        <v>9</v>
      </c>
      <c r="BA103">
        <v>416</v>
      </c>
      <c r="BB103">
        <v>947</v>
      </c>
      <c r="BC103">
        <v>2714</v>
      </c>
      <c r="BD103">
        <v>615</v>
      </c>
      <c r="BE103">
        <v>1</v>
      </c>
      <c r="BF103">
        <v>0</v>
      </c>
      <c r="BG103">
        <v>179</v>
      </c>
      <c r="BH103">
        <v>17</v>
      </c>
      <c r="BI103">
        <v>15</v>
      </c>
      <c r="BJ103">
        <v>3</v>
      </c>
      <c r="BK103">
        <v>86</v>
      </c>
      <c r="BL103">
        <v>9</v>
      </c>
      <c r="BM103">
        <v>106</v>
      </c>
      <c r="BN103">
        <v>835</v>
      </c>
      <c r="BO103">
        <v>153</v>
      </c>
      <c r="BP103">
        <v>79</v>
      </c>
      <c r="BQ103">
        <v>33</v>
      </c>
    </row>
    <row r="104" spans="1:69" x14ac:dyDescent="0.35">
      <c r="A104">
        <v>2020</v>
      </c>
      <c r="B104">
        <v>2020</v>
      </c>
      <c r="C104">
        <v>2020</v>
      </c>
      <c r="E104" t="s">
        <v>90</v>
      </c>
      <c r="F104" t="s">
        <v>91</v>
      </c>
      <c r="G104" t="s">
        <v>92</v>
      </c>
      <c r="I104">
        <v>147926</v>
      </c>
      <c r="J104">
        <v>934</v>
      </c>
      <c r="K104">
        <v>532</v>
      </c>
      <c r="M104">
        <v>4290</v>
      </c>
      <c r="N104">
        <v>1027</v>
      </c>
      <c r="O104">
        <v>117</v>
      </c>
      <c r="P104">
        <v>76</v>
      </c>
      <c r="AQ104">
        <v>1027</v>
      </c>
      <c r="AS104">
        <v>3764</v>
      </c>
      <c r="AU104">
        <v>526</v>
      </c>
      <c r="BN104">
        <v>402</v>
      </c>
    </row>
    <row r="105" spans="1:69" x14ac:dyDescent="0.35">
      <c r="A105">
        <v>2020</v>
      </c>
      <c r="B105">
        <v>2020</v>
      </c>
      <c r="C105">
        <v>2020</v>
      </c>
      <c r="E105" t="s">
        <v>93</v>
      </c>
      <c r="F105" t="s">
        <v>94</v>
      </c>
      <c r="G105" t="s">
        <v>95</v>
      </c>
      <c r="I105">
        <v>29530.3</v>
      </c>
      <c r="J105">
        <v>165</v>
      </c>
      <c r="K105">
        <v>136</v>
      </c>
      <c r="M105">
        <v>2917</v>
      </c>
      <c r="N105">
        <v>0</v>
      </c>
      <c r="O105">
        <v>22</v>
      </c>
      <c r="P105">
        <v>48</v>
      </c>
      <c r="Q105">
        <v>2087</v>
      </c>
      <c r="R105">
        <v>374</v>
      </c>
      <c r="S105">
        <v>7</v>
      </c>
      <c r="T105">
        <v>75</v>
      </c>
      <c r="U105">
        <v>5386</v>
      </c>
      <c r="V105">
        <v>28</v>
      </c>
      <c r="X105">
        <v>7</v>
      </c>
      <c r="Z105">
        <v>18</v>
      </c>
      <c r="AA105">
        <v>63</v>
      </c>
      <c r="AB105">
        <v>79</v>
      </c>
      <c r="AE105">
        <v>51</v>
      </c>
      <c r="AG105">
        <v>53</v>
      </c>
      <c r="AI105">
        <v>30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394</v>
      </c>
      <c r="AU105">
        <v>2523</v>
      </c>
      <c r="AV105">
        <v>1047</v>
      </c>
      <c r="AW105">
        <v>0</v>
      </c>
      <c r="AX105">
        <v>9</v>
      </c>
      <c r="AZ105">
        <v>6</v>
      </c>
      <c r="BB105">
        <v>52</v>
      </c>
      <c r="BC105">
        <v>1861</v>
      </c>
      <c r="BG105">
        <v>80</v>
      </c>
      <c r="BH105">
        <v>10</v>
      </c>
      <c r="BI105">
        <v>5</v>
      </c>
      <c r="BK105">
        <v>12</v>
      </c>
      <c r="BL105">
        <v>16</v>
      </c>
      <c r="BM105">
        <v>22</v>
      </c>
      <c r="BN105">
        <v>29</v>
      </c>
    </row>
    <row r="106" spans="1:69" x14ac:dyDescent="0.35">
      <c r="A106">
        <v>2020</v>
      </c>
      <c r="B106">
        <v>2020</v>
      </c>
      <c r="C106">
        <v>2020</v>
      </c>
      <c r="E106" t="s">
        <v>96</v>
      </c>
      <c r="F106" t="s">
        <v>97</v>
      </c>
      <c r="G106" t="s">
        <v>98</v>
      </c>
      <c r="I106">
        <v>58877.4</v>
      </c>
    </row>
    <row r="107" spans="1:69" x14ac:dyDescent="0.35">
      <c r="A107">
        <v>2020</v>
      </c>
      <c r="B107">
        <v>2020</v>
      </c>
      <c r="C107">
        <v>2020</v>
      </c>
      <c r="E107" t="s">
        <v>99</v>
      </c>
      <c r="F107" t="s">
        <v>100</v>
      </c>
      <c r="G107" t="s">
        <v>101</v>
      </c>
      <c r="I107">
        <v>1010048.1</v>
      </c>
    </row>
    <row r="108" spans="1:69" x14ac:dyDescent="0.35">
      <c r="A108">
        <v>2020</v>
      </c>
      <c r="B108">
        <v>2020</v>
      </c>
      <c r="C108">
        <v>2020</v>
      </c>
      <c r="E108" t="s">
        <v>102</v>
      </c>
      <c r="F108" t="s">
        <v>103</v>
      </c>
      <c r="G108" t="s">
        <v>104</v>
      </c>
      <c r="I108">
        <v>1280498.2</v>
      </c>
      <c r="U108">
        <v>2652</v>
      </c>
    </row>
    <row r="109" spans="1:69" x14ac:dyDescent="0.35">
      <c r="A109">
        <v>2020</v>
      </c>
      <c r="B109">
        <v>2020</v>
      </c>
      <c r="C109">
        <v>2020</v>
      </c>
      <c r="E109" t="s">
        <v>105</v>
      </c>
      <c r="F109" t="s">
        <v>106</v>
      </c>
      <c r="G109" t="s">
        <v>107</v>
      </c>
      <c r="I109">
        <v>457449.9</v>
      </c>
    </row>
    <row r="110" spans="1:69" x14ac:dyDescent="0.35">
      <c r="A110">
        <v>2020</v>
      </c>
      <c r="B110">
        <v>2020</v>
      </c>
      <c r="C110">
        <v>2020</v>
      </c>
      <c r="E110" t="s">
        <v>108</v>
      </c>
      <c r="F110" t="s">
        <v>109</v>
      </c>
      <c r="G110" t="s">
        <v>110</v>
      </c>
      <c r="I110">
        <v>62582.3</v>
      </c>
      <c r="J110">
        <v>1024</v>
      </c>
      <c r="K110">
        <v>902</v>
      </c>
      <c r="M110">
        <v>7771</v>
      </c>
      <c r="O110">
        <v>89</v>
      </c>
      <c r="P110">
        <v>145</v>
      </c>
      <c r="Q110">
        <v>463</v>
      </c>
      <c r="R110">
        <v>842</v>
      </c>
      <c r="S110">
        <v>7</v>
      </c>
      <c r="T110">
        <v>11</v>
      </c>
      <c r="V110">
        <v>28</v>
      </c>
      <c r="W110">
        <v>33</v>
      </c>
      <c r="X110">
        <v>40</v>
      </c>
      <c r="Z110">
        <v>92</v>
      </c>
      <c r="AD110">
        <v>1423</v>
      </c>
      <c r="AE110">
        <v>25</v>
      </c>
      <c r="AG110">
        <v>117</v>
      </c>
      <c r="AH110">
        <v>125</v>
      </c>
      <c r="AI110">
        <v>67</v>
      </c>
      <c r="AJ110">
        <v>338</v>
      </c>
      <c r="AK110">
        <v>167</v>
      </c>
      <c r="AM110">
        <v>63</v>
      </c>
      <c r="AU110">
        <v>7771</v>
      </c>
      <c r="AX110">
        <v>3</v>
      </c>
      <c r="AZ110">
        <v>3</v>
      </c>
      <c r="BB110">
        <v>1221</v>
      </c>
      <c r="BC110">
        <v>3691</v>
      </c>
      <c r="BD110">
        <v>10</v>
      </c>
      <c r="BG110">
        <v>435</v>
      </c>
      <c r="BH110">
        <v>66</v>
      </c>
      <c r="BK110">
        <v>13</v>
      </c>
      <c r="BN110">
        <v>122</v>
      </c>
    </row>
    <row r="111" spans="1:69" x14ac:dyDescent="0.35">
      <c r="A111">
        <v>2020</v>
      </c>
      <c r="B111">
        <v>2020</v>
      </c>
      <c r="C111">
        <v>2020</v>
      </c>
      <c r="E111" t="s">
        <v>111</v>
      </c>
      <c r="F111" t="s">
        <v>112</v>
      </c>
      <c r="G111" t="s">
        <v>113</v>
      </c>
      <c r="I111">
        <v>430785.2</v>
      </c>
      <c r="J111">
        <v>852</v>
      </c>
      <c r="M111">
        <v>7713</v>
      </c>
      <c r="U111">
        <v>11845</v>
      </c>
      <c r="AN111">
        <v>852</v>
      </c>
      <c r="AS111">
        <v>7713</v>
      </c>
    </row>
    <row r="112" spans="1:69" x14ac:dyDescent="0.35">
      <c r="A112">
        <v>2020</v>
      </c>
      <c r="B112">
        <v>2020</v>
      </c>
      <c r="C112">
        <v>2020</v>
      </c>
      <c r="E112" t="s">
        <v>114</v>
      </c>
      <c r="F112" t="s">
        <v>115</v>
      </c>
      <c r="G112" t="s">
        <v>116</v>
      </c>
      <c r="I112">
        <v>10491.7</v>
      </c>
    </row>
    <row r="113" spans="1:69" x14ac:dyDescent="0.35">
      <c r="A113">
        <v>2020</v>
      </c>
      <c r="B113">
        <v>2020</v>
      </c>
      <c r="C113">
        <v>2020</v>
      </c>
      <c r="E113" t="s">
        <v>117</v>
      </c>
      <c r="F113" t="s">
        <v>118</v>
      </c>
      <c r="G113" t="s">
        <v>119</v>
      </c>
      <c r="I113">
        <v>925124.6</v>
      </c>
      <c r="J113">
        <v>2562</v>
      </c>
      <c r="K113">
        <v>1643</v>
      </c>
      <c r="L113">
        <v>16</v>
      </c>
      <c r="M113">
        <v>11478</v>
      </c>
      <c r="N113">
        <v>1258</v>
      </c>
      <c r="O113">
        <v>179</v>
      </c>
      <c r="P113">
        <v>337</v>
      </c>
      <c r="Q113">
        <v>2735</v>
      </c>
      <c r="R113">
        <v>16</v>
      </c>
      <c r="S113">
        <v>2</v>
      </c>
      <c r="T113">
        <v>15</v>
      </c>
      <c r="U113">
        <v>154</v>
      </c>
      <c r="V113">
        <v>45</v>
      </c>
      <c r="W113">
        <v>12</v>
      </c>
      <c r="X113">
        <v>3</v>
      </c>
      <c r="Y113">
        <v>10</v>
      </c>
      <c r="Z113">
        <v>137</v>
      </c>
      <c r="AA113">
        <v>5</v>
      </c>
      <c r="AB113">
        <v>194</v>
      </c>
      <c r="AC113">
        <v>45</v>
      </c>
      <c r="AD113">
        <v>5366</v>
      </c>
      <c r="AE113">
        <v>21</v>
      </c>
      <c r="AF113">
        <v>4</v>
      </c>
      <c r="AG113">
        <v>73</v>
      </c>
      <c r="AH113">
        <v>21</v>
      </c>
      <c r="AI113">
        <v>6</v>
      </c>
      <c r="AJ113">
        <v>48</v>
      </c>
      <c r="AK113">
        <v>112</v>
      </c>
      <c r="AL113">
        <v>19</v>
      </c>
      <c r="AM113">
        <v>4</v>
      </c>
      <c r="AN113">
        <v>0</v>
      </c>
      <c r="AO113">
        <v>13</v>
      </c>
      <c r="AP113">
        <v>239</v>
      </c>
      <c r="AQ113">
        <v>998</v>
      </c>
      <c r="AR113">
        <v>21</v>
      </c>
      <c r="AS113">
        <v>1435</v>
      </c>
      <c r="AT113">
        <v>1202</v>
      </c>
      <c r="AU113">
        <v>8841</v>
      </c>
      <c r="AV113">
        <v>290</v>
      </c>
      <c r="AW113">
        <v>190</v>
      </c>
      <c r="AX113">
        <v>17</v>
      </c>
      <c r="AY113">
        <v>114</v>
      </c>
      <c r="AZ113">
        <v>207</v>
      </c>
      <c r="BA113">
        <v>538</v>
      </c>
      <c r="BB113">
        <v>1406</v>
      </c>
      <c r="BC113">
        <v>152</v>
      </c>
      <c r="BD113">
        <v>2098</v>
      </c>
      <c r="BE113">
        <v>18</v>
      </c>
      <c r="BF113">
        <v>2</v>
      </c>
      <c r="BG113">
        <v>54</v>
      </c>
      <c r="BH113">
        <v>5</v>
      </c>
      <c r="BI113">
        <v>64</v>
      </c>
      <c r="BJ113">
        <v>9</v>
      </c>
      <c r="BK113">
        <v>6</v>
      </c>
      <c r="BL113">
        <v>16</v>
      </c>
      <c r="BM113">
        <v>48</v>
      </c>
      <c r="BN113">
        <v>919</v>
      </c>
      <c r="BO113">
        <v>84</v>
      </c>
      <c r="BP113">
        <v>4</v>
      </c>
      <c r="BQ113">
        <v>3</v>
      </c>
    </row>
    <row r="114" spans="1:69" x14ac:dyDescent="0.35">
      <c r="A114">
        <v>2020</v>
      </c>
      <c r="B114">
        <v>2020</v>
      </c>
      <c r="C114">
        <v>2020</v>
      </c>
      <c r="E114" t="s">
        <v>120</v>
      </c>
      <c r="F114" t="s">
        <v>121</v>
      </c>
      <c r="G114" t="s">
        <v>122</v>
      </c>
      <c r="I114">
        <v>699467.2</v>
      </c>
      <c r="J114">
        <v>1003</v>
      </c>
      <c r="K114">
        <v>784</v>
      </c>
      <c r="M114">
        <v>2623</v>
      </c>
      <c r="N114">
        <v>710</v>
      </c>
      <c r="P114">
        <v>54</v>
      </c>
      <c r="T114">
        <v>2</v>
      </c>
      <c r="U114">
        <v>592</v>
      </c>
      <c r="AC114">
        <v>2</v>
      </c>
      <c r="AQ114">
        <v>710</v>
      </c>
      <c r="AS114">
        <v>268</v>
      </c>
      <c r="AT114">
        <v>827</v>
      </c>
      <c r="AU114">
        <v>1528</v>
      </c>
      <c r="AX114">
        <v>1</v>
      </c>
      <c r="AY114">
        <v>5</v>
      </c>
      <c r="AZ114">
        <v>1</v>
      </c>
      <c r="BA114">
        <v>9</v>
      </c>
      <c r="BN114">
        <v>219</v>
      </c>
      <c r="BO114">
        <v>1</v>
      </c>
    </row>
    <row r="115" spans="1:69" x14ac:dyDescent="0.35">
      <c r="A115">
        <v>2020</v>
      </c>
      <c r="B115">
        <v>2020</v>
      </c>
      <c r="C115">
        <v>2020</v>
      </c>
      <c r="E115" t="s">
        <v>123</v>
      </c>
      <c r="F115" t="s">
        <v>124</v>
      </c>
      <c r="G115" t="s">
        <v>125</v>
      </c>
      <c r="I115">
        <v>896181.6</v>
      </c>
      <c r="J115">
        <v>4435</v>
      </c>
      <c r="K115">
        <v>4435</v>
      </c>
      <c r="M115">
        <v>13396</v>
      </c>
      <c r="N115">
        <v>6345</v>
      </c>
      <c r="O115">
        <v>397</v>
      </c>
      <c r="P115">
        <v>1029</v>
      </c>
      <c r="AQ115">
        <v>6345</v>
      </c>
      <c r="AU115">
        <v>13396</v>
      </c>
      <c r="BD115">
        <v>3734</v>
      </c>
    </row>
    <row r="116" spans="1:69" x14ac:dyDescent="0.35">
      <c r="A116">
        <v>2020</v>
      </c>
      <c r="B116">
        <v>2020</v>
      </c>
      <c r="C116">
        <v>2020</v>
      </c>
      <c r="E116" t="s">
        <v>126</v>
      </c>
      <c r="F116" t="s">
        <v>127</v>
      </c>
      <c r="G116" t="s">
        <v>128</v>
      </c>
      <c r="I116">
        <v>48954.6</v>
      </c>
    </row>
    <row r="117" spans="1:69" x14ac:dyDescent="0.35">
      <c r="A117">
        <v>2020</v>
      </c>
      <c r="B117">
        <v>2020</v>
      </c>
      <c r="C117">
        <v>2020</v>
      </c>
      <c r="E117" t="s">
        <v>129</v>
      </c>
      <c r="F117" t="s">
        <v>130</v>
      </c>
      <c r="G117" t="s">
        <v>131</v>
      </c>
      <c r="I117">
        <v>86528</v>
      </c>
      <c r="J117">
        <v>196</v>
      </c>
      <c r="K117">
        <v>122</v>
      </c>
      <c r="L117">
        <v>47</v>
      </c>
      <c r="M117">
        <v>1229</v>
      </c>
      <c r="N117">
        <v>540</v>
      </c>
      <c r="O117">
        <v>8</v>
      </c>
      <c r="P117">
        <v>0</v>
      </c>
      <c r="Q117">
        <v>0</v>
      </c>
      <c r="R117">
        <v>0</v>
      </c>
      <c r="S117">
        <v>0</v>
      </c>
      <c r="T117">
        <v>10</v>
      </c>
      <c r="U117">
        <v>0</v>
      </c>
      <c r="V117">
        <v>17</v>
      </c>
      <c r="W117">
        <v>4</v>
      </c>
      <c r="X117">
        <v>0</v>
      </c>
      <c r="Y117">
        <v>9</v>
      </c>
      <c r="Z117">
        <v>0</v>
      </c>
      <c r="AA117">
        <v>237</v>
      </c>
      <c r="AB117">
        <v>67</v>
      </c>
      <c r="AC117">
        <v>10</v>
      </c>
      <c r="AD117">
        <v>0</v>
      </c>
      <c r="AE117">
        <v>0</v>
      </c>
      <c r="AF117">
        <v>0</v>
      </c>
      <c r="AG117">
        <v>173</v>
      </c>
      <c r="AH117">
        <v>479</v>
      </c>
      <c r="AI117">
        <v>0</v>
      </c>
      <c r="AJ117">
        <v>0</v>
      </c>
      <c r="AK117">
        <v>13</v>
      </c>
      <c r="AL117">
        <v>0</v>
      </c>
      <c r="AM117">
        <v>0</v>
      </c>
      <c r="AN117">
        <v>0</v>
      </c>
      <c r="AO117">
        <v>0</v>
      </c>
      <c r="AP117">
        <v>412</v>
      </c>
      <c r="AQ117">
        <v>128</v>
      </c>
      <c r="AR117">
        <v>0</v>
      </c>
      <c r="AS117">
        <v>42</v>
      </c>
      <c r="AT117">
        <v>484</v>
      </c>
      <c r="AU117">
        <v>703</v>
      </c>
      <c r="AX117">
        <v>0</v>
      </c>
      <c r="AY117">
        <v>0</v>
      </c>
      <c r="AZ117">
        <v>20</v>
      </c>
      <c r="BA117">
        <v>0</v>
      </c>
      <c r="BB117">
        <v>0</v>
      </c>
      <c r="BC117">
        <v>2253</v>
      </c>
      <c r="BD117">
        <v>0</v>
      </c>
      <c r="BE117">
        <v>0</v>
      </c>
      <c r="BF117">
        <v>0</v>
      </c>
      <c r="BG117">
        <v>81</v>
      </c>
      <c r="BH117">
        <v>7</v>
      </c>
      <c r="BI117">
        <v>25</v>
      </c>
      <c r="BJ117">
        <v>1</v>
      </c>
      <c r="BK117">
        <v>0</v>
      </c>
      <c r="BL117">
        <v>0</v>
      </c>
      <c r="BM117">
        <v>0</v>
      </c>
      <c r="BN117">
        <v>74</v>
      </c>
      <c r="BO117">
        <v>16</v>
      </c>
      <c r="BP117">
        <v>0</v>
      </c>
      <c r="BQ117">
        <v>0</v>
      </c>
    </row>
    <row r="118" spans="1:69" x14ac:dyDescent="0.35">
      <c r="A118">
        <v>2020</v>
      </c>
      <c r="B118">
        <v>2020</v>
      </c>
      <c r="C118">
        <v>2020</v>
      </c>
      <c r="E118" t="s">
        <v>132</v>
      </c>
      <c r="F118" t="s">
        <v>133</v>
      </c>
      <c r="G118" t="s">
        <v>134</v>
      </c>
      <c r="I118">
        <v>906937.8</v>
      </c>
      <c r="J118">
        <v>5285</v>
      </c>
      <c r="M118">
        <v>95789</v>
      </c>
      <c r="N118">
        <v>16700</v>
      </c>
      <c r="P118">
        <v>1388</v>
      </c>
      <c r="AN118">
        <v>5285</v>
      </c>
      <c r="AR118">
        <v>16700</v>
      </c>
      <c r="AS118">
        <v>95789</v>
      </c>
    </row>
    <row r="119" spans="1:69" x14ac:dyDescent="0.35">
      <c r="A119">
        <v>2020</v>
      </c>
      <c r="B119">
        <v>2020</v>
      </c>
      <c r="C119">
        <v>2020</v>
      </c>
      <c r="E119" t="s">
        <v>135</v>
      </c>
      <c r="F119" t="s">
        <v>136</v>
      </c>
      <c r="G119" t="s">
        <v>137</v>
      </c>
      <c r="I119">
        <v>448514.4</v>
      </c>
    </row>
    <row r="120" spans="1:69" x14ac:dyDescent="0.35">
      <c r="A120">
        <v>2020</v>
      </c>
      <c r="B120">
        <v>2020</v>
      </c>
      <c r="C120">
        <v>2020</v>
      </c>
      <c r="E120" t="s">
        <v>138</v>
      </c>
      <c r="F120" t="s">
        <v>139</v>
      </c>
      <c r="G120" t="s">
        <v>140</v>
      </c>
      <c r="I120">
        <v>62815</v>
      </c>
      <c r="J120">
        <v>385</v>
      </c>
      <c r="K120">
        <v>375</v>
      </c>
      <c r="L120">
        <v>0</v>
      </c>
      <c r="M120">
        <v>1371</v>
      </c>
      <c r="N120">
        <v>185</v>
      </c>
      <c r="O120">
        <v>5</v>
      </c>
      <c r="P120">
        <v>13</v>
      </c>
      <c r="Q120">
        <v>119</v>
      </c>
      <c r="T120">
        <v>4</v>
      </c>
      <c r="U120">
        <v>3711</v>
      </c>
      <c r="V120">
        <v>0</v>
      </c>
      <c r="W120">
        <v>8</v>
      </c>
      <c r="X120">
        <v>3</v>
      </c>
      <c r="Y120">
        <v>1</v>
      </c>
      <c r="Z120">
        <v>9</v>
      </c>
      <c r="AA120">
        <v>18</v>
      </c>
      <c r="AB120">
        <v>2</v>
      </c>
      <c r="AC120">
        <v>6</v>
      </c>
      <c r="AE120">
        <v>10</v>
      </c>
      <c r="AG120">
        <v>3</v>
      </c>
      <c r="AJ120">
        <v>1</v>
      </c>
      <c r="AK120">
        <v>285</v>
      </c>
      <c r="AN120">
        <v>0</v>
      </c>
      <c r="AP120">
        <v>167</v>
      </c>
      <c r="AQ120">
        <v>18</v>
      </c>
      <c r="AR120">
        <v>0</v>
      </c>
      <c r="AS120">
        <v>14</v>
      </c>
      <c r="AT120">
        <v>1016</v>
      </c>
      <c r="AU120">
        <v>341</v>
      </c>
      <c r="AV120">
        <v>40</v>
      </c>
      <c r="AW120">
        <v>0</v>
      </c>
      <c r="AX120">
        <v>4</v>
      </c>
      <c r="AY120">
        <v>4</v>
      </c>
      <c r="AZ120">
        <v>9</v>
      </c>
      <c r="BA120">
        <v>0</v>
      </c>
      <c r="BB120">
        <v>149</v>
      </c>
      <c r="BC120">
        <v>115</v>
      </c>
      <c r="BD120">
        <v>2</v>
      </c>
      <c r="BG120">
        <v>73</v>
      </c>
      <c r="BH120">
        <v>4</v>
      </c>
      <c r="BJ120">
        <v>0</v>
      </c>
      <c r="BK120">
        <v>11</v>
      </c>
      <c r="BL120">
        <v>61</v>
      </c>
      <c r="BN120">
        <v>10</v>
      </c>
      <c r="BO120">
        <v>1</v>
      </c>
    </row>
    <row r="121" spans="1:69" x14ac:dyDescent="0.35">
      <c r="A121">
        <v>2020</v>
      </c>
      <c r="B121">
        <v>2020</v>
      </c>
      <c r="C121">
        <v>2020</v>
      </c>
      <c r="E121" t="s">
        <v>141</v>
      </c>
      <c r="F121" t="s">
        <v>142</v>
      </c>
      <c r="G121" t="s">
        <v>143</v>
      </c>
      <c r="I121">
        <v>1455623.7</v>
      </c>
      <c r="M121">
        <v>0</v>
      </c>
      <c r="U121">
        <v>91653</v>
      </c>
      <c r="AT121">
        <v>0</v>
      </c>
    </row>
    <row r="122" spans="1:69" x14ac:dyDescent="0.35">
      <c r="A122">
        <v>2020</v>
      </c>
      <c r="B122">
        <v>2020</v>
      </c>
      <c r="C122">
        <v>2020</v>
      </c>
      <c r="E122" t="s">
        <v>144</v>
      </c>
      <c r="F122" t="s">
        <v>145</v>
      </c>
      <c r="G122" t="s">
        <v>146</v>
      </c>
      <c r="I122">
        <v>158615.9</v>
      </c>
      <c r="J122">
        <v>777</v>
      </c>
      <c r="K122">
        <v>725</v>
      </c>
      <c r="L122">
        <v>16</v>
      </c>
      <c r="M122">
        <v>2416</v>
      </c>
      <c r="N122">
        <v>872</v>
      </c>
      <c r="O122">
        <v>6</v>
      </c>
      <c r="P122">
        <v>127</v>
      </c>
      <c r="U122">
        <v>12625</v>
      </c>
      <c r="AC122">
        <v>10</v>
      </c>
      <c r="AQ122">
        <v>872</v>
      </c>
      <c r="AU122">
        <v>2416</v>
      </c>
      <c r="AY122">
        <v>15</v>
      </c>
      <c r="BG122">
        <v>486</v>
      </c>
      <c r="BN122">
        <v>52</v>
      </c>
      <c r="BO122">
        <v>16</v>
      </c>
    </row>
    <row r="123" spans="1:69" x14ac:dyDescent="0.35">
      <c r="A123">
        <v>2020</v>
      </c>
      <c r="B123">
        <v>2020</v>
      </c>
      <c r="C123">
        <v>2020</v>
      </c>
      <c r="E123" t="s">
        <v>147</v>
      </c>
      <c r="F123" t="s">
        <v>148</v>
      </c>
      <c r="G123" t="s">
        <v>149</v>
      </c>
      <c r="I123">
        <v>878903.6</v>
      </c>
      <c r="U123">
        <v>41616</v>
      </c>
    </row>
    <row r="124" spans="1:69" x14ac:dyDescent="0.35">
      <c r="A124">
        <v>2020</v>
      </c>
      <c r="B124">
        <v>2020</v>
      </c>
      <c r="C124">
        <v>2020</v>
      </c>
      <c r="E124" t="s">
        <v>150</v>
      </c>
      <c r="F124" t="s">
        <v>151</v>
      </c>
      <c r="G124" t="s">
        <v>152</v>
      </c>
      <c r="I124">
        <v>641720.1</v>
      </c>
      <c r="J124">
        <v>958</v>
      </c>
      <c r="K124">
        <v>639</v>
      </c>
      <c r="L124">
        <v>0</v>
      </c>
      <c r="M124">
        <v>13564</v>
      </c>
      <c r="N124">
        <v>0</v>
      </c>
      <c r="O124">
        <v>149</v>
      </c>
      <c r="P124">
        <v>151</v>
      </c>
      <c r="Q124">
        <v>2848</v>
      </c>
      <c r="R124">
        <v>0</v>
      </c>
      <c r="S124">
        <v>0</v>
      </c>
      <c r="T124">
        <v>13</v>
      </c>
      <c r="U124">
        <v>0</v>
      </c>
      <c r="V124">
        <v>204</v>
      </c>
      <c r="W124">
        <v>0</v>
      </c>
      <c r="X124">
        <v>31</v>
      </c>
      <c r="Y124">
        <v>0</v>
      </c>
      <c r="Z124">
        <v>249</v>
      </c>
      <c r="AA124">
        <v>321</v>
      </c>
      <c r="AB124">
        <v>196</v>
      </c>
      <c r="AC124">
        <v>30</v>
      </c>
      <c r="AD124">
        <v>0</v>
      </c>
      <c r="AE124">
        <v>334</v>
      </c>
      <c r="AF124">
        <v>0</v>
      </c>
      <c r="AG124">
        <v>0</v>
      </c>
      <c r="AH124">
        <v>2630</v>
      </c>
      <c r="AI124">
        <v>1809</v>
      </c>
      <c r="AJ124">
        <v>282</v>
      </c>
      <c r="AK124">
        <v>743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77</v>
      </c>
      <c r="AT124">
        <v>6004</v>
      </c>
      <c r="AU124">
        <v>7483</v>
      </c>
      <c r="AV124">
        <v>1479</v>
      </c>
      <c r="AW124">
        <v>4358</v>
      </c>
      <c r="AX124">
        <v>54</v>
      </c>
      <c r="AY124">
        <v>52</v>
      </c>
      <c r="AZ124">
        <v>91</v>
      </c>
      <c r="BA124">
        <v>195</v>
      </c>
      <c r="BD124">
        <v>0</v>
      </c>
      <c r="BE124">
        <v>0</v>
      </c>
      <c r="BF124">
        <v>0</v>
      </c>
      <c r="BG124">
        <v>600</v>
      </c>
      <c r="BH124">
        <v>152</v>
      </c>
      <c r="BI124">
        <v>0</v>
      </c>
      <c r="BJ124">
        <v>4</v>
      </c>
      <c r="BK124">
        <v>0</v>
      </c>
      <c r="BL124">
        <v>0</v>
      </c>
      <c r="BM124">
        <v>0</v>
      </c>
      <c r="BN124">
        <v>319</v>
      </c>
      <c r="BO124">
        <v>68</v>
      </c>
      <c r="BP124">
        <v>0</v>
      </c>
      <c r="BQ124">
        <v>0</v>
      </c>
    </row>
    <row r="125" spans="1:69" x14ac:dyDescent="0.35">
      <c r="A125">
        <v>2020</v>
      </c>
      <c r="B125">
        <v>2020</v>
      </c>
      <c r="C125">
        <v>2020</v>
      </c>
      <c r="E125" t="s">
        <v>153</v>
      </c>
      <c r="F125" t="s">
        <v>154</v>
      </c>
      <c r="G125" t="s">
        <v>155</v>
      </c>
      <c r="I125">
        <v>862128.3</v>
      </c>
      <c r="U125">
        <v>3303</v>
      </c>
    </row>
    <row r="126" spans="1:69" x14ac:dyDescent="0.35">
      <c r="A126">
        <v>2020</v>
      </c>
      <c r="B126">
        <v>2020</v>
      </c>
      <c r="C126">
        <v>2020</v>
      </c>
      <c r="E126" t="s">
        <v>156</v>
      </c>
      <c r="F126" t="s">
        <v>157</v>
      </c>
      <c r="G126" t="s">
        <v>158</v>
      </c>
      <c r="I126">
        <v>14492.6</v>
      </c>
      <c r="J126">
        <v>3450</v>
      </c>
      <c r="U126">
        <v>163</v>
      </c>
      <c r="AN126">
        <v>3450</v>
      </c>
      <c r="BJ126">
        <v>61</v>
      </c>
      <c r="BO126">
        <v>140</v>
      </c>
    </row>
    <row r="127" spans="1:69" x14ac:dyDescent="0.35">
      <c r="A127">
        <v>2020</v>
      </c>
      <c r="B127">
        <v>2020</v>
      </c>
      <c r="C127">
        <v>2020</v>
      </c>
      <c r="E127" t="s">
        <v>159</v>
      </c>
      <c r="F127" t="s">
        <v>160</v>
      </c>
      <c r="G127" t="s">
        <v>161</v>
      </c>
      <c r="I127">
        <v>1124965.3999999999</v>
      </c>
      <c r="J127">
        <v>2573</v>
      </c>
      <c r="K127">
        <v>1655</v>
      </c>
      <c r="M127">
        <v>8831</v>
      </c>
      <c r="N127">
        <v>6324</v>
      </c>
      <c r="O127">
        <v>277</v>
      </c>
      <c r="P127">
        <v>423</v>
      </c>
      <c r="Q127">
        <v>9913</v>
      </c>
      <c r="U127">
        <v>6696</v>
      </c>
      <c r="V127">
        <v>318</v>
      </c>
      <c r="Z127">
        <v>128</v>
      </c>
      <c r="AC127">
        <v>73</v>
      </c>
      <c r="AE127">
        <v>169</v>
      </c>
      <c r="AG127">
        <v>301</v>
      </c>
      <c r="AH127">
        <v>2954</v>
      </c>
      <c r="AK127">
        <v>2041</v>
      </c>
      <c r="AP127">
        <v>1275</v>
      </c>
      <c r="AQ127">
        <v>5049</v>
      </c>
      <c r="AT127">
        <v>1616</v>
      </c>
      <c r="AU127">
        <v>7215</v>
      </c>
      <c r="AX127">
        <v>870</v>
      </c>
      <c r="AY127">
        <v>76</v>
      </c>
      <c r="AZ127">
        <v>156</v>
      </c>
      <c r="BA127">
        <v>636</v>
      </c>
      <c r="BB127">
        <v>8308</v>
      </c>
      <c r="BC127">
        <v>14416</v>
      </c>
      <c r="BG127">
        <v>2358</v>
      </c>
      <c r="BH127">
        <v>108</v>
      </c>
      <c r="BI127">
        <v>336</v>
      </c>
      <c r="BJ127">
        <v>17</v>
      </c>
      <c r="BK127">
        <v>530</v>
      </c>
      <c r="BL127">
        <v>400</v>
      </c>
      <c r="BM127">
        <v>154</v>
      </c>
      <c r="BN127">
        <v>918</v>
      </c>
      <c r="BO127">
        <v>116</v>
      </c>
    </row>
    <row r="128" spans="1:69" x14ac:dyDescent="0.35">
      <c r="A128">
        <v>2020</v>
      </c>
      <c r="B128">
        <v>2020</v>
      </c>
      <c r="C128">
        <v>2020</v>
      </c>
      <c r="E128" t="s">
        <v>162</v>
      </c>
      <c r="F128" t="s">
        <v>163</v>
      </c>
      <c r="G128" t="s">
        <v>164</v>
      </c>
      <c r="I128">
        <v>70199.3</v>
      </c>
      <c r="J128">
        <v>1036</v>
      </c>
      <c r="K128">
        <v>1036</v>
      </c>
      <c r="M128">
        <v>6440</v>
      </c>
      <c r="N128">
        <v>5</v>
      </c>
      <c r="O128">
        <v>138</v>
      </c>
      <c r="P128">
        <v>546</v>
      </c>
      <c r="V128">
        <v>43</v>
      </c>
      <c r="X128">
        <v>32</v>
      </c>
      <c r="AB128">
        <v>177</v>
      </c>
      <c r="AC128">
        <v>28</v>
      </c>
      <c r="AI128">
        <v>3</v>
      </c>
      <c r="AJ128">
        <v>99</v>
      </c>
      <c r="AK128">
        <v>99</v>
      </c>
      <c r="AQ128">
        <v>5</v>
      </c>
      <c r="AT128">
        <v>44</v>
      </c>
      <c r="AU128">
        <v>6396</v>
      </c>
      <c r="AY128">
        <v>46</v>
      </c>
      <c r="AZ128">
        <v>95</v>
      </c>
      <c r="BA128">
        <v>37</v>
      </c>
      <c r="BD128">
        <v>54</v>
      </c>
      <c r="BG128">
        <v>338</v>
      </c>
      <c r="BH128">
        <v>134</v>
      </c>
      <c r="BO128">
        <v>47</v>
      </c>
    </row>
    <row r="129" spans="1:69" x14ac:dyDescent="0.35">
      <c r="A129">
        <v>2020</v>
      </c>
      <c r="B129">
        <v>2020</v>
      </c>
      <c r="C129">
        <v>2020</v>
      </c>
      <c r="E129" t="s">
        <v>165</v>
      </c>
      <c r="F129" t="s">
        <v>166</v>
      </c>
      <c r="G129" t="s">
        <v>167</v>
      </c>
      <c r="I129">
        <v>399189.9</v>
      </c>
      <c r="U129">
        <v>58567</v>
      </c>
    </row>
    <row r="130" spans="1:69" x14ac:dyDescent="0.35">
      <c r="A130">
        <v>2020</v>
      </c>
      <c r="B130">
        <v>2020</v>
      </c>
      <c r="C130">
        <v>2020</v>
      </c>
      <c r="E130" t="s">
        <v>168</v>
      </c>
      <c r="F130" t="s">
        <v>169</v>
      </c>
      <c r="G130" t="s">
        <v>170</v>
      </c>
      <c r="I130">
        <v>543180.80000000005</v>
      </c>
      <c r="J130">
        <v>1384</v>
      </c>
      <c r="K130">
        <v>308</v>
      </c>
      <c r="L130">
        <v>450</v>
      </c>
      <c r="M130">
        <v>3800</v>
      </c>
      <c r="N130">
        <v>2061</v>
      </c>
      <c r="O130">
        <v>134</v>
      </c>
      <c r="P130">
        <v>212</v>
      </c>
      <c r="Q130">
        <v>5427</v>
      </c>
      <c r="R130">
        <v>35</v>
      </c>
      <c r="S130">
        <v>1</v>
      </c>
      <c r="T130">
        <v>19</v>
      </c>
      <c r="W130">
        <v>13</v>
      </c>
      <c r="X130">
        <v>2</v>
      </c>
      <c r="Y130">
        <v>1</v>
      </c>
      <c r="Z130">
        <v>60</v>
      </c>
      <c r="AB130">
        <v>411</v>
      </c>
      <c r="AC130">
        <v>95</v>
      </c>
      <c r="AE130">
        <v>14</v>
      </c>
      <c r="AG130">
        <v>121</v>
      </c>
      <c r="AH130">
        <v>27</v>
      </c>
      <c r="AI130">
        <v>1482</v>
      </c>
      <c r="AJ130">
        <v>323</v>
      </c>
      <c r="AK130">
        <v>101</v>
      </c>
      <c r="AO130">
        <v>72</v>
      </c>
      <c r="AP130">
        <v>92</v>
      </c>
      <c r="AQ130">
        <v>1969</v>
      </c>
      <c r="AS130">
        <v>22</v>
      </c>
      <c r="AT130">
        <v>483</v>
      </c>
      <c r="AU130">
        <v>3295</v>
      </c>
      <c r="AX130">
        <v>2</v>
      </c>
      <c r="AY130">
        <v>106</v>
      </c>
      <c r="BD130">
        <v>662</v>
      </c>
      <c r="BG130">
        <v>48</v>
      </c>
      <c r="BH130">
        <v>1</v>
      </c>
      <c r="BI130">
        <v>97</v>
      </c>
      <c r="BJ130">
        <v>38</v>
      </c>
      <c r="BK130">
        <v>2</v>
      </c>
      <c r="BM130">
        <v>491</v>
      </c>
      <c r="BN130">
        <v>1076</v>
      </c>
      <c r="BO130">
        <v>149</v>
      </c>
    </row>
    <row r="131" spans="1:69" x14ac:dyDescent="0.35">
      <c r="A131">
        <v>2020</v>
      </c>
      <c r="B131">
        <v>2020</v>
      </c>
      <c r="C131">
        <v>2020</v>
      </c>
      <c r="E131" t="s">
        <v>171</v>
      </c>
      <c r="F131" t="s">
        <v>172</v>
      </c>
      <c r="G131" t="s">
        <v>173</v>
      </c>
      <c r="I131">
        <v>1773.9</v>
      </c>
    </row>
    <row r="132" spans="1:69" x14ac:dyDescent="0.35">
      <c r="A132">
        <v>2020</v>
      </c>
      <c r="B132">
        <v>2020</v>
      </c>
      <c r="C132">
        <v>2020</v>
      </c>
      <c r="E132" t="s">
        <v>174</v>
      </c>
      <c r="F132" t="s">
        <v>175</v>
      </c>
      <c r="G132" t="s">
        <v>176</v>
      </c>
      <c r="I132">
        <v>256574.4</v>
      </c>
      <c r="J132">
        <v>576</v>
      </c>
      <c r="K132">
        <v>515</v>
      </c>
      <c r="M132">
        <v>1040</v>
      </c>
      <c r="N132">
        <v>639</v>
      </c>
      <c r="O132">
        <v>15</v>
      </c>
      <c r="P132">
        <v>193</v>
      </c>
      <c r="T132">
        <v>22</v>
      </c>
      <c r="U132">
        <v>13966</v>
      </c>
      <c r="V132">
        <v>66</v>
      </c>
      <c r="W132">
        <v>530</v>
      </c>
      <c r="AA132">
        <v>17</v>
      </c>
      <c r="AB132">
        <v>219</v>
      </c>
      <c r="AH132">
        <v>487</v>
      </c>
      <c r="AK132">
        <v>114</v>
      </c>
      <c r="AP132">
        <v>109</v>
      </c>
      <c r="AQ132">
        <v>530</v>
      </c>
      <c r="AU132">
        <v>1040</v>
      </c>
      <c r="AX132">
        <v>57</v>
      </c>
      <c r="AZ132">
        <v>1</v>
      </c>
      <c r="BD132">
        <v>650</v>
      </c>
      <c r="BE132">
        <v>2251</v>
      </c>
      <c r="BG132">
        <v>332</v>
      </c>
      <c r="BH132">
        <v>6</v>
      </c>
      <c r="BN132">
        <v>61</v>
      </c>
    </row>
    <row r="133" spans="1:69" x14ac:dyDescent="0.35">
      <c r="A133">
        <v>2020</v>
      </c>
      <c r="B133">
        <v>2020</v>
      </c>
      <c r="C133">
        <v>2020</v>
      </c>
      <c r="E133" t="s">
        <v>177</v>
      </c>
      <c r="F133" t="s">
        <v>178</v>
      </c>
      <c r="G133" t="s">
        <v>179</v>
      </c>
      <c r="I133">
        <v>1247502</v>
      </c>
      <c r="M133">
        <v>61028</v>
      </c>
      <c r="AS133">
        <v>61028</v>
      </c>
    </row>
    <row r="134" spans="1:69" x14ac:dyDescent="0.35">
      <c r="A134">
        <v>2020</v>
      </c>
      <c r="B134">
        <v>2020</v>
      </c>
      <c r="C134">
        <v>2020</v>
      </c>
      <c r="E134" t="s">
        <v>180</v>
      </c>
      <c r="F134" t="s">
        <v>181</v>
      </c>
      <c r="G134" t="s">
        <v>182</v>
      </c>
      <c r="I134">
        <v>301708.79999999999</v>
      </c>
      <c r="J134">
        <v>456</v>
      </c>
      <c r="K134">
        <v>383</v>
      </c>
      <c r="L134">
        <v>13</v>
      </c>
      <c r="M134">
        <v>4530</v>
      </c>
      <c r="N134">
        <v>3020</v>
      </c>
      <c r="O134">
        <v>28</v>
      </c>
      <c r="P134">
        <v>139</v>
      </c>
      <c r="T134">
        <v>7</v>
      </c>
      <c r="U134">
        <v>2826</v>
      </c>
      <c r="V134">
        <v>128</v>
      </c>
      <c r="Y134">
        <v>10</v>
      </c>
      <c r="AB134">
        <v>10</v>
      </c>
      <c r="AC134">
        <v>11</v>
      </c>
      <c r="AG134">
        <v>16</v>
      </c>
      <c r="AK134">
        <v>635</v>
      </c>
      <c r="AM134">
        <v>1006</v>
      </c>
      <c r="AP134">
        <v>2564</v>
      </c>
      <c r="AQ134">
        <v>456</v>
      </c>
      <c r="AT134">
        <v>3934</v>
      </c>
      <c r="AU134">
        <v>596</v>
      </c>
      <c r="AX134">
        <v>197</v>
      </c>
      <c r="AY134">
        <v>12</v>
      </c>
      <c r="AZ134">
        <v>24</v>
      </c>
      <c r="BA134">
        <v>26</v>
      </c>
      <c r="BD134">
        <v>623</v>
      </c>
      <c r="BG134">
        <v>291</v>
      </c>
      <c r="BI134">
        <v>17</v>
      </c>
      <c r="BJ134">
        <v>3</v>
      </c>
      <c r="BN134">
        <v>73</v>
      </c>
      <c r="BO134">
        <v>18</v>
      </c>
    </row>
    <row r="135" spans="1:69" x14ac:dyDescent="0.35">
      <c r="A135">
        <v>2020</v>
      </c>
      <c r="B135">
        <v>2020</v>
      </c>
      <c r="C135">
        <v>2020</v>
      </c>
      <c r="E135" t="s">
        <v>183</v>
      </c>
      <c r="F135" t="s">
        <v>184</v>
      </c>
      <c r="G135" t="s">
        <v>185</v>
      </c>
      <c r="I135">
        <v>177536.2</v>
      </c>
    </row>
    <row r="136" spans="1:69" x14ac:dyDescent="0.35">
      <c r="A136">
        <v>2020</v>
      </c>
      <c r="B136">
        <v>2020</v>
      </c>
      <c r="C136">
        <v>2020</v>
      </c>
      <c r="E136" t="s">
        <v>186</v>
      </c>
      <c r="F136" t="s">
        <v>187</v>
      </c>
      <c r="G136" t="s">
        <v>188</v>
      </c>
      <c r="I136">
        <v>1076476.3999999999</v>
      </c>
      <c r="J136">
        <v>835</v>
      </c>
      <c r="U136">
        <v>21429</v>
      </c>
      <c r="AN136">
        <v>835</v>
      </c>
    </row>
    <row r="137" spans="1:69" x14ac:dyDescent="0.35">
      <c r="A137">
        <v>2020</v>
      </c>
      <c r="B137">
        <v>2020</v>
      </c>
      <c r="C137">
        <v>2020</v>
      </c>
      <c r="E137" t="s">
        <v>189</v>
      </c>
      <c r="F137" t="s">
        <v>190</v>
      </c>
      <c r="G137" t="s">
        <v>191</v>
      </c>
      <c r="I137">
        <v>1634390</v>
      </c>
      <c r="J137">
        <v>7031</v>
      </c>
      <c r="M137">
        <v>51327</v>
      </c>
      <c r="N137">
        <v>23546</v>
      </c>
      <c r="O137">
        <v>255</v>
      </c>
      <c r="P137">
        <v>1717</v>
      </c>
      <c r="AN137">
        <v>7031</v>
      </c>
      <c r="AR137">
        <v>23546</v>
      </c>
      <c r="AS137">
        <v>51327</v>
      </c>
    </row>
    <row r="138" spans="1:69" x14ac:dyDescent="0.35">
      <c r="A138">
        <v>2020</v>
      </c>
      <c r="B138">
        <v>2020</v>
      </c>
      <c r="C138">
        <v>2020</v>
      </c>
      <c r="E138" t="s">
        <v>192</v>
      </c>
      <c r="F138" t="s">
        <v>193</v>
      </c>
      <c r="G138" t="s">
        <v>194</v>
      </c>
      <c r="I138">
        <v>652088.9</v>
      </c>
      <c r="J138">
        <v>4818</v>
      </c>
      <c r="M138">
        <v>27674</v>
      </c>
      <c r="N138">
        <v>3312</v>
      </c>
      <c r="O138">
        <v>205</v>
      </c>
      <c r="P138">
        <v>1082</v>
      </c>
      <c r="U138">
        <v>41669</v>
      </c>
      <c r="V138">
        <v>453</v>
      </c>
      <c r="AB138">
        <v>3830</v>
      </c>
      <c r="AG138">
        <v>1075</v>
      </c>
      <c r="AJ138">
        <v>2506</v>
      </c>
      <c r="AK138">
        <v>19</v>
      </c>
      <c r="AN138">
        <v>4818</v>
      </c>
      <c r="AQ138">
        <v>3312</v>
      </c>
      <c r="AU138">
        <v>27674</v>
      </c>
      <c r="BD138">
        <v>5544</v>
      </c>
      <c r="BG138">
        <v>1544</v>
      </c>
      <c r="BH138">
        <v>1036</v>
      </c>
    </row>
    <row r="139" spans="1:69" x14ac:dyDescent="0.35">
      <c r="A139">
        <v>2020</v>
      </c>
      <c r="B139">
        <v>2020</v>
      </c>
      <c r="C139">
        <v>2020</v>
      </c>
      <c r="E139" t="s">
        <v>195</v>
      </c>
      <c r="F139" t="s">
        <v>196</v>
      </c>
      <c r="G139" t="s">
        <v>197</v>
      </c>
      <c r="I139">
        <v>485539.3</v>
      </c>
      <c r="J139">
        <v>2957</v>
      </c>
      <c r="M139">
        <v>22499</v>
      </c>
      <c r="N139">
        <v>9293</v>
      </c>
      <c r="O139">
        <v>234</v>
      </c>
      <c r="P139">
        <v>1600</v>
      </c>
      <c r="AN139">
        <v>2957</v>
      </c>
      <c r="AR139">
        <v>9293</v>
      </c>
      <c r="AS139">
        <v>22499</v>
      </c>
    </row>
    <row r="140" spans="1:69" x14ac:dyDescent="0.35">
      <c r="A140">
        <v>2020</v>
      </c>
      <c r="B140">
        <v>2020</v>
      </c>
      <c r="C140">
        <v>2020</v>
      </c>
      <c r="E140" t="s">
        <v>198</v>
      </c>
      <c r="F140" t="s">
        <v>199</v>
      </c>
      <c r="G140" t="s">
        <v>200</v>
      </c>
      <c r="I140">
        <v>102444.9</v>
      </c>
      <c r="J140">
        <v>291</v>
      </c>
      <c r="U140">
        <v>6000</v>
      </c>
      <c r="AN140">
        <v>291</v>
      </c>
      <c r="BJ140">
        <v>34</v>
      </c>
      <c r="BO140">
        <v>46</v>
      </c>
    </row>
    <row r="141" spans="1:69" x14ac:dyDescent="0.35">
      <c r="A141">
        <v>2020</v>
      </c>
      <c r="B141">
        <v>2020</v>
      </c>
      <c r="C141">
        <v>2020</v>
      </c>
      <c r="E141" t="s">
        <v>201</v>
      </c>
      <c r="F141" t="s">
        <v>202</v>
      </c>
      <c r="G141" t="s">
        <v>203</v>
      </c>
      <c r="I141">
        <v>269323.40000000002</v>
      </c>
      <c r="J141">
        <v>685</v>
      </c>
      <c r="K141">
        <v>354</v>
      </c>
      <c r="M141">
        <v>2455</v>
      </c>
      <c r="N141">
        <v>1743</v>
      </c>
      <c r="P141">
        <v>232</v>
      </c>
      <c r="Q141">
        <v>1411</v>
      </c>
      <c r="S141">
        <v>83</v>
      </c>
      <c r="T141">
        <v>20</v>
      </c>
      <c r="U141">
        <v>7386</v>
      </c>
      <c r="W141">
        <v>2</v>
      </c>
      <c r="X141">
        <v>1</v>
      </c>
      <c r="Y141">
        <v>2</v>
      </c>
      <c r="Z141">
        <v>20</v>
      </c>
      <c r="AA141">
        <v>50</v>
      </c>
      <c r="AB141">
        <v>379</v>
      </c>
      <c r="AC141">
        <v>45</v>
      </c>
      <c r="AD141">
        <v>4622</v>
      </c>
      <c r="AG141">
        <v>280</v>
      </c>
      <c r="AI141">
        <v>997</v>
      </c>
      <c r="AJ141">
        <v>338</v>
      </c>
      <c r="AK141">
        <v>589</v>
      </c>
      <c r="AL141">
        <v>6</v>
      </c>
      <c r="AO141">
        <v>14</v>
      </c>
      <c r="AP141">
        <v>809</v>
      </c>
      <c r="AQ141">
        <v>934</v>
      </c>
      <c r="AT141">
        <v>902</v>
      </c>
      <c r="AU141">
        <v>1553</v>
      </c>
      <c r="AX141">
        <v>7</v>
      </c>
      <c r="AY141">
        <v>61</v>
      </c>
      <c r="AZ141">
        <v>3</v>
      </c>
      <c r="BA141">
        <v>61</v>
      </c>
      <c r="BB141">
        <v>2137</v>
      </c>
      <c r="BC141">
        <v>1371</v>
      </c>
      <c r="BG141">
        <v>49</v>
      </c>
      <c r="BH141">
        <v>230</v>
      </c>
      <c r="BJ141">
        <v>6</v>
      </c>
      <c r="BK141">
        <v>65</v>
      </c>
      <c r="BL141">
        <v>45</v>
      </c>
      <c r="BM141">
        <v>21</v>
      </c>
      <c r="BN141">
        <v>331</v>
      </c>
      <c r="BO141">
        <v>76</v>
      </c>
    </row>
    <row r="142" spans="1:69" x14ac:dyDescent="0.35">
      <c r="A142">
        <v>2020</v>
      </c>
      <c r="B142">
        <v>2020</v>
      </c>
      <c r="C142">
        <v>2020</v>
      </c>
      <c r="E142" t="s">
        <v>204</v>
      </c>
      <c r="F142" t="s">
        <v>205</v>
      </c>
      <c r="G142" t="s">
        <v>206</v>
      </c>
      <c r="I142">
        <v>23981</v>
      </c>
      <c r="J142">
        <v>354</v>
      </c>
      <c r="K142">
        <v>241</v>
      </c>
      <c r="M142">
        <v>683</v>
      </c>
      <c r="N142">
        <v>586</v>
      </c>
      <c r="O142">
        <v>32</v>
      </c>
      <c r="P142">
        <v>35</v>
      </c>
      <c r="AG142">
        <v>25</v>
      </c>
      <c r="AJ142">
        <v>16</v>
      </c>
      <c r="AQ142">
        <v>586</v>
      </c>
      <c r="AU142">
        <v>683</v>
      </c>
      <c r="BG142">
        <v>71</v>
      </c>
      <c r="BN142">
        <v>113</v>
      </c>
    </row>
    <row r="143" spans="1:69" x14ac:dyDescent="0.35">
      <c r="A143">
        <v>2020</v>
      </c>
      <c r="B143">
        <v>2020</v>
      </c>
      <c r="C143">
        <v>2020</v>
      </c>
      <c r="E143" t="s">
        <v>207</v>
      </c>
      <c r="F143" t="s">
        <v>208</v>
      </c>
      <c r="G143" t="s">
        <v>209</v>
      </c>
      <c r="I143">
        <v>2235369.7000000002</v>
      </c>
    </row>
    <row r="144" spans="1:69" x14ac:dyDescent="0.35">
      <c r="A144">
        <v>2019</v>
      </c>
      <c r="B144">
        <v>2019</v>
      </c>
      <c r="C144">
        <v>2019</v>
      </c>
      <c r="E144" t="s">
        <v>69</v>
      </c>
      <c r="F144" t="s">
        <v>70</v>
      </c>
      <c r="G144" t="s">
        <v>71</v>
      </c>
      <c r="I144">
        <v>752782.1</v>
      </c>
      <c r="J144">
        <v>1910</v>
      </c>
      <c r="K144">
        <v>1026</v>
      </c>
      <c r="L144">
        <v>693</v>
      </c>
      <c r="M144">
        <v>11364</v>
      </c>
      <c r="N144">
        <v>7477</v>
      </c>
      <c r="O144">
        <v>52</v>
      </c>
      <c r="P144">
        <v>313</v>
      </c>
      <c r="Q144">
        <v>811</v>
      </c>
      <c r="R144">
        <v>200</v>
      </c>
      <c r="T144">
        <v>7</v>
      </c>
      <c r="U144">
        <v>2979</v>
      </c>
      <c r="V144">
        <v>143</v>
      </c>
      <c r="Z144">
        <v>6</v>
      </c>
      <c r="AA144">
        <v>1348</v>
      </c>
      <c r="AB144">
        <v>222</v>
      </c>
      <c r="AC144">
        <v>90</v>
      </c>
      <c r="AE144">
        <v>174</v>
      </c>
      <c r="AG144">
        <v>191</v>
      </c>
      <c r="AK144">
        <v>800</v>
      </c>
      <c r="AL144">
        <v>143</v>
      </c>
      <c r="AO144">
        <v>15</v>
      </c>
      <c r="AP144">
        <v>3057</v>
      </c>
      <c r="AQ144">
        <v>4420</v>
      </c>
      <c r="AT144">
        <v>1893</v>
      </c>
      <c r="AU144">
        <v>9471</v>
      </c>
      <c r="AV144">
        <v>0</v>
      </c>
      <c r="AW144">
        <v>0</v>
      </c>
      <c r="AX144">
        <v>21</v>
      </c>
      <c r="AY144">
        <v>106</v>
      </c>
      <c r="BA144">
        <v>580</v>
      </c>
      <c r="BB144">
        <v>22</v>
      </c>
      <c r="BC144">
        <v>2079</v>
      </c>
      <c r="BG144">
        <v>192</v>
      </c>
      <c r="BJ144">
        <v>9</v>
      </c>
      <c r="BK144">
        <v>8</v>
      </c>
      <c r="BL144">
        <v>6</v>
      </c>
      <c r="BM144">
        <v>28</v>
      </c>
      <c r="BN144">
        <v>884</v>
      </c>
      <c r="BO144">
        <v>99</v>
      </c>
      <c r="BP144">
        <v>335</v>
      </c>
      <c r="BQ144">
        <v>1</v>
      </c>
    </row>
    <row r="145" spans="1:69" x14ac:dyDescent="0.35">
      <c r="A145">
        <v>2019</v>
      </c>
      <c r="B145">
        <v>2019</v>
      </c>
      <c r="C145">
        <v>2019</v>
      </c>
      <c r="E145" t="s">
        <v>72</v>
      </c>
      <c r="F145" t="s">
        <v>73</v>
      </c>
      <c r="G145" t="s">
        <v>74</v>
      </c>
      <c r="I145">
        <v>209572.8</v>
      </c>
    </row>
    <row r="146" spans="1:69" x14ac:dyDescent="0.35">
      <c r="A146">
        <v>2019</v>
      </c>
      <c r="B146">
        <v>2019</v>
      </c>
      <c r="C146">
        <v>2019</v>
      </c>
      <c r="E146" t="s">
        <v>75</v>
      </c>
      <c r="F146" t="s">
        <v>76</v>
      </c>
      <c r="G146" t="s">
        <v>77</v>
      </c>
      <c r="I146">
        <v>6338.5</v>
      </c>
      <c r="J146">
        <v>105</v>
      </c>
      <c r="M146">
        <v>440</v>
      </c>
      <c r="N146">
        <v>22</v>
      </c>
      <c r="O146">
        <v>6</v>
      </c>
      <c r="P146">
        <v>37</v>
      </c>
      <c r="AN146">
        <v>105</v>
      </c>
      <c r="AR146">
        <v>22</v>
      </c>
      <c r="AS146">
        <v>440</v>
      </c>
      <c r="BJ146">
        <v>1</v>
      </c>
      <c r="BO146">
        <v>2</v>
      </c>
    </row>
    <row r="147" spans="1:69" x14ac:dyDescent="0.35">
      <c r="A147">
        <v>2019</v>
      </c>
      <c r="B147">
        <v>2019</v>
      </c>
      <c r="C147">
        <v>2019</v>
      </c>
      <c r="E147" t="s">
        <v>78</v>
      </c>
      <c r="F147" t="s">
        <v>79</v>
      </c>
      <c r="G147" t="s">
        <v>80</v>
      </c>
      <c r="I147">
        <v>3709546.6</v>
      </c>
      <c r="J147">
        <v>15016</v>
      </c>
      <c r="K147">
        <v>15016</v>
      </c>
      <c r="M147">
        <v>93964</v>
      </c>
      <c r="N147">
        <v>3149</v>
      </c>
      <c r="O147">
        <v>422</v>
      </c>
      <c r="P147">
        <v>584</v>
      </c>
      <c r="Q147">
        <v>75871</v>
      </c>
      <c r="AB147">
        <v>166</v>
      </c>
      <c r="AH147">
        <v>3342</v>
      </c>
      <c r="AQ147">
        <v>3149</v>
      </c>
      <c r="AU147">
        <v>93964</v>
      </c>
      <c r="AX147">
        <v>668</v>
      </c>
      <c r="BB147">
        <v>1939</v>
      </c>
      <c r="BG147">
        <v>188</v>
      </c>
      <c r="BH147">
        <v>496</v>
      </c>
    </row>
    <row r="148" spans="1:69" x14ac:dyDescent="0.35">
      <c r="A148">
        <v>2019</v>
      </c>
      <c r="B148">
        <v>2019</v>
      </c>
      <c r="C148">
        <v>2019</v>
      </c>
      <c r="E148" t="s">
        <v>81</v>
      </c>
      <c r="F148" t="s">
        <v>82</v>
      </c>
      <c r="G148" t="s">
        <v>83</v>
      </c>
      <c r="I148">
        <v>3717724.4</v>
      </c>
      <c r="J148">
        <v>5867</v>
      </c>
      <c r="K148">
        <v>5867</v>
      </c>
      <c r="O148">
        <v>52</v>
      </c>
    </row>
    <row r="149" spans="1:69" x14ac:dyDescent="0.35">
      <c r="A149">
        <v>2019</v>
      </c>
      <c r="B149">
        <v>2019</v>
      </c>
      <c r="C149">
        <v>2019</v>
      </c>
      <c r="E149" t="s">
        <v>84</v>
      </c>
      <c r="F149" t="s">
        <v>85</v>
      </c>
      <c r="G149" t="s">
        <v>86</v>
      </c>
      <c r="I149">
        <v>7409670.9000000004</v>
      </c>
      <c r="J149">
        <v>74543</v>
      </c>
      <c r="M149">
        <v>180709</v>
      </c>
      <c r="N149">
        <v>120870</v>
      </c>
      <c r="O149">
        <v>4358</v>
      </c>
      <c r="P149">
        <v>24668</v>
      </c>
      <c r="S149">
        <v>79</v>
      </c>
      <c r="U149">
        <v>116454</v>
      </c>
      <c r="V149">
        <v>6165</v>
      </c>
      <c r="Y149">
        <v>942</v>
      </c>
      <c r="AB149">
        <v>14743</v>
      </c>
      <c r="AC149">
        <v>1031</v>
      </c>
      <c r="AE149">
        <v>7146</v>
      </c>
      <c r="AG149">
        <v>369</v>
      </c>
      <c r="AJ149">
        <v>29803</v>
      </c>
      <c r="AK149">
        <v>26677</v>
      </c>
      <c r="AL149">
        <v>7</v>
      </c>
      <c r="AM149">
        <v>27247</v>
      </c>
      <c r="AN149">
        <v>74543</v>
      </c>
      <c r="AQ149">
        <v>120870</v>
      </c>
      <c r="AU149">
        <v>180709</v>
      </c>
      <c r="AY149">
        <v>1238</v>
      </c>
      <c r="AZ149">
        <v>4429</v>
      </c>
      <c r="BA149">
        <v>5698</v>
      </c>
      <c r="BG149">
        <v>5793</v>
      </c>
      <c r="BH149">
        <v>4971</v>
      </c>
      <c r="BI149">
        <v>118</v>
      </c>
      <c r="BJ149">
        <v>267</v>
      </c>
      <c r="BK149">
        <v>267</v>
      </c>
      <c r="BO149">
        <v>2368</v>
      </c>
      <c r="BQ149">
        <v>32</v>
      </c>
    </row>
    <row r="150" spans="1:69" x14ac:dyDescent="0.35">
      <c r="A150">
        <v>2019</v>
      </c>
      <c r="B150">
        <v>2019</v>
      </c>
      <c r="C150">
        <v>2019</v>
      </c>
      <c r="E150" t="s">
        <v>87</v>
      </c>
      <c r="F150" t="s">
        <v>88</v>
      </c>
      <c r="G150" t="s">
        <v>89</v>
      </c>
      <c r="I150">
        <v>64066.9</v>
      </c>
      <c r="J150">
        <v>1368</v>
      </c>
      <c r="K150">
        <v>516</v>
      </c>
      <c r="L150">
        <v>113</v>
      </c>
      <c r="M150">
        <v>4711</v>
      </c>
      <c r="N150">
        <v>607</v>
      </c>
      <c r="O150">
        <v>34</v>
      </c>
      <c r="P150">
        <v>140</v>
      </c>
      <c r="Q150">
        <v>693</v>
      </c>
      <c r="R150">
        <v>159</v>
      </c>
      <c r="S150">
        <v>1</v>
      </c>
      <c r="T150">
        <v>65</v>
      </c>
      <c r="U150">
        <v>117</v>
      </c>
      <c r="V150">
        <v>32</v>
      </c>
      <c r="W150">
        <v>9</v>
      </c>
      <c r="X150">
        <v>10</v>
      </c>
      <c r="Y150">
        <v>14</v>
      </c>
      <c r="Z150">
        <v>30</v>
      </c>
      <c r="AA150">
        <v>7</v>
      </c>
      <c r="AB150">
        <v>201</v>
      </c>
      <c r="AC150">
        <v>69</v>
      </c>
      <c r="AD150">
        <v>39</v>
      </c>
      <c r="AE150">
        <v>89</v>
      </c>
      <c r="AF150">
        <v>0</v>
      </c>
      <c r="AG150">
        <v>78</v>
      </c>
      <c r="AH150">
        <v>344</v>
      </c>
      <c r="AI150">
        <v>14</v>
      </c>
      <c r="AJ150">
        <v>72</v>
      </c>
      <c r="AK150">
        <v>454</v>
      </c>
      <c r="AL150">
        <v>0</v>
      </c>
      <c r="AM150">
        <v>1</v>
      </c>
      <c r="AN150">
        <v>1</v>
      </c>
      <c r="AO150">
        <v>107</v>
      </c>
      <c r="AP150">
        <v>0</v>
      </c>
      <c r="AQ150">
        <v>607</v>
      </c>
      <c r="AR150">
        <v>0</v>
      </c>
      <c r="AS150">
        <v>2</v>
      </c>
      <c r="AT150">
        <v>1408</v>
      </c>
      <c r="AU150">
        <v>3301</v>
      </c>
      <c r="AV150">
        <v>746</v>
      </c>
      <c r="AW150">
        <v>11</v>
      </c>
      <c r="AX150">
        <v>3</v>
      </c>
      <c r="AY150">
        <v>79</v>
      </c>
      <c r="AZ150">
        <v>9</v>
      </c>
      <c r="BA150">
        <v>429</v>
      </c>
      <c r="BB150">
        <v>942</v>
      </c>
      <c r="BC150">
        <v>2595</v>
      </c>
      <c r="BD150">
        <v>703</v>
      </c>
      <c r="BE150">
        <v>1</v>
      </c>
      <c r="BF150">
        <v>0</v>
      </c>
      <c r="BG150">
        <v>179</v>
      </c>
      <c r="BH150">
        <v>29</v>
      </c>
      <c r="BI150">
        <v>14</v>
      </c>
      <c r="BJ150">
        <v>4</v>
      </c>
      <c r="BK150">
        <v>85</v>
      </c>
      <c r="BL150">
        <v>10</v>
      </c>
      <c r="BM150">
        <v>109</v>
      </c>
      <c r="BN150">
        <v>851</v>
      </c>
      <c r="BO150">
        <v>157</v>
      </c>
      <c r="BP150">
        <v>84</v>
      </c>
      <c r="BQ150">
        <v>33</v>
      </c>
    </row>
    <row r="151" spans="1:69" x14ac:dyDescent="0.35">
      <c r="A151">
        <v>2019</v>
      </c>
      <c r="B151">
        <v>2019</v>
      </c>
      <c r="C151">
        <v>2019</v>
      </c>
      <c r="E151" t="s">
        <v>90</v>
      </c>
      <c r="F151" t="s">
        <v>91</v>
      </c>
      <c r="G151" t="s">
        <v>92</v>
      </c>
      <c r="I151">
        <v>145586.5</v>
      </c>
      <c r="J151">
        <v>897</v>
      </c>
      <c r="K151">
        <v>533</v>
      </c>
      <c r="M151">
        <v>4369</v>
      </c>
      <c r="N151">
        <v>932</v>
      </c>
      <c r="O151">
        <v>118</v>
      </c>
      <c r="P151">
        <v>74</v>
      </c>
      <c r="AQ151">
        <v>932</v>
      </c>
      <c r="AS151">
        <v>3819</v>
      </c>
      <c r="AU151">
        <v>550</v>
      </c>
      <c r="BN151">
        <v>364</v>
      </c>
    </row>
    <row r="152" spans="1:69" x14ac:dyDescent="0.35">
      <c r="A152">
        <v>2019</v>
      </c>
      <c r="B152">
        <v>2019</v>
      </c>
      <c r="C152">
        <v>2019</v>
      </c>
      <c r="E152" t="s">
        <v>93</v>
      </c>
      <c r="F152" t="s">
        <v>94</v>
      </c>
      <c r="G152" t="s">
        <v>95</v>
      </c>
      <c r="I152">
        <v>29875.9</v>
      </c>
      <c r="O152">
        <v>14</v>
      </c>
      <c r="V152">
        <v>19</v>
      </c>
      <c r="W152">
        <v>3</v>
      </c>
    </row>
    <row r="153" spans="1:69" x14ac:dyDescent="0.35">
      <c r="A153">
        <v>2019</v>
      </c>
      <c r="B153">
        <v>2019</v>
      </c>
      <c r="C153">
        <v>2019</v>
      </c>
      <c r="E153" t="s">
        <v>96</v>
      </c>
      <c r="F153" t="s">
        <v>97</v>
      </c>
      <c r="G153" t="s">
        <v>98</v>
      </c>
      <c r="I153">
        <v>59062.8</v>
      </c>
      <c r="O153">
        <v>37</v>
      </c>
      <c r="V153">
        <v>47</v>
      </c>
      <c r="W153">
        <v>6</v>
      </c>
    </row>
    <row r="154" spans="1:69" x14ac:dyDescent="0.35">
      <c r="A154">
        <v>2019</v>
      </c>
      <c r="B154">
        <v>2019</v>
      </c>
      <c r="C154">
        <v>2019</v>
      </c>
      <c r="E154" t="s">
        <v>99</v>
      </c>
      <c r="F154" t="s">
        <v>100</v>
      </c>
      <c r="G154" t="s">
        <v>101</v>
      </c>
      <c r="I154">
        <v>1025953.1</v>
      </c>
      <c r="J154">
        <v>42140</v>
      </c>
      <c r="K154">
        <v>27560</v>
      </c>
      <c r="M154">
        <v>4425</v>
      </c>
      <c r="N154">
        <v>9070</v>
      </c>
      <c r="O154">
        <v>7018</v>
      </c>
      <c r="P154">
        <v>2156</v>
      </c>
      <c r="AQ154">
        <v>9070</v>
      </c>
      <c r="AU154">
        <v>4425</v>
      </c>
      <c r="BD154">
        <v>128823</v>
      </c>
      <c r="BN154">
        <v>14580</v>
      </c>
    </row>
    <row r="155" spans="1:69" x14ac:dyDescent="0.35">
      <c r="A155">
        <v>2019</v>
      </c>
      <c r="B155">
        <v>2019</v>
      </c>
      <c r="C155">
        <v>2019</v>
      </c>
      <c r="E155" t="s">
        <v>102</v>
      </c>
      <c r="F155" t="s">
        <v>103</v>
      </c>
      <c r="G155" t="s">
        <v>104</v>
      </c>
      <c r="I155">
        <v>1251836.8999999999</v>
      </c>
    </row>
    <row r="156" spans="1:69" x14ac:dyDescent="0.35">
      <c r="A156">
        <v>2019</v>
      </c>
      <c r="B156">
        <v>2019</v>
      </c>
      <c r="C156">
        <v>2019</v>
      </c>
      <c r="E156" t="s">
        <v>105</v>
      </c>
      <c r="F156" t="s">
        <v>106</v>
      </c>
      <c r="G156" t="s">
        <v>107</v>
      </c>
      <c r="I156">
        <v>450366.9</v>
      </c>
      <c r="J156">
        <v>763</v>
      </c>
      <c r="K156">
        <v>202</v>
      </c>
      <c r="M156">
        <v>2670</v>
      </c>
      <c r="N156">
        <v>905</v>
      </c>
      <c r="AC156">
        <v>34</v>
      </c>
      <c r="AG156">
        <v>92</v>
      </c>
      <c r="AN156">
        <v>561</v>
      </c>
      <c r="AR156">
        <v>905</v>
      </c>
      <c r="AS156">
        <v>2670</v>
      </c>
      <c r="AY156">
        <v>89</v>
      </c>
      <c r="BA156">
        <v>133</v>
      </c>
      <c r="BO156">
        <v>60</v>
      </c>
    </row>
    <row r="157" spans="1:69" x14ac:dyDescent="0.35">
      <c r="A157">
        <v>2019</v>
      </c>
      <c r="B157">
        <v>2019</v>
      </c>
      <c r="C157">
        <v>2019</v>
      </c>
      <c r="E157" t="s">
        <v>108</v>
      </c>
      <c r="F157" t="s">
        <v>109</v>
      </c>
      <c r="G157" t="s">
        <v>110</v>
      </c>
      <c r="I157">
        <v>62733.4</v>
      </c>
      <c r="J157">
        <v>920</v>
      </c>
      <c r="K157">
        <v>813</v>
      </c>
      <c r="M157">
        <v>7763</v>
      </c>
      <c r="O157">
        <v>88</v>
      </c>
      <c r="P157">
        <v>138</v>
      </c>
      <c r="Q157">
        <v>491</v>
      </c>
      <c r="R157">
        <v>843</v>
      </c>
      <c r="S157">
        <v>8</v>
      </c>
      <c r="T157">
        <v>11</v>
      </c>
      <c r="V157">
        <v>27</v>
      </c>
      <c r="W157">
        <v>33</v>
      </c>
      <c r="X157">
        <v>41</v>
      </c>
      <c r="Z157">
        <v>32</v>
      </c>
      <c r="AD157">
        <v>1421</v>
      </c>
      <c r="AE157">
        <v>25</v>
      </c>
      <c r="AG157">
        <v>116</v>
      </c>
      <c r="AH157">
        <v>131</v>
      </c>
      <c r="AI157">
        <v>64</v>
      </c>
      <c r="AJ157">
        <v>330</v>
      </c>
      <c r="AK157">
        <v>156</v>
      </c>
      <c r="AM157">
        <v>110</v>
      </c>
      <c r="AU157">
        <v>7763</v>
      </c>
      <c r="AX157">
        <v>3</v>
      </c>
      <c r="AZ157">
        <v>3</v>
      </c>
      <c r="BB157">
        <v>1376</v>
      </c>
      <c r="BC157">
        <v>3956</v>
      </c>
      <c r="BD157">
        <v>10</v>
      </c>
      <c r="BG157">
        <v>408</v>
      </c>
      <c r="BH157">
        <v>38</v>
      </c>
      <c r="BK157">
        <v>15</v>
      </c>
      <c r="BN157">
        <v>107</v>
      </c>
    </row>
    <row r="158" spans="1:69" x14ac:dyDescent="0.35">
      <c r="A158">
        <v>2019</v>
      </c>
      <c r="B158">
        <v>2019</v>
      </c>
      <c r="C158">
        <v>2019</v>
      </c>
      <c r="E158" t="s">
        <v>111</v>
      </c>
      <c r="F158" t="s">
        <v>112</v>
      </c>
      <c r="G158" t="s">
        <v>113</v>
      </c>
      <c r="I158">
        <v>425247.1</v>
      </c>
      <c r="M158">
        <v>7518</v>
      </c>
      <c r="N158">
        <v>124</v>
      </c>
      <c r="AQ158">
        <v>124</v>
      </c>
      <c r="AU158">
        <v>7518</v>
      </c>
    </row>
    <row r="159" spans="1:69" x14ac:dyDescent="0.35">
      <c r="A159">
        <v>2019</v>
      </c>
      <c r="B159">
        <v>2019</v>
      </c>
      <c r="C159">
        <v>2019</v>
      </c>
      <c r="E159" t="s">
        <v>114</v>
      </c>
      <c r="F159" t="s">
        <v>115</v>
      </c>
      <c r="G159" t="s">
        <v>116</v>
      </c>
      <c r="I159">
        <v>10569</v>
      </c>
      <c r="O159">
        <v>120</v>
      </c>
      <c r="V159">
        <v>74</v>
      </c>
      <c r="W159">
        <v>20</v>
      </c>
    </row>
    <row r="160" spans="1:69" x14ac:dyDescent="0.35">
      <c r="A160">
        <v>2019</v>
      </c>
      <c r="B160">
        <v>2019</v>
      </c>
      <c r="C160">
        <v>2019</v>
      </c>
      <c r="E160" t="s">
        <v>117</v>
      </c>
      <c r="F160" t="s">
        <v>118</v>
      </c>
      <c r="G160" t="s">
        <v>119</v>
      </c>
      <c r="I160">
        <v>914051.2</v>
      </c>
      <c r="O160">
        <v>300</v>
      </c>
    </row>
    <row r="161" spans="1:69" x14ac:dyDescent="0.35">
      <c r="A161">
        <v>2019</v>
      </c>
      <c r="B161">
        <v>2019</v>
      </c>
      <c r="C161">
        <v>2019</v>
      </c>
      <c r="E161" t="s">
        <v>120</v>
      </c>
      <c r="F161" t="s">
        <v>121</v>
      </c>
      <c r="G161" t="s">
        <v>122</v>
      </c>
      <c r="I161">
        <v>680354</v>
      </c>
      <c r="J161">
        <v>859</v>
      </c>
      <c r="K161">
        <v>642</v>
      </c>
      <c r="N161">
        <v>589</v>
      </c>
      <c r="P161">
        <v>52</v>
      </c>
      <c r="Q161">
        <v>335</v>
      </c>
      <c r="T161">
        <v>560</v>
      </c>
      <c r="V161">
        <v>11</v>
      </c>
      <c r="Z161">
        <v>26</v>
      </c>
      <c r="AB161">
        <v>96</v>
      </c>
      <c r="AC161">
        <v>20</v>
      </c>
      <c r="AD161">
        <v>31</v>
      </c>
      <c r="AG161">
        <v>48</v>
      </c>
      <c r="AH161">
        <v>109</v>
      </c>
      <c r="AN161">
        <v>15</v>
      </c>
      <c r="AO161">
        <v>150</v>
      </c>
      <c r="AR161">
        <v>589</v>
      </c>
      <c r="AX161">
        <v>42</v>
      </c>
      <c r="AY161">
        <v>52</v>
      </c>
      <c r="AZ161">
        <v>50</v>
      </c>
      <c r="BA161">
        <v>88</v>
      </c>
      <c r="BB161">
        <v>6</v>
      </c>
      <c r="BC161">
        <v>791</v>
      </c>
      <c r="BE161">
        <v>177</v>
      </c>
      <c r="BG161">
        <v>136</v>
      </c>
      <c r="BH161">
        <v>18</v>
      </c>
      <c r="BJ161">
        <v>1</v>
      </c>
      <c r="BL161">
        <v>19</v>
      </c>
      <c r="BN161">
        <v>202</v>
      </c>
      <c r="BO161">
        <v>26</v>
      </c>
    </row>
    <row r="162" spans="1:69" x14ac:dyDescent="0.35">
      <c r="A162">
        <v>2019</v>
      </c>
      <c r="B162">
        <v>2019</v>
      </c>
      <c r="C162">
        <v>2019</v>
      </c>
      <c r="E162" t="s">
        <v>123</v>
      </c>
      <c r="F162" t="s">
        <v>124</v>
      </c>
      <c r="G162" t="s">
        <v>125</v>
      </c>
      <c r="I162">
        <v>883020.80000000005</v>
      </c>
      <c r="J162">
        <v>4173</v>
      </c>
      <c r="M162">
        <v>11259</v>
      </c>
      <c r="N162">
        <v>5601</v>
      </c>
      <c r="O162">
        <v>373</v>
      </c>
      <c r="P162">
        <v>944</v>
      </c>
      <c r="W162">
        <v>40</v>
      </c>
      <c r="AD162">
        <v>4168</v>
      </c>
      <c r="AN162">
        <v>4173</v>
      </c>
      <c r="AQ162">
        <v>5601</v>
      </c>
      <c r="AU162">
        <v>11259</v>
      </c>
      <c r="BC162">
        <v>3470</v>
      </c>
    </row>
    <row r="163" spans="1:69" x14ac:dyDescent="0.35">
      <c r="A163">
        <v>2019</v>
      </c>
      <c r="B163">
        <v>2019</v>
      </c>
      <c r="C163">
        <v>2019</v>
      </c>
      <c r="E163" t="s">
        <v>126</v>
      </c>
      <c r="F163" t="s">
        <v>127</v>
      </c>
      <c r="G163" t="s">
        <v>128</v>
      </c>
      <c r="I163">
        <v>48504</v>
      </c>
    </row>
    <row r="164" spans="1:69" x14ac:dyDescent="0.35">
      <c r="A164">
        <v>2019</v>
      </c>
      <c r="B164">
        <v>2019</v>
      </c>
      <c r="C164">
        <v>2019</v>
      </c>
      <c r="E164" t="s">
        <v>129</v>
      </c>
      <c r="F164" t="s">
        <v>130</v>
      </c>
      <c r="G164" t="s">
        <v>131</v>
      </c>
      <c r="I164">
        <v>85715.6</v>
      </c>
      <c r="J164">
        <v>188</v>
      </c>
      <c r="K164">
        <v>107</v>
      </c>
      <c r="L164">
        <v>51</v>
      </c>
      <c r="M164">
        <v>749</v>
      </c>
      <c r="N164">
        <v>341</v>
      </c>
      <c r="O164">
        <v>12</v>
      </c>
      <c r="P164">
        <v>2</v>
      </c>
      <c r="Q164">
        <v>0</v>
      </c>
      <c r="R164">
        <v>0</v>
      </c>
      <c r="S164">
        <v>0</v>
      </c>
      <c r="T164">
        <v>10</v>
      </c>
      <c r="U164">
        <v>0</v>
      </c>
      <c r="V164">
        <v>6</v>
      </c>
      <c r="W164">
        <v>95</v>
      </c>
      <c r="X164">
        <v>0</v>
      </c>
      <c r="Y164">
        <v>4</v>
      </c>
      <c r="Z164">
        <v>0</v>
      </c>
      <c r="AA164">
        <v>106</v>
      </c>
      <c r="AB164">
        <v>43</v>
      </c>
      <c r="AC164">
        <v>7</v>
      </c>
      <c r="AD164">
        <v>0</v>
      </c>
      <c r="AE164">
        <v>0</v>
      </c>
      <c r="AF164">
        <v>0</v>
      </c>
      <c r="AG164">
        <v>149</v>
      </c>
      <c r="AH164">
        <v>246</v>
      </c>
      <c r="AI164">
        <v>0</v>
      </c>
      <c r="AJ164">
        <v>0</v>
      </c>
      <c r="AK164">
        <v>22</v>
      </c>
      <c r="AL164">
        <v>0</v>
      </c>
      <c r="AM164">
        <v>0</v>
      </c>
      <c r="AN164">
        <v>0</v>
      </c>
      <c r="AO164">
        <v>0</v>
      </c>
      <c r="AP164">
        <v>252</v>
      </c>
      <c r="AQ164">
        <v>89</v>
      </c>
      <c r="AR164">
        <v>0</v>
      </c>
      <c r="AS164">
        <v>38</v>
      </c>
      <c r="AT164">
        <v>391</v>
      </c>
      <c r="AU164">
        <v>320</v>
      </c>
      <c r="AX164">
        <v>0</v>
      </c>
      <c r="AY164">
        <v>9</v>
      </c>
      <c r="AZ164">
        <v>16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81</v>
      </c>
      <c r="BH164">
        <v>3</v>
      </c>
      <c r="BI164">
        <v>20</v>
      </c>
      <c r="BJ164">
        <v>0</v>
      </c>
      <c r="BK164">
        <v>0</v>
      </c>
      <c r="BL164">
        <v>0</v>
      </c>
      <c r="BM164">
        <v>0</v>
      </c>
      <c r="BN164">
        <v>81</v>
      </c>
      <c r="BO164">
        <v>14</v>
      </c>
      <c r="BP164">
        <v>0</v>
      </c>
      <c r="BQ164">
        <v>0</v>
      </c>
    </row>
    <row r="165" spans="1:69" x14ac:dyDescent="0.35">
      <c r="A165">
        <v>2019</v>
      </c>
      <c r="B165">
        <v>2019</v>
      </c>
      <c r="C165">
        <v>2019</v>
      </c>
      <c r="E165" t="s">
        <v>132</v>
      </c>
      <c r="F165" t="s">
        <v>133</v>
      </c>
      <c r="G165" t="s">
        <v>134</v>
      </c>
      <c r="I165">
        <v>902628.3</v>
      </c>
      <c r="J165">
        <v>3236</v>
      </c>
      <c r="K165">
        <v>2181</v>
      </c>
      <c r="M165">
        <v>69789</v>
      </c>
      <c r="N165">
        <v>12673</v>
      </c>
      <c r="P165">
        <v>1138</v>
      </c>
      <c r="AQ165">
        <v>12673</v>
      </c>
      <c r="AT165">
        <v>43830</v>
      </c>
      <c r="AU165">
        <v>25959</v>
      </c>
      <c r="AY165">
        <v>162</v>
      </c>
      <c r="BN165">
        <v>1055</v>
      </c>
    </row>
    <row r="166" spans="1:69" x14ac:dyDescent="0.35">
      <c r="A166">
        <v>2019</v>
      </c>
      <c r="B166">
        <v>2019</v>
      </c>
      <c r="C166">
        <v>2019</v>
      </c>
      <c r="E166" t="s">
        <v>135</v>
      </c>
      <c r="F166" t="s">
        <v>136</v>
      </c>
      <c r="G166" t="s">
        <v>137</v>
      </c>
      <c r="I166">
        <v>442929.1</v>
      </c>
    </row>
    <row r="167" spans="1:69" x14ac:dyDescent="0.35">
      <c r="A167">
        <v>2019</v>
      </c>
      <c r="B167">
        <v>2019</v>
      </c>
      <c r="C167">
        <v>2019</v>
      </c>
      <c r="E167" t="s">
        <v>138</v>
      </c>
      <c r="F167" t="s">
        <v>139</v>
      </c>
      <c r="G167" t="s">
        <v>140</v>
      </c>
      <c r="I167">
        <v>62304.1</v>
      </c>
    </row>
    <row r="168" spans="1:69" x14ac:dyDescent="0.35">
      <c r="A168">
        <v>2019</v>
      </c>
      <c r="B168">
        <v>2019</v>
      </c>
      <c r="C168">
        <v>2019</v>
      </c>
      <c r="E168" t="s">
        <v>141</v>
      </c>
      <c r="F168" t="s">
        <v>142</v>
      </c>
      <c r="G168" t="s">
        <v>143</v>
      </c>
      <c r="I168">
        <v>1444188.8</v>
      </c>
      <c r="O168">
        <v>1300</v>
      </c>
      <c r="V168">
        <v>464</v>
      </c>
      <c r="W168">
        <v>468</v>
      </c>
    </row>
    <row r="169" spans="1:69" x14ac:dyDescent="0.35">
      <c r="A169">
        <v>2019</v>
      </c>
      <c r="B169">
        <v>2019</v>
      </c>
      <c r="C169">
        <v>2019</v>
      </c>
      <c r="E169" t="s">
        <v>144</v>
      </c>
      <c r="F169" t="s">
        <v>145</v>
      </c>
      <c r="G169" t="s">
        <v>146</v>
      </c>
      <c r="I169">
        <v>157728.4</v>
      </c>
      <c r="J169">
        <v>732</v>
      </c>
      <c r="K169">
        <v>697</v>
      </c>
      <c r="L169">
        <v>16</v>
      </c>
      <c r="M169">
        <v>1978</v>
      </c>
      <c r="N169">
        <v>767</v>
      </c>
      <c r="O169">
        <v>4</v>
      </c>
      <c r="P169">
        <v>54</v>
      </c>
      <c r="AC169">
        <v>7</v>
      </c>
      <c r="AQ169">
        <v>767</v>
      </c>
      <c r="AU169">
        <v>1978</v>
      </c>
      <c r="AY169">
        <v>10</v>
      </c>
      <c r="BG169">
        <v>201</v>
      </c>
      <c r="BN169">
        <v>35</v>
      </c>
      <c r="BO169">
        <v>11</v>
      </c>
    </row>
    <row r="170" spans="1:69" x14ac:dyDescent="0.35">
      <c r="A170">
        <v>2019</v>
      </c>
      <c r="B170">
        <v>2019</v>
      </c>
      <c r="C170">
        <v>2019</v>
      </c>
      <c r="E170" t="s">
        <v>147</v>
      </c>
      <c r="F170" t="s">
        <v>148</v>
      </c>
      <c r="G170" t="s">
        <v>149</v>
      </c>
      <c r="I170">
        <v>866367.5</v>
      </c>
      <c r="U170">
        <v>38338</v>
      </c>
      <c r="V170">
        <v>21</v>
      </c>
      <c r="W170">
        <v>12</v>
      </c>
    </row>
    <row r="171" spans="1:69" x14ac:dyDescent="0.35">
      <c r="A171">
        <v>2019</v>
      </c>
      <c r="B171">
        <v>2019</v>
      </c>
      <c r="C171">
        <v>2019</v>
      </c>
      <c r="E171" t="s">
        <v>150</v>
      </c>
      <c r="F171" t="s">
        <v>151</v>
      </c>
      <c r="G171" t="s">
        <v>152</v>
      </c>
      <c r="I171">
        <v>630365.19999999995</v>
      </c>
    </row>
    <row r="172" spans="1:69" x14ac:dyDescent="0.35">
      <c r="A172">
        <v>2019</v>
      </c>
      <c r="B172">
        <v>2019</v>
      </c>
      <c r="C172">
        <v>2019</v>
      </c>
      <c r="E172" t="s">
        <v>153</v>
      </c>
      <c r="F172" t="s">
        <v>154</v>
      </c>
      <c r="G172" t="s">
        <v>155</v>
      </c>
      <c r="I172">
        <v>843431.7</v>
      </c>
    </row>
    <row r="173" spans="1:69" x14ac:dyDescent="0.35">
      <c r="A173">
        <v>2019</v>
      </c>
      <c r="B173">
        <v>2019</v>
      </c>
      <c r="C173">
        <v>2019</v>
      </c>
      <c r="E173" t="s">
        <v>156</v>
      </c>
      <c r="F173" t="s">
        <v>157</v>
      </c>
      <c r="G173" t="s">
        <v>158</v>
      </c>
      <c r="I173">
        <v>14477.1</v>
      </c>
      <c r="J173">
        <v>3290</v>
      </c>
      <c r="O173">
        <v>351</v>
      </c>
      <c r="W173">
        <v>15</v>
      </c>
      <c r="AN173">
        <v>3290</v>
      </c>
    </row>
    <row r="174" spans="1:69" x14ac:dyDescent="0.35">
      <c r="A174">
        <v>2019</v>
      </c>
      <c r="B174">
        <v>2019</v>
      </c>
      <c r="C174">
        <v>2019</v>
      </c>
      <c r="E174" t="s">
        <v>159</v>
      </c>
      <c r="F174" t="s">
        <v>160</v>
      </c>
      <c r="G174" t="s">
        <v>161</v>
      </c>
      <c r="I174">
        <v>1103037.8</v>
      </c>
      <c r="J174">
        <v>2570</v>
      </c>
      <c r="K174">
        <v>1715</v>
      </c>
      <c r="M174">
        <v>8179</v>
      </c>
      <c r="N174">
        <v>6175</v>
      </c>
      <c r="O174">
        <v>288</v>
      </c>
      <c r="P174">
        <v>385</v>
      </c>
      <c r="Q174">
        <v>9444</v>
      </c>
      <c r="S174">
        <v>2</v>
      </c>
      <c r="U174">
        <v>6632</v>
      </c>
      <c r="V174">
        <v>305</v>
      </c>
      <c r="W174">
        <v>27</v>
      </c>
      <c r="Z174">
        <v>123</v>
      </c>
      <c r="AC174">
        <v>66</v>
      </c>
      <c r="AE174">
        <v>416</v>
      </c>
      <c r="AG174">
        <v>315</v>
      </c>
      <c r="AH174">
        <v>2789</v>
      </c>
      <c r="AK174">
        <v>2055</v>
      </c>
      <c r="AL174">
        <v>27</v>
      </c>
      <c r="AP174">
        <v>286</v>
      </c>
      <c r="AQ174">
        <v>5889</v>
      </c>
      <c r="AT174">
        <v>377</v>
      </c>
      <c r="AU174">
        <v>7802</v>
      </c>
      <c r="AX174">
        <v>745</v>
      </c>
      <c r="AY174">
        <v>76</v>
      </c>
      <c r="AZ174">
        <v>165</v>
      </c>
      <c r="BA174">
        <v>605</v>
      </c>
      <c r="BB174">
        <v>399</v>
      </c>
      <c r="BC174">
        <v>16937</v>
      </c>
      <c r="BD174">
        <v>6665</v>
      </c>
      <c r="BG174">
        <v>2261</v>
      </c>
      <c r="BH174">
        <v>93</v>
      </c>
      <c r="BI174">
        <v>302</v>
      </c>
      <c r="BJ174">
        <v>11</v>
      </c>
      <c r="BK174">
        <v>393</v>
      </c>
      <c r="BL174">
        <v>8</v>
      </c>
      <c r="BM174">
        <v>414</v>
      </c>
      <c r="BN174">
        <v>855</v>
      </c>
      <c r="BO174">
        <v>95</v>
      </c>
    </row>
    <row r="175" spans="1:69" x14ac:dyDescent="0.35">
      <c r="A175">
        <v>2019</v>
      </c>
      <c r="B175">
        <v>2019</v>
      </c>
      <c r="C175">
        <v>2019</v>
      </c>
      <c r="E175" t="s">
        <v>162</v>
      </c>
      <c r="F175" t="s">
        <v>163</v>
      </c>
      <c r="G175" t="s">
        <v>164</v>
      </c>
      <c r="I175">
        <v>70307.7</v>
      </c>
      <c r="J175">
        <v>900</v>
      </c>
      <c r="K175">
        <v>900</v>
      </c>
      <c r="M175">
        <v>5903</v>
      </c>
      <c r="N175">
        <v>5</v>
      </c>
      <c r="O175">
        <v>117</v>
      </c>
      <c r="P175">
        <v>514</v>
      </c>
      <c r="V175">
        <v>43</v>
      </c>
      <c r="W175">
        <v>137</v>
      </c>
      <c r="X175">
        <v>29</v>
      </c>
      <c r="AB175">
        <v>148</v>
      </c>
      <c r="AC175">
        <v>19</v>
      </c>
      <c r="AG175">
        <v>291</v>
      </c>
      <c r="AI175">
        <v>3</v>
      </c>
      <c r="AK175">
        <v>503</v>
      </c>
      <c r="AQ175">
        <v>5</v>
      </c>
      <c r="AT175">
        <v>44</v>
      </c>
      <c r="AU175">
        <v>5859</v>
      </c>
      <c r="AY175">
        <v>39</v>
      </c>
      <c r="AZ175">
        <v>99</v>
      </c>
      <c r="BA175">
        <v>32</v>
      </c>
      <c r="BD175">
        <v>53</v>
      </c>
      <c r="BG175">
        <v>300</v>
      </c>
      <c r="BH175">
        <v>123</v>
      </c>
      <c r="BO175">
        <v>41</v>
      </c>
    </row>
    <row r="176" spans="1:69" x14ac:dyDescent="0.35">
      <c r="A176">
        <v>2019</v>
      </c>
      <c r="B176">
        <v>2019</v>
      </c>
      <c r="C176">
        <v>2019</v>
      </c>
      <c r="E176" t="s">
        <v>165</v>
      </c>
      <c r="F176" t="s">
        <v>166</v>
      </c>
      <c r="G176" t="s">
        <v>167</v>
      </c>
      <c r="I176">
        <v>394736.7</v>
      </c>
      <c r="J176">
        <v>1492</v>
      </c>
      <c r="M176">
        <v>10409</v>
      </c>
      <c r="N176">
        <v>1561</v>
      </c>
      <c r="AN176">
        <v>1492</v>
      </c>
      <c r="AR176">
        <v>1561</v>
      </c>
      <c r="AS176">
        <v>10409</v>
      </c>
    </row>
    <row r="177" spans="1:69" x14ac:dyDescent="0.35">
      <c r="A177">
        <v>2019</v>
      </c>
      <c r="B177">
        <v>2019</v>
      </c>
      <c r="C177">
        <v>2019</v>
      </c>
      <c r="E177" t="s">
        <v>168</v>
      </c>
      <c r="F177" t="s">
        <v>169</v>
      </c>
      <c r="G177" t="s">
        <v>170</v>
      </c>
      <c r="I177">
        <v>535460.80000000005</v>
      </c>
      <c r="J177">
        <v>1435</v>
      </c>
      <c r="K177">
        <v>353</v>
      </c>
      <c r="L177">
        <v>1082</v>
      </c>
      <c r="M177">
        <v>6151</v>
      </c>
      <c r="N177">
        <v>2656</v>
      </c>
      <c r="O177">
        <v>219</v>
      </c>
      <c r="P177">
        <v>188</v>
      </c>
      <c r="Q177">
        <v>2663</v>
      </c>
      <c r="R177">
        <v>445</v>
      </c>
      <c r="S177">
        <v>2</v>
      </c>
      <c r="T177">
        <v>12</v>
      </c>
      <c r="U177">
        <v>1116</v>
      </c>
      <c r="V177">
        <v>0</v>
      </c>
      <c r="W177">
        <v>21</v>
      </c>
      <c r="X177">
        <v>4</v>
      </c>
      <c r="Z177">
        <v>155</v>
      </c>
      <c r="AB177">
        <v>835</v>
      </c>
      <c r="AC177">
        <v>103</v>
      </c>
      <c r="AD177">
        <v>3141</v>
      </c>
      <c r="AE177">
        <v>90</v>
      </c>
      <c r="AG177">
        <v>124</v>
      </c>
      <c r="AH177">
        <v>686</v>
      </c>
      <c r="AI177">
        <v>2112</v>
      </c>
      <c r="AK177">
        <v>715</v>
      </c>
      <c r="AL177">
        <v>1</v>
      </c>
      <c r="AM177">
        <v>123</v>
      </c>
      <c r="AN177">
        <v>0</v>
      </c>
      <c r="AO177">
        <v>70</v>
      </c>
      <c r="AP177">
        <v>460</v>
      </c>
      <c r="AQ177">
        <v>2196</v>
      </c>
      <c r="AR177">
        <v>0</v>
      </c>
      <c r="AS177">
        <v>0</v>
      </c>
      <c r="AT177">
        <v>3058</v>
      </c>
      <c r="AU177">
        <v>3093</v>
      </c>
      <c r="AV177">
        <v>1981</v>
      </c>
      <c r="AW177">
        <v>600</v>
      </c>
      <c r="AX177">
        <v>3</v>
      </c>
      <c r="AY177">
        <v>116</v>
      </c>
      <c r="AZ177">
        <v>1</v>
      </c>
      <c r="BA177">
        <v>1552</v>
      </c>
      <c r="BB177">
        <v>3647</v>
      </c>
      <c r="BC177">
        <v>1722</v>
      </c>
      <c r="BD177">
        <v>2352</v>
      </c>
      <c r="BE177">
        <v>12281</v>
      </c>
      <c r="BG177">
        <v>45</v>
      </c>
      <c r="BJ177">
        <v>41</v>
      </c>
      <c r="BK177">
        <v>16</v>
      </c>
      <c r="BM177">
        <v>402</v>
      </c>
      <c r="BN177">
        <v>1082</v>
      </c>
      <c r="BO177">
        <v>188</v>
      </c>
    </row>
    <row r="178" spans="1:69" x14ac:dyDescent="0.35">
      <c r="A178">
        <v>2019</v>
      </c>
      <c r="B178">
        <v>2019</v>
      </c>
      <c r="C178">
        <v>2019</v>
      </c>
      <c r="E178" t="s">
        <v>171</v>
      </c>
      <c r="F178" t="s">
        <v>172</v>
      </c>
      <c r="G178" t="s">
        <v>173</v>
      </c>
      <c r="I178">
        <v>1804.7</v>
      </c>
      <c r="J178">
        <v>220</v>
      </c>
      <c r="O178">
        <v>42</v>
      </c>
      <c r="V178">
        <v>37</v>
      </c>
      <c r="W178">
        <v>14</v>
      </c>
      <c r="AN178">
        <v>220</v>
      </c>
      <c r="BJ178">
        <v>4</v>
      </c>
      <c r="BO178">
        <v>35</v>
      </c>
    </row>
    <row r="179" spans="1:69" x14ac:dyDescent="0.35">
      <c r="A179">
        <v>2019</v>
      </c>
      <c r="B179">
        <v>2019</v>
      </c>
      <c r="C179">
        <v>2019</v>
      </c>
      <c r="E179" t="s">
        <v>174</v>
      </c>
      <c r="F179" t="s">
        <v>175</v>
      </c>
      <c r="G179" t="s">
        <v>176</v>
      </c>
      <c r="I179">
        <v>254698.9</v>
      </c>
      <c r="J179">
        <v>256</v>
      </c>
      <c r="K179">
        <v>231</v>
      </c>
      <c r="L179">
        <v>10</v>
      </c>
      <c r="M179">
        <v>4311</v>
      </c>
      <c r="N179">
        <v>2373</v>
      </c>
      <c r="O179">
        <v>7</v>
      </c>
      <c r="P179">
        <v>164</v>
      </c>
      <c r="U179">
        <v>15000</v>
      </c>
      <c r="V179">
        <v>140</v>
      </c>
      <c r="W179">
        <v>25</v>
      </c>
      <c r="AB179">
        <v>121</v>
      </c>
      <c r="AC179">
        <v>3</v>
      </c>
      <c r="AG179">
        <v>36</v>
      </c>
      <c r="AH179">
        <v>93</v>
      </c>
      <c r="AJ179">
        <v>342</v>
      </c>
      <c r="AM179">
        <v>64</v>
      </c>
      <c r="AP179">
        <v>1951</v>
      </c>
      <c r="AQ179">
        <v>422</v>
      </c>
      <c r="AT179">
        <v>3492</v>
      </c>
      <c r="AU179">
        <v>819</v>
      </c>
      <c r="AX179">
        <v>130</v>
      </c>
      <c r="AY179">
        <v>3</v>
      </c>
      <c r="AZ179">
        <v>15</v>
      </c>
      <c r="BD179">
        <v>319</v>
      </c>
      <c r="BG179">
        <v>213</v>
      </c>
      <c r="BH179">
        <v>8</v>
      </c>
      <c r="BJ179">
        <v>1</v>
      </c>
      <c r="BN179">
        <v>25</v>
      </c>
      <c r="BO179">
        <v>9</v>
      </c>
    </row>
    <row r="180" spans="1:69" x14ac:dyDescent="0.35">
      <c r="A180">
        <v>2019</v>
      </c>
      <c r="B180">
        <v>2019</v>
      </c>
      <c r="C180">
        <v>2019</v>
      </c>
      <c r="E180" t="s">
        <v>177</v>
      </c>
      <c r="F180" t="s">
        <v>178</v>
      </c>
      <c r="G180" t="s">
        <v>179</v>
      </c>
      <c r="I180">
        <v>1253306.6000000001</v>
      </c>
      <c r="J180">
        <v>46393</v>
      </c>
      <c r="M180">
        <v>64638</v>
      </c>
      <c r="O180">
        <v>6365</v>
      </c>
      <c r="S180">
        <v>3676</v>
      </c>
      <c r="T180">
        <v>2</v>
      </c>
      <c r="X180">
        <v>3555</v>
      </c>
      <c r="Y180">
        <v>140</v>
      </c>
      <c r="AB180">
        <v>3881</v>
      </c>
      <c r="AK180">
        <v>9939</v>
      </c>
      <c r="AN180">
        <v>46393</v>
      </c>
      <c r="AS180">
        <v>64638</v>
      </c>
      <c r="AX180">
        <v>226</v>
      </c>
      <c r="AZ180">
        <v>3830</v>
      </c>
      <c r="BH180">
        <v>7908</v>
      </c>
      <c r="BI180">
        <v>202</v>
      </c>
      <c r="BK180">
        <v>8742</v>
      </c>
    </row>
    <row r="181" spans="1:69" x14ac:dyDescent="0.35">
      <c r="A181">
        <v>2019</v>
      </c>
      <c r="B181">
        <v>2019</v>
      </c>
      <c r="C181">
        <v>2019</v>
      </c>
      <c r="E181" t="s">
        <v>180</v>
      </c>
      <c r="F181" t="s">
        <v>181</v>
      </c>
      <c r="G181" t="s">
        <v>182</v>
      </c>
      <c r="I181">
        <v>303184.59999999998</v>
      </c>
      <c r="J181">
        <v>342</v>
      </c>
      <c r="K181">
        <v>274</v>
      </c>
      <c r="L181">
        <v>9</v>
      </c>
      <c r="M181">
        <v>3714</v>
      </c>
      <c r="N181">
        <v>2380</v>
      </c>
      <c r="O181">
        <v>20</v>
      </c>
      <c r="P181">
        <v>98</v>
      </c>
      <c r="S181">
        <v>0</v>
      </c>
      <c r="T181">
        <v>9</v>
      </c>
      <c r="U181">
        <v>850</v>
      </c>
      <c r="V181">
        <v>96</v>
      </c>
      <c r="AB181">
        <v>8</v>
      </c>
      <c r="AC181">
        <v>8</v>
      </c>
      <c r="AG181">
        <v>13</v>
      </c>
      <c r="AK181">
        <v>485</v>
      </c>
      <c r="AM181">
        <v>850</v>
      </c>
      <c r="AP181">
        <v>2000</v>
      </c>
      <c r="AQ181">
        <v>380</v>
      </c>
      <c r="AT181">
        <v>3212</v>
      </c>
      <c r="AU181">
        <v>502</v>
      </c>
      <c r="AX181">
        <v>168</v>
      </c>
      <c r="AY181">
        <v>9</v>
      </c>
      <c r="AZ181">
        <v>13</v>
      </c>
      <c r="BA181">
        <v>20</v>
      </c>
      <c r="BD181">
        <v>580</v>
      </c>
      <c r="BF181">
        <v>5870</v>
      </c>
      <c r="BG181">
        <v>253</v>
      </c>
      <c r="BH181">
        <v>11</v>
      </c>
      <c r="BJ181">
        <v>3</v>
      </c>
      <c r="BN181">
        <v>68</v>
      </c>
      <c r="BO181">
        <v>14</v>
      </c>
      <c r="BP181">
        <v>0</v>
      </c>
      <c r="BQ181">
        <v>0</v>
      </c>
    </row>
    <row r="182" spans="1:69" x14ac:dyDescent="0.35">
      <c r="A182">
        <v>2019</v>
      </c>
      <c r="B182">
        <v>2019</v>
      </c>
      <c r="C182">
        <v>2019</v>
      </c>
      <c r="E182" t="s">
        <v>183</v>
      </c>
      <c r="F182" t="s">
        <v>184</v>
      </c>
      <c r="G182" t="s">
        <v>185</v>
      </c>
      <c r="I182">
        <v>176455.7</v>
      </c>
    </row>
    <row r="183" spans="1:69" x14ac:dyDescent="0.35">
      <c r="A183">
        <v>2019</v>
      </c>
      <c r="B183">
        <v>2019</v>
      </c>
      <c r="C183">
        <v>2019</v>
      </c>
      <c r="E183" t="s">
        <v>186</v>
      </c>
      <c r="F183" t="s">
        <v>187</v>
      </c>
      <c r="G183" t="s">
        <v>188</v>
      </c>
      <c r="I183">
        <v>1041927.9</v>
      </c>
      <c r="J183">
        <v>888</v>
      </c>
      <c r="AN183">
        <v>888</v>
      </c>
    </row>
    <row r="184" spans="1:69" x14ac:dyDescent="0.35">
      <c r="A184">
        <v>2019</v>
      </c>
      <c r="B184">
        <v>2019</v>
      </c>
      <c r="C184">
        <v>2019</v>
      </c>
      <c r="E184" t="s">
        <v>189</v>
      </c>
      <c r="F184" t="s">
        <v>190</v>
      </c>
      <c r="G184" t="s">
        <v>191</v>
      </c>
      <c r="I184">
        <v>1595456</v>
      </c>
      <c r="O184">
        <v>310</v>
      </c>
      <c r="U184">
        <v>179000</v>
      </c>
      <c r="V184">
        <v>900</v>
      </c>
      <c r="W184">
        <v>30</v>
      </c>
    </row>
    <row r="185" spans="1:69" x14ac:dyDescent="0.35">
      <c r="A185">
        <v>2019</v>
      </c>
      <c r="B185">
        <v>2019</v>
      </c>
      <c r="C185">
        <v>2019</v>
      </c>
      <c r="E185" t="s">
        <v>192</v>
      </c>
      <c r="F185" t="s">
        <v>193</v>
      </c>
      <c r="G185" t="s">
        <v>194</v>
      </c>
      <c r="I185">
        <v>641968.30000000005</v>
      </c>
      <c r="J185">
        <v>4386</v>
      </c>
      <c r="M185">
        <v>23035</v>
      </c>
      <c r="N185">
        <v>3223</v>
      </c>
      <c r="O185">
        <v>180</v>
      </c>
      <c r="P185">
        <v>856</v>
      </c>
      <c r="U185">
        <v>1846</v>
      </c>
      <c r="V185">
        <v>390</v>
      </c>
      <c r="AB185">
        <v>3207</v>
      </c>
      <c r="AG185">
        <v>929</v>
      </c>
      <c r="AJ185">
        <v>2045</v>
      </c>
      <c r="AK185">
        <v>18</v>
      </c>
      <c r="AN185">
        <v>4386</v>
      </c>
      <c r="AQ185">
        <v>3223</v>
      </c>
      <c r="AU185">
        <v>23035</v>
      </c>
      <c r="BD185">
        <v>4562</v>
      </c>
      <c r="BG185">
        <v>1312</v>
      </c>
      <c r="BH185">
        <v>864</v>
      </c>
    </row>
    <row r="186" spans="1:69" x14ac:dyDescent="0.35">
      <c r="A186">
        <v>2019</v>
      </c>
      <c r="B186">
        <v>2019</v>
      </c>
      <c r="C186">
        <v>2019</v>
      </c>
      <c r="E186" t="s">
        <v>195</v>
      </c>
      <c r="F186" t="s">
        <v>196</v>
      </c>
      <c r="G186" t="s">
        <v>197</v>
      </c>
      <c r="I186">
        <v>483729.8</v>
      </c>
      <c r="O186">
        <v>248</v>
      </c>
      <c r="V186">
        <v>329</v>
      </c>
      <c r="W186">
        <v>25</v>
      </c>
    </row>
    <row r="187" spans="1:69" x14ac:dyDescent="0.35">
      <c r="A187">
        <v>2019</v>
      </c>
      <c r="B187">
        <v>2019</v>
      </c>
      <c r="C187">
        <v>2019</v>
      </c>
      <c r="E187" t="s">
        <v>198</v>
      </c>
      <c r="F187" t="s">
        <v>199</v>
      </c>
      <c r="G187" t="s">
        <v>200</v>
      </c>
      <c r="I187">
        <v>101446.8</v>
      </c>
      <c r="J187">
        <v>248</v>
      </c>
      <c r="AN187">
        <v>248</v>
      </c>
      <c r="BJ187">
        <v>34</v>
      </c>
      <c r="BO187">
        <v>46</v>
      </c>
    </row>
    <row r="188" spans="1:69" x14ac:dyDescent="0.35">
      <c r="A188">
        <v>2019</v>
      </c>
      <c r="B188">
        <v>2019</v>
      </c>
      <c r="C188">
        <v>2019</v>
      </c>
      <c r="E188" t="s">
        <v>201</v>
      </c>
      <c r="F188" t="s">
        <v>202</v>
      </c>
      <c r="G188" t="s">
        <v>203</v>
      </c>
      <c r="I188">
        <v>266152.90000000002</v>
      </c>
      <c r="J188">
        <v>627</v>
      </c>
      <c r="K188">
        <v>230</v>
      </c>
      <c r="M188">
        <v>2134</v>
      </c>
      <c r="N188">
        <v>1619</v>
      </c>
      <c r="P188">
        <v>222</v>
      </c>
      <c r="Q188">
        <v>884</v>
      </c>
      <c r="S188">
        <v>35</v>
      </c>
      <c r="T188">
        <v>16</v>
      </c>
      <c r="V188">
        <v>25</v>
      </c>
      <c r="W188">
        <v>2</v>
      </c>
      <c r="X188">
        <v>1</v>
      </c>
      <c r="Y188">
        <v>2</v>
      </c>
      <c r="Z188">
        <v>17</v>
      </c>
      <c r="AA188">
        <v>332</v>
      </c>
      <c r="AB188">
        <v>21</v>
      </c>
      <c r="AC188">
        <v>48</v>
      </c>
      <c r="AD188">
        <v>3845</v>
      </c>
      <c r="AG188">
        <v>139</v>
      </c>
      <c r="AJ188">
        <v>195</v>
      </c>
      <c r="AK188">
        <v>518</v>
      </c>
      <c r="AL188">
        <v>14</v>
      </c>
      <c r="AP188">
        <v>834</v>
      </c>
      <c r="AQ188">
        <v>785</v>
      </c>
      <c r="AT188">
        <v>899</v>
      </c>
      <c r="AU188">
        <v>1235</v>
      </c>
      <c r="AX188">
        <v>5</v>
      </c>
      <c r="AY188">
        <v>45</v>
      </c>
      <c r="AZ188">
        <v>4</v>
      </c>
      <c r="BA188">
        <v>236</v>
      </c>
      <c r="BB188">
        <v>1353</v>
      </c>
      <c r="BC188">
        <v>1948</v>
      </c>
      <c r="BD188">
        <v>817</v>
      </c>
      <c r="BG188">
        <v>32</v>
      </c>
      <c r="BH188">
        <v>117</v>
      </c>
      <c r="BI188">
        <v>58</v>
      </c>
      <c r="BJ188">
        <v>5</v>
      </c>
      <c r="BK188">
        <v>61</v>
      </c>
      <c r="BL188">
        <v>41</v>
      </c>
      <c r="BM188">
        <v>21</v>
      </c>
      <c r="BN188">
        <v>397</v>
      </c>
      <c r="BO188">
        <v>63</v>
      </c>
    </row>
    <row r="189" spans="1:69" x14ac:dyDescent="0.35">
      <c r="A189">
        <v>2019</v>
      </c>
      <c r="B189">
        <v>2019</v>
      </c>
      <c r="C189">
        <v>2019</v>
      </c>
      <c r="E189" t="s">
        <v>204</v>
      </c>
      <c r="F189" t="s">
        <v>205</v>
      </c>
      <c r="G189" t="s">
        <v>206</v>
      </c>
      <c r="I189">
        <v>23881.9</v>
      </c>
    </row>
    <row r="190" spans="1:69" x14ac:dyDescent="0.35">
      <c r="A190">
        <v>2019</v>
      </c>
      <c r="B190">
        <v>2019</v>
      </c>
      <c r="C190">
        <v>2019</v>
      </c>
      <c r="E190" t="s">
        <v>207</v>
      </c>
      <c r="F190" t="s">
        <v>208</v>
      </c>
      <c r="G190" t="s">
        <v>209</v>
      </c>
      <c r="I190">
        <v>2192621.7000000002</v>
      </c>
    </row>
    <row r="191" spans="1:69" x14ac:dyDescent="0.35">
      <c r="A191">
        <v>2018</v>
      </c>
      <c r="B191">
        <v>2018</v>
      </c>
      <c r="C191">
        <v>2018</v>
      </c>
      <c r="E191" t="s">
        <v>69</v>
      </c>
      <c r="F191" t="s">
        <v>70</v>
      </c>
      <c r="G191" t="s">
        <v>71</v>
      </c>
      <c r="I191">
        <v>743373</v>
      </c>
      <c r="J191">
        <v>1684</v>
      </c>
      <c r="K191">
        <v>732</v>
      </c>
      <c r="O191">
        <v>91</v>
      </c>
      <c r="P191">
        <v>239</v>
      </c>
      <c r="V191">
        <v>185</v>
      </c>
      <c r="W191">
        <v>2</v>
      </c>
      <c r="AK191">
        <v>648</v>
      </c>
      <c r="BN191">
        <v>952</v>
      </c>
    </row>
    <row r="192" spans="1:69" x14ac:dyDescent="0.35">
      <c r="A192">
        <v>2018</v>
      </c>
      <c r="B192">
        <v>2018</v>
      </c>
      <c r="C192">
        <v>2018</v>
      </c>
      <c r="E192" t="s">
        <v>72</v>
      </c>
      <c r="F192" t="s">
        <v>73</v>
      </c>
      <c r="G192" t="s">
        <v>74</v>
      </c>
      <c r="I192">
        <v>204196.5</v>
      </c>
      <c r="J192">
        <v>335</v>
      </c>
      <c r="K192">
        <v>263</v>
      </c>
      <c r="M192">
        <v>1195</v>
      </c>
      <c r="O192">
        <v>10</v>
      </c>
      <c r="P192">
        <v>36</v>
      </c>
      <c r="U192">
        <v>115</v>
      </c>
      <c r="W192">
        <v>1</v>
      </c>
      <c r="AK192">
        <v>112</v>
      </c>
      <c r="AS192">
        <v>1195</v>
      </c>
      <c r="BN192">
        <v>72</v>
      </c>
    </row>
    <row r="193" spans="1:67" x14ac:dyDescent="0.35">
      <c r="A193">
        <v>2018</v>
      </c>
      <c r="B193">
        <v>2018</v>
      </c>
      <c r="C193">
        <v>2018</v>
      </c>
      <c r="E193" t="s">
        <v>75</v>
      </c>
      <c r="F193" t="s">
        <v>76</v>
      </c>
      <c r="G193" t="s">
        <v>77</v>
      </c>
      <c r="I193">
        <v>6389.2</v>
      </c>
      <c r="M193">
        <v>406</v>
      </c>
      <c r="AS193">
        <v>406</v>
      </c>
    </row>
    <row r="194" spans="1:67" x14ac:dyDescent="0.35">
      <c r="A194">
        <v>2018</v>
      </c>
      <c r="B194">
        <v>2018</v>
      </c>
      <c r="C194">
        <v>2018</v>
      </c>
      <c r="E194" t="s">
        <v>78</v>
      </c>
      <c r="F194" t="s">
        <v>79</v>
      </c>
      <c r="G194" t="s">
        <v>80</v>
      </c>
      <c r="I194">
        <v>3612384.5</v>
      </c>
      <c r="M194">
        <v>93326</v>
      </c>
      <c r="O194">
        <v>404</v>
      </c>
      <c r="P194">
        <v>1687</v>
      </c>
      <c r="AK194">
        <v>2934</v>
      </c>
      <c r="AS194">
        <v>41948</v>
      </c>
      <c r="AT194">
        <v>14398</v>
      </c>
      <c r="AU194">
        <v>36980</v>
      </c>
    </row>
    <row r="195" spans="1:67" x14ac:dyDescent="0.35">
      <c r="A195">
        <v>2018</v>
      </c>
      <c r="B195">
        <v>2018</v>
      </c>
      <c r="C195">
        <v>2018</v>
      </c>
      <c r="E195" t="s">
        <v>81</v>
      </c>
      <c r="F195" t="s">
        <v>82</v>
      </c>
      <c r="G195" t="s">
        <v>83</v>
      </c>
      <c r="I195">
        <v>3612346.7</v>
      </c>
      <c r="J195">
        <v>8395</v>
      </c>
      <c r="K195">
        <v>5867</v>
      </c>
      <c r="M195">
        <v>61772</v>
      </c>
      <c r="N195">
        <v>16159</v>
      </c>
      <c r="O195">
        <v>1889</v>
      </c>
      <c r="P195">
        <v>10752</v>
      </c>
      <c r="U195">
        <v>37259</v>
      </c>
      <c r="AK195">
        <v>10450</v>
      </c>
      <c r="AQ195">
        <v>16159</v>
      </c>
      <c r="AU195">
        <v>61772</v>
      </c>
      <c r="AY195">
        <v>200</v>
      </c>
      <c r="BA195">
        <v>36</v>
      </c>
      <c r="BN195">
        <v>2528</v>
      </c>
    </row>
    <row r="196" spans="1:67" x14ac:dyDescent="0.35">
      <c r="A196">
        <v>2018</v>
      </c>
      <c r="B196">
        <v>2018</v>
      </c>
      <c r="C196">
        <v>2018</v>
      </c>
      <c r="E196" t="s">
        <v>84</v>
      </c>
      <c r="F196" t="s">
        <v>85</v>
      </c>
      <c r="G196" t="s">
        <v>86</v>
      </c>
      <c r="I196">
        <v>7300350.5</v>
      </c>
      <c r="J196">
        <v>74543</v>
      </c>
      <c r="K196">
        <v>71508</v>
      </c>
      <c r="M196">
        <v>110105</v>
      </c>
      <c r="N196">
        <v>71237</v>
      </c>
      <c r="O196">
        <v>4358</v>
      </c>
      <c r="P196">
        <v>24668</v>
      </c>
      <c r="S196">
        <v>56</v>
      </c>
      <c r="U196">
        <v>116454</v>
      </c>
      <c r="V196">
        <v>19269</v>
      </c>
      <c r="W196">
        <v>6165</v>
      </c>
      <c r="Y196">
        <v>1029</v>
      </c>
      <c r="AC196">
        <v>370</v>
      </c>
      <c r="AG196">
        <v>2578</v>
      </c>
      <c r="AJ196">
        <v>29246</v>
      </c>
      <c r="AK196">
        <v>26677</v>
      </c>
      <c r="AQ196">
        <v>71237</v>
      </c>
      <c r="AU196">
        <v>110105</v>
      </c>
      <c r="AY196">
        <v>404</v>
      </c>
      <c r="AZ196">
        <v>4626</v>
      </c>
      <c r="BG196">
        <v>5793</v>
      </c>
      <c r="BH196">
        <v>4793</v>
      </c>
      <c r="BI196">
        <v>360</v>
      </c>
      <c r="BJ196">
        <v>116</v>
      </c>
      <c r="BN196">
        <v>3035</v>
      </c>
    </row>
    <row r="197" spans="1:67" x14ac:dyDescent="0.35">
      <c r="A197">
        <v>2018</v>
      </c>
      <c r="B197">
        <v>2018</v>
      </c>
      <c r="C197">
        <v>2018</v>
      </c>
      <c r="E197" t="s">
        <v>87</v>
      </c>
      <c r="F197" t="s">
        <v>88</v>
      </c>
      <c r="G197" t="s">
        <v>89</v>
      </c>
      <c r="I197">
        <v>63976.2</v>
      </c>
      <c r="J197">
        <v>1368</v>
      </c>
      <c r="K197">
        <v>570</v>
      </c>
      <c r="M197">
        <v>6085</v>
      </c>
      <c r="O197">
        <v>40</v>
      </c>
      <c r="P197">
        <v>227</v>
      </c>
      <c r="AK197">
        <v>439</v>
      </c>
      <c r="AS197">
        <v>6085</v>
      </c>
      <c r="BN197">
        <v>798</v>
      </c>
    </row>
    <row r="198" spans="1:67" x14ac:dyDescent="0.35">
      <c r="A198">
        <v>2018</v>
      </c>
      <c r="B198">
        <v>2018</v>
      </c>
      <c r="C198">
        <v>2018</v>
      </c>
      <c r="E198" t="s">
        <v>90</v>
      </c>
      <c r="F198" t="s">
        <v>91</v>
      </c>
      <c r="G198" t="s">
        <v>92</v>
      </c>
      <c r="I198">
        <v>143140.70000000001</v>
      </c>
      <c r="J198">
        <v>850</v>
      </c>
      <c r="K198">
        <v>487</v>
      </c>
      <c r="M198">
        <v>4066</v>
      </c>
      <c r="N198">
        <v>671</v>
      </c>
      <c r="O198">
        <v>112</v>
      </c>
      <c r="P198">
        <v>78</v>
      </c>
      <c r="AB198">
        <v>5</v>
      </c>
      <c r="AQ198">
        <v>671</v>
      </c>
      <c r="AS198">
        <v>3605</v>
      </c>
      <c r="AU198">
        <v>461</v>
      </c>
      <c r="AV198">
        <v>11</v>
      </c>
      <c r="AW198">
        <v>80</v>
      </c>
      <c r="BN198">
        <v>363</v>
      </c>
    </row>
    <row r="199" spans="1:67" x14ac:dyDescent="0.35">
      <c r="A199">
        <v>2018</v>
      </c>
      <c r="B199">
        <v>2018</v>
      </c>
      <c r="C199">
        <v>2018</v>
      </c>
      <c r="E199" t="s">
        <v>93</v>
      </c>
      <c r="F199" t="s">
        <v>94</v>
      </c>
      <c r="G199" t="s">
        <v>95</v>
      </c>
      <c r="I199">
        <v>30300.3</v>
      </c>
      <c r="J199">
        <v>278</v>
      </c>
      <c r="K199">
        <v>211</v>
      </c>
      <c r="M199">
        <v>4706</v>
      </c>
      <c r="O199">
        <v>74</v>
      </c>
      <c r="P199">
        <v>281</v>
      </c>
      <c r="U199">
        <v>6324</v>
      </c>
      <c r="AK199">
        <v>370</v>
      </c>
      <c r="AT199">
        <v>1029</v>
      </c>
      <c r="AU199">
        <v>3677</v>
      </c>
      <c r="BN199">
        <v>67</v>
      </c>
    </row>
    <row r="200" spans="1:67" x14ac:dyDescent="0.35">
      <c r="A200">
        <v>2018</v>
      </c>
      <c r="B200">
        <v>2018</v>
      </c>
      <c r="C200">
        <v>2018</v>
      </c>
      <c r="E200" t="s">
        <v>96</v>
      </c>
      <c r="F200" t="s">
        <v>97</v>
      </c>
      <c r="G200" t="s">
        <v>98</v>
      </c>
      <c r="I200">
        <v>59244.9</v>
      </c>
      <c r="J200">
        <v>998</v>
      </c>
      <c r="K200">
        <v>815</v>
      </c>
      <c r="M200">
        <v>6866</v>
      </c>
      <c r="O200">
        <v>159</v>
      </c>
      <c r="P200">
        <v>398</v>
      </c>
      <c r="U200">
        <v>14508</v>
      </c>
      <c r="AK200">
        <v>205</v>
      </c>
      <c r="AT200">
        <v>2180</v>
      </c>
      <c r="AU200">
        <v>4686</v>
      </c>
      <c r="BN200">
        <v>183</v>
      </c>
    </row>
    <row r="201" spans="1:67" x14ac:dyDescent="0.35">
      <c r="A201">
        <v>2018</v>
      </c>
      <c r="B201">
        <v>2018</v>
      </c>
      <c r="C201">
        <v>2018</v>
      </c>
      <c r="E201" t="s">
        <v>99</v>
      </c>
      <c r="F201" t="s">
        <v>100</v>
      </c>
      <c r="G201" t="s">
        <v>101</v>
      </c>
      <c r="I201">
        <v>1036361.6</v>
      </c>
      <c r="J201">
        <v>72604</v>
      </c>
      <c r="K201">
        <v>32774</v>
      </c>
      <c r="L201">
        <v>19815</v>
      </c>
      <c r="M201">
        <v>56411</v>
      </c>
      <c r="N201">
        <v>8948</v>
      </c>
      <c r="O201">
        <v>15437</v>
      </c>
      <c r="P201">
        <v>18807</v>
      </c>
      <c r="Q201">
        <v>25611</v>
      </c>
      <c r="T201">
        <v>515</v>
      </c>
      <c r="V201">
        <v>46</v>
      </c>
      <c r="W201">
        <v>729</v>
      </c>
      <c r="X201">
        <v>406</v>
      </c>
      <c r="Z201">
        <v>240</v>
      </c>
      <c r="AB201">
        <v>1258</v>
      </c>
      <c r="AC201">
        <v>2960</v>
      </c>
      <c r="AE201">
        <v>653</v>
      </c>
      <c r="AG201">
        <v>6245</v>
      </c>
      <c r="AH201">
        <v>900</v>
      </c>
      <c r="AI201">
        <v>2148</v>
      </c>
      <c r="AJ201">
        <v>15238</v>
      </c>
      <c r="AK201">
        <v>136</v>
      </c>
      <c r="AL201">
        <v>107</v>
      </c>
      <c r="AO201">
        <v>168</v>
      </c>
      <c r="AP201">
        <v>209</v>
      </c>
      <c r="AQ201">
        <v>8739</v>
      </c>
      <c r="AT201">
        <v>11238</v>
      </c>
      <c r="AU201">
        <v>45173</v>
      </c>
      <c r="AY201">
        <v>3114</v>
      </c>
      <c r="AZ201">
        <v>1533</v>
      </c>
      <c r="BA201">
        <v>3792</v>
      </c>
      <c r="BB201">
        <v>6184</v>
      </c>
      <c r="BC201">
        <v>75033</v>
      </c>
      <c r="BD201">
        <v>365</v>
      </c>
      <c r="BF201">
        <v>42507</v>
      </c>
      <c r="BG201">
        <v>880</v>
      </c>
      <c r="BH201">
        <v>1751</v>
      </c>
      <c r="BI201">
        <v>220</v>
      </c>
      <c r="BJ201">
        <v>1192</v>
      </c>
      <c r="BK201">
        <v>4403</v>
      </c>
      <c r="BN201">
        <v>39830</v>
      </c>
      <c r="BO201">
        <v>8957</v>
      </c>
    </row>
    <row r="202" spans="1:67" x14ac:dyDescent="0.35">
      <c r="A202">
        <v>2018</v>
      </c>
      <c r="B202">
        <v>2018</v>
      </c>
      <c r="C202">
        <v>2018</v>
      </c>
      <c r="E202" t="s">
        <v>102</v>
      </c>
      <c r="F202" t="s">
        <v>103</v>
      </c>
      <c r="G202" t="s">
        <v>104</v>
      </c>
      <c r="I202">
        <v>1224269.3</v>
      </c>
      <c r="J202">
        <v>6593</v>
      </c>
      <c r="K202">
        <v>3043</v>
      </c>
      <c r="M202">
        <v>12554</v>
      </c>
      <c r="O202">
        <v>1652</v>
      </c>
      <c r="P202">
        <v>2302</v>
      </c>
      <c r="U202">
        <v>1680</v>
      </c>
      <c r="AK202">
        <v>98</v>
      </c>
      <c r="AT202">
        <v>3237</v>
      </c>
      <c r="AU202">
        <v>9317</v>
      </c>
      <c r="BN202">
        <v>3550</v>
      </c>
    </row>
    <row r="203" spans="1:67" x14ac:dyDescent="0.35">
      <c r="A203">
        <v>2018</v>
      </c>
      <c r="B203">
        <v>2018</v>
      </c>
      <c r="C203">
        <v>2018</v>
      </c>
      <c r="E203" t="s">
        <v>105</v>
      </c>
      <c r="F203" t="s">
        <v>106</v>
      </c>
      <c r="G203" t="s">
        <v>107</v>
      </c>
      <c r="I203">
        <v>442748.4</v>
      </c>
      <c r="J203">
        <v>908</v>
      </c>
      <c r="K203">
        <v>346</v>
      </c>
      <c r="L203">
        <v>13</v>
      </c>
      <c r="M203">
        <v>3410</v>
      </c>
      <c r="N203">
        <v>1055</v>
      </c>
      <c r="O203">
        <v>12</v>
      </c>
      <c r="P203">
        <v>306</v>
      </c>
      <c r="Q203">
        <v>4463</v>
      </c>
      <c r="AB203">
        <v>255</v>
      </c>
      <c r="AC203">
        <v>47</v>
      </c>
      <c r="AG203">
        <v>137</v>
      </c>
      <c r="AK203">
        <v>668</v>
      </c>
      <c r="AQ203">
        <v>1055</v>
      </c>
      <c r="AU203">
        <v>3410</v>
      </c>
      <c r="AY203">
        <v>76</v>
      </c>
      <c r="BA203">
        <v>334</v>
      </c>
      <c r="BD203">
        <v>5086</v>
      </c>
      <c r="BG203">
        <v>45</v>
      </c>
      <c r="BH203">
        <v>58</v>
      </c>
      <c r="BJ203">
        <v>6</v>
      </c>
      <c r="BM203">
        <v>102</v>
      </c>
      <c r="BN203">
        <v>562</v>
      </c>
      <c r="BO203">
        <v>8</v>
      </c>
    </row>
    <row r="204" spans="1:67" x14ac:dyDescent="0.35">
      <c r="A204">
        <v>2018</v>
      </c>
      <c r="B204">
        <v>2018</v>
      </c>
      <c r="C204">
        <v>2018</v>
      </c>
      <c r="E204" t="s">
        <v>108</v>
      </c>
      <c r="F204" t="s">
        <v>109</v>
      </c>
      <c r="G204" t="s">
        <v>110</v>
      </c>
      <c r="I204">
        <v>62387.4</v>
      </c>
      <c r="J204">
        <v>925</v>
      </c>
      <c r="K204">
        <v>807</v>
      </c>
      <c r="M204">
        <v>7645</v>
      </c>
      <c r="O204">
        <v>96</v>
      </c>
      <c r="P204">
        <v>156</v>
      </c>
      <c r="Q204">
        <v>534</v>
      </c>
      <c r="R204">
        <v>927</v>
      </c>
      <c r="S204">
        <v>9</v>
      </c>
      <c r="T204">
        <v>16</v>
      </c>
      <c r="V204">
        <v>27</v>
      </c>
      <c r="W204">
        <v>27</v>
      </c>
      <c r="X204">
        <v>40</v>
      </c>
      <c r="Z204">
        <v>36</v>
      </c>
      <c r="AD204">
        <v>1563</v>
      </c>
      <c r="AE204">
        <v>24</v>
      </c>
      <c r="AG204">
        <v>134</v>
      </c>
      <c r="AH204">
        <v>156</v>
      </c>
      <c r="AI204">
        <v>63</v>
      </c>
      <c r="AJ204">
        <v>318</v>
      </c>
      <c r="AK204">
        <v>160</v>
      </c>
      <c r="AM204">
        <v>73</v>
      </c>
      <c r="AU204">
        <v>7645</v>
      </c>
      <c r="AX204">
        <v>3</v>
      </c>
      <c r="AZ204">
        <v>5</v>
      </c>
      <c r="BB204">
        <v>1248</v>
      </c>
      <c r="BC204">
        <v>3342</v>
      </c>
      <c r="BD204">
        <v>10</v>
      </c>
      <c r="BG204">
        <v>435</v>
      </c>
      <c r="BH204">
        <v>42</v>
      </c>
      <c r="BK204">
        <v>16</v>
      </c>
      <c r="BN204">
        <v>118</v>
      </c>
    </row>
    <row r="205" spans="1:67" x14ac:dyDescent="0.35">
      <c r="A205">
        <v>2018</v>
      </c>
      <c r="B205">
        <v>2018</v>
      </c>
      <c r="C205">
        <v>2018</v>
      </c>
      <c r="E205" t="s">
        <v>111</v>
      </c>
      <c r="F205" t="s">
        <v>112</v>
      </c>
      <c r="G205" t="s">
        <v>113</v>
      </c>
      <c r="I205">
        <v>421562</v>
      </c>
      <c r="M205">
        <v>9156</v>
      </c>
      <c r="O205">
        <v>14</v>
      </c>
      <c r="P205">
        <v>119</v>
      </c>
      <c r="U205">
        <v>11845</v>
      </c>
      <c r="AK205">
        <v>1071</v>
      </c>
      <c r="AS205">
        <v>9156</v>
      </c>
      <c r="AY205">
        <v>20</v>
      </c>
      <c r="BA205">
        <v>5</v>
      </c>
      <c r="BO205">
        <v>20</v>
      </c>
    </row>
    <row r="206" spans="1:67" x14ac:dyDescent="0.35">
      <c r="A206">
        <v>2018</v>
      </c>
      <c r="B206">
        <v>2018</v>
      </c>
      <c r="C206">
        <v>2018</v>
      </c>
      <c r="E206" t="s">
        <v>114</v>
      </c>
      <c r="F206" t="s">
        <v>115</v>
      </c>
      <c r="G206" t="s">
        <v>116</v>
      </c>
      <c r="I206">
        <v>10880.9</v>
      </c>
      <c r="J206">
        <v>452</v>
      </c>
      <c r="K206">
        <v>165</v>
      </c>
      <c r="M206">
        <v>706</v>
      </c>
      <c r="O206">
        <v>81</v>
      </c>
      <c r="P206">
        <v>172</v>
      </c>
      <c r="U206">
        <v>117</v>
      </c>
      <c r="AK206">
        <v>65</v>
      </c>
      <c r="AS206">
        <v>706</v>
      </c>
      <c r="BN206">
        <v>287</v>
      </c>
      <c r="BO206">
        <v>12</v>
      </c>
    </row>
    <row r="207" spans="1:67" x14ac:dyDescent="0.35">
      <c r="A207">
        <v>2018</v>
      </c>
      <c r="B207">
        <v>2018</v>
      </c>
      <c r="C207">
        <v>2018</v>
      </c>
      <c r="E207" t="s">
        <v>117</v>
      </c>
      <c r="F207" t="s">
        <v>118</v>
      </c>
      <c r="G207" t="s">
        <v>119</v>
      </c>
      <c r="I207">
        <v>903131.8</v>
      </c>
      <c r="J207">
        <v>3259</v>
      </c>
      <c r="K207">
        <v>2400</v>
      </c>
      <c r="M207">
        <v>9156</v>
      </c>
      <c r="P207">
        <v>14</v>
      </c>
      <c r="AK207">
        <v>241</v>
      </c>
      <c r="AS207">
        <v>9156</v>
      </c>
      <c r="BN207">
        <v>859</v>
      </c>
    </row>
    <row r="208" spans="1:67" x14ac:dyDescent="0.35">
      <c r="A208">
        <v>2018</v>
      </c>
      <c r="B208">
        <v>2018</v>
      </c>
      <c r="C208">
        <v>2018</v>
      </c>
      <c r="E208" t="s">
        <v>120</v>
      </c>
      <c r="F208" t="s">
        <v>121</v>
      </c>
      <c r="G208" t="s">
        <v>122</v>
      </c>
      <c r="I208">
        <v>661394.80000000005</v>
      </c>
      <c r="J208">
        <v>803</v>
      </c>
      <c r="K208">
        <v>646</v>
      </c>
      <c r="M208">
        <v>4799</v>
      </c>
      <c r="O208">
        <v>3</v>
      </c>
      <c r="P208">
        <v>269</v>
      </c>
      <c r="AK208">
        <v>749</v>
      </c>
      <c r="AS208">
        <v>4799</v>
      </c>
      <c r="BN208">
        <v>157</v>
      </c>
    </row>
    <row r="209" spans="1:69" x14ac:dyDescent="0.35">
      <c r="A209">
        <v>2018</v>
      </c>
      <c r="B209">
        <v>2018</v>
      </c>
      <c r="C209">
        <v>2018</v>
      </c>
      <c r="E209" t="s">
        <v>123</v>
      </c>
      <c r="F209" t="s">
        <v>124</v>
      </c>
      <c r="G209" t="s">
        <v>125</v>
      </c>
      <c r="I209">
        <v>875669</v>
      </c>
      <c r="J209">
        <v>5602</v>
      </c>
      <c r="K209">
        <v>4246</v>
      </c>
      <c r="M209">
        <v>15163</v>
      </c>
      <c r="O209">
        <v>506</v>
      </c>
      <c r="P209">
        <v>2495</v>
      </c>
      <c r="U209">
        <v>14556</v>
      </c>
      <c r="AT209">
        <v>3595</v>
      </c>
      <c r="AU209">
        <v>11568</v>
      </c>
      <c r="BN209">
        <v>1356</v>
      </c>
    </row>
    <row r="210" spans="1:69" x14ac:dyDescent="0.35">
      <c r="A210">
        <v>2018</v>
      </c>
      <c r="B210">
        <v>2018</v>
      </c>
      <c r="C210">
        <v>2018</v>
      </c>
      <c r="E210" t="s">
        <v>126</v>
      </c>
      <c r="F210" t="s">
        <v>127</v>
      </c>
      <c r="G210" t="s">
        <v>128</v>
      </c>
      <c r="I210">
        <v>47969.599999999999</v>
      </c>
      <c r="P210">
        <v>10</v>
      </c>
      <c r="AK210">
        <v>2</v>
      </c>
    </row>
    <row r="211" spans="1:69" x14ac:dyDescent="0.35">
      <c r="A211">
        <v>2018</v>
      </c>
      <c r="B211">
        <v>2018</v>
      </c>
      <c r="C211">
        <v>2018</v>
      </c>
      <c r="E211" t="s">
        <v>129</v>
      </c>
      <c r="F211" t="s">
        <v>130</v>
      </c>
      <c r="G211" t="s">
        <v>131</v>
      </c>
      <c r="I211">
        <v>85148.1</v>
      </c>
      <c r="J211">
        <v>298</v>
      </c>
      <c r="K211">
        <v>181</v>
      </c>
      <c r="M211">
        <v>1498</v>
      </c>
      <c r="O211">
        <v>4</v>
      </c>
      <c r="P211">
        <v>2</v>
      </c>
      <c r="U211">
        <v>1553</v>
      </c>
      <c r="V211">
        <v>10</v>
      </c>
      <c r="W211">
        <v>7</v>
      </c>
      <c r="AK211">
        <v>138</v>
      </c>
      <c r="AS211">
        <v>1498</v>
      </c>
      <c r="BG211">
        <v>76</v>
      </c>
      <c r="BN211">
        <v>117</v>
      </c>
    </row>
    <row r="212" spans="1:69" x14ac:dyDescent="0.35">
      <c r="A212">
        <v>2018</v>
      </c>
      <c r="B212">
        <v>2018</v>
      </c>
      <c r="C212">
        <v>2018</v>
      </c>
      <c r="E212" t="s">
        <v>132</v>
      </c>
      <c r="F212" t="s">
        <v>133</v>
      </c>
      <c r="G212" t="s">
        <v>134</v>
      </c>
      <c r="I212">
        <v>889062.6</v>
      </c>
      <c r="J212">
        <v>4406</v>
      </c>
      <c r="K212">
        <v>3316</v>
      </c>
      <c r="M212">
        <v>125024</v>
      </c>
      <c r="N212">
        <v>10489</v>
      </c>
      <c r="O212">
        <v>713</v>
      </c>
      <c r="P212">
        <v>918</v>
      </c>
      <c r="U212">
        <v>15820</v>
      </c>
      <c r="AK212">
        <v>1563</v>
      </c>
      <c r="AQ212">
        <v>10489</v>
      </c>
      <c r="AT212">
        <v>64494</v>
      </c>
      <c r="AU212">
        <v>60530</v>
      </c>
      <c r="BN212">
        <v>1090</v>
      </c>
    </row>
    <row r="213" spans="1:69" x14ac:dyDescent="0.35">
      <c r="A213">
        <v>2018</v>
      </c>
      <c r="B213">
        <v>2018</v>
      </c>
      <c r="C213">
        <v>2018</v>
      </c>
      <c r="E213" t="s">
        <v>135</v>
      </c>
      <c r="F213" t="s">
        <v>136</v>
      </c>
      <c r="G213" t="s">
        <v>137</v>
      </c>
      <c r="I213">
        <v>438506.5</v>
      </c>
      <c r="J213">
        <v>2787</v>
      </c>
      <c r="K213">
        <v>2649</v>
      </c>
      <c r="M213">
        <v>7195</v>
      </c>
      <c r="O213">
        <v>73</v>
      </c>
      <c r="P213">
        <v>255</v>
      </c>
      <c r="U213">
        <v>16567</v>
      </c>
      <c r="AK213">
        <v>181</v>
      </c>
      <c r="AS213">
        <v>7195</v>
      </c>
      <c r="BN213">
        <v>138</v>
      </c>
    </row>
    <row r="214" spans="1:69" x14ac:dyDescent="0.35">
      <c r="A214">
        <v>2018</v>
      </c>
      <c r="B214">
        <v>2018</v>
      </c>
      <c r="C214">
        <v>2018</v>
      </c>
      <c r="E214" t="s">
        <v>138</v>
      </c>
      <c r="F214" t="s">
        <v>139</v>
      </c>
      <c r="G214" t="s">
        <v>140</v>
      </c>
      <c r="I214">
        <v>61876.9</v>
      </c>
      <c r="J214">
        <v>578</v>
      </c>
      <c r="K214">
        <v>544</v>
      </c>
      <c r="L214">
        <v>21</v>
      </c>
      <c r="M214">
        <v>744</v>
      </c>
      <c r="N214">
        <v>0</v>
      </c>
      <c r="O214">
        <v>0</v>
      </c>
      <c r="P214">
        <v>11</v>
      </c>
      <c r="Q214">
        <v>3</v>
      </c>
      <c r="R214">
        <v>15</v>
      </c>
      <c r="S214">
        <v>0</v>
      </c>
      <c r="T214">
        <v>2</v>
      </c>
      <c r="U214">
        <v>3481</v>
      </c>
      <c r="V214">
        <v>8</v>
      </c>
      <c r="W214">
        <v>0</v>
      </c>
      <c r="X214">
        <v>5</v>
      </c>
      <c r="Y214">
        <v>0</v>
      </c>
      <c r="Z214">
        <v>0</v>
      </c>
      <c r="AA214">
        <v>0</v>
      </c>
      <c r="AB214">
        <v>1</v>
      </c>
      <c r="AD214">
        <v>0</v>
      </c>
      <c r="AE214">
        <v>1</v>
      </c>
      <c r="AF214">
        <v>0</v>
      </c>
      <c r="AG214">
        <v>17</v>
      </c>
      <c r="AH214">
        <v>0</v>
      </c>
      <c r="AI214">
        <v>0</v>
      </c>
      <c r="AJ214">
        <v>0</v>
      </c>
      <c r="AK214">
        <v>53</v>
      </c>
      <c r="AL214">
        <v>0</v>
      </c>
      <c r="AM214">
        <v>1</v>
      </c>
      <c r="AN214">
        <v>0</v>
      </c>
      <c r="AO214">
        <v>221</v>
      </c>
      <c r="AP214">
        <v>0</v>
      </c>
      <c r="AR214">
        <v>0</v>
      </c>
      <c r="AS214">
        <v>0</v>
      </c>
      <c r="AT214">
        <v>0</v>
      </c>
      <c r="AU214">
        <v>744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18</v>
      </c>
      <c r="BH214">
        <v>15</v>
      </c>
      <c r="BI214">
        <v>0</v>
      </c>
      <c r="BJ214">
        <v>0</v>
      </c>
      <c r="BK214">
        <v>2</v>
      </c>
      <c r="BL214">
        <v>0</v>
      </c>
      <c r="BM214">
        <v>53</v>
      </c>
      <c r="BN214">
        <v>34</v>
      </c>
      <c r="BO214">
        <v>3</v>
      </c>
      <c r="BQ214">
        <v>0</v>
      </c>
    </row>
    <row r="215" spans="1:69" x14ac:dyDescent="0.35">
      <c r="A215">
        <v>2018</v>
      </c>
      <c r="B215">
        <v>2018</v>
      </c>
      <c r="C215">
        <v>2018</v>
      </c>
      <c r="E215" t="s">
        <v>141</v>
      </c>
      <c r="F215" t="s">
        <v>142</v>
      </c>
      <c r="G215" t="s">
        <v>143</v>
      </c>
      <c r="I215">
        <v>1442173.7</v>
      </c>
      <c r="J215">
        <v>8042</v>
      </c>
      <c r="K215">
        <v>5602</v>
      </c>
      <c r="L215">
        <v>2440</v>
      </c>
      <c r="M215">
        <v>59901</v>
      </c>
      <c r="O215">
        <v>841</v>
      </c>
      <c r="P215">
        <v>964</v>
      </c>
      <c r="Q215">
        <v>2759</v>
      </c>
      <c r="U215">
        <v>58079</v>
      </c>
      <c r="AA215">
        <v>3682</v>
      </c>
      <c r="AB215">
        <v>1628</v>
      </c>
      <c r="AC215">
        <v>339</v>
      </c>
      <c r="AE215">
        <v>1705</v>
      </c>
      <c r="AG215">
        <v>430</v>
      </c>
      <c r="AM215">
        <v>714</v>
      </c>
      <c r="AT215">
        <v>13198</v>
      </c>
      <c r="AU215">
        <v>46703</v>
      </c>
      <c r="AX215">
        <v>1147</v>
      </c>
      <c r="AY215">
        <v>400</v>
      </c>
      <c r="BA215">
        <v>1112</v>
      </c>
      <c r="BD215">
        <v>21942</v>
      </c>
      <c r="BG215">
        <v>1331</v>
      </c>
      <c r="BJ215">
        <v>71</v>
      </c>
      <c r="BN215">
        <v>2440</v>
      </c>
      <c r="BO215">
        <v>518</v>
      </c>
    </row>
    <row r="216" spans="1:69" x14ac:dyDescent="0.35">
      <c r="A216">
        <v>2018</v>
      </c>
      <c r="B216">
        <v>2018</v>
      </c>
      <c r="C216">
        <v>2018</v>
      </c>
      <c r="E216" t="s">
        <v>144</v>
      </c>
      <c r="F216" t="s">
        <v>145</v>
      </c>
      <c r="G216" t="s">
        <v>146</v>
      </c>
      <c r="I216">
        <v>156857.29999999999</v>
      </c>
      <c r="J216">
        <v>693</v>
      </c>
      <c r="K216">
        <v>672</v>
      </c>
      <c r="L216">
        <v>6</v>
      </c>
      <c r="M216">
        <v>2263</v>
      </c>
      <c r="N216">
        <v>892</v>
      </c>
      <c r="O216">
        <v>3</v>
      </c>
      <c r="P216">
        <v>93</v>
      </c>
      <c r="U216">
        <v>3391</v>
      </c>
      <c r="AC216">
        <v>5</v>
      </c>
      <c r="AQ216">
        <v>892</v>
      </c>
      <c r="AU216">
        <v>2263</v>
      </c>
      <c r="AY216">
        <v>6</v>
      </c>
      <c r="BN216">
        <v>21</v>
      </c>
      <c r="BO216">
        <v>4</v>
      </c>
    </row>
    <row r="217" spans="1:69" x14ac:dyDescent="0.35">
      <c r="A217">
        <v>2018</v>
      </c>
      <c r="B217">
        <v>2018</v>
      </c>
      <c r="C217">
        <v>2018</v>
      </c>
      <c r="E217" t="s">
        <v>147</v>
      </c>
      <c r="F217" t="s">
        <v>148</v>
      </c>
      <c r="G217" t="s">
        <v>149</v>
      </c>
      <c r="I217">
        <v>853987.6</v>
      </c>
      <c r="M217">
        <v>3833</v>
      </c>
      <c r="N217">
        <v>3994</v>
      </c>
      <c r="O217">
        <v>225</v>
      </c>
      <c r="P217">
        <v>27</v>
      </c>
      <c r="U217">
        <v>35000</v>
      </c>
      <c r="AK217">
        <v>306</v>
      </c>
      <c r="AQ217">
        <v>3994</v>
      </c>
      <c r="AU217">
        <v>3833</v>
      </c>
    </row>
    <row r="218" spans="1:69" x14ac:dyDescent="0.35">
      <c r="A218">
        <v>2018</v>
      </c>
      <c r="B218">
        <v>2018</v>
      </c>
      <c r="C218">
        <v>2018</v>
      </c>
      <c r="E218" t="s">
        <v>150</v>
      </c>
      <c r="F218" t="s">
        <v>151</v>
      </c>
      <c r="G218" t="s">
        <v>152</v>
      </c>
      <c r="I218">
        <v>619407.19999999995</v>
      </c>
      <c r="J218">
        <v>2760</v>
      </c>
      <c r="K218">
        <v>2582</v>
      </c>
      <c r="M218">
        <v>7957</v>
      </c>
      <c r="O218">
        <v>112</v>
      </c>
      <c r="P218">
        <v>387</v>
      </c>
      <c r="U218">
        <v>10016</v>
      </c>
      <c r="AK218">
        <v>542</v>
      </c>
      <c r="AT218">
        <v>6324</v>
      </c>
      <c r="AU218">
        <v>1633</v>
      </c>
      <c r="BG218">
        <v>234</v>
      </c>
      <c r="BN218">
        <v>178</v>
      </c>
    </row>
    <row r="219" spans="1:69" x14ac:dyDescent="0.35">
      <c r="A219">
        <v>2018</v>
      </c>
      <c r="B219">
        <v>2018</v>
      </c>
      <c r="C219">
        <v>2018</v>
      </c>
      <c r="E219" t="s">
        <v>153</v>
      </c>
      <c r="F219" t="s">
        <v>154</v>
      </c>
      <c r="G219" t="s">
        <v>155</v>
      </c>
      <c r="I219">
        <v>825813.6</v>
      </c>
      <c r="J219">
        <v>2454</v>
      </c>
      <c r="K219">
        <v>1417</v>
      </c>
      <c r="M219">
        <v>5174</v>
      </c>
      <c r="N219">
        <v>3235</v>
      </c>
      <c r="O219">
        <v>30</v>
      </c>
      <c r="P219">
        <v>182</v>
      </c>
      <c r="U219">
        <v>1152</v>
      </c>
      <c r="V219">
        <v>53</v>
      </c>
      <c r="W219">
        <v>15</v>
      </c>
      <c r="AC219">
        <v>61</v>
      </c>
      <c r="AH219">
        <v>13</v>
      </c>
      <c r="AI219">
        <v>1022</v>
      </c>
      <c r="AQ219">
        <v>3235</v>
      </c>
      <c r="AU219">
        <v>5174</v>
      </c>
      <c r="AV219">
        <v>1638</v>
      </c>
      <c r="AX219">
        <v>6</v>
      </c>
      <c r="AY219">
        <v>92</v>
      </c>
      <c r="BJ219">
        <v>9</v>
      </c>
      <c r="BN219">
        <v>1037</v>
      </c>
      <c r="BO219">
        <v>85</v>
      </c>
    </row>
    <row r="220" spans="1:69" x14ac:dyDescent="0.35">
      <c r="A220">
        <v>2018</v>
      </c>
      <c r="B220">
        <v>2018</v>
      </c>
      <c r="C220">
        <v>2018</v>
      </c>
      <c r="E220" t="s">
        <v>156</v>
      </c>
      <c r="F220" t="s">
        <v>157</v>
      </c>
      <c r="G220" t="s">
        <v>158</v>
      </c>
      <c r="I220">
        <v>14714</v>
      </c>
      <c r="J220">
        <v>2395</v>
      </c>
      <c r="K220">
        <v>1188</v>
      </c>
      <c r="M220">
        <v>4986</v>
      </c>
      <c r="O220">
        <v>466</v>
      </c>
      <c r="P220">
        <v>748</v>
      </c>
      <c r="U220">
        <v>180</v>
      </c>
      <c r="AK220">
        <v>291</v>
      </c>
      <c r="AS220">
        <v>4986</v>
      </c>
      <c r="BN220">
        <v>1207</v>
      </c>
    </row>
    <row r="221" spans="1:69" x14ac:dyDescent="0.35">
      <c r="A221">
        <v>2018</v>
      </c>
      <c r="B221">
        <v>2018</v>
      </c>
      <c r="C221">
        <v>2018</v>
      </c>
      <c r="E221" t="s">
        <v>159</v>
      </c>
      <c r="F221" t="s">
        <v>160</v>
      </c>
      <c r="G221" t="s">
        <v>161</v>
      </c>
      <c r="I221">
        <v>1081131.1000000001</v>
      </c>
      <c r="J221">
        <v>2473</v>
      </c>
      <c r="K221">
        <v>1695</v>
      </c>
      <c r="M221">
        <v>8153</v>
      </c>
      <c r="N221">
        <v>6021</v>
      </c>
      <c r="O221">
        <v>255</v>
      </c>
      <c r="P221">
        <v>305</v>
      </c>
      <c r="Q221">
        <v>7169</v>
      </c>
      <c r="S221">
        <v>3</v>
      </c>
      <c r="U221">
        <v>4787</v>
      </c>
      <c r="V221">
        <v>39</v>
      </c>
      <c r="W221">
        <v>276</v>
      </c>
      <c r="AC221">
        <v>67</v>
      </c>
      <c r="AL221">
        <v>28</v>
      </c>
      <c r="AQ221">
        <v>6021</v>
      </c>
      <c r="AS221">
        <v>8153</v>
      </c>
      <c r="AX221">
        <v>620</v>
      </c>
      <c r="AY221">
        <v>49</v>
      </c>
      <c r="AZ221">
        <v>150</v>
      </c>
      <c r="BG221">
        <v>1887</v>
      </c>
      <c r="BH221">
        <v>78</v>
      </c>
      <c r="BI221">
        <v>284</v>
      </c>
      <c r="BJ221">
        <v>17</v>
      </c>
      <c r="BK221">
        <v>608</v>
      </c>
      <c r="BM221">
        <v>338</v>
      </c>
      <c r="BN221">
        <v>778</v>
      </c>
      <c r="BO221">
        <v>68</v>
      </c>
    </row>
    <row r="222" spans="1:69" x14ac:dyDescent="0.35">
      <c r="A222">
        <v>2018</v>
      </c>
      <c r="B222">
        <v>2018</v>
      </c>
      <c r="C222">
        <v>2018</v>
      </c>
      <c r="E222" t="s">
        <v>162</v>
      </c>
      <c r="F222" t="s">
        <v>163</v>
      </c>
      <c r="G222" t="s">
        <v>164</v>
      </c>
      <c r="I222">
        <v>70319.7</v>
      </c>
      <c r="J222">
        <v>806</v>
      </c>
      <c r="K222">
        <v>806</v>
      </c>
      <c r="M222">
        <v>5307</v>
      </c>
      <c r="N222">
        <v>5</v>
      </c>
      <c r="O222">
        <v>87</v>
      </c>
      <c r="P222">
        <v>464</v>
      </c>
      <c r="U222">
        <v>2292</v>
      </c>
      <c r="V222">
        <v>41</v>
      </c>
      <c r="X222">
        <v>25</v>
      </c>
      <c r="AB222">
        <v>134</v>
      </c>
      <c r="AC222">
        <v>17</v>
      </c>
      <c r="AI222">
        <v>3</v>
      </c>
      <c r="AJ222">
        <v>140</v>
      </c>
      <c r="AQ222">
        <v>5</v>
      </c>
      <c r="AT222">
        <v>44</v>
      </c>
      <c r="AU222">
        <v>5263</v>
      </c>
      <c r="AY222">
        <v>35</v>
      </c>
      <c r="AZ222">
        <v>84</v>
      </c>
      <c r="BA222">
        <v>27</v>
      </c>
      <c r="BD222">
        <v>52</v>
      </c>
      <c r="BG222">
        <v>226</v>
      </c>
      <c r="BH222">
        <v>118</v>
      </c>
      <c r="BO222">
        <v>35</v>
      </c>
    </row>
    <row r="223" spans="1:69" x14ac:dyDescent="0.35">
      <c r="A223">
        <v>2018</v>
      </c>
      <c r="B223">
        <v>2018</v>
      </c>
      <c r="C223">
        <v>2018</v>
      </c>
      <c r="E223" t="s">
        <v>165</v>
      </c>
      <c r="F223" t="s">
        <v>166</v>
      </c>
      <c r="G223" t="s">
        <v>167</v>
      </c>
      <c r="I223">
        <v>388863.1</v>
      </c>
      <c r="J223">
        <v>1648</v>
      </c>
      <c r="K223">
        <v>1114</v>
      </c>
      <c r="M223">
        <v>13345</v>
      </c>
      <c r="N223">
        <v>1471</v>
      </c>
      <c r="O223">
        <v>228</v>
      </c>
      <c r="P223">
        <v>886</v>
      </c>
      <c r="U223">
        <v>45000</v>
      </c>
      <c r="AG223">
        <v>152</v>
      </c>
      <c r="AK223">
        <v>1990</v>
      </c>
      <c r="AR223">
        <v>1471</v>
      </c>
      <c r="AS223">
        <v>13345</v>
      </c>
      <c r="AZ223">
        <v>13</v>
      </c>
      <c r="BH223">
        <v>225</v>
      </c>
      <c r="BK223">
        <v>310</v>
      </c>
      <c r="BN223">
        <v>534</v>
      </c>
    </row>
    <row r="224" spans="1:69" x14ac:dyDescent="0.35">
      <c r="A224">
        <v>2018</v>
      </c>
      <c r="B224">
        <v>2018</v>
      </c>
      <c r="C224">
        <v>2018</v>
      </c>
      <c r="E224" t="s">
        <v>168</v>
      </c>
      <c r="F224" t="s">
        <v>169</v>
      </c>
      <c r="G224" t="s">
        <v>170</v>
      </c>
      <c r="I224">
        <v>526366.6</v>
      </c>
      <c r="U224">
        <v>17417</v>
      </c>
      <c r="AK224">
        <v>328</v>
      </c>
    </row>
    <row r="225" spans="1:69" x14ac:dyDescent="0.35">
      <c r="A225">
        <v>2018</v>
      </c>
      <c r="B225">
        <v>2018</v>
      </c>
      <c r="C225">
        <v>2018</v>
      </c>
      <c r="E225" t="s">
        <v>171</v>
      </c>
      <c r="F225" t="s">
        <v>172</v>
      </c>
      <c r="G225" t="s">
        <v>173</v>
      </c>
      <c r="I225">
        <v>1833.4</v>
      </c>
      <c r="J225">
        <v>240</v>
      </c>
      <c r="K225">
        <v>125</v>
      </c>
      <c r="M225">
        <v>951</v>
      </c>
      <c r="N225">
        <v>158</v>
      </c>
      <c r="P225">
        <v>124</v>
      </c>
      <c r="AC225">
        <v>7</v>
      </c>
      <c r="AK225">
        <v>71</v>
      </c>
      <c r="AQ225">
        <v>158</v>
      </c>
      <c r="AU225">
        <v>951</v>
      </c>
      <c r="AV225">
        <v>321</v>
      </c>
      <c r="AY225">
        <v>11</v>
      </c>
      <c r="BA225">
        <v>4</v>
      </c>
      <c r="BN225">
        <v>115</v>
      </c>
      <c r="BO225">
        <v>35</v>
      </c>
    </row>
    <row r="226" spans="1:69" x14ac:dyDescent="0.35">
      <c r="A226">
        <v>2018</v>
      </c>
      <c r="B226">
        <v>2018</v>
      </c>
      <c r="C226">
        <v>2018</v>
      </c>
      <c r="E226" t="s">
        <v>174</v>
      </c>
      <c r="F226" t="s">
        <v>175</v>
      </c>
      <c r="G226" t="s">
        <v>176</v>
      </c>
      <c r="I226">
        <v>252080.8</v>
      </c>
      <c r="J226">
        <v>566</v>
      </c>
      <c r="K226">
        <v>500</v>
      </c>
      <c r="M226">
        <v>5757</v>
      </c>
      <c r="O226">
        <v>15</v>
      </c>
      <c r="P226">
        <v>156</v>
      </c>
      <c r="AK226">
        <v>311</v>
      </c>
      <c r="AS226">
        <v>2344</v>
      </c>
      <c r="AT226">
        <v>2545</v>
      </c>
      <c r="AU226">
        <v>868</v>
      </c>
      <c r="BN226">
        <v>66</v>
      </c>
    </row>
    <row r="227" spans="1:69" x14ac:dyDescent="0.35">
      <c r="A227">
        <v>2018</v>
      </c>
      <c r="B227">
        <v>2018</v>
      </c>
      <c r="C227">
        <v>2018</v>
      </c>
      <c r="E227" t="s">
        <v>177</v>
      </c>
      <c r="F227" t="s">
        <v>178</v>
      </c>
      <c r="G227" t="s">
        <v>179</v>
      </c>
      <c r="I227">
        <v>1221592.2</v>
      </c>
      <c r="J227">
        <v>43503</v>
      </c>
      <c r="K227">
        <v>29311</v>
      </c>
      <c r="M227">
        <v>70552</v>
      </c>
      <c r="O227">
        <v>6433</v>
      </c>
      <c r="S227">
        <v>3512</v>
      </c>
      <c r="T227">
        <v>2</v>
      </c>
      <c r="U227">
        <v>54180</v>
      </c>
      <c r="X227">
        <v>3422</v>
      </c>
      <c r="Y227">
        <v>150</v>
      </c>
      <c r="AB227">
        <v>3831</v>
      </c>
      <c r="AG227">
        <v>8878</v>
      </c>
      <c r="AJ227">
        <v>5731</v>
      </c>
      <c r="AK227">
        <v>5455</v>
      </c>
      <c r="AS227">
        <v>70552</v>
      </c>
      <c r="AX227">
        <v>230</v>
      </c>
      <c r="AZ227">
        <v>3848</v>
      </c>
      <c r="BH227">
        <v>7705</v>
      </c>
      <c r="BI227">
        <v>217</v>
      </c>
      <c r="BK227">
        <v>8565</v>
      </c>
      <c r="BN227">
        <v>14192</v>
      </c>
    </row>
    <row r="228" spans="1:69" x14ac:dyDescent="0.35">
      <c r="A228">
        <v>2018</v>
      </c>
      <c r="B228">
        <v>2018</v>
      </c>
      <c r="C228">
        <v>2018</v>
      </c>
      <c r="E228" t="s">
        <v>180</v>
      </c>
      <c r="F228" t="s">
        <v>181</v>
      </c>
      <c r="G228" t="s">
        <v>182</v>
      </c>
      <c r="I228">
        <v>323958.40000000002</v>
      </c>
      <c r="J228">
        <v>411</v>
      </c>
      <c r="K228">
        <v>338</v>
      </c>
      <c r="M228">
        <v>3726</v>
      </c>
      <c r="O228">
        <v>32</v>
      </c>
      <c r="P228">
        <v>360</v>
      </c>
      <c r="U228">
        <v>1455</v>
      </c>
      <c r="V228">
        <v>22</v>
      </c>
      <c r="W228">
        <v>2</v>
      </c>
      <c r="AK228">
        <v>272</v>
      </c>
      <c r="AS228">
        <v>3726</v>
      </c>
      <c r="BN228">
        <v>73</v>
      </c>
    </row>
    <row r="229" spans="1:69" x14ac:dyDescent="0.35">
      <c r="A229">
        <v>2018</v>
      </c>
      <c r="B229">
        <v>2018</v>
      </c>
      <c r="C229">
        <v>2018</v>
      </c>
      <c r="E229" t="s">
        <v>183</v>
      </c>
      <c r="F229" t="s">
        <v>184</v>
      </c>
      <c r="G229" t="s">
        <v>185</v>
      </c>
      <c r="I229">
        <v>175834.5</v>
      </c>
      <c r="J229">
        <v>544</v>
      </c>
      <c r="K229">
        <v>269</v>
      </c>
      <c r="M229">
        <v>5081</v>
      </c>
      <c r="O229">
        <v>27</v>
      </c>
      <c r="P229">
        <v>157</v>
      </c>
      <c r="AK229">
        <v>320</v>
      </c>
      <c r="AS229">
        <v>5081</v>
      </c>
      <c r="BN229">
        <v>275</v>
      </c>
    </row>
    <row r="230" spans="1:69" x14ac:dyDescent="0.35">
      <c r="A230">
        <v>2018</v>
      </c>
      <c r="B230">
        <v>2018</v>
      </c>
      <c r="C230">
        <v>2018</v>
      </c>
      <c r="E230" t="s">
        <v>186</v>
      </c>
      <c r="F230" t="s">
        <v>187</v>
      </c>
      <c r="G230" t="s">
        <v>188</v>
      </c>
      <c r="I230">
        <v>1007593.1</v>
      </c>
      <c r="J230">
        <v>818</v>
      </c>
      <c r="M230">
        <v>4107</v>
      </c>
      <c r="N230">
        <v>906</v>
      </c>
      <c r="O230">
        <v>30</v>
      </c>
      <c r="P230">
        <v>60</v>
      </c>
      <c r="AC230">
        <v>3</v>
      </c>
      <c r="AD230">
        <v>95</v>
      </c>
      <c r="AI230">
        <v>439</v>
      </c>
      <c r="AK230">
        <v>432</v>
      </c>
      <c r="AN230">
        <v>818</v>
      </c>
      <c r="AP230">
        <v>3</v>
      </c>
      <c r="AQ230">
        <v>903</v>
      </c>
      <c r="AT230">
        <v>1709</v>
      </c>
      <c r="AU230">
        <v>2398</v>
      </c>
      <c r="AW230">
        <v>37</v>
      </c>
      <c r="AY230">
        <v>22</v>
      </c>
      <c r="BC230">
        <v>249</v>
      </c>
      <c r="BO230">
        <v>84</v>
      </c>
    </row>
    <row r="231" spans="1:69" x14ac:dyDescent="0.35">
      <c r="A231">
        <v>2018</v>
      </c>
      <c r="B231">
        <v>2018</v>
      </c>
      <c r="C231">
        <v>2018</v>
      </c>
      <c r="E231" t="s">
        <v>189</v>
      </c>
      <c r="F231" t="s">
        <v>190</v>
      </c>
      <c r="G231" t="s">
        <v>191</v>
      </c>
      <c r="I231">
        <v>1554009.4</v>
      </c>
      <c r="M231">
        <v>52907</v>
      </c>
      <c r="O231">
        <v>26</v>
      </c>
      <c r="P231">
        <v>324</v>
      </c>
      <c r="AK231">
        <v>3874</v>
      </c>
      <c r="AT231">
        <v>47881</v>
      </c>
      <c r="AU231">
        <v>5026</v>
      </c>
    </row>
    <row r="232" spans="1:69" x14ac:dyDescent="0.35">
      <c r="A232">
        <v>2018</v>
      </c>
      <c r="B232">
        <v>2018</v>
      </c>
      <c r="C232">
        <v>2018</v>
      </c>
      <c r="E232" t="s">
        <v>192</v>
      </c>
      <c r="F232" t="s">
        <v>193</v>
      </c>
      <c r="G232" t="s">
        <v>194</v>
      </c>
      <c r="I232">
        <v>632342.80000000005</v>
      </c>
      <c r="J232">
        <v>4021</v>
      </c>
      <c r="M232">
        <v>20746</v>
      </c>
      <c r="N232">
        <v>2137</v>
      </c>
      <c r="O232">
        <v>160</v>
      </c>
      <c r="P232">
        <v>727</v>
      </c>
      <c r="U232">
        <v>1283</v>
      </c>
      <c r="V232">
        <v>353</v>
      </c>
      <c r="X232">
        <v>1</v>
      </c>
      <c r="AB232">
        <v>2742</v>
      </c>
      <c r="AF232">
        <v>119</v>
      </c>
      <c r="AG232">
        <v>761</v>
      </c>
      <c r="AJ232">
        <v>1712</v>
      </c>
      <c r="AK232">
        <v>18</v>
      </c>
      <c r="AM232">
        <v>67</v>
      </c>
      <c r="AN232">
        <v>4021</v>
      </c>
      <c r="AQ232">
        <v>2137</v>
      </c>
      <c r="AU232">
        <v>20746</v>
      </c>
      <c r="AZ232">
        <v>16</v>
      </c>
      <c r="BD232">
        <v>3616</v>
      </c>
      <c r="BG232">
        <v>1132</v>
      </c>
      <c r="BH232">
        <v>739</v>
      </c>
    </row>
    <row r="233" spans="1:69" x14ac:dyDescent="0.35">
      <c r="A233">
        <v>2018</v>
      </c>
      <c r="B233">
        <v>2018</v>
      </c>
      <c r="C233">
        <v>2018</v>
      </c>
      <c r="E233" t="s">
        <v>195</v>
      </c>
      <c r="F233" t="s">
        <v>196</v>
      </c>
      <c r="G233" t="s">
        <v>197</v>
      </c>
      <c r="I233">
        <v>481109.7</v>
      </c>
      <c r="J233">
        <v>3026</v>
      </c>
      <c r="K233">
        <v>1863</v>
      </c>
      <c r="L233">
        <v>116</v>
      </c>
      <c r="M233">
        <v>27874</v>
      </c>
      <c r="O233">
        <v>104</v>
      </c>
      <c r="P233">
        <v>1397</v>
      </c>
      <c r="Q233">
        <v>12259</v>
      </c>
      <c r="R233">
        <v>419</v>
      </c>
      <c r="U233">
        <v>15888</v>
      </c>
      <c r="V233">
        <v>508</v>
      </c>
      <c r="W233">
        <v>14</v>
      </c>
      <c r="X233">
        <v>3</v>
      </c>
      <c r="Z233">
        <v>80</v>
      </c>
      <c r="AB233">
        <v>2305</v>
      </c>
      <c r="AC233">
        <v>51</v>
      </c>
      <c r="AE233">
        <v>10</v>
      </c>
      <c r="AG233">
        <v>480</v>
      </c>
      <c r="AH233">
        <v>414</v>
      </c>
      <c r="AI233">
        <v>164</v>
      </c>
      <c r="AJ233">
        <v>1126</v>
      </c>
      <c r="AK233">
        <v>644</v>
      </c>
      <c r="AL233">
        <v>26</v>
      </c>
      <c r="AM233">
        <v>703</v>
      </c>
      <c r="AN233">
        <v>544</v>
      </c>
      <c r="AT233">
        <v>13052</v>
      </c>
      <c r="AU233">
        <v>14822</v>
      </c>
      <c r="AV233">
        <v>6174</v>
      </c>
      <c r="AW233">
        <v>5830</v>
      </c>
      <c r="AX233">
        <v>56</v>
      </c>
      <c r="AY233">
        <v>107</v>
      </c>
      <c r="AZ233">
        <v>20</v>
      </c>
      <c r="BA233">
        <v>224</v>
      </c>
      <c r="BE233">
        <v>2021</v>
      </c>
      <c r="BG233">
        <v>1827</v>
      </c>
      <c r="BH233">
        <v>439</v>
      </c>
      <c r="BI233">
        <v>249</v>
      </c>
      <c r="BJ233">
        <v>23</v>
      </c>
      <c r="BM233">
        <v>12</v>
      </c>
      <c r="BN233">
        <v>619</v>
      </c>
      <c r="BO233">
        <v>92</v>
      </c>
      <c r="BQ233">
        <v>1215</v>
      </c>
    </row>
    <row r="234" spans="1:69" x14ac:dyDescent="0.35">
      <c r="A234">
        <v>2018</v>
      </c>
      <c r="B234">
        <v>2018</v>
      </c>
      <c r="C234">
        <v>2018</v>
      </c>
      <c r="E234" t="s">
        <v>198</v>
      </c>
      <c r="F234" t="s">
        <v>199</v>
      </c>
      <c r="G234" t="s">
        <v>200</v>
      </c>
      <c r="I234">
        <v>100677</v>
      </c>
      <c r="J234">
        <v>280</v>
      </c>
      <c r="K234">
        <v>160</v>
      </c>
      <c r="M234">
        <v>4971</v>
      </c>
      <c r="O234">
        <v>186</v>
      </c>
      <c r="P234">
        <v>451</v>
      </c>
      <c r="U234">
        <v>243</v>
      </c>
      <c r="AK234">
        <v>549</v>
      </c>
      <c r="AT234">
        <v>2913</v>
      </c>
      <c r="AU234">
        <v>2058</v>
      </c>
      <c r="BJ234">
        <v>31</v>
      </c>
      <c r="BN234">
        <v>120</v>
      </c>
      <c r="BO234">
        <v>48</v>
      </c>
    </row>
    <row r="235" spans="1:69" x14ac:dyDescent="0.35">
      <c r="A235">
        <v>2018</v>
      </c>
      <c r="B235">
        <v>2018</v>
      </c>
      <c r="C235">
        <v>2018</v>
      </c>
      <c r="E235" t="s">
        <v>201</v>
      </c>
      <c r="F235" t="s">
        <v>202</v>
      </c>
      <c r="G235" t="s">
        <v>203</v>
      </c>
      <c r="I235">
        <v>262963.5</v>
      </c>
      <c r="J235">
        <v>611</v>
      </c>
      <c r="K235">
        <v>219</v>
      </c>
      <c r="M235">
        <v>1951</v>
      </c>
      <c r="N235">
        <v>1285</v>
      </c>
      <c r="O235">
        <v>21</v>
      </c>
      <c r="P235">
        <v>213</v>
      </c>
      <c r="Q235">
        <v>1050</v>
      </c>
      <c r="S235">
        <v>25</v>
      </c>
      <c r="T235">
        <v>23</v>
      </c>
      <c r="U235">
        <v>7086</v>
      </c>
      <c r="W235">
        <v>4</v>
      </c>
      <c r="X235">
        <v>1</v>
      </c>
      <c r="Y235">
        <v>2</v>
      </c>
      <c r="AA235">
        <v>300</v>
      </c>
      <c r="AB235">
        <v>51</v>
      </c>
      <c r="AC235">
        <v>45</v>
      </c>
      <c r="AG235">
        <v>148</v>
      </c>
      <c r="AJ235">
        <v>183</v>
      </c>
      <c r="AK235">
        <v>460</v>
      </c>
      <c r="AL235">
        <v>51</v>
      </c>
      <c r="AP235">
        <v>630</v>
      </c>
      <c r="AQ235">
        <v>655</v>
      </c>
      <c r="AT235">
        <v>925</v>
      </c>
      <c r="AU235">
        <v>1026</v>
      </c>
      <c r="AX235">
        <v>3</v>
      </c>
      <c r="AY235">
        <v>49</v>
      </c>
      <c r="AZ235">
        <v>5</v>
      </c>
      <c r="BA235">
        <v>233</v>
      </c>
      <c r="BB235">
        <v>1353</v>
      </c>
      <c r="BC235">
        <v>1554</v>
      </c>
      <c r="BD235">
        <v>978</v>
      </c>
      <c r="BE235">
        <v>3903</v>
      </c>
      <c r="BG235">
        <v>3</v>
      </c>
      <c r="BH235">
        <v>160</v>
      </c>
      <c r="BJ235">
        <v>3</v>
      </c>
      <c r="BK235">
        <v>62</v>
      </c>
      <c r="BL235">
        <v>42</v>
      </c>
      <c r="BM235">
        <v>20</v>
      </c>
      <c r="BN235">
        <v>392</v>
      </c>
      <c r="BO235">
        <v>81</v>
      </c>
    </row>
    <row r="236" spans="1:69" x14ac:dyDescent="0.35">
      <c r="A236">
        <v>2018</v>
      </c>
      <c r="B236">
        <v>2018</v>
      </c>
      <c r="C236">
        <v>2018</v>
      </c>
      <c r="E236" t="s">
        <v>204</v>
      </c>
      <c r="F236" t="s">
        <v>205</v>
      </c>
      <c r="G236" t="s">
        <v>206</v>
      </c>
      <c r="I236">
        <v>23759.3</v>
      </c>
      <c r="J236">
        <v>220</v>
      </c>
      <c r="K236">
        <v>130</v>
      </c>
      <c r="M236">
        <v>679</v>
      </c>
      <c r="N236">
        <v>484</v>
      </c>
      <c r="O236">
        <v>32</v>
      </c>
      <c r="P236">
        <v>36</v>
      </c>
      <c r="AJ236">
        <v>8</v>
      </c>
      <c r="AQ236">
        <v>484</v>
      </c>
      <c r="AU236">
        <v>679</v>
      </c>
      <c r="BG236">
        <v>19</v>
      </c>
      <c r="BN236">
        <v>90</v>
      </c>
    </row>
    <row r="237" spans="1:69" x14ac:dyDescent="0.35">
      <c r="A237">
        <v>2018</v>
      </c>
      <c r="B237">
        <v>2018</v>
      </c>
      <c r="C237">
        <v>2018</v>
      </c>
      <c r="E237" t="s">
        <v>207</v>
      </c>
      <c r="F237" t="s">
        <v>208</v>
      </c>
      <c r="G237" t="s">
        <v>209</v>
      </c>
      <c r="I237">
        <v>2149250.2000000002</v>
      </c>
      <c r="J237">
        <v>2885</v>
      </c>
      <c r="K237">
        <v>2434</v>
      </c>
      <c r="M237">
        <v>31940</v>
      </c>
      <c r="O237">
        <v>682</v>
      </c>
      <c r="P237">
        <v>1845</v>
      </c>
      <c r="V237">
        <v>768</v>
      </c>
      <c r="W237">
        <v>89</v>
      </c>
      <c r="AK237">
        <v>4361</v>
      </c>
      <c r="AS237">
        <v>31940</v>
      </c>
      <c r="BN237">
        <v>451</v>
      </c>
    </row>
    <row r="238" spans="1:69" x14ac:dyDescent="0.35">
      <c r="A238">
        <v>2017</v>
      </c>
      <c r="B238">
        <v>2017</v>
      </c>
      <c r="C238">
        <v>2017</v>
      </c>
      <c r="E238" t="s">
        <v>69</v>
      </c>
      <c r="F238" t="s">
        <v>70</v>
      </c>
      <c r="G238" t="s">
        <v>71</v>
      </c>
      <c r="I238">
        <v>737568.4</v>
      </c>
      <c r="J238">
        <v>1626</v>
      </c>
      <c r="K238">
        <v>888</v>
      </c>
      <c r="M238">
        <v>10376</v>
      </c>
      <c r="N238">
        <v>6569</v>
      </c>
      <c r="O238">
        <v>80</v>
      </c>
      <c r="P238">
        <v>284</v>
      </c>
      <c r="U238">
        <v>2749</v>
      </c>
      <c r="AB238">
        <v>160</v>
      </c>
      <c r="AC238">
        <v>86</v>
      </c>
      <c r="AK238">
        <v>699</v>
      </c>
      <c r="AL238">
        <v>3</v>
      </c>
      <c r="AO238">
        <v>4</v>
      </c>
      <c r="AP238">
        <v>2986</v>
      </c>
      <c r="AQ238">
        <v>3583</v>
      </c>
      <c r="AT238">
        <v>2117</v>
      </c>
      <c r="AU238">
        <v>8259</v>
      </c>
      <c r="AX238">
        <v>19</v>
      </c>
      <c r="AY238">
        <v>88</v>
      </c>
      <c r="AZ238">
        <v>3</v>
      </c>
      <c r="BA238">
        <v>473</v>
      </c>
      <c r="BG238">
        <v>156</v>
      </c>
      <c r="BH238">
        <v>18</v>
      </c>
      <c r="BJ238">
        <v>11</v>
      </c>
      <c r="BN238">
        <v>738</v>
      </c>
      <c r="BO238">
        <v>80</v>
      </c>
      <c r="BQ238">
        <v>336</v>
      </c>
    </row>
    <row r="239" spans="1:69" x14ac:dyDescent="0.35">
      <c r="A239">
        <v>2017</v>
      </c>
      <c r="B239">
        <v>2017</v>
      </c>
      <c r="C239">
        <v>2017</v>
      </c>
      <c r="E239" t="s">
        <v>72</v>
      </c>
      <c r="F239" t="s">
        <v>73</v>
      </c>
      <c r="G239" t="s">
        <v>74</v>
      </c>
      <c r="I239">
        <v>198589</v>
      </c>
    </row>
    <row r="240" spans="1:69" x14ac:dyDescent="0.35">
      <c r="A240">
        <v>2017</v>
      </c>
      <c r="B240">
        <v>2017</v>
      </c>
      <c r="C240">
        <v>2017</v>
      </c>
      <c r="E240" t="s">
        <v>75</v>
      </c>
      <c r="F240" t="s">
        <v>76</v>
      </c>
      <c r="G240" t="s">
        <v>77</v>
      </c>
      <c r="I240">
        <v>6489.7</v>
      </c>
    </row>
    <row r="241" spans="1:69" x14ac:dyDescent="0.35">
      <c r="A241">
        <v>2017</v>
      </c>
      <c r="B241">
        <v>2017</v>
      </c>
      <c r="C241">
        <v>2017</v>
      </c>
      <c r="E241" t="s">
        <v>78</v>
      </c>
      <c r="F241" t="s">
        <v>79</v>
      </c>
      <c r="G241" t="s">
        <v>80</v>
      </c>
      <c r="I241">
        <v>3505486.6</v>
      </c>
      <c r="M241">
        <v>73046</v>
      </c>
      <c r="AS241">
        <v>29281</v>
      </c>
      <c r="AT241">
        <v>14251</v>
      </c>
      <c r="AU241">
        <v>29514</v>
      </c>
    </row>
    <row r="242" spans="1:69" x14ac:dyDescent="0.35">
      <c r="A242">
        <v>2017</v>
      </c>
      <c r="B242">
        <v>2017</v>
      </c>
      <c r="C242">
        <v>2017</v>
      </c>
      <c r="E242" t="s">
        <v>81</v>
      </c>
      <c r="F242" t="s">
        <v>82</v>
      </c>
      <c r="G242" t="s">
        <v>83</v>
      </c>
      <c r="I242">
        <v>3528311.4</v>
      </c>
      <c r="M242">
        <v>88164</v>
      </c>
      <c r="AS242">
        <v>88164</v>
      </c>
    </row>
    <row r="243" spans="1:69" x14ac:dyDescent="0.35">
      <c r="A243">
        <v>2017</v>
      </c>
      <c r="B243">
        <v>2017</v>
      </c>
      <c r="C243">
        <v>2017</v>
      </c>
      <c r="E243" t="s">
        <v>84</v>
      </c>
      <c r="F243" t="s">
        <v>85</v>
      </c>
      <c r="G243" t="s">
        <v>86</v>
      </c>
      <c r="I243">
        <v>7193818.5999999996</v>
      </c>
    </row>
    <row r="244" spans="1:69" x14ac:dyDescent="0.35">
      <c r="A244">
        <v>2017</v>
      </c>
      <c r="B244">
        <v>2017</v>
      </c>
      <c r="C244">
        <v>2017</v>
      </c>
      <c r="E244" t="s">
        <v>87</v>
      </c>
      <c r="F244" t="s">
        <v>88</v>
      </c>
      <c r="G244" t="s">
        <v>89</v>
      </c>
      <c r="I244">
        <v>63752.5</v>
      </c>
      <c r="J244">
        <v>1408</v>
      </c>
      <c r="K244">
        <v>570</v>
      </c>
      <c r="M244">
        <v>5350</v>
      </c>
      <c r="N244">
        <v>733</v>
      </c>
      <c r="O244">
        <v>37</v>
      </c>
      <c r="P244">
        <v>121</v>
      </c>
      <c r="Q244">
        <v>1943</v>
      </c>
      <c r="S244">
        <v>2</v>
      </c>
      <c r="T244">
        <v>8</v>
      </c>
      <c r="V244">
        <v>3</v>
      </c>
      <c r="W244">
        <v>46</v>
      </c>
      <c r="X244">
        <v>2</v>
      </c>
      <c r="AC244">
        <v>102</v>
      </c>
      <c r="AE244">
        <v>127</v>
      </c>
      <c r="AG244">
        <v>93</v>
      </c>
      <c r="AI244">
        <v>18</v>
      </c>
      <c r="AJ244">
        <v>442</v>
      </c>
      <c r="AM244">
        <v>32</v>
      </c>
      <c r="AO244">
        <v>195</v>
      </c>
      <c r="AQ244">
        <v>109</v>
      </c>
      <c r="AR244">
        <v>624</v>
      </c>
      <c r="AS244">
        <v>4273</v>
      </c>
      <c r="AU244">
        <v>1077</v>
      </c>
      <c r="AX244">
        <v>4</v>
      </c>
      <c r="AY244">
        <v>89</v>
      </c>
      <c r="AZ244">
        <v>5</v>
      </c>
      <c r="BA244">
        <v>452</v>
      </c>
      <c r="BD244">
        <v>58</v>
      </c>
      <c r="BG244">
        <v>106</v>
      </c>
      <c r="BH244">
        <v>43</v>
      </c>
      <c r="BJ244">
        <v>4</v>
      </c>
      <c r="BK244">
        <v>41</v>
      </c>
      <c r="BN244">
        <v>838</v>
      </c>
      <c r="BO244">
        <v>80</v>
      </c>
      <c r="BQ244">
        <v>99</v>
      </c>
    </row>
    <row r="245" spans="1:69" x14ac:dyDescent="0.35">
      <c r="A245">
        <v>2017</v>
      </c>
      <c r="B245">
        <v>2017</v>
      </c>
      <c r="C245">
        <v>2017</v>
      </c>
      <c r="E245" t="s">
        <v>90</v>
      </c>
      <c r="F245" t="s">
        <v>91</v>
      </c>
      <c r="G245" t="s">
        <v>92</v>
      </c>
      <c r="I245">
        <v>140591.4</v>
      </c>
      <c r="J245">
        <v>791</v>
      </c>
      <c r="M245">
        <v>4571</v>
      </c>
      <c r="AN245">
        <v>791</v>
      </c>
      <c r="AS245">
        <v>4571</v>
      </c>
    </row>
    <row r="246" spans="1:69" x14ac:dyDescent="0.35">
      <c r="A246">
        <v>2017</v>
      </c>
      <c r="B246">
        <v>2017</v>
      </c>
      <c r="C246">
        <v>2017</v>
      </c>
      <c r="E246" t="s">
        <v>93</v>
      </c>
      <c r="F246" t="s">
        <v>94</v>
      </c>
      <c r="G246" t="s">
        <v>95</v>
      </c>
      <c r="I246">
        <v>30815.7</v>
      </c>
      <c r="J246">
        <v>208</v>
      </c>
      <c r="M246">
        <v>4431</v>
      </c>
      <c r="AN246">
        <v>208</v>
      </c>
      <c r="AT246">
        <v>993</v>
      </c>
      <c r="AU246">
        <v>3438</v>
      </c>
      <c r="BJ246">
        <v>1</v>
      </c>
      <c r="BO246">
        <v>8</v>
      </c>
    </row>
    <row r="247" spans="1:69" x14ac:dyDescent="0.35">
      <c r="A247">
        <v>2017</v>
      </c>
      <c r="B247">
        <v>2017</v>
      </c>
      <c r="C247">
        <v>2017</v>
      </c>
      <c r="E247" t="s">
        <v>96</v>
      </c>
      <c r="F247" t="s">
        <v>97</v>
      </c>
      <c r="G247" t="s">
        <v>98</v>
      </c>
      <c r="I247">
        <v>59424.3</v>
      </c>
    </row>
    <row r="248" spans="1:69" x14ac:dyDescent="0.35">
      <c r="A248">
        <v>2017</v>
      </c>
      <c r="B248">
        <v>2017</v>
      </c>
      <c r="C248">
        <v>2017</v>
      </c>
      <c r="E248" t="s">
        <v>99</v>
      </c>
      <c r="F248" t="s">
        <v>100</v>
      </c>
      <c r="G248" t="s">
        <v>101</v>
      </c>
      <c r="I248">
        <v>1038181.5</v>
      </c>
      <c r="M248">
        <v>92000</v>
      </c>
      <c r="O248">
        <v>14263</v>
      </c>
      <c r="W248">
        <v>521</v>
      </c>
      <c r="AS248">
        <v>92000</v>
      </c>
    </row>
    <row r="249" spans="1:69" x14ac:dyDescent="0.35">
      <c r="A249">
        <v>2017</v>
      </c>
      <c r="B249">
        <v>2017</v>
      </c>
      <c r="C249">
        <v>2017</v>
      </c>
      <c r="E249" t="s">
        <v>102</v>
      </c>
      <c r="F249" t="s">
        <v>103</v>
      </c>
      <c r="G249" t="s">
        <v>104</v>
      </c>
      <c r="I249">
        <v>1196892.8</v>
      </c>
      <c r="J249">
        <v>6400</v>
      </c>
      <c r="AN249">
        <v>6400</v>
      </c>
    </row>
    <row r="250" spans="1:69" x14ac:dyDescent="0.35">
      <c r="A250">
        <v>2017</v>
      </c>
      <c r="B250">
        <v>2017</v>
      </c>
      <c r="C250">
        <v>2017</v>
      </c>
      <c r="E250" t="s">
        <v>105</v>
      </c>
      <c r="F250" t="s">
        <v>106</v>
      </c>
      <c r="G250" t="s">
        <v>107</v>
      </c>
      <c r="I250">
        <v>433722.2</v>
      </c>
      <c r="O250">
        <v>73</v>
      </c>
      <c r="V250">
        <v>33</v>
      </c>
      <c r="W250">
        <v>15</v>
      </c>
    </row>
    <row r="251" spans="1:69" x14ac:dyDescent="0.35">
      <c r="A251">
        <v>2017</v>
      </c>
      <c r="B251">
        <v>2017</v>
      </c>
      <c r="C251">
        <v>2017</v>
      </c>
      <c r="E251" t="s">
        <v>108</v>
      </c>
      <c r="F251" t="s">
        <v>109</v>
      </c>
      <c r="G251" t="s">
        <v>110</v>
      </c>
      <c r="I251">
        <v>62008.2</v>
      </c>
    </row>
    <row r="252" spans="1:69" x14ac:dyDescent="0.35">
      <c r="A252">
        <v>2017</v>
      </c>
      <c r="B252">
        <v>2017</v>
      </c>
      <c r="C252">
        <v>2017</v>
      </c>
      <c r="E252" t="s">
        <v>111</v>
      </c>
      <c r="F252" t="s">
        <v>112</v>
      </c>
      <c r="G252" t="s">
        <v>113</v>
      </c>
      <c r="I252">
        <v>423373</v>
      </c>
      <c r="J252">
        <v>0</v>
      </c>
      <c r="M252">
        <v>9071</v>
      </c>
      <c r="N252">
        <v>160</v>
      </c>
      <c r="AB252">
        <v>363</v>
      </c>
      <c r="AK252">
        <v>1073</v>
      </c>
      <c r="AQ252">
        <v>160</v>
      </c>
      <c r="AU252">
        <v>9071</v>
      </c>
      <c r="BB252">
        <v>2946</v>
      </c>
      <c r="BC252">
        <v>9003</v>
      </c>
      <c r="BK252">
        <v>93</v>
      </c>
    </row>
    <row r="253" spans="1:69" x14ac:dyDescent="0.35">
      <c r="A253">
        <v>2017</v>
      </c>
      <c r="B253">
        <v>2017</v>
      </c>
      <c r="C253">
        <v>2017</v>
      </c>
      <c r="E253" t="s">
        <v>114</v>
      </c>
      <c r="F253" t="s">
        <v>115</v>
      </c>
      <c r="G253" t="s">
        <v>116</v>
      </c>
      <c r="I253">
        <v>11160.3</v>
      </c>
      <c r="M253">
        <v>688</v>
      </c>
      <c r="AS253">
        <v>688</v>
      </c>
    </row>
    <row r="254" spans="1:69" x14ac:dyDescent="0.35">
      <c r="A254">
        <v>2017</v>
      </c>
      <c r="B254">
        <v>2017</v>
      </c>
      <c r="C254">
        <v>2017</v>
      </c>
      <c r="E254" t="s">
        <v>117</v>
      </c>
      <c r="F254" t="s">
        <v>118</v>
      </c>
      <c r="G254" t="s">
        <v>119</v>
      </c>
      <c r="I254">
        <v>889229.5</v>
      </c>
    </row>
    <row r="255" spans="1:69" x14ac:dyDescent="0.35">
      <c r="A255">
        <v>2017</v>
      </c>
      <c r="B255">
        <v>2017</v>
      </c>
      <c r="C255">
        <v>2017</v>
      </c>
      <c r="E255" t="s">
        <v>120</v>
      </c>
      <c r="F255" t="s">
        <v>121</v>
      </c>
      <c r="G255" t="s">
        <v>122</v>
      </c>
      <c r="I255">
        <v>646467.9</v>
      </c>
      <c r="J255">
        <v>651</v>
      </c>
      <c r="M255">
        <v>3487</v>
      </c>
      <c r="P255">
        <v>71</v>
      </c>
      <c r="AN255">
        <v>651</v>
      </c>
      <c r="AS255">
        <v>3487</v>
      </c>
    </row>
    <row r="256" spans="1:69" x14ac:dyDescent="0.35">
      <c r="A256">
        <v>2017</v>
      </c>
      <c r="B256">
        <v>2017</v>
      </c>
      <c r="C256">
        <v>2017</v>
      </c>
      <c r="E256" t="s">
        <v>123</v>
      </c>
      <c r="F256" t="s">
        <v>124</v>
      </c>
      <c r="G256" t="s">
        <v>125</v>
      </c>
      <c r="I256">
        <v>863980</v>
      </c>
      <c r="M256">
        <v>13583</v>
      </c>
      <c r="AT256">
        <v>2770</v>
      </c>
      <c r="AU256">
        <v>10813</v>
      </c>
    </row>
    <row r="257" spans="1:67" x14ac:dyDescent="0.35">
      <c r="A257">
        <v>2017</v>
      </c>
      <c r="B257">
        <v>2017</v>
      </c>
      <c r="C257">
        <v>2017</v>
      </c>
      <c r="E257" t="s">
        <v>126</v>
      </c>
      <c r="F257" t="s">
        <v>127</v>
      </c>
      <c r="G257" t="s">
        <v>128</v>
      </c>
      <c r="I257">
        <v>47406.7</v>
      </c>
      <c r="J257">
        <v>507</v>
      </c>
      <c r="M257">
        <v>634</v>
      </c>
      <c r="AN257">
        <v>507</v>
      </c>
      <c r="AS257">
        <v>634</v>
      </c>
    </row>
    <row r="258" spans="1:67" x14ac:dyDescent="0.35">
      <c r="A258">
        <v>2017</v>
      </c>
      <c r="B258">
        <v>2017</v>
      </c>
      <c r="C258">
        <v>2017</v>
      </c>
      <c r="E258" t="s">
        <v>129</v>
      </c>
      <c r="F258" t="s">
        <v>130</v>
      </c>
      <c r="G258" t="s">
        <v>131</v>
      </c>
      <c r="I258">
        <v>84719.8</v>
      </c>
      <c r="J258">
        <v>232</v>
      </c>
      <c r="K258">
        <v>152</v>
      </c>
      <c r="M258">
        <v>1127</v>
      </c>
      <c r="N258">
        <v>422</v>
      </c>
      <c r="AP258">
        <v>341</v>
      </c>
      <c r="AQ258">
        <v>81</v>
      </c>
      <c r="AT258">
        <v>879</v>
      </c>
      <c r="AU258">
        <v>248</v>
      </c>
      <c r="AV258">
        <v>68</v>
      </c>
      <c r="AW258">
        <v>326</v>
      </c>
      <c r="BG258">
        <v>74</v>
      </c>
      <c r="BN258">
        <v>80</v>
      </c>
    </row>
    <row r="259" spans="1:67" x14ac:dyDescent="0.35">
      <c r="A259">
        <v>2017</v>
      </c>
      <c r="B259">
        <v>2017</v>
      </c>
      <c r="C259">
        <v>2017</v>
      </c>
      <c r="E259" t="s">
        <v>132</v>
      </c>
      <c r="F259" t="s">
        <v>133</v>
      </c>
      <c r="G259" t="s">
        <v>134</v>
      </c>
      <c r="I259">
        <v>890481.1</v>
      </c>
      <c r="J259">
        <v>2679</v>
      </c>
      <c r="K259">
        <v>1757</v>
      </c>
      <c r="M259">
        <v>58608</v>
      </c>
      <c r="N259">
        <v>9554</v>
      </c>
      <c r="P259">
        <v>718</v>
      </c>
      <c r="U259">
        <v>15456</v>
      </c>
      <c r="V259">
        <v>46</v>
      </c>
      <c r="W259">
        <v>167</v>
      </c>
      <c r="X259">
        <v>34</v>
      </c>
      <c r="AI259">
        <v>240</v>
      </c>
      <c r="AN259">
        <v>61</v>
      </c>
      <c r="AQ259">
        <v>9554</v>
      </c>
      <c r="AT259">
        <v>36681</v>
      </c>
      <c r="AU259">
        <v>21927</v>
      </c>
      <c r="AX259">
        <v>462</v>
      </c>
      <c r="AZ259">
        <v>133</v>
      </c>
      <c r="BG259">
        <v>821</v>
      </c>
      <c r="BH259">
        <v>324</v>
      </c>
      <c r="BN259">
        <v>861</v>
      </c>
    </row>
    <row r="260" spans="1:67" x14ac:dyDescent="0.35">
      <c r="A260">
        <v>2017</v>
      </c>
      <c r="B260">
        <v>2017</v>
      </c>
      <c r="C260">
        <v>2017</v>
      </c>
      <c r="E260" t="s">
        <v>135</v>
      </c>
      <c r="F260" t="s">
        <v>136</v>
      </c>
      <c r="G260" t="s">
        <v>137</v>
      </c>
      <c r="I260">
        <v>435595</v>
      </c>
    </row>
    <row r="261" spans="1:67" x14ac:dyDescent="0.35">
      <c r="A261">
        <v>2017</v>
      </c>
      <c r="B261">
        <v>2017</v>
      </c>
      <c r="C261">
        <v>2017</v>
      </c>
      <c r="E261" t="s">
        <v>138</v>
      </c>
      <c r="F261" t="s">
        <v>139</v>
      </c>
      <c r="G261" t="s">
        <v>140</v>
      </c>
      <c r="I261">
        <v>61977.7</v>
      </c>
    </row>
    <row r="262" spans="1:67" x14ac:dyDescent="0.35">
      <c r="A262">
        <v>2017</v>
      </c>
      <c r="B262">
        <v>2017</v>
      </c>
      <c r="C262">
        <v>2017</v>
      </c>
      <c r="E262" t="s">
        <v>141</v>
      </c>
      <c r="F262" t="s">
        <v>142</v>
      </c>
      <c r="G262" t="s">
        <v>143</v>
      </c>
      <c r="I262">
        <v>1446540.2</v>
      </c>
      <c r="M262">
        <v>53168</v>
      </c>
      <c r="AT262">
        <v>11585</v>
      </c>
      <c r="AU262">
        <v>41583</v>
      </c>
    </row>
    <row r="263" spans="1:67" x14ac:dyDescent="0.35">
      <c r="A263">
        <v>2017</v>
      </c>
      <c r="B263">
        <v>2017</v>
      </c>
      <c r="C263">
        <v>2017</v>
      </c>
      <c r="E263" t="s">
        <v>144</v>
      </c>
      <c r="F263" t="s">
        <v>145</v>
      </c>
      <c r="G263" t="s">
        <v>146</v>
      </c>
      <c r="I263">
        <v>156073.20000000001</v>
      </c>
      <c r="J263">
        <v>248</v>
      </c>
      <c r="AN263">
        <v>248</v>
      </c>
    </row>
    <row r="264" spans="1:67" x14ac:dyDescent="0.35">
      <c r="A264">
        <v>2017</v>
      </c>
      <c r="B264">
        <v>2017</v>
      </c>
      <c r="C264">
        <v>2017</v>
      </c>
      <c r="E264" t="s">
        <v>147</v>
      </c>
      <c r="F264" t="s">
        <v>148</v>
      </c>
      <c r="G264" t="s">
        <v>149</v>
      </c>
      <c r="I264">
        <v>840158.7</v>
      </c>
      <c r="N264">
        <v>2931</v>
      </c>
      <c r="AQ264">
        <v>2931</v>
      </c>
    </row>
    <row r="265" spans="1:67" x14ac:dyDescent="0.35">
      <c r="A265">
        <v>2017</v>
      </c>
      <c r="B265">
        <v>2017</v>
      </c>
      <c r="C265">
        <v>2017</v>
      </c>
      <c r="E265" t="s">
        <v>150</v>
      </c>
      <c r="F265" t="s">
        <v>151</v>
      </c>
      <c r="G265" t="s">
        <v>152</v>
      </c>
      <c r="I265">
        <v>609708.69999999995</v>
      </c>
      <c r="BA265">
        <v>11</v>
      </c>
    </row>
    <row r="266" spans="1:67" x14ac:dyDescent="0.35">
      <c r="A266">
        <v>2017</v>
      </c>
      <c r="B266">
        <v>2017</v>
      </c>
      <c r="C266">
        <v>2017</v>
      </c>
      <c r="E266" t="s">
        <v>153</v>
      </c>
      <c r="F266" t="s">
        <v>154</v>
      </c>
      <c r="G266" t="s">
        <v>155</v>
      </c>
      <c r="I266">
        <v>807286.6</v>
      </c>
      <c r="J266">
        <v>2247</v>
      </c>
      <c r="V266">
        <v>53</v>
      </c>
      <c r="AN266">
        <v>2247</v>
      </c>
      <c r="BJ266">
        <v>10</v>
      </c>
      <c r="BO266">
        <v>72</v>
      </c>
    </row>
    <row r="267" spans="1:67" x14ac:dyDescent="0.35">
      <c r="A267">
        <v>2017</v>
      </c>
      <c r="B267">
        <v>2017</v>
      </c>
      <c r="C267">
        <v>2017</v>
      </c>
      <c r="E267" t="s">
        <v>156</v>
      </c>
      <c r="F267" t="s">
        <v>157</v>
      </c>
      <c r="G267" t="s">
        <v>158</v>
      </c>
      <c r="I267">
        <v>14729.3</v>
      </c>
      <c r="J267">
        <v>2927</v>
      </c>
      <c r="M267">
        <v>4445</v>
      </c>
      <c r="O267">
        <v>401</v>
      </c>
      <c r="P267">
        <v>531</v>
      </c>
      <c r="AN267">
        <v>2927</v>
      </c>
      <c r="AS267">
        <v>4445</v>
      </c>
    </row>
    <row r="268" spans="1:67" x14ac:dyDescent="0.35">
      <c r="A268">
        <v>2017</v>
      </c>
      <c r="B268">
        <v>2017</v>
      </c>
      <c r="C268">
        <v>2017</v>
      </c>
      <c r="E268" t="s">
        <v>159</v>
      </c>
      <c r="F268" t="s">
        <v>160</v>
      </c>
      <c r="G268" t="s">
        <v>161</v>
      </c>
      <c r="I268">
        <v>1056956</v>
      </c>
      <c r="J268">
        <v>2180</v>
      </c>
      <c r="K268">
        <v>1555</v>
      </c>
      <c r="M268">
        <v>7961</v>
      </c>
      <c r="N268">
        <v>5820</v>
      </c>
      <c r="O268">
        <v>217</v>
      </c>
      <c r="P268">
        <v>255</v>
      </c>
      <c r="Q268">
        <v>7242</v>
      </c>
      <c r="S268">
        <v>2</v>
      </c>
      <c r="U268">
        <v>1991</v>
      </c>
      <c r="V268">
        <v>319</v>
      </c>
      <c r="Z268">
        <v>103</v>
      </c>
      <c r="AC268">
        <v>68</v>
      </c>
      <c r="AE268">
        <v>452</v>
      </c>
      <c r="AG268">
        <v>290</v>
      </c>
      <c r="AH268">
        <v>2466</v>
      </c>
      <c r="AJ268">
        <v>1958</v>
      </c>
      <c r="AL268">
        <v>29</v>
      </c>
      <c r="AP268">
        <v>436</v>
      </c>
      <c r="AQ268">
        <v>5384</v>
      </c>
      <c r="AS268">
        <v>7961</v>
      </c>
      <c r="AX268">
        <v>211</v>
      </c>
      <c r="AY268">
        <v>57</v>
      </c>
      <c r="AZ268">
        <v>147</v>
      </c>
      <c r="BA268">
        <v>424</v>
      </c>
      <c r="BB268">
        <v>34992</v>
      </c>
      <c r="BC268">
        <v>26735</v>
      </c>
      <c r="BD268">
        <v>6281</v>
      </c>
      <c r="BG268">
        <v>2055</v>
      </c>
      <c r="BH268">
        <v>52</v>
      </c>
      <c r="BI268">
        <v>325</v>
      </c>
      <c r="BJ268">
        <v>17</v>
      </c>
      <c r="BK268">
        <v>219</v>
      </c>
      <c r="BL268">
        <v>8</v>
      </c>
      <c r="BM268">
        <v>279</v>
      </c>
      <c r="BN268">
        <v>625</v>
      </c>
      <c r="BO268">
        <v>59</v>
      </c>
    </row>
    <row r="269" spans="1:67" x14ac:dyDescent="0.35">
      <c r="A269">
        <v>2017</v>
      </c>
      <c r="B269">
        <v>2017</v>
      </c>
      <c r="C269">
        <v>2017</v>
      </c>
      <c r="E269" t="s">
        <v>162</v>
      </c>
      <c r="F269" t="s">
        <v>163</v>
      </c>
      <c r="G269" t="s">
        <v>164</v>
      </c>
      <c r="I269">
        <v>70261.600000000006</v>
      </c>
      <c r="J269">
        <v>1421</v>
      </c>
      <c r="M269">
        <v>4853</v>
      </c>
      <c r="AN269">
        <v>1421</v>
      </c>
      <c r="AT269">
        <v>2539</v>
      </c>
      <c r="AU269">
        <v>2314</v>
      </c>
    </row>
    <row r="270" spans="1:67" x14ac:dyDescent="0.35">
      <c r="A270">
        <v>2017</v>
      </c>
      <c r="B270">
        <v>2017</v>
      </c>
      <c r="C270">
        <v>2017</v>
      </c>
      <c r="E270" t="s">
        <v>165</v>
      </c>
      <c r="F270" t="s">
        <v>166</v>
      </c>
      <c r="G270" t="s">
        <v>167</v>
      </c>
      <c r="I270">
        <v>382138</v>
      </c>
      <c r="J270">
        <v>1648</v>
      </c>
      <c r="K270">
        <v>1114</v>
      </c>
      <c r="N270">
        <v>2144</v>
      </c>
      <c r="O270">
        <v>236</v>
      </c>
      <c r="P270">
        <v>879</v>
      </c>
      <c r="AB270">
        <v>201</v>
      </c>
      <c r="AC270">
        <v>76</v>
      </c>
      <c r="AJ270">
        <v>1990</v>
      </c>
      <c r="AP270">
        <v>879</v>
      </c>
      <c r="AR270">
        <v>1265</v>
      </c>
      <c r="AV270">
        <v>1290</v>
      </c>
      <c r="AY270">
        <v>83</v>
      </c>
      <c r="BA270">
        <v>309</v>
      </c>
      <c r="BG270">
        <v>201</v>
      </c>
      <c r="BH270">
        <v>182</v>
      </c>
      <c r="BJ270">
        <v>10</v>
      </c>
      <c r="BN270">
        <v>534</v>
      </c>
      <c r="BO270">
        <v>56</v>
      </c>
    </row>
    <row r="271" spans="1:67" x14ac:dyDescent="0.35">
      <c r="A271">
        <v>2017</v>
      </c>
      <c r="B271">
        <v>2017</v>
      </c>
      <c r="C271">
        <v>2017</v>
      </c>
      <c r="E271" t="s">
        <v>168</v>
      </c>
      <c r="F271" t="s">
        <v>169</v>
      </c>
      <c r="G271" t="s">
        <v>170</v>
      </c>
      <c r="I271">
        <v>516925.5</v>
      </c>
      <c r="J271">
        <v>1066</v>
      </c>
      <c r="M271">
        <v>2820</v>
      </c>
      <c r="N271">
        <v>2002</v>
      </c>
      <c r="O271">
        <v>121</v>
      </c>
      <c r="P271">
        <v>170</v>
      </c>
      <c r="U271">
        <v>5</v>
      </c>
      <c r="V271">
        <v>57</v>
      </c>
      <c r="AB271">
        <v>146</v>
      </c>
      <c r="AK271">
        <v>37</v>
      </c>
      <c r="AN271">
        <v>1066</v>
      </c>
      <c r="AR271">
        <v>2002</v>
      </c>
      <c r="AT271">
        <v>1093</v>
      </c>
      <c r="AU271">
        <v>1727</v>
      </c>
    </row>
    <row r="272" spans="1:67" x14ac:dyDescent="0.35">
      <c r="A272">
        <v>2017</v>
      </c>
      <c r="B272">
        <v>2017</v>
      </c>
      <c r="C272">
        <v>2017</v>
      </c>
      <c r="E272" t="s">
        <v>171</v>
      </c>
      <c r="F272" t="s">
        <v>172</v>
      </c>
      <c r="G272" t="s">
        <v>173</v>
      </c>
      <c r="I272">
        <v>1837.1</v>
      </c>
      <c r="BJ272">
        <v>4</v>
      </c>
      <c r="BO272">
        <v>35</v>
      </c>
    </row>
    <row r="273" spans="1:69" x14ac:dyDescent="0.35">
      <c r="A273">
        <v>2017</v>
      </c>
      <c r="B273">
        <v>2017</v>
      </c>
      <c r="C273">
        <v>2017</v>
      </c>
      <c r="E273" t="s">
        <v>174</v>
      </c>
      <c r="F273" t="s">
        <v>175</v>
      </c>
      <c r="G273" t="s">
        <v>176</v>
      </c>
      <c r="I273">
        <v>248976</v>
      </c>
      <c r="M273">
        <v>5980</v>
      </c>
      <c r="AS273">
        <v>2326</v>
      </c>
      <c r="AT273">
        <v>2690</v>
      </c>
      <c r="AU273">
        <v>964</v>
      </c>
    </row>
    <row r="274" spans="1:69" x14ac:dyDescent="0.35">
      <c r="A274">
        <v>2017</v>
      </c>
      <c r="B274">
        <v>2017</v>
      </c>
      <c r="C274">
        <v>2017</v>
      </c>
      <c r="E274" t="s">
        <v>177</v>
      </c>
      <c r="F274" t="s">
        <v>178</v>
      </c>
      <c r="G274" t="s">
        <v>179</v>
      </c>
      <c r="I274">
        <v>1185951.8</v>
      </c>
      <c r="J274">
        <v>44653</v>
      </c>
      <c r="O274">
        <v>6314</v>
      </c>
      <c r="S274">
        <v>3323</v>
      </c>
      <c r="T274">
        <v>2</v>
      </c>
      <c r="V274">
        <v>6948</v>
      </c>
      <c r="W274">
        <v>3330</v>
      </c>
      <c r="X274">
        <v>3658</v>
      </c>
      <c r="Y274">
        <v>152</v>
      </c>
      <c r="AB274">
        <v>3730</v>
      </c>
      <c r="AG274">
        <v>8681</v>
      </c>
      <c r="AJ274">
        <v>5525</v>
      </c>
      <c r="AK274">
        <v>5267</v>
      </c>
      <c r="AN274">
        <v>44653</v>
      </c>
      <c r="AX274">
        <v>219</v>
      </c>
      <c r="AZ274">
        <v>3790</v>
      </c>
      <c r="BD274">
        <v>8919</v>
      </c>
      <c r="BG274">
        <v>11741</v>
      </c>
      <c r="BH274">
        <v>7476</v>
      </c>
      <c r="BI274">
        <v>228</v>
      </c>
      <c r="BK274">
        <v>8453</v>
      </c>
      <c r="BL274">
        <v>12683</v>
      </c>
      <c r="BM274">
        <v>15011</v>
      </c>
      <c r="BQ274">
        <v>49732</v>
      </c>
    </row>
    <row r="275" spans="1:69" x14ac:dyDescent="0.35">
      <c r="A275">
        <v>2017</v>
      </c>
      <c r="B275">
        <v>2017</v>
      </c>
      <c r="C275">
        <v>2017</v>
      </c>
      <c r="E275" t="s">
        <v>180</v>
      </c>
      <c r="F275" t="s">
        <v>181</v>
      </c>
      <c r="G275" t="s">
        <v>182</v>
      </c>
      <c r="I275">
        <v>360673.9</v>
      </c>
      <c r="BA275">
        <v>1</v>
      </c>
    </row>
    <row r="276" spans="1:69" x14ac:dyDescent="0.35">
      <c r="A276">
        <v>2017</v>
      </c>
      <c r="B276">
        <v>2017</v>
      </c>
      <c r="C276">
        <v>2017</v>
      </c>
      <c r="E276" t="s">
        <v>183</v>
      </c>
      <c r="F276" t="s">
        <v>184</v>
      </c>
      <c r="G276" t="s">
        <v>185</v>
      </c>
      <c r="I276">
        <v>175040.4</v>
      </c>
    </row>
    <row r="277" spans="1:69" x14ac:dyDescent="0.35">
      <c r="A277">
        <v>2017</v>
      </c>
      <c r="B277">
        <v>2017</v>
      </c>
      <c r="C277">
        <v>2017</v>
      </c>
      <c r="E277" t="s">
        <v>186</v>
      </c>
      <c r="F277" t="s">
        <v>187</v>
      </c>
      <c r="G277" t="s">
        <v>188</v>
      </c>
      <c r="I277">
        <v>973023.7</v>
      </c>
      <c r="J277">
        <v>472</v>
      </c>
      <c r="AN277">
        <v>472</v>
      </c>
      <c r="BA277">
        <v>6</v>
      </c>
    </row>
    <row r="278" spans="1:69" x14ac:dyDescent="0.35">
      <c r="A278">
        <v>2017</v>
      </c>
      <c r="B278">
        <v>2017</v>
      </c>
      <c r="C278">
        <v>2017</v>
      </c>
      <c r="E278" t="s">
        <v>189</v>
      </c>
      <c r="F278" t="s">
        <v>190</v>
      </c>
      <c r="G278" t="s">
        <v>191</v>
      </c>
      <c r="I278">
        <v>1511805.9</v>
      </c>
      <c r="J278">
        <v>6918</v>
      </c>
      <c r="M278">
        <v>60456</v>
      </c>
      <c r="AN278">
        <v>6918</v>
      </c>
      <c r="AT278">
        <v>45008</v>
      </c>
      <c r="AU278">
        <v>15448</v>
      </c>
    </row>
    <row r="279" spans="1:69" x14ac:dyDescent="0.35">
      <c r="A279">
        <v>2017</v>
      </c>
      <c r="B279">
        <v>2017</v>
      </c>
      <c r="C279">
        <v>2017</v>
      </c>
      <c r="E279" t="s">
        <v>192</v>
      </c>
      <c r="F279" t="s">
        <v>193</v>
      </c>
      <c r="G279" t="s">
        <v>194</v>
      </c>
      <c r="I279">
        <v>622980.80000000005</v>
      </c>
      <c r="M279">
        <v>15691</v>
      </c>
      <c r="AU279">
        <v>15691</v>
      </c>
    </row>
    <row r="280" spans="1:69" x14ac:dyDescent="0.35">
      <c r="A280">
        <v>2017</v>
      </c>
      <c r="B280">
        <v>2017</v>
      </c>
      <c r="C280">
        <v>2017</v>
      </c>
      <c r="E280" t="s">
        <v>195</v>
      </c>
      <c r="F280" t="s">
        <v>196</v>
      </c>
      <c r="G280" t="s">
        <v>197</v>
      </c>
      <c r="I280">
        <v>478807.6</v>
      </c>
      <c r="J280">
        <v>2646</v>
      </c>
      <c r="K280">
        <v>1754</v>
      </c>
      <c r="L280">
        <v>84</v>
      </c>
      <c r="M280">
        <v>28170</v>
      </c>
      <c r="N280">
        <v>8806</v>
      </c>
      <c r="O280">
        <v>109</v>
      </c>
      <c r="P280">
        <v>272</v>
      </c>
      <c r="Q280">
        <v>11460</v>
      </c>
      <c r="U280">
        <v>15000</v>
      </c>
      <c r="V280">
        <v>276</v>
      </c>
      <c r="AB280">
        <v>2036</v>
      </c>
      <c r="AC280">
        <v>41</v>
      </c>
      <c r="AG280">
        <v>417</v>
      </c>
      <c r="AH280">
        <v>451</v>
      </c>
      <c r="AJ280">
        <v>781</v>
      </c>
      <c r="AM280">
        <v>605</v>
      </c>
      <c r="AN280">
        <v>446</v>
      </c>
      <c r="AR280">
        <v>8806</v>
      </c>
      <c r="AT280">
        <v>9360</v>
      </c>
      <c r="AU280">
        <v>18810</v>
      </c>
      <c r="AV280">
        <v>3586</v>
      </c>
      <c r="AW280">
        <v>39</v>
      </c>
      <c r="AY280">
        <v>69</v>
      </c>
      <c r="AZ280">
        <v>20</v>
      </c>
      <c r="BA280">
        <v>154</v>
      </c>
      <c r="BB280">
        <v>1733</v>
      </c>
      <c r="BD280">
        <v>174</v>
      </c>
      <c r="BE280">
        <v>607</v>
      </c>
      <c r="BG280">
        <v>726</v>
      </c>
      <c r="BH280">
        <v>503</v>
      </c>
      <c r="BJ280">
        <v>15</v>
      </c>
      <c r="BN280">
        <v>446</v>
      </c>
      <c r="BO280">
        <v>79</v>
      </c>
      <c r="BQ280">
        <v>596</v>
      </c>
    </row>
    <row r="281" spans="1:69" x14ac:dyDescent="0.35">
      <c r="A281">
        <v>2017</v>
      </c>
      <c r="B281">
        <v>2017</v>
      </c>
      <c r="C281">
        <v>2017</v>
      </c>
      <c r="E281" t="s">
        <v>198</v>
      </c>
      <c r="F281" t="s">
        <v>199</v>
      </c>
      <c r="G281" t="s">
        <v>200</v>
      </c>
      <c r="I281">
        <v>100718.5</v>
      </c>
      <c r="J281">
        <v>224</v>
      </c>
      <c r="M281">
        <v>4528</v>
      </c>
      <c r="AN281">
        <v>224</v>
      </c>
      <c r="AT281">
        <v>2899</v>
      </c>
      <c r="AU281">
        <v>1629</v>
      </c>
      <c r="BJ281">
        <v>33</v>
      </c>
      <c r="BO281">
        <v>48</v>
      </c>
    </row>
    <row r="282" spans="1:69" x14ac:dyDescent="0.35">
      <c r="A282">
        <v>2017</v>
      </c>
      <c r="B282">
        <v>2017</v>
      </c>
      <c r="C282">
        <v>2017</v>
      </c>
      <c r="E282" t="s">
        <v>201</v>
      </c>
      <c r="F282" t="s">
        <v>202</v>
      </c>
      <c r="G282" t="s">
        <v>203</v>
      </c>
      <c r="I282">
        <v>259750.6</v>
      </c>
      <c r="J282">
        <v>583</v>
      </c>
      <c r="K282">
        <v>230</v>
      </c>
      <c r="M282">
        <v>1966</v>
      </c>
      <c r="N282">
        <v>1268</v>
      </c>
      <c r="O282">
        <v>57</v>
      </c>
      <c r="P282">
        <v>218</v>
      </c>
      <c r="Q282">
        <v>1431</v>
      </c>
      <c r="S282">
        <v>21</v>
      </c>
      <c r="T282">
        <v>22</v>
      </c>
      <c r="U282">
        <v>7545</v>
      </c>
      <c r="W282">
        <v>6</v>
      </c>
      <c r="X282">
        <v>1</v>
      </c>
      <c r="Z282">
        <v>11</v>
      </c>
      <c r="AA282">
        <v>35</v>
      </c>
      <c r="AB282">
        <v>309</v>
      </c>
      <c r="AC282">
        <v>43</v>
      </c>
      <c r="AD282">
        <v>3474</v>
      </c>
      <c r="AG282">
        <v>151</v>
      </c>
      <c r="AJ282">
        <v>201</v>
      </c>
      <c r="AK282">
        <v>454</v>
      </c>
      <c r="AL282">
        <v>58</v>
      </c>
      <c r="AP282">
        <v>614</v>
      </c>
      <c r="AQ282">
        <v>654</v>
      </c>
      <c r="AT282">
        <v>762</v>
      </c>
      <c r="AU282">
        <v>1204</v>
      </c>
      <c r="AX282">
        <v>7</v>
      </c>
      <c r="AY282">
        <v>47</v>
      </c>
      <c r="AZ282">
        <v>6</v>
      </c>
      <c r="BA282">
        <v>229</v>
      </c>
      <c r="BB282">
        <v>1364</v>
      </c>
      <c r="BC282">
        <v>1806</v>
      </c>
      <c r="BD282">
        <v>945</v>
      </c>
      <c r="BG282">
        <v>3</v>
      </c>
      <c r="BH282">
        <v>174</v>
      </c>
      <c r="BJ282">
        <v>5</v>
      </c>
      <c r="BK282">
        <v>57</v>
      </c>
      <c r="BL282">
        <v>41</v>
      </c>
      <c r="BM282">
        <v>21</v>
      </c>
      <c r="BN282">
        <v>353</v>
      </c>
    </row>
    <row r="283" spans="1:69" x14ac:dyDescent="0.35">
      <c r="A283">
        <v>2017</v>
      </c>
      <c r="B283">
        <v>2017</v>
      </c>
      <c r="C283">
        <v>2017</v>
      </c>
      <c r="E283" t="s">
        <v>204</v>
      </c>
      <c r="F283" t="s">
        <v>205</v>
      </c>
      <c r="G283" t="s">
        <v>206</v>
      </c>
      <c r="I283">
        <v>23590.799999999999</v>
      </c>
    </row>
    <row r="284" spans="1:69" x14ac:dyDescent="0.35">
      <c r="A284">
        <v>2017</v>
      </c>
      <c r="B284">
        <v>2017</v>
      </c>
      <c r="C284">
        <v>2017</v>
      </c>
      <c r="E284" t="s">
        <v>207</v>
      </c>
      <c r="F284" t="s">
        <v>208</v>
      </c>
      <c r="G284" t="s">
        <v>209</v>
      </c>
      <c r="I284">
        <v>2100281</v>
      </c>
      <c r="M284">
        <v>31940</v>
      </c>
      <c r="AT284">
        <v>21351</v>
      </c>
      <c r="AU284">
        <v>10589</v>
      </c>
    </row>
    <row r="285" spans="1:69" x14ac:dyDescent="0.35">
      <c r="A285">
        <v>2016</v>
      </c>
      <c r="B285">
        <v>2016</v>
      </c>
      <c r="C285">
        <v>2016</v>
      </c>
      <c r="E285" t="s">
        <v>69</v>
      </c>
      <c r="F285" t="s">
        <v>70</v>
      </c>
      <c r="G285" t="s">
        <v>71</v>
      </c>
      <c r="I285">
        <v>735658.4</v>
      </c>
      <c r="J285">
        <v>1202</v>
      </c>
      <c r="M285">
        <v>9701</v>
      </c>
      <c r="N285">
        <v>2580</v>
      </c>
      <c r="P285">
        <v>235</v>
      </c>
      <c r="AN285">
        <v>1202</v>
      </c>
      <c r="AR285">
        <v>2580</v>
      </c>
      <c r="AT285">
        <v>2337</v>
      </c>
      <c r="AU285">
        <v>7364</v>
      </c>
    </row>
    <row r="286" spans="1:69" x14ac:dyDescent="0.35">
      <c r="A286">
        <v>2016</v>
      </c>
      <c r="B286">
        <v>2016</v>
      </c>
      <c r="C286">
        <v>2016</v>
      </c>
      <c r="E286" t="s">
        <v>72</v>
      </c>
      <c r="F286" t="s">
        <v>73</v>
      </c>
      <c r="G286" t="s">
        <v>74</v>
      </c>
      <c r="I286">
        <v>193339.6</v>
      </c>
    </row>
    <row r="287" spans="1:69" x14ac:dyDescent="0.35">
      <c r="A287">
        <v>2016</v>
      </c>
      <c r="B287">
        <v>2016</v>
      </c>
      <c r="C287">
        <v>2016</v>
      </c>
      <c r="E287" t="s">
        <v>75</v>
      </c>
      <c r="F287" t="s">
        <v>76</v>
      </c>
      <c r="G287" t="s">
        <v>77</v>
      </c>
      <c r="I287">
        <v>6608.2</v>
      </c>
    </row>
    <row r="288" spans="1:69" x14ac:dyDescent="0.35">
      <c r="A288">
        <v>2016</v>
      </c>
      <c r="B288">
        <v>2016</v>
      </c>
      <c r="C288">
        <v>2016</v>
      </c>
      <c r="E288" t="s">
        <v>78</v>
      </c>
      <c r="F288" t="s">
        <v>79</v>
      </c>
      <c r="G288" t="s">
        <v>80</v>
      </c>
      <c r="I288">
        <v>3397335.8</v>
      </c>
      <c r="M288">
        <v>44897</v>
      </c>
      <c r="N288">
        <v>1793</v>
      </c>
      <c r="O288">
        <v>147</v>
      </c>
      <c r="P288">
        <v>404</v>
      </c>
      <c r="AP288">
        <v>1753</v>
      </c>
      <c r="AQ288">
        <v>40</v>
      </c>
      <c r="AS288">
        <v>44897</v>
      </c>
      <c r="AY288">
        <v>200</v>
      </c>
    </row>
    <row r="289" spans="1:59" x14ac:dyDescent="0.35">
      <c r="A289">
        <v>2016</v>
      </c>
      <c r="B289">
        <v>2016</v>
      </c>
      <c r="C289">
        <v>2016</v>
      </c>
      <c r="E289" t="s">
        <v>81</v>
      </c>
      <c r="F289" t="s">
        <v>82</v>
      </c>
      <c r="G289" t="s">
        <v>83</v>
      </c>
      <c r="I289">
        <v>3447899.3</v>
      </c>
      <c r="N289">
        <v>12069</v>
      </c>
      <c r="AQ289">
        <v>12069</v>
      </c>
      <c r="AY289">
        <v>296</v>
      </c>
    </row>
    <row r="290" spans="1:59" x14ac:dyDescent="0.35">
      <c r="A290">
        <v>2016</v>
      </c>
      <c r="B290">
        <v>2016</v>
      </c>
      <c r="C290">
        <v>2016</v>
      </c>
      <c r="E290" t="s">
        <v>84</v>
      </c>
      <c r="F290" t="s">
        <v>85</v>
      </c>
      <c r="G290" t="s">
        <v>86</v>
      </c>
      <c r="I290">
        <v>7083326.4000000004</v>
      </c>
      <c r="J290">
        <v>83565</v>
      </c>
      <c r="M290">
        <v>185101</v>
      </c>
      <c r="N290">
        <v>141275</v>
      </c>
      <c r="O290">
        <v>4081</v>
      </c>
      <c r="AN290">
        <v>83565</v>
      </c>
      <c r="AR290">
        <v>141275</v>
      </c>
      <c r="AS290">
        <v>185101</v>
      </c>
    </row>
    <row r="291" spans="1:59" x14ac:dyDescent="0.35">
      <c r="A291">
        <v>2016</v>
      </c>
      <c r="B291">
        <v>2016</v>
      </c>
      <c r="C291">
        <v>2016</v>
      </c>
      <c r="E291" t="s">
        <v>87</v>
      </c>
      <c r="F291" t="s">
        <v>88</v>
      </c>
      <c r="G291" t="s">
        <v>89</v>
      </c>
      <c r="I291">
        <v>63306.9</v>
      </c>
      <c r="J291">
        <v>715</v>
      </c>
      <c r="M291">
        <v>4596</v>
      </c>
      <c r="N291">
        <v>513</v>
      </c>
      <c r="P291">
        <v>46</v>
      </c>
      <c r="W291">
        <v>33</v>
      </c>
      <c r="AB291">
        <v>174</v>
      </c>
      <c r="AG291">
        <v>66</v>
      </c>
      <c r="AJ291">
        <v>287</v>
      </c>
      <c r="AN291">
        <v>715</v>
      </c>
      <c r="AR291">
        <v>513</v>
      </c>
      <c r="AS291">
        <v>4596</v>
      </c>
      <c r="BG291">
        <v>72</v>
      </c>
    </row>
    <row r="292" spans="1:59" x14ac:dyDescent="0.35">
      <c r="A292">
        <v>2016</v>
      </c>
      <c r="B292">
        <v>2016</v>
      </c>
      <c r="C292">
        <v>2016</v>
      </c>
      <c r="E292" t="s">
        <v>90</v>
      </c>
      <c r="F292" t="s">
        <v>91</v>
      </c>
      <c r="G292" t="s">
        <v>92</v>
      </c>
      <c r="I292">
        <v>138275.5</v>
      </c>
    </row>
    <row r="293" spans="1:59" x14ac:dyDescent="0.35">
      <c r="A293">
        <v>2016</v>
      </c>
      <c r="B293">
        <v>2016</v>
      </c>
      <c r="C293">
        <v>2016</v>
      </c>
      <c r="E293" t="s">
        <v>93</v>
      </c>
      <c r="F293" t="s">
        <v>94</v>
      </c>
      <c r="G293" t="s">
        <v>95</v>
      </c>
      <c r="I293">
        <v>31320.3</v>
      </c>
      <c r="J293">
        <v>107</v>
      </c>
      <c r="M293">
        <v>4200</v>
      </c>
      <c r="AN293">
        <v>107</v>
      </c>
      <c r="AT293">
        <v>943</v>
      </c>
      <c r="AU293">
        <v>3257</v>
      </c>
      <c r="AY293">
        <v>6</v>
      </c>
    </row>
    <row r="294" spans="1:59" x14ac:dyDescent="0.35">
      <c r="A294">
        <v>2016</v>
      </c>
      <c r="B294">
        <v>2016</v>
      </c>
      <c r="C294">
        <v>2016</v>
      </c>
      <c r="E294" t="s">
        <v>96</v>
      </c>
      <c r="F294" t="s">
        <v>97</v>
      </c>
      <c r="G294" t="s">
        <v>98</v>
      </c>
      <c r="I294">
        <v>59260.7</v>
      </c>
    </row>
    <row r="295" spans="1:59" x14ac:dyDescent="0.35">
      <c r="A295">
        <v>2016</v>
      </c>
      <c r="B295">
        <v>2016</v>
      </c>
      <c r="C295">
        <v>2016</v>
      </c>
      <c r="E295" t="s">
        <v>99</v>
      </c>
      <c r="F295" t="s">
        <v>100</v>
      </c>
      <c r="G295" t="s">
        <v>101</v>
      </c>
      <c r="I295">
        <v>1030448.2</v>
      </c>
      <c r="J295">
        <v>74309</v>
      </c>
      <c r="M295">
        <v>90958</v>
      </c>
      <c r="AN295">
        <v>74309</v>
      </c>
      <c r="AS295">
        <v>90958</v>
      </c>
    </row>
    <row r="296" spans="1:59" x14ac:dyDescent="0.35">
      <c r="A296">
        <v>2016</v>
      </c>
      <c r="B296">
        <v>2016</v>
      </c>
      <c r="C296">
        <v>2016</v>
      </c>
      <c r="E296" t="s">
        <v>102</v>
      </c>
      <c r="F296" t="s">
        <v>103</v>
      </c>
      <c r="G296" t="s">
        <v>104</v>
      </c>
      <c r="I296">
        <v>1170060.7</v>
      </c>
    </row>
    <row r="297" spans="1:59" x14ac:dyDescent="0.35">
      <c r="A297">
        <v>2016</v>
      </c>
      <c r="B297">
        <v>2016</v>
      </c>
      <c r="C297">
        <v>2016</v>
      </c>
      <c r="E297" t="s">
        <v>105</v>
      </c>
      <c r="F297" t="s">
        <v>106</v>
      </c>
      <c r="G297" t="s">
        <v>107</v>
      </c>
      <c r="I297">
        <v>422641.3</v>
      </c>
      <c r="J297">
        <v>523</v>
      </c>
      <c r="M297">
        <v>7224</v>
      </c>
      <c r="N297">
        <v>1034</v>
      </c>
      <c r="O297">
        <v>9</v>
      </c>
      <c r="P297">
        <v>13</v>
      </c>
      <c r="AB297">
        <v>254</v>
      </c>
      <c r="AG297">
        <v>234</v>
      </c>
      <c r="AJ297">
        <v>1166</v>
      </c>
      <c r="AN297">
        <v>523</v>
      </c>
      <c r="AR297">
        <v>1034</v>
      </c>
      <c r="AS297">
        <v>5647</v>
      </c>
      <c r="AU297">
        <v>1577</v>
      </c>
    </row>
    <row r="298" spans="1:59" x14ac:dyDescent="0.35">
      <c r="A298">
        <v>2016</v>
      </c>
      <c r="B298">
        <v>2016</v>
      </c>
      <c r="C298">
        <v>2016</v>
      </c>
      <c r="E298" t="s">
        <v>108</v>
      </c>
      <c r="F298" t="s">
        <v>109</v>
      </c>
      <c r="G298" t="s">
        <v>110</v>
      </c>
      <c r="I298">
        <v>61561.1</v>
      </c>
      <c r="J298">
        <v>830</v>
      </c>
      <c r="M298">
        <v>7427</v>
      </c>
      <c r="N298">
        <v>1461</v>
      </c>
      <c r="O298">
        <v>91</v>
      </c>
      <c r="AN298">
        <v>830</v>
      </c>
      <c r="AQ298">
        <v>1461</v>
      </c>
      <c r="AS298">
        <v>7427</v>
      </c>
      <c r="AY298">
        <v>11</v>
      </c>
    </row>
    <row r="299" spans="1:59" x14ac:dyDescent="0.35">
      <c r="A299">
        <v>2016</v>
      </c>
      <c r="B299">
        <v>2016</v>
      </c>
      <c r="C299">
        <v>2016</v>
      </c>
      <c r="E299" t="s">
        <v>111</v>
      </c>
      <c r="F299" t="s">
        <v>112</v>
      </c>
      <c r="G299" t="s">
        <v>113</v>
      </c>
      <c r="I299">
        <v>431656.2</v>
      </c>
    </row>
    <row r="300" spans="1:59" x14ac:dyDescent="0.35">
      <c r="A300">
        <v>2016</v>
      </c>
      <c r="B300">
        <v>2016</v>
      </c>
      <c r="C300">
        <v>2016</v>
      </c>
      <c r="E300" t="s">
        <v>114</v>
      </c>
      <c r="F300" t="s">
        <v>115</v>
      </c>
      <c r="G300" t="s">
        <v>116</v>
      </c>
      <c r="I300">
        <v>11070.9</v>
      </c>
      <c r="J300">
        <v>408</v>
      </c>
      <c r="M300">
        <v>612</v>
      </c>
      <c r="O300">
        <v>4</v>
      </c>
      <c r="P300">
        <v>4</v>
      </c>
      <c r="AN300">
        <v>408</v>
      </c>
      <c r="AS300">
        <v>612</v>
      </c>
    </row>
    <row r="301" spans="1:59" x14ac:dyDescent="0.35">
      <c r="A301">
        <v>2016</v>
      </c>
      <c r="B301">
        <v>2016</v>
      </c>
      <c r="C301">
        <v>2016</v>
      </c>
      <c r="E301" t="s">
        <v>117</v>
      </c>
      <c r="F301" t="s">
        <v>118</v>
      </c>
      <c r="G301" t="s">
        <v>119</v>
      </c>
      <c r="I301">
        <v>867237.3</v>
      </c>
      <c r="O301">
        <v>88</v>
      </c>
      <c r="P301">
        <v>199</v>
      </c>
    </row>
    <row r="302" spans="1:59" x14ac:dyDescent="0.35">
      <c r="A302">
        <v>2016</v>
      </c>
      <c r="B302">
        <v>2016</v>
      </c>
      <c r="C302">
        <v>2016</v>
      </c>
      <c r="E302" t="s">
        <v>120</v>
      </c>
      <c r="F302" t="s">
        <v>121</v>
      </c>
      <c r="G302" t="s">
        <v>122</v>
      </c>
      <c r="I302">
        <v>635851.69999999995</v>
      </c>
      <c r="J302">
        <v>540</v>
      </c>
      <c r="M302">
        <v>3106</v>
      </c>
      <c r="AN302">
        <v>540</v>
      </c>
      <c r="AS302">
        <v>3106</v>
      </c>
    </row>
    <row r="303" spans="1:59" x14ac:dyDescent="0.35">
      <c r="A303">
        <v>2016</v>
      </c>
      <c r="B303">
        <v>2016</v>
      </c>
      <c r="C303">
        <v>2016</v>
      </c>
      <c r="E303" t="s">
        <v>123</v>
      </c>
      <c r="F303" t="s">
        <v>124</v>
      </c>
      <c r="G303" t="s">
        <v>125</v>
      </c>
      <c r="I303">
        <v>846051</v>
      </c>
      <c r="M303">
        <v>12132</v>
      </c>
      <c r="AT303">
        <v>2327</v>
      </c>
      <c r="AU303">
        <v>9805</v>
      </c>
    </row>
    <row r="304" spans="1:59" x14ac:dyDescent="0.35">
      <c r="A304">
        <v>2016</v>
      </c>
      <c r="B304">
        <v>2016</v>
      </c>
      <c r="C304">
        <v>2016</v>
      </c>
      <c r="E304" t="s">
        <v>126</v>
      </c>
      <c r="F304" t="s">
        <v>127</v>
      </c>
      <c r="G304" t="s">
        <v>128</v>
      </c>
      <c r="I304">
        <v>46750.5</v>
      </c>
    </row>
    <row r="305" spans="1:67" x14ac:dyDescent="0.35">
      <c r="A305">
        <v>2016</v>
      </c>
      <c r="B305">
        <v>2016</v>
      </c>
      <c r="C305">
        <v>2016</v>
      </c>
      <c r="E305" t="s">
        <v>129</v>
      </c>
      <c r="F305" t="s">
        <v>130</v>
      </c>
      <c r="G305" t="s">
        <v>131</v>
      </c>
      <c r="I305">
        <v>84366.1</v>
      </c>
      <c r="BA305">
        <v>1</v>
      </c>
    </row>
    <row r="306" spans="1:67" x14ac:dyDescent="0.35">
      <c r="A306">
        <v>2016</v>
      </c>
      <c r="B306">
        <v>2016</v>
      </c>
      <c r="C306">
        <v>2016</v>
      </c>
      <c r="E306" t="s">
        <v>132</v>
      </c>
      <c r="F306" t="s">
        <v>133</v>
      </c>
      <c r="G306" t="s">
        <v>134</v>
      </c>
      <c r="I306">
        <v>908452.5</v>
      </c>
      <c r="J306">
        <v>3618</v>
      </c>
      <c r="M306">
        <v>52605</v>
      </c>
      <c r="N306">
        <v>7662</v>
      </c>
      <c r="O306">
        <v>400</v>
      </c>
      <c r="P306">
        <v>570</v>
      </c>
      <c r="V306">
        <v>516</v>
      </c>
      <c r="W306">
        <v>30</v>
      </c>
      <c r="AN306">
        <v>3618</v>
      </c>
      <c r="AR306">
        <v>7662</v>
      </c>
      <c r="AS306">
        <v>52605</v>
      </c>
    </row>
    <row r="307" spans="1:67" x14ac:dyDescent="0.35">
      <c r="A307">
        <v>2016</v>
      </c>
      <c r="B307">
        <v>2016</v>
      </c>
      <c r="C307">
        <v>2016</v>
      </c>
      <c r="E307" t="s">
        <v>135</v>
      </c>
      <c r="F307" t="s">
        <v>136</v>
      </c>
      <c r="G307" t="s">
        <v>137</v>
      </c>
      <c r="I307">
        <v>431325.2</v>
      </c>
      <c r="J307">
        <v>977</v>
      </c>
      <c r="M307">
        <v>1010</v>
      </c>
      <c r="N307">
        <v>443</v>
      </c>
      <c r="O307">
        <v>50</v>
      </c>
      <c r="P307">
        <v>107</v>
      </c>
      <c r="U307">
        <v>6700</v>
      </c>
      <c r="AG307">
        <v>8</v>
      </c>
      <c r="AJ307">
        <v>209</v>
      </c>
      <c r="AN307">
        <v>977</v>
      </c>
      <c r="AR307">
        <v>443</v>
      </c>
      <c r="AS307">
        <v>1010</v>
      </c>
    </row>
    <row r="308" spans="1:67" x14ac:dyDescent="0.35">
      <c r="A308">
        <v>2016</v>
      </c>
      <c r="B308">
        <v>2016</v>
      </c>
      <c r="C308">
        <v>2016</v>
      </c>
      <c r="E308" t="s">
        <v>138</v>
      </c>
      <c r="F308" t="s">
        <v>139</v>
      </c>
      <c r="G308" t="s">
        <v>140</v>
      </c>
      <c r="I308">
        <v>62337</v>
      </c>
      <c r="J308">
        <v>183</v>
      </c>
      <c r="K308">
        <v>169</v>
      </c>
      <c r="M308">
        <v>918</v>
      </c>
      <c r="N308">
        <v>125</v>
      </c>
      <c r="O308">
        <v>7</v>
      </c>
      <c r="P308">
        <v>5</v>
      </c>
      <c r="V308">
        <v>8</v>
      </c>
      <c r="W308">
        <v>4</v>
      </c>
      <c r="X308">
        <v>4</v>
      </c>
      <c r="AC308">
        <v>2</v>
      </c>
      <c r="AJ308">
        <v>16</v>
      </c>
      <c r="AK308">
        <v>158</v>
      </c>
      <c r="AQ308">
        <v>125</v>
      </c>
      <c r="AT308">
        <v>53</v>
      </c>
      <c r="AU308">
        <v>865</v>
      </c>
      <c r="AV308">
        <v>170</v>
      </c>
      <c r="AX308">
        <v>5</v>
      </c>
      <c r="AY308">
        <v>1</v>
      </c>
      <c r="BA308">
        <v>19</v>
      </c>
      <c r="BD308">
        <v>11</v>
      </c>
      <c r="BG308">
        <v>35</v>
      </c>
      <c r="BN308">
        <v>14</v>
      </c>
    </row>
    <row r="309" spans="1:67" x14ac:dyDescent="0.35">
      <c r="A309">
        <v>2016</v>
      </c>
      <c r="B309">
        <v>2016</v>
      </c>
      <c r="C309">
        <v>2016</v>
      </c>
      <c r="E309" t="s">
        <v>141</v>
      </c>
      <c r="F309" t="s">
        <v>142</v>
      </c>
      <c r="G309" t="s">
        <v>143</v>
      </c>
      <c r="I309">
        <v>1439435.7</v>
      </c>
      <c r="M309">
        <v>48737</v>
      </c>
      <c r="N309">
        <v>2092</v>
      </c>
      <c r="AQ309">
        <v>2092</v>
      </c>
      <c r="AT309">
        <v>10437</v>
      </c>
      <c r="AU309">
        <v>38300</v>
      </c>
      <c r="AY309">
        <v>380</v>
      </c>
    </row>
    <row r="310" spans="1:67" x14ac:dyDescent="0.35">
      <c r="A310">
        <v>2016</v>
      </c>
      <c r="B310">
        <v>2016</v>
      </c>
      <c r="C310">
        <v>2016</v>
      </c>
      <c r="E310" t="s">
        <v>144</v>
      </c>
      <c r="F310" t="s">
        <v>145</v>
      </c>
      <c r="G310" t="s">
        <v>146</v>
      </c>
      <c r="I310">
        <v>155266.4</v>
      </c>
      <c r="J310">
        <v>234</v>
      </c>
      <c r="AN310">
        <v>234</v>
      </c>
    </row>
    <row r="311" spans="1:67" x14ac:dyDescent="0.35">
      <c r="A311">
        <v>2016</v>
      </c>
      <c r="B311">
        <v>2016</v>
      </c>
      <c r="C311">
        <v>2016</v>
      </c>
      <c r="E311" t="s">
        <v>147</v>
      </c>
      <c r="F311" t="s">
        <v>148</v>
      </c>
      <c r="G311" t="s">
        <v>149</v>
      </c>
      <c r="I311">
        <v>821643</v>
      </c>
      <c r="N311">
        <v>1583</v>
      </c>
      <c r="P311">
        <v>4</v>
      </c>
      <c r="AQ311">
        <v>1583</v>
      </c>
      <c r="AY311">
        <v>35</v>
      </c>
    </row>
    <row r="312" spans="1:67" x14ac:dyDescent="0.35">
      <c r="A312">
        <v>2016</v>
      </c>
      <c r="B312">
        <v>2016</v>
      </c>
      <c r="C312">
        <v>2016</v>
      </c>
      <c r="E312" t="s">
        <v>150</v>
      </c>
      <c r="F312" t="s">
        <v>151</v>
      </c>
      <c r="G312" t="s">
        <v>152</v>
      </c>
      <c r="I312">
        <v>604185.30000000005</v>
      </c>
      <c r="J312">
        <v>539</v>
      </c>
      <c r="K312">
        <v>255</v>
      </c>
      <c r="M312">
        <v>4573</v>
      </c>
      <c r="N312">
        <v>568</v>
      </c>
      <c r="AJ312">
        <v>397</v>
      </c>
      <c r="AN312">
        <v>284</v>
      </c>
      <c r="AP312">
        <v>568</v>
      </c>
      <c r="AS312">
        <v>4573</v>
      </c>
      <c r="AY312">
        <v>15</v>
      </c>
      <c r="BD312">
        <v>1159</v>
      </c>
      <c r="BG312">
        <v>218</v>
      </c>
    </row>
    <row r="313" spans="1:67" x14ac:dyDescent="0.35">
      <c r="A313">
        <v>2016</v>
      </c>
      <c r="B313">
        <v>2016</v>
      </c>
      <c r="C313">
        <v>2016</v>
      </c>
      <c r="E313" t="s">
        <v>153</v>
      </c>
      <c r="F313" t="s">
        <v>154</v>
      </c>
      <c r="G313" t="s">
        <v>155</v>
      </c>
      <c r="I313">
        <v>789423.6</v>
      </c>
      <c r="J313">
        <v>2247</v>
      </c>
      <c r="M313">
        <v>4765</v>
      </c>
      <c r="N313">
        <v>2657</v>
      </c>
      <c r="O313">
        <v>107</v>
      </c>
      <c r="P313">
        <v>194</v>
      </c>
      <c r="AN313">
        <v>2247</v>
      </c>
      <c r="AQ313">
        <v>2657</v>
      </c>
      <c r="AU313">
        <v>4765</v>
      </c>
      <c r="BJ313">
        <v>9</v>
      </c>
      <c r="BO313">
        <v>67</v>
      </c>
    </row>
    <row r="314" spans="1:67" x14ac:dyDescent="0.35">
      <c r="A314">
        <v>2016</v>
      </c>
      <c r="B314">
        <v>2016</v>
      </c>
      <c r="C314">
        <v>2016</v>
      </c>
      <c r="E314" t="s">
        <v>156</v>
      </c>
      <c r="F314" t="s">
        <v>157</v>
      </c>
      <c r="G314" t="s">
        <v>158</v>
      </c>
      <c r="I314">
        <v>14486.7</v>
      </c>
      <c r="J314">
        <v>2769</v>
      </c>
      <c r="M314">
        <v>4134</v>
      </c>
      <c r="O314">
        <v>385</v>
      </c>
      <c r="P314">
        <v>514</v>
      </c>
      <c r="AN314">
        <v>2769</v>
      </c>
      <c r="AS314">
        <v>4134</v>
      </c>
    </row>
    <row r="315" spans="1:67" x14ac:dyDescent="0.35">
      <c r="A315">
        <v>2016</v>
      </c>
      <c r="B315">
        <v>2016</v>
      </c>
      <c r="C315">
        <v>2016</v>
      </c>
      <c r="E315" t="s">
        <v>159</v>
      </c>
      <c r="F315" t="s">
        <v>160</v>
      </c>
      <c r="G315" t="s">
        <v>161</v>
      </c>
      <c r="I315">
        <v>1032089.1</v>
      </c>
      <c r="M315">
        <v>7660</v>
      </c>
      <c r="N315">
        <v>5705</v>
      </c>
      <c r="AP315">
        <v>557</v>
      </c>
      <c r="AQ315">
        <v>5148</v>
      </c>
      <c r="AS315">
        <v>7660</v>
      </c>
      <c r="AY315">
        <v>57</v>
      </c>
    </row>
    <row r="316" spans="1:67" x14ac:dyDescent="0.35">
      <c r="A316">
        <v>2016</v>
      </c>
      <c r="B316">
        <v>2016</v>
      </c>
      <c r="C316">
        <v>2016</v>
      </c>
      <c r="E316" t="s">
        <v>162</v>
      </c>
      <c r="F316" t="s">
        <v>163</v>
      </c>
      <c r="G316" t="s">
        <v>164</v>
      </c>
      <c r="I316">
        <v>69993.600000000006</v>
      </c>
      <c r="M316">
        <v>4816</v>
      </c>
      <c r="AT316">
        <v>2458</v>
      </c>
      <c r="AU316">
        <v>2358</v>
      </c>
    </row>
    <row r="317" spans="1:67" x14ac:dyDescent="0.35">
      <c r="A317">
        <v>2016</v>
      </c>
      <c r="B317">
        <v>2016</v>
      </c>
      <c r="C317">
        <v>2016</v>
      </c>
      <c r="E317" t="s">
        <v>165</v>
      </c>
      <c r="F317" t="s">
        <v>166</v>
      </c>
      <c r="G317" t="s">
        <v>167</v>
      </c>
      <c r="I317">
        <v>375065.4</v>
      </c>
      <c r="J317">
        <v>1431</v>
      </c>
      <c r="K317">
        <v>1107</v>
      </c>
      <c r="M317">
        <v>11281</v>
      </c>
      <c r="N317">
        <v>1070</v>
      </c>
      <c r="AR317">
        <v>1070</v>
      </c>
      <c r="AS317">
        <v>11281</v>
      </c>
      <c r="AY317">
        <v>56</v>
      </c>
      <c r="BN317">
        <v>324</v>
      </c>
    </row>
    <row r="318" spans="1:67" x14ac:dyDescent="0.35">
      <c r="A318">
        <v>2016</v>
      </c>
      <c r="B318">
        <v>2016</v>
      </c>
      <c r="C318">
        <v>2016</v>
      </c>
      <c r="E318" t="s">
        <v>168</v>
      </c>
      <c r="F318" t="s">
        <v>169</v>
      </c>
      <c r="G318" t="s">
        <v>170</v>
      </c>
      <c r="I318">
        <v>510487.1</v>
      </c>
      <c r="J318">
        <v>1154</v>
      </c>
      <c r="K318">
        <v>267</v>
      </c>
      <c r="M318">
        <v>2490</v>
      </c>
      <c r="N318">
        <v>2002</v>
      </c>
      <c r="O318">
        <v>121</v>
      </c>
      <c r="P318">
        <v>170</v>
      </c>
      <c r="U318">
        <v>5</v>
      </c>
      <c r="W318">
        <v>57</v>
      </c>
      <c r="AB318">
        <v>146</v>
      </c>
      <c r="AC318">
        <v>84</v>
      </c>
      <c r="AG318">
        <v>78</v>
      </c>
      <c r="AJ318">
        <v>37</v>
      </c>
      <c r="AR318">
        <v>2002</v>
      </c>
      <c r="AT318">
        <v>1045</v>
      </c>
      <c r="AU318">
        <v>1445</v>
      </c>
      <c r="AY318">
        <v>91</v>
      </c>
      <c r="BA318">
        <v>456</v>
      </c>
      <c r="BJ318">
        <v>20</v>
      </c>
      <c r="BN318">
        <v>887</v>
      </c>
      <c r="BO318">
        <v>236</v>
      </c>
    </row>
    <row r="319" spans="1:67" x14ac:dyDescent="0.35">
      <c r="A319">
        <v>2016</v>
      </c>
      <c r="B319">
        <v>2016</v>
      </c>
      <c r="C319">
        <v>2016</v>
      </c>
      <c r="E319" t="s">
        <v>171</v>
      </c>
      <c r="F319" t="s">
        <v>172</v>
      </c>
      <c r="G319" t="s">
        <v>173</v>
      </c>
      <c r="I319">
        <v>1795.8</v>
      </c>
      <c r="J319">
        <v>203</v>
      </c>
      <c r="K319">
        <v>82</v>
      </c>
      <c r="M319">
        <v>684</v>
      </c>
      <c r="N319">
        <v>89</v>
      </c>
      <c r="O319">
        <v>34</v>
      </c>
      <c r="P319">
        <v>45</v>
      </c>
      <c r="AR319">
        <v>89</v>
      </c>
      <c r="AS319">
        <v>684</v>
      </c>
      <c r="BG319">
        <v>64</v>
      </c>
      <c r="BJ319">
        <v>4</v>
      </c>
      <c r="BN319">
        <v>121</v>
      </c>
    </row>
    <row r="320" spans="1:67" x14ac:dyDescent="0.35">
      <c r="A320">
        <v>2016</v>
      </c>
      <c r="B320">
        <v>2016</v>
      </c>
      <c r="C320">
        <v>2016</v>
      </c>
      <c r="E320" t="s">
        <v>174</v>
      </c>
      <c r="F320" t="s">
        <v>175</v>
      </c>
      <c r="G320" t="s">
        <v>176</v>
      </c>
      <c r="I320">
        <v>245921.2</v>
      </c>
      <c r="M320">
        <v>5160</v>
      </c>
      <c r="N320">
        <v>313</v>
      </c>
      <c r="O320">
        <v>53</v>
      </c>
      <c r="P320">
        <v>82</v>
      </c>
      <c r="U320">
        <v>14622</v>
      </c>
      <c r="AR320">
        <v>313</v>
      </c>
      <c r="AS320">
        <v>2315</v>
      </c>
      <c r="AT320">
        <v>2090</v>
      </c>
      <c r="AU320">
        <v>755</v>
      </c>
    </row>
    <row r="321" spans="1:67" x14ac:dyDescent="0.35">
      <c r="A321">
        <v>2016</v>
      </c>
      <c r="B321">
        <v>2016</v>
      </c>
      <c r="C321">
        <v>2016</v>
      </c>
      <c r="E321" t="s">
        <v>177</v>
      </c>
      <c r="F321" t="s">
        <v>178</v>
      </c>
      <c r="G321" t="s">
        <v>179</v>
      </c>
      <c r="I321">
        <v>1193987.6000000001</v>
      </c>
      <c r="J321">
        <v>43141</v>
      </c>
      <c r="N321">
        <v>1284</v>
      </c>
      <c r="O321">
        <v>6158</v>
      </c>
      <c r="P321">
        <v>15267</v>
      </c>
      <c r="S321">
        <v>3140</v>
      </c>
      <c r="T321">
        <v>2</v>
      </c>
      <c r="V321">
        <v>5484</v>
      </c>
      <c r="X321">
        <v>3145</v>
      </c>
      <c r="Y321">
        <v>156</v>
      </c>
      <c r="AB321">
        <v>3642</v>
      </c>
      <c r="AG321">
        <v>8484</v>
      </c>
      <c r="AJ321">
        <v>5377</v>
      </c>
      <c r="AK321">
        <v>4802</v>
      </c>
      <c r="AN321">
        <v>43141</v>
      </c>
      <c r="AQ321">
        <v>1284</v>
      </c>
      <c r="AX321">
        <v>197</v>
      </c>
      <c r="AY321">
        <v>1247</v>
      </c>
      <c r="AZ321">
        <v>3725</v>
      </c>
      <c r="BG321">
        <v>21713</v>
      </c>
      <c r="BH321">
        <v>7199</v>
      </c>
      <c r="BI321">
        <v>252</v>
      </c>
      <c r="BK321">
        <v>8190</v>
      </c>
    </row>
    <row r="322" spans="1:67" x14ac:dyDescent="0.35">
      <c r="A322">
        <v>2016</v>
      </c>
      <c r="B322">
        <v>2016</v>
      </c>
      <c r="C322">
        <v>2016</v>
      </c>
      <c r="E322" t="s">
        <v>180</v>
      </c>
      <c r="F322" t="s">
        <v>181</v>
      </c>
      <c r="G322" t="s">
        <v>182</v>
      </c>
      <c r="I322">
        <v>389229.6</v>
      </c>
    </row>
    <row r="323" spans="1:67" x14ac:dyDescent="0.35">
      <c r="A323">
        <v>2016</v>
      </c>
      <c r="B323">
        <v>2016</v>
      </c>
      <c r="C323">
        <v>2016</v>
      </c>
      <c r="E323" t="s">
        <v>183</v>
      </c>
      <c r="F323" t="s">
        <v>184</v>
      </c>
      <c r="G323" t="s">
        <v>185</v>
      </c>
      <c r="I323">
        <v>174800</v>
      </c>
      <c r="J323">
        <v>530</v>
      </c>
      <c r="K323">
        <v>269</v>
      </c>
      <c r="M323">
        <v>3717</v>
      </c>
      <c r="N323">
        <v>921</v>
      </c>
      <c r="O323">
        <v>27</v>
      </c>
      <c r="P323">
        <v>73</v>
      </c>
      <c r="AR323">
        <v>921</v>
      </c>
      <c r="AT323">
        <v>1847</v>
      </c>
      <c r="AU323">
        <v>1870</v>
      </c>
      <c r="BE323">
        <v>565</v>
      </c>
      <c r="BK323">
        <v>67</v>
      </c>
      <c r="BN323">
        <v>261</v>
      </c>
    </row>
    <row r="324" spans="1:67" x14ac:dyDescent="0.35">
      <c r="A324">
        <v>2016</v>
      </c>
      <c r="B324">
        <v>2016</v>
      </c>
      <c r="C324">
        <v>2016</v>
      </c>
      <c r="E324" t="s">
        <v>186</v>
      </c>
      <c r="F324" t="s">
        <v>187</v>
      </c>
      <c r="G324" t="s">
        <v>188</v>
      </c>
      <c r="I324">
        <v>937299.4</v>
      </c>
      <c r="J324">
        <v>681</v>
      </c>
      <c r="M324">
        <v>4746</v>
      </c>
      <c r="N324">
        <v>856</v>
      </c>
      <c r="O324">
        <v>18</v>
      </c>
      <c r="P324">
        <v>24</v>
      </c>
      <c r="AN324">
        <v>681</v>
      </c>
      <c r="AP324">
        <v>5</v>
      </c>
      <c r="AQ324">
        <v>851</v>
      </c>
      <c r="AS324">
        <v>4746</v>
      </c>
    </row>
    <row r="325" spans="1:67" x14ac:dyDescent="0.35">
      <c r="A325">
        <v>2016</v>
      </c>
      <c r="B325">
        <v>2016</v>
      </c>
      <c r="C325">
        <v>2016</v>
      </c>
      <c r="E325" t="s">
        <v>189</v>
      </c>
      <c r="F325" t="s">
        <v>190</v>
      </c>
      <c r="G325" t="s">
        <v>191</v>
      </c>
      <c r="I325">
        <v>1479060.5</v>
      </c>
      <c r="M325">
        <v>55228</v>
      </c>
      <c r="N325">
        <v>9802</v>
      </c>
      <c r="AQ325">
        <v>9802</v>
      </c>
      <c r="AT325">
        <v>39631</v>
      </c>
      <c r="AU325">
        <v>15597</v>
      </c>
      <c r="AY325">
        <v>42</v>
      </c>
    </row>
    <row r="326" spans="1:67" x14ac:dyDescent="0.35">
      <c r="A326">
        <v>2016</v>
      </c>
      <c r="B326">
        <v>2016</v>
      </c>
      <c r="C326">
        <v>2016</v>
      </c>
      <c r="E326" t="s">
        <v>192</v>
      </c>
      <c r="F326" t="s">
        <v>193</v>
      </c>
      <c r="G326" t="s">
        <v>194</v>
      </c>
      <c r="I326">
        <v>613228.69999999995</v>
      </c>
      <c r="J326">
        <v>1514</v>
      </c>
      <c r="N326">
        <v>3333</v>
      </c>
      <c r="O326">
        <v>312</v>
      </c>
      <c r="P326">
        <v>1159</v>
      </c>
      <c r="Q326">
        <v>19254</v>
      </c>
      <c r="AB326">
        <v>1796</v>
      </c>
      <c r="AG326">
        <v>419</v>
      </c>
      <c r="AK326">
        <v>921</v>
      </c>
      <c r="AN326">
        <v>1514</v>
      </c>
      <c r="AQ326">
        <v>192</v>
      </c>
      <c r="AR326">
        <v>3141</v>
      </c>
      <c r="AX326">
        <v>202</v>
      </c>
      <c r="AY326">
        <v>46</v>
      </c>
      <c r="BD326">
        <v>1814</v>
      </c>
      <c r="BI326">
        <v>432</v>
      </c>
    </row>
    <row r="327" spans="1:67" x14ac:dyDescent="0.35">
      <c r="A327">
        <v>2016</v>
      </c>
      <c r="B327">
        <v>2016</v>
      </c>
      <c r="C327">
        <v>2016</v>
      </c>
      <c r="E327" t="s">
        <v>195</v>
      </c>
      <c r="F327" t="s">
        <v>196</v>
      </c>
      <c r="G327" t="s">
        <v>197</v>
      </c>
      <c r="I327">
        <v>478618.1</v>
      </c>
      <c r="J327">
        <v>2508</v>
      </c>
      <c r="K327">
        <v>1754</v>
      </c>
      <c r="L327">
        <v>84</v>
      </c>
      <c r="M327">
        <v>19642</v>
      </c>
      <c r="O327">
        <v>136</v>
      </c>
      <c r="P327">
        <v>219</v>
      </c>
      <c r="Q327">
        <v>9368</v>
      </c>
      <c r="V327">
        <v>157</v>
      </c>
      <c r="X327">
        <v>3</v>
      </c>
      <c r="Z327">
        <v>117</v>
      </c>
      <c r="AB327">
        <v>1843</v>
      </c>
      <c r="AC327">
        <v>41</v>
      </c>
      <c r="AE327">
        <v>52</v>
      </c>
      <c r="AG327">
        <v>320</v>
      </c>
      <c r="AH327">
        <v>257</v>
      </c>
      <c r="AJ327">
        <v>600</v>
      </c>
      <c r="AL327">
        <v>17</v>
      </c>
      <c r="AM327">
        <v>678</v>
      </c>
      <c r="AN327">
        <v>308</v>
      </c>
      <c r="AT327">
        <v>2588</v>
      </c>
      <c r="AU327">
        <v>17054</v>
      </c>
      <c r="AV327">
        <v>3434</v>
      </c>
      <c r="AW327">
        <v>29</v>
      </c>
      <c r="AX327">
        <v>58</v>
      </c>
      <c r="AY327">
        <v>69</v>
      </c>
      <c r="AZ327">
        <v>13</v>
      </c>
      <c r="BA327">
        <v>154</v>
      </c>
      <c r="BD327">
        <v>130</v>
      </c>
      <c r="BE327">
        <v>551</v>
      </c>
      <c r="BG327">
        <v>540</v>
      </c>
      <c r="BH327">
        <v>432</v>
      </c>
      <c r="BJ327">
        <v>15</v>
      </c>
      <c r="BN327">
        <v>446</v>
      </c>
      <c r="BO327">
        <v>79</v>
      </c>
    </row>
    <row r="328" spans="1:67" x14ac:dyDescent="0.35">
      <c r="A328">
        <v>2016</v>
      </c>
      <c r="B328">
        <v>2016</v>
      </c>
      <c r="C328">
        <v>2016</v>
      </c>
      <c r="E328" t="s">
        <v>198</v>
      </c>
      <c r="F328" t="s">
        <v>199</v>
      </c>
      <c r="G328" t="s">
        <v>200</v>
      </c>
      <c r="I328">
        <v>101415.1</v>
      </c>
      <c r="J328">
        <v>226</v>
      </c>
      <c r="M328">
        <v>4484</v>
      </c>
      <c r="N328">
        <v>376</v>
      </c>
      <c r="AN328">
        <v>226</v>
      </c>
      <c r="AQ328">
        <v>376</v>
      </c>
      <c r="AT328">
        <v>2979</v>
      </c>
      <c r="AU328">
        <v>1505</v>
      </c>
      <c r="AY328">
        <v>11</v>
      </c>
      <c r="BJ328">
        <v>24</v>
      </c>
      <c r="BO328">
        <v>50</v>
      </c>
    </row>
    <row r="329" spans="1:67" x14ac:dyDescent="0.35">
      <c r="A329">
        <v>2016</v>
      </c>
      <c r="B329">
        <v>2016</v>
      </c>
      <c r="C329">
        <v>2016</v>
      </c>
      <c r="E329" t="s">
        <v>201</v>
      </c>
      <c r="F329" t="s">
        <v>202</v>
      </c>
      <c r="G329" t="s">
        <v>203</v>
      </c>
      <c r="I329">
        <v>255832.9</v>
      </c>
      <c r="J329">
        <v>347</v>
      </c>
      <c r="M329">
        <v>1419</v>
      </c>
      <c r="N329">
        <v>961</v>
      </c>
      <c r="P329">
        <v>13</v>
      </c>
      <c r="Q329">
        <v>688</v>
      </c>
      <c r="S329">
        <v>9</v>
      </c>
      <c r="T329">
        <v>9</v>
      </c>
      <c r="W329">
        <v>2</v>
      </c>
      <c r="Z329">
        <v>19</v>
      </c>
      <c r="AA329">
        <v>18</v>
      </c>
      <c r="AB329">
        <v>293</v>
      </c>
      <c r="AC329">
        <v>29</v>
      </c>
      <c r="AD329">
        <v>2249</v>
      </c>
      <c r="AG329">
        <v>112</v>
      </c>
      <c r="AJ329">
        <v>129</v>
      </c>
      <c r="AK329">
        <v>276</v>
      </c>
      <c r="AL329">
        <v>48</v>
      </c>
      <c r="AN329">
        <v>347</v>
      </c>
      <c r="AP329">
        <v>502</v>
      </c>
      <c r="AQ329">
        <v>459</v>
      </c>
      <c r="AT329">
        <v>499</v>
      </c>
      <c r="AU329">
        <v>920</v>
      </c>
      <c r="AX329">
        <v>1</v>
      </c>
      <c r="AY329">
        <v>35</v>
      </c>
      <c r="AZ329">
        <v>2</v>
      </c>
      <c r="BA329">
        <v>144</v>
      </c>
      <c r="BB329">
        <v>1340</v>
      </c>
      <c r="BC329">
        <v>1264</v>
      </c>
      <c r="BD329">
        <v>638</v>
      </c>
      <c r="BG329">
        <v>1</v>
      </c>
      <c r="BH329">
        <v>152</v>
      </c>
      <c r="BJ329">
        <v>2</v>
      </c>
      <c r="BK329">
        <v>33</v>
      </c>
      <c r="BM329">
        <v>14</v>
      </c>
      <c r="BO329">
        <v>60</v>
      </c>
    </row>
    <row r="330" spans="1:67" x14ac:dyDescent="0.35">
      <c r="A330">
        <v>2016</v>
      </c>
      <c r="B330">
        <v>2016</v>
      </c>
      <c r="C330">
        <v>2016</v>
      </c>
      <c r="E330" t="s">
        <v>204</v>
      </c>
      <c r="F330" t="s">
        <v>205</v>
      </c>
      <c r="G330" t="s">
        <v>206</v>
      </c>
      <c r="I330">
        <v>23359.599999999999</v>
      </c>
      <c r="J330">
        <v>216</v>
      </c>
      <c r="K330">
        <v>216</v>
      </c>
      <c r="N330">
        <v>500</v>
      </c>
      <c r="AP330">
        <v>25</v>
      </c>
      <c r="AQ330">
        <v>475</v>
      </c>
      <c r="AY330">
        <v>8</v>
      </c>
    </row>
    <row r="331" spans="1:67" x14ac:dyDescent="0.35">
      <c r="A331">
        <v>2016</v>
      </c>
      <c r="B331">
        <v>2016</v>
      </c>
      <c r="C331">
        <v>2016</v>
      </c>
      <c r="E331" t="s">
        <v>207</v>
      </c>
      <c r="F331" t="s">
        <v>208</v>
      </c>
      <c r="G331" t="s">
        <v>209</v>
      </c>
      <c r="I331">
        <v>2044971.2</v>
      </c>
      <c r="AY331">
        <v>67</v>
      </c>
    </row>
    <row r="332" spans="1:67" x14ac:dyDescent="0.35">
      <c r="A332">
        <v>2015</v>
      </c>
      <c r="B332">
        <v>2015</v>
      </c>
      <c r="C332">
        <v>2015</v>
      </c>
      <c r="E332" t="s">
        <v>69</v>
      </c>
      <c r="F332" t="s">
        <v>70</v>
      </c>
      <c r="G332" t="s">
        <v>71</v>
      </c>
      <c r="I332">
        <v>731106.9</v>
      </c>
      <c r="J332">
        <v>1189</v>
      </c>
      <c r="M332">
        <v>9748</v>
      </c>
      <c r="N332">
        <v>2383</v>
      </c>
      <c r="P332">
        <v>258</v>
      </c>
      <c r="AN332">
        <v>1189</v>
      </c>
      <c r="AR332">
        <v>2383</v>
      </c>
      <c r="AT332">
        <v>2652</v>
      </c>
      <c r="AU332">
        <v>7096</v>
      </c>
    </row>
    <row r="333" spans="1:67" x14ac:dyDescent="0.35">
      <c r="A333">
        <v>2015</v>
      </c>
      <c r="B333">
        <v>2015</v>
      </c>
      <c r="C333">
        <v>2015</v>
      </c>
      <c r="E333" t="s">
        <v>72</v>
      </c>
      <c r="F333" t="s">
        <v>73</v>
      </c>
      <c r="G333" t="s">
        <v>74</v>
      </c>
      <c r="I333">
        <v>192500.5</v>
      </c>
      <c r="J333">
        <v>324</v>
      </c>
      <c r="M333">
        <v>322</v>
      </c>
      <c r="N333">
        <v>605</v>
      </c>
      <c r="P333">
        <v>20</v>
      </c>
      <c r="Q333">
        <v>734</v>
      </c>
      <c r="T333">
        <v>109</v>
      </c>
      <c r="AA333">
        <v>85</v>
      </c>
      <c r="AN333">
        <v>286</v>
      </c>
      <c r="AR333">
        <v>605</v>
      </c>
      <c r="AS333">
        <v>322</v>
      </c>
      <c r="BM333">
        <v>83</v>
      </c>
      <c r="BN333">
        <v>38</v>
      </c>
    </row>
    <row r="334" spans="1:67" x14ac:dyDescent="0.35">
      <c r="A334">
        <v>2015</v>
      </c>
      <c r="B334">
        <v>2015</v>
      </c>
      <c r="C334">
        <v>2015</v>
      </c>
      <c r="E334" t="s">
        <v>75</v>
      </c>
      <c r="F334" t="s">
        <v>76</v>
      </c>
      <c r="G334" t="s">
        <v>77</v>
      </c>
      <c r="I334">
        <v>6722.6</v>
      </c>
      <c r="J334">
        <v>63</v>
      </c>
      <c r="M334">
        <v>442</v>
      </c>
      <c r="AN334">
        <v>63</v>
      </c>
      <c r="AS334">
        <v>442</v>
      </c>
    </row>
    <row r="335" spans="1:67" x14ac:dyDescent="0.35">
      <c r="A335">
        <v>2015</v>
      </c>
      <c r="B335">
        <v>2015</v>
      </c>
      <c r="C335">
        <v>2015</v>
      </c>
      <c r="E335" t="s">
        <v>78</v>
      </c>
      <c r="F335" t="s">
        <v>79</v>
      </c>
      <c r="G335" t="s">
        <v>80</v>
      </c>
      <c r="I335">
        <v>3300775.6</v>
      </c>
      <c r="M335">
        <v>72270</v>
      </c>
      <c r="AS335">
        <v>27286</v>
      </c>
      <c r="AT335">
        <v>17611</v>
      </c>
      <c r="AU335">
        <v>27373</v>
      </c>
    </row>
    <row r="336" spans="1:67" x14ac:dyDescent="0.35">
      <c r="A336">
        <v>2015</v>
      </c>
      <c r="B336">
        <v>2015</v>
      </c>
      <c r="C336">
        <v>2015</v>
      </c>
      <c r="E336" t="s">
        <v>81</v>
      </c>
      <c r="F336" t="s">
        <v>82</v>
      </c>
      <c r="G336" t="s">
        <v>83</v>
      </c>
      <c r="I336">
        <v>3362812.3</v>
      </c>
    </row>
    <row r="337" spans="1:66" x14ac:dyDescent="0.35">
      <c r="A337">
        <v>2015</v>
      </c>
      <c r="B337">
        <v>2015</v>
      </c>
      <c r="C337">
        <v>2015</v>
      </c>
      <c r="E337" t="s">
        <v>84</v>
      </c>
      <c r="F337" t="s">
        <v>85</v>
      </c>
      <c r="G337" t="s">
        <v>86</v>
      </c>
      <c r="I337">
        <v>6983906.0999999996</v>
      </c>
      <c r="P337">
        <v>20035</v>
      </c>
    </row>
    <row r="338" spans="1:66" x14ac:dyDescent="0.35">
      <c r="A338">
        <v>2015</v>
      </c>
      <c r="B338">
        <v>2015</v>
      </c>
      <c r="C338">
        <v>2015</v>
      </c>
      <c r="E338" t="s">
        <v>87</v>
      </c>
      <c r="F338" t="s">
        <v>88</v>
      </c>
      <c r="G338" t="s">
        <v>89</v>
      </c>
      <c r="I338">
        <v>62601.9</v>
      </c>
    </row>
    <row r="339" spans="1:66" x14ac:dyDescent="0.35">
      <c r="A339">
        <v>2015</v>
      </c>
      <c r="B339">
        <v>2015</v>
      </c>
      <c r="C339">
        <v>2015</v>
      </c>
      <c r="E339" t="s">
        <v>90</v>
      </c>
      <c r="F339" t="s">
        <v>91</v>
      </c>
      <c r="G339" t="s">
        <v>92</v>
      </c>
      <c r="I339">
        <v>135862.20000000001</v>
      </c>
      <c r="J339">
        <v>692</v>
      </c>
      <c r="M339">
        <v>4137</v>
      </c>
      <c r="AN339">
        <v>692</v>
      </c>
      <c r="AS339">
        <v>4137</v>
      </c>
    </row>
    <row r="340" spans="1:66" x14ac:dyDescent="0.35">
      <c r="A340">
        <v>2015</v>
      </c>
      <c r="B340">
        <v>2015</v>
      </c>
      <c r="C340">
        <v>2015</v>
      </c>
      <c r="E340" t="s">
        <v>93</v>
      </c>
      <c r="F340" t="s">
        <v>94</v>
      </c>
      <c r="G340" t="s">
        <v>95</v>
      </c>
      <c r="I340">
        <v>31767.3</v>
      </c>
      <c r="M340">
        <v>3976</v>
      </c>
      <c r="AT340">
        <v>895</v>
      </c>
      <c r="AU340">
        <v>3081</v>
      </c>
    </row>
    <row r="341" spans="1:66" x14ac:dyDescent="0.35">
      <c r="A341">
        <v>2015</v>
      </c>
      <c r="B341">
        <v>2015</v>
      </c>
      <c r="C341">
        <v>2015</v>
      </c>
      <c r="E341" t="s">
        <v>96</v>
      </c>
      <c r="F341" t="s">
        <v>97</v>
      </c>
      <c r="G341" t="s">
        <v>98</v>
      </c>
      <c r="I341">
        <v>59058.5</v>
      </c>
    </row>
    <row r="342" spans="1:66" x14ac:dyDescent="0.35">
      <c r="A342">
        <v>2015</v>
      </c>
      <c r="B342">
        <v>2015</v>
      </c>
      <c r="C342">
        <v>2015</v>
      </c>
      <c r="E342" t="s">
        <v>99</v>
      </c>
      <c r="F342" t="s">
        <v>100</v>
      </c>
      <c r="G342" t="s">
        <v>101</v>
      </c>
      <c r="I342">
        <v>1014537.2</v>
      </c>
    </row>
    <row r="343" spans="1:66" x14ac:dyDescent="0.35">
      <c r="A343">
        <v>2015</v>
      </c>
      <c r="B343">
        <v>2015</v>
      </c>
      <c r="C343">
        <v>2015</v>
      </c>
      <c r="E343" t="s">
        <v>102</v>
      </c>
      <c r="F343" t="s">
        <v>103</v>
      </c>
      <c r="G343" t="s">
        <v>104</v>
      </c>
      <c r="I343">
        <v>1144292.3999999999</v>
      </c>
    </row>
    <row r="344" spans="1:66" x14ac:dyDescent="0.35">
      <c r="A344">
        <v>2015</v>
      </c>
      <c r="B344">
        <v>2015</v>
      </c>
      <c r="C344">
        <v>2015</v>
      </c>
      <c r="E344" t="s">
        <v>105</v>
      </c>
      <c r="F344" t="s">
        <v>106</v>
      </c>
      <c r="G344" t="s">
        <v>107</v>
      </c>
      <c r="I344">
        <v>411367.9</v>
      </c>
    </row>
    <row r="345" spans="1:66" x14ac:dyDescent="0.35">
      <c r="A345">
        <v>2015</v>
      </c>
      <c r="B345">
        <v>2015</v>
      </c>
      <c r="C345">
        <v>2015</v>
      </c>
      <c r="E345" t="s">
        <v>108</v>
      </c>
      <c r="F345" t="s">
        <v>109</v>
      </c>
      <c r="G345" t="s">
        <v>110</v>
      </c>
      <c r="I345">
        <v>61044.4</v>
      </c>
    </row>
    <row r="346" spans="1:66" x14ac:dyDescent="0.35">
      <c r="A346">
        <v>2015</v>
      </c>
      <c r="B346">
        <v>2015</v>
      </c>
      <c r="C346">
        <v>2015</v>
      </c>
      <c r="E346" t="s">
        <v>111</v>
      </c>
      <c r="F346" t="s">
        <v>112</v>
      </c>
      <c r="G346" t="s">
        <v>113</v>
      </c>
      <c r="I346">
        <v>437619.8</v>
      </c>
      <c r="J346">
        <v>508</v>
      </c>
      <c r="K346">
        <v>467</v>
      </c>
      <c r="M346">
        <v>6688</v>
      </c>
      <c r="N346">
        <v>79</v>
      </c>
      <c r="AQ346">
        <v>79</v>
      </c>
      <c r="AT346">
        <v>4072</v>
      </c>
      <c r="AU346">
        <v>2616</v>
      </c>
      <c r="BN346">
        <v>41</v>
      </c>
    </row>
    <row r="347" spans="1:66" x14ac:dyDescent="0.35">
      <c r="A347">
        <v>2015</v>
      </c>
      <c r="B347">
        <v>2015</v>
      </c>
      <c r="C347">
        <v>2015</v>
      </c>
      <c r="E347" t="s">
        <v>114</v>
      </c>
      <c r="F347" t="s">
        <v>115</v>
      </c>
      <c r="G347" t="s">
        <v>116</v>
      </c>
      <c r="I347">
        <v>11002.7</v>
      </c>
      <c r="J347">
        <v>410</v>
      </c>
      <c r="M347">
        <v>498</v>
      </c>
      <c r="AN347">
        <v>410</v>
      </c>
      <c r="AS347">
        <v>498</v>
      </c>
    </row>
    <row r="348" spans="1:66" x14ac:dyDescent="0.35">
      <c r="A348">
        <v>2015</v>
      </c>
      <c r="B348">
        <v>2015</v>
      </c>
      <c r="C348">
        <v>2015</v>
      </c>
      <c r="E348" t="s">
        <v>117</v>
      </c>
      <c r="F348" t="s">
        <v>118</v>
      </c>
      <c r="G348" t="s">
        <v>119</v>
      </c>
      <c r="I348">
        <v>840650.2</v>
      </c>
    </row>
    <row r="349" spans="1:66" x14ac:dyDescent="0.35">
      <c r="A349">
        <v>2015</v>
      </c>
      <c r="B349">
        <v>2015</v>
      </c>
      <c r="C349">
        <v>2015</v>
      </c>
      <c r="E349" t="s">
        <v>120</v>
      </c>
      <c r="F349" t="s">
        <v>121</v>
      </c>
      <c r="G349" t="s">
        <v>122</v>
      </c>
      <c r="I349">
        <v>625581.19999999995</v>
      </c>
      <c r="J349">
        <v>696</v>
      </c>
      <c r="M349">
        <v>3563</v>
      </c>
      <c r="P349">
        <v>79</v>
      </c>
      <c r="AN349">
        <v>696</v>
      </c>
      <c r="AS349">
        <v>3563</v>
      </c>
    </row>
    <row r="350" spans="1:66" x14ac:dyDescent="0.35">
      <c r="A350">
        <v>2015</v>
      </c>
      <c r="B350">
        <v>2015</v>
      </c>
      <c r="C350">
        <v>2015</v>
      </c>
      <c r="E350" t="s">
        <v>123</v>
      </c>
      <c r="F350" t="s">
        <v>124</v>
      </c>
      <c r="G350" t="s">
        <v>125</v>
      </c>
      <c r="I350">
        <v>830910.6</v>
      </c>
      <c r="M350">
        <v>10891</v>
      </c>
      <c r="AT350">
        <v>1987</v>
      </c>
      <c r="AU350">
        <v>8904</v>
      </c>
    </row>
    <row r="351" spans="1:66" x14ac:dyDescent="0.35">
      <c r="A351">
        <v>2015</v>
      </c>
      <c r="B351">
        <v>2015</v>
      </c>
      <c r="C351">
        <v>2015</v>
      </c>
      <c r="E351" t="s">
        <v>126</v>
      </c>
      <c r="F351" t="s">
        <v>127</v>
      </c>
      <c r="G351" t="s">
        <v>128</v>
      </c>
      <c r="I351">
        <v>45967.3</v>
      </c>
    </row>
    <row r="352" spans="1:66" x14ac:dyDescent="0.35">
      <c r="A352">
        <v>2015</v>
      </c>
      <c r="B352">
        <v>2015</v>
      </c>
      <c r="C352">
        <v>2015</v>
      </c>
      <c r="E352" t="s">
        <v>129</v>
      </c>
      <c r="F352" t="s">
        <v>130</v>
      </c>
      <c r="G352" t="s">
        <v>131</v>
      </c>
      <c r="I352">
        <v>83965.3</v>
      </c>
      <c r="J352">
        <v>213</v>
      </c>
      <c r="M352">
        <v>2372</v>
      </c>
      <c r="N352">
        <v>850</v>
      </c>
      <c r="O352">
        <v>17</v>
      </c>
      <c r="P352">
        <v>5</v>
      </c>
      <c r="W352">
        <v>3</v>
      </c>
      <c r="AB352">
        <v>172</v>
      </c>
      <c r="AG352">
        <v>32</v>
      </c>
      <c r="AJ352">
        <v>141</v>
      </c>
      <c r="AK352">
        <v>11</v>
      </c>
      <c r="AN352">
        <v>213</v>
      </c>
      <c r="AR352">
        <v>850</v>
      </c>
      <c r="AS352">
        <v>2372</v>
      </c>
      <c r="AZ352">
        <v>17</v>
      </c>
      <c r="BG352">
        <v>99</v>
      </c>
      <c r="BH352">
        <v>5</v>
      </c>
      <c r="BI352">
        <v>15</v>
      </c>
    </row>
    <row r="353" spans="1:67" x14ac:dyDescent="0.35">
      <c r="A353">
        <v>2015</v>
      </c>
      <c r="B353">
        <v>2015</v>
      </c>
      <c r="C353">
        <v>2015</v>
      </c>
      <c r="E353" t="s">
        <v>132</v>
      </c>
      <c r="F353" t="s">
        <v>133</v>
      </c>
      <c r="G353" t="s">
        <v>134</v>
      </c>
      <c r="I353">
        <v>904717.2</v>
      </c>
      <c r="J353">
        <v>3263</v>
      </c>
      <c r="M353">
        <v>48939</v>
      </c>
      <c r="N353">
        <v>6808</v>
      </c>
      <c r="AN353">
        <v>3263</v>
      </c>
      <c r="AR353">
        <v>6808</v>
      </c>
      <c r="AS353">
        <v>48939</v>
      </c>
    </row>
    <row r="354" spans="1:67" x14ac:dyDescent="0.35">
      <c r="A354">
        <v>2015</v>
      </c>
      <c r="B354">
        <v>2015</v>
      </c>
      <c r="C354">
        <v>2015</v>
      </c>
      <c r="E354" t="s">
        <v>135</v>
      </c>
      <c r="F354" t="s">
        <v>136</v>
      </c>
      <c r="G354" t="s">
        <v>137</v>
      </c>
      <c r="I354">
        <v>422845.4</v>
      </c>
      <c r="J354">
        <v>977</v>
      </c>
      <c r="M354">
        <v>4389</v>
      </c>
      <c r="N354">
        <v>376</v>
      </c>
      <c r="P354">
        <v>142</v>
      </c>
      <c r="U354">
        <v>6700</v>
      </c>
      <c r="AN354">
        <v>977</v>
      </c>
      <c r="AQ354">
        <v>376</v>
      </c>
      <c r="AT354">
        <v>3476</v>
      </c>
      <c r="AU354">
        <v>913</v>
      </c>
    </row>
    <row r="355" spans="1:67" x14ac:dyDescent="0.35">
      <c r="A355">
        <v>2015</v>
      </c>
      <c r="B355">
        <v>2015</v>
      </c>
      <c r="C355">
        <v>2015</v>
      </c>
      <c r="E355" t="s">
        <v>138</v>
      </c>
      <c r="F355" t="s">
        <v>139</v>
      </c>
      <c r="G355" t="s">
        <v>140</v>
      </c>
      <c r="I355">
        <v>62364.3</v>
      </c>
      <c r="J355">
        <v>354</v>
      </c>
      <c r="M355">
        <v>964</v>
      </c>
      <c r="AN355">
        <v>354</v>
      </c>
      <c r="AT355">
        <v>112</v>
      </c>
      <c r="AU355">
        <v>852</v>
      </c>
      <c r="AV355">
        <v>170</v>
      </c>
    </row>
    <row r="356" spans="1:67" x14ac:dyDescent="0.35">
      <c r="A356">
        <v>2015</v>
      </c>
      <c r="B356">
        <v>2015</v>
      </c>
      <c r="C356">
        <v>2015</v>
      </c>
      <c r="E356" t="s">
        <v>141</v>
      </c>
      <c r="F356" t="s">
        <v>142</v>
      </c>
      <c r="G356" t="s">
        <v>143</v>
      </c>
      <c r="I356">
        <v>1423217.7</v>
      </c>
      <c r="M356">
        <v>41413</v>
      </c>
      <c r="AT356">
        <v>8899</v>
      </c>
      <c r="AU356">
        <v>32514</v>
      </c>
    </row>
    <row r="357" spans="1:67" x14ac:dyDescent="0.35">
      <c r="A357">
        <v>2015</v>
      </c>
      <c r="B357">
        <v>2015</v>
      </c>
      <c r="C357">
        <v>2015</v>
      </c>
      <c r="E357" t="s">
        <v>144</v>
      </c>
      <c r="F357" t="s">
        <v>145</v>
      </c>
      <c r="G357" t="s">
        <v>146</v>
      </c>
      <c r="I357">
        <v>154970.79999999999</v>
      </c>
      <c r="J357">
        <v>168</v>
      </c>
      <c r="AN357">
        <v>168</v>
      </c>
    </row>
    <row r="358" spans="1:67" x14ac:dyDescent="0.35">
      <c r="A358">
        <v>2015</v>
      </c>
      <c r="B358">
        <v>2015</v>
      </c>
      <c r="C358">
        <v>2015</v>
      </c>
      <c r="E358" t="s">
        <v>147</v>
      </c>
      <c r="F358" t="s">
        <v>148</v>
      </c>
      <c r="G358" t="s">
        <v>149</v>
      </c>
      <c r="I358">
        <v>803737.2</v>
      </c>
    </row>
    <row r="359" spans="1:67" x14ac:dyDescent="0.35">
      <c r="A359">
        <v>2015</v>
      </c>
      <c r="B359">
        <v>2015</v>
      </c>
      <c r="C359">
        <v>2015</v>
      </c>
      <c r="E359" t="s">
        <v>150</v>
      </c>
      <c r="F359" t="s">
        <v>151</v>
      </c>
      <c r="G359" t="s">
        <v>152</v>
      </c>
      <c r="I359">
        <v>602721.6</v>
      </c>
    </row>
    <row r="360" spans="1:67" x14ac:dyDescent="0.35">
      <c r="A360">
        <v>2015</v>
      </c>
      <c r="B360">
        <v>2015</v>
      </c>
      <c r="C360">
        <v>2015</v>
      </c>
      <c r="E360" t="s">
        <v>153</v>
      </c>
      <c r="F360" t="s">
        <v>154</v>
      </c>
      <c r="G360" t="s">
        <v>155</v>
      </c>
      <c r="I360">
        <v>772249</v>
      </c>
      <c r="J360">
        <v>1750</v>
      </c>
      <c r="AN360">
        <v>1750</v>
      </c>
      <c r="BJ360">
        <v>11</v>
      </c>
      <c r="BO360">
        <v>72</v>
      </c>
    </row>
    <row r="361" spans="1:67" x14ac:dyDescent="0.35">
      <c r="A361">
        <v>2015</v>
      </c>
      <c r="B361">
        <v>2015</v>
      </c>
      <c r="C361">
        <v>2015</v>
      </c>
      <c r="E361" t="s">
        <v>156</v>
      </c>
      <c r="F361" t="s">
        <v>157</v>
      </c>
      <c r="G361" t="s">
        <v>158</v>
      </c>
      <c r="I361">
        <v>14693.7</v>
      </c>
      <c r="J361">
        <v>2550</v>
      </c>
      <c r="M361">
        <v>4261</v>
      </c>
      <c r="O361">
        <v>380</v>
      </c>
      <c r="P361">
        <v>497</v>
      </c>
      <c r="AN361">
        <v>2550</v>
      </c>
      <c r="AS361">
        <v>4261</v>
      </c>
    </row>
    <row r="362" spans="1:67" x14ac:dyDescent="0.35">
      <c r="A362">
        <v>2015</v>
      </c>
      <c r="B362">
        <v>2015</v>
      </c>
      <c r="C362">
        <v>2015</v>
      </c>
      <c r="E362" t="s">
        <v>159</v>
      </c>
      <c r="F362" t="s">
        <v>160</v>
      </c>
      <c r="G362" t="s">
        <v>161</v>
      </c>
      <c r="I362">
        <v>1009693.4</v>
      </c>
      <c r="M362">
        <v>6927</v>
      </c>
      <c r="N362">
        <v>5158</v>
      </c>
      <c r="O362">
        <v>189</v>
      </c>
      <c r="P362">
        <v>194</v>
      </c>
      <c r="V362">
        <v>45</v>
      </c>
      <c r="W362">
        <v>212</v>
      </c>
      <c r="AR362">
        <v>5158</v>
      </c>
      <c r="AS362">
        <v>6927</v>
      </c>
      <c r="BA362">
        <v>38</v>
      </c>
    </row>
    <row r="363" spans="1:67" x14ac:dyDescent="0.35">
      <c r="A363">
        <v>2015</v>
      </c>
      <c r="B363">
        <v>2015</v>
      </c>
      <c r="C363">
        <v>2015</v>
      </c>
      <c r="E363" t="s">
        <v>162</v>
      </c>
      <c r="F363" t="s">
        <v>163</v>
      </c>
      <c r="G363" t="s">
        <v>164</v>
      </c>
      <c r="I363">
        <v>69483.399999999994</v>
      </c>
      <c r="M363">
        <v>4365</v>
      </c>
      <c r="AT363">
        <v>2189</v>
      </c>
      <c r="AU363">
        <v>2176</v>
      </c>
    </row>
    <row r="364" spans="1:67" x14ac:dyDescent="0.35">
      <c r="A364">
        <v>2015</v>
      </c>
      <c r="B364">
        <v>2015</v>
      </c>
      <c r="C364">
        <v>2015</v>
      </c>
      <c r="E364" t="s">
        <v>165</v>
      </c>
      <c r="F364" t="s">
        <v>166</v>
      </c>
      <c r="G364" t="s">
        <v>167</v>
      </c>
      <c r="I364">
        <v>368170.1</v>
      </c>
      <c r="J364">
        <v>1284</v>
      </c>
      <c r="K364">
        <v>1042</v>
      </c>
      <c r="M364">
        <v>10367</v>
      </c>
      <c r="N364">
        <v>868</v>
      </c>
      <c r="O364">
        <v>127</v>
      </c>
      <c r="P364">
        <v>114</v>
      </c>
      <c r="Q364">
        <v>4006</v>
      </c>
      <c r="AB364">
        <v>226</v>
      </c>
      <c r="AG364">
        <v>116</v>
      </c>
      <c r="AJ364">
        <v>1545</v>
      </c>
      <c r="AL364">
        <v>23</v>
      </c>
      <c r="AR364">
        <v>868</v>
      </c>
      <c r="AS364">
        <v>10367</v>
      </c>
      <c r="AX364">
        <v>207</v>
      </c>
      <c r="BH364">
        <v>125</v>
      </c>
      <c r="BM364">
        <v>886</v>
      </c>
      <c r="BN364">
        <v>242</v>
      </c>
    </row>
    <row r="365" spans="1:67" x14ac:dyDescent="0.35">
      <c r="A365">
        <v>2015</v>
      </c>
      <c r="B365">
        <v>2015</v>
      </c>
      <c r="C365">
        <v>2015</v>
      </c>
      <c r="E365" t="s">
        <v>168</v>
      </c>
      <c r="F365" t="s">
        <v>169</v>
      </c>
      <c r="G365" t="s">
        <v>170</v>
      </c>
      <c r="I365">
        <v>507578.5</v>
      </c>
      <c r="M365">
        <v>1682</v>
      </c>
      <c r="N365">
        <v>1116</v>
      </c>
      <c r="P365">
        <v>143</v>
      </c>
      <c r="U365">
        <v>770</v>
      </c>
      <c r="AC365">
        <v>34</v>
      </c>
      <c r="AR365">
        <v>1116</v>
      </c>
      <c r="AT365">
        <v>662</v>
      </c>
      <c r="AU365">
        <v>1020</v>
      </c>
      <c r="AY365">
        <v>38</v>
      </c>
    </row>
    <row r="366" spans="1:67" x14ac:dyDescent="0.35">
      <c r="A366">
        <v>2015</v>
      </c>
      <c r="B366">
        <v>2015</v>
      </c>
      <c r="C366">
        <v>2015</v>
      </c>
      <c r="E366" t="s">
        <v>171</v>
      </c>
      <c r="F366" t="s">
        <v>172</v>
      </c>
      <c r="G366" t="s">
        <v>173</v>
      </c>
      <c r="I366">
        <v>1743.6</v>
      </c>
      <c r="BJ366">
        <v>4</v>
      </c>
    </row>
    <row r="367" spans="1:67" x14ac:dyDescent="0.35">
      <c r="A367">
        <v>2015</v>
      </c>
      <c r="B367">
        <v>2015</v>
      </c>
      <c r="C367">
        <v>2015</v>
      </c>
      <c r="E367" t="s">
        <v>174</v>
      </c>
      <c r="F367" t="s">
        <v>175</v>
      </c>
      <c r="G367" t="s">
        <v>176</v>
      </c>
      <c r="I367">
        <v>244577.3</v>
      </c>
      <c r="M367">
        <v>5873</v>
      </c>
      <c r="AS367">
        <v>2502</v>
      </c>
      <c r="AT367">
        <v>2605</v>
      </c>
      <c r="AU367">
        <v>766</v>
      </c>
    </row>
    <row r="368" spans="1:67" x14ac:dyDescent="0.35">
      <c r="A368">
        <v>2015</v>
      </c>
      <c r="B368">
        <v>2015</v>
      </c>
      <c r="C368">
        <v>2015</v>
      </c>
      <c r="E368" t="s">
        <v>177</v>
      </c>
      <c r="F368" t="s">
        <v>178</v>
      </c>
      <c r="G368" t="s">
        <v>179</v>
      </c>
      <c r="I368">
        <v>1224304.8999999999</v>
      </c>
      <c r="O368">
        <v>5985</v>
      </c>
      <c r="P368">
        <v>15784</v>
      </c>
      <c r="R368">
        <v>69276</v>
      </c>
      <c r="S368">
        <v>2913</v>
      </c>
      <c r="T368">
        <v>2</v>
      </c>
      <c r="V368">
        <v>4785</v>
      </c>
      <c r="AB368">
        <v>3518</v>
      </c>
      <c r="AG368">
        <v>9175</v>
      </c>
      <c r="AJ368">
        <v>453</v>
      </c>
      <c r="AK368">
        <v>149</v>
      </c>
      <c r="AZ368">
        <v>3783</v>
      </c>
      <c r="BA368">
        <v>1143</v>
      </c>
      <c r="BD368">
        <v>474</v>
      </c>
      <c r="BG368">
        <v>18477</v>
      </c>
      <c r="BI368">
        <v>9289</v>
      </c>
    </row>
    <row r="369" spans="1:67" x14ac:dyDescent="0.35">
      <c r="A369">
        <v>2015</v>
      </c>
      <c r="B369">
        <v>2015</v>
      </c>
      <c r="C369">
        <v>2015</v>
      </c>
      <c r="E369" t="s">
        <v>180</v>
      </c>
      <c r="F369" t="s">
        <v>181</v>
      </c>
      <c r="G369" t="s">
        <v>182</v>
      </c>
      <c r="I369">
        <v>409891.2</v>
      </c>
    </row>
    <row r="370" spans="1:67" x14ac:dyDescent="0.35">
      <c r="A370">
        <v>2015</v>
      </c>
      <c r="B370">
        <v>2015</v>
      </c>
      <c r="C370">
        <v>2015</v>
      </c>
      <c r="E370" t="s">
        <v>183</v>
      </c>
      <c r="F370" t="s">
        <v>184</v>
      </c>
      <c r="G370" t="s">
        <v>185</v>
      </c>
      <c r="I370">
        <v>174962.3</v>
      </c>
      <c r="M370">
        <v>3852</v>
      </c>
      <c r="AT370">
        <v>1918</v>
      </c>
      <c r="AU370">
        <v>1934</v>
      </c>
    </row>
    <row r="371" spans="1:67" x14ac:dyDescent="0.35">
      <c r="A371">
        <v>2015</v>
      </c>
      <c r="B371">
        <v>2015</v>
      </c>
      <c r="C371">
        <v>2015</v>
      </c>
      <c r="E371" t="s">
        <v>186</v>
      </c>
      <c r="F371" t="s">
        <v>187</v>
      </c>
      <c r="G371" t="s">
        <v>188</v>
      </c>
      <c r="I371">
        <v>903031.3</v>
      </c>
      <c r="J371">
        <v>634</v>
      </c>
      <c r="M371">
        <v>3253</v>
      </c>
      <c r="N371">
        <v>824</v>
      </c>
      <c r="O371">
        <v>30</v>
      </c>
      <c r="P371">
        <v>50</v>
      </c>
      <c r="AN371">
        <v>634</v>
      </c>
      <c r="AP371">
        <v>7</v>
      </c>
      <c r="AQ371">
        <v>817</v>
      </c>
      <c r="AS371">
        <v>3253</v>
      </c>
    </row>
    <row r="372" spans="1:67" x14ac:dyDescent="0.35">
      <c r="A372">
        <v>2015</v>
      </c>
      <c r="B372">
        <v>2015</v>
      </c>
      <c r="C372">
        <v>2015</v>
      </c>
      <c r="E372" t="s">
        <v>189</v>
      </c>
      <c r="F372" t="s">
        <v>190</v>
      </c>
      <c r="G372" t="s">
        <v>191</v>
      </c>
      <c r="I372">
        <v>1456401</v>
      </c>
      <c r="J372">
        <v>3645</v>
      </c>
      <c r="M372">
        <v>50681</v>
      </c>
      <c r="N372">
        <v>8815</v>
      </c>
      <c r="O372">
        <v>276</v>
      </c>
      <c r="P372">
        <v>45</v>
      </c>
      <c r="U372">
        <v>179175</v>
      </c>
      <c r="AB372">
        <v>1925</v>
      </c>
      <c r="AG372">
        <v>121</v>
      </c>
      <c r="AJ372">
        <v>2447</v>
      </c>
      <c r="AL372">
        <v>227</v>
      </c>
      <c r="AN372">
        <v>3645</v>
      </c>
      <c r="AR372">
        <v>8815</v>
      </c>
      <c r="AT372">
        <v>33980</v>
      </c>
      <c r="AU372">
        <v>16701</v>
      </c>
      <c r="BH372">
        <v>114</v>
      </c>
    </row>
    <row r="373" spans="1:67" x14ac:dyDescent="0.35">
      <c r="A373">
        <v>2015</v>
      </c>
      <c r="B373">
        <v>2015</v>
      </c>
      <c r="C373">
        <v>2015</v>
      </c>
      <c r="E373" t="s">
        <v>192</v>
      </c>
      <c r="F373" t="s">
        <v>193</v>
      </c>
      <c r="G373" t="s">
        <v>194</v>
      </c>
      <c r="I373">
        <v>604047.80000000005</v>
      </c>
    </row>
    <row r="374" spans="1:67" x14ac:dyDescent="0.35">
      <c r="A374">
        <v>2015</v>
      </c>
      <c r="B374">
        <v>2015</v>
      </c>
      <c r="C374">
        <v>2015</v>
      </c>
      <c r="E374" t="s">
        <v>195</v>
      </c>
      <c r="F374" t="s">
        <v>196</v>
      </c>
      <c r="G374" t="s">
        <v>197</v>
      </c>
      <c r="I374">
        <v>481447.2</v>
      </c>
      <c r="J374">
        <v>2508</v>
      </c>
      <c r="K374">
        <v>1754</v>
      </c>
      <c r="L374">
        <v>83</v>
      </c>
      <c r="M374">
        <v>19099</v>
      </c>
      <c r="O374">
        <v>66</v>
      </c>
      <c r="P374">
        <v>141</v>
      </c>
      <c r="Q374">
        <v>8424</v>
      </c>
      <c r="U374">
        <v>11200</v>
      </c>
      <c r="V374">
        <v>261</v>
      </c>
      <c r="AB374">
        <v>2494</v>
      </c>
      <c r="AC374">
        <v>41</v>
      </c>
      <c r="AE374">
        <v>418</v>
      </c>
      <c r="AG374">
        <v>511</v>
      </c>
      <c r="AH374">
        <v>270</v>
      </c>
      <c r="AJ374">
        <v>644</v>
      </c>
      <c r="AN374">
        <v>308</v>
      </c>
      <c r="AT374">
        <v>2318</v>
      </c>
      <c r="AU374">
        <v>16781</v>
      </c>
      <c r="AV374">
        <v>3334</v>
      </c>
      <c r="AY374">
        <v>69</v>
      </c>
      <c r="BA374">
        <v>165</v>
      </c>
      <c r="BG374">
        <v>443</v>
      </c>
      <c r="BH374">
        <v>472</v>
      </c>
      <c r="BJ374">
        <v>15</v>
      </c>
      <c r="BN374">
        <v>446</v>
      </c>
      <c r="BO374">
        <v>73</v>
      </c>
    </row>
    <row r="375" spans="1:67" x14ac:dyDescent="0.35">
      <c r="A375">
        <v>2015</v>
      </c>
      <c r="B375">
        <v>2015</v>
      </c>
      <c r="C375">
        <v>2015</v>
      </c>
      <c r="E375" t="s">
        <v>198</v>
      </c>
      <c r="F375" t="s">
        <v>199</v>
      </c>
      <c r="G375" t="s">
        <v>200</v>
      </c>
      <c r="I375">
        <v>102828.4</v>
      </c>
      <c r="J375">
        <v>212</v>
      </c>
      <c r="M375">
        <v>3962</v>
      </c>
      <c r="AN375">
        <v>212</v>
      </c>
      <c r="AT375">
        <v>2658</v>
      </c>
      <c r="AU375">
        <v>1304</v>
      </c>
      <c r="BJ375">
        <v>23</v>
      </c>
      <c r="BO375">
        <v>50</v>
      </c>
    </row>
    <row r="376" spans="1:67" x14ac:dyDescent="0.35">
      <c r="A376">
        <v>2015</v>
      </c>
      <c r="B376">
        <v>2015</v>
      </c>
      <c r="C376">
        <v>2015</v>
      </c>
      <c r="E376" t="s">
        <v>201</v>
      </c>
      <c r="F376" t="s">
        <v>202</v>
      </c>
      <c r="G376" t="s">
        <v>203</v>
      </c>
      <c r="I376">
        <v>251850.6</v>
      </c>
      <c r="J376">
        <v>361</v>
      </c>
      <c r="K376">
        <v>97</v>
      </c>
      <c r="M376">
        <v>1341</v>
      </c>
      <c r="N376">
        <v>869</v>
      </c>
      <c r="O376">
        <v>18</v>
      </c>
      <c r="P376">
        <v>17</v>
      </c>
      <c r="Q376">
        <v>1107</v>
      </c>
      <c r="AK376">
        <v>407</v>
      </c>
      <c r="AR376">
        <v>869</v>
      </c>
      <c r="AS376">
        <v>1341</v>
      </c>
      <c r="BI376">
        <v>231</v>
      </c>
      <c r="BN376">
        <v>264</v>
      </c>
    </row>
    <row r="377" spans="1:67" x14ac:dyDescent="0.35">
      <c r="A377">
        <v>2015</v>
      </c>
      <c r="B377">
        <v>2015</v>
      </c>
      <c r="C377">
        <v>2015</v>
      </c>
      <c r="E377" t="s">
        <v>204</v>
      </c>
      <c r="F377" t="s">
        <v>205</v>
      </c>
      <c r="G377" t="s">
        <v>206</v>
      </c>
      <c r="I377">
        <v>23131.8</v>
      </c>
    </row>
    <row r="378" spans="1:67" x14ac:dyDescent="0.35">
      <c r="A378">
        <v>2015</v>
      </c>
      <c r="B378">
        <v>2015</v>
      </c>
      <c r="C378">
        <v>2015</v>
      </c>
      <c r="E378" t="s">
        <v>207</v>
      </c>
      <c r="F378" t="s">
        <v>208</v>
      </c>
      <c r="G378" t="s">
        <v>209</v>
      </c>
      <c r="I378">
        <v>1988487.9</v>
      </c>
    </row>
    <row r="379" spans="1:67" x14ac:dyDescent="0.35">
      <c r="A379">
        <v>2014</v>
      </c>
      <c r="B379">
        <v>2014</v>
      </c>
      <c r="C379">
        <v>2014</v>
      </c>
      <c r="E379" t="s">
        <v>69</v>
      </c>
      <c r="F379" t="s">
        <v>70</v>
      </c>
      <c r="G379" t="s">
        <v>71</v>
      </c>
      <c r="I379">
        <v>722847.5</v>
      </c>
      <c r="J379">
        <v>857</v>
      </c>
      <c r="M379">
        <v>6358</v>
      </c>
      <c r="N379">
        <v>1744</v>
      </c>
      <c r="P379">
        <v>217</v>
      </c>
      <c r="AN379">
        <v>857</v>
      </c>
      <c r="AR379">
        <v>1744</v>
      </c>
      <c r="AT379">
        <v>2640</v>
      </c>
      <c r="AU379">
        <v>3718</v>
      </c>
      <c r="AY379">
        <v>10</v>
      </c>
      <c r="BA379">
        <v>58</v>
      </c>
      <c r="BO379">
        <v>36</v>
      </c>
    </row>
    <row r="380" spans="1:67" x14ac:dyDescent="0.35">
      <c r="A380">
        <v>2014</v>
      </c>
      <c r="B380">
        <v>2014</v>
      </c>
      <c r="C380">
        <v>2014</v>
      </c>
      <c r="E380" t="s">
        <v>72</v>
      </c>
      <c r="F380" t="s">
        <v>73</v>
      </c>
      <c r="G380" t="s">
        <v>74</v>
      </c>
      <c r="I380">
        <v>194995.3</v>
      </c>
      <c r="AY380">
        <v>8</v>
      </c>
      <c r="BO380">
        <v>9</v>
      </c>
    </row>
    <row r="381" spans="1:67" x14ac:dyDescent="0.35">
      <c r="A381">
        <v>2014</v>
      </c>
      <c r="B381">
        <v>2014</v>
      </c>
      <c r="C381">
        <v>2014</v>
      </c>
      <c r="E381" t="s">
        <v>75</v>
      </c>
      <c r="F381" t="s">
        <v>76</v>
      </c>
      <c r="G381" t="s">
        <v>77</v>
      </c>
      <c r="I381">
        <v>6820.9</v>
      </c>
    </row>
    <row r="382" spans="1:67" x14ac:dyDescent="0.35">
      <c r="A382">
        <v>2014</v>
      </c>
      <c r="B382">
        <v>2014</v>
      </c>
      <c r="C382">
        <v>2014</v>
      </c>
      <c r="E382" t="s">
        <v>78</v>
      </c>
      <c r="F382" t="s">
        <v>79</v>
      </c>
      <c r="G382" t="s">
        <v>80</v>
      </c>
      <c r="I382">
        <v>3207143.3</v>
      </c>
    </row>
    <row r="383" spans="1:67" x14ac:dyDescent="0.35">
      <c r="A383">
        <v>2014</v>
      </c>
      <c r="B383">
        <v>2014</v>
      </c>
      <c r="C383">
        <v>2014</v>
      </c>
      <c r="E383" t="s">
        <v>81</v>
      </c>
      <c r="F383" t="s">
        <v>82</v>
      </c>
      <c r="G383" t="s">
        <v>83</v>
      </c>
      <c r="I383">
        <v>3292126.2</v>
      </c>
    </row>
    <row r="384" spans="1:67" x14ac:dyDescent="0.35">
      <c r="A384">
        <v>2014</v>
      </c>
      <c r="B384">
        <v>2014</v>
      </c>
      <c r="C384">
        <v>2014</v>
      </c>
      <c r="E384" t="s">
        <v>84</v>
      </c>
      <c r="F384" t="s">
        <v>85</v>
      </c>
      <c r="G384" t="s">
        <v>86</v>
      </c>
      <c r="I384">
        <v>6894101.5999999996</v>
      </c>
      <c r="AY384">
        <v>454</v>
      </c>
      <c r="BO384">
        <v>1827</v>
      </c>
    </row>
    <row r="385" spans="1:67" x14ac:dyDescent="0.35">
      <c r="A385">
        <v>2014</v>
      </c>
      <c r="B385">
        <v>2014</v>
      </c>
      <c r="C385">
        <v>2014</v>
      </c>
      <c r="E385" t="s">
        <v>87</v>
      </c>
      <c r="F385" t="s">
        <v>88</v>
      </c>
      <c r="G385" t="s">
        <v>89</v>
      </c>
      <c r="I385">
        <v>61619.1</v>
      </c>
    </row>
    <row r="386" spans="1:67" x14ac:dyDescent="0.35">
      <c r="A386">
        <v>2014</v>
      </c>
      <c r="B386">
        <v>2014</v>
      </c>
      <c r="C386">
        <v>2014</v>
      </c>
      <c r="E386" t="s">
        <v>90</v>
      </c>
      <c r="F386" t="s">
        <v>91</v>
      </c>
      <c r="G386" t="s">
        <v>92</v>
      </c>
      <c r="I386">
        <v>133349.5</v>
      </c>
      <c r="J386">
        <v>622</v>
      </c>
      <c r="M386">
        <v>3846</v>
      </c>
      <c r="AN386">
        <v>622</v>
      </c>
      <c r="AS386">
        <v>3846</v>
      </c>
    </row>
    <row r="387" spans="1:67" x14ac:dyDescent="0.35">
      <c r="A387">
        <v>2014</v>
      </c>
      <c r="B387">
        <v>2014</v>
      </c>
      <c r="C387">
        <v>2014</v>
      </c>
      <c r="E387" t="s">
        <v>93</v>
      </c>
      <c r="F387" t="s">
        <v>94</v>
      </c>
      <c r="G387" t="s">
        <v>95</v>
      </c>
      <c r="I387">
        <v>32210.7</v>
      </c>
      <c r="M387">
        <v>3847</v>
      </c>
      <c r="AT387">
        <v>845</v>
      </c>
      <c r="AU387">
        <v>3002</v>
      </c>
    </row>
    <row r="388" spans="1:67" x14ac:dyDescent="0.35">
      <c r="A388">
        <v>2014</v>
      </c>
      <c r="B388">
        <v>2014</v>
      </c>
      <c r="C388">
        <v>2014</v>
      </c>
      <c r="E388" t="s">
        <v>96</v>
      </c>
      <c r="F388" t="s">
        <v>97</v>
      </c>
      <c r="G388" t="s">
        <v>98</v>
      </c>
      <c r="I388">
        <v>59339.9</v>
      </c>
    </row>
    <row r="389" spans="1:67" x14ac:dyDescent="0.35">
      <c r="A389">
        <v>2014</v>
      </c>
      <c r="B389">
        <v>2014</v>
      </c>
      <c r="C389">
        <v>2014</v>
      </c>
      <c r="E389" t="s">
        <v>99</v>
      </c>
      <c r="F389" t="s">
        <v>100</v>
      </c>
      <c r="G389" t="s">
        <v>101</v>
      </c>
      <c r="I389">
        <v>991164.8</v>
      </c>
      <c r="N389">
        <v>11139</v>
      </c>
      <c r="AP389">
        <v>1735</v>
      </c>
      <c r="AQ389">
        <v>9404</v>
      </c>
      <c r="AY389">
        <v>612</v>
      </c>
    </row>
    <row r="390" spans="1:67" x14ac:dyDescent="0.35">
      <c r="A390">
        <v>2014</v>
      </c>
      <c r="B390">
        <v>2014</v>
      </c>
      <c r="C390">
        <v>2014</v>
      </c>
      <c r="E390" t="s">
        <v>102</v>
      </c>
      <c r="F390" t="s">
        <v>103</v>
      </c>
      <c r="G390" t="s">
        <v>104</v>
      </c>
      <c r="I390">
        <v>1117632.7</v>
      </c>
    </row>
    <row r="391" spans="1:67" x14ac:dyDescent="0.35">
      <c r="A391">
        <v>2014</v>
      </c>
      <c r="B391">
        <v>2014</v>
      </c>
      <c r="C391">
        <v>2014</v>
      </c>
      <c r="E391" t="s">
        <v>105</v>
      </c>
      <c r="F391" t="s">
        <v>106</v>
      </c>
      <c r="G391" t="s">
        <v>107</v>
      </c>
      <c r="I391">
        <v>399718.40000000002</v>
      </c>
      <c r="AY391">
        <v>90</v>
      </c>
      <c r="BA391">
        <v>20</v>
      </c>
      <c r="BO391">
        <v>81</v>
      </c>
    </row>
    <row r="392" spans="1:67" x14ac:dyDescent="0.35">
      <c r="A392">
        <v>2014</v>
      </c>
      <c r="B392">
        <v>2014</v>
      </c>
      <c r="C392">
        <v>2014</v>
      </c>
      <c r="E392" t="s">
        <v>108</v>
      </c>
      <c r="F392" t="s">
        <v>109</v>
      </c>
      <c r="G392" t="s">
        <v>110</v>
      </c>
      <c r="I392">
        <v>60621.9</v>
      </c>
      <c r="AY392">
        <v>18</v>
      </c>
      <c r="BA392">
        <v>18</v>
      </c>
      <c r="BO392">
        <v>40</v>
      </c>
    </row>
    <row r="393" spans="1:67" x14ac:dyDescent="0.35">
      <c r="A393">
        <v>2014</v>
      </c>
      <c r="B393">
        <v>2014</v>
      </c>
      <c r="C393">
        <v>2014</v>
      </c>
      <c r="E393" t="s">
        <v>111</v>
      </c>
      <c r="F393" t="s">
        <v>112</v>
      </c>
      <c r="G393" t="s">
        <v>113</v>
      </c>
      <c r="I393">
        <v>435003</v>
      </c>
      <c r="J393">
        <v>609</v>
      </c>
      <c r="K393">
        <v>556</v>
      </c>
      <c r="M393">
        <v>6819</v>
      </c>
      <c r="N393">
        <v>24</v>
      </c>
      <c r="AQ393">
        <v>24</v>
      </c>
      <c r="AT393">
        <v>4072</v>
      </c>
      <c r="AU393">
        <v>2747</v>
      </c>
      <c r="BN393">
        <v>53</v>
      </c>
    </row>
    <row r="394" spans="1:67" x14ac:dyDescent="0.35">
      <c r="A394">
        <v>2014</v>
      </c>
      <c r="B394">
        <v>2014</v>
      </c>
      <c r="C394">
        <v>2014</v>
      </c>
      <c r="E394" t="s">
        <v>114</v>
      </c>
      <c r="F394" t="s">
        <v>115</v>
      </c>
      <c r="G394" t="s">
        <v>116</v>
      </c>
      <c r="I394">
        <v>10993.6</v>
      </c>
      <c r="M394">
        <v>476</v>
      </c>
      <c r="AS394">
        <v>476</v>
      </c>
    </row>
    <row r="395" spans="1:67" x14ac:dyDescent="0.35">
      <c r="A395">
        <v>2014</v>
      </c>
      <c r="B395">
        <v>2014</v>
      </c>
      <c r="C395">
        <v>2014</v>
      </c>
      <c r="E395" t="s">
        <v>117</v>
      </c>
      <c r="F395" t="s">
        <v>118</v>
      </c>
      <c r="G395" t="s">
        <v>119</v>
      </c>
      <c r="I395">
        <v>818448.6</v>
      </c>
    </row>
    <row r="396" spans="1:67" x14ac:dyDescent="0.35">
      <c r="A396">
        <v>2014</v>
      </c>
      <c r="B396">
        <v>2014</v>
      </c>
      <c r="C396">
        <v>2014</v>
      </c>
      <c r="E396" t="s">
        <v>120</v>
      </c>
      <c r="F396" t="s">
        <v>121</v>
      </c>
      <c r="G396" t="s">
        <v>122</v>
      </c>
      <c r="I396">
        <v>610899.30000000005</v>
      </c>
      <c r="J396">
        <v>608</v>
      </c>
      <c r="M396">
        <v>3606</v>
      </c>
      <c r="P396">
        <v>78</v>
      </c>
      <c r="AN396">
        <v>608</v>
      </c>
      <c r="AS396">
        <v>3606</v>
      </c>
    </row>
    <row r="397" spans="1:67" x14ac:dyDescent="0.35">
      <c r="A397">
        <v>2014</v>
      </c>
      <c r="B397">
        <v>2014</v>
      </c>
      <c r="C397">
        <v>2014</v>
      </c>
      <c r="E397" t="s">
        <v>123</v>
      </c>
      <c r="F397" t="s">
        <v>124</v>
      </c>
      <c r="G397" t="s">
        <v>125</v>
      </c>
      <c r="I397">
        <v>819320.4</v>
      </c>
      <c r="J397">
        <v>5240</v>
      </c>
      <c r="M397">
        <v>8868</v>
      </c>
      <c r="N397">
        <v>5300</v>
      </c>
      <c r="O397">
        <v>490</v>
      </c>
      <c r="P397">
        <v>2430</v>
      </c>
      <c r="V397">
        <v>120</v>
      </c>
      <c r="W397">
        <v>190</v>
      </c>
      <c r="X397">
        <v>50</v>
      </c>
      <c r="AB397">
        <v>790</v>
      </c>
      <c r="AG397">
        <v>820</v>
      </c>
      <c r="AJ397">
        <v>1600</v>
      </c>
      <c r="AK397">
        <v>2380</v>
      </c>
      <c r="AN397">
        <v>5240</v>
      </c>
      <c r="AR397">
        <v>5300</v>
      </c>
      <c r="AT397">
        <v>1623</v>
      </c>
      <c r="AU397">
        <v>7245</v>
      </c>
      <c r="AX397">
        <v>70</v>
      </c>
      <c r="AY397">
        <v>238</v>
      </c>
      <c r="AZ397">
        <v>70</v>
      </c>
      <c r="BG397">
        <v>2310</v>
      </c>
      <c r="BH397">
        <v>60</v>
      </c>
      <c r="BO397">
        <v>318</v>
      </c>
    </row>
    <row r="398" spans="1:67" x14ac:dyDescent="0.35">
      <c r="A398">
        <v>2014</v>
      </c>
      <c r="B398">
        <v>2014</v>
      </c>
      <c r="C398">
        <v>2014</v>
      </c>
      <c r="E398" t="s">
        <v>126</v>
      </c>
      <c r="F398" t="s">
        <v>127</v>
      </c>
      <c r="G398" t="s">
        <v>128</v>
      </c>
      <c r="I398">
        <v>45062.400000000001</v>
      </c>
    </row>
    <row r="399" spans="1:67" x14ac:dyDescent="0.35">
      <c r="A399">
        <v>2014</v>
      </c>
      <c r="B399">
        <v>2014</v>
      </c>
      <c r="C399">
        <v>2014</v>
      </c>
      <c r="E399" t="s">
        <v>129</v>
      </c>
      <c r="F399" t="s">
        <v>130</v>
      </c>
      <c r="G399" t="s">
        <v>131</v>
      </c>
      <c r="I399">
        <v>83366.8</v>
      </c>
    </row>
    <row r="400" spans="1:67" x14ac:dyDescent="0.35">
      <c r="A400">
        <v>2014</v>
      </c>
      <c r="B400">
        <v>2014</v>
      </c>
      <c r="C400">
        <v>2014</v>
      </c>
      <c r="E400" t="s">
        <v>132</v>
      </c>
      <c r="F400" t="s">
        <v>133</v>
      </c>
      <c r="G400" t="s">
        <v>134</v>
      </c>
      <c r="I400">
        <v>893372.3</v>
      </c>
      <c r="J400">
        <v>3016</v>
      </c>
      <c r="M400">
        <v>37404</v>
      </c>
      <c r="AN400">
        <v>3016</v>
      </c>
      <c r="AT400">
        <v>21992</v>
      </c>
      <c r="AU400">
        <v>15412</v>
      </c>
    </row>
    <row r="401" spans="1:68" x14ac:dyDescent="0.35">
      <c r="A401">
        <v>2014</v>
      </c>
      <c r="B401">
        <v>2014</v>
      </c>
      <c r="C401">
        <v>2014</v>
      </c>
      <c r="E401" t="s">
        <v>135</v>
      </c>
      <c r="F401" t="s">
        <v>136</v>
      </c>
      <c r="G401" t="s">
        <v>137</v>
      </c>
      <c r="I401">
        <v>413410.9</v>
      </c>
      <c r="J401">
        <v>1844</v>
      </c>
      <c r="M401">
        <v>5789</v>
      </c>
      <c r="N401">
        <v>500</v>
      </c>
      <c r="AN401">
        <v>1844</v>
      </c>
      <c r="AR401">
        <v>500</v>
      </c>
      <c r="AT401">
        <v>4284</v>
      </c>
      <c r="AU401">
        <v>1505</v>
      </c>
    </row>
    <row r="402" spans="1:68" x14ac:dyDescent="0.35">
      <c r="A402">
        <v>2014</v>
      </c>
      <c r="B402">
        <v>2014</v>
      </c>
      <c r="C402">
        <v>2014</v>
      </c>
      <c r="E402" t="s">
        <v>138</v>
      </c>
      <c r="F402" t="s">
        <v>139</v>
      </c>
      <c r="G402" t="s">
        <v>140</v>
      </c>
      <c r="I402">
        <v>62283.7</v>
      </c>
      <c r="M402">
        <v>885</v>
      </c>
      <c r="AT402">
        <v>178</v>
      </c>
      <c r="AU402">
        <v>707</v>
      </c>
      <c r="AV402">
        <v>129</v>
      </c>
    </row>
    <row r="403" spans="1:68" x14ac:dyDescent="0.35">
      <c r="A403">
        <v>2014</v>
      </c>
      <c r="B403">
        <v>2014</v>
      </c>
      <c r="C403">
        <v>2014</v>
      </c>
      <c r="E403" t="s">
        <v>141</v>
      </c>
      <c r="F403" t="s">
        <v>142</v>
      </c>
      <c r="G403" t="s">
        <v>143</v>
      </c>
      <c r="I403">
        <v>1418695.6</v>
      </c>
      <c r="J403">
        <v>9149</v>
      </c>
      <c r="M403">
        <v>43311</v>
      </c>
      <c r="O403">
        <v>1090</v>
      </c>
      <c r="P403">
        <v>2355</v>
      </c>
      <c r="AN403">
        <v>9149</v>
      </c>
      <c r="AT403">
        <v>12144</v>
      </c>
      <c r="AU403">
        <v>31167</v>
      </c>
      <c r="AY403">
        <v>357</v>
      </c>
      <c r="BO403">
        <v>316</v>
      </c>
    </row>
    <row r="404" spans="1:68" x14ac:dyDescent="0.35">
      <c r="A404">
        <v>2014</v>
      </c>
      <c r="B404">
        <v>2014</v>
      </c>
      <c r="C404">
        <v>2014</v>
      </c>
      <c r="E404" t="s">
        <v>144</v>
      </c>
      <c r="F404" t="s">
        <v>145</v>
      </c>
      <c r="G404" t="s">
        <v>146</v>
      </c>
      <c r="I404">
        <v>155883.9</v>
      </c>
    </row>
    <row r="405" spans="1:68" x14ac:dyDescent="0.35">
      <c r="A405">
        <v>2014</v>
      </c>
      <c r="B405">
        <v>2014</v>
      </c>
      <c r="C405">
        <v>2014</v>
      </c>
      <c r="E405" t="s">
        <v>147</v>
      </c>
      <c r="F405" t="s">
        <v>148</v>
      </c>
      <c r="G405" t="s">
        <v>149</v>
      </c>
      <c r="I405">
        <v>793162.3</v>
      </c>
      <c r="J405">
        <v>4275</v>
      </c>
      <c r="Q405">
        <v>2510</v>
      </c>
      <c r="AN405">
        <v>4275</v>
      </c>
    </row>
    <row r="406" spans="1:68" x14ac:dyDescent="0.35">
      <c r="A406">
        <v>2014</v>
      </c>
      <c r="B406">
        <v>2014</v>
      </c>
      <c r="C406">
        <v>2014</v>
      </c>
      <c r="E406" t="s">
        <v>150</v>
      </c>
      <c r="F406" t="s">
        <v>151</v>
      </c>
      <c r="G406" t="s">
        <v>152</v>
      </c>
      <c r="I406">
        <v>601396.5</v>
      </c>
      <c r="AY406">
        <v>7</v>
      </c>
      <c r="BO406">
        <v>61</v>
      </c>
    </row>
    <row r="407" spans="1:68" x14ac:dyDescent="0.35">
      <c r="A407">
        <v>2014</v>
      </c>
      <c r="B407">
        <v>2014</v>
      </c>
      <c r="C407">
        <v>2014</v>
      </c>
      <c r="E407" t="s">
        <v>153</v>
      </c>
      <c r="F407" t="s">
        <v>154</v>
      </c>
      <c r="G407" t="s">
        <v>155</v>
      </c>
      <c r="I407">
        <v>754923.7</v>
      </c>
      <c r="J407">
        <v>1750</v>
      </c>
      <c r="AN407">
        <v>1750</v>
      </c>
      <c r="BJ407">
        <v>9</v>
      </c>
      <c r="BO407">
        <v>67</v>
      </c>
    </row>
    <row r="408" spans="1:68" x14ac:dyDescent="0.35">
      <c r="A408">
        <v>2014</v>
      </c>
      <c r="B408">
        <v>2014</v>
      </c>
      <c r="C408">
        <v>2014</v>
      </c>
      <c r="E408" t="s">
        <v>156</v>
      </c>
      <c r="F408" t="s">
        <v>157</v>
      </c>
      <c r="G408" t="s">
        <v>158</v>
      </c>
      <c r="I408">
        <v>15026.4</v>
      </c>
      <c r="J408">
        <v>2429</v>
      </c>
      <c r="M408">
        <v>4125</v>
      </c>
      <c r="O408">
        <v>366</v>
      </c>
      <c r="P408">
        <v>494</v>
      </c>
      <c r="AN408">
        <v>2429</v>
      </c>
      <c r="AS408">
        <v>4125</v>
      </c>
    </row>
    <row r="409" spans="1:68" x14ac:dyDescent="0.35">
      <c r="A409">
        <v>2014</v>
      </c>
      <c r="B409">
        <v>2014</v>
      </c>
      <c r="C409">
        <v>2014</v>
      </c>
      <c r="E409" t="s">
        <v>159</v>
      </c>
      <c r="F409" t="s">
        <v>160</v>
      </c>
      <c r="G409" t="s">
        <v>161</v>
      </c>
      <c r="I409">
        <v>999254.5</v>
      </c>
      <c r="M409">
        <v>6348</v>
      </c>
      <c r="N409">
        <v>4649</v>
      </c>
      <c r="AR409">
        <v>4649</v>
      </c>
      <c r="AS409">
        <v>6348</v>
      </c>
    </row>
    <row r="410" spans="1:68" x14ac:dyDescent="0.35">
      <c r="A410">
        <v>2014</v>
      </c>
      <c r="B410">
        <v>2014</v>
      </c>
      <c r="C410">
        <v>2014</v>
      </c>
      <c r="E410" t="s">
        <v>162</v>
      </c>
      <c r="F410" t="s">
        <v>163</v>
      </c>
      <c r="G410" t="s">
        <v>164</v>
      </c>
      <c r="I410">
        <v>68792.399999999994</v>
      </c>
      <c r="M410">
        <v>4212</v>
      </c>
      <c r="O410">
        <v>68</v>
      </c>
      <c r="AT410">
        <v>2118</v>
      </c>
      <c r="AU410">
        <v>2094</v>
      </c>
      <c r="BA410">
        <v>24</v>
      </c>
    </row>
    <row r="411" spans="1:68" x14ac:dyDescent="0.35">
      <c r="A411">
        <v>2014</v>
      </c>
      <c r="B411">
        <v>2014</v>
      </c>
      <c r="C411">
        <v>2014</v>
      </c>
      <c r="E411" t="s">
        <v>165</v>
      </c>
      <c r="F411" t="s">
        <v>166</v>
      </c>
      <c r="G411" t="s">
        <v>167</v>
      </c>
      <c r="I411">
        <v>362267.2</v>
      </c>
      <c r="J411">
        <v>1008</v>
      </c>
      <c r="K411">
        <v>834</v>
      </c>
      <c r="M411">
        <v>9625</v>
      </c>
      <c r="N411">
        <v>692</v>
      </c>
      <c r="AR411">
        <v>692</v>
      </c>
      <c r="AS411">
        <v>9625</v>
      </c>
      <c r="AY411">
        <v>25</v>
      </c>
      <c r="BA411">
        <v>15</v>
      </c>
      <c r="BN411">
        <v>174</v>
      </c>
      <c r="BO411">
        <v>42</v>
      </c>
    </row>
    <row r="412" spans="1:68" x14ac:dyDescent="0.35">
      <c r="A412">
        <v>2014</v>
      </c>
      <c r="B412">
        <v>2014</v>
      </c>
      <c r="C412">
        <v>2014</v>
      </c>
      <c r="E412" t="s">
        <v>168</v>
      </c>
      <c r="F412" t="s">
        <v>169</v>
      </c>
      <c r="G412" t="s">
        <v>170</v>
      </c>
      <c r="I412">
        <v>503266.5</v>
      </c>
    </row>
    <row r="413" spans="1:68" x14ac:dyDescent="0.35">
      <c r="A413">
        <v>2014</v>
      </c>
      <c r="B413">
        <v>2014</v>
      </c>
      <c r="C413">
        <v>2014</v>
      </c>
      <c r="E413" t="s">
        <v>171</v>
      </c>
      <c r="F413" t="s">
        <v>172</v>
      </c>
      <c r="G413" t="s">
        <v>173</v>
      </c>
      <c r="I413">
        <v>1726.4</v>
      </c>
    </row>
    <row r="414" spans="1:68" x14ac:dyDescent="0.35">
      <c r="A414">
        <v>2014</v>
      </c>
      <c r="B414">
        <v>2014</v>
      </c>
      <c r="C414">
        <v>2014</v>
      </c>
      <c r="E414" t="s">
        <v>174</v>
      </c>
      <c r="F414" t="s">
        <v>175</v>
      </c>
      <c r="G414" t="s">
        <v>176</v>
      </c>
      <c r="I414">
        <v>244533.1</v>
      </c>
      <c r="M414">
        <v>6108</v>
      </c>
      <c r="N414">
        <v>585</v>
      </c>
      <c r="AR414">
        <v>585</v>
      </c>
      <c r="AS414">
        <v>2767</v>
      </c>
      <c r="AT414">
        <v>2707</v>
      </c>
      <c r="AU414">
        <v>634</v>
      </c>
      <c r="BA414">
        <v>1</v>
      </c>
      <c r="BL414">
        <v>1511</v>
      </c>
      <c r="BP414">
        <v>3046</v>
      </c>
    </row>
    <row r="415" spans="1:68" x14ac:dyDescent="0.35">
      <c r="A415">
        <v>2014</v>
      </c>
      <c r="B415">
        <v>2014</v>
      </c>
      <c r="C415">
        <v>2014</v>
      </c>
      <c r="E415" t="s">
        <v>177</v>
      </c>
      <c r="F415" t="s">
        <v>178</v>
      </c>
      <c r="G415" t="s">
        <v>179</v>
      </c>
      <c r="I415">
        <v>1224226.8999999999</v>
      </c>
      <c r="O415">
        <v>5817</v>
      </c>
      <c r="P415">
        <v>14994</v>
      </c>
      <c r="R415">
        <v>67335</v>
      </c>
      <c r="S415">
        <v>2746</v>
      </c>
      <c r="T415">
        <v>2</v>
      </c>
      <c r="V415">
        <v>4687</v>
      </c>
      <c r="AB415">
        <v>3435</v>
      </c>
      <c r="AG415">
        <v>8924</v>
      </c>
      <c r="AJ415">
        <v>326</v>
      </c>
      <c r="AK415">
        <v>145</v>
      </c>
      <c r="AY415">
        <v>1631</v>
      </c>
      <c r="AZ415">
        <v>3705</v>
      </c>
      <c r="BD415">
        <v>362</v>
      </c>
      <c r="BG415">
        <v>17491</v>
      </c>
      <c r="BI415">
        <v>8781</v>
      </c>
      <c r="BO415">
        <v>3453</v>
      </c>
    </row>
    <row r="416" spans="1:68" x14ac:dyDescent="0.35">
      <c r="A416">
        <v>2014</v>
      </c>
      <c r="B416">
        <v>2014</v>
      </c>
      <c r="C416">
        <v>2014</v>
      </c>
      <c r="E416" t="s">
        <v>180</v>
      </c>
      <c r="F416" t="s">
        <v>181</v>
      </c>
      <c r="G416" t="s">
        <v>182</v>
      </c>
      <c r="I416">
        <v>423842.2</v>
      </c>
    </row>
    <row r="417" spans="1:69" x14ac:dyDescent="0.35">
      <c r="A417">
        <v>2014</v>
      </c>
      <c r="B417">
        <v>2014</v>
      </c>
      <c r="C417">
        <v>2014</v>
      </c>
      <c r="E417" t="s">
        <v>183</v>
      </c>
      <c r="F417" t="s">
        <v>184</v>
      </c>
      <c r="G417" t="s">
        <v>185</v>
      </c>
      <c r="I417">
        <v>175074.6</v>
      </c>
      <c r="M417">
        <v>3458</v>
      </c>
      <c r="AS417">
        <v>3458</v>
      </c>
    </row>
    <row r="418" spans="1:69" x14ac:dyDescent="0.35">
      <c r="A418">
        <v>2014</v>
      </c>
      <c r="B418">
        <v>2014</v>
      </c>
      <c r="C418">
        <v>2014</v>
      </c>
      <c r="E418" t="s">
        <v>186</v>
      </c>
      <c r="F418" t="s">
        <v>187</v>
      </c>
      <c r="G418" t="s">
        <v>188</v>
      </c>
      <c r="I418">
        <v>873411.1</v>
      </c>
      <c r="J418">
        <v>523</v>
      </c>
      <c r="M418">
        <v>4940</v>
      </c>
      <c r="N418">
        <v>959</v>
      </c>
      <c r="O418">
        <v>21</v>
      </c>
      <c r="AN418">
        <v>523</v>
      </c>
      <c r="AP418">
        <v>12</v>
      </c>
      <c r="AQ418">
        <v>947</v>
      </c>
      <c r="AS418">
        <v>4940</v>
      </c>
      <c r="AY418">
        <v>42</v>
      </c>
      <c r="BO418">
        <v>31</v>
      </c>
    </row>
    <row r="419" spans="1:69" x14ac:dyDescent="0.35">
      <c r="A419">
        <v>2014</v>
      </c>
      <c r="B419">
        <v>2014</v>
      </c>
      <c r="C419">
        <v>2014</v>
      </c>
      <c r="E419" t="s">
        <v>189</v>
      </c>
      <c r="F419" t="s">
        <v>190</v>
      </c>
      <c r="G419" t="s">
        <v>191</v>
      </c>
      <c r="I419">
        <v>1437486</v>
      </c>
      <c r="M419">
        <v>45388</v>
      </c>
      <c r="AT419">
        <v>29982</v>
      </c>
      <c r="AU419">
        <v>15406</v>
      </c>
    </row>
    <row r="420" spans="1:69" x14ac:dyDescent="0.35">
      <c r="A420">
        <v>2014</v>
      </c>
      <c r="B420">
        <v>2014</v>
      </c>
      <c r="C420">
        <v>2014</v>
      </c>
      <c r="E420" t="s">
        <v>192</v>
      </c>
      <c r="F420" t="s">
        <v>193</v>
      </c>
      <c r="G420" t="s">
        <v>194</v>
      </c>
      <c r="I420">
        <v>597001.9</v>
      </c>
    </row>
    <row r="421" spans="1:69" x14ac:dyDescent="0.35">
      <c r="A421">
        <v>2014</v>
      </c>
      <c r="B421">
        <v>2014</v>
      </c>
      <c r="C421">
        <v>2014</v>
      </c>
      <c r="E421" t="s">
        <v>195</v>
      </c>
      <c r="F421" t="s">
        <v>196</v>
      </c>
      <c r="G421" t="s">
        <v>197</v>
      </c>
      <c r="I421">
        <v>485908.2</v>
      </c>
      <c r="J421">
        <v>1685</v>
      </c>
      <c r="K421">
        <v>1458</v>
      </c>
      <c r="M421">
        <v>20885</v>
      </c>
      <c r="O421">
        <v>107</v>
      </c>
      <c r="P421">
        <v>193</v>
      </c>
      <c r="Q421">
        <v>5218</v>
      </c>
      <c r="V421">
        <v>171</v>
      </c>
      <c r="Z421">
        <v>111</v>
      </c>
      <c r="AA421">
        <v>2052</v>
      </c>
      <c r="AB421">
        <v>2052</v>
      </c>
      <c r="AE421">
        <v>190</v>
      </c>
      <c r="AG421">
        <v>312</v>
      </c>
      <c r="AH421">
        <v>229</v>
      </c>
      <c r="AJ421">
        <v>519</v>
      </c>
      <c r="AL421">
        <v>26</v>
      </c>
      <c r="AT421">
        <v>2570</v>
      </c>
      <c r="AU421">
        <v>18315</v>
      </c>
      <c r="AV421">
        <v>3000</v>
      </c>
      <c r="AW421">
        <v>40</v>
      </c>
      <c r="AX421">
        <v>819</v>
      </c>
      <c r="AY421">
        <v>63</v>
      </c>
      <c r="BA421">
        <v>48</v>
      </c>
      <c r="BD421">
        <v>145</v>
      </c>
      <c r="BG421">
        <v>511</v>
      </c>
      <c r="BH421">
        <v>413</v>
      </c>
      <c r="BN421">
        <v>227</v>
      </c>
      <c r="BO421">
        <v>80</v>
      </c>
    </row>
    <row r="422" spans="1:69" x14ac:dyDescent="0.35">
      <c r="A422">
        <v>2014</v>
      </c>
      <c r="B422">
        <v>2014</v>
      </c>
      <c r="C422">
        <v>2014</v>
      </c>
      <c r="E422" t="s">
        <v>198</v>
      </c>
      <c r="F422" t="s">
        <v>199</v>
      </c>
      <c r="G422" t="s">
        <v>200</v>
      </c>
      <c r="I422">
        <v>104202.4</v>
      </c>
      <c r="J422">
        <v>204</v>
      </c>
      <c r="M422">
        <v>4132</v>
      </c>
      <c r="AN422">
        <v>204</v>
      </c>
      <c r="AT422">
        <v>2735</v>
      </c>
      <c r="AU422">
        <v>1397</v>
      </c>
      <c r="BJ422">
        <v>23</v>
      </c>
      <c r="BO422">
        <v>53</v>
      </c>
    </row>
    <row r="423" spans="1:69" x14ac:dyDescent="0.35">
      <c r="A423">
        <v>2014</v>
      </c>
      <c r="B423">
        <v>2014</v>
      </c>
      <c r="C423">
        <v>2014</v>
      </c>
      <c r="E423" t="s">
        <v>201</v>
      </c>
      <c r="F423" t="s">
        <v>202</v>
      </c>
      <c r="G423" t="s">
        <v>203</v>
      </c>
      <c r="I423">
        <v>248497.9</v>
      </c>
    </row>
    <row r="424" spans="1:69" x14ac:dyDescent="0.35">
      <c r="A424">
        <v>2014</v>
      </c>
      <c r="B424">
        <v>2014</v>
      </c>
      <c r="C424">
        <v>2014</v>
      </c>
      <c r="E424" t="s">
        <v>204</v>
      </c>
      <c r="F424" t="s">
        <v>205</v>
      </c>
      <c r="G424" t="s">
        <v>206</v>
      </c>
      <c r="I424">
        <v>22908.400000000001</v>
      </c>
    </row>
    <row r="425" spans="1:69" x14ac:dyDescent="0.35">
      <c r="A425">
        <v>2014</v>
      </c>
      <c r="B425">
        <v>2014</v>
      </c>
      <c r="C425">
        <v>2014</v>
      </c>
      <c r="E425" t="s">
        <v>207</v>
      </c>
      <c r="F425" t="s">
        <v>208</v>
      </c>
      <c r="G425" t="s">
        <v>209</v>
      </c>
      <c r="I425">
        <v>1924245.2</v>
      </c>
      <c r="J425">
        <v>3015</v>
      </c>
      <c r="M425">
        <v>21552</v>
      </c>
      <c r="O425">
        <v>104</v>
      </c>
      <c r="P425">
        <v>707</v>
      </c>
      <c r="V425">
        <v>933</v>
      </c>
      <c r="AA425">
        <v>1119</v>
      </c>
      <c r="AB425">
        <v>1205</v>
      </c>
      <c r="AJ425">
        <v>2508</v>
      </c>
      <c r="AK425">
        <v>93</v>
      </c>
      <c r="AN425">
        <v>2086</v>
      </c>
      <c r="AS425">
        <v>21552</v>
      </c>
      <c r="BA425">
        <v>6</v>
      </c>
      <c r="BD425">
        <v>10536</v>
      </c>
      <c r="BG425">
        <v>1132</v>
      </c>
      <c r="BN425">
        <v>929</v>
      </c>
    </row>
    <row r="426" spans="1:69" x14ac:dyDescent="0.35">
      <c r="A426">
        <v>2013</v>
      </c>
      <c r="B426">
        <v>2013</v>
      </c>
      <c r="C426">
        <v>2013</v>
      </c>
      <c r="E426" t="s">
        <v>69</v>
      </c>
      <c r="F426" t="s">
        <v>70</v>
      </c>
      <c r="G426" t="s">
        <v>71</v>
      </c>
      <c r="I426">
        <v>712157.2</v>
      </c>
      <c r="J426">
        <v>803</v>
      </c>
      <c r="M426">
        <v>6196</v>
      </c>
      <c r="N426">
        <v>1591</v>
      </c>
      <c r="P426">
        <v>207</v>
      </c>
      <c r="AN426">
        <v>803</v>
      </c>
      <c r="AR426">
        <v>1591</v>
      </c>
      <c r="AT426">
        <v>2707</v>
      </c>
      <c r="AU426">
        <v>3489</v>
      </c>
    </row>
    <row r="427" spans="1:69" x14ac:dyDescent="0.35">
      <c r="A427">
        <v>2013</v>
      </c>
      <c r="B427">
        <v>2013</v>
      </c>
      <c r="C427">
        <v>2013</v>
      </c>
      <c r="E427" t="s">
        <v>72</v>
      </c>
      <c r="F427" t="s">
        <v>73</v>
      </c>
      <c r="G427" t="s">
        <v>74</v>
      </c>
      <c r="I427">
        <v>196632.4</v>
      </c>
      <c r="N427">
        <v>514</v>
      </c>
      <c r="AP427">
        <v>273</v>
      </c>
      <c r="AQ427">
        <v>241</v>
      </c>
    </row>
    <row r="428" spans="1:69" x14ac:dyDescent="0.35">
      <c r="A428">
        <v>2013</v>
      </c>
      <c r="B428">
        <v>2013</v>
      </c>
      <c r="C428">
        <v>2013</v>
      </c>
      <c r="E428" t="s">
        <v>75</v>
      </c>
      <c r="F428" t="s">
        <v>76</v>
      </c>
      <c r="G428" t="s">
        <v>77</v>
      </c>
      <c r="I428">
        <v>6883.1</v>
      </c>
      <c r="N428">
        <v>31</v>
      </c>
      <c r="AQ428">
        <v>31</v>
      </c>
    </row>
    <row r="429" spans="1:69" x14ac:dyDescent="0.35">
      <c r="A429">
        <v>2013</v>
      </c>
      <c r="B429">
        <v>2013</v>
      </c>
      <c r="C429">
        <v>2013</v>
      </c>
      <c r="E429" t="s">
        <v>78</v>
      </c>
      <c r="F429" t="s">
        <v>79</v>
      </c>
      <c r="G429" t="s">
        <v>80</v>
      </c>
      <c r="I429">
        <v>3118004.4</v>
      </c>
      <c r="J429">
        <v>6418</v>
      </c>
      <c r="M429">
        <v>59813</v>
      </c>
      <c r="N429">
        <v>1555</v>
      </c>
      <c r="P429">
        <v>283</v>
      </c>
      <c r="AG429">
        <v>287</v>
      </c>
      <c r="AK429">
        <v>2126</v>
      </c>
      <c r="AN429">
        <v>6418</v>
      </c>
      <c r="AP429">
        <v>1555</v>
      </c>
      <c r="AS429">
        <v>59813</v>
      </c>
      <c r="AX429">
        <v>582</v>
      </c>
    </row>
    <row r="430" spans="1:69" x14ac:dyDescent="0.35">
      <c r="A430">
        <v>2013</v>
      </c>
      <c r="B430">
        <v>2013</v>
      </c>
      <c r="C430">
        <v>2013</v>
      </c>
      <c r="E430" t="s">
        <v>81</v>
      </c>
      <c r="F430" t="s">
        <v>82</v>
      </c>
      <c r="G430" t="s">
        <v>83</v>
      </c>
      <c r="I430">
        <v>3257516.8</v>
      </c>
      <c r="N430">
        <v>6925</v>
      </c>
      <c r="AQ430">
        <v>6925</v>
      </c>
    </row>
    <row r="431" spans="1:69" x14ac:dyDescent="0.35">
      <c r="A431">
        <v>2013</v>
      </c>
      <c r="B431">
        <v>2013</v>
      </c>
      <c r="C431">
        <v>2013</v>
      </c>
      <c r="E431" t="s">
        <v>84</v>
      </c>
      <c r="F431" t="s">
        <v>85</v>
      </c>
      <c r="G431" t="s">
        <v>86</v>
      </c>
      <c r="I431">
        <v>6805083.0999999996</v>
      </c>
      <c r="J431">
        <v>65759</v>
      </c>
      <c r="M431">
        <v>74920</v>
      </c>
      <c r="N431">
        <v>101275</v>
      </c>
      <c r="AN431">
        <v>65759</v>
      </c>
      <c r="AQ431">
        <v>101275</v>
      </c>
      <c r="AS431">
        <v>74920</v>
      </c>
      <c r="BL431">
        <v>68565</v>
      </c>
      <c r="BQ431">
        <v>262512</v>
      </c>
    </row>
    <row r="432" spans="1:69" x14ac:dyDescent="0.35">
      <c r="A432">
        <v>2013</v>
      </c>
      <c r="B432">
        <v>2013</v>
      </c>
      <c r="C432">
        <v>2013</v>
      </c>
      <c r="E432" t="s">
        <v>87</v>
      </c>
      <c r="F432" t="s">
        <v>88</v>
      </c>
      <c r="G432" t="s">
        <v>89</v>
      </c>
      <c r="I432">
        <v>60469.599999999999</v>
      </c>
      <c r="N432">
        <v>437</v>
      </c>
      <c r="AQ432">
        <v>437</v>
      </c>
    </row>
    <row r="433" spans="1:69" x14ac:dyDescent="0.35">
      <c r="A433">
        <v>2013</v>
      </c>
      <c r="B433">
        <v>2013</v>
      </c>
      <c r="C433">
        <v>2013</v>
      </c>
      <c r="E433" t="s">
        <v>90</v>
      </c>
      <c r="F433" t="s">
        <v>91</v>
      </c>
      <c r="G433" t="s">
        <v>92</v>
      </c>
      <c r="I433">
        <v>137079.5</v>
      </c>
      <c r="N433">
        <v>368</v>
      </c>
      <c r="AQ433">
        <v>368</v>
      </c>
    </row>
    <row r="434" spans="1:69" x14ac:dyDescent="0.35">
      <c r="A434">
        <v>2013</v>
      </c>
      <c r="B434">
        <v>2013</v>
      </c>
      <c r="C434">
        <v>2013</v>
      </c>
      <c r="E434" t="s">
        <v>93</v>
      </c>
      <c r="F434" t="s">
        <v>94</v>
      </c>
      <c r="G434" t="s">
        <v>95</v>
      </c>
      <c r="I434">
        <v>32451</v>
      </c>
      <c r="M434">
        <v>3735</v>
      </c>
      <c r="AT434">
        <v>809</v>
      </c>
      <c r="AU434">
        <v>2926</v>
      </c>
    </row>
    <row r="435" spans="1:69" x14ac:dyDescent="0.35">
      <c r="A435">
        <v>2013</v>
      </c>
      <c r="B435">
        <v>2013</v>
      </c>
      <c r="C435">
        <v>2013</v>
      </c>
      <c r="E435" t="s">
        <v>96</v>
      </c>
      <c r="F435" t="s">
        <v>97</v>
      </c>
      <c r="G435" t="s">
        <v>98</v>
      </c>
      <c r="I435">
        <v>59174.8</v>
      </c>
    </row>
    <row r="436" spans="1:69" x14ac:dyDescent="0.35">
      <c r="A436">
        <v>2013</v>
      </c>
      <c r="B436">
        <v>2013</v>
      </c>
      <c r="C436">
        <v>2013</v>
      </c>
      <c r="E436" t="s">
        <v>99</v>
      </c>
      <c r="F436" t="s">
        <v>100</v>
      </c>
      <c r="G436" t="s">
        <v>101</v>
      </c>
      <c r="I436">
        <v>971174.5</v>
      </c>
      <c r="AY436">
        <v>599</v>
      </c>
      <c r="BA436">
        <v>825</v>
      </c>
      <c r="BO436">
        <v>3204</v>
      </c>
    </row>
    <row r="437" spans="1:69" x14ac:dyDescent="0.35">
      <c r="A437">
        <v>2013</v>
      </c>
      <c r="B437">
        <v>2013</v>
      </c>
      <c r="C437">
        <v>2013</v>
      </c>
      <c r="E437" t="s">
        <v>102</v>
      </c>
      <c r="F437" t="s">
        <v>103</v>
      </c>
      <c r="G437" t="s">
        <v>104</v>
      </c>
      <c r="I437">
        <v>1089608.5</v>
      </c>
      <c r="N437">
        <v>30</v>
      </c>
      <c r="AQ437">
        <v>30</v>
      </c>
    </row>
    <row r="438" spans="1:69" x14ac:dyDescent="0.35">
      <c r="A438">
        <v>2013</v>
      </c>
      <c r="B438">
        <v>2013</v>
      </c>
      <c r="C438">
        <v>2013</v>
      </c>
      <c r="E438" t="s">
        <v>105</v>
      </c>
      <c r="F438" t="s">
        <v>106</v>
      </c>
      <c r="G438" t="s">
        <v>107</v>
      </c>
      <c r="I438">
        <v>387605.1</v>
      </c>
      <c r="M438">
        <v>4880</v>
      </c>
      <c r="N438">
        <v>943</v>
      </c>
      <c r="P438">
        <v>1330</v>
      </c>
      <c r="AG438">
        <v>206</v>
      </c>
      <c r="AJ438">
        <v>830</v>
      </c>
      <c r="AQ438">
        <v>943</v>
      </c>
      <c r="AS438">
        <v>4880</v>
      </c>
      <c r="BG438">
        <v>770</v>
      </c>
      <c r="BQ438">
        <v>10200</v>
      </c>
    </row>
    <row r="439" spans="1:69" x14ac:dyDescent="0.35">
      <c r="A439">
        <v>2013</v>
      </c>
      <c r="B439">
        <v>2013</v>
      </c>
      <c r="C439">
        <v>2013</v>
      </c>
      <c r="E439" t="s">
        <v>108</v>
      </c>
      <c r="F439" t="s">
        <v>109</v>
      </c>
      <c r="G439" t="s">
        <v>110</v>
      </c>
      <c r="I439">
        <v>60143.3</v>
      </c>
      <c r="N439">
        <v>1501</v>
      </c>
      <c r="AQ439">
        <v>1501</v>
      </c>
    </row>
    <row r="440" spans="1:69" x14ac:dyDescent="0.35">
      <c r="A440">
        <v>2013</v>
      </c>
      <c r="B440">
        <v>2013</v>
      </c>
      <c r="C440">
        <v>2013</v>
      </c>
      <c r="E440" t="s">
        <v>111</v>
      </c>
      <c r="F440" t="s">
        <v>112</v>
      </c>
      <c r="G440" t="s">
        <v>113</v>
      </c>
      <c r="I440">
        <v>429312</v>
      </c>
      <c r="J440">
        <v>554</v>
      </c>
      <c r="K440">
        <v>486</v>
      </c>
      <c r="M440">
        <v>6573</v>
      </c>
      <c r="N440">
        <v>35</v>
      </c>
      <c r="O440">
        <v>4</v>
      </c>
      <c r="AQ440">
        <v>35</v>
      </c>
      <c r="AT440">
        <v>4005</v>
      </c>
      <c r="AU440">
        <v>2568</v>
      </c>
      <c r="BN440">
        <v>68</v>
      </c>
    </row>
    <row r="441" spans="1:69" x14ac:dyDescent="0.35">
      <c r="A441">
        <v>2013</v>
      </c>
      <c r="B441">
        <v>2013</v>
      </c>
      <c r="C441">
        <v>2013</v>
      </c>
      <c r="E441" t="s">
        <v>114</v>
      </c>
      <c r="F441" t="s">
        <v>115</v>
      </c>
      <c r="G441" t="s">
        <v>116</v>
      </c>
      <c r="I441">
        <v>11037.4</v>
      </c>
      <c r="J441">
        <v>308</v>
      </c>
      <c r="M441">
        <v>403</v>
      </c>
      <c r="AN441">
        <v>308</v>
      </c>
      <c r="AS441">
        <v>403</v>
      </c>
    </row>
    <row r="442" spans="1:69" x14ac:dyDescent="0.35">
      <c r="A442">
        <v>2013</v>
      </c>
      <c r="B442">
        <v>2013</v>
      </c>
      <c r="C442">
        <v>2013</v>
      </c>
      <c r="E442" t="s">
        <v>117</v>
      </c>
      <c r="F442" t="s">
        <v>118</v>
      </c>
      <c r="G442" t="s">
        <v>119</v>
      </c>
      <c r="I442">
        <v>803500.2</v>
      </c>
      <c r="N442">
        <v>127</v>
      </c>
      <c r="AQ442">
        <v>127</v>
      </c>
    </row>
    <row r="443" spans="1:69" x14ac:dyDescent="0.35">
      <c r="A443">
        <v>2013</v>
      </c>
      <c r="B443">
        <v>2013</v>
      </c>
      <c r="C443">
        <v>2013</v>
      </c>
      <c r="E443" t="s">
        <v>120</v>
      </c>
      <c r="F443" t="s">
        <v>121</v>
      </c>
      <c r="G443" t="s">
        <v>122</v>
      </c>
      <c r="I443">
        <v>595182.19999999995</v>
      </c>
      <c r="J443">
        <v>573</v>
      </c>
      <c r="M443">
        <v>3606</v>
      </c>
      <c r="N443">
        <v>451</v>
      </c>
      <c r="P443">
        <v>72</v>
      </c>
      <c r="AN443">
        <v>573</v>
      </c>
      <c r="AR443">
        <v>451</v>
      </c>
      <c r="AS443">
        <v>3606</v>
      </c>
    </row>
    <row r="444" spans="1:69" x14ac:dyDescent="0.35">
      <c r="A444">
        <v>2013</v>
      </c>
      <c r="B444">
        <v>2013</v>
      </c>
      <c r="C444">
        <v>2013</v>
      </c>
      <c r="E444" t="s">
        <v>123</v>
      </c>
      <c r="F444" t="s">
        <v>124</v>
      </c>
      <c r="G444" t="s">
        <v>125</v>
      </c>
      <c r="I444">
        <v>812933</v>
      </c>
      <c r="M444">
        <v>8780</v>
      </c>
      <c r="N444">
        <v>3851</v>
      </c>
      <c r="AP444">
        <v>1224</v>
      </c>
      <c r="AQ444">
        <v>2627</v>
      </c>
      <c r="AT444">
        <v>1608</v>
      </c>
      <c r="AU444">
        <v>7172</v>
      </c>
    </row>
    <row r="445" spans="1:69" x14ac:dyDescent="0.35">
      <c r="A445">
        <v>2013</v>
      </c>
      <c r="B445">
        <v>2013</v>
      </c>
      <c r="C445">
        <v>2013</v>
      </c>
      <c r="E445" t="s">
        <v>126</v>
      </c>
      <c r="F445" t="s">
        <v>127</v>
      </c>
      <c r="G445" t="s">
        <v>128</v>
      </c>
      <c r="I445">
        <v>44010.1</v>
      </c>
    </row>
    <row r="446" spans="1:69" x14ac:dyDescent="0.35">
      <c r="A446">
        <v>2013</v>
      </c>
      <c r="B446">
        <v>2013</v>
      </c>
      <c r="C446">
        <v>2013</v>
      </c>
      <c r="E446" t="s">
        <v>129</v>
      </c>
      <c r="F446" t="s">
        <v>130</v>
      </c>
      <c r="G446" t="s">
        <v>131</v>
      </c>
      <c r="I446">
        <v>82489.399999999994</v>
      </c>
      <c r="N446">
        <v>259</v>
      </c>
      <c r="AP446">
        <v>180</v>
      </c>
      <c r="AQ446">
        <v>79</v>
      </c>
    </row>
    <row r="447" spans="1:69" x14ac:dyDescent="0.35">
      <c r="A447">
        <v>2013</v>
      </c>
      <c r="B447">
        <v>2013</v>
      </c>
      <c r="C447">
        <v>2013</v>
      </c>
      <c r="E447" t="s">
        <v>132</v>
      </c>
      <c r="F447" t="s">
        <v>133</v>
      </c>
      <c r="G447" t="s">
        <v>134</v>
      </c>
      <c r="I447">
        <v>884877.4</v>
      </c>
      <c r="J447">
        <v>2730</v>
      </c>
      <c r="N447">
        <v>11287</v>
      </c>
      <c r="U447">
        <v>5293</v>
      </c>
      <c r="AA447">
        <v>1473</v>
      </c>
      <c r="AB447">
        <v>3639</v>
      </c>
      <c r="AJ447">
        <v>3987</v>
      </c>
      <c r="AN447">
        <v>2730</v>
      </c>
      <c r="AQ447">
        <v>4185</v>
      </c>
      <c r="AR447">
        <v>7102</v>
      </c>
      <c r="BL447">
        <v>3482</v>
      </c>
      <c r="BM447">
        <v>2636</v>
      </c>
      <c r="BP447">
        <v>4472</v>
      </c>
      <c r="BQ447">
        <v>4166</v>
      </c>
    </row>
    <row r="448" spans="1:69" x14ac:dyDescent="0.35">
      <c r="A448">
        <v>2013</v>
      </c>
      <c r="B448">
        <v>2013</v>
      </c>
      <c r="C448">
        <v>2013</v>
      </c>
      <c r="E448" t="s">
        <v>135</v>
      </c>
      <c r="F448" t="s">
        <v>136</v>
      </c>
      <c r="G448" t="s">
        <v>137</v>
      </c>
      <c r="I448">
        <v>405974.1</v>
      </c>
      <c r="N448">
        <v>500</v>
      </c>
      <c r="AQ448">
        <v>500</v>
      </c>
    </row>
    <row r="449" spans="1:69" x14ac:dyDescent="0.35">
      <c r="A449">
        <v>2013</v>
      </c>
      <c r="B449">
        <v>2013</v>
      </c>
      <c r="C449">
        <v>2013</v>
      </c>
      <c r="E449" t="s">
        <v>138</v>
      </c>
      <c r="F449" t="s">
        <v>139</v>
      </c>
      <c r="G449" t="s">
        <v>140</v>
      </c>
      <c r="I449">
        <v>61757.599999999999</v>
      </c>
      <c r="M449">
        <v>727</v>
      </c>
      <c r="N449">
        <v>153</v>
      </c>
      <c r="AP449">
        <v>5</v>
      </c>
      <c r="AQ449">
        <v>148</v>
      </c>
      <c r="AT449">
        <v>253</v>
      </c>
      <c r="AU449">
        <v>474</v>
      </c>
      <c r="AV449">
        <v>14</v>
      </c>
    </row>
    <row r="450" spans="1:69" x14ac:dyDescent="0.35">
      <c r="A450">
        <v>2013</v>
      </c>
      <c r="B450">
        <v>2013</v>
      </c>
      <c r="C450">
        <v>2013</v>
      </c>
      <c r="E450" t="s">
        <v>141</v>
      </c>
      <c r="F450" t="s">
        <v>142</v>
      </c>
      <c r="G450" t="s">
        <v>143</v>
      </c>
      <c r="I450">
        <v>1427073.7</v>
      </c>
      <c r="J450">
        <v>8682</v>
      </c>
      <c r="M450">
        <v>40292</v>
      </c>
      <c r="O450">
        <v>1045</v>
      </c>
      <c r="P450">
        <v>2202</v>
      </c>
      <c r="AN450">
        <v>8682</v>
      </c>
      <c r="AT450">
        <v>11992</v>
      </c>
      <c r="AU450">
        <v>28300</v>
      </c>
      <c r="BA450">
        <v>129</v>
      </c>
    </row>
    <row r="451" spans="1:69" x14ac:dyDescent="0.35">
      <c r="A451">
        <v>2013</v>
      </c>
      <c r="B451">
        <v>2013</v>
      </c>
      <c r="C451">
        <v>2013</v>
      </c>
      <c r="E451" t="s">
        <v>144</v>
      </c>
      <c r="F451" t="s">
        <v>145</v>
      </c>
      <c r="G451" t="s">
        <v>146</v>
      </c>
      <c r="I451">
        <v>157241.29999999999</v>
      </c>
      <c r="N451">
        <v>806</v>
      </c>
      <c r="AQ451">
        <v>806</v>
      </c>
    </row>
    <row r="452" spans="1:69" x14ac:dyDescent="0.35">
      <c r="A452">
        <v>2013</v>
      </c>
      <c r="B452">
        <v>2013</v>
      </c>
      <c r="C452">
        <v>2013</v>
      </c>
      <c r="E452" t="s">
        <v>147</v>
      </c>
      <c r="F452" t="s">
        <v>148</v>
      </c>
      <c r="G452" t="s">
        <v>149</v>
      </c>
      <c r="I452">
        <v>785163.7</v>
      </c>
      <c r="J452">
        <v>3523</v>
      </c>
      <c r="K452">
        <v>3028</v>
      </c>
      <c r="M452">
        <v>3438</v>
      </c>
      <c r="N452">
        <v>3400</v>
      </c>
      <c r="O452">
        <v>111</v>
      </c>
      <c r="P452">
        <v>17</v>
      </c>
      <c r="AQ452">
        <v>3400</v>
      </c>
      <c r="AS452">
        <v>3438</v>
      </c>
      <c r="BN452">
        <v>495</v>
      </c>
    </row>
    <row r="453" spans="1:69" x14ac:dyDescent="0.35">
      <c r="A453">
        <v>2013</v>
      </c>
      <c r="B453">
        <v>2013</v>
      </c>
      <c r="C453">
        <v>2013</v>
      </c>
      <c r="E453" t="s">
        <v>150</v>
      </c>
      <c r="F453" t="s">
        <v>151</v>
      </c>
      <c r="G453" t="s">
        <v>152</v>
      </c>
      <c r="I453">
        <v>598581.6</v>
      </c>
      <c r="J453">
        <v>200</v>
      </c>
      <c r="M453">
        <v>3545</v>
      </c>
      <c r="N453">
        <v>48</v>
      </c>
      <c r="P453">
        <v>170</v>
      </c>
      <c r="AN453">
        <v>168</v>
      </c>
      <c r="AP453">
        <v>48</v>
      </c>
      <c r="AS453">
        <v>3545</v>
      </c>
      <c r="BN453">
        <v>32</v>
      </c>
    </row>
    <row r="454" spans="1:69" x14ac:dyDescent="0.35">
      <c r="A454">
        <v>2013</v>
      </c>
      <c r="B454">
        <v>2013</v>
      </c>
      <c r="C454">
        <v>2013</v>
      </c>
      <c r="E454" t="s">
        <v>153</v>
      </c>
      <c r="F454" t="s">
        <v>154</v>
      </c>
      <c r="G454" t="s">
        <v>155</v>
      </c>
      <c r="I454">
        <v>740567.7</v>
      </c>
      <c r="J454">
        <v>1971</v>
      </c>
      <c r="N454">
        <v>1961</v>
      </c>
      <c r="AN454">
        <v>1971</v>
      </c>
      <c r="AP454">
        <v>1275</v>
      </c>
      <c r="AQ454">
        <v>686</v>
      </c>
      <c r="BJ454">
        <v>8</v>
      </c>
      <c r="BO454">
        <v>113</v>
      </c>
    </row>
    <row r="455" spans="1:69" x14ac:dyDescent="0.35">
      <c r="A455">
        <v>2013</v>
      </c>
      <c r="B455">
        <v>2013</v>
      </c>
      <c r="C455">
        <v>2013</v>
      </c>
      <c r="E455" t="s">
        <v>156</v>
      </c>
      <c r="F455" t="s">
        <v>157</v>
      </c>
      <c r="G455" t="s">
        <v>158</v>
      </c>
      <c r="I455">
        <v>15623.3</v>
      </c>
      <c r="J455">
        <v>2046</v>
      </c>
      <c r="M455">
        <v>3963</v>
      </c>
      <c r="O455">
        <v>351</v>
      </c>
      <c r="P455">
        <v>460</v>
      </c>
      <c r="AN455">
        <v>2046</v>
      </c>
      <c r="AS455">
        <v>3963</v>
      </c>
    </row>
    <row r="456" spans="1:69" x14ac:dyDescent="0.35">
      <c r="A456">
        <v>2013</v>
      </c>
      <c r="B456">
        <v>2013</v>
      </c>
      <c r="C456">
        <v>2013</v>
      </c>
      <c r="E456" t="s">
        <v>159</v>
      </c>
      <c r="F456" t="s">
        <v>160</v>
      </c>
      <c r="G456" t="s">
        <v>161</v>
      </c>
      <c r="I456">
        <v>989682.3</v>
      </c>
      <c r="J456">
        <v>1452</v>
      </c>
      <c r="M456">
        <v>6432</v>
      </c>
      <c r="N456">
        <v>4265</v>
      </c>
      <c r="O456">
        <v>136</v>
      </c>
      <c r="P456">
        <v>103</v>
      </c>
      <c r="U456">
        <v>1204</v>
      </c>
      <c r="V456">
        <v>238</v>
      </c>
      <c r="W456">
        <v>44</v>
      </c>
      <c r="AG456">
        <v>238</v>
      </c>
      <c r="AJ456">
        <v>1465</v>
      </c>
      <c r="AN456">
        <v>1452</v>
      </c>
      <c r="AP456">
        <v>720</v>
      </c>
      <c r="AQ456">
        <v>3545</v>
      </c>
      <c r="AS456">
        <v>6432</v>
      </c>
      <c r="AZ456">
        <v>115</v>
      </c>
      <c r="BG456">
        <v>1388</v>
      </c>
      <c r="BH456">
        <v>287</v>
      </c>
    </row>
    <row r="457" spans="1:69" x14ac:dyDescent="0.35">
      <c r="A457">
        <v>2013</v>
      </c>
      <c r="B457">
        <v>2013</v>
      </c>
      <c r="C457">
        <v>2013</v>
      </c>
      <c r="E457" t="s">
        <v>162</v>
      </c>
      <c r="F457" t="s">
        <v>163</v>
      </c>
      <c r="G457" t="s">
        <v>164</v>
      </c>
      <c r="I457">
        <v>67950.7</v>
      </c>
      <c r="M457">
        <v>4110</v>
      </c>
      <c r="AT457">
        <v>2068</v>
      </c>
      <c r="AU457">
        <v>2042</v>
      </c>
      <c r="AY457">
        <v>30</v>
      </c>
      <c r="BO457">
        <v>83</v>
      </c>
    </row>
    <row r="458" spans="1:69" x14ac:dyDescent="0.35">
      <c r="A458">
        <v>2013</v>
      </c>
      <c r="B458">
        <v>2013</v>
      </c>
      <c r="C458">
        <v>2013</v>
      </c>
      <c r="E458" t="s">
        <v>165</v>
      </c>
      <c r="F458" t="s">
        <v>166</v>
      </c>
      <c r="G458" t="s">
        <v>167</v>
      </c>
      <c r="I458">
        <v>357235.9</v>
      </c>
      <c r="J458">
        <v>1104</v>
      </c>
      <c r="K458">
        <v>609</v>
      </c>
      <c r="N458">
        <v>622</v>
      </c>
      <c r="AQ458">
        <v>622</v>
      </c>
      <c r="BN458">
        <v>495</v>
      </c>
    </row>
    <row r="459" spans="1:69" x14ac:dyDescent="0.35">
      <c r="A459">
        <v>2013</v>
      </c>
      <c r="B459">
        <v>2013</v>
      </c>
      <c r="C459">
        <v>2013</v>
      </c>
      <c r="E459" t="s">
        <v>168</v>
      </c>
      <c r="F459" t="s">
        <v>169</v>
      </c>
      <c r="G459" t="s">
        <v>170</v>
      </c>
      <c r="I459">
        <v>494983.7</v>
      </c>
      <c r="N459">
        <v>3946</v>
      </c>
      <c r="O459">
        <v>54</v>
      </c>
      <c r="X459">
        <v>66</v>
      </c>
      <c r="Y459">
        <v>22</v>
      </c>
      <c r="AG459">
        <v>22</v>
      </c>
      <c r="AJ459">
        <v>546</v>
      </c>
      <c r="AQ459">
        <v>3946</v>
      </c>
      <c r="BA459">
        <v>42</v>
      </c>
      <c r="BD459">
        <v>11</v>
      </c>
      <c r="BG459">
        <v>371</v>
      </c>
      <c r="BH459">
        <v>11</v>
      </c>
      <c r="BP459">
        <v>22</v>
      </c>
      <c r="BQ459">
        <v>32</v>
      </c>
    </row>
    <row r="460" spans="1:69" x14ac:dyDescent="0.35">
      <c r="A460">
        <v>2013</v>
      </c>
      <c r="B460">
        <v>2013</v>
      </c>
      <c r="C460">
        <v>2013</v>
      </c>
      <c r="E460" t="s">
        <v>171</v>
      </c>
      <c r="F460" t="s">
        <v>172</v>
      </c>
      <c r="G460" t="s">
        <v>173</v>
      </c>
      <c r="I460">
        <v>1775</v>
      </c>
    </row>
    <row r="461" spans="1:69" x14ac:dyDescent="0.35">
      <c r="A461">
        <v>2013</v>
      </c>
      <c r="B461">
        <v>2013</v>
      </c>
      <c r="C461">
        <v>2013</v>
      </c>
      <c r="E461" t="s">
        <v>174</v>
      </c>
      <c r="F461" t="s">
        <v>175</v>
      </c>
      <c r="G461" t="s">
        <v>176</v>
      </c>
      <c r="I461">
        <v>244461.1</v>
      </c>
      <c r="M461">
        <v>6106</v>
      </c>
      <c r="N461">
        <v>2187</v>
      </c>
      <c r="AP461">
        <v>1901</v>
      </c>
      <c r="AQ461">
        <v>286</v>
      </c>
      <c r="AS461">
        <v>2765</v>
      </c>
      <c r="AT461">
        <v>2707</v>
      </c>
      <c r="AU461">
        <v>634</v>
      </c>
    </row>
    <row r="462" spans="1:69" x14ac:dyDescent="0.35">
      <c r="A462">
        <v>2013</v>
      </c>
      <c r="B462">
        <v>2013</v>
      </c>
      <c r="C462">
        <v>2013</v>
      </c>
      <c r="E462" t="s">
        <v>177</v>
      </c>
      <c r="F462" t="s">
        <v>178</v>
      </c>
      <c r="G462" t="s">
        <v>179</v>
      </c>
      <c r="I462">
        <v>1214423.8999999999</v>
      </c>
      <c r="O462">
        <v>5770</v>
      </c>
      <c r="R462">
        <v>64876</v>
      </c>
      <c r="S462">
        <v>2586</v>
      </c>
      <c r="T462">
        <v>2</v>
      </c>
      <c r="V462">
        <v>4625</v>
      </c>
      <c r="AB462">
        <v>3330</v>
      </c>
      <c r="AG462">
        <v>8476</v>
      </c>
      <c r="AJ462">
        <v>273</v>
      </c>
      <c r="AK462">
        <v>144</v>
      </c>
      <c r="AZ462">
        <v>3588</v>
      </c>
      <c r="BD462">
        <v>217</v>
      </c>
      <c r="BI462">
        <v>8185</v>
      </c>
    </row>
    <row r="463" spans="1:69" x14ac:dyDescent="0.35">
      <c r="A463">
        <v>2013</v>
      </c>
      <c r="B463">
        <v>2013</v>
      </c>
      <c r="C463">
        <v>2013</v>
      </c>
      <c r="E463" t="s">
        <v>180</v>
      </c>
      <c r="F463" t="s">
        <v>181</v>
      </c>
      <c r="G463" t="s">
        <v>182</v>
      </c>
      <c r="I463">
        <v>420676</v>
      </c>
      <c r="AY463">
        <v>17</v>
      </c>
      <c r="BO463">
        <v>15</v>
      </c>
    </row>
    <row r="464" spans="1:69" x14ac:dyDescent="0.35">
      <c r="A464">
        <v>2013</v>
      </c>
      <c r="B464">
        <v>2013</v>
      </c>
      <c r="C464">
        <v>2013</v>
      </c>
      <c r="E464" t="s">
        <v>183</v>
      </c>
      <c r="F464" t="s">
        <v>184</v>
      </c>
      <c r="G464" t="s">
        <v>185</v>
      </c>
      <c r="I464">
        <v>175389.3</v>
      </c>
      <c r="M464">
        <v>3289</v>
      </c>
      <c r="N464">
        <v>1282</v>
      </c>
      <c r="AP464">
        <v>67</v>
      </c>
      <c r="AQ464">
        <v>1215</v>
      </c>
      <c r="AS464">
        <v>3289</v>
      </c>
    </row>
    <row r="465" spans="1:67" x14ac:dyDescent="0.35">
      <c r="A465">
        <v>2013</v>
      </c>
      <c r="B465">
        <v>2013</v>
      </c>
      <c r="C465">
        <v>2013</v>
      </c>
      <c r="E465" t="s">
        <v>186</v>
      </c>
      <c r="F465" t="s">
        <v>187</v>
      </c>
      <c r="G465" t="s">
        <v>188</v>
      </c>
      <c r="I465">
        <v>845295.7</v>
      </c>
      <c r="J465">
        <v>946</v>
      </c>
      <c r="M465">
        <v>3289</v>
      </c>
      <c r="N465">
        <v>836</v>
      </c>
      <c r="O465">
        <v>30</v>
      </c>
      <c r="P465">
        <v>51</v>
      </c>
      <c r="U465">
        <v>6560</v>
      </c>
      <c r="AN465">
        <v>946</v>
      </c>
      <c r="AQ465">
        <v>829</v>
      </c>
      <c r="AR465">
        <v>7</v>
      </c>
      <c r="AS465">
        <v>3289</v>
      </c>
    </row>
    <row r="466" spans="1:67" x14ac:dyDescent="0.35">
      <c r="A466">
        <v>2013</v>
      </c>
      <c r="B466">
        <v>2013</v>
      </c>
      <c r="C466">
        <v>2013</v>
      </c>
      <c r="E466" t="s">
        <v>189</v>
      </c>
      <c r="F466" t="s">
        <v>190</v>
      </c>
      <c r="G466" t="s">
        <v>191</v>
      </c>
      <c r="I466">
        <v>1420776.7</v>
      </c>
      <c r="M466">
        <v>40149</v>
      </c>
      <c r="N466">
        <v>7000</v>
      </c>
      <c r="AQ466">
        <v>7000</v>
      </c>
      <c r="AT466">
        <v>25846</v>
      </c>
      <c r="AU466">
        <v>14303</v>
      </c>
    </row>
    <row r="467" spans="1:67" x14ac:dyDescent="0.35">
      <c r="A467">
        <v>2013</v>
      </c>
      <c r="B467">
        <v>2013</v>
      </c>
      <c r="C467">
        <v>2013</v>
      </c>
      <c r="E467" t="s">
        <v>192</v>
      </c>
      <c r="F467" t="s">
        <v>193</v>
      </c>
      <c r="G467" t="s">
        <v>194</v>
      </c>
      <c r="I467">
        <v>589977.69999999995</v>
      </c>
      <c r="N467">
        <v>2773</v>
      </c>
      <c r="AQ467">
        <v>2773</v>
      </c>
    </row>
    <row r="468" spans="1:67" x14ac:dyDescent="0.35">
      <c r="A468">
        <v>2013</v>
      </c>
      <c r="B468">
        <v>2013</v>
      </c>
      <c r="C468">
        <v>2013</v>
      </c>
      <c r="E468" t="s">
        <v>195</v>
      </c>
      <c r="F468" t="s">
        <v>196</v>
      </c>
      <c r="G468" t="s">
        <v>197</v>
      </c>
      <c r="I468">
        <v>485648.9</v>
      </c>
      <c r="J468">
        <v>1114</v>
      </c>
      <c r="M468">
        <v>18722</v>
      </c>
      <c r="O468">
        <v>236</v>
      </c>
      <c r="P468">
        <v>394</v>
      </c>
      <c r="Q468">
        <v>5334</v>
      </c>
      <c r="AB468">
        <v>1885</v>
      </c>
      <c r="AG468">
        <v>239</v>
      </c>
      <c r="AK468">
        <v>343</v>
      </c>
      <c r="AL468">
        <v>26</v>
      </c>
      <c r="AN468">
        <v>1114</v>
      </c>
      <c r="AS468">
        <v>18722</v>
      </c>
      <c r="AX468">
        <v>845</v>
      </c>
      <c r="BH468">
        <v>419</v>
      </c>
    </row>
    <row r="469" spans="1:67" x14ac:dyDescent="0.35">
      <c r="A469">
        <v>2013</v>
      </c>
      <c r="B469">
        <v>2013</v>
      </c>
      <c r="C469">
        <v>2013</v>
      </c>
      <c r="E469" t="s">
        <v>198</v>
      </c>
      <c r="F469" t="s">
        <v>199</v>
      </c>
      <c r="G469" t="s">
        <v>200</v>
      </c>
      <c r="I469">
        <v>104956.6</v>
      </c>
      <c r="J469">
        <v>172</v>
      </c>
      <c r="M469">
        <v>4262</v>
      </c>
      <c r="AN469">
        <v>172</v>
      </c>
      <c r="AT469">
        <v>2867</v>
      </c>
      <c r="AU469">
        <v>1395</v>
      </c>
      <c r="BJ469">
        <v>23</v>
      </c>
      <c r="BO469">
        <v>60</v>
      </c>
    </row>
    <row r="470" spans="1:67" x14ac:dyDescent="0.35">
      <c r="A470">
        <v>2013</v>
      </c>
      <c r="B470">
        <v>2013</v>
      </c>
      <c r="C470">
        <v>2013</v>
      </c>
      <c r="E470" t="s">
        <v>201</v>
      </c>
      <c r="F470" t="s">
        <v>202</v>
      </c>
      <c r="G470" t="s">
        <v>203</v>
      </c>
      <c r="I470">
        <v>245420.7</v>
      </c>
      <c r="N470">
        <v>795</v>
      </c>
      <c r="AP470">
        <v>399</v>
      </c>
      <c r="AQ470">
        <v>396</v>
      </c>
      <c r="BJ470">
        <v>2</v>
      </c>
      <c r="BO470">
        <v>51</v>
      </c>
    </row>
    <row r="471" spans="1:67" x14ac:dyDescent="0.35">
      <c r="A471">
        <v>2013</v>
      </c>
      <c r="B471">
        <v>2013</v>
      </c>
      <c r="C471">
        <v>2013</v>
      </c>
      <c r="E471" t="s">
        <v>204</v>
      </c>
      <c r="F471" t="s">
        <v>205</v>
      </c>
      <c r="G471" t="s">
        <v>206</v>
      </c>
      <c r="I471">
        <v>22675.4</v>
      </c>
      <c r="N471">
        <v>295</v>
      </c>
      <c r="AP471">
        <v>11</v>
      </c>
      <c r="AQ471">
        <v>284</v>
      </c>
    </row>
    <row r="472" spans="1:67" x14ac:dyDescent="0.35">
      <c r="A472">
        <v>2013</v>
      </c>
      <c r="B472">
        <v>2013</v>
      </c>
      <c r="C472">
        <v>2013</v>
      </c>
      <c r="E472" t="s">
        <v>207</v>
      </c>
      <c r="F472" t="s">
        <v>208</v>
      </c>
      <c r="G472" t="s">
        <v>209</v>
      </c>
      <c r="I472">
        <v>1850826.3</v>
      </c>
    </row>
    <row r="473" spans="1:67" x14ac:dyDescent="0.35">
      <c r="A473">
        <v>2012</v>
      </c>
      <c r="B473">
        <v>2012</v>
      </c>
      <c r="C473">
        <v>2012</v>
      </c>
      <c r="E473" t="s">
        <v>69</v>
      </c>
      <c r="F473" t="s">
        <v>70</v>
      </c>
      <c r="G473" t="s">
        <v>71</v>
      </c>
      <c r="I473">
        <v>699018.1</v>
      </c>
      <c r="J473">
        <v>787</v>
      </c>
      <c r="M473">
        <v>6008</v>
      </c>
      <c r="N473">
        <v>4451</v>
      </c>
      <c r="O473">
        <v>38</v>
      </c>
      <c r="P473">
        <v>203</v>
      </c>
      <c r="U473">
        <v>2099</v>
      </c>
      <c r="AA473">
        <v>91</v>
      </c>
      <c r="AG473">
        <v>109</v>
      </c>
      <c r="AJ473">
        <v>458</v>
      </c>
      <c r="AN473">
        <v>787</v>
      </c>
      <c r="AR473">
        <v>4451</v>
      </c>
      <c r="AS473">
        <v>6008</v>
      </c>
      <c r="BG473">
        <v>148</v>
      </c>
    </row>
    <row r="474" spans="1:67" x14ac:dyDescent="0.35">
      <c r="A474">
        <v>2012</v>
      </c>
      <c r="B474">
        <v>2012</v>
      </c>
      <c r="C474">
        <v>2012</v>
      </c>
      <c r="E474" t="s">
        <v>72</v>
      </c>
      <c r="F474" t="s">
        <v>73</v>
      </c>
      <c r="G474" t="s">
        <v>74</v>
      </c>
      <c r="I474">
        <v>196643.20000000001</v>
      </c>
    </row>
    <row r="475" spans="1:67" x14ac:dyDescent="0.35">
      <c r="A475">
        <v>2012</v>
      </c>
      <c r="B475">
        <v>2012</v>
      </c>
      <c r="C475">
        <v>2012</v>
      </c>
      <c r="E475" t="s">
        <v>75</v>
      </c>
      <c r="F475" t="s">
        <v>76</v>
      </c>
      <c r="G475" t="s">
        <v>77</v>
      </c>
      <c r="I475">
        <v>6575.5</v>
      </c>
    </row>
    <row r="476" spans="1:67" x14ac:dyDescent="0.35">
      <c r="A476">
        <v>2012</v>
      </c>
      <c r="B476">
        <v>2012</v>
      </c>
      <c r="C476">
        <v>2012</v>
      </c>
      <c r="E476" t="s">
        <v>78</v>
      </c>
      <c r="F476" t="s">
        <v>79</v>
      </c>
      <c r="G476" t="s">
        <v>80</v>
      </c>
      <c r="I476">
        <v>3026941</v>
      </c>
    </row>
    <row r="477" spans="1:67" x14ac:dyDescent="0.35">
      <c r="A477">
        <v>2012</v>
      </c>
      <c r="B477">
        <v>2012</v>
      </c>
      <c r="C477">
        <v>2012</v>
      </c>
      <c r="E477" t="s">
        <v>81</v>
      </c>
      <c r="F477" t="s">
        <v>82</v>
      </c>
      <c r="G477" t="s">
        <v>83</v>
      </c>
      <c r="I477">
        <v>3248329.2</v>
      </c>
    </row>
    <row r="478" spans="1:67" x14ac:dyDescent="0.35">
      <c r="A478">
        <v>2012</v>
      </c>
      <c r="B478">
        <v>2012</v>
      </c>
      <c r="C478">
        <v>2012</v>
      </c>
      <c r="E478" t="s">
        <v>84</v>
      </c>
      <c r="F478" t="s">
        <v>85</v>
      </c>
      <c r="G478" t="s">
        <v>86</v>
      </c>
      <c r="I478">
        <v>6713643.7999999998</v>
      </c>
      <c r="BA478">
        <v>144</v>
      </c>
    </row>
    <row r="479" spans="1:67" x14ac:dyDescent="0.35">
      <c r="A479">
        <v>2012</v>
      </c>
      <c r="B479">
        <v>2012</v>
      </c>
      <c r="C479">
        <v>2012</v>
      </c>
      <c r="E479" t="s">
        <v>87</v>
      </c>
      <c r="F479" t="s">
        <v>88</v>
      </c>
      <c r="G479" t="s">
        <v>89</v>
      </c>
      <c r="I479">
        <v>59226.3</v>
      </c>
    </row>
    <row r="480" spans="1:67" x14ac:dyDescent="0.35">
      <c r="A480">
        <v>2012</v>
      </c>
      <c r="B480">
        <v>2012</v>
      </c>
      <c r="C480">
        <v>2012</v>
      </c>
      <c r="E480" t="s">
        <v>90</v>
      </c>
      <c r="F480" t="s">
        <v>91</v>
      </c>
      <c r="G480" t="s">
        <v>92</v>
      </c>
      <c r="I480">
        <v>140118.5</v>
      </c>
    </row>
    <row r="481" spans="1:68" x14ac:dyDescent="0.35">
      <c r="A481">
        <v>2012</v>
      </c>
      <c r="B481">
        <v>2012</v>
      </c>
      <c r="C481">
        <v>2012</v>
      </c>
      <c r="E481" t="s">
        <v>93</v>
      </c>
      <c r="F481" t="s">
        <v>94</v>
      </c>
      <c r="G481" t="s">
        <v>95</v>
      </c>
      <c r="I481">
        <v>32540</v>
      </c>
    </row>
    <row r="482" spans="1:68" x14ac:dyDescent="0.35">
      <c r="A482">
        <v>2012</v>
      </c>
      <c r="B482">
        <v>2012</v>
      </c>
      <c r="C482">
        <v>2012</v>
      </c>
      <c r="E482" t="s">
        <v>96</v>
      </c>
      <c r="F482" t="s">
        <v>97</v>
      </c>
      <c r="G482" t="s">
        <v>98</v>
      </c>
      <c r="I482">
        <v>58544.2</v>
      </c>
    </row>
    <row r="483" spans="1:68" x14ac:dyDescent="0.35">
      <c r="A483">
        <v>2012</v>
      </c>
      <c r="B483">
        <v>2012</v>
      </c>
      <c r="C483">
        <v>2012</v>
      </c>
      <c r="E483" t="s">
        <v>99</v>
      </c>
      <c r="F483" t="s">
        <v>100</v>
      </c>
      <c r="G483" t="s">
        <v>101</v>
      </c>
      <c r="I483">
        <v>944686.2</v>
      </c>
    </row>
    <row r="484" spans="1:68" x14ac:dyDescent="0.35">
      <c r="A484">
        <v>2012</v>
      </c>
      <c r="B484">
        <v>2012</v>
      </c>
      <c r="C484">
        <v>2012</v>
      </c>
      <c r="E484" t="s">
        <v>102</v>
      </c>
      <c r="F484" t="s">
        <v>103</v>
      </c>
      <c r="G484" t="s">
        <v>104</v>
      </c>
      <c r="I484">
        <v>1060133.3</v>
      </c>
    </row>
    <row r="485" spans="1:68" x14ac:dyDescent="0.35">
      <c r="A485">
        <v>2012</v>
      </c>
      <c r="B485">
        <v>2012</v>
      </c>
      <c r="C485">
        <v>2012</v>
      </c>
      <c r="E485" t="s">
        <v>105</v>
      </c>
      <c r="F485" t="s">
        <v>106</v>
      </c>
      <c r="G485" t="s">
        <v>107</v>
      </c>
      <c r="I485">
        <v>376547.2</v>
      </c>
      <c r="M485">
        <v>5138</v>
      </c>
      <c r="N485">
        <v>1480</v>
      </c>
      <c r="AG485">
        <v>241</v>
      </c>
      <c r="AJ485">
        <v>845</v>
      </c>
      <c r="AR485">
        <v>1480</v>
      </c>
      <c r="AS485">
        <v>5138</v>
      </c>
      <c r="AY485">
        <v>26</v>
      </c>
    </row>
    <row r="486" spans="1:68" x14ac:dyDescent="0.35">
      <c r="A486">
        <v>2012</v>
      </c>
      <c r="B486">
        <v>2012</v>
      </c>
      <c r="C486">
        <v>2012</v>
      </c>
      <c r="E486" t="s">
        <v>108</v>
      </c>
      <c r="F486" t="s">
        <v>109</v>
      </c>
      <c r="G486" t="s">
        <v>110</v>
      </c>
      <c r="I486">
        <v>59490.1</v>
      </c>
      <c r="J486">
        <v>819</v>
      </c>
      <c r="M486">
        <v>5816</v>
      </c>
      <c r="O486">
        <v>55</v>
      </c>
      <c r="U486">
        <v>166</v>
      </c>
      <c r="AN486">
        <v>819</v>
      </c>
      <c r="AS486">
        <v>5816</v>
      </c>
    </row>
    <row r="487" spans="1:68" x14ac:dyDescent="0.35">
      <c r="A487">
        <v>2012</v>
      </c>
      <c r="B487">
        <v>2012</v>
      </c>
      <c r="C487">
        <v>2012</v>
      </c>
      <c r="E487" t="s">
        <v>111</v>
      </c>
      <c r="F487" t="s">
        <v>112</v>
      </c>
      <c r="G487" t="s">
        <v>113</v>
      </c>
      <c r="I487">
        <v>423678.2</v>
      </c>
      <c r="J487">
        <v>498</v>
      </c>
      <c r="K487">
        <v>475</v>
      </c>
      <c r="M487">
        <v>6486</v>
      </c>
      <c r="N487">
        <v>16</v>
      </c>
      <c r="P487">
        <v>4</v>
      </c>
      <c r="AQ487">
        <v>16</v>
      </c>
      <c r="AT487">
        <v>3643</v>
      </c>
      <c r="AU487">
        <v>2843</v>
      </c>
      <c r="BN487">
        <v>23</v>
      </c>
    </row>
    <row r="488" spans="1:68" x14ac:dyDescent="0.35">
      <c r="A488">
        <v>2012</v>
      </c>
      <c r="B488">
        <v>2012</v>
      </c>
      <c r="C488">
        <v>2012</v>
      </c>
      <c r="E488" t="s">
        <v>114</v>
      </c>
      <c r="F488" t="s">
        <v>115</v>
      </c>
      <c r="G488" t="s">
        <v>116</v>
      </c>
      <c r="I488">
        <v>11441.9</v>
      </c>
      <c r="J488">
        <v>260</v>
      </c>
      <c r="M488">
        <v>551</v>
      </c>
      <c r="AN488">
        <v>260</v>
      </c>
      <c r="AS488">
        <v>551</v>
      </c>
    </row>
    <row r="489" spans="1:68" x14ac:dyDescent="0.35">
      <c r="A489">
        <v>2012</v>
      </c>
      <c r="B489">
        <v>2012</v>
      </c>
      <c r="C489">
        <v>2012</v>
      </c>
      <c r="E489" t="s">
        <v>117</v>
      </c>
      <c r="F489" t="s">
        <v>118</v>
      </c>
      <c r="G489" t="s">
        <v>119</v>
      </c>
      <c r="I489">
        <v>791411.5</v>
      </c>
    </row>
    <row r="490" spans="1:68" x14ac:dyDescent="0.35">
      <c r="A490">
        <v>2012</v>
      </c>
      <c r="B490">
        <v>2012</v>
      </c>
      <c r="C490">
        <v>2012</v>
      </c>
      <c r="E490" t="s">
        <v>120</v>
      </c>
      <c r="F490" t="s">
        <v>121</v>
      </c>
      <c r="G490" t="s">
        <v>122</v>
      </c>
      <c r="I490">
        <v>579359.69999999995</v>
      </c>
      <c r="J490">
        <v>528</v>
      </c>
      <c r="M490">
        <v>3141</v>
      </c>
      <c r="N490">
        <v>416</v>
      </c>
      <c r="P490">
        <v>68</v>
      </c>
      <c r="AN490">
        <v>528</v>
      </c>
      <c r="AR490">
        <v>416</v>
      </c>
      <c r="AS490">
        <v>3141</v>
      </c>
    </row>
    <row r="491" spans="1:68" x14ac:dyDescent="0.35">
      <c r="A491">
        <v>2012</v>
      </c>
      <c r="B491">
        <v>2012</v>
      </c>
      <c r="C491">
        <v>2012</v>
      </c>
      <c r="E491" t="s">
        <v>123</v>
      </c>
      <c r="F491" t="s">
        <v>124</v>
      </c>
      <c r="G491" t="s">
        <v>125</v>
      </c>
      <c r="I491">
        <v>808861.1</v>
      </c>
    </row>
    <row r="492" spans="1:68" x14ac:dyDescent="0.35">
      <c r="A492">
        <v>2012</v>
      </c>
      <c r="B492">
        <v>2012</v>
      </c>
      <c r="C492">
        <v>2012</v>
      </c>
      <c r="E492" t="s">
        <v>126</v>
      </c>
      <c r="F492" t="s">
        <v>127</v>
      </c>
      <c r="G492" t="s">
        <v>128</v>
      </c>
      <c r="I492">
        <v>42828</v>
      </c>
    </row>
    <row r="493" spans="1:68" x14ac:dyDescent="0.35">
      <c r="A493">
        <v>2012</v>
      </c>
      <c r="B493">
        <v>2012</v>
      </c>
      <c r="C493">
        <v>2012</v>
      </c>
      <c r="E493" t="s">
        <v>129</v>
      </c>
      <c r="F493" t="s">
        <v>130</v>
      </c>
      <c r="G493" t="s">
        <v>131</v>
      </c>
      <c r="I493">
        <v>81185.8</v>
      </c>
      <c r="M493">
        <v>2386</v>
      </c>
      <c r="AS493">
        <v>2386</v>
      </c>
      <c r="BM493">
        <v>127</v>
      </c>
      <c r="BP493">
        <v>656</v>
      </c>
    </row>
    <row r="494" spans="1:68" x14ac:dyDescent="0.35">
      <c r="A494">
        <v>2012</v>
      </c>
      <c r="B494">
        <v>2012</v>
      </c>
      <c r="C494">
        <v>2012</v>
      </c>
      <c r="E494" t="s">
        <v>132</v>
      </c>
      <c r="F494" t="s">
        <v>133</v>
      </c>
      <c r="G494" t="s">
        <v>134</v>
      </c>
      <c r="I494">
        <v>867829</v>
      </c>
      <c r="J494">
        <v>2486</v>
      </c>
      <c r="AN494">
        <v>2486</v>
      </c>
    </row>
    <row r="495" spans="1:68" x14ac:dyDescent="0.35">
      <c r="A495">
        <v>2012</v>
      </c>
      <c r="B495">
        <v>2012</v>
      </c>
      <c r="C495">
        <v>2012</v>
      </c>
      <c r="E495" t="s">
        <v>135</v>
      </c>
      <c r="F495" t="s">
        <v>136</v>
      </c>
      <c r="G495" t="s">
        <v>137</v>
      </c>
      <c r="I495">
        <v>399755.3</v>
      </c>
    </row>
    <row r="496" spans="1:68" x14ac:dyDescent="0.35">
      <c r="A496">
        <v>2012</v>
      </c>
      <c r="B496">
        <v>2012</v>
      </c>
      <c r="C496">
        <v>2012</v>
      </c>
      <c r="E496" t="s">
        <v>138</v>
      </c>
      <c r="F496" t="s">
        <v>139</v>
      </c>
      <c r="G496" t="s">
        <v>140</v>
      </c>
      <c r="I496">
        <v>60700.6</v>
      </c>
    </row>
    <row r="497" spans="1:67" x14ac:dyDescent="0.35">
      <c r="A497">
        <v>2012</v>
      </c>
      <c r="B497">
        <v>2012</v>
      </c>
      <c r="C497">
        <v>2012</v>
      </c>
      <c r="E497" t="s">
        <v>141</v>
      </c>
      <c r="F497" t="s">
        <v>142</v>
      </c>
      <c r="G497" t="s">
        <v>143</v>
      </c>
      <c r="I497">
        <v>1436441.7</v>
      </c>
      <c r="J497">
        <v>8092</v>
      </c>
      <c r="M497">
        <v>61769</v>
      </c>
      <c r="O497">
        <v>985</v>
      </c>
      <c r="P497">
        <v>2076</v>
      </c>
      <c r="AN497">
        <v>8092</v>
      </c>
      <c r="AS497">
        <v>61769</v>
      </c>
    </row>
    <row r="498" spans="1:67" x14ac:dyDescent="0.35">
      <c r="A498">
        <v>2012</v>
      </c>
      <c r="B498">
        <v>2012</v>
      </c>
      <c r="C498">
        <v>2012</v>
      </c>
      <c r="E498" t="s">
        <v>144</v>
      </c>
      <c r="F498" t="s">
        <v>145</v>
      </c>
      <c r="G498" t="s">
        <v>146</v>
      </c>
      <c r="I498">
        <v>155206.70000000001</v>
      </c>
    </row>
    <row r="499" spans="1:67" x14ac:dyDescent="0.35">
      <c r="A499">
        <v>2012</v>
      </c>
      <c r="B499">
        <v>2012</v>
      </c>
      <c r="C499">
        <v>2012</v>
      </c>
      <c r="E499" t="s">
        <v>147</v>
      </c>
      <c r="F499" t="s">
        <v>148</v>
      </c>
      <c r="G499" t="s">
        <v>149</v>
      </c>
      <c r="I499">
        <v>778427</v>
      </c>
      <c r="J499">
        <v>3188</v>
      </c>
      <c r="M499">
        <v>3383</v>
      </c>
      <c r="N499">
        <v>1475</v>
      </c>
      <c r="O499">
        <v>181</v>
      </c>
      <c r="P499">
        <v>6</v>
      </c>
      <c r="AA499">
        <v>755</v>
      </c>
      <c r="AN499">
        <v>3188</v>
      </c>
      <c r="AR499">
        <v>1475</v>
      </c>
      <c r="AS499">
        <v>3383</v>
      </c>
    </row>
    <row r="500" spans="1:67" x14ac:dyDescent="0.35">
      <c r="A500">
        <v>2012</v>
      </c>
      <c r="B500">
        <v>2012</v>
      </c>
      <c r="C500">
        <v>2012</v>
      </c>
      <c r="E500" t="s">
        <v>150</v>
      </c>
      <c r="F500" t="s">
        <v>151</v>
      </c>
      <c r="G500" t="s">
        <v>152</v>
      </c>
      <c r="I500">
        <v>595474.80000000005</v>
      </c>
    </row>
    <row r="501" spans="1:67" x14ac:dyDescent="0.35">
      <c r="A501">
        <v>2012</v>
      </c>
      <c r="B501">
        <v>2012</v>
      </c>
      <c r="C501">
        <v>2012</v>
      </c>
      <c r="E501" t="s">
        <v>153</v>
      </c>
      <c r="F501" t="s">
        <v>154</v>
      </c>
      <c r="G501" t="s">
        <v>155</v>
      </c>
      <c r="I501">
        <v>725926.6</v>
      </c>
      <c r="J501">
        <v>1704</v>
      </c>
      <c r="M501">
        <v>4257</v>
      </c>
      <c r="N501">
        <v>1770</v>
      </c>
      <c r="AN501">
        <v>1704</v>
      </c>
      <c r="AR501">
        <v>1770</v>
      </c>
      <c r="AS501">
        <v>4257</v>
      </c>
      <c r="BJ501">
        <v>7</v>
      </c>
      <c r="BO501">
        <v>110</v>
      </c>
    </row>
    <row r="502" spans="1:67" x14ac:dyDescent="0.35">
      <c r="A502">
        <v>2012</v>
      </c>
      <c r="B502">
        <v>2012</v>
      </c>
      <c r="C502">
        <v>2012</v>
      </c>
      <c r="E502" t="s">
        <v>156</v>
      </c>
      <c r="F502" t="s">
        <v>157</v>
      </c>
      <c r="G502" t="s">
        <v>158</v>
      </c>
      <c r="I502">
        <v>16273.7</v>
      </c>
      <c r="J502">
        <v>1722</v>
      </c>
      <c r="M502">
        <v>3737</v>
      </c>
      <c r="O502">
        <v>301</v>
      </c>
      <c r="P502">
        <v>432</v>
      </c>
      <c r="AN502">
        <v>1722</v>
      </c>
      <c r="AS502">
        <v>3737</v>
      </c>
    </row>
    <row r="503" spans="1:67" x14ac:dyDescent="0.35">
      <c r="A503">
        <v>2012</v>
      </c>
      <c r="B503">
        <v>2012</v>
      </c>
      <c r="C503">
        <v>2012</v>
      </c>
      <c r="E503" t="s">
        <v>159</v>
      </c>
      <c r="F503" t="s">
        <v>160</v>
      </c>
      <c r="G503" t="s">
        <v>161</v>
      </c>
      <c r="I503">
        <v>970830.3</v>
      </c>
      <c r="J503">
        <v>1358</v>
      </c>
      <c r="M503">
        <v>5826</v>
      </c>
      <c r="N503">
        <v>4261</v>
      </c>
      <c r="O503">
        <v>69</v>
      </c>
      <c r="P503">
        <v>72</v>
      </c>
      <c r="U503">
        <v>1213</v>
      </c>
      <c r="V503">
        <v>305</v>
      </c>
      <c r="W503">
        <v>33</v>
      </c>
      <c r="AG503">
        <v>267</v>
      </c>
      <c r="AJ503">
        <v>1425</v>
      </c>
      <c r="AN503">
        <v>1358</v>
      </c>
      <c r="AR503">
        <v>4261</v>
      </c>
      <c r="AS503">
        <v>5826</v>
      </c>
      <c r="AZ503">
        <v>76</v>
      </c>
      <c r="BG503">
        <v>1390</v>
      </c>
      <c r="BH503">
        <v>281</v>
      </c>
    </row>
    <row r="504" spans="1:67" x14ac:dyDescent="0.35">
      <c r="A504">
        <v>2012</v>
      </c>
      <c r="B504">
        <v>2012</v>
      </c>
      <c r="C504">
        <v>2012</v>
      </c>
      <c r="E504" t="s">
        <v>162</v>
      </c>
      <c r="F504" t="s">
        <v>163</v>
      </c>
      <c r="G504" t="s">
        <v>164</v>
      </c>
      <c r="I504">
        <v>66722.8</v>
      </c>
    </row>
    <row r="505" spans="1:67" x14ac:dyDescent="0.35">
      <c r="A505">
        <v>2012</v>
      </c>
      <c r="B505">
        <v>2012</v>
      </c>
      <c r="C505">
        <v>2012</v>
      </c>
      <c r="E505" t="s">
        <v>165</v>
      </c>
      <c r="F505" t="s">
        <v>166</v>
      </c>
      <c r="G505" t="s">
        <v>167</v>
      </c>
      <c r="I505">
        <v>352562.3</v>
      </c>
    </row>
    <row r="506" spans="1:67" x14ac:dyDescent="0.35">
      <c r="A506">
        <v>2012</v>
      </c>
      <c r="B506">
        <v>2012</v>
      </c>
      <c r="C506">
        <v>2012</v>
      </c>
      <c r="E506" t="s">
        <v>168</v>
      </c>
      <c r="F506" t="s">
        <v>169</v>
      </c>
      <c r="G506" t="s">
        <v>170</v>
      </c>
      <c r="I506">
        <v>485442.2</v>
      </c>
    </row>
    <row r="507" spans="1:67" x14ac:dyDescent="0.35">
      <c r="A507">
        <v>2012</v>
      </c>
      <c r="B507">
        <v>2012</v>
      </c>
      <c r="C507">
        <v>2012</v>
      </c>
      <c r="E507" t="s">
        <v>171</v>
      </c>
      <c r="F507" t="s">
        <v>172</v>
      </c>
      <c r="G507" t="s">
        <v>173</v>
      </c>
      <c r="I507">
        <v>1803.6</v>
      </c>
      <c r="J507">
        <v>93</v>
      </c>
      <c r="M507">
        <v>419</v>
      </c>
      <c r="O507">
        <v>14</v>
      </c>
      <c r="P507">
        <v>4</v>
      </c>
      <c r="AN507">
        <v>93</v>
      </c>
      <c r="AS507">
        <v>419</v>
      </c>
    </row>
    <row r="508" spans="1:67" x14ac:dyDescent="0.35">
      <c r="A508">
        <v>2012</v>
      </c>
      <c r="B508">
        <v>2012</v>
      </c>
      <c r="C508">
        <v>2012</v>
      </c>
      <c r="E508" t="s">
        <v>174</v>
      </c>
      <c r="F508" t="s">
        <v>175</v>
      </c>
      <c r="G508" t="s">
        <v>176</v>
      </c>
      <c r="I508">
        <v>243297.8</v>
      </c>
      <c r="AY508">
        <v>3</v>
      </c>
      <c r="BO508">
        <v>5</v>
      </c>
    </row>
    <row r="509" spans="1:67" x14ac:dyDescent="0.35">
      <c r="A509">
        <v>2012</v>
      </c>
      <c r="B509">
        <v>2012</v>
      </c>
      <c r="C509">
        <v>2012</v>
      </c>
      <c r="E509" t="s">
        <v>177</v>
      </c>
      <c r="F509" t="s">
        <v>178</v>
      </c>
      <c r="G509" t="s">
        <v>179</v>
      </c>
      <c r="I509">
        <v>1201525.5</v>
      </c>
      <c r="M509">
        <v>58722</v>
      </c>
      <c r="O509">
        <v>5554</v>
      </c>
      <c r="P509">
        <v>13642</v>
      </c>
      <c r="R509">
        <v>61920</v>
      </c>
      <c r="S509">
        <v>2285</v>
      </c>
      <c r="T509">
        <v>1</v>
      </c>
      <c r="V509">
        <v>4104</v>
      </c>
      <c r="AB509">
        <v>3255</v>
      </c>
      <c r="AG509">
        <v>8095</v>
      </c>
      <c r="AJ509">
        <v>171</v>
      </c>
      <c r="AK509">
        <v>133</v>
      </c>
      <c r="AS509">
        <v>58722</v>
      </c>
      <c r="AZ509">
        <v>3453</v>
      </c>
      <c r="BD509">
        <v>90</v>
      </c>
      <c r="BG509">
        <v>7320</v>
      </c>
      <c r="BI509">
        <v>7791</v>
      </c>
    </row>
    <row r="510" spans="1:67" x14ac:dyDescent="0.35">
      <c r="A510">
        <v>2012</v>
      </c>
      <c r="B510">
        <v>2012</v>
      </c>
      <c r="C510">
        <v>2012</v>
      </c>
      <c r="E510" t="s">
        <v>180</v>
      </c>
      <c r="F510" t="s">
        <v>181</v>
      </c>
      <c r="G510" t="s">
        <v>182</v>
      </c>
      <c r="I510">
        <v>408449.5</v>
      </c>
    </row>
    <row r="511" spans="1:67" x14ac:dyDescent="0.35">
      <c r="A511">
        <v>2012</v>
      </c>
      <c r="B511">
        <v>2012</v>
      </c>
      <c r="C511">
        <v>2012</v>
      </c>
      <c r="E511" t="s">
        <v>183</v>
      </c>
      <c r="F511" t="s">
        <v>184</v>
      </c>
      <c r="G511" t="s">
        <v>185</v>
      </c>
      <c r="I511">
        <v>174681.1</v>
      </c>
    </row>
    <row r="512" spans="1:67" x14ac:dyDescent="0.35">
      <c r="A512">
        <v>2012</v>
      </c>
      <c r="B512">
        <v>2012</v>
      </c>
      <c r="C512">
        <v>2012</v>
      </c>
      <c r="E512" t="s">
        <v>186</v>
      </c>
      <c r="F512" t="s">
        <v>187</v>
      </c>
      <c r="G512" t="s">
        <v>188</v>
      </c>
      <c r="I512">
        <v>819636.9</v>
      </c>
      <c r="J512">
        <v>952</v>
      </c>
      <c r="N512">
        <v>894</v>
      </c>
      <c r="P512">
        <v>53</v>
      </c>
      <c r="AN512">
        <v>952</v>
      </c>
      <c r="AR512">
        <v>894</v>
      </c>
    </row>
    <row r="513" spans="1:68" x14ac:dyDescent="0.35">
      <c r="A513">
        <v>2012</v>
      </c>
      <c r="B513">
        <v>2012</v>
      </c>
      <c r="C513">
        <v>2012</v>
      </c>
      <c r="E513" t="s">
        <v>189</v>
      </c>
      <c r="F513" t="s">
        <v>190</v>
      </c>
      <c r="G513" t="s">
        <v>191</v>
      </c>
      <c r="I513">
        <v>1402343.9</v>
      </c>
      <c r="J513">
        <v>3370</v>
      </c>
      <c r="M513">
        <v>40816</v>
      </c>
      <c r="P513">
        <v>550</v>
      </c>
      <c r="AN513">
        <v>3370</v>
      </c>
      <c r="AS513">
        <v>40816</v>
      </c>
      <c r="BG513">
        <v>650</v>
      </c>
      <c r="BL513">
        <v>6046</v>
      </c>
      <c r="BP513">
        <v>19791</v>
      </c>
    </row>
    <row r="514" spans="1:68" x14ac:dyDescent="0.35">
      <c r="A514">
        <v>2012</v>
      </c>
      <c r="B514">
        <v>2012</v>
      </c>
      <c r="C514">
        <v>2012</v>
      </c>
      <c r="E514" t="s">
        <v>192</v>
      </c>
      <c r="F514" t="s">
        <v>193</v>
      </c>
      <c r="G514" t="s">
        <v>194</v>
      </c>
      <c r="I514">
        <v>581879</v>
      </c>
      <c r="P514">
        <v>409</v>
      </c>
      <c r="R514">
        <v>17</v>
      </c>
      <c r="V514">
        <v>282</v>
      </c>
      <c r="W514">
        <v>42</v>
      </c>
      <c r="AB514">
        <v>566</v>
      </c>
      <c r="AG514">
        <v>500</v>
      </c>
      <c r="AJ514">
        <v>1126</v>
      </c>
      <c r="AK514">
        <v>184</v>
      </c>
      <c r="AL514">
        <v>11</v>
      </c>
      <c r="AX514">
        <v>49</v>
      </c>
      <c r="AY514">
        <v>46</v>
      </c>
      <c r="AZ514">
        <v>18</v>
      </c>
      <c r="BA514">
        <v>13</v>
      </c>
      <c r="BD514">
        <v>3141</v>
      </c>
      <c r="BG514">
        <v>814</v>
      </c>
      <c r="BH514">
        <v>70</v>
      </c>
      <c r="BI514">
        <v>415</v>
      </c>
      <c r="BO514">
        <v>97</v>
      </c>
    </row>
    <row r="515" spans="1:68" x14ac:dyDescent="0.35">
      <c r="A515">
        <v>2012</v>
      </c>
      <c r="B515">
        <v>2012</v>
      </c>
      <c r="C515">
        <v>2012</v>
      </c>
      <c r="E515" t="s">
        <v>195</v>
      </c>
      <c r="F515" t="s">
        <v>196</v>
      </c>
      <c r="G515" t="s">
        <v>197</v>
      </c>
      <c r="I515">
        <v>481316.8</v>
      </c>
      <c r="J515">
        <v>1059</v>
      </c>
      <c r="M515">
        <v>15536</v>
      </c>
      <c r="O515">
        <v>233</v>
      </c>
      <c r="P515">
        <v>378</v>
      </c>
      <c r="Q515">
        <v>5226</v>
      </c>
      <c r="AB515">
        <v>1905</v>
      </c>
      <c r="AG515">
        <v>233</v>
      </c>
      <c r="AK515">
        <v>352</v>
      </c>
      <c r="AL515">
        <v>27</v>
      </c>
      <c r="AN515">
        <v>1059</v>
      </c>
      <c r="AS515">
        <v>15536</v>
      </c>
      <c r="AX515">
        <v>855</v>
      </c>
      <c r="BH515">
        <v>377</v>
      </c>
    </row>
    <row r="516" spans="1:68" x14ac:dyDescent="0.35">
      <c r="A516">
        <v>2012</v>
      </c>
      <c r="B516">
        <v>2012</v>
      </c>
      <c r="C516">
        <v>2012</v>
      </c>
      <c r="E516" t="s">
        <v>198</v>
      </c>
      <c r="F516" t="s">
        <v>199</v>
      </c>
      <c r="G516" t="s">
        <v>200</v>
      </c>
      <c r="I516">
        <v>105648.1</v>
      </c>
      <c r="J516">
        <v>153</v>
      </c>
      <c r="AN516">
        <v>153</v>
      </c>
      <c r="BJ516">
        <v>21</v>
      </c>
      <c r="BO516">
        <v>62</v>
      </c>
    </row>
    <row r="517" spans="1:68" x14ac:dyDescent="0.35">
      <c r="A517">
        <v>2012</v>
      </c>
      <c r="B517">
        <v>2012</v>
      </c>
      <c r="C517">
        <v>2012</v>
      </c>
      <c r="E517" t="s">
        <v>201</v>
      </c>
      <c r="F517" t="s">
        <v>202</v>
      </c>
      <c r="G517" t="s">
        <v>203</v>
      </c>
      <c r="I517">
        <v>243236.1</v>
      </c>
      <c r="BJ517">
        <v>3</v>
      </c>
      <c r="BO517">
        <v>46</v>
      </c>
    </row>
    <row r="518" spans="1:68" x14ac:dyDescent="0.35">
      <c r="A518">
        <v>2012</v>
      </c>
      <c r="B518">
        <v>2012</v>
      </c>
      <c r="C518">
        <v>2012</v>
      </c>
      <c r="E518" t="s">
        <v>204</v>
      </c>
      <c r="F518" t="s">
        <v>205</v>
      </c>
      <c r="G518" t="s">
        <v>206</v>
      </c>
      <c r="I518">
        <v>22453.8</v>
      </c>
      <c r="J518">
        <v>123</v>
      </c>
      <c r="N518">
        <v>667</v>
      </c>
      <c r="O518">
        <v>18</v>
      </c>
      <c r="P518">
        <v>16</v>
      </c>
      <c r="AJ518">
        <v>86</v>
      </c>
      <c r="AN518">
        <v>123</v>
      </c>
      <c r="AR518">
        <v>667</v>
      </c>
    </row>
    <row r="519" spans="1:68" x14ac:dyDescent="0.35">
      <c r="A519">
        <v>2012</v>
      </c>
      <c r="B519">
        <v>2012</v>
      </c>
      <c r="C519">
        <v>2012</v>
      </c>
      <c r="E519" t="s">
        <v>207</v>
      </c>
      <c r="F519" t="s">
        <v>208</v>
      </c>
      <c r="G519" t="s">
        <v>209</v>
      </c>
      <c r="I519">
        <v>1802575.6</v>
      </c>
      <c r="J519">
        <v>1481</v>
      </c>
      <c r="M519">
        <v>20800</v>
      </c>
      <c r="O519">
        <v>99</v>
      </c>
      <c r="P519">
        <v>339</v>
      </c>
      <c r="Q519">
        <v>317</v>
      </c>
      <c r="T519">
        <v>28</v>
      </c>
      <c r="V519">
        <v>366</v>
      </c>
      <c r="W519">
        <v>44</v>
      </c>
      <c r="AB519">
        <v>929</v>
      </c>
      <c r="AG519">
        <v>223</v>
      </c>
      <c r="AJ519">
        <v>1997</v>
      </c>
      <c r="AK519">
        <v>89</v>
      </c>
      <c r="AL519">
        <v>16</v>
      </c>
      <c r="AM519">
        <v>470</v>
      </c>
      <c r="AN519">
        <v>1481</v>
      </c>
      <c r="AS519">
        <v>20800</v>
      </c>
      <c r="AX519">
        <v>65</v>
      </c>
      <c r="AZ519">
        <v>82</v>
      </c>
      <c r="BD519">
        <v>8787</v>
      </c>
      <c r="BG519">
        <v>317</v>
      </c>
      <c r="BH519">
        <v>118</v>
      </c>
      <c r="BI519">
        <v>12</v>
      </c>
    </row>
  </sheetData>
  <hyperlinks>
    <hyperlink ref="A1" location="Home!A1" display="HOME" xr:uid="{DD168AAF-A0F1-4C08-846D-F3424D3B2488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66"/>
  <sheetViews>
    <sheetView workbookViewId="0">
      <pane xSplit="1" ySplit="3" topLeftCell="AK4" activePane="bottomRight" state="frozen"/>
      <selection activeCell="J31" sqref="J31"/>
      <selection pane="topRight" activeCell="J31" sqref="J31"/>
      <selection pane="bottomLeft" activeCell="J31" sqref="J31"/>
      <selection pane="bottomRight" activeCell="AK1" sqref="AK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t="s">
        <v>330</v>
      </c>
      <c r="AK1" s="29" t="s">
        <v>376</v>
      </c>
    </row>
    <row r="2" spans="1:48" x14ac:dyDescent="0.35">
      <c r="B2" t="s">
        <v>70</v>
      </c>
      <c r="C2" t="s">
        <v>270</v>
      </c>
      <c r="D2" t="s">
        <v>272</v>
      </c>
      <c r="E2" t="s">
        <v>271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  <c r="L2" t="s">
        <v>279</v>
      </c>
      <c r="M2" t="s">
        <v>280</v>
      </c>
      <c r="N2" t="s">
        <v>281</v>
      </c>
      <c r="O2" t="s">
        <v>282</v>
      </c>
      <c r="P2" t="s">
        <v>283</v>
      </c>
      <c r="Q2" t="s">
        <v>284</v>
      </c>
      <c r="R2" t="s">
        <v>285</v>
      </c>
      <c r="S2" t="s">
        <v>286</v>
      </c>
      <c r="T2" t="s">
        <v>287</v>
      </c>
      <c r="U2" t="s">
        <v>288</v>
      </c>
      <c r="V2" t="s">
        <v>289</v>
      </c>
      <c r="W2" t="s">
        <v>290</v>
      </c>
      <c r="X2" t="s">
        <v>291</v>
      </c>
      <c r="Y2" t="s">
        <v>292</v>
      </c>
      <c r="Z2" t="s">
        <v>293</v>
      </c>
      <c r="AA2" t="s">
        <v>294</v>
      </c>
      <c r="AB2" t="s">
        <v>295</v>
      </c>
      <c r="AC2" t="s">
        <v>296</v>
      </c>
      <c r="AD2" t="s">
        <v>297</v>
      </c>
      <c r="AE2" t="s">
        <v>298</v>
      </c>
      <c r="AF2" t="s">
        <v>299</v>
      </c>
      <c r="AG2" t="s">
        <v>300</v>
      </c>
      <c r="AH2" t="s">
        <v>301</v>
      </c>
      <c r="AI2" t="s">
        <v>302</v>
      </c>
      <c r="AJ2" t="s">
        <v>303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 t="s">
        <v>313</v>
      </c>
      <c r="AU2" t="s">
        <v>314</v>
      </c>
      <c r="AV2" t="s">
        <v>315</v>
      </c>
    </row>
    <row r="3" spans="1:48" x14ac:dyDescent="0.35">
      <c r="A3" s="10" t="s">
        <v>319</v>
      </c>
      <c r="B3" t="s">
        <v>71</v>
      </c>
      <c r="C3" t="s">
        <v>74</v>
      </c>
      <c r="D3" t="s">
        <v>77</v>
      </c>
      <c r="E3" t="s">
        <v>80</v>
      </c>
      <c r="F3" t="s">
        <v>83</v>
      </c>
      <c r="G3" t="s">
        <v>86</v>
      </c>
      <c r="H3" t="s">
        <v>89</v>
      </c>
      <c r="I3" t="s">
        <v>92</v>
      </c>
      <c r="J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119</v>
      </c>
      <c r="S3" t="s">
        <v>122</v>
      </c>
      <c r="T3" t="s">
        <v>125</v>
      </c>
      <c r="U3" t="s">
        <v>128</v>
      </c>
      <c r="V3" t="s">
        <v>131</v>
      </c>
      <c r="W3" t="s">
        <v>134</v>
      </c>
      <c r="X3" t="s">
        <v>137</v>
      </c>
      <c r="Y3" t="s">
        <v>140</v>
      </c>
      <c r="Z3" t="s">
        <v>143</v>
      </c>
      <c r="AA3" t="s">
        <v>146</v>
      </c>
      <c r="AB3" t="s">
        <v>149</v>
      </c>
      <c r="AC3" t="s">
        <v>152</v>
      </c>
      <c r="AD3" t="s">
        <v>155</v>
      </c>
      <c r="AE3" t="s">
        <v>158</v>
      </c>
      <c r="AF3" t="s">
        <v>161</v>
      </c>
      <c r="AG3" t="s">
        <v>164</v>
      </c>
      <c r="AH3" t="s">
        <v>167</v>
      </c>
      <c r="AI3" t="s">
        <v>170</v>
      </c>
      <c r="AJ3" t="s">
        <v>173</v>
      </c>
      <c r="AK3" t="s">
        <v>176</v>
      </c>
      <c r="AL3" t="s">
        <v>179</v>
      </c>
      <c r="AM3" t="s">
        <v>182</v>
      </c>
      <c r="AN3" t="s">
        <v>185</v>
      </c>
      <c r="AO3" t="s">
        <v>188</v>
      </c>
      <c r="AP3" t="s">
        <v>191</v>
      </c>
      <c r="AQ3" t="s">
        <v>194</v>
      </c>
      <c r="AR3" t="s">
        <v>197</v>
      </c>
      <c r="AS3" t="s">
        <v>200</v>
      </c>
      <c r="AT3" t="s">
        <v>203</v>
      </c>
      <c r="AU3" t="s">
        <v>206</v>
      </c>
      <c r="AV3" t="s">
        <v>209</v>
      </c>
    </row>
    <row r="4" spans="1:48" x14ac:dyDescent="0.35">
      <c r="A4" t="s">
        <v>212</v>
      </c>
      <c r="B4" s="15">
        <v>3323</v>
      </c>
      <c r="C4" s="15"/>
      <c r="D4" s="15"/>
      <c r="E4" s="15">
        <v>18493</v>
      </c>
      <c r="F4" s="15">
        <v>13327</v>
      </c>
      <c r="G4" s="15">
        <v>86181</v>
      </c>
      <c r="H4" s="15">
        <v>1139</v>
      </c>
      <c r="I4" s="15">
        <v>1118</v>
      </c>
      <c r="J4" s="15">
        <v>1912</v>
      </c>
      <c r="K4" s="15">
        <v>347</v>
      </c>
      <c r="L4" s="15"/>
      <c r="M4" s="15">
        <v>8693</v>
      </c>
      <c r="N4" s="15">
        <v>2608</v>
      </c>
      <c r="O4" s="15">
        <v>992</v>
      </c>
      <c r="P4" s="15"/>
      <c r="Q4" s="15">
        <v>2644</v>
      </c>
      <c r="R4" s="15">
        <v>3759</v>
      </c>
      <c r="S4" s="15">
        <v>1507</v>
      </c>
      <c r="T4" s="15">
        <v>4930</v>
      </c>
      <c r="U4" s="15">
        <v>239</v>
      </c>
      <c r="V4" s="15"/>
      <c r="W4" s="15">
        <v>4726</v>
      </c>
      <c r="X4" s="15">
        <v>297</v>
      </c>
      <c r="Y4" s="15">
        <v>438</v>
      </c>
      <c r="Z4" s="15">
        <v>5517</v>
      </c>
      <c r="AA4" s="15">
        <v>954</v>
      </c>
      <c r="AB4" s="15"/>
      <c r="AC4" s="15">
        <v>996</v>
      </c>
      <c r="AD4" s="15">
        <v>4402</v>
      </c>
      <c r="AE4" s="15">
        <v>1555</v>
      </c>
      <c r="AF4" s="15">
        <v>2689</v>
      </c>
      <c r="AG4" s="15">
        <v>1394</v>
      </c>
      <c r="AH4" s="15"/>
      <c r="AI4" s="15">
        <v>2188</v>
      </c>
      <c r="AJ4" s="15">
        <v>409</v>
      </c>
      <c r="AK4" s="15">
        <v>366</v>
      </c>
      <c r="AL4" s="15"/>
      <c r="AM4" s="15"/>
      <c r="AN4" s="15">
        <v>1042</v>
      </c>
      <c r="AO4" s="15">
        <v>614</v>
      </c>
      <c r="AP4" s="15">
        <v>7941</v>
      </c>
      <c r="AQ4" s="15">
        <v>5243</v>
      </c>
      <c r="AR4" s="15">
        <v>2708</v>
      </c>
      <c r="AS4" s="15">
        <v>260</v>
      </c>
      <c r="AT4" s="15">
        <v>730</v>
      </c>
      <c r="AU4" s="15"/>
      <c r="AV4" s="15">
        <v>8693</v>
      </c>
    </row>
    <row r="5" spans="1:48" x14ac:dyDescent="0.35">
      <c r="A5" t="s">
        <v>213</v>
      </c>
      <c r="B5" s="15">
        <v>2372</v>
      </c>
      <c r="C5" s="15"/>
      <c r="D5" s="15"/>
      <c r="E5" s="15">
        <v>18493</v>
      </c>
      <c r="F5" s="15">
        <v>8860</v>
      </c>
      <c r="G5" s="15">
        <v>85719</v>
      </c>
      <c r="H5" s="15">
        <v>612</v>
      </c>
      <c r="I5" s="15">
        <v>616</v>
      </c>
      <c r="J5" s="15">
        <v>623</v>
      </c>
      <c r="K5" s="15">
        <v>281</v>
      </c>
      <c r="L5" s="15"/>
      <c r="M5" s="15">
        <v>4778</v>
      </c>
      <c r="N5" s="15">
        <v>1753</v>
      </c>
      <c r="O5" s="15">
        <v>898</v>
      </c>
      <c r="P5" s="15"/>
      <c r="Q5" s="15">
        <v>187</v>
      </c>
      <c r="R5" s="15">
        <v>2467</v>
      </c>
      <c r="S5" s="15">
        <v>1197</v>
      </c>
      <c r="T5" s="15">
        <v>4412</v>
      </c>
      <c r="U5" s="15">
        <v>182</v>
      </c>
      <c r="V5" s="15"/>
      <c r="W5" s="15">
        <v>3344</v>
      </c>
      <c r="X5" s="15"/>
      <c r="Y5" s="15">
        <v>428</v>
      </c>
      <c r="Z5" s="15">
        <v>3544</v>
      </c>
      <c r="AA5" s="15">
        <v>840</v>
      </c>
      <c r="AB5" s="15"/>
      <c r="AC5" s="15">
        <v>843</v>
      </c>
      <c r="AD5" s="15">
        <v>3557</v>
      </c>
      <c r="AE5" s="15">
        <v>1207</v>
      </c>
      <c r="AF5" s="15">
        <v>1933</v>
      </c>
      <c r="AG5" s="15">
        <v>1336</v>
      </c>
      <c r="AH5" s="15"/>
      <c r="AI5" s="15">
        <v>703</v>
      </c>
      <c r="AJ5" s="15">
        <v>57</v>
      </c>
      <c r="AK5" s="15">
        <v>338</v>
      </c>
      <c r="AL5" s="15"/>
      <c r="AM5" s="15"/>
      <c r="AN5" s="15">
        <v>787</v>
      </c>
      <c r="AO5" s="15">
        <v>316</v>
      </c>
      <c r="AP5" s="15">
        <v>6369</v>
      </c>
      <c r="AQ5" s="15">
        <v>4709</v>
      </c>
      <c r="AR5" s="15">
        <v>2032</v>
      </c>
      <c r="AS5" s="15">
        <v>260</v>
      </c>
      <c r="AT5" s="15">
        <v>331</v>
      </c>
      <c r="AU5" s="15"/>
      <c r="AV5" s="15">
        <v>6701</v>
      </c>
    </row>
    <row r="6" spans="1:48" x14ac:dyDescent="0.35">
      <c r="A6" t="s">
        <v>214</v>
      </c>
      <c r="B6" s="15">
        <v>32</v>
      </c>
      <c r="C6" s="15"/>
      <c r="D6" s="15"/>
      <c r="E6" s="15"/>
      <c r="F6" s="15">
        <v>540</v>
      </c>
      <c r="G6" s="15"/>
      <c r="H6" s="15">
        <v>137</v>
      </c>
      <c r="I6" s="15"/>
      <c r="J6" s="15"/>
      <c r="K6" s="15">
        <v>0</v>
      </c>
      <c r="L6" s="15"/>
      <c r="M6" s="15">
        <v>2510</v>
      </c>
      <c r="N6" s="15"/>
      <c r="O6" s="15"/>
      <c r="P6" s="15"/>
      <c r="Q6" s="15">
        <v>100</v>
      </c>
      <c r="R6" s="15">
        <v>639</v>
      </c>
      <c r="S6" s="15"/>
      <c r="T6" s="15"/>
      <c r="U6" s="15"/>
      <c r="V6" s="15"/>
      <c r="W6" s="15">
        <v>0</v>
      </c>
      <c r="X6" s="15">
        <v>5</v>
      </c>
      <c r="Y6" s="15">
        <v>0</v>
      </c>
      <c r="Z6" s="15">
        <v>333</v>
      </c>
      <c r="AA6" s="15">
        <v>37</v>
      </c>
      <c r="AB6" s="15"/>
      <c r="AC6" s="15">
        <v>32</v>
      </c>
      <c r="AD6" s="15"/>
      <c r="AE6" s="15">
        <v>34</v>
      </c>
      <c r="AF6" s="15"/>
      <c r="AG6" s="15"/>
      <c r="AH6" s="15"/>
      <c r="AI6" s="15"/>
      <c r="AJ6" s="15">
        <v>0</v>
      </c>
      <c r="AK6" s="15">
        <v>11</v>
      </c>
      <c r="AL6" s="15"/>
      <c r="AM6" s="15"/>
      <c r="AN6" s="15">
        <v>169</v>
      </c>
      <c r="AO6" s="15"/>
      <c r="AP6" s="15">
        <v>338</v>
      </c>
      <c r="AQ6" s="15">
        <v>101</v>
      </c>
      <c r="AR6" s="15">
        <v>92</v>
      </c>
      <c r="AS6" s="15">
        <v>19</v>
      </c>
      <c r="AT6" s="15"/>
      <c r="AU6" s="15"/>
      <c r="AV6" s="15"/>
    </row>
    <row r="7" spans="1:48" x14ac:dyDescent="0.35">
      <c r="A7" t="s">
        <v>215</v>
      </c>
      <c r="B7" s="15">
        <v>13961</v>
      </c>
      <c r="C7" s="15"/>
      <c r="D7" s="15"/>
      <c r="E7" s="15">
        <v>115316</v>
      </c>
      <c r="F7" s="15">
        <v>70246</v>
      </c>
      <c r="G7" s="15">
        <v>220681</v>
      </c>
      <c r="H7" s="15">
        <v>4277</v>
      </c>
      <c r="I7" s="15">
        <v>6503</v>
      </c>
      <c r="J7" s="15">
        <v>3824</v>
      </c>
      <c r="K7" s="15">
        <v>0</v>
      </c>
      <c r="L7" s="15"/>
      <c r="M7" s="15">
        <v>44989</v>
      </c>
      <c r="N7" s="15">
        <v>5893</v>
      </c>
      <c r="O7" s="15">
        <v>8028</v>
      </c>
      <c r="P7" s="15"/>
      <c r="Q7" s="15">
        <v>941</v>
      </c>
      <c r="R7" s="15">
        <v>16473</v>
      </c>
      <c r="S7" s="15">
        <v>2933</v>
      </c>
      <c r="T7" s="15">
        <v>14979</v>
      </c>
      <c r="U7" s="15">
        <v>1375</v>
      </c>
      <c r="V7" s="15"/>
      <c r="W7" s="15">
        <v>102943</v>
      </c>
      <c r="X7" s="15">
        <v>4367</v>
      </c>
      <c r="Y7" s="15">
        <v>1879</v>
      </c>
      <c r="Z7" s="15">
        <v>34634</v>
      </c>
      <c r="AA7" s="15">
        <v>3440</v>
      </c>
      <c r="AB7" s="15"/>
      <c r="AC7" s="15">
        <v>9592</v>
      </c>
      <c r="AD7" s="15">
        <v>6327</v>
      </c>
      <c r="AE7" s="15">
        <v>3900</v>
      </c>
      <c r="AF7" s="15">
        <v>9775</v>
      </c>
      <c r="AG7" s="15">
        <v>8605</v>
      </c>
      <c r="AH7" s="15"/>
      <c r="AI7" s="15">
        <v>4737</v>
      </c>
      <c r="AJ7" s="15">
        <v>623</v>
      </c>
      <c r="AK7" s="15">
        <v>7356</v>
      </c>
      <c r="AL7" s="15"/>
      <c r="AM7" s="15"/>
      <c r="AN7" s="15">
        <v>5573</v>
      </c>
      <c r="AO7" s="15">
        <v>4565</v>
      </c>
      <c r="AP7" s="15">
        <v>74197</v>
      </c>
      <c r="AQ7" s="15">
        <v>33779</v>
      </c>
      <c r="AR7" s="15">
        <v>32182</v>
      </c>
      <c r="AS7" s="15">
        <v>5007</v>
      </c>
      <c r="AT7" s="15">
        <v>2630</v>
      </c>
      <c r="AU7" s="15"/>
      <c r="AV7" s="15"/>
    </row>
    <row r="8" spans="1:48" x14ac:dyDescent="0.35">
      <c r="A8" t="s">
        <v>216</v>
      </c>
      <c r="B8" s="15">
        <v>9294</v>
      </c>
      <c r="C8" s="15"/>
      <c r="D8" s="15"/>
      <c r="E8" s="15">
        <v>2640</v>
      </c>
      <c r="F8" s="15">
        <v>21993</v>
      </c>
      <c r="G8" s="15">
        <v>146787</v>
      </c>
      <c r="H8" s="15">
        <v>920</v>
      </c>
      <c r="I8" s="15">
        <v>1340</v>
      </c>
      <c r="J8" s="15"/>
      <c r="K8" s="15">
        <v>0</v>
      </c>
      <c r="L8" s="15"/>
      <c r="M8" s="15">
        <v>22</v>
      </c>
      <c r="N8" s="15">
        <v>2055</v>
      </c>
      <c r="O8" s="15"/>
      <c r="P8" s="15"/>
      <c r="Q8" s="15">
        <v>0</v>
      </c>
      <c r="R8" s="15">
        <v>1674</v>
      </c>
      <c r="S8" s="15">
        <v>783</v>
      </c>
      <c r="T8" s="15">
        <v>7425</v>
      </c>
      <c r="U8" s="15">
        <v>23</v>
      </c>
      <c r="V8" s="15"/>
      <c r="W8" s="15">
        <v>23882</v>
      </c>
      <c r="X8" s="15">
        <v>777</v>
      </c>
      <c r="Y8" s="15">
        <v>197</v>
      </c>
      <c r="Z8" s="15">
        <v>137</v>
      </c>
      <c r="AA8" s="15">
        <v>769</v>
      </c>
      <c r="AB8" s="15"/>
      <c r="AC8" s="15">
        <v>616</v>
      </c>
      <c r="AD8" s="15">
        <v>1629</v>
      </c>
      <c r="AE8" s="15"/>
      <c r="AF8" s="15">
        <v>7120</v>
      </c>
      <c r="AG8" s="15">
        <v>7</v>
      </c>
      <c r="AH8" s="15"/>
      <c r="AI8" s="15">
        <v>2803</v>
      </c>
      <c r="AJ8" s="15">
        <v>156</v>
      </c>
      <c r="AK8" s="15">
        <v>2271</v>
      </c>
      <c r="AL8" s="15"/>
      <c r="AM8" s="15"/>
      <c r="AN8" s="15">
        <v>907</v>
      </c>
      <c r="AO8" s="15">
        <v>718</v>
      </c>
      <c r="AP8" s="15">
        <v>32957</v>
      </c>
      <c r="AQ8" s="15">
        <v>9202</v>
      </c>
      <c r="AR8" s="15">
        <v>2796</v>
      </c>
      <c r="AS8" s="15">
        <v>67</v>
      </c>
      <c r="AT8" s="15">
        <v>1864</v>
      </c>
      <c r="AU8" s="15"/>
      <c r="AV8" s="15"/>
    </row>
    <row r="9" spans="1:48" x14ac:dyDescent="0.35">
      <c r="A9" t="s">
        <v>217</v>
      </c>
      <c r="B9" s="15">
        <v>39</v>
      </c>
      <c r="C9" s="15"/>
      <c r="D9" s="15"/>
      <c r="E9" s="15">
        <v>392</v>
      </c>
      <c r="F9" s="15">
        <v>271</v>
      </c>
      <c r="G9" s="15">
        <v>5048</v>
      </c>
      <c r="H9" s="15">
        <v>44</v>
      </c>
      <c r="I9" s="15">
        <v>131</v>
      </c>
      <c r="J9" s="15"/>
      <c r="K9" s="15">
        <v>31</v>
      </c>
      <c r="L9" s="15"/>
      <c r="M9" s="15">
        <v>171</v>
      </c>
      <c r="N9" s="15">
        <v>50</v>
      </c>
      <c r="O9" s="15">
        <v>86</v>
      </c>
      <c r="P9" s="15"/>
      <c r="Q9" s="15">
        <v>10</v>
      </c>
      <c r="R9" s="15">
        <v>317</v>
      </c>
      <c r="S9" s="15">
        <v>21</v>
      </c>
      <c r="T9" s="15">
        <v>418</v>
      </c>
      <c r="U9" s="15"/>
      <c r="V9" s="15"/>
      <c r="W9" s="15">
        <v>0</v>
      </c>
      <c r="X9" s="15">
        <v>34</v>
      </c>
      <c r="Y9" s="15">
        <v>20</v>
      </c>
      <c r="Z9" s="15">
        <v>273</v>
      </c>
      <c r="AA9" s="15">
        <v>6</v>
      </c>
      <c r="AB9" s="15">
        <v>225</v>
      </c>
      <c r="AC9" s="15">
        <v>91</v>
      </c>
      <c r="AD9" s="15"/>
      <c r="AE9" s="15"/>
      <c r="AF9" s="15">
        <v>348</v>
      </c>
      <c r="AG9" s="15">
        <v>207</v>
      </c>
      <c r="AH9" s="15"/>
      <c r="AI9" s="15">
        <v>223</v>
      </c>
      <c r="AJ9" s="15">
        <v>44</v>
      </c>
      <c r="AK9" s="15">
        <v>6</v>
      </c>
      <c r="AL9" s="15">
        <v>1348</v>
      </c>
      <c r="AM9" s="15"/>
      <c r="AN9" s="15">
        <v>9</v>
      </c>
      <c r="AO9" s="15">
        <v>24</v>
      </c>
      <c r="AP9" s="15">
        <v>1440</v>
      </c>
      <c r="AQ9" s="15">
        <v>261</v>
      </c>
      <c r="AR9" s="15">
        <v>2703</v>
      </c>
      <c r="AS9" s="15">
        <v>58</v>
      </c>
      <c r="AT9" s="15">
        <v>18</v>
      </c>
      <c r="AU9" s="15"/>
      <c r="AV9" s="15">
        <v>583</v>
      </c>
    </row>
    <row r="10" spans="1:48" x14ac:dyDescent="0.35">
      <c r="A10" t="s">
        <v>218</v>
      </c>
      <c r="B10" s="15">
        <v>575</v>
      </c>
      <c r="C10" s="15"/>
      <c r="D10" s="15"/>
      <c r="E10" s="15">
        <v>806</v>
      </c>
      <c r="F10" s="15">
        <v>5871</v>
      </c>
      <c r="G10" s="15">
        <v>18277</v>
      </c>
      <c r="H10" s="15">
        <v>168</v>
      </c>
      <c r="I10" s="15">
        <v>85</v>
      </c>
      <c r="J10" s="15"/>
      <c r="K10" s="15">
        <v>201</v>
      </c>
      <c r="L10" s="15"/>
      <c r="M10" s="15">
        <v>967</v>
      </c>
      <c r="N10" s="15">
        <v>382</v>
      </c>
      <c r="O10" s="15">
        <v>125</v>
      </c>
      <c r="P10" s="15"/>
      <c r="Q10" s="15">
        <v>23</v>
      </c>
      <c r="R10" s="15">
        <v>602</v>
      </c>
      <c r="S10" s="15">
        <v>163</v>
      </c>
      <c r="T10" s="15">
        <v>1162</v>
      </c>
      <c r="U10" s="15">
        <v>14</v>
      </c>
      <c r="V10" s="15"/>
      <c r="W10" s="15">
        <v>1188</v>
      </c>
      <c r="X10" s="15"/>
      <c r="Y10" s="15">
        <v>2</v>
      </c>
      <c r="Z10" s="15">
        <v>886</v>
      </c>
      <c r="AA10" s="15">
        <v>170</v>
      </c>
      <c r="AB10" s="15">
        <v>27</v>
      </c>
      <c r="AC10" s="15">
        <v>111</v>
      </c>
      <c r="AD10" s="15">
        <v>1721</v>
      </c>
      <c r="AE10" s="15">
        <v>35</v>
      </c>
      <c r="AF10" s="15">
        <v>498</v>
      </c>
      <c r="AG10" s="15">
        <v>655</v>
      </c>
      <c r="AH10" s="15"/>
      <c r="AI10" s="15">
        <v>352</v>
      </c>
      <c r="AJ10" s="15">
        <v>35</v>
      </c>
      <c r="AK10" s="15">
        <v>89</v>
      </c>
      <c r="AL10" s="15">
        <v>3609</v>
      </c>
      <c r="AM10" s="15"/>
      <c r="AN10" s="15">
        <v>28</v>
      </c>
      <c r="AO10" s="15">
        <v>43</v>
      </c>
      <c r="AP10" s="15">
        <v>1712</v>
      </c>
      <c r="AQ10" s="15">
        <v>639</v>
      </c>
      <c r="AR10" s="15">
        <v>1902</v>
      </c>
      <c r="AS10" s="15">
        <v>199</v>
      </c>
      <c r="AT10" s="15">
        <v>255</v>
      </c>
      <c r="AU10" s="15"/>
      <c r="AV10" s="15">
        <v>1746</v>
      </c>
    </row>
    <row r="11" spans="1:48" x14ac:dyDescent="0.35">
      <c r="A11" t="s">
        <v>219</v>
      </c>
      <c r="B11" s="15"/>
      <c r="C11" s="15"/>
      <c r="D11" s="15"/>
      <c r="E11" s="15">
        <v>101117</v>
      </c>
      <c r="F11" s="15">
        <v>121853</v>
      </c>
      <c r="G11" s="15"/>
      <c r="H11" s="15"/>
      <c r="I11" s="15"/>
      <c r="J11" s="15"/>
      <c r="K11" s="15">
        <v>343</v>
      </c>
      <c r="L11" s="15"/>
      <c r="M11" s="15">
        <v>13442</v>
      </c>
      <c r="N11" s="15">
        <v>5106</v>
      </c>
      <c r="O11" s="15">
        <v>449</v>
      </c>
      <c r="P11" s="15"/>
      <c r="Q11" s="15">
        <v>0</v>
      </c>
      <c r="R11" s="15">
        <v>3699</v>
      </c>
      <c r="S11" s="15">
        <v>431</v>
      </c>
      <c r="T11" s="15"/>
      <c r="U11" s="15"/>
      <c r="V11" s="15"/>
      <c r="W11" s="15">
        <v>4065</v>
      </c>
      <c r="X11" s="15"/>
      <c r="Y11" s="15">
        <v>181</v>
      </c>
      <c r="Z11" s="15">
        <v>0</v>
      </c>
      <c r="AA11" s="15"/>
      <c r="AB11" s="15"/>
      <c r="AC11" s="15">
        <v>82</v>
      </c>
      <c r="AD11" s="15"/>
      <c r="AE11" s="15"/>
      <c r="AF11" s="15">
        <v>10769</v>
      </c>
      <c r="AG11" s="15">
        <v>4865</v>
      </c>
      <c r="AH11" s="15"/>
      <c r="AI11" s="15">
        <v>3584</v>
      </c>
      <c r="AJ11" s="15">
        <v>0</v>
      </c>
      <c r="AK11" s="15"/>
      <c r="AL11" s="15">
        <v>33735</v>
      </c>
      <c r="AM11" s="15"/>
      <c r="AN11" s="15">
        <v>2442</v>
      </c>
      <c r="AO11" s="15"/>
      <c r="AP11" s="15"/>
      <c r="AQ11" s="15">
        <v>0</v>
      </c>
      <c r="AR11" s="15"/>
      <c r="AS11" s="15">
        <v>4713</v>
      </c>
      <c r="AT11" s="15"/>
      <c r="AU11" s="15"/>
      <c r="AV11" s="15"/>
    </row>
    <row r="12" spans="1:48" x14ac:dyDescent="0.35">
      <c r="A12" t="s">
        <v>220</v>
      </c>
      <c r="B12" s="15">
        <v>275</v>
      </c>
      <c r="C12" s="15"/>
      <c r="D12" s="15"/>
      <c r="E12" s="15"/>
      <c r="F12" s="15"/>
      <c r="G12" s="15"/>
      <c r="H12" s="15"/>
      <c r="I12" s="15"/>
      <c r="J12" s="15"/>
      <c r="K12" s="15">
        <v>0</v>
      </c>
      <c r="L12" s="15"/>
      <c r="M12" s="15">
        <v>1045</v>
      </c>
      <c r="N12" s="15"/>
      <c r="O12" s="15">
        <v>848</v>
      </c>
      <c r="P12" s="15"/>
      <c r="Q12" s="15">
        <v>0</v>
      </c>
      <c r="R12" s="15">
        <v>61</v>
      </c>
      <c r="S12" s="15"/>
      <c r="T12" s="15"/>
      <c r="U12" s="15"/>
      <c r="V12" s="15"/>
      <c r="W12" s="15">
        <v>3583</v>
      </c>
      <c r="X12" s="15"/>
      <c r="Y12" s="15">
        <v>0</v>
      </c>
      <c r="Z12" s="15">
        <v>141</v>
      </c>
      <c r="AA12" s="15"/>
      <c r="AB12" s="15"/>
      <c r="AC12" s="15">
        <v>272</v>
      </c>
      <c r="AD12" s="15"/>
      <c r="AE12" s="15">
        <v>293</v>
      </c>
      <c r="AF12" s="15">
        <v>133</v>
      </c>
      <c r="AG12" s="15"/>
      <c r="AH12" s="15"/>
      <c r="AI12" s="15">
        <v>31</v>
      </c>
      <c r="AJ12" s="15">
        <v>0</v>
      </c>
      <c r="AK12" s="15"/>
      <c r="AL12" s="15">
        <v>2025</v>
      </c>
      <c r="AM12" s="15"/>
      <c r="AN12" s="15"/>
      <c r="AO12" s="15"/>
      <c r="AP12" s="15"/>
      <c r="AQ12" s="15">
        <v>18</v>
      </c>
      <c r="AR12" s="15"/>
      <c r="AS12" s="15"/>
      <c r="AT12" s="15"/>
      <c r="AU12" s="15"/>
      <c r="AV12" s="15"/>
    </row>
    <row r="13" spans="1:48" x14ac:dyDescent="0.35">
      <c r="A13" t="s">
        <v>221</v>
      </c>
      <c r="B13" s="15"/>
      <c r="C13" s="15"/>
      <c r="D13" s="15"/>
      <c r="E13" s="15"/>
      <c r="F13" s="15"/>
      <c r="G13" s="15">
        <v>168</v>
      </c>
      <c r="H13" s="15"/>
      <c r="I13" s="15"/>
      <c r="J13" s="15"/>
      <c r="K13" s="15">
        <v>0</v>
      </c>
      <c r="L13" s="15"/>
      <c r="M13" s="15">
        <v>1</v>
      </c>
      <c r="N13" s="15"/>
      <c r="O13" s="15">
        <v>11</v>
      </c>
      <c r="P13" s="15"/>
      <c r="Q13" s="15">
        <v>0</v>
      </c>
      <c r="R13" s="15">
        <v>0</v>
      </c>
      <c r="S13" s="15"/>
      <c r="T13" s="15"/>
      <c r="U13" s="15"/>
      <c r="V13" s="15"/>
      <c r="W13" s="15">
        <v>30</v>
      </c>
      <c r="X13" s="15"/>
      <c r="Y13" s="15">
        <v>0</v>
      </c>
      <c r="Z13" s="15">
        <v>0</v>
      </c>
      <c r="AA13" s="15"/>
      <c r="AB13" s="15"/>
      <c r="AC13" s="15">
        <v>0</v>
      </c>
      <c r="AD13" s="15"/>
      <c r="AE13" s="15">
        <v>27</v>
      </c>
      <c r="AF13" s="15"/>
      <c r="AG13" s="15"/>
      <c r="AH13" s="15"/>
      <c r="AI13" s="15"/>
      <c r="AJ13" s="15">
        <v>0</v>
      </c>
      <c r="AK13" s="15"/>
      <c r="AL13" s="15">
        <v>586</v>
      </c>
      <c r="AM13" s="15"/>
      <c r="AN13" s="15"/>
      <c r="AO13" s="15"/>
      <c r="AP13" s="15"/>
      <c r="AQ13" s="15">
        <v>2</v>
      </c>
      <c r="AR13" s="15"/>
      <c r="AS13" s="15"/>
      <c r="AT13" s="15"/>
      <c r="AU13" s="15"/>
      <c r="AV13" s="15">
        <v>2</v>
      </c>
    </row>
    <row r="14" spans="1:48" x14ac:dyDescent="0.35">
      <c r="A14" t="s">
        <v>222</v>
      </c>
      <c r="B14" s="15">
        <v>18</v>
      </c>
      <c r="C14" s="15"/>
      <c r="D14" s="15"/>
      <c r="E14" s="15"/>
      <c r="F14" s="15">
        <v>1086</v>
      </c>
      <c r="G14" s="15"/>
      <c r="H14" s="15"/>
      <c r="I14" s="15"/>
      <c r="J14" s="15"/>
      <c r="K14" s="15">
        <v>1</v>
      </c>
      <c r="L14" s="15"/>
      <c r="M14" s="15">
        <v>16</v>
      </c>
      <c r="N14" s="15"/>
      <c r="O14" s="15">
        <v>13</v>
      </c>
      <c r="P14" s="15"/>
      <c r="Q14" s="15">
        <v>0</v>
      </c>
      <c r="R14" s="15">
        <v>85</v>
      </c>
      <c r="S14" s="15"/>
      <c r="T14" s="15"/>
      <c r="U14" s="15"/>
      <c r="V14" s="15"/>
      <c r="W14" s="15">
        <v>0</v>
      </c>
      <c r="X14" s="15"/>
      <c r="Y14" s="15">
        <v>11</v>
      </c>
      <c r="Z14" s="15">
        <v>603</v>
      </c>
      <c r="AA14" s="15"/>
      <c r="AB14" s="15"/>
      <c r="AC14" s="15">
        <v>56</v>
      </c>
      <c r="AD14" s="15"/>
      <c r="AE14" s="15">
        <v>27</v>
      </c>
      <c r="AF14" s="15"/>
      <c r="AG14" s="15"/>
      <c r="AH14" s="15"/>
      <c r="AI14" s="15">
        <v>17</v>
      </c>
      <c r="AJ14" s="15">
        <v>0</v>
      </c>
      <c r="AK14" s="15"/>
      <c r="AL14" s="15">
        <v>53</v>
      </c>
      <c r="AM14" s="15"/>
      <c r="AN14" s="15"/>
      <c r="AO14" s="15"/>
      <c r="AP14" s="15"/>
      <c r="AQ14" s="15">
        <v>3</v>
      </c>
      <c r="AR14" s="15">
        <v>63</v>
      </c>
      <c r="AS14" s="15">
        <v>11</v>
      </c>
      <c r="AT14" s="15">
        <v>19</v>
      </c>
      <c r="AU14" s="15"/>
      <c r="AV14" s="15">
        <v>96</v>
      </c>
    </row>
    <row r="15" spans="1:48" x14ac:dyDescent="0.35">
      <c r="A15" t="s">
        <v>223</v>
      </c>
      <c r="B15" s="15">
        <v>3145</v>
      </c>
      <c r="C15" s="15"/>
      <c r="D15" s="15"/>
      <c r="E15" s="15"/>
      <c r="F15" s="15">
        <v>41101</v>
      </c>
      <c r="G15" s="15">
        <v>154477</v>
      </c>
      <c r="H15" s="15">
        <v>98</v>
      </c>
      <c r="I15" s="15"/>
      <c r="J15" s="15"/>
      <c r="K15" s="15">
        <v>9196</v>
      </c>
      <c r="L15" s="15"/>
      <c r="M15" s="15">
        <v>5</v>
      </c>
      <c r="N15" s="15">
        <v>21</v>
      </c>
      <c r="O15" s="15"/>
      <c r="P15" s="15"/>
      <c r="Q15" s="15">
        <v>155</v>
      </c>
      <c r="R15" s="15">
        <v>310</v>
      </c>
      <c r="S15" s="15"/>
      <c r="T15" s="15"/>
      <c r="U15" s="15">
        <v>146</v>
      </c>
      <c r="V15" s="15"/>
      <c r="W15" s="15">
        <v>0</v>
      </c>
      <c r="X15" s="15"/>
      <c r="Y15" s="15">
        <v>3975</v>
      </c>
      <c r="Z15" s="15">
        <v>86423</v>
      </c>
      <c r="AA15" s="15"/>
      <c r="AB15" s="15"/>
      <c r="AC15" s="15">
        <v>10747</v>
      </c>
      <c r="AD15" s="15"/>
      <c r="AE15" s="15">
        <v>916</v>
      </c>
      <c r="AF15" s="15">
        <v>6992</v>
      </c>
      <c r="AG15" s="15"/>
      <c r="AH15" s="15"/>
      <c r="AI15" s="15">
        <v>18757</v>
      </c>
      <c r="AJ15" s="15">
        <v>0</v>
      </c>
      <c r="AK15" s="15"/>
      <c r="AL15" s="15">
        <v>63290</v>
      </c>
      <c r="AM15" s="15"/>
      <c r="AN15" s="15"/>
      <c r="AO15" s="15">
        <v>2239</v>
      </c>
      <c r="AP15" s="15"/>
      <c r="AQ15" s="15">
        <v>2421</v>
      </c>
      <c r="AR15" s="15">
        <v>19722</v>
      </c>
      <c r="AS15" s="15">
        <v>2626</v>
      </c>
      <c r="AT15" s="15"/>
      <c r="AU15" s="15"/>
      <c r="AV15" s="15">
        <v>20737</v>
      </c>
    </row>
    <row r="16" spans="1:48" x14ac:dyDescent="0.35">
      <c r="A16" t="s">
        <v>224</v>
      </c>
      <c r="B16" s="15"/>
      <c r="C16" s="15"/>
      <c r="D16" s="15"/>
      <c r="E16" s="15"/>
      <c r="F16" s="15">
        <v>195</v>
      </c>
      <c r="G16" s="15"/>
      <c r="H16" s="15">
        <v>67</v>
      </c>
      <c r="I16" s="15"/>
      <c r="J16" s="15"/>
      <c r="K16" s="15">
        <v>49</v>
      </c>
      <c r="L16" s="15"/>
      <c r="M16" s="15">
        <v>0</v>
      </c>
      <c r="N16" s="15"/>
      <c r="O16" s="15">
        <v>24</v>
      </c>
      <c r="P16" s="15"/>
      <c r="Q16" s="15">
        <v>0</v>
      </c>
      <c r="R16" s="15">
        <v>88</v>
      </c>
      <c r="S16" s="15"/>
      <c r="T16" s="15">
        <v>28</v>
      </c>
      <c r="U16" s="15"/>
      <c r="V16" s="15"/>
      <c r="W16" s="15">
        <v>488</v>
      </c>
      <c r="X16" s="15">
        <v>50</v>
      </c>
      <c r="Y16" s="15">
        <v>2</v>
      </c>
      <c r="Z16" s="15">
        <v>255</v>
      </c>
      <c r="AA16" s="15"/>
      <c r="AB16" s="15"/>
      <c r="AC16" s="15">
        <v>173</v>
      </c>
      <c r="AD16" s="15"/>
      <c r="AE16" s="15">
        <v>78</v>
      </c>
      <c r="AF16" s="15">
        <v>341</v>
      </c>
      <c r="AG16" s="15">
        <v>49</v>
      </c>
      <c r="AH16" s="15"/>
      <c r="AI16" s="15">
        <v>64</v>
      </c>
      <c r="AJ16" s="15">
        <v>0</v>
      </c>
      <c r="AK16" s="15">
        <v>126</v>
      </c>
      <c r="AL16" s="15">
        <v>1550</v>
      </c>
      <c r="AM16" s="15"/>
      <c r="AN16" s="15"/>
      <c r="AO16" s="15"/>
      <c r="AP16" s="15"/>
      <c r="AQ16" s="15">
        <v>743</v>
      </c>
      <c r="AR16" s="15">
        <v>178</v>
      </c>
      <c r="AS16" s="15">
        <v>157</v>
      </c>
      <c r="AT16" s="15">
        <v>1</v>
      </c>
      <c r="AU16" s="15"/>
      <c r="AV16" s="15">
        <v>449</v>
      </c>
    </row>
    <row r="17" spans="1:48" x14ac:dyDescent="0.35">
      <c r="A17" t="s">
        <v>225</v>
      </c>
      <c r="B17" s="15">
        <v>7</v>
      </c>
      <c r="C17" s="15"/>
      <c r="D17" s="15"/>
      <c r="E17" s="15"/>
      <c r="F17" s="15">
        <v>65</v>
      </c>
      <c r="G17" s="15"/>
      <c r="H17" s="15">
        <v>17</v>
      </c>
      <c r="I17" s="15"/>
      <c r="J17" s="15"/>
      <c r="K17" s="15">
        <v>5</v>
      </c>
      <c r="L17" s="15"/>
      <c r="M17" s="15">
        <v>0</v>
      </c>
      <c r="N17" s="15"/>
      <c r="O17" s="15">
        <v>33</v>
      </c>
      <c r="P17" s="15"/>
      <c r="Q17" s="15">
        <v>0</v>
      </c>
      <c r="R17" s="15">
        <v>11</v>
      </c>
      <c r="S17" s="15">
        <v>11</v>
      </c>
      <c r="T17" s="15"/>
      <c r="U17" s="15"/>
      <c r="V17" s="15"/>
      <c r="W17" s="15">
        <v>0</v>
      </c>
      <c r="X17" s="15"/>
      <c r="Y17" s="15">
        <v>2</v>
      </c>
      <c r="Z17" s="15">
        <v>181</v>
      </c>
      <c r="AA17" s="15"/>
      <c r="AB17" s="15"/>
      <c r="AC17" s="15">
        <v>12</v>
      </c>
      <c r="AD17" s="15"/>
      <c r="AE17" s="15"/>
      <c r="AF17" s="15"/>
      <c r="AG17" s="15"/>
      <c r="AH17" s="15"/>
      <c r="AI17" s="15">
        <v>15</v>
      </c>
      <c r="AJ17" s="15">
        <v>0</v>
      </c>
      <c r="AK17" s="15">
        <v>13</v>
      </c>
      <c r="AL17" s="15">
        <v>54</v>
      </c>
      <c r="AM17" s="15"/>
      <c r="AN17" s="15"/>
      <c r="AO17" s="15">
        <v>6</v>
      </c>
      <c r="AP17" s="15"/>
      <c r="AQ17" s="15">
        <v>23</v>
      </c>
      <c r="AR17" s="15"/>
      <c r="AS17" s="15"/>
      <c r="AT17" s="15">
        <v>19</v>
      </c>
      <c r="AU17" s="15"/>
      <c r="AV17" s="15"/>
    </row>
    <row r="18" spans="1:48" x14ac:dyDescent="0.35">
      <c r="A18" t="s">
        <v>226</v>
      </c>
      <c r="B18" s="15">
        <v>57</v>
      </c>
      <c r="C18" s="15"/>
      <c r="D18" s="15"/>
      <c r="E18" s="15"/>
      <c r="F18" s="15">
        <v>310</v>
      </c>
      <c r="G18" s="15"/>
      <c r="H18" s="15"/>
      <c r="I18" s="15"/>
      <c r="J18" s="15"/>
      <c r="K18" s="15">
        <v>15</v>
      </c>
      <c r="L18" s="15"/>
      <c r="M18" s="15">
        <v>0</v>
      </c>
      <c r="N18" s="15"/>
      <c r="O18" s="15">
        <v>40</v>
      </c>
      <c r="P18" s="15"/>
      <c r="Q18" s="15">
        <v>0</v>
      </c>
      <c r="R18" s="15">
        <v>6</v>
      </c>
      <c r="S18" s="15"/>
      <c r="T18" s="15"/>
      <c r="U18" s="15"/>
      <c r="V18" s="15"/>
      <c r="W18" s="15">
        <v>153</v>
      </c>
      <c r="X18" s="15"/>
      <c r="Y18" s="15">
        <v>3</v>
      </c>
      <c r="Z18" s="15">
        <v>0</v>
      </c>
      <c r="AA18" s="15"/>
      <c r="AB18" s="15"/>
      <c r="AC18" s="15">
        <v>33</v>
      </c>
      <c r="AD18" s="15"/>
      <c r="AE18" s="15"/>
      <c r="AF18" s="15"/>
      <c r="AG18" s="15">
        <v>44</v>
      </c>
      <c r="AH18" s="15"/>
      <c r="AI18" s="15">
        <v>12</v>
      </c>
      <c r="AJ18" s="15">
        <v>0</v>
      </c>
      <c r="AK18" s="15">
        <v>100</v>
      </c>
      <c r="AL18" s="15">
        <v>1549</v>
      </c>
      <c r="AM18" s="15"/>
      <c r="AN18" s="15"/>
      <c r="AO18" s="15"/>
      <c r="AP18" s="15"/>
      <c r="AQ18" s="15">
        <v>3</v>
      </c>
      <c r="AR18" s="15">
        <v>14</v>
      </c>
      <c r="AS18" s="15"/>
      <c r="AT18" s="15"/>
      <c r="AU18" s="15"/>
      <c r="AV18" s="15"/>
    </row>
    <row r="19" spans="1:48" x14ac:dyDescent="0.35">
      <c r="A19" t="s">
        <v>227</v>
      </c>
      <c r="B19" s="15"/>
      <c r="C19" s="15"/>
      <c r="D19" s="15"/>
      <c r="E19" s="15"/>
      <c r="F19" s="15"/>
      <c r="G19" s="15">
        <v>2660</v>
      </c>
      <c r="H19" s="15"/>
      <c r="I19" s="15"/>
      <c r="J19" s="15"/>
      <c r="K19" s="15">
        <v>0</v>
      </c>
      <c r="L19" s="15"/>
      <c r="M19" s="15"/>
      <c r="N19" s="15"/>
      <c r="O19" s="15"/>
      <c r="P19" s="15"/>
      <c r="Q19" s="15">
        <v>0</v>
      </c>
      <c r="R19" s="15">
        <v>1</v>
      </c>
      <c r="S19" s="15"/>
      <c r="T19" s="15"/>
      <c r="U19" s="15"/>
      <c r="V19" s="15"/>
      <c r="W19" s="15">
        <v>0</v>
      </c>
      <c r="X19" s="15"/>
      <c r="Y19" s="15">
        <v>1</v>
      </c>
      <c r="Z19" s="15">
        <v>0</v>
      </c>
      <c r="AA19" s="15"/>
      <c r="AB19" s="15"/>
      <c r="AC19" s="15">
        <v>0</v>
      </c>
      <c r="AD19" s="15"/>
      <c r="AE19" s="15"/>
      <c r="AF19" s="15"/>
      <c r="AG19" s="15"/>
      <c r="AH19" s="15"/>
      <c r="AI19" s="15"/>
      <c r="AJ19" s="15">
        <v>0</v>
      </c>
      <c r="AK19" s="15">
        <v>14</v>
      </c>
      <c r="AL19" s="15">
        <v>2</v>
      </c>
      <c r="AM19" s="15"/>
      <c r="AN19" s="15"/>
      <c r="AO19" s="15"/>
      <c r="AP19" s="15"/>
      <c r="AQ19" s="15">
        <v>0</v>
      </c>
      <c r="AR19" s="15"/>
      <c r="AS19" s="15"/>
      <c r="AT19" s="15"/>
      <c r="AU19" s="15"/>
      <c r="AV19" s="15"/>
    </row>
    <row r="20" spans="1:48" x14ac:dyDescent="0.35">
      <c r="A20" t="s">
        <v>228</v>
      </c>
      <c r="B20" s="15"/>
      <c r="C20" s="15"/>
      <c r="D20" s="15"/>
      <c r="E20" s="15"/>
      <c r="F20" s="15"/>
      <c r="G20" s="15"/>
      <c r="H20" s="15"/>
      <c r="I20" s="15"/>
      <c r="J20" s="15"/>
      <c r="K20" s="15">
        <v>4</v>
      </c>
      <c r="L20" s="15"/>
      <c r="M20" s="15"/>
      <c r="N20" s="15"/>
      <c r="O20" s="15">
        <v>106</v>
      </c>
      <c r="P20" s="15"/>
      <c r="Q20" s="15">
        <v>0</v>
      </c>
      <c r="R20" s="15">
        <v>89</v>
      </c>
      <c r="S20" s="15">
        <v>30</v>
      </c>
      <c r="T20" s="15"/>
      <c r="U20" s="15"/>
      <c r="V20" s="15"/>
      <c r="W20" s="15">
        <v>436</v>
      </c>
      <c r="X20" s="15"/>
      <c r="Y20" s="15">
        <v>1</v>
      </c>
      <c r="Z20" s="15">
        <v>0</v>
      </c>
      <c r="AA20" s="15"/>
      <c r="AB20" s="15"/>
      <c r="AC20" s="15">
        <v>71</v>
      </c>
      <c r="AD20" s="15"/>
      <c r="AE20" s="15"/>
      <c r="AF20" s="15">
        <v>120</v>
      </c>
      <c r="AG20" s="15"/>
      <c r="AH20" s="15"/>
      <c r="AI20" s="15"/>
      <c r="AJ20" s="15">
        <v>0</v>
      </c>
      <c r="AK20" s="15"/>
      <c r="AL20" s="15">
        <v>339</v>
      </c>
      <c r="AM20" s="15"/>
      <c r="AN20" s="15"/>
      <c r="AO20" s="15"/>
      <c r="AP20" s="15"/>
      <c r="AQ20" s="15">
        <v>0</v>
      </c>
      <c r="AR20" s="15"/>
      <c r="AS20" s="15">
        <v>8</v>
      </c>
      <c r="AT20" s="15"/>
      <c r="AU20" s="15"/>
      <c r="AV20" s="15"/>
    </row>
    <row r="21" spans="1:48" x14ac:dyDescent="0.35">
      <c r="A21" t="s">
        <v>229</v>
      </c>
      <c r="B21" s="15"/>
      <c r="C21" s="15"/>
      <c r="D21" s="15"/>
      <c r="E21" s="15"/>
      <c r="F21" s="15">
        <v>0</v>
      </c>
      <c r="G21" s="15"/>
      <c r="H21" s="15">
        <v>2</v>
      </c>
      <c r="I21" s="15"/>
      <c r="J21" s="15"/>
      <c r="K21" s="15">
        <v>0</v>
      </c>
      <c r="L21" s="15"/>
      <c r="M21" s="15">
        <v>0</v>
      </c>
      <c r="N21" s="15"/>
      <c r="O21" s="15"/>
      <c r="P21" s="15"/>
      <c r="Q21" s="15">
        <v>0</v>
      </c>
      <c r="R21" s="15">
        <v>1</v>
      </c>
      <c r="S21" s="15"/>
      <c r="T21" s="15"/>
      <c r="U21" s="15"/>
      <c r="V21" s="15"/>
      <c r="W21" s="15">
        <v>0</v>
      </c>
      <c r="X21" s="15"/>
      <c r="Y21" s="15">
        <v>24</v>
      </c>
      <c r="Z21" s="15">
        <v>0</v>
      </c>
      <c r="AA21" s="15"/>
      <c r="AB21" s="15"/>
      <c r="AC21" s="15">
        <v>0</v>
      </c>
      <c r="AD21" s="15"/>
      <c r="AE21" s="15"/>
      <c r="AF21" s="15"/>
      <c r="AG21" s="15"/>
      <c r="AH21" s="15"/>
      <c r="AI21" s="15"/>
      <c r="AJ21" s="15">
        <v>0</v>
      </c>
      <c r="AK21" s="15"/>
      <c r="AL21" s="15"/>
      <c r="AM21" s="15"/>
      <c r="AN21" s="15"/>
      <c r="AO21" s="15"/>
      <c r="AP21" s="15">
        <v>3936</v>
      </c>
      <c r="AQ21" s="15">
        <v>3325</v>
      </c>
      <c r="AR21" s="15">
        <v>1994</v>
      </c>
      <c r="AS21" s="15"/>
      <c r="AT21" s="15"/>
      <c r="AU21" s="15"/>
      <c r="AV21" s="15">
        <v>2313</v>
      </c>
    </row>
    <row r="22" spans="1:48" x14ac:dyDescent="0.35">
      <c r="A22" t="s">
        <v>230</v>
      </c>
      <c r="B22" s="15">
        <v>1791</v>
      </c>
      <c r="C22" s="15"/>
      <c r="D22" s="15"/>
      <c r="E22" s="15">
        <v>718</v>
      </c>
      <c r="F22" s="15">
        <v>2367</v>
      </c>
      <c r="G22" s="15">
        <v>20392</v>
      </c>
      <c r="H22" s="15">
        <v>155</v>
      </c>
      <c r="I22" s="15"/>
      <c r="J22" s="15"/>
      <c r="K22" s="15">
        <v>31</v>
      </c>
      <c r="L22" s="15"/>
      <c r="M22" s="15">
        <v>11</v>
      </c>
      <c r="N22" s="15">
        <v>257</v>
      </c>
      <c r="O22" s="15"/>
      <c r="P22" s="15"/>
      <c r="Q22" s="15">
        <v>0</v>
      </c>
      <c r="R22" s="15">
        <v>668</v>
      </c>
      <c r="S22" s="15"/>
      <c r="T22" s="15"/>
      <c r="U22" s="15"/>
      <c r="V22" s="15"/>
      <c r="W22" s="15">
        <v>47</v>
      </c>
      <c r="X22" s="15"/>
      <c r="Y22" s="15">
        <v>0</v>
      </c>
      <c r="Z22" s="15">
        <v>4286</v>
      </c>
      <c r="AA22" s="15"/>
      <c r="AB22" s="15"/>
      <c r="AC22" s="15">
        <v>548</v>
      </c>
      <c r="AD22" s="15"/>
      <c r="AE22" s="15">
        <v>26</v>
      </c>
      <c r="AF22" s="15"/>
      <c r="AG22" s="15">
        <v>245</v>
      </c>
      <c r="AH22" s="15"/>
      <c r="AI22" s="15">
        <v>634</v>
      </c>
      <c r="AJ22" s="15">
        <v>0</v>
      </c>
      <c r="AK22" s="15">
        <v>163</v>
      </c>
      <c r="AL22" s="15">
        <v>1168</v>
      </c>
      <c r="AM22" s="15"/>
      <c r="AN22" s="15"/>
      <c r="AO22" s="15">
        <v>136</v>
      </c>
      <c r="AP22" s="15">
        <v>426</v>
      </c>
      <c r="AQ22" s="15">
        <v>463</v>
      </c>
      <c r="AR22" s="15">
        <v>690</v>
      </c>
      <c r="AS22" s="15">
        <v>233</v>
      </c>
      <c r="AT22" s="15">
        <v>461</v>
      </c>
      <c r="AU22" s="15"/>
      <c r="AV22" s="15">
        <v>657</v>
      </c>
    </row>
    <row r="23" spans="1:48" x14ac:dyDescent="0.35">
      <c r="A23" t="s">
        <v>231</v>
      </c>
      <c r="B23" s="15">
        <v>102</v>
      </c>
      <c r="C23" s="15"/>
      <c r="D23" s="15"/>
      <c r="E23" s="15"/>
      <c r="F23" s="15">
        <v>352</v>
      </c>
      <c r="G23" s="15">
        <v>45</v>
      </c>
      <c r="H23" s="15">
        <v>154</v>
      </c>
      <c r="I23" s="15"/>
      <c r="J23" s="15">
        <v>87</v>
      </c>
      <c r="K23" s="15">
        <v>9</v>
      </c>
      <c r="L23" s="15"/>
      <c r="M23" s="15">
        <v>273</v>
      </c>
      <c r="N23" s="15">
        <v>97</v>
      </c>
      <c r="O23" s="15"/>
      <c r="P23" s="15"/>
      <c r="Q23" s="15">
        <v>23</v>
      </c>
      <c r="R23" s="15">
        <v>87</v>
      </c>
      <c r="S23" s="15">
        <v>28</v>
      </c>
      <c r="T23" s="15"/>
      <c r="U23" s="15"/>
      <c r="V23" s="15"/>
      <c r="W23" s="15">
        <v>0</v>
      </c>
      <c r="X23" s="15">
        <v>30</v>
      </c>
      <c r="Y23" s="15">
        <v>5</v>
      </c>
      <c r="Z23" s="15">
        <v>206</v>
      </c>
      <c r="AA23" s="15">
        <v>20</v>
      </c>
      <c r="AB23" s="15"/>
      <c r="AC23" s="15">
        <v>33</v>
      </c>
      <c r="AD23" s="15">
        <v>69</v>
      </c>
      <c r="AE23" s="15">
        <v>25</v>
      </c>
      <c r="AF23" s="15">
        <v>55</v>
      </c>
      <c r="AG23" s="15">
        <v>44</v>
      </c>
      <c r="AH23" s="15"/>
      <c r="AI23" s="15">
        <v>144</v>
      </c>
      <c r="AJ23" s="15">
        <v>12</v>
      </c>
      <c r="AK23" s="15">
        <v>2</v>
      </c>
      <c r="AL23" s="15"/>
      <c r="AM23" s="15"/>
      <c r="AN23" s="15">
        <v>24</v>
      </c>
      <c r="AO23" s="15">
        <v>69</v>
      </c>
      <c r="AP23" s="15">
        <v>273</v>
      </c>
      <c r="AQ23" s="15">
        <v>61</v>
      </c>
      <c r="AR23" s="15">
        <v>55</v>
      </c>
      <c r="AS23" s="15">
        <v>10</v>
      </c>
      <c r="AT23" s="15">
        <v>37</v>
      </c>
      <c r="AU23" s="15"/>
      <c r="AV23" s="15"/>
    </row>
    <row r="24" spans="1:48" x14ac:dyDescent="0.35">
      <c r="A24" t="s">
        <v>232</v>
      </c>
      <c r="B24" s="15"/>
      <c r="C24" s="15"/>
      <c r="D24" s="15"/>
      <c r="E24" s="15"/>
      <c r="F24" s="15"/>
      <c r="G24" s="15"/>
      <c r="H24" s="15"/>
      <c r="I24" s="15"/>
      <c r="J24" s="15"/>
      <c r="K24" s="15">
        <v>0</v>
      </c>
      <c r="L24" s="15"/>
      <c r="M24" s="15"/>
      <c r="N24" s="15"/>
      <c r="O24" s="15">
        <v>1563</v>
      </c>
      <c r="P24" s="15"/>
      <c r="Q24" s="15">
        <v>0</v>
      </c>
      <c r="R24" s="15">
        <v>132</v>
      </c>
      <c r="S24" s="15"/>
      <c r="T24" s="15">
        <v>4140</v>
      </c>
      <c r="U24" s="15"/>
      <c r="V24" s="15"/>
      <c r="W24" s="15">
        <v>0</v>
      </c>
      <c r="X24" s="15"/>
      <c r="Y24" s="15">
        <v>0</v>
      </c>
      <c r="Z24" s="15">
        <v>0</v>
      </c>
      <c r="AA24" s="15"/>
      <c r="AB24" s="15"/>
      <c r="AC24" s="15">
        <v>0</v>
      </c>
      <c r="AD24" s="15"/>
      <c r="AE24" s="15"/>
      <c r="AF24" s="15"/>
      <c r="AG24" s="15">
        <v>889</v>
      </c>
      <c r="AH24" s="15"/>
      <c r="AI24" s="15">
        <v>3378</v>
      </c>
      <c r="AJ24" s="15">
        <v>0</v>
      </c>
      <c r="AK24" s="15"/>
      <c r="AL24" s="15"/>
      <c r="AM24" s="15"/>
      <c r="AN24" s="15"/>
      <c r="AO24" s="15"/>
      <c r="AP24" s="15"/>
      <c r="AQ24" s="15">
        <v>0</v>
      </c>
      <c r="AR24" s="15"/>
      <c r="AS24" s="15"/>
      <c r="AT24" s="15"/>
      <c r="AU24" s="15"/>
      <c r="AV24" s="15"/>
    </row>
    <row r="25" spans="1:48" x14ac:dyDescent="0.35">
      <c r="A25" t="s">
        <v>233</v>
      </c>
      <c r="B25" s="15"/>
      <c r="C25" s="15"/>
      <c r="D25" s="15"/>
      <c r="E25" s="15"/>
      <c r="F25" s="15">
        <v>5283</v>
      </c>
      <c r="G25" s="15">
        <v>354339</v>
      </c>
      <c r="H25" s="15"/>
      <c r="I25" s="15"/>
      <c r="J25" s="15"/>
      <c r="K25" s="15">
        <v>3</v>
      </c>
      <c r="L25" s="15"/>
      <c r="M25" s="15">
        <v>110</v>
      </c>
      <c r="N25" s="15"/>
      <c r="O25" s="15">
        <v>113</v>
      </c>
      <c r="P25" s="15"/>
      <c r="Q25" s="15">
        <v>0</v>
      </c>
      <c r="R25" s="15">
        <v>20</v>
      </c>
      <c r="S25" s="15">
        <v>18</v>
      </c>
      <c r="T25" s="15"/>
      <c r="U25" s="15"/>
      <c r="V25" s="15"/>
      <c r="W25" s="15">
        <v>0</v>
      </c>
      <c r="X25" s="15"/>
      <c r="Y25" s="15">
        <v>0</v>
      </c>
      <c r="Z25" s="15">
        <v>2153</v>
      </c>
      <c r="AA25" s="15"/>
      <c r="AB25" s="15"/>
      <c r="AC25" s="15">
        <v>68</v>
      </c>
      <c r="AD25" s="15"/>
      <c r="AE25" s="15"/>
      <c r="AF25" s="15">
        <v>302</v>
      </c>
      <c r="AG25" s="15"/>
      <c r="AH25" s="15"/>
      <c r="AI25" s="15">
        <v>122</v>
      </c>
      <c r="AJ25" s="15">
        <v>0</v>
      </c>
      <c r="AK25" s="15"/>
      <c r="AL25" s="15"/>
      <c r="AM25" s="15"/>
      <c r="AN25" s="15"/>
      <c r="AO25" s="15"/>
      <c r="AP25" s="15"/>
      <c r="AQ25" s="15">
        <v>0</v>
      </c>
      <c r="AR25" s="15">
        <v>265</v>
      </c>
      <c r="AS25" s="15">
        <v>49</v>
      </c>
      <c r="AT25" s="15"/>
      <c r="AU25" s="15"/>
      <c r="AV25" s="15">
        <v>787</v>
      </c>
    </row>
    <row r="26" spans="1:48" x14ac:dyDescent="0.35">
      <c r="A26" t="s">
        <v>234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0</v>
      </c>
      <c r="L26" s="15"/>
      <c r="M26" s="15"/>
      <c r="N26" s="15"/>
      <c r="O26" s="15"/>
      <c r="P26" s="15"/>
      <c r="Q26" s="15">
        <v>0</v>
      </c>
      <c r="R26" s="15">
        <v>0</v>
      </c>
      <c r="S26" s="15"/>
      <c r="T26" s="15"/>
      <c r="U26" s="15"/>
      <c r="V26" s="15"/>
      <c r="W26" s="15">
        <v>0</v>
      </c>
      <c r="X26" s="15"/>
      <c r="Y26" s="15">
        <v>0</v>
      </c>
      <c r="Z26" s="15">
        <v>0</v>
      </c>
      <c r="AA26" s="15"/>
      <c r="AB26" s="15"/>
      <c r="AC26" s="15">
        <v>0</v>
      </c>
      <c r="AD26" s="15"/>
      <c r="AE26" s="15"/>
      <c r="AF26" s="15"/>
      <c r="AG26" s="15"/>
      <c r="AH26" s="15"/>
      <c r="AI26" s="15"/>
      <c r="AJ26" s="15">
        <v>0</v>
      </c>
      <c r="AK26" s="15"/>
      <c r="AL26" s="15"/>
      <c r="AM26" s="15"/>
      <c r="AN26" s="15"/>
      <c r="AO26" s="15"/>
      <c r="AP26" s="15"/>
      <c r="AQ26" s="15">
        <v>0</v>
      </c>
      <c r="AR26" s="15"/>
      <c r="AS26" s="15"/>
      <c r="AT26" s="15"/>
      <c r="AU26" s="15"/>
      <c r="AV26" s="15"/>
    </row>
    <row r="27" spans="1:48" x14ac:dyDescent="0.35">
      <c r="A27" t="s">
        <v>235</v>
      </c>
      <c r="B27" s="15"/>
      <c r="C27" s="15"/>
      <c r="D27" s="15"/>
      <c r="E27" s="15">
        <v>528</v>
      </c>
      <c r="F27" s="15">
        <v>1469</v>
      </c>
      <c r="G27" s="15">
        <v>4262</v>
      </c>
      <c r="H27" s="15">
        <v>478</v>
      </c>
      <c r="I27" s="15"/>
      <c r="J27" s="15"/>
      <c r="K27" s="15">
        <v>76</v>
      </c>
      <c r="L27" s="15"/>
      <c r="M27" s="15">
        <v>107</v>
      </c>
      <c r="N27" s="15"/>
      <c r="O27" s="15">
        <v>82</v>
      </c>
      <c r="P27" s="15"/>
      <c r="Q27" s="15">
        <v>0</v>
      </c>
      <c r="R27" s="15">
        <v>4864</v>
      </c>
      <c r="S27" s="15"/>
      <c r="T27" s="15"/>
      <c r="U27" s="15"/>
      <c r="V27" s="15"/>
      <c r="W27" s="15">
        <v>2703</v>
      </c>
      <c r="X27" s="15"/>
      <c r="Y27" s="15">
        <v>51</v>
      </c>
      <c r="Z27" s="15">
        <v>0</v>
      </c>
      <c r="AA27" s="15"/>
      <c r="AB27" s="15"/>
      <c r="AC27" s="15">
        <v>610</v>
      </c>
      <c r="AD27" s="15"/>
      <c r="AE27" s="15"/>
      <c r="AF27" s="15">
        <v>276</v>
      </c>
      <c r="AG27" s="15">
        <v>289</v>
      </c>
      <c r="AH27" s="15"/>
      <c r="AI27" s="15">
        <v>237</v>
      </c>
      <c r="AJ27" s="15">
        <v>0</v>
      </c>
      <c r="AK27" s="15">
        <v>38</v>
      </c>
      <c r="AL27" s="15"/>
      <c r="AM27" s="15"/>
      <c r="AN27" s="15"/>
      <c r="AO27" s="15"/>
      <c r="AP27" s="15">
        <v>1249</v>
      </c>
      <c r="AQ27" s="15">
        <v>2633</v>
      </c>
      <c r="AR27" s="15"/>
      <c r="AS27" s="15">
        <v>141</v>
      </c>
      <c r="AT27" s="15"/>
      <c r="AU27" s="15"/>
      <c r="AV27" s="15">
        <v>543</v>
      </c>
    </row>
    <row r="28" spans="1:48" x14ac:dyDescent="0.35">
      <c r="A28" t="s">
        <v>236</v>
      </c>
      <c r="B28" s="15"/>
      <c r="C28" s="15"/>
      <c r="D28" s="15"/>
      <c r="E28" s="15">
        <v>4695</v>
      </c>
      <c r="F28" s="15"/>
      <c r="G28" s="15"/>
      <c r="H28" s="15"/>
      <c r="I28" s="15"/>
      <c r="J28" s="15"/>
      <c r="K28" s="15">
        <v>33</v>
      </c>
      <c r="L28" s="15"/>
      <c r="M28" s="15">
        <v>2072</v>
      </c>
      <c r="N28" s="15"/>
      <c r="O28" s="15">
        <v>159</v>
      </c>
      <c r="P28" s="15"/>
      <c r="Q28" s="15">
        <v>0</v>
      </c>
      <c r="R28" s="15">
        <v>1195</v>
      </c>
      <c r="S28" s="15"/>
      <c r="T28" s="15"/>
      <c r="U28" s="15"/>
      <c r="V28" s="15"/>
      <c r="W28" s="15">
        <v>0</v>
      </c>
      <c r="X28" s="15"/>
      <c r="Y28" s="15">
        <v>0</v>
      </c>
      <c r="Z28" s="15">
        <v>0</v>
      </c>
      <c r="AA28" s="15"/>
      <c r="AB28" s="15"/>
      <c r="AC28" s="15">
        <v>561</v>
      </c>
      <c r="AD28" s="15"/>
      <c r="AE28" s="15"/>
      <c r="AF28" s="15">
        <v>3337</v>
      </c>
      <c r="AG28" s="15">
        <v>51</v>
      </c>
      <c r="AH28" s="15"/>
      <c r="AI28" s="15"/>
      <c r="AJ28" s="15">
        <v>0</v>
      </c>
      <c r="AK28" s="15"/>
      <c r="AL28" s="15">
        <v>26692</v>
      </c>
      <c r="AM28" s="15"/>
      <c r="AN28" s="15"/>
      <c r="AO28" s="15"/>
      <c r="AP28" s="15"/>
      <c r="AQ28" s="15">
        <v>0</v>
      </c>
      <c r="AR28" s="15"/>
      <c r="AS28" s="15">
        <v>381</v>
      </c>
      <c r="AT28" s="15">
        <v>1377</v>
      </c>
      <c r="AU28" s="15"/>
      <c r="AV28" s="15"/>
    </row>
    <row r="29" spans="1:48" x14ac:dyDescent="0.35">
      <c r="A29" t="s">
        <v>237</v>
      </c>
      <c r="B29" s="15"/>
      <c r="C29" s="15"/>
      <c r="D29" s="15"/>
      <c r="E29" s="15"/>
      <c r="F29" s="15"/>
      <c r="G29" s="15"/>
      <c r="H29" s="15"/>
      <c r="I29" s="15"/>
      <c r="J29" s="15"/>
      <c r="K29" s="15">
        <v>5</v>
      </c>
      <c r="L29" s="15"/>
      <c r="M29" s="15"/>
      <c r="N29" s="15"/>
      <c r="O29" s="15">
        <v>63</v>
      </c>
      <c r="P29" s="15"/>
      <c r="Q29" s="15">
        <v>0</v>
      </c>
      <c r="R29" s="15">
        <v>118</v>
      </c>
      <c r="S29" s="15">
        <v>104</v>
      </c>
      <c r="T29" s="15"/>
      <c r="U29" s="15">
        <v>282</v>
      </c>
      <c r="V29" s="15"/>
      <c r="W29" s="15">
        <v>2471</v>
      </c>
      <c r="X29" s="15"/>
      <c r="Y29" s="15">
        <v>0</v>
      </c>
      <c r="Z29" s="15">
        <v>0</v>
      </c>
      <c r="AA29" s="15"/>
      <c r="AB29" s="15"/>
      <c r="AC29" s="15">
        <v>1661</v>
      </c>
      <c r="AD29" s="15">
        <v>1481</v>
      </c>
      <c r="AE29" s="15"/>
      <c r="AF29" s="15"/>
      <c r="AG29" s="15">
        <v>5</v>
      </c>
      <c r="AH29" s="15"/>
      <c r="AI29" s="15"/>
      <c r="AJ29" s="15">
        <v>0</v>
      </c>
      <c r="AK29" s="15"/>
      <c r="AL29" s="15"/>
      <c r="AM29" s="15"/>
      <c r="AN29" s="15"/>
      <c r="AO29" s="15"/>
      <c r="AP29" s="15">
        <v>14531</v>
      </c>
      <c r="AQ29" s="15">
        <v>7144</v>
      </c>
      <c r="AR29" s="15"/>
      <c r="AS29" s="15"/>
      <c r="AT29" s="15">
        <v>595</v>
      </c>
      <c r="AU29" s="15"/>
      <c r="AV29" s="15">
        <v>2337</v>
      </c>
    </row>
    <row r="30" spans="1:48" x14ac:dyDescent="0.35">
      <c r="A30" t="s">
        <v>238</v>
      </c>
      <c r="B30" s="15"/>
      <c r="C30" s="15"/>
      <c r="D30" s="15"/>
      <c r="E30" s="15"/>
      <c r="F30" s="15">
        <v>13915</v>
      </c>
      <c r="G30" s="15">
        <v>38712</v>
      </c>
      <c r="H30" s="15">
        <v>228</v>
      </c>
      <c r="I30" s="15"/>
      <c r="J30" s="15"/>
      <c r="K30" s="15">
        <v>28</v>
      </c>
      <c r="L30" s="15"/>
      <c r="M30" s="15">
        <v>12</v>
      </c>
      <c r="N30" s="15">
        <v>1602</v>
      </c>
      <c r="O30" s="15">
        <v>318</v>
      </c>
      <c r="P30" s="15"/>
      <c r="Q30" s="15">
        <v>0</v>
      </c>
      <c r="R30" s="15">
        <v>161</v>
      </c>
      <c r="S30" s="15">
        <v>1028</v>
      </c>
      <c r="T30" s="15"/>
      <c r="U30" s="15">
        <v>228</v>
      </c>
      <c r="V30" s="15"/>
      <c r="W30" s="15">
        <v>477</v>
      </c>
      <c r="X30" s="15"/>
      <c r="Y30" s="15">
        <v>197</v>
      </c>
      <c r="Z30" s="15">
        <v>636</v>
      </c>
      <c r="AA30" s="15"/>
      <c r="AB30" s="15"/>
      <c r="AC30" s="15">
        <v>189</v>
      </c>
      <c r="AD30" s="15"/>
      <c r="AE30" s="15">
        <v>224</v>
      </c>
      <c r="AF30" s="15">
        <v>2040</v>
      </c>
      <c r="AG30" s="15">
        <v>1065</v>
      </c>
      <c r="AH30" s="15"/>
      <c r="AI30" s="15">
        <v>252</v>
      </c>
      <c r="AJ30" s="15">
        <v>0</v>
      </c>
      <c r="AK30" s="15">
        <v>298</v>
      </c>
      <c r="AL30" s="15"/>
      <c r="AM30" s="15"/>
      <c r="AN30" s="15">
        <v>777</v>
      </c>
      <c r="AO30" s="15">
        <v>418</v>
      </c>
      <c r="AP30" s="15">
        <v>13380</v>
      </c>
      <c r="AQ30" s="15">
        <v>1474</v>
      </c>
      <c r="AR30" s="15">
        <v>795</v>
      </c>
      <c r="AS30" s="15">
        <v>267</v>
      </c>
      <c r="AT30" s="15">
        <v>887</v>
      </c>
      <c r="AU30" s="15"/>
      <c r="AV30" s="15">
        <v>4743</v>
      </c>
    </row>
    <row r="31" spans="1:48" x14ac:dyDescent="0.35">
      <c r="A31" t="s">
        <v>239</v>
      </c>
      <c r="B31" s="15"/>
      <c r="C31" s="15"/>
      <c r="D31" s="15"/>
      <c r="E31" s="15"/>
      <c r="F31" s="15">
        <v>0</v>
      </c>
      <c r="G31" s="15">
        <v>36833</v>
      </c>
      <c r="H31" s="15">
        <v>231</v>
      </c>
      <c r="I31" s="15"/>
      <c r="J31" s="15"/>
      <c r="K31" s="15">
        <v>0</v>
      </c>
      <c r="L31" s="15"/>
      <c r="M31" s="15">
        <v>9</v>
      </c>
      <c r="N31" s="15"/>
      <c r="O31" s="15">
        <v>191</v>
      </c>
      <c r="P31" s="15"/>
      <c r="Q31" s="15">
        <v>0</v>
      </c>
      <c r="R31" s="15">
        <v>293</v>
      </c>
      <c r="S31" s="15">
        <v>1028</v>
      </c>
      <c r="T31" s="15"/>
      <c r="U31" s="15"/>
      <c r="V31" s="15"/>
      <c r="W31" s="15">
        <v>2139</v>
      </c>
      <c r="X31" s="15"/>
      <c r="Y31" s="15">
        <v>1</v>
      </c>
      <c r="Z31" s="15">
        <v>4663</v>
      </c>
      <c r="AA31" s="15"/>
      <c r="AB31" s="15"/>
      <c r="AC31" s="15">
        <v>81</v>
      </c>
      <c r="AD31" s="15"/>
      <c r="AE31" s="15">
        <v>270</v>
      </c>
      <c r="AF31" s="15">
        <v>335</v>
      </c>
      <c r="AG31" s="15"/>
      <c r="AH31" s="15"/>
      <c r="AI31" s="15"/>
      <c r="AJ31" s="15">
        <v>0</v>
      </c>
      <c r="AK31" s="15"/>
      <c r="AL31" s="15">
        <v>13</v>
      </c>
      <c r="AM31" s="15"/>
      <c r="AN31" s="15"/>
      <c r="AO31" s="15"/>
      <c r="AP31" s="15">
        <v>3309</v>
      </c>
      <c r="AQ31" s="15">
        <v>388</v>
      </c>
      <c r="AR31" s="15">
        <v>757</v>
      </c>
      <c r="AS31" s="15">
        <v>296</v>
      </c>
      <c r="AT31" s="15"/>
      <c r="AU31" s="15"/>
      <c r="AV31" s="15">
        <v>1198</v>
      </c>
    </row>
    <row r="32" spans="1:48" x14ac:dyDescent="0.35">
      <c r="A32" t="s">
        <v>240</v>
      </c>
      <c r="B32" s="15">
        <v>7</v>
      </c>
      <c r="C32" s="15"/>
      <c r="D32" s="15"/>
      <c r="E32" s="15"/>
      <c r="F32" s="15">
        <v>65</v>
      </c>
      <c r="G32" s="15">
        <v>280</v>
      </c>
      <c r="H32" s="15"/>
      <c r="I32" s="15"/>
      <c r="J32" s="15"/>
      <c r="K32" s="15">
        <v>0</v>
      </c>
      <c r="L32" s="15"/>
      <c r="M32" s="15"/>
      <c r="N32" s="15"/>
      <c r="O32" s="15"/>
      <c r="P32" s="15"/>
      <c r="Q32" s="15">
        <v>0</v>
      </c>
      <c r="R32" s="15">
        <v>8</v>
      </c>
      <c r="S32" s="15"/>
      <c r="T32" s="15"/>
      <c r="U32" s="15"/>
      <c r="V32" s="15"/>
      <c r="W32" s="15">
        <v>0</v>
      </c>
      <c r="X32" s="15"/>
      <c r="Y32" s="15">
        <v>0</v>
      </c>
      <c r="Z32" s="15">
        <v>0</v>
      </c>
      <c r="AA32" s="15"/>
      <c r="AB32" s="15"/>
      <c r="AC32" s="15">
        <v>0</v>
      </c>
      <c r="AD32" s="15"/>
      <c r="AE32" s="15"/>
      <c r="AF32" s="15">
        <v>72</v>
      </c>
      <c r="AG32" s="15"/>
      <c r="AH32" s="15"/>
      <c r="AI32" s="15"/>
      <c r="AJ32" s="15">
        <v>0</v>
      </c>
      <c r="AK32" s="15"/>
      <c r="AL32" s="15">
        <v>275</v>
      </c>
      <c r="AM32" s="15"/>
      <c r="AN32" s="15"/>
      <c r="AO32" s="15"/>
      <c r="AP32" s="15"/>
      <c r="AQ32" s="15">
        <v>5</v>
      </c>
      <c r="AR32" s="15"/>
      <c r="AS32" s="15"/>
      <c r="AT32" s="15"/>
      <c r="AU32" s="15"/>
      <c r="AV32" s="15">
        <v>12</v>
      </c>
    </row>
    <row r="33" spans="1:48" x14ac:dyDescent="0.35">
      <c r="A33" t="s">
        <v>241</v>
      </c>
      <c r="B33" s="15">
        <v>44</v>
      </c>
      <c r="C33" s="15"/>
      <c r="D33" s="15"/>
      <c r="E33" s="15"/>
      <c r="F33" s="15"/>
      <c r="G33" s="15"/>
      <c r="H33" s="15"/>
      <c r="I33" s="15"/>
      <c r="J33" s="15"/>
      <c r="K33" s="15">
        <v>0</v>
      </c>
      <c r="L33" s="15"/>
      <c r="M33" s="15">
        <v>117</v>
      </c>
      <c r="N33" s="15"/>
      <c r="O33" s="15">
        <v>74</v>
      </c>
      <c r="P33" s="15"/>
      <c r="Q33" s="15">
        <v>0</v>
      </c>
      <c r="R33" s="15">
        <v>85</v>
      </c>
      <c r="S33" s="15"/>
      <c r="T33" s="15"/>
      <c r="U33" s="15"/>
      <c r="V33" s="15"/>
      <c r="W33" s="15">
        <v>3555</v>
      </c>
      <c r="X33" s="15"/>
      <c r="Y33" s="15">
        <v>0</v>
      </c>
      <c r="Z33" s="15">
        <v>0</v>
      </c>
      <c r="AA33" s="15"/>
      <c r="AB33" s="15"/>
      <c r="AC33" s="15">
        <v>0</v>
      </c>
      <c r="AD33" s="15"/>
      <c r="AE33" s="15">
        <v>378</v>
      </c>
      <c r="AF33" s="15">
        <v>172</v>
      </c>
      <c r="AG33" s="15"/>
      <c r="AH33" s="15"/>
      <c r="AI33" s="15"/>
      <c r="AJ33" s="15">
        <v>0</v>
      </c>
      <c r="AK33" s="15">
        <v>195</v>
      </c>
      <c r="AL33" s="15"/>
      <c r="AM33" s="15"/>
      <c r="AN33" s="15"/>
      <c r="AO33" s="15"/>
      <c r="AP33" s="15"/>
      <c r="AQ33" s="15">
        <v>0</v>
      </c>
      <c r="AR33" s="15"/>
      <c r="AS33" s="15"/>
      <c r="AT33" s="15"/>
      <c r="AU33" s="15"/>
      <c r="AV33" s="15">
        <v>724</v>
      </c>
    </row>
    <row r="34" spans="1:48" x14ac:dyDescent="0.35">
      <c r="A34" t="s">
        <v>242</v>
      </c>
      <c r="B34" s="15"/>
      <c r="C34" s="15"/>
      <c r="D34" s="15"/>
      <c r="E34" s="15"/>
      <c r="F34" s="15"/>
      <c r="G34" s="15"/>
      <c r="H34" s="15">
        <v>0</v>
      </c>
      <c r="I34" s="15"/>
      <c r="J34" s="15"/>
      <c r="K34" s="15">
        <v>0</v>
      </c>
      <c r="L34" s="15"/>
      <c r="M34" s="15"/>
      <c r="N34" s="15"/>
      <c r="O34" s="15"/>
      <c r="P34" s="15"/>
      <c r="Q34" s="15">
        <v>2349</v>
      </c>
      <c r="R34" s="15">
        <v>3</v>
      </c>
      <c r="S34" s="15"/>
      <c r="T34" s="15"/>
      <c r="U34" s="15"/>
      <c r="V34" s="15"/>
      <c r="W34" s="15">
        <v>0</v>
      </c>
      <c r="X34" s="15">
        <v>1</v>
      </c>
      <c r="Y34" s="15">
        <v>0</v>
      </c>
      <c r="Z34" s="15">
        <v>0</v>
      </c>
      <c r="AA34" s="15"/>
      <c r="AB34" s="15"/>
      <c r="AC34" s="15">
        <v>12</v>
      </c>
      <c r="AD34" s="15"/>
      <c r="AE34" s="15"/>
      <c r="AF34" s="15"/>
      <c r="AG34" s="15"/>
      <c r="AH34" s="15"/>
      <c r="AI34" s="15"/>
      <c r="AJ34" s="15">
        <v>6</v>
      </c>
      <c r="AK34" s="15"/>
      <c r="AL34" s="15"/>
      <c r="AM34" s="15"/>
      <c r="AN34" s="15"/>
      <c r="AO34" s="15"/>
      <c r="AP34" s="15"/>
      <c r="AQ34" s="15">
        <v>0</v>
      </c>
      <c r="AR34" s="15"/>
      <c r="AS34" s="15"/>
      <c r="AT34" s="15"/>
      <c r="AU34" s="15"/>
      <c r="AV34" s="15"/>
    </row>
    <row r="35" spans="1:48" x14ac:dyDescent="0.35">
      <c r="A35" t="s">
        <v>243</v>
      </c>
      <c r="B35" s="15">
        <v>2</v>
      </c>
      <c r="C35" s="15"/>
      <c r="D35" s="15"/>
      <c r="E35" s="15"/>
      <c r="F35" s="15"/>
      <c r="G35" s="15"/>
      <c r="H35" s="15"/>
      <c r="I35" s="15"/>
      <c r="J35" s="15"/>
      <c r="K35" s="15">
        <v>0</v>
      </c>
      <c r="L35" s="15"/>
      <c r="M35" s="15"/>
      <c r="N35" s="15">
        <v>4</v>
      </c>
      <c r="O35" s="15"/>
      <c r="P35" s="15"/>
      <c r="Q35" s="15">
        <v>0</v>
      </c>
      <c r="R35" s="15">
        <v>83</v>
      </c>
      <c r="S35" s="15"/>
      <c r="T35" s="15">
        <v>148</v>
      </c>
      <c r="U35" s="15"/>
      <c r="V35" s="15"/>
      <c r="W35" s="15">
        <v>0</v>
      </c>
      <c r="X35" s="15"/>
      <c r="Y35" s="15">
        <v>0</v>
      </c>
      <c r="Z35" s="15">
        <v>0</v>
      </c>
      <c r="AA35" s="15"/>
      <c r="AB35" s="15"/>
      <c r="AC35" s="15">
        <v>0</v>
      </c>
      <c r="AD35" s="15"/>
      <c r="AE35" s="15"/>
      <c r="AF35" s="15"/>
      <c r="AG35" s="15"/>
      <c r="AH35" s="15"/>
      <c r="AI35" s="15">
        <v>109</v>
      </c>
      <c r="AJ35" s="15">
        <v>0</v>
      </c>
      <c r="AK35" s="15"/>
      <c r="AL35" s="15"/>
      <c r="AM35" s="15"/>
      <c r="AN35" s="15"/>
      <c r="AO35" s="15"/>
      <c r="AP35" s="15"/>
      <c r="AQ35" s="15">
        <v>0</v>
      </c>
      <c r="AR35" s="15"/>
      <c r="AS35" s="15"/>
      <c r="AT35" s="15"/>
      <c r="AU35" s="15"/>
      <c r="AV35" s="15"/>
    </row>
    <row r="36" spans="1:48" x14ac:dyDescent="0.35">
      <c r="A36" t="s">
        <v>244</v>
      </c>
      <c r="B36" s="15">
        <v>3608</v>
      </c>
      <c r="C36" s="15"/>
      <c r="D36" s="15"/>
      <c r="E36" s="15"/>
      <c r="F36" s="15">
        <v>0</v>
      </c>
      <c r="G36" s="15"/>
      <c r="H36" s="15">
        <v>43</v>
      </c>
      <c r="I36" s="15"/>
      <c r="J36" s="15"/>
      <c r="K36" s="15">
        <v>0</v>
      </c>
      <c r="L36" s="15"/>
      <c r="M36" s="15">
        <v>20</v>
      </c>
      <c r="N36" s="15"/>
      <c r="O36" s="15"/>
      <c r="P36" s="15"/>
      <c r="Q36" s="15">
        <v>0</v>
      </c>
      <c r="R36" s="15">
        <v>77</v>
      </c>
      <c r="S36" s="15">
        <v>126</v>
      </c>
      <c r="T36" s="15">
        <v>4</v>
      </c>
      <c r="U36" s="15"/>
      <c r="V36" s="15"/>
      <c r="W36" s="15">
        <v>0</v>
      </c>
      <c r="X36" s="15">
        <v>0</v>
      </c>
      <c r="Y36" s="15">
        <v>171</v>
      </c>
      <c r="Z36" s="15">
        <v>0</v>
      </c>
      <c r="AA36" s="15"/>
      <c r="AB36" s="15"/>
      <c r="AC36" s="15">
        <v>0</v>
      </c>
      <c r="AD36" s="15"/>
      <c r="AE36" s="15"/>
      <c r="AF36" s="15">
        <v>7082</v>
      </c>
      <c r="AG36" s="15"/>
      <c r="AH36" s="15"/>
      <c r="AI36" s="15"/>
      <c r="AJ36" s="15">
        <v>0</v>
      </c>
      <c r="AK36" s="15">
        <v>2087</v>
      </c>
      <c r="AL36" s="15"/>
      <c r="AM36" s="15"/>
      <c r="AN36" s="15"/>
      <c r="AO36" s="15"/>
      <c r="AP36" s="15">
        <v>8698</v>
      </c>
      <c r="AQ36" s="15">
        <v>0</v>
      </c>
      <c r="AR36" s="15"/>
      <c r="AS36" s="15"/>
      <c r="AT36" s="15">
        <v>821</v>
      </c>
      <c r="AU36" s="15"/>
      <c r="AV36" s="15"/>
    </row>
    <row r="37" spans="1:48" x14ac:dyDescent="0.35">
      <c r="A37" t="s">
        <v>245</v>
      </c>
      <c r="B37" s="15">
        <v>5686</v>
      </c>
      <c r="C37" s="15"/>
      <c r="D37" s="15"/>
      <c r="E37" s="15">
        <v>2640</v>
      </c>
      <c r="F37" s="15">
        <v>21993</v>
      </c>
      <c r="G37" s="15">
        <v>146787</v>
      </c>
      <c r="H37" s="15">
        <v>867</v>
      </c>
      <c r="I37" s="15">
        <v>1340</v>
      </c>
      <c r="J37" s="15"/>
      <c r="K37" s="15">
        <v>0</v>
      </c>
      <c r="L37" s="15"/>
      <c r="M37" s="15">
        <v>2</v>
      </c>
      <c r="N37" s="15">
        <v>2055</v>
      </c>
      <c r="O37" s="15"/>
      <c r="P37" s="15"/>
      <c r="Q37" s="15">
        <v>0</v>
      </c>
      <c r="R37" s="15">
        <v>1578</v>
      </c>
      <c r="S37" s="15">
        <v>657</v>
      </c>
      <c r="T37" s="15">
        <v>7421</v>
      </c>
      <c r="U37" s="15">
        <v>23</v>
      </c>
      <c r="V37" s="15"/>
      <c r="W37" s="15">
        <v>23882</v>
      </c>
      <c r="X37" s="15">
        <v>777</v>
      </c>
      <c r="Y37" s="15">
        <v>26</v>
      </c>
      <c r="Z37" s="15">
        <v>137</v>
      </c>
      <c r="AA37" s="15">
        <v>769</v>
      </c>
      <c r="AB37" s="15"/>
      <c r="AC37" s="15">
        <v>0</v>
      </c>
      <c r="AD37" s="15">
        <v>1629</v>
      </c>
      <c r="AE37" s="15"/>
      <c r="AF37" s="15">
        <v>38</v>
      </c>
      <c r="AG37" s="15">
        <v>7</v>
      </c>
      <c r="AH37" s="15"/>
      <c r="AI37" s="15">
        <v>2803</v>
      </c>
      <c r="AJ37" s="15">
        <v>156</v>
      </c>
      <c r="AK37" s="15">
        <v>184</v>
      </c>
      <c r="AL37" s="15"/>
      <c r="AM37" s="15"/>
      <c r="AN37" s="15">
        <v>907</v>
      </c>
      <c r="AO37" s="15">
        <v>718</v>
      </c>
      <c r="AP37" s="15"/>
      <c r="AQ37" s="15">
        <v>9202</v>
      </c>
      <c r="AR37" s="15">
        <v>2796</v>
      </c>
      <c r="AS37" s="15">
        <v>67</v>
      </c>
      <c r="AT37" s="15">
        <v>1043</v>
      </c>
      <c r="AU37" s="15"/>
      <c r="AV37" s="15"/>
    </row>
    <row r="38" spans="1:48" x14ac:dyDescent="0.35">
      <c r="A38" t="s">
        <v>246</v>
      </c>
      <c r="B38" s="15"/>
      <c r="C38" s="15"/>
      <c r="D38" s="15"/>
      <c r="E38" s="15"/>
      <c r="F38" s="15">
        <v>0</v>
      </c>
      <c r="G38" s="15"/>
      <c r="H38" s="15">
        <v>10</v>
      </c>
      <c r="I38" s="15"/>
      <c r="J38" s="15"/>
      <c r="K38" s="15">
        <v>0</v>
      </c>
      <c r="L38" s="15"/>
      <c r="M38" s="15">
        <v>0</v>
      </c>
      <c r="N38" s="15"/>
      <c r="O38" s="15"/>
      <c r="P38" s="15"/>
      <c r="Q38" s="15">
        <v>0</v>
      </c>
      <c r="R38" s="15">
        <v>19</v>
      </c>
      <c r="S38" s="15"/>
      <c r="T38" s="15"/>
      <c r="U38" s="15"/>
      <c r="V38" s="15"/>
      <c r="W38" s="15">
        <v>0</v>
      </c>
      <c r="X38" s="15">
        <v>0</v>
      </c>
      <c r="Y38" s="15">
        <v>0</v>
      </c>
      <c r="Z38" s="15">
        <v>0</v>
      </c>
      <c r="AA38" s="15"/>
      <c r="AB38" s="15"/>
      <c r="AC38" s="15">
        <v>616</v>
      </c>
      <c r="AD38" s="15"/>
      <c r="AE38" s="15"/>
      <c r="AF38" s="15"/>
      <c r="AG38" s="15"/>
      <c r="AH38" s="15"/>
      <c r="AI38" s="15"/>
      <c r="AJ38" s="15">
        <v>0</v>
      </c>
      <c r="AK38" s="15"/>
      <c r="AL38" s="15"/>
      <c r="AM38" s="15"/>
      <c r="AN38" s="15"/>
      <c r="AO38" s="15"/>
      <c r="AP38" s="15">
        <v>24259</v>
      </c>
      <c r="AQ38" s="15">
        <v>0</v>
      </c>
      <c r="AR38" s="15"/>
      <c r="AS38" s="15"/>
      <c r="AT38" s="15"/>
      <c r="AU38" s="15"/>
      <c r="AV38" s="15"/>
    </row>
    <row r="39" spans="1:48" x14ac:dyDescent="0.35">
      <c r="A39" t="s">
        <v>247</v>
      </c>
      <c r="B39" s="15"/>
      <c r="C39" s="15"/>
      <c r="D39" s="15"/>
      <c r="E39" s="15"/>
      <c r="F39" s="15">
        <v>0</v>
      </c>
      <c r="G39" s="15"/>
      <c r="H39" s="15">
        <v>84</v>
      </c>
      <c r="I39" s="15">
        <v>5840</v>
      </c>
      <c r="J39" s="15"/>
      <c r="K39" s="15">
        <v>0</v>
      </c>
      <c r="L39" s="15"/>
      <c r="M39" s="15">
        <v>1597</v>
      </c>
      <c r="N39" s="15"/>
      <c r="O39" s="15"/>
      <c r="P39" s="15"/>
      <c r="Q39" s="15">
        <v>0</v>
      </c>
      <c r="R39" s="15">
        <v>63</v>
      </c>
      <c r="S39" s="15"/>
      <c r="T39" s="15">
        <v>45</v>
      </c>
      <c r="U39" s="15">
        <v>1078</v>
      </c>
      <c r="V39" s="15"/>
      <c r="W39" s="15">
        <v>0</v>
      </c>
      <c r="X39" s="15">
        <v>0</v>
      </c>
      <c r="Y39" s="15">
        <v>3</v>
      </c>
      <c r="Z39" s="15">
        <v>0</v>
      </c>
      <c r="AA39" s="15"/>
      <c r="AB39" s="15"/>
      <c r="AC39" s="15">
        <v>227</v>
      </c>
      <c r="AD39" s="15"/>
      <c r="AE39" s="15"/>
      <c r="AF39" s="15"/>
      <c r="AG39" s="15"/>
      <c r="AH39" s="15"/>
      <c r="AI39" s="15"/>
      <c r="AJ39" s="15">
        <v>0</v>
      </c>
      <c r="AK39" s="15"/>
      <c r="AL39" s="15"/>
      <c r="AM39" s="15"/>
      <c r="AN39" s="15"/>
      <c r="AO39" s="15"/>
      <c r="AP39" s="15">
        <v>52772</v>
      </c>
      <c r="AQ39" s="15">
        <v>0</v>
      </c>
      <c r="AR39" s="15"/>
      <c r="AS39" s="15">
        <v>188</v>
      </c>
      <c r="AT39" s="15"/>
      <c r="AU39" s="15"/>
      <c r="AV39" s="15"/>
    </row>
    <row r="40" spans="1:48" x14ac:dyDescent="0.35">
      <c r="A40" t="s">
        <v>248</v>
      </c>
      <c r="B40" s="15">
        <v>67</v>
      </c>
      <c r="C40" s="15"/>
      <c r="D40" s="15"/>
      <c r="E40" s="15"/>
      <c r="F40" s="15">
        <v>0</v>
      </c>
      <c r="G40" s="15"/>
      <c r="H40" s="15">
        <v>3201</v>
      </c>
      <c r="I40" s="15"/>
      <c r="J40" s="15">
        <v>680</v>
      </c>
      <c r="K40" s="15">
        <v>0</v>
      </c>
      <c r="L40" s="15"/>
      <c r="M40" s="15">
        <v>37151</v>
      </c>
      <c r="N40" s="15"/>
      <c r="O40" s="15"/>
      <c r="P40" s="15"/>
      <c r="Q40" s="15">
        <v>95</v>
      </c>
      <c r="R40" s="15">
        <v>4925</v>
      </c>
      <c r="S40" s="15">
        <v>1265</v>
      </c>
      <c r="T40" s="15"/>
      <c r="U40" s="15"/>
      <c r="V40" s="15"/>
      <c r="W40" s="15">
        <v>56484</v>
      </c>
      <c r="X40" s="15">
        <v>2680</v>
      </c>
      <c r="Y40" s="15">
        <v>889</v>
      </c>
      <c r="Z40" s="15">
        <v>0</v>
      </c>
      <c r="AA40" s="15">
        <v>1423</v>
      </c>
      <c r="AB40" s="15"/>
      <c r="AC40" s="15">
        <v>6474</v>
      </c>
      <c r="AD40" s="15">
        <v>6327</v>
      </c>
      <c r="AE40" s="15">
        <v>185</v>
      </c>
      <c r="AF40" s="15">
        <v>7983</v>
      </c>
      <c r="AG40" s="15">
        <v>45</v>
      </c>
      <c r="AH40" s="15"/>
      <c r="AI40" s="15">
        <v>1968</v>
      </c>
      <c r="AJ40" s="15">
        <v>0</v>
      </c>
      <c r="AK40" s="15">
        <v>5907</v>
      </c>
      <c r="AL40" s="15"/>
      <c r="AM40" s="15"/>
      <c r="AN40" s="15"/>
      <c r="AO40" s="15"/>
      <c r="AP40" s="15">
        <v>21425</v>
      </c>
      <c r="AQ40" s="15">
        <v>0</v>
      </c>
      <c r="AR40" s="15"/>
      <c r="AS40" s="15">
        <v>3372</v>
      </c>
      <c r="AT40" s="15">
        <v>931</v>
      </c>
      <c r="AU40" s="15"/>
      <c r="AV40" s="15"/>
    </row>
    <row r="41" spans="1:48" x14ac:dyDescent="0.35">
      <c r="A41" t="s">
        <v>249</v>
      </c>
      <c r="B41" s="15">
        <v>13894</v>
      </c>
      <c r="C41" s="15"/>
      <c r="D41" s="15"/>
      <c r="E41" s="15">
        <v>115316</v>
      </c>
      <c r="F41" s="15">
        <v>70246</v>
      </c>
      <c r="G41" s="15">
        <v>220681</v>
      </c>
      <c r="H41" s="15">
        <v>992</v>
      </c>
      <c r="I41" s="15">
        <v>663</v>
      </c>
      <c r="J41" s="15">
        <v>3144</v>
      </c>
      <c r="K41" s="15">
        <v>0</v>
      </c>
      <c r="L41" s="15"/>
      <c r="M41" s="15">
        <v>6241</v>
      </c>
      <c r="N41" s="15">
        <v>5893</v>
      </c>
      <c r="O41" s="15">
        <v>8028</v>
      </c>
      <c r="P41" s="15"/>
      <c r="Q41" s="15">
        <v>846</v>
      </c>
      <c r="R41" s="15">
        <v>11485</v>
      </c>
      <c r="S41" s="15">
        <v>1668</v>
      </c>
      <c r="T41" s="15">
        <v>14934</v>
      </c>
      <c r="U41" s="15">
        <v>297</v>
      </c>
      <c r="V41" s="15"/>
      <c r="W41" s="15">
        <v>46459</v>
      </c>
      <c r="X41" s="15">
        <v>1687</v>
      </c>
      <c r="Y41" s="15">
        <v>987</v>
      </c>
      <c r="Z41" s="15">
        <v>34634</v>
      </c>
      <c r="AA41" s="15">
        <v>2017</v>
      </c>
      <c r="AB41" s="15"/>
      <c r="AC41" s="15">
        <v>2891</v>
      </c>
      <c r="AD41" s="15"/>
      <c r="AE41" s="15">
        <v>3715</v>
      </c>
      <c r="AF41" s="15">
        <v>1792</v>
      </c>
      <c r="AG41" s="15">
        <v>8560</v>
      </c>
      <c r="AH41" s="15"/>
      <c r="AI41" s="15">
        <v>2769</v>
      </c>
      <c r="AJ41" s="15">
        <v>623</v>
      </c>
      <c r="AK41" s="15">
        <v>1449</v>
      </c>
      <c r="AL41" s="15"/>
      <c r="AM41" s="15"/>
      <c r="AN41" s="15">
        <v>5573</v>
      </c>
      <c r="AO41" s="15">
        <v>4565</v>
      </c>
      <c r="AP41" s="15"/>
      <c r="AQ41" s="15">
        <v>33779</v>
      </c>
      <c r="AR41" s="15">
        <v>32182</v>
      </c>
      <c r="AS41" s="15">
        <v>1447</v>
      </c>
      <c r="AT41" s="15">
        <v>1699</v>
      </c>
      <c r="AU41" s="15"/>
      <c r="AV41" s="15"/>
    </row>
    <row r="42" spans="1:48" x14ac:dyDescent="0.35">
      <c r="A42" t="s">
        <v>210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35">
      <c r="A43" t="s">
        <v>211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35">
      <c r="A44" t="s">
        <v>250</v>
      </c>
      <c r="B44" s="15">
        <v>71</v>
      </c>
      <c r="C44" s="15"/>
      <c r="D44" s="15"/>
      <c r="E44" s="15">
        <v>1688</v>
      </c>
      <c r="F44" s="15">
        <v>630</v>
      </c>
      <c r="G44" s="15"/>
      <c r="H44" s="15"/>
      <c r="I44" s="15"/>
      <c r="J44" s="15"/>
      <c r="K44" s="15">
        <v>0</v>
      </c>
      <c r="L44" s="15"/>
      <c r="M44" s="15">
        <v>15</v>
      </c>
      <c r="N44" s="15">
        <v>44</v>
      </c>
      <c r="O44" s="15">
        <v>4</v>
      </c>
      <c r="P44" s="15"/>
      <c r="Q44" s="15">
        <v>11</v>
      </c>
      <c r="R44" s="15">
        <v>49</v>
      </c>
      <c r="S44" s="15">
        <v>77</v>
      </c>
      <c r="T44" s="15"/>
      <c r="U44" s="15"/>
      <c r="V44" s="15"/>
      <c r="W44" s="15">
        <v>1481</v>
      </c>
      <c r="X44" s="15"/>
      <c r="Y44" s="15">
        <v>1</v>
      </c>
      <c r="Z44" s="15">
        <v>2217</v>
      </c>
      <c r="AA44" s="15"/>
      <c r="AB44" s="15"/>
      <c r="AC44" s="15">
        <v>28</v>
      </c>
      <c r="AD44" s="15"/>
      <c r="AE44" s="15">
        <v>14</v>
      </c>
      <c r="AF44" s="15">
        <v>1344</v>
      </c>
      <c r="AG44" s="15"/>
      <c r="AH44" s="15"/>
      <c r="AI44" s="15">
        <v>7</v>
      </c>
      <c r="AJ44" s="15">
        <v>0</v>
      </c>
      <c r="AK44" s="15">
        <v>261</v>
      </c>
      <c r="AL44" s="15">
        <v>643</v>
      </c>
      <c r="AM44" s="15"/>
      <c r="AN44" s="15"/>
      <c r="AO44" s="15">
        <v>119</v>
      </c>
      <c r="AP44" s="15"/>
      <c r="AQ44" s="15">
        <v>773</v>
      </c>
      <c r="AR44" s="15">
        <v>77</v>
      </c>
      <c r="AS44" s="15"/>
      <c r="AT44" s="15">
        <v>50</v>
      </c>
      <c r="AU44" s="15"/>
      <c r="AV44" s="15"/>
    </row>
    <row r="45" spans="1:48" x14ac:dyDescent="0.35">
      <c r="A45" t="s">
        <v>251</v>
      </c>
      <c r="B45" s="15">
        <v>127</v>
      </c>
      <c r="C45" s="15"/>
      <c r="D45" s="15"/>
      <c r="E45" s="15"/>
      <c r="F45" s="15">
        <v>454</v>
      </c>
      <c r="G45" s="15">
        <v>81</v>
      </c>
      <c r="H45" s="15">
        <v>134</v>
      </c>
      <c r="I45" s="15"/>
      <c r="J45" s="15">
        <v>152</v>
      </c>
      <c r="K45" s="15">
        <v>9</v>
      </c>
      <c r="L45" s="15"/>
      <c r="M45" s="15">
        <v>279</v>
      </c>
      <c r="N45" s="15">
        <v>157</v>
      </c>
      <c r="O45" s="15"/>
      <c r="P45" s="15"/>
      <c r="Q45" s="15">
        <v>33</v>
      </c>
      <c r="R45" s="15">
        <v>152</v>
      </c>
      <c r="S45" s="15">
        <v>57</v>
      </c>
      <c r="T45" s="15"/>
      <c r="U45" s="15"/>
      <c r="V45" s="15"/>
      <c r="W45" s="15">
        <v>0</v>
      </c>
      <c r="X45" s="15">
        <v>31</v>
      </c>
      <c r="Y45" s="15">
        <v>4</v>
      </c>
      <c r="Z45" s="15">
        <v>285</v>
      </c>
      <c r="AA45" s="15">
        <v>30</v>
      </c>
      <c r="AB45" s="15"/>
      <c r="AC45" s="15">
        <v>21</v>
      </c>
      <c r="AD45" s="15">
        <v>50</v>
      </c>
      <c r="AE45" s="15">
        <v>30</v>
      </c>
      <c r="AF45" s="15">
        <v>58</v>
      </c>
      <c r="AG45" s="15">
        <v>65</v>
      </c>
      <c r="AH45" s="15"/>
      <c r="AI45" s="15">
        <v>164</v>
      </c>
      <c r="AJ45" s="15">
        <v>16</v>
      </c>
      <c r="AK45" s="15"/>
      <c r="AL45" s="15"/>
      <c r="AM45" s="15"/>
      <c r="AN45" s="15">
        <v>31</v>
      </c>
      <c r="AO45" s="15">
        <v>118</v>
      </c>
      <c r="AP45" s="15">
        <v>315</v>
      </c>
      <c r="AQ45" s="15">
        <v>85</v>
      </c>
      <c r="AR45" s="15">
        <v>141</v>
      </c>
      <c r="AS45" s="15">
        <v>10</v>
      </c>
      <c r="AT45" s="15">
        <v>43</v>
      </c>
      <c r="AU45" s="15"/>
      <c r="AV45" s="15"/>
    </row>
    <row r="46" spans="1:48" x14ac:dyDescent="0.35">
      <c r="A46" t="s">
        <v>252</v>
      </c>
      <c r="B46" s="15">
        <v>2</v>
      </c>
      <c r="C46" s="15"/>
      <c r="D46" s="15"/>
      <c r="E46" s="15"/>
      <c r="F46" s="15">
        <v>383</v>
      </c>
      <c r="G46" s="15">
        <v>5632</v>
      </c>
      <c r="H46" s="15"/>
      <c r="I46" s="15"/>
      <c r="J46" s="15"/>
      <c r="K46" s="15">
        <v>3</v>
      </c>
      <c r="L46" s="15"/>
      <c r="M46" s="15">
        <v>6</v>
      </c>
      <c r="N46" s="15"/>
      <c r="O46" s="15">
        <v>4</v>
      </c>
      <c r="P46" s="15"/>
      <c r="Q46" s="15">
        <v>4</v>
      </c>
      <c r="R46" s="15">
        <v>10</v>
      </c>
      <c r="S46" s="15"/>
      <c r="T46" s="15"/>
      <c r="U46" s="15"/>
      <c r="V46" s="15"/>
      <c r="W46" s="15">
        <v>309</v>
      </c>
      <c r="X46" s="15"/>
      <c r="Y46" s="15">
        <v>0</v>
      </c>
      <c r="Z46" s="15">
        <v>0</v>
      </c>
      <c r="AA46" s="15"/>
      <c r="AB46" s="15"/>
      <c r="AC46" s="15">
        <v>73</v>
      </c>
      <c r="AD46" s="15"/>
      <c r="AE46" s="15">
        <v>6</v>
      </c>
      <c r="AF46" s="15">
        <v>154</v>
      </c>
      <c r="AG46" s="15">
        <v>107</v>
      </c>
      <c r="AH46" s="15"/>
      <c r="AI46" s="15"/>
      <c r="AJ46" s="15">
        <v>0</v>
      </c>
      <c r="AK46" s="15">
        <v>2</v>
      </c>
      <c r="AL46" s="15">
        <v>255</v>
      </c>
      <c r="AM46" s="15"/>
      <c r="AN46" s="15"/>
      <c r="AO46" s="15"/>
      <c r="AP46" s="15"/>
      <c r="AQ46" s="15">
        <v>137</v>
      </c>
      <c r="AR46" s="15"/>
      <c r="AS46" s="15">
        <v>96</v>
      </c>
      <c r="AT46" s="15">
        <v>2</v>
      </c>
      <c r="AU46" s="15"/>
      <c r="AV46" s="15">
        <v>201</v>
      </c>
    </row>
    <row r="47" spans="1:48" x14ac:dyDescent="0.35">
      <c r="A47" t="s">
        <v>253</v>
      </c>
      <c r="B47" s="15">
        <v>555</v>
      </c>
      <c r="C47" s="15"/>
      <c r="D47" s="15"/>
      <c r="E47" s="15"/>
      <c r="F47" s="15">
        <v>2440</v>
      </c>
      <c r="G47" s="15"/>
      <c r="H47" s="15">
        <v>22</v>
      </c>
      <c r="I47" s="15"/>
      <c r="J47" s="15"/>
      <c r="K47" s="15">
        <v>30</v>
      </c>
      <c r="L47" s="15"/>
      <c r="M47" s="15">
        <v>599</v>
      </c>
      <c r="N47" s="15"/>
      <c r="O47" s="15"/>
      <c r="P47" s="15"/>
      <c r="Q47" s="15">
        <v>24</v>
      </c>
      <c r="R47" s="15">
        <v>158</v>
      </c>
      <c r="S47" s="15">
        <v>183</v>
      </c>
      <c r="T47" s="15"/>
      <c r="U47" s="15"/>
      <c r="V47" s="15"/>
      <c r="W47" s="15">
        <v>0</v>
      </c>
      <c r="X47" s="15">
        <v>111</v>
      </c>
      <c r="Y47" s="15">
        <v>0</v>
      </c>
      <c r="Z47" s="15">
        <v>812</v>
      </c>
      <c r="AA47" s="15"/>
      <c r="AB47" s="15"/>
      <c r="AC47" s="15">
        <v>13</v>
      </c>
      <c r="AD47" s="15"/>
      <c r="AE47" s="15"/>
      <c r="AF47" s="15">
        <v>525</v>
      </c>
      <c r="AG47" s="15">
        <v>57</v>
      </c>
      <c r="AH47" s="15"/>
      <c r="AI47" s="15"/>
      <c r="AJ47" s="15">
        <v>62</v>
      </c>
      <c r="AK47" s="15"/>
      <c r="AL47" s="15"/>
      <c r="AM47" s="15"/>
      <c r="AN47" s="15"/>
      <c r="AO47" s="15"/>
      <c r="AP47" s="15">
        <v>158</v>
      </c>
      <c r="AQ47" s="15">
        <v>79</v>
      </c>
      <c r="AR47" s="15">
        <v>351</v>
      </c>
      <c r="AS47" s="15"/>
      <c r="AT47" s="15"/>
      <c r="AU47" s="15"/>
      <c r="AV47" s="15"/>
    </row>
    <row r="48" spans="1:48" x14ac:dyDescent="0.35">
      <c r="A48" t="s">
        <v>254</v>
      </c>
      <c r="B48" s="15"/>
      <c r="C48" s="15"/>
      <c r="D48" s="15"/>
      <c r="E48" s="15">
        <v>1803</v>
      </c>
      <c r="F48" s="15"/>
      <c r="G48" s="15"/>
      <c r="H48" s="15"/>
      <c r="I48" s="15"/>
      <c r="J48" s="15"/>
      <c r="K48" s="15">
        <v>620</v>
      </c>
      <c r="L48" s="15"/>
      <c r="M48" s="15"/>
      <c r="N48" s="15"/>
      <c r="O48" s="15">
        <v>1579</v>
      </c>
      <c r="P48" s="15"/>
      <c r="Q48" s="15">
        <v>0</v>
      </c>
      <c r="R48" s="15">
        <v>5</v>
      </c>
      <c r="S48" s="15"/>
      <c r="T48" s="15"/>
      <c r="U48" s="15"/>
      <c r="V48" s="15"/>
      <c r="W48" s="15">
        <v>0</v>
      </c>
      <c r="X48" s="15"/>
      <c r="Y48" s="15">
        <v>10</v>
      </c>
      <c r="Z48" s="15">
        <v>0</v>
      </c>
      <c r="AA48" s="15"/>
      <c r="AB48" s="15"/>
      <c r="AC48" s="15">
        <v>0</v>
      </c>
      <c r="AD48" s="15"/>
      <c r="AE48" s="15"/>
      <c r="AF48" s="15">
        <v>696</v>
      </c>
      <c r="AG48" s="15"/>
      <c r="AH48" s="15"/>
      <c r="AI48" s="15"/>
      <c r="AJ48" s="15">
        <v>0</v>
      </c>
      <c r="AK48" s="15"/>
      <c r="AL48" s="15">
        <v>15459</v>
      </c>
      <c r="AM48" s="15"/>
      <c r="AN48" s="15"/>
      <c r="AO48" s="15"/>
      <c r="AP48" s="15"/>
      <c r="AQ48" s="15">
        <v>0</v>
      </c>
      <c r="AR48" s="15"/>
      <c r="AS48" s="15"/>
      <c r="AT48" s="15"/>
      <c r="AU48" s="15"/>
      <c r="AV48" s="15"/>
    </row>
    <row r="49" spans="1:48" x14ac:dyDescent="0.35">
      <c r="A49" t="s">
        <v>255</v>
      </c>
      <c r="B49" s="15"/>
      <c r="C49" s="15"/>
      <c r="D49" s="15"/>
      <c r="E49" s="15"/>
      <c r="F49" s="15"/>
      <c r="G49" s="15"/>
      <c r="H49" s="15"/>
      <c r="I49" s="15"/>
      <c r="J49" s="15"/>
      <c r="K49" s="15">
        <v>0</v>
      </c>
      <c r="L49" s="15"/>
      <c r="M49" s="15">
        <v>8431</v>
      </c>
      <c r="N49" s="15"/>
      <c r="O49" s="15">
        <v>3204</v>
      </c>
      <c r="P49" s="15"/>
      <c r="Q49" s="15">
        <v>0</v>
      </c>
      <c r="R49" s="15">
        <v>74</v>
      </c>
      <c r="S49" s="15"/>
      <c r="T49" s="15"/>
      <c r="U49" s="15"/>
      <c r="V49" s="15"/>
      <c r="W49" s="15">
        <v>0</v>
      </c>
      <c r="X49" s="15"/>
      <c r="Y49" s="15">
        <v>64</v>
      </c>
      <c r="Z49" s="15">
        <v>0</v>
      </c>
      <c r="AA49" s="15"/>
      <c r="AB49" s="15"/>
      <c r="AC49" s="15">
        <v>11178</v>
      </c>
      <c r="AD49" s="15"/>
      <c r="AE49" s="15"/>
      <c r="AF49" s="15">
        <v>12261</v>
      </c>
      <c r="AG49" s="15"/>
      <c r="AH49" s="15"/>
      <c r="AI49" s="15"/>
      <c r="AJ49" s="15">
        <v>0</v>
      </c>
      <c r="AK49" s="15"/>
      <c r="AL49" s="15"/>
      <c r="AM49" s="15"/>
      <c r="AN49" s="15"/>
      <c r="AO49" s="15"/>
      <c r="AP49" s="15"/>
      <c r="AQ49" s="15">
        <v>0</v>
      </c>
      <c r="AR49" s="15"/>
      <c r="AS49" s="15"/>
      <c r="AT49" s="15"/>
      <c r="AU49" s="15"/>
      <c r="AV49" s="15">
        <v>2</v>
      </c>
    </row>
    <row r="50" spans="1:48" x14ac:dyDescent="0.35">
      <c r="A50" t="s">
        <v>256</v>
      </c>
      <c r="B50" s="15">
        <v>1698</v>
      </c>
      <c r="C50" s="15"/>
      <c r="D50" s="15"/>
      <c r="E50" s="15"/>
      <c r="F50" s="15">
        <v>1205</v>
      </c>
      <c r="G50" s="15"/>
      <c r="H50" s="15">
        <v>84</v>
      </c>
      <c r="I50" s="15"/>
      <c r="J50" s="15"/>
      <c r="K50" s="15">
        <v>2</v>
      </c>
      <c r="L50" s="15"/>
      <c r="M50" s="15">
        <v>0</v>
      </c>
      <c r="N50" s="15">
        <v>382</v>
      </c>
      <c r="O50" s="15">
        <v>6</v>
      </c>
      <c r="P50" s="15"/>
      <c r="Q50" s="15">
        <v>0</v>
      </c>
      <c r="R50" s="15">
        <v>34</v>
      </c>
      <c r="S50" s="15"/>
      <c r="T50" s="15">
        <v>3896</v>
      </c>
      <c r="U50" s="15">
        <v>101</v>
      </c>
      <c r="V50" s="15"/>
      <c r="W50" s="15">
        <v>0</v>
      </c>
      <c r="X50" s="15"/>
      <c r="Y50" s="15">
        <v>0</v>
      </c>
      <c r="Z50" s="15">
        <v>8639</v>
      </c>
      <c r="AA50" s="15"/>
      <c r="AB50" s="15"/>
      <c r="AC50" s="15">
        <v>37</v>
      </c>
      <c r="AD50" s="15"/>
      <c r="AE50" s="15"/>
      <c r="AF50" s="15">
        <v>6873</v>
      </c>
      <c r="AG50" s="15">
        <v>82</v>
      </c>
      <c r="AH50" s="15"/>
      <c r="AI50" s="15">
        <v>1083</v>
      </c>
      <c r="AJ50" s="15">
        <v>0</v>
      </c>
      <c r="AK50" s="15"/>
      <c r="AL50" s="15">
        <v>20327</v>
      </c>
      <c r="AM50" s="15"/>
      <c r="AN50" s="15"/>
      <c r="AO50" s="15">
        <v>1592</v>
      </c>
      <c r="AP50" s="15"/>
      <c r="AQ50" s="15">
        <v>970</v>
      </c>
      <c r="AR50" s="15"/>
      <c r="AS50" s="15"/>
      <c r="AT50" s="15">
        <v>390</v>
      </c>
      <c r="AU50" s="15"/>
      <c r="AV50" s="15">
        <v>71119</v>
      </c>
    </row>
    <row r="51" spans="1:48" x14ac:dyDescent="0.35">
      <c r="A51" t="s">
        <v>257</v>
      </c>
      <c r="B51" s="15">
        <v>886</v>
      </c>
      <c r="C51" s="15"/>
      <c r="D51" s="15"/>
      <c r="E51" s="15"/>
      <c r="F51" s="15"/>
      <c r="G51" s="15"/>
      <c r="H51" s="15">
        <v>70</v>
      </c>
      <c r="I51" s="15"/>
      <c r="J51" s="15"/>
      <c r="K51" s="15">
        <v>0</v>
      </c>
      <c r="L51" s="15"/>
      <c r="M51" s="15"/>
      <c r="N51" s="15"/>
      <c r="O51" s="15"/>
      <c r="P51" s="15"/>
      <c r="Q51" s="15">
        <v>0</v>
      </c>
      <c r="R51" s="15">
        <v>14</v>
      </c>
      <c r="S51" s="15"/>
      <c r="T51" s="15"/>
      <c r="U51" s="15"/>
      <c r="V51" s="15"/>
      <c r="W51" s="15">
        <v>3602</v>
      </c>
      <c r="X51" s="15"/>
      <c r="Y51" s="15">
        <v>0</v>
      </c>
      <c r="Z51" s="15">
        <v>0</v>
      </c>
      <c r="AA51" s="15"/>
      <c r="AB51" s="15"/>
      <c r="AC51" s="15">
        <v>0</v>
      </c>
      <c r="AD51" s="15"/>
      <c r="AE51" s="15"/>
      <c r="AF51" s="15"/>
      <c r="AG51" s="15"/>
      <c r="AH51" s="15"/>
      <c r="AI51" s="15"/>
      <c r="AJ51" s="15">
        <v>0</v>
      </c>
      <c r="AK51" s="15"/>
      <c r="AL51" s="15">
        <v>2857</v>
      </c>
      <c r="AM51" s="15"/>
      <c r="AN51" s="15"/>
      <c r="AO51" s="15"/>
      <c r="AP51" s="15"/>
      <c r="AQ51" s="15">
        <v>0</v>
      </c>
      <c r="AR51" s="15"/>
      <c r="AS51" s="15"/>
      <c r="AT51" s="15"/>
      <c r="AU51" s="15"/>
      <c r="AV51" s="15"/>
    </row>
    <row r="52" spans="1:48" x14ac:dyDescent="0.35">
      <c r="A52" t="s">
        <v>258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0</v>
      </c>
      <c r="L52" s="15"/>
      <c r="M52" s="15"/>
      <c r="N52" s="15"/>
      <c r="O52" s="15"/>
      <c r="P52" s="15"/>
      <c r="Q52" s="15">
        <v>0</v>
      </c>
      <c r="R52" s="15">
        <v>0</v>
      </c>
      <c r="S52" s="15"/>
      <c r="T52" s="15"/>
      <c r="U52" s="15"/>
      <c r="V52" s="15"/>
      <c r="W52" s="15">
        <v>0</v>
      </c>
      <c r="X52" s="15"/>
      <c r="Y52" s="15">
        <v>0</v>
      </c>
      <c r="Z52" s="15">
        <v>0</v>
      </c>
      <c r="AA52" s="15"/>
      <c r="AB52" s="15"/>
      <c r="AC52" s="15">
        <v>0</v>
      </c>
      <c r="AD52" s="15"/>
      <c r="AE52" s="15"/>
      <c r="AF52" s="15"/>
      <c r="AG52" s="15"/>
      <c r="AH52" s="15"/>
      <c r="AI52" s="15"/>
      <c r="AJ52" s="15">
        <v>0</v>
      </c>
      <c r="AK52" s="15"/>
      <c r="AL52" s="15"/>
      <c r="AM52" s="15"/>
      <c r="AN52" s="15"/>
      <c r="AO52" s="15"/>
      <c r="AP52" s="15"/>
      <c r="AQ52" s="15">
        <v>0</v>
      </c>
      <c r="AR52" s="15"/>
      <c r="AS52" s="15"/>
      <c r="AT52" s="15"/>
      <c r="AU52" s="15"/>
      <c r="AV52" s="15"/>
    </row>
    <row r="53" spans="1:48" x14ac:dyDescent="0.35">
      <c r="A53" t="s">
        <v>259</v>
      </c>
      <c r="B53" s="15">
        <v>210</v>
      </c>
      <c r="C53" s="15"/>
      <c r="D53" s="15"/>
      <c r="E53" s="15">
        <v>378</v>
      </c>
      <c r="F53" s="15">
        <v>11220</v>
      </c>
      <c r="G53" s="15">
        <v>2326</v>
      </c>
      <c r="H53" s="15">
        <v>233</v>
      </c>
      <c r="I53" s="15"/>
      <c r="J53" s="15"/>
      <c r="K53" s="15">
        <v>31</v>
      </c>
      <c r="L53" s="15"/>
      <c r="M53" s="15">
        <v>636</v>
      </c>
      <c r="N53" s="15"/>
      <c r="O53" s="15">
        <v>449</v>
      </c>
      <c r="P53" s="15"/>
      <c r="Q53" s="15">
        <v>6</v>
      </c>
      <c r="R53" s="15">
        <v>369</v>
      </c>
      <c r="S53" s="15">
        <v>320</v>
      </c>
      <c r="T53" s="15">
        <v>200</v>
      </c>
      <c r="U53" s="15">
        <v>91</v>
      </c>
      <c r="V53" s="15"/>
      <c r="W53" s="15">
        <v>1507</v>
      </c>
      <c r="X53" s="15"/>
      <c r="Y53" s="15">
        <v>80</v>
      </c>
      <c r="Z53" s="15">
        <v>1797</v>
      </c>
      <c r="AA53" s="15">
        <v>447</v>
      </c>
      <c r="AB53" s="15"/>
      <c r="AC53" s="15">
        <v>710</v>
      </c>
      <c r="AD53" s="15"/>
      <c r="AE53" s="15">
        <v>314</v>
      </c>
      <c r="AF53" s="15">
        <v>3299</v>
      </c>
      <c r="AG53" s="15">
        <v>402</v>
      </c>
      <c r="AH53" s="15"/>
      <c r="AI53" s="15">
        <v>57</v>
      </c>
      <c r="AJ53" s="15">
        <v>0</v>
      </c>
      <c r="AK53" s="15">
        <v>88</v>
      </c>
      <c r="AL53" s="15"/>
      <c r="AM53" s="15"/>
      <c r="AN53" s="15">
        <v>80</v>
      </c>
      <c r="AO53" s="15">
        <v>4</v>
      </c>
      <c r="AP53" s="15">
        <v>1820</v>
      </c>
      <c r="AQ53" s="15">
        <v>1800</v>
      </c>
      <c r="AR53" s="15">
        <v>588</v>
      </c>
      <c r="AS53" s="15">
        <v>288</v>
      </c>
      <c r="AT53" s="15">
        <v>73</v>
      </c>
      <c r="AU53" s="15"/>
      <c r="AV53" s="15">
        <v>5583</v>
      </c>
    </row>
    <row r="54" spans="1:48" x14ac:dyDescent="0.35">
      <c r="A54" t="s">
        <v>260</v>
      </c>
      <c r="B54" s="15"/>
      <c r="C54" s="15"/>
      <c r="D54" s="15"/>
      <c r="E54" s="15">
        <v>793</v>
      </c>
      <c r="F54" s="15">
        <v>231</v>
      </c>
      <c r="G54" s="15">
        <v>6282</v>
      </c>
      <c r="H54" s="15">
        <v>2</v>
      </c>
      <c r="I54" s="15"/>
      <c r="J54" s="15"/>
      <c r="K54" s="15">
        <v>5</v>
      </c>
      <c r="L54" s="15"/>
      <c r="M54" s="15">
        <v>705</v>
      </c>
      <c r="N54" s="15">
        <v>187</v>
      </c>
      <c r="O54" s="15">
        <v>30</v>
      </c>
      <c r="P54" s="15"/>
      <c r="Q54" s="15">
        <v>10</v>
      </c>
      <c r="R54" s="15">
        <v>24</v>
      </c>
      <c r="S54" s="15"/>
      <c r="T54" s="15">
        <v>95</v>
      </c>
      <c r="U54" s="15"/>
      <c r="V54" s="15"/>
      <c r="W54" s="15">
        <v>196</v>
      </c>
      <c r="X54" s="15"/>
      <c r="Y54" s="15">
        <v>5</v>
      </c>
      <c r="Z54" s="15">
        <v>631</v>
      </c>
      <c r="AA54" s="15"/>
      <c r="AB54" s="15"/>
      <c r="AC54" s="15">
        <v>160</v>
      </c>
      <c r="AD54" s="15"/>
      <c r="AE54" s="15"/>
      <c r="AF54" s="15">
        <v>114</v>
      </c>
      <c r="AG54" s="15">
        <v>144</v>
      </c>
      <c r="AH54" s="15"/>
      <c r="AI54" s="15">
        <v>90</v>
      </c>
      <c r="AJ54" s="15">
        <v>0</v>
      </c>
      <c r="AK54" s="15"/>
      <c r="AL54" s="15">
        <v>1446</v>
      </c>
      <c r="AM54" s="15"/>
      <c r="AN54" s="15"/>
      <c r="AO54" s="15"/>
      <c r="AP54" s="15">
        <v>572</v>
      </c>
      <c r="AQ54" s="15">
        <v>269</v>
      </c>
      <c r="AR54" s="15">
        <v>400</v>
      </c>
      <c r="AS54" s="15">
        <v>1</v>
      </c>
      <c r="AT54" s="15">
        <v>183</v>
      </c>
      <c r="AU54" s="15"/>
      <c r="AV54" s="15">
        <v>526</v>
      </c>
    </row>
    <row r="55" spans="1:48" x14ac:dyDescent="0.35">
      <c r="A55" t="s">
        <v>261</v>
      </c>
      <c r="B55" s="15"/>
      <c r="C55" s="15"/>
      <c r="D55" s="15"/>
      <c r="E55" s="15"/>
      <c r="F55" s="15"/>
      <c r="G55" s="15">
        <v>197</v>
      </c>
      <c r="H55" s="15"/>
      <c r="I55" s="15"/>
      <c r="J55" s="15"/>
      <c r="K55" s="15">
        <v>2</v>
      </c>
      <c r="L55" s="15"/>
      <c r="M55" s="15">
        <v>490</v>
      </c>
      <c r="N55" s="15"/>
      <c r="O55" s="15"/>
      <c r="P55" s="15"/>
      <c r="Q55" s="15">
        <v>0</v>
      </c>
      <c r="R55" s="15">
        <v>167</v>
      </c>
      <c r="S55" s="15"/>
      <c r="T55" s="15"/>
      <c r="U55" s="15"/>
      <c r="V55" s="15"/>
      <c r="W55" s="15">
        <v>185</v>
      </c>
      <c r="X55" s="15"/>
      <c r="Y55" s="15">
        <v>0</v>
      </c>
      <c r="Z55" s="15">
        <v>0</v>
      </c>
      <c r="AA55" s="15"/>
      <c r="AB55" s="15"/>
      <c r="AC55" s="15">
        <v>88</v>
      </c>
      <c r="AD55" s="15"/>
      <c r="AE55" s="15"/>
      <c r="AF55" s="15">
        <v>383</v>
      </c>
      <c r="AG55" s="15"/>
      <c r="AH55" s="15"/>
      <c r="AI55" s="15">
        <v>4</v>
      </c>
      <c r="AJ55" s="15">
        <v>0</v>
      </c>
      <c r="AK55" s="15"/>
      <c r="AL55" s="15">
        <v>109</v>
      </c>
      <c r="AM55" s="15"/>
      <c r="AN55" s="15"/>
      <c r="AO55" s="15"/>
      <c r="AP55" s="15"/>
      <c r="AQ55" s="15">
        <v>970</v>
      </c>
      <c r="AR55" s="15">
        <v>557</v>
      </c>
      <c r="AS55" s="15">
        <v>129</v>
      </c>
      <c r="AT55" s="15"/>
      <c r="AU55" s="15"/>
      <c r="AV55" s="15">
        <v>832</v>
      </c>
    </row>
    <row r="56" spans="1:48" x14ac:dyDescent="0.35">
      <c r="A56" t="s">
        <v>262</v>
      </c>
      <c r="B56" s="15">
        <v>13</v>
      </c>
      <c r="C56" s="15"/>
      <c r="D56" s="15"/>
      <c r="E56" s="15"/>
      <c r="F56" s="15">
        <v>4658</v>
      </c>
      <c r="G56" s="15">
        <v>27</v>
      </c>
      <c r="H56" s="15">
        <v>4</v>
      </c>
      <c r="I56" s="15"/>
      <c r="J56" s="15"/>
      <c r="K56" s="15">
        <v>0</v>
      </c>
      <c r="L56" s="15"/>
      <c r="M56" s="15">
        <v>44</v>
      </c>
      <c r="N56" s="15"/>
      <c r="O56" s="15"/>
      <c r="P56" s="15"/>
      <c r="Q56" s="15">
        <v>8</v>
      </c>
      <c r="R56" s="15">
        <v>10</v>
      </c>
      <c r="S56" s="15">
        <v>1</v>
      </c>
      <c r="T56" s="15"/>
      <c r="U56" s="15"/>
      <c r="V56" s="15"/>
      <c r="W56" s="15">
        <v>0</v>
      </c>
      <c r="X56" s="15">
        <v>5</v>
      </c>
      <c r="Y56" s="15">
        <v>0</v>
      </c>
      <c r="Z56" s="15">
        <v>77</v>
      </c>
      <c r="AA56" s="15">
        <v>0</v>
      </c>
      <c r="AB56" s="15"/>
      <c r="AC56" s="15">
        <v>4</v>
      </c>
      <c r="AD56" s="15"/>
      <c r="AE56" s="15"/>
      <c r="AF56" s="15">
        <v>11</v>
      </c>
      <c r="AG56" s="15"/>
      <c r="AH56" s="15"/>
      <c r="AI56" s="15">
        <v>37</v>
      </c>
      <c r="AJ56" s="15">
        <v>5</v>
      </c>
      <c r="AK56" s="15">
        <v>1</v>
      </c>
      <c r="AL56" s="15"/>
      <c r="AM56" s="15"/>
      <c r="AN56" s="15"/>
      <c r="AO56" s="15"/>
      <c r="AP56" s="15">
        <v>59</v>
      </c>
      <c r="AQ56" s="15">
        <v>12</v>
      </c>
      <c r="AR56" s="15">
        <v>23</v>
      </c>
      <c r="AS56" s="15"/>
      <c r="AT56" s="15"/>
      <c r="AU56" s="15"/>
      <c r="AV56" s="15"/>
    </row>
    <row r="57" spans="1:48" x14ac:dyDescent="0.35">
      <c r="A57" t="s">
        <v>263</v>
      </c>
      <c r="B57" s="15">
        <v>9</v>
      </c>
      <c r="C57" s="15"/>
      <c r="D57" s="15"/>
      <c r="E57" s="15"/>
      <c r="F57" s="15"/>
      <c r="G57" s="15"/>
      <c r="H57" s="15">
        <v>175</v>
      </c>
      <c r="I57" s="15"/>
      <c r="J57" s="15"/>
      <c r="K57" s="15">
        <v>0</v>
      </c>
      <c r="L57" s="15"/>
      <c r="M57" s="15">
        <v>767</v>
      </c>
      <c r="N57" s="15"/>
      <c r="O57" s="15">
        <v>17</v>
      </c>
      <c r="P57" s="15"/>
      <c r="Q57" s="15">
        <v>0</v>
      </c>
      <c r="R57" s="15">
        <v>32</v>
      </c>
      <c r="S57" s="15"/>
      <c r="T57" s="15"/>
      <c r="U57" s="15"/>
      <c r="V57" s="15"/>
      <c r="W57" s="15">
        <v>65</v>
      </c>
      <c r="X57" s="15"/>
      <c r="Y57" s="15">
        <v>11</v>
      </c>
      <c r="Z57" s="15">
        <v>0</v>
      </c>
      <c r="AA57" s="15"/>
      <c r="AB57" s="15"/>
      <c r="AC57" s="15">
        <v>11</v>
      </c>
      <c r="AD57" s="15"/>
      <c r="AE57" s="15">
        <v>16</v>
      </c>
      <c r="AF57" s="15">
        <v>655</v>
      </c>
      <c r="AG57" s="15"/>
      <c r="AH57" s="15"/>
      <c r="AI57" s="15">
        <v>14</v>
      </c>
      <c r="AJ57" s="15">
        <v>0</v>
      </c>
      <c r="AK57" s="15"/>
      <c r="AL57" s="15">
        <v>723</v>
      </c>
      <c r="AM57" s="15"/>
      <c r="AN57" s="15"/>
      <c r="AO57" s="15"/>
      <c r="AP57" s="15"/>
      <c r="AQ57" s="15">
        <v>4</v>
      </c>
      <c r="AR57" s="15">
        <v>39</v>
      </c>
      <c r="AS57" s="15">
        <v>7</v>
      </c>
      <c r="AT57" s="15"/>
      <c r="AU57" s="15"/>
      <c r="AV57" s="15"/>
    </row>
    <row r="58" spans="1:48" x14ac:dyDescent="0.35">
      <c r="A58" t="s">
        <v>264</v>
      </c>
      <c r="B58" s="15"/>
      <c r="C58" s="15"/>
      <c r="D58" s="15"/>
      <c r="E58" s="15"/>
      <c r="F58" s="15"/>
      <c r="G58" s="15"/>
      <c r="H58" s="15"/>
      <c r="I58" s="15"/>
      <c r="J58" s="15"/>
      <c r="K58" s="15">
        <v>0</v>
      </c>
      <c r="L58" s="15"/>
      <c r="M58" s="15"/>
      <c r="N58" s="15"/>
      <c r="O58" s="15"/>
      <c r="P58" s="15"/>
      <c r="Q58" s="15">
        <v>0</v>
      </c>
      <c r="R58" s="15">
        <v>11</v>
      </c>
      <c r="S58" s="15"/>
      <c r="T58" s="15"/>
      <c r="U58" s="15"/>
      <c r="V58" s="15"/>
      <c r="W58" s="15">
        <v>0</v>
      </c>
      <c r="X58" s="15"/>
      <c r="Y58" s="15">
        <v>68</v>
      </c>
      <c r="Z58" s="15">
        <v>0</v>
      </c>
      <c r="AA58" s="15"/>
      <c r="AB58" s="15"/>
      <c r="AC58" s="15">
        <v>48</v>
      </c>
      <c r="AD58" s="15"/>
      <c r="AE58" s="15"/>
      <c r="AF58" s="15">
        <v>232</v>
      </c>
      <c r="AG58" s="15"/>
      <c r="AH58" s="15"/>
      <c r="AI58" s="15"/>
      <c r="AJ58" s="15">
        <v>0</v>
      </c>
      <c r="AK58" s="15"/>
      <c r="AL58" s="15">
        <v>6656</v>
      </c>
      <c r="AM58" s="15"/>
      <c r="AN58" s="15"/>
      <c r="AO58" s="15"/>
      <c r="AP58" s="15"/>
      <c r="AQ58" s="15">
        <v>0</v>
      </c>
      <c r="AR58" s="15"/>
      <c r="AS58" s="15"/>
      <c r="AT58" s="15"/>
      <c r="AU58" s="15"/>
      <c r="AV58" s="15"/>
    </row>
    <row r="59" spans="1:48" x14ac:dyDescent="0.35">
      <c r="A59" t="s">
        <v>265</v>
      </c>
      <c r="B59" s="15">
        <v>39</v>
      </c>
      <c r="C59" s="15"/>
      <c r="D59" s="15"/>
      <c r="E59" s="15"/>
      <c r="F59" s="15"/>
      <c r="G59" s="15"/>
      <c r="H59" s="15"/>
      <c r="I59" s="15"/>
      <c r="J59" s="15"/>
      <c r="K59" s="15">
        <v>0</v>
      </c>
      <c r="L59" s="15"/>
      <c r="M59" s="15">
        <v>41</v>
      </c>
      <c r="N59" s="15"/>
      <c r="O59" s="15"/>
      <c r="P59" s="15"/>
      <c r="Q59" s="15">
        <v>0</v>
      </c>
      <c r="R59" s="15">
        <v>595</v>
      </c>
      <c r="S59" s="15"/>
      <c r="T59" s="15"/>
      <c r="U59" s="15"/>
      <c r="V59" s="15"/>
      <c r="W59" s="15">
        <v>0</v>
      </c>
      <c r="X59" s="15"/>
      <c r="Y59" s="15">
        <v>0</v>
      </c>
      <c r="Z59" s="15">
        <v>642</v>
      </c>
      <c r="AA59" s="15"/>
      <c r="AB59" s="15"/>
      <c r="AC59" s="15">
        <v>24</v>
      </c>
      <c r="AD59" s="15"/>
      <c r="AE59" s="15"/>
      <c r="AF59" s="15">
        <v>110</v>
      </c>
      <c r="AG59" s="15"/>
      <c r="AH59" s="15"/>
      <c r="AI59" s="15">
        <v>543</v>
      </c>
      <c r="AJ59" s="15">
        <v>0</v>
      </c>
      <c r="AK59" s="15"/>
      <c r="AL59" s="15">
        <v>9098</v>
      </c>
      <c r="AM59" s="15"/>
      <c r="AN59" s="15"/>
      <c r="AO59" s="15"/>
      <c r="AP59" s="15"/>
      <c r="AQ59" s="15">
        <v>0</v>
      </c>
      <c r="AR59" s="15">
        <v>84</v>
      </c>
      <c r="AS59" s="15">
        <v>6</v>
      </c>
      <c r="AT59" s="15"/>
      <c r="AU59" s="15"/>
      <c r="AV59" s="15"/>
    </row>
    <row r="60" spans="1:48" x14ac:dyDescent="0.35">
      <c r="A60" t="s">
        <v>266</v>
      </c>
      <c r="B60" s="15">
        <v>951</v>
      </c>
      <c r="C60" s="15"/>
      <c r="D60" s="15"/>
      <c r="E60" s="15"/>
      <c r="F60" s="15">
        <v>4467</v>
      </c>
      <c r="G60" s="15">
        <v>462</v>
      </c>
      <c r="H60" s="15">
        <v>527</v>
      </c>
      <c r="I60" s="15">
        <v>502</v>
      </c>
      <c r="J60" s="15">
        <v>1289</v>
      </c>
      <c r="K60" s="15">
        <v>66</v>
      </c>
      <c r="L60" s="15"/>
      <c r="M60" s="15">
        <v>3915</v>
      </c>
      <c r="N60" s="15">
        <v>855</v>
      </c>
      <c r="O60" s="15">
        <v>94</v>
      </c>
      <c r="P60" s="15"/>
      <c r="Q60" s="15">
        <v>108</v>
      </c>
      <c r="R60" s="15">
        <v>1289</v>
      </c>
      <c r="S60" s="15">
        <v>310</v>
      </c>
      <c r="T60" s="15">
        <v>518</v>
      </c>
      <c r="U60" s="15">
        <v>57</v>
      </c>
      <c r="V60" s="15"/>
      <c r="W60" s="15">
        <v>1382</v>
      </c>
      <c r="X60" s="15">
        <v>296</v>
      </c>
      <c r="Y60" s="15">
        <v>10</v>
      </c>
      <c r="Z60" s="15">
        <v>1973</v>
      </c>
      <c r="AA60" s="15">
        <v>114</v>
      </c>
      <c r="AB60" s="15"/>
      <c r="AC60" s="15">
        <v>141</v>
      </c>
      <c r="AD60" s="15">
        <v>845</v>
      </c>
      <c r="AE60" s="15">
        <v>348</v>
      </c>
      <c r="AF60" s="15">
        <v>756</v>
      </c>
      <c r="AG60" s="15">
        <v>58</v>
      </c>
      <c r="AH60" s="15"/>
      <c r="AI60" s="15">
        <v>1485</v>
      </c>
      <c r="AJ60" s="15">
        <v>346</v>
      </c>
      <c r="AK60" s="15">
        <v>28</v>
      </c>
      <c r="AL60" s="15"/>
      <c r="AM60" s="15"/>
      <c r="AN60" s="15">
        <v>255</v>
      </c>
      <c r="AO60" s="15">
        <v>298</v>
      </c>
      <c r="AP60" s="15">
        <v>1572</v>
      </c>
      <c r="AQ60" s="15">
        <v>534</v>
      </c>
      <c r="AR60" s="15">
        <v>676</v>
      </c>
      <c r="AS60" s="15"/>
      <c r="AT60" s="15">
        <v>399</v>
      </c>
      <c r="AU60" s="15"/>
      <c r="AV60" s="15">
        <v>1992</v>
      </c>
    </row>
    <row r="61" spans="1:48" x14ac:dyDescent="0.35">
      <c r="A61" t="s">
        <v>267</v>
      </c>
      <c r="B61" s="15">
        <v>112</v>
      </c>
      <c r="C61" s="15"/>
      <c r="D61" s="15"/>
      <c r="E61" s="15"/>
      <c r="F61" s="15">
        <v>656</v>
      </c>
      <c r="G61" s="15">
        <v>61</v>
      </c>
      <c r="H61" s="15">
        <v>103</v>
      </c>
      <c r="I61" s="15"/>
      <c r="J61" s="15"/>
      <c r="K61" s="15">
        <v>6</v>
      </c>
      <c r="L61" s="15"/>
      <c r="M61" s="15">
        <v>210</v>
      </c>
      <c r="N61" s="15">
        <v>97</v>
      </c>
      <c r="O61" s="15"/>
      <c r="P61" s="15"/>
      <c r="Q61" s="15">
        <v>56</v>
      </c>
      <c r="R61" s="15">
        <v>301</v>
      </c>
      <c r="S61" s="15">
        <v>28</v>
      </c>
      <c r="T61" s="15"/>
      <c r="U61" s="15"/>
      <c r="V61" s="15"/>
      <c r="W61" s="15">
        <v>0</v>
      </c>
      <c r="X61" s="15">
        <v>80</v>
      </c>
      <c r="Y61" s="15">
        <v>0</v>
      </c>
      <c r="Z61" s="15">
        <v>593</v>
      </c>
      <c r="AA61" s="15">
        <v>30</v>
      </c>
      <c r="AB61" s="15"/>
      <c r="AC61" s="15">
        <v>26</v>
      </c>
      <c r="AD61" s="15">
        <v>75</v>
      </c>
      <c r="AE61" s="15">
        <v>25</v>
      </c>
      <c r="AF61" s="15">
        <v>113</v>
      </c>
      <c r="AG61" s="15">
        <v>58</v>
      </c>
      <c r="AH61" s="15"/>
      <c r="AI61" s="15">
        <v>155</v>
      </c>
      <c r="AJ61" s="15">
        <v>10</v>
      </c>
      <c r="AK61" s="15">
        <v>7</v>
      </c>
      <c r="AL61" s="15"/>
      <c r="AM61" s="15"/>
      <c r="AN61" s="15">
        <v>31</v>
      </c>
      <c r="AO61" s="15"/>
      <c r="AP61" s="15">
        <v>429</v>
      </c>
      <c r="AQ61" s="15">
        <v>196</v>
      </c>
      <c r="AR61" s="15">
        <v>55</v>
      </c>
      <c r="AS61" s="15">
        <v>25</v>
      </c>
      <c r="AT61" s="15">
        <v>101</v>
      </c>
      <c r="AU61" s="15"/>
      <c r="AV61" s="15"/>
    </row>
    <row r="62" spans="1:48" x14ac:dyDescent="0.35">
      <c r="A62" t="s">
        <v>268</v>
      </c>
      <c r="B62" s="15"/>
      <c r="C62" s="15"/>
      <c r="D62" s="15"/>
      <c r="E62" s="15"/>
      <c r="F62" s="15">
        <v>0</v>
      </c>
      <c r="G62" s="15"/>
      <c r="H62" s="15"/>
      <c r="I62" s="15"/>
      <c r="J62" s="15"/>
      <c r="K62" s="15">
        <v>0</v>
      </c>
      <c r="L62" s="15"/>
      <c r="M62" s="15">
        <v>0</v>
      </c>
      <c r="N62" s="15"/>
      <c r="O62" s="15"/>
      <c r="P62" s="15"/>
      <c r="Q62" s="15">
        <v>0</v>
      </c>
      <c r="R62" s="15">
        <v>11</v>
      </c>
      <c r="S62" s="15"/>
      <c r="T62" s="15"/>
      <c r="U62" s="15"/>
      <c r="V62" s="15"/>
      <c r="W62" s="15">
        <v>0</v>
      </c>
      <c r="X62" s="15"/>
      <c r="Y62" s="15">
        <v>0</v>
      </c>
      <c r="Z62" s="15">
        <v>0</v>
      </c>
      <c r="AA62" s="15"/>
      <c r="AB62" s="15"/>
      <c r="AC62" s="15">
        <v>0</v>
      </c>
      <c r="AD62" s="15"/>
      <c r="AE62" s="15"/>
      <c r="AF62" s="15">
        <v>99939</v>
      </c>
      <c r="AG62" s="15"/>
      <c r="AH62" s="15"/>
      <c r="AI62" s="15"/>
      <c r="AJ62" s="15">
        <v>0</v>
      </c>
      <c r="AK62" s="15"/>
      <c r="AL62" s="15"/>
      <c r="AM62" s="15"/>
      <c r="AN62" s="15"/>
      <c r="AO62" s="15"/>
      <c r="AP62" s="15"/>
      <c r="AQ62" s="15">
        <v>0</v>
      </c>
      <c r="AR62" s="15"/>
      <c r="AS62" s="15"/>
      <c r="AT62" s="15"/>
      <c r="AU62" s="15"/>
      <c r="AV62" s="15">
        <v>4710</v>
      </c>
    </row>
    <row r="63" spans="1:48" x14ac:dyDescent="0.35">
      <c r="A63" t="s">
        <v>269</v>
      </c>
      <c r="B63" s="15"/>
      <c r="C63" s="15"/>
      <c r="D63" s="15"/>
      <c r="E63" s="15"/>
      <c r="F63" s="15">
        <v>0</v>
      </c>
      <c r="G63" s="15"/>
      <c r="H63" s="15"/>
      <c r="I63" s="15"/>
      <c r="J63" s="15"/>
      <c r="K63" s="15">
        <v>0</v>
      </c>
      <c r="L63" s="15"/>
      <c r="M63" s="15">
        <v>0</v>
      </c>
      <c r="N63" s="15"/>
      <c r="O63" s="15"/>
      <c r="P63" s="15"/>
      <c r="Q63" s="15">
        <v>0</v>
      </c>
      <c r="R63" s="15">
        <v>5</v>
      </c>
      <c r="S63" s="15">
        <v>21983</v>
      </c>
      <c r="T63" s="15"/>
      <c r="U63" s="15"/>
      <c r="V63" s="15"/>
      <c r="W63" s="15">
        <v>0</v>
      </c>
      <c r="X63" s="15"/>
      <c r="Y63" s="15">
        <v>0</v>
      </c>
      <c r="Z63" s="15">
        <v>0</v>
      </c>
      <c r="AA63" s="15"/>
      <c r="AB63" s="15"/>
      <c r="AC63" s="15">
        <v>2</v>
      </c>
      <c r="AD63" s="15"/>
      <c r="AE63" s="15"/>
      <c r="AF63" s="15">
        <v>3</v>
      </c>
      <c r="AG63" s="15"/>
      <c r="AH63" s="15"/>
      <c r="AI63" s="15"/>
      <c r="AJ63" s="15">
        <v>0</v>
      </c>
      <c r="AK63" s="15"/>
      <c r="AL63" s="15">
        <v>9</v>
      </c>
      <c r="AM63" s="15"/>
      <c r="AN63" s="15"/>
      <c r="AO63" s="15"/>
      <c r="AP63" s="15"/>
      <c r="AQ63" s="15">
        <v>0</v>
      </c>
      <c r="AR63" s="15"/>
      <c r="AS63" s="15"/>
      <c r="AT63" s="15"/>
      <c r="AU63" s="15"/>
      <c r="AV63" s="15"/>
    </row>
    <row r="64" spans="1:48" x14ac:dyDescent="0.35">
      <c r="A64" s="10" t="s">
        <v>317</v>
      </c>
      <c r="B64" s="15">
        <f>SUM(B4:B63)</f>
        <v>62972</v>
      </c>
      <c r="C64" s="15">
        <f t="shared" ref="C64:AV64" si="0">SUM(C4:C63)</f>
        <v>0</v>
      </c>
      <c r="D64" s="15">
        <f t="shared" si="0"/>
        <v>0</v>
      </c>
      <c r="E64" s="15">
        <f t="shared" si="0"/>
        <v>385816</v>
      </c>
      <c r="F64" s="15">
        <f t="shared" si="0"/>
        <v>427752</v>
      </c>
      <c r="G64" s="15">
        <f t="shared" si="0"/>
        <v>1557397</v>
      </c>
      <c r="H64" s="15">
        <f t="shared" si="0"/>
        <v>15278</v>
      </c>
      <c r="I64" s="15">
        <f t="shared" si="0"/>
        <v>18138</v>
      </c>
      <c r="J64" s="15">
        <f t="shared" si="0"/>
        <v>11711</v>
      </c>
      <c r="K64" s="15">
        <f t="shared" si="0"/>
        <v>11432</v>
      </c>
      <c r="L64" s="15">
        <f t="shared" si="0"/>
        <v>0</v>
      </c>
      <c r="M64" s="15">
        <f t="shared" si="0"/>
        <v>140499</v>
      </c>
      <c r="N64" s="15">
        <f t="shared" si="0"/>
        <v>29498</v>
      </c>
      <c r="O64" s="15">
        <f t="shared" si="0"/>
        <v>27631</v>
      </c>
      <c r="P64" s="15">
        <f t="shared" si="0"/>
        <v>0</v>
      </c>
      <c r="Q64" s="15">
        <f t="shared" si="0"/>
        <v>7633</v>
      </c>
      <c r="R64" s="15">
        <f t="shared" si="0"/>
        <v>59456</v>
      </c>
      <c r="S64" s="15">
        <f t="shared" si="0"/>
        <v>35957</v>
      </c>
      <c r="T64" s="15">
        <f t="shared" si="0"/>
        <v>64755</v>
      </c>
      <c r="U64" s="15">
        <f t="shared" si="0"/>
        <v>4136</v>
      </c>
      <c r="V64" s="15">
        <f t="shared" si="0"/>
        <v>0</v>
      </c>
      <c r="W64" s="15">
        <f t="shared" si="0"/>
        <v>291782</v>
      </c>
      <c r="X64" s="15">
        <f t="shared" si="0"/>
        <v>11228</v>
      </c>
      <c r="Y64" s="15">
        <f t="shared" si="0"/>
        <v>9747</v>
      </c>
      <c r="Z64" s="15">
        <f t="shared" si="0"/>
        <v>197308</v>
      </c>
      <c r="AA64" s="15">
        <f t="shared" si="0"/>
        <v>11066</v>
      </c>
      <c r="AB64" s="15">
        <f t="shared" si="0"/>
        <v>252</v>
      </c>
      <c r="AC64" s="15">
        <f t="shared" si="0"/>
        <v>50262</v>
      </c>
      <c r="AD64" s="15">
        <f t="shared" si="0"/>
        <v>28112</v>
      </c>
      <c r="AE64" s="15">
        <f t="shared" si="0"/>
        <v>13648</v>
      </c>
      <c r="AF64" s="15">
        <f t="shared" si="0"/>
        <v>191728</v>
      </c>
      <c r="AG64" s="15">
        <f t="shared" si="0"/>
        <v>29335</v>
      </c>
      <c r="AH64" s="15">
        <f t="shared" si="0"/>
        <v>0</v>
      </c>
      <c r="AI64" s="15">
        <f t="shared" si="0"/>
        <v>49541</v>
      </c>
      <c r="AJ64" s="15">
        <f t="shared" si="0"/>
        <v>2560</v>
      </c>
      <c r="AK64" s="15">
        <f t="shared" si="0"/>
        <v>21400</v>
      </c>
      <c r="AL64" s="15">
        <f t="shared" si="0"/>
        <v>193870</v>
      </c>
      <c r="AM64" s="15">
        <f t="shared" si="0"/>
        <v>0</v>
      </c>
      <c r="AN64" s="15">
        <f t="shared" si="0"/>
        <v>18635</v>
      </c>
      <c r="AO64" s="15">
        <f t="shared" si="0"/>
        <v>16562</v>
      </c>
      <c r="AP64" s="15">
        <f t="shared" si="0"/>
        <v>274137</v>
      </c>
      <c r="AQ64" s="15">
        <f t="shared" si="0"/>
        <v>121450</v>
      </c>
      <c r="AR64" s="15">
        <f t="shared" si="0"/>
        <v>106917</v>
      </c>
      <c r="AS64" s="15">
        <f t="shared" si="0"/>
        <v>20398</v>
      </c>
      <c r="AT64" s="15">
        <f t="shared" si="0"/>
        <v>14959</v>
      </c>
      <c r="AU64" s="15">
        <f t="shared" si="0"/>
        <v>0</v>
      </c>
      <c r="AV64" s="15">
        <f t="shared" si="0"/>
        <v>137286</v>
      </c>
    </row>
    <row r="66" spans="1:48" x14ac:dyDescent="0.35">
      <c r="A66" t="s">
        <v>8</v>
      </c>
      <c r="B66">
        <v>780085.6</v>
      </c>
      <c r="C66">
        <v>228677.8</v>
      </c>
      <c r="D66">
        <v>6481.1</v>
      </c>
      <c r="E66">
        <v>4011145.2</v>
      </c>
      <c r="F66">
        <v>3920543</v>
      </c>
      <c r="G66">
        <v>7745147.0999999996</v>
      </c>
      <c r="H66">
        <v>64514.8</v>
      </c>
      <c r="I66">
        <v>153744</v>
      </c>
      <c r="J66">
        <v>28860</v>
      </c>
      <c r="K66">
        <v>58859.199999999997</v>
      </c>
      <c r="L66">
        <v>966316.9</v>
      </c>
      <c r="M66">
        <v>1332678.6000000001</v>
      </c>
      <c r="N66">
        <v>470912.8</v>
      </c>
      <c r="O66">
        <v>61665.2</v>
      </c>
      <c r="P66">
        <v>437298.7</v>
      </c>
      <c r="Q66">
        <v>10405.299999999999</v>
      </c>
      <c r="R66">
        <v>946149.4</v>
      </c>
      <c r="S66">
        <v>734070.3</v>
      </c>
      <c r="T66">
        <v>924980.8</v>
      </c>
      <c r="U66">
        <v>49447.1</v>
      </c>
      <c r="V66">
        <v>88529.1</v>
      </c>
      <c r="W66">
        <v>913289.2</v>
      </c>
      <c r="X66">
        <v>458014.7</v>
      </c>
      <c r="Y66">
        <v>63757.9</v>
      </c>
      <c r="Z66">
        <v>1487676.4</v>
      </c>
      <c r="AA66">
        <v>161499.29999999999</v>
      </c>
      <c r="AB66">
        <v>903175.3</v>
      </c>
      <c r="AC66">
        <v>663702.4</v>
      </c>
      <c r="AD66">
        <v>903993.3</v>
      </c>
      <c r="AE66">
        <v>14474.3</v>
      </c>
      <c r="AF66">
        <v>1166744.6000000001</v>
      </c>
      <c r="AG66">
        <v>70063.5</v>
      </c>
      <c r="AH66">
        <v>408235.8</v>
      </c>
      <c r="AI66">
        <v>558327.9</v>
      </c>
      <c r="AJ66">
        <v>1715.5</v>
      </c>
      <c r="AK66">
        <v>259656.4</v>
      </c>
      <c r="AL66">
        <v>1197906.7</v>
      </c>
      <c r="AM66">
        <v>309372.40000000002</v>
      </c>
      <c r="AN66">
        <v>180285.9</v>
      </c>
      <c r="AO66">
        <v>1147745.3</v>
      </c>
      <c r="AP66">
        <v>1701068.1</v>
      </c>
      <c r="AQ66">
        <v>675227.8</v>
      </c>
      <c r="AR66">
        <v>490571.8</v>
      </c>
      <c r="AS66">
        <v>105140.5</v>
      </c>
      <c r="AT66">
        <v>275519.8</v>
      </c>
      <c r="AU66">
        <v>24120.5</v>
      </c>
      <c r="AV66">
        <v>2323148.7999999998</v>
      </c>
    </row>
  </sheetData>
  <hyperlinks>
    <hyperlink ref="AK1" location="Home!A1" display="HOME" xr:uid="{33D23B33-7E6F-4BF8-AF10-2509C4F90AB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16" t="s">
        <v>329</v>
      </c>
      <c r="B1" s="29" t="s">
        <v>376</v>
      </c>
    </row>
    <row r="2" spans="1:48" x14ac:dyDescent="0.35">
      <c r="B2" t="s">
        <v>70</v>
      </c>
      <c r="C2" t="s">
        <v>270</v>
      </c>
      <c r="D2" t="s">
        <v>272</v>
      </c>
      <c r="E2" t="s">
        <v>271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  <c r="L2" t="s">
        <v>279</v>
      </c>
      <c r="M2" t="s">
        <v>280</v>
      </c>
      <c r="N2" t="s">
        <v>281</v>
      </c>
      <c r="O2" t="s">
        <v>282</v>
      </c>
      <c r="P2" t="s">
        <v>283</v>
      </c>
      <c r="Q2" t="s">
        <v>284</v>
      </c>
      <c r="R2" t="s">
        <v>285</v>
      </c>
      <c r="S2" t="s">
        <v>286</v>
      </c>
      <c r="T2" t="s">
        <v>287</v>
      </c>
      <c r="U2" t="s">
        <v>288</v>
      </c>
      <c r="V2" t="s">
        <v>289</v>
      </c>
      <c r="W2" t="s">
        <v>290</v>
      </c>
      <c r="X2" t="s">
        <v>291</v>
      </c>
      <c r="Y2" t="s">
        <v>292</v>
      </c>
      <c r="Z2" t="s">
        <v>293</v>
      </c>
      <c r="AA2" t="s">
        <v>294</v>
      </c>
      <c r="AB2" t="s">
        <v>295</v>
      </c>
      <c r="AC2" t="s">
        <v>296</v>
      </c>
      <c r="AD2" t="s">
        <v>297</v>
      </c>
      <c r="AE2" t="s">
        <v>298</v>
      </c>
      <c r="AF2" t="s">
        <v>299</v>
      </c>
      <c r="AG2" t="s">
        <v>300</v>
      </c>
      <c r="AH2" t="s">
        <v>301</v>
      </c>
      <c r="AI2" t="s">
        <v>302</v>
      </c>
      <c r="AJ2" t="s">
        <v>303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 t="s">
        <v>313</v>
      </c>
      <c r="AU2" t="s">
        <v>314</v>
      </c>
      <c r="AV2" t="s">
        <v>315</v>
      </c>
    </row>
    <row r="3" spans="1:48" x14ac:dyDescent="0.35">
      <c r="A3" s="10" t="s">
        <v>319</v>
      </c>
      <c r="B3" t="s">
        <v>71</v>
      </c>
      <c r="C3" t="s">
        <v>74</v>
      </c>
      <c r="D3" t="s">
        <v>77</v>
      </c>
      <c r="E3" t="s">
        <v>80</v>
      </c>
      <c r="F3" t="s">
        <v>83</v>
      </c>
      <c r="G3" t="s">
        <v>86</v>
      </c>
      <c r="H3" t="s">
        <v>89</v>
      </c>
      <c r="I3" t="s">
        <v>92</v>
      </c>
      <c r="J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119</v>
      </c>
      <c r="S3" t="s">
        <v>122</v>
      </c>
      <c r="T3" t="s">
        <v>125</v>
      </c>
      <c r="U3" t="s">
        <v>128</v>
      </c>
      <c r="V3" t="s">
        <v>131</v>
      </c>
      <c r="W3" t="s">
        <v>134</v>
      </c>
      <c r="X3" t="s">
        <v>137</v>
      </c>
      <c r="Y3" t="s">
        <v>140</v>
      </c>
      <c r="Z3" t="s">
        <v>143</v>
      </c>
      <c r="AA3" t="s">
        <v>146</v>
      </c>
      <c r="AB3" t="s">
        <v>149</v>
      </c>
      <c r="AC3" t="s">
        <v>152</v>
      </c>
      <c r="AD3" t="s">
        <v>155</v>
      </c>
      <c r="AE3" t="s">
        <v>158</v>
      </c>
      <c r="AF3" t="s">
        <v>161</v>
      </c>
      <c r="AG3" t="s">
        <v>164</v>
      </c>
      <c r="AH3" t="s">
        <v>167</v>
      </c>
      <c r="AI3" t="s">
        <v>170</v>
      </c>
      <c r="AJ3" t="s">
        <v>173</v>
      </c>
      <c r="AK3" t="s">
        <v>176</v>
      </c>
      <c r="AL3" t="s">
        <v>179</v>
      </c>
      <c r="AM3" t="s">
        <v>182</v>
      </c>
      <c r="AN3" t="s">
        <v>185</v>
      </c>
      <c r="AO3" t="s">
        <v>188</v>
      </c>
      <c r="AP3" t="s">
        <v>191</v>
      </c>
      <c r="AQ3" t="s">
        <v>194</v>
      </c>
      <c r="AR3" t="s">
        <v>197</v>
      </c>
      <c r="AS3" t="s">
        <v>200</v>
      </c>
      <c r="AT3" t="s">
        <v>203</v>
      </c>
      <c r="AU3" t="s">
        <v>206</v>
      </c>
      <c r="AV3" t="s">
        <v>209</v>
      </c>
    </row>
    <row r="4" spans="1:48" x14ac:dyDescent="0.35">
      <c r="A4" t="s">
        <v>212</v>
      </c>
      <c r="B4" s="15">
        <v>2221</v>
      </c>
      <c r="C4" s="15">
        <v>114</v>
      </c>
      <c r="D4" s="15"/>
      <c r="E4" s="15">
        <v>16989</v>
      </c>
      <c r="F4" s="15">
        <v>12174</v>
      </c>
      <c r="G4" s="15">
        <v>84277</v>
      </c>
      <c r="H4" s="15"/>
      <c r="I4" s="15">
        <v>1035</v>
      </c>
      <c r="J4" s="15"/>
      <c r="K4" s="15"/>
      <c r="L4" s="15"/>
      <c r="M4" s="15"/>
      <c r="N4" s="15">
        <v>2755</v>
      </c>
      <c r="O4" s="15">
        <v>1014</v>
      </c>
      <c r="P4" s="15">
        <v>812</v>
      </c>
      <c r="Q4" s="15"/>
      <c r="R4" s="15">
        <v>3378</v>
      </c>
      <c r="S4" s="15">
        <v>1000</v>
      </c>
      <c r="T4" s="15">
        <v>4951</v>
      </c>
      <c r="U4" s="15"/>
      <c r="V4" s="15">
        <v>269</v>
      </c>
      <c r="W4" s="15">
        <v>4169</v>
      </c>
      <c r="X4" s="15"/>
      <c r="Y4" s="15">
        <v>453</v>
      </c>
      <c r="Z4" s="15">
        <v>5203</v>
      </c>
      <c r="AA4" s="15">
        <v>887</v>
      </c>
      <c r="AB4" s="15"/>
      <c r="AC4" s="15"/>
      <c r="AD4" s="15"/>
      <c r="AE4" s="15"/>
      <c r="AF4" s="15">
        <v>2611</v>
      </c>
      <c r="AG4" s="15">
        <v>1181</v>
      </c>
      <c r="AH4" s="15"/>
      <c r="AI4" s="15">
        <v>1707</v>
      </c>
      <c r="AJ4" s="15">
        <v>0</v>
      </c>
      <c r="AK4" s="15"/>
      <c r="AL4" s="15">
        <v>48021</v>
      </c>
      <c r="AM4" s="15"/>
      <c r="AN4" s="15"/>
      <c r="AO4" s="15"/>
      <c r="AP4" s="15"/>
      <c r="AQ4" s="15">
        <v>5773</v>
      </c>
      <c r="AR4" s="15"/>
      <c r="AS4" s="15">
        <v>286</v>
      </c>
      <c r="AT4" s="15">
        <v>506</v>
      </c>
      <c r="AU4" s="15"/>
      <c r="AV4" s="15"/>
    </row>
    <row r="5" spans="1:48" x14ac:dyDescent="0.35">
      <c r="A5" t="s">
        <v>213</v>
      </c>
      <c r="B5" s="15">
        <v>1220</v>
      </c>
      <c r="C5" s="15">
        <v>108</v>
      </c>
      <c r="D5" s="15"/>
      <c r="E5" s="15">
        <v>16989</v>
      </c>
      <c r="F5" s="15">
        <v>9361</v>
      </c>
      <c r="G5" s="15">
        <v>84277</v>
      </c>
      <c r="H5" s="15"/>
      <c r="I5" s="15">
        <v>597</v>
      </c>
      <c r="J5" s="15"/>
      <c r="K5" s="15"/>
      <c r="L5" s="15"/>
      <c r="M5" s="15"/>
      <c r="N5" s="15">
        <v>1797</v>
      </c>
      <c r="O5" s="15">
        <v>900</v>
      </c>
      <c r="P5" s="15">
        <v>725</v>
      </c>
      <c r="Q5" s="15"/>
      <c r="R5" s="15">
        <v>2477</v>
      </c>
      <c r="S5" s="15">
        <v>740</v>
      </c>
      <c r="T5" s="15">
        <v>4623</v>
      </c>
      <c r="U5" s="15"/>
      <c r="V5" s="15">
        <v>156</v>
      </c>
      <c r="W5" s="15">
        <v>3034</v>
      </c>
      <c r="X5" s="15"/>
      <c r="Y5" s="15">
        <v>444</v>
      </c>
      <c r="Z5" s="15">
        <v>3252</v>
      </c>
      <c r="AA5" s="15">
        <v>800</v>
      </c>
      <c r="AB5" s="15"/>
      <c r="AC5" s="15"/>
      <c r="AD5" s="15"/>
      <c r="AE5" s="15"/>
      <c r="AF5" s="15">
        <v>1807</v>
      </c>
      <c r="AG5" s="15">
        <v>1181</v>
      </c>
      <c r="AH5" s="15"/>
      <c r="AI5" s="15">
        <v>487</v>
      </c>
      <c r="AJ5" s="15">
        <v>0</v>
      </c>
      <c r="AK5" s="15"/>
      <c r="AL5" s="15"/>
      <c r="AM5" s="15"/>
      <c r="AN5" s="15"/>
      <c r="AO5" s="15"/>
      <c r="AP5" s="15"/>
      <c r="AQ5" s="15"/>
      <c r="AR5" s="15"/>
      <c r="AS5" s="15">
        <v>276</v>
      </c>
      <c r="AT5" s="15">
        <v>149</v>
      </c>
      <c r="AU5" s="15"/>
      <c r="AV5" s="15"/>
    </row>
    <row r="6" spans="1:48" x14ac:dyDescent="0.35">
      <c r="A6" t="s">
        <v>214</v>
      </c>
      <c r="B6" s="15"/>
      <c r="C6" s="15"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96</v>
      </c>
      <c r="Q6" s="15"/>
      <c r="R6" s="15">
        <v>486</v>
      </c>
      <c r="S6" s="15">
        <v>174</v>
      </c>
      <c r="T6" s="15"/>
      <c r="U6" s="15"/>
      <c r="V6" s="15">
        <v>69</v>
      </c>
      <c r="W6" s="15">
        <v>0</v>
      </c>
      <c r="X6" s="15"/>
      <c r="Y6" s="15">
        <v>0</v>
      </c>
      <c r="Z6" s="15">
        <v>447</v>
      </c>
      <c r="AA6" s="15">
        <v>26</v>
      </c>
      <c r="AB6" s="15"/>
      <c r="AC6" s="15"/>
      <c r="AD6" s="15"/>
      <c r="AE6" s="15"/>
      <c r="AF6" s="15">
        <v>445</v>
      </c>
      <c r="AG6" s="15"/>
      <c r="AH6" s="15"/>
      <c r="AI6" s="15">
        <v>810</v>
      </c>
      <c r="AJ6" s="15">
        <v>0</v>
      </c>
      <c r="AK6" s="15"/>
      <c r="AL6" s="15"/>
      <c r="AM6" s="15"/>
      <c r="AN6" s="15"/>
      <c r="AO6" s="15"/>
      <c r="AP6" s="15"/>
      <c r="AQ6" s="15"/>
      <c r="AR6" s="15"/>
      <c r="AS6" s="15">
        <v>19</v>
      </c>
      <c r="AT6" s="15"/>
      <c r="AU6" s="15"/>
      <c r="AV6" s="15"/>
    </row>
    <row r="7" spans="1:48" x14ac:dyDescent="0.35">
      <c r="A7" t="s">
        <v>215</v>
      </c>
      <c r="B7" s="15">
        <v>12189</v>
      </c>
      <c r="C7" s="15">
        <v>505</v>
      </c>
      <c r="D7" s="15"/>
      <c r="E7" s="15">
        <v>101752</v>
      </c>
      <c r="F7" s="15">
        <v>69824</v>
      </c>
      <c r="G7" s="15">
        <v>201735</v>
      </c>
      <c r="H7" s="15"/>
      <c r="I7" s="15">
        <v>6156</v>
      </c>
      <c r="J7" s="15"/>
      <c r="K7" s="15"/>
      <c r="L7" s="15"/>
      <c r="M7" s="15"/>
      <c r="N7" s="15">
        <v>5484</v>
      </c>
      <c r="O7" s="15">
        <v>7886</v>
      </c>
      <c r="P7" s="15">
        <v>9372</v>
      </c>
      <c r="Q7" s="15"/>
      <c r="R7" s="15">
        <v>4543</v>
      </c>
      <c r="S7" s="15">
        <v>2677</v>
      </c>
      <c r="T7" s="15">
        <v>12887</v>
      </c>
      <c r="U7" s="15"/>
      <c r="V7" s="15">
        <v>1404</v>
      </c>
      <c r="W7" s="15">
        <v>93144</v>
      </c>
      <c r="X7" s="15"/>
      <c r="Y7" s="15">
        <v>1956</v>
      </c>
      <c r="Z7" s="15">
        <v>34588</v>
      </c>
      <c r="AA7" s="15">
        <v>1761</v>
      </c>
      <c r="AB7" s="15"/>
      <c r="AC7" s="15"/>
      <c r="AD7" s="15"/>
      <c r="AE7" s="15"/>
      <c r="AF7" s="15">
        <v>10928</v>
      </c>
      <c r="AG7" s="15">
        <v>7166</v>
      </c>
      <c r="AH7" s="15"/>
      <c r="AI7" s="15">
        <v>6477</v>
      </c>
      <c r="AJ7" s="15">
        <v>0</v>
      </c>
      <c r="AK7" s="15"/>
      <c r="AL7" s="15"/>
      <c r="AM7" s="15"/>
      <c r="AN7" s="15"/>
      <c r="AO7" s="15"/>
      <c r="AP7" s="15"/>
      <c r="AQ7" s="15">
        <v>32542</v>
      </c>
      <c r="AR7" s="15"/>
      <c r="AS7" s="15">
        <v>4681</v>
      </c>
      <c r="AT7" s="15">
        <v>1946</v>
      </c>
      <c r="AU7" s="15"/>
      <c r="AV7" s="15"/>
    </row>
    <row r="8" spans="1:48" x14ac:dyDescent="0.35">
      <c r="A8" t="s">
        <v>216</v>
      </c>
      <c r="B8" s="15">
        <v>8052</v>
      </c>
      <c r="C8" s="15">
        <v>537</v>
      </c>
      <c r="D8" s="15"/>
      <c r="E8" s="15">
        <v>2093</v>
      </c>
      <c r="F8" s="15">
        <v>20355</v>
      </c>
      <c r="G8" s="15">
        <v>131922</v>
      </c>
      <c r="H8" s="15"/>
      <c r="I8" s="15">
        <v>1252</v>
      </c>
      <c r="J8" s="15"/>
      <c r="K8" s="15"/>
      <c r="L8" s="15"/>
      <c r="M8" s="15"/>
      <c r="N8" s="15">
        <v>2086</v>
      </c>
      <c r="O8" s="15"/>
      <c r="P8" s="15">
        <v>143</v>
      </c>
      <c r="Q8" s="15"/>
      <c r="R8" s="15">
        <v>704</v>
      </c>
      <c r="S8" s="15">
        <v>721</v>
      </c>
      <c r="T8" s="15">
        <v>7074</v>
      </c>
      <c r="U8" s="15"/>
      <c r="V8" s="15">
        <v>379</v>
      </c>
      <c r="W8" s="15">
        <v>19141</v>
      </c>
      <c r="X8" s="15"/>
      <c r="Y8" s="15">
        <v>213</v>
      </c>
      <c r="Z8" s="15"/>
      <c r="AA8" s="15">
        <v>795</v>
      </c>
      <c r="AB8" s="15"/>
      <c r="AC8" s="15"/>
      <c r="AD8" s="15"/>
      <c r="AE8" s="15"/>
      <c r="AF8" s="15">
        <v>7278</v>
      </c>
      <c r="AG8" s="15">
        <v>6</v>
      </c>
      <c r="AH8" s="15"/>
      <c r="AI8" s="15">
        <v>2739</v>
      </c>
      <c r="AJ8" s="15">
        <v>0</v>
      </c>
      <c r="AK8" s="15"/>
      <c r="AL8" s="15"/>
      <c r="AM8" s="15"/>
      <c r="AN8" s="15"/>
      <c r="AO8" s="15"/>
      <c r="AP8" s="15"/>
      <c r="AQ8" s="15">
        <v>3746</v>
      </c>
      <c r="AR8" s="15"/>
      <c r="AS8" s="15">
        <v>67</v>
      </c>
      <c r="AT8" s="15">
        <v>1482</v>
      </c>
      <c r="AU8" s="15"/>
      <c r="AV8" s="15"/>
    </row>
    <row r="9" spans="1:48" x14ac:dyDescent="0.35">
      <c r="A9" t="s">
        <v>217</v>
      </c>
      <c r="B9" s="15">
        <v>107</v>
      </c>
      <c r="C9" s="15">
        <v>2</v>
      </c>
      <c r="D9" s="15"/>
      <c r="E9" s="15">
        <v>268</v>
      </c>
      <c r="F9" s="15"/>
      <c r="G9" s="15">
        <v>4358</v>
      </c>
      <c r="H9" s="15"/>
      <c r="I9" s="15">
        <v>121</v>
      </c>
      <c r="J9" s="15"/>
      <c r="K9" s="15"/>
      <c r="L9" s="15"/>
      <c r="M9" s="15"/>
      <c r="N9" s="15">
        <v>50</v>
      </c>
      <c r="O9" s="15">
        <v>89</v>
      </c>
      <c r="P9" s="15"/>
      <c r="Q9" s="15"/>
      <c r="R9" s="15">
        <v>133</v>
      </c>
      <c r="S9" s="15">
        <v>19</v>
      </c>
      <c r="T9" s="15">
        <v>416</v>
      </c>
      <c r="U9" s="15"/>
      <c r="V9" s="15">
        <v>9</v>
      </c>
      <c r="W9" s="15">
        <v>0</v>
      </c>
      <c r="X9" s="15"/>
      <c r="Y9" s="15">
        <v>2</v>
      </c>
      <c r="Z9" s="15"/>
      <c r="AA9" s="15">
        <v>6</v>
      </c>
      <c r="AB9" s="15"/>
      <c r="AC9" s="15"/>
      <c r="AD9" s="15"/>
      <c r="AE9" s="15"/>
      <c r="AF9" s="15">
        <v>355</v>
      </c>
      <c r="AG9" s="15">
        <v>161</v>
      </c>
      <c r="AH9" s="15"/>
      <c r="AI9" s="15">
        <v>176</v>
      </c>
      <c r="AJ9" s="15">
        <v>0</v>
      </c>
      <c r="AK9" s="15"/>
      <c r="AL9" s="15">
        <v>6586</v>
      </c>
      <c r="AM9" s="15"/>
      <c r="AN9" s="15"/>
      <c r="AO9" s="15"/>
      <c r="AP9" s="15"/>
      <c r="AQ9" s="15">
        <v>269</v>
      </c>
      <c r="AR9" s="15"/>
      <c r="AS9" s="15">
        <v>60</v>
      </c>
      <c r="AT9" s="15">
        <v>13</v>
      </c>
      <c r="AU9" s="15"/>
      <c r="AV9" s="15"/>
    </row>
    <row r="10" spans="1:48" x14ac:dyDescent="0.35">
      <c r="A10" t="s">
        <v>218</v>
      </c>
      <c r="B10" s="15">
        <v>691</v>
      </c>
      <c r="C10" s="15">
        <v>2</v>
      </c>
      <c r="D10" s="15"/>
      <c r="E10" s="15">
        <v>682</v>
      </c>
      <c r="F10" s="15">
        <v>15498</v>
      </c>
      <c r="G10" s="15">
        <v>17331</v>
      </c>
      <c r="H10" s="15"/>
      <c r="I10" s="15">
        <v>75</v>
      </c>
      <c r="J10" s="15"/>
      <c r="K10" s="15"/>
      <c r="L10" s="15"/>
      <c r="M10" s="15"/>
      <c r="N10" s="15">
        <v>403</v>
      </c>
      <c r="O10" s="15">
        <v>158</v>
      </c>
      <c r="P10" s="15">
        <v>99</v>
      </c>
      <c r="Q10" s="15"/>
      <c r="R10" s="15">
        <v>264</v>
      </c>
      <c r="S10" s="15">
        <v>142</v>
      </c>
      <c r="T10" s="15">
        <v>1117</v>
      </c>
      <c r="U10" s="15"/>
      <c r="V10" s="15">
        <v>4</v>
      </c>
      <c r="W10" s="15">
        <v>1035</v>
      </c>
      <c r="X10" s="15"/>
      <c r="Y10" s="15">
        <v>2</v>
      </c>
      <c r="Z10" s="15">
        <v>1137</v>
      </c>
      <c r="AA10" s="15">
        <v>124</v>
      </c>
      <c r="AB10" s="15"/>
      <c r="AC10" s="15"/>
      <c r="AD10" s="15"/>
      <c r="AE10" s="15"/>
      <c r="AF10" s="15">
        <v>406</v>
      </c>
      <c r="AG10" s="15">
        <v>603</v>
      </c>
      <c r="AH10" s="15"/>
      <c r="AI10" s="15">
        <v>293</v>
      </c>
      <c r="AJ10" s="15">
        <v>0</v>
      </c>
      <c r="AK10" s="15"/>
      <c r="AL10" s="15"/>
      <c r="AM10" s="15"/>
      <c r="AN10" s="15"/>
      <c r="AO10" s="15"/>
      <c r="AP10" s="15"/>
      <c r="AQ10" s="15">
        <v>1376</v>
      </c>
      <c r="AR10" s="15"/>
      <c r="AS10" s="15">
        <v>208</v>
      </c>
      <c r="AT10" s="15">
        <v>21</v>
      </c>
      <c r="AU10" s="15"/>
      <c r="AV10" s="15"/>
    </row>
    <row r="11" spans="1:48" x14ac:dyDescent="0.35">
      <c r="A11" t="s">
        <v>219</v>
      </c>
      <c r="B11" s="15"/>
      <c r="C11" s="15">
        <v>12</v>
      </c>
      <c r="D11" s="15"/>
      <c r="E11" s="15">
        <v>87086</v>
      </c>
      <c r="F11" s="15">
        <v>113189</v>
      </c>
      <c r="G11" s="15"/>
      <c r="H11" s="15"/>
      <c r="I11" s="15"/>
      <c r="J11" s="15"/>
      <c r="K11" s="15"/>
      <c r="L11" s="15"/>
      <c r="M11" s="15"/>
      <c r="N11" s="15">
        <v>5903</v>
      </c>
      <c r="O11" s="15">
        <v>465</v>
      </c>
      <c r="P11" s="15">
        <v>1750</v>
      </c>
      <c r="Q11" s="15"/>
      <c r="R11" s="15">
        <v>3229</v>
      </c>
      <c r="S11" s="15"/>
      <c r="T11" s="15"/>
      <c r="U11" s="15"/>
      <c r="V11" s="15">
        <v>0</v>
      </c>
      <c r="W11" s="15">
        <v>4274</v>
      </c>
      <c r="X11" s="15"/>
      <c r="Y11" s="15">
        <v>196</v>
      </c>
      <c r="Z11" s="15"/>
      <c r="AA11" s="15"/>
      <c r="AB11" s="15"/>
      <c r="AC11" s="15"/>
      <c r="AD11" s="15"/>
      <c r="AE11" s="15"/>
      <c r="AF11" s="15">
        <v>11559</v>
      </c>
      <c r="AG11" s="15"/>
      <c r="AH11" s="15"/>
      <c r="AI11" s="15">
        <v>5833</v>
      </c>
      <c r="AJ11" s="15">
        <v>0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>
        <v>991</v>
      </c>
      <c r="AU11" s="15"/>
      <c r="AV11" s="15"/>
    </row>
    <row r="12" spans="1:48" x14ac:dyDescent="0.35">
      <c r="A12" t="s">
        <v>220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>
        <v>845</v>
      </c>
      <c r="P12" s="15"/>
      <c r="Q12" s="15"/>
      <c r="R12" s="15">
        <v>37</v>
      </c>
      <c r="S12" s="15"/>
      <c r="T12" s="15"/>
      <c r="U12" s="15"/>
      <c r="V12" s="15">
        <v>0</v>
      </c>
      <c r="W12" s="15">
        <v>2091</v>
      </c>
      <c r="X12" s="15"/>
      <c r="Y12" s="15">
        <v>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>
        <v>36</v>
      </c>
      <c r="AJ12" s="15">
        <v>19</v>
      </c>
      <c r="AK12" s="15"/>
      <c r="AL12" s="15">
        <v>41029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x14ac:dyDescent="0.35">
      <c r="A13" t="s">
        <v>221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>
        <v>8</v>
      </c>
      <c r="P13" s="15">
        <v>5</v>
      </c>
      <c r="Q13" s="15"/>
      <c r="R13" s="15"/>
      <c r="S13" s="15"/>
      <c r="T13" s="15"/>
      <c r="U13" s="15"/>
      <c r="V13" s="15">
        <v>0</v>
      </c>
      <c r="W13" s="15">
        <v>9</v>
      </c>
      <c r="X13" s="15"/>
      <c r="Y13" s="15">
        <v>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>
        <v>5</v>
      </c>
      <c r="AK13" s="15"/>
      <c r="AL13" s="15">
        <v>4037</v>
      </c>
      <c r="AM13" s="15"/>
      <c r="AN13" s="15"/>
      <c r="AO13" s="15"/>
      <c r="AP13" s="15"/>
      <c r="AQ13" s="15"/>
      <c r="AR13" s="15"/>
      <c r="AS13" s="15"/>
      <c r="AT13" s="15">
        <v>33</v>
      </c>
      <c r="AU13" s="15"/>
      <c r="AV13" s="15"/>
    </row>
    <row r="14" spans="1:48" x14ac:dyDescent="0.35">
      <c r="A14" t="s">
        <v>222</v>
      </c>
      <c r="B14" s="15"/>
      <c r="C14" s="15"/>
      <c r="D14" s="15"/>
      <c r="E14" s="15"/>
      <c r="F14" s="15">
        <v>987</v>
      </c>
      <c r="G14" s="15"/>
      <c r="H14" s="15"/>
      <c r="I14" s="15"/>
      <c r="J14" s="15"/>
      <c r="K14" s="15"/>
      <c r="L14" s="15"/>
      <c r="M14" s="15"/>
      <c r="N14" s="15"/>
      <c r="O14" s="15">
        <v>12</v>
      </c>
      <c r="P14" s="15"/>
      <c r="Q14" s="15"/>
      <c r="R14" s="15">
        <v>22</v>
      </c>
      <c r="S14" s="15"/>
      <c r="T14" s="15"/>
      <c r="U14" s="15"/>
      <c r="V14" s="15">
        <v>3</v>
      </c>
      <c r="W14" s="15">
        <v>0</v>
      </c>
      <c r="X14" s="15"/>
      <c r="Y14" s="15">
        <v>0</v>
      </c>
      <c r="Z14" s="15">
        <v>725</v>
      </c>
      <c r="AA14" s="15"/>
      <c r="AB14" s="15"/>
      <c r="AC14" s="15"/>
      <c r="AD14" s="15"/>
      <c r="AE14" s="15"/>
      <c r="AF14" s="15"/>
      <c r="AG14" s="15"/>
      <c r="AH14" s="15"/>
      <c r="AI14" s="15">
        <v>15</v>
      </c>
      <c r="AJ14" s="15">
        <v>0</v>
      </c>
      <c r="AK14" s="15"/>
      <c r="AL14" s="15">
        <v>1</v>
      </c>
      <c r="AM14" s="15"/>
      <c r="AN14" s="15"/>
      <c r="AO14" s="15"/>
      <c r="AP14" s="15"/>
      <c r="AQ14" s="15"/>
      <c r="AR14" s="15"/>
      <c r="AS14" s="15">
        <v>11</v>
      </c>
      <c r="AT14" s="15">
        <v>5</v>
      </c>
      <c r="AU14" s="15"/>
      <c r="AV14" s="15"/>
    </row>
    <row r="15" spans="1:48" x14ac:dyDescent="0.35">
      <c r="A15" t="s">
        <v>223</v>
      </c>
      <c r="B15" s="15">
        <v>2947</v>
      </c>
      <c r="C15" s="15">
        <v>1595</v>
      </c>
      <c r="D15" s="15"/>
      <c r="E15" s="15"/>
      <c r="F15" s="15">
        <v>42630</v>
      </c>
      <c r="G15" s="15">
        <v>7912</v>
      </c>
      <c r="H15" s="15"/>
      <c r="I15" s="15"/>
      <c r="J15" s="15"/>
      <c r="K15" s="15"/>
      <c r="L15" s="15"/>
      <c r="M15" s="15"/>
      <c r="N15" s="15">
        <v>21</v>
      </c>
      <c r="O15" s="15"/>
      <c r="P15" s="15"/>
      <c r="Q15" s="15"/>
      <c r="R15" s="15"/>
      <c r="S15" s="15">
        <v>8077</v>
      </c>
      <c r="T15" s="15"/>
      <c r="U15" s="15"/>
      <c r="V15" s="15">
        <v>0</v>
      </c>
      <c r="W15" s="15">
        <v>0</v>
      </c>
      <c r="X15" s="15"/>
      <c r="Y15" s="15">
        <v>0</v>
      </c>
      <c r="Z15" s="15">
        <v>86490</v>
      </c>
      <c r="AA15" s="15"/>
      <c r="AB15" s="15">
        <v>41616</v>
      </c>
      <c r="AC15" s="15"/>
      <c r="AD15" s="15"/>
      <c r="AE15" s="15"/>
      <c r="AF15" s="15">
        <v>7329</v>
      </c>
      <c r="AG15" s="15"/>
      <c r="AH15" s="15"/>
      <c r="AI15" s="15">
        <v>16443</v>
      </c>
      <c r="AJ15" s="15">
        <v>0</v>
      </c>
      <c r="AK15" s="15"/>
      <c r="AL15" s="15"/>
      <c r="AM15" s="15"/>
      <c r="AN15" s="15"/>
      <c r="AO15" s="15"/>
      <c r="AP15" s="15"/>
      <c r="AQ15" s="15"/>
      <c r="AR15" s="15"/>
      <c r="AS15" s="15">
        <v>2626</v>
      </c>
      <c r="AT15" s="15">
        <v>7500</v>
      </c>
      <c r="AU15" s="15"/>
      <c r="AV15" s="15"/>
    </row>
    <row r="16" spans="1:48" x14ac:dyDescent="0.35">
      <c r="A16" t="s">
        <v>224</v>
      </c>
      <c r="B16" s="15">
        <v>168</v>
      </c>
      <c r="C16" s="15"/>
      <c r="D16" s="15"/>
      <c r="E16" s="15"/>
      <c r="F16" s="15"/>
      <c r="G16" s="15">
        <v>11781</v>
      </c>
      <c r="H16" s="15"/>
      <c r="I16" s="15"/>
      <c r="J16" s="15"/>
      <c r="K16" s="15"/>
      <c r="L16" s="15"/>
      <c r="M16" s="15"/>
      <c r="N16" s="15">
        <v>6</v>
      </c>
      <c r="O16" s="15">
        <v>26</v>
      </c>
      <c r="P16" s="15"/>
      <c r="Q16" s="15"/>
      <c r="R16" s="15">
        <v>97</v>
      </c>
      <c r="S16" s="15">
        <v>11</v>
      </c>
      <c r="T16" s="15"/>
      <c r="U16" s="15"/>
      <c r="V16" s="15">
        <v>16</v>
      </c>
      <c r="W16" s="15">
        <v>396</v>
      </c>
      <c r="X16" s="15"/>
      <c r="Y16" s="15">
        <v>21</v>
      </c>
      <c r="Z16" s="15">
        <v>246</v>
      </c>
      <c r="AA16" s="15"/>
      <c r="AB16" s="15"/>
      <c r="AC16" s="15"/>
      <c r="AD16" s="15"/>
      <c r="AE16" s="15"/>
      <c r="AF16" s="15">
        <v>340</v>
      </c>
      <c r="AG16" s="15">
        <v>48</v>
      </c>
      <c r="AH16" s="15"/>
      <c r="AI16" s="15">
        <v>28</v>
      </c>
      <c r="AJ16" s="15">
        <v>0</v>
      </c>
      <c r="AK16" s="15"/>
      <c r="AL16" s="15">
        <v>6165</v>
      </c>
      <c r="AM16" s="15"/>
      <c r="AN16" s="15"/>
      <c r="AO16" s="15"/>
      <c r="AP16" s="15"/>
      <c r="AQ16" s="15">
        <v>499</v>
      </c>
      <c r="AR16" s="15"/>
      <c r="AS16" s="15">
        <v>154</v>
      </c>
      <c r="AT16" s="15"/>
      <c r="AU16" s="15"/>
      <c r="AV16" s="15"/>
    </row>
    <row r="17" spans="1:48" x14ac:dyDescent="0.35">
      <c r="A17" t="s">
        <v>225</v>
      </c>
      <c r="B17" s="15"/>
      <c r="C17" s="15"/>
      <c r="D17" s="15"/>
      <c r="E17" s="15"/>
      <c r="F17" s="15"/>
      <c r="G17" s="15">
        <v>11408</v>
      </c>
      <c r="H17" s="15"/>
      <c r="I17" s="15"/>
      <c r="J17" s="15"/>
      <c r="K17" s="15"/>
      <c r="L17" s="15"/>
      <c r="M17" s="15"/>
      <c r="N17" s="15"/>
      <c r="O17" s="15">
        <v>35</v>
      </c>
      <c r="P17" s="15"/>
      <c r="Q17" s="15"/>
      <c r="R17" s="15">
        <v>3</v>
      </c>
      <c r="S17" s="15">
        <v>4</v>
      </c>
      <c r="T17" s="15"/>
      <c r="U17" s="15"/>
      <c r="V17" s="15">
        <v>6</v>
      </c>
      <c r="W17" s="15">
        <v>0</v>
      </c>
      <c r="X17" s="15"/>
      <c r="Y17" s="15">
        <v>3</v>
      </c>
      <c r="Z17" s="15">
        <v>261</v>
      </c>
      <c r="AA17" s="15"/>
      <c r="AB17" s="15"/>
      <c r="AC17" s="15"/>
      <c r="AD17" s="15"/>
      <c r="AE17" s="15"/>
      <c r="AF17" s="15"/>
      <c r="AG17" s="15"/>
      <c r="AH17" s="15"/>
      <c r="AI17" s="15">
        <v>94</v>
      </c>
      <c r="AJ17" s="15">
        <v>0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>
        <v>2</v>
      </c>
      <c r="AU17" s="15"/>
      <c r="AV17" s="15"/>
    </row>
    <row r="18" spans="1:48" x14ac:dyDescent="0.35">
      <c r="A18" t="s">
        <v>226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>
        <v>45</v>
      </c>
      <c r="P18" s="15"/>
      <c r="Q18" s="15"/>
      <c r="R18" s="15">
        <v>6</v>
      </c>
      <c r="S18" s="15"/>
      <c r="T18" s="15"/>
      <c r="U18" s="15"/>
      <c r="V18" s="15">
        <v>0</v>
      </c>
      <c r="W18" s="15">
        <v>112</v>
      </c>
      <c r="X18" s="15"/>
      <c r="Y18" s="15">
        <v>2</v>
      </c>
      <c r="Z18" s="15"/>
      <c r="AA18" s="15"/>
      <c r="AB18" s="15"/>
      <c r="AC18" s="15"/>
      <c r="AD18" s="15"/>
      <c r="AE18" s="15"/>
      <c r="AF18" s="15"/>
      <c r="AG18" s="15">
        <v>35</v>
      </c>
      <c r="AH18" s="15"/>
      <c r="AI18" s="15">
        <v>4</v>
      </c>
      <c r="AJ18" s="15">
        <v>1</v>
      </c>
      <c r="AK18" s="15"/>
      <c r="AL18" s="15">
        <v>3822</v>
      </c>
      <c r="AM18" s="15"/>
      <c r="AN18" s="15"/>
      <c r="AO18" s="15"/>
      <c r="AP18" s="15"/>
      <c r="AQ18" s="15"/>
      <c r="AR18" s="15"/>
      <c r="AS18" s="15"/>
      <c r="AT18" s="15">
        <v>1</v>
      </c>
      <c r="AU18" s="15"/>
      <c r="AV18" s="15"/>
    </row>
    <row r="19" spans="1:48" x14ac:dyDescent="0.35">
      <c r="A19" t="s">
        <v>227</v>
      </c>
      <c r="B19" s="15"/>
      <c r="C19" s="15"/>
      <c r="D19" s="15"/>
      <c r="E19" s="15"/>
      <c r="F19" s="15"/>
      <c r="G19" s="15">
        <v>2071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>
        <v>2</v>
      </c>
      <c r="W19" s="15">
        <v>0</v>
      </c>
      <c r="X19" s="15"/>
      <c r="Y19" s="15">
        <v>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>
        <v>4</v>
      </c>
      <c r="AK19" s="15"/>
      <c r="AL19" s="15">
        <v>135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x14ac:dyDescent="0.35">
      <c r="A20" t="s">
        <v>228</v>
      </c>
      <c r="B20" s="15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>
        <v>35</v>
      </c>
      <c r="P20" s="15"/>
      <c r="Q20" s="15"/>
      <c r="R20" s="15">
        <v>364</v>
      </c>
      <c r="S20" s="15">
        <v>30</v>
      </c>
      <c r="T20" s="15"/>
      <c r="U20" s="15"/>
      <c r="V20" s="15">
        <v>0</v>
      </c>
      <c r="W20" s="15">
        <v>380</v>
      </c>
      <c r="X20" s="15"/>
      <c r="Y20" s="15">
        <v>0</v>
      </c>
      <c r="Z20" s="15"/>
      <c r="AA20" s="15"/>
      <c r="AB20" s="15"/>
      <c r="AC20" s="15"/>
      <c r="AD20" s="15"/>
      <c r="AE20" s="15"/>
      <c r="AF20" s="15">
        <v>105</v>
      </c>
      <c r="AG20" s="15"/>
      <c r="AH20" s="15"/>
      <c r="AI20" s="15">
        <v>87</v>
      </c>
      <c r="AJ20" s="15">
        <v>0</v>
      </c>
      <c r="AK20" s="15"/>
      <c r="AL20" s="15"/>
      <c r="AM20" s="15"/>
      <c r="AN20" s="15"/>
      <c r="AO20" s="15"/>
      <c r="AP20" s="15"/>
      <c r="AQ20" s="15"/>
      <c r="AR20" s="15"/>
      <c r="AS20" s="15">
        <v>8</v>
      </c>
      <c r="AT20" s="15">
        <v>104</v>
      </c>
      <c r="AU20" s="15"/>
      <c r="AV20" s="15"/>
    </row>
    <row r="21" spans="1:48" x14ac:dyDescent="0.35">
      <c r="A21" t="s">
        <v>229</v>
      </c>
      <c r="B21" s="15"/>
      <c r="C21" s="15">
        <v>39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>
        <v>252</v>
      </c>
      <c r="W21" s="15">
        <v>0</v>
      </c>
      <c r="X21" s="15"/>
      <c r="Y21" s="15">
        <v>28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>
        <v>0</v>
      </c>
      <c r="AK21" s="15"/>
      <c r="AL21" s="15">
        <v>549</v>
      </c>
      <c r="AM21" s="15"/>
      <c r="AN21" s="15"/>
      <c r="AO21" s="15"/>
      <c r="AP21" s="15"/>
      <c r="AQ21" s="15"/>
      <c r="AR21" s="15"/>
      <c r="AS21" s="15">
        <v>234</v>
      </c>
      <c r="AT21" s="15">
        <v>86</v>
      </c>
      <c r="AU21" s="15"/>
      <c r="AV21" s="15"/>
    </row>
    <row r="22" spans="1:48" x14ac:dyDescent="0.35">
      <c r="A22" t="s">
        <v>230</v>
      </c>
      <c r="B22" s="15"/>
      <c r="C22" s="15">
        <v>25</v>
      </c>
      <c r="D22" s="15"/>
      <c r="E22" s="15">
        <v>665</v>
      </c>
      <c r="F22" s="15"/>
      <c r="G22" s="15">
        <v>1234</v>
      </c>
      <c r="H22" s="15"/>
      <c r="I22" s="15"/>
      <c r="J22" s="15"/>
      <c r="K22" s="15"/>
      <c r="L22" s="15"/>
      <c r="M22" s="15"/>
      <c r="N22" s="15">
        <v>311</v>
      </c>
      <c r="O22" s="15"/>
      <c r="P22" s="15"/>
      <c r="Q22" s="15"/>
      <c r="R22" s="15"/>
      <c r="S22" s="15"/>
      <c r="T22" s="15"/>
      <c r="U22" s="15"/>
      <c r="V22" s="15">
        <v>44</v>
      </c>
      <c r="W22" s="15">
        <v>6</v>
      </c>
      <c r="X22" s="15"/>
      <c r="Y22" s="15">
        <v>1</v>
      </c>
      <c r="Z22" s="15">
        <v>5029</v>
      </c>
      <c r="AA22" s="15"/>
      <c r="AB22" s="15"/>
      <c r="AC22" s="15"/>
      <c r="AD22" s="15"/>
      <c r="AE22" s="15"/>
      <c r="AF22" s="15"/>
      <c r="AG22" s="15">
        <v>209</v>
      </c>
      <c r="AH22" s="15"/>
      <c r="AI22" s="15">
        <v>53</v>
      </c>
      <c r="AJ22" s="15">
        <v>0</v>
      </c>
      <c r="AK22" s="15"/>
      <c r="AL22" s="15">
        <v>4196</v>
      </c>
      <c r="AM22" s="15"/>
      <c r="AN22" s="15"/>
      <c r="AO22" s="15"/>
      <c r="AP22" s="15"/>
      <c r="AQ22" s="15">
        <v>4646</v>
      </c>
      <c r="AR22" s="15"/>
      <c r="AS22" s="15"/>
      <c r="AT22" s="15">
        <v>342</v>
      </c>
      <c r="AU22" s="15"/>
      <c r="AV22" s="15"/>
    </row>
    <row r="23" spans="1:48" x14ac:dyDescent="0.35">
      <c r="A23" t="s">
        <v>231</v>
      </c>
      <c r="B23" s="15">
        <v>105</v>
      </c>
      <c r="C23" s="15"/>
      <c r="D23" s="15"/>
      <c r="E23" s="15"/>
      <c r="F23" s="15"/>
      <c r="G23" s="15">
        <v>36</v>
      </c>
      <c r="H23" s="15"/>
      <c r="I23" s="15"/>
      <c r="J23" s="15"/>
      <c r="K23" s="15"/>
      <c r="L23" s="15"/>
      <c r="M23" s="15"/>
      <c r="N23" s="15">
        <v>97</v>
      </c>
      <c r="O23" s="15"/>
      <c r="P23" s="15">
        <v>14</v>
      </c>
      <c r="Q23" s="15"/>
      <c r="R23" s="15">
        <v>59</v>
      </c>
      <c r="S23" s="15">
        <v>17</v>
      </c>
      <c r="T23" s="15"/>
      <c r="U23" s="15"/>
      <c r="V23" s="15">
        <v>10</v>
      </c>
      <c r="W23" s="15">
        <v>0</v>
      </c>
      <c r="X23" s="15"/>
      <c r="Y23" s="15">
        <v>5</v>
      </c>
      <c r="Z23" s="15">
        <v>199</v>
      </c>
      <c r="AA23" s="15">
        <v>15</v>
      </c>
      <c r="AB23" s="15"/>
      <c r="AC23" s="15"/>
      <c r="AD23" s="15"/>
      <c r="AE23" s="15"/>
      <c r="AF23" s="15">
        <v>57</v>
      </c>
      <c r="AG23" s="15">
        <v>34</v>
      </c>
      <c r="AH23" s="15"/>
      <c r="AI23" s="15">
        <v>107</v>
      </c>
      <c r="AJ23" s="15">
        <v>0</v>
      </c>
      <c r="AK23" s="15"/>
      <c r="AL23" s="15">
        <v>1015</v>
      </c>
      <c r="AM23" s="15"/>
      <c r="AN23" s="15"/>
      <c r="AO23" s="15"/>
      <c r="AP23" s="15"/>
      <c r="AQ23" s="15"/>
      <c r="AR23" s="15"/>
      <c r="AS23" s="15">
        <v>10</v>
      </c>
      <c r="AT23" s="15">
        <v>38</v>
      </c>
      <c r="AU23" s="15"/>
      <c r="AV23" s="15"/>
    </row>
    <row r="24" spans="1:48" x14ac:dyDescent="0.35">
      <c r="A24" t="s">
        <v>232</v>
      </c>
      <c r="B24" s="15"/>
      <c r="C24" s="15">
        <v>121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>
        <v>6809</v>
      </c>
      <c r="O24" s="15">
        <v>1519</v>
      </c>
      <c r="P24" s="15"/>
      <c r="Q24" s="15"/>
      <c r="R24" s="15"/>
      <c r="S24" s="15"/>
      <c r="T24" s="15">
        <v>4221</v>
      </c>
      <c r="U24" s="15"/>
      <c r="V24" s="15">
        <v>0</v>
      </c>
      <c r="W24" s="15">
        <v>0</v>
      </c>
      <c r="X24" s="15"/>
      <c r="Y24" s="15">
        <v>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>
        <v>949</v>
      </c>
      <c r="AJ24" s="15">
        <v>0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>
        <v>2974</v>
      </c>
      <c r="AU24" s="15"/>
      <c r="AV24" s="15"/>
    </row>
    <row r="25" spans="1:48" x14ac:dyDescent="0.35">
      <c r="A25" t="s">
        <v>233</v>
      </c>
      <c r="B25" s="15"/>
      <c r="C25" s="15"/>
      <c r="D25" s="15"/>
      <c r="E25" s="15"/>
      <c r="F25" s="15">
        <v>4921</v>
      </c>
      <c r="G25" s="15">
        <v>9205</v>
      </c>
      <c r="H25" s="15"/>
      <c r="I25" s="15"/>
      <c r="J25" s="15"/>
      <c r="K25" s="15"/>
      <c r="L25" s="15"/>
      <c r="M25" s="15"/>
      <c r="N25" s="15"/>
      <c r="O25" s="15">
        <v>203</v>
      </c>
      <c r="P25" s="15">
        <v>1352</v>
      </c>
      <c r="Q25" s="15"/>
      <c r="R25" s="15">
        <v>339</v>
      </c>
      <c r="S25" s="15">
        <v>18</v>
      </c>
      <c r="T25" s="15"/>
      <c r="U25" s="15"/>
      <c r="V25" s="15">
        <v>0</v>
      </c>
      <c r="W25" s="15">
        <v>0</v>
      </c>
      <c r="X25" s="15"/>
      <c r="Y25" s="15">
        <v>0</v>
      </c>
      <c r="Z25" s="15">
        <v>2137</v>
      </c>
      <c r="AA25" s="15"/>
      <c r="AB25" s="15"/>
      <c r="AC25" s="15"/>
      <c r="AD25" s="15"/>
      <c r="AE25" s="15"/>
      <c r="AF25" s="15">
        <v>264</v>
      </c>
      <c r="AG25" s="15"/>
      <c r="AH25" s="15"/>
      <c r="AI25" s="15">
        <v>103</v>
      </c>
      <c r="AJ25" s="15">
        <v>0</v>
      </c>
      <c r="AK25" s="15"/>
      <c r="AL25" s="15"/>
      <c r="AM25" s="15"/>
      <c r="AN25" s="15"/>
      <c r="AO25" s="15"/>
      <c r="AP25" s="15"/>
      <c r="AQ25" s="15"/>
      <c r="AR25" s="15"/>
      <c r="AS25" s="15">
        <v>44</v>
      </c>
      <c r="AT25" s="15"/>
      <c r="AU25" s="15"/>
      <c r="AV25" s="15"/>
    </row>
    <row r="26" spans="1:48" x14ac:dyDescent="0.35">
      <c r="A26" t="s">
        <v>234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>
        <v>0</v>
      </c>
      <c r="W26" s="15">
        <v>0</v>
      </c>
      <c r="X26" s="15"/>
      <c r="Y26" s="15">
        <v>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>
        <v>0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x14ac:dyDescent="0.35">
      <c r="A27" t="s">
        <v>235</v>
      </c>
      <c r="B27" s="15">
        <v>209</v>
      </c>
      <c r="C27" s="15"/>
      <c r="D27" s="15"/>
      <c r="E27" s="15">
        <v>439</v>
      </c>
      <c r="F27" s="15"/>
      <c r="G27" s="15"/>
      <c r="H27" s="15"/>
      <c r="I27" s="15"/>
      <c r="J27" s="15"/>
      <c r="K27" s="15"/>
      <c r="L27" s="15"/>
      <c r="M27" s="15"/>
      <c r="N27" s="15">
        <v>352</v>
      </c>
      <c r="O27" s="15">
        <v>123</v>
      </c>
      <c r="P27" s="15">
        <v>81</v>
      </c>
      <c r="Q27" s="15"/>
      <c r="R27" s="15">
        <v>267</v>
      </c>
      <c r="S27" s="15"/>
      <c r="T27" s="15"/>
      <c r="U27" s="15"/>
      <c r="V27" s="15">
        <v>172</v>
      </c>
      <c r="W27" s="15">
        <v>1673</v>
      </c>
      <c r="X27" s="15"/>
      <c r="Y27" s="15">
        <v>2</v>
      </c>
      <c r="Z27" s="15">
        <v>717</v>
      </c>
      <c r="AA27" s="15"/>
      <c r="AB27" s="15"/>
      <c r="AC27" s="15"/>
      <c r="AD27" s="15"/>
      <c r="AE27" s="15"/>
      <c r="AF27" s="15">
        <v>264</v>
      </c>
      <c r="AG27" s="15"/>
      <c r="AH27" s="15"/>
      <c r="AI27" s="15">
        <v>123</v>
      </c>
      <c r="AJ27" s="15">
        <v>0</v>
      </c>
      <c r="AK27" s="15"/>
      <c r="AL27" s="15">
        <v>9281</v>
      </c>
      <c r="AM27" s="15"/>
      <c r="AN27" s="15"/>
      <c r="AO27" s="15"/>
      <c r="AP27" s="15"/>
      <c r="AQ27" s="15">
        <v>1375</v>
      </c>
      <c r="AR27" s="15"/>
      <c r="AS27" s="15">
        <v>137</v>
      </c>
      <c r="AT27" s="15">
        <v>95</v>
      </c>
      <c r="AU27" s="15"/>
      <c r="AV27" s="15"/>
    </row>
    <row r="28" spans="1:48" x14ac:dyDescent="0.35">
      <c r="A28" t="s">
        <v>236</v>
      </c>
      <c r="B28" s="15"/>
      <c r="C28" s="15"/>
      <c r="D28" s="15"/>
      <c r="E28" s="15">
        <v>3724</v>
      </c>
      <c r="F28" s="15"/>
      <c r="G28" s="15"/>
      <c r="H28" s="15"/>
      <c r="I28" s="15"/>
      <c r="J28" s="15"/>
      <c r="K28" s="15"/>
      <c r="L28" s="15"/>
      <c r="M28" s="15"/>
      <c r="N28" s="15"/>
      <c r="O28" s="15">
        <v>147</v>
      </c>
      <c r="P28" s="15"/>
      <c r="Q28" s="15"/>
      <c r="R28" s="15">
        <v>4216</v>
      </c>
      <c r="S28" s="15">
        <v>371</v>
      </c>
      <c r="T28" s="15"/>
      <c r="U28" s="15"/>
      <c r="V28" s="15">
        <v>522</v>
      </c>
      <c r="W28" s="15">
        <v>0</v>
      </c>
      <c r="X28" s="15"/>
      <c r="Y28" s="15">
        <v>0</v>
      </c>
      <c r="Z28" s="15"/>
      <c r="AA28" s="15"/>
      <c r="AB28" s="15"/>
      <c r="AC28" s="15"/>
      <c r="AD28" s="15"/>
      <c r="AE28" s="15"/>
      <c r="AF28" s="15">
        <v>3318</v>
      </c>
      <c r="AG28" s="15"/>
      <c r="AH28" s="15"/>
      <c r="AI28" s="15">
        <v>188</v>
      </c>
      <c r="AJ28" s="15">
        <v>0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x14ac:dyDescent="0.35">
      <c r="A29" t="s">
        <v>237</v>
      </c>
      <c r="B29" s="15">
        <v>8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>
        <v>66</v>
      </c>
      <c r="P29" s="15"/>
      <c r="Q29" s="15"/>
      <c r="R29" s="15"/>
      <c r="S29" s="15">
        <v>104</v>
      </c>
      <c r="T29" s="15"/>
      <c r="U29" s="15"/>
      <c r="V29" s="15">
        <v>0</v>
      </c>
      <c r="W29" s="15">
        <v>2352</v>
      </c>
      <c r="X29" s="15"/>
      <c r="Y29" s="15">
        <v>0</v>
      </c>
      <c r="Z29" s="15"/>
      <c r="AA29" s="15"/>
      <c r="AB29" s="15"/>
      <c r="AC29" s="15"/>
      <c r="AD29" s="15"/>
      <c r="AE29" s="15"/>
      <c r="AF29" s="15"/>
      <c r="AG29" s="15">
        <v>3</v>
      </c>
      <c r="AH29" s="15"/>
      <c r="AI29" s="15"/>
      <c r="AJ29" s="15">
        <v>0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 x14ac:dyDescent="0.35">
      <c r="A30" t="s">
        <v>238</v>
      </c>
      <c r="B30" s="15"/>
      <c r="C30" s="15">
        <v>47</v>
      </c>
      <c r="D30" s="15"/>
      <c r="E30" s="15"/>
      <c r="F30" s="15"/>
      <c r="G30" s="15">
        <v>34554</v>
      </c>
      <c r="H30" s="15"/>
      <c r="I30" s="15"/>
      <c r="J30" s="15"/>
      <c r="K30" s="15"/>
      <c r="L30" s="15"/>
      <c r="M30" s="15"/>
      <c r="N30" s="15">
        <v>1744</v>
      </c>
      <c r="O30" s="15">
        <v>337</v>
      </c>
      <c r="P30" s="15">
        <v>729</v>
      </c>
      <c r="Q30" s="15"/>
      <c r="R30" s="15">
        <v>249</v>
      </c>
      <c r="S30" s="15">
        <v>848</v>
      </c>
      <c r="T30" s="15"/>
      <c r="U30" s="15"/>
      <c r="V30" s="15">
        <v>0</v>
      </c>
      <c r="W30" s="15">
        <v>6276</v>
      </c>
      <c r="X30" s="15"/>
      <c r="Y30" s="15">
        <v>1</v>
      </c>
      <c r="Z30" s="15"/>
      <c r="AA30" s="15"/>
      <c r="AB30" s="15"/>
      <c r="AC30" s="15"/>
      <c r="AD30" s="15"/>
      <c r="AE30" s="15"/>
      <c r="AF30" s="15">
        <v>301</v>
      </c>
      <c r="AG30" s="15">
        <v>99</v>
      </c>
      <c r="AH30" s="15"/>
      <c r="AI30" s="15">
        <v>14</v>
      </c>
      <c r="AJ30" s="15">
        <v>0</v>
      </c>
      <c r="AK30" s="15"/>
      <c r="AL30" s="15">
        <v>6353</v>
      </c>
      <c r="AM30" s="15"/>
      <c r="AN30" s="15"/>
      <c r="AO30" s="15"/>
      <c r="AP30" s="15"/>
      <c r="AQ30" s="15">
        <v>3182</v>
      </c>
      <c r="AR30" s="15"/>
      <c r="AS30" s="15">
        <v>267</v>
      </c>
      <c r="AT30" s="15">
        <v>149</v>
      </c>
      <c r="AU30" s="15"/>
      <c r="AV30" s="15"/>
    </row>
    <row r="31" spans="1:48" x14ac:dyDescent="0.35">
      <c r="A31" t="s">
        <v>239</v>
      </c>
      <c r="B31" s="15">
        <v>899</v>
      </c>
      <c r="C31" s="15"/>
      <c r="D31" s="15"/>
      <c r="E31" s="15"/>
      <c r="F31" s="15"/>
      <c r="G31" s="15">
        <v>37181</v>
      </c>
      <c r="H31" s="15"/>
      <c r="I31" s="15"/>
      <c r="J31" s="15"/>
      <c r="K31" s="15"/>
      <c r="L31" s="15"/>
      <c r="M31" s="15"/>
      <c r="N31" s="15"/>
      <c r="O31" s="15">
        <v>161</v>
      </c>
      <c r="P31" s="15"/>
      <c r="Q31" s="15"/>
      <c r="R31" s="15">
        <v>2247</v>
      </c>
      <c r="S31" s="15">
        <v>848</v>
      </c>
      <c r="T31" s="15"/>
      <c r="U31" s="15"/>
      <c r="V31" s="15">
        <v>18</v>
      </c>
      <c r="W31" s="15">
        <v>1759</v>
      </c>
      <c r="X31" s="15"/>
      <c r="Y31" s="15">
        <v>200</v>
      </c>
      <c r="Z31" s="15">
        <v>5019</v>
      </c>
      <c r="AA31" s="15"/>
      <c r="AB31" s="15"/>
      <c r="AC31" s="15"/>
      <c r="AD31" s="15"/>
      <c r="AE31" s="15"/>
      <c r="AF31" s="15">
        <v>1912</v>
      </c>
      <c r="AG31" s="15"/>
      <c r="AH31" s="15"/>
      <c r="AI31" s="15">
        <v>434</v>
      </c>
      <c r="AJ31" s="15">
        <v>0</v>
      </c>
      <c r="AK31" s="15"/>
      <c r="AL31" s="15">
        <v>6166</v>
      </c>
      <c r="AM31" s="15"/>
      <c r="AN31" s="15"/>
      <c r="AO31" s="15"/>
      <c r="AP31" s="15"/>
      <c r="AQ31" s="15">
        <v>19</v>
      </c>
      <c r="AR31" s="15"/>
      <c r="AS31" s="15">
        <v>298</v>
      </c>
      <c r="AT31" s="15">
        <v>446</v>
      </c>
      <c r="AU31" s="15"/>
      <c r="AV31" s="15"/>
    </row>
    <row r="32" spans="1:48" x14ac:dyDescent="0.35">
      <c r="A32" t="s">
        <v>240</v>
      </c>
      <c r="B32" s="15"/>
      <c r="C32" s="15"/>
      <c r="D32" s="15"/>
      <c r="E32" s="15"/>
      <c r="F32" s="15">
        <v>17</v>
      </c>
      <c r="G32" s="15">
        <v>37181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>
        <v>0</v>
      </c>
      <c r="W32" s="15">
        <v>0</v>
      </c>
      <c r="X32" s="15"/>
      <c r="Y32" s="15">
        <v>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>
        <v>4</v>
      </c>
      <c r="AJ32" s="15">
        <v>4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>
        <v>17</v>
      </c>
      <c r="AU32" s="15"/>
      <c r="AV32" s="15"/>
    </row>
    <row r="33" spans="1:48" x14ac:dyDescent="0.35">
      <c r="A33" t="s">
        <v>241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>
        <v>62</v>
      </c>
      <c r="P33" s="15"/>
      <c r="Q33" s="15"/>
      <c r="R33" s="15"/>
      <c r="S33" s="15"/>
      <c r="T33" s="15"/>
      <c r="U33" s="15"/>
      <c r="V33" s="15">
        <v>0</v>
      </c>
      <c r="W33" s="15">
        <v>3238</v>
      </c>
      <c r="X33" s="15"/>
      <c r="Y33" s="15">
        <v>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>
        <v>2</v>
      </c>
      <c r="AJ33" s="15">
        <v>0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 x14ac:dyDescent="0.35">
      <c r="A34" t="s">
        <v>242</v>
      </c>
      <c r="B34" s="15"/>
      <c r="C34" s="15">
        <v>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>
        <v>4</v>
      </c>
      <c r="S34" s="15"/>
      <c r="T34" s="15"/>
      <c r="U34" s="15"/>
      <c r="V34" s="15">
        <v>0</v>
      </c>
      <c r="W34" s="15">
        <v>0</v>
      </c>
      <c r="X34" s="15"/>
      <c r="Y34" s="15">
        <v>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>
        <v>0</v>
      </c>
      <c r="AK34" s="15"/>
      <c r="AL34" s="15">
        <v>48021</v>
      </c>
      <c r="AM34" s="15"/>
      <c r="AN34" s="15"/>
      <c r="AO34" s="15"/>
      <c r="AP34" s="15"/>
      <c r="AQ34" s="15">
        <v>5773</v>
      </c>
      <c r="AR34" s="15"/>
      <c r="AS34" s="15"/>
      <c r="AT34" s="15"/>
      <c r="AU34" s="15"/>
      <c r="AV34" s="15"/>
    </row>
    <row r="35" spans="1:48" x14ac:dyDescent="0.35">
      <c r="A35" t="s">
        <v>243</v>
      </c>
      <c r="B35" s="15">
        <v>16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4</v>
      </c>
      <c r="O35" s="15"/>
      <c r="P35" s="15"/>
      <c r="Q35" s="15"/>
      <c r="R35" s="15">
        <v>639</v>
      </c>
      <c r="S35" s="15"/>
      <c r="T35" s="15">
        <v>139</v>
      </c>
      <c r="U35" s="15"/>
      <c r="V35" s="15">
        <v>0</v>
      </c>
      <c r="W35" s="15">
        <v>0</v>
      </c>
      <c r="X35" s="15"/>
      <c r="Y35" s="15">
        <v>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>
        <v>104</v>
      </c>
      <c r="AJ35" s="15">
        <v>0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1:48" x14ac:dyDescent="0.35">
      <c r="A36" t="s">
        <v>244</v>
      </c>
      <c r="B36" s="15">
        <v>3066</v>
      </c>
      <c r="C36" s="15">
        <v>197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>
        <v>104</v>
      </c>
      <c r="T36" s="15"/>
      <c r="U36" s="15"/>
      <c r="V36" s="15">
        <v>278</v>
      </c>
      <c r="W36" s="15">
        <v>0</v>
      </c>
      <c r="X36" s="15"/>
      <c r="Y36" s="15">
        <v>0</v>
      </c>
      <c r="Z36" s="15"/>
      <c r="AA36" s="15"/>
      <c r="AB36" s="15"/>
      <c r="AC36" s="15"/>
      <c r="AD36" s="15"/>
      <c r="AE36" s="15"/>
      <c r="AF36" s="15">
        <v>7236</v>
      </c>
      <c r="AG36" s="15"/>
      <c r="AH36" s="15"/>
      <c r="AI36" s="15">
        <v>29</v>
      </c>
      <c r="AJ36" s="15">
        <v>0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>
        <v>709</v>
      </c>
      <c r="AU36" s="15"/>
      <c r="AV36" s="15"/>
    </row>
    <row r="37" spans="1:48" x14ac:dyDescent="0.35">
      <c r="A37" t="s">
        <v>245</v>
      </c>
      <c r="B37" s="15">
        <v>4986</v>
      </c>
      <c r="C37" s="15">
        <v>130</v>
      </c>
      <c r="D37" s="15"/>
      <c r="E37" s="15">
        <v>2093</v>
      </c>
      <c r="F37" s="15">
        <v>20355</v>
      </c>
      <c r="G37" s="15">
        <v>131922</v>
      </c>
      <c r="H37" s="15"/>
      <c r="I37" s="15">
        <v>1252</v>
      </c>
      <c r="J37" s="15"/>
      <c r="K37" s="15"/>
      <c r="L37" s="15"/>
      <c r="M37" s="15"/>
      <c r="N37" s="15">
        <v>2086</v>
      </c>
      <c r="O37" s="15"/>
      <c r="P37" s="15">
        <v>143</v>
      </c>
      <c r="Q37" s="15"/>
      <c r="R37" s="15">
        <v>704</v>
      </c>
      <c r="S37" s="15">
        <v>617</v>
      </c>
      <c r="T37" s="15">
        <v>7074</v>
      </c>
      <c r="U37" s="15"/>
      <c r="V37" s="15">
        <v>101</v>
      </c>
      <c r="W37" s="15">
        <v>19141</v>
      </c>
      <c r="X37" s="15"/>
      <c r="Y37" s="15">
        <v>213</v>
      </c>
      <c r="Z37" s="15"/>
      <c r="AA37" s="15">
        <v>795</v>
      </c>
      <c r="AB37" s="15"/>
      <c r="AC37" s="15"/>
      <c r="AD37" s="15"/>
      <c r="AE37" s="15"/>
      <c r="AF37" s="15">
        <v>42</v>
      </c>
      <c r="AG37" s="15">
        <v>6</v>
      </c>
      <c r="AH37" s="15"/>
      <c r="AI37" s="15">
        <v>2710</v>
      </c>
      <c r="AJ37" s="15">
        <v>0</v>
      </c>
      <c r="AK37" s="15"/>
      <c r="AL37" s="15"/>
      <c r="AM37" s="15"/>
      <c r="AN37" s="15"/>
      <c r="AO37" s="15"/>
      <c r="AP37" s="15"/>
      <c r="AQ37" s="15">
        <v>3746</v>
      </c>
      <c r="AR37" s="15"/>
      <c r="AS37" s="15">
        <v>67</v>
      </c>
      <c r="AT37" s="15">
        <v>773</v>
      </c>
      <c r="AU37" s="15"/>
      <c r="AV37" s="15"/>
    </row>
    <row r="38" spans="1:48" x14ac:dyDescent="0.35">
      <c r="A38" t="s">
        <v>246</v>
      </c>
      <c r="B38" s="15"/>
      <c r="C38" s="15">
        <v>210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>
        <v>0</v>
      </c>
      <c r="W38" s="15">
        <v>0</v>
      </c>
      <c r="X38" s="15"/>
      <c r="Y38" s="15">
        <v>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>
        <v>0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35">
      <c r="A39" t="s">
        <v>247</v>
      </c>
      <c r="B39" s="15"/>
      <c r="C39" s="15">
        <v>255</v>
      </c>
      <c r="D39" s="15"/>
      <c r="E39" s="15"/>
      <c r="F39" s="15"/>
      <c r="G39" s="15"/>
      <c r="H39" s="15"/>
      <c r="I39" s="15">
        <v>5510</v>
      </c>
      <c r="J39" s="15"/>
      <c r="K39" s="15"/>
      <c r="L39" s="15"/>
      <c r="M39" s="15"/>
      <c r="N39" s="15"/>
      <c r="O39" s="15"/>
      <c r="P39" s="15"/>
      <c r="Q39" s="15"/>
      <c r="R39" s="15">
        <v>981</v>
      </c>
      <c r="S39" s="15"/>
      <c r="T39" s="15">
        <v>0</v>
      </c>
      <c r="U39" s="15"/>
      <c r="V39" s="15">
        <v>47</v>
      </c>
      <c r="W39" s="15">
        <v>0</v>
      </c>
      <c r="X39" s="15"/>
      <c r="Y39" s="15">
        <v>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>
        <v>1781</v>
      </c>
      <c r="AJ39" s="15">
        <v>0</v>
      </c>
      <c r="AK39" s="15"/>
      <c r="AL39" s="15"/>
      <c r="AM39" s="15"/>
      <c r="AN39" s="15"/>
      <c r="AO39" s="15"/>
      <c r="AP39" s="15"/>
      <c r="AQ39" s="15"/>
      <c r="AR39" s="15"/>
      <c r="AS39" s="15">
        <v>182</v>
      </c>
      <c r="AT39" s="15"/>
      <c r="AU39" s="15"/>
      <c r="AV39" s="15"/>
    </row>
    <row r="40" spans="1:48" x14ac:dyDescent="0.35">
      <c r="A40" t="s">
        <v>248</v>
      </c>
      <c r="B40" s="15">
        <v>1486</v>
      </c>
      <c r="C40" s="15">
        <v>1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43</v>
      </c>
      <c r="S40" s="15">
        <v>1140</v>
      </c>
      <c r="T40" s="15"/>
      <c r="U40" s="15"/>
      <c r="V40" s="15">
        <v>449</v>
      </c>
      <c r="W40" s="15">
        <v>51836</v>
      </c>
      <c r="X40" s="15"/>
      <c r="Y40" s="15">
        <v>951</v>
      </c>
      <c r="Z40" s="15"/>
      <c r="AA40" s="15"/>
      <c r="AB40" s="15"/>
      <c r="AC40" s="15"/>
      <c r="AD40" s="15"/>
      <c r="AE40" s="15"/>
      <c r="AF40" s="15">
        <v>8781</v>
      </c>
      <c r="AG40" s="15">
        <v>45</v>
      </c>
      <c r="AH40" s="15"/>
      <c r="AI40" s="15">
        <v>2173</v>
      </c>
      <c r="AJ40" s="15">
        <v>0</v>
      </c>
      <c r="AK40" s="15"/>
      <c r="AL40" s="15"/>
      <c r="AM40" s="15"/>
      <c r="AN40" s="15"/>
      <c r="AO40" s="15"/>
      <c r="AP40" s="15"/>
      <c r="AQ40" s="15"/>
      <c r="AR40" s="15"/>
      <c r="AS40" s="15">
        <v>3050</v>
      </c>
      <c r="AT40" s="15">
        <v>759</v>
      </c>
      <c r="AU40" s="15"/>
      <c r="AV40" s="15"/>
    </row>
    <row r="41" spans="1:48" x14ac:dyDescent="0.35">
      <c r="A41" t="s">
        <v>249</v>
      </c>
      <c r="B41" s="15">
        <v>10703</v>
      </c>
      <c r="C41" s="15">
        <v>249</v>
      </c>
      <c r="D41" s="15"/>
      <c r="E41" s="15">
        <v>101752</v>
      </c>
      <c r="F41" s="15">
        <v>69824</v>
      </c>
      <c r="G41" s="15">
        <v>201735</v>
      </c>
      <c r="H41" s="15"/>
      <c r="I41" s="15">
        <v>646</v>
      </c>
      <c r="J41" s="15"/>
      <c r="K41" s="15"/>
      <c r="L41" s="15"/>
      <c r="M41" s="15"/>
      <c r="N41" s="15">
        <v>5484</v>
      </c>
      <c r="O41" s="15">
        <v>7886</v>
      </c>
      <c r="P41" s="15">
        <v>9372</v>
      </c>
      <c r="Q41" s="15"/>
      <c r="R41" s="15">
        <v>3519</v>
      </c>
      <c r="S41" s="15">
        <v>1537</v>
      </c>
      <c r="T41" s="15">
        <v>12887</v>
      </c>
      <c r="U41" s="15"/>
      <c r="V41" s="15">
        <v>908</v>
      </c>
      <c r="W41" s="15">
        <v>41308</v>
      </c>
      <c r="X41" s="15"/>
      <c r="Y41" s="15">
        <v>1003</v>
      </c>
      <c r="Z41" s="15">
        <v>34588</v>
      </c>
      <c r="AA41" s="15">
        <v>1761</v>
      </c>
      <c r="AB41" s="15"/>
      <c r="AC41" s="15"/>
      <c r="AD41" s="15"/>
      <c r="AE41" s="15"/>
      <c r="AF41" s="15">
        <v>2147</v>
      </c>
      <c r="AG41" s="15">
        <v>7121</v>
      </c>
      <c r="AH41" s="15"/>
      <c r="AI41" s="15">
        <v>2523</v>
      </c>
      <c r="AJ41" s="15">
        <v>0</v>
      </c>
      <c r="AK41" s="15"/>
      <c r="AL41" s="15"/>
      <c r="AM41" s="15"/>
      <c r="AN41" s="15"/>
      <c r="AO41" s="15"/>
      <c r="AP41" s="15"/>
      <c r="AQ41" s="15">
        <v>32542</v>
      </c>
      <c r="AR41" s="15"/>
      <c r="AS41" s="15">
        <v>1449</v>
      </c>
      <c r="AT41" s="15">
        <v>1187</v>
      </c>
      <c r="AU41" s="15"/>
      <c r="AV41" s="15"/>
    </row>
    <row r="42" spans="1:48" x14ac:dyDescent="0.35">
      <c r="A42" t="s">
        <v>210</v>
      </c>
      <c r="B42" s="15"/>
      <c r="C42" s="15"/>
      <c r="D42" s="15"/>
      <c r="E42" s="15"/>
      <c r="F42" s="15"/>
      <c r="G42" s="15">
        <v>131922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>
        <v>131</v>
      </c>
      <c r="S42" s="15"/>
      <c r="T42" s="15"/>
      <c r="U42" s="15"/>
      <c r="V42" s="15"/>
      <c r="W42" s="15"/>
      <c r="X42" s="15"/>
      <c r="Y42" s="15">
        <v>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35">
      <c r="A43" t="s">
        <v>211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>
        <v>37</v>
      </c>
      <c r="S43" s="15"/>
      <c r="T43" s="15"/>
      <c r="U43" s="15"/>
      <c r="V43" s="15"/>
      <c r="W43" s="15"/>
      <c r="X43" s="15"/>
      <c r="Y43" s="15">
        <v>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35">
      <c r="A44" t="s">
        <v>250</v>
      </c>
      <c r="B44" s="15">
        <v>35</v>
      </c>
      <c r="C44" s="15"/>
      <c r="D44" s="15"/>
      <c r="E44" s="15">
        <v>1385</v>
      </c>
      <c r="F44" s="15"/>
      <c r="G44" s="15"/>
      <c r="H44" s="15"/>
      <c r="I44" s="15"/>
      <c r="J44" s="15"/>
      <c r="K44" s="15"/>
      <c r="L44" s="15"/>
      <c r="M44" s="15"/>
      <c r="N44" s="15">
        <v>44</v>
      </c>
      <c r="O44" s="15">
        <v>3</v>
      </c>
      <c r="P44" s="15">
        <v>7</v>
      </c>
      <c r="Q44" s="15"/>
      <c r="R44" s="15">
        <v>65</v>
      </c>
      <c r="S44" s="15">
        <v>77</v>
      </c>
      <c r="T44" s="15"/>
      <c r="U44" s="15"/>
      <c r="V44" s="15">
        <v>0</v>
      </c>
      <c r="W44" s="15">
        <v>887</v>
      </c>
      <c r="X44" s="15"/>
      <c r="Y44" s="15">
        <v>2</v>
      </c>
      <c r="Z44" s="15">
        <v>1985</v>
      </c>
      <c r="AA44" s="15"/>
      <c r="AB44" s="15"/>
      <c r="AC44" s="15"/>
      <c r="AD44" s="15"/>
      <c r="AE44" s="15"/>
      <c r="AF44" s="15">
        <v>1172</v>
      </c>
      <c r="AG44" s="15"/>
      <c r="AH44" s="15"/>
      <c r="AI44" s="15">
        <v>8</v>
      </c>
      <c r="AJ44" s="15">
        <v>3</v>
      </c>
      <c r="AK44" s="15"/>
      <c r="AL44" s="15">
        <v>216</v>
      </c>
      <c r="AM44" s="15"/>
      <c r="AN44" s="15"/>
      <c r="AO44" s="15"/>
      <c r="AP44" s="15"/>
      <c r="AQ44" s="15"/>
      <c r="AR44" s="15"/>
      <c r="AS44" s="15"/>
      <c r="AT44" s="15">
        <v>14</v>
      </c>
      <c r="AU44" s="15"/>
      <c r="AV44" s="15"/>
    </row>
    <row r="45" spans="1:48" x14ac:dyDescent="0.35">
      <c r="A45" t="s">
        <v>251</v>
      </c>
      <c r="B45" s="15">
        <v>126</v>
      </c>
      <c r="C45" s="15">
        <v>5</v>
      </c>
      <c r="D45" s="15"/>
      <c r="E45" s="15"/>
      <c r="F45" s="15"/>
      <c r="G45" s="15">
        <v>49</v>
      </c>
      <c r="H45" s="15"/>
      <c r="I45" s="15"/>
      <c r="J45" s="15"/>
      <c r="K45" s="15"/>
      <c r="L45" s="15"/>
      <c r="M45" s="15"/>
      <c r="N45" s="15">
        <v>157</v>
      </c>
      <c r="O45" s="15"/>
      <c r="P45" s="15">
        <v>7</v>
      </c>
      <c r="Q45" s="15"/>
      <c r="R45" s="15">
        <v>125</v>
      </c>
      <c r="S45" s="15">
        <v>56</v>
      </c>
      <c r="T45" s="15"/>
      <c r="U45" s="15"/>
      <c r="V45" s="15">
        <v>20</v>
      </c>
      <c r="W45" s="15">
        <v>0</v>
      </c>
      <c r="X45" s="15"/>
      <c r="Y45" s="15">
        <v>4</v>
      </c>
      <c r="Z45" s="15">
        <v>242</v>
      </c>
      <c r="AA45" s="15">
        <v>23</v>
      </c>
      <c r="AB45" s="15"/>
      <c r="AC45" s="15"/>
      <c r="AD45" s="15"/>
      <c r="AE45" s="15"/>
      <c r="AF45" s="15">
        <v>63</v>
      </c>
      <c r="AG45" s="15">
        <v>56</v>
      </c>
      <c r="AH45" s="15"/>
      <c r="AI45" s="15">
        <v>133</v>
      </c>
      <c r="AJ45" s="15">
        <v>0</v>
      </c>
      <c r="AK45" s="15"/>
      <c r="AL45" s="15">
        <v>1183</v>
      </c>
      <c r="AM45" s="15"/>
      <c r="AN45" s="15"/>
      <c r="AO45" s="15"/>
      <c r="AP45" s="15"/>
      <c r="AQ45" s="15"/>
      <c r="AR45" s="15"/>
      <c r="AS45" s="15">
        <v>10</v>
      </c>
      <c r="AT45" s="15">
        <v>34</v>
      </c>
      <c r="AU45" s="15"/>
      <c r="AV45" s="15"/>
    </row>
    <row r="46" spans="1:48" x14ac:dyDescent="0.35">
      <c r="A46" t="s">
        <v>252</v>
      </c>
      <c r="B46" s="15">
        <v>3</v>
      </c>
      <c r="C46" s="15"/>
      <c r="D46" s="15"/>
      <c r="E46" s="15"/>
      <c r="F46" s="15">
        <v>567</v>
      </c>
      <c r="G46" s="15">
        <v>5485</v>
      </c>
      <c r="H46" s="15"/>
      <c r="I46" s="15"/>
      <c r="J46" s="15"/>
      <c r="K46" s="15"/>
      <c r="L46" s="15"/>
      <c r="M46" s="15"/>
      <c r="N46" s="15"/>
      <c r="O46" s="15">
        <v>6</v>
      </c>
      <c r="P46" s="15"/>
      <c r="Q46" s="15"/>
      <c r="R46" s="15"/>
      <c r="S46" s="15"/>
      <c r="T46" s="15"/>
      <c r="U46" s="15"/>
      <c r="V46" s="15">
        <v>18</v>
      </c>
      <c r="W46" s="15">
        <v>235</v>
      </c>
      <c r="X46" s="15"/>
      <c r="Y46" s="15">
        <v>10</v>
      </c>
      <c r="Z46" s="15"/>
      <c r="AA46" s="15"/>
      <c r="AB46" s="15"/>
      <c r="AC46" s="15"/>
      <c r="AD46" s="15"/>
      <c r="AE46" s="15"/>
      <c r="AF46" s="15">
        <v>151</v>
      </c>
      <c r="AG46" s="15">
        <v>99</v>
      </c>
      <c r="AH46" s="15"/>
      <c r="AI46" s="15">
        <v>107</v>
      </c>
      <c r="AJ46" s="15">
        <v>22</v>
      </c>
      <c r="AK46" s="15"/>
      <c r="AL46" s="15">
        <v>4012</v>
      </c>
      <c r="AM46" s="15"/>
      <c r="AN46" s="15"/>
      <c r="AO46" s="15"/>
      <c r="AP46" s="15"/>
      <c r="AQ46" s="15"/>
      <c r="AR46" s="15"/>
      <c r="AS46" s="15">
        <v>99</v>
      </c>
      <c r="AT46" s="15">
        <v>1</v>
      </c>
      <c r="AU46" s="15"/>
      <c r="AV46" s="15"/>
    </row>
    <row r="47" spans="1:48" x14ac:dyDescent="0.35">
      <c r="A47" t="s">
        <v>253</v>
      </c>
      <c r="B47" s="15"/>
      <c r="C47" s="15">
        <v>322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61</v>
      </c>
      <c r="Q47" s="15"/>
      <c r="R47" s="15">
        <v>40</v>
      </c>
      <c r="S47" s="15"/>
      <c r="T47" s="15"/>
      <c r="U47" s="15"/>
      <c r="V47" s="15">
        <v>0</v>
      </c>
      <c r="W47" s="15">
        <v>0</v>
      </c>
      <c r="X47" s="15"/>
      <c r="Y47" s="15">
        <v>0</v>
      </c>
      <c r="Z47" s="15">
        <v>426</v>
      </c>
      <c r="AA47" s="15"/>
      <c r="AB47" s="15"/>
      <c r="AC47" s="15"/>
      <c r="AD47" s="15"/>
      <c r="AE47" s="15"/>
      <c r="AF47" s="15"/>
      <c r="AG47" s="15">
        <v>47</v>
      </c>
      <c r="AH47" s="15"/>
      <c r="AI47" s="15"/>
      <c r="AJ47" s="15">
        <v>0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>
        <v>190</v>
      </c>
      <c r="AU47" s="15"/>
      <c r="AV47" s="15"/>
    </row>
    <row r="48" spans="1:48" x14ac:dyDescent="0.35">
      <c r="A48" t="s">
        <v>254</v>
      </c>
      <c r="B48" s="15"/>
      <c r="C48" s="15"/>
      <c r="D48" s="15"/>
      <c r="E48" s="15">
        <v>1785</v>
      </c>
      <c r="F48" s="15"/>
      <c r="G48" s="15"/>
      <c r="H48" s="15"/>
      <c r="I48" s="15"/>
      <c r="J48" s="15"/>
      <c r="K48" s="15"/>
      <c r="L48" s="15"/>
      <c r="M48" s="15"/>
      <c r="N48" s="15"/>
      <c r="O48" s="15">
        <v>1355</v>
      </c>
      <c r="P48" s="15">
        <v>7805</v>
      </c>
      <c r="Q48" s="15"/>
      <c r="R48" s="15"/>
      <c r="S48" s="15"/>
      <c r="T48" s="15"/>
      <c r="U48" s="15"/>
      <c r="V48" s="15">
        <v>0</v>
      </c>
      <c r="W48" s="15">
        <v>0</v>
      </c>
      <c r="X48" s="15"/>
      <c r="Y48" s="15">
        <v>0</v>
      </c>
      <c r="Z48" s="15">
        <v>3295</v>
      </c>
      <c r="AA48" s="15"/>
      <c r="AB48" s="15"/>
      <c r="AC48" s="15"/>
      <c r="AD48" s="15"/>
      <c r="AE48" s="15"/>
      <c r="AF48" s="15">
        <v>3530</v>
      </c>
      <c r="AG48" s="15"/>
      <c r="AH48" s="15"/>
      <c r="AI48" s="15">
        <v>16</v>
      </c>
      <c r="AJ48" s="15">
        <v>0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>
        <v>2139</v>
      </c>
      <c r="AU48" s="15"/>
      <c r="AV48" s="15"/>
    </row>
    <row r="49" spans="1:48" x14ac:dyDescent="0.35">
      <c r="A49" t="s">
        <v>255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3629</v>
      </c>
      <c r="P49" s="15"/>
      <c r="Q49" s="15"/>
      <c r="R49" s="15"/>
      <c r="S49" s="15"/>
      <c r="T49" s="15"/>
      <c r="U49" s="15"/>
      <c r="V49" s="15">
        <v>2193</v>
      </c>
      <c r="W49" s="15">
        <v>0</v>
      </c>
      <c r="X49" s="15"/>
      <c r="Y49" s="15">
        <v>86</v>
      </c>
      <c r="Z49" s="15">
        <v>11129</v>
      </c>
      <c r="AA49" s="15"/>
      <c r="AB49" s="15"/>
      <c r="AC49" s="15"/>
      <c r="AD49" s="15"/>
      <c r="AE49" s="15"/>
      <c r="AF49" s="15">
        <v>10717</v>
      </c>
      <c r="AG49" s="15"/>
      <c r="AH49" s="15"/>
      <c r="AI49" s="15">
        <v>344</v>
      </c>
      <c r="AJ49" s="15">
        <v>0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35">
      <c r="A50" t="s">
        <v>256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>
        <v>382</v>
      </c>
      <c r="O50" s="15">
        <v>11</v>
      </c>
      <c r="P50" s="15"/>
      <c r="Q50" s="15"/>
      <c r="R50" s="15"/>
      <c r="S50" s="15"/>
      <c r="T50" s="15">
        <v>3480</v>
      </c>
      <c r="U50" s="15"/>
      <c r="V50" s="15">
        <v>0</v>
      </c>
      <c r="W50" s="15">
        <v>0</v>
      </c>
      <c r="X50" s="15"/>
      <c r="Y50" s="15">
        <v>0</v>
      </c>
      <c r="Z50" s="15">
        <v>8087</v>
      </c>
      <c r="AA50" s="15"/>
      <c r="AB50" s="15"/>
      <c r="AC50" s="15"/>
      <c r="AD50" s="15"/>
      <c r="AE50" s="15"/>
      <c r="AF50" s="15"/>
      <c r="AG50" s="15">
        <v>63</v>
      </c>
      <c r="AH50" s="15"/>
      <c r="AI50" s="15">
        <v>917</v>
      </c>
      <c r="AJ50" s="15">
        <v>0</v>
      </c>
      <c r="AK50" s="15"/>
      <c r="AL50" s="15">
        <v>3870</v>
      </c>
      <c r="AM50" s="15"/>
      <c r="AN50" s="15"/>
      <c r="AO50" s="15"/>
      <c r="AP50" s="15"/>
      <c r="AQ50" s="15">
        <v>8281</v>
      </c>
      <c r="AR50" s="15"/>
      <c r="AS50" s="15"/>
      <c r="AT50" s="15">
        <v>813</v>
      </c>
      <c r="AU50" s="15"/>
      <c r="AV50" s="15"/>
    </row>
    <row r="51" spans="1:48" x14ac:dyDescent="0.35">
      <c r="A51" t="s">
        <v>257</v>
      </c>
      <c r="B51" s="15"/>
      <c r="C51" s="15">
        <v>187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>
        <v>0</v>
      </c>
      <c r="W51" s="15">
        <v>3453</v>
      </c>
      <c r="X51" s="15"/>
      <c r="Y51" s="15">
        <v>0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>
        <v>0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35">
      <c r="A52" t="s">
        <v>258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>
        <v>0</v>
      </c>
      <c r="W52" s="15">
        <v>0</v>
      </c>
      <c r="X52" s="15"/>
      <c r="Y52" s="15">
        <v>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>
        <v>0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35">
      <c r="A53" t="s">
        <v>259</v>
      </c>
      <c r="B53" s="15">
        <v>203</v>
      </c>
      <c r="C53" s="15"/>
      <c r="D53" s="15"/>
      <c r="E53" s="15">
        <v>313</v>
      </c>
      <c r="F53" s="15"/>
      <c r="G53" s="15"/>
      <c r="H53" s="15"/>
      <c r="I53" s="15"/>
      <c r="J53" s="15"/>
      <c r="K53" s="15"/>
      <c r="L53" s="15"/>
      <c r="M53" s="15"/>
      <c r="N53" s="15">
        <v>56</v>
      </c>
      <c r="O53" s="15">
        <v>413</v>
      </c>
      <c r="P53" s="15">
        <v>6</v>
      </c>
      <c r="Q53" s="15"/>
      <c r="R53" s="15">
        <v>324</v>
      </c>
      <c r="S53" s="15">
        <v>277</v>
      </c>
      <c r="T53" s="15">
        <v>215</v>
      </c>
      <c r="U53" s="15"/>
      <c r="V53" s="15">
        <v>94</v>
      </c>
      <c r="W53" s="15">
        <v>1096</v>
      </c>
      <c r="X53" s="15"/>
      <c r="Y53" s="15">
        <v>76</v>
      </c>
      <c r="Z53" s="15">
        <v>1780</v>
      </c>
      <c r="AA53" s="15">
        <v>472</v>
      </c>
      <c r="AB53" s="15"/>
      <c r="AC53" s="15"/>
      <c r="AD53" s="15"/>
      <c r="AE53" s="15"/>
      <c r="AF53" s="15">
        <v>3039</v>
      </c>
      <c r="AG53" s="15">
        <v>372</v>
      </c>
      <c r="AH53" s="15"/>
      <c r="AI53" s="15">
        <v>40</v>
      </c>
      <c r="AJ53" s="15">
        <v>0</v>
      </c>
      <c r="AK53" s="15"/>
      <c r="AL53" s="15"/>
      <c r="AM53" s="15"/>
      <c r="AN53" s="15"/>
      <c r="AO53" s="15"/>
      <c r="AP53" s="15"/>
      <c r="AQ53" s="15">
        <v>1944</v>
      </c>
      <c r="AR53" s="15"/>
      <c r="AS53" s="15">
        <v>280</v>
      </c>
      <c r="AT53" s="15">
        <v>44</v>
      </c>
      <c r="AU53" s="15"/>
      <c r="AV53" s="15"/>
    </row>
    <row r="54" spans="1:48" x14ac:dyDescent="0.35">
      <c r="A54" t="s">
        <v>260</v>
      </c>
      <c r="B54" s="15"/>
      <c r="C54" s="15"/>
      <c r="D54" s="15"/>
      <c r="E54" s="15">
        <v>680</v>
      </c>
      <c r="F54" s="15"/>
      <c r="G54" s="15"/>
      <c r="H54" s="15"/>
      <c r="I54" s="15"/>
      <c r="J54" s="15"/>
      <c r="K54" s="15"/>
      <c r="L54" s="15"/>
      <c r="M54" s="15"/>
      <c r="N54" s="15">
        <v>187</v>
      </c>
      <c r="O54" s="15">
        <v>42</v>
      </c>
      <c r="P54" s="15"/>
      <c r="Q54" s="15"/>
      <c r="R54" s="15">
        <v>21</v>
      </c>
      <c r="S54" s="15"/>
      <c r="T54" s="15">
        <v>97</v>
      </c>
      <c r="U54" s="15"/>
      <c r="V54" s="15">
        <v>1</v>
      </c>
      <c r="W54" s="15">
        <v>159</v>
      </c>
      <c r="X54" s="15"/>
      <c r="Y54" s="15">
        <v>6</v>
      </c>
      <c r="Z54" s="15">
        <v>718</v>
      </c>
      <c r="AA54" s="15"/>
      <c r="AB54" s="15"/>
      <c r="AC54" s="15"/>
      <c r="AD54" s="15"/>
      <c r="AE54" s="15"/>
      <c r="AF54" s="15">
        <v>123</v>
      </c>
      <c r="AG54" s="15">
        <v>140</v>
      </c>
      <c r="AH54" s="15"/>
      <c r="AI54" s="15"/>
      <c r="AJ54" s="15">
        <v>20</v>
      </c>
      <c r="AK54" s="15"/>
      <c r="AL54" s="15">
        <v>8345</v>
      </c>
      <c r="AM54" s="15"/>
      <c r="AN54" s="15"/>
      <c r="AO54" s="15"/>
      <c r="AP54" s="15"/>
      <c r="AQ54" s="15">
        <v>1324</v>
      </c>
      <c r="AR54" s="15"/>
      <c r="AS54" s="15">
        <v>131</v>
      </c>
      <c r="AT54" s="15">
        <v>161</v>
      </c>
      <c r="AU54" s="15"/>
      <c r="AV54" s="15"/>
    </row>
    <row r="55" spans="1:48" x14ac:dyDescent="0.35">
      <c r="A55" t="s">
        <v>261</v>
      </c>
      <c r="B55" s="15">
        <v>47</v>
      </c>
      <c r="C55" s="15">
        <v>155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>
        <v>23</v>
      </c>
      <c r="W55" s="15">
        <v>149</v>
      </c>
      <c r="X55" s="15"/>
      <c r="Y55" s="15">
        <v>0</v>
      </c>
      <c r="Z55" s="15"/>
      <c r="AA55" s="15"/>
      <c r="AB55" s="15"/>
      <c r="AC55" s="15"/>
      <c r="AD55" s="15"/>
      <c r="AE55" s="15"/>
      <c r="AF55" s="15">
        <v>412</v>
      </c>
      <c r="AG55" s="15"/>
      <c r="AH55" s="15"/>
      <c r="AI55" s="15"/>
      <c r="AJ55" s="15">
        <v>40</v>
      </c>
      <c r="AK55" s="15"/>
      <c r="AL55" s="15">
        <v>164</v>
      </c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spans="1:48" x14ac:dyDescent="0.35">
      <c r="A56" t="s">
        <v>262</v>
      </c>
      <c r="B56" s="15">
        <v>11</v>
      </c>
      <c r="C56" s="15"/>
      <c r="D56" s="15"/>
      <c r="E56" s="15"/>
      <c r="F56" s="15">
        <v>1076</v>
      </c>
      <c r="G56" s="15">
        <v>14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>
        <v>7</v>
      </c>
      <c r="S56" s="15">
        <v>1</v>
      </c>
      <c r="T56" s="15"/>
      <c r="U56" s="15"/>
      <c r="V56" s="15">
        <v>1</v>
      </c>
      <c r="W56" s="15">
        <v>0</v>
      </c>
      <c r="X56" s="15"/>
      <c r="Y56" s="15">
        <v>0</v>
      </c>
      <c r="Z56" s="15">
        <v>92</v>
      </c>
      <c r="AA56" s="15"/>
      <c r="AB56" s="15"/>
      <c r="AC56" s="15"/>
      <c r="AD56" s="15"/>
      <c r="AE56" s="15"/>
      <c r="AF56" s="15">
        <v>11</v>
      </c>
      <c r="AG56" s="15"/>
      <c r="AH56" s="15"/>
      <c r="AI56" s="15">
        <v>35</v>
      </c>
      <c r="AJ56" s="15">
        <v>0</v>
      </c>
      <c r="AK56" s="15"/>
      <c r="AL56" s="15">
        <v>853</v>
      </c>
      <c r="AM56" s="15"/>
      <c r="AN56" s="15"/>
      <c r="AO56" s="15"/>
      <c r="AP56" s="15"/>
      <c r="AQ56" s="15"/>
      <c r="AR56" s="15"/>
      <c r="AS56" s="15"/>
      <c r="AT56" s="15">
        <v>5</v>
      </c>
      <c r="AU56" s="15"/>
      <c r="AV56" s="15"/>
    </row>
    <row r="57" spans="1:48" x14ac:dyDescent="0.35">
      <c r="A57" t="s">
        <v>263</v>
      </c>
      <c r="B57" s="15">
        <v>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>
        <v>15</v>
      </c>
      <c r="P57" s="15">
        <v>15</v>
      </c>
      <c r="Q57" s="15"/>
      <c r="R57" s="15">
        <v>44</v>
      </c>
      <c r="S57" s="15"/>
      <c r="T57" s="15"/>
      <c r="U57" s="15"/>
      <c r="V57" s="15">
        <v>0</v>
      </c>
      <c r="W57" s="15">
        <v>48</v>
      </c>
      <c r="X57" s="15"/>
      <c r="Y57" s="15">
        <v>12</v>
      </c>
      <c r="Z57" s="15"/>
      <c r="AA57" s="15"/>
      <c r="AB57" s="15"/>
      <c r="AC57" s="15"/>
      <c r="AD57" s="15"/>
      <c r="AE57" s="15"/>
      <c r="AF57" s="15">
        <v>610</v>
      </c>
      <c r="AG57" s="15"/>
      <c r="AH57" s="15"/>
      <c r="AI57" s="15"/>
      <c r="AJ57" s="15">
        <v>6</v>
      </c>
      <c r="AK57" s="15"/>
      <c r="AL57" s="15">
        <v>9125</v>
      </c>
      <c r="AM57" s="15"/>
      <c r="AN57" s="15"/>
      <c r="AO57" s="15"/>
      <c r="AP57" s="15"/>
      <c r="AQ57" s="15"/>
      <c r="AR57" s="15"/>
      <c r="AS57" s="15">
        <v>7</v>
      </c>
      <c r="AT57" s="15">
        <v>69</v>
      </c>
      <c r="AU57" s="15"/>
      <c r="AV57" s="15"/>
    </row>
    <row r="58" spans="1:48" x14ac:dyDescent="0.35">
      <c r="A58" t="s">
        <v>264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>
        <v>0</v>
      </c>
      <c r="W58" s="15">
        <v>0</v>
      </c>
      <c r="X58" s="15"/>
      <c r="Y58" s="15">
        <v>0</v>
      </c>
      <c r="Z58" s="15"/>
      <c r="AA58" s="15"/>
      <c r="AB58" s="15"/>
      <c r="AC58" s="15"/>
      <c r="AD58" s="15"/>
      <c r="AE58" s="15"/>
      <c r="AF58" s="15">
        <v>399</v>
      </c>
      <c r="AG58" s="15"/>
      <c r="AH58" s="15"/>
      <c r="AI58" s="15"/>
      <c r="AJ58" s="15">
        <v>0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>
        <v>33</v>
      </c>
      <c r="AU58" s="15"/>
      <c r="AV58" s="15"/>
    </row>
    <row r="59" spans="1:48" x14ac:dyDescent="0.35">
      <c r="A59" t="s">
        <v>265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>
        <v>584</v>
      </c>
      <c r="S59" s="15"/>
      <c r="T59" s="15"/>
      <c r="U59" s="15"/>
      <c r="V59" s="15">
        <v>0</v>
      </c>
      <c r="W59" s="15">
        <v>0</v>
      </c>
      <c r="X59" s="15"/>
      <c r="Y59" s="15">
        <v>16</v>
      </c>
      <c r="Z59" s="15">
        <v>749</v>
      </c>
      <c r="AA59" s="15"/>
      <c r="AB59" s="15"/>
      <c r="AC59" s="15"/>
      <c r="AD59" s="15"/>
      <c r="AE59" s="15"/>
      <c r="AF59" s="15">
        <v>153</v>
      </c>
      <c r="AG59" s="15"/>
      <c r="AH59" s="15"/>
      <c r="AI59" s="15">
        <v>173</v>
      </c>
      <c r="AJ59" s="15">
        <v>2</v>
      </c>
      <c r="AK59" s="15"/>
      <c r="AL59" s="15"/>
      <c r="AM59" s="15"/>
      <c r="AN59" s="15"/>
      <c r="AO59" s="15"/>
      <c r="AP59" s="15"/>
      <c r="AQ59" s="15"/>
      <c r="AR59" s="15"/>
      <c r="AS59" s="15">
        <v>6</v>
      </c>
      <c r="AT59" s="15">
        <v>23</v>
      </c>
      <c r="AU59" s="15"/>
      <c r="AV59" s="15"/>
    </row>
    <row r="60" spans="1:48" x14ac:dyDescent="0.35">
      <c r="A60" t="s">
        <v>266</v>
      </c>
      <c r="B60" s="15">
        <v>1001</v>
      </c>
      <c r="C60" s="15">
        <v>4</v>
      </c>
      <c r="D60" s="15"/>
      <c r="E60" s="15"/>
      <c r="F60" s="15">
        <v>2813</v>
      </c>
      <c r="G60" s="15"/>
      <c r="H60" s="15"/>
      <c r="I60" s="15">
        <v>438</v>
      </c>
      <c r="J60" s="15"/>
      <c r="K60" s="15"/>
      <c r="L60" s="15"/>
      <c r="M60" s="15"/>
      <c r="N60" s="15">
        <v>958</v>
      </c>
      <c r="O60" s="15">
        <v>114</v>
      </c>
      <c r="P60" s="15">
        <v>87</v>
      </c>
      <c r="Q60" s="15"/>
      <c r="R60" s="15">
        <v>897</v>
      </c>
      <c r="S60" s="15">
        <v>260</v>
      </c>
      <c r="T60" s="15">
        <v>328</v>
      </c>
      <c r="U60" s="15"/>
      <c r="V60" s="15">
        <v>113</v>
      </c>
      <c r="W60" s="15">
        <v>1135</v>
      </c>
      <c r="X60" s="15"/>
      <c r="Y60" s="15">
        <v>9</v>
      </c>
      <c r="Z60" s="15">
        <v>1951</v>
      </c>
      <c r="AA60" s="15">
        <v>87</v>
      </c>
      <c r="AB60" s="15"/>
      <c r="AC60" s="15"/>
      <c r="AD60" s="15"/>
      <c r="AE60" s="15"/>
      <c r="AF60" s="15">
        <v>804</v>
      </c>
      <c r="AG60" s="15"/>
      <c r="AH60" s="15"/>
      <c r="AI60" s="15">
        <v>1220</v>
      </c>
      <c r="AJ60" s="15">
        <v>0</v>
      </c>
      <c r="AK60" s="15"/>
      <c r="AL60" s="15"/>
      <c r="AM60" s="15"/>
      <c r="AN60" s="15"/>
      <c r="AO60" s="15"/>
      <c r="AP60" s="15"/>
      <c r="AQ60" s="15"/>
      <c r="AR60" s="15"/>
      <c r="AS60" s="15">
        <v>10</v>
      </c>
      <c r="AT60" s="15">
        <v>357</v>
      </c>
      <c r="AU60" s="15"/>
      <c r="AV60" s="15"/>
    </row>
    <row r="61" spans="1:48" x14ac:dyDescent="0.35">
      <c r="A61" t="s">
        <v>267</v>
      </c>
      <c r="B61" s="15"/>
      <c r="C61" s="15">
        <v>5</v>
      </c>
      <c r="D61" s="15"/>
      <c r="E61" s="15"/>
      <c r="F61" s="15"/>
      <c r="G61" s="15">
        <v>42</v>
      </c>
      <c r="H61" s="15"/>
      <c r="I61" s="15"/>
      <c r="J61" s="15"/>
      <c r="K61" s="15"/>
      <c r="L61" s="15"/>
      <c r="M61" s="15"/>
      <c r="N61" s="15">
        <v>97</v>
      </c>
      <c r="O61" s="15"/>
      <c r="P61" s="15">
        <v>14</v>
      </c>
      <c r="Q61" s="15"/>
      <c r="R61" s="15">
        <v>180</v>
      </c>
      <c r="S61" s="15">
        <v>12</v>
      </c>
      <c r="T61" s="15"/>
      <c r="U61" s="15"/>
      <c r="V61" s="15">
        <v>13</v>
      </c>
      <c r="W61" s="15">
        <v>0</v>
      </c>
      <c r="X61" s="15"/>
      <c r="Y61" s="15">
        <v>1</v>
      </c>
      <c r="Z61" s="15">
        <v>565</v>
      </c>
      <c r="AA61" s="15">
        <v>23</v>
      </c>
      <c r="AB61" s="15"/>
      <c r="AC61" s="15"/>
      <c r="AD61" s="15"/>
      <c r="AE61" s="15"/>
      <c r="AF61" s="15">
        <v>218</v>
      </c>
      <c r="AG61" s="15">
        <v>50</v>
      </c>
      <c r="AH61" s="15"/>
      <c r="AI61" s="15">
        <v>135</v>
      </c>
      <c r="AJ61" s="15">
        <v>0</v>
      </c>
      <c r="AK61" s="15"/>
      <c r="AL61" s="15"/>
      <c r="AM61" s="15"/>
      <c r="AN61" s="15"/>
      <c r="AO61" s="15"/>
      <c r="AP61" s="15"/>
      <c r="AQ61" s="15"/>
      <c r="AR61" s="15"/>
      <c r="AS61" s="15">
        <v>25</v>
      </c>
      <c r="AT61" s="15">
        <v>90</v>
      </c>
      <c r="AU61" s="15"/>
      <c r="AV61" s="15"/>
    </row>
    <row r="62" spans="1:48" x14ac:dyDescent="0.35">
      <c r="A62" t="s">
        <v>268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>
        <v>0</v>
      </c>
      <c r="W62" s="15">
        <v>0</v>
      </c>
      <c r="X62" s="15"/>
      <c r="Y62" s="15">
        <v>0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>
        <v>2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spans="1:48" x14ac:dyDescent="0.35">
      <c r="A63" t="s">
        <v>269</v>
      </c>
      <c r="B63" s="15">
        <v>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>
        <v>0</v>
      </c>
      <c r="W63" s="15">
        <v>7</v>
      </c>
      <c r="X63" s="15"/>
      <c r="Y63" s="15">
        <v>0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>
        <v>0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1:48" x14ac:dyDescent="0.35">
      <c r="A64" s="10" t="s">
        <v>317</v>
      </c>
      <c r="B64" s="3">
        <f>SUM(B4:B63)</f>
        <v>50576</v>
      </c>
      <c r="C64" s="3">
        <f t="shared" ref="C64:AV64" si="0">SUM(C4:C63)</f>
        <v>4830</v>
      </c>
      <c r="D64" s="3">
        <f t="shared" si="0"/>
        <v>0</v>
      </c>
      <c r="E64" s="3">
        <f t="shared" si="0"/>
        <v>338695</v>
      </c>
      <c r="F64" s="3">
        <f t="shared" si="0"/>
        <v>383591</v>
      </c>
      <c r="G64" s="3">
        <f t="shared" si="0"/>
        <v>1147632</v>
      </c>
      <c r="H64" s="3">
        <f t="shared" si="0"/>
        <v>0</v>
      </c>
      <c r="I64" s="3">
        <f t="shared" si="0"/>
        <v>17082</v>
      </c>
      <c r="J64" s="3">
        <f t="shared" si="0"/>
        <v>0</v>
      </c>
      <c r="K64" s="3">
        <f t="shared" si="0"/>
        <v>0</v>
      </c>
      <c r="L64" s="3">
        <f t="shared" si="0"/>
        <v>0</v>
      </c>
      <c r="M64" s="3">
        <f t="shared" si="0"/>
        <v>0</v>
      </c>
      <c r="N64" s="3">
        <f t="shared" si="0"/>
        <v>37273</v>
      </c>
      <c r="O64" s="3">
        <f t="shared" si="0"/>
        <v>27610</v>
      </c>
      <c r="P64" s="3">
        <f t="shared" si="0"/>
        <v>32695</v>
      </c>
      <c r="Q64" s="3">
        <f t="shared" si="0"/>
        <v>0</v>
      </c>
      <c r="R64" s="3">
        <f t="shared" si="0"/>
        <v>31465</v>
      </c>
      <c r="S64" s="3">
        <f t="shared" si="0"/>
        <v>19882</v>
      </c>
      <c r="T64" s="3">
        <f t="shared" si="0"/>
        <v>59509</v>
      </c>
      <c r="U64" s="3">
        <f t="shared" si="0"/>
        <v>0</v>
      </c>
      <c r="V64" s="3">
        <f t="shared" si="0"/>
        <v>7594</v>
      </c>
      <c r="W64" s="3">
        <f t="shared" si="0"/>
        <v>262543</v>
      </c>
      <c r="X64" s="3">
        <f t="shared" si="0"/>
        <v>0</v>
      </c>
      <c r="Y64" s="3">
        <f t="shared" si="0"/>
        <v>5920</v>
      </c>
      <c r="Z64" s="3">
        <f t="shared" si="0"/>
        <v>211057</v>
      </c>
      <c r="AA64" s="3">
        <f t="shared" si="0"/>
        <v>7575</v>
      </c>
      <c r="AB64" s="3">
        <f t="shared" si="0"/>
        <v>41616</v>
      </c>
      <c r="AC64" s="3">
        <f t="shared" si="0"/>
        <v>0</v>
      </c>
      <c r="AD64" s="3">
        <f t="shared" si="0"/>
        <v>0</v>
      </c>
      <c r="AE64" s="3">
        <f t="shared" si="0"/>
        <v>0</v>
      </c>
      <c r="AF64" s="3">
        <f t="shared" si="0"/>
        <v>88887</v>
      </c>
      <c r="AG64" s="3">
        <f t="shared" si="0"/>
        <v>18725</v>
      </c>
      <c r="AH64" s="3">
        <f t="shared" si="0"/>
        <v>0</v>
      </c>
      <c r="AI64" s="3">
        <f t="shared" si="0"/>
        <v>49654</v>
      </c>
      <c r="AJ64" s="3">
        <f t="shared" si="0"/>
        <v>128</v>
      </c>
      <c r="AK64" s="3">
        <f t="shared" si="0"/>
        <v>0</v>
      </c>
      <c r="AL64" s="3">
        <f t="shared" si="0"/>
        <v>213145</v>
      </c>
      <c r="AM64" s="3">
        <f t="shared" si="0"/>
        <v>0</v>
      </c>
      <c r="AN64" s="3">
        <f t="shared" si="0"/>
        <v>0</v>
      </c>
      <c r="AO64" s="3">
        <f t="shared" si="0"/>
        <v>0</v>
      </c>
      <c r="AP64" s="3">
        <f t="shared" si="0"/>
        <v>0</v>
      </c>
      <c r="AQ64" s="3">
        <f t="shared" si="0"/>
        <v>107037</v>
      </c>
      <c r="AR64" s="3">
        <f t="shared" si="0"/>
        <v>0</v>
      </c>
      <c r="AS64" s="3">
        <f t="shared" si="0"/>
        <v>14702</v>
      </c>
      <c r="AT64" s="3">
        <f t="shared" si="0"/>
        <v>24301</v>
      </c>
      <c r="AU64" s="3">
        <f t="shared" si="0"/>
        <v>0</v>
      </c>
      <c r="AV64" s="3">
        <f t="shared" si="0"/>
        <v>0</v>
      </c>
    </row>
    <row r="66" spans="1:48" x14ac:dyDescent="0.35">
      <c r="A66" t="s">
        <v>8</v>
      </c>
      <c r="B66">
        <v>770961.1</v>
      </c>
      <c r="C66">
        <v>223125.3</v>
      </c>
      <c r="D66">
        <v>6406.9</v>
      </c>
      <c r="E66">
        <v>3905396.8</v>
      </c>
      <c r="F66">
        <v>3870531</v>
      </c>
      <c r="G66">
        <v>7641925.4000000004</v>
      </c>
      <c r="H66">
        <v>64185.3</v>
      </c>
      <c r="I66">
        <v>150737.70000000001</v>
      </c>
      <c r="J66">
        <v>29226.2</v>
      </c>
      <c r="K66">
        <v>58852.800000000003</v>
      </c>
      <c r="L66">
        <v>989535.7</v>
      </c>
      <c r="M66">
        <v>1308712.3</v>
      </c>
      <c r="N66">
        <v>464321.1</v>
      </c>
      <c r="O66">
        <v>62086.9</v>
      </c>
      <c r="P66">
        <v>434393</v>
      </c>
      <c r="Q66">
        <v>10447</v>
      </c>
      <c r="R66">
        <v>935437.5</v>
      </c>
      <c r="S66">
        <v>715665.6</v>
      </c>
      <c r="T66">
        <v>911396.5</v>
      </c>
      <c r="U66">
        <v>49221.8</v>
      </c>
      <c r="V66">
        <v>87525.9</v>
      </c>
      <c r="W66">
        <v>910102.9</v>
      </c>
      <c r="X66">
        <v>453737.3</v>
      </c>
      <c r="Y66">
        <v>63310.400000000001</v>
      </c>
      <c r="Z66">
        <v>1466518.7</v>
      </c>
      <c r="AA66">
        <v>159834.6</v>
      </c>
      <c r="AB66">
        <v>890888.8</v>
      </c>
      <c r="AC66">
        <v>652416.6</v>
      </c>
      <c r="AD66">
        <v>883083.9</v>
      </c>
      <c r="AE66">
        <v>14565.6</v>
      </c>
      <c r="AF66">
        <v>1147375.7</v>
      </c>
      <c r="AG66">
        <v>70214.399999999994</v>
      </c>
      <c r="AH66">
        <v>403959</v>
      </c>
      <c r="AI66">
        <v>550908.19999999995</v>
      </c>
      <c r="AJ66">
        <v>1744.8</v>
      </c>
      <c r="AK66">
        <v>258166.6</v>
      </c>
      <c r="AL66">
        <v>1219311.2</v>
      </c>
      <c r="AM66">
        <v>306239.5</v>
      </c>
      <c r="AN66">
        <v>179200.3</v>
      </c>
      <c r="AO66">
        <v>1111347.5</v>
      </c>
      <c r="AP66">
        <v>1671156.9</v>
      </c>
      <c r="AQ66">
        <v>663224.69999999995</v>
      </c>
      <c r="AR66">
        <v>487965.1</v>
      </c>
      <c r="AS66">
        <v>103744.1</v>
      </c>
      <c r="AT66">
        <v>272351.90000000002</v>
      </c>
      <c r="AU66">
        <v>24060.400000000001</v>
      </c>
      <c r="AV66">
        <v>2277499.2000000002</v>
      </c>
    </row>
  </sheetData>
  <hyperlinks>
    <hyperlink ref="B1" location="Home!A1" display="HOME" xr:uid="{873A0867-1F7C-4E6E-99D2-87F29F1BADA8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328</v>
      </c>
      <c r="B1" s="29" t="s">
        <v>376</v>
      </c>
    </row>
    <row r="2" spans="1:48" x14ac:dyDescent="0.35">
      <c r="B2" t="s">
        <v>70</v>
      </c>
      <c r="C2" t="s">
        <v>270</v>
      </c>
      <c r="D2" t="s">
        <v>272</v>
      </c>
      <c r="E2" t="s">
        <v>271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  <c r="L2" t="s">
        <v>279</v>
      </c>
      <c r="M2" t="s">
        <v>280</v>
      </c>
      <c r="N2" t="s">
        <v>281</v>
      </c>
      <c r="O2" t="s">
        <v>282</v>
      </c>
      <c r="P2" t="s">
        <v>283</v>
      </c>
      <c r="Q2" t="s">
        <v>284</v>
      </c>
      <c r="R2" t="s">
        <v>285</v>
      </c>
      <c r="S2" t="s">
        <v>286</v>
      </c>
      <c r="T2" t="s">
        <v>287</v>
      </c>
      <c r="U2" t="s">
        <v>288</v>
      </c>
      <c r="V2" t="s">
        <v>289</v>
      </c>
      <c r="W2" t="s">
        <v>290</v>
      </c>
      <c r="X2" t="s">
        <v>291</v>
      </c>
      <c r="Y2" t="s">
        <v>292</v>
      </c>
      <c r="Z2" t="s">
        <v>293</v>
      </c>
      <c r="AA2" t="s">
        <v>294</v>
      </c>
      <c r="AB2" t="s">
        <v>295</v>
      </c>
      <c r="AC2" t="s">
        <v>296</v>
      </c>
      <c r="AD2" t="s">
        <v>297</v>
      </c>
      <c r="AE2" t="s">
        <v>298</v>
      </c>
      <c r="AF2" t="s">
        <v>299</v>
      </c>
      <c r="AG2" t="s">
        <v>300</v>
      </c>
      <c r="AH2" t="s">
        <v>301</v>
      </c>
      <c r="AI2" t="s">
        <v>302</v>
      </c>
      <c r="AJ2" t="s">
        <v>303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 t="s">
        <v>313</v>
      </c>
      <c r="AU2" t="s">
        <v>314</v>
      </c>
      <c r="AV2" t="s">
        <v>315</v>
      </c>
    </row>
    <row r="3" spans="1:48" x14ac:dyDescent="0.35">
      <c r="A3" s="10" t="s">
        <v>319</v>
      </c>
      <c r="B3" t="s">
        <v>71</v>
      </c>
      <c r="C3" t="s">
        <v>74</v>
      </c>
      <c r="D3" t="s">
        <v>77</v>
      </c>
      <c r="E3" t="s">
        <v>80</v>
      </c>
      <c r="F3" t="s">
        <v>83</v>
      </c>
      <c r="G3" t="s">
        <v>86</v>
      </c>
      <c r="H3" t="s">
        <v>89</v>
      </c>
      <c r="I3" t="s">
        <v>92</v>
      </c>
      <c r="J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119</v>
      </c>
      <c r="S3" t="s">
        <v>122</v>
      </c>
      <c r="T3" t="s">
        <v>125</v>
      </c>
      <c r="U3" t="s">
        <v>128</v>
      </c>
      <c r="V3" t="s">
        <v>131</v>
      </c>
      <c r="W3" t="s">
        <v>134</v>
      </c>
      <c r="X3" t="s">
        <v>137</v>
      </c>
      <c r="Y3" t="s">
        <v>140</v>
      </c>
      <c r="Z3" t="s">
        <v>143</v>
      </c>
      <c r="AA3" t="s">
        <v>146</v>
      </c>
      <c r="AB3" t="s">
        <v>149</v>
      </c>
      <c r="AC3" t="s">
        <v>152</v>
      </c>
      <c r="AD3" t="s">
        <v>155</v>
      </c>
      <c r="AE3" t="s">
        <v>158</v>
      </c>
      <c r="AF3" t="s">
        <v>161</v>
      </c>
      <c r="AG3" t="s">
        <v>164</v>
      </c>
      <c r="AH3" t="s">
        <v>167</v>
      </c>
      <c r="AI3" t="s">
        <v>170</v>
      </c>
      <c r="AJ3" t="s">
        <v>173</v>
      </c>
      <c r="AK3" t="s">
        <v>176</v>
      </c>
      <c r="AL3" t="s">
        <v>179</v>
      </c>
      <c r="AM3" t="s">
        <v>182</v>
      </c>
      <c r="AN3" t="s">
        <v>185</v>
      </c>
      <c r="AO3" t="s">
        <v>188</v>
      </c>
      <c r="AP3" t="s">
        <v>191</v>
      </c>
      <c r="AQ3" t="s">
        <v>194</v>
      </c>
      <c r="AR3" t="s">
        <v>197</v>
      </c>
      <c r="AS3" t="s">
        <v>200</v>
      </c>
      <c r="AT3" t="s">
        <v>203</v>
      </c>
      <c r="AU3" t="s">
        <v>206</v>
      </c>
      <c r="AV3" t="s">
        <v>209</v>
      </c>
    </row>
    <row r="4" spans="1:48" x14ac:dyDescent="0.35">
      <c r="A4" t="s">
        <v>212</v>
      </c>
      <c r="B4" s="15">
        <v>2061</v>
      </c>
      <c r="C4" s="15"/>
      <c r="D4" s="15"/>
      <c r="E4" s="15"/>
      <c r="F4" s="15">
        <v>12174</v>
      </c>
      <c r="G4" s="15"/>
      <c r="H4" s="15">
        <v>1362</v>
      </c>
      <c r="I4" s="15">
        <v>934</v>
      </c>
      <c r="J4" s="15">
        <v>165</v>
      </c>
      <c r="K4" s="15"/>
      <c r="L4" s="15"/>
      <c r="M4" s="15"/>
      <c r="N4" s="15"/>
      <c r="O4" s="15">
        <v>1024</v>
      </c>
      <c r="P4" s="15">
        <v>852</v>
      </c>
      <c r="Q4" s="15"/>
      <c r="R4" s="15">
        <v>2562</v>
      </c>
      <c r="S4" s="15">
        <v>1003</v>
      </c>
      <c r="T4" s="15">
        <v>4435</v>
      </c>
      <c r="U4" s="15"/>
      <c r="V4" s="15">
        <v>196</v>
      </c>
      <c r="W4" s="15">
        <v>5285</v>
      </c>
      <c r="X4" s="15"/>
      <c r="Y4" s="15">
        <v>385</v>
      </c>
      <c r="Z4" s="15"/>
      <c r="AA4" s="15">
        <v>777</v>
      </c>
      <c r="AB4" s="15"/>
      <c r="AC4" s="15">
        <v>958</v>
      </c>
      <c r="AD4" s="15"/>
      <c r="AE4" s="15">
        <v>3450</v>
      </c>
      <c r="AF4" s="15">
        <v>2573</v>
      </c>
      <c r="AG4" s="15">
        <v>1036</v>
      </c>
      <c r="AH4" s="15"/>
      <c r="AI4" s="15">
        <v>1384</v>
      </c>
      <c r="AJ4" s="15"/>
      <c r="AK4" s="15">
        <v>576</v>
      </c>
      <c r="AL4" s="15"/>
      <c r="AM4" s="15">
        <v>456</v>
      </c>
      <c r="AN4" s="15"/>
      <c r="AO4" s="15">
        <v>835</v>
      </c>
      <c r="AP4" s="15">
        <v>7031</v>
      </c>
      <c r="AQ4" s="15">
        <v>4818</v>
      </c>
      <c r="AR4" s="15">
        <v>2957</v>
      </c>
      <c r="AS4" s="15">
        <v>291</v>
      </c>
      <c r="AT4" s="15">
        <v>685</v>
      </c>
      <c r="AU4" s="15">
        <v>354</v>
      </c>
      <c r="AV4" s="15"/>
    </row>
    <row r="5" spans="1:48" x14ac:dyDescent="0.35">
      <c r="A5" t="s">
        <v>213</v>
      </c>
      <c r="B5" s="15">
        <v>1088</v>
      </c>
      <c r="C5" s="15"/>
      <c r="D5" s="15"/>
      <c r="E5" s="15"/>
      <c r="F5" s="15">
        <v>9361</v>
      </c>
      <c r="G5" s="15"/>
      <c r="H5" s="15">
        <v>526</v>
      </c>
      <c r="I5" s="15">
        <v>532</v>
      </c>
      <c r="J5" s="15">
        <v>136</v>
      </c>
      <c r="K5" s="15"/>
      <c r="L5" s="15"/>
      <c r="M5" s="15"/>
      <c r="N5" s="15"/>
      <c r="O5" s="15">
        <v>902</v>
      </c>
      <c r="P5" s="15"/>
      <c r="Q5" s="15"/>
      <c r="R5" s="15">
        <v>1643</v>
      </c>
      <c r="S5" s="15">
        <v>784</v>
      </c>
      <c r="T5" s="15">
        <v>4435</v>
      </c>
      <c r="U5" s="15"/>
      <c r="V5" s="15">
        <v>122</v>
      </c>
      <c r="W5" s="15"/>
      <c r="X5" s="15"/>
      <c r="Y5" s="15">
        <v>375</v>
      </c>
      <c r="Z5" s="15"/>
      <c r="AA5" s="15">
        <v>725</v>
      </c>
      <c r="AB5" s="15"/>
      <c r="AC5" s="15">
        <v>639</v>
      </c>
      <c r="AD5" s="15"/>
      <c r="AE5" s="15"/>
      <c r="AF5" s="15">
        <v>1655</v>
      </c>
      <c r="AG5" s="15">
        <v>1036</v>
      </c>
      <c r="AH5" s="15"/>
      <c r="AI5" s="15">
        <v>308</v>
      </c>
      <c r="AJ5" s="15"/>
      <c r="AK5" s="15">
        <v>515</v>
      </c>
      <c r="AL5" s="15"/>
      <c r="AM5" s="15">
        <v>383</v>
      </c>
      <c r="AN5" s="15"/>
      <c r="AO5" s="15"/>
      <c r="AP5" s="15"/>
      <c r="AQ5" s="15"/>
      <c r="AR5" s="15"/>
      <c r="AS5" s="15"/>
      <c r="AT5" s="15">
        <v>354</v>
      </c>
      <c r="AU5" s="15">
        <v>241</v>
      </c>
      <c r="AV5" s="15"/>
    </row>
    <row r="6" spans="1:48" x14ac:dyDescent="0.35">
      <c r="A6" t="s">
        <v>214</v>
      </c>
      <c r="B6" s="15"/>
      <c r="C6" s="15"/>
      <c r="D6" s="15"/>
      <c r="E6" s="15"/>
      <c r="F6" s="15">
        <v>847</v>
      </c>
      <c r="G6" s="15"/>
      <c r="H6" s="15">
        <v>114</v>
      </c>
      <c r="I6" s="15"/>
      <c r="J6" s="15"/>
      <c r="K6" s="15"/>
      <c r="L6" s="15"/>
      <c r="M6" s="15"/>
      <c r="N6" s="15"/>
      <c r="O6" s="15"/>
      <c r="P6" s="15"/>
      <c r="Q6" s="15"/>
      <c r="R6" s="15">
        <v>16</v>
      </c>
      <c r="S6" s="15"/>
      <c r="T6" s="15"/>
      <c r="U6" s="15"/>
      <c r="V6" s="15">
        <v>47</v>
      </c>
      <c r="W6" s="15"/>
      <c r="X6" s="15"/>
      <c r="Y6" s="15">
        <v>0</v>
      </c>
      <c r="Z6" s="15"/>
      <c r="AA6" s="15">
        <v>16</v>
      </c>
      <c r="AB6" s="15"/>
      <c r="AC6" s="15">
        <v>0</v>
      </c>
      <c r="AD6" s="15"/>
      <c r="AE6" s="15"/>
      <c r="AF6" s="15"/>
      <c r="AG6" s="15"/>
      <c r="AH6" s="15"/>
      <c r="AI6" s="15">
        <v>450</v>
      </c>
      <c r="AJ6" s="15"/>
      <c r="AK6" s="15"/>
      <c r="AL6" s="15"/>
      <c r="AM6" s="15">
        <v>13</v>
      </c>
      <c r="AN6" s="15"/>
      <c r="AO6" s="15"/>
      <c r="AP6" s="15"/>
      <c r="AQ6" s="15"/>
      <c r="AR6" s="15"/>
      <c r="AS6" s="15"/>
      <c r="AT6" s="15"/>
      <c r="AU6" s="15"/>
      <c r="AV6" s="15"/>
    </row>
    <row r="7" spans="1:48" x14ac:dyDescent="0.35">
      <c r="A7" t="s">
        <v>215</v>
      </c>
      <c r="B7" s="15">
        <v>11874</v>
      </c>
      <c r="C7" s="15"/>
      <c r="D7" s="15"/>
      <c r="E7" s="15"/>
      <c r="F7" s="15">
        <v>69824</v>
      </c>
      <c r="G7" s="15"/>
      <c r="H7" s="15">
        <v>5481</v>
      </c>
      <c r="I7" s="15">
        <v>4290</v>
      </c>
      <c r="J7" s="15">
        <v>2917</v>
      </c>
      <c r="K7" s="15"/>
      <c r="L7" s="15"/>
      <c r="M7" s="15"/>
      <c r="N7" s="15"/>
      <c r="O7" s="15">
        <v>7771</v>
      </c>
      <c r="P7" s="15">
        <v>7713</v>
      </c>
      <c r="Q7" s="15"/>
      <c r="R7" s="15">
        <v>11478</v>
      </c>
      <c r="S7" s="15">
        <v>2623</v>
      </c>
      <c r="T7" s="15">
        <v>13396</v>
      </c>
      <c r="U7" s="15"/>
      <c r="V7" s="15">
        <v>1229</v>
      </c>
      <c r="W7" s="15">
        <v>95789</v>
      </c>
      <c r="X7" s="15"/>
      <c r="Y7" s="15">
        <v>1371</v>
      </c>
      <c r="Z7" s="15">
        <v>0</v>
      </c>
      <c r="AA7" s="15">
        <v>2416</v>
      </c>
      <c r="AB7" s="15"/>
      <c r="AC7" s="15">
        <v>13564</v>
      </c>
      <c r="AD7" s="15"/>
      <c r="AE7" s="15"/>
      <c r="AF7" s="15">
        <v>8831</v>
      </c>
      <c r="AG7" s="15">
        <v>6440</v>
      </c>
      <c r="AH7" s="15"/>
      <c r="AI7" s="15">
        <v>3800</v>
      </c>
      <c r="AJ7" s="15"/>
      <c r="AK7" s="15">
        <v>1040</v>
      </c>
      <c r="AL7" s="15">
        <v>61028</v>
      </c>
      <c r="AM7" s="15">
        <v>4530</v>
      </c>
      <c r="AN7" s="15"/>
      <c r="AO7" s="15"/>
      <c r="AP7" s="15">
        <v>51327</v>
      </c>
      <c r="AQ7" s="15">
        <v>27674</v>
      </c>
      <c r="AR7" s="15">
        <v>22499</v>
      </c>
      <c r="AS7" s="15"/>
      <c r="AT7" s="15">
        <v>2455</v>
      </c>
      <c r="AU7" s="15">
        <v>683</v>
      </c>
      <c r="AV7" s="15"/>
    </row>
    <row r="8" spans="1:48" x14ac:dyDescent="0.35">
      <c r="A8" t="s">
        <v>216</v>
      </c>
      <c r="B8" s="15">
        <v>7804</v>
      </c>
      <c r="C8" s="15"/>
      <c r="D8" s="15"/>
      <c r="E8" s="15"/>
      <c r="F8" s="15">
        <v>20355</v>
      </c>
      <c r="G8" s="15"/>
      <c r="H8" s="15">
        <v>662</v>
      </c>
      <c r="I8" s="15">
        <v>1027</v>
      </c>
      <c r="J8" s="15">
        <v>0</v>
      </c>
      <c r="K8" s="15"/>
      <c r="L8" s="15"/>
      <c r="M8" s="15"/>
      <c r="N8" s="15"/>
      <c r="O8" s="15"/>
      <c r="P8" s="15"/>
      <c r="Q8" s="15"/>
      <c r="R8" s="15">
        <v>1258</v>
      </c>
      <c r="S8" s="15">
        <v>710</v>
      </c>
      <c r="T8" s="15">
        <v>6345</v>
      </c>
      <c r="U8" s="15"/>
      <c r="V8" s="15">
        <v>540</v>
      </c>
      <c r="W8" s="15">
        <v>16700</v>
      </c>
      <c r="X8" s="15"/>
      <c r="Y8" s="15">
        <v>185</v>
      </c>
      <c r="Z8" s="15"/>
      <c r="AA8" s="15">
        <v>872</v>
      </c>
      <c r="AB8" s="15"/>
      <c r="AC8" s="15">
        <v>0</v>
      </c>
      <c r="AD8" s="15"/>
      <c r="AE8" s="15"/>
      <c r="AF8" s="15">
        <v>6324</v>
      </c>
      <c r="AG8" s="15">
        <v>5</v>
      </c>
      <c r="AH8" s="15"/>
      <c r="AI8" s="15">
        <v>2061</v>
      </c>
      <c r="AJ8" s="15"/>
      <c r="AK8" s="15">
        <v>639</v>
      </c>
      <c r="AL8" s="15"/>
      <c r="AM8" s="15">
        <v>3020</v>
      </c>
      <c r="AN8" s="15"/>
      <c r="AO8" s="15"/>
      <c r="AP8" s="15">
        <v>23546</v>
      </c>
      <c r="AQ8" s="15">
        <v>3312</v>
      </c>
      <c r="AR8" s="15">
        <v>9293</v>
      </c>
      <c r="AS8" s="15"/>
      <c r="AT8" s="15">
        <v>1743</v>
      </c>
      <c r="AU8" s="15">
        <v>586</v>
      </c>
      <c r="AV8" s="15"/>
    </row>
    <row r="9" spans="1:48" x14ac:dyDescent="0.35">
      <c r="A9" t="s">
        <v>217</v>
      </c>
      <c r="B9" s="15">
        <v>103</v>
      </c>
      <c r="C9" s="15"/>
      <c r="D9" s="15"/>
      <c r="E9" s="15"/>
      <c r="F9" s="15">
        <v>228</v>
      </c>
      <c r="G9" s="15"/>
      <c r="H9" s="15">
        <v>34</v>
      </c>
      <c r="I9" s="15">
        <v>117</v>
      </c>
      <c r="J9" s="15">
        <v>22</v>
      </c>
      <c r="K9" s="15"/>
      <c r="L9" s="15"/>
      <c r="M9" s="15"/>
      <c r="N9" s="15"/>
      <c r="O9" s="15">
        <v>89</v>
      </c>
      <c r="P9" s="15"/>
      <c r="Q9" s="15"/>
      <c r="R9" s="15">
        <v>179</v>
      </c>
      <c r="S9" s="15"/>
      <c r="T9" s="15">
        <v>397</v>
      </c>
      <c r="U9" s="15"/>
      <c r="V9" s="15">
        <v>8</v>
      </c>
      <c r="W9" s="15"/>
      <c r="X9" s="15"/>
      <c r="Y9" s="15">
        <v>5</v>
      </c>
      <c r="Z9" s="15"/>
      <c r="AA9" s="15">
        <v>6</v>
      </c>
      <c r="AB9" s="15"/>
      <c r="AC9" s="15">
        <v>149</v>
      </c>
      <c r="AD9" s="15"/>
      <c r="AE9" s="15"/>
      <c r="AF9" s="15">
        <v>277</v>
      </c>
      <c r="AG9" s="15">
        <v>138</v>
      </c>
      <c r="AH9" s="15"/>
      <c r="AI9" s="15">
        <v>134</v>
      </c>
      <c r="AJ9" s="15"/>
      <c r="AK9" s="15">
        <v>15</v>
      </c>
      <c r="AL9" s="15"/>
      <c r="AM9" s="15">
        <v>28</v>
      </c>
      <c r="AN9" s="15"/>
      <c r="AO9" s="15"/>
      <c r="AP9" s="15">
        <v>255</v>
      </c>
      <c r="AQ9" s="15">
        <v>205</v>
      </c>
      <c r="AR9" s="15">
        <v>234</v>
      </c>
      <c r="AS9" s="15"/>
      <c r="AT9" s="15"/>
      <c r="AU9" s="15">
        <v>32</v>
      </c>
      <c r="AV9" s="15"/>
    </row>
    <row r="10" spans="1:48" x14ac:dyDescent="0.35">
      <c r="A10" t="s">
        <v>218</v>
      </c>
      <c r="B10" s="15">
        <v>718</v>
      </c>
      <c r="C10" s="15"/>
      <c r="D10" s="15"/>
      <c r="E10" s="15"/>
      <c r="F10" s="15">
        <v>5394</v>
      </c>
      <c r="G10" s="15"/>
      <c r="H10" s="15">
        <v>139</v>
      </c>
      <c r="I10" s="15">
        <v>76</v>
      </c>
      <c r="J10" s="15">
        <v>48</v>
      </c>
      <c r="K10" s="15"/>
      <c r="L10" s="15"/>
      <c r="M10" s="15"/>
      <c r="N10" s="15"/>
      <c r="O10" s="15">
        <v>145</v>
      </c>
      <c r="P10" s="15"/>
      <c r="Q10" s="15"/>
      <c r="R10" s="15">
        <v>337</v>
      </c>
      <c r="S10" s="15">
        <v>54</v>
      </c>
      <c r="T10" s="15">
        <v>1029</v>
      </c>
      <c r="U10" s="15"/>
      <c r="V10" s="15">
        <v>0</v>
      </c>
      <c r="W10" s="15">
        <v>1388</v>
      </c>
      <c r="X10" s="15"/>
      <c r="Y10" s="15">
        <v>13</v>
      </c>
      <c r="Z10" s="15"/>
      <c r="AA10" s="15">
        <v>127</v>
      </c>
      <c r="AB10" s="15"/>
      <c r="AC10" s="15">
        <v>151</v>
      </c>
      <c r="AD10" s="15"/>
      <c r="AE10" s="15"/>
      <c r="AF10" s="15">
        <v>423</v>
      </c>
      <c r="AG10" s="15">
        <v>546</v>
      </c>
      <c r="AH10" s="15"/>
      <c r="AI10" s="15">
        <v>212</v>
      </c>
      <c r="AJ10" s="15"/>
      <c r="AK10" s="15">
        <v>193</v>
      </c>
      <c r="AL10" s="15"/>
      <c r="AM10" s="15">
        <v>139</v>
      </c>
      <c r="AN10" s="15"/>
      <c r="AO10" s="15"/>
      <c r="AP10" s="15">
        <v>1717</v>
      </c>
      <c r="AQ10" s="15">
        <v>1082</v>
      </c>
      <c r="AR10" s="15">
        <v>1600</v>
      </c>
      <c r="AS10" s="15"/>
      <c r="AT10" s="15">
        <v>232</v>
      </c>
      <c r="AU10" s="15">
        <v>35</v>
      </c>
      <c r="AV10" s="15"/>
    </row>
    <row r="11" spans="1:48" x14ac:dyDescent="0.35">
      <c r="A11" t="s">
        <v>219</v>
      </c>
      <c r="B11" s="15"/>
      <c r="C11" s="15"/>
      <c r="D11" s="15"/>
      <c r="E11" s="15"/>
      <c r="F11" s="15">
        <v>113189</v>
      </c>
      <c r="G11" s="15"/>
      <c r="H11" s="15">
        <v>693</v>
      </c>
      <c r="I11" s="15"/>
      <c r="J11" s="15">
        <v>2087</v>
      </c>
      <c r="K11" s="15"/>
      <c r="L11" s="15"/>
      <c r="M11" s="15"/>
      <c r="N11" s="15"/>
      <c r="O11" s="15">
        <v>463</v>
      </c>
      <c r="P11" s="15"/>
      <c r="Q11" s="15"/>
      <c r="R11" s="15">
        <v>2735</v>
      </c>
      <c r="S11" s="15"/>
      <c r="T11" s="15"/>
      <c r="U11" s="15"/>
      <c r="V11" s="15">
        <v>0</v>
      </c>
      <c r="W11" s="15"/>
      <c r="X11" s="15"/>
      <c r="Y11" s="15">
        <v>119</v>
      </c>
      <c r="Z11" s="15"/>
      <c r="AA11" s="15"/>
      <c r="AB11" s="15"/>
      <c r="AC11" s="15">
        <v>2848</v>
      </c>
      <c r="AD11" s="15"/>
      <c r="AE11" s="15"/>
      <c r="AF11" s="15">
        <v>9913</v>
      </c>
      <c r="AG11" s="15"/>
      <c r="AH11" s="15"/>
      <c r="AI11" s="15">
        <v>5427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>
        <v>1411</v>
      </c>
      <c r="AU11" s="15"/>
      <c r="AV11" s="15"/>
    </row>
    <row r="12" spans="1:48" x14ac:dyDescent="0.35">
      <c r="A12" t="s">
        <v>220</v>
      </c>
      <c r="B12" s="15"/>
      <c r="C12" s="15"/>
      <c r="D12" s="15"/>
      <c r="E12" s="15"/>
      <c r="F12" s="15"/>
      <c r="G12" s="15"/>
      <c r="H12" s="15">
        <v>132</v>
      </c>
      <c r="I12" s="15"/>
      <c r="J12" s="15">
        <v>374</v>
      </c>
      <c r="K12" s="15"/>
      <c r="L12" s="15"/>
      <c r="M12" s="15"/>
      <c r="N12" s="15"/>
      <c r="O12" s="15">
        <v>842</v>
      </c>
      <c r="P12" s="15"/>
      <c r="Q12" s="15"/>
      <c r="R12" s="15">
        <v>16</v>
      </c>
      <c r="S12" s="15"/>
      <c r="T12" s="15"/>
      <c r="U12" s="15"/>
      <c r="V12" s="15">
        <v>0</v>
      </c>
      <c r="W12" s="15"/>
      <c r="X12" s="15"/>
      <c r="Y12" s="15"/>
      <c r="Z12" s="15"/>
      <c r="AA12" s="15"/>
      <c r="AB12" s="15"/>
      <c r="AC12" s="15">
        <v>0</v>
      </c>
      <c r="AD12" s="15"/>
      <c r="AE12" s="15"/>
      <c r="AF12" s="15"/>
      <c r="AG12" s="15"/>
      <c r="AH12" s="15"/>
      <c r="AI12" s="15">
        <v>35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x14ac:dyDescent="0.35">
      <c r="A13" t="s">
        <v>221</v>
      </c>
      <c r="B13" s="15"/>
      <c r="C13" s="15"/>
      <c r="D13" s="15"/>
      <c r="E13" s="15"/>
      <c r="F13" s="15">
        <v>4</v>
      </c>
      <c r="G13" s="15"/>
      <c r="H13" s="15">
        <v>0</v>
      </c>
      <c r="I13" s="15"/>
      <c r="J13" s="15">
        <v>7</v>
      </c>
      <c r="K13" s="15"/>
      <c r="L13" s="15"/>
      <c r="M13" s="15"/>
      <c r="N13" s="15"/>
      <c r="O13" s="15">
        <v>7</v>
      </c>
      <c r="P13" s="15"/>
      <c r="Q13" s="15"/>
      <c r="R13" s="15">
        <v>2</v>
      </c>
      <c r="S13" s="15"/>
      <c r="T13" s="15"/>
      <c r="U13" s="15"/>
      <c r="V13" s="15">
        <v>0</v>
      </c>
      <c r="W13" s="15"/>
      <c r="X13" s="15"/>
      <c r="Y13" s="15"/>
      <c r="Z13" s="15"/>
      <c r="AA13" s="15"/>
      <c r="AB13" s="15"/>
      <c r="AC13" s="15">
        <v>0</v>
      </c>
      <c r="AD13" s="15"/>
      <c r="AE13" s="15"/>
      <c r="AF13" s="15"/>
      <c r="AG13" s="15"/>
      <c r="AH13" s="15"/>
      <c r="AI13" s="15">
        <v>1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>
        <v>83</v>
      </c>
      <c r="AU13" s="15"/>
      <c r="AV13" s="15"/>
    </row>
    <row r="14" spans="1:48" x14ac:dyDescent="0.35">
      <c r="A14" t="s">
        <v>222</v>
      </c>
      <c r="B14" s="15">
        <v>8</v>
      </c>
      <c r="C14" s="15"/>
      <c r="D14" s="15"/>
      <c r="E14" s="15"/>
      <c r="F14" s="15">
        <v>423</v>
      </c>
      <c r="G14" s="15"/>
      <c r="H14" s="15">
        <v>66</v>
      </c>
      <c r="I14" s="15"/>
      <c r="J14" s="15">
        <v>75</v>
      </c>
      <c r="K14" s="15"/>
      <c r="L14" s="15"/>
      <c r="M14" s="15"/>
      <c r="N14" s="15"/>
      <c r="O14" s="15">
        <v>11</v>
      </c>
      <c r="P14" s="15"/>
      <c r="Q14" s="15"/>
      <c r="R14" s="15">
        <v>15</v>
      </c>
      <c r="S14" s="15">
        <v>2</v>
      </c>
      <c r="T14" s="15"/>
      <c r="U14" s="15"/>
      <c r="V14" s="15">
        <v>10</v>
      </c>
      <c r="W14" s="15"/>
      <c r="X14" s="15"/>
      <c r="Y14" s="15">
        <v>4</v>
      </c>
      <c r="Z14" s="15"/>
      <c r="AA14" s="15"/>
      <c r="AB14" s="15"/>
      <c r="AC14" s="15">
        <v>13</v>
      </c>
      <c r="AD14" s="15"/>
      <c r="AE14" s="15"/>
      <c r="AF14" s="15"/>
      <c r="AG14" s="15"/>
      <c r="AH14" s="15"/>
      <c r="AI14" s="15">
        <v>19</v>
      </c>
      <c r="AJ14" s="15"/>
      <c r="AK14" s="15">
        <v>22</v>
      </c>
      <c r="AL14" s="15"/>
      <c r="AM14" s="15">
        <v>7</v>
      </c>
      <c r="AN14" s="15"/>
      <c r="AO14" s="15"/>
      <c r="AP14" s="15"/>
      <c r="AQ14" s="15"/>
      <c r="AR14" s="15"/>
      <c r="AS14" s="15"/>
      <c r="AT14" s="15">
        <v>20</v>
      </c>
      <c r="AU14" s="15"/>
      <c r="AV14" s="15"/>
    </row>
    <row r="15" spans="1:48" x14ac:dyDescent="0.35">
      <c r="A15" t="s">
        <v>223</v>
      </c>
      <c r="B15" s="15">
        <v>2923</v>
      </c>
      <c r="C15" s="15"/>
      <c r="D15" s="15"/>
      <c r="E15" s="15"/>
      <c r="F15" s="15">
        <v>42630</v>
      </c>
      <c r="G15" s="15"/>
      <c r="H15" s="15">
        <v>110</v>
      </c>
      <c r="I15" s="15"/>
      <c r="J15" s="15">
        <v>5386</v>
      </c>
      <c r="K15" s="15"/>
      <c r="L15" s="15"/>
      <c r="M15" s="15">
        <v>2652</v>
      </c>
      <c r="N15" s="15"/>
      <c r="O15" s="15"/>
      <c r="P15" s="15">
        <v>11845</v>
      </c>
      <c r="Q15" s="15"/>
      <c r="R15" s="15">
        <v>154</v>
      </c>
      <c r="S15" s="15">
        <v>592</v>
      </c>
      <c r="T15" s="15"/>
      <c r="U15" s="15"/>
      <c r="V15" s="15">
        <v>0</v>
      </c>
      <c r="W15" s="15"/>
      <c r="X15" s="15"/>
      <c r="Y15" s="15">
        <v>3711</v>
      </c>
      <c r="Z15" s="15">
        <v>91653</v>
      </c>
      <c r="AA15" s="15">
        <v>12625</v>
      </c>
      <c r="AB15" s="15">
        <v>41616</v>
      </c>
      <c r="AC15" s="15">
        <v>0</v>
      </c>
      <c r="AD15" s="15">
        <v>3303</v>
      </c>
      <c r="AE15" s="15">
        <v>163</v>
      </c>
      <c r="AF15" s="15">
        <v>6696</v>
      </c>
      <c r="AG15" s="15"/>
      <c r="AH15" s="15">
        <v>58567</v>
      </c>
      <c r="AI15" s="15"/>
      <c r="AJ15" s="15"/>
      <c r="AK15" s="15">
        <v>13966</v>
      </c>
      <c r="AL15" s="15"/>
      <c r="AM15" s="15">
        <v>2826</v>
      </c>
      <c r="AN15" s="15"/>
      <c r="AO15" s="15">
        <v>21429</v>
      </c>
      <c r="AP15" s="15"/>
      <c r="AQ15" s="15">
        <v>41669</v>
      </c>
      <c r="AR15" s="15"/>
      <c r="AS15" s="15">
        <v>6000</v>
      </c>
      <c r="AT15" s="15">
        <v>7386</v>
      </c>
      <c r="AU15" s="15"/>
      <c r="AV15" s="15"/>
    </row>
    <row r="16" spans="1:48" x14ac:dyDescent="0.35">
      <c r="A16" t="s">
        <v>224</v>
      </c>
      <c r="B16" s="15">
        <v>172</v>
      </c>
      <c r="C16" s="15"/>
      <c r="D16" s="15"/>
      <c r="E16" s="15"/>
      <c r="F16" s="15">
        <v>110</v>
      </c>
      <c r="G16" s="15"/>
      <c r="H16" s="15">
        <v>32</v>
      </c>
      <c r="I16" s="15"/>
      <c r="J16" s="15">
        <v>28</v>
      </c>
      <c r="K16" s="15"/>
      <c r="L16" s="15"/>
      <c r="M16" s="15"/>
      <c r="N16" s="15"/>
      <c r="O16" s="15">
        <v>28</v>
      </c>
      <c r="P16" s="15"/>
      <c r="Q16" s="15"/>
      <c r="R16" s="15">
        <v>45</v>
      </c>
      <c r="S16" s="15"/>
      <c r="T16" s="15"/>
      <c r="U16" s="15"/>
      <c r="V16" s="15">
        <v>17</v>
      </c>
      <c r="W16" s="15"/>
      <c r="X16" s="15"/>
      <c r="Y16" s="15">
        <v>0</v>
      </c>
      <c r="Z16" s="15"/>
      <c r="AA16" s="15"/>
      <c r="AB16" s="15"/>
      <c r="AC16" s="15">
        <v>204</v>
      </c>
      <c r="AD16" s="15"/>
      <c r="AE16" s="15"/>
      <c r="AF16" s="15">
        <v>318</v>
      </c>
      <c r="AG16" s="15">
        <v>43</v>
      </c>
      <c r="AH16" s="15"/>
      <c r="AI16" s="15"/>
      <c r="AJ16" s="15"/>
      <c r="AK16" s="15">
        <v>66</v>
      </c>
      <c r="AL16" s="15"/>
      <c r="AM16" s="15">
        <v>128</v>
      </c>
      <c r="AN16" s="15"/>
      <c r="AO16" s="15"/>
      <c r="AP16" s="15"/>
      <c r="AQ16" s="15">
        <v>453</v>
      </c>
      <c r="AR16" s="15"/>
      <c r="AS16" s="15"/>
      <c r="AT16" s="15"/>
      <c r="AU16" s="15"/>
      <c r="AV16" s="15"/>
    </row>
    <row r="17" spans="1:48" x14ac:dyDescent="0.35">
      <c r="A17" t="s">
        <v>225</v>
      </c>
      <c r="B17" s="15"/>
      <c r="C17" s="15"/>
      <c r="D17" s="15"/>
      <c r="E17" s="15"/>
      <c r="F17" s="15"/>
      <c r="G17" s="15"/>
      <c r="H17" s="15">
        <v>9</v>
      </c>
      <c r="I17" s="15"/>
      <c r="J17" s="15"/>
      <c r="K17" s="15"/>
      <c r="L17" s="15"/>
      <c r="M17" s="15"/>
      <c r="N17" s="15"/>
      <c r="O17" s="15">
        <v>33</v>
      </c>
      <c r="P17" s="15"/>
      <c r="Q17" s="15"/>
      <c r="R17" s="15">
        <v>12</v>
      </c>
      <c r="S17" s="15"/>
      <c r="T17" s="15"/>
      <c r="U17" s="15"/>
      <c r="V17" s="15">
        <v>4</v>
      </c>
      <c r="W17" s="15"/>
      <c r="X17" s="15"/>
      <c r="Y17" s="15">
        <v>8</v>
      </c>
      <c r="Z17" s="15"/>
      <c r="AA17" s="15"/>
      <c r="AB17" s="15"/>
      <c r="AC17" s="15">
        <v>0</v>
      </c>
      <c r="AD17" s="15"/>
      <c r="AE17" s="15"/>
      <c r="AF17" s="15"/>
      <c r="AG17" s="15"/>
      <c r="AH17" s="15"/>
      <c r="AI17" s="15">
        <v>13</v>
      </c>
      <c r="AJ17" s="15"/>
      <c r="AK17" s="15">
        <v>530</v>
      </c>
      <c r="AL17" s="15"/>
      <c r="AM17" s="15"/>
      <c r="AN17" s="15"/>
      <c r="AO17" s="15"/>
      <c r="AP17" s="15"/>
      <c r="AQ17" s="15"/>
      <c r="AR17" s="15"/>
      <c r="AS17" s="15"/>
      <c r="AT17" s="15">
        <v>2</v>
      </c>
      <c r="AU17" s="15"/>
      <c r="AV17" s="15"/>
    </row>
    <row r="18" spans="1:48" x14ac:dyDescent="0.35">
      <c r="A18" t="s">
        <v>226</v>
      </c>
      <c r="B18" s="15"/>
      <c r="C18" s="15"/>
      <c r="D18" s="15"/>
      <c r="E18" s="15"/>
      <c r="F18" s="15"/>
      <c r="G18" s="15"/>
      <c r="H18" s="15">
        <v>8</v>
      </c>
      <c r="I18" s="15"/>
      <c r="J18" s="15">
        <v>7</v>
      </c>
      <c r="K18" s="15"/>
      <c r="L18" s="15"/>
      <c r="M18" s="15"/>
      <c r="N18" s="15"/>
      <c r="O18" s="15">
        <v>40</v>
      </c>
      <c r="P18" s="15"/>
      <c r="Q18" s="15"/>
      <c r="R18" s="15">
        <v>3</v>
      </c>
      <c r="S18" s="15"/>
      <c r="T18" s="15"/>
      <c r="U18" s="15"/>
      <c r="V18" s="15">
        <v>0</v>
      </c>
      <c r="W18" s="15"/>
      <c r="X18" s="15"/>
      <c r="Y18" s="15">
        <v>3</v>
      </c>
      <c r="Z18" s="15"/>
      <c r="AA18" s="15"/>
      <c r="AB18" s="15"/>
      <c r="AC18" s="15">
        <v>31</v>
      </c>
      <c r="AD18" s="15"/>
      <c r="AE18" s="15"/>
      <c r="AF18" s="15"/>
      <c r="AG18" s="15">
        <v>32</v>
      </c>
      <c r="AH18" s="15"/>
      <c r="AI18" s="15">
        <v>2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>
        <v>1</v>
      </c>
      <c r="AU18" s="15"/>
      <c r="AV18" s="15"/>
    </row>
    <row r="19" spans="1:48" x14ac:dyDescent="0.35">
      <c r="A19" t="s">
        <v>227</v>
      </c>
      <c r="B19" s="15"/>
      <c r="C19" s="15"/>
      <c r="D19" s="15"/>
      <c r="E19" s="15"/>
      <c r="F19" s="15"/>
      <c r="G19" s="15"/>
      <c r="H19" s="15">
        <v>14</v>
      </c>
      <c r="I19" s="15"/>
      <c r="J19" s="15"/>
      <c r="K19" s="15"/>
      <c r="L19" s="15"/>
      <c r="M19" s="15"/>
      <c r="N19" s="15"/>
      <c r="O19" s="15"/>
      <c r="P19" s="15"/>
      <c r="Q19" s="15"/>
      <c r="R19" s="15">
        <v>10</v>
      </c>
      <c r="S19" s="15"/>
      <c r="T19" s="15"/>
      <c r="U19" s="15"/>
      <c r="V19" s="15">
        <v>9</v>
      </c>
      <c r="W19" s="15"/>
      <c r="X19" s="15"/>
      <c r="Y19" s="15">
        <v>1</v>
      </c>
      <c r="Z19" s="15"/>
      <c r="AA19" s="15"/>
      <c r="AB19" s="15"/>
      <c r="AC19" s="15">
        <v>0</v>
      </c>
      <c r="AD19" s="15"/>
      <c r="AE19" s="15"/>
      <c r="AF19" s="15"/>
      <c r="AG19" s="15"/>
      <c r="AH19" s="15"/>
      <c r="AI19" s="15">
        <v>1</v>
      </c>
      <c r="AJ19" s="15"/>
      <c r="AK19" s="15"/>
      <c r="AL19" s="15"/>
      <c r="AM19" s="15">
        <v>10</v>
      </c>
      <c r="AN19" s="15"/>
      <c r="AO19" s="15"/>
      <c r="AP19" s="15"/>
      <c r="AQ19" s="15"/>
      <c r="AR19" s="15"/>
      <c r="AS19" s="15"/>
      <c r="AT19" s="15">
        <v>2</v>
      </c>
      <c r="AU19" s="15"/>
      <c r="AV19" s="15"/>
    </row>
    <row r="20" spans="1:48" x14ac:dyDescent="0.35">
      <c r="A20" t="s">
        <v>228</v>
      </c>
      <c r="B20" s="15"/>
      <c r="C20" s="15"/>
      <c r="D20" s="15"/>
      <c r="E20" s="15"/>
      <c r="F20" s="15"/>
      <c r="G20" s="15"/>
      <c r="H20" s="15">
        <v>31</v>
      </c>
      <c r="I20" s="15"/>
      <c r="J20" s="15">
        <v>18</v>
      </c>
      <c r="K20" s="15"/>
      <c r="L20" s="15"/>
      <c r="M20" s="15"/>
      <c r="N20" s="15"/>
      <c r="O20" s="15">
        <v>92</v>
      </c>
      <c r="P20" s="15"/>
      <c r="Q20" s="15"/>
      <c r="R20" s="15">
        <v>137</v>
      </c>
      <c r="S20" s="15"/>
      <c r="T20" s="15"/>
      <c r="U20" s="15"/>
      <c r="V20" s="15">
        <v>0</v>
      </c>
      <c r="W20" s="15"/>
      <c r="X20" s="15"/>
      <c r="Y20" s="15">
        <v>9</v>
      </c>
      <c r="Z20" s="15"/>
      <c r="AA20" s="15"/>
      <c r="AB20" s="15"/>
      <c r="AC20" s="15">
        <v>249</v>
      </c>
      <c r="AD20" s="15"/>
      <c r="AE20" s="15"/>
      <c r="AF20" s="15">
        <v>128</v>
      </c>
      <c r="AG20" s="15"/>
      <c r="AH20" s="15"/>
      <c r="AI20" s="15">
        <v>60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>
        <v>20</v>
      </c>
      <c r="AU20" s="15"/>
      <c r="AV20" s="15"/>
    </row>
    <row r="21" spans="1:48" x14ac:dyDescent="0.35">
      <c r="A21" t="s">
        <v>229</v>
      </c>
      <c r="B21" s="15"/>
      <c r="C21" s="15"/>
      <c r="D21" s="15"/>
      <c r="E21" s="15"/>
      <c r="F21" s="15">
        <v>508</v>
      </c>
      <c r="G21" s="15"/>
      <c r="H21" s="15">
        <v>7</v>
      </c>
      <c r="I21" s="15"/>
      <c r="J21" s="15">
        <v>63</v>
      </c>
      <c r="K21" s="15"/>
      <c r="L21" s="15"/>
      <c r="M21" s="15"/>
      <c r="N21" s="15"/>
      <c r="O21" s="15"/>
      <c r="P21" s="15"/>
      <c r="Q21" s="15"/>
      <c r="R21" s="15">
        <v>5</v>
      </c>
      <c r="S21" s="15"/>
      <c r="T21" s="15"/>
      <c r="U21" s="15"/>
      <c r="V21" s="15">
        <v>237</v>
      </c>
      <c r="W21" s="15"/>
      <c r="X21" s="15"/>
      <c r="Y21" s="15">
        <v>18</v>
      </c>
      <c r="Z21" s="15"/>
      <c r="AA21" s="15"/>
      <c r="AB21" s="15"/>
      <c r="AC21" s="15">
        <v>321</v>
      </c>
      <c r="AD21" s="15"/>
      <c r="AE21" s="15"/>
      <c r="AF21" s="15"/>
      <c r="AG21" s="15"/>
      <c r="AH21" s="15"/>
      <c r="AI21" s="15"/>
      <c r="AJ21" s="15"/>
      <c r="AK21" s="15">
        <v>17</v>
      </c>
      <c r="AL21" s="15"/>
      <c r="AM21" s="15"/>
      <c r="AN21" s="15"/>
      <c r="AO21" s="15"/>
      <c r="AP21" s="15"/>
      <c r="AQ21" s="15"/>
      <c r="AR21" s="15"/>
      <c r="AS21" s="15"/>
      <c r="AT21" s="15">
        <v>50</v>
      </c>
      <c r="AU21" s="15"/>
      <c r="AV21" s="15"/>
    </row>
    <row r="22" spans="1:48" x14ac:dyDescent="0.35">
      <c r="A22" t="s">
        <v>230</v>
      </c>
      <c r="B22" s="15">
        <v>275</v>
      </c>
      <c r="C22" s="15"/>
      <c r="D22" s="15"/>
      <c r="E22" s="15"/>
      <c r="F22" s="15">
        <v>2378</v>
      </c>
      <c r="G22" s="15"/>
      <c r="H22" s="15">
        <v>198</v>
      </c>
      <c r="I22" s="15"/>
      <c r="J22" s="15">
        <v>79</v>
      </c>
      <c r="K22" s="15"/>
      <c r="L22" s="15"/>
      <c r="M22" s="15"/>
      <c r="N22" s="15"/>
      <c r="O22" s="15"/>
      <c r="P22" s="15"/>
      <c r="Q22" s="15"/>
      <c r="R22" s="15">
        <v>194</v>
      </c>
      <c r="S22" s="15"/>
      <c r="T22" s="15"/>
      <c r="U22" s="15"/>
      <c r="V22" s="15">
        <v>67</v>
      </c>
      <c r="W22" s="15"/>
      <c r="X22" s="15"/>
      <c r="Y22" s="15">
        <v>2</v>
      </c>
      <c r="Z22" s="15"/>
      <c r="AA22" s="15"/>
      <c r="AB22" s="15"/>
      <c r="AC22" s="15">
        <v>196</v>
      </c>
      <c r="AD22" s="15"/>
      <c r="AE22" s="15"/>
      <c r="AF22" s="15"/>
      <c r="AG22" s="15">
        <v>177</v>
      </c>
      <c r="AH22" s="15"/>
      <c r="AI22" s="15">
        <v>411</v>
      </c>
      <c r="AJ22" s="15"/>
      <c r="AK22" s="15">
        <v>219</v>
      </c>
      <c r="AL22" s="15"/>
      <c r="AM22" s="15">
        <v>10</v>
      </c>
      <c r="AN22" s="15"/>
      <c r="AO22" s="15"/>
      <c r="AP22" s="15"/>
      <c r="AQ22" s="15">
        <v>3830</v>
      </c>
      <c r="AR22" s="15"/>
      <c r="AS22" s="15"/>
      <c r="AT22" s="15">
        <v>379</v>
      </c>
      <c r="AU22" s="15"/>
      <c r="AV22" s="15"/>
    </row>
    <row r="23" spans="1:48" x14ac:dyDescent="0.35">
      <c r="A23" t="s">
        <v>231</v>
      </c>
      <c r="B23" s="15">
        <v>101</v>
      </c>
      <c r="C23" s="15"/>
      <c r="D23" s="15"/>
      <c r="E23" s="15"/>
      <c r="F23" s="15">
        <v>303</v>
      </c>
      <c r="G23" s="15"/>
      <c r="H23" s="15">
        <v>67</v>
      </c>
      <c r="I23" s="15"/>
      <c r="J23" s="15"/>
      <c r="K23" s="15"/>
      <c r="L23" s="15"/>
      <c r="M23" s="15"/>
      <c r="N23" s="15"/>
      <c r="O23" s="15"/>
      <c r="P23" s="15"/>
      <c r="Q23" s="15"/>
      <c r="R23" s="15">
        <v>45</v>
      </c>
      <c r="S23" s="15">
        <v>2</v>
      </c>
      <c r="T23" s="15"/>
      <c r="U23" s="15"/>
      <c r="V23" s="15">
        <v>10</v>
      </c>
      <c r="W23" s="15"/>
      <c r="X23" s="15"/>
      <c r="Y23" s="15">
        <v>6</v>
      </c>
      <c r="Z23" s="15"/>
      <c r="AA23" s="15">
        <v>10</v>
      </c>
      <c r="AB23" s="15"/>
      <c r="AC23" s="15">
        <v>30</v>
      </c>
      <c r="AD23" s="15"/>
      <c r="AE23" s="15"/>
      <c r="AF23" s="15">
        <v>73</v>
      </c>
      <c r="AG23" s="15">
        <v>28</v>
      </c>
      <c r="AH23" s="15"/>
      <c r="AI23" s="15">
        <v>95</v>
      </c>
      <c r="AJ23" s="15"/>
      <c r="AK23" s="15"/>
      <c r="AL23" s="15"/>
      <c r="AM23" s="15">
        <v>11</v>
      </c>
      <c r="AN23" s="15"/>
      <c r="AO23" s="15"/>
      <c r="AP23" s="15"/>
      <c r="AQ23" s="15"/>
      <c r="AR23" s="15"/>
      <c r="AS23" s="15"/>
      <c r="AT23" s="15">
        <v>45</v>
      </c>
      <c r="AU23" s="15"/>
      <c r="AV23" s="15"/>
    </row>
    <row r="24" spans="1:48" x14ac:dyDescent="0.35">
      <c r="A24" t="s">
        <v>232</v>
      </c>
      <c r="B24" s="15">
        <v>68</v>
      </c>
      <c r="C24" s="15"/>
      <c r="D24" s="15"/>
      <c r="E24" s="15"/>
      <c r="F24" s="15"/>
      <c r="G24" s="15"/>
      <c r="H24" s="15">
        <v>17</v>
      </c>
      <c r="I24" s="15"/>
      <c r="J24" s="15"/>
      <c r="K24" s="15"/>
      <c r="L24" s="15"/>
      <c r="M24" s="15"/>
      <c r="N24" s="15"/>
      <c r="O24" s="15">
        <v>1423</v>
      </c>
      <c r="P24" s="15"/>
      <c r="Q24" s="15"/>
      <c r="R24" s="15">
        <v>5366</v>
      </c>
      <c r="S24" s="15"/>
      <c r="T24" s="15"/>
      <c r="U24" s="15"/>
      <c r="V24" s="15">
        <v>0</v>
      </c>
      <c r="W24" s="15"/>
      <c r="X24" s="15"/>
      <c r="Y24" s="15"/>
      <c r="Z24" s="15"/>
      <c r="AA24" s="15"/>
      <c r="AB24" s="15"/>
      <c r="AC24" s="15">
        <v>0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>
        <v>4622</v>
      </c>
      <c r="AU24" s="15"/>
      <c r="AV24" s="15"/>
    </row>
    <row r="25" spans="1:48" x14ac:dyDescent="0.35">
      <c r="A25" t="s">
        <v>233</v>
      </c>
      <c r="B25" s="15"/>
      <c r="C25" s="15"/>
      <c r="D25" s="15"/>
      <c r="E25" s="15"/>
      <c r="F25" s="15">
        <v>5002</v>
      </c>
      <c r="G25" s="15"/>
      <c r="H25" s="15">
        <v>86</v>
      </c>
      <c r="I25" s="15"/>
      <c r="J25" s="15">
        <v>51</v>
      </c>
      <c r="K25" s="15"/>
      <c r="L25" s="15"/>
      <c r="M25" s="15"/>
      <c r="N25" s="15"/>
      <c r="O25" s="15">
        <v>25</v>
      </c>
      <c r="P25" s="15"/>
      <c r="Q25" s="15"/>
      <c r="R25" s="15">
        <v>21</v>
      </c>
      <c r="S25" s="15"/>
      <c r="T25" s="15"/>
      <c r="U25" s="15"/>
      <c r="V25" s="15">
        <v>0</v>
      </c>
      <c r="W25" s="15"/>
      <c r="X25" s="15"/>
      <c r="Y25" s="15">
        <v>10</v>
      </c>
      <c r="Z25" s="15"/>
      <c r="AA25" s="15"/>
      <c r="AB25" s="15"/>
      <c r="AC25" s="15">
        <v>334</v>
      </c>
      <c r="AD25" s="15"/>
      <c r="AE25" s="15"/>
      <c r="AF25" s="15">
        <v>169</v>
      </c>
      <c r="AG25" s="15"/>
      <c r="AH25" s="15"/>
      <c r="AI25" s="15">
        <v>14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 x14ac:dyDescent="0.35">
      <c r="A26" t="s">
        <v>234</v>
      </c>
      <c r="B26" s="15"/>
      <c r="C26" s="15"/>
      <c r="D26" s="15"/>
      <c r="E26" s="15"/>
      <c r="F26" s="15"/>
      <c r="G26" s="15"/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>
        <v>4</v>
      </c>
      <c r="S26" s="15"/>
      <c r="T26" s="15"/>
      <c r="U26" s="15"/>
      <c r="V26" s="15">
        <v>0</v>
      </c>
      <c r="W26" s="15"/>
      <c r="X26" s="15"/>
      <c r="Y26" s="15"/>
      <c r="Z26" s="15"/>
      <c r="AA26" s="15"/>
      <c r="AB26" s="15"/>
      <c r="AC26" s="15">
        <v>0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x14ac:dyDescent="0.35">
      <c r="A27" t="s">
        <v>235</v>
      </c>
      <c r="B27" s="15">
        <v>274</v>
      </c>
      <c r="C27" s="15"/>
      <c r="D27" s="15"/>
      <c r="E27" s="15"/>
      <c r="F27" s="15"/>
      <c r="G27" s="15"/>
      <c r="H27" s="15">
        <v>82</v>
      </c>
      <c r="I27" s="15"/>
      <c r="J27" s="15">
        <v>53</v>
      </c>
      <c r="K27" s="15"/>
      <c r="L27" s="15"/>
      <c r="M27" s="15"/>
      <c r="N27" s="15"/>
      <c r="O27" s="15">
        <v>117</v>
      </c>
      <c r="P27" s="15"/>
      <c r="Q27" s="15"/>
      <c r="R27" s="15">
        <v>73</v>
      </c>
      <c r="S27" s="15"/>
      <c r="T27" s="15"/>
      <c r="U27" s="15"/>
      <c r="V27" s="15">
        <v>173</v>
      </c>
      <c r="W27" s="15"/>
      <c r="X27" s="15"/>
      <c r="Y27" s="15">
        <v>3</v>
      </c>
      <c r="Z27" s="15"/>
      <c r="AA27" s="15"/>
      <c r="AB27" s="15"/>
      <c r="AC27" s="15">
        <v>0</v>
      </c>
      <c r="AD27" s="15"/>
      <c r="AE27" s="15"/>
      <c r="AF27" s="15">
        <v>301</v>
      </c>
      <c r="AG27" s="15"/>
      <c r="AH27" s="15"/>
      <c r="AI27" s="15">
        <v>121</v>
      </c>
      <c r="AJ27" s="15"/>
      <c r="AK27" s="15"/>
      <c r="AL27" s="15"/>
      <c r="AM27" s="15">
        <v>16</v>
      </c>
      <c r="AN27" s="15"/>
      <c r="AO27" s="15"/>
      <c r="AP27" s="15"/>
      <c r="AQ27" s="15">
        <v>1075</v>
      </c>
      <c r="AR27" s="15"/>
      <c r="AS27" s="15"/>
      <c r="AT27" s="15">
        <v>280</v>
      </c>
      <c r="AU27" s="15">
        <v>25</v>
      </c>
      <c r="AV27" s="15"/>
    </row>
    <row r="28" spans="1:48" x14ac:dyDescent="0.35">
      <c r="A28" t="s">
        <v>236</v>
      </c>
      <c r="B28" s="15"/>
      <c r="C28" s="15"/>
      <c r="D28" s="15"/>
      <c r="E28" s="15"/>
      <c r="F28" s="15"/>
      <c r="G28" s="15"/>
      <c r="H28" s="15">
        <v>390</v>
      </c>
      <c r="I28" s="15"/>
      <c r="J28" s="15"/>
      <c r="K28" s="15"/>
      <c r="L28" s="15"/>
      <c r="M28" s="15"/>
      <c r="N28" s="15"/>
      <c r="O28" s="15">
        <v>125</v>
      </c>
      <c r="P28" s="15"/>
      <c r="Q28" s="15"/>
      <c r="R28" s="15">
        <v>21</v>
      </c>
      <c r="S28" s="15"/>
      <c r="T28" s="15"/>
      <c r="U28" s="15"/>
      <c r="V28" s="15">
        <v>479</v>
      </c>
      <c r="W28" s="15"/>
      <c r="X28" s="15"/>
      <c r="Y28" s="15"/>
      <c r="Z28" s="15"/>
      <c r="AA28" s="15"/>
      <c r="AB28" s="15"/>
      <c r="AC28" s="15">
        <v>2630</v>
      </c>
      <c r="AD28" s="15"/>
      <c r="AE28" s="15"/>
      <c r="AF28" s="15">
        <v>2954</v>
      </c>
      <c r="AG28" s="15"/>
      <c r="AH28" s="15"/>
      <c r="AI28" s="15">
        <v>27</v>
      </c>
      <c r="AJ28" s="15"/>
      <c r="AK28" s="15">
        <v>487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x14ac:dyDescent="0.35">
      <c r="A29" t="s">
        <v>237</v>
      </c>
      <c r="B29" s="15"/>
      <c r="C29" s="15"/>
      <c r="D29" s="15"/>
      <c r="E29" s="15"/>
      <c r="F29" s="15"/>
      <c r="G29" s="15"/>
      <c r="H29" s="15">
        <v>14</v>
      </c>
      <c r="I29" s="15"/>
      <c r="J29" s="15">
        <v>30</v>
      </c>
      <c r="K29" s="15"/>
      <c r="L29" s="15"/>
      <c r="M29" s="15"/>
      <c r="N29" s="15"/>
      <c r="O29" s="15">
        <v>67</v>
      </c>
      <c r="P29" s="15"/>
      <c r="Q29" s="15"/>
      <c r="R29" s="15">
        <v>6</v>
      </c>
      <c r="S29" s="15"/>
      <c r="T29" s="15"/>
      <c r="U29" s="15"/>
      <c r="V29" s="15">
        <v>0</v>
      </c>
      <c r="W29" s="15"/>
      <c r="X29" s="15"/>
      <c r="Y29" s="15"/>
      <c r="Z29" s="15"/>
      <c r="AA29" s="15"/>
      <c r="AB29" s="15"/>
      <c r="AC29" s="15">
        <v>1809</v>
      </c>
      <c r="AD29" s="15"/>
      <c r="AE29" s="15"/>
      <c r="AF29" s="15"/>
      <c r="AG29" s="15">
        <v>3</v>
      </c>
      <c r="AH29" s="15"/>
      <c r="AI29" s="15">
        <v>1482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>
        <v>997</v>
      </c>
      <c r="AU29" s="15"/>
      <c r="AV29" s="15"/>
    </row>
    <row r="30" spans="1:48" x14ac:dyDescent="0.35">
      <c r="A30" t="s">
        <v>238</v>
      </c>
      <c r="B30" s="15"/>
      <c r="C30" s="15"/>
      <c r="D30" s="15"/>
      <c r="E30" s="15"/>
      <c r="F30" s="15">
        <v>4752</v>
      </c>
      <c r="G30" s="15"/>
      <c r="H30" s="15">
        <v>74</v>
      </c>
      <c r="I30" s="15"/>
      <c r="J30" s="15"/>
      <c r="K30" s="15"/>
      <c r="L30" s="15"/>
      <c r="M30" s="15"/>
      <c r="N30" s="15"/>
      <c r="O30" s="15">
        <v>338</v>
      </c>
      <c r="P30" s="15"/>
      <c r="Q30" s="15"/>
      <c r="R30" s="15">
        <v>48</v>
      </c>
      <c r="S30" s="15"/>
      <c r="T30" s="15"/>
      <c r="U30" s="15"/>
      <c r="V30" s="15">
        <v>0</v>
      </c>
      <c r="W30" s="15"/>
      <c r="X30" s="15"/>
      <c r="Y30" s="15">
        <v>1</v>
      </c>
      <c r="Z30" s="15"/>
      <c r="AA30" s="15"/>
      <c r="AB30" s="15"/>
      <c r="AC30" s="15">
        <v>282</v>
      </c>
      <c r="AD30" s="15"/>
      <c r="AE30" s="15"/>
      <c r="AF30" s="15"/>
      <c r="AG30" s="15">
        <v>99</v>
      </c>
      <c r="AH30" s="15"/>
      <c r="AI30" s="15">
        <v>323</v>
      </c>
      <c r="AJ30" s="15"/>
      <c r="AK30" s="15"/>
      <c r="AL30" s="15"/>
      <c r="AM30" s="15"/>
      <c r="AN30" s="15"/>
      <c r="AO30" s="15"/>
      <c r="AP30" s="15"/>
      <c r="AQ30" s="15">
        <v>2506</v>
      </c>
      <c r="AR30" s="15"/>
      <c r="AS30" s="15"/>
      <c r="AT30" s="15">
        <v>338</v>
      </c>
      <c r="AU30" s="15">
        <v>16</v>
      </c>
      <c r="AV30" s="15"/>
    </row>
    <row r="31" spans="1:48" x14ac:dyDescent="0.35">
      <c r="A31" t="s">
        <v>239</v>
      </c>
      <c r="B31" s="15">
        <v>906</v>
      </c>
      <c r="C31" s="15"/>
      <c r="D31" s="15"/>
      <c r="E31" s="15"/>
      <c r="F31" s="15">
        <v>8005</v>
      </c>
      <c r="G31" s="15"/>
      <c r="H31" s="15">
        <v>469</v>
      </c>
      <c r="I31" s="15"/>
      <c r="J31" s="15"/>
      <c r="K31" s="15"/>
      <c r="L31" s="15"/>
      <c r="M31" s="15"/>
      <c r="N31" s="15"/>
      <c r="O31" s="15">
        <v>167</v>
      </c>
      <c r="P31" s="15"/>
      <c r="Q31" s="15"/>
      <c r="R31" s="15">
        <v>112</v>
      </c>
      <c r="S31" s="15"/>
      <c r="T31" s="15"/>
      <c r="U31" s="15"/>
      <c r="V31" s="15">
        <v>13</v>
      </c>
      <c r="W31" s="15"/>
      <c r="X31" s="15"/>
      <c r="Y31" s="15">
        <v>285</v>
      </c>
      <c r="Z31" s="15"/>
      <c r="AA31" s="15"/>
      <c r="AB31" s="15"/>
      <c r="AC31" s="15">
        <v>743</v>
      </c>
      <c r="AD31" s="15"/>
      <c r="AE31" s="15"/>
      <c r="AF31" s="15">
        <v>2041</v>
      </c>
      <c r="AG31" s="15">
        <v>99</v>
      </c>
      <c r="AH31" s="15"/>
      <c r="AI31" s="15">
        <v>101</v>
      </c>
      <c r="AJ31" s="15"/>
      <c r="AK31" s="15">
        <v>114</v>
      </c>
      <c r="AL31" s="15"/>
      <c r="AM31" s="15">
        <v>635</v>
      </c>
      <c r="AN31" s="15"/>
      <c r="AO31" s="15"/>
      <c r="AP31" s="15"/>
      <c r="AQ31" s="15">
        <v>19</v>
      </c>
      <c r="AR31" s="15"/>
      <c r="AS31" s="15"/>
      <c r="AT31" s="15">
        <v>589</v>
      </c>
      <c r="AU31" s="15"/>
      <c r="AV31" s="15"/>
    </row>
    <row r="32" spans="1:48" x14ac:dyDescent="0.35">
      <c r="A32" t="s">
        <v>240</v>
      </c>
      <c r="B32" s="15"/>
      <c r="C32" s="15"/>
      <c r="D32" s="15"/>
      <c r="E32" s="15"/>
      <c r="F32" s="15">
        <v>22</v>
      </c>
      <c r="G32" s="15"/>
      <c r="H32" s="15">
        <v>0</v>
      </c>
      <c r="I32" s="15"/>
      <c r="J32" s="15"/>
      <c r="K32" s="15"/>
      <c r="L32" s="15"/>
      <c r="M32" s="15"/>
      <c r="N32" s="15"/>
      <c r="O32" s="15"/>
      <c r="P32" s="15"/>
      <c r="Q32" s="15"/>
      <c r="R32" s="15">
        <v>19</v>
      </c>
      <c r="S32" s="15"/>
      <c r="T32" s="15"/>
      <c r="U32" s="15"/>
      <c r="V32" s="15">
        <v>0</v>
      </c>
      <c r="W32" s="15"/>
      <c r="X32" s="15"/>
      <c r="Y32" s="15"/>
      <c r="Z32" s="15"/>
      <c r="AA32" s="15"/>
      <c r="AB32" s="15"/>
      <c r="AC32" s="15">
        <v>0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>
        <v>6</v>
      </c>
      <c r="AU32" s="15"/>
      <c r="AV32" s="15"/>
    </row>
    <row r="33" spans="1:48" x14ac:dyDescent="0.35">
      <c r="A33" t="s">
        <v>241</v>
      </c>
      <c r="B33" s="15"/>
      <c r="C33" s="15"/>
      <c r="D33" s="15"/>
      <c r="E33" s="15"/>
      <c r="F33" s="15"/>
      <c r="G33" s="15"/>
      <c r="H33" s="15">
        <v>0</v>
      </c>
      <c r="I33" s="15"/>
      <c r="J33" s="15"/>
      <c r="K33" s="15"/>
      <c r="L33" s="15"/>
      <c r="M33" s="15"/>
      <c r="N33" s="15"/>
      <c r="O33" s="15">
        <v>63</v>
      </c>
      <c r="P33" s="15"/>
      <c r="Q33" s="15"/>
      <c r="R33" s="15">
        <v>4</v>
      </c>
      <c r="S33" s="15"/>
      <c r="T33" s="15"/>
      <c r="U33" s="15"/>
      <c r="V33" s="15">
        <v>0</v>
      </c>
      <c r="W33" s="15"/>
      <c r="X33" s="15"/>
      <c r="Y33" s="15"/>
      <c r="Z33" s="15"/>
      <c r="AA33" s="15"/>
      <c r="AB33" s="15"/>
      <c r="AC33" s="15">
        <v>0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>
        <v>1006</v>
      </c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 x14ac:dyDescent="0.35">
      <c r="A34" t="s">
        <v>242</v>
      </c>
      <c r="B34" s="15"/>
      <c r="C34" s="15"/>
      <c r="D34" s="15"/>
      <c r="E34" s="15"/>
      <c r="F34" s="15"/>
      <c r="G34" s="15"/>
      <c r="H34" s="15">
        <v>1</v>
      </c>
      <c r="I34" s="15"/>
      <c r="J34" s="15"/>
      <c r="K34" s="15"/>
      <c r="L34" s="15"/>
      <c r="M34" s="15"/>
      <c r="N34" s="15"/>
      <c r="O34" s="15"/>
      <c r="P34" s="15">
        <v>852</v>
      </c>
      <c r="Q34" s="15"/>
      <c r="R34" s="15">
        <v>0</v>
      </c>
      <c r="S34" s="15"/>
      <c r="T34" s="15"/>
      <c r="U34" s="15"/>
      <c r="V34" s="15">
        <v>0</v>
      </c>
      <c r="W34" s="15">
        <v>5285</v>
      </c>
      <c r="X34" s="15"/>
      <c r="Y34" s="15">
        <v>0</v>
      </c>
      <c r="Z34" s="15"/>
      <c r="AA34" s="15"/>
      <c r="AB34" s="15"/>
      <c r="AC34" s="15">
        <v>0</v>
      </c>
      <c r="AD34" s="15"/>
      <c r="AE34" s="15">
        <v>3450</v>
      </c>
      <c r="AF34" s="15"/>
      <c r="AG34" s="15"/>
      <c r="AH34" s="15"/>
      <c r="AI34" s="15"/>
      <c r="AJ34" s="15"/>
      <c r="AK34" s="15"/>
      <c r="AL34" s="15"/>
      <c r="AM34" s="15"/>
      <c r="AN34" s="15"/>
      <c r="AO34" s="15">
        <v>835</v>
      </c>
      <c r="AP34" s="15">
        <v>7031</v>
      </c>
      <c r="AQ34" s="15">
        <v>4818</v>
      </c>
      <c r="AR34" s="15">
        <v>2957</v>
      </c>
      <c r="AS34" s="15">
        <v>291</v>
      </c>
      <c r="AT34" s="15"/>
      <c r="AU34" s="15"/>
      <c r="AV34" s="15"/>
    </row>
    <row r="35" spans="1:48" x14ac:dyDescent="0.35">
      <c r="A35" t="s">
        <v>243</v>
      </c>
      <c r="B35" s="15">
        <v>16</v>
      </c>
      <c r="C35" s="15"/>
      <c r="D35" s="15"/>
      <c r="E35" s="15"/>
      <c r="F35" s="15"/>
      <c r="G35" s="15"/>
      <c r="H35" s="15">
        <v>106</v>
      </c>
      <c r="I35" s="15"/>
      <c r="J35" s="15">
        <v>0</v>
      </c>
      <c r="K35" s="15"/>
      <c r="L35" s="15"/>
      <c r="M35" s="15"/>
      <c r="N35" s="15"/>
      <c r="O35" s="15"/>
      <c r="P35" s="15"/>
      <c r="Q35" s="15"/>
      <c r="R35" s="15">
        <v>13</v>
      </c>
      <c r="S35" s="15"/>
      <c r="T35" s="15"/>
      <c r="U35" s="15"/>
      <c r="V35" s="15">
        <v>0</v>
      </c>
      <c r="W35" s="15"/>
      <c r="X35" s="15"/>
      <c r="Y35" s="15"/>
      <c r="Z35" s="15"/>
      <c r="AA35" s="15"/>
      <c r="AB35" s="15"/>
      <c r="AC35" s="15">
        <v>0</v>
      </c>
      <c r="AD35" s="15"/>
      <c r="AE35" s="15"/>
      <c r="AF35" s="15"/>
      <c r="AG35" s="15"/>
      <c r="AH35" s="15"/>
      <c r="AI35" s="15">
        <v>72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>
        <v>14</v>
      </c>
      <c r="AU35" s="15"/>
      <c r="AV35" s="15"/>
    </row>
    <row r="36" spans="1:48" x14ac:dyDescent="0.35">
      <c r="A36" t="s">
        <v>244</v>
      </c>
      <c r="B36" s="15">
        <v>2977</v>
      </c>
      <c r="C36" s="15"/>
      <c r="D36" s="15"/>
      <c r="E36" s="15"/>
      <c r="F36" s="15"/>
      <c r="G36" s="15"/>
      <c r="H36" s="15">
        <v>0</v>
      </c>
      <c r="I36" s="15"/>
      <c r="J36" s="15">
        <v>0</v>
      </c>
      <c r="K36" s="15"/>
      <c r="L36" s="15"/>
      <c r="M36" s="15"/>
      <c r="N36" s="15"/>
      <c r="O36" s="15"/>
      <c r="P36" s="15"/>
      <c r="Q36" s="15"/>
      <c r="R36" s="15">
        <v>239</v>
      </c>
      <c r="S36" s="15"/>
      <c r="T36" s="15"/>
      <c r="U36" s="15"/>
      <c r="V36" s="15">
        <v>412</v>
      </c>
      <c r="W36" s="15"/>
      <c r="X36" s="15"/>
      <c r="Y36" s="15">
        <v>167</v>
      </c>
      <c r="Z36" s="15"/>
      <c r="AA36" s="15"/>
      <c r="AB36" s="15"/>
      <c r="AC36" s="15">
        <v>0</v>
      </c>
      <c r="AD36" s="15"/>
      <c r="AE36" s="15"/>
      <c r="AF36" s="15">
        <v>1275</v>
      </c>
      <c r="AG36" s="15"/>
      <c r="AH36" s="15"/>
      <c r="AI36" s="15">
        <v>92</v>
      </c>
      <c r="AJ36" s="15"/>
      <c r="AK36" s="15">
        <v>109</v>
      </c>
      <c r="AL36" s="15"/>
      <c r="AM36" s="15">
        <v>2564</v>
      </c>
      <c r="AN36" s="15"/>
      <c r="AO36" s="15"/>
      <c r="AP36" s="15"/>
      <c r="AQ36" s="15"/>
      <c r="AR36" s="15"/>
      <c r="AS36" s="15"/>
      <c r="AT36" s="15">
        <v>809</v>
      </c>
      <c r="AU36" s="15"/>
      <c r="AV36" s="15"/>
    </row>
    <row r="37" spans="1:48" x14ac:dyDescent="0.35">
      <c r="A37" t="s">
        <v>245</v>
      </c>
      <c r="B37" s="15">
        <v>4827</v>
      </c>
      <c r="C37" s="15"/>
      <c r="D37" s="15"/>
      <c r="E37" s="15"/>
      <c r="F37" s="15">
        <v>20355</v>
      </c>
      <c r="G37" s="15"/>
      <c r="H37" s="15">
        <v>662</v>
      </c>
      <c r="I37" s="15">
        <v>1027</v>
      </c>
      <c r="J37" s="15">
        <v>0</v>
      </c>
      <c r="K37" s="15"/>
      <c r="L37" s="15"/>
      <c r="M37" s="15"/>
      <c r="N37" s="15"/>
      <c r="O37" s="15"/>
      <c r="P37" s="15"/>
      <c r="Q37" s="15"/>
      <c r="R37" s="15">
        <v>998</v>
      </c>
      <c r="S37" s="15">
        <v>710</v>
      </c>
      <c r="T37" s="15">
        <v>6345</v>
      </c>
      <c r="U37" s="15"/>
      <c r="V37" s="15">
        <v>128</v>
      </c>
      <c r="W37" s="15"/>
      <c r="X37" s="15"/>
      <c r="Y37" s="15">
        <v>18</v>
      </c>
      <c r="Z37" s="15"/>
      <c r="AA37" s="15">
        <v>872</v>
      </c>
      <c r="AB37" s="15"/>
      <c r="AC37" s="15">
        <v>0</v>
      </c>
      <c r="AD37" s="15"/>
      <c r="AE37" s="15"/>
      <c r="AF37" s="15">
        <v>5049</v>
      </c>
      <c r="AG37" s="15">
        <v>5</v>
      </c>
      <c r="AH37" s="15"/>
      <c r="AI37" s="15">
        <v>1969</v>
      </c>
      <c r="AJ37" s="15"/>
      <c r="AK37" s="15">
        <v>530</v>
      </c>
      <c r="AL37" s="15"/>
      <c r="AM37" s="15">
        <v>456</v>
      </c>
      <c r="AN37" s="15"/>
      <c r="AO37" s="15"/>
      <c r="AP37" s="15"/>
      <c r="AQ37" s="15">
        <v>3312</v>
      </c>
      <c r="AR37" s="15"/>
      <c r="AS37" s="15"/>
      <c r="AT37" s="15">
        <v>934</v>
      </c>
      <c r="AU37" s="15">
        <v>586</v>
      </c>
      <c r="AV37" s="15"/>
    </row>
    <row r="38" spans="1:48" x14ac:dyDescent="0.35">
      <c r="A38" t="s">
        <v>246</v>
      </c>
      <c r="B38" s="15"/>
      <c r="C38" s="15"/>
      <c r="D38" s="15"/>
      <c r="E38" s="15"/>
      <c r="F38" s="15"/>
      <c r="G38" s="15"/>
      <c r="H38" s="15">
        <v>0</v>
      </c>
      <c r="I38" s="15"/>
      <c r="J38" s="15">
        <v>0</v>
      </c>
      <c r="K38" s="15"/>
      <c r="L38" s="15"/>
      <c r="M38" s="15"/>
      <c r="N38" s="15"/>
      <c r="O38" s="15"/>
      <c r="P38" s="15"/>
      <c r="Q38" s="15"/>
      <c r="R38" s="15">
        <v>21</v>
      </c>
      <c r="S38" s="15"/>
      <c r="T38" s="15"/>
      <c r="U38" s="15"/>
      <c r="V38" s="15">
        <v>0</v>
      </c>
      <c r="W38" s="15">
        <v>16700</v>
      </c>
      <c r="X38" s="15"/>
      <c r="Y38" s="15">
        <v>0</v>
      </c>
      <c r="Z38" s="15"/>
      <c r="AA38" s="15"/>
      <c r="AB38" s="15"/>
      <c r="AC38" s="15">
        <v>0</v>
      </c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>
        <v>23546</v>
      </c>
      <c r="AQ38" s="15"/>
      <c r="AR38" s="15">
        <v>9293</v>
      </c>
      <c r="AS38" s="15"/>
      <c r="AT38" s="15"/>
      <c r="AU38" s="15"/>
      <c r="AV38" s="15"/>
    </row>
    <row r="39" spans="1:48" x14ac:dyDescent="0.35">
      <c r="A39" t="s">
        <v>247</v>
      </c>
      <c r="B39" s="15"/>
      <c r="C39" s="15"/>
      <c r="D39" s="15"/>
      <c r="E39" s="15"/>
      <c r="F39" s="15"/>
      <c r="G39" s="15"/>
      <c r="H39" s="15">
        <v>2</v>
      </c>
      <c r="I39" s="15">
        <v>3764</v>
      </c>
      <c r="J39" s="15">
        <v>0</v>
      </c>
      <c r="K39" s="15"/>
      <c r="L39" s="15"/>
      <c r="M39" s="15"/>
      <c r="N39" s="15"/>
      <c r="O39" s="15"/>
      <c r="P39" s="15">
        <v>7713</v>
      </c>
      <c r="Q39" s="15"/>
      <c r="R39" s="15">
        <v>1435</v>
      </c>
      <c r="S39" s="15">
        <v>268</v>
      </c>
      <c r="T39" s="15"/>
      <c r="U39" s="15"/>
      <c r="V39" s="15">
        <v>42</v>
      </c>
      <c r="W39" s="15">
        <v>95789</v>
      </c>
      <c r="X39" s="15"/>
      <c r="Y39" s="15">
        <v>14</v>
      </c>
      <c r="Z39" s="15"/>
      <c r="AA39" s="15"/>
      <c r="AB39" s="15"/>
      <c r="AC39" s="15">
        <v>77</v>
      </c>
      <c r="AD39" s="15"/>
      <c r="AE39" s="15"/>
      <c r="AF39" s="15"/>
      <c r="AG39" s="15"/>
      <c r="AH39" s="15"/>
      <c r="AI39" s="15">
        <v>22</v>
      </c>
      <c r="AJ39" s="15"/>
      <c r="AK39" s="15"/>
      <c r="AL39" s="15">
        <v>61028</v>
      </c>
      <c r="AM39" s="15"/>
      <c r="AN39" s="15"/>
      <c r="AO39" s="15"/>
      <c r="AP39" s="15">
        <v>51327</v>
      </c>
      <c r="AQ39" s="15"/>
      <c r="AR39" s="15">
        <v>22499</v>
      </c>
      <c r="AS39" s="15"/>
      <c r="AT39" s="15"/>
      <c r="AU39" s="15"/>
      <c r="AV39" s="15"/>
    </row>
    <row r="40" spans="1:48" x14ac:dyDescent="0.35">
      <c r="A40" t="s">
        <v>248</v>
      </c>
      <c r="B40" s="15">
        <v>1646</v>
      </c>
      <c r="C40" s="15"/>
      <c r="D40" s="15"/>
      <c r="E40" s="15"/>
      <c r="F40" s="15"/>
      <c r="G40" s="15"/>
      <c r="H40" s="15">
        <v>635</v>
      </c>
      <c r="I40" s="15"/>
      <c r="J40" s="15">
        <v>394</v>
      </c>
      <c r="K40" s="15"/>
      <c r="L40" s="15"/>
      <c r="M40" s="15"/>
      <c r="N40" s="15"/>
      <c r="O40" s="15"/>
      <c r="P40" s="15"/>
      <c r="Q40" s="15"/>
      <c r="R40" s="15">
        <v>1202</v>
      </c>
      <c r="S40" s="15">
        <v>827</v>
      </c>
      <c r="T40" s="15"/>
      <c r="U40" s="15"/>
      <c r="V40" s="15">
        <v>484</v>
      </c>
      <c r="W40" s="15"/>
      <c r="X40" s="15"/>
      <c r="Y40" s="15">
        <v>1016</v>
      </c>
      <c r="Z40" s="15">
        <v>0</v>
      </c>
      <c r="AA40" s="15"/>
      <c r="AB40" s="15"/>
      <c r="AC40" s="15">
        <v>6004</v>
      </c>
      <c r="AD40" s="15"/>
      <c r="AE40" s="15"/>
      <c r="AF40" s="15">
        <v>1616</v>
      </c>
      <c r="AG40" s="15">
        <v>44</v>
      </c>
      <c r="AH40" s="15"/>
      <c r="AI40" s="15">
        <v>483</v>
      </c>
      <c r="AJ40" s="15"/>
      <c r="AK40" s="15"/>
      <c r="AL40" s="15"/>
      <c r="AM40" s="15">
        <v>3934</v>
      </c>
      <c r="AN40" s="15"/>
      <c r="AO40" s="15"/>
      <c r="AP40" s="15"/>
      <c r="AQ40" s="15"/>
      <c r="AR40" s="15"/>
      <c r="AS40" s="15"/>
      <c r="AT40" s="15">
        <v>902</v>
      </c>
      <c r="AU40" s="15"/>
      <c r="AV40" s="15"/>
    </row>
    <row r="41" spans="1:48" x14ac:dyDescent="0.35">
      <c r="A41" t="s">
        <v>249</v>
      </c>
      <c r="B41" s="15">
        <v>10228</v>
      </c>
      <c r="C41" s="15"/>
      <c r="D41" s="15"/>
      <c r="E41" s="15"/>
      <c r="F41" s="15">
        <v>69824</v>
      </c>
      <c r="G41" s="15"/>
      <c r="H41" s="15">
        <v>4844</v>
      </c>
      <c r="I41" s="15">
        <v>526</v>
      </c>
      <c r="J41" s="15">
        <v>2523</v>
      </c>
      <c r="K41" s="15"/>
      <c r="L41" s="15"/>
      <c r="M41" s="15"/>
      <c r="N41" s="15"/>
      <c r="O41" s="15">
        <v>7771</v>
      </c>
      <c r="P41" s="15"/>
      <c r="Q41" s="15"/>
      <c r="R41" s="15">
        <v>8841</v>
      </c>
      <c r="S41" s="15">
        <v>1528</v>
      </c>
      <c r="T41" s="15">
        <v>13396</v>
      </c>
      <c r="U41" s="15"/>
      <c r="V41" s="15">
        <v>703</v>
      </c>
      <c r="W41" s="15"/>
      <c r="X41" s="15"/>
      <c r="Y41" s="15">
        <v>341</v>
      </c>
      <c r="Z41" s="15"/>
      <c r="AA41" s="15">
        <v>2416</v>
      </c>
      <c r="AB41" s="15"/>
      <c r="AC41" s="15">
        <v>7483</v>
      </c>
      <c r="AD41" s="15"/>
      <c r="AE41" s="15"/>
      <c r="AF41" s="15">
        <v>7215</v>
      </c>
      <c r="AG41" s="15">
        <v>6396</v>
      </c>
      <c r="AH41" s="15"/>
      <c r="AI41" s="15">
        <v>3295</v>
      </c>
      <c r="AJ41" s="15"/>
      <c r="AK41" s="15">
        <v>1040</v>
      </c>
      <c r="AL41" s="15"/>
      <c r="AM41" s="15">
        <v>596</v>
      </c>
      <c r="AN41" s="15"/>
      <c r="AO41" s="15"/>
      <c r="AP41" s="15"/>
      <c r="AQ41" s="15">
        <v>27674</v>
      </c>
      <c r="AR41" s="15"/>
      <c r="AS41" s="15"/>
      <c r="AT41" s="15">
        <v>1553</v>
      </c>
      <c r="AU41" s="15">
        <v>683</v>
      </c>
      <c r="AV41" s="15"/>
    </row>
    <row r="42" spans="1:48" x14ac:dyDescent="0.35">
      <c r="A42" t="s">
        <v>210</v>
      </c>
      <c r="B42" s="15"/>
      <c r="C42" s="15"/>
      <c r="D42" s="15"/>
      <c r="E42" s="15"/>
      <c r="F42" s="15"/>
      <c r="G42" s="15"/>
      <c r="H42" s="15">
        <v>0</v>
      </c>
      <c r="I42" s="15"/>
      <c r="J42" s="15">
        <v>1047</v>
      </c>
      <c r="K42" s="15"/>
      <c r="L42" s="15"/>
      <c r="M42" s="15"/>
      <c r="N42" s="15"/>
      <c r="O42" s="15"/>
      <c r="P42" s="15"/>
      <c r="Q42" s="15"/>
      <c r="R42" s="15">
        <v>290</v>
      </c>
      <c r="S42" s="15"/>
      <c r="T42" s="15"/>
      <c r="U42" s="15"/>
      <c r="V42" s="15"/>
      <c r="W42" s="15"/>
      <c r="X42" s="15"/>
      <c r="Y42" s="15">
        <v>40</v>
      </c>
      <c r="Z42" s="15"/>
      <c r="AA42" s="15"/>
      <c r="AB42" s="15"/>
      <c r="AC42" s="15">
        <v>1479</v>
      </c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35">
      <c r="A43" t="s">
        <v>211</v>
      </c>
      <c r="B43" s="15"/>
      <c r="C43" s="15"/>
      <c r="D43" s="15"/>
      <c r="E43" s="15"/>
      <c r="F43" s="15"/>
      <c r="G43" s="15"/>
      <c r="H43" s="15">
        <v>1</v>
      </c>
      <c r="I43" s="15"/>
      <c r="J43" s="15">
        <v>0</v>
      </c>
      <c r="K43" s="15"/>
      <c r="L43" s="15"/>
      <c r="M43" s="15"/>
      <c r="N43" s="15"/>
      <c r="O43" s="15"/>
      <c r="P43" s="15"/>
      <c r="Q43" s="15"/>
      <c r="R43" s="15">
        <v>190</v>
      </c>
      <c r="S43" s="15"/>
      <c r="T43" s="15"/>
      <c r="U43" s="15"/>
      <c r="V43" s="15"/>
      <c r="W43" s="15"/>
      <c r="X43" s="15"/>
      <c r="Y43" s="15">
        <v>0</v>
      </c>
      <c r="Z43" s="15"/>
      <c r="AA43" s="15"/>
      <c r="AB43" s="15"/>
      <c r="AC43" s="15">
        <v>4358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35">
      <c r="A44" t="s">
        <v>250</v>
      </c>
      <c r="B44" s="15">
        <v>31</v>
      </c>
      <c r="C44" s="15"/>
      <c r="D44" s="15"/>
      <c r="E44" s="15"/>
      <c r="F44" s="15">
        <v>688</v>
      </c>
      <c r="G44" s="15"/>
      <c r="H44" s="15">
        <v>3</v>
      </c>
      <c r="I44" s="15"/>
      <c r="J44" s="15">
        <v>9</v>
      </c>
      <c r="K44" s="15"/>
      <c r="L44" s="15"/>
      <c r="M44" s="15"/>
      <c r="N44" s="15"/>
      <c r="O44" s="15">
        <v>3</v>
      </c>
      <c r="P44" s="15"/>
      <c r="Q44" s="15"/>
      <c r="R44" s="15">
        <v>17</v>
      </c>
      <c r="S44" s="15">
        <v>1</v>
      </c>
      <c r="T44" s="15"/>
      <c r="U44" s="15"/>
      <c r="V44" s="15">
        <v>0</v>
      </c>
      <c r="W44" s="15"/>
      <c r="X44" s="15"/>
      <c r="Y44" s="15">
        <v>4</v>
      </c>
      <c r="Z44" s="15"/>
      <c r="AA44" s="15"/>
      <c r="AB44" s="15"/>
      <c r="AC44" s="15">
        <v>54</v>
      </c>
      <c r="AD44" s="15"/>
      <c r="AE44" s="15"/>
      <c r="AF44" s="15">
        <v>870</v>
      </c>
      <c r="AG44" s="15"/>
      <c r="AH44" s="15"/>
      <c r="AI44" s="15">
        <v>2</v>
      </c>
      <c r="AJ44" s="15"/>
      <c r="AK44" s="15">
        <v>57</v>
      </c>
      <c r="AL44" s="15"/>
      <c r="AM44" s="15">
        <v>197</v>
      </c>
      <c r="AN44" s="15"/>
      <c r="AO44" s="15"/>
      <c r="AP44" s="15"/>
      <c r="AQ44" s="15"/>
      <c r="AR44" s="15"/>
      <c r="AS44" s="15"/>
      <c r="AT44" s="15">
        <v>7</v>
      </c>
      <c r="AU44" s="15"/>
      <c r="AV44" s="15"/>
    </row>
    <row r="45" spans="1:48" x14ac:dyDescent="0.35">
      <c r="A45" t="s">
        <v>251</v>
      </c>
      <c r="B45" s="15">
        <v>126</v>
      </c>
      <c r="C45" s="15"/>
      <c r="D45" s="15"/>
      <c r="E45" s="15"/>
      <c r="F45" s="15">
        <v>436</v>
      </c>
      <c r="G45" s="15"/>
      <c r="H45" s="15">
        <v>82</v>
      </c>
      <c r="I45" s="15"/>
      <c r="J45" s="15"/>
      <c r="K45" s="15"/>
      <c r="L45" s="15"/>
      <c r="M45" s="15"/>
      <c r="N45" s="15"/>
      <c r="O45" s="15"/>
      <c r="P45" s="15"/>
      <c r="Q45" s="15"/>
      <c r="R45" s="15">
        <v>114</v>
      </c>
      <c r="S45" s="15">
        <v>5</v>
      </c>
      <c r="T45" s="15"/>
      <c r="U45" s="15"/>
      <c r="V45" s="15">
        <v>0</v>
      </c>
      <c r="W45" s="15"/>
      <c r="X45" s="15"/>
      <c r="Y45" s="15">
        <v>4</v>
      </c>
      <c r="Z45" s="15"/>
      <c r="AA45" s="15">
        <v>15</v>
      </c>
      <c r="AB45" s="15"/>
      <c r="AC45" s="15">
        <v>52</v>
      </c>
      <c r="AD45" s="15"/>
      <c r="AE45" s="15"/>
      <c r="AF45" s="15">
        <v>76</v>
      </c>
      <c r="AG45" s="15">
        <v>46</v>
      </c>
      <c r="AH45" s="15"/>
      <c r="AI45" s="15">
        <v>106</v>
      </c>
      <c r="AJ45" s="15"/>
      <c r="AK45" s="15"/>
      <c r="AL45" s="15"/>
      <c r="AM45" s="15">
        <v>12</v>
      </c>
      <c r="AN45" s="15"/>
      <c r="AO45" s="15"/>
      <c r="AP45" s="15"/>
      <c r="AQ45" s="15"/>
      <c r="AR45" s="15"/>
      <c r="AS45" s="15"/>
      <c r="AT45" s="15">
        <v>61</v>
      </c>
      <c r="AU45" s="15"/>
      <c r="AV45" s="15"/>
    </row>
    <row r="46" spans="1:48" x14ac:dyDescent="0.35">
      <c r="A46" t="s">
        <v>252</v>
      </c>
      <c r="B46" s="15">
        <v>3</v>
      </c>
      <c r="C46" s="15"/>
      <c r="D46" s="15"/>
      <c r="E46" s="15"/>
      <c r="F46" s="15">
        <v>654</v>
      </c>
      <c r="G46" s="15"/>
      <c r="H46" s="15">
        <v>9</v>
      </c>
      <c r="I46" s="15"/>
      <c r="J46" s="15">
        <v>6</v>
      </c>
      <c r="K46" s="15"/>
      <c r="L46" s="15"/>
      <c r="M46" s="15"/>
      <c r="N46" s="15"/>
      <c r="O46" s="15">
        <v>3</v>
      </c>
      <c r="P46" s="15"/>
      <c r="Q46" s="15"/>
      <c r="R46" s="15">
        <v>207</v>
      </c>
      <c r="S46" s="15">
        <v>1</v>
      </c>
      <c r="T46" s="15"/>
      <c r="U46" s="15"/>
      <c r="V46" s="15">
        <v>20</v>
      </c>
      <c r="W46" s="15"/>
      <c r="X46" s="15"/>
      <c r="Y46" s="15">
        <v>9</v>
      </c>
      <c r="Z46" s="15"/>
      <c r="AA46" s="15"/>
      <c r="AB46" s="15"/>
      <c r="AC46" s="15">
        <v>91</v>
      </c>
      <c r="AD46" s="15"/>
      <c r="AE46" s="15"/>
      <c r="AF46" s="15">
        <v>156</v>
      </c>
      <c r="AG46" s="15">
        <v>95</v>
      </c>
      <c r="AH46" s="15"/>
      <c r="AI46" s="15"/>
      <c r="AJ46" s="15"/>
      <c r="AK46" s="15">
        <v>1</v>
      </c>
      <c r="AL46" s="15"/>
      <c r="AM46" s="15">
        <v>24</v>
      </c>
      <c r="AN46" s="15"/>
      <c r="AO46" s="15"/>
      <c r="AP46" s="15"/>
      <c r="AQ46" s="15"/>
      <c r="AR46" s="15"/>
      <c r="AS46" s="15"/>
      <c r="AT46" s="15">
        <v>3</v>
      </c>
      <c r="AU46" s="15"/>
      <c r="AV46" s="15"/>
    </row>
    <row r="47" spans="1:48" x14ac:dyDescent="0.35">
      <c r="A47" t="s">
        <v>253</v>
      </c>
      <c r="B47" s="15"/>
      <c r="C47" s="15"/>
      <c r="D47" s="15"/>
      <c r="E47" s="15"/>
      <c r="F47" s="15">
        <v>482</v>
      </c>
      <c r="G47" s="15"/>
      <c r="H47" s="15">
        <v>416</v>
      </c>
      <c r="I47" s="15"/>
      <c r="J47" s="15"/>
      <c r="K47" s="15"/>
      <c r="L47" s="15"/>
      <c r="M47" s="15"/>
      <c r="N47" s="15"/>
      <c r="O47" s="15"/>
      <c r="P47" s="15"/>
      <c r="Q47" s="15"/>
      <c r="R47" s="15">
        <v>538</v>
      </c>
      <c r="S47" s="15">
        <v>9</v>
      </c>
      <c r="T47" s="15"/>
      <c r="U47" s="15"/>
      <c r="V47" s="15">
        <v>0</v>
      </c>
      <c r="W47" s="15"/>
      <c r="X47" s="15"/>
      <c r="Y47" s="15">
        <v>0</v>
      </c>
      <c r="Z47" s="15"/>
      <c r="AA47" s="15"/>
      <c r="AB47" s="15"/>
      <c r="AC47" s="15">
        <v>195</v>
      </c>
      <c r="AD47" s="15"/>
      <c r="AE47" s="15"/>
      <c r="AF47" s="15">
        <v>636</v>
      </c>
      <c r="AG47" s="15">
        <v>37</v>
      </c>
      <c r="AH47" s="15"/>
      <c r="AI47" s="15"/>
      <c r="AJ47" s="15"/>
      <c r="AK47" s="15"/>
      <c r="AL47" s="15"/>
      <c r="AM47" s="15">
        <v>26</v>
      </c>
      <c r="AN47" s="15"/>
      <c r="AO47" s="15"/>
      <c r="AP47" s="15"/>
      <c r="AQ47" s="15"/>
      <c r="AR47" s="15"/>
      <c r="AS47" s="15"/>
      <c r="AT47" s="15">
        <v>61</v>
      </c>
      <c r="AU47" s="15"/>
      <c r="AV47" s="15"/>
    </row>
    <row r="48" spans="1:48" x14ac:dyDescent="0.35">
      <c r="A48" t="s">
        <v>254</v>
      </c>
      <c r="B48" s="15"/>
      <c r="C48" s="15"/>
      <c r="D48" s="15"/>
      <c r="E48" s="15"/>
      <c r="F48" s="15"/>
      <c r="G48" s="15"/>
      <c r="H48" s="15">
        <v>947</v>
      </c>
      <c r="I48" s="15"/>
      <c r="J48" s="15">
        <v>52</v>
      </c>
      <c r="K48" s="15"/>
      <c r="L48" s="15"/>
      <c r="M48" s="15"/>
      <c r="N48" s="15"/>
      <c r="O48" s="15">
        <v>1221</v>
      </c>
      <c r="P48" s="15"/>
      <c r="Q48" s="15"/>
      <c r="R48" s="15">
        <v>1406</v>
      </c>
      <c r="S48" s="15"/>
      <c r="T48" s="15"/>
      <c r="U48" s="15"/>
      <c r="V48" s="15">
        <v>0</v>
      </c>
      <c r="W48" s="15"/>
      <c r="X48" s="15"/>
      <c r="Y48" s="15">
        <v>149</v>
      </c>
      <c r="Z48" s="15"/>
      <c r="AA48" s="15"/>
      <c r="AB48" s="15"/>
      <c r="AC48" s="15"/>
      <c r="AD48" s="15"/>
      <c r="AE48" s="15"/>
      <c r="AF48" s="15">
        <v>8308</v>
      </c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>
        <v>2137</v>
      </c>
      <c r="AU48" s="15"/>
      <c r="AV48" s="15"/>
    </row>
    <row r="49" spans="1:48" x14ac:dyDescent="0.35">
      <c r="A49" t="s">
        <v>255</v>
      </c>
      <c r="B49" s="15"/>
      <c r="C49" s="15"/>
      <c r="D49" s="15"/>
      <c r="E49" s="15"/>
      <c r="F49" s="15"/>
      <c r="G49" s="15"/>
      <c r="H49" s="15">
        <v>2714</v>
      </c>
      <c r="I49" s="15"/>
      <c r="J49" s="15">
        <v>1861</v>
      </c>
      <c r="K49" s="15"/>
      <c r="L49" s="15"/>
      <c r="M49" s="15"/>
      <c r="N49" s="15"/>
      <c r="O49" s="15">
        <v>3691</v>
      </c>
      <c r="P49" s="15"/>
      <c r="Q49" s="15"/>
      <c r="R49" s="15">
        <v>152</v>
      </c>
      <c r="S49" s="15"/>
      <c r="T49" s="15"/>
      <c r="U49" s="15"/>
      <c r="V49" s="15">
        <v>2253</v>
      </c>
      <c r="W49" s="15"/>
      <c r="X49" s="15"/>
      <c r="Y49" s="15">
        <v>115</v>
      </c>
      <c r="Z49" s="15"/>
      <c r="AA49" s="15"/>
      <c r="AB49" s="15"/>
      <c r="AC49" s="15"/>
      <c r="AD49" s="15"/>
      <c r="AE49" s="15"/>
      <c r="AF49" s="15">
        <v>14416</v>
      </c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>
        <v>1371</v>
      </c>
      <c r="AU49" s="15"/>
      <c r="AV49" s="15"/>
    </row>
    <row r="50" spans="1:48" x14ac:dyDescent="0.35">
      <c r="A50" t="s">
        <v>256</v>
      </c>
      <c r="B50" s="15"/>
      <c r="C50" s="15"/>
      <c r="D50" s="15"/>
      <c r="E50" s="15"/>
      <c r="F50" s="15">
        <v>1234</v>
      </c>
      <c r="G50" s="15"/>
      <c r="H50" s="15">
        <v>615</v>
      </c>
      <c r="I50" s="15"/>
      <c r="J50" s="15"/>
      <c r="K50" s="15"/>
      <c r="L50" s="15"/>
      <c r="M50" s="15"/>
      <c r="N50" s="15"/>
      <c r="O50" s="15">
        <v>10</v>
      </c>
      <c r="P50" s="15"/>
      <c r="Q50" s="15"/>
      <c r="R50" s="15">
        <v>2098</v>
      </c>
      <c r="S50" s="15"/>
      <c r="T50" s="15">
        <v>3734</v>
      </c>
      <c r="U50" s="15"/>
      <c r="V50" s="15">
        <v>0</v>
      </c>
      <c r="W50" s="15"/>
      <c r="X50" s="15"/>
      <c r="Y50" s="15">
        <v>2</v>
      </c>
      <c r="Z50" s="15"/>
      <c r="AA50" s="15"/>
      <c r="AB50" s="15"/>
      <c r="AC50" s="15">
        <v>0</v>
      </c>
      <c r="AD50" s="15"/>
      <c r="AE50" s="15"/>
      <c r="AF50" s="15"/>
      <c r="AG50" s="15">
        <v>54</v>
      </c>
      <c r="AH50" s="15"/>
      <c r="AI50" s="15">
        <v>662</v>
      </c>
      <c r="AJ50" s="15"/>
      <c r="AK50" s="15">
        <v>650</v>
      </c>
      <c r="AL50" s="15"/>
      <c r="AM50" s="15">
        <v>623</v>
      </c>
      <c r="AN50" s="15"/>
      <c r="AO50" s="15"/>
      <c r="AP50" s="15"/>
      <c r="AQ50" s="15">
        <v>5544</v>
      </c>
      <c r="AR50" s="15"/>
      <c r="AS50" s="15"/>
      <c r="AT50" s="15"/>
      <c r="AU50" s="15"/>
      <c r="AV50" s="15"/>
    </row>
    <row r="51" spans="1:48" x14ac:dyDescent="0.35">
      <c r="A51" t="s">
        <v>257</v>
      </c>
      <c r="B51" s="15"/>
      <c r="C51" s="15"/>
      <c r="D51" s="15"/>
      <c r="E51" s="15"/>
      <c r="F51" s="15"/>
      <c r="G51" s="15"/>
      <c r="H51" s="15">
        <v>1</v>
      </c>
      <c r="I51" s="15"/>
      <c r="J51" s="15"/>
      <c r="K51" s="15"/>
      <c r="L51" s="15"/>
      <c r="M51" s="15"/>
      <c r="N51" s="15"/>
      <c r="O51" s="15"/>
      <c r="P51" s="15"/>
      <c r="Q51" s="15"/>
      <c r="R51" s="15">
        <v>18</v>
      </c>
      <c r="S51" s="15"/>
      <c r="T51" s="15"/>
      <c r="U51" s="15"/>
      <c r="V51" s="15">
        <v>0</v>
      </c>
      <c r="W51" s="15"/>
      <c r="X51" s="15"/>
      <c r="Y51" s="15"/>
      <c r="Z51" s="15"/>
      <c r="AA51" s="15"/>
      <c r="AB51" s="15"/>
      <c r="AC51" s="15">
        <v>0</v>
      </c>
      <c r="AD51" s="15"/>
      <c r="AE51" s="15"/>
      <c r="AF51" s="15"/>
      <c r="AG51" s="15"/>
      <c r="AH51" s="15"/>
      <c r="AI51" s="15"/>
      <c r="AJ51" s="15"/>
      <c r="AK51" s="15">
        <v>2251</v>
      </c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35">
      <c r="A52" t="s">
        <v>258</v>
      </c>
      <c r="B52" s="15"/>
      <c r="C52" s="15"/>
      <c r="D52" s="15"/>
      <c r="E52" s="15"/>
      <c r="F52" s="15"/>
      <c r="G52" s="15"/>
      <c r="H52" s="15"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>
        <v>2</v>
      </c>
      <c r="S52" s="15"/>
      <c r="T52" s="15"/>
      <c r="U52" s="15"/>
      <c r="V52" s="15">
        <v>0</v>
      </c>
      <c r="W52" s="15"/>
      <c r="X52" s="15"/>
      <c r="Y52" s="15"/>
      <c r="Z52" s="15"/>
      <c r="AA52" s="15"/>
      <c r="AB52" s="15"/>
      <c r="AC52" s="15">
        <v>0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35">
      <c r="A53" t="s">
        <v>259</v>
      </c>
      <c r="B53" s="15">
        <v>203</v>
      </c>
      <c r="C53" s="15"/>
      <c r="D53" s="15"/>
      <c r="E53" s="15"/>
      <c r="F53" s="15">
        <v>10104</v>
      </c>
      <c r="G53" s="15"/>
      <c r="H53" s="15">
        <v>179</v>
      </c>
      <c r="I53" s="15"/>
      <c r="J53" s="15">
        <v>80</v>
      </c>
      <c r="K53" s="15"/>
      <c r="L53" s="15"/>
      <c r="M53" s="15"/>
      <c r="N53" s="15"/>
      <c r="O53" s="15">
        <v>435</v>
      </c>
      <c r="P53" s="15"/>
      <c r="Q53" s="15"/>
      <c r="R53" s="15">
        <v>54</v>
      </c>
      <c r="S53" s="15"/>
      <c r="T53" s="15"/>
      <c r="U53" s="15"/>
      <c r="V53" s="15">
        <v>81</v>
      </c>
      <c r="W53" s="15"/>
      <c r="X53" s="15"/>
      <c r="Y53" s="15">
        <v>73</v>
      </c>
      <c r="Z53" s="15"/>
      <c r="AA53" s="15">
        <v>486</v>
      </c>
      <c r="AB53" s="15"/>
      <c r="AC53" s="15">
        <v>600</v>
      </c>
      <c r="AD53" s="15"/>
      <c r="AE53" s="15"/>
      <c r="AF53" s="15">
        <v>2358</v>
      </c>
      <c r="AG53" s="15">
        <v>338</v>
      </c>
      <c r="AH53" s="15"/>
      <c r="AI53" s="15">
        <v>48</v>
      </c>
      <c r="AJ53" s="15"/>
      <c r="AK53" s="15">
        <v>332</v>
      </c>
      <c r="AL53" s="15"/>
      <c r="AM53" s="15">
        <v>291</v>
      </c>
      <c r="AN53" s="15"/>
      <c r="AO53" s="15"/>
      <c r="AP53" s="15"/>
      <c r="AQ53" s="15">
        <v>1544</v>
      </c>
      <c r="AR53" s="15"/>
      <c r="AS53" s="15"/>
      <c r="AT53" s="15">
        <v>49</v>
      </c>
      <c r="AU53" s="15">
        <v>71</v>
      </c>
      <c r="AV53" s="15"/>
    </row>
    <row r="54" spans="1:48" x14ac:dyDescent="0.35">
      <c r="A54" t="s">
        <v>260</v>
      </c>
      <c r="B54" s="15">
        <v>22</v>
      </c>
      <c r="C54" s="15"/>
      <c r="D54" s="15"/>
      <c r="E54" s="15"/>
      <c r="F54" s="15">
        <v>240</v>
      </c>
      <c r="G54" s="15"/>
      <c r="H54" s="15">
        <v>17</v>
      </c>
      <c r="I54" s="15"/>
      <c r="J54" s="15">
        <v>10</v>
      </c>
      <c r="K54" s="15"/>
      <c r="L54" s="15"/>
      <c r="M54" s="15"/>
      <c r="N54" s="15"/>
      <c r="O54" s="15">
        <v>66</v>
      </c>
      <c r="P54" s="15"/>
      <c r="Q54" s="15"/>
      <c r="R54" s="15">
        <v>5</v>
      </c>
      <c r="S54" s="15"/>
      <c r="T54" s="15"/>
      <c r="U54" s="15"/>
      <c r="V54" s="15">
        <v>7</v>
      </c>
      <c r="W54" s="15"/>
      <c r="X54" s="15"/>
      <c r="Y54" s="15">
        <v>4</v>
      </c>
      <c r="Z54" s="15"/>
      <c r="AA54" s="15"/>
      <c r="AB54" s="15"/>
      <c r="AC54" s="15">
        <v>152</v>
      </c>
      <c r="AD54" s="15"/>
      <c r="AE54" s="15"/>
      <c r="AF54" s="15">
        <v>108</v>
      </c>
      <c r="AG54" s="15">
        <v>134</v>
      </c>
      <c r="AH54" s="15"/>
      <c r="AI54" s="15">
        <v>1</v>
      </c>
      <c r="AJ54" s="15"/>
      <c r="AK54" s="15">
        <v>6</v>
      </c>
      <c r="AL54" s="15"/>
      <c r="AM54" s="15"/>
      <c r="AN54" s="15"/>
      <c r="AO54" s="15"/>
      <c r="AP54" s="15"/>
      <c r="AQ54" s="15">
        <v>1036</v>
      </c>
      <c r="AR54" s="15"/>
      <c r="AS54" s="15"/>
      <c r="AT54" s="15">
        <v>230</v>
      </c>
      <c r="AU54" s="15"/>
      <c r="AV54" s="15"/>
    </row>
    <row r="55" spans="1:48" x14ac:dyDescent="0.35">
      <c r="A55" t="s">
        <v>261</v>
      </c>
      <c r="B55" s="15"/>
      <c r="C55" s="15"/>
      <c r="D55" s="15"/>
      <c r="E55" s="15"/>
      <c r="F55" s="15">
        <v>9</v>
      </c>
      <c r="G55" s="15"/>
      <c r="H55" s="15">
        <v>15</v>
      </c>
      <c r="I55" s="15"/>
      <c r="J55" s="15">
        <v>5</v>
      </c>
      <c r="K55" s="15"/>
      <c r="L55" s="15"/>
      <c r="M55" s="15"/>
      <c r="N55" s="15"/>
      <c r="O55" s="15"/>
      <c r="P55" s="15"/>
      <c r="Q55" s="15"/>
      <c r="R55" s="15">
        <v>64</v>
      </c>
      <c r="S55" s="15"/>
      <c r="T55" s="15"/>
      <c r="U55" s="15"/>
      <c r="V55" s="15">
        <v>25</v>
      </c>
      <c r="W55" s="15"/>
      <c r="X55" s="15"/>
      <c r="Y55" s="15"/>
      <c r="Z55" s="15"/>
      <c r="AA55" s="15"/>
      <c r="AB55" s="15"/>
      <c r="AC55" s="15">
        <v>0</v>
      </c>
      <c r="AD55" s="15"/>
      <c r="AE55" s="15"/>
      <c r="AF55" s="15">
        <v>336</v>
      </c>
      <c r="AG55" s="15"/>
      <c r="AH55" s="15"/>
      <c r="AI55" s="15">
        <v>97</v>
      </c>
      <c r="AJ55" s="15"/>
      <c r="AK55" s="15"/>
      <c r="AL55" s="15"/>
      <c r="AM55" s="15">
        <v>17</v>
      </c>
      <c r="AN55" s="15"/>
      <c r="AO55" s="15"/>
      <c r="AP55" s="15"/>
      <c r="AQ55" s="15"/>
      <c r="AR55" s="15"/>
      <c r="AS55" s="15"/>
      <c r="AT55" s="15"/>
      <c r="AU55" s="15"/>
      <c r="AV55" s="15"/>
    </row>
    <row r="56" spans="1:48" x14ac:dyDescent="0.35">
      <c r="A56" t="s">
        <v>262</v>
      </c>
      <c r="B56" s="15">
        <v>11</v>
      </c>
      <c r="C56" s="15"/>
      <c r="D56" s="15"/>
      <c r="E56" s="15"/>
      <c r="F56" s="15">
        <v>83</v>
      </c>
      <c r="G56" s="15"/>
      <c r="H56" s="15">
        <v>3</v>
      </c>
      <c r="I56" s="15"/>
      <c r="J56" s="15"/>
      <c r="K56" s="15"/>
      <c r="L56" s="15"/>
      <c r="M56" s="15"/>
      <c r="N56" s="15"/>
      <c r="O56" s="15"/>
      <c r="P56" s="15"/>
      <c r="Q56" s="15"/>
      <c r="R56" s="15">
        <v>9</v>
      </c>
      <c r="S56" s="15"/>
      <c r="T56" s="15"/>
      <c r="U56" s="15"/>
      <c r="V56" s="15">
        <v>1</v>
      </c>
      <c r="W56" s="15"/>
      <c r="X56" s="15"/>
      <c r="Y56" s="15">
        <v>0</v>
      </c>
      <c r="Z56" s="15"/>
      <c r="AA56" s="15"/>
      <c r="AB56" s="15"/>
      <c r="AC56" s="15">
        <v>4</v>
      </c>
      <c r="AD56" s="15"/>
      <c r="AE56" s="15">
        <v>61</v>
      </c>
      <c r="AF56" s="15">
        <v>17</v>
      </c>
      <c r="AG56" s="15"/>
      <c r="AH56" s="15"/>
      <c r="AI56" s="15">
        <v>38</v>
      </c>
      <c r="AJ56" s="15"/>
      <c r="AK56" s="15"/>
      <c r="AL56" s="15"/>
      <c r="AM56" s="15">
        <v>3</v>
      </c>
      <c r="AN56" s="15"/>
      <c r="AO56" s="15"/>
      <c r="AP56" s="15"/>
      <c r="AQ56" s="15"/>
      <c r="AR56" s="15"/>
      <c r="AS56" s="15">
        <v>34</v>
      </c>
      <c r="AT56" s="15">
        <v>6</v>
      </c>
      <c r="AU56" s="15"/>
      <c r="AV56" s="15"/>
    </row>
    <row r="57" spans="1:48" x14ac:dyDescent="0.35">
      <c r="A57" t="s">
        <v>263</v>
      </c>
      <c r="B57" s="15">
        <v>8</v>
      </c>
      <c r="C57" s="15"/>
      <c r="D57" s="15"/>
      <c r="E57" s="15"/>
      <c r="F57" s="15"/>
      <c r="G57" s="15"/>
      <c r="H57" s="15">
        <v>86</v>
      </c>
      <c r="I57" s="15"/>
      <c r="J57" s="15">
        <v>12</v>
      </c>
      <c r="K57" s="15"/>
      <c r="L57" s="15"/>
      <c r="M57" s="15"/>
      <c r="N57" s="15"/>
      <c r="O57" s="15">
        <v>13</v>
      </c>
      <c r="P57" s="15"/>
      <c r="Q57" s="15"/>
      <c r="R57" s="15">
        <v>6</v>
      </c>
      <c r="S57" s="15"/>
      <c r="T57" s="15"/>
      <c r="U57" s="15"/>
      <c r="V57" s="15">
        <v>0</v>
      </c>
      <c r="W57" s="15"/>
      <c r="X57" s="15"/>
      <c r="Y57" s="15">
        <v>11</v>
      </c>
      <c r="Z57" s="15"/>
      <c r="AA57" s="15"/>
      <c r="AB57" s="15"/>
      <c r="AC57" s="15">
        <v>0</v>
      </c>
      <c r="AD57" s="15"/>
      <c r="AE57" s="15"/>
      <c r="AF57" s="15">
        <v>530</v>
      </c>
      <c r="AG57" s="15"/>
      <c r="AH57" s="15"/>
      <c r="AI57" s="15">
        <v>2</v>
      </c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>
        <v>65</v>
      </c>
      <c r="AU57" s="15"/>
      <c r="AV57" s="15"/>
    </row>
    <row r="58" spans="1:48" x14ac:dyDescent="0.35">
      <c r="A58" t="s">
        <v>264</v>
      </c>
      <c r="B58" s="15"/>
      <c r="C58" s="15"/>
      <c r="D58" s="15"/>
      <c r="E58" s="15"/>
      <c r="F58" s="15"/>
      <c r="G58" s="15"/>
      <c r="H58" s="15">
        <v>9</v>
      </c>
      <c r="I58" s="15"/>
      <c r="J58" s="15">
        <v>16</v>
      </c>
      <c r="K58" s="15"/>
      <c r="L58" s="15"/>
      <c r="M58" s="15"/>
      <c r="N58" s="15"/>
      <c r="O58" s="15"/>
      <c r="P58" s="15"/>
      <c r="Q58" s="15"/>
      <c r="R58" s="15">
        <v>16</v>
      </c>
      <c r="S58" s="15"/>
      <c r="T58" s="15"/>
      <c r="U58" s="15"/>
      <c r="V58" s="15">
        <v>0</v>
      </c>
      <c r="W58" s="15"/>
      <c r="X58" s="15"/>
      <c r="Y58" s="15">
        <v>61</v>
      </c>
      <c r="Z58" s="15"/>
      <c r="AA58" s="15"/>
      <c r="AB58" s="15"/>
      <c r="AC58" s="15">
        <v>0</v>
      </c>
      <c r="AD58" s="15"/>
      <c r="AE58" s="15"/>
      <c r="AF58" s="15">
        <v>400</v>
      </c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>
        <v>45</v>
      </c>
      <c r="AU58" s="15"/>
      <c r="AV58" s="15"/>
    </row>
    <row r="59" spans="1:48" x14ac:dyDescent="0.35">
      <c r="A59" t="s">
        <v>265</v>
      </c>
      <c r="B59" s="15"/>
      <c r="C59" s="15"/>
      <c r="D59" s="15"/>
      <c r="E59" s="15"/>
      <c r="F59" s="15"/>
      <c r="G59" s="15"/>
      <c r="H59" s="15">
        <v>106</v>
      </c>
      <c r="I59" s="15"/>
      <c r="J59" s="15">
        <v>22</v>
      </c>
      <c r="K59" s="15"/>
      <c r="L59" s="15"/>
      <c r="M59" s="15"/>
      <c r="N59" s="15"/>
      <c r="O59" s="15"/>
      <c r="P59" s="15"/>
      <c r="Q59" s="15"/>
      <c r="R59" s="15">
        <v>48</v>
      </c>
      <c r="S59" s="15"/>
      <c r="T59" s="15"/>
      <c r="U59" s="15"/>
      <c r="V59" s="15">
        <v>0</v>
      </c>
      <c r="W59" s="15"/>
      <c r="X59" s="15"/>
      <c r="Y59" s="15"/>
      <c r="Z59" s="15"/>
      <c r="AA59" s="15"/>
      <c r="AB59" s="15"/>
      <c r="AC59" s="15">
        <v>0</v>
      </c>
      <c r="AD59" s="15"/>
      <c r="AE59" s="15"/>
      <c r="AF59" s="15">
        <v>154</v>
      </c>
      <c r="AG59" s="15"/>
      <c r="AH59" s="15"/>
      <c r="AI59" s="15">
        <v>491</v>
      </c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>
        <v>21</v>
      </c>
      <c r="AU59" s="15"/>
      <c r="AV59" s="15"/>
    </row>
    <row r="60" spans="1:48" x14ac:dyDescent="0.35">
      <c r="A60" t="s">
        <v>266</v>
      </c>
      <c r="B60" s="15">
        <v>973</v>
      </c>
      <c r="C60" s="15"/>
      <c r="D60" s="15"/>
      <c r="E60" s="15"/>
      <c r="F60" s="15">
        <v>2813</v>
      </c>
      <c r="G60" s="15"/>
      <c r="H60" s="15">
        <v>835</v>
      </c>
      <c r="I60" s="15">
        <v>402</v>
      </c>
      <c r="J60" s="15">
        <v>29</v>
      </c>
      <c r="K60" s="15"/>
      <c r="L60" s="15"/>
      <c r="M60" s="15"/>
      <c r="N60" s="15"/>
      <c r="O60" s="15">
        <v>122</v>
      </c>
      <c r="P60" s="15"/>
      <c r="Q60" s="15"/>
      <c r="R60" s="15">
        <v>919</v>
      </c>
      <c r="S60" s="15">
        <v>219</v>
      </c>
      <c r="T60" s="15"/>
      <c r="U60" s="15"/>
      <c r="V60" s="15">
        <v>74</v>
      </c>
      <c r="W60" s="15"/>
      <c r="X60" s="15"/>
      <c r="Y60" s="15">
        <v>10</v>
      </c>
      <c r="Z60" s="15"/>
      <c r="AA60" s="15">
        <v>52</v>
      </c>
      <c r="AB60" s="15"/>
      <c r="AC60" s="15">
        <v>319</v>
      </c>
      <c r="AD60" s="15"/>
      <c r="AE60" s="15"/>
      <c r="AF60" s="15">
        <v>918</v>
      </c>
      <c r="AG60" s="15"/>
      <c r="AH60" s="15"/>
      <c r="AI60" s="15">
        <v>1076</v>
      </c>
      <c r="AJ60" s="15"/>
      <c r="AK60" s="15">
        <v>61</v>
      </c>
      <c r="AL60" s="15"/>
      <c r="AM60" s="15">
        <v>73</v>
      </c>
      <c r="AN60" s="15"/>
      <c r="AO60" s="15"/>
      <c r="AP60" s="15"/>
      <c r="AQ60" s="15"/>
      <c r="AR60" s="15"/>
      <c r="AS60" s="15"/>
      <c r="AT60" s="15">
        <v>331</v>
      </c>
      <c r="AU60" s="15">
        <v>113</v>
      </c>
      <c r="AV60" s="15"/>
    </row>
    <row r="61" spans="1:48" x14ac:dyDescent="0.35">
      <c r="A61" t="s">
        <v>267</v>
      </c>
      <c r="B61" s="15"/>
      <c r="C61" s="15"/>
      <c r="D61" s="15"/>
      <c r="E61" s="15"/>
      <c r="F61" s="15">
        <v>656</v>
      </c>
      <c r="G61" s="15"/>
      <c r="H61" s="15">
        <v>153</v>
      </c>
      <c r="I61" s="15"/>
      <c r="J61" s="15"/>
      <c r="K61" s="15"/>
      <c r="L61" s="15"/>
      <c r="M61" s="15"/>
      <c r="N61" s="15"/>
      <c r="O61" s="15"/>
      <c r="P61" s="15"/>
      <c r="Q61" s="15"/>
      <c r="R61" s="15">
        <v>84</v>
      </c>
      <c r="S61" s="15">
        <v>1</v>
      </c>
      <c r="T61" s="15"/>
      <c r="U61" s="15"/>
      <c r="V61" s="15">
        <v>16</v>
      </c>
      <c r="W61" s="15"/>
      <c r="X61" s="15"/>
      <c r="Y61" s="15">
        <v>1</v>
      </c>
      <c r="Z61" s="15"/>
      <c r="AA61" s="15">
        <v>16</v>
      </c>
      <c r="AB61" s="15"/>
      <c r="AC61" s="15">
        <v>68</v>
      </c>
      <c r="AD61" s="15"/>
      <c r="AE61" s="15">
        <v>140</v>
      </c>
      <c r="AF61" s="15">
        <v>116</v>
      </c>
      <c r="AG61" s="15">
        <v>47</v>
      </c>
      <c r="AH61" s="15"/>
      <c r="AI61" s="15">
        <v>149</v>
      </c>
      <c r="AJ61" s="15"/>
      <c r="AK61" s="15"/>
      <c r="AL61" s="15"/>
      <c r="AM61" s="15">
        <v>18</v>
      </c>
      <c r="AN61" s="15"/>
      <c r="AO61" s="15"/>
      <c r="AP61" s="15"/>
      <c r="AQ61" s="15"/>
      <c r="AR61" s="15"/>
      <c r="AS61" s="15">
        <v>46</v>
      </c>
      <c r="AT61" s="15">
        <v>76</v>
      </c>
      <c r="AU61" s="15"/>
      <c r="AV61" s="15"/>
    </row>
    <row r="62" spans="1:48" x14ac:dyDescent="0.35">
      <c r="A62" t="s">
        <v>268</v>
      </c>
      <c r="B62" s="15"/>
      <c r="C62" s="15"/>
      <c r="D62" s="15"/>
      <c r="E62" s="15"/>
      <c r="F62" s="15"/>
      <c r="G62" s="15"/>
      <c r="H62" s="15">
        <v>79</v>
      </c>
      <c r="I62" s="15"/>
      <c r="J62" s="15"/>
      <c r="K62" s="15"/>
      <c r="L62" s="15"/>
      <c r="M62" s="15"/>
      <c r="N62" s="15"/>
      <c r="O62" s="15"/>
      <c r="P62" s="15"/>
      <c r="Q62" s="15"/>
      <c r="R62" s="15">
        <v>4</v>
      </c>
      <c r="S62" s="15"/>
      <c r="T62" s="15"/>
      <c r="U62" s="15"/>
      <c r="V62" s="15">
        <v>0</v>
      </c>
      <c r="W62" s="15"/>
      <c r="X62" s="15"/>
      <c r="Y62" s="15"/>
      <c r="Z62" s="15"/>
      <c r="AA62" s="15"/>
      <c r="AB62" s="15"/>
      <c r="AC62" s="15">
        <v>0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spans="1:48" x14ac:dyDescent="0.35">
      <c r="A63" t="s">
        <v>269</v>
      </c>
      <c r="B63" s="15"/>
      <c r="C63" s="15"/>
      <c r="D63" s="15"/>
      <c r="E63" s="15"/>
      <c r="F63" s="15"/>
      <c r="G63" s="15"/>
      <c r="H63" s="15">
        <v>33</v>
      </c>
      <c r="I63" s="15"/>
      <c r="J63" s="15"/>
      <c r="K63" s="15"/>
      <c r="L63" s="15"/>
      <c r="M63" s="15"/>
      <c r="N63" s="15"/>
      <c r="O63" s="15"/>
      <c r="P63" s="15"/>
      <c r="Q63" s="15"/>
      <c r="R63" s="15">
        <v>3</v>
      </c>
      <c r="S63" s="15"/>
      <c r="T63" s="15"/>
      <c r="U63" s="15"/>
      <c r="V63" s="15">
        <v>0</v>
      </c>
      <c r="W63" s="15"/>
      <c r="X63" s="15"/>
      <c r="Y63" s="15"/>
      <c r="Z63" s="15"/>
      <c r="AA63" s="15"/>
      <c r="AB63" s="15"/>
      <c r="AC63" s="15">
        <v>0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1:48" x14ac:dyDescent="0.35">
      <c r="A64" s="10" t="s">
        <v>317</v>
      </c>
      <c r="B64" s="3">
        <f>SUM(B4:B63)</f>
        <v>49446</v>
      </c>
      <c r="C64" s="3">
        <f t="shared" ref="C64:AV64" si="0">SUM(C4:C63)</f>
        <v>0</v>
      </c>
      <c r="D64" s="3">
        <f t="shared" si="0"/>
        <v>0</v>
      </c>
      <c r="E64" s="3">
        <f t="shared" si="0"/>
        <v>0</v>
      </c>
      <c r="F64" s="3">
        <f t="shared" si="0"/>
        <v>403087</v>
      </c>
      <c r="G64" s="3">
        <f t="shared" si="0"/>
        <v>0</v>
      </c>
      <c r="H64" s="3">
        <f t="shared" si="0"/>
        <v>23370</v>
      </c>
      <c r="I64" s="3">
        <f t="shared" si="0"/>
        <v>12695</v>
      </c>
      <c r="J64" s="3">
        <f t="shared" si="0"/>
        <v>17612</v>
      </c>
      <c r="K64" s="3">
        <f t="shared" si="0"/>
        <v>0</v>
      </c>
      <c r="L64" s="3">
        <f t="shared" si="0"/>
        <v>0</v>
      </c>
      <c r="M64" s="3">
        <f t="shared" si="0"/>
        <v>2652</v>
      </c>
      <c r="N64" s="3">
        <f t="shared" si="0"/>
        <v>0</v>
      </c>
      <c r="O64" s="3">
        <f t="shared" si="0"/>
        <v>27107</v>
      </c>
      <c r="P64" s="3">
        <f t="shared" si="0"/>
        <v>28975</v>
      </c>
      <c r="Q64" s="3">
        <f t="shared" si="0"/>
        <v>0</v>
      </c>
      <c r="R64" s="3">
        <f t="shared" si="0"/>
        <v>45513</v>
      </c>
      <c r="S64" s="3">
        <f t="shared" si="0"/>
        <v>9339</v>
      </c>
      <c r="T64" s="3">
        <f t="shared" si="0"/>
        <v>53512</v>
      </c>
      <c r="U64" s="3">
        <f t="shared" si="0"/>
        <v>0</v>
      </c>
      <c r="V64" s="3">
        <f t="shared" si="0"/>
        <v>7407</v>
      </c>
      <c r="W64" s="3">
        <f t="shared" si="0"/>
        <v>236936</v>
      </c>
      <c r="X64" s="3">
        <f t="shared" si="0"/>
        <v>0</v>
      </c>
      <c r="Y64" s="3">
        <f t="shared" si="0"/>
        <v>8553</v>
      </c>
      <c r="Z64" s="3">
        <f t="shared" si="0"/>
        <v>91653</v>
      </c>
      <c r="AA64" s="3">
        <f t="shared" si="0"/>
        <v>21431</v>
      </c>
      <c r="AB64" s="3">
        <f t="shared" si="0"/>
        <v>41616</v>
      </c>
      <c r="AC64" s="3">
        <f t="shared" si="0"/>
        <v>46087</v>
      </c>
      <c r="AD64" s="3">
        <f t="shared" si="0"/>
        <v>3303</v>
      </c>
      <c r="AE64" s="3">
        <f t="shared" si="0"/>
        <v>7264</v>
      </c>
      <c r="AF64" s="3">
        <f t="shared" si="0"/>
        <v>87230</v>
      </c>
      <c r="AG64" s="3">
        <f t="shared" si="0"/>
        <v>16878</v>
      </c>
      <c r="AH64" s="3">
        <f t="shared" si="0"/>
        <v>58567</v>
      </c>
      <c r="AI64" s="3">
        <f t="shared" si="0"/>
        <v>25086</v>
      </c>
      <c r="AJ64" s="3">
        <f t="shared" si="0"/>
        <v>0</v>
      </c>
      <c r="AK64" s="3">
        <f t="shared" si="0"/>
        <v>23436</v>
      </c>
      <c r="AL64" s="3">
        <f t="shared" si="0"/>
        <v>122056</v>
      </c>
      <c r="AM64" s="3">
        <f t="shared" si="0"/>
        <v>22052</v>
      </c>
      <c r="AN64" s="3">
        <f t="shared" si="0"/>
        <v>0</v>
      </c>
      <c r="AO64" s="3">
        <f t="shared" si="0"/>
        <v>23099</v>
      </c>
      <c r="AP64" s="3">
        <f t="shared" si="0"/>
        <v>165780</v>
      </c>
      <c r="AQ64" s="3">
        <f t="shared" si="0"/>
        <v>130571</v>
      </c>
      <c r="AR64" s="3">
        <f t="shared" si="0"/>
        <v>71332</v>
      </c>
      <c r="AS64" s="3">
        <f t="shared" si="0"/>
        <v>6662</v>
      </c>
      <c r="AT64" s="3">
        <f t="shared" si="0"/>
        <v>30375</v>
      </c>
      <c r="AU64" s="3">
        <f t="shared" si="0"/>
        <v>3425</v>
      </c>
      <c r="AV64" s="3">
        <f t="shared" si="0"/>
        <v>0</v>
      </c>
    </row>
    <row r="66" spans="1:48" x14ac:dyDescent="0.35">
      <c r="A66" t="s">
        <v>8</v>
      </c>
      <c r="B66">
        <v>761670.7</v>
      </c>
      <c r="C66">
        <v>215791.4</v>
      </c>
      <c r="D66">
        <v>6343.5</v>
      </c>
      <c r="E66">
        <v>3804138.2</v>
      </c>
      <c r="F66">
        <v>3808847.5</v>
      </c>
      <c r="G66">
        <v>7523678.7000000002</v>
      </c>
      <c r="H66">
        <v>64112.7</v>
      </c>
      <c r="I66">
        <v>147926</v>
      </c>
      <c r="J66">
        <v>29530.3</v>
      </c>
      <c r="K66">
        <v>58877.4</v>
      </c>
      <c r="L66">
        <v>1010048.1</v>
      </c>
      <c r="M66">
        <v>1280498.2</v>
      </c>
      <c r="N66">
        <v>457449.9</v>
      </c>
      <c r="O66">
        <v>62582.3</v>
      </c>
      <c r="P66">
        <v>430785.2</v>
      </c>
      <c r="Q66">
        <v>10491.7</v>
      </c>
      <c r="R66">
        <v>925124.6</v>
      </c>
      <c r="S66">
        <v>699467.2</v>
      </c>
      <c r="T66">
        <v>896181.6</v>
      </c>
      <c r="U66">
        <v>48954.6</v>
      </c>
      <c r="V66">
        <v>86528</v>
      </c>
      <c r="W66">
        <v>906937.8</v>
      </c>
      <c r="X66">
        <v>448514.4</v>
      </c>
      <c r="Y66">
        <v>62815</v>
      </c>
      <c r="Z66">
        <v>1455623.7</v>
      </c>
      <c r="AA66">
        <v>158615.9</v>
      </c>
      <c r="AB66">
        <v>878903.6</v>
      </c>
      <c r="AC66">
        <v>641720.1</v>
      </c>
      <c r="AD66">
        <v>862128.3</v>
      </c>
      <c r="AE66">
        <v>14492.6</v>
      </c>
      <c r="AF66">
        <v>1124965.3999999999</v>
      </c>
      <c r="AG66">
        <v>70199.3</v>
      </c>
      <c r="AH66">
        <v>399189.9</v>
      </c>
      <c r="AI66">
        <v>543180.80000000005</v>
      </c>
      <c r="AJ66">
        <v>1773.9</v>
      </c>
      <c r="AK66">
        <v>256574.4</v>
      </c>
      <c r="AL66">
        <v>1247502</v>
      </c>
      <c r="AM66">
        <v>301708.79999999999</v>
      </c>
      <c r="AN66">
        <v>177536.2</v>
      </c>
      <c r="AO66">
        <v>1076476.3999999999</v>
      </c>
      <c r="AP66">
        <v>1634390</v>
      </c>
      <c r="AQ66">
        <v>652088.9</v>
      </c>
      <c r="AR66">
        <v>485539.3</v>
      </c>
      <c r="AS66">
        <v>102444.9</v>
      </c>
      <c r="AT66">
        <v>269323.40000000002</v>
      </c>
      <c r="AU66">
        <v>23981</v>
      </c>
      <c r="AV66">
        <v>2235369.7000000002</v>
      </c>
    </row>
  </sheetData>
  <hyperlinks>
    <hyperlink ref="B1" location="Home!A1" display="HOME" xr:uid="{C8A7DC59-D550-404C-9785-85D1DDAFF965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327</v>
      </c>
      <c r="B1" s="29" t="s">
        <v>376</v>
      </c>
    </row>
    <row r="2" spans="1:48" x14ac:dyDescent="0.35">
      <c r="A2" s="11"/>
      <c r="B2" s="4" t="s">
        <v>70</v>
      </c>
      <c r="C2" s="4" t="s">
        <v>270</v>
      </c>
      <c r="D2" s="4" t="s">
        <v>272</v>
      </c>
      <c r="E2" s="4" t="s">
        <v>271</v>
      </c>
      <c r="F2" s="4" t="s">
        <v>273</v>
      </c>
      <c r="G2" s="4" t="s">
        <v>274</v>
      </c>
      <c r="H2" s="4" t="s">
        <v>275</v>
      </c>
      <c r="I2" s="4" t="s">
        <v>276</v>
      </c>
      <c r="J2" s="4" t="s">
        <v>277</v>
      </c>
      <c r="K2" s="4" t="s">
        <v>278</v>
      </c>
      <c r="L2" s="4" t="s">
        <v>279</v>
      </c>
      <c r="M2" s="4" t="s">
        <v>280</v>
      </c>
      <c r="N2" s="4" t="s">
        <v>281</v>
      </c>
      <c r="O2" s="4" t="s">
        <v>282</v>
      </c>
      <c r="P2" s="4" t="s">
        <v>283</v>
      </c>
      <c r="Q2" s="4" t="s">
        <v>284</v>
      </c>
      <c r="R2" s="4" t="s">
        <v>285</v>
      </c>
      <c r="S2" s="4" t="s">
        <v>286</v>
      </c>
      <c r="T2" s="4" t="s">
        <v>287</v>
      </c>
      <c r="U2" s="4" t="s">
        <v>288</v>
      </c>
      <c r="V2" s="4" t="s">
        <v>289</v>
      </c>
      <c r="W2" s="4" t="s">
        <v>290</v>
      </c>
      <c r="X2" s="4" t="s">
        <v>291</v>
      </c>
      <c r="Y2" s="4" t="s">
        <v>292</v>
      </c>
      <c r="Z2" s="4" t="s">
        <v>293</v>
      </c>
      <c r="AA2" s="4" t="s">
        <v>294</v>
      </c>
      <c r="AB2" s="4" t="s">
        <v>295</v>
      </c>
      <c r="AC2" s="4" t="s">
        <v>296</v>
      </c>
      <c r="AD2" s="4" t="s">
        <v>297</v>
      </c>
      <c r="AE2" s="4" t="s">
        <v>298</v>
      </c>
      <c r="AF2" s="4" t="s">
        <v>299</v>
      </c>
      <c r="AG2" s="4" t="s">
        <v>300</v>
      </c>
      <c r="AH2" s="4" t="s">
        <v>301</v>
      </c>
      <c r="AI2" s="4" t="s">
        <v>302</v>
      </c>
      <c r="AJ2" s="4" t="s">
        <v>303</v>
      </c>
      <c r="AK2" s="4" t="s">
        <v>304</v>
      </c>
      <c r="AL2" s="4" t="s">
        <v>305</v>
      </c>
      <c r="AM2" s="4" t="s">
        <v>306</v>
      </c>
      <c r="AN2" s="4" t="s">
        <v>307</v>
      </c>
      <c r="AO2" s="4" t="s">
        <v>308</v>
      </c>
      <c r="AP2" s="4" t="s">
        <v>309</v>
      </c>
      <c r="AQ2" s="4" t="s">
        <v>310</v>
      </c>
      <c r="AR2" s="4" t="s">
        <v>311</v>
      </c>
      <c r="AS2" s="4" t="s">
        <v>312</v>
      </c>
      <c r="AT2" s="4" t="s">
        <v>313</v>
      </c>
      <c r="AU2" s="4" t="s">
        <v>314</v>
      </c>
      <c r="AV2" s="4" t="s">
        <v>315</v>
      </c>
    </row>
    <row r="3" spans="1:48" x14ac:dyDescent="0.35">
      <c r="A3" s="12" t="s">
        <v>319</v>
      </c>
      <c r="B3" s="4" t="s">
        <v>71</v>
      </c>
      <c r="C3" s="4" t="s">
        <v>74</v>
      </c>
      <c r="D3" s="4" t="s">
        <v>77</v>
      </c>
      <c r="E3" s="4" t="s">
        <v>80</v>
      </c>
      <c r="F3" s="4" t="s">
        <v>83</v>
      </c>
      <c r="G3" s="4" t="s">
        <v>86</v>
      </c>
      <c r="H3" s="4" t="s">
        <v>89</v>
      </c>
      <c r="I3" s="4" t="s">
        <v>92</v>
      </c>
      <c r="J3" s="4" t="s">
        <v>95</v>
      </c>
      <c r="K3" s="4" t="s">
        <v>98</v>
      </c>
      <c r="L3" s="4" t="s">
        <v>101</v>
      </c>
      <c r="M3" s="4" t="s">
        <v>104</v>
      </c>
      <c r="N3" s="4" t="s">
        <v>107</v>
      </c>
      <c r="O3" s="4" t="s">
        <v>110</v>
      </c>
      <c r="P3" s="4" t="s">
        <v>113</v>
      </c>
      <c r="Q3" s="4" t="s">
        <v>116</v>
      </c>
      <c r="R3" s="4" t="s">
        <v>119</v>
      </c>
      <c r="S3" s="4" t="s">
        <v>122</v>
      </c>
      <c r="T3" s="4" t="s">
        <v>125</v>
      </c>
      <c r="U3" s="4" t="s">
        <v>128</v>
      </c>
      <c r="V3" s="4" t="s">
        <v>131</v>
      </c>
      <c r="W3" s="4" t="s">
        <v>134</v>
      </c>
      <c r="X3" s="4" t="s">
        <v>137</v>
      </c>
      <c r="Y3" s="4" t="s">
        <v>140</v>
      </c>
      <c r="Z3" s="4" t="s">
        <v>143</v>
      </c>
      <c r="AA3" s="4" t="s">
        <v>146</v>
      </c>
      <c r="AB3" s="4" t="s">
        <v>149</v>
      </c>
      <c r="AC3" s="4" t="s">
        <v>152</v>
      </c>
      <c r="AD3" s="4" t="s">
        <v>155</v>
      </c>
      <c r="AE3" s="4" t="s">
        <v>158</v>
      </c>
      <c r="AF3" s="4" t="s">
        <v>161</v>
      </c>
      <c r="AG3" s="4" t="s">
        <v>164</v>
      </c>
      <c r="AH3" s="4" t="s">
        <v>167</v>
      </c>
      <c r="AI3" s="4" t="s">
        <v>170</v>
      </c>
      <c r="AJ3" s="4" t="s">
        <v>173</v>
      </c>
      <c r="AK3" s="4" t="s">
        <v>176</v>
      </c>
      <c r="AL3" s="4" t="s">
        <v>179</v>
      </c>
      <c r="AM3" s="4" t="s">
        <v>182</v>
      </c>
      <c r="AN3" s="4" t="s">
        <v>185</v>
      </c>
      <c r="AO3" s="4" t="s">
        <v>188</v>
      </c>
      <c r="AP3" s="4" t="s">
        <v>191</v>
      </c>
      <c r="AQ3" s="4" t="s">
        <v>194</v>
      </c>
      <c r="AR3" s="4" t="s">
        <v>197</v>
      </c>
      <c r="AS3" s="4" t="s">
        <v>200</v>
      </c>
      <c r="AT3" s="4" t="s">
        <v>203</v>
      </c>
      <c r="AU3" s="4" t="s">
        <v>206</v>
      </c>
      <c r="AV3" s="4" t="s">
        <v>209</v>
      </c>
    </row>
    <row r="4" spans="1:48" x14ac:dyDescent="0.35">
      <c r="A4" s="4" t="s">
        <v>212</v>
      </c>
      <c r="B4" s="5">
        <v>1910</v>
      </c>
      <c r="C4" s="5"/>
      <c r="D4" s="5">
        <v>105</v>
      </c>
      <c r="E4" s="5">
        <v>15016</v>
      </c>
      <c r="F4" s="5">
        <v>5867</v>
      </c>
      <c r="G4" s="5">
        <v>74543</v>
      </c>
      <c r="H4" s="5">
        <v>1368</v>
      </c>
      <c r="I4" s="5">
        <v>897</v>
      </c>
      <c r="J4" s="5"/>
      <c r="K4" s="5"/>
      <c r="L4" s="5">
        <v>42140</v>
      </c>
      <c r="M4" s="5"/>
      <c r="N4" s="5">
        <v>763</v>
      </c>
      <c r="O4" s="5">
        <v>920</v>
      </c>
      <c r="P4" s="5"/>
      <c r="Q4" s="5"/>
      <c r="R4" s="5"/>
      <c r="S4" s="5">
        <v>859</v>
      </c>
      <c r="T4" s="5">
        <v>4173</v>
      </c>
      <c r="U4" s="5"/>
      <c r="V4" s="5">
        <v>188</v>
      </c>
      <c r="W4" s="5">
        <v>3236</v>
      </c>
      <c r="X4" s="5"/>
      <c r="Y4" s="5"/>
      <c r="Z4" s="5"/>
      <c r="AA4" s="5">
        <v>732</v>
      </c>
      <c r="AB4" s="5"/>
      <c r="AC4" s="5"/>
      <c r="AD4" s="5"/>
      <c r="AE4" s="5">
        <v>3290</v>
      </c>
      <c r="AF4" s="5">
        <v>2570</v>
      </c>
      <c r="AG4" s="5">
        <v>900</v>
      </c>
      <c r="AH4" s="5">
        <v>1492</v>
      </c>
      <c r="AI4" s="5">
        <v>1435</v>
      </c>
      <c r="AJ4" s="5">
        <v>220</v>
      </c>
      <c r="AK4" s="5">
        <v>256</v>
      </c>
      <c r="AL4" s="5">
        <v>46393</v>
      </c>
      <c r="AM4" s="5">
        <v>342</v>
      </c>
      <c r="AN4" s="5"/>
      <c r="AO4" s="5">
        <v>888</v>
      </c>
      <c r="AP4" s="5"/>
      <c r="AQ4" s="5">
        <v>4386</v>
      </c>
      <c r="AR4" s="5"/>
      <c r="AS4" s="5">
        <v>248</v>
      </c>
      <c r="AT4" s="5">
        <v>627</v>
      </c>
      <c r="AU4" s="5"/>
      <c r="AV4" s="5"/>
    </row>
    <row r="5" spans="1:48" x14ac:dyDescent="0.35">
      <c r="A5" s="4" t="s">
        <v>213</v>
      </c>
      <c r="B5" s="5">
        <v>1026</v>
      </c>
      <c r="C5" s="5"/>
      <c r="D5" s="5"/>
      <c r="E5" s="5">
        <v>15016</v>
      </c>
      <c r="F5" s="5">
        <v>5867</v>
      </c>
      <c r="G5" s="5"/>
      <c r="H5" s="5">
        <v>516</v>
      </c>
      <c r="I5" s="5">
        <v>533</v>
      </c>
      <c r="J5" s="5"/>
      <c r="K5" s="5"/>
      <c r="L5" s="5">
        <v>27560</v>
      </c>
      <c r="M5" s="5"/>
      <c r="N5" s="5">
        <v>202</v>
      </c>
      <c r="O5" s="5">
        <v>813</v>
      </c>
      <c r="P5" s="5"/>
      <c r="Q5" s="5"/>
      <c r="R5" s="5"/>
      <c r="S5" s="5">
        <v>642</v>
      </c>
      <c r="T5" s="5"/>
      <c r="U5" s="5"/>
      <c r="V5" s="5">
        <v>107</v>
      </c>
      <c r="W5" s="5">
        <v>2181</v>
      </c>
      <c r="X5" s="5"/>
      <c r="Y5" s="5"/>
      <c r="Z5" s="5"/>
      <c r="AA5" s="5">
        <v>697</v>
      </c>
      <c r="AB5" s="5"/>
      <c r="AC5" s="5"/>
      <c r="AD5" s="5"/>
      <c r="AE5" s="5"/>
      <c r="AF5" s="5">
        <v>1715</v>
      </c>
      <c r="AG5" s="5">
        <v>900</v>
      </c>
      <c r="AH5" s="5"/>
      <c r="AI5" s="5">
        <v>353</v>
      </c>
      <c r="AJ5" s="5"/>
      <c r="AK5" s="5">
        <v>231</v>
      </c>
      <c r="AL5" s="5"/>
      <c r="AM5" s="5">
        <v>274</v>
      </c>
      <c r="AN5" s="5"/>
      <c r="AO5" s="5"/>
      <c r="AP5" s="5"/>
      <c r="AQ5" s="5"/>
      <c r="AR5" s="5"/>
      <c r="AS5" s="5"/>
      <c r="AT5" s="5">
        <v>230</v>
      </c>
      <c r="AU5" s="5"/>
      <c r="AV5" s="5"/>
    </row>
    <row r="6" spans="1:48" x14ac:dyDescent="0.35">
      <c r="A6" s="4" t="s">
        <v>214</v>
      </c>
      <c r="B6" s="5">
        <v>693</v>
      </c>
      <c r="C6" s="5"/>
      <c r="D6" s="5"/>
      <c r="E6" s="5"/>
      <c r="F6" s="5"/>
      <c r="G6" s="5"/>
      <c r="H6" s="5">
        <v>113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51</v>
      </c>
      <c r="W6" s="5"/>
      <c r="X6" s="5"/>
      <c r="Y6" s="5"/>
      <c r="Z6" s="5"/>
      <c r="AA6" s="5">
        <v>16</v>
      </c>
      <c r="AB6" s="5"/>
      <c r="AC6" s="5"/>
      <c r="AD6" s="5"/>
      <c r="AE6" s="5"/>
      <c r="AF6" s="5"/>
      <c r="AG6" s="5"/>
      <c r="AH6" s="5"/>
      <c r="AI6" s="5">
        <v>1082</v>
      </c>
      <c r="AJ6" s="5"/>
      <c r="AK6" s="5">
        <v>10</v>
      </c>
      <c r="AL6" s="5"/>
      <c r="AM6" s="5">
        <v>9</v>
      </c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35">
      <c r="A7" s="4" t="s">
        <v>215</v>
      </c>
      <c r="B7" s="5">
        <v>11364</v>
      </c>
      <c r="C7" s="5"/>
      <c r="D7" s="5">
        <v>440</v>
      </c>
      <c r="E7" s="5">
        <v>93964</v>
      </c>
      <c r="F7" s="5"/>
      <c r="G7" s="5">
        <v>180709</v>
      </c>
      <c r="H7" s="5">
        <v>4711</v>
      </c>
      <c r="I7" s="5">
        <v>4369</v>
      </c>
      <c r="J7" s="5"/>
      <c r="K7" s="5"/>
      <c r="L7" s="5">
        <v>4425</v>
      </c>
      <c r="M7" s="5"/>
      <c r="N7" s="5">
        <v>2670</v>
      </c>
      <c r="O7" s="5">
        <v>7763</v>
      </c>
      <c r="P7" s="5">
        <v>7518</v>
      </c>
      <c r="Q7" s="5"/>
      <c r="R7" s="5"/>
      <c r="S7" s="5"/>
      <c r="T7" s="5">
        <v>11259</v>
      </c>
      <c r="U7" s="5"/>
      <c r="V7" s="5">
        <v>749</v>
      </c>
      <c r="W7" s="5">
        <v>69789</v>
      </c>
      <c r="X7" s="5"/>
      <c r="Y7" s="5"/>
      <c r="Z7" s="5"/>
      <c r="AA7" s="5">
        <v>1978</v>
      </c>
      <c r="AB7" s="5"/>
      <c r="AC7" s="5"/>
      <c r="AD7" s="5"/>
      <c r="AE7" s="5"/>
      <c r="AF7" s="5">
        <v>8179</v>
      </c>
      <c r="AG7" s="5">
        <v>5903</v>
      </c>
      <c r="AH7" s="5">
        <v>10409</v>
      </c>
      <c r="AI7" s="5">
        <v>6151</v>
      </c>
      <c r="AJ7" s="5"/>
      <c r="AK7" s="5">
        <v>4311</v>
      </c>
      <c r="AL7" s="5">
        <v>64638</v>
      </c>
      <c r="AM7" s="5">
        <v>3714</v>
      </c>
      <c r="AN7" s="5"/>
      <c r="AO7" s="5"/>
      <c r="AP7" s="5"/>
      <c r="AQ7" s="5">
        <v>23035</v>
      </c>
      <c r="AR7" s="5"/>
      <c r="AS7" s="5"/>
      <c r="AT7" s="5">
        <v>2134</v>
      </c>
      <c r="AU7" s="5"/>
      <c r="AV7" s="5"/>
    </row>
    <row r="8" spans="1:48" x14ac:dyDescent="0.35">
      <c r="A8" s="4" t="s">
        <v>216</v>
      </c>
      <c r="B8" s="5">
        <v>7477</v>
      </c>
      <c r="C8" s="5"/>
      <c r="D8" s="5">
        <v>22</v>
      </c>
      <c r="E8" s="5">
        <v>3149</v>
      </c>
      <c r="F8" s="5"/>
      <c r="G8" s="5">
        <v>120870</v>
      </c>
      <c r="H8" s="5">
        <v>607</v>
      </c>
      <c r="I8" s="5">
        <v>932</v>
      </c>
      <c r="J8" s="5"/>
      <c r="K8" s="5"/>
      <c r="L8" s="5">
        <v>9070</v>
      </c>
      <c r="M8" s="5"/>
      <c r="N8" s="5">
        <v>905</v>
      </c>
      <c r="O8" s="5"/>
      <c r="P8" s="5">
        <v>124</v>
      </c>
      <c r="Q8" s="5"/>
      <c r="R8" s="5"/>
      <c r="S8" s="5">
        <v>589</v>
      </c>
      <c r="T8" s="5">
        <v>5601</v>
      </c>
      <c r="U8" s="5"/>
      <c r="V8" s="5">
        <v>341</v>
      </c>
      <c r="W8" s="5">
        <v>12673</v>
      </c>
      <c r="X8" s="5"/>
      <c r="Y8" s="5"/>
      <c r="Z8" s="5"/>
      <c r="AA8" s="5">
        <v>767</v>
      </c>
      <c r="AB8" s="5"/>
      <c r="AC8" s="5"/>
      <c r="AD8" s="5"/>
      <c r="AE8" s="5"/>
      <c r="AF8" s="5">
        <v>6175</v>
      </c>
      <c r="AG8" s="5">
        <v>5</v>
      </c>
      <c r="AH8" s="5">
        <v>1561</v>
      </c>
      <c r="AI8" s="5">
        <v>2656</v>
      </c>
      <c r="AJ8" s="5"/>
      <c r="AK8" s="5">
        <v>2373</v>
      </c>
      <c r="AL8" s="5"/>
      <c r="AM8" s="5">
        <v>2380</v>
      </c>
      <c r="AN8" s="5"/>
      <c r="AO8" s="5"/>
      <c r="AP8" s="5"/>
      <c r="AQ8" s="5">
        <v>3223</v>
      </c>
      <c r="AR8" s="5"/>
      <c r="AS8" s="5"/>
      <c r="AT8" s="5">
        <v>1619</v>
      </c>
      <c r="AU8" s="5"/>
      <c r="AV8" s="5"/>
    </row>
    <row r="9" spans="1:48" x14ac:dyDescent="0.35">
      <c r="A9" s="4" t="s">
        <v>217</v>
      </c>
      <c r="B9" s="5">
        <v>52</v>
      </c>
      <c r="C9" s="5"/>
      <c r="D9" s="5">
        <v>6</v>
      </c>
      <c r="E9" s="5">
        <v>422</v>
      </c>
      <c r="F9" s="5">
        <v>52</v>
      </c>
      <c r="G9" s="5">
        <v>4358</v>
      </c>
      <c r="H9" s="5">
        <v>34</v>
      </c>
      <c r="I9" s="5">
        <v>118</v>
      </c>
      <c r="J9" s="5">
        <v>14</v>
      </c>
      <c r="K9" s="5">
        <v>37</v>
      </c>
      <c r="L9" s="5">
        <v>7018</v>
      </c>
      <c r="M9" s="5"/>
      <c r="N9" s="5"/>
      <c r="O9" s="5">
        <v>88</v>
      </c>
      <c r="P9" s="5"/>
      <c r="Q9" s="5">
        <v>120</v>
      </c>
      <c r="R9" s="5">
        <v>300</v>
      </c>
      <c r="S9" s="5"/>
      <c r="T9" s="5">
        <v>373</v>
      </c>
      <c r="U9" s="5"/>
      <c r="V9" s="5">
        <v>12</v>
      </c>
      <c r="W9" s="5"/>
      <c r="X9" s="5"/>
      <c r="Y9" s="5"/>
      <c r="Z9" s="5">
        <v>1300</v>
      </c>
      <c r="AA9" s="5">
        <v>4</v>
      </c>
      <c r="AB9" s="5"/>
      <c r="AC9" s="5"/>
      <c r="AD9" s="5"/>
      <c r="AE9" s="5">
        <v>351</v>
      </c>
      <c r="AF9" s="5">
        <v>288</v>
      </c>
      <c r="AG9" s="5">
        <v>117</v>
      </c>
      <c r="AH9" s="5"/>
      <c r="AI9" s="5">
        <v>219</v>
      </c>
      <c r="AJ9" s="5">
        <v>42</v>
      </c>
      <c r="AK9" s="5">
        <v>7</v>
      </c>
      <c r="AL9" s="5">
        <v>6365</v>
      </c>
      <c r="AM9" s="5">
        <v>20</v>
      </c>
      <c r="AN9" s="5"/>
      <c r="AO9" s="5"/>
      <c r="AP9" s="5">
        <v>310</v>
      </c>
      <c r="AQ9" s="5">
        <v>180</v>
      </c>
      <c r="AR9" s="5">
        <v>248</v>
      </c>
      <c r="AS9" s="5"/>
      <c r="AT9" s="5"/>
      <c r="AU9" s="5"/>
      <c r="AV9" s="5"/>
    </row>
    <row r="10" spans="1:48" x14ac:dyDescent="0.35">
      <c r="A10" s="4" t="s">
        <v>218</v>
      </c>
      <c r="B10" s="5">
        <v>313</v>
      </c>
      <c r="C10" s="5"/>
      <c r="D10" s="5">
        <v>37</v>
      </c>
      <c r="E10" s="5">
        <v>584</v>
      </c>
      <c r="F10" s="5"/>
      <c r="G10" s="5">
        <v>24668</v>
      </c>
      <c r="H10" s="5">
        <v>140</v>
      </c>
      <c r="I10" s="5">
        <v>74</v>
      </c>
      <c r="J10" s="5"/>
      <c r="K10" s="5"/>
      <c r="L10" s="5">
        <v>2156</v>
      </c>
      <c r="M10" s="5"/>
      <c r="N10" s="5"/>
      <c r="O10" s="5">
        <v>138</v>
      </c>
      <c r="P10" s="5"/>
      <c r="Q10" s="5"/>
      <c r="R10" s="5"/>
      <c r="S10" s="5">
        <v>52</v>
      </c>
      <c r="T10" s="5">
        <v>944</v>
      </c>
      <c r="U10" s="5"/>
      <c r="V10" s="5">
        <v>2</v>
      </c>
      <c r="W10" s="5">
        <v>1138</v>
      </c>
      <c r="X10" s="5"/>
      <c r="Y10" s="5"/>
      <c r="Z10" s="5"/>
      <c r="AA10" s="5">
        <v>54</v>
      </c>
      <c r="AB10" s="5"/>
      <c r="AC10" s="5"/>
      <c r="AD10" s="5"/>
      <c r="AE10" s="5"/>
      <c r="AF10" s="5">
        <v>385</v>
      </c>
      <c r="AG10" s="5">
        <v>514</v>
      </c>
      <c r="AH10" s="5"/>
      <c r="AI10" s="5">
        <v>188</v>
      </c>
      <c r="AJ10" s="5"/>
      <c r="AK10" s="5">
        <v>164</v>
      </c>
      <c r="AL10" s="5"/>
      <c r="AM10" s="5">
        <v>98</v>
      </c>
      <c r="AN10" s="5"/>
      <c r="AO10" s="5"/>
      <c r="AP10" s="5"/>
      <c r="AQ10" s="5">
        <v>856</v>
      </c>
      <c r="AR10" s="5"/>
      <c r="AS10" s="5"/>
      <c r="AT10" s="5">
        <v>222</v>
      </c>
      <c r="AU10" s="5"/>
      <c r="AV10" s="5"/>
    </row>
    <row r="11" spans="1:48" x14ac:dyDescent="0.35">
      <c r="A11" s="4" t="s">
        <v>219</v>
      </c>
      <c r="B11" s="5">
        <v>811</v>
      </c>
      <c r="C11" s="5"/>
      <c r="D11" s="5"/>
      <c r="E11" s="5">
        <v>75871</v>
      </c>
      <c r="F11" s="5"/>
      <c r="G11" s="5"/>
      <c r="H11" s="5">
        <v>693</v>
      </c>
      <c r="I11" s="5"/>
      <c r="J11" s="5"/>
      <c r="K11" s="5"/>
      <c r="L11" s="5"/>
      <c r="M11" s="5"/>
      <c r="N11" s="5"/>
      <c r="O11" s="5">
        <v>491</v>
      </c>
      <c r="P11" s="5"/>
      <c r="Q11" s="5"/>
      <c r="R11" s="5"/>
      <c r="S11" s="5">
        <v>335</v>
      </c>
      <c r="T11" s="5"/>
      <c r="U11" s="5"/>
      <c r="V11" s="5">
        <v>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9444</v>
      </c>
      <c r="AG11" s="5"/>
      <c r="AH11" s="5"/>
      <c r="AI11" s="5">
        <v>2663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884</v>
      </c>
      <c r="AU11" s="5"/>
      <c r="AV11" s="5"/>
    </row>
    <row r="12" spans="1:48" x14ac:dyDescent="0.35">
      <c r="A12" s="4" t="s">
        <v>220</v>
      </c>
      <c r="B12" s="5">
        <v>200</v>
      </c>
      <c r="C12" s="5"/>
      <c r="D12" s="5"/>
      <c r="E12" s="5"/>
      <c r="F12" s="5"/>
      <c r="G12" s="5"/>
      <c r="H12" s="5">
        <v>159</v>
      </c>
      <c r="I12" s="5"/>
      <c r="J12" s="5"/>
      <c r="K12" s="5"/>
      <c r="L12" s="5"/>
      <c r="M12" s="5"/>
      <c r="N12" s="5"/>
      <c r="O12" s="5">
        <v>843</v>
      </c>
      <c r="P12" s="5"/>
      <c r="Q12" s="5"/>
      <c r="R12" s="5"/>
      <c r="S12" s="5"/>
      <c r="T12" s="5"/>
      <c r="U12" s="5"/>
      <c r="V12" s="5">
        <v>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445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35">
      <c r="A13" s="4" t="s">
        <v>221</v>
      </c>
      <c r="B13" s="5"/>
      <c r="C13" s="5"/>
      <c r="D13" s="5"/>
      <c r="E13" s="5"/>
      <c r="F13" s="5"/>
      <c r="G13" s="5">
        <v>79</v>
      </c>
      <c r="H13" s="5">
        <v>1</v>
      </c>
      <c r="I13" s="5"/>
      <c r="J13" s="5"/>
      <c r="K13" s="5"/>
      <c r="L13" s="5"/>
      <c r="M13" s="5"/>
      <c r="N13" s="5"/>
      <c r="O13" s="5">
        <v>8</v>
      </c>
      <c r="P13" s="5"/>
      <c r="Q13" s="5"/>
      <c r="R13" s="5"/>
      <c r="S13" s="5"/>
      <c r="T13" s="5"/>
      <c r="U13" s="5"/>
      <c r="V13" s="5">
        <v>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</v>
      </c>
      <c r="AG13" s="5"/>
      <c r="AH13" s="5"/>
      <c r="AI13" s="5">
        <v>2</v>
      </c>
      <c r="AJ13" s="5"/>
      <c r="AK13" s="5"/>
      <c r="AL13" s="5">
        <v>3676</v>
      </c>
      <c r="AM13" s="5">
        <v>0</v>
      </c>
      <c r="AN13" s="5"/>
      <c r="AO13" s="5"/>
      <c r="AP13" s="5"/>
      <c r="AQ13" s="5"/>
      <c r="AR13" s="5"/>
      <c r="AS13" s="5"/>
      <c r="AT13" s="5">
        <v>35</v>
      </c>
      <c r="AU13" s="5"/>
      <c r="AV13" s="5"/>
    </row>
    <row r="14" spans="1:48" x14ac:dyDescent="0.35">
      <c r="A14" s="4" t="s">
        <v>222</v>
      </c>
      <c r="B14" s="5">
        <v>7</v>
      </c>
      <c r="C14" s="5"/>
      <c r="D14" s="5"/>
      <c r="E14" s="5"/>
      <c r="F14" s="5"/>
      <c r="G14" s="5"/>
      <c r="H14" s="5">
        <v>65</v>
      </c>
      <c r="I14" s="5"/>
      <c r="J14" s="5"/>
      <c r="K14" s="5"/>
      <c r="L14" s="5"/>
      <c r="M14" s="5"/>
      <c r="N14" s="5"/>
      <c r="O14" s="5">
        <v>11</v>
      </c>
      <c r="P14" s="5"/>
      <c r="Q14" s="5"/>
      <c r="R14" s="5"/>
      <c r="S14" s="5">
        <v>560</v>
      </c>
      <c r="T14" s="5"/>
      <c r="U14" s="5"/>
      <c r="V14" s="5">
        <v>10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</v>
      </c>
      <c r="AJ14" s="5"/>
      <c r="AK14" s="5"/>
      <c r="AL14" s="5">
        <v>2</v>
      </c>
      <c r="AM14" s="5">
        <v>9</v>
      </c>
      <c r="AN14" s="5"/>
      <c r="AO14" s="5"/>
      <c r="AP14" s="5"/>
      <c r="AQ14" s="5"/>
      <c r="AR14" s="5"/>
      <c r="AS14" s="5"/>
      <c r="AT14" s="5">
        <v>16</v>
      </c>
      <c r="AU14" s="5"/>
      <c r="AV14" s="5"/>
    </row>
    <row r="15" spans="1:48" x14ac:dyDescent="0.35">
      <c r="A15" s="4" t="s">
        <v>223</v>
      </c>
      <c r="B15" s="5">
        <v>2979</v>
      </c>
      <c r="C15" s="5"/>
      <c r="D15" s="5"/>
      <c r="E15" s="5"/>
      <c r="F15" s="5"/>
      <c r="G15" s="5">
        <v>116454</v>
      </c>
      <c r="H15" s="5">
        <v>117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0</v>
      </c>
      <c r="W15" s="5"/>
      <c r="X15" s="5"/>
      <c r="Y15" s="5"/>
      <c r="Z15" s="5"/>
      <c r="AA15" s="5"/>
      <c r="AB15" s="5">
        <v>38338</v>
      </c>
      <c r="AC15" s="5"/>
      <c r="AD15" s="5"/>
      <c r="AE15" s="5"/>
      <c r="AF15" s="5">
        <v>6632</v>
      </c>
      <c r="AG15" s="5"/>
      <c r="AH15" s="5"/>
      <c r="AI15" s="5">
        <v>1116</v>
      </c>
      <c r="AJ15" s="5"/>
      <c r="AK15" s="5">
        <v>15000</v>
      </c>
      <c r="AL15" s="5"/>
      <c r="AM15" s="5">
        <v>850</v>
      </c>
      <c r="AN15" s="5"/>
      <c r="AO15" s="5"/>
      <c r="AP15" s="5">
        <v>179000</v>
      </c>
      <c r="AQ15" s="5">
        <v>1846</v>
      </c>
      <c r="AR15" s="5"/>
      <c r="AS15" s="5"/>
      <c r="AT15" s="5"/>
      <c r="AU15" s="5"/>
      <c r="AV15" s="5"/>
    </row>
    <row r="16" spans="1:48" x14ac:dyDescent="0.35">
      <c r="A16" s="4" t="s">
        <v>224</v>
      </c>
      <c r="B16" s="5">
        <v>143</v>
      </c>
      <c r="C16" s="5"/>
      <c r="D16" s="5"/>
      <c r="E16" s="5"/>
      <c r="F16" s="5"/>
      <c r="G16" s="5">
        <v>6165</v>
      </c>
      <c r="H16" s="5">
        <v>32</v>
      </c>
      <c r="I16" s="5"/>
      <c r="J16" s="5">
        <v>19</v>
      </c>
      <c r="K16" s="5">
        <v>47</v>
      </c>
      <c r="L16" s="5"/>
      <c r="M16" s="5"/>
      <c r="N16" s="5"/>
      <c r="O16" s="5">
        <v>27</v>
      </c>
      <c r="P16" s="5"/>
      <c r="Q16" s="5">
        <v>74</v>
      </c>
      <c r="R16" s="5"/>
      <c r="S16" s="5">
        <v>11</v>
      </c>
      <c r="T16" s="5"/>
      <c r="U16" s="5"/>
      <c r="V16" s="5">
        <v>6</v>
      </c>
      <c r="W16" s="5"/>
      <c r="X16" s="5"/>
      <c r="Y16" s="5"/>
      <c r="Z16" s="5">
        <v>464</v>
      </c>
      <c r="AA16" s="5"/>
      <c r="AB16" s="5">
        <v>21</v>
      </c>
      <c r="AC16" s="5"/>
      <c r="AD16" s="5"/>
      <c r="AE16" s="5"/>
      <c r="AF16" s="5">
        <v>305</v>
      </c>
      <c r="AG16" s="5">
        <v>43</v>
      </c>
      <c r="AH16" s="5"/>
      <c r="AI16" s="5">
        <v>0</v>
      </c>
      <c r="AJ16" s="5">
        <v>37</v>
      </c>
      <c r="AK16" s="5">
        <v>140</v>
      </c>
      <c r="AL16" s="5"/>
      <c r="AM16" s="5">
        <v>96</v>
      </c>
      <c r="AN16" s="5"/>
      <c r="AO16" s="5"/>
      <c r="AP16" s="5">
        <v>900</v>
      </c>
      <c r="AQ16" s="5">
        <v>390</v>
      </c>
      <c r="AR16" s="5">
        <v>329</v>
      </c>
      <c r="AS16" s="5"/>
      <c r="AT16" s="5">
        <v>25</v>
      </c>
      <c r="AU16" s="5"/>
      <c r="AV16" s="5"/>
    </row>
    <row r="17" spans="1:48" x14ac:dyDescent="0.35">
      <c r="A17" s="4" t="s">
        <v>225</v>
      </c>
      <c r="B17" s="5"/>
      <c r="C17" s="5"/>
      <c r="D17" s="5"/>
      <c r="E17" s="5"/>
      <c r="F17" s="5"/>
      <c r="G17" s="5"/>
      <c r="H17" s="5">
        <v>9</v>
      </c>
      <c r="I17" s="5"/>
      <c r="J17" s="5">
        <v>3</v>
      </c>
      <c r="K17" s="5">
        <v>6</v>
      </c>
      <c r="L17" s="5"/>
      <c r="M17" s="5"/>
      <c r="N17" s="5"/>
      <c r="O17" s="5">
        <v>33</v>
      </c>
      <c r="P17" s="5"/>
      <c r="Q17" s="5">
        <v>20</v>
      </c>
      <c r="R17" s="5"/>
      <c r="S17" s="5"/>
      <c r="T17" s="5">
        <v>40</v>
      </c>
      <c r="U17" s="5"/>
      <c r="V17" s="5">
        <v>95</v>
      </c>
      <c r="W17" s="5"/>
      <c r="X17" s="5"/>
      <c r="Y17" s="5"/>
      <c r="Z17" s="5">
        <v>468</v>
      </c>
      <c r="AA17" s="5"/>
      <c r="AB17" s="5">
        <v>12</v>
      </c>
      <c r="AC17" s="5"/>
      <c r="AD17" s="5"/>
      <c r="AE17" s="5">
        <v>15</v>
      </c>
      <c r="AF17" s="5">
        <v>27</v>
      </c>
      <c r="AG17" s="5">
        <v>137</v>
      </c>
      <c r="AH17" s="5"/>
      <c r="AI17" s="5">
        <v>21</v>
      </c>
      <c r="AJ17" s="5">
        <v>14</v>
      </c>
      <c r="AK17" s="5">
        <v>25</v>
      </c>
      <c r="AL17" s="5"/>
      <c r="AM17" s="5"/>
      <c r="AN17" s="5"/>
      <c r="AO17" s="5"/>
      <c r="AP17" s="5">
        <v>30</v>
      </c>
      <c r="AQ17" s="5"/>
      <c r="AR17" s="5">
        <v>25</v>
      </c>
      <c r="AS17" s="5"/>
      <c r="AT17" s="5">
        <v>2</v>
      </c>
      <c r="AU17" s="5"/>
      <c r="AV17" s="5"/>
    </row>
    <row r="18" spans="1:48" x14ac:dyDescent="0.35">
      <c r="A18" s="4" t="s">
        <v>226</v>
      </c>
      <c r="B18" s="5"/>
      <c r="C18" s="5"/>
      <c r="D18" s="5"/>
      <c r="E18" s="5"/>
      <c r="F18" s="5"/>
      <c r="G18" s="5"/>
      <c r="H18" s="5">
        <v>10</v>
      </c>
      <c r="I18" s="5"/>
      <c r="J18" s="5"/>
      <c r="K18" s="5"/>
      <c r="L18" s="5"/>
      <c r="M18" s="5"/>
      <c r="N18" s="5"/>
      <c r="O18" s="5">
        <v>41</v>
      </c>
      <c r="P18" s="5"/>
      <c r="Q18" s="5"/>
      <c r="R18" s="5"/>
      <c r="S18" s="5"/>
      <c r="T18" s="5"/>
      <c r="U18" s="5"/>
      <c r="V18" s="5">
        <v>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29</v>
      </c>
      <c r="AH18" s="5"/>
      <c r="AI18" s="5">
        <v>4</v>
      </c>
      <c r="AJ18" s="5"/>
      <c r="AK18" s="5"/>
      <c r="AL18" s="5">
        <v>3555</v>
      </c>
      <c r="AM18" s="5"/>
      <c r="AN18" s="5"/>
      <c r="AO18" s="5"/>
      <c r="AP18" s="5"/>
      <c r="AQ18" s="5"/>
      <c r="AR18" s="5"/>
      <c r="AS18" s="5"/>
      <c r="AT18" s="5">
        <v>1</v>
      </c>
      <c r="AU18" s="5"/>
      <c r="AV18" s="5"/>
    </row>
    <row r="19" spans="1:48" x14ac:dyDescent="0.35">
      <c r="A19" s="4" t="s">
        <v>227</v>
      </c>
      <c r="B19" s="5"/>
      <c r="C19" s="5"/>
      <c r="D19" s="5"/>
      <c r="E19" s="5"/>
      <c r="F19" s="5"/>
      <c r="G19" s="5">
        <v>942</v>
      </c>
      <c r="H19" s="5">
        <v>14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140</v>
      </c>
      <c r="AM19" s="5"/>
      <c r="AN19" s="5"/>
      <c r="AO19" s="5"/>
      <c r="AP19" s="5"/>
      <c r="AQ19" s="5"/>
      <c r="AR19" s="5"/>
      <c r="AS19" s="5"/>
      <c r="AT19" s="5">
        <v>2</v>
      </c>
      <c r="AU19" s="5"/>
      <c r="AV19" s="5"/>
    </row>
    <row r="20" spans="1:48" x14ac:dyDescent="0.35">
      <c r="A20" s="4" t="s">
        <v>228</v>
      </c>
      <c r="B20" s="5">
        <v>6</v>
      </c>
      <c r="C20" s="5"/>
      <c r="D20" s="5"/>
      <c r="E20" s="5"/>
      <c r="F20" s="5"/>
      <c r="G20" s="5"/>
      <c r="H20" s="5">
        <v>30</v>
      </c>
      <c r="I20" s="5"/>
      <c r="J20" s="5"/>
      <c r="K20" s="5"/>
      <c r="L20" s="5"/>
      <c r="M20" s="5"/>
      <c r="N20" s="5"/>
      <c r="O20" s="5">
        <v>32</v>
      </c>
      <c r="P20" s="5"/>
      <c r="Q20" s="5"/>
      <c r="R20" s="5"/>
      <c r="S20" s="5">
        <v>26</v>
      </c>
      <c r="T20" s="5"/>
      <c r="U20" s="5"/>
      <c r="V20" s="5">
        <v>0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123</v>
      </c>
      <c r="AG20" s="5"/>
      <c r="AH20" s="5"/>
      <c r="AI20" s="5">
        <v>155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</v>
      </c>
      <c r="AU20" s="5"/>
      <c r="AV20" s="5"/>
    </row>
    <row r="21" spans="1:48" x14ac:dyDescent="0.35">
      <c r="A21" s="4" t="s">
        <v>229</v>
      </c>
      <c r="B21" s="5">
        <v>1348</v>
      </c>
      <c r="C21" s="5"/>
      <c r="D21" s="5"/>
      <c r="E21" s="5"/>
      <c r="F21" s="5"/>
      <c r="G21" s="5"/>
      <c r="H21" s="5">
        <v>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106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332</v>
      </c>
      <c r="AU21" s="5"/>
      <c r="AV21" s="5"/>
    </row>
    <row r="22" spans="1:48" x14ac:dyDescent="0.35">
      <c r="A22" s="4" t="s">
        <v>230</v>
      </c>
      <c r="B22" s="5">
        <v>222</v>
      </c>
      <c r="C22" s="5"/>
      <c r="D22" s="5"/>
      <c r="E22" s="5">
        <v>166</v>
      </c>
      <c r="F22" s="5"/>
      <c r="G22" s="5">
        <v>14743</v>
      </c>
      <c r="H22" s="5">
        <v>201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96</v>
      </c>
      <c r="T22" s="5"/>
      <c r="U22" s="5"/>
      <c r="V22" s="5">
        <v>43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148</v>
      </c>
      <c r="AH22" s="5"/>
      <c r="AI22" s="5">
        <v>835</v>
      </c>
      <c r="AJ22" s="5"/>
      <c r="AK22" s="5">
        <v>121</v>
      </c>
      <c r="AL22" s="5">
        <v>3881</v>
      </c>
      <c r="AM22" s="5">
        <v>8</v>
      </c>
      <c r="AN22" s="5"/>
      <c r="AO22" s="5"/>
      <c r="AP22" s="5"/>
      <c r="AQ22" s="5">
        <v>3207</v>
      </c>
      <c r="AR22" s="5"/>
      <c r="AS22" s="5"/>
      <c r="AT22" s="5">
        <v>21</v>
      </c>
      <c r="AU22" s="5"/>
      <c r="AV22" s="5"/>
    </row>
    <row r="23" spans="1:48" x14ac:dyDescent="0.35">
      <c r="A23" s="4" t="s">
        <v>231</v>
      </c>
      <c r="B23" s="5">
        <v>90</v>
      </c>
      <c r="C23" s="5"/>
      <c r="D23" s="5"/>
      <c r="E23" s="5"/>
      <c r="F23" s="5"/>
      <c r="G23" s="5">
        <v>1031</v>
      </c>
      <c r="H23" s="5">
        <v>69</v>
      </c>
      <c r="I23" s="5"/>
      <c r="J23" s="5"/>
      <c r="K23" s="5"/>
      <c r="L23" s="5"/>
      <c r="M23" s="5"/>
      <c r="N23" s="5">
        <v>34</v>
      </c>
      <c r="O23" s="5"/>
      <c r="P23" s="5"/>
      <c r="Q23" s="5"/>
      <c r="R23" s="5"/>
      <c r="S23" s="5">
        <v>20</v>
      </c>
      <c r="T23" s="5"/>
      <c r="U23" s="5"/>
      <c r="V23" s="5">
        <v>7</v>
      </c>
      <c r="W23" s="5"/>
      <c r="X23" s="5"/>
      <c r="Y23" s="5"/>
      <c r="Z23" s="5"/>
      <c r="AA23" s="5">
        <v>7</v>
      </c>
      <c r="AB23" s="5"/>
      <c r="AC23" s="5"/>
      <c r="AD23" s="5"/>
      <c r="AE23" s="5"/>
      <c r="AF23" s="5">
        <v>66</v>
      </c>
      <c r="AG23" s="5">
        <v>19</v>
      </c>
      <c r="AH23" s="5"/>
      <c r="AI23" s="5">
        <v>103</v>
      </c>
      <c r="AJ23" s="5"/>
      <c r="AK23" s="5">
        <v>3</v>
      </c>
      <c r="AL23" s="5"/>
      <c r="AM23" s="5">
        <v>8</v>
      </c>
      <c r="AN23" s="5"/>
      <c r="AO23" s="5"/>
      <c r="AP23" s="5"/>
      <c r="AQ23" s="5"/>
      <c r="AR23" s="5"/>
      <c r="AS23" s="5"/>
      <c r="AT23" s="5">
        <v>48</v>
      </c>
      <c r="AU23" s="5"/>
      <c r="AV23" s="5"/>
    </row>
    <row r="24" spans="1:48" x14ac:dyDescent="0.35">
      <c r="A24" s="4" t="s">
        <v>232</v>
      </c>
      <c r="B24" s="5"/>
      <c r="C24" s="5"/>
      <c r="D24" s="5"/>
      <c r="E24" s="5"/>
      <c r="F24" s="5"/>
      <c r="G24" s="5"/>
      <c r="H24" s="5">
        <v>39</v>
      </c>
      <c r="I24" s="5"/>
      <c r="J24" s="5"/>
      <c r="K24" s="5"/>
      <c r="L24" s="5"/>
      <c r="M24" s="5"/>
      <c r="N24" s="5"/>
      <c r="O24" s="5">
        <v>1421</v>
      </c>
      <c r="P24" s="5"/>
      <c r="Q24" s="5"/>
      <c r="R24" s="5"/>
      <c r="S24" s="5">
        <v>31</v>
      </c>
      <c r="T24" s="5">
        <v>4168</v>
      </c>
      <c r="U24" s="5"/>
      <c r="V24" s="5">
        <v>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3141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3845</v>
      </c>
      <c r="AU24" s="5"/>
      <c r="AV24" s="5"/>
    </row>
    <row r="25" spans="1:48" x14ac:dyDescent="0.35">
      <c r="A25" s="4" t="s">
        <v>233</v>
      </c>
      <c r="B25" s="5">
        <v>174</v>
      </c>
      <c r="C25" s="5"/>
      <c r="D25" s="5"/>
      <c r="E25" s="5"/>
      <c r="F25" s="5"/>
      <c r="G25" s="5">
        <v>7146</v>
      </c>
      <c r="H25" s="5">
        <v>89</v>
      </c>
      <c r="I25" s="5"/>
      <c r="J25" s="5"/>
      <c r="K25" s="5"/>
      <c r="L25" s="5"/>
      <c r="M25" s="5"/>
      <c r="N25" s="5"/>
      <c r="O25" s="5">
        <v>25</v>
      </c>
      <c r="P25" s="5"/>
      <c r="Q25" s="5"/>
      <c r="R25" s="5"/>
      <c r="S25" s="5"/>
      <c r="T25" s="5"/>
      <c r="U25" s="5"/>
      <c r="V25" s="5">
        <v>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416</v>
      </c>
      <c r="AG25" s="5"/>
      <c r="AH25" s="5"/>
      <c r="AI25" s="5">
        <v>90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35">
      <c r="A26" s="4" t="s">
        <v>234</v>
      </c>
      <c r="B26" s="5"/>
      <c r="C26" s="5"/>
      <c r="D26" s="5"/>
      <c r="E26" s="5"/>
      <c r="F26" s="5"/>
      <c r="G26" s="5"/>
      <c r="H26" s="5"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5">
      <c r="A27" s="4" t="s">
        <v>235</v>
      </c>
      <c r="B27" s="5">
        <v>191</v>
      </c>
      <c r="C27" s="5"/>
      <c r="D27" s="5"/>
      <c r="E27" s="5"/>
      <c r="F27" s="5"/>
      <c r="G27" s="5">
        <v>369</v>
      </c>
      <c r="H27" s="5">
        <v>78</v>
      </c>
      <c r="I27" s="5"/>
      <c r="J27" s="5"/>
      <c r="K27" s="5"/>
      <c r="L27" s="5"/>
      <c r="M27" s="5"/>
      <c r="N27" s="5">
        <v>92</v>
      </c>
      <c r="O27" s="5">
        <v>116</v>
      </c>
      <c r="P27" s="5"/>
      <c r="Q27" s="5"/>
      <c r="R27" s="5"/>
      <c r="S27" s="5">
        <v>48</v>
      </c>
      <c r="T27" s="5"/>
      <c r="U27" s="5"/>
      <c r="V27" s="5">
        <v>149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315</v>
      </c>
      <c r="AG27" s="5">
        <v>291</v>
      </c>
      <c r="AH27" s="5"/>
      <c r="AI27" s="5">
        <v>124</v>
      </c>
      <c r="AJ27" s="5"/>
      <c r="AK27" s="5">
        <v>36</v>
      </c>
      <c r="AL27" s="5"/>
      <c r="AM27" s="5">
        <v>13</v>
      </c>
      <c r="AN27" s="5"/>
      <c r="AO27" s="5"/>
      <c r="AP27" s="5"/>
      <c r="AQ27" s="5">
        <v>929</v>
      </c>
      <c r="AR27" s="5"/>
      <c r="AS27" s="5"/>
      <c r="AT27" s="5">
        <v>139</v>
      </c>
      <c r="AU27" s="5"/>
      <c r="AV27" s="5"/>
    </row>
    <row r="28" spans="1:48" x14ac:dyDescent="0.35">
      <c r="A28" s="4" t="s">
        <v>236</v>
      </c>
      <c r="B28" s="5"/>
      <c r="C28" s="5"/>
      <c r="D28" s="5"/>
      <c r="E28" s="5">
        <v>3342</v>
      </c>
      <c r="F28" s="5"/>
      <c r="G28" s="5"/>
      <c r="H28" s="5">
        <v>344</v>
      </c>
      <c r="I28" s="5"/>
      <c r="J28" s="5"/>
      <c r="K28" s="5"/>
      <c r="L28" s="5"/>
      <c r="M28" s="5"/>
      <c r="N28" s="5"/>
      <c r="O28" s="5">
        <v>131</v>
      </c>
      <c r="P28" s="5"/>
      <c r="Q28" s="5"/>
      <c r="R28" s="5"/>
      <c r="S28" s="5">
        <v>109</v>
      </c>
      <c r="T28" s="5"/>
      <c r="U28" s="5"/>
      <c r="V28" s="5">
        <v>246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2789</v>
      </c>
      <c r="AG28" s="5"/>
      <c r="AH28" s="5"/>
      <c r="AI28" s="5">
        <v>686</v>
      </c>
      <c r="AJ28" s="5"/>
      <c r="AK28" s="5">
        <v>93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35">
      <c r="A29" s="4" t="s">
        <v>237</v>
      </c>
      <c r="B29" s="5"/>
      <c r="C29" s="5"/>
      <c r="D29" s="5"/>
      <c r="E29" s="5"/>
      <c r="F29" s="5"/>
      <c r="G29" s="5"/>
      <c r="H29" s="5">
        <v>14</v>
      </c>
      <c r="I29" s="5"/>
      <c r="J29" s="5"/>
      <c r="K29" s="5"/>
      <c r="L29" s="5"/>
      <c r="M29" s="5"/>
      <c r="N29" s="5"/>
      <c r="O29" s="5">
        <v>64</v>
      </c>
      <c r="P29" s="5"/>
      <c r="Q29" s="5"/>
      <c r="R29" s="5"/>
      <c r="S29" s="5"/>
      <c r="T29" s="5"/>
      <c r="U29" s="5"/>
      <c r="V29" s="5">
        <v>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3</v>
      </c>
      <c r="AH29" s="5"/>
      <c r="AI29" s="5">
        <v>2112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5">
      <c r="A30" s="4" t="s">
        <v>238</v>
      </c>
      <c r="B30" s="5"/>
      <c r="C30" s="5"/>
      <c r="D30" s="5"/>
      <c r="E30" s="5"/>
      <c r="F30" s="5"/>
      <c r="G30" s="5">
        <v>29803</v>
      </c>
      <c r="H30" s="5">
        <v>72</v>
      </c>
      <c r="I30" s="5"/>
      <c r="J30" s="5"/>
      <c r="K30" s="5"/>
      <c r="L30" s="5"/>
      <c r="M30" s="5"/>
      <c r="N30" s="5"/>
      <c r="O30" s="5">
        <v>330</v>
      </c>
      <c r="P30" s="5"/>
      <c r="Q30" s="5"/>
      <c r="R30" s="5"/>
      <c r="S30" s="5"/>
      <c r="T30" s="5"/>
      <c r="U30" s="5"/>
      <c r="V30" s="5">
        <v>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v>342</v>
      </c>
      <c r="AL30" s="5"/>
      <c r="AM30" s="5"/>
      <c r="AN30" s="5"/>
      <c r="AO30" s="5"/>
      <c r="AP30" s="5"/>
      <c r="AQ30" s="5">
        <v>2045</v>
      </c>
      <c r="AR30" s="5"/>
      <c r="AS30" s="5"/>
      <c r="AT30" s="5">
        <v>195</v>
      </c>
      <c r="AU30" s="5"/>
      <c r="AV30" s="5"/>
    </row>
    <row r="31" spans="1:48" x14ac:dyDescent="0.35">
      <c r="A31" s="4" t="s">
        <v>239</v>
      </c>
      <c r="B31" s="5">
        <v>800</v>
      </c>
      <c r="C31" s="5"/>
      <c r="D31" s="5"/>
      <c r="E31" s="5"/>
      <c r="F31" s="5"/>
      <c r="G31" s="5">
        <v>26677</v>
      </c>
      <c r="H31" s="5">
        <v>454</v>
      </c>
      <c r="I31" s="5"/>
      <c r="J31" s="5"/>
      <c r="K31" s="5"/>
      <c r="L31" s="5"/>
      <c r="M31" s="5"/>
      <c r="N31" s="5"/>
      <c r="O31" s="5">
        <v>156</v>
      </c>
      <c r="P31" s="5"/>
      <c r="Q31" s="5"/>
      <c r="R31" s="5"/>
      <c r="S31" s="5"/>
      <c r="T31" s="5"/>
      <c r="U31" s="5"/>
      <c r="V31" s="5">
        <v>22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2055</v>
      </c>
      <c r="AG31" s="5">
        <v>503</v>
      </c>
      <c r="AH31" s="5"/>
      <c r="AI31" s="5">
        <v>715</v>
      </c>
      <c r="AJ31" s="5"/>
      <c r="AK31" s="5"/>
      <c r="AL31" s="5">
        <v>9939</v>
      </c>
      <c r="AM31" s="5">
        <v>485</v>
      </c>
      <c r="AN31" s="5"/>
      <c r="AO31" s="5"/>
      <c r="AP31" s="5"/>
      <c r="AQ31" s="5">
        <v>18</v>
      </c>
      <c r="AR31" s="5"/>
      <c r="AS31" s="5"/>
      <c r="AT31" s="5">
        <v>518</v>
      </c>
      <c r="AU31" s="5"/>
      <c r="AV31" s="5"/>
    </row>
    <row r="32" spans="1:48" x14ac:dyDescent="0.35">
      <c r="A32" s="4" t="s">
        <v>240</v>
      </c>
      <c r="B32" s="5">
        <v>143</v>
      </c>
      <c r="C32" s="5"/>
      <c r="D32" s="5"/>
      <c r="E32" s="5"/>
      <c r="F32" s="5"/>
      <c r="G32" s="5">
        <v>7</v>
      </c>
      <c r="H32" s="5">
        <v>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27</v>
      </c>
      <c r="AG32" s="5"/>
      <c r="AH32" s="5"/>
      <c r="AI32" s="5">
        <v>1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14</v>
      </c>
      <c r="AU32" s="5"/>
      <c r="AV32" s="5"/>
    </row>
    <row r="33" spans="1:48" x14ac:dyDescent="0.35">
      <c r="A33" s="4" t="s">
        <v>241</v>
      </c>
      <c r="B33" s="5"/>
      <c r="C33" s="5"/>
      <c r="D33" s="5"/>
      <c r="E33" s="5"/>
      <c r="F33" s="5"/>
      <c r="G33" s="5">
        <v>27247</v>
      </c>
      <c r="H33" s="5">
        <v>1</v>
      </c>
      <c r="I33" s="5"/>
      <c r="J33" s="5"/>
      <c r="K33" s="5"/>
      <c r="L33" s="5"/>
      <c r="M33" s="5"/>
      <c r="N33" s="5"/>
      <c r="O33" s="5">
        <v>110</v>
      </c>
      <c r="P33" s="5"/>
      <c r="Q33" s="5"/>
      <c r="R33" s="5"/>
      <c r="S33" s="5"/>
      <c r="T33" s="5"/>
      <c r="U33" s="5"/>
      <c r="V33" s="5">
        <v>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123</v>
      </c>
      <c r="AJ33" s="5"/>
      <c r="AK33" s="5">
        <v>64</v>
      </c>
      <c r="AL33" s="5"/>
      <c r="AM33" s="5">
        <v>850</v>
      </c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35">
      <c r="A34" s="4" t="s">
        <v>242</v>
      </c>
      <c r="B34" s="5"/>
      <c r="C34" s="5"/>
      <c r="D34" s="5">
        <v>105</v>
      </c>
      <c r="E34" s="5"/>
      <c r="F34" s="5"/>
      <c r="G34" s="5">
        <v>74543</v>
      </c>
      <c r="H34" s="5">
        <v>1</v>
      </c>
      <c r="I34" s="5"/>
      <c r="J34" s="5"/>
      <c r="K34" s="5"/>
      <c r="L34" s="5"/>
      <c r="M34" s="5"/>
      <c r="N34" s="5">
        <v>561</v>
      </c>
      <c r="O34" s="5"/>
      <c r="P34" s="5"/>
      <c r="Q34" s="5"/>
      <c r="R34" s="5"/>
      <c r="S34" s="5">
        <v>15</v>
      </c>
      <c r="T34" s="5">
        <v>4173</v>
      </c>
      <c r="U34" s="5"/>
      <c r="V34" s="5">
        <v>0</v>
      </c>
      <c r="W34" s="5"/>
      <c r="X34" s="5"/>
      <c r="Y34" s="5"/>
      <c r="Z34" s="5"/>
      <c r="AA34" s="5"/>
      <c r="AB34" s="5"/>
      <c r="AC34" s="5"/>
      <c r="AD34" s="5"/>
      <c r="AE34" s="5">
        <v>3290</v>
      </c>
      <c r="AF34" s="5"/>
      <c r="AG34" s="5"/>
      <c r="AH34" s="5">
        <v>1492</v>
      </c>
      <c r="AI34" s="5">
        <v>0</v>
      </c>
      <c r="AJ34" s="5">
        <v>220</v>
      </c>
      <c r="AK34" s="5"/>
      <c r="AL34" s="5">
        <v>46393</v>
      </c>
      <c r="AM34" s="5"/>
      <c r="AN34" s="5"/>
      <c r="AO34" s="5">
        <v>888</v>
      </c>
      <c r="AP34" s="5"/>
      <c r="AQ34" s="5">
        <v>4386</v>
      </c>
      <c r="AR34" s="5"/>
      <c r="AS34" s="5">
        <v>248</v>
      </c>
      <c r="AT34" s="5"/>
      <c r="AU34" s="5"/>
      <c r="AV34" s="5"/>
    </row>
    <row r="35" spans="1:48" x14ac:dyDescent="0.35">
      <c r="A35" s="4" t="s">
        <v>243</v>
      </c>
      <c r="B35" s="5">
        <v>15</v>
      </c>
      <c r="C35" s="5"/>
      <c r="D35" s="5"/>
      <c r="E35" s="5"/>
      <c r="F35" s="5"/>
      <c r="G35" s="5"/>
      <c r="H35" s="5">
        <v>107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150</v>
      </c>
      <c r="T35" s="5"/>
      <c r="U35" s="5"/>
      <c r="V35" s="5">
        <v>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70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4" t="s">
        <v>244</v>
      </c>
      <c r="B36" s="5">
        <v>3057</v>
      </c>
      <c r="C36" s="5"/>
      <c r="D36" s="5"/>
      <c r="E36" s="5"/>
      <c r="F36" s="5"/>
      <c r="G36" s="5"/>
      <c r="H36" s="5">
        <v>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252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286</v>
      </c>
      <c r="AG36" s="5"/>
      <c r="AH36" s="5"/>
      <c r="AI36" s="5">
        <v>460</v>
      </c>
      <c r="AJ36" s="5"/>
      <c r="AK36" s="5">
        <v>1951</v>
      </c>
      <c r="AL36" s="5"/>
      <c r="AM36" s="5">
        <v>2000</v>
      </c>
      <c r="AN36" s="5"/>
      <c r="AO36" s="5"/>
      <c r="AP36" s="5"/>
      <c r="AQ36" s="5"/>
      <c r="AR36" s="5"/>
      <c r="AS36" s="5"/>
      <c r="AT36" s="5">
        <v>834</v>
      </c>
      <c r="AU36" s="5"/>
      <c r="AV36" s="5"/>
    </row>
    <row r="37" spans="1:48" x14ac:dyDescent="0.35">
      <c r="A37" s="4" t="s">
        <v>245</v>
      </c>
      <c r="B37" s="5">
        <v>4420</v>
      </c>
      <c r="C37" s="5"/>
      <c r="D37" s="5"/>
      <c r="E37" s="5">
        <v>3149</v>
      </c>
      <c r="F37" s="5"/>
      <c r="G37" s="5">
        <v>120870</v>
      </c>
      <c r="H37" s="5">
        <v>607</v>
      </c>
      <c r="I37" s="5">
        <v>932</v>
      </c>
      <c r="J37" s="5"/>
      <c r="K37" s="5"/>
      <c r="L37" s="5">
        <v>9070</v>
      </c>
      <c r="M37" s="5"/>
      <c r="N37" s="5"/>
      <c r="O37" s="5"/>
      <c r="P37" s="5">
        <v>124</v>
      </c>
      <c r="Q37" s="5"/>
      <c r="R37" s="5"/>
      <c r="S37" s="5"/>
      <c r="T37" s="5">
        <v>5601</v>
      </c>
      <c r="U37" s="5"/>
      <c r="V37" s="5">
        <v>89</v>
      </c>
      <c r="W37" s="5">
        <v>12673</v>
      </c>
      <c r="X37" s="5"/>
      <c r="Y37" s="5"/>
      <c r="Z37" s="5"/>
      <c r="AA37" s="5">
        <v>767</v>
      </c>
      <c r="AB37" s="5"/>
      <c r="AC37" s="5"/>
      <c r="AD37" s="5"/>
      <c r="AE37" s="5"/>
      <c r="AF37" s="5">
        <v>5889</v>
      </c>
      <c r="AG37" s="5">
        <v>5</v>
      </c>
      <c r="AH37" s="5"/>
      <c r="AI37" s="5">
        <v>2196</v>
      </c>
      <c r="AJ37" s="5"/>
      <c r="AK37" s="5">
        <v>422</v>
      </c>
      <c r="AL37" s="5"/>
      <c r="AM37" s="5">
        <v>380</v>
      </c>
      <c r="AN37" s="5"/>
      <c r="AO37" s="5"/>
      <c r="AP37" s="5"/>
      <c r="AQ37" s="5">
        <v>3223</v>
      </c>
      <c r="AR37" s="5"/>
      <c r="AS37" s="5"/>
      <c r="AT37" s="5">
        <v>785</v>
      </c>
      <c r="AU37" s="5"/>
      <c r="AV37" s="5"/>
    </row>
    <row r="38" spans="1:48" x14ac:dyDescent="0.35">
      <c r="A38" s="4" t="s">
        <v>246</v>
      </c>
      <c r="B38" s="5"/>
      <c r="C38" s="5"/>
      <c r="D38" s="5">
        <v>22</v>
      </c>
      <c r="E38" s="5"/>
      <c r="F38" s="5"/>
      <c r="G38" s="5"/>
      <c r="H38" s="5">
        <v>0</v>
      </c>
      <c r="I38" s="5"/>
      <c r="J38" s="5"/>
      <c r="K38" s="5"/>
      <c r="L38" s="5"/>
      <c r="M38" s="5"/>
      <c r="N38" s="5">
        <v>905</v>
      </c>
      <c r="O38" s="5"/>
      <c r="P38" s="5"/>
      <c r="Q38" s="5"/>
      <c r="R38" s="5"/>
      <c r="S38" s="5">
        <v>589</v>
      </c>
      <c r="T38" s="5"/>
      <c r="U38" s="5"/>
      <c r="V38" s="5">
        <v>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1561</v>
      </c>
      <c r="AI38" s="5"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35">
      <c r="A39" s="4" t="s">
        <v>247</v>
      </c>
      <c r="B39" s="5"/>
      <c r="C39" s="5"/>
      <c r="D39" s="5">
        <v>440</v>
      </c>
      <c r="E39" s="5"/>
      <c r="F39" s="5"/>
      <c r="G39" s="5"/>
      <c r="H39" s="5">
        <v>2</v>
      </c>
      <c r="I39" s="5">
        <v>3819</v>
      </c>
      <c r="J39" s="5"/>
      <c r="K39" s="5"/>
      <c r="L39" s="5"/>
      <c r="M39" s="5"/>
      <c r="N39" s="5">
        <v>2670</v>
      </c>
      <c r="O39" s="5"/>
      <c r="P39" s="5"/>
      <c r="Q39" s="5"/>
      <c r="R39" s="5"/>
      <c r="S39" s="5"/>
      <c r="T39" s="5"/>
      <c r="U39" s="5"/>
      <c r="V39" s="5">
        <v>38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10409</v>
      </c>
      <c r="AI39" s="5">
        <v>0</v>
      </c>
      <c r="AJ39" s="5"/>
      <c r="AK39" s="5"/>
      <c r="AL39" s="5">
        <v>64638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35">
      <c r="A40" s="4" t="s">
        <v>248</v>
      </c>
      <c r="B40" s="5">
        <v>1893</v>
      </c>
      <c r="C40" s="5"/>
      <c r="D40" s="5"/>
      <c r="E40" s="5"/>
      <c r="F40" s="5"/>
      <c r="G40" s="5"/>
      <c r="H40" s="5">
        <v>1408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391</v>
      </c>
      <c r="W40" s="5">
        <v>43830</v>
      </c>
      <c r="X40" s="5"/>
      <c r="Y40" s="5"/>
      <c r="Z40" s="5"/>
      <c r="AA40" s="5"/>
      <c r="AB40" s="5"/>
      <c r="AC40" s="5"/>
      <c r="AD40" s="5"/>
      <c r="AE40" s="5"/>
      <c r="AF40" s="5">
        <v>377</v>
      </c>
      <c r="AG40" s="5">
        <v>44</v>
      </c>
      <c r="AH40" s="5"/>
      <c r="AI40" s="5">
        <v>3058</v>
      </c>
      <c r="AJ40" s="5"/>
      <c r="AK40" s="5">
        <v>3492</v>
      </c>
      <c r="AL40" s="5"/>
      <c r="AM40" s="5">
        <v>3212</v>
      </c>
      <c r="AN40" s="5"/>
      <c r="AO40" s="5"/>
      <c r="AP40" s="5"/>
      <c r="AQ40" s="5"/>
      <c r="AR40" s="5"/>
      <c r="AS40" s="5"/>
      <c r="AT40" s="5">
        <v>899</v>
      </c>
      <c r="AU40" s="5"/>
      <c r="AV40" s="5"/>
    </row>
    <row r="41" spans="1:48" x14ac:dyDescent="0.35">
      <c r="A41" s="4" t="s">
        <v>249</v>
      </c>
      <c r="B41" s="5">
        <v>9471</v>
      </c>
      <c r="C41" s="5"/>
      <c r="D41" s="5"/>
      <c r="E41" s="5">
        <v>93964</v>
      </c>
      <c r="F41" s="5"/>
      <c r="G41" s="5">
        <v>180709</v>
      </c>
      <c r="H41" s="5">
        <v>3301</v>
      </c>
      <c r="I41" s="5">
        <v>550</v>
      </c>
      <c r="J41" s="5"/>
      <c r="K41" s="5"/>
      <c r="L41" s="5">
        <v>4425</v>
      </c>
      <c r="M41" s="5"/>
      <c r="N41" s="5"/>
      <c r="O41" s="5">
        <v>7763</v>
      </c>
      <c r="P41" s="5">
        <v>7518</v>
      </c>
      <c r="Q41" s="5"/>
      <c r="R41" s="5"/>
      <c r="S41" s="5"/>
      <c r="T41" s="5">
        <v>11259</v>
      </c>
      <c r="U41" s="5"/>
      <c r="V41" s="5">
        <v>320</v>
      </c>
      <c r="W41" s="5">
        <v>25959</v>
      </c>
      <c r="X41" s="5"/>
      <c r="Y41" s="5"/>
      <c r="Z41" s="5"/>
      <c r="AA41" s="5">
        <v>1978</v>
      </c>
      <c r="AB41" s="5"/>
      <c r="AC41" s="5"/>
      <c r="AD41" s="5"/>
      <c r="AE41" s="5"/>
      <c r="AF41" s="5">
        <v>7802</v>
      </c>
      <c r="AG41" s="5">
        <v>5859</v>
      </c>
      <c r="AH41" s="5"/>
      <c r="AI41" s="5">
        <v>3093</v>
      </c>
      <c r="AJ41" s="5"/>
      <c r="AK41" s="5">
        <v>819</v>
      </c>
      <c r="AL41" s="5"/>
      <c r="AM41" s="5">
        <v>502</v>
      </c>
      <c r="AN41" s="5"/>
      <c r="AO41" s="5"/>
      <c r="AP41" s="5"/>
      <c r="AQ41" s="5">
        <v>23035</v>
      </c>
      <c r="AR41" s="5"/>
      <c r="AS41" s="5"/>
      <c r="AT41" s="5">
        <v>1235</v>
      </c>
      <c r="AU41" s="5"/>
      <c r="AV41" s="5"/>
    </row>
    <row r="42" spans="1:48" x14ac:dyDescent="0.35">
      <c r="A42" s="4" t="s">
        <v>210</v>
      </c>
      <c r="B42" s="5">
        <v>0</v>
      </c>
      <c r="C42" s="5"/>
      <c r="D42" s="5"/>
      <c r="E42" s="5"/>
      <c r="F42" s="5"/>
      <c r="G42" s="5"/>
      <c r="H42" s="5">
        <v>746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1981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35">
      <c r="A43" s="4" t="s">
        <v>211</v>
      </c>
      <c r="B43" s="5">
        <v>0</v>
      </c>
      <c r="C43" s="5"/>
      <c r="D43" s="5"/>
      <c r="E43" s="5"/>
      <c r="F43" s="5"/>
      <c r="G43" s="5"/>
      <c r="H43" s="5">
        <v>11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600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35">
      <c r="A44" s="4" t="s">
        <v>250</v>
      </c>
      <c r="B44" s="5">
        <v>21</v>
      </c>
      <c r="C44" s="5"/>
      <c r="D44" s="5"/>
      <c r="E44" s="5">
        <v>668</v>
      </c>
      <c r="F44" s="5"/>
      <c r="G44" s="5"/>
      <c r="H44" s="5">
        <v>3</v>
      </c>
      <c r="I44" s="5"/>
      <c r="J44" s="5"/>
      <c r="K44" s="5"/>
      <c r="L44" s="5"/>
      <c r="M44" s="5"/>
      <c r="N44" s="5"/>
      <c r="O44" s="5">
        <v>3</v>
      </c>
      <c r="P44" s="5"/>
      <c r="Q44" s="5"/>
      <c r="R44" s="5"/>
      <c r="S44" s="5">
        <v>42</v>
      </c>
      <c r="T44" s="5"/>
      <c r="U44" s="5"/>
      <c r="V44" s="5">
        <v>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745</v>
      </c>
      <c r="AG44" s="5"/>
      <c r="AH44" s="5"/>
      <c r="AI44" s="5">
        <v>3</v>
      </c>
      <c r="AJ44" s="5"/>
      <c r="AK44" s="5">
        <v>130</v>
      </c>
      <c r="AL44" s="5">
        <v>226</v>
      </c>
      <c r="AM44" s="5">
        <v>168</v>
      </c>
      <c r="AN44" s="5"/>
      <c r="AO44" s="5"/>
      <c r="AP44" s="5"/>
      <c r="AQ44" s="5"/>
      <c r="AR44" s="5"/>
      <c r="AS44" s="5"/>
      <c r="AT44" s="5">
        <v>5</v>
      </c>
      <c r="AU44" s="5"/>
      <c r="AV44" s="5"/>
    </row>
    <row r="45" spans="1:48" x14ac:dyDescent="0.35">
      <c r="A45" s="4" t="s">
        <v>251</v>
      </c>
      <c r="B45" s="5">
        <v>106</v>
      </c>
      <c r="C45" s="5"/>
      <c r="D45" s="5"/>
      <c r="E45" s="5"/>
      <c r="F45" s="5"/>
      <c r="G45" s="5">
        <v>1238</v>
      </c>
      <c r="H45" s="5">
        <v>79</v>
      </c>
      <c r="I45" s="5"/>
      <c r="J45" s="5"/>
      <c r="K45" s="5"/>
      <c r="L45" s="5"/>
      <c r="M45" s="5"/>
      <c r="N45" s="5">
        <v>89</v>
      </c>
      <c r="O45" s="5"/>
      <c r="P45" s="5"/>
      <c r="Q45" s="5"/>
      <c r="R45" s="5"/>
      <c r="S45" s="5">
        <v>52</v>
      </c>
      <c r="T45" s="5"/>
      <c r="U45" s="5"/>
      <c r="V45" s="5">
        <v>9</v>
      </c>
      <c r="W45" s="5">
        <v>162</v>
      </c>
      <c r="X45" s="5"/>
      <c r="Y45" s="5"/>
      <c r="Z45" s="5"/>
      <c r="AA45" s="5">
        <v>10</v>
      </c>
      <c r="AB45" s="5"/>
      <c r="AC45" s="5"/>
      <c r="AD45" s="5"/>
      <c r="AE45" s="5"/>
      <c r="AF45" s="5">
        <v>76</v>
      </c>
      <c r="AG45" s="5">
        <v>39</v>
      </c>
      <c r="AH45" s="5"/>
      <c r="AI45" s="5">
        <v>116</v>
      </c>
      <c r="AJ45" s="5"/>
      <c r="AK45" s="5">
        <v>3</v>
      </c>
      <c r="AL45" s="5"/>
      <c r="AM45" s="5">
        <v>9</v>
      </c>
      <c r="AN45" s="5"/>
      <c r="AO45" s="5"/>
      <c r="AP45" s="5"/>
      <c r="AQ45" s="5"/>
      <c r="AR45" s="5"/>
      <c r="AS45" s="5"/>
      <c r="AT45" s="5">
        <v>45</v>
      </c>
      <c r="AU45" s="5"/>
      <c r="AV45" s="5"/>
    </row>
    <row r="46" spans="1:48" x14ac:dyDescent="0.35">
      <c r="A46" s="4" t="s">
        <v>252</v>
      </c>
      <c r="B46" s="5"/>
      <c r="C46" s="5"/>
      <c r="D46" s="5"/>
      <c r="E46" s="5"/>
      <c r="F46" s="5"/>
      <c r="G46" s="5">
        <v>4429</v>
      </c>
      <c r="H46" s="5">
        <v>9</v>
      </c>
      <c r="I46" s="5"/>
      <c r="J46" s="5"/>
      <c r="K46" s="5"/>
      <c r="L46" s="5"/>
      <c r="M46" s="5"/>
      <c r="N46" s="5"/>
      <c r="O46" s="5">
        <v>3</v>
      </c>
      <c r="P46" s="5"/>
      <c r="Q46" s="5"/>
      <c r="R46" s="5"/>
      <c r="S46" s="5">
        <v>50</v>
      </c>
      <c r="T46" s="5"/>
      <c r="U46" s="5"/>
      <c r="V46" s="5">
        <v>16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165</v>
      </c>
      <c r="AG46" s="5">
        <v>99</v>
      </c>
      <c r="AH46" s="5"/>
      <c r="AI46" s="5">
        <v>1</v>
      </c>
      <c r="AJ46" s="5"/>
      <c r="AK46" s="5">
        <v>15</v>
      </c>
      <c r="AL46" s="5">
        <v>3830</v>
      </c>
      <c r="AM46" s="5">
        <v>13</v>
      </c>
      <c r="AN46" s="5"/>
      <c r="AO46" s="5"/>
      <c r="AP46" s="5"/>
      <c r="AQ46" s="5"/>
      <c r="AR46" s="5"/>
      <c r="AS46" s="5"/>
      <c r="AT46" s="5">
        <v>4</v>
      </c>
      <c r="AU46" s="5"/>
      <c r="AV46" s="5"/>
    </row>
    <row r="47" spans="1:48" x14ac:dyDescent="0.35">
      <c r="A47" s="4" t="s">
        <v>253</v>
      </c>
      <c r="B47" s="5">
        <v>580</v>
      </c>
      <c r="C47" s="5"/>
      <c r="D47" s="5"/>
      <c r="E47" s="5"/>
      <c r="F47" s="5"/>
      <c r="G47" s="5">
        <v>5698</v>
      </c>
      <c r="H47" s="5">
        <v>429</v>
      </c>
      <c r="I47" s="5"/>
      <c r="J47" s="5"/>
      <c r="K47" s="5"/>
      <c r="L47" s="5"/>
      <c r="M47" s="5"/>
      <c r="N47" s="5">
        <v>133</v>
      </c>
      <c r="O47" s="5"/>
      <c r="P47" s="5"/>
      <c r="Q47" s="5"/>
      <c r="R47" s="5"/>
      <c r="S47" s="5">
        <v>88</v>
      </c>
      <c r="T47" s="5"/>
      <c r="U47" s="5"/>
      <c r="V47" s="5">
        <v>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605</v>
      </c>
      <c r="AG47" s="5">
        <v>32</v>
      </c>
      <c r="AH47" s="5"/>
      <c r="AI47" s="5">
        <v>1552</v>
      </c>
      <c r="AJ47" s="5"/>
      <c r="AK47" s="5"/>
      <c r="AL47" s="5"/>
      <c r="AM47" s="5">
        <v>20</v>
      </c>
      <c r="AN47" s="5"/>
      <c r="AO47" s="5"/>
      <c r="AP47" s="5"/>
      <c r="AQ47" s="5"/>
      <c r="AR47" s="5"/>
      <c r="AS47" s="5"/>
      <c r="AT47" s="5">
        <v>236</v>
      </c>
      <c r="AU47" s="5"/>
      <c r="AV47" s="5"/>
    </row>
    <row r="48" spans="1:48" x14ac:dyDescent="0.35">
      <c r="A48" s="4" t="s">
        <v>254</v>
      </c>
      <c r="B48" s="5">
        <v>22</v>
      </c>
      <c r="C48" s="5"/>
      <c r="D48" s="5"/>
      <c r="E48" s="5">
        <v>1939</v>
      </c>
      <c r="F48" s="5"/>
      <c r="G48" s="5"/>
      <c r="H48" s="5">
        <v>942</v>
      </c>
      <c r="I48" s="5"/>
      <c r="J48" s="5"/>
      <c r="K48" s="5"/>
      <c r="L48" s="5"/>
      <c r="M48" s="5"/>
      <c r="N48" s="5"/>
      <c r="O48" s="5">
        <v>1376</v>
      </c>
      <c r="P48" s="5"/>
      <c r="Q48" s="5"/>
      <c r="R48" s="5"/>
      <c r="S48" s="5">
        <v>6</v>
      </c>
      <c r="T48" s="5"/>
      <c r="U48" s="5"/>
      <c r="V48" s="5">
        <v>0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399</v>
      </c>
      <c r="AG48" s="5"/>
      <c r="AH48" s="5"/>
      <c r="AI48" s="5">
        <v>3647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1353</v>
      </c>
      <c r="AU48" s="5"/>
      <c r="AV48" s="5"/>
    </row>
    <row r="49" spans="1:48" x14ac:dyDescent="0.35">
      <c r="A49" s="4" t="s">
        <v>255</v>
      </c>
      <c r="B49" s="5">
        <v>2079</v>
      </c>
      <c r="C49" s="5"/>
      <c r="D49" s="5"/>
      <c r="E49" s="5"/>
      <c r="F49" s="5"/>
      <c r="G49" s="5"/>
      <c r="H49" s="5">
        <v>2595</v>
      </c>
      <c r="I49" s="5"/>
      <c r="J49" s="5"/>
      <c r="K49" s="5"/>
      <c r="L49" s="5"/>
      <c r="M49" s="5"/>
      <c r="N49" s="5"/>
      <c r="O49" s="5">
        <v>3956</v>
      </c>
      <c r="P49" s="5"/>
      <c r="Q49" s="5"/>
      <c r="R49" s="5"/>
      <c r="S49" s="5">
        <v>791</v>
      </c>
      <c r="T49" s="5">
        <v>3470</v>
      </c>
      <c r="U49" s="5"/>
      <c r="V49" s="5">
        <v>0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16937</v>
      </c>
      <c r="AG49" s="5"/>
      <c r="AH49" s="5"/>
      <c r="AI49" s="5">
        <v>1722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1948</v>
      </c>
      <c r="AU49" s="5"/>
      <c r="AV49" s="5"/>
    </row>
    <row r="50" spans="1:48" x14ac:dyDescent="0.35">
      <c r="A50" s="4" t="s">
        <v>256</v>
      </c>
      <c r="B50" s="5"/>
      <c r="C50" s="5"/>
      <c r="D50" s="5"/>
      <c r="E50" s="5"/>
      <c r="F50" s="5"/>
      <c r="G50" s="5"/>
      <c r="H50" s="5">
        <v>703</v>
      </c>
      <c r="I50" s="5"/>
      <c r="J50" s="5"/>
      <c r="K50" s="5"/>
      <c r="L50" s="5">
        <v>128823</v>
      </c>
      <c r="M50" s="5"/>
      <c r="N50" s="5"/>
      <c r="O50" s="5">
        <v>10</v>
      </c>
      <c r="P50" s="5"/>
      <c r="Q50" s="5"/>
      <c r="R50" s="5"/>
      <c r="S50" s="5"/>
      <c r="T50" s="5"/>
      <c r="U50" s="5"/>
      <c r="V50" s="5">
        <v>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6665</v>
      </c>
      <c r="AG50" s="5">
        <v>53</v>
      </c>
      <c r="AH50" s="5"/>
      <c r="AI50" s="5">
        <v>2352</v>
      </c>
      <c r="AJ50" s="5"/>
      <c r="AK50" s="5">
        <v>319</v>
      </c>
      <c r="AL50" s="5"/>
      <c r="AM50" s="5">
        <v>580</v>
      </c>
      <c r="AN50" s="5"/>
      <c r="AO50" s="5"/>
      <c r="AP50" s="5"/>
      <c r="AQ50" s="5">
        <v>4562</v>
      </c>
      <c r="AR50" s="5"/>
      <c r="AS50" s="5"/>
      <c r="AT50" s="5">
        <v>817</v>
      </c>
      <c r="AU50" s="5"/>
      <c r="AV50" s="5"/>
    </row>
    <row r="51" spans="1:48" x14ac:dyDescent="0.35">
      <c r="A51" s="4" t="s">
        <v>257</v>
      </c>
      <c r="B51" s="5"/>
      <c r="C51" s="5"/>
      <c r="D51" s="5"/>
      <c r="E51" s="5"/>
      <c r="F51" s="5"/>
      <c r="G51" s="5"/>
      <c r="H51" s="5">
        <v>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177</v>
      </c>
      <c r="T51" s="5"/>
      <c r="U51" s="5"/>
      <c r="V51" s="5">
        <v>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12281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35">
      <c r="A52" s="4" t="s">
        <v>258</v>
      </c>
      <c r="B52" s="5"/>
      <c r="C52" s="5"/>
      <c r="D52" s="5"/>
      <c r="E52" s="5"/>
      <c r="F52" s="5"/>
      <c r="G52" s="5"/>
      <c r="H52" s="5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>
        <v>5870</v>
      </c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4" t="s">
        <v>259</v>
      </c>
      <c r="B53" s="5">
        <v>192</v>
      </c>
      <c r="C53" s="5"/>
      <c r="D53" s="5"/>
      <c r="E53" s="5">
        <v>188</v>
      </c>
      <c r="F53" s="5"/>
      <c r="G53" s="5">
        <v>5793</v>
      </c>
      <c r="H53" s="5">
        <v>179</v>
      </c>
      <c r="I53" s="5"/>
      <c r="J53" s="5"/>
      <c r="K53" s="5"/>
      <c r="L53" s="5"/>
      <c r="M53" s="5"/>
      <c r="N53" s="5"/>
      <c r="O53" s="5">
        <v>408</v>
      </c>
      <c r="P53" s="5"/>
      <c r="Q53" s="5"/>
      <c r="R53" s="5"/>
      <c r="S53" s="5">
        <v>136</v>
      </c>
      <c r="T53" s="5"/>
      <c r="U53" s="5"/>
      <c r="V53" s="5">
        <v>81</v>
      </c>
      <c r="W53" s="5"/>
      <c r="X53" s="5"/>
      <c r="Y53" s="5"/>
      <c r="Z53" s="5"/>
      <c r="AA53" s="5">
        <v>201</v>
      </c>
      <c r="AB53" s="5"/>
      <c r="AC53" s="5"/>
      <c r="AD53" s="5"/>
      <c r="AE53" s="5"/>
      <c r="AF53" s="5">
        <v>2261</v>
      </c>
      <c r="AG53" s="5">
        <v>300</v>
      </c>
      <c r="AH53" s="5"/>
      <c r="AI53" s="5">
        <v>45</v>
      </c>
      <c r="AJ53" s="5"/>
      <c r="AK53" s="5">
        <v>213</v>
      </c>
      <c r="AL53" s="5"/>
      <c r="AM53" s="5">
        <v>253</v>
      </c>
      <c r="AN53" s="5"/>
      <c r="AO53" s="5"/>
      <c r="AP53" s="5"/>
      <c r="AQ53" s="5">
        <v>1312</v>
      </c>
      <c r="AR53" s="5"/>
      <c r="AS53" s="5"/>
      <c r="AT53" s="5">
        <v>32</v>
      </c>
      <c r="AU53" s="5"/>
      <c r="AV53" s="5"/>
    </row>
    <row r="54" spans="1:48" x14ac:dyDescent="0.35">
      <c r="A54" s="4" t="s">
        <v>260</v>
      </c>
      <c r="B54" s="5"/>
      <c r="C54" s="5"/>
      <c r="D54" s="5"/>
      <c r="E54" s="5">
        <v>496</v>
      </c>
      <c r="F54" s="5"/>
      <c r="G54" s="5">
        <v>4971</v>
      </c>
      <c r="H54" s="5">
        <v>29</v>
      </c>
      <c r="I54" s="5"/>
      <c r="J54" s="5"/>
      <c r="K54" s="5"/>
      <c r="L54" s="5"/>
      <c r="M54" s="5"/>
      <c r="N54" s="5"/>
      <c r="O54" s="5">
        <v>38</v>
      </c>
      <c r="P54" s="5"/>
      <c r="Q54" s="5"/>
      <c r="R54" s="5"/>
      <c r="S54" s="5">
        <v>18</v>
      </c>
      <c r="T54" s="5"/>
      <c r="U54" s="5"/>
      <c r="V54" s="5">
        <v>3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93</v>
      </c>
      <c r="AG54" s="5">
        <v>123</v>
      </c>
      <c r="AH54" s="5"/>
      <c r="AI54" s="5"/>
      <c r="AJ54" s="5"/>
      <c r="AK54" s="5">
        <v>8</v>
      </c>
      <c r="AL54" s="5">
        <v>7908</v>
      </c>
      <c r="AM54" s="5">
        <v>11</v>
      </c>
      <c r="AN54" s="5"/>
      <c r="AO54" s="5"/>
      <c r="AP54" s="5"/>
      <c r="AQ54" s="5">
        <v>864</v>
      </c>
      <c r="AR54" s="5"/>
      <c r="AS54" s="5"/>
      <c r="AT54" s="5">
        <v>117</v>
      </c>
      <c r="AU54" s="5"/>
      <c r="AV54" s="5"/>
    </row>
    <row r="55" spans="1:48" x14ac:dyDescent="0.35">
      <c r="A55" s="4" t="s">
        <v>261</v>
      </c>
      <c r="B55" s="5"/>
      <c r="C55" s="5"/>
      <c r="D55" s="5"/>
      <c r="E55" s="5"/>
      <c r="F55" s="5"/>
      <c r="G55" s="5">
        <v>118</v>
      </c>
      <c r="H55" s="5">
        <v>14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20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302</v>
      </c>
      <c r="AG55" s="5"/>
      <c r="AH55" s="5"/>
      <c r="AI55" s="5"/>
      <c r="AJ55" s="5"/>
      <c r="AK55" s="5"/>
      <c r="AL55" s="5">
        <v>202</v>
      </c>
      <c r="AM55" s="5"/>
      <c r="AN55" s="5"/>
      <c r="AO55" s="5"/>
      <c r="AP55" s="5"/>
      <c r="AQ55" s="5"/>
      <c r="AR55" s="5"/>
      <c r="AS55" s="5"/>
      <c r="AT55" s="5">
        <v>58</v>
      </c>
      <c r="AU55" s="5"/>
      <c r="AV55" s="5"/>
    </row>
    <row r="56" spans="1:48" x14ac:dyDescent="0.35">
      <c r="A56" s="4" t="s">
        <v>262</v>
      </c>
      <c r="B56" s="5">
        <v>9</v>
      </c>
      <c r="C56" s="5"/>
      <c r="D56" s="5">
        <v>1</v>
      </c>
      <c r="E56" s="5"/>
      <c r="F56" s="5"/>
      <c r="G56" s="5">
        <v>267</v>
      </c>
      <c r="H56" s="5">
        <v>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</v>
      </c>
      <c r="T56" s="5"/>
      <c r="U56" s="5"/>
      <c r="V56" s="5">
        <v>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11</v>
      </c>
      <c r="AG56" s="5"/>
      <c r="AH56" s="5"/>
      <c r="AI56" s="5">
        <v>41</v>
      </c>
      <c r="AJ56" s="5">
        <v>4</v>
      </c>
      <c r="AK56" s="5">
        <v>1</v>
      </c>
      <c r="AL56" s="5"/>
      <c r="AM56" s="5">
        <v>3</v>
      </c>
      <c r="AN56" s="5"/>
      <c r="AO56" s="5"/>
      <c r="AP56" s="5"/>
      <c r="AQ56" s="5"/>
      <c r="AR56" s="5"/>
      <c r="AS56" s="5">
        <v>34</v>
      </c>
      <c r="AT56" s="5">
        <v>5</v>
      </c>
      <c r="AU56" s="5"/>
      <c r="AV56" s="5"/>
    </row>
    <row r="57" spans="1:48" x14ac:dyDescent="0.35">
      <c r="A57" s="4" t="s">
        <v>263</v>
      </c>
      <c r="B57" s="5">
        <v>8</v>
      </c>
      <c r="C57" s="5"/>
      <c r="D57" s="5"/>
      <c r="E57" s="5"/>
      <c r="F57" s="5"/>
      <c r="G57" s="5">
        <v>267</v>
      </c>
      <c r="H57" s="5">
        <v>85</v>
      </c>
      <c r="I57" s="5"/>
      <c r="J57" s="5"/>
      <c r="K57" s="5"/>
      <c r="L57" s="5"/>
      <c r="M57" s="5"/>
      <c r="N57" s="5"/>
      <c r="O57" s="5">
        <v>15</v>
      </c>
      <c r="P57" s="5"/>
      <c r="Q57" s="5"/>
      <c r="R57" s="5"/>
      <c r="S57" s="5"/>
      <c r="T57" s="5"/>
      <c r="U57" s="5"/>
      <c r="V57" s="5">
        <v>0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393</v>
      </c>
      <c r="AG57" s="5"/>
      <c r="AH57" s="5"/>
      <c r="AI57" s="5">
        <v>16</v>
      </c>
      <c r="AJ57" s="5"/>
      <c r="AK57" s="5"/>
      <c r="AL57" s="5">
        <v>8742</v>
      </c>
      <c r="AM57" s="5"/>
      <c r="AN57" s="5"/>
      <c r="AO57" s="5"/>
      <c r="AP57" s="5"/>
      <c r="AQ57" s="5"/>
      <c r="AR57" s="5"/>
      <c r="AS57" s="5"/>
      <c r="AT57" s="5">
        <v>61</v>
      </c>
      <c r="AU57" s="5"/>
      <c r="AV57" s="5"/>
    </row>
    <row r="58" spans="1:48" x14ac:dyDescent="0.35">
      <c r="A58" s="4" t="s">
        <v>264</v>
      </c>
      <c r="B58" s="5">
        <v>6</v>
      </c>
      <c r="C58" s="5"/>
      <c r="D58" s="5"/>
      <c r="E58" s="5"/>
      <c r="F58" s="5"/>
      <c r="G58" s="5"/>
      <c r="H58" s="5">
        <v>10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</v>
      </c>
      <c r="T58" s="5"/>
      <c r="U58" s="5"/>
      <c r="V58" s="5">
        <v>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41</v>
      </c>
      <c r="AU58" s="5"/>
      <c r="AV58" s="5"/>
    </row>
    <row r="59" spans="1:48" x14ac:dyDescent="0.35">
      <c r="A59" s="4" t="s">
        <v>265</v>
      </c>
      <c r="B59" s="5">
        <v>28</v>
      </c>
      <c r="C59" s="5"/>
      <c r="D59" s="5"/>
      <c r="E59" s="5"/>
      <c r="F59" s="5"/>
      <c r="G59" s="5"/>
      <c r="H59" s="5">
        <v>109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414</v>
      </c>
      <c r="AG59" s="5"/>
      <c r="AH59" s="5"/>
      <c r="AI59" s="5">
        <v>402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21</v>
      </c>
      <c r="AU59" s="5"/>
      <c r="AV59" s="5"/>
    </row>
    <row r="60" spans="1:48" x14ac:dyDescent="0.35">
      <c r="A60" s="4" t="s">
        <v>266</v>
      </c>
      <c r="B60" s="5">
        <v>884</v>
      </c>
      <c r="C60" s="5"/>
      <c r="D60" s="5"/>
      <c r="E60" s="5"/>
      <c r="F60" s="5"/>
      <c r="G60" s="5"/>
      <c r="H60" s="5">
        <v>851</v>
      </c>
      <c r="I60" s="5">
        <v>364</v>
      </c>
      <c r="J60" s="5"/>
      <c r="K60" s="5"/>
      <c r="L60" s="5">
        <v>14580</v>
      </c>
      <c r="M60" s="5"/>
      <c r="N60" s="5"/>
      <c r="O60" s="5">
        <v>107</v>
      </c>
      <c r="P60" s="5"/>
      <c r="Q60" s="5"/>
      <c r="R60" s="5"/>
      <c r="S60" s="5">
        <v>202</v>
      </c>
      <c r="T60" s="5"/>
      <c r="U60" s="5"/>
      <c r="V60" s="5">
        <v>81</v>
      </c>
      <c r="W60" s="5">
        <v>1055</v>
      </c>
      <c r="X60" s="5"/>
      <c r="Y60" s="5"/>
      <c r="Z60" s="5"/>
      <c r="AA60" s="5">
        <v>35</v>
      </c>
      <c r="AB60" s="5"/>
      <c r="AC60" s="5"/>
      <c r="AD60" s="5"/>
      <c r="AE60" s="5"/>
      <c r="AF60" s="5">
        <v>855</v>
      </c>
      <c r="AG60" s="5"/>
      <c r="AH60" s="5"/>
      <c r="AI60" s="5">
        <v>1082</v>
      </c>
      <c r="AJ60" s="5"/>
      <c r="AK60" s="5">
        <v>25</v>
      </c>
      <c r="AL60" s="5"/>
      <c r="AM60" s="5">
        <v>68</v>
      </c>
      <c r="AN60" s="5"/>
      <c r="AO60" s="5"/>
      <c r="AP60" s="5"/>
      <c r="AQ60" s="5"/>
      <c r="AR60" s="5"/>
      <c r="AS60" s="5"/>
      <c r="AT60" s="5">
        <v>397</v>
      </c>
      <c r="AU60" s="5"/>
      <c r="AV60" s="5"/>
    </row>
    <row r="61" spans="1:48" x14ac:dyDescent="0.35">
      <c r="A61" s="4" t="s">
        <v>267</v>
      </c>
      <c r="B61" s="5">
        <v>99</v>
      </c>
      <c r="C61" s="5"/>
      <c r="D61" s="5">
        <v>2</v>
      </c>
      <c r="E61" s="5"/>
      <c r="F61" s="5"/>
      <c r="G61" s="5">
        <v>2368</v>
      </c>
      <c r="H61" s="5">
        <v>157</v>
      </c>
      <c r="I61" s="5"/>
      <c r="J61" s="5"/>
      <c r="K61" s="5"/>
      <c r="L61" s="5"/>
      <c r="M61" s="5"/>
      <c r="N61" s="5">
        <v>60</v>
      </c>
      <c r="O61" s="5"/>
      <c r="P61" s="5"/>
      <c r="Q61" s="5"/>
      <c r="R61" s="5"/>
      <c r="S61" s="5">
        <v>26</v>
      </c>
      <c r="T61" s="5"/>
      <c r="U61" s="5"/>
      <c r="V61" s="5">
        <v>14</v>
      </c>
      <c r="W61" s="5"/>
      <c r="X61" s="5"/>
      <c r="Y61" s="5"/>
      <c r="Z61" s="5"/>
      <c r="AA61" s="5">
        <v>11</v>
      </c>
      <c r="AB61" s="5"/>
      <c r="AC61" s="5"/>
      <c r="AD61" s="5"/>
      <c r="AE61" s="5"/>
      <c r="AF61" s="5">
        <v>95</v>
      </c>
      <c r="AG61" s="5">
        <v>41</v>
      </c>
      <c r="AH61" s="5"/>
      <c r="AI61" s="5">
        <v>188</v>
      </c>
      <c r="AJ61" s="5">
        <v>35</v>
      </c>
      <c r="AK61" s="5">
        <v>9</v>
      </c>
      <c r="AL61" s="5"/>
      <c r="AM61" s="5">
        <v>14</v>
      </c>
      <c r="AN61" s="5"/>
      <c r="AO61" s="5"/>
      <c r="AP61" s="5"/>
      <c r="AQ61" s="5"/>
      <c r="AR61" s="5"/>
      <c r="AS61" s="5">
        <v>46</v>
      </c>
      <c r="AT61" s="5">
        <v>63</v>
      </c>
      <c r="AU61" s="5"/>
      <c r="AV61" s="5"/>
    </row>
    <row r="62" spans="1:48" x14ac:dyDescent="0.35">
      <c r="A62" s="4" t="s">
        <v>268</v>
      </c>
      <c r="B62" s="5">
        <v>335</v>
      </c>
      <c r="C62" s="5"/>
      <c r="D62" s="5"/>
      <c r="E62" s="5"/>
      <c r="F62" s="5"/>
      <c r="G62" s="5"/>
      <c r="H62" s="5">
        <v>84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5">
      <c r="A63" s="4" t="s">
        <v>269</v>
      </c>
      <c r="B63" s="5">
        <v>1</v>
      </c>
      <c r="C63" s="5"/>
      <c r="D63" s="5"/>
      <c r="E63" s="5"/>
      <c r="F63" s="5"/>
      <c r="G63" s="5">
        <v>32</v>
      </c>
      <c r="H63" s="5">
        <v>33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0</v>
      </c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35">
      <c r="A64" s="8" t="s">
        <v>317</v>
      </c>
      <c r="B64" s="6">
        <f>SUM(B4:B63)</f>
        <v>53175</v>
      </c>
      <c r="C64" s="6">
        <f t="shared" ref="C64:AV64" si="0">SUM(C4:C63)</f>
        <v>0</v>
      </c>
      <c r="D64" s="6">
        <f t="shared" si="0"/>
        <v>1180</v>
      </c>
      <c r="E64" s="6">
        <f t="shared" si="0"/>
        <v>307934</v>
      </c>
      <c r="F64" s="6">
        <f t="shared" si="0"/>
        <v>11786</v>
      </c>
      <c r="G64" s="6">
        <f t="shared" si="0"/>
        <v>1037114</v>
      </c>
      <c r="H64" s="6">
        <f t="shared" si="0"/>
        <v>22486</v>
      </c>
      <c r="I64" s="6">
        <f t="shared" si="0"/>
        <v>12588</v>
      </c>
      <c r="J64" s="6">
        <f t="shared" si="0"/>
        <v>36</v>
      </c>
      <c r="K64" s="6">
        <f t="shared" si="0"/>
        <v>90</v>
      </c>
      <c r="L64" s="6">
        <f t="shared" si="0"/>
        <v>249267</v>
      </c>
      <c r="M64" s="6">
        <f t="shared" si="0"/>
        <v>0</v>
      </c>
      <c r="N64" s="6">
        <f t="shared" si="0"/>
        <v>9084</v>
      </c>
      <c r="O64" s="6">
        <f t="shared" si="0"/>
        <v>27240</v>
      </c>
      <c r="P64" s="6">
        <f t="shared" si="0"/>
        <v>15284</v>
      </c>
      <c r="Q64" s="6">
        <f t="shared" si="0"/>
        <v>214</v>
      </c>
      <c r="R64" s="6">
        <f t="shared" si="0"/>
        <v>300</v>
      </c>
      <c r="S64" s="6">
        <f t="shared" si="0"/>
        <v>5740</v>
      </c>
      <c r="T64" s="6">
        <f t="shared" si="0"/>
        <v>51061</v>
      </c>
      <c r="U64" s="6">
        <f t="shared" si="0"/>
        <v>0</v>
      </c>
      <c r="V64" s="6">
        <f t="shared" si="0"/>
        <v>3452</v>
      </c>
      <c r="W64" s="6">
        <f t="shared" si="0"/>
        <v>172696</v>
      </c>
      <c r="X64" s="6">
        <f t="shared" si="0"/>
        <v>0</v>
      </c>
      <c r="Y64" s="6">
        <f t="shared" si="0"/>
        <v>0</v>
      </c>
      <c r="Z64" s="6">
        <f t="shared" si="0"/>
        <v>2232</v>
      </c>
      <c r="AA64" s="6">
        <f t="shared" si="0"/>
        <v>7257</v>
      </c>
      <c r="AB64" s="6">
        <f t="shared" si="0"/>
        <v>38371</v>
      </c>
      <c r="AC64" s="6">
        <f t="shared" si="0"/>
        <v>0</v>
      </c>
      <c r="AD64" s="6">
        <f t="shared" si="0"/>
        <v>0</v>
      </c>
      <c r="AE64" s="6">
        <f t="shared" si="0"/>
        <v>6946</v>
      </c>
      <c r="AF64" s="6">
        <f t="shared" si="0"/>
        <v>85891</v>
      </c>
      <c r="AG64" s="6">
        <f t="shared" si="0"/>
        <v>16107</v>
      </c>
      <c r="AH64" s="6">
        <f t="shared" si="0"/>
        <v>26924</v>
      </c>
      <c r="AI64" s="6">
        <f t="shared" si="0"/>
        <v>59338</v>
      </c>
      <c r="AJ64" s="6">
        <f t="shared" si="0"/>
        <v>572</v>
      </c>
      <c r="AK64" s="6">
        <f t="shared" si="0"/>
        <v>30583</v>
      </c>
      <c r="AL64" s="6">
        <f t="shared" si="0"/>
        <v>270528</v>
      </c>
      <c r="AM64" s="6">
        <f t="shared" si="0"/>
        <v>22259</v>
      </c>
      <c r="AN64" s="6">
        <f t="shared" si="0"/>
        <v>0</v>
      </c>
      <c r="AO64" s="6">
        <f t="shared" si="0"/>
        <v>1776</v>
      </c>
      <c r="AP64" s="6">
        <f t="shared" si="0"/>
        <v>180240</v>
      </c>
      <c r="AQ64" s="6">
        <f t="shared" si="0"/>
        <v>77497</v>
      </c>
      <c r="AR64" s="6">
        <f t="shared" si="0"/>
        <v>602</v>
      </c>
      <c r="AS64" s="6">
        <f t="shared" si="0"/>
        <v>576</v>
      </c>
      <c r="AT64" s="6">
        <f t="shared" si="0"/>
        <v>19882</v>
      </c>
      <c r="AU64" s="6">
        <f t="shared" si="0"/>
        <v>0</v>
      </c>
      <c r="AV64" s="6">
        <f t="shared" si="0"/>
        <v>0</v>
      </c>
    </row>
    <row r="66" spans="1:48" x14ac:dyDescent="0.35">
      <c r="A66" t="s">
        <v>8</v>
      </c>
      <c r="B66">
        <v>752782.1</v>
      </c>
      <c r="C66">
        <v>209572.8</v>
      </c>
      <c r="D66">
        <v>6338.5</v>
      </c>
      <c r="E66">
        <v>3709546.6</v>
      </c>
      <c r="F66">
        <v>3717724.4</v>
      </c>
      <c r="G66">
        <v>7409670.9000000004</v>
      </c>
      <c r="H66">
        <v>64066.9</v>
      </c>
      <c r="I66">
        <v>145586.5</v>
      </c>
      <c r="J66">
        <v>29875.9</v>
      </c>
      <c r="K66">
        <v>59062.8</v>
      </c>
      <c r="L66">
        <v>1025953.1</v>
      </c>
      <c r="M66">
        <v>1251836.8999999999</v>
      </c>
      <c r="N66">
        <v>450366.9</v>
      </c>
      <c r="O66">
        <v>62733.4</v>
      </c>
      <c r="P66">
        <v>425247.1</v>
      </c>
      <c r="Q66">
        <v>10569</v>
      </c>
      <c r="R66">
        <v>914051.2</v>
      </c>
      <c r="S66">
        <v>680354</v>
      </c>
      <c r="T66">
        <v>883020.80000000005</v>
      </c>
      <c r="U66">
        <v>48504</v>
      </c>
      <c r="V66">
        <v>85715.6</v>
      </c>
      <c r="W66">
        <v>902628.3</v>
      </c>
      <c r="X66">
        <v>442929.1</v>
      </c>
      <c r="Y66">
        <v>62304.1</v>
      </c>
      <c r="Z66">
        <v>1444188.8</v>
      </c>
      <c r="AA66">
        <v>157728.4</v>
      </c>
      <c r="AB66">
        <v>866367.5</v>
      </c>
      <c r="AC66">
        <v>630365.19999999995</v>
      </c>
      <c r="AD66">
        <v>843431.7</v>
      </c>
      <c r="AE66">
        <v>14477.1</v>
      </c>
      <c r="AF66">
        <v>1103037.8</v>
      </c>
      <c r="AG66">
        <v>70307.7</v>
      </c>
      <c r="AH66">
        <v>394736.7</v>
      </c>
      <c r="AI66">
        <v>535460.80000000005</v>
      </c>
      <c r="AJ66">
        <v>1804.7</v>
      </c>
      <c r="AK66">
        <v>254698.9</v>
      </c>
      <c r="AL66">
        <v>1253306.6000000001</v>
      </c>
      <c r="AM66">
        <v>303184.59999999998</v>
      </c>
      <c r="AN66">
        <v>176455.7</v>
      </c>
      <c r="AO66">
        <v>1041927.9</v>
      </c>
      <c r="AP66">
        <v>1595456</v>
      </c>
      <c r="AQ66">
        <v>641968.30000000005</v>
      </c>
      <c r="AR66">
        <v>483729.8</v>
      </c>
      <c r="AS66">
        <v>101446.8</v>
      </c>
      <c r="AT66">
        <v>266152.90000000002</v>
      </c>
      <c r="AU66">
        <v>23881.9</v>
      </c>
      <c r="AV66">
        <v>2192621.7000000002</v>
      </c>
    </row>
  </sheetData>
  <hyperlinks>
    <hyperlink ref="B1" location="Home!A1" display="HOME" xr:uid="{653E4FD5-83F2-4892-8779-F55929166524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326</v>
      </c>
      <c r="B1" s="29" t="s">
        <v>376</v>
      </c>
    </row>
    <row r="2" spans="1:48" x14ac:dyDescent="0.35">
      <c r="A2" s="11"/>
      <c r="B2" s="4" t="s">
        <v>70</v>
      </c>
      <c r="C2" s="4" t="s">
        <v>270</v>
      </c>
      <c r="D2" s="4" t="s">
        <v>272</v>
      </c>
      <c r="E2" s="4" t="s">
        <v>271</v>
      </c>
      <c r="F2" s="4" t="s">
        <v>273</v>
      </c>
      <c r="G2" s="4" t="s">
        <v>274</v>
      </c>
      <c r="H2" s="4" t="s">
        <v>275</v>
      </c>
      <c r="I2" s="4" t="s">
        <v>276</v>
      </c>
      <c r="J2" s="4" t="s">
        <v>277</v>
      </c>
      <c r="K2" s="4" t="s">
        <v>278</v>
      </c>
      <c r="L2" s="4" t="s">
        <v>279</v>
      </c>
      <c r="M2" s="4" t="s">
        <v>280</v>
      </c>
      <c r="N2" s="4" t="s">
        <v>281</v>
      </c>
      <c r="O2" s="4" t="s">
        <v>282</v>
      </c>
      <c r="P2" s="4" t="s">
        <v>283</v>
      </c>
      <c r="Q2" s="4" t="s">
        <v>284</v>
      </c>
      <c r="R2" s="4" t="s">
        <v>285</v>
      </c>
      <c r="S2" s="4" t="s">
        <v>286</v>
      </c>
      <c r="T2" s="4" t="s">
        <v>287</v>
      </c>
      <c r="U2" s="4" t="s">
        <v>288</v>
      </c>
      <c r="V2" s="4" t="s">
        <v>289</v>
      </c>
      <c r="W2" s="4" t="s">
        <v>290</v>
      </c>
      <c r="X2" s="4" t="s">
        <v>291</v>
      </c>
      <c r="Y2" s="4" t="s">
        <v>292</v>
      </c>
      <c r="Z2" s="4" t="s">
        <v>293</v>
      </c>
      <c r="AA2" s="4" t="s">
        <v>294</v>
      </c>
      <c r="AB2" s="4" t="s">
        <v>295</v>
      </c>
      <c r="AC2" s="4" t="s">
        <v>296</v>
      </c>
      <c r="AD2" s="4" t="s">
        <v>297</v>
      </c>
      <c r="AE2" s="4" t="s">
        <v>298</v>
      </c>
      <c r="AF2" s="4" t="s">
        <v>299</v>
      </c>
      <c r="AG2" s="4" t="s">
        <v>300</v>
      </c>
      <c r="AH2" s="4" t="s">
        <v>301</v>
      </c>
      <c r="AI2" s="4" t="s">
        <v>302</v>
      </c>
      <c r="AJ2" s="4" t="s">
        <v>303</v>
      </c>
      <c r="AK2" s="4" t="s">
        <v>304</v>
      </c>
      <c r="AL2" s="4" t="s">
        <v>305</v>
      </c>
      <c r="AM2" s="4" t="s">
        <v>306</v>
      </c>
      <c r="AN2" s="4" t="s">
        <v>307</v>
      </c>
      <c r="AO2" s="4" t="s">
        <v>308</v>
      </c>
      <c r="AP2" s="4" t="s">
        <v>309</v>
      </c>
      <c r="AQ2" s="4" t="s">
        <v>310</v>
      </c>
      <c r="AR2" s="4" t="s">
        <v>311</v>
      </c>
      <c r="AS2" s="4" t="s">
        <v>312</v>
      </c>
      <c r="AT2" s="4" t="s">
        <v>313</v>
      </c>
      <c r="AU2" s="4" t="s">
        <v>314</v>
      </c>
      <c r="AV2" s="4" t="s">
        <v>315</v>
      </c>
    </row>
    <row r="3" spans="1:48" x14ac:dyDescent="0.35">
      <c r="A3" s="12" t="s">
        <v>319</v>
      </c>
      <c r="B3" s="4" t="s">
        <v>71</v>
      </c>
      <c r="C3" s="4" t="s">
        <v>74</v>
      </c>
      <c r="D3" s="4" t="s">
        <v>77</v>
      </c>
      <c r="E3" s="4" t="s">
        <v>80</v>
      </c>
      <c r="F3" s="4" t="s">
        <v>83</v>
      </c>
      <c r="G3" s="4" t="s">
        <v>86</v>
      </c>
      <c r="H3" s="4" t="s">
        <v>89</v>
      </c>
      <c r="I3" s="4" t="s">
        <v>92</v>
      </c>
      <c r="J3" s="4" t="s">
        <v>95</v>
      </c>
      <c r="K3" s="4" t="s">
        <v>98</v>
      </c>
      <c r="L3" s="4" t="s">
        <v>101</v>
      </c>
      <c r="M3" s="4" t="s">
        <v>104</v>
      </c>
      <c r="N3" s="4" t="s">
        <v>107</v>
      </c>
      <c r="O3" s="4" t="s">
        <v>110</v>
      </c>
      <c r="P3" s="4" t="s">
        <v>113</v>
      </c>
      <c r="Q3" s="4" t="s">
        <v>116</v>
      </c>
      <c r="R3" s="4" t="s">
        <v>119</v>
      </c>
      <c r="S3" s="4" t="s">
        <v>122</v>
      </c>
      <c r="T3" s="4" t="s">
        <v>125</v>
      </c>
      <c r="U3" s="4" t="s">
        <v>128</v>
      </c>
      <c r="V3" s="4" t="s">
        <v>131</v>
      </c>
      <c r="W3" s="4" t="s">
        <v>134</v>
      </c>
      <c r="X3" s="4" t="s">
        <v>137</v>
      </c>
      <c r="Y3" s="4" t="s">
        <v>140</v>
      </c>
      <c r="Z3" s="4" t="s">
        <v>143</v>
      </c>
      <c r="AA3" s="4" t="s">
        <v>146</v>
      </c>
      <c r="AB3" s="4" t="s">
        <v>149</v>
      </c>
      <c r="AC3" s="4" t="s">
        <v>152</v>
      </c>
      <c r="AD3" s="4" t="s">
        <v>155</v>
      </c>
      <c r="AE3" s="4" t="s">
        <v>158</v>
      </c>
      <c r="AF3" s="4" t="s">
        <v>161</v>
      </c>
      <c r="AG3" s="4" t="s">
        <v>164</v>
      </c>
      <c r="AH3" s="4" t="s">
        <v>167</v>
      </c>
      <c r="AI3" s="4" t="s">
        <v>170</v>
      </c>
      <c r="AJ3" s="4" t="s">
        <v>173</v>
      </c>
      <c r="AK3" s="4" t="s">
        <v>176</v>
      </c>
      <c r="AL3" s="4" t="s">
        <v>179</v>
      </c>
      <c r="AM3" s="4" t="s">
        <v>182</v>
      </c>
      <c r="AN3" s="4" t="s">
        <v>185</v>
      </c>
      <c r="AO3" s="4" t="s">
        <v>188</v>
      </c>
      <c r="AP3" s="4" t="s">
        <v>191</v>
      </c>
      <c r="AQ3" s="4" t="s">
        <v>194</v>
      </c>
      <c r="AR3" s="4" t="s">
        <v>197</v>
      </c>
      <c r="AS3" s="4" t="s">
        <v>200</v>
      </c>
      <c r="AT3" s="4" t="s">
        <v>203</v>
      </c>
      <c r="AU3" s="4" t="s">
        <v>206</v>
      </c>
      <c r="AV3" s="4" t="s">
        <v>209</v>
      </c>
    </row>
    <row r="4" spans="1:48" x14ac:dyDescent="0.35">
      <c r="A4" s="4" t="s">
        <v>212</v>
      </c>
      <c r="B4" s="5">
        <v>1684</v>
      </c>
      <c r="C4" s="5">
        <v>335</v>
      </c>
      <c r="D4" s="5"/>
      <c r="E4" s="5"/>
      <c r="F4" s="5">
        <v>8395</v>
      </c>
      <c r="G4" s="5">
        <v>74543</v>
      </c>
      <c r="H4" s="5">
        <v>1368</v>
      </c>
      <c r="I4" s="5">
        <v>850</v>
      </c>
      <c r="J4" s="5">
        <v>278</v>
      </c>
      <c r="K4" s="5">
        <v>998</v>
      </c>
      <c r="L4" s="5">
        <v>72604</v>
      </c>
      <c r="M4" s="5">
        <v>6593</v>
      </c>
      <c r="N4" s="5">
        <v>908</v>
      </c>
      <c r="O4" s="5">
        <v>925</v>
      </c>
      <c r="P4" s="5"/>
      <c r="Q4" s="5">
        <v>452</v>
      </c>
      <c r="R4" s="5">
        <v>3259</v>
      </c>
      <c r="S4" s="5">
        <v>803</v>
      </c>
      <c r="T4" s="5">
        <v>5602</v>
      </c>
      <c r="U4" s="5"/>
      <c r="V4" s="5">
        <v>298</v>
      </c>
      <c r="W4" s="5">
        <v>4406</v>
      </c>
      <c r="X4" s="5">
        <v>2787</v>
      </c>
      <c r="Y4" s="5">
        <v>578</v>
      </c>
      <c r="Z4" s="5">
        <v>8042</v>
      </c>
      <c r="AA4" s="5">
        <v>693</v>
      </c>
      <c r="AB4" s="5"/>
      <c r="AC4" s="5">
        <v>2760</v>
      </c>
      <c r="AD4" s="5">
        <v>2454</v>
      </c>
      <c r="AE4" s="5">
        <v>2395</v>
      </c>
      <c r="AF4" s="5">
        <v>2473</v>
      </c>
      <c r="AG4" s="5">
        <v>806</v>
      </c>
      <c r="AH4" s="5">
        <v>1648</v>
      </c>
      <c r="AI4" s="5"/>
      <c r="AJ4" s="5">
        <v>240</v>
      </c>
      <c r="AK4" s="5">
        <v>566</v>
      </c>
      <c r="AL4" s="5">
        <v>43503</v>
      </c>
      <c r="AM4" s="5">
        <v>411</v>
      </c>
      <c r="AN4" s="5">
        <v>544</v>
      </c>
      <c r="AO4" s="5">
        <v>818</v>
      </c>
      <c r="AP4" s="5"/>
      <c r="AQ4" s="5">
        <v>4021</v>
      </c>
      <c r="AR4" s="5">
        <v>3026</v>
      </c>
      <c r="AS4" s="5">
        <v>280</v>
      </c>
      <c r="AT4" s="5">
        <v>611</v>
      </c>
      <c r="AU4" s="5">
        <v>220</v>
      </c>
      <c r="AV4" s="5">
        <v>2885</v>
      </c>
    </row>
    <row r="5" spans="1:48" x14ac:dyDescent="0.35">
      <c r="A5" s="4" t="s">
        <v>213</v>
      </c>
      <c r="B5" s="5">
        <v>732</v>
      </c>
      <c r="C5" s="5">
        <v>263</v>
      </c>
      <c r="D5" s="5"/>
      <c r="E5" s="5"/>
      <c r="F5" s="5">
        <v>5867</v>
      </c>
      <c r="G5" s="5">
        <v>71508</v>
      </c>
      <c r="H5" s="5">
        <v>570</v>
      </c>
      <c r="I5" s="5">
        <v>487</v>
      </c>
      <c r="J5" s="5">
        <v>211</v>
      </c>
      <c r="K5" s="5">
        <v>815</v>
      </c>
      <c r="L5" s="5">
        <v>32774</v>
      </c>
      <c r="M5" s="5">
        <v>3043</v>
      </c>
      <c r="N5" s="5">
        <v>346</v>
      </c>
      <c r="O5" s="5">
        <v>807</v>
      </c>
      <c r="P5" s="5"/>
      <c r="Q5" s="5">
        <v>165</v>
      </c>
      <c r="R5" s="5">
        <v>2400</v>
      </c>
      <c r="S5" s="5">
        <v>646</v>
      </c>
      <c r="T5" s="5">
        <v>4246</v>
      </c>
      <c r="U5" s="5"/>
      <c r="V5" s="5">
        <v>181</v>
      </c>
      <c r="W5" s="5">
        <v>3316</v>
      </c>
      <c r="X5" s="5">
        <v>2649</v>
      </c>
      <c r="Y5" s="5">
        <v>544</v>
      </c>
      <c r="Z5" s="5">
        <v>5602</v>
      </c>
      <c r="AA5" s="5">
        <v>672</v>
      </c>
      <c r="AB5" s="5"/>
      <c r="AC5" s="5">
        <v>2582</v>
      </c>
      <c r="AD5" s="5">
        <v>1417</v>
      </c>
      <c r="AE5" s="5">
        <v>1188</v>
      </c>
      <c r="AF5" s="5">
        <v>1695</v>
      </c>
      <c r="AG5" s="5">
        <v>806</v>
      </c>
      <c r="AH5" s="5">
        <v>1114</v>
      </c>
      <c r="AI5" s="5"/>
      <c r="AJ5" s="5">
        <v>125</v>
      </c>
      <c r="AK5" s="5">
        <v>500</v>
      </c>
      <c r="AL5" s="5">
        <v>29311</v>
      </c>
      <c r="AM5" s="5">
        <v>338</v>
      </c>
      <c r="AN5" s="5">
        <v>269</v>
      </c>
      <c r="AO5" s="5"/>
      <c r="AP5" s="5"/>
      <c r="AQ5" s="5"/>
      <c r="AR5" s="5">
        <v>1863</v>
      </c>
      <c r="AS5" s="5">
        <v>160</v>
      </c>
      <c r="AT5" s="5">
        <v>219</v>
      </c>
      <c r="AU5" s="5">
        <v>130</v>
      </c>
      <c r="AV5" s="5">
        <v>2434</v>
      </c>
    </row>
    <row r="6" spans="1:48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>
        <v>19815</v>
      </c>
      <c r="M6" s="5"/>
      <c r="N6" s="5">
        <v>13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21</v>
      </c>
      <c r="Z6" s="5">
        <v>2440</v>
      </c>
      <c r="AA6" s="5">
        <v>6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116</v>
      </c>
      <c r="AS6" s="5"/>
      <c r="AT6" s="5"/>
      <c r="AU6" s="5"/>
      <c r="AV6" s="5"/>
    </row>
    <row r="7" spans="1:48" x14ac:dyDescent="0.35">
      <c r="A7" s="4" t="s">
        <v>215</v>
      </c>
      <c r="B7" s="5"/>
      <c r="C7" s="5">
        <v>1195</v>
      </c>
      <c r="D7" s="5">
        <v>406</v>
      </c>
      <c r="E7" s="5">
        <v>93326</v>
      </c>
      <c r="F7" s="5">
        <v>61772</v>
      </c>
      <c r="G7" s="5">
        <v>110105</v>
      </c>
      <c r="H7" s="5">
        <v>6085</v>
      </c>
      <c r="I7" s="5">
        <v>4066</v>
      </c>
      <c r="J7" s="5">
        <v>4706</v>
      </c>
      <c r="K7" s="5">
        <v>6866</v>
      </c>
      <c r="L7" s="5">
        <v>56411</v>
      </c>
      <c r="M7" s="5">
        <v>12554</v>
      </c>
      <c r="N7" s="5">
        <v>3410</v>
      </c>
      <c r="O7" s="5">
        <v>7645</v>
      </c>
      <c r="P7" s="5">
        <v>9156</v>
      </c>
      <c r="Q7" s="5">
        <v>706</v>
      </c>
      <c r="R7" s="5">
        <v>9156</v>
      </c>
      <c r="S7" s="5">
        <v>4799</v>
      </c>
      <c r="T7" s="5">
        <v>15163</v>
      </c>
      <c r="U7" s="5"/>
      <c r="V7" s="5">
        <v>1498</v>
      </c>
      <c r="W7" s="5">
        <v>125024</v>
      </c>
      <c r="X7" s="5">
        <v>7195</v>
      </c>
      <c r="Y7" s="5">
        <v>744</v>
      </c>
      <c r="Z7" s="5">
        <v>59901</v>
      </c>
      <c r="AA7" s="5">
        <v>2263</v>
      </c>
      <c r="AB7" s="5">
        <v>3833</v>
      </c>
      <c r="AC7" s="5">
        <v>7957</v>
      </c>
      <c r="AD7" s="5">
        <v>5174</v>
      </c>
      <c r="AE7" s="5">
        <v>4986</v>
      </c>
      <c r="AF7" s="5">
        <v>8153</v>
      </c>
      <c r="AG7" s="5">
        <v>5307</v>
      </c>
      <c r="AH7" s="5">
        <v>13345</v>
      </c>
      <c r="AI7" s="5"/>
      <c r="AJ7" s="5">
        <v>951</v>
      </c>
      <c r="AK7" s="5">
        <v>5757</v>
      </c>
      <c r="AL7" s="5">
        <v>70552</v>
      </c>
      <c r="AM7" s="5">
        <v>3726</v>
      </c>
      <c r="AN7" s="5">
        <v>5081</v>
      </c>
      <c r="AO7" s="5">
        <v>4107</v>
      </c>
      <c r="AP7" s="5">
        <v>52907</v>
      </c>
      <c r="AQ7" s="5">
        <v>20746</v>
      </c>
      <c r="AR7" s="5">
        <v>27874</v>
      </c>
      <c r="AS7" s="5">
        <v>4971</v>
      </c>
      <c r="AT7" s="5">
        <v>1951</v>
      </c>
      <c r="AU7" s="5">
        <v>679</v>
      </c>
      <c r="AV7" s="5">
        <v>31940</v>
      </c>
    </row>
    <row r="8" spans="1:48" x14ac:dyDescent="0.35">
      <c r="A8" s="4" t="s">
        <v>216</v>
      </c>
      <c r="B8" s="5"/>
      <c r="C8" s="5"/>
      <c r="D8" s="5"/>
      <c r="E8" s="5"/>
      <c r="F8" s="5">
        <v>16159</v>
      </c>
      <c r="G8" s="5">
        <v>71237</v>
      </c>
      <c r="H8" s="5"/>
      <c r="I8" s="5">
        <v>671</v>
      </c>
      <c r="J8" s="5"/>
      <c r="K8" s="5"/>
      <c r="L8" s="5">
        <v>8948</v>
      </c>
      <c r="M8" s="5"/>
      <c r="N8" s="5">
        <v>1055</v>
      </c>
      <c r="O8" s="5"/>
      <c r="P8" s="5"/>
      <c r="Q8" s="5"/>
      <c r="R8" s="5"/>
      <c r="S8" s="5"/>
      <c r="T8" s="5"/>
      <c r="U8" s="5"/>
      <c r="V8" s="5"/>
      <c r="W8" s="5">
        <v>10489</v>
      </c>
      <c r="X8" s="5"/>
      <c r="Y8" s="5">
        <v>0</v>
      </c>
      <c r="Z8" s="5"/>
      <c r="AA8" s="5">
        <v>892</v>
      </c>
      <c r="AB8" s="5">
        <v>3994</v>
      </c>
      <c r="AC8" s="5"/>
      <c r="AD8" s="5">
        <v>3235</v>
      </c>
      <c r="AE8" s="5"/>
      <c r="AF8" s="5">
        <v>6021</v>
      </c>
      <c r="AG8" s="5">
        <v>5</v>
      </c>
      <c r="AH8" s="5">
        <v>1471</v>
      </c>
      <c r="AI8" s="5"/>
      <c r="AJ8" s="5">
        <v>158</v>
      </c>
      <c r="AK8" s="5"/>
      <c r="AL8" s="5"/>
      <c r="AM8" s="5"/>
      <c r="AN8" s="5"/>
      <c r="AO8" s="5">
        <v>906</v>
      </c>
      <c r="AP8" s="5"/>
      <c r="AQ8" s="5">
        <v>2137</v>
      </c>
      <c r="AR8" s="5"/>
      <c r="AS8" s="5"/>
      <c r="AT8" s="5">
        <v>1285</v>
      </c>
      <c r="AU8" s="5">
        <v>484</v>
      </c>
      <c r="AV8" s="5"/>
    </row>
    <row r="9" spans="1:48" x14ac:dyDescent="0.35">
      <c r="A9" s="4" t="s">
        <v>217</v>
      </c>
      <c r="B9" s="5">
        <v>91</v>
      </c>
      <c r="C9" s="5">
        <v>10</v>
      </c>
      <c r="D9" s="5"/>
      <c r="E9" s="5">
        <v>404</v>
      </c>
      <c r="F9" s="5">
        <v>1889</v>
      </c>
      <c r="G9" s="5">
        <v>4358</v>
      </c>
      <c r="H9" s="5">
        <v>40</v>
      </c>
      <c r="I9" s="5">
        <v>112</v>
      </c>
      <c r="J9" s="5">
        <v>74</v>
      </c>
      <c r="K9" s="5">
        <v>159</v>
      </c>
      <c r="L9" s="5">
        <v>15437</v>
      </c>
      <c r="M9" s="5">
        <v>1652</v>
      </c>
      <c r="N9" s="5">
        <v>12</v>
      </c>
      <c r="O9" s="5">
        <v>96</v>
      </c>
      <c r="P9" s="5">
        <v>14</v>
      </c>
      <c r="Q9" s="5">
        <v>81</v>
      </c>
      <c r="R9" s="5"/>
      <c r="S9" s="5">
        <v>3</v>
      </c>
      <c r="T9" s="5">
        <v>506</v>
      </c>
      <c r="U9" s="5"/>
      <c r="V9" s="5">
        <v>4</v>
      </c>
      <c r="W9" s="5">
        <v>713</v>
      </c>
      <c r="X9" s="5">
        <v>73</v>
      </c>
      <c r="Y9" s="5">
        <v>0</v>
      </c>
      <c r="Z9" s="5">
        <v>841</v>
      </c>
      <c r="AA9" s="5">
        <v>3</v>
      </c>
      <c r="AB9" s="5">
        <v>225</v>
      </c>
      <c r="AC9" s="5">
        <v>112</v>
      </c>
      <c r="AD9" s="5">
        <v>30</v>
      </c>
      <c r="AE9" s="5">
        <v>466</v>
      </c>
      <c r="AF9" s="5">
        <v>255</v>
      </c>
      <c r="AG9" s="5">
        <v>87</v>
      </c>
      <c r="AH9" s="5">
        <v>228</v>
      </c>
      <c r="AI9" s="5"/>
      <c r="AJ9" s="5"/>
      <c r="AK9" s="5">
        <v>15</v>
      </c>
      <c r="AL9" s="5">
        <v>6433</v>
      </c>
      <c r="AM9" s="5">
        <v>32</v>
      </c>
      <c r="AN9" s="5">
        <v>27</v>
      </c>
      <c r="AO9" s="5">
        <v>30</v>
      </c>
      <c r="AP9" s="5">
        <v>26</v>
      </c>
      <c r="AQ9" s="5">
        <v>160</v>
      </c>
      <c r="AR9" s="5">
        <v>104</v>
      </c>
      <c r="AS9" s="5">
        <v>186</v>
      </c>
      <c r="AT9" s="5">
        <v>21</v>
      </c>
      <c r="AU9" s="5">
        <v>32</v>
      </c>
      <c r="AV9" s="5">
        <v>682</v>
      </c>
    </row>
    <row r="10" spans="1:48" x14ac:dyDescent="0.35">
      <c r="A10" s="4" t="s">
        <v>218</v>
      </c>
      <c r="B10" s="5">
        <v>239</v>
      </c>
      <c r="C10" s="5">
        <v>36</v>
      </c>
      <c r="D10" s="5"/>
      <c r="E10" s="5">
        <v>1687</v>
      </c>
      <c r="F10" s="5">
        <v>10752</v>
      </c>
      <c r="G10" s="5">
        <v>24668</v>
      </c>
      <c r="H10" s="5">
        <v>227</v>
      </c>
      <c r="I10" s="5">
        <v>78</v>
      </c>
      <c r="J10" s="5">
        <v>281</v>
      </c>
      <c r="K10" s="5">
        <v>398</v>
      </c>
      <c r="L10" s="5">
        <v>18807</v>
      </c>
      <c r="M10" s="5">
        <v>2302</v>
      </c>
      <c r="N10" s="5">
        <v>306</v>
      </c>
      <c r="O10" s="5">
        <v>156</v>
      </c>
      <c r="P10" s="5">
        <v>119</v>
      </c>
      <c r="Q10" s="5">
        <v>172</v>
      </c>
      <c r="R10" s="5">
        <v>14</v>
      </c>
      <c r="S10" s="5">
        <v>269</v>
      </c>
      <c r="T10" s="5">
        <v>2495</v>
      </c>
      <c r="U10" s="5">
        <v>10</v>
      </c>
      <c r="V10" s="5">
        <v>2</v>
      </c>
      <c r="W10" s="5">
        <v>918</v>
      </c>
      <c r="X10" s="5">
        <v>255</v>
      </c>
      <c r="Y10" s="5">
        <v>11</v>
      </c>
      <c r="Z10" s="5">
        <v>964</v>
      </c>
      <c r="AA10" s="5">
        <v>93</v>
      </c>
      <c r="AB10" s="5">
        <v>27</v>
      </c>
      <c r="AC10" s="5">
        <v>387</v>
      </c>
      <c r="AD10" s="5">
        <v>182</v>
      </c>
      <c r="AE10" s="5">
        <v>748</v>
      </c>
      <c r="AF10" s="5">
        <v>305</v>
      </c>
      <c r="AG10" s="5">
        <v>464</v>
      </c>
      <c r="AH10" s="5">
        <v>886</v>
      </c>
      <c r="AI10" s="5"/>
      <c r="AJ10" s="5">
        <v>124</v>
      </c>
      <c r="AK10" s="5">
        <v>156</v>
      </c>
      <c r="AL10" s="5"/>
      <c r="AM10" s="5">
        <v>360</v>
      </c>
      <c r="AN10" s="5">
        <v>157</v>
      </c>
      <c r="AO10" s="5">
        <v>60</v>
      </c>
      <c r="AP10" s="5">
        <v>324</v>
      </c>
      <c r="AQ10" s="5">
        <v>727</v>
      </c>
      <c r="AR10" s="5">
        <v>1397</v>
      </c>
      <c r="AS10" s="5">
        <v>451</v>
      </c>
      <c r="AT10" s="5">
        <v>213</v>
      </c>
      <c r="AU10" s="5">
        <v>36</v>
      </c>
      <c r="AV10" s="5">
        <v>1845</v>
      </c>
    </row>
    <row r="11" spans="1:48" x14ac:dyDescent="0.35">
      <c r="A11" s="4" t="s">
        <v>219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25611</v>
      </c>
      <c r="M11" s="5"/>
      <c r="N11" s="5">
        <v>4463</v>
      </c>
      <c r="O11" s="5">
        <v>534</v>
      </c>
      <c r="P11" s="5"/>
      <c r="Q11" s="5"/>
      <c r="R11" s="5"/>
      <c r="S11" s="5"/>
      <c r="T11" s="5"/>
      <c r="U11" s="5"/>
      <c r="V11" s="5"/>
      <c r="W11" s="5"/>
      <c r="X11" s="5"/>
      <c r="Y11" s="5">
        <v>3</v>
      </c>
      <c r="Z11" s="5">
        <v>2759</v>
      </c>
      <c r="AA11" s="5"/>
      <c r="AB11" s="5"/>
      <c r="AC11" s="5"/>
      <c r="AD11" s="5"/>
      <c r="AE11" s="5"/>
      <c r="AF11" s="5">
        <v>7169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12259</v>
      </c>
      <c r="AS11" s="5"/>
      <c r="AT11" s="5">
        <v>1050</v>
      </c>
      <c r="AU11" s="5"/>
      <c r="AV11" s="5"/>
    </row>
    <row r="12" spans="1:48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927</v>
      </c>
      <c r="P12" s="5"/>
      <c r="Q12" s="5"/>
      <c r="R12" s="5"/>
      <c r="S12" s="5"/>
      <c r="T12" s="5"/>
      <c r="U12" s="5"/>
      <c r="V12" s="5"/>
      <c r="W12" s="5"/>
      <c r="X12" s="5"/>
      <c r="Y12" s="5">
        <v>15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419</v>
      </c>
      <c r="AS12" s="5"/>
      <c r="AT12" s="5"/>
      <c r="AU12" s="5"/>
      <c r="AV12" s="5"/>
    </row>
    <row r="13" spans="1:48" x14ac:dyDescent="0.35">
      <c r="A13" s="4" t="s">
        <v>221</v>
      </c>
      <c r="B13" s="5"/>
      <c r="C13" s="5"/>
      <c r="D13" s="5"/>
      <c r="E13" s="5"/>
      <c r="F13" s="5"/>
      <c r="G13" s="5">
        <v>56</v>
      </c>
      <c r="H13" s="5"/>
      <c r="I13" s="5"/>
      <c r="J13" s="5"/>
      <c r="K13" s="5"/>
      <c r="L13" s="5"/>
      <c r="M13" s="5"/>
      <c r="N13" s="5"/>
      <c r="O13" s="5">
        <v>9</v>
      </c>
      <c r="P13" s="5"/>
      <c r="Q13" s="5"/>
      <c r="R13" s="5"/>
      <c r="S13" s="5"/>
      <c r="T13" s="5"/>
      <c r="U13" s="5"/>
      <c r="V13" s="5"/>
      <c r="W13" s="5"/>
      <c r="X13" s="5"/>
      <c r="Y13" s="5">
        <v>0</v>
      </c>
      <c r="Z13" s="5"/>
      <c r="AA13" s="5"/>
      <c r="AB13" s="5"/>
      <c r="AC13" s="5"/>
      <c r="AD13" s="5"/>
      <c r="AE13" s="5"/>
      <c r="AF13" s="5">
        <v>3</v>
      </c>
      <c r="AG13" s="5"/>
      <c r="AH13" s="5"/>
      <c r="AI13" s="5"/>
      <c r="AJ13" s="5"/>
      <c r="AK13" s="5"/>
      <c r="AL13" s="5">
        <v>3512</v>
      </c>
      <c r="AM13" s="5"/>
      <c r="AN13" s="5"/>
      <c r="AO13" s="5"/>
      <c r="AP13" s="5"/>
      <c r="AQ13" s="5"/>
      <c r="AR13" s="5"/>
      <c r="AS13" s="5"/>
      <c r="AT13" s="5">
        <v>25</v>
      </c>
      <c r="AU13" s="5"/>
      <c r="AV13" s="5"/>
    </row>
    <row r="14" spans="1:48" x14ac:dyDescent="0.35">
      <c r="A14" s="4" t="s">
        <v>222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v>515</v>
      </c>
      <c r="M14" s="5"/>
      <c r="N14" s="5"/>
      <c r="O14" s="5">
        <v>16</v>
      </c>
      <c r="P14" s="5"/>
      <c r="Q14" s="5"/>
      <c r="R14" s="5"/>
      <c r="S14" s="5"/>
      <c r="T14" s="5"/>
      <c r="U14" s="5"/>
      <c r="V14" s="5"/>
      <c r="W14" s="5"/>
      <c r="X14" s="5"/>
      <c r="Y14" s="5">
        <v>2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2</v>
      </c>
      <c r="AM14" s="5"/>
      <c r="AN14" s="5"/>
      <c r="AO14" s="5"/>
      <c r="AP14" s="5"/>
      <c r="AQ14" s="5"/>
      <c r="AR14" s="5"/>
      <c r="AS14" s="5"/>
      <c r="AT14" s="5">
        <v>23</v>
      </c>
      <c r="AU14" s="5"/>
      <c r="AV14" s="5"/>
    </row>
    <row r="15" spans="1:48" x14ac:dyDescent="0.35">
      <c r="A15" s="4" t="s">
        <v>223</v>
      </c>
      <c r="B15" s="5"/>
      <c r="C15" s="5">
        <v>115</v>
      </c>
      <c r="D15" s="5"/>
      <c r="E15" s="5"/>
      <c r="F15" s="5">
        <v>37259</v>
      </c>
      <c r="G15" s="5">
        <v>116454</v>
      </c>
      <c r="H15" s="5"/>
      <c r="I15" s="5"/>
      <c r="J15" s="5">
        <v>6324</v>
      </c>
      <c r="K15" s="5">
        <v>14508</v>
      </c>
      <c r="L15" s="5"/>
      <c r="M15" s="5">
        <v>1680</v>
      </c>
      <c r="N15" s="5"/>
      <c r="O15" s="5"/>
      <c r="P15" s="5">
        <v>11845</v>
      </c>
      <c r="Q15" s="5">
        <v>117</v>
      </c>
      <c r="R15" s="5"/>
      <c r="S15" s="5"/>
      <c r="T15" s="5">
        <v>14556</v>
      </c>
      <c r="U15" s="5"/>
      <c r="V15" s="5">
        <v>1553</v>
      </c>
      <c r="W15" s="5">
        <v>15820</v>
      </c>
      <c r="X15" s="5">
        <v>16567</v>
      </c>
      <c r="Y15" s="5">
        <v>3481</v>
      </c>
      <c r="Z15" s="5">
        <v>58079</v>
      </c>
      <c r="AA15" s="5">
        <v>3391</v>
      </c>
      <c r="AB15" s="5">
        <v>35000</v>
      </c>
      <c r="AC15" s="5">
        <v>10016</v>
      </c>
      <c r="AD15" s="5">
        <v>1152</v>
      </c>
      <c r="AE15" s="5">
        <v>180</v>
      </c>
      <c r="AF15" s="5">
        <v>4787</v>
      </c>
      <c r="AG15" s="5">
        <v>2292</v>
      </c>
      <c r="AH15" s="5">
        <v>45000</v>
      </c>
      <c r="AI15" s="5">
        <v>17417</v>
      </c>
      <c r="AJ15" s="5"/>
      <c r="AK15" s="5"/>
      <c r="AL15" s="5">
        <v>54180</v>
      </c>
      <c r="AM15" s="5">
        <v>1455</v>
      </c>
      <c r="AN15" s="5"/>
      <c r="AO15" s="5"/>
      <c r="AP15" s="5"/>
      <c r="AQ15" s="5">
        <v>1283</v>
      </c>
      <c r="AR15" s="5">
        <v>15888</v>
      </c>
      <c r="AS15" s="5">
        <v>243</v>
      </c>
      <c r="AT15" s="5">
        <v>7086</v>
      </c>
      <c r="AU15" s="5"/>
      <c r="AV15" s="5"/>
    </row>
    <row r="16" spans="1:48" x14ac:dyDescent="0.35">
      <c r="A16" s="4" t="s">
        <v>224</v>
      </c>
      <c r="B16" s="5">
        <v>185</v>
      </c>
      <c r="C16" s="5"/>
      <c r="D16" s="5"/>
      <c r="E16" s="5"/>
      <c r="F16" s="5"/>
      <c r="G16" s="5">
        <v>19269</v>
      </c>
      <c r="H16" s="5"/>
      <c r="I16" s="5"/>
      <c r="J16" s="5"/>
      <c r="K16" s="5"/>
      <c r="L16" s="5">
        <v>46</v>
      </c>
      <c r="M16" s="5"/>
      <c r="N16" s="5"/>
      <c r="O16" s="5">
        <v>27</v>
      </c>
      <c r="P16" s="5"/>
      <c r="Q16" s="5"/>
      <c r="R16" s="5"/>
      <c r="S16" s="5"/>
      <c r="T16" s="5"/>
      <c r="U16" s="5"/>
      <c r="V16" s="5">
        <v>10</v>
      </c>
      <c r="W16" s="5"/>
      <c r="X16" s="5"/>
      <c r="Y16" s="5">
        <v>8</v>
      </c>
      <c r="Z16" s="5"/>
      <c r="AA16" s="5"/>
      <c r="AB16" s="5"/>
      <c r="AC16" s="5"/>
      <c r="AD16" s="5">
        <v>53</v>
      </c>
      <c r="AE16" s="5"/>
      <c r="AF16" s="5">
        <v>39</v>
      </c>
      <c r="AG16" s="5">
        <v>41</v>
      </c>
      <c r="AH16" s="5"/>
      <c r="AI16" s="5"/>
      <c r="AJ16" s="5"/>
      <c r="AK16" s="5"/>
      <c r="AL16" s="5"/>
      <c r="AM16" s="5">
        <v>22</v>
      </c>
      <c r="AN16" s="5"/>
      <c r="AO16" s="5"/>
      <c r="AP16" s="5"/>
      <c r="AQ16" s="5">
        <v>353</v>
      </c>
      <c r="AR16" s="5">
        <v>508</v>
      </c>
      <c r="AS16" s="5"/>
      <c r="AT16" s="5"/>
      <c r="AU16" s="5"/>
      <c r="AV16" s="5">
        <v>768</v>
      </c>
    </row>
    <row r="17" spans="1:48" x14ac:dyDescent="0.35">
      <c r="A17" s="4" t="s">
        <v>225</v>
      </c>
      <c r="B17" s="5">
        <v>2</v>
      </c>
      <c r="C17" s="5">
        <v>1</v>
      </c>
      <c r="D17" s="5"/>
      <c r="E17" s="5"/>
      <c r="F17" s="5"/>
      <c r="G17" s="5">
        <v>6165</v>
      </c>
      <c r="H17" s="5"/>
      <c r="I17" s="5"/>
      <c r="J17" s="5"/>
      <c r="K17" s="5"/>
      <c r="L17" s="5">
        <v>729</v>
      </c>
      <c r="M17" s="5"/>
      <c r="N17" s="5"/>
      <c r="O17" s="5">
        <v>27</v>
      </c>
      <c r="P17" s="5"/>
      <c r="Q17" s="5"/>
      <c r="R17" s="5"/>
      <c r="S17" s="5"/>
      <c r="T17" s="5"/>
      <c r="U17" s="5"/>
      <c r="V17" s="5">
        <v>7</v>
      </c>
      <c r="W17" s="5"/>
      <c r="X17" s="5"/>
      <c r="Y17" s="5">
        <v>0</v>
      </c>
      <c r="Z17" s="5"/>
      <c r="AA17" s="5"/>
      <c r="AB17" s="5"/>
      <c r="AC17" s="5"/>
      <c r="AD17" s="5">
        <v>15</v>
      </c>
      <c r="AE17" s="5"/>
      <c r="AF17" s="5">
        <v>276</v>
      </c>
      <c r="AG17" s="5"/>
      <c r="AH17" s="5"/>
      <c r="AI17" s="5"/>
      <c r="AJ17" s="5"/>
      <c r="AK17" s="5"/>
      <c r="AL17" s="5"/>
      <c r="AM17" s="5">
        <v>2</v>
      </c>
      <c r="AN17" s="5"/>
      <c r="AO17" s="5"/>
      <c r="AP17" s="5"/>
      <c r="AQ17" s="5"/>
      <c r="AR17" s="5">
        <v>14</v>
      </c>
      <c r="AS17" s="5"/>
      <c r="AT17" s="5">
        <v>4</v>
      </c>
      <c r="AU17" s="5"/>
      <c r="AV17" s="5">
        <v>89</v>
      </c>
    </row>
    <row r="18" spans="1:48" x14ac:dyDescent="0.35">
      <c r="A18" s="4" t="s">
        <v>226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406</v>
      </c>
      <c r="M18" s="5"/>
      <c r="N18" s="5"/>
      <c r="O18" s="5">
        <v>40</v>
      </c>
      <c r="P18" s="5"/>
      <c r="Q18" s="5"/>
      <c r="R18" s="5"/>
      <c r="S18" s="5"/>
      <c r="T18" s="5"/>
      <c r="U18" s="5"/>
      <c r="V18" s="5"/>
      <c r="W18" s="5"/>
      <c r="X18" s="5"/>
      <c r="Y18" s="5">
        <v>5</v>
      </c>
      <c r="Z18" s="5"/>
      <c r="AA18" s="5"/>
      <c r="AB18" s="5"/>
      <c r="AC18" s="5"/>
      <c r="AD18" s="5"/>
      <c r="AE18" s="5"/>
      <c r="AF18" s="5"/>
      <c r="AG18" s="5">
        <v>25</v>
      </c>
      <c r="AH18" s="5"/>
      <c r="AI18" s="5"/>
      <c r="AJ18" s="5"/>
      <c r="AK18" s="5"/>
      <c r="AL18" s="5">
        <v>3422</v>
      </c>
      <c r="AM18" s="5"/>
      <c r="AN18" s="5"/>
      <c r="AO18" s="5"/>
      <c r="AP18" s="5"/>
      <c r="AQ18" s="5">
        <v>1</v>
      </c>
      <c r="AR18" s="5">
        <v>3</v>
      </c>
      <c r="AS18" s="5"/>
      <c r="AT18" s="5">
        <v>1</v>
      </c>
      <c r="AU18" s="5"/>
      <c r="AV18" s="5"/>
    </row>
    <row r="19" spans="1:48" x14ac:dyDescent="0.35">
      <c r="A19" s="4" t="s">
        <v>227</v>
      </c>
      <c r="B19" s="5"/>
      <c r="C19" s="5"/>
      <c r="D19" s="5"/>
      <c r="E19" s="5"/>
      <c r="F19" s="5"/>
      <c r="G19" s="5">
        <v>1029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150</v>
      </c>
      <c r="AM19" s="5"/>
      <c r="AN19" s="5"/>
      <c r="AO19" s="5"/>
      <c r="AP19" s="5"/>
      <c r="AQ19" s="5"/>
      <c r="AR19" s="5"/>
      <c r="AS19" s="5"/>
      <c r="AT19" s="5">
        <v>2</v>
      </c>
      <c r="AU19" s="5"/>
      <c r="AV19" s="5"/>
    </row>
    <row r="20" spans="1:48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>
        <v>240</v>
      </c>
      <c r="M20" s="5"/>
      <c r="N20" s="5"/>
      <c r="O20" s="5">
        <v>36</v>
      </c>
      <c r="P20" s="5"/>
      <c r="Q20" s="5"/>
      <c r="R20" s="5"/>
      <c r="S20" s="5"/>
      <c r="T20" s="5"/>
      <c r="U20" s="5"/>
      <c r="V20" s="5"/>
      <c r="W20" s="5"/>
      <c r="X20" s="5"/>
      <c r="Y20" s="5">
        <v>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80</v>
      </c>
      <c r="AS20" s="5"/>
      <c r="AT20" s="5"/>
      <c r="AU20" s="5"/>
      <c r="AV20" s="5"/>
    </row>
    <row r="21" spans="1:48" x14ac:dyDescent="0.35">
      <c r="A21" s="4" t="s">
        <v>229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0</v>
      </c>
      <c r="Z21" s="5">
        <v>3682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300</v>
      </c>
      <c r="AU21" s="5"/>
      <c r="AV21" s="5"/>
    </row>
    <row r="22" spans="1:48" x14ac:dyDescent="0.35">
      <c r="A22" s="4" t="s">
        <v>230</v>
      </c>
      <c r="B22" s="5"/>
      <c r="C22" s="5"/>
      <c r="D22" s="5"/>
      <c r="E22" s="5"/>
      <c r="F22" s="5"/>
      <c r="G22" s="5"/>
      <c r="H22" s="5"/>
      <c r="I22" s="5">
        <v>5</v>
      </c>
      <c r="J22" s="5"/>
      <c r="K22" s="5"/>
      <c r="L22" s="5">
        <v>1258</v>
      </c>
      <c r="M22" s="5"/>
      <c r="N22" s="5">
        <v>255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</v>
      </c>
      <c r="Z22" s="5">
        <v>1628</v>
      </c>
      <c r="AA22" s="5"/>
      <c r="AB22" s="5"/>
      <c r="AC22" s="5"/>
      <c r="AD22" s="5"/>
      <c r="AE22" s="5"/>
      <c r="AF22" s="5"/>
      <c r="AG22" s="5">
        <v>134</v>
      </c>
      <c r="AH22" s="5"/>
      <c r="AI22" s="5"/>
      <c r="AJ22" s="5"/>
      <c r="AK22" s="5"/>
      <c r="AL22" s="5">
        <v>3831</v>
      </c>
      <c r="AM22" s="5"/>
      <c r="AN22" s="5"/>
      <c r="AO22" s="5"/>
      <c r="AP22" s="5"/>
      <c r="AQ22" s="5">
        <v>2742</v>
      </c>
      <c r="AR22" s="5">
        <v>2305</v>
      </c>
      <c r="AS22" s="5"/>
      <c r="AT22" s="5">
        <v>51</v>
      </c>
      <c r="AU22" s="5"/>
      <c r="AV22" s="5"/>
    </row>
    <row r="23" spans="1:48" x14ac:dyDescent="0.35">
      <c r="A23" s="4" t="s">
        <v>231</v>
      </c>
      <c r="B23" s="5"/>
      <c r="C23" s="5"/>
      <c r="D23" s="5"/>
      <c r="E23" s="5"/>
      <c r="F23" s="5"/>
      <c r="G23" s="5">
        <v>370</v>
      </c>
      <c r="H23" s="5"/>
      <c r="I23" s="5"/>
      <c r="J23" s="5"/>
      <c r="K23" s="5"/>
      <c r="L23" s="5">
        <v>2960</v>
      </c>
      <c r="M23" s="5"/>
      <c r="N23" s="5">
        <v>47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339</v>
      </c>
      <c r="AA23" s="5">
        <v>5</v>
      </c>
      <c r="AB23" s="5"/>
      <c r="AC23" s="5"/>
      <c r="AD23" s="5">
        <v>61</v>
      </c>
      <c r="AE23" s="5"/>
      <c r="AF23" s="5">
        <v>67</v>
      </c>
      <c r="AG23" s="5">
        <v>17</v>
      </c>
      <c r="AH23" s="5"/>
      <c r="AI23" s="5"/>
      <c r="AJ23" s="5">
        <v>7</v>
      </c>
      <c r="AK23" s="5"/>
      <c r="AL23" s="5"/>
      <c r="AM23" s="5"/>
      <c r="AN23" s="5"/>
      <c r="AO23" s="5">
        <v>3</v>
      </c>
      <c r="AP23" s="5"/>
      <c r="AQ23" s="5"/>
      <c r="AR23" s="5">
        <v>51</v>
      </c>
      <c r="AS23" s="5"/>
      <c r="AT23" s="5">
        <v>45</v>
      </c>
      <c r="AU23" s="5"/>
      <c r="AV23" s="5"/>
    </row>
    <row r="24" spans="1:48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1563</v>
      </c>
      <c r="P24" s="5"/>
      <c r="Q24" s="5"/>
      <c r="R24" s="5"/>
      <c r="S24" s="5"/>
      <c r="T24" s="5"/>
      <c r="U24" s="5"/>
      <c r="V24" s="5"/>
      <c r="W24" s="5"/>
      <c r="X24" s="5"/>
      <c r="Y24" s="5">
        <v>0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>
        <v>95</v>
      </c>
      <c r="AP24" s="5"/>
      <c r="AQ24" s="5"/>
      <c r="AR24" s="5"/>
      <c r="AS24" s="5"/>
      <c r="AT24" s="5"/>
      <c r="AU24" s="5"/>
      <c r="AV24" s="5"/>
    </row>
    <row r="25" spans="1:48" x14ac:dyDescent="0.35">
      <c r="A25" s="4" t="s">
        <v>233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>
        <v>653</v>
      </c>
      <c r="M25" s="5"/>
      <c r="N25" s="5"/>
      <c r="O25" s="5">
        <v>24</v>
      </c>
      <c r="P25" s="5"/>
      <c r="Q25" s="5"/>
      <c r="R25" s="5"/>
      <c r="S25" s="5"/>
      <c r="T25" s="5"/>
      <c r="U25" s="5"/>
      <c r="V25" s="5"/>
      <c r="W25" s="5"/>
      <c r="X25" s="5"/>
      <c r="Y25" s="5">
        <v>1</v>
      </c>
      <c r="Z25" s="5">
        <v>1705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10</v>
      </c>
      <c r="AS25" s="5"/>
      <c r="AT25" s="5"/>
      <c r="AU25" s="5"/>
      <c r="AV25" s="5"/>
    </row>
    <row r="26" spans="1:48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119</v>
      </c>
      <c r="AR26" s="5"/>
      <c r="AS26" s="5"/>
      <c r="AT26" s="5"/>
      <c r="AU26" s="5"/>
      <c r="AV26" s="5"/>
    </row>
    <row r="27" spans="1:48" x14ac:dyDescent="0.35">
      <c r="A27" s="4" t="s">
        <v>235</v>
      </c>
      <c r="B27" s="5"/>
      <c r="C27" s="5"/>
      <c r="D27" s="5"/>
      <c r="E27" s="5"/>
      <c r="F27" s="5"/>
      <c r="G27" s="5">
        <v>2578</v>
      </c>
      <c r="H27" s="5"/>
      <c r="I27" s="5"/>
      <c r="J27" s="5"/>
      <c r="K27" s="5"/>
      <c r="L27" s="5">
        <v>6245</v>
      </c>
      <c r="M27" s="5"/>
      <c r="N27" s="5">
        <v>137</v>
      </c>
      <c r="O27" s="5">
        <v>134</v>
      </c>
      <c r="P27" s="5"/>
      <c r="Q27" s="5"/>
      <c r="R27" s="5"/>
      <c r="S27" s="5"/>
      <c r="T27" s="5"/>
      <c r="U27" s="5"/>
      <c r="V27" s="5"/>
      <c r="W27" s="5"/>
      <c r="X27" s="5"/>
      <c r="Y27" s="5">
        <v>17</v>
      </c>
      <c r="Z27" s="5">
        <v>430</v>
      </c>
      <c r="AA27" s="5"/>
      <c r="AB27" s="5"/>
      <c r="AC27" s="5"/>
      <c r="AD27" s="5"/>
      <c r="AE27" s="5"/>
      <c r="AF27" s="5"/>
      <c r="AG27" s="5"/>
      <c r="AH27" s="5">
        <v>152</v>
      </c>
      <c r="AI27" s="5"/>
      <c r="AJ27" s="5"/>
      <c r="AK27" s="5"/>
      <c r="AL27" s="5">
        <v>8878</v>
      </c>
      <c r="AM27" s="5"/>
      <c r="AN27" s="5"/>
      <c r="AO27" s="5"/>
      <c r="AP27" s="5"/>
      <c r="AQ27" s="5">
        <v>761</v>
      </c>
      <c r="AR27" s="5">
        <v>480</v>
      </c>
      <c r="AS27" s="5"/>
      <c r="AT27" s="5">
        <v>148</v>
      </c>
      <c r="AU27" s="5"/>
      <c r="AV27" s="5"/>
    </row>
    <row r="28" spans="1:48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900</v>
      </c>
      <c r="M28" s="5"/>
      <c r="N28" s="5"/>
      <c r="O28" s="5">
        <v>156</v>
      </c>
      <c r="P28" s="5"/>
      <c r="Q28" s="5"/>
      <c r="R28" s="5"/>
      <c r="S28" s="5"/>
      <c r="T28" s="5"/>
      <c r="U28" s="5"/>
      <c r="V28" s="5"/>
      <c r="W28" s="5"/>
      <c r="X28" s="5"/>
      <c r="Y28" s="5">
        <v>0</v>
      </c>
      <c r="Z28" s="5"/>
      <c r="AA28" s="5"/>
      <c r="AB28" s="5"/>
      <c r="AC28" s="5"/>
      <c r="AD28" s="5">
        <v>13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414</v>
      </c>
      <c r="AS28" s="5"/>
      <c r="AT28" s="5"/>
      <c r="AU28" s="5"/>
      <c r="AV28" s="5"/>
    </row>
    <row r="29" spans="1:48" x14ac:dyDescent="0.35">
      <c r="A29" s="4" t="s">
        <v>237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>
        <v>2148</v>
      </c>
      <c r="M29" s="5"/>
      <c r="N29" s="5"/>
      <c r="O29" s="5">
        <v>63</v>
      </c>
      <c r="P29" s="5"/>
      <c r="Q29" s="5"/>
      <c r="R29" s="5"/>
      <c r="S29" s="5"/>
      <c r="T29" s="5"/>
      <c r="U29" s="5"/>
      <c r="V29" s="5"/>
      <c r="W29" s="5"/>
      <c r="X29" s="5"/>
      <c r="Y29" s="5">
        <v>0</v>
      </c>
      <c r="Z29" s="5"/>
      <c r="AA29" s="5"/>
      <c r="AB29" s="5"/>
      <c r="AC29" s="5"/>
      <c r="AD29" s="5">
        <v>1022</v>
      </c>
      <c r="AE29" s="5"/>
      <c r="AF29" s="5"/>
      <c r="AG29" s="5">
        <v>3</v>
      </c>
      <c r="AH29" s="5"/>
      <c r="AI29" s="5"/>
      <c r="AJ29" s="5"/>
      <c r="AK29" s="5"/>
      <c r="AL29" s="5"/>
      <c r="AM29" s="5"/>
      <c r="AN29" s="5"/>
      <c r="AO29" s="5">
        <v>439</v>
      </c>
      <c r="AP29" s="5"/>
      <c r="AQ29" s="5"/>
      <c r="AR29" s="5">
        <v>164</v>
      </c>
      <c r="AS29" s="5"/>
      <c r="AT29" s="5"/>
      <c r="AU29" s="5"/>
      <c r="AV29" s="5"/>
    </row>
    <row r="30" spans="1:48" x14ac:dyDescent="0.35">
      <c r="A30" s="4" t="s">
        <v>238</v>
      </c>
      <c r="B30" s="5"/>
      <c r="C30" s="5"/>
      <c r="D30" s="5"/>
      <c r="E30" s="5"/>
      <c r="F30" s="5"/>
      <c r="G30" s="5">
        <v>29246</v>
      </c>
      <c r="H30" s="5"/>
      <c r="I30" s="5"/>
      <c r="J30" s="5"/>
      <c r="K30" s="5"/>
      <c r="L30" s="5">
        <v>15238</v>
      </c>
      <c r="M30" s="5"/>
      <c r="N30" s="5"/>
      <c r="O30" s="5">
        <v>318</v>
      </c>
      <c r="P30" s="5"/>
      <c r="Q30" s="5"/>
      <c r="R30" s="5"/>
      <c r="S30" s="5"/>
      <c r="T30" s="5"/>
      <c r="U30" s="5"/>
      <c r="V30" s="5"/>
      <c r="W30" s="5"/>
      <c r="X30" s="5"/>
      <c r="Y30" s="5">
        <v>0</v>
      </c>
      <c r="Z30" s="5"/>
      <c r="AA30" s="5"/>
      <c r="AB30" s="5"/>
      <c r="AC30" s="5"/>
      <c r="AD30" s="5"/>
      <c r="AE30" s="5"/>
      <c r="AF30" s="5"/>
      <c r="AG30" s="5">
        <v>140</v>
      </c>
      <c r="AH30" s="5"/>
      <c r="AI30" s="5"/>
      <c r="AJ30" s="5"/>
      <c r="AK30" s="5"/>
      <c r="AL30" s="5">
        <v>5731</v>
      </c>
      <c r="AM30" s="5"/>
      <c r="AN30" s="5"/>
      <c r="AO30" s="5"/>
      <c r="AP30" s="5"/>
      <c r="AQ30" s="5">
        <v>1712</v>
      </c>
      <c r="AR30" s="5">
        <v>1126</v>
      </c>
      <c r="AS30" s="5"/>
      <c r="AT30" s="5">
        <v>183</v>
      </c>
      <c r="AU30" s="5">
        <v>8</v>
      </c>
      <c r="AV30" s="5"/>
    </row>
    <row r="31" spans="1:48" x14ac:dyDescent="0.35">
      <c r="A31" s="4" t="s">
        <v>239</v>
      </c>
      <c r="B31" s="5">
        <v>648</v>
      </c>
      <c r="C31" s="5">
        <v>112</v>
      </c>
      <c r="D31" s="5"/>
      <c r="E31" s="5">
        <v>2934</v>
      </c>
      <c r="F31" s="5">
        <v>10450</v>
      </c>
      <c r="G31" s="5">
        <v>26677</v>
      </c>
      <c r="H31" s="5">
        <v>439</v>
      </c>
      <c r="I31" s="5"/>
      <c r="J31" s="5">
        <v>370</v>
      </c>
      <c r="K31" s="5">
        <v>205</v>
      </c>
      <c r="L31" s="5">
        <v>136</v>
      </c>
      <c r="M31" s="5">
        <v>98</v>
      </c>
      <c r="N31" s="5">
        <v>668</v>
      </c>
      <c r="O31" s="5">
        <v>160</v>
      </c>
      <c r="P31" s="5">
        <v>1071</v>
      </c>
      <c r="Q31" s="5">
        <v>65</v>
      </c>
      <c r="R31" s="5">
        <v>241</v>
      </c>
      <c r="S31" s="5">
        <v>749</v>
      </c>
      <c r="T31" s="5"/>
      <c r="U31" s="5">
        <v>2</v>
      </c>
      <c r="V31" s="5">
        <v>138</v>
      </c>
      <c r="W31" s="5">
        <v>1563</v>
      </c>
      <c r="X31" s="5">
        <v>181</v>
      </c>
      <c r="Y31" s="5">
        <v>53</v>
      </c>
      <c r="Z31" s="5"/>
      <c r="AA31" s="5"/>
      <c r="AB31" s="5">
        <v>306</v>
      </c>
      <c r="AC31" s="5">
        <v>542</v>
      </c>
      <c r="AD31" s="5"/>
      <c r="AE31" s="5">
        <v>291</v>
      </c>
      <c r="AF31" s="5"/>
      <c r="AG31" s="5"/>
      <c r="AH31" s="5">
        <v>1990</v>
      </c>
      <c r="AI31" s="5">
        <v>328</v>
      </c>
      <c r="AJ31" s="5">
        <v>71</v>
      </c>
      <c r="AK31" s="5">
        <v>311</v>
      </c>
      <c r="AL31" s="5">
        <v>5455</v>
      </c>
      <c r="AM31" s="5">
        <v>272</v>
      </c>
      <c r="AN31" s="5">
        <v>320</v>
      </c>
      <c r="AO31" s="5">
        <v>432</v>
      </c>
      <c r="AP31" s="5">
        <v>3874</v>
      </c>
      <c r="AQ31" s="5">
        <v>18</v>
      </c>
      <c r="AR31" s="5">
        <v>644</v>
      </c>
      <c r="AS31" s="5">
        <v>549</v>
      </c>
      <c r="AT31" s="5">
        <v>460</v>
      </c>
      <c r="AU31" s="5"/>
      <c r="AV31" s="5">
        <v>4361</v>
      </c>
    </row>
    <row r="32" spans="1:48" x14ac:dyDescent="0.35">
      <c r="A32" s="4" t="s">
        <v>240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0</v>
      </c>
      <c r="Z32" s="5"/>
      <c r="AA32" s="5"/>
      <c r="AB32" s="5"/>
      <c r="AC32" s="5"/>
      <c r="AD32" s="5"/>
      <c r="AE32" s="5"/>
      <c r="AF32" s="5">
        <v>28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</v>
      </c>
      <c r="AS32" s="5"/>
      <c r="AT32" s="5">
        <v>51</v>
      </c>
      <c r="AU32" s="5"/>
      <c r="AV32" s="5"/>
    </row>
    <row r="33" spans="1:48" x14ac:dyDescent="0.35">
      <c r="A33" s="4" t="s">
        <v>241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73</v>
      </c>
      <c r="P33" s="5"/>
      <c r="Q33" s="5"/>
      <c r="R33" s="5"/>
      <c r="S33" s="5"/>
      <c r="T33" s="5"/>
      <c r="U33" s="5"/>
      <c r="V33" s="5"/>
      <c r="W33" s="5"/>
      <c r="X33" s="5"/>
      <c r="Y33" s="5">
        <v>1</v>
      </c>
      <c r="Z33" s="5">
        <v>714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67</v>
      </c>
      <c r="AR33" s="5">
        <v>703</v>
      </c>
      <c r="AS33" s="5"/>
      <c r="AT33" s="5"/>
      <c r="AU33" s="5"/>
      <c r="AV33" s="5"/>
    </row>
    <row r="34" spans="1:48" x14ac:dyDescent="0.35">
      <c r="A34" s="4" t="s">
        <v>242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0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818</v>
      </c>
      <c r="AP34" s="5"/>
      <c r="AQ34" s="5">
        <v>4021</v>
      </c>
      <c r="AR34" s="5">
        <v>544</v>
      </c>
      <c r="AS34" s="5"/>
      <c r="AT34" s="5"/>
      <c r="AU34" s="5"/>
      <c r="AV34" s="5"/>
    </row>
    <row r="35" spans="1:48" x14ac:dyDescent="0.35">
      <c r="A35" s="4" t="s">
        <v>243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v>168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221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4" t="s">
        <v>244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209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0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</v>
      </c>
      <c r="AP36" s="5"/>
      <c r="AQ36" s="5"/>
      <c r="AR36" s="5"/>
      <c r="AS36" s="5"/>
      <c r="AT36" s="5">
        <v>630</v>
      </c>
      <c r="AU36" s="5"/>
      <c r="AV36" s="5"/>
    </row>
    <row r="37" spans="1:48" x14ac:dyDescent="0.35">
      <c r="A37" s="4" t="s">
        <v>245</v>
      </c>
      <c r="B37" s="5"/>
      <c r="C37" s="5"/>
      <c r="D37" s="5"/>
      <c r="E37" s="5"/>
      <c r="F37" s="5">
        <v>16159</v>
      </c>
      <c r="G37" s="5">
        <v>71237</v>
      </c>
      <c r="H37" s="5"/>
      <c r="I37" s="5">
        <v>671</v>
      </c>
      <c r="J37" s="5"/>
      <c r="K37" s="5"/>
      <c r="L37" s="5">
        <v>8739</v>
      </c>
      <c r="M37" s="5"/>
      <c r="N37" s="5">
        <v>1055</v>
      </c>
      <c r="O37" s="5"/>
      <c r="P37" s="5"/>
      <c r="Q37" s="5"/>
      <c r="R37" s="5"/>
      <c r="S37" s="5"/>
      <c r="T37" s="5"/>
      <c r="U37" s="5"/>
      <c r="V37" s="5"/>
      <c r="W37" s="5">
        <v>10489</v>
      </c>
      <c r="X37" s="5"/>
      <c r="Y37" s="5"/>
      <c r="Z37" s="5"/>
      <c r="AA37" s="5">
        <v>892</v>
      </c>
      <c r="AB37" s="5">
        <v>3994</v>
      </c>
      <c r="AC37" s="5"/>
      <c r="AD37" s="5">
        <v>3235</v>
      </c>
      <c r="AE37" s="5"/>
      <c r="AF37" s="5">
        <v>6021</v>
      </c>
      <c r="AG37" s="5">
        <v>5</v>
      </c>
      <c r="AH37" s="5"/>
      <c r="AI37" s="5"/>
      <c r="AJ37" s="5">
        <v>158</v>
      </c>
      <c r="AK37" s="5"/>
      <c r="AL37" s="5"/>
      <c r="AM37" s="5"/>
      <c r="AN37" s="5"/>
      <c r="AO37" s="5">
        <v>903</v>
      </c>
      <c r="AP37" s="5"/>
      <c r="AQ37" s="5">
        <v>2137</v>
      </c>
      <c r="AR37" s="5"/>
      <c r="AS37" s="5"/>
      <c r="AT37" s="5">
        <v>655</v>
      </c>
      <c r="AU37" s="5">
        <v>484</v>
      </c>
      <c r="AV37" s="5"/>
    </row>
    <row r="38" spans="1:48" x14ac:dyDescent="0.35">
      <c r="A38" s="4" t="s">
        <v>246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0</v>
      </c>
      <c r="Z38" s="5"/>
      <c r="AA38" s="5"/>
      <c r="AB38" s="5"/>
      <c r="AC38" s="5"/>
      <c r="AD38" s="5"/>
      <c r="AE38" s="5"/>
      <c r="AF38" s="5"/>
      <c r="AG38" s="5"/>
      <c r="AH38" s="5">
        <v>1471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35">
      <c r="A39" s="4" t="s">
        <v>247</v>
      </c>
      <c r="B39" s="5"/>
      <c r="C39" s="5">
        <v>1195</v>
      </c>
      <c r="D39" s="5">
        <v>406</v>
      </c>
      <c r="E39" s="5">
        <v>41948</v>
      </c>
      <c r="F39" s="5"/>
      <c r="G39" s="5"/>
      <c r="H39" s="5">
        <v>6085</v>
      </c>
      <c r="I39" s="5">
        <v>3605</v>
      </c>
      <c r="J39" s="5"/>
      <c r="K39" s="5"/>
      <c r="L39" s="5"/>
      <c r="M39" s="5"/>
      <c r="N39" s="5"/>
      <c r="O39" s="5"/>
      <c r="P39" s="5">
        <v>9156</v>
      </c>
      <c r="Q39" s="5">
        <v>706</v>
      </c>
      <c r="R39" s="5">
        <v>9156</v>
      </c>
      <c r="S39" s="5">
        <v>4799</v>
      </c>
      <c r="T39" s="5"/>
      <c r="U39" s="5"/>
      <c r="V39" s="5">
        <v>1498</v>
      </c>
      <c r="W39" s="5"/>
      <c r="X39" s="5">
        <v>7195</v>
      </c>
      <c r="Y39" s="5">
        <v>0</v>
      </c>
      <c r="Z39" s="5"/>
      <c r="AA39" s="5"/>
      <c r="AB39" s="5"/>
      <c r="AC39" s="5"/>
      <c r="AD39" s="5"/>
      <c r="AE39" s="5">
        <v>4986</v>
      </c>
      <c r="AF39" s="5">
        <v>8153</v>
      </c>
      <c r="AG39" s="5"/>
      <c r="AH39" s="5">
        <v>13345</v>
      </c>
      <c r="AI39" s="5"/>
      <c r="AJ39" s="5"/>
      <c r="AK39" s="5">
        <v>2344</v>
      </c>
      <c r="AL39" s="5">
        <v>70552</v>
      </c>
      <c r="AM39" s="5">
        <v>3726</v>
      </c>
      <c r="AN39" s="5">
        <v>5081</v>
      </c>
      <c r="AO39" s="5"/>
      <c r="AP39" s="5"/>
      <c r="AQ39" s="5"/>
      <c r="AR39" s="5"/>
      <c r="AS39" s="5"/>
      <c r="AT39" s="5"/>
      <c r="AU39" s="5"/>
      <c r="AV39" s="5">
        <v>31940</v>
      </c>
    </row>
    <row r="40" spans="1:48" x14ac:dyDescent="0.35">
      <c r="A40" s="4" t="s">
        <v>248</v>
      </c>
      <c r="B40" s="5"/>
      <c r="C40" s="5"/>
      <c r="D40" s="5"/>
      <c r="E40" s="5">
        <v>14398</v>
      </c>
      <c r="F40" s="5"/>
      <c r="G40" s="5"/>
      <c r="H40" s="5"/>
      <c r="I40" s="5"/>
      <c r="J40" s="5">
        <v>1029</v>
      </c>
      <c r="K40" s="5">
        <v>2180</v>
      </c>
      <c r="L40" s="5">
        <v>11238</v>
      </c>
      <c r="M40" s="5">
        <v>3237</v>
      </c>
      <c r="N40" s="5"/>
      <c r="O40" s="5"/>
      <c r="P40" s="5"/>
      <c r="Q40" s="5"/>
      <c r="R40" s="5"/>
      <c r="S40" s="5"/>
      <c r="T40" s="5">
        <v>3595</v>
      </c>
      <c r="U40" s="5"/>
      <c r="V40" s="5"/>
      <c r="W40" s="5">
        <v>64494</v>
      </c>
      <c r="X40" s="5"/>
      <c r="Y40" s="5">
        <v>0</v>
      </c>
      <c r="Z40" s="5">
        <v>13198</v>
      </c>
      <c r="AA40" s="5"/>
      <c r="AB40" s="5"/>
      <c r="AC40" s="5">
        <v>6324</v>
      </c>
      <c r="AD40" s="5"/>
      <c r="AE40" s="5"/>
      <c r="AF40" s="5"/>
      <c r="AG40" s="5">
        <v>44</v>
      </c>
      <c r="AH40" s="5"/>
      <c r="AI40" s="5"/>
      <c r="AJ40" s="5"/>
      <c r="AK40" s="5">
        <v>2545</v>
      </c>
      <c r="AL40" s="5"/>
      <c r="AM40" s="5"/>
      <c r="AN40" s="5"/>
      <c r="AO40" s="5">
        <v>1709</v>
      </c>
      <c r="AP40" s="5">
        <v>47881</v>
      </c>
      <c r="AQ40" s="5"/>
      <c r="AR40" s="5">
        <v>13052</v>
      </c>
      <c r="AS40" s="5">
        <v>2913</v>
      </c>
      <c r="AT40" s="5">
        <v>925</v>
      </c>
      <c r="AU40" s="5"/>
      <c r="AV40" s="5"/>
    </row>
    <row r="41" spans="1:48" x14ac:dyDescent="0.35">
      <c r="A41" s="4" t="s">
        <v>249</v>
      </c>
      <c r="B41" s="5"/>
      <c r="C41" s="5"/>
      <c r="D41" s="5"/>
      <c r="E41" s="5">
        <v>36980</v>
      </c>
      <c r="F41" s="5">
        <v>61772</v>
      </c>
      <c r="G41" s="5">
        <v>110105</v>
      </c>
      <c r="H41" s="5"/>
      <c r="I41" s="5">
        <v>461</v>
      </c>
      <c r="J41" s="5">
        <v>3677</v>
      </c>
      <c r="K41" s="5">
        <v>4686</v>
      </c>
      <c r="L41" s="5">
        <v>45173</v>
      </c>
      <c r="M41" s="5">
        <v>9317</v>
      </c>
      <c r="N41" s="5">
        <v>3410</v>
      </c>
      <c r="O41" s="5">
        <v>7645</v>
      </c>
      <c r="P41" s="5"/>
      <c r="Q41" s="5"/>
      <c r="R41" s="5"/>
      <c r="S41" s="5"/>
      <c r="T41" s="5">
        <v>11568</v>
      </c>
      <c r="U41" s="5"/>
      <c r="V41" s="5"/>
      <c r="W41" s="5">
        <v>60530</v>
      </c>
      <c r="X41" s="5"/>
      <c r="Y41" s="5">
        <v>744</v>
      </c>
      <c r="Z41" s="5">
        <v>46703</v>
      </c>
      <c r="AA41" s="5">
        <v>2263</v>
      </c>
      <c r="AB41" s="5">
        <v>3833</v>
      </c>
      <c r="AC41" s="5">
        <v>1633</v>
      </c>
      <c r="AD41" s="5">
        <v>5174</v>
      </c>
      <c r="AE41" s="5"/>
      <c r="AF41" s="5"/>
      <c r="AG41" s="5">
        <v>5263</v>
      </c>
      <c r="AH41" s="5"/>
      <c r="AI41" s="5"/>
      <c r="AJ41" s="5">
        <v>951</v>
      </c>
      <c r="AK41" s="5">
        <v>868</v>
      </c>
      <c r="AL41" s="5"/>
      <c r="AM41" s="5"/>
      <c r="AN41" s="5"/>
      <c r="AO41" s="5">
        <v>2398</v>
      </c>
      <c r="AP41" s="5">
        <v>5026</v>
      </c>
      <c r="AQ41" s="5">
        <v>20746</v>
      </c>
      <c r="AR41" s="5">
        <v>14822</v>
      </c>
      <c r="AS41" s="5">
        <v>2058</v>
      </c>
      <c r="AT41" s="5">
        <v>1026</v>
      </c>
      <c r="AU41" s="5">
        <v>679</v>
      </c>
      <c r="AV41" s="5"/>
    </row>
    <row r="42" spans="1:48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>
        <v>11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1638</v>
      </c>
      <c r="AE42" s="5"/>
      <c r="AF42" s="5"/>
      <c r="AG42" s="5"/>
      <c r="AH42" s="5"/>
      <c r="AI42" s="5"/>
      <c r="AJ42" s="5">
        <v>321</v>
      </c>
      <c r="AK42" s="5"/>
      <c r="AL42" s="5"/>
      <c r="AM42" s="5"/>
      <c r="AN42" s="5"/>
      <c r="AO42" s="5"/>
      <c r="AP42" s="5"/>
      <c r="AQ42" s="5"/>
      <c r="AR42" s="5">
        <v>6174</v>
      </c>
      <c r="AS42" s="5"/>
      <c r="AT42" s="5"/>
      <c r="AU42" s="5"/>
      <c r="AV42" s="5"/>
    </row>
    <row r="43" spans="1:48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>
        <v>80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>
        <v>37</v>
      </c>
      <c r="AP43" s="5"/>
      <c r="AQ43" s="5"/>
      <c r="AR43" s="5">
        <v>5830</v>
      </c>
      <c r="AS43" s="5"/>
      <c r="AT43" s="5"/>
      <c r="AU43" s="5"/>
      <c r="AV43" s="5"/>
    </row>
    <row r="44" spans="1:48" x14ac:dyDescent="0.35">
      <c r="A44" s="4" t="s">
        <v>250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</v>
      </c>
      <c r="P44" s="5"/>
      <c r="Q44" s="5"/>
      <c r="R44" s="5"/>
      <c r="S44" s="5"/>
      <c r="T44" s="5"/>
      <c r="U44" s="5"/>
      <c r="V44" s="5"/>
      <c r="W44" s="5"/>
      <c r="X44" s="5"/>
      <c r="Y44" s="5">
        <v>0</v>
      </c>
      <c r="Z44" s="5">
        <v>1147</v>
      </c>
      <c r="AA44" s="5"/>
      <c r="AB44" s="5"/>
      <c r="AC44" s="5"/>
      <c r="AD44" s="5">
        <v>6</v>
      </c>
      <c r="AE44" s="5"/>
      <c r="AF44" s="5">
        <v>620</v>
      </c>
      <c r="AG44" s="5"/>
      <c r="AH44" s="5"/>
      <c r="AI44" s="5"/>
      <c r="AJ44" s="5"/>
      <c r="AK44" s="5"/>
      <c r="AL44" s="5">
        <v>230</v>
      </c>
      <c r="AM44" s="5"/>
      <c r="AN44" s="5"/>
      <c r="AO44" s="5"/>
      <c r="AP44" s="5"/>
      <c r="AQ44" s="5"/>
      <c r="AR44" s="5">
        <v>56</v>
      </c>
      <c r="AS44" s="5"/>
      <c r="AT44" s="5">
        <v>3</v>
      </c>
      <c r="AU44" s="5"/>
      <c r="AV44" s="5"/>
    </row>
    <row r="45" spans="1:48" x14ac:dyDescent="0.35">
      <c r="A45" s="4" t="s">
        <v>251</v>
      </c>
      <c r="B45" s="5"/>
      <c r="C45" s="5"/>
      <c r="D45" s="5"/>
      <c r="E45" s="5"/>
      <c r="F45" s="5">
        <v>200</v>
      </c>
      <c r="G45" s="5">
        <v>404</v>
      </c>
      <c r="H45" s="5"/>
      <c r="I45" s="5"/>
      <c r="J45" s="5"/>
      <c r="K45" s="5"/>
      <c r="L45" s="5">
        <v>3114</v>
      </c>
      <c r="M45" s="5"/>
      <c r="N45" s="5">
        <v>76</v>
      </c>
      <c r="O45" s="5"/>
      <c r="P45" s="5">
        <v>20</v>
      </c>
      <c r="Q45" s="5"/>
      <c r="R45" s="5"/>
      <c r="S45" s="5"/>
      <c r="T45" s="5"/>
      <c r="U45" s="5"/>
      <c r="V45" s="5"/>
      <c r="W45" s="5"/>
      <c r="X45" s="5"/>
      <c r="Y45" s="5">
        <v>1</v>
      </c>
      <c r="Z45" s="5">
        <v>400</v>
      </c>
      <c r="AA45" s="5">
        <v>6</v>
      </c>
      <c r="AB45" s="5"/>
      <c r="AC45" s="5"/>
      <c r="AD45" s="5">
        <v>92</v>
      </c>
      <c r="AE45" s="5"/>
      <c r="AF45" s="5">
        <v>49</v>
      </c>
      <c r="AG45" s="5">
        <v>35</v>
      </c>
      <c r="AH45" s="5"/>
      <c r="AI45" s="5"/>
      <c r="AJ45" s="5">
        <v>11</v>
      </c>
      <c r="AK45" s="5"/>
      <c r="AL45" s="5"/>
      <c r="AM45" s="5"/>
      <c r="AN45" s="5"/>
      <c r="AO45" s="5">
        <v>22</v>
      </c>
      <c r="AP45" s="5"/>
      <c r="AQ45" s="5"/>
      <c r="AR45" s="5">
        <v>107</v>
      </c>
      <c r="AS45" s="5"/>
      <c r="AT45" s="5">
        <v>49</v>
      </c>
      <c r="AU45" s="5"/>
      <c r="AV45" s="5"/>
    </row>
    <row r="46" spans="1:48" x14ac:dyDescent="0.35">
      <c r="A46" s="4" t="s">
        <v>252</v>
      </c>
      <c r="B46" s="5"/>
      <c r="C46" s="5"/>
      <c r="D46" s="5"/>
      <c r="E46" s="5"/>
      <c r="F46" s="5"/>
      <c r="G46" s="5">
        <v>4626</v>
      </c>
      <c r="H46" s="5"/>
      <c r="I46" s="5"/>
      <c r="J46" s="5"/>
      <c r="K46" s="5"/>
      <c r="L46" s="5">
        <v>1533</v>
      </c>
      <c r="M46" s="5"/>
      <c r="N46" s="5"/>
      <c r="O46" s="5">
        <v>5</v>
      </c>
      <c r="P46" s="5"/>
      <c r="Q46" s="5"/>
      <c r="R46" s="5"/>
      <c r="S46" s="5"/>
      <c r="T46" s="5"/>
      <c r="U46" s="5"/>
      <c r="V46" s="5"/>
      <c r="W46" s="5"/>
      <c r="X46" s="5"/>
      <c r="Y46" s="5">
        <v>1</v>
      </c>
      <c r="Z46" s="5"/>
      <c r="AA46" s="5"/>
      <c r="AB46" s="5"/>
      <c r="AC46" s="5"/>
      <c r="AD46" s="5"/>
      <c r="AE46" s="5"/>
      <c r="AF46" s="5">
        <v>150</v>
      </c>
      <c r="AG46" s="5">
        <v>84</v>
      </c>
      <c r="AH46" s="5">
        <v>13</v>
      </c>
      <c r="AI46" s="5"/>
      <c r="AJ46" s="5"/>
      <c r="AK46" s="5"/>
      <c r="AL46" s="5">
        <v>3848</v>
      </c>
      <c r="AM46" s="5"/>
      <c r="AN46" s="5"/>
      <c r="AO46" s="5"/>
      <c r="AP46" s="5"/>
      <c r="AQ46" s="5">
        <v>16</v>
      </c>
      <c r="AR46" s="5">
        <v>20</v>
      </c>
      <c r="AS46" s="5"/>
      <c r="AT46" s="5">
        <v>5</v>
      </c>
      <c r="AU46" s="5"/>
      <c r="AV46" s="5"/>
    </row>
    <row r="47" spans="1:48" x14ac:dyDescent="0.35">
      <c r="A47" s="4" t="s">
        <v>253</v>
      </c>
      <c r="B47" s="5"/>
      <c r="C47" s="5"/>
      <c r="D47" s="5"/>
      <c r="E47" s="5"/>
      <c r="F47" s="5">
        <v>36</v>
      </c>
      <c r="G47" s="5"/>
      <c r="H47" s="5"/>
      <c r="I47" s="5"/>
      <c r="J47" s="5"/>
      <c r="K47" s="5"/>
      <c r="L47" s="5">
        <v>3792</v>
      </c>
      <c r="M47" s="5"/>
      <c r="N47" s="5">
        <v>334</v>
      </c>
      <c r="O47" s="5"/>
      <c r="P47" s="5">
        <v>5</v>
      </c>
      <c r="Q47" s="5"/>
      <c r="R47" s="5"/>
      <c r="S47" s="5"/>
      <c r="T47" s="5"/>
      <c r="U47" s="5"/>
      <c r="V47" s="5"/>
      <c r="W47" s="5"/>
      <c r="X47" s="5"/>
      <c r="Y47" s="5">
        <v>0</v>
      </c>
      <c r="Z47" s="5">
        <v>1112</v>
      </c>
      <c r="AA47" s="5"/>
      <c r="AB47" s="5"/>
      <c r="AC47" s="5"/>
      <c r="AD47" s="5"/>
      <c r="AE47" s="5"/>
      <c r="AF47" s="5"/>
      <c r="AG47" s="5">
        <v>27</v>
      </c>
      <c r="AH47" s="5"/>
      <c r="AI47" s="5"/>
      <c r="AJ47" s="5">
        <v>4</v>
      </c>
      <c r="AK47" s="5"/>
      <c r="AL47" s="5"/>
      <c r="AM47" s="5"/>
      <c r="AN47" s="5"/>
      <c r="AO47" s="5"/>
      <c r="AP47" s="5"/>
      <c r="AQ47" s="5"/>
      <c r="AR47" s="5">
        <v>224</v>
      </c>
      <c r="AS47" s="5"/>
      <c r="AT47" s="5">
        <v>233</v>
      </c>
      <c r="AU47" s="5"/>
      <c r="AV47" s="5"/>
    </row>
    <row r="48" spans="1:48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v>6184</v>
      </c>
      <c r="M48" s="5"/>
      <c r="N48" s="5"/>
      <c r="O48" s="5">
        <v>1248</v>
      </c>
      <c r="P48" s="5"/>
      <c r="Q48" s="5"/>
      <c r="R48" s="5"/>
      <c r="S48" s="5"/>
      <c r="T48" s="5"/>
      <c r="U48" s="5"/>
      <c r="V48" s="5"/>
      <c r="W48" s="5"/>
      <c r="X48" s="5"/>
      <c r="Y48" s="5">
        <v>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1353</v>
      </c>
      <c r="AU48" s="5"/>
      <c r="AV48" s="5"/>
    </row>
    <row r="49" spans="1:48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>
        <v>75033</v>
      </c>
      <c r="M49" s="5"/>
      <c r="N49" s="5"/>
      <c r="O49" s="5">
        <v>3342</v>
      </c>
      <c r="P49" s="5"/>
      <c r="Q49" s="5"/>
      <c r="R49" s="5"/>
      <c r="S49" s="5"/>
      <c r="T49" s="5"/>
      <c r="U49" s="5"/>
      <c r="V49" s="5"/>
      <c r="W49" s="5"/>
      <c r="X49" s="5"/>
      <c r="Y49" s="5">
        <v>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>
        <v>249</v>
      </c>
      <c r="AP49" s="5"/>
      <c r="AQ49" s="5"/>
      <c r="AR49" s="5"/>
      <c r="AS49" s="5"/>
      <c r="AT49" s="5">
        <v>1554</v>
      </c>
      <c r="AU49" s="5"/>
      <c r="AV49" s="5"/>
    </row>
    <row r="50" spans="1:48" x14ac:dyDescent="0.35">
      <c r="A50" s="4" t="s">
        <v>256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>
        <v>365</v>
      </c>
      <c r="M50" s="5"/>
      <c r="N50" s="5">
        <v>5086</v>
      </c>
      <c r="O50" s="5">
        <v>10</v>
      </c>
      <c r="P50" s="5"/>
      <c r="Q50" s="5"/>
      <c r="R50" s="5"/>
      <c r="S50" s="5"/>
      <c r="T50" s="5"/>
      <c r="U50" s="5"/>
      <c r="V50" s="5"/>
      <c r="W50" s="5"/>
      <c r="X50" s="5"/>
      <c r="Y50" s="5">
        <v>0</v>
      </c>
      <c r="Z50" s="5">
        <v>21942</v>
      </c>
      <c r="AA50" s="5"/>
      <c r="AB50" s="5"/>
      <c r="AC50" s="5"/>
      <c r="AD50" s="5"/>
      <c r="AE50" s="5"/>
      <c r="AF50" s="5"/>
      <c r="AG50" s="5">
        <v>52</v>
      </c>
      <c r="AH50" s="5"/>
      <c r="AI50" s="5"/>
      <c r="AJ50" s="5"/>
      <c r="AK50" s="5"/>
      <c r="AL50" s="5"/>
      <c r="AM50" s="5"/>
      <c r="AN50" s="5"/>
      <c r="AO50" s="5"/>
      <c r="AP50" s="5"/>
      <c r="AQ50" s="5">
        <v>3616</v>
      </c>
      <c r="AR50" s="5"/>
      <c r="AS50" s="5"/>
      <c r="AT50" s="5">
        <v>978</v>
      </c>
      <c r="AU50" s="5"/>
      <c r="AV50" s="5"/>
    </row>
    <row r="51" spans="1:48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2021</v>
      </c>
      <c r="AS51" s="5"/>
      <c r="AT51" s="5">
        <v>3903</v>
      </c>
      <c r="AU51" s="5"/>
      <c r="AV51" s="5"/>
    </row>
    <row r="52" spans="1:48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42507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4" t="s">
        <v>259</v>
      </c>
      <c r="B53" s="5"/>
      <c r="C53" s="5"/>
      <c r="D53" s="5"/>
      <c r="E53" s="5"/>
      <c r="F53" s="5"/>
      <c r="G53" s="5">
        <v>5793</v>
      </c>
      <c r="H53" s="5"/>
      <c r="I53" s="5"/>
      <c r="J53" s="5"/>
      <c r="K53" s="5"/>
      <c r="L53" s="5">
        <v>880</v>
      </c>
      <c r="M53" s="5"/>
      <c r="N53" s="5">
        <v>45</v>
      </c>
      <c r="O53" s="5">
        <v>435</v>
      </c>
      <c r="P53" s="5"/>
      <c r="Q53" s="5"/>
      <c r="R53" s="5"/>
      <c r="S53" s="5"/>
      <c r="T53" s="5"/>
      <c r="U53" s="5"/>
      <c r="V53" s="5">
        <v>76</v>
      </c>
      <c r="W53" s="5"/>
      <c r="X53" s="5"/>
      <c r="Y53" s="5">
        <v>18</v>
      </c>
      <c r="Z53" s="5">
        <v>1331</v>
      </c>
      <c r="AA53" s="5"/>
      <c r="AB53" s="5"/>
      <c r="AC53" s="5">
        <v>234</v>
      </c>
      <c r="AD53" s="5"/>
      <c r="AE53" s="5"/>
      <c r="AF53" s="5">
        <v>1887</v>
      </c>
      <c r="AG53" s="5">
        <v>226</v>
      </c>
      <c r="AH53" s="5"/>
      <c r="AI53" s="5"/>
      <c r="AJ53" s="5"/>
      <c r="AK53" s="5"/>
      <c r="AL53" s="5"/>
      <c r="AM53" s="5"/>
      <c r="AN53" s="5"/>
      <c r="AO53" s="5"/>
      <c r="AP53" s="5"/>
      <c r="AQ53" s="5">
        <v>1132</v>
      </c>
      <c r="AR53" s="5">
        <v>1827</v>
      </c>
      <c r="AS53" s="5"/>
      <c r="AT53" s="5">
        <v>3</v>
      </c>
      <c r="AU53" s="5">
        <v>19</v>
      </c>
      <c r="AV53" s="5"/>
    </row>
    <row r="54" spans="1:48" x14ac:dyDescent="0.35">
      <c r="A54" s="4" t="s">
        <v>260</v>
      </c>
      <c r="B54" s="5"/>
      <c r="C54" s="5"/>
      <c r="D54" s="5"/>
      <c r="E54" s="5"/>
      <c r="F54" s="5"/>
      <c r="G54" s="5">
        <v>4793</v>
      </c>
      <c r="H54" s="5"/>
      <c r="I54" s="5"/>
      <c r="J54" s="5"/>
      <c r="K54" s="5"/>
      <c r="L54" s="5">
        <v>1751</v>
      </c>
      <c r="M54" s="5"/>
      <c r="N54" s="5">
        <v>58</v>
      </c>
      <c r="O54" s="5">
        <v>42</v>
      </c>
      <c r="P54" s="5"/>
      <c r="Q54" s="5"/>
      <c r="R54" s="5"/>
      <c r="S54" s="5"/>
      <c r="T54" s="5"/>
      <c r="U54" s="5"/>
      <c r="V54" s="5"/>
      <c r="W54" s="5"/>
      <c r="X54" s="5"/>
      <c r="Y54" s="5">
        <v>15</v>
      </c>
      <c r="Z54" s="5"/>
      <c r="AA54" s="5"/>
      <c r="AB54" s="5"/>
      <c r="AC54" s="5"/>
      <c r="AD54" s="5"/>
      <c r="AE54" s="5"/>
      <c r="AF54" s="5">
        <v>78</v>
      </c>
      <c r="AG54" s="5">
        <v>118</v>
      </c>
      <c r="AH54" s="5">
        <v>225</v>
      </c>
      <c r="AI54" s="5"/>
      <c r="AJ54" s="5"/>
      <c r="AK54" s="5"/>
      <c r="AL54" s="5">
        <v>7705</v>
      </c>
      <c r="AM54" s="5"/>
      <c r="AN54" s="5"/>
      <c r="AO54" s="5"/>
      <c r="AP54" s="5"/>
      <c r="AQ54" s="5">
        <v>739</v>
      </c>
      <c r="AR54" s="5">
        <v>439</v>
      </c>
      <c r="AS54" s="5"/>
      <c r="AT54" s="5">
        <v>160</v>
      </c>
      <c r="AU54" s="5"/>
      <c r="AV54" s="5"/>
    </row>
    <row r="55" spans="1:48" x14ac:dyDescent="0.35">
      <c r="A55" s="4" t="s">
        <v>261</v>
      </c>
      <c r="B55" s="5"/>
      <c r="C55" s="5"/>
      <c r="D55" s="5"/>
      <c r="E55" s="5"/>
      <c r="F55" s="5"/>
      <c r="G55" s="5">
        <v>360</v>
      </c>
      <c r="H55" s="5"/>
      <c r="I55" s="5"/>
      <c r="J55" s="5"/>
      <c r="K55" s="5"/>
      <c r="L55" s="5">
        <v>220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0</v>
      </c>
      <c r="Z55" s="5"/>
      <c r="AA55" s="5"/>
      <c r="AB55" s="5"/>
      <c r="AC55" s="5"/>
      <c r="AD55" s="5"/>
      <c r="AE55" s="5"/>
      <c r="AF55" s="5">
        <v>284</v>
      </c>
      <c r="AG55" s="5"/>
      <c r="AH55" s="5"/>
      <c r="AI55" s="5"/>
      <c r="AJ55" s="5"/>
      <c r="AK55" s="5"/>
      <c r="AL55" s="5">
        <v>217</v>
      </c>
      <c r="AM55" s="5"/>
      <c r="AN55" s="5"/>
      <c r="AO55" s="5"/>
      <c r="AP55" s="5"/>
      <c r="AQ55" s="5"/>
      <c r="AR55" s="5">
        <v>249</v>
      </c>
      <c r="AS55" s="5"/>
      <c r="AT55" s="5"/>
      <c r="AU55" s="5"/>
      <c r="AV55" s="5"/>
    </row>
    <row r="56" spans="1:48" x14ac:dyDescent="0.35">
      <c r="A56" s="4" t="s">
        <v>262</v>
      </c>
      <c r="B56" s="5"/>
      <c r="C56" s="5"/>
      <c r="D56" s="5"/>
      <c r="E56" s="5"/>
      <c r="F56" s="5"/>
      <c r="G56" s="5">
        <v>116</v>
      </c>
      <c r="H56" s="5"/>
      <c r="I56" s="5"/>
      <c r="J56" s="5"/>
      <c r="K56" s="5"/>
      <c r="L56" s="5">
        <v>1192</v>
      </c>
      <c r="M56" s="5"/>
      <c r="N56" s="5">
        <v>6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0</v>
      </c>
      <c r="Z56" s="5">
        <v>71</v>
      </c>
      <c r="AA56" s="5"/>
      <c r="AB56" s="5"/>
      <c r="AC56" s="5"/>
      <c r="AD56" s="5">
        <v>9</v>
      </c>
      <c r="AE56" s="5"/>
      <c r="AF56" s="5">
        <v>17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23</v>
      </c>
      <c r="AS56" s="5">
        <v>31</v>
      </c>
      <c r="AT56" s="5">
        <v>3</v>
      </c>
      <c r="AU56" s="5"/>
      <c r="AV56" s="5"/>
    </row>
    <row r="57" spans="1:48" x14ac:dyDescent="0.35">
      <c r="A57" s="4" t="s">
        <v>263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>
        <v>4403</v>
      </c>
      <c r="M57" s="5"/>
      <c r="N57" s="5"/>
      <c r="O57" s="5">
        <v>16</v>
      </c>
      <c r="P57" s="5"/>
      <c r="Q57" s="5"/>
      <c r="R57" s="5"/>
      <c r="S57" s="5"/>
      <c r="T57" s="5"/>
      <c r="U57" s="5"/>
      <c r="V57" s="5"/>
      <c r="W57" s="5"/>
      <c r="X57" s="5"/>
      <c r="Y57" s="5">
        <v>2</v>
      </c>
      <c r="Z57" s="5"/>
      <c r="AA57" s="5"/>
      <c r="AB57" s="5"/>
      <c r="AC57" s="5"/>
      <c r="AD57" s="5"/>
      <c r="AE57" s="5"/>
      <c r="AF57" s="5">
        <v>608</v>
      </c>
      <c r="AG57" s="5"/>
      <c r="AH57" s="5">
        <v>310</v>
      </c>
      <c r="AI57" s="5"/>
      <c r="AJ57" s="5"/>
      <c r="AK57" s="5"/>
      <c r="AL57" s="5">
        <v>8565</v>
      </c>
      <c r="AM57" s="5"/>
      <c r="AN57" s="5"/>
      <c r="AO57" s="5"/>
      <c r="AP57" s="5"/>
      <c r="AQ57" s="5"/>
      <c r="AR57" s="5"/>
      <c r="AS57" s="5"/>
      <c r="AT57" s="5">
        <v>62</v>
      </c>
      <c r="AU57" s="5"/>
      <c r="AV57" s="5"/>
    </row>
    <row r="58" spans="1:48" x14ac:dyDescent="0.35">
      <c r="A58" s="4" t="s">
        <v>264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42</v>
      </c>
      <c r="AU58" s="5"/>
      <c r="AV58" s="5"/>
    </row>
    <row r="59" spans="1:48" x14ac:dyDescent="0.35">
      <c r="A59" s="4" t="s">
        <v>265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102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53</v>
      </c>
      <c r="Z59" s="5"/>
      <c r="AA59" s="5"/>
      <c r="AB59" s="5"/>
      <c r="AC59" s="5"/>
      <c r="AD59" s="5"/>
      <c r="AE59" s="5"/>
      <c r="AF59" s="5">
        <v>338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</v>
      </c>
      <c r="AS59" s="5"/>
      <c r="AT59" s="5">
        <v>20</v>
      </c>
      <c r="AU59" s="5"/>
      <c r="AV59" s="5"/>
    </row>
    <row r="60" spans="1:48" x14ac:dyDescent="0.35">
      <c r="A60" s="4" t="s">
        <v>266</v>
      </c>
      <c r="B60" s="5">
        <v>952</v>
      </c>
      <c r="C60" s="5">
        <v>72</v>
      </c>
      <c r="D60" s="5"/>
      <c r="E60" s="5"/>
      <c r="F60" s="5">
        <v>2528</v>
      </c>
      <c r="G60" s="5">
        <v>3035</v>
      </c>
      <c r="H60" s="5">
        <v>798</v>
      </c>
      <c r="I60" s="5">
        <v>363</v>
      </c>
      <c r="J60" s="5">
        <v>67</v>
      </c>
      <c r="K60" s="5">
        <v>183</v>
      </c>
      <c r="L60" s="5">
        <v>39830</v>
      </c>
      <c r="M60" s="5">
        <v>3550</v>
      </c>
      <c r="N60" s="5">
        <v>562</v>
      </c>
      <c r="O60" s="5">
        <v>118</v>
      </c>
      <c r="P60" s="5"/>
      <c r="Q60" s="5">
        <v>287</v>
      </c>
      <c r="R60" s="5">
        <v>859</v>
      </c>
      <c r="S60" s="5">
        <v>157</v>
      </c>
      <c r="T60" s="5">
        <v>1356</v>
      </c>
      <c r="U60" s="5"/>
      <c r="V60" s="5">
        <v>117</v>
      </c>
      <c r="W60" s="5">
        <v>1090</v>
      </c>
      <c r="X60" s="5">
        <v>138</v>
      </c>
      <c r="Y60" s="5">
        <v>34</v>
      </c>
      <c r="Z60" s="5">
        <v>2440</v>
      </c>
      <c r="AA60" s="5">
        <v>21</v>
      </c>
      <c r="AB60" s="5"/>
      <c r="AC60" s="5">
        <v>178</v>
      </c>
      <c r="AD60" s="5">
        <v>1037</v>
      </c>
      <c r="AE60" s="5">
        <v>1207</v>
      </c>
      <c r="AF60" s="5">
        <v>778</v>
      </c>
      <c r="AG60" s="5"/>
      <c r="AH60" s="5">
        <v>534</v>
      </c>
      <c r="AI60" s="5"/>
      <c r="AJ60" s="5">
        <v>115</v>
      </c>
      <c r="AK60" s="5">
        <v>66</v>
      </c>
      <c r="AL60" s="5">
        <v>14192</v>
      </c>
      <c r="AM60" s="5">
        <v>73</v>
      </c>
      <c r="AN60" s="5">
        <v>275</v>
      </c>
      <c r="AO60" s="5"/>
      <c r="AP60" s="5"/>
      <c r="AQ60" s="5"/>
      <c r="AR60" s="5">
        <v>619</v>
      </c>
      <c r="AS60" s="5">
        <v>120</v>
      </c>
      <c r="AT60" s="5">
        <v>392</v>
      </c>
      <c r="AU60" s="5">
        <v>90</v>
      </c>
      <c r="AV60" s="5">
        <v>451</v>
      </c>
    </row>
    <row r="61" spans="1:48" x14ac:dyDescent="0.35">
      <c r="A61" s="4" t="s">
        <v>267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8957</v>
      </c>
      <c r="M61" s="5"/>
      <c r="N61" s="5">
        <v>8</v>
      </c>
      <c r="O61" s="5"/>
      <c r="P61" s="5">
        <v>20</v>
      </c>
      <c r="Q61" s="5">
        <v>12</v>
      </c>
      <c r="R61" s="5"/>
      <c r="S61" s="5"/>
      <c r="T61" s="5"/>
      <c r="U61" s="5"/>
      <c r="V61" s="5"/>
      <c r="W61" s="5"/>
      <c r="X61" s="5"/>
      <c r="Y61" s="5">
        <v>3</v>
      </c>
      <c r="Z61" s="5">
        <v>518</v>
      </c>
      <c r="AA61" s="5">
        <v>4</v>
      </c>
      <c r="AB61" s="5"/>
      <c r="AC61" s="5"/>
      <c r="AD61" s="5">
        <v>85</v>
      </c>
      <c r="AE61" s="5"/>
      <c r="AF61" s="5">
        <v>68</v>
      </c>
      <c r="AG61" s="5">
        <v>35</v>
      </c>
      <c r="AH61" s="5"/>
      <c r="AI61" s="5"/>
      <c r="AJ61" s="5">
        <v>35</v>
      </c>
      <c r="AK61" s="5"/>
      <c r="AL61" s="5"/>
      <c r="AM61" s="5"/>
      <c r="AN61" s="5"/>
      <c r="AO61" s="5">
        <v>84</v>
      </c>
      <c r="AP61" s="5"/>
      <c r="AQ61" s="5"/>
      <c r="AR61" s="5">
        <v>92</v>
      </c>
      <c r="AS61" s="5">
        <v>48</v>
      </c>
      <c r="AT61" s="5">
        <v>81</v>
      </c>
      <c r="AU61" s="5"/>
      <c r="AV61" s="5"/>
    </row>
    <row r="62" spans="1:48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5">
      <c r="A63" s="4" t="s">
        <v>269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0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1215</v>
      </c>
      <c r="AS63" s="5"/>
      <c r="AT63" s="5"/>
      <c r="AU63" s="5"/>
      <c r="AV63" s="5"/>
    </row>
    <row r="64" spans="1:48" x14ac:dyDescent="0.35">
      <c r="A64" s="8" t="s">
        <v>317</v>
      </c>
      <c r="B64" s="6">
        <f>SUM(B4:B63)</f>
        <v>4533</v>
      </c>
      <c r="C64" s="6">
        <f t="shared" ref="C64:AV64" si="0">SUM(C4:C63)</f>
        <v>3334</v>
      </c>
      <c r="D64" s="6">
        <f t="shared" si="0"/>
        <v>812</v>
      </c>
      <c r="E64" s="6">
        <f t="shared" si="0"/>
        <v>191677</v>
      </c>
      <c r="F64" s="6">
        <f t="shared" si="0"/>
        <v>233238</v>
      </c>
      <c r="G64" s="6">
        <f t="shared" si="0"/>
        <v>758732</v>
      </c>
      <c r="H64" s="6">
        <f t="shared" si="0"/>
        <v>15612</v>
      </c>
      <c r="I64" s="6">
        <f t="shared" si="0"/>
        <v>11460</v>
      </c>
      <c r="J64" s="6">
        <f t="shared" si="0"/>
        <v>17017</v>
      </c>
      <c r="K64" s="6">
        <f t="shared" si="0"/>
        <v>30998</v>
      </c>
      <c r="L64" s="6">
        <f t="shared" si="0"/>
        <v>537276</v>
      </c>
      <c r="M64" s="6">
        <f t="shared" si="0"/>
        <v>44026</v>
      </c>
      <c r="N64" s="6">
        <f t="shared" si="0"/>
        <v>22362</v>
      </c>
      <c r="O64" s="6">
        <f t="shared" si="0"/>
        <v>26600</v>
      </c>
      <c r="P64" s="6">
        <f t="shared" si="0"/>
        <v>31406</v>
      </c>
      <c r="Q64" s="6">
        <f t="shared" si="0"/>
        <v>2763</v>
      </c>
      <c r="R64" s="6">
        <f t="shared" si="0"/>
        <v>25085</v>
      </c>
      <c r="S64" s="6">
        <f t="shared" si="0"/>
        <v>12225</v>
      </c>
      <c r="T64" s="6">
        <f t="shared" si="0"/>
        <v>59087</v>
      </c>
      <c r="U64" s="6">
        <f t="shared" si="0"/>
        <v>12</v>
      </c>
      <c r="V64" s="6">
        <f t="shared" si="0"/>
        <v>5382</v>
      </c>
      <c r="W64" s="6">
        <f t="shared" si="0"/>
        <v>298852</v>
      </c>
      <c r="X64" s="6">
        <f t="shared" si="0"/>
        <v>37040</v>
      </c>
      <c r="Y64" s="6">
        <f t="shared" si="0"/>
        <v>6577</v>
      </c>
      <c r="Z64" s="6">
        <f t="shared" si="0"/>
        <v>235988</v>
      </c>
      <c r="AA64" s="6">
        <f t="shared" si="0"/>
        <v>11204</v>
      </c>
      <c r="AB64" s="6">
        <f t="shared" si="0"/>
        <v>51212</v>
      </c>
      <c r="AC64" s="6">
        <f t="shared" si="0"/>
        <v>32725</v>
      </c>
      <c r="AD64" s="6">
        <f t="shared" si="0"/>
        <v>26084</v>
      </c>
      <c r="AE64" s="6">
        <f t="shared" si="0"/>
        <v>16447</v>
      </c>
      <c r="AF64" s="6">
        <f t="shared" si="0"/>
        <v>50322</v>
      </c>
      <c r="AG64" s="6">
        <f t="shared" si="0"/>
        <v>16016</v>
      </c>
      <c r="AH64" s="6">
        <f t="shared" si="0"/>
        <v>81732</v>
      </c>
      <c r="AI64" s="6">
        <f t="shared" si="0"/>
        <v>17745</v>
      </c>
      <c r="AJ64" s="6">
        <f t="shared" si="0"/>
        <v>3271</v>
      </c>
      <c r="AK64" s="6">
        <f t="shared" si="0"/>
        <v>13128</v>
      </c>
      <c r="AL64" s="6">
        <f t="shared" si="0"/>
        <v>340269</v>
      </c>
      <c r="AM64" s="6">
        <f t="shared" si="0"/>
        <v>10417</v>
      </c>
      <c r="AN64" s="6">
        <f t="shared" si="0"/>
        <v>11754</v>
      </c>
      <c r="AO64" s="6">
        <f t="shared" si="0"/>
        <v>13113</v>
      </c>
      <c r="AP64" s="6">
        <f t="shared" si="0"/>
        <v>110038</v>
      </c>
      <c r="AQ64" s="6">
        <f t="shared" si="0"/>
        <v>67254</v>
      </c>
      <c r="AR64" s="6">
        <f t="shared" si="0"/>
        <v>116800</v>
      </c>
      <c r="AS64" s="6">
        <f t="shared" si="0"/>
        <v>12010</v>
      </c>
      <c r="AT64" s="6">
        <f t="shared" si="0"/>
        <v>25806</v>
      </c>
      <c r="AU64" s="6">
        <f t="shared" si="0"/>
        <v>2861</v>
      </c>
      <c r="AV64" s="6">
        <f t="shared" si="0"/>
        <v>77395</v>
      </c>
    </row>
    <row r="66" spans="1:48" x14ac:dyDescent="0.35">
      <c r="A66" t="s">
        <v>8</v>
      </c>
      <c r="B66">
        <v>743373</v>
      </c>
      <c r="C66">
        <v>204196.5</v>
      </c>
      <c r="D66">
        <v>6389.2</v>
      </c>
      <c r="E66">
        <v>3612384.5</v>
      </c>
      <c r="F66">
        <v>3612346.7</v>
      </c>
      <c r="G66">
        <v>7300350.5</v>
      </c>
      <c r="H66">
        <v>63976.2</v>
      </c>
      <c r="I66">
        <v>143140.70000000001</v>
      </c>
      <c r="J66">
        <v>30300.3</v>
      </c>
      <c r="K66">
        <v>59244.9</v>
      </c>
      <c r="L66">
        <v>1036361.6</v>
      </c>
      <c r="M66">
        <v>1224269.3</v>
      </c>
      <c r="N66">
        <v>442748.4</v>
      </c>
      <c r="O66">
        <v>62387.4</v>
      </c>
      <c r="P66">
        <v>421562</v>
      </c>
      <c r="Q66">
        <v>10880.9</v>
      </c>
      <c r="R66">
        <v>903131.8</v>
      </c>
      <c r="S66">
        <v>661394.80000000005</v>
      </c>
      <c r="T66">
        <v>875669</v>
      </c>
      <c r="U66">
        <v>47969.599999999999</v>
      </c>
      <c r="V66">
        <v>85148.1</v>
      </c>
      <c r="W66">
        <v>889062.6</v>
      </c>
      <c r="X66">
        <v>438506.5</v>
      </c>
      <c r="Y66">
        <v>61876.9</v>
      </c>
      <c r="Z66">
        <v>1442173.7</v>
      </c>
      <c r="AA66">
        <v>156857.29999999999</v>
      </c>
      <c r="AB66">
        <v>853987.6</v>
      </c>
      <c r="AC66">
        <v>619407.19999999995</v>
      </c>
      <c r="AD66">
        <v>825813.6</v>
      </c>
      <c r="AE66">
        <v>14714</v>
      </c>
      <c r="AF66">
        <v>1081131.1000000001</v>
      </c>
      <c r="AG66">
        <v>70319.7</v>
      </c>
      <c r="AH66">
        <v>388863.1</v>
      </c>
      <c r="AI66">
        <v>526366.6</v>
      </c>
      <c r="AJ66">
        <v>1833.4</v>
      </c>
      <c r="AK66">
        <v>252080.8</v>
      </c>
      <c r="AL66">
        <v>1221592.2</v>
      </c>
      <c r="AM66">
        <v>323958.40000000002</v>
      </c>
      <c r="AN66">
        <v>175834.5</v>
      </c>
      <c r="AO66">
        <v>1007593.1</v>
      </c>
      <c r="AP66">
        <v>1554009.4</v>
      </c>
      <c r="AQ66">
        <v>632342.80000000005</v>
      </c>
      <c r="AR66">
        <v>481109.7</v>
      </c>
      <c r="AS66">
        <v>100677</v>
      </c>
      <c r="AT66">
        <v>262963.5</v>
      </c>
      <c r="AU66">
        <v>23759.3</v>
      </c>
      <c r="AV66">
        <v>2149250.2000000002</v>
      </c>
    </row>
  </sheetData>
  <hyperlinks>
    <hyperlink ref="B1" location="Home!A1" display="HOME" xr:uid="{B2CA1A3D-E824-4DF4-8718-A8544788BF05}"/>
  </hyperlink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66"/>
  <sheetViews>
    <sheetView workbookViewId="0">
      <selection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325</v>
      </c>
      <c r="B1" s="29" t="s">
        <v>376</v>
      </c>
    </row>
    <row r="2" spans="1:48" x14ac:dyDescent="0.35">
      <c r="A2" s="13"/>
      <c r="B2" s="7" t="s">
        <v>70</v>
      </c>
      <c r="C2" s="7" t="s">
        <v>270</v>
      </c>
      <c r="D2" s="7" t="s">
        <v>272</v>
      </c>
      <c r="E2" s="7" t="s">
        <v>271</v>
      </c>
      <c r="F2" s="7" t="s">
        <v>273</v>
      </c>
      <c r="G2" s="7" t="s">
        <v>274</v>
      </c>
      <c r="H2" s="7" t="s">
        <v>275</v>
      </c>
      <c r="I2" s="7" t="s">
        <v>276</v>
      </c>
      <c r="J2" s="7" t="s">
        <v>277</v>
      </c>
      <c r="K2" s="7" t="s">
        <v>278</v>
      </c>
      <c r="L2" s="7" t="s">
        <v>279</v>
      </c>
      <c r="M2" s="7" t="s">
        <v>280</v>
      </c>
      <c r="N2" s="7" t="s">
        <v>281</v>
      </c>
      <c r="O2" s="7" t="s">
        <v>282</v>
      </c>
      <c r="P2" s="7" t="s">
        <v>283</v>
      </c>
      <c r="Q2" s="7" t="s">
        <v>284</v>
      </c>
      <c r="R2" s="7" t="s">
        <v>285</v>
      </c>
      <c r="S2" s="7" t="s">
        <v>286</v>
      </c>
      <c r="T2" s="7" t="s">
        <v>287</v>
      </c>
      <c r="U2" s="7" t="s">
        <v>288</v>
      </c>
      <c r="V2" s="7" t="s">
        <v>289</v>
      </c>
      <c r="W2" s="7" t="s">
        <v>290</v>
      </c>
      <c r="X2" s="7" t="s">
        <v>291</v>
      </c>
      <c r="Y2" s="7" t="s">
        <v>292</v>
      </c>
      <c r="Z2" s="7" t="s">
        <v>293</v>
      </c>
      <c r="AA2" s="7" t="s">
        <v>294</v>
      </c>
      <c r="AB2" s="7" t="s">
        <v>295</v>
      </c>
      <c r="AC2" s="7" t="s">
        <v>296</v>
      </c>
      <c r="AD2" s="7" t="s">
        <v>297</v>
      </c>
      <c r="AE2" s="7" t="s">
        <v>298</v>
      </c>
      <c r="AF2" s="7" t="s">
        <v>299</v>
      </c>
      <c r="AG2" s="7" t="s">
        <v>300</v>
      </c>
      <c r="AH2" s="7" t="s">
        <v>301</v>
      </c>
      <c r="AI2" s="7" t="s">
        <v>302</v>
      </c>
      <c r="AJ2" s="7" t="s">
        <v>303</v>
      </c>
      <c r="AK2" s="7" t="s">
        <v>304</v>
      </c>
      <c r="AL2" s="7" t="s">
        <v>305</v>
      </c>
      <c r="AM2" s="7" t="s">
        <v>306</v>
      </c>
      <c r="AN2" s="7" t="s">
        <v>307</v>
      </c>
      <c r="AO2" s="7" t="s">
        <v>308</v>
      </c>
      <c r="AP2" s="7" t="s">
        <v>309</v>
      </c>
      <c r="AQ2" s="7" t="s">
        <v>310</v>
      </c>
      <c r="AR2" s="7" t="s">
        <v>311</v>
      </c>
      <c r="AS2" s="7" t="s">
        <v>312</v>
      </c>
      <c r="AT2" s="7" t="s">
        <v>313</v>
      </c>
      <c r="AU2" s="7" t="s">
        <v>314</v>
      </c>
      <c r="AV2" s="7" t="s">
        <v>315</v>
      </c>
    </row>
    <row r="3" spans="1:48" x14ac:dyDescent="0.35">
      <c r="A3" s="12" t="s">
        <v>319</v>
      </c>
      <c r="B3" s="7" t="s">
        <v>71</v>
      </c>
      <c r="C3" s="7" t="s">
        <v>74</v>
      </c>
      <c r="D3" s="7" t="s">
        <v>77</v>
      </c>
      <c r="E3" s="7" t="s">
        <v>80</v>
      </c>
      <c r="F3" s="7" t="s">
        <v>83</v>
      </c>
      <c r="G3" s="7" t="s">
        <v>86</v>
      </c>
      <c r="H3" s="7" t="s">
        <v>89</v>
      </c>
      <c r="I3" s="7" t="s">
        <v>92</v>
      </c>
      <c r="J3" s="7" t="s">
        <v>95</v>
      </c>
      <c r="K3" s="7" t="s">
        <v>98</v>
      </c>
      <c r="L3" s="7" t="s">
        <v>101</v>
      </c>
      <c r="M3" s="7" t="s">
        <v>104</v>
      </c>
      <c r="N3" s="7" t="s">
        <v>107</v>
      </c>
      <c r="O3" s="7" t="s">
        <v>110</v>
      </c>
      <c r="P3" s="7" t="s">
        <v>113</v>
      </c>
      <c r="Q3" s="7" t="s">
        <v>116</v>
      </c>
      <c r="R3" s="7" t="s">
        <v>119</v>
      </c>
      <c r="S3" s="7" t="s">
        <v>122</v>
      </c>
      <c r="T3" s="7" t="s">
        <v>125</v>
      </c>
      <c r="U3" s="7" t="s">
        <v>128</v>
      </c>
      <c r="V3" s="7" t="s">
        <v>131</v>
      </c>
      <c r="W3" s="7" t="s">
        <v>134</v>
      </c>
      <c r="X3" s="7" t="s">
        <v>137</v>
      </c>
      <c r="Y3" s="7" t="s">
        <v>140</v>
      </c>
      <c r="Z3" s="7" t="s">
        <v>143</v>
      </c>
      <c r="AA3" s="7" t="s">
        <v>146</v>
      </c>
      <c r="AB3" s="7" t="s">
        <v>149</v>
      </c>
      <c r="AC3" s="7" t="s">
        <v>152</v>
      </c>
      <c r="AD3" s="7" t="s">
        <v>155</v>
      </c>
      <c r="AE3" s="7" t="s">
        <v>158</v>
      </c>
      <c r="AF3" s="7" t="s">
        <v>161</v>
      </c>
      <c r="AG3" s="7" t="s">
        <v>164</v>
      </c>
      <c r="AH3" s="7" t="s">
        <v>167</v>
      </c>
      <c r="AI3" s="7" t="s">
        <v>170</v>
      </c>
      <c r="AJ3" s="7" t="s">
        <v>173</v>
      </c>
      <c r="AK3" s="7" t="s">
        <v>176</v>
      </c>
      <c r="AL3" s="7" t="s">
        <v>179</v>
      </c>
      <c r="AM3" s="7" t="s">
        <v>182</v>
      </c>
      <c r="AN3" s="7" t="s">
        <v>185</v>
      </c>
      <c r="AO3" s="7" t="s">
        <v>188</v>
      </c>
      <c r="AP3" s="7" t="s">
        <v>191</v>
      </c>
      <c r="AQ3" s="7" t="s">
        <v>194</v>
      </c>
      <c r="AR3" s="7" t="s">
        <v>197</v>
      </c>
      <c r="AS3" s="7" t="s">
        <v>200</v>
      </c>
      <c r="AT3" s="7" t="s">
        <v>203</v>
      </c>
      <c r="AU3" s="7" t="s">
        <v>206</v>
      </c>
      <c r="AV3" s="7" t="s">
        <v>209</v>
      </c>
    </row>
    <row r="4" spans="1:48" x14ac:dyDescent="0.35">
      <c r="A4" s="4" t="s">
        <v>212</v>
      </c>
      <c r="B4" s="5">
        <v>1626</v>
      </c>
      <c r="C4" s="5"/>
      <c r="D4" s="5"/>
      <c r="E4" s="5"/>
      <c r="F4" s="5"/>
      <c r="G4" s="5"/>
      <c r="H4" s="5">
        <v>1408</v>
      </c>
      <c r="I4" s="5">
        <v>791</v>
      </c>
      <c r="J4" s="5">
        <v>208</v>
      </c>
      <c r="K4" s="5"/>
      <c r="L4" s="5"/>
      <c r="M4" s="5">
        <v>6400</v>
      </c>
      <c r="N4" s="5"/>
      <c r="O4" s="5"/>
      <c r="P4" s="5">
        <v>0</v>
      </c>
      <c r="Q4" s="5"/>
      <c r="R4" s="5"/>
      <c r="S4" s="5">
        <v>651</v>
      </c>
      <c r="T4" s="5"/>
      <c r="U4" s="5">
        <v>507</v>
      </c>
      <c r="V4" s="5">
        <v>232</v>
      </c>
      <c r="W4" s="5">
        <v>2679</v>
      </c>
      <c r="X4" s="5"/>
      <c r="Y4" s="5"/>
      <c r="Z4" s="5"/>
      <c r="AA4" s="5">
        <v>248</v>
      </c>
      <c r="AB4" s="5"/>
      <c r="AC4" s="5"/>
      <c r="AD4" s="5">
        <v>2247</v>
      </c>
      <c r="AE4" s="5">
        <v>2927</v>
      </c>
      <c r="AF4" s="5">
        <v>2180</v>
      </c>
      <c r="AG4" s="5">
        <v>1421</v>
      </c>
      <c r="AH4" s="5">
        <v>1648</v>
      </c>
      <c r="AI4" s="5">
        <v>1066</v>
      </c>
      <c r="AJ4" s="5"/>
      <c r="AK4" s="5"/>
      <c r="AL4" s="5">
        <v>44653</v>
      </c>
      <c r="AM4" s="5"/>
      <c r="AN4" s="5"/>
      <c r="AO4" s="5">
        <v>472</v>
      </c>
      <c r="AP4" s="5">
        <v>6918</v>
      </c>
      <c r="AQ4" s="5"/>
      <c r="AR4" s="5">
        <v>2646</v>
      </c>
      <c r="AS4" s="5">
        <v>224</v>
      </c>
      <c r="AT4" s="5">
        <v>583</v>
      </c>
      <c r="AU4" s="5"/>
      <c r="AV4" s="5"/>
    </row>
    <row r="5" spans="1:48" x14ac:dyDescent="0.35">
      <c r="A5" s="4" t="s">
        <v>213</v>
      </c>
      <c r="B5" s="5">
        <v>888</v>
      </c>
      <c r="C5" s="5"/>
      <c r="D5" s="5"/>
      <c r="E5" s="5"/>
      <c r="F5" s="5"/>
      <c r="G5" s="5"/>
      <c r="H5" s="5">
        <v>570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152</v>
      </c>
      <c r="W5" s="5">
        <v>1757</v>
      </c>
      <c r="X5" s="5"/>
      <c r="Y5" s="5"/>
      <c r="Z5" s="5"/>
      <c r="AA5" s="5"/>
      <c r="AB5" s="5"/>
      <c r="AC5" s="5"/>
      <c r="AD5" s="5"/>
      <c r="AE5" s="5"/>
      <c r="AF5" s="5">
        <v>1555</v>
      </c>
      <c r="AG5" s="5"/>
      <c r="AH5" s="5">
        <v>1114</v>
      </c>
      <c r="AI5" s="5"/>
      <c r="AJ5" s="5"/>
      <c r="AK5" s="5"/>
      <c r="AL5" s="5"/>
      <c r="AM5" s="5"/>
      <c r="AN5" s="5"/>
      <c r="AO5" s="5"/>
      <c r="AP5" s="5"/>
      <c r="AQ5" s="5"/>
      <c r="AR5" s="5">
        <v>1754</v>
      </c>
      <c r="AS5" s="5"/>
      <c r="AT5" s="5">
        <v>230</v>
      </c>
      <c r="AU5" s="5"/>
      <c r="AV5" s="5"/>
    </row>
    <row r="6" spans="1:48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84</v>
      </c>
      <c r="AS6" s="5"/>
      <c r="AT6" s="5"/>
      <c r="AU6" s="5"/>
      <c r="AV6" s="5"/>
    </row>
    <row r="7" spans="1:48" x14ac:dyDescent="0.35">
      <c r="A7" s="4" t="s">
        <v>215</v>
      </c>
      <c r="B7" s="5">
        <v>10376</v>
      </c>
      <c r="C7" s="5"/>
      <c r="D7" s="5"/>
      <c r="E7" s="5">
        <v>73046</v>
      </c>
      <c r="F7" s="5">
        <v>88164</v>
      </c>
      <c r="G7" s="5"/>
      <c r="H7" s="5">
        <v>5350</v>
      </c>
      <c r="I7" s="5">
        <v>4571</v>
      </c>
      <c r="J7" s="5">
        <v>4431</v>
      </c>
      <c r="K7" s="5"/>
      <c r="L7" s="5">
        <v>92000</v>
      </c>
      <c r="M7" s="5"/>
      <c r="N7" s="5"/>
      <c r="O7" s="5"/>
      <c r="P7" s="5">
        <v>9071</v>
      </c>
      <c r="Q7" s="5">
        <v>688</v>
      </c>
      <c r="R7" s="5"/>
      <c r="S7" s="5">
        <v>3487</v>
      </c>
      <c r="T7" s="5">
        <v>13583</v>
      </c>
      <c r="U7" s="5">
        <v>634</v>
      </c>
      <c r="V7" s="5">
        <v>1127</v>
      </c>
      <c r="W7" s="5">
        <v>58608</v>
      </c>
      <c r="X7" s="5"/>
      <c r="Y7" s="5"/>
      <c r="Z7" s="5">
        <v>53168</v>
      </c>
      <c r="AA7" s="5"/>
      <c r="AB7" s="5"/>
      <c r="AC7" s="5"/>
      <c r="AD7" s="5"/>
      <c r="AE7" s="5">
        <v>4445</v>
      </c>
      <c r="AF7" s="5">
        <v>7961</v>
      </c>
      <c r="AG7" s="5">
        <v>4853</v>
      </c>
      <c r="AH7" s="5"/>
      <c r="AI7" s="5">
        <v>2820</v>
      </c>
      <c r="AJ7" s="5"/>
      <c r="AK7" s="5">
        <v>5980</v>
      </c>
      <c r="AL7" s="5"/>
      <c r="AM7" s="5"/>
      <c r="AN7" s="5"/>
      <c r="AO7" s="5"/>
      <c r="AP7" s="5">
        <v>60456</v>
      </c>
      <c r="AQ7" s="5">
        <v>15691</v>
      </c>
      <c r="AR7" s="5">
        <v>28170</v>
      </c>
      <c r="AS7" s="5">
        <v>4528</v>
      </c>
      <c r="AT7" s="5">
        <v>1966</v>
      </c>
      <c r="AU7" s="5"/>
      <c r="AV7" s="5">
        <v>31940</v>
      </c>
    </row>
    <row r="8" spans="1:48" x14ac:dyDescent="0.35">
      <c r="A8" s="4" t="s">
        <v>216</v>
      </c>
      <c r="B8" s="5">
        <v>6569</v>
      </c>
      <c r="C8" s="5"/>
      <c r="D8" s="5"/>
      <c r="E8" s="5"/>
      <c r="F8" s="5"/>
      <c r="G8" s="5"/>
      <c r="H8" s="5">
        <v>733</v>
      </c>
      <c r="I8" s="5"/>
      <c r="J8" s="5"/>
      <c r="K8" s="5"/>
      <c r="L8" s="5"/>
      <c r="M8" s="5"/>
      <c r="N8" s="5"/>
      <c r="O8" s="5"/>
      <c r="P8" s="5">
        <v>160</v>
      </c>
      <c r="Q8" s="5"/>
      <c r="R8" s="5"/>
      <c r="S8" s="5"/>
      <c r="T8" s="5"/>
      <c r="U8" s="5"/>
      <c r="V8" s="5">
        <v>422</v>
      </c>
      <c r="W8" s="5">
        <v>9554</v>
      </c>
      <c r="X8" s="5"/>
      <c r="Y8" s="5"/>
      <c r="Z8" s="5"/>
      <c r="AA8" s="5"/>
      <c r="AB8" s="5">
        <v>2931</v>
      </c>
      <c r="AC8" s="5"/>
      <c r="AD8" s="5"/>
      <c r="AE8" s="5"/>
      <c r="AF8" s="5">
        <v>5820</v>
      </c>
      <c r="AG8" s="5"/>
      <c r="AH8" s="5">
        <v>2144</v>
      </c>
      <c r="AI8" s="5">
        <v>2002</v>
      </c>
      <c r="AJ8" s="5"/>
      <c r="AK8" s="5"/>
      <c r="AL8" s="5"/>
      <c r="AM8" s="5"/>
      <c r="AN8" s="5"/>
      <c r="AO8" s="5"/>
      <c r="AP8" s="5"/>
      <c r="AQ8" s="5"/>
      <c r="AR8" s="5">
        <v>8806</v>
      </c>
      <c r="AS8" s="5"/>
      <c r="AT8" s="5">
        <v>1268</v>
      </c>
      <c r="AU8" s="5"/>
      <c r="AV8" s="5"/>
    </row>
    <row r="9" spans="1:48" x14ac:dyDescent="0.35">
      <c r="A9" s="4" t="s">
        <v>217</v>
      </c>
      <c r="B9" s="5">
        <v>80</v>
      </c>
      <c r="C9" s="5"/>
      <c r="D9" s="5"/>
      <c r="E9" s="5"/>
      <c r="F9" s="5"/>
      <c r="G9" s="5"/>
      <c r="H9" s="5">
        <v>37</v>
      </c>
      <c r="I9" s="5"/>
      <c r="J9" s="5"/>
      <c r="K9" s="5"/>
      <c r="L9" s="5">
        <v>14263</v>
      </c>
      <c r="M9" s="5"/>
      <c r="N9" s="5">
        <v>73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401</v>
      </c>
      <c r="AF9" s="5">
        <v>217</v>
      </c>
      <c r="AG9" s="5"/>
      <c r="AH9" s="5">
        <v>236</v>
      </c>
      <c r="AI9" s="5">
        <v>121</v>
      </c>
      <c r="AJ9" s="5"/>
      <c r="AK9" s="5"/>
      <c r="AL9" s="5">
        <v>6314</v>
      </c>
      <c r="AM9" s="5"/>
      <c r="AN9" s="5"/>
      <c r="AO9" s="5"/>
      <c r="AP9" s="5"/>
      <c r="AQ9" s="5"/>
      <c r="AR9" s="5">
        <v>109</v>
      </c>
      <c r="AS9" s="5"/>
      <c r="AT9" s="5">
        <v>57</v>
      </c>
      <c r="AU9" s="5"/>
      <c r="AV9" s="5"/>
    </row>
    <row r="10" spans="1:48" x14ac:dyDescent="0.35">
      <c r="A10" s="4" t="s">
        <v>218</v>
      </c>
      <c r="B10" s="5">
        <v>284</v>
      </c>
      <c r="C10" s="5"/>
      <c r="D10" s="5"/>
      <c r="E10" s="5"/>
      <c r="F10" s="5"/>
      <c r="G10" s="5"/>
      <c r="H10" s="5">
        <v>121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71</v>
      </c>
      <c r="T10" s="5"/>
      <c r="U10" s="5"/>
      <c r="V10" s="5"/>
      <c r="W10" s="5">
        <v>718</v>
      </c>
      <c r="X10" s="5"/>
      <c r="Y10" s="5"/>
      <c r="Z10" s="5"/>
      <c r="AA10" s="5"/>
      <c r="AB10" s="5"/>
      <c r="AC10" s="5"/>
      <c r="AD10" s="5"/>
      <c r="AE10" s="5">
        <v>531</v>
      </c>
      <c r="AF10" s="5">
        <v>255</v>
      </c>
      <c r="AG10" s="5"/>
      <c r="AH10" s="5">
        <v>879</v>
      </c>
      <c r="AI10" s="5">
        <v>170</v>
      </c>
      <c r="AJ10" s="5"/>
      <c r="AK10" s="5"/>
      <c r="AL10" s="5"/>
      <c r="AM10" s="5"/>
      <c r="AN10" s="5"/>
      <c r="AO10" s="5"/>
      <c r="AP10" s="5"/>
      <c r="AQ10" s="5"/>
      <c r="AR10" s="5">
        <v>272</v>
      </c>
      <c r="AS10" s="5"/>
      <c r="AT10" s="5">
        <v>218</v>
      </c>
      <c r="AU10" s="5"/>
      <c r="AV10" s="5"/>
    </row>
    <row r="11" spans="1:48" x14ac:dyDescent="0.35">
      <c r="A11" s="4" t="s">
        <v>219</v>
      </c>
      <c r="B11" s="5"/>
      <c r="C11" s="5"/>
      <c r="D11" s="5"/>
      <c r="E11" s="5"/>
      <c r="F11" s="5"/>
      <c r="G11" s="5"/>
      <c r="H11" s="5">
        <v>1943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7242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11460</v>
      </c>
      <c r="AS11" s="5"/>
      <c r="AT11" s="5">
        <v>1431</v>
      </c>
      <c r="AU11" s="5"/>
      <c r="AV11" s="5"/>
    </row>
    <row r="12" spans="1:48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35">
      <c r="A13" s="4" t="s">
        <v>221</v>
      </c>
      <c r="B13" s="5"/>
      <c r="C13" s="5"/>
      <c r="D13" s="5"/>
      <c r="E13" s="5"/>
      <c r="F13" s="5"/>
      <c r="G13" s="5"/>
      <c r="H13" s="5">
        <v>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v>2</v>
      </c>
      <c r="AG13" s="5"/>
      <c r="AH13" s="5"/>
      <c r="AI13" s="5"/>
      <c r="AJ13" s="5"/>
      <c r="AK13" s="5"/>
      <c r="AL13" s="5">
        <v>3323</v>
      </c>
      <c r="AM13" s="5"/>
      <c r="AN13" s="5"/>
      <c r="AO13" s="5"/>
      <c r="AP13" s="5"/>
      <c r="AQ13" s="5"/>
      <c r="AR13" s="5"/>
      <c r="AS13" s="5"/>
      <c r="AT13" s="5">
        <v>21</v>
      </c>
      <c r="AU13" s="5"/>
      <c r="AV13" s="5"/>
    </row>
    <row r="14" spans="1:48" x14ac:dyDescent="0.35">
      <c r="A14" s="4" t="s">
        <v>222</v>
      </c>
      <c r="B14" s="5"/>
      <c r="C14" s="5"/>
      <c r="D14" s="5"/>
      <c r="E14" s="5"/>
      <c r="F14" s="5"/>
      <c r="G14" s="5"/>
      <c r="H14" s="5">
        <v>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2</v>
      </c>
      <c r="AM14" s="5"/>
      <c r="AN14" s="5"/>
      <c r="AO14" s="5"/>
      <c r="AP14" s="5"/>
      <c r="AQ14" s="5"/>
      <c r="AR14" s="5"/>
      <c r="AS14" s="5"/>
      <c r="AT14" s="5">
        <v>22</v>
      </c>
      <c r="AU14" s="5"/>
      <c r="AV14" s="5"/>
    </row>
    <row r="15" spans="1:48" x14ac:dyDescent="0.35">
      <c r="A15" s="4" t="s">
        <v>223</v>
      </c>
      <c r="B15" s="5">
        <v>2749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15456</v>
      </c>
      <c r="X15" s="5"/>
      <c r="Y15" s="5"/>
      <c r="Z15" s="5"/>
      <c r="AA15" s="5"/>
      <c r="AB15" s="5"/>
      <c r="AC15" s="5"/>
      <c r="AD15" s="5"/>
      <c r="AE15" s="5"/>
      <c r="AF15" s="5">
        <v>1991</v>
      </c>
      <c r="AG15" s="5"/>
      <c r="AH15" s="5"/>
      <c r="AI15" s="5">
        <v>5</v>
      </c>
      <c r="AJ15" s="5"/>
      <c r="AK15" s="5"/>
      <c r="AL15" s="5"/>
      <c r="AM15" s="5"/>
      <c r="AN15" s="5"/>
      <c r="AO15" s="5"/>
      <c r="AP15" s="5"/>
      <c r="AQ15" s="5"/>
      <c r="AR15" s="5">
        <v>15000</v>
      </c>
      <c r="AS15" s="5"/>
      <c r="AT15" s="5">
        <v>7545</v>
      </c>
      <c r="AU15" s="5"/>
      <c r="AV15" s="5"/>
    </row>
    <row r="16" spans="1:48" x14ac:dyDescent="0.35">
      <c r="A16" s="4" t="s">
        <v>224</v>
      </c>
      <c r="B16" s="5"/>
      <c r="C16" s="5"/>
      <c r="D16" s="5"/>
      <c r="E16" s="5"/>
      <c r="F16" s="5"/>
      <c r="G16" s="5"/>
      <c r="H16" s="5">
        <v>3</v>
      </c>
      <c r="I16" s="5"/>
      <c r="J16" s="5"/>
      <c r="K16" s="5"/>
      <c r="L16" s="5"/>
      <c r="M16" s="5"/>
      <c r="N16" s="5">
        <v>33</v>
      </c>
      <c r="O16" s="5"/>
      <c r="P16" s="5"/>
      <c r="Q16" s="5"/>
      <c r="R16" s="5"/>
      <c r="S16" s="5"/>
      <c r="T16" s="5"/>
      <c r="U16" s="5"/>
      <c r="V16" s="5"/>
      <c r="W16" s="5">
        <v>46</v>
      </c>
      <c r="X16" s="5"/>
      <c r="Y16" s="5"/>
      <c r="Z16" s="5"/>
      <c r="AA16" s="5"/>
      <c r="AB16" s="5"/>
      <c r="AC16" s="5"/>
      <c r="AD16" s="5">
        <v>53</v>
      </c>
      <c r="AE16" s="5"/>
      <c r="AF16" s="5">
        <v>319</v>
      </c>
      <c r="AG16" s="5"/>
      <c r="AH16" s="5"/>
      <c r="AI16" s="5">
        <v>57</v>
      </c>
      <c r="AJ16" s="5"/>
      <c r="AK16" s="5"/>
      <c r="AL16" s="5">
        <v>6948</v>
      </c>
      <c r="AM16" s="5"/>
      <c r="AN16" s="5"/>
      <c r="AO16" s="5"/>
      <c r="AP16" s="5"/>
      <c r="AQ16" s="5"/>
      <c r="AR16" s="5">
        <v>276</v>
      </c>
      <c r="AS16" s="5"/>
      <c r="AT16" s="5"/>
      <c r="AU16" s="5"/>
      <c r="AV16" s="5"/>
    </row>
    <row r="17" spans="1:48" x14ac:dyDescent="0.35">
      <c r="A17" s="4" t="s">
        <v>225</v>
      </c>
      <c r="B17" s="5"/>
      <c r="C17" s="5"/>
      <c r="D17" s="5"/>
      <c r="E17" s="5"/>
      <c r="F17" s="5"/>
      <c r="G17" s="5"/>
      <c r="H17" s="5">
        <v>46</v>
      </c>
      <c r="I17" s="5"/>
      <c r="J17" s="5"/>
      <c r="K17" s="5"/>
      <c r="L17" s="5">
        <v>521</v>
      </c>
      <c r="M17" s="5"/>
      <c r="N17" s="5">
        <v>15</v>
      </c>
      <c r="O17" s="5"/>
      <c r="P17" s="5"/>
      <c r="Q17" s="5"/>
      <c r="R17" s="5"/>
      <c r="S17" s="5"/>
      <c r="T17" s="5"/>
      <c r="U17" s="5"/>
      <c r="V17" s="5"/>
      <c r="W17" s="5">
        <v>167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3330</v>
      </c>
      <c r="AM17" s="5"/>
      <c r="AN17" s="5"/>
      <c r="AO17" s="5"/>
      <c r="AP17" s="5"/>
      <c r="AQ17" s="5"/>
      <c r="AR17" s="5"/>
      <c r="AS17" s="5"/>
      <c r="AT17" s="5">
        <v>6</v>
      </c>
      <c r="AU17" s="5"/>
      <c r="AV17" s="5"/>
    </row>
    <row r="18" spans="1:48" x14ac:dyDescent="0.35">
      <c r="A18" s="4" t="s">
        <v>226</v>
      </c>
      <c r="B18" s="5"/>
      <c r="C18" s="5"/>
      <c r="D18" s="5"/>
      <c r="E18" s="5"/>
      <c r="F18" s="5"/>
      <c r="G18" s="5"/>
      <c r="H18" s="5">
        <v>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34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3658</v>
      </c>
      <c r="AM18" s="5"/>
      <c r="AN18" s="5"/>
      <c r="AO18" s="5"/>
      <c r="AP18" s="5"/>
      <c r="AQ18" s="5"/>
      <c r="AR18" s="5"/>
      <c r="AS18" s="5"/>
      <c r="AT18" s="5">
        <v>1</v>
      </c>
      <c r="AU18" s="5"/>
      <c r="AV18" s="5"/>
    </row>
    <row r="19" spans="1:48" x14ac:dyDescent="0.35">
      <c r="A19" s="4" t="s">
        <v>227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152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>
        <v>103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</v>
      </c>
      <c r="AU20" s="5"/>
      <c r="AV20" s="5"/>
    </row>
    <row r="21" spans="1:48" x14ac:dyDescent="0.35">
      <c r="A21" s="4" t="s">
        <v>229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35</v>
      </c>
      <c r="AU21" s="5"/>
      <c r="AV21" s="5"/>
    </row>
    <row r="22" spans="1:48" x14ac:dyDescent="0.35">
      <c r="A22" s="4" t="s">
        <v>230</v>
      </c>
      <c r="B22" s="5">
        <v>160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363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201</v>
      </c>
      <c r="AI22" s="5">
        <v>146</v>
      </c>
      <c r="AJ22" s="5"/>
      <c r="AK22" s="5"/>
      <c r="AL22" s="5">
        <v>3730</v>
      </c>
      <c r="AM22" s="5"/>
      <c r="AN22" s="5"/>
      <c r="AO22" s="5"/>
      <c r="AP22" s="5"/>
      <c r="AQ22" s="5"/>
      <c r="AR22" s="5">
        <v>2036</v>
      </c>
      <c r="AS22" s="5"/>
      <c r="AT22" s="5">
        <v>309</v>
      </c>
      <c r="AU22" s="5"/>
      <c r="AV22" s="5"/>
    </row>
    <row r="23" spans="1:48" x14ac:dyDescent="0.35">
      <c r="A23" s="4" t="s">
        <v>231</v>
      </c>
      <c r="B23" s="5">
        <v>86</v>
      </c>
      <c r="C23" s="5"/>
      <c r="D23" s="5"/>
      <c r="E23" s="5"/>
      <c r="F23" s="5"/>
      <c r="G23" s="5"/>
      <c r="H23" s="5">
        <v>102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68</v>
      </c>
      <c r="AG23" s="5"/>
      <c r="AH23" s="5">
        <v>76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41</v>
      </c>
      <c r="AS23" s="5"/>
      <c r="AT23" s="5">
        <v>43</v>
      </c>
      <c r="AU23" s="5"/>
      <c r="AV23" s="5"/>
    </row>
    <row r="24" spans="1:48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3474</v>
      </c>
      <c r="AU24" s="5"/>
      <c r="AV24" s="5"/>
    </row>
    <row r="25" spans="1:48" x14ac:dyDescent="0.35">
      <c r="A25" s="4" t="s">
        <v>233</v>
      </c>
      <c r="B25" s="5"/>
      <c r="C25" s="5"/>
      <c r="D25" s="5"/>
      <c r="E25" s="5"/>
      <c r="F25" s="5"/>
      <c r="G25" s="5"/>
      <c r="H25" s="5">
        <v>127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452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5">
      <c r="A27" s="4" t="s">
        <v>235</v>
      </c>
      <c r="B27" s="5"/>
      <c r="C27" s="5"/>
      <c r="D27" s="5"/>
      <c r="E27" s="5"/>
      <c r="F27" s="5"/>
      <c r="G27" s="5"/>
      <c r="H27" s="5">
        <v>93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290</v>
      </c>
      <c r="AG27" s="5"/>
      <c r="AH27" s="5"/>
      <c r="AI27" s="5"/>
      <c r="AJ27" s="5"/>
      <c r="AK27" s="5"/>
      <c r="AL27" s="5">
        <v>8681</v>
      </c>
      <c r="AM27" s="5"/>
      <c r="AN27" s="5"/>
      <c r="AO27" s="5"/>
      <c r="AP27" s="5"/>
      <c r="AQ27" s="5"/>
      <c r="AR27" s="5">
        <v>417</v>
      </c>
      <c r="AS27" s="5"/>
      <c r="AT27" s="5">
        <v>151</v>
      </c>
      <c r="AU27" s="5"/>
      <c r="AV27" s="5"/>
    </row>
    <row r="28" spans="1:48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2466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451</v>
      </c>
      <c r="AS28" s="5"/>
      <c r="AT28" s="5"/>
      <c r="AU28" s="5"/>
      <c r="AV28" s="5"/>
    </row>
    <row r="29" spans="1:48" x14ac:dyDescent="0.35">
      <c r="A29" s="4" t="s">
        <v>237</v>
      </c>
      <c r="B29" s="5"/>
      <c r="C29" s="5"/>
      <c r="D29" s="5"/>
      <c r="E29" s="5"/>
      <c r="F29" s="5"/>
      <c r="G29" s="5"/>
      <c r="H29" s="5">
        <v>18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240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5">
      <c r="A30" s="4" t="s">
        <v>238</v>
      </c>
      <c r="B30" s="5"/>
      <c r="C30" s="5"/>
      <c r="D30" s="5"/>
      <c r="E30" s="5"/>
      <c r="F30" s="5"/>
      <c r="G30" s="5"/>
      <c r="H30" s="5">
        <v>442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1958</v>
      </c>
      <c r="AG30" s="5"/>
      <c r="AH30" s="5">
        <v>1990</v>
      </c>
      <c r="AI30" s="5"/>
      <c r="AJ30" s="5"/>
      <c r="AK30" s="5"/>
      <c r="AL30" s="5">
        <v>5525</v>
      </c>
      <c r="AM30" s="5"/>
      <c r="AN30" s="5"/>
      <c r="AO30" s="5"/>
      <c r="AP30" s="5"/>
      <c r="AQ30" s="5"/>
      <c r="AR30" s="5">
        <v>781</v>
      </c>
      <c r="AS30" s="5"/>
      <c r="AT30" s="5">
        <v>201</v>
      </c>
      <c r="AU30" s="5"/>
      <c r="AV30" s="5"/>
    </row>
    <row r="31" spans="1:48" x14ac:dyDescent="0.35">
      <c r="A31" s="4" t="s">
        <v>239</v>
      </c>
      <c r="B31" s="5">
        <v>699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1073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</v>
      </c>
      <c r="AJ31" s="5"/>
      <c r="AK31" s="5"/>
      <c r="AL31" s="5">
        <v>5267</v>
      </c>
      <c r="AM31" s="5"/>
      <c r="AN31" s="5"/>
      <c r="AO31" s="5"/>
      <c r="AP31" s="5"/>
      <c r="AQ31" s="5"/>
      <c r="AR31" s="5"/>
      <c r="AS31" s="5"/>
      <c r="AT31" s="5">
        <v>454</v>
      </c>
      <c r="AU31" s="5"/>
      <c r="AV31" s="5"/>
    </row>
    <row r="32" spans="1:48" x14ac:dyDescent="0.35">
      <c r="A32" s="4" t="s">
        <v>240</v>
      </c>
      <c r="B32" s="5">
        <v>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>
        <v>29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58</v>
      </c>
      <c r="AU32" s="5"/>
      <c r="AV32" s="5"/>
    </row>
    <row r="33" spans="1:48" x14ac:dyDescent="0.35">
      <c r="A33" s="4" t="s">
        <v>241</v>
      </c>
      <c r="B33" s="5"/>
      <c r="C33" s="5"/>
      <c r="D33" s="5"/>
      <c r="E33" s="5"/>
      <c r="F33" s="5"/>
      <c r="G33" s="5"/>
      <c r="H33" s="5">
        <v>32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605</v>
      </c>
      <c r="AS33" s="5"/>
      <c r="AT33" s="5"/>
      <c r="AU33" s="5"/>
      <c r="AV33" s="5"/>
    </row>
    <row r="34" spans="1:48" x14ac:dyDescent="0.35">
      <c r="A34" s="4" t="s">
        <v>242</v>
      </c>
      <c r="B34" s="5"/>
      <c r="C34" s="5"/>
      <c r="D34" s="5"/>
      <c r="E34" s="5"/>
      <c r="F34" s="5"/>
      <c r="G34" s="5"/>
      <c r="H34" s="5"/>
      <c r="I34" s="5">
        <v>791</v>
      </c>
      <c r="J34" s="5">
        <v>208</v>
      </c>
      <c r="K34" s="5"/>
      <c r="L34" s="5"/>
      <c r="M34" s="5">
        <v>6400</v>
      </c>
      <c r="N34" s="5"/>
      <c r="O34" s="5"/>
      <c r="P34" s="5"/>
      <c r="Q34" s="5"/>
      <c r="R34" s="5"/>
      <c r="S34" s="5">
        <v>651</v>
      </c>
      <c r="T34" s="5"/>
      <c r="U34" s="5">
        <v>507</v>
      </c>
      <c r="V34" s="5"/>
      <c r="W34" s="5">
        <v>61</v>
      </c>
      <c r="X34" s="5"/>
      <c r="Y34" s="5"/>
      <c r="Z34" s="5"/>
      <c r="AA34" s="5">
        <v>248</v>
      </c>
      <c r="AB34" s="5"/>
      <c r="AC34" s="5"/>
      <c r="AD34" s="5">
        <v>2247</v>
      </c>
      <c r="AE34" s="5">
        <v>2927</v>
      </c>
      <c r="AF34" s="5"/>
      <c r="AG34" s="5">
        <v>1421</v>
      </c>
      <c r="AH34" s="5"/>
      <c r="AI34" s="5">
        <v>1066</v>
      </c>
      <c r="AJ34" s="5"/>
      <c r="AK34" s="5"/>
      <c r="AL34" s="5">
        <v>44653</v>
      </c>
      <c r="AM34" s="5"/>
      <c r="AN34" s="5"/>
      <c r="AO34" s="5">
        <v>472</v>
      </c>
      <c r="AP34" s="5">
        <v>6918</v>
      </c>
      <c r="AQ34" s="5"/>
      <c r="AR34" s="5">
        <v>446</v>
      </c>
      <c r="AS34" s="5">
        <v>224</v>
      </c>
      <c r="AT34" s="5"/>
      <c r="AU34" s="5"/>
      <c r="AV34" s="5"/>
    </row>
    <row r="35" spans="1:48" x14ac:dyDescent="0.35">
      <c r="A35" s="4" t="s">
        <v>243</v>
      </c>
      <c r="B35" s="5">
        <v>4</v>
      </c>
      <c r="C35" s="5"/>
      <c r="D35" s="5"/>
      <c r="E35" s="5"/>
      <c r="F35" s="5"/>
      <c r="G35" s="5"/>
      <c r="H35" s="5">
        <v>195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4" t="s">
        <v>244</v>
      </c>
      <c r="B36" s="5">
        <v>2986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341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436</v>
      </c>
      <c r="AG36" s="5"/>
      <c r="AH36" s="5">
        <v>879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614</v>
      </c>
      <c r="AU36" s="5"/>
      <c r="AV36" s="5"/>
    </row>
    <row r="37" spans="1:48" x14ac:dyDescent="0.35">
      <c r="A37" s="4" t="s">
        <v>245</v>
      </c>
      <c r="B37" s="5">
        <v>3583</v>
      </c>
      <c r="C37" s="5"/>
      <c r="D37" s="5"/>
      <c r="E37" s="5"/>
      <c r="F37" s="5"/>
      <c r="G37" s="5"/>
      <c r="H37" s="5">
        <v>109</v>
      </c>
      <c r="I37" s="5"/>
      <c r="J37" s="5"/>
      <c r="K37" s="5"/>
      <c r="L37" s="5"/>
      <c r="M37" s="5"/>
      <c r="N37" s="5"/>
      <c r="O37" s="5"/>
      <c r="P37" s="5">
        <v>160</v>
      </c>
      <c r="Q37" s="5"/>
      <c r="R37" s="5"/>
      <c r="S37" s="5"/>
      <c r="T37" s="5"/>
      <c r="U37" s="5"/>
      <c r="V37" s="5">
        <v>81</v>
      </c>
      <c r="W37" s="5">
        <v>9554</v>
      </c>
      <c r="X37" s="5"/>
      <c r="Y37" s="5"/>
      <c r="Z37" s="5"/>
      <c r="AA37" s="5"/>
      <c r="AB37" s="5">
        <v>2931</v>
      </c>
      <c r="AC37" s="5"/>
      <c r="AD37" s="5"/>
      <c r="AE37" s="5"/>
      <c r="AF37" s="5">
        <v>5384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654</v>
      </c>
      <c r="AU37" s="5"/>
      <c r="AV37" s="5"/>
    </row>
    <row r="38" spans="1:48" x14ac:dyDescent="0.35">
      <c r="A38" s="4" t="s">
        <v>246</v>
      </c>
      <c r="B38" s="5"/>
      <c r="C38" s="5"/>
      <c r="D38" s="5"/>
      <c r="E38" s="5"/>
      <c r="F38" s="5"/>
      <c r="G38" s="5"/>
      <c r="H38" s="5">
        <v>624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1265</v>
      </c>
      <c r="AI38" s="5">
        <v>2002</v>
      </c>
      <c r="AJ38" s="5"/>
      <c r="AK38" s="5"/>
      <c r="AL38" s="5"/>
      <c r="AM38" s="5"/>
      <c r="AN38" s="5"/>
      <c r="AO38" s="5"/>
      <c r="AP38" s="5"/>
      <c r="AQ38" s="5"/>
      <c r="AR38" s="5">
        <v>8806</v>
      </c>
      <c r="AS38" s="5"/>
      <c r="AT38" s="5"/>
      <c r="AU38" s="5"/>
      <c r="AV38" s="5"/>
    </row>
    <row r="39" spans="1:48" x14ac:dyDescent="0.35">
      <c r="A39" s="4" t="s">
        <v>247</v>
      </c>
      <c r="B39" s="5"/>
      <c r="C39" s="5"/>
      <c r="D39" s="5"/>
      <c r="E39" s="5">
        <v>29281</v>
      </c>
      <c r="F39" s="5">
        <v>88164</v>
      </c>
      <c r="G39" s="5"/>
      <c r="H39" s="5">
        <v>4273</v>
      </c>
      <c r="I39" s="5">
        <v>4571</v>
      </c>
      <c r="J39" s="5"/>
      <c r="K39" s="5"/>
      <c r="L39" s="5">
        <v>92000</v>
      </c>
      <c r="M39" s="5"/>
      <c r="N39" s="5"/>
      <c r="O39" s="5"/>
      <c r="P39" s="5"/>
      <c r="Q39" s="5">
        <v>688</v>
      </c>
      <c r="R39" s="5"/>
      <c r="S39" s="5">
        <v>3487</v>
      </c>
      <c r="T39" s="5"/>
      <c r="U39" s="5">
        <v>634</v>
      </c>
      <c r="V39" s="5"/>
      <c r="W39" s="5"/>
      <c r="X39" s="5"/>
      <c r="Y39" s="5"/>
      <c r="Z39" s="5"/>
      <c r="AA39" s="5"/>
      <c r="AB39" s="5"/>
      <c r="AC39" s="5"/>
      <c r="AD39" s="5"/>
      <c r="AE39" s="5">
        <v>4445</v>
      </c>
      <c r="AF39" s="5">
        <v>7961</v>
      </c>
      <c r="AG39" s="5"/>
      <c r="AH39" s="5"/>
      <c r="AI39" s="5"/>
      <c r="AJ39" s="5"/>
      <c r="AK39" s="5">
        <v>2326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35">
      <c r="A40" s="4" t="s">
        <v>248</v>
      </c>
      <c r="B40" s="5">
        <v>2117</v>
      </c>
      <c r="C40" s="5"/>
      <c r="D40" s="5"/>
      <c r="E40" s="5">
        <v>14251</v>
      </c>
      <c r="F40" s="5"/>
      <c r="G40" s="5"/>
      <c r="H40" s="5"/>
      <c r="I40" s="5"/>
      <c r="J40" s="5">
        <v>993</v>
      </c>
      <c r="K40" s="5"/>
      <c r="L40" s="5"/>
      <c r="M40" s="5"/>
      <c r="N40" s="5"/>
      <c r="O40" s="5"/>
      <c r="P40" s="5"/>
      <c r="Q40" s="5"/>
      <c r="R40" s="5"/>
      <c r="S40" s="5"/>
      <c r="T40" s="5">
        <v>2770</v>
      </c>
      <c r="U40" s="5"/>
      <c r="V40" s="5">
        <v>879</v>
      </c>
      <c r="W40" s="5">
        <v>36681</v>
      </c>
      <c r="X40" s="5"/>
      <c r="Y40" s="5"/>
      <c r="Z40" s="5">
        <v>11585</v>
      </c>
      <c r="AA40" s="5"/>
      <c r="AB40" s="5"/>
      <c r="AC40" s="5"/>
      <c r="AD40" s="5"/>
      <c r="AE40" s="5"/>
      <c r="AF40" s="5"/>
      <c r="AG40" s="5">
        <v>2539</v>
      </c>
      <c r="AH40" s="5"/>
      <c r="AI40" s="5">
        <v>1093</v>
      </c>
      <c r="AJ40" s="5"/>
      <c r="AK40" s="5">
        <v>2690</v>
      </c>
      <c r="AL40" s="5"/>
      <c r="AM40" s="5"/>
      <c r="AN40" s="5"/>
      <c r="AO40" s="5"/>
      <c r="AP40" s="5">
        <v>45008</v>
      </c>
      <c r="AQ40" s="5"/>
      <c r="AR40" s="5">
        <v>9360</v>
      </c>
      <c r="AS40" s="5">
        <v>2899</v>
      </c>
      <c r="AT40" s="5">
        <v>762</v>
      </c>
      <c r="AU40" s="5"/>
      <c r="AV40" s="5">
        <v>21351</v>
      </c>
    </row>
    <row r="41" spans="1:48" x14ac:dyDescent="0.35">
      <c r="A41" s="4" t="s">
        <v>249</v>
      </c>
      <c r="B41" s="5">
        <v>8259</v>
      </c>
      <c r="C41" s="5"/>
      <c r="D41" s="5"/>
      <c r="E41" s="5">
        <v>29514</v>
      </c>
      <c r="F41" s="5"/>
      <c r="G41" s="5"/>
      <c r="H41" s="5">
        <v>1077</v>
      </c>
      <c r="I41" s="5"/>
      <c r="J41" s="5">
        <v>3438</v>
      </c>
      <c r="K41" s="5"/>
      <c r="L41" s="5"/>
      <c r="M41" s="5"/>
      <c r="N41" s="5"/>
      <c r="O41" s="5"/>
      <c r="P41" s="5">
        <v>9071</v>
      </c>
      <c r="Q41" s="5"/>
      <c r="R41" s="5"/>
      <c r="S41" s="5"/>
      <c r="T41" s="5">
        <v>10813</v>
      </c>
      <c r="U41" s="5"/>
      <c r="V41" s="5">
        <v>248</v>
      </c>
      <c r="W41" s="5">
        <v>21927</v>
      </c>
      <c r="X41" s="5"/>
      <c r="Y41" s="5"/>
      <c r="Z41" s="5">
        <v>41583</v>
      </c>
      <c r="AA41" s="5"/>
      <c r="AB41" s="5"/>
      <c r="AC41" s="5"/>
      <c r="AD41" s="5"/>
      <c r="AE41" s="5"/>
      <c r="AF41" s="5"/>
      <c r="AG41" s="5">
        <v>2314</v>
      </c>
      <c r="AH41" s="5"/>
      <c r="AI41" s="5">
        <v>1727</v>
      </c>
      <c r="AJ41" s="5"/>
      <c r="AK41" s="5">
        <v>964</v>
      </c>
      <c r="AL41" s="5"/>
      <c r="AM41" s="5"/>
      <c r="AN41" s="5"/>
      <c r="AO41" s="5"/>
      <c r="AP41" s="5">
        <v>15448</v>
      </c>
      <c r="AQ41" s="5">
        <v>15691</v>
      </c>
      <c r="AR41" s="5">
        <v>18810</v>
      </c>
      <c r="AS41" s="5">
        <v>1629</v>
      </c>
      <c r="AT41" s="5">
        <v>1204</v>
      </c>
      <c r="AU41" s="5"/>
      <c r="AV41" s="5">
        <v>10589</v>
      </c>
    </row>
    <row r="42" spans="1:48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1290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3586</v>
      </c>
      <c r="AS42" s="5"/>
      <c r="AT42" s="5"/>
      <c r="AU42" s="5"/>
      <c r="AV42" s="5"/>
    </row>
    <row r="43" spans="1:48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39</v>
      </c>
      <c r="AS43" s="5"/>
      <c r="AT43" s="5"/>
      <c r="AU43" s="5"/>
      <c r="AV43" s="5"/>
    </row>
    <row r="44" spans="1:48" x14ac:dyDescent="0.35">
      <c r="A44" s="4" t="s">
        <v>250</v>
      </c>
      <c r="B44" s="5">
        <v>19</v>
      </c>
      <c r="C44" s="5"/>
      <c r="D44" s="5"/>
      <c r="E44" s="5"/>
      <c r="F44" s="5"/>
      <c r="G44" s="5"/>
      <c r="H44" s="5">
        <v>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462</v>
      </c>
      <c r="X44" s="5"/>
      <c r="Y44" s="5"/>
      <c r="Z44" s="5"/>
      <c r="AA44" s="5"/>
      <c r="AB44" s="5"/>
      <c r="AC44" s="5"/>
      <c r="AD44" s="5"/>
      <c r="AE44" s="5"/>
      <c r="AF44" s="5">
        <v>211</v>
      </c>
      <c r="AG44" s="5"/>
      <c r="AH44" s="5"/>
      <c r="AI44" s="5"/>
      <c r="AJ44" s="5"/>
      <c r="AK44" s="5"/>
      <c r="AL44" s="5">
        <v>219</v>
      </c>
      <c r="AM44" s="5"/>
      <c r="AN44" s="5"/>
      <c r="AO44" s="5"/>
      <c r="AP44" s="5"/>
      <c r="AQ44" s="5"/>
      <c r="AR44" s="5"/>
      <c r="AS44" s="5"/>
      <c r="AT44" s="5">
        <v>7</v>
      </c>
      <c r="AU44" s="5"/>
      <c r="AV44" s="5"/>
    </row>
    <row r="45" spans="1:48" x14ac:dyDescent="0.35">
      <c r="A45" s="4" t="s">
        <v>251</v>
      </c>
      <c r="B45" s="5">
        <v>88</v>
      </c>
      <c r="C45" s="5"/>
      <c r="D45" s="5"/>
      <c r="E45" s="5"/>
      <c r="F45" s="5"/>
      <c r="G45" s="5"/>
      <c r="H45" s="5">
        <v>89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>
        <v>57</v>
      </c>
      <c r="AG45" s="5"/>
      <c r="AH45" s="5">
        <v>83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69</v>
      </c>
      <c r="AS45" s="5"/>
      <c r="AT45" s="5">
        <v>47</v>
      </c>
      <c r="AU45" s="5"/>
      <c r="AV45" s="5"/>
    </row>
    <row r="46" spans="1:48" x14ac:dyDescent="0.35">
      <c r="A46" s="4" t="s">
        <v>252</v>
      </c>
      <c r="B46" s="5">
        <v>3</v>
      </c>
      <c r="C46" s="5"/>
      <c r="D46" s="5"/>
      <c r="E46" s="5"/>
      <c r="F46" s="5"/>
      <c r="G46" s="5"/>
      <c r="H46" s="5">
        <v>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133</v>
      </c>
      <c r="X46" s="5"/>
      <c r="Y46" s="5"/>
      <c r="Z46" s="5"/>
      <c r="AA46" s="5"/>
      <c r="AB46" s="5"/>
      <c r="AC46" s="5"/>
      <c r="AD46" s="5"/>
      <c r="AE46" s="5"/>
      <c r="AF46" s="5">
        <v>147</v>
      </c>
      <c r="AG46" s="5"/>
      <c r="AH46" s="5"/>
      <c r="AI46" s="5"/>
      <c r="AJ46" s="5"/>
      <c r="AK46" s="5"/>
      <c r="AL46" s="5">
        <v>3790</v>
      </c>
      <c r="AM46" s="5"/>
      <c r="AN46" s="5"/>
      <c r="AO46" s="5"/>
      <c r="AP46" s="5"/>
      <c r="AQ46" s="5"/>
      <c r="AR46" s="5">
        <v>20</v>
      </c>
      <c r="AS46" s="5"/>
      <c r="AT46" s="5">
        <v>6</v>
      </c>
      <c r="AU46" s="5"/>
      <c r="AV46" s="5"/>
    </row>
    <row r="47" spans="1:48" x14ac:dyDescent="0.35">
      <c r="A47" s="4" t="s">
        <v>253</v>
      </c>
      <c r="B47" s="5">
        <v>473</v>
      </c>
      <c r="C47" s="5"/>
      <c r="D47" s="5"/>
      <c r="E47" s="5"/>
      <c r="F47" s="5"/>
      <c r="G47" s="5"/>
      <c r="H47" s="5">
        <v>452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</v>
      </c>
      <c r="AD47" s="5"/>
      <c r="AE47" s="5"/>
      <c r="AF47" s="5">
        <v>424</v>
      </c>
      <c r="AG47" s="5"/>
      <c r="AH47" s="5">
        <v>309</v>
      </c>
      <c r="AI47" s="5"/>
      <c r="AJ47" s="5"/>
      <c r="AK47" s="5"/>
      <c r="AL47" s="5"/>
      <c r="AM47" s="5">
        <v>1</v>
      </c>
      <c r="AN47" s="5"/>
      <c r="AO47" s="5">
        <v>6</v>
      </c>
      <c r="AP47" s="5"/>
      <c r="AQ47" s="5"/>
      <c r="AR47" s="5">
        <v>154</v>
      </c>
      <c r="AS47" s="5"/>
      <c r="AT47" s="5">
        <v>229</v>
      </c>
      <c r="AU47" s="5"/>
      <c r="AV47" s="5"/>
    </row>
    <row r="48" spans="1:48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2946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>
        <v>34992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1733</v>
      </c>
      <c r="AS48" s="5"/>
      <c r="AT48" s="5">
        <v>1364</v>
      </c>
      <c r="AU48" s="5"/>
      <c r="AV48" s="5"/>
    </row>
    <row r="49" spans="1:48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9003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26735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1806</v>
      </c>
      <c r="AU49" s="5"/>
      <c r="AV49" s="5"/>
    </row>
    <row r="50" spans="1:48" x14ac:dyDescent="0.35">
      <c r="A50" s="4" t="s">
        <v>256</v>
      </c>
      <c r="B50" s="5"/>
      <c r="C50" s="5"/>
      <c r="D50" s="5"/>
      <c r="E50" s="5"/>
      <c r="F50" s="5"/>
      <c r="G50" s="5"/>
      <c r="H50" s="5">
        <v>58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6281</v>
      </c>
      <c r="AG50" s="5"/>
      <c r="AH50" s="5"/>
      <c r="AI50" s="5"/>
      <c r="AJ50" s="5"/>
      <c r="AK50" s="5"/>
      <c r="AL50" s="5">
        <v>8919</v>
      </c>
      <c r="AM50" s="5"/>
      <c r="AN50" s="5"/>
      <c r="AO50" s="5"/>
      <c r="AP50" s="5"/>
      <c r="AQ50" s="5"/>
      <c r="AR50" s="5">
        <v>174</v>
      </c>
      <c r="AS50" s="5"/>
      <c r="AT50" s="5">
        <v>945</v>
      </c>
      <c r="AU50" s="5"/>
      <c r="AV50" s="5"/>
    </row>
    <row r="51" spans="1:48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607</v>
      </c>
      <c r="AS51" s="5"/>
      <c r="AT51" s="5"/>
      <c r="AU51" s="5"/>
      <c r="AV51" s="5"/>
    </row>
    <row r="52" spans="1:48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4" t="s">
        <v>259</v>
      </c>
      <c r="B53" s="5">
        <v>156</v>
      </c>
      <c r="C53" s="5"/>
      <c r="D53" s="5"/>
      <c r="E53" s="5"/>
      <c r="F53" s="5"/>
      <c r="G53" s="5"/>
      <c r="H53" s="5">
        <v>106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74</v>
      </c>
      <c r="W53" s="5">
        <v>821</v>
      </c>
      <c r="X53" s="5"/>
      <c r="Y53" s="5"/>
      <c r="Z53" s="5"/>
      <c r="AA53" s="5"/>
      <c r="AB53" s="5"/>
      <c r="AC53" s="5"/>
      <c r="AD53" s="5"/>
      <c r="AE53" s="5"/>
      <c r="AF53" s="5">
        <v>2055</v>
      </c>
      <c r="AG53" s="5"/>
      <c r="AH53" s="5">
        <v>201</v>
      </c>
      <c r="AI53" s="5"/>
      <c r="AJ53" s="5"/>
      <c r="AK53" s="5"/>
      <c r="AL53" s="5">
        <v>11741</v>
      </c>
      <c r="AM53" s="5"/>
      <c r="AN53" s="5"/>
      <c r="AO53" s="5"/>
      <c r="AP53" s="5"/>
      <c r="AQ53" s="5"/>
      <c r="AR53" s="5">
        <v>726</v>
      </c>
      <c r="AS53" s="5"/>
      <c r="AT53" s="5">
        <v>3</v>
      </c>
      <c r="AU53" s="5"/>
      <c r="AV53" s="5"/>
    </row>
    <row r="54" spans="1:48" x14ac:dyDescent="0.35">
      <c r="A54" s="4" t="s">
        <v>260</v>
      </c>
      <c r="B54" s="5">
        <v>18</v>
      </c>
      <c r="C54" s="5"/>
      <c r="D54" s="5"/>
      <c r="E54" s="5"/>
      <c r="F54" s="5"/>
      <c r="G54" s="5"/>
      <c r="H54" s="5">
        <v>43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324</v>
      </c>
      <c r="X54" s="5"/>
      <c r="Y54" s="5"/>
      <c r="Z54" s="5"/>
      <c r="AA54" s="5"/>
      <c r="AB54" s="5"/>
      <c r="AC54" s="5"/>
      <c r="AD54" s="5"/>
      <c r="AE54" s="5"/>
      <c r="AF54" s="5">
        <v>52</v>
      </c>
      <c r="AG54" s="5"/>
      <c r="AH54" s="5">
        <v>182</v>
      </c>
      <c r="AI54" s="5"/>
      <c r="AJ54" s="5"/>
      <c r="AK54" s="5"/>
      <c r="AL54" s="5">
        <v>7476</v>
      </c>
      <c r="AM54" s="5"/>
      <c r="AN54" s="5"/>
      <c r="AO54" s="5"/>
      <c r="AP54" s="5"/>
      <c r="AQ54" s="5"/>
      <c r="AR54" s="5">
        <v>503</v>
      </c>
      <c r="AS54" s="5"/>
      <c r="AT54" s="5">
        <v>174</v>
      </c>
      <c r="AU54" s="5"/>
      <c r="AV54" s="5"/>
    </row>
    <row r="55" spans="1:48" x14ac:dyDescent="0.35">
      <c r="A55" s="4" t="s">
        <v>261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>
        <v>325</v>
      </c>
      <c r="AG55" s="5"/>
      <c r="AH55" s="5"/>
      <c r="AI55" s="5"/>
      <c r="AJ55" s="5"/>
      <c r="AK55" s="5"/>
      <c r="AL55" s="5">
        <v>228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35">
      <c r="A56" s="4" t="s">
        <v>262</v>
      </c>
      <c r="B56" s="5">
        <v>11</v>
      </c>
      <c r="C56" s="5"/>
      <c r="D56" s="5"/>
      <c r="E56" s="5"/>
      <c r="F56" s="5"/>
      <c r="G56" s="5"/>
      <c r="H56" s="5">
        <v>4</v>
      </c>
      <c r="I56" s="5"/>
      <c r="J56" s="5">
        <v>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10</v>
      </c>
      <c r="AE56" s="5"/>
      <c r="AF56" s="5">
        <v>17</v>
      </c>
      <c r="AG56" s="5"/>
      <c r="AH56" s="5">
        <v>10</v>
      </c>
      <c r="AI56" s="5"/>
      <c r="AJ56" s="5">
        <v>4</v>
      </c>
      <c r="AK56" s="5"/>
      <c r="AL56" s="5"/>
      <c r="AM56" s="5"/>
      <c r="AN56" s="5"/>
      <c r="AO56" s="5"/>
      <c r="AP56" s="5"/>
      <c r="AQ56" s="5"/>
      <c r="AR56" s="5">
        <v>15</v>
      </c>
      <c r="AS56" s="5">
        <v>33</v>
      </c>
      <c r="AT56" s="5">
        <v>5</v>
      </c>
      <c r="AU56" s="5"/>
      <c r="AV56" s="5"/>
    </row>
    <row r="57" spans="1:48" x14ac:dyDescent="0.35">
      <c r="A57" s="4" t="s">
        <v>263</v>
      </c>
      <c r="B57" s="5"/>
      <c r="C57" s="5"/>
      <c r="D57" s="5"/>
      <c r="E57" s="5"/>
      <c r="F57" s="5"/>
      <c r="G57" s="5"/>
      <c r="H57" s="5">
        <v>41</v>
      </c>
      <c r="I57" s="5"/>
      <c r="J57" s="5"/>
      <c r="K57" s="5"/>
      <c r="L57" s="5"/>
      <c r="M57" s="5"/>
      <c r="N57" s="5"/>
      <c r="O57" s="5"/>
      <c r="P57" s="5">
        <v>93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219</v>
      </c>
      <c r="AG57" s="5"/>
      <c r="AH57" s="5"/>
      <c r="AI57" s="5"/>
      <c r="AJ57" s="5"/>
      <c r="AK57" s="5"/>
      <c r="AL57" s="5">
        <v>8453</v>
      </c>
      <c r="AM57" s="5"/>
      <c r="AN57" s="5"/>
      <c r="AO57" s="5"/>
      <c r="AP57" s="5"/>
      <c r="AQ57" s="5"/>
      <c r="AR57" s="5"/>
      <c r="AS57" s="5"/>
      <c r="AT57" s="5">
        <v>57</v>
      </c>
      <c r="AU57" s="5"/>
      <c r="AV57" s="5"/>
    </row>
    <row r="58" spans="1:48" x14ac:dyDescent="0.35">
      <c r="A58" s="4" t="s">
        <v>264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8</v>
      </c>
      <c r="AG58" s="5"/>
      <c r="AH58" s="5"/>
      <c r="AI58" s="5"/>
      <c r="AJ58" s="5"/>
      <c r="AK58" s="5"/>
      <c r="AL58" s="5">
        <v>12683</v>
      </c>
      <c r="AM58" s="5"/>
      <c r="AN58" s="5"/>
      <c r="AO58" s="5"/>
      <c r="AP58" s="5"/>
      <c r="AQ58" s="5"/>
      <c r="AR58" s="5"/>
      <c r="AS58" s="5"/>
      <c r="AT58" s="5">
        <v>41</v>
      </c>
      <c r="AU58" s="5"/>
      <c r="AV58" s="5"/>
    </row>
    <row r="59" spans="1:48" x14ac:dyDescent="0.35">
      <c r="A59" s="4" t="s">
        <v>265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279</v>
      </c>
      <c r="AG59" s="5"/>
      <c r="AH59" s="5"/>
      <c r="AI59" s="5"/>
      <c r="AJ59" s="5"/>
      <c r="AK59" s="5"/>
      <c r="AL59" s="5">
        <v>15011</v>
      </c>
      <c r="AM59" s="5"/>
      <c r="AN59" s="5"/>
      <c r="AO59" s="5"/>
      <c r="AP59" s="5"/>
      <c r="AQ59" s="5"/>
      <c r="AR59" s="5"/>
      <c r="AS59" s="5"/>
      <c r="AT59" s="5">
        <v>21</v>
      </c>
      <c r="AU59" s="5"/>
      <c r="AV59" s="5"/>
    </row>
    <row r="60" spans="1:48" x14ac:dyDescent="0.35">
      <c r="A60" s="4" t="s">
        <v>266</v>
      </c>
      <c r="B60" s="5">
        <v>738</v>
      </c>
      <c r="C60" s="5"/>
      <c r="D60" s="5"/>
      <c r="E60" s="5"/>
      <c r="F60" s="5"/>
      <c r="G60" s="5"/>
      <c r="H60" s="5">
        <v>838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80</v>
      </c>
      <c r="W60" s="5">
        <v>861</v>
      </c>
      <c r="X60" s="5"/>
      <c r="Y60" s="5"/>
      <c r="Z60" s="5"/>
      <c r="AA60" s="5"/>
      <c r="AB60" s="5"/>
      <c r="AC60" s="5"/>
      <c r="AD60" s="5"/>
      <c r="AE60" s="5"/>
      <c r="AF60" s="5">
        <v>625</v>
      </c>
      <c r="AG60" s="5"/>
      <c r="AH60" s="5">
        <v>534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446</v>
      </c>
      <c r="AS60" s="5"/>
      <c r="AT60" s="5">
        <v>353</v>
      </c>
      <c r="AU60" s="5"/>
      <c r="AV60" s="5"/>
    </row>
    <row r="61" spans="1:48" x14ac:dyDescent="0.35">
      <c r="A61" s="4" t="s">
        <v>267</v>
      </c>
      <c r="B61" s="5">
        <v>80</v>
      </c>
      <c r="C61" s="5"/>
      <c r="D61" s="5"/>
      <c r="E61" s="5"/>
      <c r="F61" s="5"/>
      <c r="G61" s="5"/>
      <c r="H61" s="5">
        <v>80</v>
      </c>
      <c r="I61" s="5"/>
      <c r="J61" s="5">
        <v>8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72</v>
      </c>
      <c r="AE61" s="5"/>
      <c r="AF61" s="5">
        <v>59</v>
      </c>
      <c r="AG61" s="5"/>
      <c r="AH61" s="5">
        <v>56</v>
      </c>
      <c r="AI61" s="5"/>
      <c r="AJ61" s="5">
        <v>35</v>
      </c>
      <c r="AK61" s="5"/>
      <c r="AL61" s="5"/>
      <c r="AM61" s="5"/>
      <c r="AN61" s="5"/>
      <c r="AO61" s="5"/>
      <c r="AP61" s="5"/>
      <c r="AQ61" s="5"/>
      <c r="AR61" s="5">
        <v>79</v>
      </c>
      <c r="AS61" s="5">
        <v>48</v>
      </c>
      <c r="AT61" s="5"/>
      <c r="AU61" s="5"/>
      <c r="AV61" s="5"/>
    </row>
    <row r="62" spans="1:48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5">
      <c r="A63" s="4" t="s">
        <v>269</v>
      </c>
      <c r="B63" s="5">
        <v>336</v>
      </c>
      <c r="C63" s="5"/>
      <c r="D63" s="5"/>
      <c r="E63" s="5"/>
      <c r="F63" s="5"/>
      <c r="G63" s="5"/>
      <c r="H63" s="5">
        <v>99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49732</v>
      </c>
      <c r="AM63" s="5"/>
      <c r="AN63" s="5"/>
      <c r="AO63" s="5"/>
      <c r="AP63" s="5"/>
      <c r="AQ63" s="5"/>
      <c r="AR63" s="5">
        <v>596</v>
      </c>
      <c r="AS63" s="5"/>
      <c r="AT63" s="5"/>
      <c r="AU63" s="5"/>
      <c r="AV63" s="5"/>
    </row>
    <row r="64" spans="1:48" x14ac:dyDescent="0.35">
      <c r="A64" s="8" t="s">
        <v>317</v>
      </c>
      <c r="B64" s="6">
        <f>SUM(B4:B63)</f>
        <v>42391</v>
      </c>
      <c r="C64" s="6">
        <f t="shared" ref="C64:AV64" si="0">SUM(C4:C63)</f>
        <v>0</v>
      </c>
      <c r="D64" s="6">
        <f t="shared" si="0"/>
        <v>0</v>
      </c>
      <c r="E64" s="6">
        <f t="shared" si="0"/>
        <v>146092</v>
      </c>
      <c r="F64" s="6">
        <f t="shared" si="0"/>
        <v>176328</v>
      </c>
      <c r="G64" s="6">
        <f t="shared" si="0"/>
        <v>0</v>
      </c>
      <c r="H64" s="6">
        <f t="shared" si="0"/>
        <v>19134</v>
      </c>
      <c r="I64" s="6">
        <f t="shared" si="0"/>
        <v>10724</v>
      </c>
      <c r="J64" s="6">
        <f t="shared" si="0"/>
        <v>9287</v>
      </c>
      <c r="K64" s="6">
        <f t="shared" si="0"/>
        <v>0</v>
      </c>
      <c r="L64" s="6">
        <f t="shared" si="0"/>
        <v>198784</v>
      </c>
      <c r="M64" s="6">
        <f t="shared" si="0"/>
        <v>12800</v>
      </c>
      <c r="N64" s="6">
        <f t="shared" si="0"/>
        <v>121</v>
      </c>
      <c r="O64" s="6">
        <f t="shared" si="0"/>
        <v>0</v>
      </c>
      <c r="P64" s="6">
        <f t="shared" si="0"/>
        <v>31940</v>
      </c>
      <c r="Q64" s="6">
        <f t="shared" si="0"/>
        <v>1376</v>
      </c>
      <c r="R64" s="6">
        <f t="shared" si="0"/>
        <v>0</v>
      </c>
      <c r="S64" s="6">
        <f t="shared" si="0"/>
        <v>8347</v>
      </c>
      <c r="T64" s="6">
        <f t="shared" si="0"/>
        <v>27166</v>
      </c>
      <c r="U64" s="6">
        <f t="shared" si="0"/>
        <v>2282</v>
      </c>
      <c r="V64" s="6">
        <f t="shared" si="0"/>
        <v>4030</v>
      </c>
      <c r="W64" s="6">
        <f t="shared" si="0"/>
        <v>160083</v>
      </c>
      <c r="X64" s="6">
        <f t="shared" si="0"/>
        <v>0</v>
      </c>
      <c r="Y64" s="6">
        <f t="shared" si="0"/>
        <v>0</v>
      </c>
      <c r="Z64" s="6">
        <f t="shared" si="0"/>
        <v>106336</v>
      </c>
      <c r="AA64" s="6">
        <f t="shared" si="0"/>
        <v>496</v>
      </c>
      <c r="AB64" s="6">
        <f t="shared" si="0"/>
        <v>5862</v>
      </c>
      <c r="AC64" s="6">
        <f t="shared" si="0"/>
        <v>11</v>
      </c>
      <c r="AD64" s="6">
        <f t="shared" si="0"/>
        <v>4629</v>
      </c>
      <c r="AE64" s="6">
        <f t="shared" si="0"/>
        <v>15676</v>
      </c>
      <c r="AF64" s="6">
        <f t="shared" si="0"/>
        <v>119175</v>
      </c>
      <c r="AG64" s="6">
        <f t="shared" si="0"/>
        <v>12548</v>
      </c>
      <c r="AH64" s="6">
        <f t="shared" si="0"/>
        <v>13097</v>
      </c>
      <c r="AI64" s="6">
        <f t="shared" si="0"/>
        <v>12312</v>
      </c>
      <c r="AJ64" s="6">
        <f t="shared" si="0"/>
        <v>39</v>
      </c>
      <c r="AK64" s="6">
        <f t="shared" si="0"/>
        <v>11960</v>
      </c>
      <c r="AL64" s="6">
        <f t="shared" si="0"/>
        <v>254488</v>
      </c>
      <c r="AM64" s="6">
        <f t="shared" si="0"/>
        <v>1</v>
      </c>
      <c r="AN64" s="6">
        <f t="shared" si="0"/>
        <v>0</v>
      </c>
      <c r="AO64" s="6">
        <f t="shared" si="0"/>
        <v>950</v>
      </c>
      <c r="AP64" s="6">
        <f t="shared" si="0"/>
        <v>134748</v>
      </c>
      <c r="AQ64" s="6">
        <f t="shared" si="0"/>
        <v>31382</v>
      </c>
      <c r="AR64" s="6">
        <f t="shared" si="0"/>
        <v>119077</v>
      </c>
      <c r="AS64" s="6">
        <f t="shared" si="0"/>
        <v>9585</v>
      </c>
      <c r="AT64" s="6">
        <f t="shared" si="0"/>
        <v>26376</v>
      </c>
      <c r="AU64" s="6">
        <f t="shared" si="0"/>
        <v>0</v>
      </c>
      <c r="AV64" s="6">
        <f t="shared" si="0"/>
        <v>63880</v>
      </c>
    </row>
    <row r="66" spans="1:48" x14ac:dyDescent="0.35">
      <c r="A66" t="s">
        <v>8</v>
      </c>
      <c r="B66">
        <v>737568.4</v>
      </c>
      <c r="C66">
        <v>198589</v>
      </c>
      <c r="D66">
        <v>6489.7</v>
      </c>
      <c r="E66">
        <v>3505486.6</v>
      </c>
      <c r="F66">
        <v>3528311.4</v>
      </c>
      <c r="G66">
        <v>7193818.5999999996</v>
      </c>
      <c r="H66">
        <v>63752.5</v>
      </c>
      <c r="I66">
        <v>140591.4</v>
      </c>
      <c r="J66">
        <v>30815.7</v>
      </c>
      <c r="K66">
        <v>59424.3</v>
      </c>
      <c r="L66">
        <v>1038181.5</v>
      </c>
      <c r="M66">
        <v>1196892.8</v>
      </c>
      <c r="N66">
        <v>433722.2</v>
      </c>
      <c r="O66">
        <v>62008.2</v>
      </c>
      <c r="P66">
        <v>423373</v>
      </c>
      <c r="Q66">
        <v>11160.3</v>
      </c>
      <c r="R66">
        <v>889229.5</v>
      </c>
      <c r="S66">
        <v>646467.9</v>
      </c>
      <c r="T66">
        <v>863980</v>
      </c>
      <c r="U66">
        <v>47406.7</v>
      </c>
      <c r="V66">
        <v>84719.8</v>
      </c>
      <c r="W66">
        <v>890481.1</v>
      </c>
      <c r="X66">
        <v>435595</v>
      </c>
      <c r="Y66">
        <v>61977.7</v>
      </c>
      <c r="Z66">
        <v>1446540.2</v>
      </c>
      <c r="AA66">
        <v>156073.20000000001</v>
      </c>
      <c r="AB66">
        <v>840158.7</v>
      </c>
      <c r="AC66">
        <v>609708.69999999995</v>
      </c>
      <c r="AD66">
        <v>807286.6</v>
      </c>
      <c r="AE66">
        <v>14729.3</v>
      </c>
      <c r="AF66">
        <v>1056956</v>
      </c>
      <c r="AG66">
        <v>70261.600000000006</v>
      </c>
      <c r="AH66">
        <v>382138</v>
      </c>
      <c r="AI66">
        <v>516925.5</v>
      </c>
      <c r="AJ66">
        <v>1837.1</v>
      </c>
      <c r="AK66">
        <v>248976</v>
      </c>
      <c r="AL66">
        <v>1185951.8</v>
      </c>
      <c r="AM66">
        <v>360673.9</v>
      </c>
      <c r="AN66">
        <v>175040.4</v>
      </c>
      <c r="AO66">
        <v>973023.7</v>
      </c>
      <c r="AP66">
        <v>1511805.9</v>
      </c>
      <c r="AQ66">
        <v>622980.80000000005</v>
      </c>
      <c r="AR66">
        <v>478807.6</v>
      </c>
      <c r="AS66">
        <v>100718.5</v>
      </c>
      <c r="AT66">
        <v>259750.6</v>
      </c>
      <c r="AU66">
        <v>23590.799999999999</v>
      </c>
      <c r="AV66">
        <v>2100281</v>
      </c>
    </row>
  </sheetData>
  <hyperlinks>
    <hyperlink ref="B1" location="Home!A1" display="HOME" xr:uid="{A6F7B38F-ED79-48DB-AABE-EA96D21D0916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324</v>
      </c>
      <c r="B1" s="29" t="s">
        <v>376</v>
      </c>
    </row>
    <row r="2" spans="1:48" x14ac:dyDescent="0.35">
      <c r="A2" s="13" t="s">
        <v>319</v>
      </c>
      <c r="B2" s="7" t="s">
        <v>70</v>
      </c>
      <c r="C2" s="7" t="s">
        <v>270</v>
      </c>
      <c r="D2" s="7" t="s">
        <v>272</v>
      </c>
      <c r="E2" s="7" t="s">
        <v>271</v>
      </c>
      <c r="F2" s="7" t="s">
        <v>273</v>
      </c>
      <c r="G2" s="7" t="s">
        <v>274</v>
      </c>
      <c r="H2" s="7" t="s">
        <v>275</v>
      </c>
      <c r="I2" s="7" t="s">
        <v>276</v>
      </c>
      <c r="J2" s="7" t="s">
        <v>277</v>
      </c>
      <c r="K2" s="7" t="s">
        <v>278</v>
      </c>
      <c r="L2" s="7" t="s">
        <v>279</v>
      </c>
      <c r="M2" s="7" t="s">
        <v>280</v>
      </c>
      <c r="N2" s="7" t="s">
        <v>281</v>
      </c>
      <c r="O2" s="7" t="s">
        <v>282</v>
      </c>
      <c r="P2" s="7" t="s">
        <v>283</v>
      </c>
      <c r="Q2" s="7" t="s">
        <v>284</v>
      </c>
      <c r="R2" s="7" t="s">
        <v>285</v>
      </c>
      <c r="S2" s="7" t="s">
        <v>286</v>
      </c>
      <c r="T2" s="7" t="s">
        <v>287</v>
      </c>
      <c r="U2" s="7" t="s">
        <v>288</v>
      </c>
      <c r="V2" s="7" t="s">
        <v>289</v>
      </c>
      <c r="W2" s="7" t="s">
        <v>290</v>
      </c>
      <c r="X2" s="7" t="s">
        <v>291</v>
      </c>
      <c r="Y2" s="7" t="s">
        <v>292</v>
      </c>
      <c r="Z2" s="7" t="s">
        <v>293</v>
      </c>
      <c r="AA2" s="7" t="s">
        <v>294</v>
      </c>
      <c r="AB2" s="7" t="s">
        <v>295</v>
      </c>
      <c r="AC2" s="7" t="s">
        <v>296</v>
      </c>
      <c r="AD2" s="7" t="s">
        <v>297</v>
      </c>
      <c r="AE2" s="7" t="s">
        <v>298</v>
      </c>
      <c r="AF2" s="7" t="s">
        <v>299</v>
      </c>
      <c r="AG2" s="7" t="s">
        <v>300</v>
      </c>
      <c r="AH2" s="7" t="s">
        <v>301</v>
      </c>
      <c r="AI2" s="7" t="s">
        <v>302</v>
      </c>
      <c r="AJ2" s="7" t="s">
        <v>303</v>
      </c>
      <c r="AK2" s="7" t="s">
        <v>304</v>
      </c>
      <c r="AL2" s="7" t="s">
        <v>305</v>
      </c>
      <c r="AM2" s="7" t="s">
        <v>306</v>
      </c>
      <c r="AN2" s="7" t="s">
        <v>307</v>
      </c>
      <c r="AO2" s="7" t="s">
        <v>308</v>
      </c>
      <c r="AP2" s="7" t="s">
        <v>309</v>
      </c>
      <c r="AQ2" s="7" t="s">
        <v>310</v>
      </c>
      <c r="AR2" s="7" t="s">
        <v>311</v>
      </c>
      <c r="AS2" s="7" t="s">
        <v>312</v>
      </c>
      <c r="AT2" s="7" t="s">
        <v>313</v>
      </c>
      <c r="AU2" s="7" t="s">
        <v>314</v>
      </c>
      <c r="AV2" s="7" t="s">
        <v>315</v>
      </c>
    </row>
    <row r="3" spans="1:48" x14ac:dyDescent="0.35">
      <c r="A3" s="14"/>
      <c r="B3" s="7" t="s">
        <v>71</v>
      </c>
      <c r="C3" s="7" t="s">
        <v>74</v>
      </c>
      <c r="D3" s="7" t="s">
        <v>77</v>
      </c>
      <c r="E3" s="7" t="s">
        <v>80</v>
      </c>
      <c r="F3" s="7" t="s">
        <v>83</v>
      </c>
      <c r="G3" s="7" t="s">
        <v>86</v>
      </c>
      <c r="H3" s="7" t="s">
        <v>89</v>
      </c>
      <c r="I3" s="7" t="s">
        <v>92</v>
      </c>
      <c r="J3" s="7" t="s">
        <v>95</v>
      </c>
      <c r="K3" s="7" t="s">
        <v>98</v>
      </c>
      <c r="L3" s="7" t="s">
        <v>101</v>
      </c>
      <c r="M3" s="7" t="s">
        <v>104</v>
      </c>
      <c r="N3" s="7" t="s">
        <v>107</v>
      </c>
      <c r="O3" s="7" t="s">
        <v>110</v>
      </c>
      <c r="P3" s="7" t="s">
        <v>113</v>
      </c>
      <c r="Q3" s="7" t="s">
        <v>116</v>
      </c>
      <c r="R3" s="7" t="s">
        <v>119</v>
      </c>
      <c r="S3" s="7" t="s">
        <v>122</v>
      </c>
      <c r="T3" s="7" t="s">
        <v>125</v>
      </c>
      <c r="U3" s="7" t="s">
        <v>128</v>
      </c>
      <c r="V3" s="7" t="s">
        <v>131</v>
      </c>
      <c r="W3" s="7" t="s">
        <v>134</v>
      </c>
      <c r="X3" s="7" t="s">
        <v>137</v>
      </c>
      <c r="Y3" s="7" t="s">
        <v>140</v>
      </c>
      <c r="Z3" s="7" t="s">
        <v>143</v>
      </c>
      <c r="AA3" s="7" t="s">
        <v>146</v>
      </c>
      <c r="AB3" s="7" t="s">
        <v>149</v>
      </c>
      <c r="AC3" s="7" t="s">
        <v>152</v>
      </c>
      <c r="AD3" s="7" t="s">
        <v>155</v>
      </c>
      <c r="AE3" s="7" t="s">
        <v>158</v>
      </c>
      <c r="AF3" s="7" t="s">
        <v>161</v>
      </c>
      <c r="AG3" s="7" t="s">
        <v>164</v>
      </c>
      <c r="AH3" s="7" t="s">
        <v>167</v>
      </c>
      <c r="AI3" s="7" t="s">
        <v>170</v>
      </c>
      <c r="AJ3" s="7" t="s">
        <v>173</v>
      </c>
      <c r="AK3" s="7" t="s">
        <v>176</v>
      </c>
      <c r="AL3" s="7" t="s">
        <v>179</v>
      </c>
      <c r="AM3" s="7" t="s">
        <v>182</v>
      </c>
      <c r="AN3" s="7" t="s">
        <v>185</v>
      </c>
      <c r="AO3" s="7" t="s">
        <v>188</v>
      </c>
      <c r="AP3" s="7" t="s">
        <v>191</v>
      </c>
      <c r="AQ3" s="7" t="s">
        <v>194</v>
      </c>
      <c r="AR3" s="7" t="s">
        <v>197</v>
      </c>
      <c r="AS3" s="7" t="s">
        <v>200</v>
      </c>
      <c r="AT3" s="7" t="s">
        <v>203</v>
      </c>
      <c r="AU3" s="7" t="s">
        <v>206</v>
      </c>
      <c r="AV3" s="7" t="s">
        <v>209</v>
      </c>
    </row>
    <row r="4" spans="1:48" x14ac:dyDescent="0.35">
      <c r="A4" s="4" t="s">
        <v>212</v>
      </c>
      <c r="B4" s="5">
        <v>1202</v>
      </c>
      <c r="C4" s="5"/>
      <c r="D4" s="5"/>
      <c r="E4" s="5"/>
      <c r="F4" s="5"/>
      <c r="G4" s="5">
        <v>83565</v>
      </c>
      <c r="H4" s="5">
        <v>715</v>
      </c>
      <c r="I4" s="5"/>
      <c r="J4" s="5">
        <v>107</v>
      </c>
      <c r="K4" s="5"/>
      <c r="L4" s="5">
        <v>74309</v>
      </c>
      <c r="M4" s="5"/>
      <c r="N4" s="5">
        <v>523</v>
      </c>
      <c r="O4" s="5">
        <v>830</v>
      </c>
      <c r="P4" s="5"/>
      <c r="Q4" s="5">
        <v>408</v>
      </c>
      <c r="R4" s="5"/>
      <c r="S4" s="5">
        <v>540</v>
      </c>
      <c r="T4" s="5"/>
      <c r="U4" s="5"/>
      <c r="V4" s="5"/>
      <c r="W4" s="5">
        <v>3618</v>
      </c>
      <c r="X4" s="5">
        <v>977</v>
      </c>
      <c r="Y4" s="5">
        <v>183</v>
      </c>
      <c r="Z4" s="5"/>
      <c r="AA4" s="5">
        <v>234</v>
      </c>
      <c r="AB4" s="5"/>
      <c r="AC4" s="5">
        <v>539</v>
      </c>
      <c r="AD4" s="5">
        <v>2247</v>
      </c>
      <c r="AE4" s="5">
        <v>2769</v>
      </c>
      <c r="AF4" s="5"/>
      <c r="AG4" s="5"/>
      <c r="AH4" s="5">
        <v>1431</v>
      </c>
      <c r="AI4" s="5">
        <v>1154</v>
      </c>
      <c r="AJ4" s="5">
        <v>203</v>
      </c>
      <c r="AK4" s="5"/>
      <c r="AL4" s="5">
        <v>43141</v>
      </c>
      <c r="AM4" s="5"/>
      <c r="AN4" s="5">
        <v>530</v>
      </c>
      <c r="AO4" s="5">
        <v>681</v>
      </c>
      <c r="AP4" s="5"/>
      <c r="AQ4" s="5">
        <v>1514</v>
      </c>
      <c r="AR4" s="5">
        <v>2508</v>
      </c>
      <c r="AS4" s="5">
        <v>226</v>
      </c>
      <c r="AT4" s="5">
        <v>347</v>
      </c>
      <c r="AU4" s="5">
        <v>216</v>
      </c>
      <c r="AV4" s="5"/>
    </row>
    <row r="5" spans="1:48" x14ac:dyDescent="0.35">
      <c r="A5" s="4" t="s">
        <v>213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169</v>
      </c>
      <c r="Z5" s="5"/>
      <c r="AA5" s="5"/>
      <c r="AB5" s="5"/>
      <c r="AC5" s="5">
        <v>255</v>
      </c>
      <c r="AD5" s="5"/>
      <c r="AE5" s="5"/>
      <c r="AF5" s="5"/>
      <c r="AG5" s="5"/>
      <c r="AH5" s="5">
        <v>1107</v>
      </c>
      <c r="AI5" s="5">
        <v>267</v>
      </c>
      <c r="AJ5" s="5">
        <v>82</v>
      </c>
      <c r="AK5" s="5"/>
      <c r="AL5" s="5"/>
      <c r="AM5" s="5"/>
      <c r="AN5" s="5">
        <v>269</v>
      </c>
      <c r="AO5" s="5"/>
      <c r="AP5" s="5"/>
      <c r="AQ5" s="5"/>
      <c r="AR5" s="5">
        <v>1754</v>
      </c>
      <c r="AS5" s="5"/>
      <c r="AT5" s="5"/>
      <c r="AU5" s="5">
        <v>216</v>
      </c>
      <c r="AV5" s="5"/>
    </row>
    <row r="6" spans="1:48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84</v>
      </c>
      <c r="AS6" s="5"/>
      <c r="AT6" s="5"/>
      <c r="AU6" s="5"/>
      <c r="AV6" s="5"/>
    </row>
    <row r="7" spans="1:48" x14ac:dyDescent="0.35">
      <c r="A7" s="4" t="s">
        <v>215</v>
      </c>
      <c r="B7" s="5">
        <v>9701</v>
      </c>
      <c r="C7" s="5"/>
      <c r="D7" s="5"/>
      <c r="E7" s="5">
        <v>44897</v>
      </c>
      <c r="F7" s="5"/>
      <c r="G7" s="5">
        <v>185101</v>
      </c>
      <c r="H7" s="5">
        <v>4596</v>
      </c>
      <c r="I7" s="5"/>
      <c r="J7" s="5">
        <v>4200</v>
      </c>
      <c r="K7" s="5"/>
      <c r="L7" s="5">
        <v>90958</v>
      </c>
      <c r="M7" s="5"/>
      <c r="N7" s="5">
        <v>7224</v>
      </c>
      <c r="O7" s="5">
        <v>7427</v>
      </c>
      <c r="P7" s="5"/>
      <c r="Q7" s="5">
        <v>612</v>
      </c>
      <c r="R7" s="5"/>
      <c r="S7" s="5">
        <v>3106</v>
      </c>
      <c r="T7" s="5">
        <v>12132</v>
      </c>
      <c r="U7" s="5"/>
      <c r="V7" s="5"/>
      <c r="W7" s="5">
        <v>52605</v>
      </c>
      <c r="X7" s="5">
        <v>1010</v>
      </c>
      <c r="Y7" s="5">
        <v>918</v>
      </c>
      <c r="Z7" s="5">
        <v>48737</v>
      </c>
      <c r="AA7" s="5"/>
      <c r="AB7" s="5"/>
      <c r="AC7" s="5">
        <v>4573</v>
      </c>
      <c r="AD7" s="5">
        <v>4765</v>
      </c>
      <c r="AE7" s="5">
        <v>4134</v>
      </c>
      <c r="AF7" s="5">
        <v>7660</v>
      </c>
      <c r="AG7" s="5">
        <v>4816</v>
      </c>
      <c r="AH7" s="5">
        <v>11281</v>
      </c>
      <c r="AI7" s="5">
        <v>2490</v>
      </c>
      <c r="AJ7" s="5">
        <v>684</v>
      </c>
      <c r="AK7" s="5">
        <v>5160</v>
      </c>
      <c r="AL7" s="5"/>
      <c r="AM7" s="5"/>
      <c r="AN7" s="5">
        <v>3717</v>
      </c>
      <c r="AO7" s="5">
        <v>4746</v>
      </c>
      <c r="AP7" s="5">
        <v>55228</v>
      </c>
      <c r="AQ7" s="5"/>
      <c r="AR7" s="5">
        <v>19642</v>
      </c>
      <c r="AS7" s="5">
        <v>4484</v>
      </c>
      <c r="AT7" s="5">
        <v>1419</v>
      </c>
      <c r="AU7" s="5"/>
      <c r="AV7" s="5"/>
    </row>
    <row r="8" spans="1:48" x14ac:dyDescent="0.35">
      <c r="A8" s="4" t="s">
        <v>216</v>
      </c>
      <c r="B8" s="5">
        <v>2580</v>
      </c>
      <c r="C8" s="5"/>
      <c r="D8" s="5"/>
      <c r="E8" s="5">
        <v>1793</v>
      </c>
      <c r="F8" s="5">
        <v>12069</v>
      </c>
      <c r="G8" s="5">
        <v>141275</v>
      </c>
      <c r="H8" s="5">
        <v>513</v>
      </c>
      <c r="I8" s="5"/>
      <c r="J8" s="5"/>
      <c r="K8" s="5"/>
      <c r="L8" s="5"/>
      <c r="M8" s="5"/>
      <c r="N8" s="5">
        <v>1034</v>
      </c>
      <c r="O8" s="5">
        <v>1461</v>
      </c>
      <c r="P8" s="5"/>
      <c r="Q8" s="5"/>
      <c r="R8" s="5"/>
      <c r="S8" s="5"/>
      <c r="T8" s="5"/>
      <c r="U8" s="5"/>
      <c r="V8" s="5"/>
      <c r="W8" s="5">
        <v>7662</v>
      </c>
      <c r="X8" s="5">
        <v>443</v>
      </c>
      <c r="Y8" s="5">
        <v>125</v>
      </c>
      <c r="Z8" s="5">
        <v>2092</v>
      </c>
      <c r="AA8" s="5"/>
      <c r="AB8" s="5">
        <v>1583</v>
      </c>
      <c r="AC8" s="5">
        <v>568</v>
      </c>
      <c r="AD8" s="5">
        <v>2657</v>
      </c>
      <c r="AE8" s="5"/>
      <c r="AF8" s="5">
        <v>5705</v>
      </c>
      <c r="AG8" s="5"/>
      <c r="AH8" s="5">
        <v>1070</v>
      </c>
      <c r="AI8" s="5">
        <v>2002</v>
      </c>
      <c r="AJ8" s="5">
        <v>89</v>
      </c>
      <c r="AK8" s="5">
        <v>313</v>
      </c>
      <c r="AL8" s="5">
        <v>1284</v>
      </c>
      <c r="AM8" s="5"/>
      <c r="AN8" s="5">
        <v>921</v>
      </c>
      <c r="AO8" s="5">
        <v>856</v>
      </c>
      <c r="AP8" s="5">
        <v>9802</v>
      </c>
      <c r="AQ8" s="5">
        <v>3333</v>
      </c>
      <c r="AR8" s="5"/>
      <c r="AS8" s="5">
        <v>376</v>
      </c>
      <c r="AT8" s="5">
        <v>961</v>
      </c>
      <c r="AU8" s="5">
        <v>500</v>
      </c>
      <c r="AV8" s="5"/>
    </row>
    <row r="9" spans="1:48" x14ac:dyDescent="0.35">
      <c r="A9" s="4" t="s">
        <v>217</v>
      </c>
      <c r="B9" s="5"/>
      <c r="C9" s="5"/>
      <c r="D9" s="5"/>
      <c r="E9" s="5">
        <v>147</v>
      </c>
      <c r="F9" s="5"/>
      <c r="G9" s="5">
        <v>4081</v>
      </c>
      <c r="H9" s="5"/>
      <c r="I9" s="5"/>
      <c r="J9" s="5"/>
      <c r="K9" s="5"/>
      <c r="L9" s="5"/>
      <c r="M9" s="5"/>
      <c r="N9" s="5">
        <v>9</v>
      </c>
      <c r="O9" s="5">
        <v>91</v>
      </c>
      <c r="P9" s="5"/>
      <c r="Q9" s="5">
        <v>4</v>
      </c>
      <c r="R9" s="5">
        <v>88</v>
      </c>
      <c r="S9" s="5"/>
      <c r="T9" s="5"/>
      <c r="U9" s="5"/>
      <c r="V9" s="5"/>
      <c r="W9" s="5">
        <v>400</v>
      </c>
      <c r="X9" s="5">
        <v>50</v>
      </c>
      <c r="Y9" s="5">
        <v>7</v>
      </c>
      <c r="Z9" s="5"/>
      <c r="AA9" s="5"/>
      <c r="AB9" s="5"/>
      <c r="AC9" s="5"/>
      <c r="AD9" s="5">
        <v>107</v>
      </c>
      <c r="AE9" s="5">
        <v>385</v>
      </c>
      <c r="AF9" s="5"/>
      <c r="AG9" s="5"/>
      <c r="AH9" s="5"/>
      <c r="AI9" s="5">
        <v>121</v>
      </c>
      <c r="AJ9" s="5">
        <v>34</v>
      </c>
      <c r="AK9" s="5">
        <v>53</v>
      </c>
      <c r="AL9" s="5">
        <v>6158</v>
      </c>
      <c r="AM9" s="5"/>
      <c r="AN9" s="5">
        <v>27</v>
      </c>
      <c r="AO9" s="5">
        <v>18</v>
      </c>
      <c r="AP9" s="5"/>
      <c r="AQ9" s="5">
        <v>312</v>
      </c>
      <c r="AR9" s="5">
        <v>136</v>
      </c>
      <c r="AS9" s="5"/>
      <c r="AT9" s="5"/>
      <c r="AU9" s="5"/>
      <c r="AV9" s="5"/>
    </row>
    <row r="10" spans="1:48" x14ac:dyDescent="0.35">
      <c r="A10" s="4" t="s">
        <v>218</v>
      </c>
      <c r="B10" s="5">
        <v>235</v>
      </c>
      <c r="C10" s="5"/>
      <c r="D10" s="5"/>
      <c r="E10" s="5">
        <v>404</v>
      </c>
      <c r="F10" s="5"/>
      <c r="G10" s="5"/>
      <c r="H10" s="5">
        <v>46</v>
      </c>
      <c r="I10" s="5"/>
      <c r="J10" s="5"/>
      <c r="K10" s="5"/>
      <c r="L10" s="5"/>
      <c r="M10" s="5"/>
      <c r="N10" s="5">
        <v>13</v>
      </c>
      <c r="O10" s="5"/>
      <c r="P10" s="5"/>
      <c r="Q10" s="5">
        <v>4</v>
      </c>
      <c r="R10" s="5">
        <v>199</v>
      </c>
      <c r="S10" s="5"/>
      <c r="T10" s="5"/>
      <c r="U10" s="5"/>
      <c r="V10" s="5"/>
      <c r="W10" s="5">
        <v>570</v>
      </c>
      <c r="X10" s="5">
        <v>107</v>
      </c>
      <c r="Y10" s="5">
        <v>5</v>
      </c>
      <c r="Z10" s="5"/>
      <c r="AA10" s="5"/>
      <c r="AB10" s="5">
        <v>4</v>
      </c>
      <c r="AC10" s="5"/>
      <c r="AD10" s="5">
        <v>194</v>
      </c>
      <c r="AE10" s="5">
        <v>514</v>
      </c>
      <c r="AF10" s="5"/>
      <c r="AG10" s="5"/>
      <c r="AH10" s="5"/>
      <c r="AI10" s="5">
        <v>170</v>
      </c>
      <c r="AJ10" s="5">
        <v>45</v>
      </c>
      <c r="AK10" s="5">
        <v>82</v>
      </c>
      <c r="AL10" s="5">
        <v>15267</v>
      </c>
      <c r="AM10" s="5"/>
      <c r="AN10" s="5">
        <v>73</v>
      </c>
      <c r="AO10" s="5">
        <v>24</v>
      </c>
      <c r="AP10" s="5"/>
      <c r="AQ10" s="5">
        <v>1159</v>
      </c>
      <c r="AR10" s="5">
        <v>219</v>
      </c>
      <c r="AS10" s="5"/>
      <c r="AT10" s="5">
        <v>13</v>
      </c>
      <c r="AU10" s="5"/>
      <c r="AV10" s="5"/>
    </row>
    <row r="11" spans="1:48" x14ac:dyDescent="0.35">
      <c r="A11" s="4" t="s">
        <v>219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19254</v>
      </c>
      <c r="AR11" s="5">
        <v>9368</v>
      </c>
      <c r="AS11" s="5"/>
      <c r="AT11" s="5">
        <v>688</v>
      </c>
      <c r="AU11" s="5"/>
      <c r="AV11" s="5"/>
    </row>
    <row r="12" spans="1:48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35">
      <c r="A13" s="4" t="s">
        <v>221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v>3140</v>
      </c>
      <c r="AM13" s="5"/>
      <c r="AN13" s="5"/>
      <c r="AO13" s="5"/>
      <c r="AP13" s="5"/>
      <c r="AQ13" s="5"/>
      <c r="AR13" s="5"/>
      <c r="AS13" s="5"/>
      <c r="AT13" s="5">
        <v>9</v>
      </c>
      <c r="AU13" s="5"/>
      <c r="AV13" s="5"/>
    </row>
    <row r="14" spans="1:48" x14ac:dyDescent="0.35">
      <c r="A14" s="4" t="s">
        <v>222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2</v>
      </c>
      <c r="AM14" s="5"/>
      <c r="AN14" s="5"/>
      <c r="AO14" s="5"/>
      <c r="AP14" s="5"/>
      <c r="AQ14" s="5"/>
      <c r="AR14" s="5"/>
      <c r="AS14" s="5"/>
      <c r="AT14" s="5">
        <v>9</v>
      </c>
      <c r="AU14" s="5"/>
      <c r="AV14" s="5"/>
    </row>
    <row r="15" spans="1:48" x14ac:dyDescent="0.35">
      <c r="A15" s="4" t="s">
        <v>223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6700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</v>
      </c>
      <c r="AJ15" s="5"/>
      <c r="AK15" s="5">
        <v>14622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35">
      <c r="A16" s="4" t="s">
        <v>224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516</v>
      </c>
      <c r="X16" s="5"/>
      <c r="Y16" s="5">
        <v>8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5484</v>
      </c>
      <c r="AM16" s="5"/>
      <c r="AN16" s="5"/>
      <c r="AO16" s="5"/>
      <c r="AP16" s="5"/>
      <c r="AQ16" s="5"/>
      <c r="AR16" s="5">
        <v>157</v>
      </c>
      <c r="AS16" s="5"/>
      <c r="AT16" s="5"/>
      <c r="AU16" s="5"/>
      <c r="AV16" s="5"/>
    </row>
    <row r="17" spans="1:48" x14ac:dyDescent="0.35">
      <c r="A17" s="4" t="s">
        <v>225</v>
      </c>
      <c r="B17" s="5"/>
      <c r="C17" s="5"/>
      <c r="D17" s="5"/>
      <c r="E17" s="5"/>
      <c r="F17" s="5"/>
      <c r="G17" s="5"/>
      <c r="H17" s="5">
        <v>33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30</v>
      </c>
      <c r="X17" s="5"/>
      <c r="Y17" s="5">
        <v>4</v>
      </c>
      <c r="Z17" s="5"/>
      <c r="AA17" s="5"/>
      <c r="AB17" s="5"/>
      <c r="AC17" s="5"/>
      <c r="AD17" s="5"/>
      <c r="AE17" s="5"/>
      <c r="AF17" s="5"/>
      <c r="AG17" s="5"/>
      <c r="AH17" s="5"/>
      <c r="AI17" s="5">
        <v>57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</v>
      </c>
      <c r="AU17" s="5"/>
      <c r="AV17" s="5"/>
    </row>
    <row r="18" spans="1:48" x14ac:dyDescent="0.35">
      <c r="A18" s="4" t="s">
        <v>226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3145</v>
      </c>
      <c r="AM18" s="5"/>
      <c r="AN18" s="5"/>
      <c r="AO18" s="5"/>
      <c r="AP18" s="5"/>
      <c r="AQ18" s="5"/>
      <c r="AR18" s="5">
        <v>3</v>
      </c>
      <c r="AS18" s="5"/>
      <c r="AT18" s="5"/>
      <c r="AU18" s="5"/>
      <c r="AV18" s="5"/>
    </row>
    <row r="19" spans="1:48" x14ac:dyDescent="0.35">
      <c r="A19" s="4" t="s">
        <v>227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156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117</v>
      </c>
      <c r="AS20" s="5"/>
      <c r="AT20" s="5">
        <v>19</v>
      </c>
      <c r="AU20" s="5"/>
      <c r="AV20" s="5"/>
    </row>
    <row r="21" spans="1:48" x14ac:dyDescent="0.35">
      <c r="A21" s="4" t="s">
        <v>229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18</v>
      </c>
      <c r="AU21" s="5"/>
      <c r="AV21" s="5"/>
    </row>
    <row r="22" spans="1:48" x14ac:dyDescent="0.35">
      <c r="A22" s="4" t="s">
        <v>230</v>
      </c>
      <c r="B22" s="5"/>
      <c r="C22" s="5"/>
      <c r="D22" s="5"/>
      <c r="E22" s="5"/>
      <c r="F22" s="5"/>
      <c r="G22" s="5"/>
      <c r="H22" s="5">
        <v>174</v>
      </c>
      <c r="I22" s="5"/>
      <c r="J22" s="5"/>
      <c r="K22" s="5"/>
      <c r="L22" s="5"/>
      <c r="M22" s="5"/>
      <c r="N22" s="5">
        <v>254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146</v>
      </c>
      <c r="AJ22" s="5"/>
      <c r="AK22" s="5"/>
      <c r="AL22" s="5">
        <v>3642</v>
      </c>
      <c r="AM22" s="5"/>
      <c r="AN22" s="5"/>
      <c r="AO22" s="5"/>
      <c r="AP22" s="5"/>
      <c r="AQ22" s="5">
        <v>1796</v>
      </c>
      <c r="AR22" s="5">
        <v>1843</v>
      </c>
      <c r="AS22" s="5"/>
      <c r="AT22" s="5">
        <v>293</v>
      </c>
      <c r="AU22" s="5"/>
      <c r="AV22" s="5"/>
    </row>
    <row r="23" spans="1:48" x14ac:dyDescent="0.35">
      <c r="A23" s="4" t="s">
        <v>231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</v>
      </c>
      <c r="Z23" s="5"/>
      <c r="AA23" s="5"/>
      <c r="AB23" s="5"/>
      <c r="AC23" s="5"/>
      <c r="AD23" s="5"/>
      <c r="AE23" s="5"/>
      <c r="AF23" s="5"/>
      <c r="AG23" s="5"/>
      <c r="AH23" s="5"/>
      <c r="AI23" s="5">
        <v>84</v>
      </c>
      <c r="AJ23" s="5"/>
      <c r="AK23" s="5"/>
      <c r="AL23" s="5"/>
      <c r="AM23" s="5"/>
      <c r="AN23" s="5"/>
      <c r="AO23" s="5"/>
      <c r="AP23" s="5"/>
      <c r="AQ23" s="5"/>
      <c r="AR23" s="5">
        <v>41</v>
      </c>
      <c r="AS23" s="5"/>
      <c r="AT23" s="5">
        <v>29</v>
      </c>
      <c r="AU23" s="5"/>
      <c r="AV23" s="5"/>
    </row>
    <row r="24" spans="1:48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2249</v>
      </c>
      <c r="AU24" s="5"/>
      <c r="AV24" s="5"/>
    </row>
    <row r="25" spans="1:48" x14ac:dyDescent="0.35">
      <c r="A25" s="4" t="s">
        <v>233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52</v>
      </c>
      <c r="AS25" s="5"/>
      <c r="AT25" s="5"/>
      <c r="AU25" s="5"/>
      <c r="AV25" s="5"/>
    </row>
    <row r="26" spans="1:48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5">
      <c r="A27" s="4" t="s">
        <v>235</v>
      </c>
      <c r="B27" s="5"/>
      <c r="C27" s="5"/>
      <c r="D27" s="5"/>
      <c r="E27" s="5"/>
      <c r="F27" s="5"/>
      <c r="G27" s="5"/>
      <c r="H27" s="5">
        <v>66</v>
      </c>
      <c r="I27" s="5"/>
      <c r="J27" s="5"/>
      <c r="K27" s="5"/>
      <c r="L27" s="5"/>
      <c r="M27" s="5"/>
      <c r="N27" s="5">
        <v>234</v>
      </c>
      <c r="O27" s="5"/>
      <c r="P27" s="5"/>
      <c r="Q27" s="5"/>
      <c r="R27" s="5"/>
      <c r="S27" s="5"/>
      <c r="T27" s="5"/>
      <c r="U27" s="5"/>
      <c r="V27" s="5"/>
      <c r="W27" s="5"/>
      <c r="X27" s="5">
        <v>8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78</v>
      </c>
      <c r="AJ27" s="5"/>
      <c r="AK27" s="5"/>
      <c r="AL27" s="5">
        <v>8484</v>
      </c>
      <c r="AM27" s="5"/>
      <c r="AN27" s="5"/>
      <c r="AO27" s="5"/>
      <c r="AP27" s="5"/>
      <c r="AQ27" s="5">
        <v>419</v>
      </c>
      <c r="AR27" s="5">
        <v>320</v>
      </c>
      <c r="AS27" s="5"/>
      <c r="AT27" s="5">
        <v>112</v>
      </c>
      <c r="AU27" s="5"/>
      <c r="AV27" s="5"/>
    </row>
    <row r="28" spans="1:48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257</v>
      </c>
      <c r="AS28" s="5"/>
      <c r="AT28" s="5"/>
      <c r="AU28" s="5"/>
      <c r="AV28" s="5"/>
    </row>
    <row r="29" spans="1:48" x14ac:dyDescent="0.35">
      <c r="A29" s="4" t="s">
        <v>237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5">
      <c r="A30" s="4" t="s">
        <v>238</v>
      </c>
      <c r="B30" s="5"/>
      <c r="C30" s="5"/>
      <c r="D30" s="5"/>
      <c r="E30" s="5"/>
      <c r="F30" s="5"/>
      <c r="G30" s="5"/>
      <c r="H30" s="5">
        <v>287</v>
      </c>
      <c r="I30" s="5"/>
      <c r="J30" s="5"/>
      <c r="K30" s="5"/>
      <c r="L30" s="5"/>
      <c r="M30" s="5"/>
      <c r="N30" s="5">
        <v>1166</v>
      </c>
      <c r="O30" s="5"/>
      <c r="P30" s="5"/>
      <c r="Q30" s="5"/>
      <c r="R30" s="5"/>
      <c r="S30" s="5"/>
      <c r="T30" s="5"/>
      <c r="U30" s="5"/>
      <c r="V30" s="5"/>
      <c r="W30" s="5"/>
      <c r="X30" s="5">
        <v>209</v>
      </c>
      <c r="Y30" s="5">
        <v>16</v>
      </c>
      <c r="Z30" s="5"/>
      <c r="AA30" s="5"/>
      <c r="AB30" s="5"/>
      <c r="AC30" s="5">
        <v>397</v>
      </c>
      <c r="AD30" s="5"/>
      <c r="AE30" s="5"/>
      <c r="AF30" s="5"/>
      <c r="AG30" s="5"/>
      <c r="AH30" s="5"/>
      <c r="AI30" s="5">
        <v>37</v>
      </c>
      <c r="AJ30" s="5"/>
      <c r="AK30" s="5"/>
      <c r="AL30" s="5">
        <v>5377</v>
      </c>
      <c r="AM30" s="5"/>
      <c r="AN30" s="5"/>
      <c r="AO30" s="5"/>
      <c r="AP30" s="5"/>
      <c r="AQ30" s="5"/>
      <c r="AR30" s="5">
        <v>600</v>
      </c>
      <c r="AS30" s="5"/>
      <c r="AT30" s="5">
        <v>129</v>
      </c>
      <c r="AU30" s="5"/>
      <c r="AV30" s="5"/>
    </row>
    <row r="31" spans="1:48" x14ac:dyDescent="0.35">
      <c r="A31" s="4" t="s">
        <v>239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158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4802</v>
      </c>
      <c r="AM31" s="5"/>
      <c r="AN31" s="5"/>
      <c r="AO31" s="5"/>
      <c r="AP31" s="5"/>
      <c r="AQ31" s="5">
        <v>921</v>
      </c>
      <c r="AR31" s="5"/>
      <c r="AS31" s="5"/>
      <c r="AT31" s="5">
        <v>276</v>
      </c>
      <c r="AU31" s="5"/>
      <c r="AV31" s="5"/>
    </row>
    <row r="32" spans="1:48" x14ac:dyDescent="0.35">
      <c r="A32" s="4" t="s">
        <v>240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17</v>
      </c>
      <c r="AS32" s="5"/>
      <c r="AT32" s="5">
        <v>48</v>
      </c>
      <c r="AU32" s="5"/>
      <c r="AV32" s="5"/>
    </row>
    <row r="33" spans="1:48" x14ac:dyDescent="0.35">
      <c r="A33" s="4" t="s">
        <v>241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678</v>
      </c>
      <c r="AS33" s="5"/>
      <c r="AT33" s="5"/>
      <c r="AU33" s="5"/>
      <c r="AV33" s="5"/>
    </row>
    <row r="34" spans="1:48" x14ac:dyDescent="0.35">
      <c r="A34" s="4" t="s">
        <v>242</v>
      </c>
      <c r="B34" s="5">
        <v>1202</v>
      </c>
      <c r="C34" s="5"/>
      <c r="D34" s="5"/>
      <c r="E34" s="5"/>
      <c r="F34" s="5"/>
      <c r="G34" s="5">
        <v>83565</v>
      </c>
      <c r="H34" s="5">
        <v>715</v>
      </c>
      <c r="I34" s="5"/>
      <c r="J34" s="5">
        <v>107</v>
      </c>
      <c r="K34" s="5"/>
      <c r="L34" s="5">
        <v>74309</v>
      </c>
      <c r="M34" s="5"/>
      <c r="N34" s="5">
        <v>523</v>
      </c>
      <c r="O34" s="5">
        <v>830</v>
      </c>
      <c r="P34" s="5"/>
      <c r="Q34" s="5">
        <v>408</v>
      </c>
      <c r="R34" s="5"/>
      <c r="S34" s="5">
        <v>540</v>
      </c>
      <c r="T34" s="5"/>
      <c r="U34" s="5"/>
      <c r="V34" s="5"/>
      <c r="W34" s="5">
        <v>3618</v>
      </c>
      <c r="X34" s="5">
        <v>977</v>
      </c>
      <c r="Y34" s="5"/>
      <c r="Z34" s="5"/>
      <c r="AA34" s="5">
        <v>234</v>
      </c>
      <c r="AB34" s="5"/>
      <c r="AC34" s="5">
        <v>284</v>
      </c>
      <c r="AD34" s="5">
        <v>2247</v>
      </c>
      <c r="AE34" s="5">
        <v>2769</v>
      </c>
      <c r="AF34" s="5"/>
      <c r="AG34" s="5"/>
      <c r="AH34" s="5"/>
      <c r="AI34" s="5"/>
      <c r="AJ34" s="5"/>
      <c r="AK34" s="5"/>
      <c r="AL34" s="5">
        <v>43141</v>
      </c>
      <c r="AM34" s="5"/>
      <c r="AN34" s="5"/>
      <c r="AO34" s="5">
        <v>681</v>
      </c>
      <c r="AP34" s="5"/>
      <c r="AQ34" s="5">
        <v>1514</v>
      </c>
      <c r="AR34" s="5">
        <v>308</v>
      </c>
      <c r="AS34" s="5">
        <v>226</v>
      </c>
      <c r="AT34" s="5">
        <v>347</v>
      </c>
      <c r="AU34" s="5"/>
      <c r="AV34" s="5"/>
    </row>
    <row r="35" spans="1:48" x14ac:dyDescent="0.35">
      <c r="A35" s="4" t="s">
        <v>243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4" t="s">
        <v>244</v>
      </c>
      <c r="B36" s="5"/>
      <c r="C36" s="5"/>
      <c r="D36" s="5"/>
      <c r="E36" s="5">
        <v>1753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568</v>
      </c>
      <c r="AD36" s="5"/>
      <c r="AE36" s="5"/>
      <c r="AF36" s="5">
        <v>557</v>
      </c>
      <c r="AG36" s="5"/>
      <c r="AH36" s="5"/>
      <c r="AI36" s="5"/>
      <c r="AJ36" s="5"/>
      <c r="AK36" s="5"/>
      <c r="AL36" s="5"/>
      <c r="AM36" s="5"/>
      <c r="AN36" s="5"/>
      <c r="AO36" s="5">
        <v>5</v>
      </c>
      <c r="AP36" s="5"/>
      <c r="AQ36" s="5"/>
      <c r="AR36" s="5"/>
      <c r="AS36" s="5"/>
      <c r="AT36" s="5">
        <v>502</v>
      </c>
      <c r="AU36" s="5">
        <v>25</v>
      </c>
      <c r="AV36" s="5"/>
    </row>
    <row r="37" spans="1:48" x14ac:dyDescent="0.35">
      <c r="A37" s="4" t="s">
        <v>245</v>
      </c>
      <c r="B37" s="5"/>
      <c r="C37" s="5"/>
      <c r="D37" s="5"/>
      <c r="E37" s="5">
        <v>40</v>
      </c>
      <c r="F37" s="5">
        <v>12069</v>
      </c>
      <c r="G37" s="5"/>
      <c r="H37" s="5"/>
      <c r="I37" s="5"/>
      <c r="J37" s="5"/>
      <c r="K37" s="5"/>
      <c r="L37" s="5"/>
      <c r="M37" s="5"/>
      <c r="N37" s="5"/>
      <c r="O37" s="5">
        <v>1461</v>
      </c>
      <c r="P37" s="5"/>
      <c r="Q37" s="5"/>
      <c r="R37" s="5"/>
      <c r="S37" s="5"/>
      <c r="T37" s="5"/>
      <c r="U37" s="5"/>
      <c r="V37" s="5"/>
      <c r="W37" s="5"/>
      <c r="X37" s="5"/>
      <c r="Y37" s="5">
        <v>125</v>
      </c>
      <c r="Z37" s="5">
        <v>2092</v>
      </c>
      <c r="AA37" s="5"/>
      <c r="AB37" s="5">
        <v>1583</v>
      </c>
      <c r="AC37" s="5"/>
      <c r="AD37" s="5">
        <v>2657</v>
      </c>
      <c r="AE37" s="5"/>
      <c r="AF37" s="5">
        <v>5148</v>
      </c>
      <c r="AG37" s="5"/>
      <c r="AH37" s="5"/>
      <c r="AI37" s="5"/>
      <c r="AJ37" s="5"/>
      <c r="AK37" s="5"/>
      <c r="AL37" s="5">
        <v>1284</v>
      </c>
      <c r="AM37" s="5"/>
      <c r="AN37" s="5"/>
      <c r="AO37" s="5">
        <v>851</v>
      </c>
      <c r="AP37" s="5">
        <v>9802</v>
      </c>
      <c r="AQ37" s="5">
        <v>192</v>
      </c>
      <c r="AR37" s="5"/>
      <c r="AS37" s="5">
        <v>376</v>
      </c>
      <c r="AT37" s="5">
        <v>459</v>
      </c>
      <c r="AU37" s="5">
        <v>475</v>
      </c>
      <c r="AV37" s="5"/>
    </row>
    <row r="38" spans="1:48" x14ac:dyDescent="0.35">
      <c r="A38" s="4" t="s">
        <v>246</v>
      </c>
      <c r="B38" s="5">
        <v>2580</v>
      </c>
      <c r="C38" s="5"/>
      <c r="D38" s="5"/>
      <c r="E38" s="5"/>
      <c r="F38" s="5"/>
      <c r="G38" s="5">
        <v>141275</v>
      </c>
      <c r="H38" s="5">
        <v>513</v>
      </c>
      <c r="I38" s="5"/>
      <c r="J38" s="5"/>
      <c r="K38" s="5"/>
      <c r="L38" s="5"/>
      <c r="M38" s="5"/>
      <c r="N38" s="5">
        <v>1034</v>
      </c>
      <c r="O38" s="5"/>
      <c r="P38" s="5"/>
      <c r="Q38" s="5"/>
      <c r="R38" s="5"/>
      <c r="S38" s="5"/>
      <c r="T38" s="5"/>
      <c r="U38" s="5"/>
      <c r="V38" s="5"/>
      <c r="W38" s="5">
        <v>7662</v>
      </c>
      <c r="X38" s="5">
        <v>443</v>
      </c>
      <c r="Y38" s="5"/>
      <c r="Z38" s="5"/>
      <c r="AA38" s="5"/>
      <c r="AB38" s="5"/>
      <c r="AC38" s="5"/>
      <c r="AD38" s="5"/>
      <c r="AE38" s="5"/>
      <c r="AF38" s="5"/>
      <c r="AG38" s="5"/>
      <c r="AH38" s="5">
        <v>1070</v>
      </c>
      <c r="AI38" s="5">
        <v>2002</v>
      </c>
      <c r="AJ38" s="5">
        <v>89</v>
      </c>
      <c r="AK38" s="5">
        <v>313</v>
      </c>
      <c r="AL38" s="5"/>
      <c r="AM38" s="5"/>
      <c r="AN38" s="5">
        <v>921</v>
      </c>
      <c r="AO38" s="5"/>
      <c r="AP38" s="5"/>
      <c r="AQ38" s="5">
        <v>3141</v>
      </c>
      <c r="AR38" s="5"/>
      <c r="AS38" s="5"/>
      <c r="AT38" s="5"/>
      <c r="AU38" s="5"/>
      <c r="AV38" s="5"/>
    </row>
    <row r="39" spans="1:48" x14ac:dyDescent="0.35">
      <c r="A39" s="4" t="s">
        <v>247</v>
      </c>
      <c r="B39" s="5"/>
      <c r="C39" s="5"/>
      <c r="D39" s="5"/>
      <c r="E39" s="5">
        <v>44897</v>
      </c>
      <c r="F39" s="5"/>
      <c r="G39" s="5">
        <v>185101</v>
      </c>
      <c r="H39" s="5">
        <v>4596</v>
      </c>
      <c r="I39" s="5"/>
      <c r="J39" s="5"/>
      <c r="K39" s="5"/>
      <c r="L39" s="5">
        <v>90958</v>
      </c>
      <c r="M39" s="5"/>
      <c r="N39" s="5">
        <v>5647</v>
      </c>
      <c r="O39" s="5">
        <v>7427</v>
      </c>
      <c r="P39" s="5"/>
      <c r="Q39" s="5">
        <v>612</v>
      </c>
      <c r="R39" s="5"/>
      <c r="S39" s="5">
        <v>3106</v>
      </c>
      <c r="T39" s="5"/>
      <c r="U39" s="5"/>
      <c r="V39" s="5"/>
      <c r="W39" s="5">
        <v>52605</v>
      </c>
      <c r="X39" s="5">
        <v>1010</v>
      </c>
      <c r="Y39" s="5"/>
      <c r="Z39" s="5"/>
      <c r="AA39" s="5"/>
      <c r="AB39" s="5"/>
      <c r="AC39" s="5">
        <v>4573</v>
      </c>
      <c r="AD39" s="5"/>
      <c r="AE39" s="5">
        <v>4134</v>
      </c>
      <c r="AF39" s="5">
        <v>7660</v>
      </c>
      <c r="AG39" s="5"/>
      <c r="AH39" s="5">
        <v>11281</v>
      </c>
      <c r="AI39" s="5"/>
      <c r="AJ39" s="5">
        <v>684</v>
      </c>
      <c r="AK39" s="5">
        <v>2315</v>
      </c>
      <c r="AL39" s="5"/>
      <c r="AM39" s="5"/>
      <c r="AN39" s="5"/>
      <c r="AO39" s="5">
        <v>4746</v>
      </c>
      <c r="AP39" s="5"/>
      <c r="AQ39" s="5"/>
      <c r="AR39" s="5"/>
      <c r="AS39" s="5"/>
      <c r="AT39" s="5"/>
      <c r="AU39" s="5"/>
      <c r="AV39" s="5"/>
    </row>
    <row r="40" spans="1:48" x14ac:dyDescent="0.35">
      <c r="A40" s="4" t="s">
        <v>248</v>
      </c>
      <c r="B40" s="5">
        <v>2337</v>
      </c>
      <c r="C40" s="5"/>
      <c r="D40" s="5"/>
      <c r="E40" s="5"/>
      <c r="F40" s="5"/>
      <c r="G40" s="5"/>
      <c r="H40" s="5"/>
      <c r="I40" s="5"/>
      <c r="J40" s="5">
        <v>943</v>
      </c>
      <c r="K40" s="5"/>
      <c r="L40" s="5"/>
      <c r="M40" s="5"/>
      <c r="N40" s="5"/>
      <c r="O40" s="5"/>
      <c r="P40" s="5"/>
      <c r="Q40" s="5"/>
      <c r="R40" s="5"/>
      <c r="S40" s="5"/>
      <c r="T40" s="5">
        <v>2327</v>
      </c>
      <c r="U40" s="5"/>
      <c r="V40" s="5"/>
      <c r="W40" s="5"/>
      <c r="X40" s="5"/>
      <c r="Y40" s="5">
        <v>53</v>
      </c>
      <c r="Z40" s="5">
        <v>10437</v>
      </c>
      <c r="AA40" s="5"/>
      <c r="AB40" s="5"/>
      <c r="AC40" s="5"/>
      <c r="AD40" s="5"/>
      <c r="AE40" s="5"/>
      <c r="AF40" s="5"/>
      <c r="AG40" s="5">
        <v>2458</v>
      </c>
      <c r="AH40" s="5"/>
      <c r="AI40" s="5">
        <v>1045</v>
      </c>
      <c r="AJ40" s="5"/>
      <c r="AK40" s="5">
        <v>2090</v>
      </c>
      <c r="AL40" s="5"/>
      <c r="AM40" s="5"/>
      <c r="AN40" s="5">
        <v>1847</v>
      </c>
      <c r="AO40" s="5"/>
      <c r="AP40" s="5">
        <v>39631</v>
      </c>
      <c r="AQ40" s="5"/>
      <c r="AR40" s="5">
        <v>2588</v>
      </c>
      <c r="AS40" s="5">
        <v>2979</v>
      </c>
      <c r="AT40" s="5">
        <v>499</v>
      </c>
      <c r="AU40" s="5"/>
      <c r="AV40" s="5"/>
    </row>
    <row r="41" spans="1:48" x14ac:dyDescent="0.35">
      <c r="A41" s="4" t="s">
        <v>249</v>
      </c>
      <c r="B41" s="5">
        <v>7364</v>
      </c>
      <c r="C41" s="5"/>
      <c r="D41" s="5"/>
      <c r="E41" s="5"/>
      <c r="F41" s="5"/>
      <c r="G41" s="5"/>
      <c r="H41" s="5"/>
      <c r="I41" s="5"/>
      <c r="J41" s="5">
        <v>3257</v>
      </c>
      <c r="K41" s="5"/>
      <c r="L41" s="5"/>
      <c r="M41" s="5"/>
      <c r="N41" s="5">
        <v>1577</v>
      </c>
      <c r="O41" s="5"/>
      <c r="P41" s="5"/>
      <c r="Q41" s="5"/>
      <c r="R41" s="5"/>
      <c r="S41" s="5"/>
      <c r="T41" s="5">
        <v>9805</v>
      </c>
      <c r="U41" s="5"/>
      <c r="V41" s="5"/>
      <c r="W41" s="5"/>
      <c r="X41" s="5"/>
      <c r="Y41" s="5">
        <v>865</v>
      </c>
      <c r="Z41" s="5">
        <v>38300</v>
      </c>
      <c r="AA41" s="5"/>
      <c r="AB41" s="5"/>
      <c r="AC41" s="5"/>
      <c r="AD41" s="5">
        <v>4765</v>
      </c>
      <c r="AE41" s="5"/>
      <c r="AF41" s="5"/>
      <c r="AG41" s="5">
        <v>2358</v>
      </c>
      <c r="AH41" s="5"/>
      <c r="AI41" s="5">
        <v>1445</v>
      </c>
      <c r="AJ41" s="5"/>
      <c r="AK41" s="5">
        <v>755</v>
      </c>
      <c r="AL41" s="5"/>
      <c r="AM41" s="5"/>
      <c r="AN41" s="5">
        <v>1870</v>
      </c>
      <c r="AO41" s="5"/>
      <c r="AP41" s="5">
        <v>15597</v>
      </c>
      <c r="AQ41" s="5"/>
      <c r="AR41" s="5">
        <v>17054</v>
      </c>
      <c r="AS41" s="5">
        <v>1505</v>
      </c>
      <c r="AT41" s="5">
        <v>920</v>
      </c>
      <c r="AU41" s="5"/>
      <c r="AV41" s="5"/>
    </row>
    <row r="42" spans="1:48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170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3434</v>
      </c>
      <c r="AS42" s="5"/>
      <c r="AT42" s="5"/>
      <c r="AU42" s="5"/>
      <c r="AV42" s="5"/>
    </row>
    <row r="43" spans="1:48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29</v>
      </c>
      <c r="AS43" s="5"/>
      <c r="AT43" s="5"/>
      <c r="AU43" s="5"/>
      <c r="AV43" s="5"/>
    </row>
    <row r="44" spans="1:48" x14ac:dyDescent="0.35">
      <c r="A44" s="4" t="s">
        <v>250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197</v>
      </c>
      <c r="AM44" s="5"/>
      <c r="AN44" s="5"/>
      <c r="AO44" s="5"/>
      <c r="AP44" s="5"/>
      <c r="AQ44" s="5">
        <v>202</v>
      </c>
      <c r="AR44" s="5">
        <v>58</v>
      </c>
      <c r="AS44" s="5"/>
      <c r="AT44" s="5">
        <v>1</v>
      </c>
      <c r="AU44" s="5"/>
      <c r="AV44" s="5"/>
    </row>
    <row r="45" spans="1:48" x14ac:dyDescent="0.35">
      <c r="A45" s="4" t="s">
        <v>251</v>
      </c>
      <c r="B45" s="5"/>
      <c r="C45" s="5"/>
      <c r="D45" s="5"/>
      <c r="E45" s="5">
        <v>200</v>
      </c>
      <c r="F45" s="5">
        <v>296</v>
      </c>
      <c r="G45" s="5"/>
      <c r="H45" s="5"/>
      <c r="I45" s="5"/>
      <c r="J45" s="5">
        <v>6</v>
      </c>
      <c r="K45" s="5"/>
      <c r="L45" s="5"/>
      <c r="M45" s="5"/>
      <c r="N45" s="5"/>
      <c r="O45" s="5">
        <v>11</v>
      </c>
      <c r="P45" s="5"/>
      <c r="Q45" s="5"/>
      <c r="R45" s="5"/>
      <c r="S45" s="5"/>
      <c r="T45" s="5"/>
      <c r="U45" s="5"/>
      <c r="V45" s="5"/>
      <c r="W45" s="5"/>
      <c r="X45" s="5"/>
      <c r="Y45" s="5">
        <v>1</v>
      </c>
      <c r="Z45" s="5">
        <v>380</v>
      </c>
      <c r="AA45" s="5"/>
      <c r="AB45" s="5">
        <v>35</v>
      </c>
      <c r="AC45" s="5">
        <v>15</v>
      </c>
      <c r="AD45" s="5"/>
      <c r="AE45" s="5"/>
      <c r="AF45" s="5">
        <v>57</v>
      </c>
      <c r="AG45" s="5"/>
      <c r="AH45" s="5">
        <v>56</v>
      </c>
      <c r="AI45" s="5">
        <v>91</v>
      </c>
      <c r="AJ45" s="5"/>
      <c r="AK45" s="5"/>
      <c r="AL45" s="5">
        <v>1247</v>
      </c>
      <c r="AM45" s="5"/>
      <c r="AN45" s="5"/>
      <c r="AO45" s="5"/>
      <c r="AP45" s="5">
        <v>42</v>
      </c>
      <c r="AQ45" s="5">
        <v>46</v>
      </c>
      <c r="AR45" s="5">
        <v>69</v>
      </c>
      <c r="AS45" s="5">
        <v>11</v>
      </c>
      <c r="AT45" s="5">
        <v>35</v>
      </c>
      <c r="AU45" s="5">
        <v>8</v>
      </c>
      <c r="AV45" s="5">
        <v>67</v>
      </c>
    </row>
    <row r="46" spans="1:48" x14ac:dyDescent="0.35">
      <c r="A46" s="4" t="s">
        <v>252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3725</v>
      </c>
      <c r="AM46" s="5"/>
      <c r="AN46" s="5"/>
      <c r="AO46" s="5"/>
      <c r="AP46" s="5"/>
      <c r="AQ46" s="5"/>
      <c r="AR46" s="5">
        <v>13</v>
      </c>
      <c r="AS46" s="5"/>
      <c r="AT46" s="5">
        <v>2</v>
      </c>
      <c r="AU46" s="5"/>
      <c r="AV46" s="5"/>
    </row>
    <row r="47" spans="1:48" x14ac:dyDescent="0.35">
      <c r="A47" s="4" t="s">
        <v>253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</v>
      </c>
      <c r="W47" s="5"/>
      <c r="X47" s="5"/>
      <c r="Y47" s="5">
        <v>19</v>
      </c>
      <c r="Z47" s="5"/>
      <c r="AA47" s="5"/>
      <c r="AB47" s="5"/>
      <c r="AC47" s="5"/>
      <c r="AD47" s="5"/>
      <c r="AE47" s="5"/>
      <c r="AF47" s="5"/>
      <c r="AG47" s="5"/>
      <c r="AH47" s="5"/>
      <c r="AI47" s="5">
        <v>456</v>
      </c>
      <c r="AJ47" s="5"/>
      <c r="AK47" s="5"/>
      <c r="AL47" s="5"/>
      <c r="AM47" s="5"/>
      <c r="AN47" s="5"/>
      <c r="AO47" s="5"/>
      <c r="AP47" s="5"/>
      <c r="AQ47" s="5"/>
      <c r="AR47" s="5">
        <v>154</v>
      </c>
      <c r="AS47" s="5"/>
      <c r="AT47" s="5">
        <v>144</v>
      </c>
      <c r="AU47" s="5"/>
      <c r="AV47" s="5"/>
    </row>
    <row r="48" spans="1:48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1340</v>
      </c>
      <c r="AU48" s="5"/>
      <c r="AV48" s="5"/>
    </row>
    <row r="49" spans="1:48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1264</v>
      </c>
      <c r="AU49" s="5"/>
      <c r="AV49" s="5"/>
    </row>
    <row r="50" spans="1:48" x14ac:dyDescent="0.35">
      <c r="A50" s="4" t="s">
        <v>256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</v>
      </c>
      <c r="Z50" s="5"/>
      <c r="AA50" s="5"/>
      <c r="AB50" s="5"/>
      <c r="AC50" s="5">
        <v>1159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1814</v>
      </c>
      <c r="AR50" s="5">
        <v>130</v>
      </c>
      <c r="AS50" s="5"/>
      <c r="AT50" s="5">
        <v>638</v>
      </c>
      <c r="AU50" s="5"/>
      <c r="AV50" s="5"/>
    </row>
    <row r="51" spans="1:48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565</v>
      </c>
      <c r="AO51" s="5"/>
      <c r="AP51" s="5"/>
      <c r="AQ51" s="5"/>
      <c r="AR51" s="5">
        <v>551</v>
      </c>
      <c r="AS51" s="5"/>
      <c r="AT51" s="5"/>
      <c r="AU51" s="5"/>
      <c r="AV51" s="5"/>
    </row>
    <row r="52" spans="1:48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4" t="s">
        <v>259</v>
      </c>
      <c r="B53" s="5"/>
      <c r="C53" s="5"/>
      <c r="D53" s="5"/>
      <c r="E53" s="5"/>
      <c r="F53" s="5"/>
      <c r="G53" s="5"/>
      <c r="H53" s="5">
        <v>72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35</v>
      </c>
      <c r="Z53" s="5"/>
      <c r="AA53" s="5"/>
      <c r="AB53" s="5"/>
      <c r="AC53" s="5">
        <v>218</v>
      </c>
      <c r="AD53" s="5"/>
      <c r="AE53" s="5"/>
      <c r="AF53" s="5"/>
      <c r="AG53" s="5"/>
      <c r="AH53" s="5"/>
      <c r="AI53" s="5"/>
      <c r="AJ53" s="5">
        <v>64</v>
      </c>
      <c r="AK53" s="5"/>
      <c r="AL53" s="5">
        <v>21713</v>
      </c>
      <c r="AM53" s="5"/>
      <c r="AN53" s="5"/>
      <c r="AO53" s="5"/>
      <c r="AP53" s="5"/>
      <c r="AQ53" s="5"/>
      <c r="AR53" s="5">
        <v>540</v>
      </c>
      <c r="AS53" s="5"/>
      <c r="AT53" s="5">
        <v>1</v>
      </c>
      <c r="AU53" s="5"/>
      <c r="AV53" s="5"/>
    </row>
    <row r="54" spans="1:48" x14ac:dyDescent="0.35">
      <c r="A54" s="4" t="s">
        <v>260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7199</v>
      </c>
      <c r="AM54" s="5"/>
      <c r="AN54" s="5"/>
      <c r="AO54" s="5"/>
      <c r="AP54" s="5"/>
      <c r="AQ54" s="5"/>
      <c r="AR54" s="5">
        <v>432</v>
      </c>
      <c r="AS54" s="5"/>
      <c r="AT54" s="5">
        <v>152</v>
      </c>
      <c r="AU54" s="5"/>
      <c r="AV54" s="5"/>
    </row>
    <row r="55" spans="1:48" x14ac:dyDescent="0.35">
      <c r="A55" s="4" t="s">
        <v>261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252</v>
      </c>
      <c r="AM55" s="5"/>
      <c r="AN55" s="5"/>
      <c r="AO55" s="5"/>
      <c r="AP55" s="5"/>
      <c r="AQ55" s="5">
        <v>432</v>
      </c>
      <c r="AR55" s="5"/>
      <c r="AS55" s="5"/>
      <c r="AT55" s="5"/>
      <c r="AU55" s="5"/>
      <c r="AV55" s="5"/>
    </row>
    <row r="56" spans="1:48" x14ac:dyDescent="0.35">
      <c r="A56" s="4" t="s">
        <v>262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9</v>
      </c>
      <c r="AE56" s="5"/>
      <c r="AF56" s="5"/>
      <c r="AG56" s="5"/>
      <c r="AH56" s="5"/>
      <c r="AI56" s="5">
        <v>20</v>
      </c>
      <c r="AJ56" s="5">
        <v>4</v>
      </c>
      <c r="AK56" s="5"/>
      <c r="AL56" s="5"/>
      <c r="AM56" s="5"/>
      <c r="AN56" s="5"/>
      <c r="AO56" s="5"/>
      <c r="AP56" s="5"/>
      <c r="AQ56" s="5"/>
      <c r="AR56" s="5">
        <v>15</v>
      </c>
      <c r="AS56" s="5">
        <v>24</v>
      </c>
      <c r="AT56" s="5">
        <v>2</v>
      </c>
      <c r="AU56" s="5"/>
      <c r="AV56" s="5"/>
    </row>
    <row r="57" spans="1:48" x14ac:dyDescent="0.35">
      <c r="A57" s="4" t="s">
        <v>263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>
        <v>8190</v>
      </c>
      <c r="AM57" s="5"/>
      <c r="AN57" s="5">
        <v>67</v>
      </c>
      <c r="AO57" s="5"/>
      <c r="AP57" s="5"/>
      <c r="AQ57" s="5"/>
      <c r="AR57" s="5"/>
      <c r="AS57" s="5"/>
      <c r="AT57" s="5">
        <v>33</v>
      </c>
      <c r="AU57" s="5"/>
      <c r="AV57" s="5"/>
    </row>
    <row r="58" spans="1:48" x14ac:dyDescent="0.35">
      <c r="A58" s="4" t="s">
        <v>264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35">
      <c r="A59" s="4" t="s">
        <v>265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14</v>
      </c>
      <c r="AU59" s="5"/>
      <c r="AV59" s="5"/>
    </row>
    <row r="60" spans="1:48" x14ac:dyDescent="0.35">
      <c r="A60" s="4" t="s">
        <v>266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14</v>
      </c>
      <c r="Z60" s="5"/>
      <c r="AA60" s="5"/>
      <c r="AB60" s="5"/>
      <c r="AC60" s="5"/>
      <c r="AD60" s="5"/>
      <c r="AE60" s="5"/>
      <c r="AF60" s="5"/>
      <c r="AG60" s="5"/>
      <c r="AH60" s="5">
        <v>324</v>
      </c>
      <c r="AI60" s="5">
        <v>887</v>
      </c>
      <c r="AJ60" s="5">
        <v>121</v>
      </c>
      <c r="AK60" s="5"/>
      <c r="AL60" s="5"/>
      <c r="AM60" s="5"/>
      <c r="AN60" s="5">
        <v>261</v>
      </c>
      <c r="AO60" s="5"/>
      <c r="AP60" s="5"/>
      <c r="AQ60" s="5"/>
      <c r="AR60" s="5">
        <v>446</v>
      </c>
      <c r="AS60" s="5"/>
      <c r="AT60" s="5"/>
      <c r="AU60" s="5"/>
      <c r="AV60" s="5"/>
    </row>
    <row r="61" spans="1:48" x14ac:dyDescent="0.35">
      <c r="A61" s="4" t="s">
        <v>267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67</v>
      </c>
      <c r="AE61" s="5"/>
      <c r="AF61" s="5"/>
      <c r="AG61" s="5"/>
      <c r="AH61" s="5"/>
      <c r="AI61" s="5">
        <v>236</v>
      </c>
      <c r="AJ61" s="5"/>
      <c r="AK61" s="5"/>
      <c r="AL61" s="5"/>
      <c r="AM61" s="5"/>
      <c r="AN61" s="5"/>
      <c r="AO61" s="5"/>
      <c r="AP61" s="5"/>
      <c r="AQ61" s="5"/>
      <c r="AR61" s="5">
        <v>79</v>
      </c>
      <c r="AS61" s="5">
        <v>50</v>
      </c>
      <c r="AT61" s="5">
        <v>60</v>
      </c>
      <c r="AU61" s="5"/>
      <c r="AV61" s="5"/>
    </row>
    <row r="62" spans="1:48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5">
      <c r="A63" s="4" t="s">
        <v>269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35">
      <c r="A64" s="8" t="s">
        <v>317</v>
      </c>
      <c r="B64" s="6">
        <f>SUM(B4:B63)</f>
        <v>27201</v>
      </c>
      <c r="C64" s="6">
        <f t="shared" ref="C64:AV64" si="0">SUM(C4:C63)</f>
        <v>0</v>
      </c>
      <c r="D64" s="6">
        <f t="shared" si="0"/>
        <v>0</v>
      </c>
      <c r="E64" s="6">
        <f t="shared" si="0"/>
        <v>94131</v>
      </c>
      <c r="F64" s="6">
        <f t="shared" si="0"/>
        <v>24434</v>
      </c>
      <c r="G64" s="6">
        <f t="shared" si="0"/>
        <v>823963</v>
      </c>
      <c r="H64" s="6">
        <f t="shared" si="0"/>
        <v>12326</v>
      </c>
      <c r="I64" s="6">
        <f t="shared" si="0"/>
        <v>0</v>
      </c>
      <c r="J64" s="6">
        <f t="shared" si="0"/>
        <v>8620</v>
      </c>
      <c r="K64" s="6">
        <f t="shared" si="0"/>
        <v>0</v>
      </c>
      <c r="L64" s="6">
        <f t="shared" si="0"/>
        <v>330534</v>
      </c>
      <c r="M64" s="6">
        <f t="shared" si="0"/>
        <v>0</v>
      </c>
      <c r="N64" s="6">
        <f t="shared" si="0"/>
        <v>19238</v>
      </c>
      <c r="O64" s="6">
        <f t="shared" si="0"/>
        <v>19538</v>
      </c>
      <c r="P64" s="6">
        <f t="shared" si="0"/>
        <v>0</v>
      </c>
      <c r="Q64" s="6">
        <f t="shared" si="0"/>
        <v>2048</v>
      </c>
      <c r="R64" s="6">
        <f t="shared" si="0"/>
        <v>287</v>
      </c>
      <c r="S64" s="6">
        <f t="shared" si="0"/>
        <v>7292</v>
      </c>
      <c r="T64" s="6">
        <f t="shared" si="0"/>
        <v>24264</v>
      </c>
      <c r="U64" s="6">
        <f t="shared" si="0"/>
        <v>0</v>
      </c>
      <c r="V64" s="6">
        <f t="shared" si="0"/>
        <v>1</v>
      </c>
      <c r="W64" s="6">
        <f t="shared" si="0"/>
        <v>129286</v>
      </c>
      <c r="X64" s="6">
        <f t="shared" si="0"/>
        <v>11934</v>
      </c>
      <c r="Y64" s="6">
        <f t="shared" si="0"/>
        <v>2897</v>
      </c>
      <c r="Z64" s="6">
        <f t="shared" si="0"/>
        <v>102038</v>
      </c>
      <c r="AA64" s="6">
        <f t="shared" si="0"/>
        <v>468</v>
      </c>
      <c r="AB64" s="6">
        <f t="shared" si="0"/>
        <v>3205</v>
      </c>
      <c r="AC64" s="6">
        <f t="shared" si="0"/>
        <v>13149</v>
      </c>
      <c r="AD64" s="6">
        <f t="shared" si="0"/>
        <v>19715</v>
      </c>
      <c r="AE64" s="6">
        <f t="shared" si="0"/>
        <v>14705</v>
      </c>
      <c r="AF64" s="6">
        <f t="shared" si="0"/>
        <v>26787</v>
      </c>
      <c r="AG64" s="6">
        <f t="shared" si="0"/>
        <v>9632</v>
      </c>
      <c r="AH64" s="6">
        <f t="shared" si="0"/>
        <v>27620</v>
      </c>
      <c r="AI64" s="6">
        <f t="shared" si="0"/>
        <v>12793</v>
      </c>
      <c r="AJ64" s="6">
        <f t="shared" si="0"/>
        <v>2099</v>
      </c>
      <c r="AK64" s="6">
        <f t="shared" si="0"/>
        <v>25703</v>
      </c>
      <c r="AL64" s="6">
        <f t="shared" si="0"/>
        <v>187030</v>
      </c>
      <c r="AM64" s="6">
        <f t="shared" si="0"/>
        <v>0</v>
      </c>
      <c r="AN64" s="6">
        <f t="shared" si="0"/>
        <v>11068</v>
      </c>
      <c r="AO64" s="6">
        <f t="shared" si="0"/>
        <v>12608</v>
      </c>
      <c r="AP64" s="6">
        <f t="shared" si="0"/>
        <v>130102</v>
      </c>
      <c r="AQ64" s="6">
        <f t="shared" si="0"/>
        <v>36049</v>
      </c>
      <c r="AR64" s="6">
        <f t="shared" si="0"/>
        <v>63696</v>
      </c>
      <c r="AS64" s="6">
        <f t="shared" si="0"/>
        <v>10257</v>
      </c>
      <c r="AT64" s="6">
        <f t="shared" si="0"/>
        <v>13034</v>
      </c>
      <c r="AU64" s="6">
        <f t="shared" si="0"/>
        <v>1440</v>
      </c>
      <c r="AV64" s="6">
        <f t="shared" si="0"/>
        <v>67</v>
      </c>
    </row>
    <row r="66" spans="1:48" x14ac:dyDescent="0.35">
      <c r="A66" t="s">
        <v>8</v>
      </c>
      <c r="B66">
        <v>735658.4</v>
      </c>
      <c r="C66">
        <v>193339.6</v>
      </c>
      <c r="D66">
        <v>6608.2</v>
      </c>
      <c r="E66">
        <v>3397335.8</v>
      </c>
      <c r="F66">
        <v>3447899.3</v>
      </c>
      <c r="G66">
        <v>7083326.4000000004</v>
      </c>
      <c r="H66">
        <v>63306.9</v>
      </c>
      <c r="I66">
        <v>138275.5</v>
      </c>
      <c r="J66">
        <v>31320.3</v>
      </c>
      <c r="K66">
        <v>59260.7</v>
      </c>
      <c r="L66">
        <v>1030448.2</v>
      </c>
      <c r="M66">
        <v>1170060.7</v>
      </c>
      <c r="N66">
        <v>422641.3</v>
      </c>
      <c r="O66">
        <v>61561.1</v>
      </c>
      <c r="P66">
        <v>431656.2</v>
      </c>
      <c r="Q66">
        <v>11070.9</v>
      </c>
      <c r="R66">
        <v>867237.3</v>
      </c>
      <c r="S66">
        <v>635851.69999999995</v>
      </c>
      <c r="T66">
        <v>846051</v>
      </c>
      <c r="U66">
        <v>46750.5</v>
      </c>
      <c r="V66">
        <v>84366.1</v>
      </c>
      <c r="W66">
        <v>908452.5</v>
      </c>
      <c r="X66">
        <v>431325.2</v>
      </c>
      <c r="Y66">
        <v>62337</v>
      </c>
      <c r="Z66">
        <v>1439435.7</v>
      </c>
      <c r="AA66">
        <v>155266.4</v>
      </c>
      <c r="AB66">
        <v>821643</v>
      </c>
      <c r="AC66">
        <v>604185.30000000005</v>
      </c>
      <c r="AD66">
        <v>789423.6</v>
      </c>
      <c r="AE66">
        <v>14486.7</v>
      </c>
      <c r="AF66">
        <v>1032089.1</v>
      </c>
      <c r="AG66">
        <v>69993.600000000006</v>
      </c>
      <c r="AH66">
        <v>375065.4</v>
      </c>
      <c r="AI66">
        <v>510487.1</v>
      </c>
      <c r="AJ66">
        <v>1795.8</v>
      </c>
      <c r="AK66">
        <v>245921.2</v>
      </c>
      <c r="AL66">
        <v>1193987.6000000001</v>
      </c>
      <c r="AM66">
        <v>389229.6</v>
      </c>
      <c r="AN66">
        <v>174800</v>
      </c>
      <c r="AO66">
        <v>937299.4</v>
      </c>
      <c r="AP66">
        <v>1479060.5</v>
      </c>
      <c r="AQ66">
        <v>613228.69999999995</v>
      </c>
      <c r="AR66">
        <v>478618.1</v>
      </c>
      <c r="AS66">
        <v>101415.1</v>
      </c>
      <c r="AT66">
        <v>255832.9</v>
      </c>
      <c r="AU66">
        <v>23359.599999999999</v>
      </c>
      <c r="AV66">
        <v>2044971.2</v>
      </c>
    </row>
  </sheetData>
  <hyperlinks>
    <hyperlink ref="B1" location="Home!A1" display="HOME" xr:uid="{34446CE5-B107-40E1-BFEB-F8496A3F68D9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323</v>
      </c>
      <c r="B1" s="29" t="s">
        <v>376</v>
      </c>
    </row>
    <row r="2" spans="1:48" x14ac:dyDescent="0.35">
      <c r="A2" s="11"/>
      <c r="B2" s="7" t="s">
        <v>70</v>
      </c>
      <c r="C2" s="7" t="s">
        <v>270</v>
      </c>
      <c r="D2" s="7" t="s">
        <v>272</v>
      </c>
      <c r="E2" s="7" t="s">
        <v>271</v>
      </c>
      <c r="F2" s="7" t="s">
        <v>273</v>
      </c>
      <c r="G2" s="7" t="s">
        <v>274</v>
      </c>
      <c r="H2" s="7" t="s">
        <v>275</v>
      </c>
      <c r="I2" s="7" t="s">
        <v>276</v>
      </c>
      <c r="J2" s="7" t="s">
        <v>277</v>
      </c>
      <c r="K2" s="7" t="s">
        <v>278</v>
      </c>
      <c r="L2" s="7" t="s">
        <v>279</v>
      </c>
      <c r="M2" s="7" t="s">
        <v>280</v>
      </c>
      <c r="N2" s="7" t="s">
        <v>281</v>
      </c>
      <c r="O2" s="7" t="s">
        <v>282</v>
      </c>
      <c r="P2" s="7" t="s">
        <v>283</v>
      </c>
      <c r="Q2" s="7" t="s">
        <v>284</v>
      </c>
      <c r="R2" s="7" t="s">
        <v>285</v>
      </c>
      <c r="S2" s="7" t="s">
        <v>286</v>
      </c>
      <c r="T2" s="7" t="s">
        <v>287</v>
      </c>
      <c r="U2" s="7" t="s">
        <v>288</v>
      </c>
      <c r="V2" s="7" t="s">
        <v>289</v>
      </c>
      <c r="W2" s="7" t="s">
        <v>290</v>
      </c>
      <c r="X2" s="7" t="s">
        <v>291</v>
      </c>
      <c r="Y2" s="7" t="s">
        <v>292</v>
      </c>
      <c r="Z2" s="7" t="s">
        <v>293</v>
      </c>
      <c r="AA2" s="7" t="s">
        <v>294</v>
      </c>
      <c r="AB2" s="7" t="s">
        <v>295</v>
      </c>
      <c r="AC2" s="7" t="s">
        <v>296</v>
      </c>
      <c r="AD2" s="7" t="s">
        <v>297</v>
      </c>
      <c r="AE2" s="7" t="s">
        <v>298</v>
      </c>
      <c r="AF2" s="7" t="s">
        <v>299</v>
      </c>
      <c r="AG2" s="7" t="s">
        <v>300</v>
      </c>
      <c r="AH2" s="7" t="s">
        <v>301</v>
      </c>
      <c r="AI2" s="7" t="s">
        <v>302</v>
      </c>
      <c r="AJ2" s="7" t="s">
        <v>303</v>
      </c>
      <c r="AK2" s="7" t="s">
        <v>304</v>
      </c>
      <c r="AL2" s="7" t="s">
        <v>305</v>
      </c>
      <c r="AM2" s="7" t="s">
        <v>306</v>
      </c>
      <c r="AN2" s="7" t="s">
        <v>307</v>
      </c>
      <c r="AO2" s="7" t="s">
        <v>308</v>
      </c>
      <c r="AP2" s="7" t="s">
        <v>309</v>
      </c>
      <c r="AQ2" s="7" t="s">
        <v>310</v>
      </c>
      <c r="AR2" s="7" t="s">
        <v>311</v>
      </c>
      <c r="AS2" s="7" t="s">
        <v>312</v>
      </c>
      <c r="AT2" s="7" t="s">
        <v>313</v>
      </c>
      <c r="AU2" s="7" t="s">
        <v>314</v>
      </c>
      <c r="AV2" s="7" t="s">
        <v>315</v>
      </c>
    </row>
    <row r="3" spans="1:48" x14ac:dyDescent="0.35">
      <c r="A3" s="12" t="s">
        <v>319</v>
      </c>
      <c r="B3" s="7" t="s">
        <v>71</v>
      </c>
      <c r="C3" s="7" t="s">
        <v>74</v>
      </c>
      <c r="D3" s="7" t="s">
        <v>77</v>
      </c>
      <c r="E3" s="7" t="s">
        <v>80</v>
      </c>
      <c r="F3" s="7" t="s">
        <v>83</v>
      </c>
      <c r="G3" s="7" t="s">
        <v>86</v>
      </c>
      <c r="H3" s="7" t="s">
        <v>89</v>
      </c>
      <c r="I3" s="7" t="s">
        <v>92</v>
      </c>
      <c r="J3" s="7" t="s">
        <v>95</v>
      </c>
      <c r="K3" s="7" t="s">
        <v>98</v>
      </c>
      <c r="L3" s="7" t="s">
        <v>101</v>
      </c>
      <c r="M3" s="7" t="s">
        <v>104</v>
      </c>
      <c r="N3" s="7" t="s">
        <v>107</v>
      </c>
      <c r="O3" s="7" t="s">
        <v>110</v>
      </c>
      <c r="P3" s="7" t="s">
        <v>113</v>
      </c>
      <c r="Q3" s="7" t="s">
        <v>116</v>
      </c>
      <c r="R3" s="7" t="s">
        <v>119</v>
      </c>
      <c r="S3" s="7" t="s">
        <v>122</v>
      </c>
      <c r="T3" s="7" t="s">
        <v>125</v>
      </c>
      <c r="U3" s="7" t="s">
        <v>128</v>
      </c>
      <c r="V3" s="7" t="s">
        <v>131</v>
      </c>
      <c r="W3" s="7" t="s">
        <v>134</v>
      </c>
      <c r="X3" s="7" t="s">
        <v>137</v>
      </c>
      <c r="Y3" s="7" t="s">
        <v>140</v>
      </c>
      <c r="Z3" s="7" t="s">
        <v>143</v>
      </c>
      <c r="AA3" s="7" t="s">
        <v>146</v>
      </c>
      <c r="AB3" s="7" t="s">
        <v>149</v>
      </c>
      <c r="AC3" s="7" t="s">
        <v>152</v>
      </c>
      <c r="AD3" s="7" t="s">
        <v>155</v>
      </c>
      <c r="AE3" s="7" t="s">
        <v>158</v>
      </c>
      <c r="AF3" s="7" t="s">
        <v>161</v>
      </c>
      <c r="AG3" s="7" t="s">
        <v>164</v>
      </c>
      <c r="AH3" s="7" t="s">
        <v>167</v>
      </c>
      <c r="AI3" s="7" t="s">
        <v>170</v>
      </c>
      <c r="AJ3" s="7" t="s">
        <v>173</v>
      </c>
      <c r="AK3" s="7" t="s">
        <v>176</v>
      </c>
      <c r="AL3" s="7" t="s">
        <v>179</v>
      </c>
      <c r="AM3" s="7" t="s">
        <v>182</v>
      </c>
      <c r="AN3" s="7" t="s">
        <v>185</v>
      </c>
      <c r="AO3" s="7" t="s">
        <v>188</v>
      </c>
      <c r="AP3" s="7" t="s">
        <v>191</v>
      </c>
      <c r="AQ3" s="7" t="s">
        <v>194</v>
      </c>
      <c r="AR3" s="7" t="s">
        <v>197</v>
      </c>
      <c r="AS3" s="7" t="s">
        <v>200</v>
      </c>
      <c r="AT3" s="7" t="s">
        <v>203</v>
      </c>
      <c r="AU3" s="7" t="s">
        <v>206</v>
      </c>
      <c r="AV3" s="7" t="s">
        <v>209</v>
      </c>
    </row>
    <row r="4" spans="1:48" x14ac:dyDescent="0.35">
      <c r="A4" s="4" t="s">
        <v>212</v>
      </c>
      <c r="B4" s="5">
        <v>1189</v>
      </c>
      <c r="C4" s="5">
        <v>324</v>
      </c>
      <c r="D4" s="5">
        <v>63</v>
      </c>
      <c r="E4" s="5"/>
      <c r="F4" s="5"/>
      <c r="G4" s="5"/>
      <c r="H4" s="5"/>
      <c r="I4" s="5">
        <v>692</v>
      </c>
      <c r="J4" s="5"/>
      <c r="K4" s="5"/>
      <c r="L4" s="5"/>
      <c r="M4" s="5"/>
      <c r="N4" s="5"/>
      <c r="O4" s="5"/>
      <c r="P4" s="5">
        <v>508</v>
      </c>
      <c r="Q4" s="5">
        <v>410</v>
      </c>
      <c r="R4" s="5"/>
      <c r="S4" s="5">
        <v>696</v>
      </c>
      <c r="T4" s="5"/>
      <c r="U4" s="5"/>
      <c r="V4" s="5">
        <v>213</v>
      </c>
      <c r="W4" s="5">
        <v>3263</v>
      </c>
      <c r="X4" s="5">
        <v>977</v>
      </c>
      <c r="Y4" s="5">
        <v>354</v>
      </c>
      <c r="Z4" s="5"/>
      <c r="AA4" s="5">
        <v>168</v>
      </c>
      <c r="AB4" s="5"/>
      <c r="AC4" s="5"/>
      <c r="AD4" s="5">
        <v>1750</v>
      </c>
      <c r="AE4" s="5">
        <v>2550</v>
      </c>
      <c r="AF4" s="5"/>
      <c r="AG4" s="5"/>
      <c r="AH4" s="5">
        <v>1284</v>
      </c>
      <c r="AI4" s="5"/>
      <c r="AJ4" s="5"/>
      <c r="AK4" s="5"/>
      <c r="AL4" s="5"/>
      <c r="AM4" s="5"/>
      <c r="AN4" s="5"/>
      <c r="AO4" s="5">
        <v>634</v>
      </c>
      <c r="AP4" s="5">
        <v>3645</v>
      </c>
      <c r="AQ4" s="5"/>
      <c r="AR4" s="5">
        <v>2508</v>
      </c>
      <c r="AS4" s="5">
        <v>212</v>
      </c>
      <c r="AT4" s="5">
        <v>361</v>
      </c>
      <c r="AU4" s="5"/>
      <c r="AV4" s="5"/>
    </row>
    <row r="5" spans="1:48" x14ac:dyDescent="0.35">
      <c r="A5" s="4" t="s">
        <v>213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467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1042</v>
      </c>
      <c r="AI5" s="5"/>
      <c r="AJ5" s="5"/>
      <c r="AK5" s="5"/>
      <c r="AL5" s="5"/>
      <c r="AM5" s="5"/>
      <c r="AN5" s="5"/>
      <c r="AO5" s="5"/>
      <c r="AP5" s="5"/>
      <c r="AQ5" s="5"/>
      <c r="AR5" s="5">
        <v>1754</v>
      </c>
      <c r="AS5" s="5"/>
      <c r="AT5" s="5">
        <v>97</v>
      </c>
      <c r="AU5" s="5"/>
      <c r="AV5" s="5"/>
    </row>
    <row r="6" spans="1:48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83</v>
      </c>
      <c r="AS6" s="5"/>
      <c r="AT6" s="5"/>
      <c r="AU6" s="5"/>
      <c r="AV6" s="5"/>
    </row>
    <row r="7" spans="1:48" x14ac:dyDescent="0.35">
      <c r="A7" s="4" t="s">
        <v>215</v>
      </c>
      <c r="B7" s="5">
        <v>9748</v>
      </c>
      <c r="C7" s="5">
        <v>322</v>
      </c>
      <c r="D7" s="5">
        <v>442</v>
      </c>
      <c r="E7" s="5">
        <v>72270</v>
      </c>
      <c r="F7" s="5"/>
      <c r="G7" s="5"/>
      <c r="H7" s="5"/>
      <c r="I7" s="5">
        <v>4137</v>
      </c>
      <c r="J7" s="5">
        <v>3976</v>
      </c>
      <c r="K7" s="5"/>
      <c r="L7" s="5"/>
      <c r="M7" s="5"/>
      <c r="N7" s="5"/>
      <c r="O7" s="5"/>
      <c r="P7" s="5">
        <v>6688</v>
      </c>
      <c r="Q7" s="5">
        <v>498</v>
      </c>
      <c r="R7" s="5"/>
      <c r="S7" s="5">
        <v>3563</v>
      </c>
      <c r="T7" s="5">
        <v>10891</v>
      </c>
      <c r="U7" s="5"/>
      <c r="V7" s="5">
        <v>2372</v>
      </c>
      <c r="W7" s="5">
        <v>48939</v>
      </c>
      <c r="X7" s="5">
        <v>4389</v>
      </c>
      <c r="Y7" s="5">
        <v>964</v>
      </c>
      <c r="Z7" s="5">
        <v>41413</v>
      </c>
      <c r="AA7" s="5"/>
      <c r="AB7" s="5"/>
      <c r="AC7" s="5"/>
      <c r="AD7" s="5"/>
      <c r="AE7" s="5">
        <v>4261</v>
      </c>
      <c r="AF7" s="5">
        <v>6927</v>
      </c>
      <c r="AG7" s="5">
        <v>4365</v>
      </c>
      <c r="AH7" s="5">
        <v>10367</v>
      </c>
      <c r="AI7" s="5">
        <v>1682</v>
      </c>
      <c r="AJ7" s="5"/>
      <c r="AK7" s="5">
        <v>5873</v>
      </c>
      <c r="AL7" s="5"/>
      <c r="AM7" s="5"/>
      <c r="AN7" s="5">
        <v>3852</v>
      </c>
      <c r="AO7" s="5">
        <v>3253</v>
      </c>
      <c r="AP7" s="5">
        <v>50681</v>
      </c>
      <c r="AQ7" s="5"/>
      <c r="AR7" s="5">
        <v>19099</v>
      </c>
      <c r="AS7" s="5">
        <v>3962</v>
      </c>
      <c r="AT7" s="5">
        <v>1341</v>
      </c>
      <c r="AU7" s="5"/>
      <c r="AV7" s="5"/>
    </row>
    <row r="8" spans="1:48" x14ac:dyDescent="0.35">
      <c r="A8" s="4" t="s">
        <v>216</v>
      </c>
      <c r="B8" s="5">
        <v>2383</v>
      </c>
      <c r="C8" s="5">
        <v>605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79</v>
      </c>
      <c r="Q8" s="5"/>
      <c r="R8" s="5"/>
      <c r="S8" s="5"/>
      <c r="T8" s="5"/>
      <c r="U8" s="5"/>
      <c r="V8" s="5">
        <v>850</v>
      </c>
      <c r="W8" s="5">
        <v>6808</v>
      </c>
      <c r="X8" s="5">
        <v>376</v>
      </c>
      <c r="Y8" s="5"/>
      <c r="Z8" s="5"/>
      <c r="AA8" s="5"/>
      <c r="AB8" s="5"/>
      <c r="AC8" s="5"/>
      <c r="AD8" s="5"/>
      <c r="AE8" s="5"/>
      <c r="AF8" s="5">
        <v>5158</v>
      </c>
      <c r="AG8" s="5"/>
      <c r="AH8" s="5">
        <v>868</v>
      </c>
      <c r="AI8" s="5">
        <v>1116</v>
      </c>
      <c r="AJ8" s="5"/>
      <c r="AK8" s="5"/>
      <c r="AL8" s="5"/>
      <c r="AM8" s="5"/>
      <c r="AN8" s="5"/>
      <c r="AO8" s="5">
        <v>824</v>
      </c>
      <c r="AP8" s="5">
        <v>8815</v>
      </c>
      <c r="AQ8" s="5"/>
      <c r="AR8" s="5"/>
      <c r="AS8" s="5"/>
      <c r="AT8" s="5">
        <v>869</v>
      </c>
      <c r="AU8" s="5"/>
      <c r="AV8" s="5"/>
    </row>
    <row r="9" spans="1:48" x14ac:dyDescent="0.35">
      <c r="A9" s="4" t="s">
        <v>217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17</v>
      </c>
      <c r="W9" s="5"/>
      <c r="X9" s="5"/>
      <c r="Y9" s="5"/>
      <c r="Z9" s="5"/>
      <c r="AA9" s="5"/>
      <c r="AB9" s="5"/>
      <c r="AC9" s="5"/>
      <c r="AD9" s="5"/>
      <c r="AE9" s="5">
        <v>380</v>
      </c>
      <c r="AF9" s="5">
        <v>189</v>
      </c>
      <c r="AG9" s="5"/>
      <c r="AH9" s="5">
        <v>127</v>
      </c>
      <c r="AI9" s="5"/>
      <c r="AJ9" s="5"/>
      <c r="AK9" s="5"/>
      <c r="AL9" s="5">
        <v>5985</v>
      </c>
      <c r="AM9" s="5"/>
      <c r="AN9" s="5"/>
      <c r="AO9" s="5">
        <v>30</v>
      </c>
      <c r="AP9" s="5">
        <v>276</v>
      </c>
      <c r="AQ9" s="5"/>
      <c r="AR9" s="5">
        <v>66</v>
      </c>
      <c r="AS9" s="5"/>
      <c r="AT9" s="5">
        <v>18</v>
      </c>
      <c r="AU9" s="5"/>
      <c r="AV9" s="5"/>
    </row>
    <row r="10" spans="1:48" x14ac:dyDescent="0.35">
      <c r="A10" s="4" t="s">
        <v>218</v>
      </c>
      <c r="B10" s="5">
        <v>258</v>
      </c>
      <c r="C10" s="5">
        <v>20</v>
      </c>
      <c r="D10" s="5"/>
      <c r="E10" s="5"/>
      <c r="F10" s="5"/>
      <c r="G10" s="5">
        <v>20035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79</v>
      </c>
      <c r="T10" s="5"/>
      <c r="U10" s="5"/>
      <c r="V10" s="5">
        <v>5</v>
      </c>
      <c r="W10" s="5"/>
      <c r="X10" s="5">
        <v>142</v>
      </c>
      <c r="Y10" s="5"/>
      <c r="Z10" s="5"/>
      <c r="AA10" s="5"/>
      <c r="AB10" s="5"/>
      <c r="AC10" s="5"/>
      <c r="AD10" s="5"/>
      <c r="AE10" s="5">
        <v>497</v>
      </c>
      <c r="AF10" s="5">
        <v>194</v>
      </c>
      <c r="AG10" s="5"/>
      <c r="AH10" s="5">
        <v>114</v>
      </c>
      <c r="AI10" s="5">
        <v>143</v>
      </c>
      <c r="AJ10" s="5"/>
      <c r="AK10" s="5"/>
      <c r="AL10" s="5">
        <v>15784</v>
      </c>
      <c r="AM10" s="5"/>
      <c r="AN10" s="5"/>
      <c r="AO10" s="5">
        <v>50</v>
      </c>
      <c r="AP10" s="5">
        <v>45</v>
      </c>
      <c r="AQ10" s="5"/>
      <c r="AR10" s="5">
        <v>141</v>
      </c>
      <c r="AS10" s="5"/>
      <c r="AT10" s="5">
        <v>17</v>
      </c>
      <c r="AU10" s="5"/>
      <c r="AV10" s="5"/>
    </row>
    <row r="11" spans="1:48" x14ac:dyDescent="0.35">
      <c r="A11" s="4" t="s">
        <v>219</v>
      </c>
      <c r="B11" s="5"/>
      <c r="C11" s="5">
        <v>734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4006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8424</v>
      </c>
      <c r="AS11" s="5"/>
      <c r="AT11" s="5">
        <v>1107</v>
      </c>
      <c r="AU11" s="5"/>
      <c r="AV11" s="5"/>
    </row>
    <row r="12" spans="1:48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69276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35">
      <c r="A13" s="4" t="s">
        <v>221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v>2913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35">
      <c r="A14" s="4" t="s">
        <v>222</v>
      </c>
      <c r="B14" s="5"/>
      <c r="C14" s="5">
        <v>109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35">
      <c r="A15" s="4" t="s">
        <v>223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6700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770</v>
      </c>
      <c r="AJ15" s="5"/>
      <c r="AK15" s="5"/>
      <c r="AL15" s="5"/>
      <c r="AM15" s="5"/>
      <c r="AN15" s="5"/>
      <c r="AO15" s="5"/>
      <c r="AP15" s="5">
        <v>179175</v>
      </c>
      <c r="AQ15" s="5"/>
      <c r="AR15" s="5">
        <v>11200</v>
      </c>
      <c r="AS15" s="5"/>
      <c r="AT15" s="5"/>
      <c r="AU15" s="5"/>
      <c r="AV15" s="5"/>
    </row>
    <row r="16" spans="1:48" x14ac:dyDescent="0.35">
      <c r="A16" s="4" t="s">
        <v>224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45</v>
      </c>
      <c r="AG16" s="5"/>
      <c r="AH16" s="5"/>
      <c r="AI16" s="5"/>
      <c r="AJ16" s="5"/>
      <c r="AK16" s="5"/>
      <c r="AL16" s="5">
        <v>4785</v>
      </c>
      <c r="AM16" s="5"/>
      <c r="AN16" s="5"/>
      <c r="AO16" s="5"/>
      <c r="AP16" s="5"/>
      <c r="AQ16" s="5"/>
      <c r="AR16" s="5">
        <v>261</v>
      </c>
      <c r="AS16" s="5"/>
      <c r="AT16" s="5"/>
      <c r="AU16" s="5"/>
      <c r="AV16" s="5"/>
    </row>
    <row r="17" spans="1:48" x14ac:dyDescent="0.35">
      <c r="A17" s="4" t="s">
        <v>225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3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212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35">
      <c r="A18" s="4" t="s">
        <v>226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35">
      <c r="A19" s="4" t="s">
        <v>227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35">
      <c r="A21" s="4" t="s">
        <v>229</v>
      </c>
      <c r="B21" s="5"/>
      <c r="C21" s="5">
        <v>85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35">
      <c r="A22" s="4" t="s">
        <v>230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226</v>
      </c>
      <c r="AI22" s="5"/>
      <c r="AJ22" s="5"/>
      <c r="AK22" s="5"/>
      <c r="AL22" s="5">
        <v>3518</v>
      </c>
      <c r="AM22" s="5"/>
      <c r="AN22" s="5"/>
      <c r="AO22" s="5"/>
      <c r="AP22" s="5">
        <v>1925</v>
      </c>
      <c r="AQ22" s="5"/>
      <c r="AR22" s="5">
        <v>2494</v>
      </c>
      <c r="AS22" s="5"/>
      <c r="AT22" s="5"/>
      <c r="AU22" s="5"/>
      <c r="AV22" s="5"/>
    </row>
    <row r="23" spans="1:48" x14ac:dyDescent="0.35">
      <c r="A23" s="4" t="s">
        <v>231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34</v>
      </c>
      <c r="AJ23" s="5"/>
      <c r="AK23" s="5"/>
      <c r="AL23" s="5"/>
      <c r="AM23" s="5"/>
      <c r="AN23" s="5"/>
      <c r="AO23" s="5"/>
      <c r="AP23" s="5"/>
      <c r="AQ23" s="5"/>
      <c r="AR23" s="5">
        <v>41</v>
      </c>
      <c r="AS23" s="5"/>
      <c r="AT23" s="5"/>
      <c r="AU23" s="5"/>
      <c r="AV23" s="5"/>
    </row>
    <row r="24" spans="1:48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35">
      <c r="A25" s="4" t="s">
        <v>233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418</v>
      </c>
      <c r="AS25" s="5"/>
      <c r="AT25" s="5"/>
      <c r="AU25" s="5"/>
      <c r="AV25" s="5"/>
    </row>
    <row r="26" spans="1:48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5">
      <c r="A27" s="4" t="s">
        <v>235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32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116</v>
      </c>
      <c r="AI27" s="5"/>
      <c r="AJ27" s="5"/>
      <c r="AK27" s="5"/>
      <c r="AL27" s="5">
        <v>9175</v>
      </c>
      <c r="AM27" s="5"/>
      <c r="AN27" s="5"/>
      <c r="AO27" s="5"/>
      <c r="AP27" s="5">
        <v>121</v>
      </c>
      <c r="AQ27" s="5"/>
      <c r="AR27" s="5">
        <v>511</v>
      </c>
      <c r="AS27" s="5"/>
      <c r="AT27" s="5"/>
      <c r="AU27" s="5"/>
      <c r="AV27" s="5"/>
    </row>
    <row r="28" spans="1:48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270</v>
      </c>
      <c r="AS28" s="5"/>
      <c r="AT28" s="5"/>
      <c r="AU28" s="5"/>
      <c r="AV28" s="5"/>
    </row>
    <row r="29" spans="1:48" x14ac:dyDescent="0.35">
      <c r="A29" s="4" t="s">
        <v>237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5">
      <c r="A30" s="4" t="s">
        <v>238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141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1545</v>
      </c>
      <c r="AI30" s="5"/>
      <c r="AJ30" s="5"/>
      <c r="AK30" s="5"/>
      <c r="AL30" s="5">
        <v>453</v>
      </c>
      <c r="AM30" s="5"/>
      <c r="AN30" s="5"/>
      <c r="AO30" s="5"/>
      <c r="AP30" s="5">
        <v>2447</v>
      </c>
      <c r="AQ30" s="5"/>
      <c r="AR30" s="5">
        <v>644</v>
      </c>
      <c r="AS30" s="5"/>
      <c r="AT30" s="5"/>
      <c r="AU30" s="5"/>
      <c r="AV30" s="5"/>
    </row>
    <row r="31" spans="1:48" x14ac:dyDescent="0.35">
      <c r="A31" s="4" t="s">
        <v>239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149</v>
      </c>
      <c r="AM31" s="5"/>
      <c r="AN31" s="5"/>
      <c r="AO31" s="5"/>
      <c r="AP31" s="5"/>
      <c r="AQ31" s="5"/>
      <c r="AR31" s="5"/>
      <c r="AS31" s="5"/>
      <c r="AT31" s="5">
        <v>407</v>
      </c>
      <c r="AU31" s="5"/>
      <c r="AV31" s="5"/>
    </row>
    <row r="32" spans="1:48" x14ac:dyDescent="0.35">
      <c r="A32" s="4" t="s">
        <v>240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23</v>
      </c>
      <c r="AI32" s="5"/>
      <c r="AJ32" s="5"/>
      <c r="AK32" s="5"/>
      <c r="AL32" s="5"/>
      <c r="AM32" s="5"/>
      <c r="AN32" s="5"/>
      <c r="AO32" s="5"/>
      <c r="AP32" s="5">
        <v>227</v>
      </c>
      <c r="AQ32" s="5"/>
      <c r="AR32" s="5"/>
      <c r="AS32" s="5"/>
      <c r="AT32" s="5"/>
      <c r="AU32" s="5"/>
      <c r="AV32" s="5"/>
    </row>
    <row r="33" spans="1:48" x14ac:dyDescent="0.35">
      <c r="A33" s="4" t="s">
        <v>241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35">
      <c r="A34" s="4" t="s">
        <v>242</v>
      </c>
      <c r="B34" s="5">
        <v>1189</v>
      </c>
      <c r="C34" s="5">
        <v>286</v>
      </c>
      <c r="D34" s="5">
        <v>63</v>
      </c>
      <c r="E34" s="5"/>
      <c r="F34" s="5"/>
      <c r="G34" s="5"/>
      <c r="H34" s="5"/>
      <c r="I34" s="5">
        <v>692</v>
      </c>
      <c r="J34" s="5"/>
      <c r="K34" s="5"/>
      <c r="L34" s="5"/>
      <c r="M34" s="5"/>
      <c r="N34" s="5"/>
      <c r="O34" s="5"/>
      <c r="P34" s="5"/>
      <c r="Q34" s="5">
        <v>410</v>
      </c>
      <c r="R34" s="5"/>
      <c r="S34" s="5">
        <v>696</v>
      </c>
      <c r="T34" s="5"/>
      <c r="U34" s="5"/>
      <c r="V34" s="5">
        <v>213</v>
      </c>
      <c r="W34" s="5">
        <v>3263</v>
      </c>
      <c r="X34" s="5">
        <v>977</v>
      </c>
      <c r="Y34" s="5">
        <v>354</v>
      </c>
      <c r="Z34" s="5"/>
      <c r="AA34" s="5">
        <v>168</v>
      </c>
      <c r="AB34" s="5"/>
      <c r="AC34" s="5"/>
      <c r="AD34" s="5">
        <v>1750</v>
      </c>
      <c r="AE34" s="5">
        <v>2550</v>
      </c>
      <c r="AF34" s="5"/>
      <c r="AG34" s="5"/>
      <c r="AH34" s="5"/>
      <c r="AI34" s="5"/>
      <c r="AJ34" s="5"/>
      <c r="AK34" s="5"/>
      <c r="AL34" s="5"/>
      <c r="AM34" s="5"/>
      <c r="AN34" s="5"/>
      <c r="AO34" s="5">
        <v>634</v>
      </c>
      <c r="AP34" s="5">
        <v>3645</v>
      </c>
      <c r="AQ34" s="5"/>
      <c r="AR34" s="5">
        <v>308</v>
      </c>
      <c r="AS34" s="5">
        <v>212</v>
      </c>
      <c r="AT34" s="5"/>
      <c r="AU34" s="5"/>
      <c r="AV34" s="5"/>
    </row>
    <row r="35" spans="1:48" x14ac:dyDescent="0.35">
      <c r="A35" s="4" t="s">
        <v>243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4" t="s">
        <v>244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</v>
      </c>
      <c r="AP36" s="5"/>
      <c r="AQ36" s="5"/>
      <c r="AR36" s="5"/>
      <c r="AS36" s="5"/>
      <c r="AT36" s="5"/>
      <c r="AU36" s="5"/>
      <c r="AV36" s="5"/>
    </row>
    <row r="37" spans="1:48" x14ac:dyDescent="0.35">
      <c r="A37" s="4" t="s">
        <v>245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79</v>
      </c>
      <c r="Q37" s="5"/>
      <c r="R37" s="5"/>
      <c r="S37" s="5"/>
      <c r="T37" s="5"/>
      <c r="U37" s="5"/>
      <c r="V37" s="5"/>
      <c r="W37" s="5"/>
      <c r="X37" s="5">
        <v>376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>
        <v>817</v>
      </c>
      <c r="AP37" s="5"/>
      <c r="AQ37" s="5"/>
      <c r="AR37" s="5"/>
      <c r="AS37" s="5"/>
      <c r="AT37" s="5"/>
      <c r="AU37" s="5"/>
      <c r="AV37" s="5"/>
    </row>
    <row r="38" spans="1:48" x14ac:dyDescent="0.35">
      <c r="A38" s="4" t="s">
        <v>246</v>
      </c>
      <c r="B38" s="5">
        <v>2383</v>
      </c>
      <c r="C38" s="5">
        <v>605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850</v>
      </c>
      <c r="W38" s="5">
        <v>6808</v>
      </c>
      <c r="X38" s="5"/>
      <c r="Y38" s="5"/>
      <c r="Z38" s="5"/>
      <c r="AA38" s="5"/>
      <c r="AB38" s="5"/>
      <c r="AC38" s="5"/>
      <c r="AD38" s="5"/>
      <c r="AE38" s="5"/>
      <c r="AF38" s="5">
        <v>5158</v>
      </c>
      <c r="AG38" s="5"/>
      <c r="AH38" s="5">
        <v>868</v>
      </c>
      <c r="AI38" s="5">
        <v>1116</v>
      </c>
      <c r="AJ38" s="5"/>
      <c r="AK38" s="5"/>
      <c r="AL38" s="5"/>
      <c r="AM38" s="5"/>
      <c r="AN38" s="5"/>
      <c r="AO38" s="5"/>
      <c r="AP38" s="5">
        <v>8815</v>
      </c>
      <c r="AQ38" s="5"/>
      <c r="AR38" s="5"/>
      <c r="AS38" s="5"/>
      <c r="AT38" s="5">
        <v>869</v>
      </c>
      <c r="AU38" s="5"/>
      <c r="AV38" s="5"/>
    </row>
    <row r="39" spans="1:48" x14ac:dyDescent="0.35">
      <c r="A39" s="4" t="s">
        <v>247</v>
      </c>
      <c r="B39" s="5"/>
      <c r="C39" s="5">
        <v>322</v>
      </c>
      <c r="D39" s="5">
        <v>442</v>
      </c>
      <c r="E39" s="5">
        <v>27286</v>
      </c>
      <c r="F39" s="5"/>
      <c r="G39" s="5"/>
      <c r="H39" s="5"/>
      <c r="I39" s="5">
        <v>4137</v>
      </c>
      <c r="J39" s="5"/>
      <c r="K39" s="5"/>
      <c r="L39" s="5"/>
      <c r="M39" s="5"/>
      <c r="N39" s="5"/>
      <c r="O39" s="5"/>
      <c r="P39" s="5"/>
      <c r="Q39" s="5">
        <v>498</v>
      </c>
      <c r="R39" s="5"/>
      <c r="S39" s="5">
        <v>3563</v>
      </c>
      <c r="T39" s="5"/>
      <c r="U39" s="5"/>
      <c r="V39" s="5">
        <v>2372</v>
      </c>
      <c r="W39" s="5">
        <v>48939</v>
      </c>
      <c r="X39" s="5"/>
      <c r="Y39" s="5"/>
      <c r="Z39" s="5"/>
      <c r="AA39" s="5"/>
      <c r="AB39" s="5"/>
      <c r="AC39" s="5"/>
      <c r="AD39" s="5"/>
      <c r="AE39" s="5">
        <v>4261</v>
      </c>
      <c r="AF39" s="5">
        <v>6927</v>
      </c>
      <c r="AG39" s="5"/>
      <c r="AH39" s="5">
        <v>10367</v>
      </c>
      <c r="AI39" s="5"/>
      <c r="AJ39" s="5"/>
      <c r="AK39" s="5">
        <v>2502</v>
      </c>
      <c r="AL39" s="5"/>
      <c r="AM39" s="5"/>
      <c r="AN39" s="5"/>
      <c r="AO39" s="5">
        <v>3253</v>
      </c>
      <c r="AP39" s="5"/>
      <c r="AQ39" s="5"/>
      <c r="AR39" s="5"/>
      <c r="AS39" s="5"/>
      <c r="AT39" s="5">
        <v>1341</v>
      </c>
      <c r="AU39" s="5"/>
      <c r="AV39" s="5"/>
    </row>
    <row r="40" spans="1:48" x14ac:dyDescent="0.35">
      <c r="A40" s="4" t="s">
        <v>248</v>
      </c>
      <c r="B40" s="5">
        <v>2652</v>
      </c>
      <c r="C40" s="5"/>
      <c r="D40" s="5"/>
      <c r="E40" s="5">
        <v>17611</v>
      </c>
      <c r="F40" s="5"/>
      <c r="G40" s="5"/>
      <c r="H40" s="5"/>
      <c r="I40" s="5"/>
      <c r="J40" s="5">
        <v>895</v>
      </c>
      <c r="K40" s="5"/>
      <c r="L40" s="5"/>
      <c r="M40" s="5"/>
      <c r="N40" s="5"/>
      <c r="O40" s="5"/>
      <c r="P40" s="5">
        <v>4072</v>
      </c>
      <c r="Q40" s="5"/>
      <c r="R40" s="5"/>
      <c r="S40" s="5"/>
      <c r="T40" s="5">
        <v>1987</v>
      </c>
      <c r="U40" s="5"/>
      <c r="V40" s="5"/>
      <c r="W40" s="5"/>
      <c r="X40" s="5">
        <v>3476</v>
      </c>
      <c r="Y40" s="5">
        <v>112</v>
      </c>
      <c r="Z40" s="5">
        <v>8899</v>
      </c>
      <c r="AA40" s="5"/>
      <c r="AB40" s="5"/>
      <c r="AC40" s="5"/>
      <c r="AD40" s="5"/>
      <c r="AE40" s="5"/>
      <c r="AF40" s="5"/>
      <c r="AG40" s="5">
        <v>2189</v>
      </c>
      <c r="AH40" s="5"/>
      <c r="AI40" s="5">
        <v>662</v>
      </c>
      <c r="AJ40" s="5"/>
      <c r="AK40" s="5">
        <v>2605</v>
      </c>
      <c r="AL40" s="5"/>
      <c r="AM40" s="5"/>
      <c r="AN40" s="5">
        <v>1918</v>
      </c>
      <c r="AO40" s="5"/>
      <c r="AP40" s="5">
        <v>33980</v>
      </c>
      <c r="AQ40" s="5"/>
      <c r="AR40" s="5">
        <v>2318</v>
      </c>
      <c r="AS40" s="5">
        <v>2658</v>
      </c>
      <c r="AT40" s="5"/>
      <c r="AU40" s="5"/>
      <c r="AV40" s="5"/>
    </row>
    <row r="41" spans="1:48" x14ac:dyDescent="0.35">
      <c r="A41" s="4" t="s">
        <v>249</v>
      </c>
      <c r="B41" s="5">
        <v>7096</v>
      </c>
      <c r="C41" s="5"/>
      <c r="D41" s="5"/>
      <c r="E41" s="5">
        <v>27373</v>
      </c>
      <c r="F41" s="5"/>
      <c r="G41" s="5"/>
      <c r="H41" s="5"/>
      <c r="I41" s="5"/>
      <c r="J41" s="5">
        <v>3081</v>
      </c>
      <c r="K41" s="5"/>
      <c r="L41" s="5"/>
      <c r="M41" s="5"/>
      <c r="N41" s="5"/>
      <c r="O41" s="5"/>
      <c r="P41" s="5">
        <v>2616</v>
      </c>
      <c r="Q41" s="5"/>
      <c r="R41" s="5"/>
      <c r="S41" s="5"/>
      <c r="T41" s="5">
        <v>8904</v>
      </c>
      <c r="U41" s="5"/>
      <c r="V41" s="5"/>
      <c r="W41" s="5"/>
      <c r="X41" s="5">
        <v>913</v>
      </c>
      <c r="Y41" s="5">
        <v>852</v>
      </c>
      <c r="Z41" s="5">
        <v>32514</v>
      </c>
      <c r="AA41" s="5"/>
      <c r="AB41" s="5"/>
      <c r="AC41" s="5"/>
      <c r="AD41" s="5"/>
      <c r="AE41" s="5"/>
      <c r="AF41" s="5"/>
      <c r="AG41" s="5">
        <v>2176</v>
      </c>
      <c r="AH41" s="5"/>
      <c r="AI41" s="5">
        <v>1020</v>
      </c>
      <c r="AJ41" s="5"/>
      <c r="AK41" s="5">
        <v>766</v>
      </c>
      <c r="AL41" s="5"/>
      <c r="AM41" s="5"/>
      <c r="AN41" s="5">
        <v>1934</v>
      </c>
      <c r="AO41" s="5"/>
      <c r="AP41" s="5">
        <v>16701</v>
      </c>
      <c r="AQ41" s="5"/>
      <c r="AR41" s="5">
        <v>16781</v>
      </c>
      <c r="AS41" s="5">
        <v>1304</v>
      </c>
      <c r="AT41" s="5"/>
      <c r="AU41" s="5"/>
      <c r="AV41" s="5"/>
    </row>
    <row r="42" spans="1:48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170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3334</v>
      </c>
      <c r="AS42" s="5"/>
      <c r="AT42" s="5"/>
      <c r="AU42" s="5"/>
      <c r="AV42" s="5"/>
    </row>
    <row r="43" spans="1:48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35">
      <c r="A44" s="4" t="s">
        <v>250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35">
      <c r="A45" s="4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38</v>
      </c>
      <c r="AJ45" s="5"/>
      <c r="AK45" s="5"/>
      <c r="AL45" s="5"/>
      <c r="AM45" s="5"/>
      <c r="AN45" s="5"/>
      <c r="AO45" s="5"/>
      <c r="AP45" s="5"/>
      <c r="AQ45" s="5"/>
      <c r="AR45" s="5">
        <v>69</v>
      </c>
      <c r="AS45" s="5"/>
      <c r="AT45" s="5"/>
      <c r="AU45" s="5"/>
      <c r="AV45" s="5"/>
    </row>
    <row r="46" spans="1:48" x14ac:dyDescent="0.35">
      <c r="A46" s="4" t="s">
        <v>252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3783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35">
      <c r="A47" s="4" t="s">
        <v>253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38</v>
      </c>
      <c r="AG47" s="5"/>
      <c r="AH47" s="5"/>
      <c r="AI47" s="5"/>
      <c r="AJ47" s="5"/>
      <c r="AK47" s="5"/>
      <c r="AL47" s="5">
        <v>1143</v>
      </c>
      <c r="AM47" s="5"/>
      <c r="AN47" s="5"/>
      <c r="AO47" s="5"/>
      <c r="AP47" s="5"/>
      <c r="AQ47" s="5"/>
      <c r="AR47" s="5">
        <v>165</v>
      </c>
      <c r="AS47" s="5"/>
      <c r="AT47" s="5"/>
      <c r="AU47" s="5"/>
      <c r="AV47" s="5"/>
    </row>
    <row r="48" spans="1:48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35">
      <c r="A50" s="4" t="s">
        <v>256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474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4" t="s">
        <v>259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99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18477</v>
      </c>
      <c r="AM53" s="5"/>
      <c r="AN53" s="5"/>
      <c r="AO53" s="5"/>
      <c r="AP53" s="5"/>
      <c r="AQ53" s="5"/>
      <c r="AR53" s="5">
        <v>443</v>
      </c>
      <c r="AS53" s="5"/>
      <c r="AT53" s="5"/>
      <c r="AU53" s="5"/>
      <c r="AV53" s="5"/>
    </row>
    <row r="54" spans="1:48" x14ac:dyDescent="0.35">
      <c r="A54" s="4" t="s">
        <v>260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125</v>
      </c>
      <c r="AI54" s="5"/>
      <c r="AJ54" s="5"/>
      <c r="AK54" s="5"/>
      <c r="AL54" s="5"/>
      <c r="AM54" s="5"/>
      <c r="AN54" s="5"/>
      <c r="AO54" s="5"/>
      <c r="AP54" s="5">
        <v>114</v>
      </c>
      <c r="AQ54" s="5"/>
      <c r="AR54" s="5">
        <v>472</v>
      </c>
      <c r="AS54" s="5"/>
      <c r="AT54" s="5"/>
      <c r="AU54" s="5"/>
      <c r="AV54" s="5"/>
    </row>
    <row r="55" spans="1:48" x14ac:dyDescent="0.35">
      <c r="A55" s="4" t="s">
        <v>261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9289</v>
      </c>
      <c r="AM55" s="5"/>
      <c r="AN55" s="5"/>
      <c r="AO55" s="5"/>
      <c r="AP55" s="5"/>
      <c r="AQ55" s="5"/>
      <c r="AR55" s="5"/>
      <c r="AS55" s="5"/>
      <c r="AT55" s="5">
        <v>231</v>
      </c>
      <c r="AU55" s="5"/>
      <c r="AV55" s="5"/>
    </row>
    <row r="56" spans="1:48" x14ac:dyDescent="0.35">
      <c r="A56" s="4" t="s">
        <v>262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11</v>
      </c>
      <c r="AE56" s="5"/>
      <c r="AF56" s="5"/>
      <c r="AG56" s="5"/>
      <c r="AH56" s="5"/>
      <c r="AI56" s="5"/>
      <c r="AJ56" s="5">
        <v>4</v>
      </c>
      <c r="AK56" s="5"/>
      <c r="AL56" s="5"/>
      <c r="AM56" s="5"/>
      <c r="AN56" s="5"/>
      <c r="AO56" s="5"/>
      <c r="AP56" s="5"/>
      <c r="AQ56" s="5"/>
      <c r="AR56" s="5">
        <v>15</v>
      </c>
      <c r="AS56" s="5">
        <v>23</v>
      </c>
      <c r="AT56" s="5"/>
      <c r="AU56" s="5"/>
      <c r="AV56" s="5"/>
    </row>
    <row r="57" spans="1:48" x14ac:dyDescent="0.35">
      <c r="A57" s="4" t="s">
        <v>263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35">
      <c r="A58" s="4" t="s">
        <v>264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35">
      <c r="A59" s="4" t="s">
        <v>265</v>
      </c>
      <c r="B59" s="5"/>
      <c r="C59" s="5">
        <v>83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886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35">
      <c r="A60" s="4" t="s">
        <v>266</v>
      </c>
      <c r="B60" s="5"/>
      <c r="C60" s="5">
        <v>38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41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242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446</v>
      </c>
      <c r="AS60" s="5"/>
      <c r="AT60" s="5">
        <v>264</v>
      </c>
      <c r="AU60" s="5"/>
      <c r="AV60" s="5"/>
    </row>
    <row r="61" spans="1:48" x14ac:dyDescent="0.35">
      <c r="A61" s="4" t="s">
        <v>267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72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73</v>
      </c>
      <c r="AS61" s="5">
        <v>50</v>
      </c>
      <c r="AT61" s="5"/>
      <c r="AU61" s="5"/>
      <c r="AV61" s="5"/>
    </row>
    <row r="62" spans="1:48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35">
      <c r="A63" s="4" t="s">
        <v>269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35">
      <c r="A64" s="8" t="s">
        <v>317</v>
      </c>
      <c r="B64" s="5">
        <f>SUM(B4:B63)</f>
        <v>26898</v>
      </c>
      <c r="C64" s="5">
        <f t="shared" ref="C64:AV64" si="0">SUM(C4:C63)</f>
        <v>3533</v>
      </c>
      <c r="D64" s="5">
        <f t="shared" si="0"/>
        <v>1010</v>
      </c>
      <c r="E64" s="5">
        <f t="shared" si="0"/>
        <v>144540</v>
      </c>
      <c r="F64" s="5">
        <f t="shared" si="0"/>
        <v>0</v>
      </c>
      <c r="G64" s="5">
        <f t="shared" si="0"/>
        <v>20035</v>
      </c>
      <c r="H64" s="5">
        <f t="shared" si="0"/>
        <v>0</v>
      </c>
      <c r="I64" s="5">
        <f t="shared" si="0"/>
        <v>9658</v>
      </c>
      <c r="J64" s="5">
        <f t="shared" si="0"/>
        <v>7952</v>
      </c>
      <c r="K64" s="5">
        <f t="shared" si="0"/>
        <v>0</v>
      </c>
      <c r="L64" s="5">
        <f t="shared" si="0"/>
        <v>0</v>
      </c>
      <c r="M64" s="5">
        <f t="shared" si="0"/>
        <v>0</v>
      </c>
      <c r="N64" s="5">
        <f t="shared" si="0"/>
        <v>0</v>
      </c>
      <c r="O64" s="5">
        <f t="shared" si="0"/>
        <v>0</v>
      </c>
      <c r="P64" s="5">
        <f t="shared" si="0"/>
        <v>14550</v>
      </c>
      <c r="Q64" s="5">
        <f t="shared" si="0"/>
        <v>1816</v>
      </c>
      <c r="R64" s="5">
        <f t="shared" si="0"/>
        <v>0</v>
      </c>
      <c r="S64" s="5">
        <f t="shared" si="0"/>
        <v>8597</v>
      </c>
      <c r="T64" s="5">
        <f t="shared" si="0"/>
        <v>21782</v>
      </c>
      <c r="U64" s="5">
        <f t="shared" si="0"/>
        <v>0</v>
      </c>
      <c r="V64" s="5">
        <f t="shared" si="0"/>
        <v>7387</v>
      </c>
      <c r="W64" s="5">
        <f t="shared" si="0"/>
        <v>118020</v>
      </c>
      <c r="X64" s="5">
        <f t="shared" si="0"/>
        <v>18326</v>
      </c>
      <c r="Y64" s="5">
        <f t="shared" si="0"/>
        <v>2806</v>
      </c>
      <c r="Z64" s="5">
        <f t="shared" si="0"/>
        <v>82826</v>
      </c>
      <c r="AA64" s="5">
        <f t="shared" si="0"/>
        <v>336</v>
      </c>
      <c r="AB64" s="5">
        <f t="shared" si="0"/>
        <v>0</v>
      </c>
      <c r="AC64" s="5">
        <f t="shared" si="0"/>
        <v>0</v>
      </c>
      <c r="AD64" s="5">
        <f t="shared" si="0"/>
        <v>3583</v>
      </c>
      <c r="AE64" s="5">
        <f t="shared" si="0"/>
        <v>14499</v>
      </c>
      <c r="AF64" s="5">
        <f t="shared" si="0"/>
        <v>24848</v>
      </c>
      <c r="AG64" s="5">
        <f t="shared" si="0"/>
        <v>8730</v>
      </c>
      <c r="AH64" s="5">
        <f t="shared" si="0"/>
        <v>32413</v>
      </c>
      <c r="AI64" s="5">
        <f t="shared" si="0"/>
        <v>6581</v>
      </c>
      <c r="AJ64" s="5">
        <f t="shared" si="0"/>
        <v>4</v>
      </c>
      <c r="AK64" s="5">
        <f t="shared" si="0"/>
        <v>11746</v>
      </c>
      <c r="AL64" s="5">
        <f t="shared" si="0"/>
        <v>145206</v>
      </c>
      <c r="AM64" s="5">
        <f t="shared" si="0"/>
        <v>0</v>
      </c>
      <c r="AN64" s="5">
        <f t="shared" si="0"/>
        <v>7704</v>
      </c>
      <c r="AO64" s="5">
        <f t="shared" si="0"/>
        <v>9502</v>
      </c>
      <c r="AP64" s="5">
        <f t="shared" si="0"/>
        <v>310612</v>
      </c>
      <c r="AQ64" s="5">
        <f t="shared" si="0"/>
        <v>0</v>
      </c>
      <c r="AR64" s="5">
        <f t="shared" si="0"/>
        <v>72338</v>
      </c>
      <c r="AS64" s="5">
        <f t="shared" si="0"/>
        <v>8421</v>
      </c>
      <c r="AT64" s="5">
        <f t="shared" si="0"/>
        <v>6922</v>
      </c>
      <c r="AU64" s="5">
        <f t="shared" si="0"/>
        <v>0</v>
      </c>
      <c r="AV64" s="5">
        <f t="shared" si="0"/>
        <v>0</v>
      </c>
    </row>
    <row r="66" spans="1:48" x14ac:dyDescent="0.35">
      <c r="A66" t="s">
        <v>8</v>
      </c>
      <c r="B66">
        <v>731106.9</v>
      </c>
      <c r="C66">
        <v>192500.5</v>
      </c>
      <c r="D66">
        <v>6722.6</v>
      </c>
      <c r="E66">
        <v>3300775.6</v>
      </c>
      <c r="F66">
        <v>3362812.3</v>
      </c>
      <c r="G66">
        <v>6983906.0999999996</v>
      </c>
      <c r="H66">
        <v>62601.9</v>
      </c>
      <c r="I66">
        <v>135862.20000000001</v>
      </c>
      <c r="J66">
        <v>31767.3</v>
      </c>
      <c r="K66">
        <v>59058.5</v>
      </c>
      <c r="L66">
        <v>1014537.2</v>
      </c>
      <c r="M66">
        <v>1144292.3999999999</v>
      </c>
      <c r="N66">
        <v>411367.9</v>
      </c>
      <c r="O66">
        <v>61044.4</v>
      </c>
      <c r="P66">
        <v>437619.8</v>
      </c>
      <c r="Q66">
        <v>11002.7</v>
      </c>
      <c r="R66">
        <v>840650.2</v>
      </c>
      <c r="S66">
        <v>625581.19999999995</v>
      </c>
      <c r="T66">
        <v>830910.6</v>
      </c>
      <c r="U66">
        <v>45967.3</v>
      </c>
      <c r="V66">
        <v>83965.3</v>
      </c>
      <c r="W66">
        <v>904717.2</v>
      </c>
      <c r="X66">
        <v>422845.4</v>
      </c>
      <c r="Y66">
        <v>62364.3</v>
      </c>
      <c r="Z66">
        <v>1423217.7</v>
      </c>
      <c r="AA66">
        <v>154970.79999999999</v>
      </c>
      <c r="AB66">
        <v>803737.2</v>
      </c>
      <c r="AC66">
        <v>602721.6</v>
      </c>
      <c r="AD66">
        <v>772249</v>
      </c>
      <c r="AE66">
        <v>14693.7</v>
      </c>
      <c r="AF66">
        <v>1009693.4</v>
      </c>
      <c r="AG66">
        <v>69483.399999999994</v>
      </c>
      <c r="AH66">
        <v>368170.1</v>
      </c>
      <c r="AI66">
        <v>507578.5</v>
      </c>
      <c r="AJ66">
        <v>1743.6</v>
      </c>
      <c r="AK66">
        <v>244577.3</v>
      </c>
      <c r="AL66">
        <v>1224304.8999999999</v>
      </c>
      <c r="AM66">
        <v>409891.2</v>
      </c>
      <c r="AN66">
        <v>174962.3</v>
      </c>
      <c r="AO66">
        <v>903031.3</v>
      </c>
      <c r="AP66">
        <v>1456401</v>
      </c>
      <c r="AQ66">
        <v>604047.80000000005</v>
      </c>
      <c r="AR66">
        <v>481447.2</v>
      </c>
      <c r="AS66">
        <v>102828.4</v>
      </c>
      <c r="AT66">
        <v>251850.6</v>
      </c>
      <c r="AU66">
        <v>23131.8</v>
      </c>
      <c r="AV66">
        <v>1988487.9</v>
      </c>
    </row>
  </sheetData>
  <hyperlinks>
    <hyperlink ref="B1" location="Home!A1" display="HOME" xr:uid="{611483FA-859A-459E-9039-CD3A64C10D6A}"/>
  </hyperlink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66"/>
  <sheetViews>
    <sheetView workbookViewId="0">
      <pane xSplit="1" ySplit="2" topLeftCell="B3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9" x14ac:dyDescent="0.35">
      <c r="A1" s="2" t="s">
        <v>322</v>
      </c>
      <c r="B1" s="29" t="s">
        <v>376</v>
      </c>
    </row>
    <row r="2" spans="1:49" x14ac:dyDescent="0.35">
      <c r="A2" s="4" t="s">
        <v>318</v>
      </c>
      <c r="B2" s="4" t="s">
        <v>70</v>
      </c>
      <c r="C2" s="4" t="s">
        <v>270</v>
      </c>
      <c r="D2" s="4" t="s">
        <v>272</v>
      </c>
      <c r="E2" s="4" t="s">
        <v>271</v>
      </c>
      <c r="F2" s="4" t="s">
        <v>273</v>
      </c>
      <c r="G2" s="4" t="s">
        <v>274</v>
      </c>
      <c r="H2" s="4" t="s">
        <v>275</v>
      </c>
      <c r="I2" s="4" t="s">
        <v>276</v>
      </c>
      <c r="J2" s="4" t="s">
        <v>277</v>
      </c>
      <c r="K2" s="4" t="s">
        <v>278</v>
      </c>
      <c r="L2" s="4" t="s">
        <v>279</v>
      </c>
      <c r="M2" s="4" t="s">
        <v>280</v>
      </c>
      <c r="N2" s="4" t="s">
        <v>281</v>
      </c>
      <c r="O2" s="4" t="s">
        <v>282</v>
      </c>
      <c r="P2" s="4" t="s">
        <v>283</v>
      </c>
      <c r="Q2" s="4" t="s">
        <v>284</v>
      </c>
      <c r="R2" s="4" t="s">
        <v>285</v>
      </c>
      <c r="S2" s="4" t="s">
        <v>286</v>
      </c>
      <c r="T2" s="4" t="s">
        <v>287</v>
      </c>
      <c r="U2" s="4" t="s">
        <v>288</v>
      </c>
      <c r="V2" s="4" t="s">
        <v>289</v>
      </c>
      <c r="W2" s="4" t="s">
        <v>290</v>
      </c>
      <c r="X2" s="4" t="s">
        <v>291</v>
      </c>
      <c r="Y2" s="4" t="s">
        <v>292</v>
      </c>
      <c r="Z2" s="4" t="s">
        <v>293</v>
      </c>
      <c r="AA2" s="4" t="s">
        <v>294</v>
      </c>
      <c r="AB2" s="4" t="s">
        <v>295</v>
      </c>
      <c r="AC2" s="4" t="s">
        <v>296</v>
      </c>
      <c r="AD2" s="4" t="s">
        <v>297</v>
      </c>
      <c r="AE2" s="4" t="s">
        <v>298</v>
      </c>
      <c r="AF2" s="4" t="s">
        <v>299</v>
      </c>
      <c r="AG2" s="4" t="s">
        <v>300</v>
      </c>
      <c r="AH2" s="4" t="s">
        <v>301</v>
      </c>
      <c r="AI2" s="4" t="s">
        <v>302</v>
      </c>
      <c r="AJ2" s="4" t="s">
        <v>303</v>
      </c>
      <c r="AK2" s="4" t="s">
        <v>304</v>
      </c>
      <c r="AL2" s="4" t="s">
        <v>305</v>
      </c>
      <c r="AM2" s="4" t="s">
        <v>306</v>
      </c>
      <c r="AN2" s="4" t="s">
        <v>307</v>
      </c>
      <c r="AO2" s="4" t="s">
        <v>308</v>
      </c>
      <c r="AP2" s="4" t="s">
        <v>309</v>
      </c>
      <c r="AQ2" s="4" t="s">
        <v>310</v>
      </c>
      <c r="AR2" s="4" t="s">
        <v>311</v>
      </c>
      <c r="AS2" s="4" t="s">
        <v>312</v>
      </c>
      <c r="AT2" s="4" t="s">
        <v>313</v>
      </c>
      <c r="AU2" s="4" t="s">
        <v>314</v>
      </c>
      <c r="AV2" s="4" t="s">
        <v>315</v>
      </c>
      <c r="AW2" s="8" t="s">
        <v>317</v>
      </c>
    </row>
    <row r="3" spans="1:49" x14ac:dyDescent="0.35">
      <c r="A3" s="8" t="s">
        <v>321</v>
      </c>
      <c r="B3" s="4" t="s">
        <v>71</v>
      </c>
      <c r="C3" s="4" t="s">
        <v>74</v>
      </c>
      <c r="D3" s="4" t="s">
        <v>77</v>
      </c>
      <c r="E3" s="4" t="s">
        <v>80</v>
      </c>
      <c r="F3" s="4" t="s">
        <v>83</v>
      </c>
      <c r="G3" s="4" t="s">
        <v>86</v>
      </c>
      <c r="H3" s="4" t="s">
        <v>89</v>
      </c>
      <c r="I3" s="4" t="s">
        <v>92</v>
      </c>
      <c r="J3" s="4" t="s">
        <v>95</v>
      </c>
      <c r="K3" s="4" t="s">
        <v>98</v>
      </c>
      <c r="L3" s="4" t="s">
        <v>101</v>
      </c>
      <c r="M3" s="4" t="s">
        <v>104</v>
      </c>
      <c r="N3" s="4" t="s">
        <v>107</v>
      </c>
      <c r="O3" s="4" t="s">
        <v>110</v>
      </c>
      <c r="P3" s="4" t="s">
        <v>113</v>
      </c>
      <c r="Q3" s="4" t="s">
        <v>116</v>
      </c>
      <c r="R3" s="4" t="s">
        <v>119</v>
      </c>
      <c r="S3" s="4" t="s">
        <v>122</v>
      </c>
      <c r="T3" s="4" t="s">
        <v>125</v>
      </c>
      <c r="U3" s="4" t="s">
        <v>128</v>
      </c>
      <c r="V3" s="4" t="s">
        <v>131</v>
      </c>
      <c r="W3" s="4" t="s">
        <v>134</v>
      </c>
      <c r="X3" s="4" t="s">
        <v>137</v>
      </c>
      <c r="Y3" s="4" t="s">
        <v>140</v>
      </c>
      <c r="Z3" s="4" t="s">
        <v>143</v>
      </c>
      <c r="AA3" s="4" t="s">
        <v>146</v>
      </c>
      <c r="AB3" s="4" t="s">
        <v>149</v>
      </c>
      <c r="AC3" s="4" t="s">
        <v>152</v>
      </c>
      <c r="AD3" s="4" t="s">
        <v>155</v>
      </c>
      <c r="AE3" s="4" t="s">
        <v>158</v>
      </c>
      <c r="AF3" s="4" t="s">
        <v>161</v>
      </c>
      <c r="AG3" s="4" t="s">
        <v>164</v>
      </c>
      <c r="AH3" s="4" t="s">
        <v>167</v>
      </c>
      <c r="AI3" s="4" t="s">
        <v>170</v>
      </c>
      <c r="AJ3" s="4" t="s">
        <v>173</v>
      </c>
      <c r="AK3" s="4" t="s">
        <v>176</v>
      </c>
      <c r="AL3" s="4" t="s">
        <v>179</v>
      </c>
      <c r="AM3" s="4" t="s">
        <v>182</v>
      </c>
      <c r="AN3" s="4" t="s">
        <v>185</v>
      </c>
      <c r="AO3" s="4" t="s">
        <v>188</v>
      </c>
      <c r="AP3" s="4" t="s">
        <v>191</v>
      </c>
      <c r="AQ3" s="4" t="s">
        <v>194</v>
      </c>
      <c r="AR3" s="4" t="s">
        <v>197</v>
      </c>
      <c r="AS3" s="4" t="s">
        <v>200</v>
      </c>
      <c r="AT3" s="4" t="s">
        <v>203</v>
      </c>
      <c r="AU3" s="4" t="s">
        <v>206</v>
      </c>
      <c r="AV3" s="4" t="s">
        <v>209</v>
      </c>
      <c r="AW3" s="5">
        <f t="shared" ref="AW3:AW62" si="0">SUM(B3:AV3)</f>
        <v>0</v>
      </c>
    </row>
    <row r="4" spans="1:49" x14ac:dyDescent="0.35">
      <c r="A4" s="4" t="s">
        <v>212</v>
      </c>
      <c r="B4" s="5">
        <v>857</v>
      </c>
      <c r="C4" s="5"/>
      <c r="D4" s="5"/>
      <c r="E4" s="5"/>
      <c r="F4" s="5"/>
      <c r="G4" s="5"/>
      <c r="H4" s="5"/>
      <c r="I4" s="5">
        <v>622</v>
      </c>
      <c r="J4" s="5"/>
      <c r="K4" s="5"/>
      <c r="L4" s="5"/>
      <c r="M4" s="5"/>
      <c r="N4" s="5"/>
      <c r="O4" s="5"/>
      <c r="P4" s="5">
        <v>609</v>
      </c>
      <c r="Q4" s="5"/>
      <c r="R4" s="5"/>
      <c r="S4" s="5">
        <v>608</v>
      </c>
      <c r="T4" s="5">
        <v>5240</v>
      </c>
      <c r="U4" s="5"/>
      <c r="V4" s="5"/>
      <c r="W4" s="5">
        <v>3016</v>
      </c>
      <c r="X4" s="5">
        <v>1844</v>
      </c>
      <c r="Y4" s="5"/>
      <c r="Z4" s="5">
        <v>9149</v>
      </c>
      <c r="AA4" s="5"/>
      <c r="AB4" s="5">
        <v>4275</v>
      </c>
      <c r="AC4" s="5"/>
      <c r="AD4" s="5">
        <v>1750</v>
      </c>
      <c r="AE4" s="5">
        <v>2429</v>
      </c>
      <c r="AF4" s="5"/>
      <c r="AG4" s="5"/>
      <c r="AH4" s="5">
        <v>1008</v>
      </c>
      <c r="AI4" s="5"/>
      <c r="AJ4" s="5"/>
      <c r="AK4" s="5"/>
      <c r="AL4" s="5"/>
      <c r="AM4" s="5"/>
      <c r="AN4" s="5"/>
      <c r="AO4" s="5">
        <v>523</v>
      </c>
      <c r="AP4" s="5"/>
      <c r="AQ4" s="5"/>
      <c r="AR4" s="5">
        <v>1685</v>
      </c>
      <c r="AS4" s="5">
        <v>204</v>
      </c>
      <c r="AT4" s="5"/>
      <c r="AU4" s="5"/>
      <c r="AV4" s="5">
        <v>3015</v>
      </c>
      <c r="AW4" s="5">
        <f t="shared" si="0"/>
        <v>36834</v>
      </c>
    </row>
    <row r="5" spans="1:49" x14ac:dyDescent="0.35">
      <c r="A5" s="4" t="s">
        <v>213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556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834</v>
      </c>
      <c r="AI5" s="5"/>
      <c r="AJ5" s="5"/>
      <c r="AK5" s="5"/>
      <c r="AL5" s="5"/>
      <c r="AM5" s="5"/>
      <c r="AN5" s="5"/>
      <c r="AO5" s="5"/>
      <c r="AP5" s="5"/>
      <c r="AQ5" s="5"/>
      <c r="AR5" s="5">
        <v>1458</v>
      </c>
      <c r="AS5" s="5"/>
      <c r="AT5" s="5"/>
      <c r="AU5" s="5"/>
      <c r="AV5" s="5"/>
      <c r="AW5" s="5">
        <f t="shared" si="0"/>
        <v>2848</v>
      </c>
    </row>
    <row r="6" spans="1:49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f t="shared" si="0"/>
        <v>0</v>
      </c>
    </row>
    <row r="7" spans="1:49" x14ac:dyDescent="0.35">
      <c r="A7" s="4" t="s">
        <v>215</v>
      </c>
      <c r="B7" s="5">
        <v>6358</v>
      </c>
      <c r="C7" s="5"/>
      <c r="D7" s="5"/>
      <c r="E7" s="5"/>
      <c r="F7" s="5"/>
      <c r="G7" s="5"/>
      <c r="H7" s="5"/>
      <c r="I7" s="5">
        <v>3846</v>
      </c>
      <c r="J7" s="5">
        <v>3847</v>
      </c>
      <c r="K7" s="5"/>
      <c r="L7" s="5"/>
      <c r="M7" s="5"/>
      <c r="N7" s="5"/>
      <c r="O7" s="5"/>
      <c r="P7" s="5">
        <v>6819</v>
      </c>
      <c r="Q7" s="5">
        <v>476</v>
      </c>
      <c r="R7" s="5"/>
      <c r="S7" s="5">
        <v>3606</v>
      </c>
      <c r="T7" s="5">
        <v>8868</v>
      </c>
      <c r="U7" s="5"/>
      <c r="V7" s="5"/>
      <c r="W7" s="5">
        <v>37404</v>
      </c>
      <c r="X7" s="5">
        <v>5789</v>
      </c>
      <c r="Y7" s="5">
        <v>885</v>
      </c>
      <c r="Z7" s="5">
        <v>43311</v>
      </c>
      <c r="AA7" s="5"/>
      <c r="AB7" s="5"/>
      <c r="AC7" s="5"/>
      <c r="AD7" s="5"/>
      <c r="AE7" s="5">
        <v>4125</v>
      </c>
      <c r="AF7" s="5">
        <v>6348</v>
      </c>
      <c r="AG7" s="5">
        <v>4212</v>
      </c>
      <c r="AH7" s="5">
        <v>9625</v>
      </c>
      <c r="AI7" s="5"/>
      <c r="AJ7" s="5"/>
      <c r="AK7" s="5">
        <v>6108</v>
      </c>
      <c r="AL7" s="5"/>
      <c r="AM7" s="5"/>
      <c r="AN7" s="5">
        <v>3458</v>
      </c>
      <c r="AO7" s="5">
        <v>4940</v>
      </c>
      <c r="AP7" s="5">
        <v>45388</v>
      </c>
      <c r="AQ7" s="5"/>
      <c r="AR7" s="5">
        <v>20885</v>
      </c>
      <c r="AS7" s="5">
        <v>4132</v>
      </c>
      <c r="AT7" s="5"/>
      <c r="AU7" s="5"/>
      <c r="AV7" s="5">
        <v>21552</v>
      </c>
      <c r="AW7" s="5">
        <f t="shared" si="0"/>
        <v>251982</v>
      </c>
    </row>
    <row r="8" spans="1:49" x14ac:dyDescent="0.35">
      <c r="A8" s="4" t="s">
        <v>216</v>
      </c>
      <c r="B8" s="5">
        <v>1744</v>
      </c>
      <c r="C8" s="5"/>
      <c r="D8" s="5"/>
      <c r="E8" s="5"/>
      <c r="F8" s="5"/>
      <c r="G8" s="5"/>
      <c r="H8" s="5"/>
      <c r="I8" s="5"/>
      <c r="J8" s="5"/>
      <c r="K8" s="5"/>
      <c r="L8" s="5">
        <v>11139</v>
      </c>
      <c r="M8" s="5"/>
      <c r="N8" s="5"/>
      <c r="O8" s="5"/>
      <c r="P8" s="5">
        <v>24</v>
      </c>
      <c r="Q8" s="5"/>
      <c r="R8" s="5"/>
      <c r="S8" s="5"/>
      <c r="T8" s="5">
        <v>5300</v>
      </c>
      <c r="U8" s="5"/>
      <c r="V8" s="5"/>
      <c r="W8" s="5"/>
      <c r="X8" s="5">
        <v>500</v>
      </c>
      <c r="Y8" s="5"/>
      <c r="Z8" s="5"/>
      <c r="AA8" s="5"/>
      <c r="AB8" s="5"/>
      <c r="AC8" s="5"/>
      <c r="AD8" s="5"/>
      <c r="AE8" s="5"/>
      <c r="AF8" s="5">
        <v>4649</v>
      </c>
      <c r="AG8" s="5"/>
      <c r="AH8" s="5">
        <v>692</v>
      </c>
      <c r="AI8" s="5"/>
      <c r="AJ8" s="5"/>
      <c r="AK8" s="5">
        <v>585</v>
      </c>
      <c r="AL8" s="5"/>
      <c r="AM8" s="5"/>
      <c r="AN8" s="5"/>
      <c r="AO8" s="5">
        <v>959</v>
      </c>
      <c r="AP8" s="5"/>
      <c r="AQ8" s="5"/>
      <c r="AR8" s="5"/>
      <c r="AS8" s="5"/>
      <c r="AT8" s="5"/>
      <c r="AU8" s="5"/>
      <c r="AV8" s="5"/>
      <c r="AW8" s="5">
        <f t="shared" si="0"/>
        <v>25592</v>
      </c>
    </row>
    <row r="9" spans="1:49" x14ac:dyDescent="0.35">
      <c r="A9" s="4" t="s">
        <v>217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490</v>
      </c>
      <c r="U9" s="5"/>
      <c r="V9" s="5"/>
      <c r="W9" s="5"/>
      <c r="X9" s="5"/>
      <c r="Y9" s="5"/>
      <c r="Z9" s="5">
        <v>1090</v>
      </c>
      <c r="AA9" s="5"/>
      <c r="AB9" s="5"/>
      <c r="AC9" s="5"/>
      <c r="AD9" s="5"/>
      <c r="AE9" s="5">
        <v>366</v>
      </c>
      <c r="AF9" s="5"/>
      <c r="AG9" s="5">
        <v>68</v>
      </c>
      <c r="AH9" s="5"/>
      <c r="AI9" s="5"/>
      <c r="AJ9" s="5"/>
      <c r="AK9" s="5"/>
      <c r="AL9" s="5">
        <v>5817</v>
      </c>
      <c r="AM9" s="5"/>
      <c r="AN9" s="5"/>
      <c r="AO9" s="5">
        <v>21</v>
      </c>
      <c r="AP9" s="5"/>
      <c r="AQ9" s="5"/>
      <c r="AR9" s="5">
        <v>107</v>
      </c>
      <c r="AS9" s="5"/>
      <c r="AT9" s="5"/>
      <c r="AU9" s="5"/>
      <c r="AV9" s="5">
        <v>104</v>
      </c>
      <c r="AW9" s="5">
        <f t="shared" si="0"/>
        <v>8063</v>
      </c>
    </row>
    <row r="10" spans="1:49" x14ac:dyDescent="0.35">
      <c r="A10" s="4" t="s">
        <v>218</v>
      </c>
      <c r="B10" s="5">
        <v>217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78</v>
      </c>
      <c r="T10" s="5">
        <v>2430</v>
      </c>
      <c r="U10" s="5"/>
      <c r="V10" s="5"/>
      <c r="W10" s="5"/>
      <c r="X10" s="5"/>
      <c r="Y10" s="5"/>
      <c r="Z10" s="5">
        <v>2355</v>
      </c>
      <c r="AA10" s="5"/>
      <c r="AB10" s="5"/>
      <c r="AC10" s="5"/>
      <c r="AD10" s="5"/>
      <c r="AE10" s="5">
        <v>494</v>
      </c>
      <c r="AF10" s="5"/>
      <c r="AG10" s="5"/>
      <c r="AH10" s="5"/>
      <c r="AI10" s="5"/>
      <c r="AJ10" s="5"/>
      <c r="AK10" s="5"/>
      <c r="AL10" s="5">
        <v>14994</v>
      </c>
      <c r="AM10" s="5"/>
      <c r="AN10" s="5"/>
      <c r="AO10" s="5"/>
      <c r="AP10" s="5"/>
      <c r="AQ10" s="5"/>
      <c r="AR10" s="5">
        <v>193</v>
      </c>
      <c r="AS10" s="5"/>
      <c r="AT10" s="5"/>
      <c r="AU10" s="5"/>
      <c r="AV10" s="5">
        <v>707</v>
      </c>
      <c r="AW10" s="5">
        <f t="shared" si="0"/>
        <v>21468</v>
      </c>
    </row>
    <row r="11" spans="1:49" x14ac:dyDescent="0.35">
      <c r="A11" s="4" t="s">
        <v>219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2510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5218</v>
      </c>
      <c r="AS11" s="5"/>
      <c r="AT11" s="5"/>
      <c r="AU11" s="5"/>
      <c r="AV11" s="5"/>
      <c r="AW11" s="5">
        <f t="shared" si="0"/>
        <v>7728</v>
      </c>
    </row>
    <row r="12" spans="1:49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67335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f t="shared" si="0"/>
        <v>67335</v>
      </c>
    </row>
    <row r="13" spans="1:49" x14ac:dyDescent="0.35">
      <c r="A13" s="4" t="s">
        <v>221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v>2746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f t="shared" si="0"/>
        <v>2746</v>
      </c>
    </row>
    <row r="14" spans="1:49" x14ac:dyDescent="0.35">
      <c r="A14" s="4" t="s">
        <v>222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f t="shared" si="0"/>
        <v>2</v>
      </c>
    </row>
    <row r="15" spans="1:49" x14ac:dyDescent="0.35">
      <c r="A15" s="4" t="s">
        <v>223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f t="shared" si="0"/>
        <v>0</v>
      </c>
    </row>
    <row r="16" spans="1:49" x14ac:dyDescent="0.35">
      <c r="A16" s="4" t="s">
        <v>224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120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4687</v>
      </c>
      <c r="AM16" s="5"/>
      <c r="AN16" s="5"/>
      <c r="AO16" s="5"/>
      <c r="AP16" s="5"/>
      <c r="AQ16" s="5"/>
      <c r="AR16" s="5">
        <v>171</v>
      </c>
      <c r="AS16" s="5"/>
      <c r="AT16" s="5"/>
      <c r="AU16" s="5"/>
      <c r="AV16" s="5">
        <v>933</v>
      </c>
      <c r="AW16" s="5">
        <f t="shared" si="0"/>
        <v>5911</v>
      </c>
    </row>
    <row r="17" spans="1:49" x14ac:dyDescent="0.35">
      <c r="A17" s="4" t="s">
        <v>225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190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f t="shared" si="0"/>
        <v>190</v>
      </c>
    </row>
    <row r="18" spans="1:49" x14ac:dyDescent="0.35">
      <c r="A18" s="4" t="s">
        <v>226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50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f t="shared" si="0"/>
        <v>50</v>
      </c>
    </row>
    <row r="19" spans="1:49" x14ac:dyDescent="0.35">
      <c r="A19" s="4" t="s">
        <v>227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f t="shared" si="0"/>
        <v>0</v>
      </c>
    </row>
    <row r="20" spans="1:49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111</v>
      </c>
      <c r="AS20" s="5"/>
      <c r="AT20" s="5"/>
      <c r="AU20" s="5"/>
      <c r="AV20" s="5"/>
      <c r="AW20" s="5">
        <f t="shared" si="0"/>
        <v>111</v>
      </c>
    </row>
    <row r="21" spans="1:49" x14ac:dyDescent="0.35">
      <c r="A21" s="4" t="s">
        <v>229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2052</v>
      </c>
      <c r="AS21" s="5"/>
      <c r="AT21" s="5"/>
      <c r="AU21" s="5"/>
      <c r="AV21" s="5">
        <v>1119</v>
      </c>
      <c r="AW21" s="5">
        <f t="shared" si="0"/>
        <v>3171</v>
      </c>
    </row>
    <row r="22" spans="1:49" x14ac:dyDescent="0.35">
      <c r="A22" s="4" t="s">
        <v>230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790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3435</v>
      </c>
      <c r="AM22" s="5"/>
      <c r="AN22" s="5"/>
      <c r="AO22" s="5"/>
      <c r="AP22" s="5"/>
      <c r="AQ22" s="5"/>
      <c r="AR22" s="5">
        <v>2052</v>
      </c>
      <c r="AS22" s="5"/>
      <c r="AT22" s="5"/>
      <c r="AU22" s="5"/>
      <c r="AV22" s="5">
        <v>1205</v>
      </c>
      <c r="AW22" s="5">
        <f t="shared" si="0"/>
        <v>7482</v>
      </c>
    </row>
    <row r="23" spans="1:49" x14ac:dyDescent="0.35">
      <c r="A23" s="4" t="s">
        <v>231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f t="shared" si="0"/>
        <v>0</v>
      </c>
    </row>
    <row r="24" spans="1:49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f t="shared" si="0"/>
        <v>0</v>
      </c>
    </row>
    <row r="25" spans="1:49" x14ac:dyDescent="0.35">
      <c r="A25" s="4" t="s">
        <v>233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190</v>
      </c>
      <c r="AS25" s="5"/>
      <c r="AT25" s="5"/>
      <c r="AU25" s="5"/>
      <c r="AV25" s="5"/>
      <c r="AW25" s="5">
        <f t="shared" si="0"/>
        <v>190</v>
      </c>
    </row>
    <row r="26" spans="1:49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f t="shared" si="0"/>
        <v>0</v>
      </c>
    </row>
    <row r="27" spans="1:49" x14ac:dyDescent="0.35">
      <c r="A27" s="4" t="s">
        <v>235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820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>
        <v>8924</v>
      </c>
      <c r="AM27" s="5"/>
      <c r="AN27" s="5"/>
      <c r="AO27" s="5"/>
      <c r="AP27" s="5"/>
      <c r="AQ27" s="5"/>
      <c r="AR27" s="5">
        <v>312</v>
      </c>
      <c r="AS27" s="5"/>
      <c r="AT27" s="5"/>
      <c r="AU27" s="5"/>
      <c r="AV27" s="5"/>
      <c r="AW27" s="5">
        <f t="shared" si="0"/>
        <v>10056</v>
      </c>
    </row>
    <row r="28" spans="1:49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229</v>
      </c>
      <c r="AS28" s="5"/>
      <c r="AT28" s="5"/>
      <c r="AU28" s="5"/>
      <c r="AV28" s="5"/>
      <c r="AW28" s="5">
        <f t="shared" si="0"/>
        <v>229</v>
      </c>
    </row>
    <row r="29" spans="1:49" x14ac:dyDescent="0.35">
      <c r="A29" s="4" t="s">
        <v>237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>
        <f t="shared" si="0"/>
        <v>0</v>
      </c>
    </row>
    <row r="30" spans="1:49" x14ac:dyDescent="0.35">
      <c r="A30" s="4" t="s">
        <v>238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1600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326</v>
      </c>
      <c r="AM30" s="5"/>
      <c r="AN30" s="5"/>
      <c r="AO30" s="5"/>
      <c r="AP30" s="5"/>
      <c r="AQ30" s="5"/>
      <c r="AR30" s="5">
        <v>519</v>
      </c>
      <c r="AS30" s="5"/>
      <c r="AT30" s="5"/>
      <c r="AU30" s="5"/>
      <c r="AV30" s="5">
        <v>2508</v>
      </c>
      <c r="AW30" s="5">
        <f t="shared" si="0"/>
        <v>4953</v>
      </c>
    </row>
    <row r="31" spans="1:49" x14ac:dyDescent="0.35">
      <c r="A31" s="4" t="s">
        <v>239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2380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145</v>
      </c>
      <c r="AM31" s="5"/>
      <c r="AN31" s="5"/>
      <c r="AO31" s="5"/>
      <c r="AP31" s="5"/>
      <c r="AQ31" s="5"/>
      <c r="AR31" s="5"/>
      <c r="AS31" s="5"/>
      <c r="AT31" s="5"/>
      <c r="AU31" s="5"/>
      <c r="AV31" s="5">
        <v>93</v>
      </c>
      <c r="AW31" s="5">
        <f t="shared" si="0"/>
        <v>2618</v>
      </c>
    </row>
    <row r="32" spans="1:49" x14ac:dyDescent="0.35">
      <c r="A32" s="4" t="s">
        <v>240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</v>
      </c>
      <c r="AS32" s="5"/>
      <c r="AT32" s="5"/>
      <c r="AU32" s="5"/>
      <c r="AV32" s="5"/>
      <c r="AW32" s="5">
        <f t="shared" si="0"/>
        <v>26</v>
      </c>
    </row>
    <row r="33" spans="1:49" x14ac:dyDescent="0.35">
      <c r="A33" s="4" t="s">
        <v>241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f t="shared" si="0"/>
        <v>0</v>
      </c>
    </row>
    <row r="34" spans="1:49" x14ac:dyDescent="0.35">
      <c r="A34" s="4" t="s">
        <v>242</v>
      </c>
      <c r="B34" s="5">
        <v>857</v>
      </c>
      <c r="C34" s="5"/>
      <c r="D34" s="5"/>
      <c r="E34" s="5"/>
      <c r="F34" s="5"/>
      <c r="G34" s="5"/>
      <c r="H34" s="5"/>
      <c r="I34" s="5">
        <v>622</v>
      </c>
      <c r="J34" s="5"/>
      <c r="K34" s="5"/>
      <c r="L34" s="5"/>
      <c r="M34" s="5"/>
      <c r="N34" s="5"/>
      <c r="O34" s="5"/>
      <c r="P34" s="5"/>
      <c r="Q34" s="5"/>
      <c r="R34" s="5"/>
      <c r="S34" s="5">
        <v>608</v>
      </c>
      <c r="T34" s="5">
        <v>5240</v>
      </c>
      <c r="U34" s="5"/>
      <c r="V34" s="5"/>
      <c r="W34" s="5">
        <v>3016</v>
      </c>
      <c r="X34" s="5">
        <v>1844</v>
      </c>
      <c r="Y34" s="5"/>
      <c r="Z34" s="5">
        <v>9149</v>
      </c>
      <c r="AA34" s="5"/>
      <c r="AB34" s="5">
        <v>4275</v>
      </c>
      <c r="AC34" s="5"/>
      <c r="AD34" s="5">
        <v>1750</v>
      </c>
      <c r="AE34" s="5">
        <v>2429</v>
      </c>
      <c r="AF34" s="5"/>
      <c r="AG34" s="5"/>
      <c r="AH34" s="5"/>
      <c r="AI34" s="5"/>
      <c r="AJ34" s="5"/>
      <c r="AK34" s="5"/>
      <c r="AL34" s="5"/>
      <c r="AM34" s="5"/>
      <c r="AN34" s="5"/>
      <c r="AO34" s="5">
        <v>523</v>
      </c>
      <c r="AP34" s="5"/>
      <c r="AQ34" s="5"/>
      <c r="AR34" s="5"/>
      <c r="AS34" s="5">
        <v>204</v>
      </c>
      <c r="AT34" s="5"/>
      <c r="AU34" s="5"/>
      <c r="AV34" s="5">
        <v>2086</v>
      </c>
      <c r="AW34" s="5">
        <f t="shared" si="0"/>
        <v>32603</v>
      </c>
    </row>
    <row r="35" spans="1:49" x14ac:dyDescent="0.35">
      <c r="A35" s="4" t="s">
        <v>243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f t="shared" si="0"/>
        <v>0</v>
      </c>
    </row>
    <row r="36" spans="1:49" x14ac:dyDescent="0.35">
      <c r="A36" s="4" t="s">
        <v>244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1735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</v>
      </c>
      <c r="AP36" s="5"/>
      <c r="AQ36" s="5"/>
      <c r="AR36" s="5"/>
      <c r="AS36" s="5"/>
      <c r="AT36" s="5"/>
      <c r="AU36" s="5"/>
      <c r="AV36" s="5"/>
      <c r="AW36" s="5">
        <f t="shared" si="0"/>
        <v>1747</v>
      </c>
    </row>
    <row r="37" spans="1:49" x14ac:dyDescent="0.35">
      <c r="A37" s="4" t="s">
        <v>245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>
        <v>9404</v>
      </c>
      <c r="M37" s="5"/>
      <c r="N37" s="5"/>
      <c r="O37" s="5"/>
      <c r="P37" s="5">
        <v>24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>
        <v>947</v>
      </c>
      <c r="AP37" s="5"/>
      <c r="AQ37" s="5"/>
      <c r="AR37" s="5"/>
      <c r="AS37" s="5"/>
      <c r="AT37" s="5"/>
      <c r="AU37" s="5"/>
      <c r="AV37" s="5"/>
      <c r="AW37" s="5">
        <f t="shared" si="0"/>
        <v>10375</v>
      </c>
    </row>
    <row r="38" spans="1:49" x14ac:dyDescent="0.35">
      <c r="A38" s="4" t="s">
        <v>246</v>
      </c>
      <c r="B38" s="5">
        <v>1744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5300</v>
      </c>
      <c r="U38" s="5"/>
      <c r="V38" s="5"/>
      <c r="W38" s="5"/>
      <c r="X38" s="5">
        <v>500</v>
      </c>
      <c r="Y38" s="5"/>
      <c r="Z38" s="5"/>
      <c r="AA38" s="5"/>
      <c r="AB38" s="5"/>
      <c r="AC38" s="5"/>
      <c r="AD38" s="5"/>
      <c r="AE38" s="5"/>
      <c r="AF38" s="5">
        <v>4649</v>
      </c>
      <c r="AG38" s="5"/>
      <c r="AH38" s="5">
        <v>692</v>
      </c>
      <c r="AI38" s="5"/>
      <c r="AJ38" s="5"/>
      <c r="AK38" s="5">
        <v>585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f t="shared" si="0"/>
        <v>13470</v>
      </c>
    </row>
    <row r="39" spans="1:49" x14ac:dyDescent="0.35">
      <c r="A39" s="4" t="s">
        <v>247</v>
      </c>
      <c r="B39" s="5"/>
      <c r="C39" s="5"/>
      <c r="D39" s="5"/>
      <c r="E39" s="5"/>
      <c r="F39" s="5"/>
      <c r="G39" s="5"/>
      <c r="H39" s="5"/>
      <c r="I39" s="5">
        <v>3846</v>
      </c>
      <c r="J39" s="5"/>
      <c r="K39" s="5"/>
      <c r="L39" s="5"/>
      <c r="M39" s="5"/>
      <c r="N39" s="5"/>
      <c r="O39" s="5"/>
      <c r="P39" s="5"/>
      <c r="Q39" s="5">
        <v>476</v>
      </c>
      <c r="R39" s="5"/>
      <c r="S39" s="5">
        <v>3606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4125</v>
      </c>
      <c r="AF39" s="5">
        <v>6348</v>
      </c>
      <c r="AG39" s="5"/>
      <c r="AH39" s="5">
        <v>9625</v>
      </c>
      <c r="AI39" s="5"/>
      <c r="AJ39" s="5"/>
      <c r="AK39" s="5">
        <v>2767</v>
      </c>
      <c r="AL39" s="5"/>
      <c r="AM39" s="5"/>
      <c r="AN39" s="5">
        <v>3458</v>
      </c>
      <c r="AO39" s="5">
        <v>4940</v>
      </c>
      <c r="AP39" s="5"/>
      <c r="AQ39" s="5"/>
      <c r="AR39" s="5"/>
      <c r="AS39" s="5"/>
      <c r="AT39" s="5"/>
      <c r="AU39" s="5"/>
      <c r="AV39" s="5">
        <v>21552</v>
      </c>
      <c r="AW39" s="5">
        <f t="shared" si="0"/>
        <v>60743</v>
      </c>
    </row>
    <row r="40" spans="1:49" x14ac:dyDescent="0.35">
      <c r="A40" s="4" t="s">
        <v>248</v>
      </c>
      <c r="B40" s="5">
        <v>2640</v>
      </c>
      <c r="C40" s="5"/>
      <c r="D40" s="5"/>
      <c r="E40" s="5"/>
      <c r="F40" s="5"/>
      <c r="G40" s="5"/>
      <c r="H40" s="5"/>
      <c r="I40" s="5"/>
      <c r="J40" s="5">
        <v>845</v>
      </c>
      <c r="K40" s="5"/>
      <c r="L40" s="5"/>
      <c r="M40" s="5"/>
      <c r="N40" s="5"/>
      <c r="O40" s="5"/>
      <c r="P40" s="5">
        <v>4072</v>
      </c>
      <c r="Q40" s="5"/>
      <c r="R40" s="5"/>
      <c r="S40" s="5"/>
      <c r="T40" s="5">
        <v>1623</v>
      </c>
      <c r="U40" s="5"/>
      <c r="V40" s="5"/>
      <c r="W40" s="5">
        <v>21992</v>
      </c>
      <c r="X40" s="5">
        <v>4284</v>
      </c>
      <c r="Y40" s="5">
        <v>178</v>
      </c>
      <c r="Z40" s="5">
        <v>12144</v>
      </c>
      <c r="AA40" s="5"/>
      <c r="AB40" s="5"/>
      <c r="AC40" s="5"/>
      <c r="AD40" s="5"/>
      <c r="AE40" s="5"/>
      <c r="AF40" s="5"/>
      <c r="AG40" s="5">
        <v>2118</v>
      </c>
      <c r="AH40" s="5"/>
      <c r="AI40" s="5"/>
      <c r="AJ40" s="5"/>
      <c r="AK40" s="5">
        <v>2707</v>
      </c>
      <c r="AL40" s="5"/>
      <c r="AM40" s="5"/>
      <c r="AN40" s="5"/>
      <c r="AO40" s="5"/>
      <c r="AP40" s="5">
        <v>29982</v>
      </c>
      <c r="AQ40" s="5"/>
      <c r="AR40" s="5">
        <v>2570</v>
      </c>
      <c r="AS40" s="5">
        <v>2735</v>
      </c>
      <c r="AT40" s="5"/>
      <c r="AU40" s="5"/>
      <c r="AV40" s="5"/>
      <c r="AW40" s="5">
        <f t="shared" si="0"/>
        <v>87890</v>
      </c>
    </row>
    <row r="41" spans="1:49" x14ac:dyDescent="0.35">
      <c r="A41" s="4" t="s">
        <v>249</v>
      </c>
      <c r="B41" s="5">
        <v>3718</v>
      </c>
      <c r="C41" s="5"/>
      <c r="D41" s="5"/>
      <c r="E41" s="5"/>
      <c r="F41" s="5"/>
      <c r="G41" s="5"/>
      <c r="H41" s="5"/>
      <c r="I41" s="5"/>
      <c r="J41" s="5">
        <v>3002</v>
      </c>
      <c r="K41" s="5"/>
      <c r="L41" s="5"/>
      <c r="M41" s="5"/>
      <c r="N41" s="5"/>
      <c r="O41" s="5"/>
      <c r="P41" s="5">
        <v>2747</v>
      </c>
      <c r="Q41" s="5"/>
      <c r="R41" s="5"/>
      <c r="S41" s="5"/>
      <c r="T41" s="5">
        <v>7245</v>
      </c>
      <c r="U41" s="5"/>
      <c r="V41" s="5"/>
      <c r="W41" s="5">
        <v>15412</v>
      </c>
      <c r="X41" s="5">
        <v>1505</v>
      </c>
      <c r="Y41" s="5">
        <v>707</v>
      </c>
      <c r="Z41" s="5">
        <v>31167</v>
      </c>
      <c r="AA41" s="5"/>
      <c r="AB41" s="5"/>
      <c r="AC41" s="5"/>
      <c r="AD41" s="5"/>
      <c r="AE41" s="5"/>
      <c r="AF41" s="5"/>
      <c r="AG41" s="5">
        <v>2094</v>
      </c>
      <c r="AH41" s="5"/>
      <c r="AI41" s="5"/>
      <c r="AJ41" s="5"/>
      <c r="AK41" s="5">
        <v>634</v>
      </c>
      <c r="AL41" s="5"/>
      <c r="AM41" s="5"/>
      <c r="AN41" s="5"/>
      <c r="AO41" s="5"/>
      <c r="AP41" s="5">
        <v>15406</v>
      </c>
      <c r="AQ41" s="5"/>
      <c r="AR41" s="5">
        <v>18315</v>
      </c>
      <c r="AS41" s="5">
        <v>1397</v>
      </c>
      <c r="AT41" s="5"/>
      <c r="AU41" s="5"/>
      <c r="AV41" s="5"/>
      <c r="AW41" s="5">
        <f t="shared" si="0"/>
        <v>103349</v>
      </c>
    </row>
    <row r="42" spans="1:49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129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3000</v>
      </c>
      <c r="AS42" s="5"/>
      <c r="AT42" s="5"/>
      <c r="AU42" s="5"/>
      <c r="AV42" s="5"/>
      <c r="AW42" s="5">
        <f t="shared" si="0"/>
        <v>3129</v>
      </c>
    </row>
    <row r="43" spans="1:49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40</v>
      </c>
      <c r="AS43" s="5"/>
      <c r="AT43" s="5"/>
      <c r="AU43" s="5"/>
      <c r="AV43" s="5"/>
      <c r="AW43" s="5">
        <f t="shared" si="0"/>
        <v>40</v>
      </c>
    </row>
    <row r="44" spans="1:49" x14ac:dyDescent="0.35">
      <c r="A44" s="4" t="s">
        <v>250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70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819</v>
      </c>
      <c r="AS44" s="5"/>
      <c r="AT44" s="5"/>
      <c r="AU44" s="5"/>
      <c r="AV44" s="5"/>
      <c r="AW44" s="5">
        <f t="shared" si="0"/>
        <v>889</v>
      </c>
    </row>
    <row r="45" spans="1:49" x14ac:dyDescent="0.35">
      <c r="A45" s="4" t="s">
        <v>251</v>
      </c>
      <c r="B45" s="5">
        <v>10</v>
      </c>
      <c r="C45" s="5">
        <v>8</v>
      </c>
      <c r="D45" s="5"/>
      <c r="E45" s="5"/>
      <c r="F45" s="5"/>
      <c r="G45" s="5">
        <v>454</v>
      </c>
      <c r="H45" s="5"/>
      <c r="I45" s="5"/>
      <c r="J45" s="5"/>
      <c r="K45" s="5"/>
      <c r="L45" s="5">
        <v>612</v>
      </c>
      <c r="M45" s="5"/>
      <c r="N45" s="5">
        <v>90</v>
      </c>
      <c r="O45" s="5">
        <v>18</v>
      </c>
      <c r="P45" s="5"/>
      <c r="Q45" s="5"/>
      <c r="R45" s="5"/>
      <c r="S45" s="5"/>
      <c r="T45" s="5">
        <v>238</v>
      </c>
      <c r="U45" s="5"/>
      <c r="V45" s="5"/>
      <c r="W45" s="5"/>
      <c r="X45" s="5"/>
      <c r="Y45" s="5"/>
      <c r="Z45" s="5">
        <v>357</v>
      </c>
      <c r="AA45" s="5"/>
      <c r="AB45" s="5"/>
      <c r="AC45" s="5">
        <v>7</v>
      </c>
      <c r="AD45" s="5"/>
      <c r="AE45" s="5"/>
      <c r="AF45" s="5"/>
      <c r="AG45" s="5"/>
      <c r="AH45" s="5">
        <v>25</v>
      </c>
      <c r="AI45" s="5"/>
      <c r="AJ45" s="5"/>
      <c r="AK45" s="5"/>
      <c r="AL45" s="5">
        <v>1631</v>
      </c>
      <c r="AM45" s="5"/>
      <c r="AN45" s="5"/>
      <c r="AO45" s="5">
        <v>42</v>
      </c>
      <c r="AP45" s="5"/>
      <c r="AQ45" s="5"/>
      <c r="AR45" s="5">
        <v>63</v>
      </c>
      <c r="AS45" s="5"/>
      <c r="AT45" s="5"/>
      <c r="AU45" s="5"/>
      <c r="AV45" s="5"/>
      <c r="AW45" s="5">
        <f t="shared" si="0"/>
        <v>3555</v>
      </c>
    </row>
    <row r="46" spans="1:49" x14ac:dyDescent="0.35">
      <c r="A46" s="4" t="s">
        <v>252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70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3705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f t="shared" si="0"/>
        <v>3775</v>
      </c>
    </row>
    <row r="47" spans="1:49" x14ac:dyDescent="0.35">
      <c r="A47" s="4" t="s">
        <v>253</v>
      </c>
      <c r="B47" s="5">
        <v>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20</v>
      </c>
      <c r="O47" s="5">
        <v>18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24</v>
      </c>
      <c r="AH47" s="5">
        <v>15</v>
      </c>
      <c r="AI47" s="5"/>
      <c r="AJ47" s="5"/>
      <c r="AK47" s="5">
        <v>1</v>
      </c>
      <c r="AL47" s="5"/>
      <c r="AM47" s="5"/>
      <c r="AN47" s="5"/>
      <c r="AO47" s="5"/>
      <c r="AP47" s="5"/>
      <c r="AQ47" s="5"/>
      <c r="AR47" s="5">
        <v>48</v>
      </c>
      <c r="AS47" s="5"/>
      <c r="AT47" s="5"/>
      <c r="AU47" s="5"/>
      <c r="AV47" s="5">
        <v>6</v>
      </c>
      <c r="AW47" s="5">
        <f t="shared" si="0"/>
        <v>190</v>
      </c>
    </row>
    <row r="48" spans="1:49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f t="shared" si="0"/>
        <v>0</v>
      </c>
    </row>
    <row r="49" spans="1:49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f t="shared" si="0"/>
        <v>0</v>
      </c>
    </row>
    <row r="50" spans="1:49" x14ac:dyDescent="0.35">
      <c r="A50" s="4" t="s">
        <v>256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362</v>
      </c>
      <c r="AM50" s="5"/>
      <c r="AN50" s="5"/>
      <c r="AO50" s="5"/>
      <c r="AP50" s="5"/>
      <c r="AQ50" s="5"/>
      <c r="AR50" s="5">
        <v>145</v>
      </c>
      <c r="AS50" s="5"/>
      <c r="AT50" s="5"/>
      <c r="AU50" s="5"/>
      <c r="AV50" s="5">
        <v>10536</v>
      </c>
      <c r="AW50" s="5">
        <f t="shared" si="0"/>
        <v>11043</v>
      </c>
    </row>
    <row r="51" spans="1:49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f t="shared" si="0"/>
        <v>0</v>
      </c>
    </row>
    <row r="52" spans="1:49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f t="shared" si="0"/>
        <v>0</v>
      </c>
    </row>
    <row r="53" spans="1:49" x14ac:dyDescent="0.35">
      <c r="A53" s="4" t="s">
        <v>259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2310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17491</v>
      </c>
      <c r="AM53" s="5"/>
      <c r="AN53" s="5"/>
      <c r="AO53" s="5"/>
      <c r="AP53" s="5"/>
      <c r="AQ53" s="5"/>
      <c r="AR53" s="5">
        <v>511</v>
      </c>
      <c r="AS53" s="5"/>
      <c r="AT53" s="5"/>
      <c r="AU53" s="5"/>
      <c r="AV53" s="5">
        <v>1132</v>
      </c>
      <c r="AW53" s="5">
        <f t="shared" si="0"/>
        <v>21444</v>
      </c>
    </row>
    <row r="54" spans="1:49" x14ac:dyDescent="0.35">
      <c r="A54" s="4" t="s">
        <v>260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60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413</v>
      </c>
      <c r="AS54" s="5"/>
      <c r="AT54" s="5"/>
      <c r="AU54" s="5"/>
      <c r="AV54" s="5"/>
      <c r="AW54" s="5">
        <f t="shared" si="0"/>
        <v>473</v>
      </c>
    </row>
    <row r="55" spans="1:49" x14ac:dyDescent="0.35">
      <c r="A55" s="4" t="s">
        <v>261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8781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f t="shared" si="0"/>
        <v>8781</v>
      </c>
    </row>
    <row r="56" spans="1:49" x14ac:dyDescent="0.35">
      <c r="A56" s="4" t="s">
        <v>262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9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23</v>
      </c>
      <c r="AT56" s="5"/>
      <c r="AU56" s="5"/>
      <c r="AV56" s="5"/>
      <c r="AW56" s="5">
        <f t="shared" si="0"/>
        <v>32</v>
      </c>
    </row>
    <row r="57" spans="1:49" x14ac:dyDescent="0.35">
      <c r="A57" s="4" t="s">
        <v>263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f t="shared" si="0"/>
        <v>0</v>
      </c>
    </row>
    <row r="58" spans="1:49" x14ac:dyDescent="0.35">
      <c r="A58" s="4" t="s">
        <v>264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1511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f t="shared" si="0"/>
        <v>1511</v>
      </c>
    </row>
    <row r="59" spans="1:49" x14ac:dyDescent="0.35">
      <c r="A59" s="4" t="s">
        <v>265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f t="shared" si="0"/>
        <v>0</v>
      </c>
    </row>
    <row r="60" spans="1:49" x14ac:dyDescent="0.35">
      <c r="A60" s="4" t="s">
        <v>266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53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174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227</v>
      </c>
      <c r="AS60" s="5"/>
      <c r="AT60" s="5"/>
      <c r="AU60" s="5"/>
      <c r="AV60" s="5">
        <v>929</v>
      </c>
      <c r="AW60" s="5">
        <f t="shared" si="0"/>
        <v>1383</v>
      </c>
    </row>
    <row r="61" spans="1:49" x14ac:dyDescent="0.35">
      <c r="A61" s="4" t="s">
        <v>267</v>
      </c>
      <c r="B61" s="5">
        <v>36</v>
      </c>
      <c r="C61" s="5">
        <v>9</v>
      </c>
      <c r="D61" s="5"/>
      <c r="E61" s="5"/>
      <c r="F61" s="5"/>
      <c r="G61" s="5">
        <v>1827</v>
      </c>
      <c r="H61" s="5"/>
      <c r="I61" s="5"/>
      <c r="J61" s="5"/>
      <c r="K61" s="5"/>
      <c r="L61" s="5"/>
      <c r="M61" s="5"/>
      <c r="N61" s="5">
        <v>81</v>
      </c>
      <c r="O61" s="5">
        <v>40</v>
      </c>
      <c r="P61" s="5"/>
      <c r="Q61" s="5"/>
      <c r="R61" s="5"/>
      <c r="S61" s="5"/>
      <c r="T61" s="5">
        <v>318</v>
      </c>
      <c r="U61" s="5"/>
      <c r="V61" s="5"/>
      <c r="W61" s="5"/>
      <c r="X61" s="5"/>
      <c r="Y61" s="5"/>
      <c r="Z61" s="5">
        <v>316</v>
      </c>
      <c r="AA61" s="5"/>
      <c r="AB61" s="5"/>
      <c r="AC61" s="5">
        <v>61</v>
      </c>
      <c r="AD61" s="5">
        <v>67</v>
      </c>
      <c r="AE61" s="5"/>
      <c r="AF61" s="5"/>
      <c r="AG61" s="5"/>
      <c r="AH61" s="5">
        <v>42</v>
      </c>
      <c r="AI61" s="5"/>
      <c r="AJ61" s="5"/>
      <c r="AK61" s="5"/>
      <c r="AL61" s="5">
        <v>3453</v>
      </c>
      <c r="AM61" s="5"/>
      <c r="AN61" s="5"/>
      <c r="AO61" s="5">
        <v>31</v>
      </c>
      <c r="AP61" s="5"/>
      <c r="AQ61" s="5"/>
      <c r="AR61" s="5">
        <v>80</v>
      </c>
      <c r="AS61" s="5">
        <v>53</v>
      </c>
      <c r="AT61" s="5"/>
      <c r="AU61" s="5"/>
      <c r="AV61" s="5"/>
      <c r="AW61" s="5">
        <f t="shared" si="0"/>
        <v>6414</v>
      </c>
    </row>
    <row r="62" spans="1:49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3046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f t="shared" si="0"/>
        <v>3046</v>
      </c>
    </row>
    <row r="63" spans="1:49" x14ac:dyDescent="0.35">
      <c r="A63" s="4" t="s">
        <v>269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f>SUM(B63:AV63)</f>
        <v>0</v>
      </c>
    </row>
    <row r="64" spans="1:49" x14ac:dyDescent="0.35">
      <c r="A64" s="8" t="s">
        <v>317</v>
      </c>
      <c r="B64" s="5">
        <f>SUM(B3:B63)</f>
        <v>18239</v>
      </c>
      <c r="C64" s="5">
        <f t="shared" ref="C64:AV64" si="1">SUM(C3:C63)</f>
        <v>17</v>
      </c>
      <c r="D64" s="5">
        <f t="shared" si="1"/>
        <v>0</v>
      </c>
      <c r="E64" s="5">
        <f t="shared" si="1"/>
        <v>0</v>
      </c>
      <c r="F64" s="5">
        <f t="shared" si="1"/>
        <v>0</v>
      </c>
      <c r="G64" s="5">
        <f t="shared" si="1"/>
        <v>2281</v>
      </c>
      <c r="H64" s="5">
        <f t="shared" si="1"/>
        <v>0</v>
      </c>
      <c r="I64" s="5">
        <f t="shared" si="1"/>
        <v>8936</v>
      </c>
      <c r="J64" s="5">
        <f t="shared" si="1"/>
        <v>7694</v>
      </c>
      <c r="K64" s="5">
        <f t="shared" si="1"/>
        <v>0</v>
      </c>
      <c r="L64" s="5">
        <f t="shared" si="1"/>
        <v>22890</v>
      </c>
      <c r="M64" s="5">
        <f t="shared" si="1"/>
        <v>0</v>
      </c>
      <c r="N64" s="5">
        <f t="shared" si="1"/>
        <v>191</v>
      </c>
      <c r="O64" s="5">
        <f t="shared" si="1"/>
        <v>76</v>
      </c>
      <c r="P64" s="5">
        <f t="shared" si="1"/>
        <v>14904</v>
      </c>
      <c r="Q64" s="5">
        <f t="shared" si="1"/>
        <v>952</v>
      </c>
      <c r="R64" s="5">
        <f t="shared" si="1"/>
        <v>0</v>
      </c>
      <c r="S64" s="5">
        <f t="shared" si="1"/>
        <v>8506</v>
      </c>
      <c r="T64" s="5">
        <f t="shared" si="1"/>
        <v>50752</v>
      </c>
      <c r="U64" s="5">
        <f t="shared" si="1"/>
        <v>0</v>
      </c>
      <c r="V64" s="5">
        <f t="shared" si="1"/>
        <v>0</v>
      </c>
      <c r="W64" s="5">
        <f t="shared" si="1"/>
        <v>80840</v>
      </c>
      <c r="X64" s="5">
        <f t="shared" si="1"/>
        <v>16266</v>
      </c>
      <c r="Y64" s="5">
        <f t="shared" si="1"/>
        <v>1899</v>
      </c>
      <c r="Z64" s="5">
        <f t="shared" si="1"/>
        <v>109038</v>
      </c>
      <c r="AA64" s="5">
        <f t="shared" si="1"/>
        <v>0</v>
      </c>
      <c r="AB64" s="5">
        <f t="shared" si="1"/>
        <v>11060</v>
      </c>
      <c r="AC64" s="5">
        <f t="shared" si="1"/>
        <v>68</v>
      </c>
      <c r="AD64" s="5">
        <f t="shared" si="1"/>
        <v>3576</v>
      </c>
      <c r="AE64" s="5">
        <f t="shared" si="1"/>
        <v>13968</v>
      </c>
      <c r="AF64" s="5">
        <f t="shared" si="1"/>
        <v>21994</v>
      </c>
      <c r="AG64" s="5">
        <f t="shared" si="1"/>
        <v>8516</v>
      </c>
      <c r="AH64" s="5">
        <f t="shared" si="1"/>
        <v>22732</v>
      </c>
      <c r="AI64" s="5">
        <f t="shared" si="1"/>
        <v>0</v>
      </c>
      <c r="AJ64" s="5">
        <f t="shared" si="1"/>
        <v>0</v>
      </c>
      <c r="AK64" s="5">
        <f t="shared" si="1"/>
        <v>17944</v>
      </c>
      <c r="AL64" s="5">
        <f t="shared" si="1"/>
        <v>143834</v>
      </c>
      <c r="AM64" s="5">
        <f t="shared" si="1"/>
        <v>0</v>
      </c>
      <c r="AN64" s="5">
        <f t="shared" si="1"/>
        <v>6916</v>
      </c>
      <c r="AO64" s="5">
        <f t="shared" si="1"/>
        <v>12938</v>
      </c>
      <c r="AP64" s="5">
        <f t="shared" si="1"/>
        <v>90776</v>
      </c>
      <c r="AQ64" s="5">
        <f t="shared" si="1"/>
        <v>0</v>
      </c>
      <c r="AR64" s="5">
        <f t="shared" si="1"/>
        <v>61439</v>
      </c>
      <c r="AS64" s="5">
        <f t="shared" si="1"/>
        <v>8748</v>
      </c>
      <c r="AT64" s="5">
        <f t="shared" si="1"/>
        <v>0</v>
      </c>
      <c r="AU64" s="5">
        <f t="shared" si="1"/>
        <v>0</v>
      </c>
      <c r="AV64" s="5">
        <f t="shared" si="1"/>
        <v>67477</v>
      </c>
      <c r="AW64" s="5">
        <f>SUM(B64:AV64)</f>
        <v>835467</v>
      </c>
    </row>
    <row r="66" spans="1:48" x14ac:dyDescent="0.35">
      <c r="A66" t="s">
        <v>8</v>
      </c>
      <c r="B66">
        <v>722847.5</v>
      </c>
      <c r="C66">
        <v>194995.3</v>
      </c>
      <c r="D66">
        <v>6820.9</v>
      </c>
      <c r="E66">
        <v>3207143.3</v>
      </c>
      <c r="F66">
        <v>3292126.2</v>
      </c>
      <c r="G66">
        <v>6894101.5999999996</v>
      </c>
      <c r="H66">
        <v>61619.1</v>
      </c>
      <c r="I66">
        <v>133349.5</v>
      </c>
      <c r="J66">
        <v>32210.7</v>
      </c>
      <c r="K66">
        <v>59339.9</v>
      </c>
      <c r="L66">
        <v>991164.8</v>
      </c>
      <c r="M66">
        <v>1117632.7</v>
      </c>
      <c r="N66">
        <v>399718.40000000002</v>
      </c>
      <c r="O66">
        <v>60621.9</v>
      </c>
      <c r="P66">
        <v>435003</v>
      </c>
      <c r="Q66">
        <v>10993.6</v>
      </c>
      <c r="R66">
        <v>818448.6</v>
      </c>
      <c r="S66">
        <v>610899.30000000005</v>
      </c>
      <c r="T66">
        <v>819320.4</v>
      </c>
      <c r="U66">
        <v>45062.400000000001</v>
      </c>
      <c r="V66">
        <v>83366.8</v>
      </c>
      <c r="W66">
        <v>893372.3</v>
      </c>
      <c r="X66">
        <v>413410.9</v>
      </c>
      <c r="Y66">
        <v>62283.7</v>
      </c>
      <c r="Z66">
        <v>1418695.6</v>
      </c>
      <c r="AA66">
        <v>155883.9</v>
      </c>
      <c r="AB66">
        <v>793162.3</v>
      </c>
      <c r="AC66">
        <v>601396.5</v>
      </c>
      <c r="AD66">
        <v>754923.7</v>
      </c>
      <c r="AE66">
        <v>15026.4</v>
      </c>
      <c r="AF66">
        <v>999254.5</v>
      </c>
      <c r="AG66">
        <v>68792.399999999994</v>
      </c>
      <c r="AH66">
        <v>362267.2</v>
      </c>
      <c r="AI66">
        <v>503266.5</v>
      </c>
      <c r="AJ66">
        <v>1726.4</v>
      </c>
      <c r="AK66">
        <v>244533.1</v>
      </c>
      <c r="AL66">
        <v>1224226.8999999999</v>
      </c>
      <c r="AM66">
        <v>423842.2</v>
      </c>
      <c r="AN66">
        <v>175074.6</v>
      </c>
      <c r="AO66">
        <v>873411.1</v>
      </c>
      <c r="AP66">
        <v>1437486</v>
      </c>
      <c r="AQ66">
        <v>597001.9</v>
      </c>
      <c r="AR66">
        <v>485908.2</v>
      </c>
      <c r="AS66">
        <v>104202.4</v>
      </c>
      <c r="AT66">
        <v>248497.9</v>
      </c>
      <c r="AU66">
        <v>22908.400000000001</v>
      </c>
      <c r="AV66">
        <v>1924245.2</v>
      </c>
    </row>
  </sheetData>
  <hyperlinks>
    <hyperlink ref="B1" location="Home!A1" display="HOME" xr:uid="{C9595E5B-E71F-4028-98BB-0CABEF046FB7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8" x14ac:dyDescent="0.35">
      <c r="A1" s="2" t="s">
        <v>320</v>
      </c>
      <c r="B1" s="29" t="s">
        <v>376</v>
      </c>
    </row>
    <row r="2" spans="1:48" x14ac:dyDescent="0.35">
      <c r="A2" s="9"/>
      <c r="B2" s="9" t="s">
        <v>70</v>
      </c>
      <c r="C2" s="9" t="s">
        <v>270</v>
      </c>
      <c r="D2" s="9" t="s">
        <v>272</v>
      </c>
      <c r="E2" s="9" t="s">
        <v>271</v>
      </c>
      <c r="F2" s="9" t="s">
        <v>273</v>
      </c>
      <c r="G2" s="9" t="s">
        <v>274</v>
      </c>
      <c r="H2" s="9" t="s">
        <v>275</v>
      </c>
      <c r="I2" s="9" t="s">
        <v>276</v>
      </c>
      <c r="J2" s="9" t="s">
        <v>277</v>
      </c>
      <c r="K2" s="9" t="s">
        <v>278</v>
      </c>
      <c r="L2" s="9" t="s">
        <v>279</v>
      </c>
      <c r="M2" s="9" t="s">
        <v>280</v>
      </c>
      <c r="N2" s="9" t="s">
        <v>281</v>
      </c>
      <c r="O2" s="9" t="s">
        <v>282</v>
      </c>
      <c r="P2" s="9" t="s">
        <v>283</v>
      </c>
      <c r="Q2" s="9" t="s">
        <v>284</v>
      </c>
      <c r="R2" s="9" t="s">
        <v>285</v>
      </c>
      <c r="S2" s="9" t="s">
        <v>286</v>
      </c>
      <c r="T2" s="9" t="s">
        <v>287</v>
      </c>
      <c r="U2" s="9" t="s">
        <v>288</v>
      </c>
      <c r="V2" s="9" t="s">
        <v>289</v>
      </c>
      <c r="W2" s="9" t="s">
        <v>290</v>
      </c>
      <c r="X2" s="9" t="s">
        <v>291</v>
      </c>
      <c r="Y2" s="9" t="s">
        <v>292</v>
      </c>
      <c r="Z2" s="9" t="s">
        <v>293</v>
      </c>
      <c r="AA2" s="9" t="s">
        <v>294</v>
      </c>
      <c r="AB2" s="9" t="s">
        <v>295</v>
      </c>
      <c r="AC2" s="9" t="s">
        <v>296</v>
      </c>
      <c r="AD2" s="9" t="s">
        <v>297</v>
      </c>
      <c r="AE2" s="9" t="s">
        <v>298</v>
      </c>
      <c r="AF2" s="9" t="s">
        <v>299</v>
      </c>
      <c r="AG2" s="9" t="s">
        <v>300</v>
      </c>
      <c r="AH2" s="9" t="s">
        <v>301</v>
      </c>
      <c r="AI2" s="9" t="s">
        <v>302</v>
      </c>
      <c r="AJ2" s="9" t="s">
        <v>303</v>
      </c>
      <c r="AK2" s="9" t="s">
        <v>304</v>
      </c>
      <c r="AL2" s="9" t="s">
        <v>305</v>
      </c>
      <c r="AM2" s="9" t="s">
        <v>306</v>
      </c>
      <c r="AN2" s="9" t="s">
        <v>307</v>
      </c>
      <c r="AO2" s="9" t="s">
        <v>308</v>
      </c>
      <c r="AP2" s="9" t="s">
        <v>309</v>
      </c>
      <c r="AQ2" s="9" t="s">
        <v>310</v>
      </c>
      <c r="AR2" s="9" t="s">
        <v>311</v>
      </c>
      <c r="AS2" s="9" t="s">
        <v>312</v>
      </c>
      <c r="AT2" s="9" t="s">
        <v>313</v>
      </c>
      <c r="AU2" s="9" t="s">
        <v>314</v>
      </c>
      <c r="AV2" s="9" t="s">
        <v>315</v>
      </c>
    </row>
    <row r="3" spans="1:48" x14ac:dyDescent="0.35">
      <c r="A3" s="8" t="s">
        <v>319</v>
      </c>
      <c r="B3" s="9" t="s">
        <v>71</v>
      </c>
      <c r="C3" s="9" t="s">
        <v>74</v>
      </c>
      <c r="D3" s="9" t="s">
        <v>77</v>
      </c>
      <c r="E3" s="9" t="s">
        <v>80</v>
      </c>
      <c r="F3" s="9" t="s">
        <v>83</v>
      </c>
      <c r="G3" s="9" t="s">
        <v>86</v>
      </c>
      <c r="H3" s="9" t="s">
        <v>89</v>
      </c>
      <c r="I3" s="9" t="s">
        <v>92</v>
      </c>
      <c r="J3" s="9" t="s">
        <v>95</v>
      </c>
      <c r="K3" s="9" t="s">
        <v>98</v>
      </c>
      <c r="L3" s="9" t="s">
        <v>101</v>
      </c>
      <c r="M3" s="9" t="s">
        <v>104</v>
      </c>
      <c r="N3" s="9" t="s">
        <v>107</v>
      </c>
      <c r="O3" s="9" t="s">
        <v>110</v>
      </c>
      <c r="P3" s="9" t="s">
        <v>113</v>
      </c>
      <c r="Q3" s="9" t="s">
        <v>116</v>
      </c>
      <c r="R3" s="9" t="s">
        <v>119</v>
      </c>
      <c r="S3" s="9" t="s">
        <v>122</v>
      </c>
      <c r="T3" s="9" t="s">
        <v>125</v>
      </c>
      <c r="U3" s="9" t="s">
        <v>128</v>
      </c>
      <c r="V3" s="9" t="s">
        <v>131</v>
      </c>
      <c r="W3" s="9" t="s">
        <v>134</v>
      </c>
      <c r="X3" s="9" t="s">
        <v>137</v>
      </c>
      <c r="Y3" s="9" t="s">
        <v>140</v>
      </c>
      <c r="Z3" s="9" t="s">
        <v>143</v>
      </c>
      <c r="AA3" s="9" t="s">
        <v>146</v>
      </c>
      <c r="AB3" s="9" t="s">
        <v>149</v>
      </c>
      <c r="AC3" s="9" t="s">
        <v>152</v>
      </c>
      <c r="AD3" s="9" t="s">
        <v>155</v>
      </c>
      <c r="AE3" s="9" t="s">
        <v>158</v>
      </c>
      <c r="AF3" s="9" t="s">
        <v>161</v>
      </c>
      <c r="AG3" s="9" t="s">
        <v>164</v>
      </c>
      <c r="AH3" s="9" t="s">
        <v>167</v>
      </c>
      <c r="AI3" s="9" t="s">
        <v>170</v>
      </c>
      <c r="AJ3" s="9" t="s">
        <v>173</v>
      </c>
      <c r="AK3" s="9" t="s">
        <v>176</v>
      </c>
      <c r="AL3" s="9" t="s">
        <v>179</v>
      </c>
      <c r="AM3" s="9" t="s">
        <v>182</v>
      </c>
      <c r="AN3" s="9" t="s">
        <v>185</v>
      </c>
      <c r="AO3" s="9" t="s">
        <v>188</v>
      </c>
      <c r="AP3" s="9" t="s">
        <v>191</v>
      </c>
      <c r="AQ3" s="9" t="s">
        <v>194</v>
      </c>
      <c r="AR3" s="9" t="s">
        <v>197</v>
      </c>
      <c r="AS3" s="9" t="s">
        <v>200</v>
      </c>
      <c r="AT3" s="9" t="s">
        <v>203</v>
      </c>
      <c r="AU3" s="9" t="s">
        <v>206</v>
      </c>
      <c r="AV3" s="9" t="s">
        <v>209</v>
      </c>
    </row>
    <row r="4" spans="1:48" x14ac:dyDescent="0.35">
      <c r="A4" s="4" t="s">
        <v>212</v>
      </c>
      <c r="B4" s="5">
        <v>803</v>
      </c>
      <c r="C4" s="5"/>
      <c r="D4" s="5"/>
      <c r="E4" s="5">
        <v>6418</v>
      </c>
      <c r="F4" s="5"/>
      <c r="G4" s="5">
        <v>65759</v>
      </c>
      <c r="H4" s="5"/>
      <c r="I4" s="5"/>
      <c r="J4" s="5"/>
      <c r="K4" s="5"/>
      <c r="L4" s="5"/>
      <c r="M4" s="5"/>
      <c r="N4" s="5"/>
      <c r="O4" s="5"/>
      <c r="P4" s="5">
        <v>554</v>
      </c>
      <c r="Q4" s="5">
        <v>308</v>
      </c>
      <c r="R4" s="5"/>
      <c r="S4" s="5">
        <v>573</v>
      </c>
      <c r="T4" s="5"/>
      <c r="U4" s="5"/>
      <c r="V4" s="5"/>
      <c r="W4" s="5">
        <v>2730</v>
      </c>
      <c r="X4" s="5"/>
      <c r="Y4" s="5"/>
      <c r="Z4" s="5">
        <v>8682</v>
      </c>
      <c r="AA4" s="5"/>
      <c r="AB4" s="5">
        <v>3523</v>
      </c>
      <c r="AC4" s="5">
        <v>200</v>
      </c>
      <c r="AD4" s="5">
        <v>1971</v>
      </c>
      <c r="AE4" s="5">
        <v>2046</v>
      </c>
      <c r="AF4" s="5">
        <v>1452</v>
      </c>
      <c r="AG4" s="5"/>
      <c r="AH4" s="5">
        <v>1104</v>
      </c>
      <c r="AI4" s="5"/>
      <c r="AJ4" s="5"/>
      <c r="AK4" s="5"/>
      <c r="AL4" s="5"/>
      <c r="AM4" s="5"/>
      <c r="AN4" s="5"/>
      <c r="AO4" s="5">
        <v>946</v>
      </c>
      <c r="AP4" s="5"/>
      <c r="AQ4" s="5"/>
      <c r="AR4" s="5">
        <v>1114</v>
      </c>
      <c r="AS4" s="5">
        <v>172</v>
      </c>
      <c r="AT4" s="5"/>
      <c r="AU4" s="5"/>
      <c r="AV4" s="5">
        <f>SUM(B4:AU4)</f>
        <v>98355</v>
      </c>
    </row>
    <row r="5" spans="1:48" x14ac:dyDescent="0.35">
      <c r="A5" s="4" t="s">
        <v>213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486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3028</v>
      </c>
      <c r="AC5" s="5"/>
      <c r="AD5" s="5"/>
      <c r="AE5" s="5"/>
      <c r="AF5" s="5"/>
      <c r="AG5" s="5"/>
      <c r="AH5" s="5">
        <v>609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f>SUM(B5:AU5)</f>
        <v>4123</v>
      </c>
    </row>
    <row r="6" spans="1:48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35">
      <c r="A7" s="4" t="s">
        <v>215</v>
      </c>
      <c r="B7" s="5">
        <v>6196</v>
      </c>
      <c r="C7" s="5"/>
      <c r="D7" s="5"/>
      <c r="E7" s="5">
        <v>59813</v>
      </c>
      <c r="F7" s="5"/>
      <c r="G7" s="5">
        <v>74920</v>
      </c>
      <c r="H7" s="5"/>
      <c r="I7" s="5"/>
      <c r="J7" s="5">
        <v>3735</v>
      </c>
      <c r="K7" s="5"/>
      <c r="L7" s="5"/>
      <c r="M7" s="5"/>
      <c r="N7" s="5">
        <v>4880</v>
      </c>
      <c r="O7" s="5"/>
      <c r="P7" s="5">
        <v>6573</v>
      </c>
      <c r="Q7" s="5">
        <v>403</v>
      </c>
      <c r="R7" s="5"/>
      <c r="S7" s="5">
        <v>3606</v>
      </c>
      <c r="T7" s="5">
        <v>8780</v>
      </c>
      <c r="U7" s="5"/>
      <c r="V7" s="5"/>
      <c r="W7" s="5"/>
      <c r="X7" s="5"/>
      <c r="Y7" s="5">
        <v>727</v>
      </c>
      <c r="Z7" s="5">
        <v>40292</v>
      </c>
      <c r="AA7" s="5"/>
      <c r="AB7" s="5">
        <v>3438</v>
      </c>
      <c r="AC7" s="5">
        <v>3545</v>
      </c>
      <c r="AD7" s="5"/>
      <c r="AE7" s="5">
        <v>3963</v>
      </c>
      <c r="AF7" s="5">
        <v>6432</v>
      </c>
      <c r="AG7" s="5">
        <v>4110</v>
      </c>
      <c r="AH7" s="5"/>
      <c r="AI7" s="5"/>
      <c r="AJ7" s="5"/>
      <c r="AK7" s="5">
        <v>6106</v>
      </c>
      <c r="AL7" s="5"/>
      <c r="AM7" s="5"/>
      <c r="AN7" s="5">
        <v>3289</v>
      </c>
      <c r="AO7" s="5">
        <v>3289</v>
      </c>
      <c r="AP7" s="5">
        <v>40149</v>
      </c>
      <c r="AQ7" s="5"/>
      <c r="AR7" s="5">
        <v>18722</v>
      </c>
      <c r="AS7" s="5">
        <v>4262</v>
      </c>
      <c r="AT7" s="5"/>
      <c r="AU7" s="5"/>
      <c r="AV7" s="5">
        <f t="shared" ref="AV7:AV19" si="0">SUM(B7:AU7)</f>
        <v>307230</v>
      </c>
    </row>
    <row r="8" spans="1:48" x14ac:dyDescent="0.35">
      <c r="A8" s="4" t="s">
        <v>216</v>
      </c>
      <c r="B8" s="5">
        <v>1591</v>
      </c>
      <c r="C8" s="5">
        <v>514</v>
      </c>
      <c r="D8" s="5">
        <v>31</v>
      </c>
      <c r="E8" s="5">
        <v>1555</v>
      </c>
      <c r="F8" s="5">
        <v>6925</v>
      </c>
      <c r="G8" s="5">
        <v>101275</v>
      </c>
      <c r="H8" s="5">
        <v>437</v>
      </c>
      <c r="I8" s="5">
        <v>368</v>
      </c>
      <c r="J8" s="5"/>
      <c r="K8" s="5"/>
      <c r="L8" s="5"/>
      <c r="M8" s="5">
        <v>30</v>
      </c>
      <c r="N8" s="5">
        <v>943</v>
      </c>
      <c r="O8" s="5">
        <v>1501</v>
      </c>
      <c r="P8" s="5">
        <v>35</v>
      </c>
      <c r="Q8" s="5"/>
      <c r="R8" s="5">
        <v>127</v>
      </c>
      <c r="S8" s="5">
        <v>451</v>
      </c>
      <c r="T8" s="5">
        <v>3851</v>
      </c>
      <c r="U8" s="5"/>
      <c r="V8" s="5">
        <v>259</v>
      </c>
      <c r="W8" s="5">
        <v>11287</v>
      </c>
      <c r="X8" s="5">
        <v>500</v>
      </c>
      <c r="Y8" s="5">
        <v>153</v>
      </c>
      <c r="Z8" s="5"/>
      <c r="AA8" s="5">
        <v>806</v>
      </c>
      <c r="AB8" s="5">
        <v>3400</v>
      </c>
      <c r="AC8" s="5">
        <v>48</v>
      </c>
      <c r="AD8" s="5">
        <v>1961</v>
      </c>
      <c r="AE8" s="5"/>
      <c r="AF8" s="5">
        <v>4265</v>
      </c>
      <c r="AG8" s="5"/>
      <c r="AH8" s="5">
        <v>622</v>
      </c>
      <c r="AI8" s="5">
        <v>3946</v>
      </c>
      <c r="AJ8" s="5"/>
      <c r="AK8" s="5">
        <v>2187</v>
      </c>
      <c r="AL8" s="5"/>
      <c r="AM8" s="5"/>
      <c r="AN8" s="5">
        <v>1282</v>
      </c>
      <c r="AO8" s="5">
        <v>836</v>
      </c>
      <c r="AP8" s="5">
        <v>7000</v>
      </c>
      <c r="AQ8" s="5">
        <v>2773</v>
      </c>
      <c r="AR8" s="5"/>
      <c r="AS8" s="5"/>
      <c r="AT8" s="5">
        <v>795</v>
      </c>
      <c r="AU8" s="5">
        <v>295</v>
      </c>
      <c r="AV8" s="5">
        <f t="shared" si="0"/>
        <v>162049</v>
      </c>
    </row>
    <row r="9" spans="1:48" x14ac:dyDescent="0.35">
      <c r="A9" s="4" t="s">
        <v>217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v>4</v>
      </c>
      <c r="Q9" s="5"/>
      <c r="R9" s="5"/>
      <c r="S9" s="5"/>
      <c r="T9" s="5"/>
      <c r="U9" s="5"/>
      <c r="V9" s="5"/>
      <c r="W9" s="5"/>
      <c r="X9" s="5"/>
      <c r="Y9" s="5"/>
      <c r="Z9" s="5">
        <v>1045</v>
      </c>
      <c r="AA9" s="5"/>
      <c r="AB9" s="5">
        <v>111</v>
      </c>
      <c r="AC9" s="5"/>
      <c r="AD9" s="5"/>
      <c r="AE9" s="5">
        <v>351</v>
      </c>
      <c r="AF9" s="5">
        <v>136</v>
      </c>
      <c r="AG9" s="5"/>
      <c r="AH9" s="5"/>
      <c r="AI9" s="5">
        <v>54</v>
      </c>
      <c r="AJ9" s="5"/>
      <c r="AK9" s="5"/>
      <c r="AL9" s="5">
        <v>5770</v>
      </c>
      <c r="AM9" s="5"/>
      <c r="AN9" s="5"/>
      <c r="AO9" s="5">
        <v>30</v>
      </c>
      <c r="AP9" s="5"/>
      <c r="AQ9" s="5"/>
      <c r="AR9" s="5">
        <v>236</v>
      </c>
      <c r="AS9" s="5"/>
      <c r="AT9" s="5"/>
      <c r="AU9" s="5"/>
      <c r="AV9" s="5">
        <f t="shared" si="0"/>
        <v>7737</v>
      </c>
    </row>
    <row r="10" spans="1:48" x14ac:dyDescent="0.35">
      <c r="A10" s="4" t="s">
        <v>218</v>
      </c>
      <c r="B10" s="5">
        <v>207</v>
      </c>
      <c r="C10" s="5"/>
      <c r="D10" s="5"/>
      <c r="E10" s="5">
        <v>283</v>
      </c>
      <c r="F10" s="5"/>
      <c r="G10" s="5"/>
      <c r="H10" s="5"/>
      <c r="I10" s="5"/>
      <c r="J10" s="5"/>
      <c r="K10" s="5"/>
      <c r="L10" s="5"/>
      <c r="M10" s="5"/>
      <c r="N10" s="5">
        <v>1330</v>
      </c>
      <c r="O10" s="5"/>
      <c r="P10" s="5"/>
      <c r="Q10" s="5"/>
      <c r="R10" s="5"/>
      <c r="S10" s="5">
        <v>72</v>
      </c>
      <c r="T10" s="5"/>
      <c r="U10" s="5"/>
      <c r="V10" s="5"/>
      <c r="W10" s="5"/>
      <c r="X10" s="5"/>
      <c r="Y10" s="5"/>
      <c r="Z10" s="5">
        <v>2202</v>
      </c>
      <c r="AA10" s="5"/>
      <c r="AB10" s="5">
        <v>17</v>
      </c>
      <c r="AC10" s="5">
        <v>170</v>
      </c>
      <c r="AD10" s="5"/>
      <c r="AE10" s="5">
        <v>460</v>
      </c>
      <c r="AF10" s="5">
        <v>103</v>
      </c>
      <c r="AG10" s="5"/>
      <c r="AH10" s="5"/>
      <c r="AI10" s="5"/>
      <c r="AJ10" s="5"/>
      <c r="AK10" s="5"/>
      <c r="AL10" s="5"/>
      <c r="AM10" s="5"/>
      <c r="AN10" s="5"/>
      <c r="AO10" s="5">
        <v>51</v>
      </c>
      <c r="AP10" s="5"/>
      <c r="AQ10" s="5"/>
      <c r="AR10" s="5">
        <v>394</v>
      </c>
      <c r="AS10" s="5"/>
      <c r="AT10" s="5"/>
      <c r="AU10" s="5"/>
      <c r="AV10" s="5">
        <f t="shared" si="0"/>
        <v>5289</v>
      </c>
    </row>
    <row r="11" spans="1:48" x14ac:dyDescent="0.35">
      <c r="A11" s="4" t="s">
        <v>219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5334</v>
      </c>
      <c r="AS11" s="5"/>
      <c r="AT11" s="5"/>
      <c r="AU11" s="5"/>
      <c r="AV11" s="5">
        <f t="shared" si="0"/>
        <v>5334</v>
      </c>
    </row>
    <row r="12" spans="1:48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64876</v>
      </c>
      <c r="AM12" s="5"/>
      <c r="AN12" s="5"/>
      <c r="AO12" s="5"/>
      <c r="AP12" s="5"/>
      <c r="AQ12" s="5"/>
      <c r="AR12" s="5"/>
      <c r="AS12" s="5"/>
      <c r="AT12" s="5"/>
      <c r="AU12" s="5"/>
      <c r="AV12" s="5">
        <f t="shared" si="0"/>
        <v>64876</v>
      </c>
    </row>
    <row r="13" spans="1:48" x14ac:dyDescent="0.35">
      <c r="A13" s="4" t="s">
        <v>221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v>2586</v>
      </c>
      <c r="AM13" s="5"/>
      <c r="AN13" s="5"/>
      <c r="AO13" s="5"/>
      <c r="AP13" s="5"/>
      <c r="AQ13" s="5"/>
      <c r="AR13" s="5"/>
      <c r="AS13" s="5"/>
      <c r="AT13" s="5"/>
      <c r="AU13" s="5"/>
      <c r="AV13" s="5">
        <f t="shared" si="0"/>
        <v>2586</v>
      </c>
    </row>
    <row r="14" spans="1:48" x14ac:dyDescent="0.35">
      <c r="A14" s="4" t="s">
        <v>222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2</v>
      </c>
      <c r="AM14" s="5"/>
      <c r="AN14" s="5"/>
      <c r="AO14" s="5"/>
      <c r="AP14" s="5"/>
      <c r="AQ14" s="5"/>
      <c r="AR14" s="5"/>
      <c r="AS14" s="5"/>
      <c r="AT14" s="5"/>
      <c r="AU14" s="5"/>
      <c r="AV14" s="5">
        <f t="shared" si="0"/>
        <v>2</v>
      </c>
    </row>
    <row r="15" spans="1:48" x14ac:dyDescent="0.35">
      <c r="A15" s="4" t="s">
        <v>223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5293</v>
      </c>
      <c r="X15" s="5"/>
      <c r="Y15" s="5"/>
      <c r="Z15" s="5"/>
      <c r="AA15" s="5"/>
      <c r="AB15" s="5"/>
      <c r="AC15" s="5"/>
      <c r="AD15" s="5"/>
      <c r="AE15" s="5"/>
      <c r="AF15" s="5">
        <v>1204</v>
      </c>
      <c r="AG15" s="5"/>
      <c r="AH15" s="5"/>
      <c r="AI15" s="5"/>
      <c r="AJ15" s="5"/>
      <c r="AK15" s="5"/>
      <c r="AL15" s="5"/>
      <c r="AM15" s="5"/>
      <c r="AN15" s="5"/>
      <c r="AO15" s="5">
        <v>6560</v>
      </c>
      <c r="AP15" s="5"/>
      <c r="AQ15" s="5"/>
      <c r="AR15" s="5"/>
      <c r="AS15" s="5"/>
      <c r="AT15" s="5"/>
      <c r="AU15" s="5"/>
      <c r="AV15" s="5">
        <f t="shared" si="0"/>
        <v>13057</v>
      </c>
    </row>
    <row r="16" spans="1:48" x14ac:dyDescent="0.35">
      <c r="A16" s="4" t="s">
        <v>224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238</v>
      </c>
      <c r="AG16" s="5"/>
      <c r="AH16" s="5"/>
      <c r="AI16" s="5"/>
      <c r="AJ16" s="5"/>
      <c r="AK16" s="5"/>
      <c r="AL16" s="5">
        <v>4625</v>
      </c>
      <c r="AM16" s="5"/>
      <c r="AN16" s="5"/>
      <c r="AO16" s="5"/>
      <c r="AP16" s="5"/>
      <c r="AQ16" s="5"/>
      <c r="AR16" s="5"/>
      <c r="AS16" s="5"/>
      <c r="AT16" s="5"/>
      <c r="AU16" s="5"/>
      <c r="AV16" s="5">
        <f t="shared" si="0"/>
        <v>4863</v>
      </c>
    </row>
    <row r="17" spans="1:48" x14ac:dyDescent="0.35">
      <c r="A17" s="4" t="s">
        <v>225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>
        <v>44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f t="shared" si="0"/>
        <v>44</v>
      </c>
    </row>
    <row r="18" spans="1:48" x14ac:dyDescent="0.35">
      <c r="A18" s="4" t="s">
        <v>226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66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f t="shared" si="0"/>
        <v>66</v>
      </c>
    </row>
    <row r="19" spans="1:48" x14ac:dyDescent="0.35">
      <c r="A19" s="4" t="s">
        <v>227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22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f t="shared" si="0"/>
        <v>22</v>
      </c>
    </row>
    <row r="20" spans="1:48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35">
      <c r="A21" s="4" t="s">
        <v>229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1473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f>SUM(B21:AU21)</f>
        <v>1473</v>
      </c>
    </row>
    <row r="22" spans="1:48" x14ac:dyDescent="0.35">
      <c r="A22" s="4" t="s">
        <v>230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3639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3330</v>
      </c>
      <c r="AM22" s="5"/>
      <c r="AN22" s="5"/>
      <c r="AO22" s="5"/>
      <c r="AP22" s="5"/>
      <c r="AQ22" s="5"/>
      <c r="AR22" s="5">
        <v>1885</v>
      </c>
      <c r="AS22" s="5"/>
      <c r="AT22" s="5"/>
      <c r="AU22" s="5"/>
      <c r="AV22" s="5">
        <f>SUM(B22:AU22)</f>
        <v>8854</v>
      </c>
    </row>
    <row r="23" spans="1:48" x14ac:dyDescent="0.35">
      <c r="A23" s="4" t="s">
        <v>231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35">
      <c r="A25" s="4" t="s">
        <v>233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35">
      <c r="A27" s="4" t="s">
        <v>235</v>
      </c>
      <c r="B27" s="5"/>
      <c r="C27" s="5"/>
      <c r="D27" s="5"/>
      <c r="E27" s="5">
        <v>287</v>
      </c>
      <c r="F27" s="5"/>
      <c r="G27" s="5"/>
      <c r="H27" s="5"/>
      <c r="I27" s="5"/>
      <c r="J27" s="5"/>
      <c r="K27" s="5"/>
      <c r="L27" s="5"/>
      <c r="M27" s="5"/>
      <c r="N27" s="5">
        <v>206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238</v>
      </c>
      <c r="AG27" s="5"/>
      <c r="AH27" s="5"/>
      <c r="AI27" s="5">
        <v>22</v>
      </c>
      <c r="AJ27" s="5"/>
      <c r="AK27" s="5"/>
      <c r="AL27" s="5">
        <v>8476</v>
      </c>
      <c r="AM27" s="5"/>
      <c r="AN27" s="5"/>
      <c r="AO27" s="5"/>
      <c r="AP27" s="5"/>
      <c r="AQ27" s="5"/>
      <c r="AR27" s="5">
        <v>239</v>
      </c>
      <c r="AS27" s="5"/>
      <c r="AT27" s="5"/>
      <c r="AU27" s="5"/>
      <c r="AV27" s="5">
        <f>SUM(B27:AU27)</f>
        <v>9468</v>
      </c>
    </row>
    <row r="28" spans="1:48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35">
      <c r="A29" s="4" t="s">
        <v>237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35">
      <c r="A30" s="4" t="s">
        <v>238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830</v>
      </c>
      <c r="O30" s="5"/>
      <c r="P30" s="5"/>
      <c r="Q30" s="5"/>
      <c r="R30" s="5"/>
      <c r="S30" s="5"/>
      <c r="T30" s="5"/>
      <c r="U30" s="5"/>
      <c r="V30" s="5"/>
      <c r="W30" s="5">
        <v>3987</v>
      </c>
      <c r="X30" s="5"/>
      <c r="Y30" s="5"/>
      <c r="Z30" s="5"/>
      <c r="AA30" s="5"/>
      <c r="AB30" s="5"/>
      <c r="AC30" s="5"/>
      <c r="AD30" s="5"/>
      <c r="AE30" s="5"/>
      <c r="AF30" s="5">
        <v>1465</v>
      </c>
      <c r="AG30" s="5"/>
      <c r="AH30" s="5"/>
      <c r="AI30" s="5">
        <v>546</v>
      </c>
      <c r="AJ30" s="5"/>
      <c r="AK30" s="5"/>
      <c r="AL30" s="5">
        <v>273</v>
      </c>
      <c r="AM30" s="5"/>
      <c r="AN30" s="5"/>
      <c r="AO30" s="5"/>
      <c r="AP30" s="5"/>
      <c r="AQ30" s="5"/>
      <c r="AR30" s="5"/>
      <c r="AS30" s="5"/>
      <c r="AT30" s="5"/>
      <c r="AU30" s="5"/>
      <c r="AV30" s="5">
        <f>SUM(B30:AU30)</f>
        <v>7101</v>
      </c>
    </row>
    <row r="31" spans="1:48" x14ac:dyDescent="0.35">
      <c r="A31" s="4" t="s">
        <v>239</v>
      </c>
      <c r="B31" s="5"/>
      <c r="C31" s="5"/>
      <c r="D31" s="5"/>
      <c r="E31" s="5">
        <v>2126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144</v>
      </c>
      <c r="AM31" s="5"/>
      <c r="AN31" s="5"/>
      <c r="AO31" s="5"/>
      <c r="AP31" s="5"/>
      <c r="AQ31" s="5"/>
      <c r="AR31" s="5">
        <v>343</v>
      </c>
      <c r="AS31" s="5"/>
      <c r="AT31" s="5"/>
      <c r="AU31" s="5"/>
      <c r="AV31" s="5">
        <f>SUM(B31:AU31)</f>
        <v>2613</v>
      </c>
    </row>
    <row r="32" spans="1:48" x14ac:dyDescent="0.35">
      <c r="A32" s="4" t="s">
        <v>240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</v>
      </c>
      <c r="AS32" s="5"/>
      <c r="AT32" s="5"/>
      <c r="AU32" s="5"/>
      <c r="AV32" s="5">
        <f>SUM(B32:AU32)</f>
        <v>26</v>
      </c>
    </row>
    <row r="33" spans="1:48" x14ac:dyDescent="0.35">
      <c r="A33" s="4" t="s">
        <v>241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35">
      <c r="A34" s="4" t="s">
        <v>242</v>
      </c>
      <c r="B34" s="5">
        <v>803</v>
      </c>
      <c r="C34" s="5"/>
      <c r="D34" s="5"/>
      <c r="E34" s="5">
        <v>6418</v>
      </c>
      <c r="F34" s="5"/>
      <c r="G34" s="5">
        <v>65759</v>
      </c>
      <c r="H34" s="5"/>
      <c r="I34" s="5"/>
      <c r="J34" s="5"/>
      <c r="K34" s="5"/>
      <c r="L34" s="5"/>
      <c r="M34" s="5"/>
      <c r="N34" s="5"/>
      <c r="O34" s="5"/>
      <c r="P34" s="5"/>
      <c r="Q34" s="5">
        <v>308</v>
      </c>
      <c r="R34" s="5"/>
      <c r="S34" s="5">
        <v>573</v>
      </c>
      <c r="T34" s="5"/>
      <c r="U34" s="5"/>
      <c r="V34" s="5"/>
      <c r="W34" s="5">
        <v>2730</v>
      </c>
      <c r="X34" s="5"/>
      <c r="Y34" s="5"/>
      <c r="Z34" s="5">
        <v>8682</v>
      </c>
      <c r="AA34" s="5"/>
      <c r="AB34" s="5"/>
      <c r="AC34" s="5">
        <v>168</v>
      </c>
      <c r="AD34" s="5">
        <v>1971</v>
      </c>
      <c r="AE34" s="5">
        <v>2046</v>
      </c>
      <c r="AF34" s="5">
        <v>1452</v>
      </c>
      <c r="AG34" s="5"/>
      <c r="AH34" s="5"/>
      <c r="AI34" s="5"/>
      <c r="AJ34" s="5"/>
      <c r="AK34" s="5"/>
      <c r="AL34" s="5"/>
      <c r="AM34" s="5"/>
      <c r="AN34" s="5"/>
      <c r="AO34" s="5">
        <v>946</v>
      </c>
      <c r="AP34" s="5"/>
      <c r="AQ34" s="5"/>
      <c r="AR34" s="5">
        <v>1114</v>
      </c>
      <c r="AS34" s="5">
        <v>172</v>
      </c>
      <c r="AT34" s="5"/>
      <c r="AU34" s="5"/>
      <c r="AV34" s="5">
        <f>SUM(B34:AU34)</f>
        <v>93142</v>
      </c>
    </row>
    <row r="35" spans="1:48" x14ac:dyDescent="0.35">
      <c r="A35" s="4" t="s">
        <v>243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35">
      <c r="A36" s="4" t="s">
        <v>244</v>
      </c>
      <c r="B36" s="5"/>
      <c r="C36" s="5">
        <v>273</v>
      </c>
      <c r="D36" s="5"/>
      <c r="E36" s="5">
        <v>1555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1224</v>
      </c>
      <c r="U36" s="5"/>
      <c r="V36" s="5">
        <v>180</v>
      </c>
      <c r="W36" s="5"/>
      <c r="X36" s="5"/>
      <c r="Y36" s="5">
        <v>5</v>
      </c>
      <c r="Z36" s="5"/>
      <c r="AA36" s="5"/>
      <c r="AB36" s="5"/>
      <c r="AC36" s="5">
        <v>48</v>
      </c>
      <c r="AD36" s="5">
        <v>1275</v>
      </c>
      <c r="AE36" s="5"/>
      <c r="AF36" s="5">
        <v>720</v>
      </c>
      <c r="AG36" s="5"/>
      <c r="AH36" s="5"/>
      <c r="AI36" s="5"/>
      <c r="AJ36" s="5"/>
      <c r="AK36" s="5">
        <v>1901</v>
      </c>
      <c r="AL36" s="5"/>
      <c r="AM36" s="5"/>
      <c r="AN36" s="5">
        <v>67</v>
      </c>
      <c r="AO36" s="5"/>
      <c r="AP36" s="5"/>
      <c r="AQ36" s="5"/>
      <c r="AR36" s="5"/>
      <c r="AS36" s="5"/>
      <c r="AT36" s="5">
        <v>399</v>
      </c>
      <c r="AU36" s="5">
        <v>11</v>
      </c>
      <c r="AV36" s="5">
        <f t="shared" ref="AV36:AV42" si="1">SUM(B36:AU36)</f>
        <v>7658</v>
      </c>
    </row>
    <row r="37" spans="1:48" x14ac:dyDescent="0.35">
      <c r="A37" s="4" t="s">
        <v>245</v>
      </c>
      <c r="B37" s="5"/>
      <c r="C37" s="5">
        <v>241</v>
      </c>
      <c r="D37" s="5">
        <v>31</v>
      </c>
      <c r="E37" s="5"/>
      <c r="F37" s="5">
        <v>6925</v>
      </c>
      <c r="G37" s="5">
        <v>101275</v>
      </c>
      <c r="H37" s="5">
        <v>437</v>
      </c>
      <c r="I37" s="5">
        <v>368</v>
      </c>
      <c r="J37" s="5"/>
      <c r="K37" s="5"/>
      <c r="L37" s="5"/>
      <c r="M37" s="5">
        <v>30</v>
      </c>
      <c r="N37" s="5">
        <v>943</v>
      </c>
      <c r="O37" s="5">
        <v>1501</v>
      </c>
      <c r="P37" s="5">
        <v>35</v>
      </c>
      <c r="Q37" s="5"/>
      <c r="R37" s="5">
        <v>127</v>
      </c>
      <c r="S37" s="5"/>
      <c r="T37" s="5">
        <v>2627</v>
      </c>
      <c r="U37" s="5"/>
      <c r="V37" s="5">
        <v>79</v>
      </c>
      <c r="W37" s="5">
        <v>4185</v>
      </c>
      <c r="X37" s="5">
        <v>500</v>
      </c>
      <c r="Y37" s="5">
        <v>148</v>
      </c>
      <c r="Z37" s="5"/>
      <c r="AA37" s="5">
        <v>806</v>
      </c>
      <c r="AB37" s="5">
        <v>3400</v>
      </c>
      <c r="AC37" s="5"/>
      <c r="AD37" s="5">
        <v>686</v>
      </c>
      <c r="AE37" s="5"/>
      <c r="AF37" s="5">
        <v>3545</v>
      </c>
      <c r="AG37" s="5"/>
      <c r="AH37" s="5">
        <v>622</v>
      </c>
      <c r="AI37" s="5">
        <v>3946</v>
      </c>
      <c r="AJ37" s="5"/>
      <c r="AK37" s="5">
        <v>286</v>
      </c>
      <c r="AL37" s="5"/>
      <c r="AM37" s="5"/>
      <c r="AN37" s="5">
        <v>1215</v>
      </c>
      <c r="AO37" s="5">
        <v>829</v>
      </c>
      <c r="AP37" s="5">
        <v>7000</v>
      </c>
      <c r="AQ37" s="5">
        <v>2773</v>
      </c>
      <c r="AR37" s="5"/>
      <c r="AS37" s="5"/>
      <c r="AT37" s="5">
        <v>396</v>
      </c>
      <c r="AU37" s="5">
        <v>284</v>
      </c>
      <c r="AV37" s="5">
        <f t="shared" si="1"/>
        <v>145240</v>
      </c>
    </row>
    <row r="38" spans="1:48" x14ac:dyDescent="0.35">
      <c r="A38" s="4" t="s">
        <v>246</v>
      </c>
      <c r="B38" s="5">
        <v>1591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451</v>
      </c>
      <c r="T38" s="5"/>
      <c r="U38" s="5"/>
      <c r="V38" s="5"/>
      <c r="W38" s="5">
        <v>7102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>
        <v>7</v>
      </c>
      <c r="AP38" s="5"/>
      <c r="AQ38" s="5"/>
      <c r="AR38" s="5"/>
      <c r="AS38" s="5"/>
      <c r="AT38" s="5"/>
      <c r="AU38" s="5"/>
      <c r="AV38" s="5">
        <f t="shared" si="1"/>
        <v>9151</v>
      </c>
    </row>
    <row r="39" spans="1:48" x14ac:dyDescent="0.35">
      <c r="A39" s="4" t="s">
        <v>247</v>
      </c>
      <c r="B39" s="5"/>
      <c r="C39" s="5"/>
      <c r="D39" s="5"/>
      <c r="E39" s="5">
        <v>59813</v>
      </c>
      <c r="F39" s="5"/>
      <c r="G39" s="5">
        <v>74920</v>
      </c>
      <c r="H39" s="5"/>
      <c r="I39" s="5"/>
      <c r="J39" s="5"/>
      <c r="K39" s="5"/>
      <c r="L39" s="5"/>
      <c r="M39" s="5"/>
      <c r="N39" s="5">
        <v>4880</v>
      </c>
      <c r="O39" s="5"/>
      <c r="P39" s="5"/>
      <c r="Q39" s="5">
        <v>403</v>
      </c>
      <c r="R39" s="5"/>
      <c r="S39" s="5">
        <v>3606</v>
      </c>
      <c r="T39" s="5"/>
      <c r="U39" s="5"/>
      <c r="V39" s="5"/>
      <c r="W39" s="5"/>
      <c r="X39" s="5"/>
      <c r="Y39" s="5"/>
      <c r="Z39" s="5"/>
      <c r="AA39" s="5"/>
      <c r="AB39" s="5">
        <v>3438</v>
      </c>
      <c r="AC39" s="5">
        <v>3545</v>
      </c>
      <c r="AD39" s="5"/>
      <c r="AE39" s="5">
        <v>3963</v>
      </c>
      <c r="AF39" s="5">
        <v>6432</v>
      </c>
      <c r="AG39" s="5"/>
      <c r="AH39" s="5"/>
      <c r="AI39" s="5"/>
      <c r="AJ39" s="5"/>
      <c r="AK39" s="5">
        <v>2765</v>
      </c>
      <c r="AL39" s="5"/>
      <c r="AM39" s="5"/>
      <c r="AN39" s="5">
        <v>3289</v>
      </c>
      <c r="AO39" s="5">
        <v>3289</v>
      </c>
      <c r="AP39" s="5"/>
      <c r="AQ39" s="5"/>
      <c r="AR39" s="5">
        <v>18722</v>
      </c>
      <c r="AS39" s="5"/>
      <c r="AT39" s="5"/>
      <c r="AU39" s="5"/>
      <c r="AV39" s="5">
        <f t="shared" si="1"/>
        <v>189065</v>
      </c>
    </row>
    <row r="40" spans="1:48" x14ac:dyDescent="0.35">
      <c r="A40" s="4" t="s">
        <v>248</v>
      </c>
      <c r="B40" s="5">
        <v>2707</v>
      </c>
      <c r="C40" s="5"/>
      <c r="D40" s="5"/>
      <c r="E40" s="5"/>
      <c r="F40" s="5"/>
      <c r="G40" s="5"/>
      <c r="H40" s="5"/>
      <c r="I40" s="5"/>
      <c r="J40" s="5">
        <v>809</v>
      </c>
      <c r="K40" s="5"/>
      <c r="L40" s="5"/>
      <c r="M40" s="5"/>
      <c r="N40" s="5"/>
      <c r="O40" s="5"/>
      <c r="P40" s="5">
        <v>4005</v>
      </c>
      <c r="Q40" s="5"/>
      <c r="R40" s="5"/>
      <c r="S40" s="5"/>
      <c r="T40" s="5">
        <v>1608</v>
      </c>
      <c r="U40" s="5"/>
      <c r="V40" s="5"/>
      <c r="W40" s="5"/>
      <c r="X40" s="5"/>
      <c r="Y40" s="5">
        <v>253</v>
      </c>
      <c r="Z40" s="5">
        <v>11992</v>
      </c>
      <c r="AA40" s="5"/>
      <c r="AB40" s="5"/>
      <c r="AC40" s="5"/>
      <c r="AD40" s="5"/>
      <c r="AE40" s="5"/>
      <c r="AF40" s="5"/>
      <c r="AG40" s="5">
        <v>2068</v>
      </c>
      <c r="AH40" s="5"/>
      <c r="AI40" s="5"/>
      <c r="AJ40" s="5"/>
      <c r="AK40" s="5">
        <v>2707</v>
      </c>
      <c r="AL40" s="5"/>
      <c r="AM40" s="5"/>
      <c r="AN40" s="5"/>
      <c r="AO40" s="5"/>
      <c r="AP40" s="5">
        <v>25846</v>
      </c>
      <c r="AQ40" s="5"/>
      <c r="AR40" s="5"/>
      <c r="AS40" s="5">
        <v>2867</v>
      </c>
      <c r="AT40" s="5"/>
      <c r="AU40" s="5"/>
      <c r="AV40" s="5">
        <f t="shared" si="1"/>
        <v>54862</v>
      </c>
    </row>
    <row r="41" spans="1:48" x14ac:dyDescent="0.35">
      <c r="A41" s="4" t="s">
        <v>249</v>
      </c>
      <c r="B41" s="5">
        <v>3489</v>
      </c>
      <c r="C41" s="5"/>
      <c r="D41" s="5"/>
      <c r="E41" s="5"/>
      <c r="F41" s="5"/>
      <c r="G41" s="5"/>
      <c r="H41" s="5"/>
      <c r="I41" s="5"/>
      <c r="J41" s="5">
        <v>2926</v>
      </c>
      <c r="K41" s="5"/>
      <c r="L41" s="5"/>
      <c r="M41" s="5"/>
      <c r="N41" s="5"/>
      <c r="O41" s="5"/>
      <c r="P41" s="5">
        <v>2568</v>
      </c>
      <c r="Q41" s="5"/>
      <c r="R41" s="5"/>
      <c r="S41" s="5"/>
      <c r="T41" s="5">
        <v>7172</v>
      </c>
      <c r="U41" s="5"/>
      <c r="V41" s="5"/>
      <c r="W41" s="5"/>
      <c r="X41" s="5"/>
      <c r="Y41" s="5">
        <v>474</v>
      </c>
      <c r="Z41" s="5">
        <v>28300</v>
      </c>
      <c r="AA41" s="5"/>
      <c r="AB41" s="5"/>
      <c r="AC41" s="5"/>
      <c r="AD41" s="5"/>
      <c r="AE41" s="5"/>
      <c r="AF41" s="5"/>
      <c r="AG41" s="5">
        <v>2042</v>
      </c>
      <c r="AH41" s="5"/>
      <c r="AI41" s="5"/>
      <c r="AJ41" s="5"/>
      <c r="AK41" s="5">
        <v>634</v>
      </c>
      <c r="AL41" s="5"/>
      <c r="AM41" s="5"/>
      <c r="AN41" s="5"/>
      <c r="AO41" s="5"/>
      <c r="AP41" s="5">
        <v>14303</v>
      </c>
      <c r="AQ41" s="5"/>
      <c r="AR41" s="5"/>
      <c r="AS41" s="5">
        <v>1395</v>
      </c>
      <c r="AT41" s="5"/>
      <c r="AU41" s="5"/>
      <c r="AV41" s="5">
        <f t="shared" si="1"/>
        <v>63303</v>
      </c>
    </row>
    <row r="42" spans="1:48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f t="shared" si="1"/>
        <v>14</v>
      </c>
    </row>
    <row r="43" spans="1:48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35">
      <c r="A44" s="4" t="s">
        <v>250</v>
      </c>
      <c r="B44" s="5"/>
      <c r="C44" s="5"/>
      <c r="D44" s="5"/>
      <c r="E44" s="5">
        <v>582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845</v>
      </c>
      <c r="AS44" s="5"/>
      <c r="AT44" s="5"/>
      <c r="AU44" s="5"/>
      <c r="AV44" s="5">
        <f>SUM(B44:AU44)</f>
        <v>1427</v>
      </c>
    </row>
    <row r="45" spans="1:48" x14ac:dyDescent="0.35">
      <c r="A45" s="4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599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30</v>
      </c>
      <c r="AH45" s="5"/>
      <c r="AI45" s="5"/>
      <c r="AJ45" s="5"/>
      <c r="AK45" s="5"/>
      <c r="AL45" s="5"/>
      <c r="AM45" s="5">
        <v>17</v>
      </c>
      <c r="AN45" s="5"/>
      <c r="AO45" s="5"/>
      <c r="AP45" s="5"/>
      <c r="AQ45" s="5"/>
      <c r="AR45" s="5"/>
      <c r="AS45" s="5"/>
      <c r="AT45" s="5"/>
      <c r="AU45" s="5"/>
      <c r="AV45" s="5">
        <f>SUM(B45:AU45)</f>
        <v>646</v>
      </c>
    </row>
    <row r="46" spans="1:48" x14ac:dyDescent="0.35">
      <c r="A46" s="4" t="s">
        <v>252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>
        <v>115</v>
      </c>
      <c r="AG46" s="5"/>
      <c r="AH46" s="5"/>
      <c r="AI46" s="5"/>
      <c r="AJ46" s="5"/>
      <c r="AK46" s="5"/>
      <c r="AL46" s="5">
        <v>3588</v>
      </c>
      <c r="AM46" s="5"/>
      <c r="AN46" s="5"/>
      <c r="AO46" s="5"/>
      <c r="AP46" s="5"/>
      <c r="AQ46" s="5"/>
      <c r="AR46" s="5"/>
      <c r="AS46" s="5"/>
      <c r="AT46" s="5"/>
      <c r="AU46" s="5"/>
      <c r="AV46" s="5">
        <f>SUM(B46:AU46)</f>
        <v>3703</v>
      </c>
    </row>
    <row r="47" spans="1:48" x14ac:dyDescent="0.35">
      <c r="A47" s="4" t="s">
        <v>253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v>825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129</v>
      </c>
      <c r="AA47" s="5"/>
      <c r="AB47" s="5"/>
      <c r="AC47" s="5"/>
      <c r="AD47" s="5"/>
      <c r="AE47" s="5"/>
      <c r="AF47" s="5"/>
      <c r="AG47" s="5"/>
      <c r="AH47" s="5"/>
      <c r="AI47" s="5">
        <v>42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f>SUM(B47:AU47)</f>
        <v>996</v>
      </c>
    </row>
    <row r="48" spans="1:48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35">
      <c r="A50" s="4" t="s">
        <v>256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11</v>
      </c>
      <c r="AJ50" s="5"/>
      <c r="AK50" s="5"/>
      <c r="AL50" s="5">
        <v>217</v>
      </c>
      <c r="AM50" s="5"/>
      <c r="AN50" s="5"/>
      <c r="AO50" s="5"/>
      <c r="AP50" s="5"/>
      <c r="AQ50" s="5"/>
      <c r="AR50" s="5"/>
      <c r="AS50" s="5"/>
      <c r="AT50" s="5"/>
      <c r="AU50" s="5"/>
      <c r="AV50" s="5">
        <f>SUM(B50:AU50)</f>
        <v>228</v>
      </c>
    </row>
    <row r="51" spans="1:48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35">
      <c r="A53" s="4" t="s">
        <v>259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770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1388</v>
      </c>
      <c r="AG53" s="5"/>
      <c r="AH53" s="5"/>
      <c r="AI53" s="5">
        <v>371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f>SUM(B53:AU53)</f>
        <v>2529</v>
      </c>
    </row>
    <row r="54" spans="1:48" x14ac:dyDescent="0.35">
      <c r="A54" s="4" t="s">
        <v>260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287</v>
      </c>
      <c r="AG54" s="5"/>
      <c r="AH54" s="5"/>
      <c r="AI54" s="5">
        <v>11</v>
      </c>
      <c r="AJ54" s="5"/>
      <c r="AK54" s="5"/>
      <c r="AL54" s="5"/>
      <c r="AM54" s="5"/>
      <c r="AN54" s="5"/>
      <c r="AO54" s="5"/>
      <c r="AP54" s="5"/>
      <c r="AQ54" s="5"/>
      <c r="AR54" s="5">
        <v>419</v>
      </c>
      <c r="AS54" s="5"/>
      <c r="AT54" s="5"/>
      <c r="AU54" s="5"/>
      <c r="AV54" s="5">
        <f>SUM(B54:AU54)</f>
        <v>717</v>
      </c>
    </row>
    <row r="55" spans="1:48" x14ac:dyDescent="0.35">
      <c r="A55" s="4" t="s">
        <v>261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8185</v>
      </c>
      <c r="AM55" s="5"/>
      <c r="AN55" s="5"/>
      <c r="AO55" s="5"/>
      <c r="AP55" s="5"/>
      <c r="AQ55" s="5"/>
      <c r="AR55" s="5"/>
      <c r="AS55" s="5"/>
      <c r="AT55" s="5"/>
      <c r="AU55" s="5"/>
      <c r="AV55" s="5">
        <f>SUM(B55:AU55)</f>
        <v>8185</v>
      </c>
    </row>
    <row r="56" spans="1:48" x14ac:dyDescent="0.35">
      <c r="A56" s="4" t="s">
        <v>262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23</v>
      </c>
      <c r="AT56" s="5">
        <v>2</v>
      </c>
      <c r="AU56" s="5"/>
      <c r="AV56" s="5">
        <f>SUM(B56:AU56)</f>
        <v>33</v>
      </c>
    </row>
    <row r="57" spans="1:48" x14ac:dyDescent="0.35">
      <c r="A57" s="4" t="s">
        <v>263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35">
      <c r="A58" s="4" t="s">
        <v>264</v>
      </c>
      <c r="B58" s="5"/>
      <c r="C58" s="5"/>
      <c r="D58" s="5"/>
      <c r="E58" s="5"/>
      <c r="F58" s="5"/>
      <c r="G58" s="5">
        <v>68565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3482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f t="shared" ref="AV58:AV64" si="2">SUM(B58:AU58)</f>
        <v>72047</v>
      </c>
    </row>
    <row r="59" spans="1:48" x14ac:dyDescent="0.35">
      <c r="A59" s="4" t="s">
        <v>265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2636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f t="shared" si="2"/>
        <v>2636</v>
      </c>
    </row>
    <row r="60" spans="1:48" x14ac:dyDescent="0.35">
      <c r="A60" s="4" t="s">
        <v>266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68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495</v>
      </c>
      <c r="AC60" s="5">
        <v>32</v>
      </c>
      <c r="AD60" s="5"/>
      <c r="AE60" s="5"/>
      <c r="AF60" s="5"/>
      <c r="AG60" s="5"/>
      <c r="AH60" s="5">
        <v>495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f t="shared" si="2"/>
        <v>1090</v>
      </c>
    </row>
    <row r="61" spans="1:48" x14ac:dyDescent="0.35">
      <c r="A61" s="4" t="s">
        <v>267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3204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113</v>
      </c>
      <c r="AE61" s="5"/>
      <c r="AF61" s="5"/>
      <c r="AG61" s="5">
        <v>83</v>
      </c>
      <c r="AH61" s="5"/>
      <c r="AI61" s="5"/>
      <c r="AJ61" s="5"/>
      <c r="AK61" s="5"/>
      <c r="AL61" s="5"/>
      <c r="AM61" s="5">
        <v>15</v>
      </c>
      <c r="AN61" s="5"/>
      <c r="AO61" s="5"/>
      <c r="AP61" s="5"/>
      <c r="AQ61" s="5"/>
      <c r="AR61" s="5"/>
      <c r="AS61" s="5">
        <v>60</v>
      </c>
      <c r="AT61" s="5">
        <v>51</v>
      </c>
      <c r="AU61" s="5"/>
      <c r="AV61" s="5">
        <f t="shared" si="2"/>
        <v>3526</v>
      </c>
    </row>
    <row r="62" spans="1:48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4472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22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f t="shared" si="2"/>
        <v>4494</v>
      </c>
    </row>
    <row r="63" spans="1:48" x14ac:dyDescent="0.35">
      <c r="A63" s="4" t="s">
        <v>269</v>
      </c>
      <c r="B63" s="5"/>
      <c r="C63" s="5"/>
      <c r="D63" s="5"/>
      <c r="E63" s="5"/>
      <c r="F63" s="5"/>
      <c r="G63" s="5">
        <v>262512</v>
      </c>
      <c r="H63" s="5"/>
      <c r="I63" s="5"/>
      <c r="J63" s="5"/>
      <c r="K63" s="5"/>
      <c r="L63" s="5"/>
      <c r="M63" s="5"/>
      <c r="N63" s="5">
        <v>10200</v>
      </c>
      <c r="O63" s="5"/>
      <c r="P63" s="5"/>
      <c r="Q63" s="5"/>
      <c r="R63" s="5"/>
      <c r="S63" s="5"/>
      <c r="T63" s="5"/>
      <c r="U63" s="5"/>
      <c r="V63" s="5"/>
      <c r="W63" s="5">
        <v>4166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32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f t="shared" si="2"/>
        <v>276910</v>
      </c>
    </row>
    <row r="64" spans="1:48" x14ac:dyDescent="0.35">
      <c r="A64" s="8" t="s">
        <v>317</v>
      </c>
      <c r="B64" s="6">
        <f t="shared" ref="B64:AU64" si="3">SUM(B4:B63)</f>
        <v>17387</v>
      </c>
      <c r="C64" s="6">
        <f t="shared" si="3"/>
        <v>1028</v>
      </c>
      <c r="D64" s="6">
        <f t="shared" si="3"/>
        <v>62</v>
      </c>
      <c r="E64" s="6">
        <f t="shared" si="3"/>
        <v>138850</v>
      </c>
      <c r="F64" s="6">
        <f t="shared" si="3"/>
        <v>13850</v>
      </c>
      <c r="G64" s="6">
        <f t="shared" si="3"/>
        <v>814985</v>
      </c>
      <c r="H64" s="6">
        <f t="shared" si="3"/>
        <v>874</v>
      </c>
      <c r="I64" s="6">
        <f t="shared" si="3"/>
        <v>736</v>
      </c>
      <c r="J64" s="6">
        <f t="shared" si="3"/>
        <v>7470</v>
      </c>
      <c r="K64" s="6">
        <f t="shared" si="3"/>
        <v>0</v>
      </c>
      <c r="L64" s="6">
        <f t="shared" si="3"/>
        <v>4628</v>
      </c>
      <c r="M64" s="6">
        <f t="shared" si="3"/>
        <v>60</v>
      </c>
      <c r="N64" s="6">
        <f t="shared" si="3"/>
        <v>24982</v>
      </c>
      <c r="O64" s="6">
        <f t="shared" si="3"/>
        <v>3002</v>
      </c>
      <c r="P64" s="6">
        <f t="shared" si="3"/>
        <v>14328</v>
      </c>
      <c r="Q64" s="6">
        <f t="shared" si="3"/>
        <v>1422</v>
      </c>
      <c r="R64" s="6">
        <f t="shared" si="3"/>
        <v>254</v>
      </c>
      <c r="S64" s="6">
        <f t="shared" si="3"/>
        <v>9332</v>
      </c>
      <c r="T64" s="6">
        <f t="shared" si="3"/>
        <v>25262</v>
      </c>
      <c r="U64" s="6">
        <f t="shared" si="3"/>
        <v>0</v>
      </c>
      <c r="V64" s="6">
        <f t="shared" si="3"/>
        <v>518</v>
      </c>
      <c r="W64" s="6">
        <f t="shared" si="3"/>
        <v>57182</v>
      </c>
      <c r="X64" s="6">
        <f t="shared" si="3"/>
        <v>1000</v>
      </c>
      <c r="Y64" s="6">
        <f t="shared" si="3"/>
        <v>1774</v>
      </c>
      <c r="Z64" s="6">
        <f t="shared" si="3"/>
        <v>101324</v>
      </c>
      <c r="AA64" s="6">
        <f t="shared" si="3"/>
        <v>1612</v>
      </c>
      <c r="AB64" s="6">
        <f t="shared" si="3"/>
        <v>20850</v>
      </c>
      <c r="AC64" s="6">
        <f t="shared" si="3"/>
        <v>7756</v>
      </c>
      <c r="AD64" s="6">
        <f t="shared" si="3"/>
        <v>7985</v>
      </c>
      <c r="AE64" s="6">
        <f t="shared" si="3"/>
        <v>12829</v>
      </c>
      <c r="AF64" s="6">
        <f t="shared" si="3"/>
        <v>29516</v>
      </c>
      <c r="AG64" s="6">
        <f t="shared" si="3"/>
        <v>8333</v>
      </c>
      <c r="AH64" s="6">
        <f t="shared" si="3"/>
        <v>3452</v>
      </c>
      <c r="AI64" s="6">
        <f t="shared" si="3"/>
        <v>9091</v>
      </c>
      <c r="AJ64" s="6">
        <f t="shared" si="3"/>
        <v>0</v>
      </c>
      <c r="AK64" s="6">
        <f t="shared" si="3"/>
        <v>16586</v>
      </c>
      <c r="AL64" s="6">
        <f t="shared" si="3"/>
        <v>102072</v>
      </c>
      <c r="AM64" s="6">
        <f t="shared" si="3"/>
        <v>32</v>
      </c>
      <c r="AN64" s="6">
        <f t="shared" si="3"/>
        <v>9142</v>
      </c>
      <c r="AO64" s="6">
        <f t="shared" si="3"/>
        <v>16783</v>
      </c>
      <c r="AP64" s="6">
        <f t="shared" si="3"/>
        <v>94298</v>
      </c>
      <c r="AQ64" s="6">
        <f t="shared" si="3"/>
        <v>5546</v>
      </c>
      <c r="AR64" s="6">
        <f t="shared" si="3"/>
        <v>49393</v>
      </c>
      <c r="AS64" s="6">
        <f t="shared" si="3"/>
        <v>8951</v>
      </c>
      <c r="AT64" s="6">
        <f t="shared" si="3"/>
        <v>1643</v>
      </c>
      <c r="AU64" s="6">
        <f t="shared" si="3"/>
        <v>590</v>
      </c>
      <c r="AV64" s="6">
        <f t="shared" si="2"/>
        <v>1646770</v>
      </c>
    </row>
    <row r="66" spans="1:48" x14ac:dyDescent="0.35">
      <c r="A66" t="s">
        <v>8</v>
      </c>
      <c r="B66">
        <v>712157.2</v>
      </c>
      <c r="C66">
        <v>196632.4</v>
      </c>
      <c r="D66">
        <v>6883.1</v>
      </c>
      <c r="E66">
        <v>3118004.4</v>
      </c>
      <c r="F66">
        <v>3257516.8</v>
      </c>
      <c r="G66">
        <v>6805083.0999999996</v>
      </c>
      <c r="H66">
        <v>60469.599999999999</v>
      </c>
      <c r="I66">
        <v>137079.5</v>
      </c>
      <c r="J66">
        <v>32451</v>
      </c>
      <c r="K66">
        <v>59174.8</v>
      </c>
      <c r="L66">
        <v>971174.5</v>
      </c>
      <c r="M66">
        <v>1089608.5</v>
      </c>
      <c r="N66">
        <v>387605.1</v>
      </c>
      <c r="O66">
        <v>60143.3</v>
      </c>
      <c r="P66">
        <v>429312</v>
      </c>
      <c r="Q66">
        <v>11037.4</v>
      </c>
      <c r="R66">
        <v>803500.2</v>
      </c>
      <c r="S66">
        <v>595182.19999999995</v>
      </c>
      <c r="T66">
        <v>812933</v>
      </c>
      <c r="U66">
        <v>44010.1</v>
      </c>
      <c r="V66">
        <v>82489.399999999994</v>
      </c>
      <c r="W66">
        <v>884877.4</v>
      </c>
      <c r="X66">
        <v>405974.1</v>
      </c>
      <c r="Y66">
        <v>61757.599999999999</v>
      </c>
      <c r="Z66">
        <v>1427073.7</v>
      </c>
      <c r="AA66">
        <v>157241.29999999999</v>
      </c>
      <c r="AB66">
        <v>785163.7</v>
      </c>
      <c r="AC66">
        <v>598581.6</v>
      </c>
      <c r="AD66">
        <v>740567.7</v>
      </c>
      <c r="AE66">
        <v>15623.3</v>
      </c>
      <c r="AF66">
        <v>989682.3</v>
      </c>
      <c r="AG66">
        <v>67950.7</v>
      </c>
      <c r="AH66">
        <v>357235.9</v>
      </c>
      <c r="AI66">
        <v>494983.7</v>
      </c>
      <c r="AJ66">
        <v>1775</v>
      </c>
      <c r="AK66">
        <v>244461.1</v>
      </c>
      <c r="AL66">
        <v>1214423.8999999999</v>
      </c>
      <c r="AM66">
        <v>420676</v>
      </c>
      <c r="AN66">
        <v>175389.3</v>
      </c>
      <c r="AO66">
        <v>845295.7</v>
      </c>
      <c r="AP66">
        <v>1420776.7</v>
      </c>
      <c r="AQ66">
        <v>589977.69999999995</v>
      </c>
      <c r="AR66">
        <v>485648.9</v>
      </c>
      <c r="AS66">
        <v>104956.6</v>
      </c>
      <c r="AT66">
        <v>245420.7</v>
      </c>
      <c r="AU66">
        <v>22675.4</v>
      </c>
      <c r="AV66">
        <v>1850826.3</v>
      </c>
    </row>
  </sheetData>
  <hyperlinks>
    <hyperlink ref="B1" location="Home!A1" display="HOME" xr:uid="{469B8E2B-84BF-4EE9-87D3-8ACBC1B152FF}"/>
  </hyperlinks>
  <pageMargins left="0.7" right="0.7" top="0.75" bottom="0.75" header="0.3" footer="0.3"/>
  <pageSetup paperSize="9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6"/>
  <sheetViews>
    <sheetView workbookViewId="0">
      <pane xSplit="1" ySplit="3" topLeftCell="B4" activePane="bottomRight" state="frozen"/>
      <selection activeCell="J31" sqref="J31"/>
      <selection pane="topRight" activeCell="J31" sqref="J31"/>
      <selection pane="bottomLeft" activeCell="J31" sqref="J31"/>
      <selection pane="bottomRight" activeCell="B1" sqref="B1"/>
    </sheetView>
  </sheetViews>
  <sheetFormatPr defaultColWidth="11.453125" defaultRowHeight="14.5" x14ac:dyDescent="0.35"/>
  <cols>
    <col min="1" max="1" width="79" bestFit="1" customWidth="1"/>
  </cols>
  <sheetData>
    <row r="1" spans="1:49" x14ac:dyDescent="0.35">
      <c r="A1" t="s">
        <v>316</v>
      </c>
      <c r="B1" s="29" t="s">
        <v>376</v>
      </c>
    </row>
    <row r="2" spans="1:49" x14ac:dyDescent="0.35">
      <c r="B2" t="s">
        <v>70</v>
      </c>
      <c r="C2" t="s">
        <v>270</v>
      </c>
      <c r="D2" t="s">
        <v>272</v>
      </c>
      <c r="E2" t="s">
        <v>271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  <c r="L2" t="s">
        <v>279</v>
      </c>
      <c r="M2" t="s">
        <v>280</v>
      </c>
      <c r="N2" t="s">
        <v>281</v>
      </c>
      <c r="O2" t="s">
        <v>282</v>
      </c>
      <c r="P2" t="s">
        <v>283</v>
      </c>
      <c r="Q2" t="s">
        <v>284</v>
      </c>
      <c r="R2" t="s">
        <v>285</v>
      </c>
      <c r="S2" t="s">
        <v>286</v>
      </c>
      <c r="T2" t="s">
        <v>287</v>
      </c>
      <c r="U2" t="s">
        <v>288</v>
      </c>
      <c r="V2" t="s">
        <v>289</v>
      </c>
      <c r="W2" t="s">
        <v>290</v>
      </c>
      <c r="X2" t="s">
        <v>291</v>
      </c>
      <c r="Y2" t="s">
        <v>292</v>
      </c>
      <c r="Z2" t="s">
        <v>293</v>
      </c>
      <c r="AA2" t="s">
        <v>294</v>
      </c>
      <c r="AB2" t="s">
        <v>295</v>
      </c>
      <c r="AC2" t="s">
        <v>296</v>
      </c>
      <c r="AD2" t="s">
        <v>297</v>
      </c>
      <c r="AE2" t="s">
        <v>298</v>
      </c>
      <c r="AF2" t="s">
        <v>299</v>
      </c>
      <c r="AG2" t="s">
        <v>300</v>
      </c>
      <c r="AH2" t="s">
        <v>301</v>
      </c>
      <c r="AI2" t="s">
        <v>302</v>
      </c>
      <c r="AJ2" t="s">
        <v>303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 t="s">
        <v>313</v>
      </c>
      <c r="AU2" t="s">
        <v>314</v>
      </c>
      <c r="AV2" t="s">
        <v>315</v>
      </c>
      <c r="AW2" s="48" t="s">
        <v>317</v>
      </c>
    </row>
    <row r="3" spans="1:49" x14ac:dyDescent="0.35">
      <c r="B3" t="s">
        <v>71</v>
      </c>
      <c r="C3" t="s">
        <v>74</v>
      </c>
      <c r="D3" t="s">
        <v>77</v>
      </c>
      <c r="E3" t="s">
        <v>80</v>
      </c>
      <c r="F3" t="s">
        <v>83</v>
      </c>
      <c r="G3" t="s">
        <v>86</v>
      </c>
      <c r="H3" t="s">
        <v>89</v>
      </c>
      <c r="I3" t="s">
        <v>92</v>
      </c>
      <c r="J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119</v>
      </c>
      <c r="S3" t="s">
        <v>122</v>
      </c>
      <c r="T3" t="s">
        <v>125</v>
      </c>
      <c r="U3" t="s">
        <v>128</v>
      </c>
      <c r="V3" t="s">
        <v>131</v>
      </c>
      <c r="W3" t="s">
        <v>134</v>
      </c>
      <c r="X3" t="s">
        <v>137</v>
      </c>
      <c r="Y3" t="s">
        <v>140</v>
      </c>
      <c r="Z3" t="s">
        <v>143</v>
      </c>
      <c r="AA3" t="s">
        <v>146</v>
      </c>
      <c r="AB3" t="s">
        <v>149</v>
      </c>
      <c r="AC3" t="s">
        <v>152</v>
      </c>
      <c r="AD3" t="s">
        <v>155</v>
      </c>
      <c r="AE3" t="s">
        <v>158</v>
      </c>
      <c r="AF3" t="s">
        <v>161</v>
      </c>
      <c r="AG3" t="s">
        <v>164</v>
      </c>
      <c r="AH3" t="s">
        <v>167</v>
      </c>
      <c r="AI3" t="s">
        <v>170</v>
      </c>
      <c r="AJ3" t="s">
        <v>173</v>
      </c>
      <c r="AK3" t="s">
        <v>176</v>
      </c>
      <c r="AL3" t="s">
        <v>179</v>
      </c>
      <c r="AM3" t="s">
        <v>182</v>
      </c>
      <c r="AN3" t="s">
        <v>185</v>
      </c>
      <c r="AO3" t="s">
        <v>188</v>
      </c>
      <c r="AP3" t="s">
        <v>191</v>
      </c>
      <c r="AQ3" t="s">
        <v>194</v>
      </c>
      <c r="AR3" t="s">
        <v>197</v>
      </c>
      <c r="AS3" t="s">
        <v>200</v>
      </c>
      <c r="AT3" t="s">
        <v>203</v>
      </c>
      <c r="AU3" t="s">
        <v>206</v>
      </c>
      <c r="AV3" t="s">
        <v>209</v>
      </c>
      <c r="AW3" s="48"/>
    </row>
    <row r="4" spans="1:49" x14ac:dyDescent="0.35">
      <c r="A4" s="4" t="s">
        <v>212</v>
      </c>
      <c r="B4" s="5">
        <v>787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v>819</v>
      </c>
      <c r="P4" s="5">
        <v>498</v>
      </c>
      <c r="Q4" s="5">
        <v>260</v>
      </c>
      <c r="R4" s="5"/>
      <c r="S4" s="5">
        <v>528</v>
      </c>
      <c r="T4" s="5"/>
      <c r="U4" s="5"/>
      <c r="V4" s="5"/>
      <c r="W4" s="5">
        <v>2486</v>
      </c>
      <c r="X4" s="5"/>
      <c r="Y4" s="5"/>
      <c r="Z4" s="5">
        <v>8092</v>
      </c>
      <c r="AA4" s="5"/>
      <c r="AB4" s="5">
        <v>3188</v>
      </c>
      <c r="AC4" s="5"/>
      <c r="AD4" s="5">
        <v>1704</v>
      </c>
      <c r="AE4" s="5">
        <v>1722</v>
      </c>
      <c r="AF4" s="5">
        <v>1358</v>
      </c>
      <c r="AG4" s="5"/>
      <c r="AH4" s="5"/>
      <c r="AI4" s="5"/>
      <c r="AJ4" s="5">
        <v>93</v>
      </c>
      <c r="AK4" s="5"/>
      <c r="AL4" s="5"/>
      <c r="AM4" s="5"/>
      <c r="AN4" s="5"/>
      <c r="AO4" s="5">
        <v>952</v>
      </c>
      <c r="AP4" s="5">
        <v>3370</v>
      </c>
      <c r="AQ4" s="5"/>
      <c r="AR4" s="5">
        <v>1059</v>
      </c>
      <c r="AS4" s="5">
        <v>153</v>
      </c>
      <c r="AT4" s="5"/>
      <c r="AU4" s="5">
        <v>123</v>
      </c>
      <c r="AV4" s="5">
        <v>1481</v>
      </c>
      <c r="AW4" s="6">
        <f>SUM(B4:AV4)</f>
        <v>28673</v>
      </c>
    </row>
    <row r="5" spans="1:49" x14ac:dyDescent="0.35">
      <c r="A5" s="4" t="s">
        <v>213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475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>
        <f t="shared" ref="AW5:AW64" si="0">SUM(B5:AV5)</f>
        <v>475</v>
      </c>
    </row>
    <row r="6" spans="1:49" x14ac:dyDescent="0.3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6">
        <f t="shared" si="0"/>
        <v>0</v>
      </c>
    </row>
    <row r="7" spans="1:49" x14ac:dyDescent="0.35">
      <c r="A7" s="4" t="s">
        <v>215</v>
      </c>
      <c r="B7" s="5">
        <v>6008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5138</v>
      </c>
      <c r="O7" s="5">
        <v>5816</v>
      </c>
      <c r="P7" s="5">
        <v>6486</v>
      </c>
      <c r="Q7" s="5">
        <v>551</v>
      </c>
      <c r="R7" s="5"/>
      <c r="S7" s="5">
        <v>3141</v>
      </c>
      <c r="T7" s="5"/>
      <c r="U7" s="5"/>
      <c r="V7" s="5">
        <v>2386</v>
      </c>
      <c r="W7" s="5"/>
      <c r="X7" s="5"/>
      <c r="Y7" s="5"/>
      <c r="Z7" s="5">
        <v>61769</v>
      </c>
      <c r="AA7" s="5"/>
      <c r="AB7" s="5">
        <v>3383</v>
      </c>
      <c r="AC7" s="5"/>
      <c r="AD7" s="5">
        <v>4257</v>
      </c>
      <c r="AE7" s="5">
        <v>3737</v>
      </c>
      <c r="AF7" s="5">
        <v>5826</v>
      </c>
      <c r="AG7" s="5"/>
      <c r="AH7" s="5"/>
      <c r="AI7" s="5"/>
      <c r="AJ7" s="5">
        <v>419</v>
      </c>
      <c r="AK7" s="5"/>
      <c r="AL7" s="5">
        <v>58722</v>
      </c>
      <c r="AM7" s="5"/>
      <c r="AN7" s="5"/>
      <c r="AO7" s="5"/>
      <c r="AP7" s="5">
        <v>40816</v>
      </c>
      <c r="AQ7" s="5"/>
      <c r="AR7" s="5">
        <v>15536</v>
      </c>
      <c r="AS7" s="5"/>
      <c r="AT7" s="5"/>
      <c r="AU7" s="5"/>
      <c r="AV7" s="5">
        <v>20800</v>
      </c>
      <c r="AW7" s="6">
        <f t="shared" si="0"/>
        <v>244791</v>
      </c>
    </row>
    <row r="8" spans="1:49" x14ac:dyDescent="0.35">
      <c r="A8" s="4" t="s">
        <v>216</v>
      </c>
      <c r="B8" s="5">
        <v>4451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1480</v>
      </c>
      <c r="O8" s="5"/>
      <c r="P8" s="5">
        <v>16</v>
      </c>
      <c r="Q8" s="5"/>
      <c r="R8" s="5"/>
      <c r="S8" s="5">
        <v>416</v>
      </c>
      <c r="T8" s="5"/>
      <c r="U8" s="5"/>
      <c r="V8" s="5"/>
      <c r="W8" s="5"/>
      <c r="X8" s="5"/>
      <c r="Y8" s="5"/>
      <c r="Z8" s="5"/>
      <c r="AA8" s="5"/>
      <c r="AB8" s="5">
        <v>1475</v>
      </c>
      <c r="AC8" s="5"/>
      <c r="AD8" s="5">
        <v>1770</v>
      </c>
      <c r="AE8" s="5"/>
      <c r="AF8" s="5">
        <v>4261</v>
      </c>
      <c r="AG8" s="5"/>
      <c r="AH8" s="5"/>
      <c r="AI8" s="5"/>
      <c r="AJ8" s="5"/>
      <c r="AK8" s="5"/>
      <c r="AL8" s="5"/>
      <c r="AM8" s="5"/>
      <c r="AN8" s="5"/>
      <c r="AO8" s="5">
        <v>894</v>
      </c>
      <c r="AP8" s="5"/>
      <c r="AQ8" s="5"/>
      <c r="AR8" s="5"/>
      <c r="AS8" s="5"/>
      <c r="AT8" s="5"/>
      <c r="AU8" s="5">
        <v>667</v>
      </c>
      <c r="AV8" s="5"/>
      <c r="AW8" s="6">
        <f t="shared" si="0"/>
        <v>15430</v>
      </c>
    </row>
    <row r="9" spans="1:49" x14ac:dyDescent="0.35">
      <c r="A9" s="4" t="s">
        <v>217</v>
      </c>
      <c r="B9" s="5">
        <v>38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55</v>
      </c>
      <c r="P9" s="5"/>
      <c r="Q9" s="5"/>
      <c r="R9" s="5"/>
      <c r="S9" s="5"/>
      <c r="T9" s="5"/>
      <c r="U9" s="5"/>
      <c r="V9" s="5"/>
      <c r="W9" s="5"/>
      <c r="X9" s="5"/>
      <c r="Y9" s="5"/>
      <c r="Z9" s="5">
        <v>985</v>
      </c>
      <c r="AA9" s="5"/>
      <c r="AB9" s="5">
        <v>181</v>
      </c>
      <c r="AC9" s="5"/>
      <c r="AD9" s="5"/>
      <c r="AE9" s="5">
        <v>301</v>
      </c>
      <c r="AF9" s="5">
        <v>69</v>
      </c>
      <c r="AG9" s="5"/>
      <c r="AH9" s="5"/>
      <c r="AI9" s="5"/>
      <c r="AJ9" s="5">
        <v>14</v>
      </c>
      <c r="AK9" s="5"/>
      <c r="AL9" s="5">
        <v>5554</v>
      </c>
      <c r="AM9" s="5"/>
      <c r="AN9" s="5"/>
      <c r="AO9" s="5"/>
      <c r="AP9" s="5"/>
      <c r="AQ9" s="5"/>
      <c r="AR9" s="5">
        <v>233</v>
      </c>
      <c r="AS9" s="5"/>
      <c r="AT9" s="5"/>
      <c r="AU9" s="5">
        <v>18</v>
      </c>
      <c r="AV9" s="5">
        <v>99</v>
      </c>
      <c r="AW9" s="6">
        <f t="shared" si="0"/>
        <v>7547</v>
      </c>
    </row>
    <row r="10" spans="1:49" x14ac:dyDescent="0.35">
      <c r="A10" s="4" t="s">
        <v>218</v>
      </c>
      <c r="B10" s="5">
        <v>203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4</v>
      </c>
      <c r="Q10" s="5"/>
      <c r="R10" s="5"/>
      <c r="S10" s="5">
        <v>68</v>
      </c>
      <c r="T10" s="5"/>
      <c r="U10" s="5"/>
      <c r="V10" s="5"/>
      <c r="W10" s="5"/>
      <c r="X10" s="5"/>
      <c r="Y10" s="5"/>
      <c r="Z10" s="5">
        <v>2076</v>
      </c>
      <c r="AA10" s="5"/>
      <c r="AB10" s="5">
        <v>6</v>
      </c>
      <c r="AC10" s="5"/>
      <c r="AD10" s="5"/>
      <c r="AE10" s="5">
        <v>432</v>
      </c>
      <c r="AF10" s="5">
        <v>72</v>
      </c>
      <c r="AG10" s="5"/>
      <c r="AH10" s="5"/>
      <c r="AI10" s="5"/>
      <c r="AJ10" s="5">
        <v>4</v>
      </c>
      <c r="AK10" s="5"/>
      <c r="AL10" s="5">
        <v>13642</v>
      </c>
      <c r="AM10" s="5"/>
      <c r="AN10" s="5"/>
      <c r="AO10" s="5">
        <v>53</v>
      </c>
      <c r="AP10" s="5">
        <v>550</v>
      </c>
      <c r="AQ10" s="5">
        <v>409</v>
      </c>
      <c r="AR10" s="5">
        <v>378</v>
      </c>
      <c r="AS10" s="5"/>
      <c r="AT10" s="5"/>
      <c r="AU10" s="5">
        <v>16</v>
      </c>
      <c r="AV10" s="5">
        <v>339</v>
      </c>
      <c r="AW10" s="6">
        <f t="shared" si="0"/>
        <v>18252</v>
      </c>
    </row>
    <row r="11" spans="1:49" x14ac:dyDescent="0.35">
      <c r="A11" s="4" t="s">
        <v>219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5226</v>
      </c>
      <c r="AS11" s="5"/>
      <c r="AT11" s="5"/>
      <c r="AU11" s="5"/>
      <c r="AV11" s="5">
        <v>317</v>
      </c>
      <c r="AW11" s="6">
        <f t="shared" si="0"/>
        <v>5543</v>
      </c>
    </row>
    <row r="12" spans="1:49" x14ac:dyDescent="0.35">
      <c r="A12" s="4" t="s">
        <v>220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61920</v>
      </c>
      <c r="AM12" s="5"/>
      <c r="AN12" s="5"/>
      <c r="AO12" s="5"/>
      <c r="AP12" s="5"/>
      <c r="AQ12" s="5">
        <v>17</v>
      </c>
      <c r="AR12" s="5"/>
      <c r="AS12" s="5"/>
      <c r="AT12" s="5"/>
      <c r="AU12" s="5"/>
      <c r="AV12" s="5"/>
      <c r="AW12" s="6">
        <f t="shared" si="0"/>
        <v>61937</v>
      </c>
    </row>
    <row r="13" spans="1:49" x14ac:dyDescent="0.35">
      <c r="A13" s="4" t="s">
        <v>221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v>2285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6">
        <f t="shared" si="0"/>
        <v>2285</v>
      </c>
    </row>
    <row r="14" spans="1:49" x14ac:dyDescent="0.35">
      <c r="A14" s="4" t="s">
        <v>222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1</v>
      </c>
      <c r="AM14" s="5"/>
      <c r="AN14" s="5"/>
      <c r="AO14" s="5"/>
      <c r="AP14" s="5"/>
      <c r="AQ14" s="5"/>
      <c r="AR14" s="5"/>
      <c r="AS14" s="5"/>
      <c r="AT14" s="5"/>
      <c r="AU14" s="5"/>
      <c r="AV14" s="5">
        <v>28</v>
      </c>
      <c r="AW14" s="6">
        <f t="shared" si="0"/>
        <v>29</v>
      </c>
    </row>
    <row r="15" spans="1:49" x14ac:dyDescent="0.35">
      <c r="A15" s="4" t="s">
        <v>223</v>
      </c>
      <c r="B15" s="5">
        <v>2099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166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v>1213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6">
        <f t="shared" si="0"/>
        <v>3478</v>
      </c>
    </row>
    <row r="16" spans="1:49" x14ac:dyDescent="0.35">
      <c r="A16" s="4" t="s">
        <v>224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305</v>
      </c>
      <c r="AG16" s="5"/>
      <c r="AH16" s="5"/>
      <c r="AI16" s="5"/>
      <c r="AJ16" s="5"/>
      <c r="AK16" s="5"/>
      <c r="AL16" s="5">
        <v>4104</v>
      </c>
      <c r="AM16" s="5"/>
      <c r="AN16" s="5"/>
      <c r="AO16" s="5"/>
      <c r="AP16" s="5"/>
      <c r="AQ16" s="5">
        <v>282</v>
      </c>
      <c r="AR16" s="5"/>
      <c r="AS16" s="5"/>
      <c r="AT16" s="5"/>
      <c r="AU16" s="5"/>
      <c r="AV16" s="5">
        <v>366</v>
      </c>
      <c r="AW16" s="6">
        <f t="shared" si="0"/>
        <v>5057</v>
      </c>
    </row>
    <row r="17" spans="1:49" x14ac:dyDescent="0.35">
      <c r="A17" s="4" t="s">
        <v>225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>
        <v>33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42</v>
      </c>
      <c r="AR17" s="5"/>
      <c r="AS17" s="5"/>
      <c r="AT17" s="5"/>
      <c r="AU17" s="5"/>
      <c r="AV17" s="5">
        <v>44</v>
      </c>
      <c r="AW17" s="6">
        <f t="shared" si="0"/>
        <v>119</v>
      </c>
    </row>
    <row r="18" spans="1:49" x14ac:dyDescent="0.35">
      <c r="A18" s="4" t="s">
        <v>226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6">
        <f t="shared" si="0"/>
        <v>0</v>
      </c>
    </row>
    <row r="19" spans="1:49" x14ac:dyDescent="0.35">
      <c r="A19" s="4" t="s">
        <v>227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6">
        <f t="shared" si="0"/>
        <v>0</v>
      </c>
    </row>
    <row r="20" spans="1:49" x14ac:dyDescent="0.35">
      <c r="A20" s="4" t="s">
        <v>228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6">
        <f t="shared" si="0"/>
        <v>0</v>
      </c>
    </row>
    <row r="21" spans="1:49" x14ac:dyDescent="0.35">
      <c r="A21" s="4" t="s">
        <v>229</v>
      </c>
      <c r="B21" s="5">
        <v>91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755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6">
        <f t="shared" si="0"/>
        <v>846</v>
      </c>
    </row>
    <row r="22" spans="1:49" x14ac:dyDescent="0.35">
      <c r="A22" s="4" t="s">
        <v>230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3255</v>
      </c>
      <c r="AM22" s="5"/>
      <c r="AN22" s="5"/>
      <c r="AO22" s="5"/>
      <c r="AP22" s="5"/>
      <c r="AQ22" s="5">
        <v>566</v>
      </c>
      <c r="AR22" s="5">
        <v>1905</v>
      </c>
      <c r="AS22" s="5"/>
      <c r="AT22" s="5"/>
      <c r="AU22" s="5"/>
      <c r="AV22" s="5">
        <v>929</v>
      </c>
      <c r="AW22" s="6">
        <f t="shared" si="0"/>
        <v>6655</v>
      </c>
    </row>
    <row r="23" spans="1:49" x14ac:dyDescent="0.35">
      <c r="A23" s="4" t="s">
        <v>231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6">
        <f t="shared" si="0"/>
        <v>0</v>
      </c>
    </row>
    <row r="24" spans="1:49" x14ac:dyDescent="0.35">
      <c r="A24" s="4" t="s">
        <v>232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6">
        <f t="shared" si="0"/>
        <v>0</v>
      </c>
    </row>
    <row r="25" spans="1:49" x14ac:dyDescent="0.35">
      <c r="A25" s="4" t="s">
        <v>233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6">
        <f t="shared" si="0"/>
        <v>0</v>
      </c>
    </row>
    <row r="26" spans="1:49" x14ac:dyDescent="0.35">
      <c r="A26" s="4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6">
        <f t="shared" si="0"/>
        <v>0</v>
      </c>
    </row>
    <row r="27" spans="1:49" x14ac:dyDescent="0.35">
      <c r="A27" s="4" t="s">
        <v>235</v>
      </c>
      <c r="B27" s="5">
        <v>109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241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267</v>
      </c>
      <c r="AG27" s="5"/>
      <c r="AH27" s="5"/>
      <c r="AI27" s="5"/>
      <c r="AJ27" s="5"/>
      <c r="AK27" s="5"/>
      <c r="AL27" s="5">
        <v>8095</v>
      </c>
      <c r="AM27" s="5"/>
      <c r="AN27" s="5"/>
      <c r="AO27" s="5"/>
      <c r="AP27" s="5"/>
      <c r="AQ27" s="5">
        <v>500</v>
      </c>
      <c r="AR27" s="5">
        <v>233</v>
      </c>
      <c r="AS27" s="5"/>
      <c r="AT27" s="5"/>
      <c r="AU27" s="5"/>
      <c r="AV27" s="5">
        <v>223</v>
      </c>
      <c r="AW27" s="6">
        <f t="shared" si="0"/>
        <v>9668</v>
      </c>
    </row>
    <row r="28" spans="1:49" x14ac:dyDescent="0.35">
      <c r="A28" s="4" t="s">
        <v>236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6">
        <f t="shared" si="0"/>
        <v>0</v>
      </c>
    </row>
    <row r="29" spans="1:49" x14ac:dyDescent="0.35">
      <c r="A29" s="4" t="s">
        <v>237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6">
        <f t="shared" si="0"/>
        <v>0</v>
      </c>
    </row>
    <row r="30" spans="1:49" x14ac:dyDescent="0.35">
      <c r="A30" s="4" t="s">
        <v>238</v>
      </c>
      <c r="B30" s="5">
        <v>458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845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1425</v>
      </c>
      <c r="AG30" s="5"/>
      <c r="AH30" s="5"/>
      <c r="AI30" s="5"/>
      <c r="AJ30" s="5"/>
      <c r="AK30" s="5"/>
      <c r="AL30" s="5">
        <v>171</v>
      </c>
      <c r="AM30" s="5"/>
      <c r="AN30" s="5"/>
      <c r="AO30" s="5"/>
      <c r="AP30" s="5"/>
      <c r="AQ30" s="5">
        <v>1126</v>
      </c>
      <c r="AR30" s="5"/>
      <c r="AS30" s="5"/>
      <c r="AT30" s="5"/>
      <c r="AU30" s="5">
        <v>86</v>
      </c>
      <c r="AV30" s="5">
        <v>1997</v>
      </c>
      <c r="AW30" s="6">
        <f t="shared" si="0"/>
        <v>6108</v>
      </c>
    </row>
    <row r="31" spans="1:49" x14ac:dyDescent="0.35">
      <c r="A31" s="4" t="s">
        <v>239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133</v>
      </c>
      <c r="AM31" s="5"/>
      <c r="AN31" s="5"/>
      <c r="AO31" s="5"/>
      <c r="AP31" s="5"/>
      <c r="AQ31" s="5">
        <v>184</v>
      </c>
      <c r="AR31" s="5">
        <v>352</v>
      </c>
      <c r="AS31" s="5"/>
      <c r="AT31" s="5"/>
      <c r="AU31" s="5"/>
      <c r="AV31" s="5">
        <v>89</v>
      </c>
      <c r="AW31" s="6">
        <f t="shared" si="0"/>
        <v>758</v>
      </c>
    </row>
    <row r="32" spans="1:49" x14ac:dyDescent="0.35">
      <c r="A32" s="4" t="s">
        <v>240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11</v>
      </c>
      <c r="AR32" s="5">
        <v>27</v>
      </c>
      <c r="AS32" s="5"/>
      <c r="AT32" s="5"/>
      <c r="AU32" s="5"/>
      <c r="AV32" s="5">
        <v>16</v>
      </c>
      <c r="AW32" s="6">
        <f t="shared" si="0"/>
        <v>54</v>
      </c>
    </row>
    <row r="33" spans="1:49" x14ac:dyDescent="0.35">
      <c r="A33" s="4" t="s">
        <v>241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470</v>
      </c>
      <c r="AW33" s="6">
        <f t="shared" si="0"/>
        <v>470</v>
      </c>
    </row>
    <row r="34" spans="1:49" x14ac:dyDescent="0.35">
      <c r="A34" s="4" t="s">
        <v>242</v>
      </c>
      <c r="B34" s="5">
        <v>787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819</v>
      </c>
      <c r="P34" s="5"/>
      <c r="Q34" s="5">
        <v>260</v>
      </c>
      <c r="R34" s="5"/>
      <c r="S34" s="5">
        <v>528</v>
      </c>
      <c r="T34" s="5"/>
      <c r="U34" s="5"/>
      <c r="V34" s="5"/>
      <c r="W34" s="5">
        <v>2486</v>
      </c>
      <c r="X34" s="5"/>
      <c r="Y34" s="5"/>
      <c r="Z34" s="5">
        <v>8092</v>
      </c>
      <c r="AA34" s="5"/>
      <c r="AB34" s="5">
        <v>3188</v>
      </c>
      <c r="AC34" s="5"/>
      <c r="AD34" s="5">
        <v>1704</v>
      </c>
      <c r="AE34" s="5">
        <v>1722</v>
      </c>
      <c r="AF34" s="5">
        <v>1358</v>
      </c>
      <c r="AG34" s="5"/>
      <c r="AH34" s="5"/>
      <c r="AI34" s="5"/>
      <c r="AJ34" s="5">
        <v>93</v>
      </c>
      <c r="AK34" s="5"/>
      <c r="AL34" s="5"/>
      <c r="AM34" s="5"/>
      <c r="AN34" s="5"/>
      <c r="AO34" s="5">
        <v>952</v>
      </c>
      <c r="AP34" s="5">
        <v>3370</v>
      </c>
      <c r="AQ34" s="5"/>
      <c r="AR34" s="5">
        <v>1059</v>
      </c>
      <c r="AS34" s="5">
        <v>153</v>
      </c>
      <c r="AT34" s="5"/>
      <c r="AU34" s="5">
        <v>123</v>
      </c>
      <c r="AV34" s="5">
        <v>1481</v>
      </c>
      <c r="AW34" s="6">
        <f t="shared" si="0"/>
        <v>28175</v>
      </c>
    </row>
    <row r="35" spans="1:49" x14ac:dyDescent="0.35">
      <c r="A35" s="4" t="s">
        <v>243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6">
        <f t="shared" si="0"/>
        <v>0</v>
      </c>
    </row>
    <row r="36" spans="1:49" x14ac:dyDescent="0.35">
      <c r="A36" s="4" t="s">
        <v>244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6">
        <f t="shared" si="0"/>
        <v>0</v>
      </c>
    </row>
    <row r="37" spans="1:49" x14ac:dyDescent="0.35">
      <c r="A37" s="4" t="s">
        <v>245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16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6">
        <f t="shared" si="0"/>
        <v>16</v>
      </c>
    </row>
    <row r="38" spans="1:49" x14ac:dyDescent="0.35">
      <c r="A38" s="4" t="s">
        <v>246</v>
      </c>
      <c r="B38" s="5">
        <v>4451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1480</v>
      </c>
      <c r="O38" s="5"/>
      <c r="P38" s="5"/>
      <c r="Q38" s="5"/>
      <c r="R38" s="5"/>
      <c r="S38" s="5">
        <v>416</v>
      </c>
      <c r="T38" s="5"/>
      <c r="U38" s="5"/>
      <c r="V38" s="5"/>
      <c r="W38" s="5"/>
      <c r="X38" s="5"/>
      <c r="Y38" s="5"/>
      <c r="Z38" s="5"/>
      <c r="AA38" s="5"/>
      <c r="AB38" s="5">
        <v>1475</v>
      </c>
      <c r="AC38" s="5"/>
      <c r="AD38" s="5">
        <v>1770</v>
      </c>
      <c r="AE38" s="5"/>
      <c r="AF38" s="5">
        <v>4261</v>
      </c>
      <c r="AG38" s="5"/>
      <c r="AH38" s="5"/>
      <c r="AI38" s="5"/>
      <c r="AJ38" s="5"/>
      <c r="AK38" s="5"/>
      <c r="AL38" s="5"/>
      <c r="AM38" s="5"/>
      <c r="AN38" s="5"/>
      <c r="AO38" s="5">
        <v>894</v>
      </c>
      <c r="AP38" s="5"/>
      <c r="AQ38" s="5"/>
      <c r="AR38" s="5"/>
      <c r="AS38" s="5"/>
      <c r="AT38" s="5"/>
      <c r="AU38" s="5">
        <v>667</v>
      </c>
      <c r="AV38" s="5"/>
      <c r="AW38" s="6">
        <f t="shared" si="0"/>
        <v>15414</v>
      </c>
    </row>
    <row r="39" spans="1:49" x14ac:dyDescent="0.35">
      <c r="A39" s="4" t="s">
        <v>247</v>
      </c>
      <c r="B39" s="5">
        <v>6008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5138</v>
      </c>
      <c r="O39" s="5">
        <v>5816</v>
      </c>
      <c r="P39" s="5"/>
      <c r="Q39" s="5">
        <v>551</v>
      </c>
      <c r="R39" s="5"/>
      <c r="S39" s="5">
        <v>3141</v>
      </c>
      <c r="T39" s="5"/>
      <c r="U39" s="5"/>
      <c r="V39" s="5">
        <v>2386</v>
      </c>
      <c r="W39" s="5"/>
      <c r="X39" s="5"/>
      <c r="Y39" s="5"/>
      <c r="Z39" s="5">
        <v>61769</v>
      </c>
      <c r="AA39" s="5"/>
      <c r="AB39" s="5">
        <v>3383</v>
      </c>
      <c r="AC39" s="5"/>
      <c r="AD39" s="5">
        <v>4257</v>
      </c>
      <c r="AE39" s="5">
        <v>3737</v>
      </c>
      <c r="AF39" s="5">
        <v>5826</v>
      </c>
      <c r="AG39" s="5"/>
      <c r="AH39" s="5"/>
      <c r="AI39" s="5"/>
      <c r="AJ39" s="5">
        <v>419</v>
      </c>
      <c r="AK39" s="5"/>
      <c r="AL39" s="5">
        <v>58722</v>
      </c>
      <c r="AM39" s="5"/>
      <c r="AN39" s="5"/>
      <c r="AO39" s="5"/>
      <c r="AP39" s="5">
        <v>40816</v>
      </c>
      <c r="AQ39" s="5"/>
      <c r="AR39" s="5">
        <v>15536</v>
      </c>
      <c r="AS39" s="5"/>
      <c r="AT39" s="5"/>
      <c r="AU39" s="5"/>
      <c r="AV39" s="5">
        <v>20800</v>
      </c>
      <c r="AW39" s="6">
        <f t="shared" si="0"/>
        <v>238305</v>
      </c>
    </row>
    <row r="40" spans="1:49" x14ac:dyDescent="0.35">
      <c r="A40" s="4" t="s">
        <v>248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3643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6">
        <f t="shared" si="0"/>
        <v>3643</v>
      </c>
    </row>
    <row r="41" spans="1:49" x14ac:dyDescent="0.35">
      <c r="A41" s="4" t="s">
        <v>249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2843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6">
        <f t="shared" si="0"/>
        <v>2843</v>
      </c>
    </row>
    <row r="42" spans="1:49" x14ac:dyDescent="0.35">
      <c r="A42" s="4" t="s">
        <v>210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6">
        <f t="shared" si="0"/>
        <v>0</v>
      </c>
    </row>
    <row r="43" spans="1:49" x14ac:dyDescent="0.35">
      <c r="A43" s="4" t="s">
        <v>211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6">
        <f t="shared" si="0"/>
        <v>0</v>
      </c>
    </row>
    <row r="44" spans="1:49" x14ac:dyDescent="0.35">
      <c r="A44" s="4" t="s">
        <v>250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49</v>
      </c>
      <c r="AR44" s="5">
        <v>855</v>
      </c>
      <c r="AS44" s="5"/>
      <c r="AT44" s="5"/>
      <c r="AU44" s="5"/>
      <c r="AV44" s="5">
        <v>65</v>
      </c>
      <c r="AW44" s="6">
        <f t="shared" si="0"/>
        <v>969</v>
      </c>
    </row>
    <row r="45" spans="1:49" x14ac:dyDescent="0.35">
      <c r="A45" s="4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26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3</v>
      </c>
      <c r="AL45" s="5"/>
      <c r="AM45" s="5"/>
      <c r="AN45" s="5"/>
      <c r="AO45" s="5"/>
      <c r="AP45" s="5"/>
      <c r="AQ45" s="5">
        <v>46</v>
      </c>
      <c r="AR45" s="5"/>
      <c r="AS45" s="5"/>
      <c r="AT45" s="5"/>
      <c r="AU45" s="5"/>
      <c r="AV45" s="5"/>
      <c r="AW45" s="6">
        <f t="shared" si="0"/>
        <v>75</v>
      </c>
    </row>
    <row r="46" spans="1:49" x14ac:dyDescent="0.35">
      <c r="A46" s="4" t="s">
        <v>252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>
        <v>76</v>
      </c>
      <c r="AG46" s="5"/>
      <c r="AH46" s="5"/>
      <c r="AI46" s="5"/>
      <c r="AJ46" s="5"/>
      <c r="AK46" s="5"/>
      <c r="AL46" s="5">
        <v>3453</v>
      </c>
      <c r="AM46" s="5"/>
      <c r="AN46" s="5"/>
      <c r="AO46" s="5"/>
      <c r="AP46" s="5"/>
      <c r="AQ46" s="5">
        <v>18</v>
      </c>
      <c r="AR46" s="5"/>
      <c r="AS46" s="5"/>
      <c r="AT46" s="5"/>
      <c r="AU46" s="5"/>
      <c r="AV46" s="5">
        <v>82</v>
      </c>
      <c r="AW46" s="6">
        <f t="shared" si="0"/>
        <v>3629</v>
      </c>
    </row>
    <row r="47" spans="1:49" x14ac:dyDescent="0.35">
      <c r="A47" s="4" t="s">
        <v>253</v>
      </c>
      <c r="B47" s="5"/>
      <c r="C47" s="5"/>
      <c r="D47" s="5"/>
      <c r="E47" s="5"/>
      <c r="F47" s="5"/>
      <c r="G47" s="5">
        <v>144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13</v>
      </c>
      <c r="AR47" s="5"/>
      <c r="AS47" s="5"/>
      <c r="AT47" s="5"/>
      <c r="AU47" s="5"/>
      <c r="AV47" s="5"/>
      <c r="AW47" s="6">
        <f t="shared" si="0"/>
        <v>157</v>
      </c>
    </row>
    <row r="48" spans="1:49" x14ac:dyDescent="0.35">
      <c r="A48" s="4" t="s">
        <v>254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6">
        <f t="shared" si="0"/>
        <v>0</v>
      </c>
    </row>
    <row r="49" spans="1:49" x14ac:dyDescent="0.35">
      <c r="A49" s="4" t="s">
        <v>255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6">
        <f t="shared" si="0"/>
        <v>0</v>
      </c>
    </row>
    <row r="50" spans="1:49" x14ac:dyDescent="0.35">
      <c r="A50" s="4" t="s">
        <v>256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90</v>
      </c>
      <c r="AM50" s="5"/>
      <c r="AN50" s="5"/>
      <c r="AO50" s="5"/>
      <c r="AP50" s="5"/>
      <c r="AQ50" s="5">
        <v>3141</v>
      </c>
      <c r="AR50" s="5"/>
      <c r="AS50" s="5"/>
      <c r="AT50" s="5"/>
      <c r="AU50" s="5"/>
      <c r="AV50" s="5">
        <v>8787</v>
      </c>
      <c r="AW50" s="6">
        <f t="shared" si="0"/>
        <v>12018</v>
      </c>
    </row>
    <row r="51" spans="1:49" x14ac:dyDescent="0.35">
      <c r="A51" s="4" t="s">
        <v>257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6">
        <f t="shared" si="0"/>
        <v>0</v>
      </c>
    </row>
    <row r="52" spans="1:49" x14ac:dyDescent="0.35">
      <c r="A52" s="4" t="s">
        <v>258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6">
        <f t="shared" si="0"/>
        <v>0</v>
      </c>
    </row>
    <row r="53" spans="1:49" x14ac:dyDescent="0.35">
      <c r="A53" s="4" t="s">
        <v>259</v>
      </c>
      <c r="B53" s="5">
        <v>148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1390</v>
      </c>
      <c r="AG53" s="5"/>
      <c r="AH53" s="5"/>
      <c r="AI53" s="5"/>
      <c r="AJ53" s="5"/>
      <c r="AK53" s="5"/>
      <c r="AL53" s="5">
        <v>7320</v>
      </c>
      <c r="AM53" s="5"/>
      <c r="AN53" s="5"/>
      <c r="AO53" s="5"/>
      <c r="AP53" s="5">
        <v>650</v>
      </c>
      <c r="AQ53" s="5">
        <v>814</v>
      </c>
      <c r="AR53" s="5"/>
      <c r="AS53" s="5"/>
      <c r="AT53" s="5"/>
      <c r="AU53" s="5"/>
      <c r="AV53" s="5">
        <v>317</v>
      </c>
      <c r="AW53" s="6">
        <f t="shared" si="0"/>
        <v>10639</v>
      </c>
    </row>
    <row r="54" spans="1:49" x14ac:dyDescent="0.35">
      <c r="A54" s="4" t="s">
        <v>260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281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70</v>
      </c>
      <c r="AR54" s="5">
        <v>377</v>
      </c>
      <c r="AS54" s="5"/>
      <c r="AT54" s="5"/>
      <c r="AU54" s="5"/>
      <c r="AV54" s="5">
        <v>118</v>
      </c>
      <c r="AW54" s="6">
        <f t="shared" si="0"/>
        <v>846</v>
      </c>
    </row>
    <row r="55" spans="1:49" x14ac:dyDescent="0.35">
      <c r="A55" s="4" t="s">
        <v>261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7791</v>
      </c>
      <c r="AM55" s="5"/>
      <c r="AN55" s="5"/>
      <c r="AO55" s="5"/>
      <c r="AP55" s="5"/>
      <c r="AQ55" s="5">
        <v>415</v>
      </c>
      <c r="AR55" s="5"/>
      <c r="AS55" s="5"/>
      <c r="AT55" s="5"/>
      <c r="AU55" s="5"/>
      <c r="AV55" s="5">
        <v>12</v>
      </c>
      <c r="AW55" s="6">
        <f t="shared" si="0"/>
        <v>8218</v>
      </c>
    </row>
    <row r="56" spans="1:49" x14ac:dyDescent="0.35">
      <c r="A56" s="4" t="s">
        <v>262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7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21</v>
      </c>
      <c r="AT56" s="5">
        <v>3</v>
      </c>
      <c r="AU56" s="5"/>
      <c r="AV56" s="5"/>
      <c r="AW56" s="6">
        <f t="shared" si="0"/>
        <v>31</v>
      </c>
    </row>
    <row r="57" spans="1:49" x14ac:dyDescent="0.35">
      <c r="A57" s="4" t="s">
        <v>263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6">
        <f t="shared" si="0"/>
        <v>0</v>
      </c>
    </row>
    <row r="58" spans="1:49" x14ac:dyDescent="0.35">
      <c r="A58" s="4" t="s">
        <v>264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6046</v>
      </c>
      <c r="AQ58" s="5"/>
      <c r="AR58" s="5"/>
      <c r="AS58" s="5"/>
      <c r="AT58" s="5"/>
      <c r="AU58" s="5"/>
      <c r="AV58" s="5"/>
      <c r="AW58" s="6">
        <f t="shared" si="0"/>
        <v>6046</v>
      </c>
    </row>
    <row r="59" spans="1:49" x14ac:dyDescent="0.35">
      <c r="A59" s="4" t="s">
        <v>265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127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6">
        <f t="shared" si="0"/>
        <v>127</v>
      </c>
    </row>
    <row r="60" spans="1:49" x14ac:dyDescent="0.35">
      <c r="A60" s="4" t="s">
        <v>266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23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6">
        <f t="shared" si="0"/>
        <v>23</v>
      </c>
    </row>
    <row r="61" spans="1:49" x14ac:dyDescent="0.35">
      <c r="A61" s="4" t="s">
        <v>267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110</v>
      </c>
      <c r="AE61" s="5"/>
      <c r="AF61" s="5"/>
      <c r="AG61" s="5"/>
      <c r="AH61" s="5"/>
      <c r="AI61" s="5"/>
      <c r="AJ61" s="5"/>
      <c r="AK61" s="5">
        <v>5</v>
      </c>
      <c r="AL61" s="5"/>
      <c r="AM61" s="5"/>
      <c r="AN61" s="5"/>
      <c r="AO61" s="5"/>
      <c r="AP61" s="5"/>
      <c r="AQ61" s="5">
        <v>97</v>
      </c>
      <c r="AR61" s="5"/>
      <c r="AS61" s="5">
        <v>62</v>
      </c>
      <c r="AT61" s="5">
        <v>46</v>
      </c>
      <c r="AU61" s="5"/>
      <c r="AV61" s="5"/>
      <c r="AW61" s="6">
        <f t="shared" si="0"/>
        <v>320</v>
      </c>
    </row>
    <row r="62" spans="1:49" x14ac:dyDescent="0.35">
      <c r="A62" s="4" t="s">
        <v>268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656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19791</v>
      </c>
      <c r="AQ62" s="5"/>
      <c r="AR62" s="5"/>
      <c r="AS62" s="5"/>
      <c r="AT62" s="5"/>
      <c r="AU62" s="5"/>
      <c r="AV62" s="5"/>
      <c r="AW62" s="6">
        <f t="shared" si="0"/>
        <v>20447</v>
      </c>
    </row>
    <row r="63" spans="1:49" x14ac:dyDescent="0.35">
      <c r="A63" s="4" t="s">
        <v>269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6">
        <f t="shared" si="0"/>
        <v>0</v>
      </c>
    </row>
    <row r="64" spans="1:49" x14ac:dyDescent="0.35">
      <c r="A64" s="7" t="s">
        <v>317</v>
      </c>
      <c r="B64" s="6">
        <f>SUM(B4:B63)</f>
        <v>25638</v>
      </c>
      <c r="C64" s="6">
        <f t="shared" ref="C64:AV64" si="1">SUM(C4:C63)</f>
        <v>0</v>
      </c>
      <c r="D64" s="6">
        <f t="shared" si="1"/>
        <v>0</v>
      </c>
      <c r="E64" s="6">
        <f t="shared" si="1"/>
        <v>0</v>
      </c>
      <c r="F64" s="6">
        <f t="shared" si="1"/>
        <v>0</v>
      </c>
      <c r="G64" s="6">
        <f t="shared" si="1"/>
        <v>144</v>
      </c>
      <c r="H64" s="6">
        <f t="shared" si="1"/>
        <v>0</v>
      </c>
      <c r="I64" s="6">
        <f t="shared" si="1"/>
        <v>0</v>
      </c>
      <c r="J64" s="6">
        <f t="shared" si="1"/>
        <v>0</v>
      </c>
      <c r="K64" s="6">
        <f t="shared" si="1"/>
        <v>0</v>
      </c>
      <c r="L64" s="6">
        <f t="shared" si="1"/>
        <v>0</v>
      </c>
      <c r="M64" s="6">
        <f t="shared" si="1"/>
        <v>0</v>
      </c>
      <c r="N64" s="6">
        <f t="shared" si="1"/>
        <v>14348</v>
      </c>
      <c r="O64" s="6">
        <f t="shared" si="1"/>
        <v>13491</v>
      </c>
      <c r="P64" s="6">
        <f t="shared" si="1"/>
        <v>14004</v>
      </c>
      <c r="Q64" s="6">
        <f t="shared" si="1"/>
        <v>1622</v>
      </c>
      <c r="R64" s="6">
        <f t="shared" si="1"/>
        <v>0</v>
      </c>
      <c r="S64" s="6">
        <f t="shared" si="1"/>
        <v>8238</v>
      </c>
      <c r="T64" s="6">
        <f t="shared" si="1"/>
        <v>0</v>
      </c>
      <c r="U64" s="6">
        <f t="shared" si="1"/>
        <v>0</v>
      </c>
      <c r="V64" s="6">
        <f t="shared" si="1"/>
        <v>5555</v>
      </c>
      <c r="W64" s="6">
        <f t="shared" si="1"/>
        <v>4972</v>
      </c>
      <c r="X64" s="6">
        <f t="shared" si="1"/>
        <v>0</v>
      </c>
      <c r="Y64" s="6">
        <f t="shared" si="1"/>
        <v>0</v>
      </c>
      <c r="Z64" s="6">
        <f t="shared" si="1"/>
        <v>142783</v>
      </c>
      <c r="AA64" s="6">
        <f t="shared" si="1"/>
        <v>0</v>
      </c>
      <c r="AB64" s="6">
        <f t="shared" si="1"/>
        <v>17034</v>
      </c>
      <c r="AC64" s="6">
        <f t="shared" si="1"/>
        <v>0</v>
      </c>
      <c r="AD64" s="6">
        <f t="shared" si="1"/>
        <v>15579</v>
      </c>
      <c r="AE64" s="6">
        <f t="shared" si="1"/>
        <v>11651</v>
      </c>
      <c r="AF64" s="6">
        <f t="shared" si="1"/>
        <v>28021</v>
      </c>
      <c r="AG64" s="6">
        <f t="shared" si="1"/>
        <v>0</v>
      </c>
      <c r="AH64" s="6">
        <f t="shared" si="1"/>
        <v>0</v>
      </c>
      <c r="AI64" s="6">
        <f t="shared" si="1"/>
        <v>0</v>
      </c>
      <c r="AJ64" s="6">
        <f t="shared" si="1"/>
        <v>1042</v>
      </c>
      <c r="AK64" s="6">
        <f t="shared" si="1"/>
        <v>8</v>
      </c>
      <c r="AL64" s="6">
        <f t="shared" si="1"/>
        <v>235258</v>
      </c>
      <c r="AM64" s="6">
        <f t="shared" si="1"/>
        <v>0</v>
      </c>
      <c r="AN64" s="6">
        <f t="shared" si="1"/>
        <v>0</v>
      </c>
      <c r="AO64" s="6">
        <f t="shared" si="1"/>
        <v>3745</v>
      </c>
      <c r="AP64" s="6">
        <f t="shared" si="1"/>
        <v>115409</v>
      </c>
      <c r="AQ64" s="6">
        <f t="shared" si="1"/>
        <v>7800</v>
      </c>
      <c r="AR64" s="6">
        <f t="shared" si="1"/>
        <v>42776</v>
      </c>
      <c r="AS64" s="6">
        <f t="shared" si="1"/>
        <v>389</v>
      </c>
      <c r="AT64" s="6">
        <f t="shared" si="1"/>
        <v>49</v>
      </c>
      <c r="AU64" s="6">
        <f t="shared" si="1"/>
        <v>1700</v>
      </c>
      <c r="AV64" s="6">
        <f t="shared" si="1"/>
        <v>58860</v>
      </c>
      <c r="AW64" s="6">
        <f t="shared" si="0"/>
        <v>770116</v>
      </c>
    </row>
    <row r="65" spans="1:49" x14ac:dyDescent="0.3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x14ac:dyDescent="0.35">
      <c r="A66" t="s">
        <v>8</v>
      </c>
      <c r="B66">
        <v>699018.1</v>
      </c>
      <c r="C66">
        <v>196643.20000000001</v>
      </c>
      <c r="D66">
        <v>6575.5</v>
      </c>
      <c r="E66">
        <v>3026941</v>
      </c>
      <c r="F66">
        <v>3248329.2</v>
      </c>
      <c r="G66">
        <v>6713643.7999999998</v>
      </c>
      <c r="H66">
        <v>59226.3</v>
      </c>
      <c r="I66">
        <v>140118.5</v>
      </c>
      <c r="J66">
        <v>32540</v>
      </c>
      <c r="K66">
        <v>58544.2</v>
      </c>
      <c r="L66">
        <v>944686.2</v>
      </c>
      <c r="M66">
        <v>1060133.3</v>
      </c>
      <c r="N66">
        <v>376547.2</v>
      </c>
      <c r="O66">
        <v>59490.1</v>
      </c>
      <c r="P66">
        <v>423678.2</v>
      </c>
      <c r="Q66">
        <v>11441.9</v>
      </c>
      <c r="R66">
        <v>791411.5</v>
      </c>
      <c r="S66">
        <v>579359.69999999995</v>
      </c>
      <c r="T66">
        <v>808861.1</v>
      </c>
      <c r="U66">
        <v>42828</v>
      </c>
      <c r="V66">
        <v>81185.8</v>
      </c>
      <c r="W66">
        <v>867829</v>
      </c>
      <c r="X66">
        <v>399755.3</v>
      </c>
      <c r="Y66">
        <v>60700.6</v>
      </c>
      <c r="Z66">
        <v>1436441.7</v>
      </c>
      <c r="AA66">
        <v>155206.70000000001</v>
      </c>
      <c r="AB66">
        <v>778427</v>
      </c>
      <c r="AC66">
        <v>595474.80000000005</v>
      </c>
      <c r="AD66">
        <v>725926.6</v>
      </c>
      <c r="AE66">
        <v>16273.7</v>
      </c>
      <c r="AF66">
        <v>970830.3</v>
      </c>
      <c r="AG66">
        <v>66722.8</v>
      </c>
      <c r="AH66">
        <v>352562.3</v>
      </c>
      <c r="AI66">
        <v>485442.2</v>
      </c>
      <c r="AJ66">
        <v>1803.6</v>
      </c>
      <c r="AK66">
        <v>243297.8</v>
      </c>
      <c r="AL66">
        <v>1201525.5</v>
      </c>
      <c r="AM66">
        <v>408449.5</v>
      </c>
      <c r="AN66">
        <v>174681.1</v>
      </c>
      <c r="AO66">
        <v>819636.9</v>
      </c>
      <c r="AP66">
        <v>1402343.9</v>
      </c>
      <c r="AQ66">
        <v>581879</v>
      </c>
      <c r="AR66">
        <v>481316.8</v>
      </c>
      <c r="AS66">
        <v>105648.1</v>
      </c>
      <c r="AT66">
        <v>243236.1</v>
      </c>
      <c r="AU66">
        <v>22453.8</v>
      </c>
      <c r="AV66">
        <v>1802575.6</v>
      </c>
    </row>
  </sheetData>
  <mergeCells count="1">
    <mergeCell ref="AW2:AW3"/>
  </mergeCells>
  <hyperlinks>
    <hyperlink ref="B1" location="Home!A1" display="HOME" xr:uid="{2680AF67-7459-40FA-90F1-0B5825A382DD}"/>
  </hyperlinks>
  <printOptions headings="1"/>
  <pageMargins left="0.7" right="0.7" top="0.75" bottom="0.75" header="0.3" footer="0.3"/>
  <pageSetup paperSize="9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4</vt:i4>
      </vt:variant>
    </vt:vector>
  </HeadingPairs>
  <TitlesOfParts>
    <vt:vector size="64" baseType="lpstr">
      <vt:lpstr>Home</vt:lpstr>
      <vt:lpstr>Algeria</vt:lpstr>
      <vt:lpstr>Angola</vt:lpstr>
      <vt:lpstr>Benin</vt:lpstr>
      <vt:lpstr>Botswana</vt:lpstr>
      <vt:lpstr>Burkina Faso</vt:lpstr>
      <vt:lpstr>Burundi</vt:lpstr>
      <vt:lpstr>Cabo Verde</vt:lpstr>
      <vt:lpstr>Cameroon</vt:lpstr>
      <vt:lpstr>CAR</vt:lpstr>
      <vt:lpstr>Chad</vt:lpstr>
      <vt:lpstr>Comoros</vt:lpstr>
      <vt:lpstr>Congo</vt:lpstr>
      <vt:lpstr>Cote d'Ivoire</vt:lpstr>
      <vt:lpstr>DRC</vt:lpstr>
      <vt:lpstr>Equatorial Guinea</vt:lpstr>
      <vt:lpstr>Eritrea</vt:lpstr>
      <vt:lpstr>Eswatini</vt:lpstr>
      <vt:lpstr>Ethiopia</vt:lpstr>
      <vt:lpstr>Gabon</vt:lpstr>
      <vt:lpstr>Gambia</vt:lpstr>
      <vt:lpstr>Ghana</vt:lpstr>
      <vt:lpstr>Guinea</vt:lpstr>
      <vt:lpstr>Guinea-Bissau</vt:lpstr>
      <vt:lpstr>Kenya</vt:lpstr>
      <vt:lpstr>Lesotho</vt:lpstr>
      <vt:lpstr>Liberia</vt:lpstr>
      <vt:lpstr>Madagascar</vt:lpstr>
      <vt:lpstr>Malawi</vt:lpstr>
      <vt:lpstr>Mali</vt:lpstr>
      <vt:lpstr>Mauritania</vt:lpstr>
      <vt:lpstr>Mauritius</vt:lpstr>
      <vt:lpstr>Mozambique</vt:lpstr>
      <vt:lpstr>Namibia</vt:lpstr>
      <vt:lpstr>Niger</vt:lpstr>
      <vt:lpstr>Nigeria</vt:lpstr>
      <vt:lpstr>Rwanda</vt:lpstr>
      <vt:lpstr>Sao Tome and Principe</vt:lpstr>
      <vt:lpstr>Senegal</vt:lpstr>
      <vt:lpstr>Seychelles</vt:lpstr>
      <vt:lpstr>Sierra Leone</vt:lpstr>
      <vt:lpstr>South Africa</vt:lpstr>
      <vt:lpstr>South Sudan</vt:lpstr>
      <vt:lpstr>Tanzania</vt:lpstr>
      <vt:lpstr>Togo</vt:lpstr>
      <vt:lpstr>Uganda</vt:lpstr>
      <vt:lpstr>Zambia</vt:lpstr>
      <vt:lpstr>Zimbabwe</vt:lpstr>
      <vt:lpstr>AFRO Stock 20240123</vt:lpstr>
      <vt:lpstr>AFRO Stock 2022</vt:lpstr>
      <vt:lpstr>AFRO Stock 2021</vt:lpstr>
      <vt:lpstr>AFRO Stock 2020</vt:lpstr>
      <vt:lpstr>AFRO Stock 2019</vt:lpstr>
      <vt:lpstr>AFRO Stock 2018</vt:lpstr>
      <vt:lpstr>AFRO Stock 2017</vt:lpstr>
      <vt:lpstr>AFRO Stock 2016</vt:lpstr>
      <vt:lpstr>AFRO Stock 2015</vt:lpstr>
      <vt:lpstr>AFRO Stock 2014</vt:lpstr>
      <vt:lpstr>AFRO Stock 2013</vt:lpstr>
      <vt:lpstr>AFRO Stock 2012</vt:lpstr>
      <vt:lpstr>Algeria!Print_Area</vt:lpstr>
      <vt:lpstr>Algeria!Print_Titles</vt:lpstr>
      <vt:lpstr>Comoros!Print_Titles</vt:lpstr>
      <vt:lpstr>Zimbabwe!Print_Titles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Joseph Mung'atu</cp:lastModifiedBy>
  <cp:lastPrinted>2024-02-02T12:50:16Z</cp:lastPrinted>
  <dcterms:created xsi:type="dcterms:W3CDTF">2024-01-29T20:22:19Z</dcterms:created>
  <dcterms:modified xsi:type="dcterms:W3CDTF">2024-02-03T11:51:46Z</dcterms:modified>
</cp:coreProperties>
</file>